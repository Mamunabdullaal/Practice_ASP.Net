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nan Mik\Downloads\"/>
    </mc:Choice>
  </mc:AlternateContent>
  <xr:revisionPtr revIDLastSave="0" documentId="13_ncr:1_{A61AED82-16E4-4202-BB3A-0DF1055CF130}" xr6:coauthVersionLast="47" xr6:coauthVersionMax="47" xr10:uidLastSave="{00000000-0000-0000-0000-000000000000}"/>
  <bookViews>
    <workbookView xWindow="-108" yWindow="-108" windowWidth="23256" windowHeight="13176" tabRatio="923" activeTab="11" xr2:uid="{00000000-000D-0000-FFFF-FFFF00000000}"/>
  </bookViews>
  <sheets>
    <sheet name="MDB" sheetId="1" r:id="rId1"/>
    <sheet name="Inactive" sheetId="2" r:id="rId2"/>
    <sheet name="Transfer email " sheetId="14" r:id="rId3"/>
    <sheet name="Resign_Notification" sheetId="5" r:id="rId4"/>
    <sheet name="ID Block" sheetId="8" r:id="rId5"/>
    <sheet name="Unauthorized Absent" sheetId="6" r:id="rId6"/>
    <sheet name="Transfer" sheetId="4" r:id="rId7"/>
    <sheet name="Disqualified from TR" sheetId="3" r:id="rId8"/>
    <sheet name="MDB_New Joiner List " sheetId="10" r:id="rId9"/>
    <sheet name="MDB_Inactive List" sheetId="11" r:id="rId10"/>
    <sheet name="MDB_NTR List" sheetId="12" r:id="rId11"/>
    <sheet name="Sheet1" sheetId="15" r:id="rId12"/>
    <sheet name="MDB_Transfer employee List" sheetId="13" r:id="rId13"/>
  </sheets>
  <externalReferences>
    <externalReference r:id="rId14"/>
  </externalReferences>
  <definedNames>
    <definedName name="_xlnm._FilterDatabase" localSheetId="7" hidden="1">'Disqualified from TR'!$A$1:$BL$1</definedName>
    <definedName name="_xlnm._FilterDatabase" localSheetId="4" hidden="1">'ID Block'!$A$1:$P$399</definedName>
    <definedName name="_xlnm._FilterDatabase" localSheetId="1" hidden="1">Inactive!$A$1:$BO$641</definedName>
    <definedName name="_xlnm._FilterDatabase" localSheetId="0" hidden="1">MDB!$A$1:$BL$386</definedName>
    <definedName name="_xlnm._FilterDatabase" localSheetId="9" hidden="1">'MDB_Inactive List'!$A$1:$AQ$2</definedName>
    <definedName name="_xlnm._FilterDatabase" localSheetId="8" hidden="1">'MDB_New Joiner List '!$A$1:$AN$1</definedName>
    <definedName name="_xlnm._FilterDatabase" localSheetId="12" hidden="1">'MDB_Transfer employee List'!$A$1:$AZ$2</definedName>
    <definedName name="_xlnm._FilterDatabase" localSheetId="3" hidden="1">Resign_Notification!$A$1:$Z$361</definedName>
    <definedName name="_xlnm._FilterDatabase" localSheetId="6" hidden="1">Transfer!$A$2:$BV$45</definedName>
    <definedName name="_xlnm._FilterDatabase" localSheetId="5" hidden="1">'Unauthorized Absent'!$A$1:$BN$1</definedName>
  </definedNames>
  <calcPr calcId="191029" calcMode="autoNoTable" fullCalcOnLoad="1" fullPrecision="1"/>
</workbook>
</file>

<file path=xl/sharedStrings.xml><?xml version="1.0" encoding="utf-8"?>
<sst xmlns="http://schemas.openxmlformats.org/spreadsheetml/2006/main" count="7431" uniqueCount="7431">
  <si>
    <t xml:space="preserve">Employee ID </t>
  </si>
  <si>
    <t>Process ID</t>
  </si>
  <si>
    <t>Login ID</t>
  </si>
  <si>
    <t>Employee Name</t>
  </si>
  <si>
    <t>Gender</t>
  </si>
  <si>
    <t>SSC Reg Num.</t>
  </si>
  <si>
    <t>Designation</t>
  </si>
  <si>
    <t>Functional Designation/Job Role</t>
  </si>
  <si>
    <t>Department</t>
  </si>
  <si>
    <t>Process Segment (LOB)</t>
  </si>
  <si>
    <t>Process</t>
  </si>
  <si>
    <t>Employment Type</t>
  </si>
  <si>
    <t>Sup 1</t>
  </si>
  <si>
    <t>Sup 2</t>
  </si>
  <si>
    <t>HoD</t>
  </si>
  <si>
    <t>Training Batch</t>
  </si>
  <si>
    <t xml:space="preserve">DOT </t>
  </si>
  <si>
    <t>DOJ</t>
  </si>
  <si>
    <t xml:space="preserve">Contractual
Transfer DOJ</t>
  </si>
  <si>
    <t xml:space="preserve">Permanent
Transfer DOJ</t>
  </si>
  <si>
    <t>New Role DOJ</t>
  </si>
  <si>
    <t>Official Contact</t>
  </si>
  <si>
    <t>Email</t>
  </si>
  <si>
    <t>Contact#</t>
  </si>
  <si>
    <t>Alt. Cont#</t>
  </si>
  <si>
    <t>Emergency Contact Person</t>
  </si>
  <si>
    <t>Emergency Number</t>
  </si>
  <si>
    <t>Rel. with Employee</t>
  </si>
  <si>
    <t>Blood Group</t>
  </si>
  <si>
    <t>DOB</t>
  </si>
  <si>
    <t>Age</t>
  </si>
  <si>
    <t>Religion</t>
  </si>
  <si>
    <t>NID#</t>
  </si>
  <si>
    <t>Passport#</t>
  </si>
  <si>
    <t>Academic Qualification</t>
  </si>
  <si>
    <t>Education Pursuing</t>
  </si>
  <si>
    <t>Passing Year</t>
  </si>
  <si>
    <t>Institution</t>
  </si>
  <si>
    <t>Father's Name</t>
  </si>
  <si>
    <t>Mother's Name</t>
  </si>
  <si>
    <t>Present Address</t>
  </si>
  <si>
    <t>Permanent Address</t>
  </si>
  <si>
    <t>Present Pick Location</t>
  </si>
  <si>
    <t>Marital Status</t>
  </si>
  <si>
    <t>Spouse Name</t>
  </si>
  <si>
    <t>Spouse DOB</t>
  </si>
  <si>
    <t>Child-1 Name</t>
  </si>
  <si>
    <t>Child-1 DOB</t>
  </si>
  <si>
    <t>Child-2 Name</t>
  </si>
  <si>
    <t>Child-2 DOB</t>
  </si>
  <si>
    <t>Child-3 Name</t>
  </si>
  <si>
    <t>Child-3 DOB</t>
  </si>
  <si>
    <t>Status</t>
  </si>
  <si>
    <t>Rate 1</t>
  </si>
  <si>
    <t>Rate 2</t>
  </si>
  <si>
    <t>Rate 3</t>
  </si>
  <si>
    <t>Shift</t>
  </si>
  <si>
    <t>Previous ID</t>
  </si>
  <si>
    <t>Previous Process</t>
  </si>
  <si>
    <t>MDB Update</t>
  </si>
  <si>
    <t xml:space="preserve">Personal note BKAsh </t>
  </si>
  <si>
    <t xml:space="preserve">Official email ID </t>
  </si>
  <si>
    <t>Bkash Number</t>
  </si>
  <si>
    <t>October Bkash</t>
  </si>
  <si>
    <t>mmaigenex038</t>
  </si>
  <si>
    <t>Farzana Akter</t>
  </si>
  <si>
    <t>Female</t>
  </si>
  <si>
    <t>CSO</t>
  </si>
  <si>
    <t>Content Moderator</t>
  </si>
  <si>
    <t>Operations</t>
  </si>
  <si>
    <t>Content Moderation and Data Annotation</t>
  </si>
  <si>
    <t>TEMU</t>
  </si>
  <si>
    <t>Fixed</t>
  </si>
  <si>
    <t>Halima akter</t>
  </si>
  <si>
    <t>Asif Iqbal</t>
  </si>
  <si>
    <t>Ashraful Haq</t>
  </si>
  <si>
    <t>farjanaraha234@gmail.com</t>
  </si>
  <si>
    <t>Md Abdur Rahim</t>
  </si>
  <si>
    <t>Husband</t>
  </si>
  <si>
    <t>O+</t>
  </si>
  <si>
    <t>Islam</t>
  </si>
  <si>
    <t>N/A</t>
  </si>
  <si>
    <t>Master's</t>
  </si>
  <si>
    <t>National university</t>
  </si>
  <si>
    <t>Md.Saifuddin</t>
  </si>
  <si>
    <t>Jinnat Ara Nargis</t>
  </si>
  <si>
    <t>Area : Kha para masjid road, Thana : Khilkhet,Dist : Dhaka</t>
  </si>
  <si>
    <t>Vill : Ali Raja Munsi bari,Maddham Chandpur,Lemua,Thana : Feni sadar,Dist : Feni</t>
  </si>
  <si>
    <t>Khilkhet</t>
  </si>
  <si>
    <t>Married</t>
  </si>
  <si>
    <t>Active</t>
  </si>
  <si>
    <t>Morning</t>
  </si>
  <si>
    <t>Netstar</t>
  </si>
  <si>
    <t>Done</t>
  </si>
  <si>
    <t>farzana.akter2@genex.com.bd</t>
  </si>
  <si>
    <t>MahbubaAkterPrema</t>
  </si>
  <si>
    <t>Mahbuba Akter Prema</t>
  </si>
  <si>
    <t>English Customer Service Audio Transcription</t>
  </si>
  <si>
    <t>Nazimuddoula Leon</t>
  </si>
  <si>
    <t>mahhubaprema824@gmail.com</t>
  </si>
  <si>
    <t>Mohammad Ali</t>
  </si>
  <si>
    <t>Father</t>
  </si>
  <si>
    <t>AB+</t>
  </si>
  <si>
    <t>AE9139958</t>
  </si>
  <si>
    <t>H.S.C</t>
  </si>
  <si>
    <t>Honour's Running</t>
  </si>
  <si>
    <t>Uttara Town College</t>
  </si>
  <si>
    <t>Masuda Begum</t>
  </si>
  <si>
    <t>Area : 2210/1 Shahertek,Mazar Road,Thana : Uttarkhan,Dist : Dhaka-1230</t>
  </si>
  <si>
    <t>Uttarkhan</t>
  </si>
  <si>
    <t>Unmarried</t>
  </si>
  <si>
    <t>mahbuba.prema@genex.com.bd</t>
  </si>
  <si>
    <t>mmaigenex041</t>
  </si>
  <si>
    <t>Md. Rakibul Hasan</t>
  </si>
  <si>
    <t>Male</t>
  </si>
  <si>
    <t>Mizanur Rahman</t>
  </si>
  <si>
    <t>mdrakibulhasan141084@gmail.com</t>
  </si>
  <si>
    <t>Sonia Akther</t>
  </si>
  <si>
    <t>Sister</t>
  </si>
  <si>
    <t>A+</t>
  </si>
  <si>
    <t>BBA Running</t>
  </si>
  <si>
    <t>Dhaka International University (DIU)</t>
  </si>
  <si>
    <t>Md. Abul Hosen</t>
  </si>
  <si>
    <t>Razia Begum</t>
  </si>
  <si>
    <t>Area: House no :312 , block:03 , Ershad nagar thana: Tongi , Dist : Gazipur</t>
  </si>
  <si>
    <t>Vill: Motoin , Thana:Senbhag Dist : Dhaka</t>
  </si>
  <si>
    <t xml:space="preserve">Tongi </t>
  </si>
  <si>
    <t>rakibul.hasan@genex.com.bd</t>
  </si>
  <si>
    <t>mmaigenex001</t>
  </si>
  <si>
    <t>Abu Huraira</t>
  </si>
  <si>
    <t>huru5887@gmail.com</t>
  </si>
  <si>
    <t>Nazma Begum</t>
  </si>
  <si>
    <t>Mother</t>
  </si>
  <si>
    <t>B+</t>
  </si>
  <si>
    <t>Kanchkura University College</t>
  </si>
  <si>
    <t>Abu Bakkar Siddik</t>
  </si>
  <si>
    <t xml:space="preserve">Area : 47 No word, Counsellor office, Faidabad,Thana :  Dhakshinkhan, Dist :  Dhaka-1230</t>
  </si>
  <si>
    <t xml:space="preserve">Vill : Dhanghura, Thana:  Kolarua, Dist : Satkhira</t>
  </si>
  <si>
    <t>Dhakshinkhan</t>
  </si>
  <si>
    <t>abu.huraira@genex.com.bd</t>
  </si>
  <si>
    <t>mmaigenex021</t>
  </si>
  <si>
    <t>Rakiba Akter</t>
  </si>
  <si>
    <t>evaemi67@gmail.com</t>
  </si>
  <si>
    <t>Gazi Emdadul</t>
  </si>
  <si>
    <t>Cousin</t>
  </si>
  <si>
    <t>BSc Running</t>
  </si>
  <si>
    <t>Hazi Asmat College</t>
  </si>
  <si>
    <t>Shafiullah Khan</t>
  </si>
  <si>
    <t>Lacky Begum</t>
  </si>
  <si>
    <t xml:space="preserve">Area : House 1,Road10,Nikunjo 2, Thana: khilkhet,Dist : Dhaka </t>
  </si>
  <si>
    <t>Vill: Tekpara , Thana : Belabo, Dist : Narsingdi</t>
  </si>
  <si>
    <t>khilkhet</t>
  </si>
  <si>
    <t>rikiba.akter@genex.com.bd</t>
  </si>
  <si>
    <t>Genex010</t>
  </si>
  <si>
    <t>MD. Ashraf Uddin</t>
  </si>
  <si>
    <t>BG Platform Governance Requirements</t>
  </si>
  <si>
    <t>Nasir Uddin</t>
  </si>
  <si>
    <t>asrminhaz@gmail.com</t>
  </si>
  <si>
    <t>MD. Bahauddin Talukder</t>
  </si>
  <si>
    <t>EA0164041</t>
  </si>
  <si>
    <t>B.S.C</t>
  </si>
  <si>
    <t>Primeasia University</t>
  </si>
  <si>
    <t>Ayesha Parvin Chowdhury</t>
  </si>
  <si>
    <t xml:space="preserve">Area : Kuba Mosjid Road,Mohammadpur ,Thana : Bosila Dist : Dhaka </t>
  </si>
  <si>
    <t>HOUSE: Bahauddin Talukder house,helipad road,Daulat Khan 8310, Thana: Daulat khan , Dist : Bhola</t>
  </si>
  <si>
    <t xml:space="preserve">Bosila </t>
  </si>
  <si>
    <t>Evening</t>
  </si>
  <si>
    <t>-</t>
  </si>
  <si>
    <t xml:space="preserve">Done </t>
  </si>
  <si>
    <t>Genex021</t>
  </si>
  <si>
    <t>Md. Ismail Hossain</t>
  </si>
  <si>
    <t>Abu MD. Rifat Imtiaz</t>
  </si>
  <si>
    <t>mdismailsiraji18@gmail.com</t>
  </si>
  <si>
    <t>MD Mowazzem Hossain</t>
  </si>
  <si>
    <t>Md Mowazzem Hossain</t>
  </si>
  <si>
    <t>Mst Honufa Begum</t>
  </si>
  <si>
    <t xml:space="preserve">Area : Road:05, House No:142 Korail T &amp; T Colony Banani Dhaka 1213 , Thana : Banani Dist : Dhaka </t>
  </si>
  <si>
    <t xml:space="preserve">VILL : Chakshahabdi , Thana : Sherpur , Dist :  Sherpur</t>
  </si>
  <si>
    <t xml:space="preserve">Banani </t>
  </si>
  <si>
    <t>Mst Sanjida Akter Lima</t>
  </si>
  <si>
    <t xml:space="preserve"> </t>
  </si>
  <si>
    <t>Genex022</t>
  </si>
  <si>
    <t>Shah Mohammad Yasin</t>
  </si>
  <si>
    <t>Mohammad Joshim</t>
  </si>
  <si>
    <t>Smyasin01@gmail.com</t>
  </si>
  <si>
    <t>Isran Jahan Ripa</t>
  </si>
  <si>
    <t>Wife</t>
  </si>
  <si>
    <t>B.B.A</t>
  </si>
  <si>
    <t>Daffodil International University</t>
  </si>
  <si>
    <t>Shah Mohammad Almas</t>
  </si>
  <si>
    <t>Hazera Begum</t>
  </si>
  <si>
    <t>Area : H-16,R-15,Nikunjo-2,Thana : khilkhet ,Dist : Dhaka</t>
  </si>
  <si>
    <t>Vill: lakherraj kosba Thana : Gournodi , Dist : Barishal.</t>
  </si>
  <si>
    <t>Israt Jahan Ripa</t>
  </si>
  <si>
    <t>Genex025</t>
  </si>
  <si>
    <t>Md. Shamim Hossain</t>
  </si>
  <si>
    <t>Rakib Ahsan</t>
  </si>
  <si>
    <t>Shamimhossain2328@gmai.com</t>
  </si>
  <si>
    <t>Shahana begum</t>
  </si>
  <si>
    <t>Md Abdullah</t>
  </si>
  <si>
    <t>Shahana</t>
  </si>
  <si>
    <t xml:space="preserve">Area : House 7, Road 10, Block C. Banarsrce, Thana : Rampura,Dist :  Dhaka</t>
  </si>
  <si>
    <t xml:space="preserve">Vill : South Doriabad,Thana:  islampur, Dist : Jamalpur</t>
  </si>
  <si>
    <t>Rampura</t>
  </si>
  <si>
    <t>Genex026</t>
  </si>
  <si>
    <t>Gulzer Hossain</t>
  </si>
  <si>
    <t>gulzer853@gmail.com</t>
  </si>
  <si>
    <t>Gulshan Ara</t>
  </si>
  <si>
    <t>M.S.S</t>
  </si>
  <si>
    <t>National University</t>
  </si>
  <si>
    <t>Aliul Hossain</t>
  </si>
  <si>
    <t xml:space="preserve">Vill: Darirampur, Poura word no: 9, 
Post office: Trishal, District: Mymensingh.</t>
  </si>
  <si>
    <t xml:space="preserve"> Darirampur,  Mymensingh.</t>
  </si>
  <si>
    <t>Md. Ataur Rahman</t>
  </si>
  <si>
    <t xml:space="preserve">Identification of the same product  </t>
  </si>
  <si>
    <t>eco.ataur@gmail.com</t>
  </si>
  <si>
    <t>Mst Jayeda Begum</t>
  </si>
  <si>
    <t>BSS</t>
  </si>
  <si>
    <t>Govt Titumir College</t>
  </si>
  <si>
    <t>Abdul Khalek Hawlader</t>
  </si>
  <si>
    <t>Hasina Begum</t>
  </si>
  <si>
    <t>House- Kha-110/1; South Badda; Badda; Dhaka.</t>
  </si>
  <si>
    <t>Vill: Gopkhali; Post: South Chandokhali; PS: Patuakhali; Dist: Patuakhali.</t>
  </si>
  <si>
    <t>Badda</t>
  </si>
  <si>
    <t xml:space="preserve">Unmarried </t>
  </si>
  <si>
    <t>Executive</t>
  </si>
  <si>
    <t>Team Leader</t>
  </si>
  <si>
    <t>mohammadjashim171@gmail.com</t>
  </si>
  <si>
    <t>Kajol Begum</t>
  </si>
  <si>
    <t>B.A.</t>
  </si>
  <si>
    <t>Government Titumir college</t>
  </si>
  <si>
    <t>Mohammad Shohidul Islam</t>
  </si>
  <si>
    <t>House- 555, East Badda, Dhaka-1212</t>
  </si>
  <si>
    <t>Village: ayla, dis+po: Munshiganj Sadar</t>
  </si>
  <si>
    <t>m.joshim@genex.com.bd</t>
  </si>
  <si>
    <t>mmaigenex047</t>
  </si>
  <si>
    <t>Rakibul Alam</t>
  </si>
  <si>
    <t>Natural Language Process</t>
  </si>
  <si>
    <t>Asif iqbal</t>
  </si>
  <si>
    <t>rakibkhan9020@gmail.com</t>
  </si>
  <si>
    <t>Jabun Nesa Begum</t>
  </si>
  <si>
    <t>M.B.A</t>
  </si>
  <si>
    <t>NA</t>
  </si>
  <si>
    <t>Dhaka College (Dhaka University)</t>
  </si>
  <si>
    <t>Abul Kashem Mahamud Alam</t>
  </si>
  <si>
    <t xml:space="preserve">Area :House- A,68/9,East Rajason ,Birulia Road,  Thana: Savar Dist :Dhaka</t>
  </si>
  <si>
    <t>House- A,68/9,East Rajason ,Birulia Road, Savar,Dhaka</t>
  </si>
  <si>
    <t>Savar</t>
  </si>
  <si>
    <t>xushiyu5op</t>
  </si>
  <si>
    <t>Md. Zahidul Islam</t>
  </si>
  <si>
    <t>sszahidulislam61@gmail.com</t>
  </si>
  <si>
    <t>1689-091587</t>
  </si>
  <si>
    <t>Brother</t>
  </si>
  <si>
    <t>BA</t>
  </si>
  <si>
    <t>MA</t>
  </si>
  <si>
    <t>Tongi govt.college</t>
  </si>
  <si>
    <t>Amzad hossain</t>
  </si>
  <si>
    <t>Halima begum</t>
  </si>
  <si>
    <t xml:space="preserve"> Vill : Daudpur, Thana: rupganj, Dist : Narayanganj</t>
  </si>
  <si>
    <t>Rupganj</t>
  </si>
  <si>
    <t>Single</t>
  </si>
  <si>
    <t>zhulan5op</t>
  </si>
  <si>
    <t>Md. Shazib Miah</t>
  </si>
  <si>
    <t>ahnedsajib@gmail.com</t>
  </si>
  <si>
    <t>Rafiqul Islam</t>
  </si>
  <si>
    <t>MBA</t>
  </si>
  <si>
    <t>AKM Rhamutullah University &amp; Collage</t>
  </si>
  <si>
    <t>Ahammad Ali</t>
  </si>
  <si>
    <t>Mamotaj</t>
  </si>
  <si>
    <t xml:space="preserve">Vill : Beldi; Thana:  Rupganj; Dist : Narayanganj</t>
  </si>
  <si>
    <t>Genex032</t>
  </si>
  <si>
    <t>Md. Tanjir Ahmed</t>
  </si>
  <si>
    <t>tanjirahmed.uibt@gmail.com</t>
  </si>
  <si>
    <t>1327275514</t>
  </si>
  <si>
    <t>Rokshana Islam</t>
  </si>
  <si>
    <t>Aunty</t>
  </si>
  <si>
    <t>871495 9916</t>
  </si>
  <si>
    <t>EE 0135811</t>
  </si>
  <si>
    <t>HSC</t>
  </si>
  <si>
    <t>CSE</t>
  </si>
  <si>
    <t>Uttara Institute of Business &amp; Technology</t>
  </si>
  <si>
    <t>Md Johirul Islam</t>
  </si>
  <si>
    <t>Tahmina Begum</t>
  </si>
  <si>
    <t>, House: 33, Road: 11, Sector: 12, Uttara, Dhaka-1230</t>
  </si>
  <si>
    <t>Vill: Rasulpur, PO: Payali, PS: Matlab South, Dist: Chandpur</t>
  </si>
  <si>
    <t>Uttara</t>
  </si>
  <si>
    <t>tanjir.ahmed@genex.com.bd</t>
  </si>
  <si>
    <t>Abdulla Al Mamun</t>
  </si>
  <si>
    <t>abdullah.mamunch@gmail.com</t>
  </si>
  <si>
    <t>Kuntum Khaira</t>
  </si>
  <si>
    <t>BSC</t>
  </si>
  <si>
    <t>American International University-Bangladesh</t>
  </si>
  <si>
    <t>MD.Nuruzzaman</t>
  </si>
  <si>
    <t>MST. Rozina Parvin</t>
  </si>
  <si>
    <t>House-KA/24-2, Road- Bazar Road, Khilkhet, Dhaka, 1229</t>
  </si>
  <si>
    <t>Choto Shalika, Notun Bazar, Chatmohor, 6630, Pabna</t>
  </si>
  <si>
    <t xml:space="preserve">Morning </t>
  </si>
  <si>
    <t>Home 2</t>
  </si>
  <si>
    <t>kn2mkhr@gmail.com</t>
  </si>
  <si>
    <t>M.Sc.</t>
  </si>
  <si>
    <t>Govt. College of Applied Human Science</t>
  </si>
  <si>
    <t>MD. Asraful Alam</t>
  </si>
  <si>
    <t>MST. Sultana Jannatul Ferdose</t>
  </si>
  <si>
    <t>House - Ka-24/2, Khilkhet Bazar Road, Khilkhet,Dhaka 1223</t>
  </si>
  <si>
    <t>House-168, Road- Kazipara. Chatmohar-6630,Chatmohar,Pabna</t>
  </si>
  <si>
    <t>zhulan13op</t>
  </si>
  <si>
    <t>Md. Saydur Rahman</t>
  </si>
  <si>
    <t>Beauty &amp; accessory</t>
  </si>
  <si>
    <t>Nazmus Sakib</t>
  </si>
  <si>
    <t>mdsayedurrahman587@gmail.com</t>
  </si>
  <si>
    <t>Sabrina Aktar</t>
  </si>
  <si>
    <t>Niece</t>
  </si>
  <si>
    <t>Masters</t>
  </si>
  <si>
    <t>Govt. Bangla College</t>
  </si>
  <si>
    <t>Mohammad Solaiman</t>
  </si>
  <si>
    <t>Nikunja 2, House 18, road 1/B</t>
  </si>
  <si>
    <t>Village : Folshi, PO: Nizamkandi, Thana: Kashiyani, District : Gopalgonj</t>
  </si>
  <si>
    <t>Nikunja 2</t>
  </si>
  <si>
    <t>Alya Tunjum Momo</t>
  </si>
  <si>
    <t>Home 1</t>
  </si>
  <si>
    <t>alyamomo96@gmail.com</t>
  </si>
  <si>
    <t>Jahanara</t>
  </si>
  <si>
    <t>BBA</t>
  </si>
  <si>
    <t>Uttara university</t>
  </si>
  <si>
    <t>Late Mishba Uddin</t>
  </si>
  <si>
    <t>Jahanara Begum</t>
  </si>
  <si>
    <t>House -8,Bonomala, Tongi college gat, Tongi, Gazipur -1712</t>
  </si>
  <si>
    <t>Bonomala,Dottopara,post-1712, Gazipur sodor, Gazipur city corporation, Gazipur</t>
  </si>
  <si>
    <t>Tongi</t>
  </si>
  <si>
    <t>zhulan7op</t>
  </si>
  <si>
    <t>Sumsun Naher Shimu</t>
  </si>
  <si>
    <t>shumsunnaher24@gmail.com</t>
  </si>
  <si>
    <t>Honour's</t>
  </si>
  <si>
    <t>Master’s</t>
  </si>
  <si>
    <t>MD.Sirajul Islam</t>
  </si>
  <si>
    <t>Selina Akter</t>
  </si>
  <si>
    <t>House:F5/1,kawlar CAAB staff quarters, Kurmitola Dhaka -1229</t>
  </si>
  <si>
    <t>Vill:Mollapara mahutola,Thanarhat joyag,Sonaimuri, Noakhali.</t>
  </si>
  <si>
    <t>Kawlar</t>
  </si>
  <si>
    <t>naihe12op</t>
  </si>
  <si>
    <t>Pial Ahmed</t>
  </si>
  <si>
    <t>Sports &amp; shoes &amp; bags &amp; special women clothing</t>
  </si>
  <si>
    <t>Md Mehedi Hasan</t>
  </si>
  <si>
    <t>pial.ahmed512@gmail.com</t>
  </si>
  <si>
    <t>yasin shah</t>
  </si>
  <si>
    <t>1838801744</t>
  </si>
  <si>
    <t>19980719485028800</t>
  </si>
  <si>
    <t>Honours</t>
  </si>
  <si>
    <t>Government titumir college</t>
  </si>
  <si>
    <t>Mahfuzur Rahman</t>
  </si>
  <si>
    <t>Khadiza Akter</t>
  </si>
  <si>
    <t>H#08, R#19, Nikunjo-2 Khilkhet</t>
  </si>
  <si>
    <t>Atahargonj, Barishal Sadar Barishal</t>
  </si>
  <si>
    <t>Nikunjo</t>
  </si>
  <si>
    <t>xisailuo14op</t>
  </si>
  <si>
    <t>Tithi Rani Kundu</t>
  </si>
  <si>
    <t>FEMALE</t>
  </si>
  <si>
    <t>tithikundu2023@gmail.com</t>
  </si>
  <si>
    <t>KRISNA KUMAR KUNDU</t>
  </si>
  <si>
    <t>FATHER</t>
  </si>
  <si>
    <t>Hindu</t>
  </si>
  <si>
    <t>POST GRADUATION</t>
  </si>
  <si>
    <t>GOVT. EDWARD COLLEGE,PABNA</t>
  </si>
  <si>
    <t>ITI RANI KUNDU</t>
  </si>
  <si>
    <t>HOUSE:138/KHA,JAMTALA,TANPARA,KHILKHET,NIKUNJA-2,DHAKA-1229</t>
  </si>
  <si>
    <t>VILLAGE:SAGARKANDI,POST:SAGARKANDI,POST CODE:6661,UPAZILLA:SUJA NAGAR,DISTRICT:PABNA</t>
  </si>
  <si>
    <t>KHILKHET</t>
  </si>
  <si>
    <t>MARRIED</t>
  </si>
  <si>
    <t>SREE ROMENDRONATH</t>
  </si>
  <si>
    <t>Aminul Islam Sovo</t>
  </si>
  <si>
    <t>shuvoahmed4466@gmail.com</t>
  </si>
  <si>
    <t>Monowar Hossain</t>
  </si>
  <si>
    <t>Stamford University Bangladesh</t>
  </si>
  <si>
    <t>Md. Afjal Hossen</t>
  </si>
  <si>
    <t>Majeda Begum</t>
  </si>
  <si>
    <t>House: 30/2 , kadamtala school road, Basabo, Dhaka-1214</t>
  </si>
  <si>
    <t>House: Madber bari, Vill: Madber kandi, Post: Balarhat(8030) Ps: Shakhipur, Dist: Shariatpur</t>
  </si>
  <si>
    <t>Basabo</t>
  </si>
  <si>
    <t>xisailuo8op</t>
  </si>
  <si>
    <t>MD. Masum Billah</t>
  </si>
  <si>
    <t>masum01771744@gmail.com</t>
  </si>
  <si>
    <t>Saddam Hossain</t>
  </si>
  <si>
    <t>Friend</t>
  </si>
  <si>
    <t>Govt. Rajendra college</t>
  </si>
  <si>
    <t>Mir Shalauddin</t>
  </si>
  <si>
    <t>Mst.Shahanara Begum</t>
  </si>
  <si>
    <t>Nikunja-2,Road No-05,House No-kha-50,Khilkhet, Dhaka-1229.</t>
  </si>
  <si>
    <t>Jibannagar, Chuadanga</t>
  </si>
  <si>
    <t>heibulin14op</t>
  </si>
  <si>
    <t>Sharmin Jahan</t>
  </si>
  <si>
    <t>msrdiya60@gmail.com</t>
  </si>
  <si>
    <t>Taslima begum</t>
  </si>
  <si>
    <t>Gvt.gurudayal college, kishoreganj</t>
  </si>
  <si>
    <t>MD. Sahidullah</t>
  </si>
  <si>
    <t>MST. Zarana</t>
  </si>
  <si>
    <t>House:19, Road:08, Nikunja-02, Dhaka-1229</t>
  </si>
  <si>
    <t>Vill:Kuttragor, po:chorpumdi, Ps:kishoreganj, Dis:Kishoreganj</t>
  </si>
  <si>
    <t>Nikunja-02</t>
  </si>
  <si>
    <t>xisailuo7op</t>
  </si>
  <si>
    <t>Shahanaz Akter Brishty</t>
  </si>
  <si>
    <t>Odhorabristi178@gmail.com</t>
  </si>
  <si>
    <t>Sadia Afrin Prithibi</t>
  </si>
  <si>
    <t>Chinair Bangabandhu Sheikh Mujib Degree College</t>
  </si>
  <si>
    <t>Shahin Bhuiyan</t>
  </si>
  <si>
    <t>H#11,R#10,Sector#9, Uttara, Dhaka</t>
  </si>
  <si>
    <t>H#1241,kawtoly, Brahmanbaria</t>
  </si>
  <si>
    <t>Nasrin Akter</t>
  </si>
  <si>
    <t>Product's Review for Risk Control</t>
  </si>
  <si>
    <t>nrupa2973@gmail.com</t>
  </si>
  <si>
    <t>Abdullah Al Mamun</t>
  </si>
  <si>
    <t>Spouse</t>
  </si>
  <si>
    <t>A07811108</t>
  </si>
  <si>
    <t>International University of Business Agriculture and Technology</t>
  </si>
  <si>
    <t>Md. Abul Kashem</t>
  </si>
  <si>
    <t>Mrs. Asma Akter</t>
  </si>
  <si>
    <t>House- 104 West Mollartek Dhakkhinkhan Dhaka-</t>
  </si>
  <si>
    <t>House-113, Road- Hazi unos ali sarker road, uttar arichpur, PO-1710 Gazipur</t>
  </si>
  <si>
    <t>Dhakkhinkhan</t>
  </si>
  <si>
    <t>Flora Tanbin</t>
  </si>
  <si>
    <t>Floratanbin@gmail.com</t>
  </si>
  <si>
    <t>Good</t>
  </si>
  <si>
    <t>Graduated</t>
  </si>
  <si>
    <t>Post graduated</t>
  </si>
  <si>
    <t>Eden mohila College</t>
  </si>
  <si>
    <t>Abul kalam mia</t>
  </si>
  <si>
    <t>Selina Begum</t>
  </si>
  <si>
    <t>Azimpur, Dhaka</t>
  </si>
  <si>
    <t>Gournodi upazila,village -katakstall,district -Barisal.</t>
  </si>
  <si>
    <t>Azimpur</t>
  </si>
  <si>
    <t>Yesin arafat asif</t>
  </si>
  <si>
    <t>Mukti Afroz</t>
  </si>
  <si>
    <t>afroj.sohag26@gmail.com</t>
  </si>
  <si>
    <t>Md:Abu Jahid</t>
  </si>
  <si>
    <t>SPOUSE</t>
  </si>
  <si>
    <t xml:space="preserve">MA </t>
  </si>
  <si>
    <t>Govt: Rajendro College Faridpur</t>
  </si>
  <si>
    <t>Md: Abdul Aziz</t>
  </si>
  <si>
    <t>PWD Staff Quarter,Tejgoan,Dhaka.</t>
  </si>
  <si>
    <t>Vill:Charjhikori, po:Kacharipara up:pangsha dist:Rajbari</t>
  </si>
  <si>
    <t>Tejgoan</t>
  </si>
  <si>
    <t>Md: Abu Jahid</t>
  </si>
  <si>
    <t>Genex074</t>
  </si>
  <si>
    <t>Mahmudul Hasan</t>
  </si>
  <si>
    <t>mahmudulhasanroniprofessional@gmail.com</t>
  </si>
  <si>
    <t>Nurul Alam</t>
  </si>
  <si>
    <t xml:space="preserve"> Honours</t>
  </si>
  <si>
    <t>Nur Nahar</t>
  </si>
  <si>
    <t>Holding no: 117, uttar Datta para ,tongi gazipur</t>
  </si>
  <si>
    <t>Holding no:117, Uttar datta para tongi gazipur ,1712</t>
  </si>
  <si>
    <t>Gazipur</t>
  </si>
  <si>
    <t>Genex077</t>
  </si>
  <si>
    <t>Shohidullah</t>
  </si>
  <si>
    <t>Md. Shahidullah</t>
  </si>
  <si>
    <t>Mohammadpur central University college</t>
  </si>
  <si>
    <t>Sayeda Begum</t>
  </si>
  <si>
    <t>Livestock Research Institute,, Jamuna-206,Mohakhali,Dhaka-1212</t>
  </si>
  <si>
    <t>Vill: Saraspur, Post: Khamer-1730,Thana: Kapasia,Dist: Gazipur</t>
  </si>
  <si>
    <t>Mohakhali</t>
  </si>
  <si>
    <t>Sabrina Sultana Mou</t>
  </si>
  <si>
    <t>690864/2010</t>
  </si>
  <si>
    <t>sabrinmou05@gmail.com</t>
  </si>
  <si>
    <t>Abdur rahman</t>
  </si>
  <si>
    <t>19964817957114800</t>
  </si>
  <si>
    <t>M.pharm</t>
  </si>
  <si>
    <t>State University of Bangladesh</t>
  </si>
  <si>
    <t>Abu daud</t>
  </si>
  <si>
    <t>Shahanaz Dilroba</t>
  </si>
  <si>
    <t>House-25,road-10,area-Bashaboo,ps-1214,dist-Dhaka</t>
  </si>
  <si>
    <t>Vill-Tarakandi,ps-Tarakandi,dist-kishoregonj</t>
  </si>
  <si>
    <t>Bashabo</t>
  </si>
  <si>
    <t>Genex079</t>
  </si>
  <si>
    <t>Sabbir Ali</t>
  </si>
  <si>
    <t>shabbir2380@gmail.com</t>
  </si>
  <si>
    <t>MD Ali</t>
  </si>
  <si>
    <t>Dr Maleka University</t>
  </si>
  <si>
    <t>Shila Begum</t>
  </si>
  <si>
    <t>House number: 16/18 Begum Bazar Area: chawkbazar ps:1211 Dist: Dhaka</t>
  </si>
  <si>
    <t>Vill:16/18 Begum Bazar ps:1211 dist: Dhaka</t>
  </si>
  <si>
    <t>16/18 Begum Bazar</t>
  </si>
  <si>
    <t>Genex080</t>
  </si>
  <si>
    <t>Md. Fahad Alam</t>
  </si>
  <si>
    <t>mdfahadalam109@gmail.com</t>
  </si>
  <si>
    <t>Saiful Alam</t>
  </si>
  <si>
    <t>Sheikh Borhanuddin Post Graduate College</t>
  </si>
  <si>
    <t>MD Saiful Alam</t>
  </si>
  <si>
    <t>Asma Alam</t>
  </si>
  <si>
    <t>75/1 Chankherpool Lane, Dhaka-1000</t>
  </si>
  <si>
    <t>Chankherpool Lane</t>
  </si>
  <si>
    <t>naihe29op</t>
  </si>
  <si>
    <t>Antoni Chakma</t>
  </si>
  <si>
    <t>antanichakma6@gmail.com</t>
  </si>
  <si>
    <t>Rabi Jyoti Chakma</t>
  </si>
  <si>
    <t>Buddhism</t>
  </si>
  <si>
    <t>19924617776000100</t>
  </si>
  <si>
    <t>MPS</t>
  </si>
  <si>
    <t>University of Dhaka</t>
  </si>
  <si>
    <t>Johtsna Chakma</t>
  </si>
  <si>
    <t>Area:Shewrapara, House no: 365, Road, Fakhir bari, Annodhabazar</t>
  </si>
  <si>
    <t>Vill: Monju Adam, PO:Panchari, PS: Panchari, Dist: Khagrachhari</t>
  </si>
  <si>
    <t>Mirpur</t>
  </si>
  <si>
    <t>naihe62op</t>
  </si>
  <si>
    <t>SK Abu Labib</t>
  </si>
  <si>
    <t>skabulabib725225@gmail.com</t>
  </si>
  <si>
    <t>Sk Abu Mobin</t>
  </si>
  <si>
    <t>BSc in EEE</t>
  </si>
  <si>
    <t>American International University - Bangladesh</t>
  </si>
  <si>
    <t>Mrs Malaka Mobin</t>
  </si>
  <si>
    <t>Road-29,House-38,Rupnagor R/A, Mirpur</t>
  </si>
  <si>
    <t>Labsha, Satkhira</t>
  </si>
  <si>
    <t>heibulin28op</t>
  </si>
  <si>
    <t>Sungida Alam</t>
  </si>
  <si>
    <t>sungidaalam99@gmail.com</t>
  </si>
  <si>
    <t>Md. Shohanur Rahman</t>
  </si>
  <si>
    <t>Graduation</t>
  </si>
  <si>
    <t>Green University Of Bangladesh</t>
  </si>
  <si>
    <t>Md. Nazrul Alam</t>
  </si>
  <si>
    <t>Tazbina Akter</t>
  </si>
  <si>
    <t>Road - 14, house- 1, Nikunja - 2, khilkhet, Dhaka</t>
  </si>
  <si>
    <t>Road- osman khan , area - Alipur , post code - 7800, thana- kotowali, Dis - Faridpur</t>
  </si>
  <si>
    <t>heibulin29op</t>
  </si>
  <si>
    <t>Afroza Khan</t>
  </si>
  <si>
    <t>afrozakhan4567@gmail.com</t>
  </si>
  <si>
    <t>Ashraful Islam</t>
  </si>
  <si>
    <t xml:space="preserve">Master’s </t>
  </si>
  <si>
    <t>Govt. Titumir College</t>
  </si>
  <si>
    <t>Rawshan khan</t>
  </si>
  <si>
    <t>Rozi</t>
  </si>
  <si>
    <t>Uttarkhan master para holding no 99/3</t>
  </si>
  <si>
    <t>Uttar khan</t>
  </si>
  <si>
    <t>naihe66op</t>
  </si>
  <si>
    <t>Shamim Ahsan Ishtiaq</t>
  </si>
  <si>
    <t>Nirobsamin20@gmail.com</t>
  </si>
  <si>
    <t>Sabina Yesmin Chowdhury</t>
  </si>
  <si>
    <t>BW0174565</t>
  </si>
  <si>
    <t>AIUB</t>
  </si>
  <si>
    <t>MD. Ahsanul Hoque</t>
  </si>
  <si>
    <t>Building No 1, Flat D3, Level 2, Rupayan City Uttara, Uttara, Dhaka.</t>
  </si>
  <si>
    <t>Village: Juktoradhakantopur , Post Office: Chotrajitpur , Thana: Shibgonj, District: Chapai Nawabgonj.</t>
  </si>
  <si>
    <t>naihe1op</t>
  </si>
  <si>
    <t>Tamanna Pervin</t>
  </si>
  <si>
    <t>tamannapervinasha@gmail.com</t>
  </si>
  <si>
    <t>Mst.Chaina Aktar</t>
  </si>
  <si>
    <t>MSc</t>
  </si>
  <si>
    <t>Md. Akter Hosen</t>
  </si>
  <si>
    <t>House:40,line:31 block:d mirpur 12</t>
  </si>
  <si>
    <t>Vill:bakshigonj uttor bazar.post: Bakshigonj-2140, Bakshigonj, Dist: Jamalpur</t>
  </si>
  <si>
    <t>naihe24op</t>
  </si>
  <si>
    <t>Nintyananda Joydhar</t>
  </si>
  <si>
    <t>nitayjoy22@gamil.com</t>
  </si>
  <si>
    <t>Gobinda joydhar</t>
  </si>
  <si>
    <t>Shaheed Suhrawardy College, Dhaka.</t>
  </si>
  <si>
    <t>Amulya joydhar</t>
  </si>
  <si>
    <t>Kanak joydhar</t>
  </si>
  <si>
    <t>Sujon Teke Road , Notunbazer, Vatara, Block # A, Ward # 01, Holding # 06, Dhaka 1212.</t>
  </si>
  <si>
    <t>Holding no # 309, Khagbari, Ramshil, Kotalipara, Gopalganj.</t>
  </si>
  <si>
    <t>Vatara</t>
  </si>
  <si>
    <t>Khama Mondol</t>
  </si>
  <si>
    <t>ranamoulick42@gmail.com</t>
  </si>
  <si>
    <t>RANA MoULICK</t>
  </si>
  <si>
    <t>GOVT.RAJENDRO COLLEGE,FARIDUR NATIONAL UNIVERSITYZ</t>
  </si>
  <si>
    <t>ARUN CHNDRA MONDAL</t>
  </si>
  <si>
    <t>REKHA RANI MONDAL</t>
  </si>
  <si>
    <t>HOUS# KHA-46,KHILKHET MODDHOPARA -1229,DHAKA</t>
  </si>
  <si>
    <t>ViLL:HATIARA,P.S:HATIARA-8101,P.S:KASHIANI,DIST:GOPALGANJ.</t>
  </si>
  <si>
    <t>RANA MOULICK</t>
  </si>
  <si>
    <t>naihe23op</t>
  </si>
  <si>
    <t>Shyamali Parvin</t>
  </si>
  <si>
    <t>shyamoli.dcc@gmail.com</t>
  </si>
  <si>
    <t>MD Kamrul Islam</t>
  </si>
  <si>
    <t>Dhaka City College</t>
  </si>
  <si>
    <t>MD.Nazrul islam</t>
  </si>
  <si>
    <t>Mst.Kohinur Khatun</t>
  </si>
  <si>
    <t>308/2, Senpara Parbota, Kafrul,Mirpur,Dhaka-1216</t>
  </si>
  <si>
    <t>Village-Nabobila,Post Office-Narina-6770,Sub-district- Shahjadpur,District- Sirajganj</t>
  </si>
  <si>
    <t>xushiyu4op</t>
  </si>
  <si>
    <t>Pizush Dev Nath</t>
  </si>
  <si>
    <t>Women clothing</t>
  </si>
  <si>
    <t>Pizush26@gmail.com</t>
  </si>
  <si>
    <t>Rita Rani Nath</t>
  </si>
  <si>
    <t>A11025372</t>
  </si>
  <si>
    <t>Northern University Bangladesh</t>
  </si>
  <si>
    <t>Bimal Chandra Nath</t>
  </si>
  <si>
    <t>386/1,Iqbal Road,Sewrapara,Mirpur</t>
  </si>
  <si>
    <t>Home:Dr.Bimal House ,Village:Sener Khill,Post Office:Kazir Hat-3933,Upozila:Sonagazi,Zila:Feni</t>
  </si>
  <si>
    <t>zhulan4op</t>
  </si>
  <si>
    <t>Bithy Rani Bashak</t>
  </si>
  <si>
    <t>bithyrani36@ gmail.com</t>
  </si>
  <si>
    <t>Rina Rani Bashak</t>
  </si>
  <si>
    <t>Mirpur University</t>
  </si>
  <si>
    <t>Babul Chandro Bashak</t>
  </si>
  <si>
    <t>House-52 Middle Paikpara ,Mirpur-1,Dhaka-1216</t>
  </si>
  <si>
    <t>House-576,Road-05, Mirpur-7,Dhaka-1216</t>
  </si>
  <si>
    <t>naihe20op</t>
  </si>
  <si>
    <t>Sharmin Nahar</t>
  </si>
  <si>
    <t>naharsharminmimi@gmail.com</t>
  </si>
  <si>
    <t>Md. Harun-Or-Rashid</t>
  </si>
  <si>
    <t>Eden Mohila College</t>
  </si>
  <si>
    <t>Farida Akter Panna</t>
  </si>
  <si>
    <t>House No.782, First Floor, Nasiruddin Road, Donia, Kodomtoli, Dhaka-1236</t>
  </si>
  <si>
    <t>C/O: Harun-Or-Rashid, Osman Patwary Bari, Shamgonj, Laxmipur Sadar, Laxmipur-3700</t>
  </si>
  <si>
    <t>Donia</t>
  </si>
  <si>
    <t>xisailuo10op</t>
  </si>
  <si>
    <t>Yeanta Akter</t>
  </si>
  <si>
    <t>Yeantamaliha@gmail.com</t>
  </si>
  <si>
    <t>Mahim</t>
  </si>
  <si>
    <t>Govt. M.M. Ali College</t>
  </si>
  <si>
    <t>Mahfujur Rahman</t>
  </si>
  <si>
    <t>Hawa Begum</t>
  </si>
  <si>
    <t>House name : Khokon memebar bari, Road : satarkul, Taltola, North badda, Dis: Dhaka, postal code : 2941</t>
  </si>
  <si>
    <t>Vill: pakulla, p.s: Shahanshahgonj, Dis: Tangail, postal code : 1900</t>
  </si>
  <si>
    <t>North badda</t>
  </si>
  <si>
    <t>zhulan8op</t>
  </si>
  <si>
    <t>Kamrun Nahar Setu</t>
  </si>
  <si>
    <t>info.kamrunnaharsetu@gmail.com</t>
  </si>
  <si>
    <t>Md. Kamal Hossen</t>
  </si>
  <si>
    <t>Mawlana Bhashani Science And Technology University</t>
  </si>
  <si>
    <t>Rumi Akter</t>
  </si>
  <si>
    <t>H#195, R#Kawlar Bazar Mosque Road, Dakshinkhan, Dhaka-1229</t>
  </si>
  <si>
    <t>Village: Garabari, Post Office: Dhublia, Police Station: Bhuapur, District: Tangail</t>
  </si>
  <si>
    <t>Kawlar Bazar</t>
  </si>
  <si>
    <t>Genex088</t>
  </si>
  <si>
    <t>imtiazxabid@gmail.com</t>
  </si>
  <si>
    <t>Md Rafiqul Islam</t>
  </si>
  <si>
    <t>A00009512</t>
  </si>
  <si>
    <t>Sichuan University</t>
  </si>
  <si>
    <t>Md. Rafiqul Islam</t>
  </si>
  <si>
    <t>Rayhana Islam</t>
  </si>
  <si>
    <t>42/2, North Curcular Road , Dhanmondi, Dhaka</t>
  </si>
  <si>
    <t>House-E-9/A, Jamuna Sar Karkhana, Tarakandi, Sarishabari, Jamalpur, Post Code-2055</t>
  </si>
  <si>
    <t>Dhanmondi</t>
  </si>
  <si>
    <t>rifat.imtiaz@genex.com.bd</t>
  </si>
  <si>
    <t>zhulan22op</t>
  </si>
  <si>
    <t>Fatema Tuj Johora Tuni</t>
  </si>
  <si>
    <t>347376/06</t>
  </si>
  <si>
    <t>Fatematuni477@gmail.com</t>
  </si>
  <si>
    <t>Roksana parveen</t>
  </si>
  <si>
    <t>Independent University,Bangladesh</t>
  </si>
  <si>
    <t>MD.Iqbal miah</t>
  </si>
  <si>
    <t>Ka)78/2,khilkhet Khapara,Dhaka-1229</t>
  </si>
  <si>
    <t>Ka)78/2,khilkhet khapara,Dhaka-1229</t>
  </si>
  <si>
    <t>Sany Chowdhury</t>
  </si>
  <si>
    <t>xushiyu6op</t>
  </si>
  <si>
    <t>Mahmuda Akter</t>
  </si>
  <si>
    <t>mahmudaakter836@gmail.com</t>
  </si>
  <si>
    <t>MD Omar Farooq Bhuiyan</t>
  </si>
  <si>
    <t>Asian University Of Bangladesh</t>
  </si>
  <si>
    <t>Hasina Akhter</t>
  </si>
  <si>
    <t>Area: KA-142/A, Uttarpara , Khilkhet.</t>
  </si>
  <si>
    <t>Vill: Laksmi Narayanpur, P.O: Setu Bhanga, P.S.: Begumgonj, Dist: Noakhali</t>
  </si>
  <si>
    <t>naihe15op</t>
  </si>
  <si>
    <t>Saeema Rahman</t>
  </si>
  <si>
    <t>141083251812015</t>
  </si>
  <si>
    <t>saeemarehmann@gmail.com</t>
  </si>
  <si>
    <t>MD. WALIUR RAHMAN</t>
  </si>
  <si>
    <t xml:space="preserve">BA </t>
  </si>
  <si>
    <t>Shanto-Mariam University of Creative Technology</t>
  </si>
  <si>
    <t>MST. SALMA BEGUM</t>
  </si>
  <si>
    <t xml:space="preserve"> Khilkhet  , Dhaka</t>
  </si>
  <si>
    <t>Khondokbaria, Shailokupa, Jhinaidaho</t>
  </si>
  <si>
    <t>naihe61op</t>
  </si>
  <si>
    <t>Liza Akter</t>
  </si>
  <si>
    <t>Lizaaktermoon75@gmail.com</t>
  </si>
  <si>
    <t>Md. shahidur Rahaman</t>
  </si>
  <si>
    <t>Bss</t>
  </si>
  <si>
    <t>Abul Kalam</t>
  </si>
  <si>
    <t>Vill:South Mollertack,P.O:Ashkona,P.S:Dashkinkhan</t>
  </si>
  <si>
    <t>Airport</t>
  </si>
  <si>
    <t>Md.Shahidur Rahman</t>
  </si>
  <si>
    <t>Isifak Rahman Sadaf</t>
  </si>
  <si>
    <t>naihe2op</t>
  </si>
  <si>
    <t>Shrabonti Teresa Costa</t>
  </si>
  <si>
    <t>Shrabonti2k@gmail</t>
  </si>
  <si>
    <t>Mohini philomina Costa</t>
  </si>
  <si>
    <t>Christian</t>
  </si>
  <si>
    <t>Tejgaon mohila College</t>
  </si>
  <si>
    <t>Chandan William Costa</t>
  </si>
  <si>
    <t>Farmgate, dhaka</t>
  </si>
  <si>
    <t>Rangamatia,Kaliganj.,gazipur</t>
  </si>
  <si>
    <t>Farmgate</t>
  </si>
  <si>
    <t>xisailuo12op</t>
  </si>
  <si>
    <t>Nahida Akter</t>
  </si>
  <si>
    <t>nahida.akter2307@gmail.com</t>
  </si>
  <si>
    <t>Md. Lutfur Rahman</t>
  </si>
  <si>
    <t>MSS</t>
  </si>
  <si>
    <t>Bhawal Badre Alam Govt. College</t>
  </si>
  <si>
    <t>Late Md. Alaul Haque</t>
  </si>
  <si>
    <t>Asrafun Nahar</t>
  </si>
  <si>
    <t>House-22, Road-1, Block-B, Section-01, PS- Sha Ali, PO-Mirpur-1216, Dhaka.</t>
  </si>
  <si>
    <t>Mirpur-1</t>
  </si>
  <si>
    <t>Azan An-Nafi</t>
  </si>
  <si>
    <t>Genex094</t>
  </si>
  <si>
    <t>Sukur Ali</t>
  </si>
  <si>
    <t>msali4707@gmail.com</t>
  </si>
  <si>
    <t>MOST TASLIMA KHATUN</t>
  </si>
  <si>
    <t>MD MOHIUDDIN</t>
  </si>
  <si>
    <t>MST SOKINA KHATUN</t>
  </si>
  <si>
    <t>House: 02 Road: 04 Block: C Mirpur-12</t>
  </si>
  <si>
    <t>Vill: Kushumpur P/O: Kushumpur : P/S: Mahespur Dis: Jhenaidah</t>
  </si>
  <si>
    <t>Mirpur-12</t>
  </si>
  <si>
    <t>SUZANA AKTER SHOHA</t>
  </si>
  <si>
    <t>Genex101</t>
  </si>
  <si>
    <t>Delwar Hossain</t>
  </si>
  <si>
    <t>delwar318hossain@gmail.com</t>
  </si>
  <si>
    <t>Salina Akter</t>
  </si>
  <si>
    <t>B.Sc. from Stamford University</t>
  </si>
  <si>
    <t>Md Dalilur Rahman</t>
  </si>
  <si>
    <t>Salina akter</t>
  </si>
  <si>
    <t>M-8 NIDCH Staff Quarter, Mohakhali, Dhaka -1212</t>
  </si>
  <si>
    <t>Vill- Izzatpur, p.o.-Mia Bajar, P.S.- Feni, D-Feni</t>
  </si>
  <si>
    <t>Mohakhali, Dhaka</t>
  </si>
  <si>
    <t>Genex092</t>
  </si>
  <si>
    <t>Sharafat Hossen</t>
  </si>
  <si>
    <t>sharafathossen17@gmail.com</t>
  </si>
  <si>
    <t>Tamanna Naznin Rothi</t>
  </si>
  <si>
    <t>Kuddus Molla</t>
  </si>
  <si>
    <t>Hosneara Begum</t>
  </si>
  <si>
    <t>H- 672/7, Bottala, Namapara Khilkhet, Dhaka 1229</t>
  </si>
  <si>
    <t>Vill+Post: Hatiara, P.S.: Kashiani, Dist.: Gopalganj</t>
  </si>
  <si>
    <t>xisailuo15op</t>
  </si>
  <si>
    <t>Md. Mahfujur Rahman Tamim</t>
  </si>
  <si>
    <t>mahfujurrahmantamim2021@gmail.com</t>
  </si>
  <si>
    <t>Md. Sekandsar Ali</t>
  </si>
  <si>
    <t>645 549 7112</t>
  </si>
  <si>
    <t>Hon's</t>
  </si>
  <si>
    <t>Siddheswari Collage and University</t>
  </si>
  <si>
    <t>Morzina Aktar</t>
  </si>
  <si>
    <t>Holding No: 16/180,Purbo chanpara,Uttorkhan,Dhaka-1223</t>
  </si>
  <si>
    <t>Uttora</t>
  </si>
  <si>
    <t>naihe7op</t>
  </si>
  <si>
    <t>Md. Shafiqul Islam</t>
  </si>
  <si>
    <t>Shafiqanik275@gmail.com</t>
  </si>
  <si>
    <t>Shiriy aktar</t>
  </si>
  <si>
    <t>Tejgaon College</t>
  </si>
  <si>
    <t>Md Abdur Rahim munshi</t>
  </si>
  <si>
    <t>156/7 basantak, dhaka senanibas, dhaka</t>
  </si>
  <si>
    <t>Fordabad, bancharampur, Brahmanbaria</t>
  </si>
  <si>
    <t>Emdadul Islam</t>
  </si>
  <si>
    <t>emdad8188@gmail.com</t>
  </si>
  <si>
    <t xml:space="preserve">MD . Yousuf khan </t>
  </si>
  <si>
    <t>masters</t>
  </si>
  <si>
    <t>DHAKA UNIVERSITY</t>
  </si>
  <si>
    <t>MD YOUSUF KHAN</t>
  </si>
  <si>
    <t>UMME SALMA</t>
  </si>
  <si>
    <t>House no:256 kawler Post Office: khilkhet Thana:Dakhinhkan District:Dhaka-1229</t>
  </si>
  <si>
    <t>Kawla, Airport</t>
  </si>
  <si>
    <t>naihe8op</t>
  </si>
  <si>
    <t>Safi Mahmud</t>
  </si>
  <si>
    <t>safimahmud1412@gmail.com</t>
  </si>
  <si>
    <t>MST Amina Takdera</t>
  </si>
  <si>
    <t>GUB</t>
  </si>
  <si>
    <t>MD Matiur Rahman</t>
  </si>
  <si>
    <t>West Shewrapara, mirpur,dhaka</t>
  </si>
  <si>
    <t>Tilakpur, Naogaon, Rajshahi</t>
  </si>
  <si>
    <t>xisailuo77op</t>
  </si>
  <si>
    <t>Motasim Billah</t>
  </si>
  <si>
    <t>motasimfuad20@gmail.com</t>
  </si>
  <si>
    <t>Al Mahmud Reyad</t>
  </si>
  <si>
    <t>Bachelor of Pharmacy (B.pharm)</t>
  </si>
  <si>
    <t>A.k.m Abdur Razzaq</t>
  </si>
  <si>
    <t>Mst. Sultana Razia</t>
  </si>
  <si>
    <t>Nikunjo -2,Khilkhet, Dhaka</t>
  </si>
  <si>
    <t>Gorfatepur,Sonatola,Bogura</t>
  </si>
  <si>
    <t>Nikunjo -2</t>
  </si>
  <si>
    <t>Genex107</t>
  </si>
  <si>
    <t>Monjur Hossain Sheikh</t>
  </si>
  <si>
    <t>sheikhmaghrib@gmail.com</t>
  </si>
  <si>
    <t>Mehrab Hossain Sheikh</t>
  </si>
  <si>
    <t>19942692012017100</t>
  </si>
  <si>
    <t>Dhaka Business Institute</t>
  </si>
  <si>
    <t>Md. Ismail Hossain Sheikh</t>
  </si>
  <si>
    <t>Monowara Ismail</t>
  </si>
  <si>
    <t>Vill- Gawair, P.O.- Uttara, P.S. - Dakshin Khan, Dist.- Dhaka</t>
  </si>
  <si>
    <t>Vill- Gulbagh, Malibagh, P.O.- Khilgaon, P.S.- Shahjahanpur, Dist.- Dhaka</t>
  </si>
  <si>
    <t>Nurunnahar Islam Mitu</t>
  </si>
  <si>
    <t>Mazhab Hossain Sheikh</t>
  </si>
  <si>
    <t>Genex111</t>
  </si>
  <si>
    <t>MD Ayub Ali Ansari</t>
  </si>
  <si>
    <t>ansariislam4878@gmail.com</t>
  </si>
  <si>
    <t>MD. BARAT ALI</t>
  </si>
  <si>
    <t>Bsc</t>
  </si>
  <si>
    <t>European University of Bangladesh</t>
  </si>
  <si>
    <t>Mst. Josna Khatun</t>
  </si>
  <si>
    <t>Khilket-Nikunjo-2</t>
  </si>
  <si>
    <t>Shahzad pur, Sirajganj</t>
  </si>
  <si>
    <t>Khilket,</t>
  </si>
  <si>
    <t>Genex112</t>
  </si>
  <si>
    <t>Mehedi Hasan Nirob</t>
  </si>
  <si>
    <t>nirobwahid521@gmail.com</t>
  </si>
  <si>
    <t>Parvin Akter</t>
  </si>
  <si>
    <t>Son</t>
  </si>
  <si>
    <t>n/a</t>
  </si>
  <si>
    <t>Bachelor of Arts</t>
  </si>
  <si>
    <t>Abul Kalam Azad</t>
  </si>
  <si>
    <t>16 no road,Nikunja -2,Khilkhet.</t>
  </si>
  <si>
    <t>Chalas,Dhanbari,Tangail.</t>
  </si>
  <si>
    <t>na</t>
  </si>
  <si>
    <t>Genex119</t>
  </si>
  <si>
    <t>Md Joynal Abedin</t>
  </si>
  <si>
    <t>Abedinhasan590@gmail.com</t>
  </si>
  <si>
    <t>MD.HASAN ALI</t>
  </si>
  <si>
    <t>BSc in engineering</t>
  </si>
  <si>
    <t>CITY UNIVERSITY</t>
  </si>
  <si>
    <t>SAJEDA BEGUM</t>
  </si>
  <si>
    <t>NIKUNJA 02,ROAD NO:06,HOUSE NO:10</t>
  </si>
  <si>
    <t>HASORA SOUTH, KALOHA,KALIHATI, TANGAIL, DHAKA</t>
  </si>
  <si>
    <t>Genex131</t>
  </si>
  <si>
    <t>MD Mehadi Hasan Sany</t>
  </si>
  <si>
    <t>sunnypunny2014@gmail.com</t>
  </si>
  <si>
    <t>sathi alam</t>
  </si>
  <si>
    <t>gov.Titumir college.</t>
  </si>
  <si>
    <t>Md.shah Alam</t>
  </si>
  <si>
    <t>kha 58/1 hajibari amtola, khilkhet dhaka-1229.</t>
  </si>
  <si>
    <t>vill; keshobpur, kathal bazar. post /thana: ishwarganj. dis: mymensingh.</t>
  </si>
  <si>
    <t>Genex135</t>
  </si>
  <si>
    <t>Tajbiul Haque</t>
  </si>
  <si>
    <t>Tajbiulhaque@gmail.com</t>
  </si>
  <si>
    <t>Ahsanul Haque Munna</t>
  </si>
  <si>
    <t>BA in English Literature</t>
  </si>
  <si>
    <t>Asian University of Bangladesh</t>
  </si>
  <si>
    <t>Abdul Motaleb</t>
  </si>
  <si>
    <t>Sufia Begum</t>
  </si>
  <si>
    <t>Konna Bilash, Dolipara Bazar, Sector 5, Uttara, Dhaka</t>
  </si>
  <si>
    <t>HN-324, Uttar Bazar, Gouripur, Mymensingh</t>
  </si>
  <si>
    <t>heibulin4op</t>
  </si>
  <si>
    <t>Naznin Siddique</t>
  </si>
  <si>
    <t>naznin.siddique 001@gmail.com</t>
  </si>
  <si>
    <t>Md.Rafiqul Islam</t>
  </si>
  <si>
    <t>Magura Adarsho College</t>
  </si>
  <si>
    <t>MD.NURE AlAM SIDdIQQUE</t>
  </si>
  <si>
    <t>MST.SABINA YESMIN</t>
  </si>
  <si>
    <t>East Mollartake,Tetultola Bekery,Dokhinkhan,Dhaka-1230</t>
  </si>
  <si>
    <t>V:khordofulbari,P:Nahata,Thana:Mohammadpur,D:Magura</t>
  </si>
  <si>
    <t>Dokhinkhan</t>
  </si>
  <si>
    <t>MD.RAFIQUAL ISLAM</t>
  </si>
  <si>
    <t>zhulan20op</t>
  </si>
  <si>
    <t>Rumana Parvin</t>
  </si>
  <si>
    <t>MD Imtiaz Haque</t>
  </si>
  <si>
    <t>Kushtia Govt.college Kushtia</t>
  </si>
  <si>
    <t>MD.Imdadul Haque</t>
  </si>
  <si>
    <t>MST.Hosneara Parvin</t>
  </si>
  <si>
    <t>Khilkhat uttor para Dhaka</t>
  </si>
  <si>
    <t>173/1 School Para airport road Ishwardi pabna</t>
  </si>
  <si>
    <t>Khilkhat</t>
  </si>
  <si>
    <t>heibulin31op</t>
  </si>
  <si>
    <t>Tamalika Roy</t>
  </si>
  <si>
    <t>tamalikaroy007@gmail.com</t>
  </si>
  <si>
    <t>Aniruddha Patronobish</t>
  </si>
  <si>
    <t>Post Graduation</t>
  </si>
  <si>
    <t>Mymensingh Govt. Ananda Mohan College( NU)</t>
  </si>
  <si>
    <t>Dilip Kumar Roy ( Late)</t>
  </si>
  <si>
    <t>Chayna Roy</t>
  </si>
  <si>
    <t>51/A/1, West Panthapath, Rajabajar,Dhaka 1205</t>
  </si>
  <si>
    <t>Rajpur, Montala Hat, Muktagacha, Mymensingh.</t>
  </si>
  <si>
    <t>Rajabajar</t>
  </si>
  <si>
    <t>heibulin1op</t>
  </si>
  <si>
    <t>Mst. Asma Ul Rahman Rafe</t>
  </si>
  <si>
    <t>asmaulhusnarafe2020@gmail.com</t>
  </si>
  <si>
    <t>Md Murtuza Al Mahamud Moon</t>
  </si>
  <si>
    <t>NU</t>
  </si>
  <si>
    <t>MD Helalur Rahman</t>
  </si>
  <si>
    <t>Mst.Wahida Parvin</t>
  </si>
  <si>
    <t>Nikunja 2,Road- 6,House -9,Khilkhet</t>
  </si>
  <si>
    <t>Goyalpara,Thakurgaon</t>
  </si>
  <si>
    <t>Khilkhet,</t>
  </si>
  <si>
    <t>heibulin21op</t>
  </si>
  <si>
    <t>Swparna Nag</t>
  </si>
  <si>
    <t>trinanag@gmail.com</t>
  </si>
  <si>
    <t>Sutopa Nag</t>
  </si>
  <si>
    <t>A00132777</t>
  </si>
  <si>
    <t>Late Barindra Nag</t>
  </si>
  <si>
    <t>Gouri Nag</t>
  </si>
  <si>
    <t>Kha-99/ka, East Namapara, Khilkhet, Dhaka-1229</t>
  </si>
  <si>
    <t>Dewanpara, Jamalpur Sadar, Jamalpur</t>
  </si>
  <si>
    <t>heibulin30op</t>
  </si>
  <si>
    <t>Benojir Shakila Pia</t>
  </si>
  <si>
    <t>Sakilapia5856@gmail. Com</t>
  </si>
  <si>
    <t>Kazi Mohammad Enayetullah</t>
  </si>
  <si>
    <t>Laizu begum</t>
  </si>
  <si>
    <t>Nikunko 2,dhaka</t>
  </si>
  <si>
    <t>Nilphamari sadar,masterpara</t>
  </si>
  <si>
    <t>Nikunjo 2,khilkhet</t>
  </si>
  <si>
    <t>zhulan24op</t>
  </si>
  <si>
    <t>Roksana Akter</t>
  </si>
  <si>
    <t>roksanaakteradiba29@gmail.com</t>
  </si>
  <si>
    <t>Nobu Bepari</t>
  </si>
  <si>
    <t>B00324144</t>
  </si>
  <si>
    <t>Hon’s</t>
  </si>
  <si>
    <t>Shanto Mariam university of creative technology</t>
  </si>
  <si>
    <t>Nasima Begum</t>
  </si>
  <si>
    <t>Khilkhet,Narayan Nagar Jame Masjid ,Aponvila</t>
  </si>
  <si>
    <t>Baichal Post Office Jagir Manikganj Sadar Manikganj</t>
  </si>
  <si>
    <t>naihe5op</t>
  </si>
  <si>
    <t>Yeasmin Akter</t>
  </si>
  <si>
    <t>rohaafnan@gmail.com</t>
  </si>
  <si>
    <t>MD. Osman Sarker</t>
  </si>
  <si>
    <t>AB-</t>
  </si>
  <si>
    <t>B.B.S</t>
  </si>
  <si>
    <t>Gazipur Govt. Mohila College</t>
  </si>
  <si>
    <t>MD. Osman Goni Sarker</t>
  </si>
  <si>
    <t>MST. Nur Zahan</t>
  </si>
  <si>
    <t>5/1 Samaj kolyan road, Datta para, Tongi, Gazipur</t>
  </si>
  <si>
    <t>House No: 37, Ward No: 16, Paler para, Union: Bason, Gazipur Sadar</t>
  </si>
  <si>
    <t>naihe22op</t>
  </si>
  <si>
    <t>Sumiya Khatun</t>
  </si>
  <si>
    <t>Sumiyace18@gmail.com</t>
  </si>
  <si>
    <t>MD. Abu Taher Mia</t>
  </si>
  <si>
    <t>World University of Bangladesh</t>
  </si>
  <si>
    <t>Mst. Sharifun begum</t>
  </si>
  <si>
    <t>House:23, Road:05, Nikunjo-2, Khilkhet 12012</t>
  </si>
  <si>
    <t>Vill: Munshefpur, P.O: Ranirhat , Thana: Shajahanpur, District:Bogra.</t>
  </si>
  <si>
    <t>Nikunjo-2</t>
  </si>
  <si>
    <t>zhulan27op</t>
  </si>
  <si>
    <t>Jannat Prianka</t>
  </si>
  <si>
    <t>Jannatprianka89@gmail</t>
  </si>
  <si>
    <t>Md Sahbuddin</t>
  </si>
  <si>
    <t>Post graduation</t>
  </si>
  <si>
    <t>Tejgaon college</t>
  </si>
  <si>
    <t>Shilpi</t>
  </si>
  <si>
    <t>Purbo sekhdi,suvhecca tower,gobindopur bazar, Soniakra, Dhaka</t>
  </si>
  <si>
    <t>Vill-jagatpur, po-mirpur,thana-laxmipur, zila- laxmipur.</t>
  </si>
  <si>
    <t>Soniakra</t>
  </si>
  <si>
    <t>Genex149</t>
  </si>
  <si>
    <t>Mohammad Nasim</t>
  </si>
  <si>
    <t>shakilhosain3060@gmail.com</t>
  </si>
  <si>
    <t>Zia Uddin</t>
  </si>
  <si>
    <t>Graduate</t>
  </si>
  <si>
    <t>Shrina Begum</t>
  </si>
  <si>
    <t>Hazi abbas ali lane,uttar badda,dhaka-1212</t>
  </si>
  <si>
    <t>Jamalpur sadar, jamalpur</t>
  </si>
  <si>
    <t>Uttar Badda</t>
  </si>
  <si>
    <t>Genex150</t>
  </si>
  <si>
    <t>MD Ashikuzzaman</t>
  </si>
  <si>
    <t>princeashik2015@gmail.com</t>
  </si>
  <si>
    <t>Shamsuzzaman</t>
  </si>
  <si>
    <t>Dolena Begum</t>
  </si>
  <si>
    <t>Palash darihawlapara, palash ,Narsingdi</t>
  </si>
  <si>
    <t>Road 4 , House 27 ,Nikunjo, Khilkat , Dhaka-1229</t>
  </si>
  <si>
    <t>Rajhia Akter</t>
  </si>
  <si>
    <t>Genex155</t>
  </si>
  <si>
    <t>Prince Paul Joy</t>
  </si>
  <si>
    <t>Princepauljoy@gmail.com</t>
  </si>
  <si>
    <t>Hasan</t>
  </si>
  <si>
    <t>1732-072178</t>
  </si>
  <si>
    <t>Southeast Univeraity</t>
  </si>
  <si>
    <t>Birendra paul</t>
  </si>
  <si>
    <t>Bakul rani paul</t>
  </si>
  <si>
    <t>H-51,R-19,Nikunja-2,Khilkhet,Dhaka,Bangladesh</t>
  </si>
  <si>
    <t>Mogra,Gangasagar,Akhaura,Brahmanbaria</t>
  </si>
  <si>
    <t>Genex156</t>
  </si>
  <si>
    <t>Sajib Sutradhar</t>
  </si>
  <si>
    <t>dharsajib710@gmail.com</t>
  </si>
  <si>
    <t>linclon</t>
  </si>
  <si>
    <t>19981915428000000</t>
  </si>
  <si>
    <t>graduation</t>
  </si>
  <si>
    <t>Santosh Sutradhar</t>
  </si>
  <si>
    <t>Mamata Rani Sutradhar</t>
  </si>
  <si>
    <t>Homna , cumilla</t>
  </si>
  <si>
    <t>xisailuo1op</t>
  </si>
  <si>
    <t>Fatema Akter</t>
  </si>
  <si>
    <t>fatema012022@gmail.com</t>
  </si>
  <si>
    <t>Uttara sorder suruz zaman mohila college</t>
  </si>
  <si>
    <t>Jahirul islam</t>
  </si>
  <si>
    <t>Uttara airport norddapara</t>
  </si>
  <si>
    <t>Vill:khelpara, p.o: chatkhel,p.s: chatkhel,dist: Noakhali</t>
  </si>
  <si>
    <t>Rahad Md Sabbir</t>
  </si>
  <si>
    <t>rmsabbir89@gmail.com</t>
  </si>
  <si>
    <t>Din Mohammed Bhuyan</t>
  </si>
  <si>
    <t>Degree</t>
  </si>
  <si>
    <t>Uttara town College</t>
  </si>
  <si>
    <t>Kazi Rashid Begum</t>
  </si>
  <si>
    <t>Gawair,Kazi Road Dhakhin khan, Dhaka -1230</t>
  </si>
  <si>
    <t>Village : chowra Kazi bari, Kaliganj Gazipur</t>
  </si>
  <si>
    <t>naihe72op</t>
  </si>
  <si>
    <t>Afroja Akhi</t>
  </si>
  <si>
    <t>afrojaakhi12@gmail.com</t>
  </si>
  <si>
    <t>Md. Tanvir Ahmed</t>
  </si>
  <si>
    <t>Siddheswari Girls College</t>
  </si>
  <si>
    <t>Ashraf Ali</t>
  </si>
  <si>
    <t>House no- N/2, BG Press Stuff Quarter</t>
  </si>
  <si>
    <t>House no-47, block -A, Vatara main road, Notun Bazar</t>
  </si>
  <si>
    <t>Tejgoan I/A</t>
  </si>
  <si>
    <t>xisailuo37op</t>
  </si>
  <si>
    <t>Rasel Tripura</t>
  </si>
  <si>
    <t>tripurarhl@gmail.com</t>
  </si>
  <si>
    <t>Upendra Tripura</t>
  </si>
  <si>
    <t>Not</t>
  </si>
  <si>
    <t>Green university of Bangladesh</t>
  </si>
  <si>
    <t>Nomita tripura</t>
  </si>
  <si>
    <t>Kazipara,mipur, Dhaka</t>
  </si>
  <si>
    <t>Khagrapur, khagrachori sodor, chitangong, Bangladesh</t>
  </si>
  <si>
    <t>naihe73op</t>
  </si>
  <si>
    <t>Nadia Esrat Ifti Sowa</t>
  </si>
  <si>
    <t>nadiaesratifti.green@gmail.com</t>
  </si>
  <si>
    <t>Majba</t>
  </si>
  <si>
    <t>BSc in CSE</t>
  </si>
  <si>
    <t>Green University of Bangladesh</t>
  </si>
  <si>
    <t>Al Emran</t>
  </si>
  <si>
    <t>Nazma Akter</t>
  </si>
  <si>
    <t>House 12 Road 09 Nikunju-2</t>
  </si>
  <si>
    <t>Village: Amtola, union: Mograpara, Thana: Sonargaon, District: Narayanganj</t>
  </si>
  <si>
    <t>Nikunju-2</t>
  </si>
  <si>
    <t>xisailuo34op</t>
  </si>
  <si>
    <t>Most. Sheuti Akter</t>
  </si>
  <si>
    <t>sheutiakter.190305@gmail.com</t>
  </si>
  <si>
    <t>Rokibul Islam</t>
  </si>
  <si>
    <t>B pharm honour</t>
  </si>
  <si>
    <t>Varendra university</t>
  </si>
  <si>
    <t>Md. Raqibul Islam</t>
  </si>
  <si>
    <t>Binte mosira chhoby</t>
  </si>
  <si>
    <t>Mirpur 12, block D</t>
  </si>
  <si>
    <t>Najirpur kochia para,rajabari,godagari,rajshahi</t>
  </si>
  <si>
    <t>xushiyu7op</t>
  </si>
  <si>
    <t>Tasneem Tamanna</t>
  </si>
  <si>
    <t>tamannatasneem30@gmail.com</t>
  </si>
  <si>
    <t>S. Rumana Mahbub</t>
  </si>
  <si>
    <t>Varendro University</t>
  </si>
  <si>
    <t>S.M. Mahbubur Rahman</t>
  </si>
  <si>
    <t>19/2 Government Officer's quarter, Sector no-8 , Uttora, Dhaka</t>
  </si>
  <si>
    <t>West quarter -74/E, Rajshahi University</t>
  </si>
  <si>
    <t>heibulin41op</t>
  </si>
  <si>
    <t>Tanvir Ahmed Chowdhury</t>
  </si>
  <si>
    <t>twl7071@gmail.com</t>
  </si>
  <si>
    <t>MD Hasan</t>
  </si>
  <si>
    <t>Bachelor</t>
  </si>
  <si>
    <t>Bangladesh Open University</t>
  </si>
  <si>
    <t>Mohammad Shahidullah Chowdhury</t>
  </si>
  <si>
    <t>Johora Begum Chowdhury</t>
  </si>
  <si>
    <t>3d floor, Mohammadia Market building, Block-C, Mirpur-11, Pallabi, Dhaka.</t>
  </si>
  <si>
    <t>Chowdhury Bari, Shere Bangla Nagar, Bandarban sadar, Bandarban.</t>
  </si>
  <si>
    <t>xisailuo35op</t>
  </si>
  <si>
    <t>Sumaya Akhter</t>
  </si>
  <si>
    <t>Sumiyabithe668@.com</t>
  </si>
  <si>
    <t>Masuma Begum</t>
  </si>
  <si>
    <t>B.B.A(honours)</t>
  </si>
  <si>
    <t>University of Dhaka (affiliated 7 College)</t>
  </si>
  <si>
    <t>Abul Kalam Azad.</t>
  </si>
  <si>
    <t>Mollertek, Dhakshinkhan, Dhaka-1230</t>
  </si>
  <si>
    <t>V:sarukhali, P.O: Hizaltola, P.S:Saheberhat, Barishal.</t>
  </si>
  <si>
    <t>naihe57op</t>
  </si>
  <si>
    <t>Tanjila Akbar Lia</t>
  </si>
  <si>
    <t>tanjilalia2019@gmail.com</t>
  </si>
  <si>
    <t xml:space="preserve">Mizanur Rahaman </t>
  </si>
  <si>
    <t>1778441476, 167190966</t>
  </si>
  <si>
    <t>Maternal Uncle ( Both)</t>
  </si>
  <si>
    <t>Dhaka city college</t>
  </si>
  <si>
    <t>MD. Anisul Akbar</t>
  </si>
  <si>
    <t>NurJahan khatun</t>
  </si>
  <si>
    <t>Nikunjo:2 House:27 Road :02 khilkhet.Dhaka</t>
  </si>
  <si>
    <t>Loan office para.jashore.House 88</t>
  </si>
  <si>
    <t>Nikunjo:2</t>
  </si>
  <si>
    <t>naihe59op</t>
  </si>
  <si>
    <t>Mousumi Sultana</t>
  </si>
  <si>
    <t>mousumisultanamousumi67@gmail.com</t>
  </si>
  <si>
    <t>MD. Rafiqul Islam</t>
  </si>
  <si>
    <t>East West University</t>
  </si>
  <si>
    <t>MD.Rafiqul Islam</t>
  </si>
  <si>
    <t>MST. Razina Bugum</t>
  </si>
  <si>
    <t>Area: Ashkona, Po: Dakshin Khan, Ps:Dakshin Khan, Dist: Dhaka</t>
  </si>
  <si>
    <t>Ashkona,Airport</t>
  </si>
  <si>
    <t>zhulan10op</t>
  </si>
  <si>
    <t>Ridhay Sharker</t>
  </si>
  <si>
    <t>ridhay4000@gmail.com</t>
  </si>
  <si>
    <t>Post Graduation (MSS)</t>
  </si>
  <si>
    <t>Govt. Titumir College, Dhaka.</t>
  </si>
  <si>
    <t>Khitindra Sharker</t>
  </si>
  <si>
    <t>Basana Sharker</t>
  </si>
  <si>
    <t>Ka-186, Kuril, Vatara, Dhaka-1229.</t>
  </si>
  <si>
    <t>Vill: Shoverampur, PO: Bajitpur, PS: Bajitpur, Dist: Kishoreganj.</t>
  </si>
  <si>
    <t>Kuril</t>
  </si>
  <si>
    <t>15/07/1993</t>
  </si>
  <si>
    <t>Isaka</t>
  </si>
  <si>
    <t>AhmedIslam</t>
  </si>
  <si>
    <t>Ahmed Islam</t>
  </si>
  <si>
    <t>greenahmedislam@gmail.com</t>
  </si>
  <si>
    <t>Hasina Islam</t>
  </si>
  <si>
    <t>Al Aminul Islam ( MD.Amin)</t>
  </si>
  <si>
    <t>464/3/1 ulon road west rampura Dhaka -1219</t>
  </si>
  <si>
    <t>Mst. Ferdoushi Akter</t>
  </si>
  <si>
    <t>heibulin33op</t>
  </si>
  <si>
    <t>Md. Parvez Mia</t>
  </si>
  <si>
    <t>mdparvezmiaofficial@gmail.com</t>
  </si>
  <si>
    <t>Md. Loskor Ali</t>
  </si>
  <si>
    <t>Professional BBA</t>
  </si>
  <si>
    <t>Tejgaon College, Dhaka</t>
  </si>
  <si>
    <t>Mst. Parvin Begum</t>
  </si>
  <si>
    <t>Flat: 4A, House: 250, Road: 09, Block: I, Bashundhara Residential Area, Vatara, Dhaka 1229.</t>
  </si>
  <si>
    <t>House: Mia Bari, Village: Dakshin Kismat Zilla, PS: Islampur, PO: Islampur, Dist: Jamalpur 2020</t>
  </si>
  <si>
    <t>Bashundhara Residential Area</t>
  </si>
  <si>
    <t>Md Ikbal Hossain Mojumder</t>
  </si>
  <si>
    <t>ikbalmojumder1@gmail.com</t>
  </si>
  <si>
    <t>Ropon</t>
  </si>
  <si>
    <t>Habibullah Bahar College, Dhaka</t>
  </si>
  <si>
    <t>Md. Mokbul Hossain Mojumder</t>
  </si>
  <si>
    <t>Khodeza Begum</t>
  </si>
  <si>
    <t>House # 151/22/A, Road-2 Tarabagh, Khilgaon Dhaka-1219.</t>
  </si>
  <si>
    <t>Vill: Tulatuli P.O: Bijoypur P.S: Cumilla Sadar South Dist: Cumilla.</t>
  </si>
  <si>
    <t>Khilgaon</t>
  </si>
  <si>
    <t>xisailuo11op</t>
  </si>
  <si>
    <t>Ritu Rani Saha</t>
  </si>
  <si>
    <t>ritusaha2345@gmail.com</t>
  </si>
  <si>
    <t>Subash Chandra Saha</t>
  </si>
  <si>
    <t>BSc</t>
  </si>
  <si>
    <t>Southeast University</t>
  </si>
  <si>
    <t>Monika Rani Saha</t>
  </si>
  <si>
    <t>House no:501,Kawlar Dakhil Madrasa Road,P.O:Khilkhet,Dhaka-1229</t>
  </si>
  <si>
    <t>Genex170</t>
  </si>
  <si>
    <t>Sourov Ahamed</t>
  </si>
  <si>
    <t>sourovahamed48@gmail.com</t>
  </si>
  <si>
    <t>Sume Ahammed</t>
  </si>
  <si>
    <t>O-</t>
  </si>
  <si>
    <t>Ahammed Ali</t>
  </si>
  <si>
    <t>R# 13, Gazibari, Tongi, Gazipur.</t>
  </si>
  <si>
    <t>Koshaibari road, Mirerbazar, Gazipur</t>
  </si>
  <si>
    <t>xisailuo18op</t>
  </si>
  <si>
    <t>MD Sajib Hossain</t>
  </si>
  <si>
    <t>sajibwazed98@gmail.com</t>
  </si>
  <si>
    <t>Mezan bhai</t>
  </si>
  <si>
    <t>A07029767</t>
  </si>
  <si>
    <t>Kabi Nazrul government College Dhaka</t>
  </si>
  <si>
    <t>Md Kalam Bayati</t>
  </si>
  <si>
    <t>Barmasil,Shiddergonj,Narayanganj.</t>
  </si>
  <si>
    <t>Vill: chunarchar,Post : charlata,thana: kajirhat,District :Barishal.</t>
  </si>
  <si>
    <t>Narayanganj</t>
  </si>
  <si>
    <t>heibulin6op</t>
  </si>
  <si>
    <t>Shika Akter</t>
  </si>
  <si>
    <t>Shikaakter97@gmail.com</t>
  </si>
  <si>
    <t>Daily akter</t>
  </si>
  <si>
    <t>Wali Newaz khan college, Kishorganj.</t>
  </si>
  <si>
    <t>Shajahan kabir khan</t>
  </si>
  <si>
    <t>Fahima akter</t>
  </si>
  <si>
    <t>Akondo Bari,Boubazar,Kalachdpur, Gulshan, Home : Arish Villa, 6th floor.</t>
  </si>
  <si>
    <t>Village/Road: Kakanhati, Post Office: Ishwarganj - 225, Ishwarganj, Ishwarganj Municipality, Mymensingh O+</t>
  </si>
  <si>
    <t>Gushan 2</t>
  </si>
  <si>
    <t>heibulin16op</t>
  </si>
  <si>
    <t>Md Imran Akanda</t>
  </si>
  <si>
    <t>emranh914@gamil.com</t>
  </si>
  <si>
    <t>MOTHER</t>
  </si>
  <si>
    <t>SEU</t>
  </si>
  <si>
    <t>MD.ABDUL JALIL</t>
  </si>
  <si>
    <t>SALEHA BEGUM</t>
  </si>
  <si>
    <t>HOUSE -11,ROAD-13, NIKUNJA- 2</t>
  </si>
  <si>
    <t>VILL-RAUTBARI.P.O- GOBINDASHI, P.S-BHUAPUR,DIST-TANGAIL.</t>
  </si>
  <si>
    <t>NIKUNJA</t>
  </si>
  <si>
    <t>xisailuo83op</t>
  </si>
  <si>
    <t>Asia Akter</t>
  </si>
  <si>
    <t>Same-Product Inspection Annotation Project</t>
  </si>
  <si>
    <t>akhiasia8@gmail.com</t>
  </si>
  <si>
    <t>Md. Mintu</t>
  </si>
  <si>
    <t>BBA(Hon's)</t>
  </si>
  <si>
    <t>Government Titumir College</t>
  </si>
  <si>
    <t>MD.Taslim Uddin</t>
  </si>
  <si>
    <t>Mageda Begum</t>
  </si>
  <si>
    <t>Village: Faidabad, P.S: Dakshinkhan,Uttara, District: Dhaka</t>
  </si>
  <si>
    <t>Village:Brishnupur, P.S:Gopalpur, District:Tangail</t>
  </si>
  <si>
    <t>10 March,1973</t>
  </si>
  <si>
    <t>zhulan16op</t>
  </si>
  <si>
    <t>Amit Halder</t>
  </si>
  <si>
    <t>amithalder2244@gmail.com</t>
  </si>
  <si>
    <t>Presidency University</t>
  </si>
  <si>
    <t>Basudeb Halder</t>
  </si>
  <si>
    <t>Jharna Biswas</t>
  </si>
  <si>
    <t>Road No-20,House-01,Nikunja-02</t>
  </si>
  <si>
    <t>Kandi-8110, Kotalipara, Gopalganj</t>
  </si>
  <si>
    <t>xisailuo19op</t>
  </si>
  <si>
    <t>Aminul Islam Shuvo</t>
  </si>
  <si>
    <t>aminulislamshuvo420@gmail.com</t>
  </si>
  <si>
    <t>MRS Sultana</t>
  </si>
  <si>
    <t>Uttara Anwara Model College</t>
  </si>
  <si>
    <t>Hoby Mia</t>
  </si>
  <si>
    <t>Khilkhet,Bottola,KA-168/Uma, Dhaka</t>
  </si>
  <si>
    <t>xisailuo39op</t>
  </si>
  <si>
    <t>Mst Shikha Akter Setu</t>
  </si>
  <si>
    <t>setusiddike@gmail</t>
  </si>
  <si>
    <t>Chatmohor Woman's Degree College</t>
  </si>
  <si>
    <t>Md.Siddikur Rahman</t>
  </si>
  <si>
    <t>Mst.Anna Khatun</t>
  </si>
  <si>
    <t>Gulshan-1,Morol bazar,Dhaka</t>
  </si>
  <si>
    <t>Village:Afratpara,P.O:Chatmohor,P.S:Chatmohor,District: Pabna,Division:Rajshahi</t>
  </si>
  <si>
    <t>Gulshan</t>
  </si>
  <si>
    <t>Tonni Khatun</t>
  </si>
  <si>
    <t>tanniakter1999@gmail.com</t>
  </si>
  <si>
    <t>Md Aminul Islam</t>
  </si>
  <si>
    <t>BBS</t>
  </si>
  <si>
    <t>Kabai union Islamia College</t>
  </si>
  <si>
    <t>Md Golam Mostofa</t>
  </si>
  <si>
    <t>Mst. Shuly Begum</t>
  </si>
  <si>
    <t>Kha/18/30, Road-5, Nikunja-2</t>
  </si>
  <si>
    <t>House no: 120 , vill : Dhola, P.O : Hanuya-8283, P.S: Bakergonj, Dis: Barishal</t>
  </si>
  <si>
    <t>Nikunja-2</t>
  </si>
  <si>
    <t>heibulin25op</t>
  </si>
  <si>
    <t>Md Rayhan Islam</t>
  </si>
  <si>
    <t>rayhanislam1907@gmail.com</t>
  </si>
  <si>
    <t>Sumon</t>
  </si>
  <si>
    <t>Degree BSC( Pass)</t>
  </si>
  <si>
    <t>Govt kaliganj Sromik college</t>
  </si>
  <si>
    <t>MD.Anisur Rahaman</t>
  </si>
  <si>
    <t>MST.Samsun Nehar</t>
  </si>
  <si>
    <t>Mulgaon Kaliganj Gazipur</t>
  </si>
  <si>
    <t>V-Mohonpur ,PO-Cheradangi,Z-Dinajpur</t>
  </si>
  <si>
    <t xml:space="preserve"> kaliganj</t>
  </si>
  <si>
    <t>Unmarred</t>
  </si>
  <si>
    <t>xisailuo40op</t>
  </si>
  <si>
    <t>Khadiza Parvin Asha</t>
  </si>
  <si>
    <t>khadizaasha960@gmail.com</t>
  </si>
  <si>
    <t>Ashik choto bhai</t>
  </si>
  <si>
    <t>Abdur Rashid</t>
  </si>
  <si>
    <t>Nasima parvin</t>
  </si>
  <si>
    <t>Uttara, sector 6, 11 number rod , 31 number basha</t>
  </si>
  <si>
    <t>Ismaile pur ,nokipur , Shyamnagar,shatkhira,khulna</t>
  </si>
  <si>
    <t>Dhaka</t>
  </si>
  <si>
    <t>naihe6op</t>
  </si>
  <si>
    <t>Fatema Khatun</t>
  </si>
  <si>
    <t>mssurovi73@gmail.com</t>
  </si>
  <si>
    <t>Tania jannat Toni</t>
  </si>
  <si>
    <t>Post graduate</t>
  </si>
  <si>
    <t>Kumudini Govt college</t>
  </si>
  <si>
    <t>MD.Nurul Islam</t>
  </si>
  <si>
    <t>Chamaly Begum</t>
  </si>
  <si>
    <t>Namapara, Khilkhet, Dhaka</t>
  </si>
  <si>
    <t>Village: Jhunkail, Post office: D-Pakutia, Thana: Ghatail District: Tangail</t>
  </si>
  <si>
    <t>xisailuo13op</t>
  </si>
  <si>
    <t>Aushan Muntasir Mamun</t>
  </si>
  <si>
    <t>ahsanmuntasir000@gmail.com</t>
  </si>
  <si>
    <t>Abdullah Al Zubair</t>
  </si>
  <si>
    <t>A13221763</t>
  </si>
  <si>
    <t>Ahsanullah University of Science and Technology (AUST)</t>
  </si>
  <si>
    <t>American International University-Bangladesh(AIUB)</t>
  </si>
  <si>
    <t>MD. Mozammel Haque</t>
  </si>
  <si>
    <t>Parvin Sultana</t>
  </si>
  <si>
    <t>House: 63, Road: 3/A, Green City-1, Dhaka Uddyan, Mohammadpur, Dhaka</t>
  </si>
  <si>
    <t>Village: Kendua, P.O: D.Kendua, P.S: Dhanbari, District: Tangail</t>
  </si>
  <si>
    <t>Mohammadpur</t>
  </si>
  <si>
    <t>naihe16op</t>
  </si>
  <si>
    <t>Samia Alam</t>
  </si>
  <si>
    <t>samiaalam732@gmail.com</t>
  </si>
  <si>
    <t>Tazbirul Alam</t>
  </si>
  <si>
    <t>MPH</t>
  </si>
  <si>
    <t>MD Shah Alam</t>
  </si>
  <si>
    <t>330, A/2 East Nakhalpara Lichubagan Tejgaon Dhaka-1215</t>
  </si>
  <si>
    <t>Vill: Rouha PO: Daragram PS: Saturia Dis: Manikganj</t>
  </si>
  <si>
    <t>Shakil Mahmud</t>
  </si>
  <si>
    <t>xisailuo6op</t>
  </si>
  <si>
    <t>Mst Marufa Akter</t>
  </si>
  <si>
    <t>anipa2190@gmail.com</t>
  </si>
  <si>
    <t>Md.Marufa Akter</t>
  </si>
  <si>
    <t>A12212666</t>
  </si>
  <si>
    <t>United international university</t>
  </si>
  <si>
    <t>Govt.B.L college, Khulna</t>
  </si>
  <si>
    <t>Md.Mosharaf Hossain</t>
  </si>
  <si>
    <t>Khadiza Begum</t>
  </si>
  <si>
    <t>F#B-5,H#145/5,R#MODEL R/A,Matikata,South Manikdi,Dhaka Cantonment</t>
  </si>
  <si>
    <t>Vill:Balia, po:Balia, Thana:Hajiganj, District :Chandpur.</t>
  </si>
  <si>
    <t>ECB Chottor</t>
  </si>
  <si>
    <t>naihe17op</t>
  </si>
  <si>
    <t>Jannatul Ferdaus Tamanna</t>
  </si>
  <si>
    <t>Jtamanna45@gmail.com</t>
  </si>
  <si>
    <t>Julia Khatun</t>
  </si>
  <si>
    <t>1680-111273</t>
  </si>
  <si>
    <t>B.L College, Khulna</t>
  </si>
  <si>
    <t>Day-Night College, Khulna</t>
  </si>
  <si>
    <t>Polina Begum</t>
  </si>
  <si>
    <t>H#40,R#11,Khilkhet,Nikunjo-2</t>
  </si>
  <si>
    <t>H#1366/5,Guakhola,College Para,Noapara-7460,Abhynagar, Jashore</t>
  </si>
  <si>
    <t>xisailuo5op</t>
  </si>
  <si>
    <t>Tasluba Ibrahim</t>
  </si>
  <si>
    <t>tasnubaesha24435@gamil.com</t>
  </si>
  <si>
    <t>Md. Nobin Sikder</t>
  </si>
  <si>
    <t>Global University Bangladesh</t>
  </si>
  <si>
    <t>Md. Ibrahim sikder</t>
  </si>
  <si>
    <t>Parvin Begum</t>
  </si>
  <si>
    <t>Uttara, sector 9, Road :3/F, Dhaka</t>
  </si>
  <si>
    <t>Tungibaria, Saheber hat, Barishal sadar, Barishal</t>
  </si>
  <si>
    <t>xushiyu8op</t>
  </si>
  <si>
    <t>Israt Jahan</t>
  </si>
  <si>
    <t>Isratjahan3234@gmail.com</t>
  </si>
  <si>
    <t>Abu hanif Howlader</t>
  </si>
  <si>
    <t>A03039190</t>
  </si>
  <si>
    <t>Begum Rokeya University, Rangpur</t>
  </si>
  <si>
    <t>Abu Hanif Howlader</t>
  </si>
  <si>
    <t>Monjuri Akter Ruby</t>
  </si>
  <si>
    <t>Tolarbagh lane 2, Mirpur 1, Dhaka</t>
  </si>
  <si>
    <t>Vill: South dudhalmou, Post office: South dudhalmou, Upazila: Bakerganj, District: Barisal</t>
  </si>
  <si>
    <t>Mirpur 1</t>
  </si>
  <si>
    <t>N\A</t>
  </si>
  <si>
    <t>beilei273op</t>
  </si>
  <si>
    <t>Beilei Project</t>
  </si>
  <si>
    <t>shsharaneel26@gmail.com</t>
  </si>
  <si>
    <t>Dhaka College</t>
  </si>
  <si>
    <t>Late Md.Anwar Hossain</t>
  </si>
  <si>
    <t>Late Monowara Begum</t>
  </si>
  <si>
    <t>76/4,(E-2)5th floor,Barontek,Dhaka- Cantonment,Dhaka-1206</t>
  </si>
  <si>
    <t>Vill:Taltolee; P.O+P.S:Daudkandi; Dist: Cumilla</t>
  </si>
  <si>
    <t>Pallabi</t>
  </si>
  <si>
    <t>beilei208op</t>
  </si>
  <si>
    <t>Nusrat Jahan</t>
  </si>
  <si>
    <t>nusratjahan51196@gmail.com</t>
  </si>
  <si>
    <t>Dhaka University</t>
  </si>
  <si>
    <t>Md.Shahjahan</t>
  </si>
  <si>
    <t>Kamrun Nahar</t>
  </si>
  <si>
    <t>28/29-1 Paragon Tower, Bepari Market,Hazi Market,Dhaka Cantonment 1206</t>
  </si>
  <si>
    <t>Bepari Market</t>
  </si>
  <si>
    <t>Asad Uzzaman</t>
  </si>
  <si>
    <t>beilei268op</t>
  </si>
  <si>
    <t>Arifa Jaman</t>
  </si>
  <si>
    <t>Md. Moniruzzaman</t>
  </si>
  <si>
    <t>arifa.jaman.munia@gmail.com</t>
  </si>
  <si>
    <t>MD.AKIKUZZAMAN RIYAD</t>
  </si>
  <si>
    <t>Govt B.M College, Barisal</t>
  </si>
  <si>
    <t>Md.Moniruzzaman</t>
  </si>
  <si>
    <t>Mrs.Shelina Jaman</t>
  </si>
  <si>
    <t>Greatwall city, Gazipure chowrasta, Gazipure 1702,Dhaka.</t>
  </si>
  <si>
    <t>Muslimpara, khepupara, khepupara 8650, patuakhli, Barisal</t>
  </si>
  <si>
    <t>Gazipure chowrasta</t>
  </si>
  <si>
    <t>beilei269op</t>
  </si>
  <si>
    <t>Samapti Kabiraj</t>
  </si>
  <si>
    <t>samaptikai919@gmail.com</t>
  </si>
  <si>
    <t>Shampa Kabiraj</t>
  </si>
  <si>
    <t>Bangladesh university of business and technology (BUBT)</t>
  </si>
  <si>
    <t>Bidur Kabiraj</t>
  </si>
  <si>
    <t>Nayon kabiraj</t>
  </si>
  <si>
    <t>House no 9 , Road no 6, senpara Mirpur 10</t>
  </si>
  <si>
    <t>Gazikhali, Rampal , Bagerhat</t>
  </si>
  <si>
    <t>Mirpur 10</t>
  </si>
  <si>
    <t>beilei275op</t>
  </si>
  <si>
    <t>Parven akter</t>
  </si>
  <si>
    <t>Jannatulhappy97@gmail.com</t>
  </si>
  <si>
    <t>A07426220</t>
  </si>
  <si>
    <t>Bba</t>
  </si>
  <si>
    <t>Eden mohila college</t>
  </si>
  <si>
    <t>Hanif uddin</t>
  </si>
  <si>
    <t>Salina begum</t>
  </si>
  <si>
    <t>209/a boatghat khilkhet, dhaka</t>
  </si>
  <si>
    <t>Banesshodi,khondokarpara,sherpur</t>
  </si>
  <si>
    <t>Naim dhali</t>
  </si>
  <si>
    <t>N/a</t>
  </si>
  <si>
    <t>zhulan28op</t>
  </si>
  <si>
    <t>Most.Rownak Jahan</t>
  </si>
  <si>
    <t>monijahan6@gmail.com</t>
  </si>
  <si>
    <t>Md Hedaetul Islam</t>
  </si>
  <si>
    <t>Hons</t>
  </si>
  <si>
    <t>Md. Abdur Rahim</t>
  </si>
  <si>
    <t>Mst. Gul bahar begum</t>
  </si>
  <si>
    <t>1138,Nurer Chala,Somota Sorok Main Road, Vatara,Dhaka</t>
  </si>
  <si>
    <t>Horgobindho,Mahigong,Pirgacha,Rangpur</t>
  </si>
  <si>
    <t>beilei271op</t>
  </si>
  <si>
    <t>Oahida Akter Mony</t>
  </si>
  <si>
    <t>amoni4029@gmail.com</t>
  </si>
  <si>
    <t>M Taibur Rahman</t>
  </si>
  <si>
    <t>Institute of Progressive Meritocracy (IPM)</t>
  </si>
  <si>
    <t>Monir Hossain</t>
  </si>
  <si>
    <t>Johura Begum</t>
  </si>
  <si>
    <t>Ta-55 Bou Bazar Boishakhi Shoroni Middle Badda, Dhaka-1212</t>
  </si>
  <si>
    <t>Vill-Kazialpara, P. O- Mourat7720, P. S- Pangsha, Dist- Rajbari.</t>
  </si>
  <si>
    <t>Middle Badda</t>
  </si>
  <si>
    <t>beilei210op</t>
  </si>
  <si>
    <t>Sumya sharmine</t>
  </si>
  <si>
    <t>sharminesumiay@gmail.com</t>
  </si>
  <si>
    <t>Shifat sharmin Anny</t>
  </si>
  <si>
    <t>Govt. Commerce college chittagong</t>
  </si>
  <si>
    <t>MD.Serajul huq bhuiyan</t>
  </si>
  <si>
    <t>Fatema AKter</t>
  </si>
  <si>
    <t>House -58, road-7 D.I.T Project merul badda Dhaka</t>
  </si>
  <si>
    <t>Vill-deora,upazila-barura, post office -deora, District -cumilla</t>
  </si>
  <si>
    <t>unmarried</t>
  </si>
  <si>
    <t>beilei272op</t>
  </si>
  <si>
    <t>Protima Rani</t>
  </si>
  <si>
    <t>protimarani508@gmail. com</t>
  </si>
  <si>
    <t>Mina Rani</t>
  </si>
  <si>
    <t>B.A</t>
  </si>
  <si>
    <t>Carmichael College,Rangpur</t>
  </si>
  <si>
    <t>Prodip Kumar</t>
  </si>
  <si>
    <t>Memberbari ,Uttorpara,Khilkhet,Dhaka</t>
  </si>
  <si>
    <t>Faridpur ,Mithapukur,Rangpur</t>
  </si>
  <si>
    <t>zhulan1op</t>
  </si>
  <si>
    <t>Tajkeya ajmi</t>
  </si>
  <si>
    <t>tajkeyaajmi6@gmail</t>
  </si>
  <si>
    <t>Most Hosne Ara Begum</t>
  </si>
  <si>
    <t>Na</t>
  </si>
  <si>
    <t>Gaibandha government college</t>
  </si>
  <si>
    <t>Md Abdul Quddus Ajmi</t>
  </si>
  <si>
    <t>Mirpur10, Dhaka</t>
  </si>
  <si>
    <t>Village :khordopatanocha,Police station:sadullapur,post:sadullapur,District :Gaibandha</t>
  </si>
  <si>
    <t>Shewrapara</t>
  </si>
  <si>
    <t>beilei203op</t>
  </si>
  <si>
    <t>Nadia Akter</t>
  </si>
  <si>
    <t>nadiakter18@gmail.com</t>
  </si>
  <si>
    <t>Fahim hossain</t>
  </si>
  <si>
    <t>167794 0318</t>
  </si>
  <si>
    <t>Dhaka women’s college</t>
  </si>
  <si>
    <t>Shajahan MIA</t>
  </si>
  <si>
    <t>House 51, road 14, sector 11 Uttara Dhaka 1230.</t>
  </si>
  <si>
    <t>H-2569, moddhopara college taltola, mazar road, Uttara khan mazar. Dhaka 1230</t>
  </si>
  <si>
    <t>Fahim Hossain</t>
  </si>
  <si>
    <t>beilei266op</t>
  </si>
  <si>
    <t>Eti Akter</t>
  </si>
  <si>
    <t>efraateti@gmail.com</t>
  </si>
  <si>
    <t>Parents</t>
  </si>
  <si>
    <t>Affiliated 7 College (Govt.Titumir College)</t>
  </si>
  <si>
    <t>Md Eleus Kanchon</t>
  </si>
  <si>
    <t>Halema Begum</t>
  </si>
  <si>
    <t>198/kha,Middle Badda,Gulshan -1</t>
  </si>
  <si>
    <t>Algirchar,Baradi,Sonargaon, Narayanganj,Dhaka</t>
  </si>
  <si>
    <t>beilei206op</t>
  </si>
  <si>
    <t>Rehena Khanom</t>
  </si>
  <si>
    <t>rehena123026@gmail.com</t>
  </si>
  <si>
    <t>Narail government Victoria college</t>
  </si>
  <si>
    <t>Munshi Attab uddin</t>
  </si>
  <si>
    <t>Latifa Begum</t>
  </si>
  <si>
    <t>Islampur, Mahajon, Noragati, Narail.</t>
  </si>
  <si>
    <t>beilei204op</t>
  </si>
  <si>
    <t>Zannatul Rifat Meem</t>
  </si>
  <si>
    <t>jannatulrifat86@gmail.com</t>
  </si>
  <si>
    <t>MRS Selina Islam</t>
  </si>
  <si>
    <t>BBA(Honours)</t>
  </si>
  <si>
    <t>Lalmatia Government Mahila College</t>
  </si>
  <si>
    <t>Md. Robiul Islam</t>
  </si>
  <si>
    <t>House- 74/2,road-4,block-b,Mirpur 12,Dhaka</t>
  </si>
  <si>
    <t>House- 61/3,road-4,block-b,Mirpur 12,Dhaka</t>
  </si>
  <si>
    <t>Mirpur 12</t>
  </si>
  <si>
    <t>beilei225op</t>
  </si>
  <si>
    <t>Nahida Yesmin</t>
  </si>
  <si>
    <t>Nahidaeity94@gmail.com</t>
  </si>
  <si>
    <t>Sabina Yesmin</t>
  </si>
  <si>
    <t>Degree pass</t>
  </si>
  <si>
    <t>Kamar Uddin Islamia College,Bogura</t>
  </si>
  <si>
    <t>Md.Abdul Zobber</t>
  </si>
  <si>
    <t>Most.Sajada Zabbar</t>
  </si>
  <si>
    <t>Shoptonir Abashon,Dewanpara, Vashantek,Dhaka-1206</t>
  </si>
  <si>
    <t>Vill:Katabaria,post:Damajani,T:Shajahanpur,Dist:Bogura</t>
  </si>
  <si>
    <t>beilei201op</t>
  </si>
  <si>
    <t>Asma Akter</t>
  </si>
  <si>
    <t>Sbintesaoda@gmail.com</t>
  </si>
  <si>
    <t>Md Abdus Salam</t>
  </si>
  <si>
    <t>Govt.titumir college</t>
  </si>
  <si>
    <t>Md. Abu Bakar Siddiqui</t>
  </si>
  <si>
    <t>Ayesha Begum</t>
  </si>
  <si>
    <t>Ka-88/5, khapara,khilkhet, Dhaka 1229</t>
  </si>
  <si>
    <t>Village:Arua danga,post:Boro katali,thana:Rampal,District:Bagerhat</t>
  </si>
  <si>
    <t>Md abdus salam</t>
  </si>
  <si>
    <t>beilei274op</t>
  </si>
  <si>
    <t>Nikita</t>
  </si>
  <si>
    <t>nikitasobuj@gmail.com</t>
  </si>
  <si>
    <t>Jismot Ara Shimul</t>
  </si>
  <si>
    <t>Sirajgonj Govt. Collage, Sirajgonj</t>
  </si>
  <si>
    <t>Shahidullah Sabuj</t>
  </si>
  <si>
    <t>House-10, Road -15, Nikunja-2, Khilkhet, Dhaka</t>
  </si>
  <si>
    <t>Goshala, Fazlul Haque Road,Sirajgonj Sadar, Sirajgonj</t>
  </si>
  <si>
    <t>naihe18op</t>
  </si>
  <si>
    <t>nusratjahan018271@gmail.com</t>
  </si>
  <si>
    <t>Firoza Begum</t>
  </si>
  <si>
    <t>A-</t>
  </si>
  <si>
    <t>Abdul Matin</t>
  </si>
  <si>
    <t>Middle Badda, post office goli</t>
  </si>
  <si>
    <t>Chayfullakandi, Bancharampur,Brahmanbaria</t>
  </si>
  <si>
    <t>beilei202op</t>
  </si>
  <si>
    <t>Jannatul Arisha</t>
  </si>
  <si>
    <t>arishajannatul9@gmail.com</t>
  </si>
  <si>
    <t>MST. Lucky</t>
  </si>
  <si>
    <t>MD. Parvez</t>
  </si>
  <si>
    <t>30/2 Dobadia UttarKhan Dhaka 1230</t>
  </si>
  <si>
    <t>UttarKhan</t>
  </si>
  <si>
    <t>beilei267op</t>
  </si>
  <si>
    <t>Taskin Sadia</t>
  </si>
  <si>
    <t>Taskinsadia88@gmail.com</t>
  </si>
  <si>
    <t>Sima Hossain</t>
  </si>
  <si>
    <t>Sheikh Burhanuddain post graduate college &amp; university</t>
  </si>
  <si>
    <t>Liaquat Hossain</t>
  </si>
  <si>
    <t>Chandora,targach road, Gacha,Gazipur</t>
  </si>
  <si>
    <t>35, Becharam dewri , lalbag, Dhaka</t>
  </si>
  <si>
    <t>beilei205op</t>
  </si>
  <si>
    <t>Aliza Afrin</t>
  </si>
  <si>
    <t>alizaafrin1996@gmail.com</t>
  </si>
  <si>
    <t>Monirul Islam opu</t>
  </si>
  <si>
    <t>Govt.Azizul haque College, Bogura</t>
  </si>
  <si>
    <t>Md. Ezazul Islam</t>
  </si>
  <si>
    <t>Mst.Rowson Akter</t>
  </si>
  <si>
    <t>House no. 41/D, Road- 7 shekertek, Mohammadpur, Dhaka</t>
  </si>
  <si>
    <t>Thanthaniya Hajipara, Bogura</t>
  </si>
  <si>
    <t>Genex172</t>
  </si>
  <si>
    <t>Sadman Rashid Rohaan</t>
  </si>
  <si>
    <t>srohaan.1995@gmail.com</t>
  </si>
  <si>
    <t>Rabeya Begum</t>
  </si>
  <si>
    <t>Md Abdur Rashid</t>
  </si>
  <si>
    <t>Choto Khamar Bari, Dhakkhinpara, Araihazar, Narayanganj,Dhaka-1450</t>
  </si>
  <si>
    <t>H:Ka/55, R:14, Tanpara, Nikunja-2, Khilkhet, Dhaka-1229</t>
  </si>
  <si>
    <t>Genex181</t>
  </si>
  <si>
    <t>MD Shoriful Islam</t>
  </si>
  <si>
    <t>imdshoriful407@gmail.con</t>
  </si>
  <si>
    <t>Md. Abu Sayeed</t>
  </si>
  <si>
    <t>A01951125</t>
  </si>
  <si>
    <t>B.sc in CSE</t>
  </si>
  <si>
    <t>Rocksana Sultana</t>
  </si>
  <si>
    <t xml:space="preserve">House No : 42, Sector 11,  Uttara Model Town, Dhaka</t>
  </si>
  <si>
    <t>Village: Golabary, PO: Zadurchar, PS: Rowmary, District: Kurigram</t>
  </si>
  <si>
    <t>Unmarrid</t>
  </si>
  <si>
    <t>Genex188</t>
  </si>
  <si>
    <t>MD Ashikur Rahman</t>
  </si>
  <si>
    <t>Emonaslam565@gmail.com</t>
  </si>
  <si>
    <t>Rafiqul islam</t>
  </si>
  <si>
    <t>Anowara Begum</t>
  </si>
  <si>
    <t>Tangail. Madhupur</t>
  </si>
  <si>
    <t>Nadda</t>
  </si>
  <si>
    <t>Edilpur</t>
  </si>
  <si>
    <t>01789088348</t>
  </si>
  <si>
    <t>Genex204</t>
  </si>
  <si>
    <t>Ashik Reza</t>
  </si>
  <si>
    <t>ashikreza486@gmail.com</t>
  </si>
  <si>
    <t>Rehana Begum</t>
  </si>
  <si>
    <t xml:space="preserve">Govt Bangobondhu college Gopalgonj </t>
  </si>
  <si>
    <t>Jafar Ali Sheikh</t>
  </si>
  <si>
    <t>Khilkhet, Dhaka</t>
  </si>
  <si>
    <t>Gopalgonj,kashiani</t>
  </si>
  <si>
    <t xml:space="preserve">khilkhet </t>
  </si>
  <si>
    <t>01776498429</t>
  </si>
  <si>
    <t>beilei278op</t>
  </si>
  <si>
    <t>Maria Sultana</t>
  </si>
  <si>
    <t>vabna440@gmail.com</t>
  </si>
  <si>
    <t>B.Sc</t>
  </si>
  <si>
    <t>SouthEast University</t>
  </si>
  <si>
    <t>Md. Murad Hasan</t>
  </si>
  <si>
    <t>Hasina Akter</t>
  </si>
  <si>
    <t>53/15, North Manikdi, Dhaka- Cantonment</t>
  </si>
  <si>
    <t>Dhaka-Cantonment</t>
  </si>
  <si>
    <t>beilei276op</t>
  </si>
  <si>
    <t>Jame Akter</t>
  </si>
  <si>
    <t>jamijannatul2@gmail</t>
  </si>
  <si>
    <t>Faisal al Fahad</t>
  </si>
  <si>
    <t>Abu Jorgifari College</t>
  </si>
  <si>
    <t>Md. Aminul Islam</t>
  </si>
  <si>
    <t>Mst. Rehana Islam</t>
  </si>
  <si>
    <t>H# 9/3, North Goran, Khilgaon, Dhaka.</t>
  </si>
  <si>
    <t>Vill# Brishalikha, PS# Bera, Dis# Pabna</t>
  </si>
  <si>
    <t>beilei277op</t>
  </si>
  <si>
    <t>Amina</t>
  </si>
  <si>
    <t>amina19951201@gmail</t>
  </si>
  <si>
    <t>Md Al Momen</t>
  </si>
  <si>
    <t>Tongi Gov. College</t>
  </si>
  <si>
    <t>Kamal Uddin</t>
  </si>
  <si>
    <t>Momtaz Begum</t>
  </si>
  <si>
    <t>H# 19, R# 5, Kalsi, B# D, Mirpur-12.</t>
  </si>
  <si>
    <t>Vill# Bhuleshwar, PS# Kapashia, Dis# Gazipur</t>
  </si>
  <si>
    <t>Genex175</t>
  </si>
  <si>
    <t>Md Sumon Sharder</t>
  </si>
  <si>
    <t>Md. Abu Musa</t>
  </si>
  <si>
    <t>Sobura Khatun</t>
  </si>
  <si>
    <t>H#12, R# 20, Nikunjo-2, Khilkhet, Dhaka</t>
  </si>
  <si>
    <t>Kumarkhali, Kustia, Tarapura.</t>
  </si>
  <si>
    <t>Genex180</t>
  </si>
  <si>
    <t>MD Apu Moral</t>
  </si>
  <si>
    <t>909068/2012</t>
  </si>
  <si>
    <t>Fatema Begum</t>
  </si>
  <si>
    <t>Mirpur College</t>
  </si>
  <si>
    <t>Ward- 42, Road-2, Village-Satpoa, Pubail, Gazipur</t>
  </si>
  <si>
    <t>Pubail</t>
  </si>
  <si>
    <t>beilei285op</t>
  </si>
  <si>
    <t>Sayed Md Osman Goni Tuhin</t>
  </si>
  <si>
    <t>tuhinosman5@gmail.com</t>
  </si>
  <si>
    <t>Sayeda Ayesha Sultana</t>
  </si>
  <si>
    <t>Port City International University</t>
  </si>
  <si>
    <t>Sayed Md Monirul Alam</t>
  </si>
  <si>
    <t>Khorshed Ara Begum</t>
  </si>
  <si>
    <t>Comfort Housing,17/C, Home-20, Flat 7/A, Adabor, Dhaka.</t>
  </si>
  <si>
    <t>East Bathaniya, East Shiluya, Chagolnaiya, Feni.</t>
  </si>
  <si>
    <t>Adabor</t>
  </si>
  <si>
    <t>Md Khairul ISLAM</t>
  </si>
  <si>
    <t>mdkhairulislamshopno@gmail.com</t>
  </si>
  <si>
    <t>Kazi Azimuddin College</t>
  </si>
  <si>
    <t>Md. Ayub Ali</t>
  </si>
  <si>
    <t>khurshida Begum</t>
  </si>
  <si>
    <t>Vill: Dattapara p.o: Islampur Dist: Gazipur Thana: Tongi</t>
  </si>
  <si>
    <t>vill: Dattapara p.o: Islampur Dist: gazipur Thana: tongi</t>
  </si>
  <si>
    <t>beilei284op</t>
  </si>
  <si>
    <t>Nayan Chandra Sikder</t>
  </si>
  <si>
    <t>nayansikder772@gmail.com</t>
  </si>
  <si>
    <t>Nipen Chandra Sikder</t>
  </si>
  <si>
    <t>Govt Syed Hatem Ali College, Barishal</t>
  </si>
  <si>
    <t>Josna Rani Sikder</t>
  </si>
  <si>
    <t>KBTD complex, Hous no 57, Banani 11, Dhaka</t>
  </si>
  <si>
    <t>Tiakhali, Jaguyar Hat, Barishal Sador, Barishal.</t>
  </si>
  <si>
    <t>Banani 11</t>
  </si>
  <si>
    <t>single</t>
  </si>
  <si>
    <t>beilei281op</t>
  </si>
  <si>
    <t>Aysha islam</t>
  </si>
  <si>
    <t>aiayshaislam154@gmail.com</t>
  </si>
  <si>
    <t>Nahida Islam</t>
  </si>
  <si>
    <t>Honors graduate</t>
  </si>
  <si>
    <t>Md.Taizuddin Islam</t>
  </si>
  <si>
    <t>Asia Islam</t>
  </si>
  <si>
    <t>Purbo arichpur 141 Holding number.Younus ali sarkar road Tongi-Gazipur</t>
  </si>
  <si>
    <t>Purbo arichpur 141 holding number,Younus ali sarkar road.Tongi-Gazipur</t>
  </si>
  <si>
    <t>beilei292op</t>
  </si>
  <si>
    <t>Tasfia Al Hossain</t>
  </si>
  <si>
    <t>tasfiasilvia73@gmail.com</t>
  </si>
  <si>
    <t>Sakib Ahmadus Sattar</t>
  </si>
  <si>
    <t>Bachelor of Pharmacy (Honr's)</t>
  </si>
  <si>
    <t>Ali Hossain (Late)</t>
  </si>
  <si>
    <t>Hosne Ara</t>
  </si>
  <si>
    <t>House:Dakkhin para, Road:Pipulia, P.O:Pubail, P.S:Kaliganj, Gazipur</t>
  </si>
  <si>
    <t>beilei291op</t>
  </si>
  <si>
    <t>Nehemiah Ernest Faircross</t>
  </si>
  <si>
    <t>nfaircross@gmail.com</t>
  </si>
  <si>
    <t>Prof. Nathanael Edwin Faircross</t>
  </si>
  <si>
    <t>B.D.S</t>
  </si>
  <si>
    <t>Grace Faircross</t>
  </si>
  <si>
    <t>House-435/1/1, Warless railgate, Moghbazar, Dhaka-1217.</t>
  </si>
  <si>
    <t>Upattaka-72, Mominul mouzdin road, Hasannagar, Sunamganj-3000, sylhet division, Bangladesh.</t>
  </si>
  <si>
    <t>Malibagh, Dhaka.</t>
  </si>
  <si>
    <t>beilei295op</t>
  </si>
  <si>
    <t>Md Sujon fokir</t>
  </si>
  <si>
    <t>Fokirsujon130@gamil.com</t>
  </si>
  <si>
    <t>Md sofikur</t>
  </si>
  <si>
    <t>Md akbor fokir</t>
  </si>
  <si>
    <t>Msr sobiron Begum</t>
  </si>
  <si>
    <t>Lamiya monjil khilkhet area</t>
  </si>
  <si>
    <t>Maldah dhalarchar, aminpur pabna</t>
  </si>
  <si>
    <t>Khilkhet area</t>
  </si>
  <si>
    <t>Tumpa Rani Paul</t>
  </si>
  <si>
    <t>Paultumpaul665@gamil.com</t>
  </si>
  <si>
    <t>Pinky rani paul</t>
  </si>
  <si>
    <t>MSC</t>
  </si>
  <si>
    <t>Muhammad pur central University Dhaka</t>
  </si>
  <si>
    <t>Ajit paul</t>
  </si>
  <si>
    <t>Loxmi rani paul</t>
  </si>
  <si>
    <t>Nikunjo 2,,road 16,,house 4</t>
  </si>
  <si>
    <t>Tarail,,lsd road,,Kishoreganj</t>
  </si>
  <si>
    <t>beilei287op</t>
  </si>
  <si>
    <t>Ifrat Jahan</t>
  </si>
  <si>
    <t>mahadi0215@gmail.com</t>
  </si>
  <si>
    <t>Mahadi Hassan</t>
  </si>
  <si>
    <t>Md. Ismaile Hossain</t>
  </si>
  <si>
    <t>Farida Pravin</t>
  </si>
  <si>
    <t>Taher Lodge, House No.: 641, Ward No.: 39, Badda, Vatara Thana-1212, Dhaka, Bangladesh.</t>
  </si>
  <si>
    <t>Koburhat Madrasha Para, Koburhat, Jagati-7002, Kushtia Sadar, Kushtia.</t>
  </si>
  <si>
    <t>Badda, Vatara Thana-1212.</t>
  </si>
  <si>
    <t>beilei283op</t>
  </si>
  <si>
    <t>Sal Sabil Binte Zobayer</t>
  </si>
  <si>
    <t>salsabilhiya@gmail.com</t>
  </si>
  <si>
    <t>151 492 4842</t>
  </si>
  <si>
    <t>Uttara University (Law)</t>
  </si>
  <si>
    <t>MD. Zobayer Haque</t>
  </si>
  <si>
    <t>MST. Israt Jahan</t>
  </si>
  <si>
    <t>Dakshnkhan ,Uttara , Dhaka</t>
  </si>
  <si>
    <t>Mohimagonj ,Gobindagonj ,Gaibandha</t>
  </si>
  <si>
    <t>Fahim Hossen Durjoy</t>
  </si>
  <si>
    <t>22-12-1999</t>
  </si>
  <si>
    <t>beilei279op</t>
  </si>
  <si>
    <t>Asif Chowdhury</t>
  </si>
  <si>
    <t>asif.chowdhury.998@gmail.com</t>
  </si>
  <si>
    <t>Sharmin Afroz</t>
  </si>
  <si>
    <t>Dhaka International University</t>
  </si>
  <si>
    <t>MAHBUBAR RAHMAN CHOWDHURY</t>
  </si>
  <si>
    <t>Mst. ARJUARA BEGUM</t>
  </si>
  <si>
    <t>House No.157, Road No. 8, Block D, Bashundhara R/A, Dhaka, Bangladesh</t>
  </si>
  <si>
    <t>Village: Beradakuri, Chowdhury Bari , P.O.: Bhangula-2054 P.S.: Gopalpur ,District: Tangail</t>
  </si>
  <si>
    <t>Bashundhara R/A</t>
  </si>
  <si>
    <t>beilei288op</t>
  </si>
  <si>
    <t>Dharmendra Kumar Mondal</t>
  </si>
  <si>
    <t>mondald176@gmail.com</t>
  </si>
  <si>
    <t>Sachindra Nath Mondal</t>
  </si>
  <si>
    <t>BSc.</t>
  </si>
  <si>
    <t>Smriti Rani Mondal</t>
  </si>
  <si>
    <t>Area : 48, Lili vila, PO : Dakshinkhan, PS : Dakshinkhan, District : Dhaka</t>
  </si>
  <si>
    <t>Vill : Batikhali, PO : Paikgacha, PS : Paikgacha, District : Khulna</t>
  </si>
  <si>
    <t>beilei298op</t>
  </si>
  <si>
    <t>888642 / 07</t>
  </si>
  <si>
    <t>abdullah005467@gmail.com</t>
  </si>
  <si>
    <t>Obaidulla-Al-Mahmud</t>
  </si>
  <si>
    <t>A12969603</t>
  </si>
  <si>
    <t>MD. Abul kalam</t>
  </si>
  <si>
    <t>Shahanaz Begum</t>
  </si>
  <si>
    <t>House: 22, Road: 14, Nikunjo-2, Khilkhet, Dhaka-1229</t>
  </si>
  <si>
    <t>Village/P.O: Kanchan, P.S: Rupganj, District: Narayanganj</t>
  </si>
  <si>
    <t>Tahmina Hasan</t>
  </si>
  <si>
    <t>beilei289op</t>
  </si>
  <si>
    <t>Samsunnahar</t>
  </si>
  <si>
    <t>shamsunnaharpoly2022@gmail.com</t>
  </si>
  <si>
    <t>Md.Abdul Karim</t>
  </si>
  <si>
    <t>M.S.C</t>
  </si>
  <si>
    <t>Mst.Rakha Parvin</t>
  </si>
  <si>
    <t>Bonmala Road,Dattapara,Tongi,Gazipur.</t>
  </si>
  <si>
    <t>Baniapara,Ghatail, Tangail.</t>
  </si>
  <si>
    <t>heibulin40op</t>
  </si>
  <si>
    <t>Sharmin Akter Liza</t>
  </si>
  <si>
    <t>Md. Bajlu Sikder</t>
  </si>
  <si>
    <t>19984234363500044</t>
  </si>
  <si>
    <t>Crown Institute of Business &amp; Tech ( CIBT )</t>
  </si>
  <si>
    <t>Lily Akter</t>
  </si>
  <si>
    <t>Ka, 61/A, Joarshahara Bazar Khilkhet, Dhaka-1229</t>
  </si>
  <si>
    <t>South Analbunia, Po# Anailbuniya, PS# Kathalia, Dis# Jhalokathi.</t>
  </si>
  <si>
    <t>beilei280op</t>
  </si>
  <si>
    <t>Rowshon Ara Parvin</t>
  </si>
  <si>
    <t>rowshon922@gmail</t>
  </si>
  <si>
    <t>M.A.</t>
  </si>
  <si>
    <t>Dinajpur Government College</t>
  </si>
  <si>
    <t>Let.Rais Uddin</t>
  </si>
  <si>
    <t>Sufia begum</t>
  </si>
  <si>
    <t>House no: 04, Road no: 04, Nikunjo 2, Dhaka1229</t>
  </si>
  <si>
    <t>Vill: Nimnagar Balubari (Polytechnical road no:07),House/Holding : 466/155 post:Dinajpur, Thana: Sadar, Dis: Dinajpur</t>
  </si>
  <si>
    <t>Chand Mia</t>
  </si>
  <si>
    <t>naihe21op</t>
  </si>
  <si>
    <t>Md Rokonuzzaman Rifat</t>
  </si>
  <si>
    <t>md.rokunuzzamanrifat@gmail.com</t>
  </si>
  <si>
    <t>Mst. Rousan Ara Begum</t>
  </si>
  <si>
    <t>Matlubur Rahman</t>
  </si>
  <si>
    <t>Mst. Rouson Ara Begum</t>
  </si>
  <si>
    <t>House-03 Road no.8 Block-J, Esturn Housing, Mirpur 12.</t>
  </si>
  <si>
    <t>Komorpur, Tulshigut, Gaibandha.</t>
  </si>
  <si>
    <t>beilei294op</t>
  </si>
  <si>
    <t>Md.Alinur Rahman</t>
  </si>
  <si>
    <t>alinurbd20017@gmail</t>
  </si>
  <si>
    <t>Mama</t>
  </si>
  <si>
    <t>Msc</t>
  </si>
  <si>
    <t>Md.Toybul Islam</t>
  </si>
  <si>
    <t>Mst. Aleya begum</t>
  </si>
  <si>
    <t>356/57, senpara, parbata, mirpur -10, Dhaka 1216</t>
  </si>
  <si>
    <t>Vill.:south sundor khata, P/O: Nij sundor khata, P/S: Dimla, Dist:Nilphamari</t>
  </si>
  <si>
    <t>beilei286op</t>
  </si>
  <si>
    <t>Tahmina Akter Jui</t>
  </si>
  <si>
    <t>juitahmina7@gmail.com</t>
  </si>
  <si>
    <t>Shanjida Akter Shorna</t>
  </si>
  <si>
    <t>Lalmatiya Government Mohila College</t>
  </si>
  <si>
    <t>Late Jahirul Islam</t>
  </si>
  <si>
    <t>Samsun Nahar</t>
  </si>
  <si>
    <t>76/1,maitar para,Gazipura sataish,Tongi</t>
  </si>
  <si>
    <t>Village: Gokulnagar, P.O: Gokulnagar,Thana:Bancharampur,Distirct:B-Baria</t>
  </si>
  <si>
    <t>Beilei Home</t>
  </si>
  <si>
    <t>Md. Asaduzzaman</t>
  </si>
  <si>
    <t>Gov. Titumir College</t>
  </si>
  <si>
    <t>Md. Abdul Latif Sarkar</t>
  </si>
  <si>
    <t>Mst. Rebina Begum</t>
  </si>
  <si>
    <t>H#47, R#20, Nikunjo2, Khilkhet</t>
  </si>
  <si>
    <t>Vill# Gomnati, PS# Domar, Dis# Nilphamari</t>
  </si>
  <si>
    <t>Genex193</t>
  </si>
  <si>
    <t>MD Traikul Islam Tarek</t>
  </si>
  <si>
    <t>hwtarikul@gmail.com</t>
  </si>
  <si>
    <t>MD Fazlul Haque</t>
  </si>
  <si>
    <t>Bsc in Zoology</t>
  </si>
  <si>
    <t>Netrokona govt college</t>
  </si>
  <si>
    <t>Md Fazlul Haque</t>
  </si>
  <si>
    <t>Jamina Khatun</t>
  </si>
  <si>
    <t>H-6, R-13-S-10</t>
  </si>
  <si>
    <t>Village: Mamarishpur, PO: Valuka Dist: Mymensingh</t>
  </si>
  <si>
    <t>01676816324</t>
  </si>
  <si>
    <t>Genex195</t>
  </si>
  <si>
    <t>Jahirul Talukder</t>
  </si>
  <si>
    <t>tdjahirul@gmail.com</t>
  </si>
  <si>
    <t>Habibur Talukder</t>
  </si>
  <si>
    <t>Hannan talukder</t>
  </si>
  <si>
    <t>Helena Begum</t>
  </si>
  <si>
    <t>5/E North Jatrabari ,Dhaka-1204</t>
  </si>
  <si>
    <t>5/E North Jatrabari dhaka-1204</t>
  </si>
  <si>
    <t>Jatrabari</t>
  </si>
  <si>
    <t>No</t>
  </si>
  <si>
    <t>DipaRaniMohonto</t>
  </si>
  <si>
    <t>Dipa Rani Mohonto</t>
  </si>
  <si>
    <t>dipamohanto1998@gmail</t>
  </si>
  <si>
    <t>Rabote rani</t>
  </si>
  <si>
    <t>Honers</t>
  </si>
  <si>
    <t>Rangpur government College</t>
  </si>
  <si>
    <t>Proshonno kumar mohonto</t>
  </si>
  <si>
    <t>Sreemoti Rabote Rani mohnto</t>
  </si>
  <si>
    <t>Mirpur -house-185/186,road-5</t>
  </si>
  <si>
    <t>Vill-Aligram, post-Aligram, Thana-Gobindoganj,Zilla-Gaibandha</t>
  </si>
  <si>
    <t>Genex224</t>
  </si>
  <si>
    <t>Abu Bakar Siddik</t>
  </si>
  <si>
    <t xml:space="preserve">Male </t>
  </si>
  <si>
    <t>Temu</t>
  </si>
  <si>
    <t xml:space="preserve"> Fixed</t>
  </si>
  <si>
    <t>md.abs.hridoy7@gmail.com</t>
  </si>
  <si>
    <t>Md.Babul Chowdhury</t>
  </si>
  <si>
    <t xml:space="preserve">Adamjee Cantonment College </t>
  </si>
  <si>
    <t xml:space="preserve">Md.Babul Chowdhury </t>
  </si>
  <si>
    <t xml:space="preserve">Mrs.Fatema Begum </t>
  </si>
  <si>
    <t>Gazipur,Sorkar bari road,Ripon miyar bari</t>
  </si>
  <si>
    <t>Unmerried</t>
  </si>
  <si>
    <t>xisailuo33op</t>
  </si>
  <si>
    <t>MD.Arfan Hossain</t>
  </si>
  <si>
    <t>Yeasmin Akhter Bristy</t>
  </si>
  <si>
    <t>Md. Kamal Hossain</t>
  </si>
  <si>
    <t>Yeasmin Akhter</t>
  </si>
  <si>
    <t>16, Gazipura, Mazar Uttarkhan, Uttara, Dhaka-1230.</t>
  </si>
  <si>
    <t>655, North Kafrul, Cantonment, Dhaka-1206</t>
  </si>
  <si>
    <t>xisailuo78op</t>
  </si>
  <si>
    <t>Sumaya Amin</t>
  </si>
  <si>
    <t>Mukhsutun Rahman</t>
  </si>
  <si>
    <t>Nazma</t>
  </si>
  <si>
    <t>Manikdi Dhaka Canton ment Dhaka</t>
  </si>
  <si>
    <t>Sreerampur, Jamalpur Sadar Jamalpur</t>
  </si>
  <si>
    <t>Dhaka cantonment</t>
  </si>
  <si>
    <t>xushiyu1op</t>
  </si>
  <si>
    <t>Amatul Zinat</t>
  </si>
  <si>
    <t>amatulzinatt@gmail.com</t>
  </si>
  <si>
    <t>Ashif Imtiaz Khan</t>
  </si>
  <si>
    <t>Md. Iqbal Hossen Khan</t>
  </si>
  <si>
    <t>Arifa Hossen</t>
  </si>
  <si>
    <t>H#54,R#13,Sec#14, Uttara Dhaka-1230</t>
  </si>
  <si>
    <t>H#54,R#13,Sec#14, Uttara Dhaka-1231</t>
  </si>
  <si>
    <t>Genex212</t>
  </si>
  <si>
    <t>Tuzammal Hossain Masum</t>
  </si>
  <si>
    <t>tuzammal15-2352@diu.edu.bd</t>
  </si>
  <si>
    <t>Muzammal Hossin Mahim</t>
  </si>
  <si>
    <t>BSC in CSE</t>
  </si>
  <si>
    <t>Md. Abu Hanif</t>
  </si>
  <si>
    <t>Shamsun Nahar</t>
  </si>
  <si>
    <t>11/12A College gate , Tongi- Gazipur</t>
  </si>
  <si>
    <t>Genex213</t>
  </si>
  <si>
    <t>Md. Saiful Islam</t>
  </si>
  <si>
    <t>saifulofficial0@gmail.com</t>
  </si>
  <si>
    <t>Md. Nazrul Islam</t>
  </si>
  <si>
    <t>Jagannath University</t>
  </si>
  <si>
    <t>Dilara Begum</t>
  </si>
  <si>
    <t>141, South Bishil, Mirpur-1, Dhaka-1216</t>
  </si>
  <si>
    <t>Vill-Kafila, Union-Niamoti, P.S-Bakergonj, Dist.-Barishal</t>
  </si>
  <si>
    <t>Genex233</t>
  </si>
  <si>
    <t>Joy Kumar Sarker</t>
  </si>
  <si>
    <t>joysarker191@gmail.com</t>
  </si>
  <si>
    <t>pinky das</t>
  </si>
  <si>
    <t>khalilur rahman degree collage</t>
  </si>
  <si>
    <t>shadhan chandra sarker</t>
  </si>
  <si>
    <t>babi rani sarker</t>
  </si>
  <si>
    <t>west rumpura DCC 485/1 ullon das para</t>
  </si>
  <si>
    <t xml:space="preserve">noakhali, chatkhil, khilpara bazar post 3872 </t>
  </si>
  <si>
    <t>rampura</t>
  </si>
  <si>
    <t>Genex242</t>
  </si>
  <si>
    <t>Md Ridoy Mia</t>
  </si>
  <si>
    <t>arhamhridoy@gmail.com</t>
  </si>
  <si>
    <t>Shah Alam</t>
  </si>
  <si>
    <t>Govt. Titumir college</t>
  </si>
  <si>
    <t>Md Shah Alam</t>
  </si>
  <si>
    <t>Lipi</t>
  </si>
  <si>
    <t>ka-53/a, khilkhet kha-para</t>
  </si>
  <si>
    <t>bashon shork, joydebpur gazipur</t>
  </si>
  <si>
    <t>Eshita Yeasmin Eva</t>
  </si>
  <si>
    <t>28/08/2003</t>
  </si>
  <si>
    <t>Aslihan Hridi</t>
  </si>
  <si>
    <t>beilei301op</t>
  </si>
  <si>
    <t>Shahela Akter Aemin</t>
  </si>
  <si>
    <t>Shaylashayla6279@gmail.com</t>
  </si>
  <si>
    <t>Cumilla Victoria Govt College</t>
  </si>
  <si>
    <t>Mozammel Haque Bhuiyan</t>
  </si>
  <si>
    <t>Tofura begum</t>
  </si>
  <si>
    <t>Taltola,Agargaon</t>
  </si>
  <si>
    <t>Chatkhil.Noakhali</t>
  </si>
  <si>
    <t>Taltola.Agargaon</t>
  </si>
  <si>
    <t>beilei345op</t>
  </si>
  <si>
    <t>Shraddha Shila Chakma</t>
  </si>
  <si>
    <t>Beilei-Beauty</t>
  </si>
  <si>
    <t>shraddhachakma007@gmail.com</t>
  </si>
  <si>
    <t>Sultana Begum</t>
  </si>
  <si>
    <t>A06648607</t>
  </si>
  <si>
    <t>Not studying</t>
  </si>
  <si>
    <t>DIU</t>
  </si>
  <si>
    <t>Md Mahbubur Rahman</t>
  </si>
  <si>
    <t>31/25/2, Middle Paikpara, Answercamp, Mirpur -1</t>
  </si>
  <si>
    <t>31/C, Middle Paikpara, Answercamp,Mirpur -1</t>
  </si>
  <si>
    <t>Waliul Azam</t>
  </si>
  <si>
    <t>None</t>
  </si>
  <si>
    <t>beilei307op</t>
  </si>
  <si>
    <t>Tania Afriz</t>
  </si>
  <si>
    <t>taniaafriz84@gmail.com</t>
  </si>
  <si>
    <t>NISHANTU CHAKMA</t>
  </si>
  <si>
    <t>BUDDHISM</t>
  </si>
  <si>
    <t>EDEN MOHILA COLLEGE</t>
  </si>
  <si>
    <t>MONI BIKASH CHAKMA</t>
  </si>
  <si>
    <t>CHAPALA CHAKMA</t>
  </si>
  <si>
    <t>H- 159/18/C-3, WEST SHEWRAPARA, MIRPUR, DHAKA -1216.</t>
  </si>
  <si>
    <t>VILL- HIGH SCHOOL PARA, TETULTOLA, KHAGRACHHARI SADAR, KHAGRACHHARI.</t>
  </si>
  <si>
    <t>SHEWRAPARA, MIRPUR, DHAKA.</t>
  </si>
  <si>
    <t>beilei334op</t>
  </si>
  <si>
    <t>Sonyea Akter</t>
  </si>
  <si>
    <t>Sonyeaakter30@ gmail.com</t>
  </si>
  <si>
    <t>Begum Badrunnessa govt College</t>
  </si>
  <si>
    <t>Abdul Mannan</t>
  </si>
  <si>
    <t>H-22,R-16, Dit project merul badda Dhaka -1212</t>
  </si>
  <si>
    <t>Vill-bisurbando,post-rupsha bazar Thana-Foridgong, Dist:chadpur</t>
  </si>
  <si>
    <t>beilei335op</t>
  </si>
  <si>
    <t>MD Ariful Islam</t>
  </si>
  <si>
    <t>mdarifulislamrabbi777@gmail.com</t>
  </si>
  <si>
    <t>CU</t>
  </si>
  <si>
    <t>Md. Sahabuddin</t>
  </si>
  <si>
    <t>Taslima Akter</t>
  </si>
  <si>
    <t>Chakolgram,Nayarhat, Ashuliya, Savar,Dhaka</t>
  </si>
  <si>
    <t>Chakolgram,Nayarhat,Ashuliya, Savar,Dhaka</t>
  </si>
  <si>
    <t>Ashuliya</t>
  </si>
  <si>
    <t>beilei336op</t>
  </si>
  <si>
    <t>Mezanur Rahman</t>
  </si>
  <si>
    <t>954287/10</t>
  </si>
  <si>
    <t>rahmansane440@gmail.com</t>
  </si>
  <si>
    <t>Md kafil Uddin</t>
  </si>
  <si>
    <t>351 senpara parbota Mirpur Dhaka 1216</t>
  </si>
  <si>
    <t>Tasmim akhter mredula</t>
  </si>
  <si>
    <t>beilei339op</t>
  </si>
  <si>
    <t>Tanzin Jahan Emu</t>
  </si>
  <si>
    <t>tanjinemu27@gmail.com</t>
  </si>
  <si>
    <t>Nuruzzaman</t>
  </si>
  <si>
    <t>Surakter Begum</t>
  </si>
  <si>
    <t>Station Road,House/Flat:490/285,House Name:Helal Uddin Center,Tongi Gazipur.</t>
  </si>
  <si>
    <t>Station Road,House/Flat:490/285,House name:Helal Uddin Center,Tongi-Gazipur.</t>
  </si>
  <si>
    <t>Tongi.</t>
  </si>
  <si>
    <t>Mahbub Alom</t>
  </si>
  <si>
    <t>beilei340op</t>
  </si>
  <si>
    <t>Antu Chandro Pal</t>
  </si>
  <si>
    <t>antorkumarpal680@gmail.com</t>
  </si>
  <si>
    <t>MD Mehedi Hasan</t>
  </si>
  <si>
    <t>B-</t>
  </si>
  <si>
    <t>Bhawal badre alom govt college</t>
  </si>
  <si>
    <t>MD. Shafij uddin</t>
  </si>
  <si>
    <t>House no 245,16no ward,outpara,moymonshingho rode ,chandona,chowrasta,gazipur city corporation,gazipur.</t>
  </si>
  <si>
    <t>House no 245,16no ward,outpara,moymonshingho rode,unishe tower goli,chando</t>
  </si>
  <si>
    <t>Gazipur(chowrasta)</t>
  </si>
  <si>
    <t>Anas Abdullah</t>
  </si>
  <si>
    <t>beilei341op</t>
  </si>
  <si>
    <t>Ishrat Jahan</t>
  </si>
  <si>
    <t>ishrattonny548@gmail.com</t>
  </si>
  <si>
    <t>Rowshon Rra</t>
  </si>
  <si>
    <t>Mohila college Jessore</t>
  </si>
  <si>
    <t>Anwar Hossain</t>
  </si>
  <si>
    <t>Khilkhet Baparipara Dhaka 1229</t>
  </si>
  <si>
    <t>beilei305op</t>
  </si>
  <si>
    <t>Ayerin Akter</t>
  </si>
  <si>
    <t>Ayerina280@gmail.com</t>
  </si>
  <si>
    <t>Bsc in cse</t>
  </si>
  <si>
    <t>Khayrul Islam</t>
  </si>
  <si>
    <t>Nuru Nahar Bagum</t>
  </si>
  <si>
    <t>Borovanga,Damra,Dhaka</t>
  </si>
  <si>
    <t>Mohespur, Ishwargonj, Mymensing</t>
  </si>
  <si>
    <t>beilei306op</t>
  </si>
  <si>
    <t>akterroksana697@ gmail. Com</t>
  </si>
  <si>
    <t>Ayesha Akter</t>
  </si>
  <si>
    <t>B.S.S</t>
  </si>
  <si>
    <t>BOU</t>
  </si>
  <si>
    <t>Abdur Rahman</t>
  </si>
  <si>
    <t>Mafuza Khatoon</t>
  </si>
  <si>
    <t>House-28, Road-1130, Vatara , Dhaka-1212</t>
  </si>
  <si>
    <t>House-48, Makerjani Lan , Sadar Mymensingh-2200</t>
  </si>
  <si>
    <t>beilei308op</t>
  </si>
  <si>
    <t>Nusrat Jamin</t>
  </si>
  <si>
    <t>nusratjamin@gmail.com</t>
  </si>
  <si>
    <t>SWATIRTHO CHIRAN</t>
  </si>
  <si>
    <t>B.A honours</t>
  </si>
  <si>
    <t>MASTER’S Running</t>
  </si>
  <si>
    <t>ALIAH UNIVERSITY, NEWTON KOLKATA, WEST BENGAL,INDIA</t>
  </si>
  <si>
    <t>Nelip Mrong</t>
  </si>
  <si>
    <t>Shyamol Chiran</t>
  </si>
  <si>
    <t>EAST RAMPURA ANATO DEEP GOLI, 382 HOUSE, DHAKA 1212.</t>
  </si>
  <si>
    <t>DT:SHERPUR.PS:JHINAIGATI.VLL.DUDHNOI.</t>
  </si>
  <si>
    <t>EAST RAMPURA.ANATA GOLI DEEP. 382 NUM HOUSE. DHAKA 1212</t>
  </si>
  <si>
    <t>beilei310op</t>
  </si>
  <si>
    <t>Mst Jannatul Fardousee</t>
  </si>
  <si>
    <t>jannatul.stu20165@juniv.edu</t>
  </si>
  <si>
    <t>JHORNA RANI PAL</t>
  </si>
  <si>
    <t>HONOURS</t>
  </si>
  <si>
    <t>MASTERS</t>
  </si>
  <si>
    <t>GOVT.SAADAT COLLEGE</t>
  </si>
  <si>
    <t>SREE PRODIP CHANDRA PAL</t>
  </si>
  <si>
    <t>House:Keyakunjo,Holding:60,Word:56,30/1 c girls school road,Arichpur,Tongi-East,Post Office:Monnunogor-1710,District:Gazipur</t>
  </si>
  <si>
    <t>Village:Deotola,Word:09,Union:Jangalia,Post Office:Norun Nazar-1700,Upazila:Kaliganj,District:Gazipur</t>
  </si>
  <si>
    <t>Tongi-East</t>
  </si>
  <si>
    <t>beilei311op</t>
  </si>
  <si>
    <t>Shamima Akter Khusi</t>
  </si>
  <si>
    <t>1010895428/2013</t>
  </si>
  <si>
    <t>Kusheislam3@gmail.com</t>
  </si>
  <si>
    <t>Tongi government college</t>
  </si>
  <si>
    <t>Foyaz Ahmed</t>
  </si>
  <si>
    <t>Helena begum</t>
  </si>
  <si>
    <t>Milget co oparetive market,tongi, gazipur</t>
  </si>
  <si>
    <t>Tanjir Ahmad</t>
  </si>
  <si>
    <t>Safwan</t>
  </si>
  <si>
    <t>beilei324op</t>
  </si>
  <si>
    <t>Ferdous Ahmed</t>
  </si>
  <si>
    <t>Beilei shoes and bags</t>
  </si>
  <si>
    <t>ferdousahmed6767@gmail.com</t>
  </si>
  <si>
    <t>Nasrin Begum</t>
  </si>
  <si>
    <t>Nazrul Islam</t>
  </si>
  <si>
    <t>138/9,East Rampura,Dhaka-1219</t>
  </si>
  <si>
    <t>Shahedal, Hosshainpur Kishorganj</t>
  </si>
  <si>
    <t>beilei325op</t>
  </si>
  <si>
    <t>Md. Istiak Rashid</t>
  </si>
  <si>
    <t>istiakrashidpeash1054@gmail.com</t>
  </si>
  <si>
    <t>JANNATUL NAYEEM</t>
  </si>
  <si>
    <t>WIFE</t>
  </si>
  <si>
    <t>M.B.A in Marketing.</t>
  </si>
  <si>
    <t>Cumilla University.</t>
  </si>
  <si>
    <t>MD.HARUNUR RASHID</t>
  </si>
  <si>
    <t>KAMRUN NAHAR</t>
  </si>
  <si>
    <t>Amulia,Bepari para road,Beside Alhaz abdur Razzak school &amp; College,Hol:36,Ward no:70,Demra,Dhaka-1360.</t>
  </si>
  <si>
    <t>Bazropur,Yusuf High School road,House:Chaya Bitan,Hol:273,Ward no:10,Cumilla-3500.</t>
  </si>
  <si>
    <t>Amulia,Demra.</t>
  </si>
  <si>
    <t>ARAFATH IBNE RASHID</t>
  </si>
  <si>
    <t>Genex244</t>
  </si>
  <si>
    <t>Alauddin</t>
  </si>
  <si>
    <t>mdalauddinkhanak181@gmail.com</t>
  </si>
  <si>
    <t>torikul islam joy</t>
  </si>
  <si>
    <t>Bsc in CSE</t>
  </si>
  <si>
    <t>DaFFodill Int. University</t>
  </si>
  <si>
    <t xml:space="preserve">Abdullah </t>
  </si>
  <si>
    <t>Murshida akter</t>
  </si>
  <si>
    <t>bepari para khilkhet</t>
  </si>
  <si>
    <t>brahmanbaria, nabinagar</t>
  </si>
  <si>
    <t>Genex248</t>
  </si>
  <si>
    <t>Mohmmad Nurul Islam Emon</t>
  </si>
  <si>
    <t>mohammademon640@gmail.com</t>
  </si>
  <si>
    <t>Noorzaham khanam</t>
  </si>
  <si>
    <t>Md. Iqbal hossain</t>
  </si>
  <si>
    <t>noorzahan khanam</t>
  </si>
  <si>
    <t>khilkhet, dhaka 1229</t>
  </si>
  <si>
    <t>Genex255</t>
  </si>
  <si>
    <t>Abdur Rahim</t>
  </si>
  <si>
    <t>abdurrahim181878@gmail.com</t>
  </si>
  <si>
    <t>Sheikh Abdullah</t>
  </si>
  <si>
    <t>Dhaka college</t>
  </si>
  <si>
    <t>Lutfun nahar</t>
  </si>
  <si>
    <t>Nikuja 2.dhaka</t>
  </si>
  <si>
    <t>companyganj, noakhali</t>
  </si>
  <si>
    <t>Genex260</t>
  </si>
  <si>
    <t>Debjit karmakar</t>
  </si>
  <si>
    <t>debojitkarmaker1998@gmail.com</t>
  </si>
  <si>
    <t>madhusudam karmakar</t>
  </si>
  <si>
    <t>swarupkati govt. college</t>
  </si>
  <si>
    <t>jhuma karmakar</t>
  </si>
  <si>
    <t>mirpur-10</t>
  </si>
  <si>
    <t>swarupkati, pirojpur</t>
  </si>
  <si>
    <t>GenexJ053</t>
  </si>
  <si>
    <t>Monoarul Islam Remon</t>
  </si>
  <si>
    <t>Ashraful Hauque</t>
  </si>
  <si>
    <t>Monoarulislam.csm@gmail.com</t>
  </si>
  <si>
    <t>Monowar Hossain Emon</t>
  </si>
  <si>
    <t>BBA(honours)</t>
  </si>
  <si>
    <t>Govt. Bangobandhu College, dhaka.(National University)</t>
  </si>
  <si>
    <t>Md.Yousuf Ali</t>
  </si>
  <si>
    <t>Monwara Begum</t>
  </si>
  <si>
    <t>Plot-84, Yousuf nagor jame mosjid road, middle azampur, dakshin khan, Dhaka 1230</t>
  </si>
  <si>
    <t>Fulbari, golapgonj, sylhet.</t>
  </si>
  <si>
    <t>Middle azampur</t>
  </si>
  <si>
    <t>GenexJ064</t>
  </si>
  <si>
    <t>AHAMED SABBIR</t>
  </si>
  <si>
    <t>ahamedsabbir299@gmail.com</t>
  </si>
  <si>
    <t>Mushfika Binte Ohid Roshni</t>
  </si>
  <si>
    <t>B.Sc in Chemistry</t>
  </si>
  <si>
    <t>M.Sc</t>
  </si>
  <si>
    <t>Md. Ohidul Haque</t>
  </si>
  <si>
    <t>Shamima Akter lina</t>
  </si>
  <si>
    <t>Purbo goran, Khilgaon, Dhaka</t>
  </si>
  <si>
    <t>Kholahati, Parbatipur, Dinajpur</t>
  </si>
  <si>
    <t>Naima akter</t>
  </si>
  <si>
    <t>GenexJ066</t>
  </si>
  <si>
    <t>Md. Zubayer Al Mahmud</t>
  </si>
  <si>
    <t>zampeyal94@gmail.com</t>
  </si>
  <si>
    <t>Md. Jahin Ahmmed Polok</t>
  </si>
  <si>
    <t>BSEEE</t>
  </si>
  <si>
    <t>IUBAT- International Business Agriculture and Technology</t>
  </si>
  <si>
    <t>Md. Jahangir Alam</t>
  </si>
  <si>
    <t>Most. Parvin Akter</t>
  </si>
  <si>
    <t>House- 21, Road- 04, Nikunja-2, Khilkhet, Dhaka.</t>
  </si>
  <si>
    <t>Village- Jamtola, Thana- Pirgonj, Zilla- Rangpur</t>
  </si>
  <si>
    <t>GenexJ057</t>
  </si>
  <si>
    <t>Utsha Sarkar Ananda</t>
  </si>
  <si>
    <t>usananda3@gmail.com</t>
  </si>
  <si>
    <t>Meher Afroz</t>
  </si>
  <si>
    <t>wife</t>
  </si>
  <si>
    <t>Sujat ali College, pigna</t>
  </si>
  <si>
    <t>Mohammad Lablu Sarkar</t>
  </si>
  <si>
    <t>Asma begum</t>
  </si>
  <si>
    <t>Ka-212/1,Ka,4th floor,Khilkhet Namapara,Khilkhet,Dhaka-1229</t>
  </si>
  <si>
    <t>Taranandi,shorisabari, jamarpur</t>
  </si>
  <si>
    <t>Mered</t>
  </si>
  <si>
    <t>heibulin60op</t>
  </si>
  <si>
    <t>Md Nazmul Ahmed Sakib</t>
  </si>
  <si>
    <t>Md Ashraf Haque</t>
  </si>
  <si>
    <t>ahmedsakib121298@gmail.com</t>
  </si>
  <si>
    <t>REHENA AKTER</t>
  </si>
  <si>
    <t>B.S.S.</t>
  </si>
  <si>
    <t>Uttara Town Collage</t>
  </si>
  <si>
    <t>MD. Rafiq Uddin</t>
  </si>
  <si>
    <t>Mukter bari road, Tongi, Gazipur</t>
  </si>
  <si>
    <t>heibulin62op</t>
  </si>
  <si>
    <t>Tanzina Akther Tithe</t>
  </si>
  <si>
    <t>tanzinatithes06@gmail.com</t>
  </si>
  <si>
    <t>Md Tota Hossan</t>
  </si>
  <si>
    <t>Kamrun Naher</t>
  </si>
  <si>
    <t>Village: Noyonpur, Post Office: Rajendrapur , Thana: Shreepur, District: Gazipur, Division: Dhaka</t>
  </si>
  <si>
    <t>Village: Chakmukter, Post Office: Naogaon, Thana: Naogaon, District: Naogaon, Division : Rajshahi.</t>
  </si>
  <si>
    <t>Rajendrapur Cantonment,Gazipur</t>
  </si>
  <si>
    <t>heibulin63op</t>
  </si>
  <si>
    <t>Mohammad Abu taher</t>
  </si>
  <si>
    <t>male</t>
  </si>
  <si>
    <t>mohammadabutaher05@gmail.com</t>
  </si>
  <si>
    <t>Imtiaz</t>
  </si>
  <si>
    <t>Govt.BM College Barishal</t>
  </si>
  <si>
    <t>Muhammad Monirul islam</t>
  </si>
  <si>
    <t>south mithakhali,mathbaria,pirojpur</t>
  </si>
  <si>
    <t>Gulistan</t>
  </si>
  <si>
    <t>heibulin64op</t>
  </si>
  <si>
    <t>Sorna Akter</t>
  </si>
  <si>
    <t>female</t>
  </si>
  <si>
    <t>701431/2010-11</t>
  </si>
  <si>
    <t>sorna.ngn12@gmail.com</t>
  </si>
  <si>
    <t>Md.Shafiqul islam</t>
  </si>
  <si>
    <t>Naogaon govt college</t>
  </si>
  <si>
    <t>Md.Shafiqul Islam</t>
  </si>
  <si>
    <t>Most.Shanta begum</t>
  </si>
  <si>
    <t>Moghbazar</t>
  </si>
  <si>
    <t>Naogaon</t>
  </si>
  <si>
    <t>heibulin65op</t>
  </si>
  <si>
    <t>Md. Hasan</t>
  </si>
  <si>
    <t>Jilhozhasan.lo63@gmail.com</t>
  </si>
  <si>
    <t>MD SADAK</t>
  </si>
  <si>
    <t>Najir rahman degree college</t>
  </si>
  <si>
    <t>FORIDA BEGUM</t>
  </si>
  <si>
    <t>Tongi Gazipur Dhaka</t>
  </si>
  <si>
    <t>East Khanaingar Bhola</t>
  </si>
  <si>
    <t>TONGI</t>
  </si>
  <si>
    <t>heibulin67op</t>
  </si>
  <si>
    <t>Taj Noor Faheem</t>
  </si>
  <si>
    <t>1410876139/2015</t>
  </si>
  <si>
    <t>tajnoorfaheem@gmail.com</t>
  </si>
  <si>
    <t>Shahnaj Zaman</t>
  </si>
  <si>
    <t>A03943959</t>
  </si>
  <si>
    <t>Bsc. Engineering</t>
  </si>
  <si>
    <t>Late Md. Nuruz Zaman</t>
  </si>
  <si>
    <t>186/A/1, West kafrul, Taltola, Dhaka</t>
  </si>
  <si>
    <t>GenexJ010</t>
  </si>
  <si>
    <t>Al Mamun Mizan</t>
  </si>
  <si>
    <t>almamuneee15@gmail.com</t>
  </si>
  <si>
    <t>Mahmuda Kabir</t>
  </si>
  <si>
    <t>Bsc. EEE</t>
  </si>
  <si>
    <t>Msc EEE</t>
  </si>
  <si>
    <t>American International University Bangladesh</t>
  </si>
  <si>
    <t>Md. Munsur Ali</t>
  </si>
  <si>
    <t>Fatimatoj Johra</t>
  </si>
  <si>
    <t>Flat #2A, House #17, Road #19, nikunja-2, Dhaka 1229</t>
  </si>
  <si>
    <t>224/1, Terokhadia Pachim Para, Rajpara, Rajshahi-6000</t>
  </si>
  <si>
    <t>Maried</t>
  </si>
  <si>
    <t>GenexJ056</t>
  </si>
  <si>
    <t>Md. Tanzim Ahmed</t>
  </si>
  <si>
    <t>atanzim586@gmail.com</t>
  </si>
  <si>
    <t>Md. Jalal Ahmed</t>
  </si>
  <si>
    <t>SARSTEC</t>
  </si>
  <si>
    <t>Tania Ahmed</t>
  </si>
  <si>
    <t>GenexJ054</t>
  </si>
  <si>
    <t>Md.Sazib Miah</t>
  </si>
  <si>
    <t>sazibadnan741@gmail.com</t>
  </si>
  <si>
    <t>Md. Razib Miah</t>
  </si>
  <si>
    <t>Mirpur Collage</t>
  </si>
  <si>
    <t>Md. Jiarat Miah</t>
  </si>
  <si>
    <t>Lalbanu</t>
  </si>
  <si>
    <t>Tangali</t>
  </si>
  <si>
    <t>GenexJ063</t>
  </si>
  <si>
    <t>Sharuar Hossan</t>
  </si>
  <si>
    <t>sunnysaroar33@gmail.com</t>
  </si>
  <si>
    <t>Md.Al-Amin</t>
  </si>
  <si>
    <t>Nasirabad college</t>
  </si>
  <si>
    <t>Gias Uddin</t>
  </si>
  <si>
    <t>Shahida Begum</t>
  </si>
  <si>
    <t>Mymensingh</t>
  </si>
  <si>
    <t>GenexJ061</t>
  </si>
  <si>
    <t>Nabil Ahmed</t>
  </si>
  <si>
    <t>nabilkhan10000@gmail.com</t>
  </si>
  <si>
    <t>Md. Salahuddin</t>
  </si>
  <si>
    <t>Mst Nurjahan</t>
  </si>
  <si>
    <t>Munsijang</t>
  </si>
  <si>
    <t>Shila Akter</t>
  </si>
  <si>
    <t>Identification of the same product </t>
  </si>
  <si>
    <t>Munni Begum</t>
  </si>
  <si>
    <t>1-Mar--2000</t>
  </si>
  <si>
    <t>736 203 5821</t>
  </si>
  <si>
    <t>MD: Shamsuddin</t>
  </si>
  <si>
    <t>Section-12, Block- D, House- 57, Road-11, Mirpur, Dhaka</t>
  </si>
  <si>
    <t>591264/2009</t>
  </si>
  <si>
    <t>Hose ara</t>
  </si>
  <si>
    <t>Md.ali siddiq</t>
  </si>
  <si>
    <t>H#08,r#01,inushbagh,Dokkhinkhan</t>
  </si>
  <si>
    <t>Dokkhinkhan,Dhaka</t>
  </si>
  <si>
    <t>Md Lokman Hossain Likhon</t>
  </si>
  <si>
    <t>Md. Shaifur islam Ranju</t>
  </si>
  <si>
    <t>Mst. Lutfa Begum</t>
  </si>
  <si>
    <t>Lalmonirhat</t>
  </si>
  <si>
    <t>Mst. Beauty Akter</t>
  </si>
  <si>
    <t>Md. Mokshed Alam</t>
  </si>
  <si>
    <t>Mst. Sokina Begum</t>
  </si>
  <si>
    <t>Bot Tola Bazar, Hazi Camp, Airport, Uttora, Dhaka.</t>
  </si>
  <si>
    <t>Vill. South Rajapur, Post. Raninagar, Thana. Raninagar, Zilla. Naogaon.</t>
  </si>
  <si>
    <t>Taskena Hasan</t>
  </si>
  <si>
    <t>FRIEND</t>
  </si>
  <si>
    <t>0+</t>
  </si>
  <si>
    <t>ISLAM</t>
  </si>
  <si>
    <t>S M MARUF HASAN</t>
  </si>
  <si>
    <t>SELINA BEGUM</t>
  </si>
  <si>
    <t>Uttor Badda</t>
  </si>
  <si>
    <t>Mazhira,Tala,Satkhira</t>
  </si>
  <si>
    <t>Genex108</t>
  </si>
  <si>
    <t>Md Ismail Hossain</t>
  </si>
  <si>
    <t>rabbisiyam020@gmail.com</t>
  </si>
  <si>
    <t>MD.Abu Bakar Siddique</t>
  </si>
  <si>
    <t>Habibullah Bahar University</t>
  </si>
  <si>
    <t>MD Abdul Haque</t>
  </si>
  <si>
    <t>Halima Begum</t>
  </si>
  <si>
    <t>16 Bagicharteq,West Rampura,Dhaka.</t>
  </si>
  <si>
    <t>beilei226op</t>
  </si>
  <si>
    <t>Shakila Akter Mim</t>
  </si>
  <si>
    <t>shakilamim04@gmail.com</t>
  </si>
  <si>
    <t>Md Shah Alam Biswas</t>
  </si>
  <si>
    <t>BBA Hon's</t>
  </si>
  <si>
    <t>Abdul karim mirdha college</t>
  </si>
  <si>
    <t>Mohima Alam</t>
  </si>
  <si>
    <t>Samota sarak, Nurarchala, Vatara, Dhaka-1212</t>
  </si>
  <si>
    <t>Loxonkati, Batajor, Gournodi, Barisal</t>
  </si>
  <si>
    <t>naihe9op</t>
  </si>
  <si>
    <t>Sabila Haq</t>
  </si>
  <si>
    <t>sabilaoma22@gmail.com</t>
  </si>
  <si>
    <t>Munjilin Akter</t>
  </si>
  <si>
    <t>Post Graduate</t>
  </si>
  <si>
    <t>Govt.BL College, Khulna</t>
  </si>
  <si>
    <t>Shamsul Haq</t>
  </si>
  <si>
    <t>Setara Begum</t>
  </si>
  <si>
    <t>16/E,Alabdir Take, Mouja-Baunia,Pallabi,Dhaka-1206</t>
  </si>
  <si>
    <t>Vill-Jogipol, PO-Shiromoni,PS-Khanjahan Ali, Dis-Khulna</t>
  </si>
  <si>
    <t>beilei316op</t>
  </si>
  <si>
    <t>Samia shabnam</t>
  </si>
  <si>
    <t>Samia01shabnam@gmail.com</t>
  </si>
  <si>
    <t>Md. Mujahidur Rahman (Rumi)</t>
  </si>
  <si>
    <t>Govt Titumir college affiliated with Dhaka University</t>
  </si>
  <si>
    <t>Shajeda Rahman</t>
  </si>
  <si>
    <t>House-6, Road -7, Sector -13, Uttara, Dhaka</t>
  </si>
  <si>
    <t>beilei314op</t>
  </si>
  <si>
    <t>Bilshad Khan Bristy</t>
  </si>
  <si>
    <t>bilshadbristy@gmail.com</t>
  </si>
  <si>
    <t>Tasnim Khan Biva</t>
  </si>
  <si>
    <t>Graduated from B.A (Hon's) in English</t>
  </si>
  <si>
    <t>M.A in ELT from Jahangirnagar University</t>
  </si>
  <si>
    <t>University of Information Technology &amp; Sciences</t>
  </si>
  <si>
    <t>Md. Based Khan</t>
  </si>
  <si>
    <t>Afroza Akther</t>
  </si>
  <si>
    <t>Fatima Villa K-13/ 1-A, Nadda, Gulshan, Dhaka-1212</t>
  </si>
  <si>
    <t>Village: Durpasha P.O: Halalia P.S:Mirzapur District: Tangail</t>
  </si>
  <si>
    <t>Nadda, Gulshan-2</t>
  </si>
  <si>
    <t>naihe25op</t>
  </si>
  <si>
    <t>Rubina Easmin</t>
  </si>
  <si>
    <t>rubinaeasmin524@gmail.com</t>
  </si>
  <si>
    <t>Md Abdulla All Amin</t>
  </si>
  <si>
    <t>Govt. Bangabandhu college, Gopalgonj</t>
  </si>
  <si>
    <t>Kazi Zinnat Hossain</t>
  </si>
  <si>
    <t>Baby Begum</t>
  </si>
  <si>
    <t>Sonalibag jame mosque , 86/B, Mogbazar wairles, Dhaka</t>
  </si>
  <si>
    <t>Vill: Arpara, Post: verar hut,Ps+Dist: Gopalgonj</t>
  </si>
  <si>
    <t>Mogbazar</t>
  </si>
  <si>
    <t>beilei318op</t>
  </si>
  <si>
    <t>Snigdha Akter</t>
  </si>
  <si>
    <t>Snigdhahowlader2@gmail.com</t>
  </si>
  <si>
    <t xml:space="preserve">Sultana akter </t>
  </si>
  <si>
    <t>Dhaka University ( Eden Mohila College)</t>
  </si>
  <si>
    <t>Hanif Mia</t>
  </si>
  <si>
    <t>Sultana akter ( NID Name : Shiuly)</t>
  </si>
  <si>
    <t>117/2MATIKATA,Dhaka Cantonment</t>
  </si>
  <si>
    <t>Dhaka Cantonment</t>
  </si>
  <si>
    <t>beilei319op</t>
  </si>
  <si>
    <t>Sabrina Rahman</t>
  </si>
  <si>
    <t>sabrinarahman83@gmail.com</t>
  </si>
  <si>
    <t>Aminur Rahman</t>
  </si>
  <si>
    <t>Uttara University</t>
  </si>
  <si>
    <t>Afroza Chowdhury</t>
  </si>
  <si>
    <t>Faidabad Police Fari, Dakshinkhan Uttara Dhaka -1230</t>
  </si>
  <si>
    <t>Vill. : Uttar Chortha, P.O : Cumilla Sadar , P.S : Cumilla Sadar, Dis. : Cumilla</t>
  </si>
  <si>
    <t>Dakshinkhan</t>
  </si>
  <si>
    <t>beilei320op</t>
  </si>
  <si>
    <t>Mahmuda kabir</t>
  </si>
  <si>
    <t>mahmudakabirsinthia21@gmail.com</t>
  </si>
  <si>
    <t>A07505010</t>
  </si>
  <si>
    <t>IUBAT(International University Of Business Agricultural And Technology)</t>
  </si>
  <si>
    <t>Kabir Ahmed</t>
  </si>
  <si>
    <t>Mahera Begum</t>
  </si>
  <si>
    <t>House# 150/8,Flat#4D,North vashantek, Shototaplaza, Vashantek, Dhaka-1206</t>
  </si>
  <si>
    <t>House # 150/8, Flat# 4D,North vashantek, Shototaplaza plaza,vashantek Dhaka -1206</t>
  </si>
  <si>
    <t>Vashantek</t>
  </si>
  <si>
    <t>beilei321op</t>
  </si>
  <si>
    <t>Antara Aditya</t>
  </si>
  <si>
    <t>tumpa15.946@gmail.com</t>
  </si>
  <si>
    <t>Ashok Kumar Aditya</t>
  </si>
  <si>
    <t>Jahangirnagar University</t>
  </si>
  <si>
    <t>Archana Rani Aditya</t>
  </si>
  <si>
    <t>Uttara,Sector 6,Joynal Market,Alif Tower.</t>
  </si>
  <si>
    <t>Pakutia, Ghatail,Tangail</t>
  </si>
  <si>
    <t>beilei322op</t>
  </si>
  <si>
    <t>Jannatul Ferdous Nisha</t>
  </si>
  <si>
    <t>Jannatulnisha.1999@gmail.com</t>
  </si>
  <si>
    <t>Salina Islam</t>
  </si>
  <si>
    <t>Hons.</t>
  </si>
  <si>
    <t>Bangladesh University of Business and Technology.</t>
  </si>
  <si>
    <t>Zahurul Islam</t>
  </si>
  <si>
    <t>Government jaynagar coloni,Mirpur -13,Dhaka -1216.</t>
  </si>
  <si>
    <t>House-29,Block -B,Avenue-1,Mirpur-10,Dhaka -1216</t>
  </si>
  <si>
    <t>beilei323op</t>
  </si>
  <si>
    <t>Umme sabiha tabassum</t>
  </si>
  <si>
    <t>oishitabbasum227@gmail</t>
  </si>
  <si>
    <t>Family person</t>
  </si>
  <si>
    <t>735 501 3496</t>
  </si>
  <si>
    <t>B.B.A(Hon‌s)</t>
  </si>
  <si>
    <t>Dhaka women's College</t>
  </si>
  <si>
    <t>Salahuddin Lucas</t>
  </si>
  <si>
    <t>Rashida Begum</t>
  </si>
  <si>
    <t>Road#02, House#15, Nikunja-02, Khilkhet,Dhaka-1229</t>
  </si>
  <si>
    <t>Vill:Chitchila Rong, P.S:Thakur Goan, Dist: Thakur Gong</t>
  </si>
  <si>
    <t>Imran Hossain Opu</t>
  </si>
  <si>
    <t>Umme Tanjum Tayba</t>
  </si>
  <si>
    <t>beilei328op</t>
  </si>
  <si>
    <t>Marufa Akter</t>
  </si>
  <si>
    <t>yabrar791@gmail.com</t>
  </si>
  <si>
    <t>Moktadir Sajal</t>
  </si>
  <si>
    <t>237 576 8443</t>
  </si>
  <si>
    <t>Master's (Accounting)</t>
  </si>
  <si>
    <t>Md.Malek Sikder</t>
  </si>
  <si>
    <t>Feroza Begum</t>
  </si>
  <si>
    <t>Kha-40.South badda. Near south badda jame masjed</t>
  </si>
  <si>
    <t>Vill:Chengutia. Post:Dhandoba. Thana:Augilzara. Dist:Barisal</t>
  </si>
  <si>
    <t>Moktadir sajal</t>
  </si>
  <si>
    <t>Abrar Zawad Yeasin</t>
  </si>
  <si>
    <t>beilei329op</t>
  </si>
  <si>
    <t>Meher Afrose</t>
  </si>
  <si>
    <t>meherafrozekeya@gmail.com</t>
  </si>
  <si>
    <t>Honars</t>
  </si>
  <si>
    <t>Jaheda Safir amohila collage, jamalpur</t>
  </si>
  <si>
    <t>MD.shahidul islam</t>
  </si>
  <si>
    <t>Jannatul Alya</t>
  </si>
  <si>
    <t>Ka,212/1,ka,4th floor, khilkhet Namapara, Khilkhet, dhaka -1219</t>
  </si>
  <si>
    <t>Satpoa, sarishabari, jamalpur</t>
  </si>
  <si>
    <t>beilei344op</t>
  </si>
  <si>
    <t>isratjahantrisa54@gmail.com</t>
  </si>
  <si>
    <t>Md .Anisur Rahman</t>
  </si>
  <si>
    <t>Md .anisur Rahman</t>
  </si>
  <si>
    <t>Nurunnahar</t>
  </si>
  <si>
    <t>Dhaka, uttara</t>
  </si>
  <si>
    <t>Gafargaon,mymensingh</t>
  </si>
  <si>
    <t>Uttara, sector 13 road 15</t>
  </si>
  <si>
    <t>Md . noyon mony</t>
  </si>
  <si>
    <t>zhulan18op</t>
  </si>
  <si>
    <t>Minhaz Khan</t>
  </si>
  <si>
    <t>Md Ashraful Haque.</t>
  </si>
  <si>
    <t>foreverything.133113@gmai.com</t>
  </si>
  <si>
    <t>Delawer Hossain khan.</t>
  </si>
  <si>
    <t>Degree.</t>
  </si>
  <si>
    <t>Nazma khan</t>
  </si>
  <si>
    <t>Auchpara,Tongi,Gazipur.</t>
  </si>
  <si>
    <t>Mulpara,Faridgang,Chandpur.</t>
  </si>
  <si>
    <t>Unmarried.</t>
  </si>
  <si>
    <t>naihe11op</t>
  </si>
  <si>
    <t>Jote Akter</t>
  </si>
  <si>
    <t>MD Asraful Haque</t>
  </si>
  <si>
    <t>saniyaarajote@gmail.com</t>
  </si>
  <si>
    <t>Nasima khanam</t>
  </si>
  <si>
    <t>BBA honours</t>
  </si>
  <si>
    <t>MBA masters</t>
  </si>
  <si>
    <t>Government kadam rasul degree college</t>
  </si>
  <si>
    <t>Md Nurul Islam</t>
  </si>
  <si>
    <t>Nikunjo-2,road No-15,house No-1/A khilkhet Dhaka</t>
  </si>
  <si>
    <t>241.H.M.Sen road bandar narayanganj</t>
  </si>
  <si>
    <t>beilei347op</t>
  </si>
  <si>
    <t>Md. Salin Motassin Sadman</t>
  </si>
  <si>
    <t>salimmotassinsadman@gmail.com</t>
  </si>
  <si>
    <t>Md Sabib Motassin</t>
  </si>
  <si>
    <t>American International University of Bangladesh ( AIUB )</t>
  </si>
  <si>
    <t>Md Monsur Ali</t>
  </si>
  <si>
    <t>Mst Rokshana Begum</t>
  </si>
  <si>
    <t>House: 28, Road: 16 Khilkhet, Nikunjo-2, Dhaka-1229.</t>
  </si>
  <si>
    <t>House No : 114, Village Name : Purbo Babukha , Post : Babukhan, Post Code : 5400, Sadar , Rangpur..</t>
  </si>
  <si>
    <t>Marid</t>
  </si>
  <si>
    <t>Most Shefaun Akter Tinni</t>
  </si>
  <si>
    <t>19988517319106649 (B.C)</t>
  </si>
  <si>
    <t>Wafia Rudaiyat</t>
  </si>
  <si>
    <t>Naimur Rahman Niloy</t>
  </si>
  <si>
    <t>Quality assurance</t>
  </si>
  <si>
    <t>naimur.rahman@genex.com.bd</t>
  </si>
  <si>
    <t>Md. Fazlul Kader</t>
  </si>
  <si>
    <t>Nasima Sultana</t>
  </si>
  <si>
    <t>ka-200/Ga-66 uttarnamapara, Khilkhet Dhaka 1229</t>
  </si>
  <si>
    <t>OLD EID: 160603, UCB Card NO: 4094 0100 3702 5507</t>
  </si>
  <si>
    <t>Md. Mehedi Hasan</t>
  </si>
  <si>
    <t>mdmehedi.hasan@genex.com.bd</t>
  </si>
  <si>
    <t>22/10/97</t>
  </si>
  <si>
    <t>BBA Honours</t>
  </si>
  <si>
    <t>Shahed Ali</t>
  </si>
  <si>
    <t>Laily Begum</t>
  </si>
  <si>
    <t>Khilkhet, Dhaka -1229</t>
  </si>
  <si>
    <t xml:space="preserve">OLD EID : 171780  UCB card no : 4094-0100-7191-3543</t>
  </si>
  <si>
    <t>beilei290op</t>
  </si>
  <si>
    <t>Md Abu Taher</t>
  </si>
  <si>
    <t>Md.Masud Parvez</t>
  </si>
  <si>
    <t>Mst.Jesmin Nahar</t>
  </si>
  <si>
    <t>Nikunjo-2,road-15, House-B/1,Khilkhet, Dhaka</t>
  </si>
  <si>
    <t>Chor-Brammondanga, Brammondanga(7513),Lohagara, Narail</t>
  </si>
  <si>
    <t>beilei317op</t>
  </si>
  <si>
    <t>Sarmin Sultana</t>
  </si>
  <si>
    <t>Ashikul Islam</t>
  </si>
  <si>
    <t>28/12/2000</t>
  </si>
  <si>
    <t>Sabir Ahmed</t>
  </si>
  <si>
    <t>Nargis Akter</t>
  </si>
  <si>
    <t>Gazipur, Sataish, tongi</t>
  </si>
  <si>
    <t>beilei330op</t>
  </si>
  <si>
    <t>Miskatun Nessa</t>
  </si>
  <si>
    <t>Lucky Begum</t>
  </si>
  <si>
    <t>MD Safayet Hossain</t>
  </si>
  <si>
    <t>House-25,road-06, sector -03, Uttara,Dhaka</t>
  </si>
  <si>
    <t>Village -Charchingari, post office -Rahmatpur Madrasah,Upzila-Chitalmari, District-Bagerhat</t>
  </si>
  <si>
    <t>Rubel Mia</t>
  </si>
  <si>
    <t>18/11/1997</t>
  </si>
  <si>
    <t>Taher Uddin</t>
  </si>
  <si>
    <t>Champa Akhter</t>
  </si>
  <si>
    <t>Road Nu-12, East Rumpora, PO code: 1219, Thana: Kilgaon, Dist:Dhaka</t>
  </si>
  <si>
    <t>Vill:Paratoli, PO: Mojlishpur, PO code:2480, Upojela:Kendua, Dist: Netrokona</t>
  </si>
  <si>
    <t>Rumpora</t>
  </si>
  <si>
    <t>beilei342op</t>
  </si>
  <si>
    <t>Lovely Akter</t>
  </si>
  <si>
    <t>Roksana</t>
  </si>
  <si>
    <t>601 290 8387</t>
  </si>
  <si>
    <t>Humayan Kabir</t>
  </si>
  <si>
    <t>Fafia Khatun</t>
  </si>
  <si>
    <t>Zia calony,Cantenment Thana,Dhaka-1206</t>
  </si>
  <si>
    <t>Vill:akhondo para,P.O:Ramkrishna Pur,P.S:Homna,Dist:Cumilla</t>
  </si>
  <si>
    <t>Dhaka cantenment</t>
  </si>
  <si>
    <t>heibulin72op</t>
  </si>
  <si>
    <t>Tanvir Hossain</t>
  </si>
  <si>
    <t>Md.Faysal Ahmed</t>
  </si>
  <si>
    <t>Azizul Haque</t>
  </si>
  <si>
    <t>Shajeda Begum</t>
  </si>
  <si>
    <t>H-1,R-14,Nikunja-2,Dhaka</t>
  </si>
  <si>
    <t>Bosontopur-Aminpur,Bera , pabna</t>
  </si>
  <si>
    <t>heibulin73op</t>
  </si>
  <si>
    <t>Md Riaz Uddin</t>
  </si>
  <si>
    <t>Robin</t>
  </si>
  <si>
    <t>+880 17 0812 2812</t>
  </si>
  <si>
    <t>brother</t>
  </si>
  <si>
    <t>26.06.2000</t>
  </si>
  <si>
    <t>780-1846341</t>
  </si>
  <si>
    <t>md.nasir Uddin</t>
  </si>
  <si>
    <t>irin Akter Chowdhury</t>
  </si>
  <si>
    <t>khilkhet,nikunjo2,dhaka</t>
  </si>
  <si>
    <t>Noyapara,shaihamnogor,madhobpur,hobigonj</t>
  </si>
  <si>
    <t>heibulin10op</t>
  </si>
  <si>
    <t>Md Rokinur Zaman Roki</t>
  </si>
  <si>
    <t>Sajeda Khatun</t>
  </si>
  <si>
    <t>13/05/1999</t>
  </si>
  <si>
    <t>Md. Mobarok Ali</t>
  </si>
  <si>
    <t>Most. Achema Begum</t>
  </si>
  <si>
    <t>237,East Nakhalpara,Tejgaon,Dhaka-1215</t>
  </si>
  <si>
    <t>Duhashuha,Khansama,Dinajpur</t>
  </si>
  <si>
    <t>Tejgaon</t>
  </si>
  <si>
    <t>heibulin12op</t>
  </si>
  <si>
    <t>Md Shafil Ahsan</t>
  </si>
  <si>
    <t>03.01.2000</t>
  </si>
  <si>
    <t>Md:Shamim Ahsan</t>
  </si>
  <si>
    <t>Mst:Momtaz Begum</t>
  </si>
  <si>
    <t>Nikunja-2 Dhaka</t>
  </si>
  <si>
    <t>Bogura</t>
  </si>
  <si>
    <t>heibulin13op</t>
  </si>
  <si>
    <t>Md Gaosul Azam</t>
  </si>
  <si>
    <t>Md. milon hossain</t>
  </si>
  <si>
    <t>cousine</t>
  </si>
  <si>
    <t>o+</t>
  </si>
  <si>
    <t>31/121993</t>
  </si>
  <si>
    <t>Md. Azadul islam</t>
  </si>
  <si>
    <t>Mst. Nurun naher</t>
  </si>
  <si>
    <t>kalachadpur ,shewra, bisooroad, Dhaka</t>
  </si>
  <si>
    <t>ishabpur, dhamorihat, Naogaon</t>
  </si>
  <si>
    <t>Genex265</t>
  </si>
  <si>
    <t>Md Faysal Ahmed</t>
  </si>
  <si>
    <t>345522/2006</t>
  </si>
  <si>
    <t>Content Modarator</t>
  </si>
  <si>
    <t>Contractual</t>
  </si>
  <si>
    <t>faysalahammed50@gmail.com</t>
  </si>
  <si>
    <t>Tarin</t>
  </si>
  <si>
    <t>Bongobondhu college,mirpur</t>
  </si>
  <si>
    <t>Md. Minhaz Uddin</t>
  </si>
  <si>
    <t>Fatema Bibi</t>
  </si>
  <si>
    <t>Mollartek,Uttara</t>
  </si>
  <si>
    <t xml:space="preserve">GenexTLSalman </t>
  </si>
  <si>
    <t>Salman Hossain</t>
  </si>
  <si>
    <t>MD Ashraful haque</t>
  </si>
  <si>
    <t>salmangnx1@gmail.com</t>
  </si>
  <si>
    <t>(O+)</t>
  </si>
  <si>
    <t>MD Mohiuddin</t>
  </si>
  <si>
    <t>Mahmuda Begum</t>
  </si>
  <si>
    <t>Mirpur-2, Dhaka</t>
  </si>
  <si>
    <t>Sreenagar,Munshiganj</t>
  </si>
  <si>
    <t>Mirpur-2</t>
  </si>
  <si>
    <t xml:space="preserve">NetStar ID: 160119
Card Number: 4094010039772023</t>
  </si>
  <si>
    <t xml:space="preserve">GenexTLJobiyer
</t>
  </si>
  <si>
    <t>Md. Jobiyed Hasan</t>
  </si>
  <si>
    <t>jobiyedriyad@gmail.com</t>
  </si>
  <si>
    <t>Md. Abdullah Al Shafi</t>
  </si>
  <si>
    <t>Kamrunnahar Ripa</t>
  </si>
  <si>
    <t>Nikunja-2, Khilkhet, Dhaka</t>
  </si>
  <si>
    <t>Pakhimara sorkar-para, Bkashigonj, Jamalpur</t>
  </si>
  <si>
    <t xml:space="preserve">NetStar ID: 161761
Card Number: 4094010027365608</t>
  </si>
  <si>
    <t>heibulin83op</t>
  </si>
  <si>
    <t>Md Sabbir Khan</t>
  </si>
  <si>
    <t>Operation</t>
  </si>
  <si>
    <t>Identification of the same product</t>
  </si>
  <si>
    <t>Md.Shahidullah</t>
  </si>
  <si>
    <t>Jaida Akter</t>
  </si>
  <si>
    <t>Genex270</t>
  </si>
  <si>
    <t xml:space="preserve">Md Aminul Islam </t>
  </si>
  <si>
    <t>234593/2007</t>
  </si>
  <si>
    <t>aaminul2@gmail.com</t>
  </si>
  <si>
    <t>Aleya Begum</t>
  </si>
  <si>
    <t>01515292006</t>
  </si>
  <si>
    <t xml:space="preserve">Md Lutfor Rahman Mridha </t>
  </si>
  <si>
    <t>Khilkhet,Dhaka</t>
  </si>
  <si>
    <t>Shibchar, Madaripur</t>
  </si>
  <si>
    <t>01722908553</t>
  </si>
  <si>
    <t>FahimHasan</t>
  </si>
  <si>
    <t>Fahim Hasan Molla</t>
  </si>
  <si>
    <t>mollafahimhasan@gmail.com</t>
  </si>
  <si>
    <t>Tufayel Ahmed Tusher</t>
  </si>
  <si>
    <t>A08511460</t>
  </si>
  <si>
    <t>LLB</t>
  </si>
  <si>
    <t>Ishakha international university</t>
  </si>
  <si>
    <t>Md. kasem molla</t>
  </si>
  <si>
    <t>Mst.Ambia Khatun</t>
  </si>
  <si>
    <t>Nikunja,Dhaka1229</t>
  </si>
  <si>
    <t>Sholakia,Kishoreganj 172/2300</t>
  </si>
  <si>
    <t>Sanjida Asha</t>
  </si>
  <si>
    <t>Home - halfsaleprice</t>
  </si>
  <si>
    <t>sanjidaasha42@gmail.com</t>
  </si>
  <si>
    <t>MD. Habibur Rahman</t>
  </si>
  <si>
    <t>M.A</t>
  </si>
  <si>
    <t>Shanti Begum</t>
  </si>
  <si>
    <t>Kawla, Airport, Dhaka</t>
  </si>
  <si>
    <t>Dhanbari, Tangail</t>
  </si>
  <si>
    <t>Kawla</t>
  </si>
  <si>
    <t>Farjana Khan Mim</t>
  </si>
  <si>
    <t>farjanakhanmim@gmail.com</t>
  </si>
  <si>
    <t>Md.Sher-A-Ali Robin</t>
  </si>
  <si>
    <t>MD.Firuj Khan</t>
  </si>
  <si>
    <t>Halima Khanum</t>
  </si>
  <si>
    <t>Ka48/1, Mohammadia Garments Road</t>
  </si>
  <si>
    <t>146/4/4, Duladia road (Taltola),Mymensingh sadar</t>
  </si>
  <si>
    <t>Tamanna Tabassum</t>
  </si>
  <si>
    <t>Sk. Arafat Hossain</t>
  </si>
  <si>
    <t>Govt. Kobi Nazrul College</t>
  </si>
  <si>
    <t>Amin Ahmed</t>
  </si>
  <si>
    <t>Mahamuda Khatun</t>
  </si>
  <si>
    <t>G-24/10, CAAB Staff Quarter, Kurmitola, Dhaka-1229.</t>
  </si>
  <si>
    <t>193/1, Mollahbari, East Rampura, Dhaka-1219.</t>
  </si>
  <si>
    <t>Mst Acia khatun</t>
  </si>
  <si>
    <t>aciyaakter230@gmail.com</t>
  </si>
  <si>
    <t>Mst -Jharna Begum</t>
  </si>
  <si>
    <t>IUBAT</t>
  </si>
  <si>
    <t>Md-Abu Taleb</t>
  </si>
  <si>
    <t>Mst-Jharna Begum</t>
  </si>
  <si>
    <t>House -17,Road-11,Sector-10,Uttara</t>
  </si>
  <si>
    <t>Villlage:Basatpur,Post office :Basatpur,Ps:Sharsha,District :Jashore</t>
  </si>
  <si>
    <t>Zhulan23op</t>
  </si>
  <si>
    <t>Md Selim Reza</t>
  </si>
  <si>
    <t>www.selimreza2023@gmail.com</t>
  </si>
  <si>
    <t>21/02/2024</t>
  </si>
  <si>
    <t>Tongi Govt. College</t>
  </si>
  <si>
    <t>MD. Ali Akber</t>
  </si>
  <si>
    <t>Khilkhet, Dhaka.</t>
  </si>
  <si>
    <t>Vill: Sreepur kumaria, p.o. jamalpir, Thana: Sadar, Jamalpur, Dist : Jamalpur.</t>
  </si>
  <si>
    <t>Taslima</t>
  </si>
  <si>
    <t>13/08/1998</t>
  </si>
  <si>
    <t>Tabsir Mahmud yusof</t>
  </si>
  <si>
    <t>16/02/2024</t>
  </si>
  <si>
    <t>Md. Sajid Siddiki</t>
  </si>
  <si>
    <t>Bahauddin Siddiki</t>
  </si>
  <si>
    <t>Manju Begum</t>
  </si>
  <si>
    <t>Imdadul Haque</t>
  </si>
  <si>
    <t>MD. Ibrahim Khalil</t>
  </si>
  <si>
    <t>Sajeda Begum</t>
  </si>
  <si>
    <t>beilei338op</t>
  </si>
  <si>
    <t>Ratul Hasan</t>
  </si>
  <si>
    <t>MD.Akram hoshen</t>
  </si>
  <si>
    <t>Asia khatun</t>
  </si>
  <si>
    <t>01757646120</t>
  </si>
  <si>
    <t>beilei304op</t>
  </si>
  <si>
    <t>Md Mamunur Rashid</t>
  </si>
  <si>
    <t>Md Musahak Hosen</t>
  </si>
  <si>
    <t>Mst Roshnara Begum</t>
  </si>
  <si>
    <t>heibulin19op</t>
  </si>
  <si>
    <t>Eshamani Halder</t>
  </si>
  <si>
    <t>Gopal Krishna Halder</t>
  </si>
  <si>
    <t>Shipra Rani Haldar</t>
  </si>
  <si>
    <t>heibulin84op</t>
  </si>
  <si>
    <t>Bristy Chakraborty</t>
  </si>
  <si>
    <t xml:space="preserve">Tapan Chakraborty </t>
  </si>
  <si>
    <t xml:space="preserve">Padma Chakraborty </t>
  </si>
  <si>
    <t>heibulin11op</t>
  </si>
  <si>
    <t>Supria Saha</t>
  </si>
  <si>
    <t>13/06/1997</t>
  </si>
  <si>
    <t>Ganesh Chandra Saha</t>
  </si>
  <si>
    <t>Alpona Rani Saha</t>
  </si>
  <si>
    <t>heibulin18op</t>
  </si>
  <si>
    <t>Moumita Jahan</t>
  </si>
  <si>
    <t>Md. Abdul Motin</t>
  </si>
  <si>
    <t>Mohosena Begum</t>
  </si>
  <si>
    <t>heibulin81op</t>
  </si>
  <si>
    <t>Sazzadul Islam</t>
  </si>
  <si>
    <t>Yeanus Ali</t>
  </si>
  <si>
    <t>Samiqun Nahar</t>
  </si>
  <si>
    <t>Rofiul Islam</t>
  </si>
  <si>
    <t>1221309356704</t>
  </si>
  <si>
    <t>Yousuf Ali Patoary</t>
  </si>
  <si>
    <t>Rohima Khatun</t>
  </si>
  <si>
    <t>zhulan47op</t>
  </si>
  <si>
    <t>Md Rakibul Islam</t>
  </si>
  <si>
    <t>Md Humayun Kabir</t>
  </si>
  <si>
    <t>Mst Bedana Begum</t>
  </si>
  <si>
    <t>heibulin7op</t>
  </si>
  <si>
    <t>Anamika Chowdhury Jugno</t>
  </si>
  <si>
    <t>24/04/2001</t>
  </si>
  <si>
    <t>Late. Sanoar Hossain Chowdhury</t>
  </si>
  <si>
    <t>Tamanna Zaman Kishor</t>
  </si>
  <si>
    <t>GenexJ025</t>
  </si>
  <si>
    <t>MD. ASRAIL HAQUE</t>
  </si>
  <si>
    <t>MST. OSEFA BEGUM</t>
  </si>
  <si>
    <t>Genex278</t>
  </si>
  <si>
    <t>Md.Mahmudul Hasan (masum)</t>
  </si>
  <si>
    <t>md.mahmudulhasan648441@gmail.com</t>
  </si>
  <si>
    <t>Mithila</t>
  </si>
  <si>
    <t>islam</t>
  </si>
  <si>
    <t>BAUST</t>
  </si>
  <si>
    <t>Md.Mozammel Haque</t>
  </si>
  <si>
    <t>Manju akter</t>
  </si>
  <si>
    <t>Abdullah pur (Dhaka)</t>
  </si>
  <si>
    <t>Rangpur</t>
  </si>
  <si>
    <t>Abdullah pur</t>
  </si>
  <si>
    <t>married</t>
  </si>
  <si>
    <t>zhulan48op</t>
  </si>
  <si>
    <t>Jasmin Akter Jui</t>
  </si>
  <si>
    <t>zhulan50op</t>
  </si>
  <si>
    <t>Md Mazedul Islam</t>
  </si>
  <si>
    <t xml:space="preserve">OLD EID : 161865  , OLD UCB card no : 4094010060616735</t>
  </si>
  <si>
    <t>SM Safayet</t>
  </si>
  <si>
    <t>beilei300op</t>
  </si>
  <si>
    <t>Md Manik Hossain</t>
  </si>
  <si>
    <t>heibulin85op</t>
  </si>
  <si>
    <t>Bithi Bhowmick</t>
  </si>
  <si>
    <t>heibulin88op</t>
  </si>
  <si>
    <t>Sifat Rashid Siam</t>
  </si>
  <si>
    <t>heibulin86op</t>
  </si>
  <si>
    <t>Nadia Zannat Nishi</t>
  </si>
  <si>
    <t>heibulin87op</t>
  </si>
  <si>
    <t>Morium Akter Rojy</t>
  </si>
  <si>
    <t>heibulin90op</t>
  </si>
  <si>
    <t>Halima Akter</t>
  </si>
  <si>
    <t>heibulin91op</t>
  </si>
  <si>
    <t>Riyajul Islam</t>
  </si>
  <si>
    <t>Genex284</t>
  </si>
  <si>
    <t>Md Shohag Hasan Rabbi</t>
  </si>
  <si>
    <t>shohagrabbi96@gmail.com</t>
  </si>
  <si>
    <t>Md nuru mia</t>
  </si>
  <si>
    <t>Tongi Govt College</t>
  </si>
  <si>
    <t>Md Nuru Mia</t>
  </si>
  <si>
    <t>Mst Ambia Akter</t>
  </si>
  <si>
    <t>dumni,Khilkhet,Dhaka</t>
  </si>
  <si>
    <t>Nurjahan Dipa</t>
  </si>
  <si>
    <t>Rafaz</t>
  </si>
  <si>
    <t>Genex293</t>
  </si>
  <si>
    <t>Didarul Islam</t>
  </si>
  <si>
    <t>didarulsajon420@gmail.com</t>
  </si>
  <si>
    <t>Ahad Zaman</t>
  </si>
  <si>
    <t>31.12.1997</t>
  </si>
  <si>
    <t>Rajshahi University</t>
  </si>
  <si>
    <t>Sanwar Hosen</t>
  </si>
  <si>
    <t>Beby Akter</t>
  </si>
  <si>
    <t>Amtoli,Mohakhali,Dhaka</t>
  </si>
  <si>
    <t>Parla,Netrakona Sadar,Netrakona</t>
  </si>
  <si>
    <t>Genex290</t>
  </si>
  <si>
    <t>Sazzad Hossain</t>
  </si>
  <si>
    <t>sazzad.20hossain@gmail.com</t>
  </si>
  <si>
    <t>Nazmun Nahar</t>
  </si>
  <si>
    <t>01620108733</t>
  </si>
  <si>
    <t>Genex295</t>
  </si>
  <si>
    <t>Md. Rabiul Alam Sani</t>
  </si>
  <si>
    <t>rabiulalamsani32450@gmail.com</t>
  </si>
  <si>
    <t>Afsana Afrin</t>
  </si>
  <si>
    <t>18/05/1999</t>
  </si>
  <si>
    <t>Md. Ashraf Ali</t>
  </si>
  <si>
    <t>MOST. Shamsun Nahar</t>
  </si>
  <si>
    <t>Bhurungamari,Kurigram</t>
  </si>
  <si>
    <t>Ayesha Afrin Saniya</t>
  </si>
  <si>
    <t>Genex306</t>
  </si>
  <si>
    <t>Sharif Husein</t>
  </si>
  <si>
    <t>sharifhuseinbd@gmail.com</t>
  </si>
  <si>
    <t>Prosenjith Roy Shuvo</t>
  </si>
  <si>
    <t>22/05/1995</t>
  </si>
  <si>
    <t>Md. Alauddin</t>
  </si>
  <si>
    <t>Shamsunnahar</t>
  </si>
  <si>
    <t>Nikunja,Dhaka</t>
  </si>
  <si>
    <t>Mohanganj,Netrokona</t>
  </si>
  <si>
    <t>Nikunja</t>
  </si>
  <si>
    <t>zhulan6op</t>
  </si>
  <si>
    <t>lipi Akter</t>
  </si>
  <si>
    <t>beilei207op</t>
  </si>
  <si>
    <t>Tamanna Akter</t>
  </si>
  <si>
    <t>beilei303op</t>
  </si>
  <si>
    <t>Mst Shahina Begum</t>
  </si>
  <si>
    <t>beilei293op</t>
  </si>
  <si>
    <t>Rada Rani Boishnab</t>
  </si>
  <si>
    <t>beilei296op</t>
  </si>
  <si>
    <t>beilei332op</t>
  </si>
  <si>
    <t>Balaram Das</t>
  </si>
  <si>
    <t>heibulin78op</t>
  </si>
  <si>
    <t>Redwan Mujib Rithon</t>
  </si>
  <si>
    <t>heibulin92op</t>
  </si>
  <si>
    <t>Sadia Akter</t>
  </si>
  <si>
    <t>heibulin93op</t>
  </si>
  <si>
    <t>Ruma Akter</t>
  </si>
  <si>
    <t>heibulin94op</t>
  </si>
  <si>
    <t>Shohani Linda</t>
  </si>
  <si>
    <t>heibulin95op</t>
  </si>
  <si>
    <t>Fatema Tuz Zahura</t>
  </si>
  <si>
    <t>heibulin96op</t>
  </si>
  <si>
    <t>Anika Akter</t>
  </si>
  <si>
    <t>Genex312</t>
  </si>
  <si>
    <t>Md Minhaz Rahman Sharjil</t>
  </si>
  <si>
    <t>mdminhazrah153@gmail.com</t>
  </si>
  <si>
    <t>Md Mubin Rahman</t>
  </si>
  <si>
    <t>Md Moshiur Rhaman</t>
  </si>
  <si>
    <t>Mrs Sabina yeasmin</t>
  </si>
  <si>
    <t>193/1/C North Bhashantek,Dhaka-1206</t>
  </si>
  <si>
    <t>Jhaghonnathpur,Shinghojuli,choughacha,Jashore</t>
  </si>
  <si>
    <t>Bhashantek</t>
  </si>
  <si>
    <t>l</t>
  </si>
  <si>
    <t>Genex317</t>
  </si>
  <si>
    <t>Ridowan Dewan</t>
  </si>
  <si>
    <t>nahyanrick@gmail.com</t>
  </si>
  <si>
    <t>Motiour dewan</t>
  </si>
  <si>
    <t>City University</t>
  </si>
  <si>
    <t>Motiour Dewan</t>
  </si>
  <si>
    <t>Aleka begum</t>
  </si>
  <si>
    <t>deul,Birulia,Savar ,Dhaka</t>
  </si>
  <si>
    <t>Birulia</t>
  </si>
  <si>
    <t>Marjan Jim</t>
  </si>
  <si>
    <t>Genex313</t>
  </si>
  <si>
    <t>Md. Naeem Hasan</t>
  </si>
  <si>
    <t>naeembrozz8@gmail.com</t>
  </si>
  <si>
    <t>Md shuvo</t>
  </si>
  <si>
    <t>Sonargaon University</t>
  </si>
  <si>
    <t>Abullahil Kafi</t>
  </si>
  <si>
    <t>Nazma Khatun</t>
  </si>
  <si>
    <t>Nikunja 2,Dhaka-1229</t>
  </si>
  <si>
    <t>Sirajganj Sadar, Sirajganj</t>
  </si>
  <si>
    <t>Genex327</t>
  </si>
  <si>
    <t>Khandaker Nurul Arifin</t>
  </si>
  <si>
    <t>697848/1999</t>
  </si>
  <si>
    <t>nurularifin@gmail.com</t>
  </si>
  <si>
    <t>Khandaker Shamsul Alam</t>
  </si>
  <si>
    <t>MBA( HRM)</t>
  </si>
  <si>
    <t>Faijun Nahar</t>
  </si>
  <si>
    <t>Cumilla Samit Building, H-Titas,Flat-5A, Boatghat Namapara, Khilkhet,Dhaka-1219</t>
  </si>
  <si>
    <t>Taslima Hoque</t>
  </si>
  <si>
    <t>Khandaker Arissa Taz</t>
  </si>
  <si>
    <t>Genex325</t>
  </si>
  <si>
    <t xml:space="preserve">Istiaque Ahamed </t>
  </si>
  <si>
    <t xml:space="preserve">istiaqueahamed414@gmail.com </t>
  </si>
  <si>
    <t xml:space="preserve">Ferdawsi Akter </t>
  </si>
  <si>
    <t xml:space="preserve">Mother </t>
  </si>
  <si>
    <t>25/12/2001</t>
  </si>
  <si>
    <t xml:space="preserve">University Of south Asia </t>
  </si>
  <si>
    <t>MD.Hiru Khan</t>
  </si>
  <si>
    <t xml:space="preserve">Ferdowsi Akther </t>
  </si>
  <si>
    <t xml:space="preserve">Sector 11, Road:08,House:4,Uttara </t>
  </si>
  <si>
    <t>House:151/5,Village:Khumuria ,Post office : pirojpur-8500</t>
  </si>
  <si>
    <t>Genex324</t>
  </si>
  <si>
    <t xml:space="preserve">Liton Kumar Biswas </t>
  </si>
  <si>
    <t xml:space="preserve">litoneee866@gmail.com </t>
  </si>
  <si>
    <t xml:space="preserve">Avijit </t>
  </si>
  <si>
    <t xml:space="preserve">Brother </t>
  </si>
  <si>
    <t xml:space="preserve">Daffodil Intenational University </t>
  </si>
  <si>
    <t xml:space="preserve">Ashit Kuamr Biswas </t>
  </si>
  <si>
    <t>Nomita rani Biswas</t>
  </si>
  <si>
    <t>House-07; Road-11, Block-D; Mirpu-6</t>
  </si>
  <si>
    <t xml:space="preserve">Dautia, Shailkupa, Jhenaidah </t>
  </si>
  <si>
    <t>Mirpur-6</t>
  </si>
  <si>
    <t>Genex326</t>
  </si>
  <si>
    <t>MD.FAISAL</t>
  </si>
  <si>
    <t>am.faisalmail@gmail.com</t>
  </si>
  <si>
    <t>Habib</t>
  </si>
  <si>
    <t>uncle</t>
  </si>
  <si>
    <t>MD.Fazlul hoque</t>
  </si>
  <si>
    <t>Mst.Mahamuda Begum</t>
  </si>
  <si>
    <t>House-35, Ashkona, Taltola,Naddapara,Dhaka</t>
  </si>
  <si>
    <t>Bauphal Powrashaba, Bauphal Patuakhali</t>
  </si>
  <si>
    <t>Isralt Jahan</t>
  </si>
  <si>
    <t>zhulan46op</t>
  </si>
  <si>
    <t>Nadia Akter Muna</t>
  </si>
  <si>
    <t>afrinnadia67@gmail.com</t>
  </si>
  <si>
    <t>Najma Akter</t>
  </si>
  <si>
    <t>Elder Sister</t>
  </si>
  <si>
    <t>Manarat International University</t>
  </si>
  <si>
    <t>Md.Nadia Akter Muna</t>
  </si>
  <si>
    <t>House/holding:221," Abdullah bug" Satarkul road,Uttor Badda Dhaka-1212</t>
  </si>
  <si>
    <t>House/holding:221 ,"Abdullah bug" Saterkul road, Uttor Badda Dhaka-1212</t>
  </si>
  <si>
    <t>zhulan29op</t>
  </si>
  <si>
    <t>Sadia Kamal</t>
  </si>
  <si>
    <t>sadiakamal2024@gmail.com</t>
  </si>
  <si>
    <t>Govt.Girls College,Boyra,Khulna</t>
  </si>
  <si>
    <t>Sardar Samim Sayeed Kamal</t>
  </si>
  <si>
    <t>Sultana Nasrin</t>
  </si>
  <si>
    <t>House No#kA-38/4,Shahid Abdul Aziz Sharok,Lane#4,Jogonnathpur,Vatara,Dhaka.</t>
  </si>
  <si>
    <t>House no#118,vill:boyra,Road#2,MuzgunniR/A, p.s#khalishpur,post#GPO-9000,Dist:khulna.</t>
  </si>
  <si>
    <t>heibulin32op</t>
  </si>
  <si>
    <t>Ayasha Afsana</t>
  </si>
  <si>
    <t>Home - saleprice</t>
  </si>
  <si>
    <t>ayasha00199@gmail.com</t>
  </si>
  <si>
    <t>Mirpur University College</t>
  </si>
  <si>
    <t>Md. Amir Hossain</t>
  </si>
  <si>
    <t>House-29, Road-2, Section-11, Block-E, Mirpur, Pallabi, Dhaka-1216</t>
  </si>
  <si>
    <t>heibulin5op</t>
  </si>
  <si>
    <t>Tanzin Talukder</t>
  </si>
  <si>
    <t>tanzinttonu999@gmail.com</t>
  </si>
  <si>
    <t>MD. LIKHON MIAN</t>
  </si>
  <si>
    <t>HUSBAND</t>
  </si>
  <si>
    <t>5 March,1998</t>
  </si>
  <si>
    <t>MD. RUHUL AMIN TALUKDER</t>
  </si>
  <si>
    <t>SHEULY TALUKDER</t>
  </si>
  <si>
    <t>124middle Ajampur, Kachabazar,Dokkhinkhan,Uttara,Dhaka</t>
  </si>
  <si>
    <t>Villege: TENGURIA PARA Holding Number:397 Post office: TENGURIA PARA Post code: 1944 Police Station: BASAIL District: TANGAIL </t>
  </si>
  <si>
    <t>Uttara, Dhaka</t>
  </si>
  <si>
    <t>2nd July,1998</t>
  </si>
  <si>
    <t>heibulin82op</t>
  </si>
  <si>
    <t>Towhidul Islam</t>
  </si>
  <si>
    <t>rexfoysal934@gmail.com</t>
  </si>
  <si>
    <t>Tahmina akter</t>
  </si>
  <si>
    <t>Primeasia University,Banani,Dhaka</t>
  </si>
  <si>
    <t>Saiful Islam</t>
  </si>
  <si>
    <t>Tahmina Akter</t>
  </si>
  <si>
    <t>Nikunja-2, Khilkhet</t>
  </si>
  <si>
    <t>West Hatila,Hajiganj, Chandpur.</t>
  </si>
  <si>
    <t>beilei309op</t>
  </si>
  <si>
    <t>Md Semnato Islam</t>
  </si>
  <si>
    <t>Md. Jobiyed Hasan Riyad</t>
  </si>
  <si>
    <t>semanto227@gmail.com</t>
  </si>
  <si>
    <t>Tasnim</t>
  </si>
  <si>
    <t>Md. Afzal Hossain</t>
  </si>
  <si>
    <t>CB: 46/1, Kachukhet Puran Bazar, Dhaka Cantonment, Dhaka 1206</t>
  </si>
  <si>
    <t>Kachukhet</t>
  </si>
  <si>
    <t>beilei312op</t>
  </si>
  <si>
    <t>Bibi Moriom</t>
  </si>
  <si>
    <t>bibimoriam197@gmail.com</t>
  </si>
  <si>
    <t>Family</t>
  </si>
  <si>
    <t>Govt.Tongi College</t>
  </si>
  <si>
    <t>Md.Jamir Uddin</t>
  </si>
  <si>
    <t>Shahera Khatun</t>
  </si>
  <si>
    <t>Kawlar ,Shialdanga,Dakshinkhan Dhaka-1229.</t>
  </si>
  <si>
    <t>G-149/1,Vogra,National University,Gazipur sadar,Gazipur.</t>
  </si>
  <si>
    <t>zhulan9op</t>
  </si>
  <si>
    <t>Md Likhon Mia</t>
  </si>
  <si>
    <t>likhonmian999@gmail.com</t>
  </si>
  <si>
    <t>MD. TULA MIAH</t>
  </si>
  <si>
    <t>GOVT. SAADAT COLLEGE</t>
  </si>
  <si>
    <t>LILI BEGUM</t>
  </si>
  <si>
    <t>128 KACHA BAZAR,UTTARA DOKKHINKHAN,DHAKA</t>
  </si>
  <si>
    <t>Village:PAKUTIA, Post Office:NAGBARI,Post Coad:1972,Police Station:KALIHATI,District: TANGAIL</t>
  </si>
  <si>
    <t>UATTARA,DHAKA</t>
  </si>
  <si>
    <t>Tanzin</t>
  </si>
  <si>
    <t>heibulin2op</t>
  </si>
  <si>
    <t>Md Asikur Rahman</t>
  </si>
  <si>
    <t>ashikulla17@gmail.com</t>
  </si>
  <si>
    <t>Jakir Hossain</t>
  </si>
  <si>
    <t>Md Abdus Sattar</t>
  </si>
  <si>
    <t>Jabada Bagum</t>
  </si>
  <si>
    <t>H-263/1 kawla baurartek dhaka 1229</t>
  </si>
  <si>
    <t>baghutia char katari para daulatpur Manikjang</t>
  </si>
  <si>
    <t>GenexJ016</t>
  </si>
  <si>
    <t>Mosharaf Hossain</t>
  </si>
  <si>
    <t>Md Tanjir Ahmed</t>
  </si>
  <si>
    <t>Md parves Dewan</t>
  </si>
  <si>
    <t>Family purpose</t>
  </si>
  <si>
    <t>Genex375</t>
  </si>
  <si>
    <t>Md Mohin uddin</t>
  </si>
  <si>
    <t>mdmohinuddin.cse@gmail.com</t>
  </si>
  <si>
    <t>Arman Ul Alam</t>
  </si>
  <si>
    <t>18/03/1997</t>
  </si>
  <si>
    <t>Chittagong Independent University</t>
  </si>
  <si>
    <t>Abdul Sattar</t>
  </si>
  <si>
    <t>Doctor Villa,Kha para, Khilkhet</t>
  </si>
  <si>
    <t>Katirhat,hathazary,Chittagong</t>
  </si>
  <si>
    <t>Unmarrried</t>
  </si>
  <si>
    <t>Genex355</t>
  </si>
  <si>
    <t>Mokaddim hossain</t>
  </si>
  <si>
    <t>shahoriarnasimrc@gmail.com</t>
  </si>
  <si>
    <t>sm moktadir</t>
  </si>
  <si>
    <t>20/06/1997</t>
  </si>
  <si>
    <t>rajshahi College</t>
  </si>
  <si>
    <t>abdus samad</t>
  </si>
  <si>
    <t>jahanara begum</t>
  </si>
  <si>
    <t>26 house 13 road nikunja2</t>
  </si>
  <si>
    <t>badalgachi naougan</t>
  </si>
  <si>
    <t>Sayed Ikhtiaz Ahammad</t>
  </si>
  <si>
    <t>sayedikhtiaz@gmail.com</t>
  </si>
  <si>
    <t>sayed saleh ahammad</t>
  </si>
  <si>
    <t>father</t>
  </si>
  <si>
    <t>28/12/1998</t>
  </si>
  <si>
    <t>mohammadpur central college</t>
  </si>
  <si>
    <t>mahfujara ahammed</t>
  </si>
  <si>
    <t xml:space="preserve">natun bazar </t>
  </si>
  <si>
    <t>susang durgapur</t>
  </si>
  <si>
    <t>natun bazar</t>
  </si>
  <si>
    <t>Genex358</t>
  </si>
  <si>
    <t>Md Tansin Sina</t>
  </si>
  <si>
    <t>Md. Mahin Khan</t>
  </si>
  <si>
    <t>sinaahmed968@gmail.com</t>
  </si>
  <si>
    <t>ibna lman</t>
  </si>
  <si>
    <t>27/01/2003</t>
  </si>
  <si>
    <t>yes</t>
  </si>
  <si>
    <t>govt mujib degree college</t>
  </si>
  <si>
    <t>mohammad ali</t>
  </si>
  <si>
    <t>lucky akter</t>
  </si>
  <si>
    <t>sakhipur, tangail</t>
  </si>
  <si>
    <t>nikunja2</t>
  </si>
  <si>
    <t>Genex367</t>
  </si>
  <si>
    <t>Muhammed Muazzam Hossain</t>
  </si>
  <si>
    <t>hossainrafi71@gmail.com</t>
  </si>
  <si>
    <t>Imam Hossain</t>
  </si>
  <si>
    <t>University Of Global Village</t>
  </si>
  <si>
    <t>Sultana Razia</t>
  </si>
  <si>
    <t>BTI Bhaban, Mazar Road, Abdullapur, Dhaka</t>
  </si>
  <si>
    <t>Abdullapur Bus Stand</t>
  </si>
  <si>
    <t>Genex365</t>
  </si>
  <si>
    <t>Nayeem Hoque Fahad</t>
  </si>
  <si>
    <t xml:space="preserve">nayeemfahad795@gmail.com </t>
  </si>
  <si>
    <t>Kauser Ahamed</t>
  </si>
  <si>
    <t xml:space="preserve">brother </t>
  </si>
  <si>
    <t>o plus</t>
  </si>
  <si>
    <t>University of J.k.K.N.I.U</t>
  </si>
  <si>
    <t xml:space="preserve">Fazlul Hoque </t>
  </si>
  <si>
    <t>Nasima Khatun</t>
  </si>
  <si>
    <t>H-32, R-19,Nikunjo 2</t>
  </si>
  <si>
    <t>Trishal, M ymensingh</t>
  </si>
  <si>
    <t>Genex353</t>
  </si>
  <si>
    <t>Kazi Mahadi Shihab</t>
  </si>
  <si>
    <t>mahadishihab306@gmail.com</t>
  </si>
  <si>
    <t>mahrab</t>
  </si>
  <si>
    <t>15/07/1994</t>
  </si>
  <si>
    <t>jahangirnagar university</t>
  </si>
  <si>
    <t>kazi abdul baten</t>
  </si>
  <si>
    <t>shirina khatun</t>
  </si>
  <si>
    <t>mirpur 11 house 13 road 15/1</t>
  </si>
  <si>
    <t>Genex345</t>
  </si>
  <si>
    <t>MD MORSHEDUL ISLAM</t>
  </si>
  <si>
    <t>morshedulislam009@gmail.com</t>
  </si>
  <si>
    <t>MdBayezid sharkar</t>
  </si>
  <si>
    <t>shenyang aerospace university</t>
  </si>
  <si>
    <t>md nurunnabi mia</t>
  </si>
  <si>
    <t xml:space="preserve">momtaz begum </t>
  </si>
  <si>
    <t xml:space="preserve">nikhuja 2 road 11/2 </t>
  </si>
  <si>
    <t>jalagari durgapur, amlagachi, palashbari gaibandha</t>
  </si>
  <si>
    <t>Nikhuja 2</t>
  </si>
  <si>
    <t>Genex351</t>
  </si>
  <si>
    <t>MD. MAHADI HASAN</t>
  </si>
  <si>
    <t>akash.mahadihasan@gmail.com</t>
  </si>
  <si>
    <t>Md Lotifur Rahman</t>
  </si>
  <si>
    <t>15/12/1995</t>
  </si>
  <si>
    <t>Rajshahi College</t>
  </si>
  <si>
    <t>Md. Lotifur Rahman</t>
  </si>
  <si>
    <t>Most. Monjuara Khatun</t>
  </si>
  <si>
    <t>Mohanpur,rajshahi</t>
  </si>
  <si>
    <t>Genex346</t>
  </si>
  <si>
    <t>MD Redwan Talukder Hridoy</t>
  </si>
  <si>
    <t>redwanridoy07@gmail.com</t>
  </si>
  <si>
    <t>MD Abdur Razzak Talukder</t>
  </si>
  <si>
    <t>20/01/1999</t>
  </si>
  <si>
    <t xml:space="preserve">MD Razzak Talukder </t>
  </si>
  <si>
    <t>Rubina Khatun</t>
  </si>
  <si>
    <t>West Matikara,29/6,Dhaka Cantonment</t>
  </si>
  <si>
    <t>Sirajgonj,Boyrabari,P.O-Belkuchi</t>
  </si>
  <si>
    <t>Dhaka Cantonment,ECB</t>
  </si>
  <si>
    <t>Genex337</t>
  </si>
  <si>
    <t>Md Jahidur Rahman</t>
  </si>
  <si>
    <t>jahidrahman267@gmail.com</t>
  </si>
  <si>
    <t>Tasin Islam</t>
  </si>
  <si>
    <t>Northern University</t>
  </si>
  <si>
    <t>Md Abdur Rahman</t>
  </si>
  <si>
    <t>Kulsum Begum</t>
  </si>
  <si>
    <t>Ashkona, Airport, Dhaka</t>
  </si>
  <si>
    <t>Bhola Sadar, Bhola</t>
  </si>
  <si>
    <t>Genex338</t>
  </si>
  <si>
    <t>Md Mazba Uddin Fahim</t>
  </si>
  <si>
    <t>fazilpur33@gmail.com</t>
  </si>
  <si>
    <t xml:space="preserve">Mohi uddin </t>
  </si>
  <si>
    <t xml:space="preserve">Father </t>
  </si>
  <si>
    <t>Diploma</t>
  </si>
  <si>
    <t>Textile Institute Of Chittagong</t>
  </si>
  <si>
    <t>Md Mohiuddin</t>
  </si>
  <si>
    <t>Johora Akther</t>
  </si>
  <si>
    <t>Kha-para, Khilkhet, dhaka</t>
  </si>
  <si>
    <t>Feni Sadar, Feni</t>
  </si>
  <si>
    <t>Genex342</t>
  </si>
  <si>
    <t>S. M. Rownak Al Jami</t>
  </si>
  <si>
    <t>rownakaljami191919@gmail.com</t>
  </si>
  <si>
    <t>Abdullah-Al-Mamun</t>
  </si>
  <si>
    <t>14/3/2001</t>
  </si>
  <si>
    <t>IBAIS University</t>
  </si>
  <si>
    <t>Kamrun Nahar Ratna</t>
  </si>
  <si>
    <t>H-2/R-18, Nikunja-2, Khilkhet, Dhaka</t>
  </si>
  <si>
    <t>Mymensingh Sadar, Mymensingh</t>
  </si>
  <si>
    <t>Genex310</t>
  </si>
  <si>
    <t>Refat Hosen</t>
  </si>
  <si>
    <t>refathosen671@gmail.com</t>
  </si>
  <si>
    <t>Dulal Mia</t>
  </si>
  <si>
    <t>Sobhan Munshy</t>
  </si>
  <si>
    <t>Moddha Para, Khilkhet, Dhaka-1229</t>
  </si>
  <si>
    <t>Shariatpur Sadar, Shariatpur</t>
  </si>
  <si>
    <t>beilei343op</t>
  </si>
  <si>
    <t>Somyia Afrin Bonna</t>
  </si>
  <si>
    <t>somyiaafrineden@gmail.com</t>
  </si>
  <si>
    <t>Sameya Afrin Julie</t>
  </si>
  <si>
    <t xml:space="preserve">Masters </t>
  </si>
  <si>
    <t>Late Jasim Uddin Babul</t>
  </si>
  <si>
    <t>House no:191 borobari, West Shewrapara, Mirpur,Dhaka-1216</t>
  </si>
  <si>
    <t>Village:Parshipara,P/O:Dugasiya,Thana/Upazila: Gafargoan, District: Mymensingh</t>
  </si>
  <si>
    <t>beilei333op</t>
  </si>
  <si>
    <t>Tahamina Yesmin</t>
  </si>
  <si>
    <t>tahminayesmin09809@gmail.com</t>
  </si>
  <si>
    <t>Fazil</t>
  </si>
  <si>
    <t>Islamic Arabic University</t>
  </si>
  <si>
    <t>MD.Yeazul Haque</t>
  </si>
  <si>
    <t>Begum Shalaha Haque</t>
  </si>
  <si>
    <t>Holding: F2/1, village/ road: civil aviation stuff quarter,Post Office: Khilkhet -1229,thana-airport</t>
  </si>
  <si>
    <t>Holding No:134/2, village: gudiya uttarpara, Union: 27, Thana:tongi paschim, district: ghazipur.</t>
  </si>
  <si>
    <t>Khawla</t>
  </si>
  <si>
    <t>beilei313op</t>
  </si>
  <si>
    <t>Mst Rabbitul Zannat Adure</t>
  </si>
  <si>
    <t>rabbituladure@gmail.com</t>
  </si>
  <si>
    <t>Mst. Abida Sultana</t>
  </si>
  <si>
    <t>Elder sister</t>
  </si>
  <si>
    <t>Md.Abujar Rahman</t>
  </si>
  <si>
    <t>Most.Lovely Begum</t>
  </si>
  <si>
    <t>Mirpur -1,Darus salam road , Tolarbagh gate-2 shekh Faizunnesa karmojibi women hostel, Dhaka-1216</t>
  </si>
  <si>
    <t>Vill:Laxmanpara,Dharmodush,post:Nagarmirgonj,post code:5403,Thana:Tajhat,District :Rangpur</t>
  </si>
  <si>
    <t>Mirpur -1</t>
  </si>
  <si>
    <t>beilei302op</t>
  </si>
  <si>
    <t>Khadizatul Hoque Eeka</t>
  </si>
  <si>
    <t>khadizahoque07@gmail.com</t>
  </si>
  <si>
    <t>Mohammad Mominul Hoque</t>
  </si>
  <si>
    <t>North South University</t>
  </si>
  <si>
    <t>Mst. Nasima Begum</t>
  </si>
  <si>
    <t>Safiuddin sarkar Academy road, Auchpara, ovijan -09, Tongi , college gate</t>
  </si>
  <si>
    <t>Safiuddin sarkar Academy road, Auchpara, ovijan -09, Tongi, college gate</t>
  </si>
  <si>
    <t>Tongi, college gate</t>
  </si>
  <si>
    <t>heibulin68op</t>
  </si>
  <si>
    <t>Mim Ara</t>
  </si>
  <si>
    <t>mimrafi2320@gmail.com</t>
  </si>
  <si>
    <t>S.M Mesbaur Rafi</t>
  </si>
  <si>
    <t>Honours 3rd year</t>
  </si>
  <si>
    <t>Joypurhat Govt. College, Joypurhat</t>
  </si>
  <si>
    <t>Mukul Hossain</t>
  </si>
  <si>
    <t>Mhatiza begum</t>
  </si>
  <si>
    <t>H-29.faruq saroni,nikunja-2,khilkhet,Dhaka</t>
  </si>
  <si>
    <t>Kulfutpur,Dhamoirhat,Naogaon</t>
  </si>
  <si>
    <t>Assistant Manager</t>
  </si>
  <si>
    <t>heibulin89op</t>
  </si>
  <si>
    <t>Kamrun Nahar Sima</t>
  </si>
  <si>
    <t>simaahmed96638@gmail.com</t>
  </si>
  <si>
    <t>Shamsunnahar Rima</t>
  </si>
  <si>
    <t>Beauty Begum</t>
  </si>
  <si>
    <t>House: 699, Road: 11, Adabor, Mohammadpur, Dhaka-1207</t>
  </si>
  <si>
    <t>Vill: Sangura, P.S.: Baliakandi, P.O.: Laxmandia, District: Rajbari, Dhaka</t>
  </si>
  <si>
    <t>naihe10op</t>
  </si>
  <si>
    <t>Fatema Tuj Johra Asha</t>
  </si>
  <si>
    <t>Mdnadim071096@gmail .com</t>
  </si>
  <si>
    <t>MD NADIM</t>
  </si>
  <si>
    <t xml:space="preserve">B.A </t>
  </si>
  <si>
    <t>md kamal hossain</t>
  </si>
  <si>
    <t>Forida yesmin</t>
  </si>
  <si>
    <t>8no sector uttara, bonbithi complex quarter</t>
  </si>
  <si>
    <t>sufia lodge 29/1,palash nogor ,section11 mirpur</t>
  </si>
  <si>
    <t>uttara</t>
  </si>
  <si>
    <t>IMTIAZ AHMED</t>
  </si>
  <si>
    <t>Nisma Khatun</t>
  </si>
  <si>
    <t>Nismakhatun771@gmail</t>
  </si>
  <si>
    <t>A +</t>
  </si>
  <si>
    <t>17/03/1996</t>
  </si>
  <si>
    <t>Lutfor Rhaman</t>
  </si>
  <si>
    <t>Hawa begum</t>
  </si>
  <si>
    <t>Village: Horinapai,fulkocha, melandha, jamalpur</t>
  </si>
  <si>
    <t>Dhokin khan</t>
  </si>
  <si>
    <t>heibulin80op</t>
  </si>
  <si>
    <t>Misty Roy</t>
  </si>
  <si>
    <t>roymisty987@gmail.com</t>
  </si>
  <si>
    <t>Sriti Roy</t>
  </si>
  <si>
    <t>01829-918942</t>
  </si>
  <si>
    <t>LL.M</t>
  </si>
  <si>
    <t>Bishnu Roy</t>
  </si>
  <si>
    <t>Uttrra Azimpur kachabazar, muktijodha,road panirpamp</t>
  </si>
  <si>
    <t>Dis:Munshigonj Thana:sirajdikhan post:shakhornogor</t>
  </si>
  <si>
    <t>Uttrra Azimpur</t>
  </si>
  <si>
    <t>Beilei297op</t>
  </si>
  <si>
    <t>Nusrat Afrin</t>
  </si>
  <si>
    <t>Nusratafrin771@gmail.com</t>
  </si>
  <si>
    <t>Shahnewaz Kabir</t>
  </si>
  <si>
    <t>Late Md Nasir Uddin Molla</t>
  </si>
  <si>
    <t>House- 10, Road- 12/B, Sector- 10, Uttara, Dhaka-1230</t>
  </si>
  <si>
    <t>Collegepara, Post Office: Alamdanga-7210, Alamdanga, Alamdanga Municipality, Chuadanga</t>
  </si>
  <si>
    <t>Genex411</t>
  </si>
  <si>
    <t>Iqbal Husain</t>
  </si>
  <si>
    <t>iqbal858627@gmail.com</t>
  </si>
  <si>
    <t>sabuj baidya</t>
  </si>
  <si>
    <t>friend</t>
  </si>
  <si>
    <t>17/01/1997</t>
  </si>
  <si>
    <t>graduate</t>
  </si>
  <si>
    <t>primeasia university</t>
  </si>
  <si>
    <t>Entazul Haque</t>
  </si>
  <si>
    <t>Esmaytara bibi</t>
  </si>
  <si>
    <t>manda, naogaon</t>
  </si>
  <si>
    <t>nikunja-2</t>
  </si>
  <si>
    <t>Genex402</t>
  </si>
  <si>
    <t>Jahidul islam</t>
  </si>
  <si>
    <t>jahidulislam7434@gmail.com</t>
  </si>
  <si>
    <t>jahanara brgum</t>
  </si>
  <si>
    <t>Mishbah uddin ahmed</t>
  </si>
  <si>
    <t>Jahanara begum</t>
  </si>
  <si>
    <t>bonmala,dottapar,tongi,gazipur</t>
  </si>
  <si>
    <t>bonmala,dottapara,tongi,gazipur</t>
  </si>
  <si>
    <t>bonmala,dottapara,tongi gazipur</t>
  </si>
  <si>
    <t>Genex412</t>
  </si>
  <si>
    <t>Md Nayem Hassan</t>
  </si>
  <si>
    <t>mdnayemeee@gmail.com</t>
  </si>
  <si>
    <t>Mahamud</t>
  </si>
  <si>
    <t>16/5/1996</t>
  </si>
  <si>
    <t>Bangladesh Army University of Engineering and Technology</t>
  </si>
  <si>
    <t>Md Ahsan Ali</t>
  </si>
  <si>
    <t>Mst Samsun Nahar</t>
  </si>
  <si>
    <t>Sector-14, Uttara</t>
  </si>
  <si>
    <t>Shajahanpur, Bogura</t>
  </si>
  <si>
    <t>Genex410</t>
  </si>
  <si>
    <t xml:space="preserve">Rakibul Islam </t>
  </si>
  <si>
    <t xml:space="preserve">CSO </t>
  </si>
  <si>
    <t xml:space="preserve">ornopislam1915@gmail.com </t>
  </si>
  <si>
    <t xml:space="preserve">Rabia Begum </t>
  </si>
  <si>
    <t xml:space="preserve">Yes </t>
  </si>
  <si>
    <t xml:space="preserve">Daffodil International University </t>
  </si>
  <si>
    <t xml:space="preserve">Babul Islam </t>
  </si>
  <si>
    <t>Mirpur -14,Kachukhet,Kafrul,Mirpur,Dhaka.</t>
  </si>
  <si>
    <t xml:space="preserve">Mirpur-14 </t>
  </si>
  <si>
    <t>Genex403</t>
  </si>
  <si>
    <t>Md. Zillur rahman</t>
  </si>
  <si>
    <t>jonyakanda655@gmail.com</t>
  </si>
  <si>
    <t xml:space="preserve">Tushar </t>
  </si>
  <si>
    <t>Md Saidur Rahman</t>
  </si>
  <si>
    <t>Nurun Nahar</t>
  </si>
  <si>
    <t>R-11, Nikunja-02</t>
  </si>
  <si>
    <t>Moddhapara, Kotiyadi. Kishorganj</t>
  </si>
  <si>
    <t>Genex405</t>
  </si>
  <si>
    <t>Shuvo Chandra Singh</t>
  </si>
  <si>
    <t>scsingh588@gmail.com</t>
  </si>
  <si>
    <t>suvash chandra singh</t>
  </si>
  <si>
    <t>Hindhu</t>
  </si>
  <si>
    <t>NATIONAL UNIVERSITY</t>
  </si>
  <si>
    <t>KALPONA RANI SINGH</t>
  </si>
  <si>
    <t xml:space="preserve">NIKUNJO-2, ROAD-19, HOUSE NO-2 </t>
  </si>
  <si>
    <t>MORJATKOL, SURJANOGOR, RAJBARI SADAR, RAJBARI</t>
  </si>
  <si>
    <t>Genex409</t>
  </si>
  <si>
    <t>Sourav Mazumder</t>
  </si>
  <si>
    <t>souravmazumdershuvo@gmail.com</t>
  </si>
  <si>
    <t xml:space="preserve">Rana Molla </t>
  </si>
  <si>
    <t xml:space="preserve">Frined </t>
  </si>
  <si>
    <t>31-12-1997</t>
  </si>
  <si>
    <t xml:space="preserve">Govt. HSS Collage,  Magura</t>
  </si>
  <si>
    <t>Shamol Kumar Mazumder</t>
  </si>
  <si>
    <t>Joyanti Rani Mazumder</t>
  </si>
  <si>
    <t>Kazipara, Mirpur</t>
  </si>
  <si>
    <t>Kanutioya, Mohammadpur, Magura</t>
  </si>
  <si>
    <t>Genex399</t>
  </si>
  <si>
    <t>Vaskar Chandra Ojhan</t>
  </si>
  <si>
    <t>496872/2002</t>
  </si>
  <si>
    <t>vaskar.ovi@gmail.com</t>
  </si>
  <si>
    <t>Sanjoy Chandra Ojhan</t>
  </si>
  <si>
    <t>15-10-1988</t>
  </si>
  <si>
    <t>Late Sankar Chandra Ojhan</t>
  </si>
  <si>
    <t>Late. Shumita Rani</t>
  </si>
  <si>
    <t>Mirpur 2</t>
  </si>
  <si>
    <t>Baroipara, Noria, Sariatpur</t>
  </si>
  <si>
    <t>Genex396</t>
  </si>
  <si>
    <t>Md fahim Foysal</t>
  </si>
  <si>
    <t>foysal0427@gmail.com</t>
  </si>
  <si>
    <t>Md Jamaner Rahaman</t>
  </si>
  <si>
    <t>Md Nasir Uddin</t>
  </si>
  <si>
    <t>Mst Rahima Khatun</t>
  </si>
  <si>
    <t>Senbagh,Noakhali</t>
  </si>
  <si>
    <t>Green Road</t>
  </si>
  <si>
    <t>Genex398</t>
  </si>
  <si>
    <t>Mohammad Nehal Hasan</t>
  </si>
  <si>
    <t>nehalhasan200@gmail.com</t>
  </si>
  <si>
    <t>Nokib Hossain</t>
  </si>
  <si>
    <t>University of Science and Technology Chittagong</t>
  </si>
  <si>
    <t>Late Md. Shahajahan</t>
  </si>
  <si>
    <t>Nargis Akhter</t>
  </si>
  <si>
    <t>Nadda, Bashundhara</t>
  </si>
  <si>
    <t>Hathazari, Chittagong</t>
  </si>
  <si>
    <t>Genex382</t>
  </si>
  <si>
    <t>Imdadul Molla</t>
  </si>
  <si>
    <t>imdadulhaquemilon80@gmail.com</t>
  </si>
  <si>
    <t>MD Hamidulla</t>
  </si>
  <si>
    <t>Shanto Mariam University of Creative Technology</t>
  </si>
  <si>
    <t>Abdul Hiy Molla</t>
  </si>
  <si>
    <t>Jonowara Begum</t>
  </si>
  <si>
    <t xml:space="preserve">Sector-13 Uttara </t>
  </si>
  <si>
    <t>Durgapur ,Boalmari, Faridpur</t>
  </si>
  <si>
    <t>Housebuilding</t>
  </si>
  <si>
    <t>Genex377</t>
  </si>
  <si>
    <t>Ishtiaque Shams Khondokar</t>
  </si>
  <si>
    <t>Ishtiaque199815@gmail.com</t>
  </si>
  <si>
    <t>Sharif Shams Khondokar</t>
  </si>
  <si>
    <t>15/12/1998</t>
  </si>
  <si>
    <t>Shamsur Rashid Khondokar</t>
  </si>
  <si>
    <t>MST. Yasmin Sultana</t>
  </si>
  <si>
    <t xml:space="preserve">Bashundhara Residencial Area </t>
  </si>
  <si>
    <t>Nodda</t>
  </si>
  <si>
    <t>Genex389</t>
  </si>
  <si>
    <t>Arfan Ali</t>
  </si>
  <si>
    <t>jisansordar806@gmail.com</t>
  </si>
  <si>
    <t>Sagor Islam</t>
  </si>
  <si>
    <t>Govt. Azizul Haque College,Bogura</t>
  </si>
  <si>
    <t>Shahidul Sarder</t>
  </si>
  <si>
    <t>Emroza Bibi</t>
  </si>
  <si>
    <t>Uttara Sector-3</t>
  </si>
  <si>
    <t>Vill:Doulotpur,P.O:Banaich hat,P.S:Khetlal,Dis:Joypurhat,Division:Rajshahi,Bangladesh</t>
  </si>
  <si>
    <t>Jashimuddin</t>
  </si>
  <si>
    <t>Genex390</t>
  </si>
  <si>
    <t>Sheikh Mohammad Sayfulaah</t>
  </si>
  <si>
    <t>sheikhsayfullahjnu06@gmail.com</t>
  </si>
  <si>
    <t>zahirul islam</t>
  </si>
  <si>
    <t>Mohammad Belayet Hossain</t>
  </si>
  <si>
    <t>Uttra sector-4</t>
  </si>
  <si>
    <t xml:space="preserve">word no-08,bauphal paurasava, patuakhali    unmarried</t>
  </si>
  <si>
    <t>Genex401</t>
  </si>
  <si>
    <t>Azom Mohammad</t>
  </si>
  <si>
    <t>azom323@gmail.com</t>
  </si>
  <si>
    <t>Nur Mohammad</t>
  </si>
  <si>
    <t>28-12-1993</t>
  </si>
  <si>
    <t>Pabna University of Scinece &amp; Technology</t>
  </si>
  <si>
    <t>Md. Abdus Salam Tarafder</t>
  </si>
  <si>
    <t>Rawsanara Begum</t>
  </si>
  <si>
    <t>Gobindokati, Baratia,Dumuria,Khulna</t>
  </si>
  <si>
    <t>Genex394</t>
  </si>
  <si>
    <t>Syed Siffat Mahmood Himal</t>
  </si>
  <si>
    <t>siffatkhan00@gmail.com</t>
  </si>
  <si>
    <t>Shohag Hasan Rabbi</t>
  </si>
  <si>
    <t>25-05-1999</t>
  </si>
  <si>
    <t>Md Guljar Hossan</t>
  </si>
  <si>
    <t>Mst. Lotfa Begum</t>
  </si>
  <si>
    <t>Dumni, Khilkhet,Dhaka</t>
  </si>
  <si>
    <t>zhulan49op</t>
  </si>
  <si>
    <t>Samsurnahar Ratna</t>
  </si>
  <si>
    <t>F</t>
  </si>
  <si>
    <t>CM</t>
  </si>
  <si>
    <t>MD Ashraful Hauqe</t>
  </si>
  <si>
    <t>s.nahar0624@gmail.com</t>
  </si>
  <si>
    <t>MD. Kamruzzaman Bhuiyan</t>
  </si>
  <si>
    <t>24/06/1998</t>
  </si>
  <si>
    <t>Md.Kashem Ali</t>
  </si>
  <si>
    <t>Kohinoor Begum</t>
  </si>
  <si>
    <t>House-31,Road-11,Nikunja-2</t>
  </si>
  <si>
    <t>Tepakhola,Brindaboner Mor ,Faridpur</t>
  </si>
  <si>
    <t>15/06/1995</t>
  </si>
  <si>
    <t>zhulan11op</t>
  </si>
  <si>
    <t>Cadni Akther</t>
  </si>
  <si>
    <t>chadni.com@gmail.com</t>
  </si>
  <si>
    <t>Kahinur Matubber</t>
  </si>
  <si>
    <t>19.4.2000</t>
  </si>
  <si>
    <t>nikunjo-2</t>
  </si>
  <si>
    <t>Faridpur;Bhanga;patril Dighirpar</t>
  </si>
  <si>
    <t>Unmaried</t>
  </si>
  <si>
    <t>zhulan17op</t>
  </si>
  <si>
    <t>Farzana Akter Soa</t>
  </si>
  <si>
    <t>farjanasoa1971@gmail.com</t>
  </si>
  <si>
    <t>Rubel</t>
  </si>
  <si>
    <t>04//03/1999</t>
  </si>
  <si>
    <t>Abu sayed kuddus</t>
  </si>
  <si>
    <t>Hanora Begum</t>
  </si>
  <si>
    <t>Patira khilkhet Dhaka</t>
  </si>
  <si>
    <t>patira Khilkhet Dhaka</t>
  </si>
  <si>
    <t>zhulan14op</t>
  </si>
  <si>
    <t>Mst Shahara Khanom Shohlay</t>
  </si>
  <si>
    <t>shahara.khanom05uits@gmail.com</t>
  </si>
  <si>
    <t>Sayda Khanom</t>
  </si>
  <si>
    <t>Md. Abdus Salam Khan</t>
  </si>
  <si>
    <t>Mst. Rafeja khanom</t>
  </si>
  <si>
    <t>Shahzadpur, Gulshan,Dhaka</t>
  </si>
  <si>
    <t>V: Bashuria; T:Shahzadpur; D; Sirajgonj;</t>
  </si>
  <si>
    <t>Shahzadpur</t>
  </si>
  <si>
    <t>Nahida Aktar</t>
  </si>
  <si>
    <t>nahida01759@gmail.com</t>
  </si>
  <si>
    <t>Sabrina Israt</t>
  </si>
  <si>
    <t>Sibling</t>
  </si>
  <si>
    <t>MD. Dulal Mia</t>
  </si>
  <si>
    <t>mollarteck, Uttarkhan.</t>
  </si>
  <si>
    <t>Rahamatpur,Sadar,mymensingh</t>
  </si>
  <si>
    <t>111 Sunflower School goli, Mollartek, dhaka</t>
  </si>
  <si>
    <t>Kakoly Dalal</t>
  </si>
  <si>
    <t>info.Kakolyrani@gamil.com</t>
  </si>
  <si>
    <t>Suvashis Dalal</t>
  </si>
  <si>
    <t>Puja Dalal</t>
  </si>
  <si>
    <t>Bepari para,Khilkhet</t>
  </si>
  <si>
    <t>Vill: Nicha Bazar, Thana:natore post:natore</t>
  </si>
  <si>
    <t>beilei346op</t>
  </si>
  <si>
    <t>Sharmin Akter Sumi</t>
  </si>
  <si>
    <t>surovi23@gmail.com</t>
  </si>
  <si>
    <t>Jesmin Akter</t>
  </si>
  <si>
    <t>Lalmatia Government Mohila College</t>
  </si>
  <si>
    <t>Abdul Hadi</t>
  </si>
  <si>
    <t>Monoara Begum</t>
  </si>
  <si>
    <t>road 12, house 19, Mirpur 12, Pollobi</t>
  </si>
  <si>
    <t>gram: thrisghor, thana: bokainagor, dist: Mymensingh</t>
  </si>
  <si>
    <t>mirpur 12 pollobi</t>
  </si>
  <si>
    <t>beilei337op</t>
  </si>
  <si>
    <t>Razia Sultana Nahida</t>
  </si>
  <si>
    <t>rsnahida789@gmail.com</t>
  </si>
  <si>
    <t>Nurunnahar Begum</t>
  </si>
  <si>
    <t>Md Abu Yousuf</t>
  </si>
  <si>
    <t>Kha/47, Moddhopara, Khilkhet , Dhaka -1229</t>
  </si>
  <si>
    <t>Vill: Vaor P.O: Panchgaon P.S: Chatkhil Dis:Noakhali</t>
  </si>
  <si>
    <t>Khilkhet, Dhaka-1229</t>
  </si>
  <si>
    <t>zhulan21op</t>
  </si>
  <si>
    <t>Sadia Siddika</t>
  </si>
  <si>
    <t>Genex360</t>
  </si>
  <si>
    <t>Md. Swapon Mia</t>
  </si>
  <si>
    <t xml:space="preserve">Mohammad Joshim </t>
  </si>
  <si>
    <t>swapon.info1@gmail.com</t>
  </si>
  <si>
    <t>Mst. Jannatul Ferdoushi</t>
  </si>
  <si>
    <t>Md. Saidur Rahman</t>
  </si>
  <si>
    <t>Mst. Swapna</t>
  </si>
  <si>
    <t>Staff Quarter, Sarkari karmochari Hospital,Dhaka</t>
  </si>
  <si>
    <t>Vill-Bagmara,PO_ satariaPS-sarishabari,Jamalpur</t>
  </si>
  <si>
    <t>Fulbaria,Dhaka</t>
  </si>
  <si>
    <t>Genex422</t>
  </si>
  <si>
    <t>Md Abdullah Hassan</t>
  </si>
  <si>
    <t>hasanabdullahtaj@gmail.com</t>
  </si>
  <si>
    <t>Abu Taher</t>
  </si>
  <si>
    <t xml:space="preserve"> Graduate</t>
  </si>
  <si>
    <t>Green University of Bangladesh / 2024</t>
  </si>
  <si>
    <t>Minara Begum</t>
  </si>
  <si>
    <t>Nikunja-2, R-11</t>
  </si>
  <si>
    <t>Bagerhat,Sharankhola</t>
  </si>
  <si>
    <t>Genex428</t>
  </si>
  <si>
    <t>Nadim Hasan</t>
  </si>
  <si>
    <t>nadimhasan199801@gmail.com</t>
  </si>
  <si>
    <t>A+ve</t>
  </si>
  <si>
    <t xml:space="preserve">Southeast University </t>
  </si>
  <si>
    <t>Mst. Kamrunnahar</t>
  </si>
  <si>
    <t>Baigertek hazi market, Pallabi-1216</t>
  </si>
  <si>
    <t>P/O: Rasulpur, Thana:Gafargaon, Dib: Mymensingh</t>
  </si>
  <si>
    <t>Genex430</t>
  </si>
  <si>
    <t>Romeo Romareo Chambugong</t>
  </si>
  <si>
    <t>romeo.romareo999@gmail.com</t>
  </si>
  <si>
    <t>Emon</t>
  </si>
  <si>
    <t>26/6/1996</t>
  </si>
  <si>
    <t>mymensingh collauge</t>
  </si>
  <si>
    <t>Jhon pinkoo mandol</t>
  </si>
  <si>
    <t>kolpona marak</t>
  </si>
  <si>
    <t>kalachandpur, Gulshan2</t>
  </si>
  <si>
    <t>kasar, mymensingh sadar, Mymensingh</t>
  </si>
  <si>
    <t>Genex423</t>
  </si>
  <si>
    <t>B.m Tanvir Hasan</t>
  </si>
  <si>
    <t>tanvirhasan902@gmail.com</t>
  </si>
  <si>
    <t>Farhana Akter Shammi</t>
  </si>
  <si>
    <t>Bangabandhu Sheikh Mujibur Rahman Science and Technology University</t>
  </si>
  <si>
    <t>MD. Sahidur Rahaman</t>
  </si>
  <si>
    <t>Shirina Begum</t>
  </si>
  <si>
    <t>Mirpur 10 , senpara, porbota, Dhaka</t>
  </si>
  <si>
    <t>162, senhati, Digholia, Khulna</t>
  </si>
  <si>
    <t>Genex418</t>
  </si>
  <si>
    <t>Sahadat Hossain Sohan</t>
  </si>
  <si>
    <t>sohansahadat49@gmail.com</t>
  </si>
  <si>
    <t xml:space="preserve">Rahima begum </t>
  </si>
  <si>
    <t>UITS</t>
  </si>
  <si>
    <t>Late.Md.Niat Ali</t>
  </si>
  <si>
    <t xml:space="preserve">Rahima Begum </t>
  </si>
  <si>
    <t>sahajadpur,Gulshan</t>
  </si>
  <si>
    <t xml:space="preserve">Sahajadpur,Gulshan </t>
  </si>
  <si>
    <t>Sahajadpur</t>
  </si>
  <si>
    <t>Genex419</t>
  </si>
  <si>
    <t>Khondokar Mehedi Hassan</t>
  </si>
  <si>
    <t>kmehedihasan11@gmail.com</t>
  </si>
  <si>
    <t>Mst. Hasina Sharmin</t>
  </si>
  <si>
    <t>18/12/2000</t>
  </si>
  <si>
    <t>Dhaka International University, 2019-2023</t>
  </si>
  <si>
    <t>Khondokar Rezaul Haque</t>
  </si>
  <si>
    <t>Barobari, Opposite of Jamuna Future Park</t>
  </si>
  <si>
    <t xml:space="preserve">High Road, Alamdanga, Chuadanga </t>
  </si>
  <si>
    <t>Bashundhara</t>
  </si>
  <si>
    <t>Genex420</t>
  </si>
  <si>
    <t>MD.Khairul Islam Nayem</t>
  </si>
  <si>
    <t>nayem575@yahoo.com</t>
  </si>
  <si>
    <t>maznu miah</t>
  </si>
  <si>
    <t>15/07/97</t>
  </si>
  <si>
    <t>md maznu miah</t>
  </si>
  <si>
    <t>khadiza Begum</t>
  </si>
  <si>
    <r>
      <t>Nikunja -</t>
    </r>
    <r>
      <rPr>
        <rFont val="Calibri"/>
        <family val="2"/>
        <b/>
        <color theme="1"/>
        <sz val="12"/>
      </rPr>
      <t>2</t>
    </r>
  </si>
  <si>
    <t>Ghatail,Tangail</t>
  </si>
  <si>
    <t>Genex421</t>
  </si>
  <si>
    <t>Rimon Howlader</t>
  </si>
  <si>
    <t xml:space="preserve">rimonhowlader01@gmail.com </t>
  </si>
  <si>
    <t xml:space="preserve">Evan Nur Rahman </t>
  </si>
  <si>
    <t>29/9/1998</t>
  </si>
  <si>
    <t>Mozammel Razzak Howlader</t>
  </si>
  <si>
    <t>Lovely Akhter</t>
  </si>
  <si>
    <t>Bansree</t>
  </si>
  <si>
    <t xml:space="preserve">Lamcharim, Charbariya, Barishal </t>
  </si>
  <si>
    <t xml:space="preserve">Banasree </t>
  </si>
  <si>
    <t>Genex424</t>
  </si>
  <si>
    <t>Alamin</t>
  </si>
  <si>
    <t>ahmedmilon5577@gmail.com</t>
  </si>
  <si>
    <t>Delowar hossain</t>
  </si>
  <si>
    <t>govt.saadat college tangail</t>
  </si>
  <si>
    <t>Delowar Hossain</t>
  </si>
  <si>
    <t>Nurjahan Begum</t>
  </si>
  <si>
    <t>Sakhipur,Tangail</t>
  </si>
  <si>
    <t>Genex426</t>
  </si>
  <si>
    <t>Din islam tansen</t>
  </si>
  <si>
    <t>dinislamtansen11@gmail.com</t>
  </si>
  <si>
    <t>tanvir</t>
  </si>
  <si>
    <t>bgmea university of fashion and technology</t>
  </si>
  <si>
    <t>Md akter hossain</t>
  </si>
  <si>
    <t>mrs rahima begum</t>
  </si>
  <si>
    <t>dumni,khilkhet,dhaka-1229</t>
  </si>
  <si>
    <t>Dumni</t>
  </si>
  <si>
    <t>Genex429</t>
  </si>
  <si>
    <t>Md. Sazid Hasan</t>
  </si>
  <si>
    <t>sazidhasan3102@gmail.com</t>
  </si>
  <si>
    <t xml:space="preserve">Hasan </t>
  </si>
  <si>
    <t>Southeast university</t>
  </si>
  <si>
    <t>Md. Asadul Haque</t>
  </si>
  <si>
    <t>shelina yesmin</t>
  </si>
  <si>
    <t>Bogra Sadar , Bogura</t>
  </si>
  <si>
    <t>Genex435</t>
  </si>
  <si>
    <t>Rahat Abedin</t>
  </si>
  <si>
    <t>rhtabedin@gmail.com</t>
  </si>
  <si>
    <t>Nadira Begum</t>
  </si>
  <si>
    <t>19-5-2000</t>
  </si>
  <si>
    <t>IUB</t>
  </si>
  <si>
    <t xml:space="preserve">Md Joynal </t>
  </si>
  <si>
    <t>Solmaid, Dhalibari, Bashundhara</t>
  </si>
  <si>
    <t>Genex432</t>
  </si>
  <si>
    <t>Shayon Talukder</t>
  </si>
  <si>
    <t>sayontalukdar85@gmail.com</t>
  </si>
  <si>
    <t>fidel Debnath</t>
  </si>
  <si>
    <t>b+</t>
  </si>
  <si>
    <t>post Graduate</t>
  </si>
  <si>
    <t xml:space="preserve">National University </t>
  </si>
  <si>
    <t>Dinendra Talukder</t>
  </si>
  <si>
    <t>Shefali Talukder</t>
  </si>
  <si>
    <t>Notun Bazar, Vatara, Dhaka</t>
  </si>
  <si>
    <t>Mohangonj, Netrakona</t>
  </si>
  <si>
    <t>Notun Bazar</t>
  </si>
  <si>
    <t>Genex444</t>
  </si>
  <si>
    <t>Abu Syed Md. Kawsar</t>
  </si>
  <si>
    <t>asmkawsar.job@gmail.com</t>
  </si>
  <si>
    <t>Sumaya Mahmud</t>
  </si>
  <si>
    <t>16-8-1999</t>
  </si>
  <si>
    <t>Shanto Mariam University</t>
  </si>
  <si>
    <t>Md. Abdus Samad</t>
  </si>
  <si>
    <t>Afroza Pervin</t>
  </si>
  <si>
    <t>Kalshi, Mirpur-12, Dhaka</t>
  </si>
  <si>
    <t>Debottor, Atgharia, Pabna</t>
  </si>
  <si>
    <t>Kalshi</t>
  </si>
  <si>
    <t>Genex434</t>
  </si>
  <si>
    <t xml:space="preserve">Abid Hossain Durjoy </t>
  </si>
  <si>
    <t>durjoy.jeansfellow@gmail.com</t>
  </si>
  <si>
    <t>Ruma</t>
  </si>
  <si>
    <t xml:space="preserve">Dhaka College  </t>
  </si>
  <si>
    <t xml:space="preserve">Alamgir Hossain </t>
  </si>
  <si>
    <t>Mrs. Ruma</t>
  </si>
  <si>
    <t xml:space="preserve">House: 4/A, Prembagan, Airport, Dhaka </t>
  </si>
  <si>
    <t xml:space="preserve">Kazipur, Sirajganj, Rajshai </t>
  </si>
  <si>
    <t xml:space="preserve">Airport </t>
  </si>
  <si>
    <t>Genex450</t>
  </si>
  <si>
    <t>Md. Mostafa Morshed</t>
  </si>
  <si>
    <t>mostafamorshed14@gmail.com</t>
  </si>
  <si>
    <t>Abdullah Al Mahmud</t>
  </si>
  <si>
    <t>Md. Ali Ahmed</t>
  </si>
  <si>
    <t>Mst. Mahfuza Khatun</t>
  </si>
  <si>
    <t>House:18, Road:15, Sector:14, Uttara, Dhaka</t>
  </si>
  <si>
    <t>Tilakpur, Akkelpur, Joypurhat</t>
  </si>
  <si>
    <t>Pool Phone</t>
  </si>
  <si>
    <t>Pursuing Eduction End Year</t>
  </si>
  <si>
    <t>Location</t>
  </si>
  <si>
    <t>Previous Employee ID</t>
  </si>
  <si>
    <t>Separation Type</t>
  </si>
  <si>
    <t>Inactive Date</t>
  </si>
  <si>
    <t>Reason</t>
  </si>
  <si>
    <t>Tenure</t>
  </si>
  <si>
    <t xml:space="preserve">HR Comments </t>
  </si>
  <si>
    <t>Md.Obit Hassan Orid</t>
  </si>
  <si>
    <t>Moderator</t>
  </si>
  <si>
    <t>Apprentice Fixed</t>
  </si>
  <si>
    <t>Abdallah Shaadh Rahman</t>
  </si>
  <si>
    <t>Temu Batch-3</t>
  </si>
  <si>
    <t>obitassanorid@gmail.com</t>
  </si>
  <si>
    <t>Suborna</t>
  </si>
  <si>
    <t>Undergraduate</t>
  </si>
  <si>
    <t>Hon's (3rd year)</t>
  </si>
  <si>
    <t>Mirpur college</t>
  </si>
  <si>
    <t>Abul hossain</t>
  </si>
  <si>
    <t>Aiju begum</t>
  </si>
  <si>
    <t>H-19,R-24,Ave-5,Block-C,Section-11,Mirpur Dhaka-1216</t>
  </si>
  <si>
    <t>Agent</t>
  </si>
  <si>
    <t>Separated</t>
  </si>
  <si>
    <t>Dipankar Saha Dipto</t>
  </si>
  <si>
    <t>OJT</t>
  </si>
  <si>
    <t>Fakrul Hasan Asif</t>
  </si>
  <si>
    <t>Md. Fahim Hossain Hemal</t>
  </si>
  <si>
    <t>fukrulasif3891@gmail.com</t>
  </si>
  <si>
    <t>Payer Ahmed</t>
  </si>
  <si>
    <t>Computer Science and Engineering</t>
  </si>
  <si>
    <t>Bangladesh university of business and technology</t>
  </si>
  <si>
    <t>170/2 pathowary house,Kuril chowrasta,kuril.</t>
  </si>
  <si>
    <t>Ali Ajghar Patowary house,middle rampur,Feni sadar,Feni.</t>
  </si>
  <si>
    <t>Resignation</t>
  </si>
  <si>
    <t>Abdul Aual Arafat</t>
  </si>
  <si>
    <t>Abdul Moontakim Alif</t>
  </si>
  <si>
    <t>Temu Batch-7</t>
  </si>
  <si>
    <t xml:space="preserve">Japanese language learning </t>
  </si>
  <si>
    <t>Mst Rammi Akter</t>
  </si>
  <si>
    <t xml:space="preserve">Female </t>
  </si>
  <si>
    <t>rammiakter.bd@gmail.com</t>
  </si>
  <si>
    <t>MD. Abdur Razzak</t>
  </si>
  <si>
    <t>B00338658</t>
  </si>
  <si>
    <t>Mst. Nazma Begum</t>
  </si>
  <si>
    <t>Ullipur,Sherpur,Bogura</t>
  </si>
  <si>
    <t xml:space="preserve">New job opportunity </t>
  </si>
  <si>
    <t>Riad Abdullah</t>
  </si>
  <si>
    <t>Abdullahriad003@gmail.com</t>
  </si>
  <si>
    <t>Rahat Abdullah</t>
  </si>
  <si>
    <t>19966125205000104</t>
  </si>
  <si>
    <t>BX0139499</t>
  </si>
  <si>
    <t>BSC in CSE 3rd year</t>
  </si>
  <si>
    <t>Sonargaon University, Dhaka</t>
  </si>
  <si>
    <t>Abdullahel Mahmud</t>
  </si>
  <si>
    <t>Mahbuba Akhter</t>
  </si>
  <si>
    <t>Tolarbagh, Mirpur-1, Dhaka</t>
  </si>
  <si>
    <t>28, Zilla school road, Mymensingh</t>
  </si>
  <si>
    <t>Personal issues (Resignation letter received on June 11, 2023</t>
  </si>
  <si>
    <t>Tajim Nur</t>
  </si>
  <si>
    <t>tanjimnishu747@gmail.com</t>
  </si>
  <si>
    <t>Taslima akter</t>
  </si>
  <si>
    <t>20032692526350565</t>
  </si>
  <si>
    <t>A01695198</t>
  </si>
  <si>
    <t>Southern college</t>
  </si>
  <si>
    <t>Nurun nubi</t>
  </si>
  <si>
    <t>Kawla,ambagan p2/3 stuff quater</t>
  </si>
  <si>
    <t>G.p.go 31/B middle badda Monoyara villa</t>
  </si>
  <si>
    <t xml:space="preserve">Study purpose </t>
  </si>
  <si>
    <t>Md Touhiduzzaman Bhuiyan</t>
  </si>
  <si>
    <t>Temu Batch-1</t>
  </si>
  <si>
    <t>Touhiduzamanbhuiyan17@gmail.com</t>
  </si>
  <si>
    <t>Ummey Habiba</t>
  </si>
  <si>
    <t>Md Abdur Razzaque Bhuiyan</t>
  </si>
  <si>
    <t>Nurun nahar</t>
  </si>
  <si>
    <t>House:12/4, road: 01,kallyanpur,Dhaka</t>
  </si>
  <si>
    <t>Mirpur, Dhaka</t>
  </si>
  <si>
    <t>Khadiza Khanom Boby</t>
  </si>
  <si>
    <t>khadizakhanom245@gmail.com</t>
  </si>
  <si>
    <t>MD.Bachu Mia</t>
  </si>
  <si>
    <t>+8801731184594</t>
  </si>
  <si>
    <t>19972650898000000</t>
  </si>
  <si>
    <t>Rina Akter</t>
  </si>
  <si>
    <t>Brahmanbaria,District:Bacharampur,Village:achadnagar</t>
  </si>
  <si>
    <t>Matikata Bazar,Dhaka Cantonment</t>
  </si>
  <si>
    <t>khadiza.boby@genex.com.bd</t>
  </si>
  <si>
    <t>Genex027</t>
  </si>
  <si>
    <t>Fazla Rabbi</t>
  </si>
  <si>
    <t>Temu Batch-8</t>
  </si>
  <si>
    <t>rabbimahmud276@gmail.com</t>
  </si>
  <si>
    <t>Ehsanul kabir Avi</t>
  </si>
  <si>
    <t>Rajbari Govt College</t>
  </si>
  <si>
    <t>Sharafat karim</t>
  </si>
  <si>
    <t>Nilufa Yesmin</t>
  </si>
  <si>
    <t>House no-41/42,Road-2,Block -G(A),Section -6,Mirpur 10,Dhaka -1216</t>
  </si>
  <si>
    <t>Vill:Laxminarayanpur, Post:Banibho,Thana : Rajbari sadar ,Dist:Rajbari</t>
  </si>
  <si>
    <t>Night</t>
  </si>
  <si>
    <t>Md. Sakil Ahamed</t>
  </si>
  <si>
    <t>sakiltanzim@gmail.com</t>
  </si>
  <si>
    <t>Md.Shajahan mia</t>
  </si>
  <si>
    <t>A05117759</t>
  </si>
  <si>
    <t>Govt. Brojumohon College</t>
  </si>
  <si>
    <t>Md. Shajahan mia</t>
  </si>
  <si>
    <t>Mukul begum</t>
  </si>
  <si>
    <t>House no 13, road no 7,Nikunja 2,Khilkhet,Dhaka</t>
  </si>
  <si>
    <t>Vill: meghia, post : chadpasha, Union:Madhapasha,dist: Barishal</t>
  </si>
  <si>
    <t>Nikunja 2,khilkhet</t>
  </si>
  <si>
    <t>sakil.ahmed@genex.com.bd</t>
  </si>
  <si>
    <t>Md. Rabby</t>
  </si>
  <si>
    <t>Temu Batch-2</t>
  </si>
  <si>
    <t>mrabby1112@gmail.com</t>
  </si>
  <si>
    <t>Rina Begum</t>
  </si>
  <si>
    <t>19991591610136439</t>
  </si>
  <si>
    <t>BBA Final</t>
  </si>
  <si>
    <t>Uttar Kattali Nurul Haque Chowdhury University and College</t>
  </si>
  <si>
    <t>Jahirul Islam</t>
  </si>
  <si>
    <t>Cherag Ali, Tongi</t>
  </si>
  <si>
    <t>Barkhappan, Netrokona</t>
  </si>
  <si>
    <t>md.rabby@genex.com.bd</t>
  </si>
  <si>
    <t>Forcefully resigned due to using abusing word toward a employee</t>
  </si>
  <si>
    <t>Dewa Raisul Islam Rohit</t>
  </si>
  <si>
    <t>Temu Batch-10</t>
  </si>
  <si>
    <t xml:space="preserve">Zahidul Islam </t>
  </si>
  <si>
    <t>Brother in law</t>
  </si>
  <si>
    <t>9175257196</t>
  </si>
  <si>
    <t xml:space="preserve">Deoan Monzur Rahman </t>
  </si>
  <si>
    <t xml:space="preserve">Deoan Salma Monju </t>
  </si>
  <si>
    <t>R-11, H-35, Block D, Pallabi, Mirpur 12, Dhaka 1216</t>
  </si>
  <si>
    <t>Vill: Tewria, P.O: Choktail, P.S: Delduar, D: Tangail.</t>
  </si>
  <si>
    <t xml:space="preserve">Agent </t>
  </si>
  <si>
    <t>Genex006</t>
  </si>
  <si>
    <t>Md Shoyeb Rana</t>
  </si>
  <si>
    <t>shoyebrana94@gmail.com</t>
  </si>
  <si>
    <t>Md Anar Mia</t>
  </si>
  <si>
    <t>8210764265A</t>
  </si>
  <si>
    <t>A03557397</t>
  </si>
  <si>
    <t>Govt.Gurudoyal College, Kishoreganj</t>
  </si>
  <si>
    <t>Mst Sheuli Begum</t>
  </si>
  <si>
    <t xml:space="preserve">Area : Nikunjo 2, Road No 09,House : 25 , Thana : Khikhet , Dist : Dhaka </t>
  </si>
  <si>
    <t xml:space="preserve">Vill : Sorarchor, Thana : Bajitpur,Dist :  Kishorganj</t>
  </si>
  <si>
    <t xml:space="preserve"> Nikunjo 2,  Khikhet </t>
  </si>
  <si>
    <t>Health Issue</t>
  </si>
  <si>
    <t>Sakib R Rahman</t>
  </si>
  <si>
    <t>sakibrrahman@gmail.com</t>
  </si>
  <si>
    <t>MD. Al Mamun</t>
  </si>
  <si>
    <t>Patuakhali Govt College , Patuakhali</t>
  </si>
  <si>
    <t>MD. Mizanur Rahman</t>
  </si>
  <si>
    <t>Sobita Akter</t>
  </si>
  <si>
    <t>House- 1/3/A, North Pirerbag, 60 Feet, Mirpur- 02, Dhaka.</t>
  </si>
  <si>
    <t>Area- Fire Service Road, Patuakhali Sadar , Patuakhali</t>
  </si>
  <si>
    <t>Mirpur-02</t>
  </si>
  <si>
    <t>Genex012</t>
  </si>
  <si>
    <t>Md. Ashir Ahmed</t>
  </si>
  <si>
    <t>ashirislam44@gmail.com</t>
  </si>
  <si>
    <t>Al Mostakima Rahman</t>
  </si>
  <si>
    <t>A00075275</t>
  </si>
  <si>
    <t>Pundra University Of Science And Technology</t>
  </si>
  <si>
    <t>Md Abdul Hanna</t>
  </si>
  <si>
    <t>Mst Afruja Begum</t>
  </si>
  <si>
    <t>Area : 426/3 Shamim Soroni, West Shawrapara,Thana : Mirpur, Dist : Dhaka</t>
  </si>
  <si>
    <t xml:space="preserve"> Vill : Natai Purbo Para,  Thana : Bogura Sadar Dist : Bogura</t>
  </si>
  <si>
    <t xml:space="preserve">  Shamim Soroni, West Shawrapara,</t>
  </si>
  <si>
    <t>mmaigenex009</t>
  </si>
  <si>
    <t>Yeasin Arafat</t>
  </si>
  <si>
    <t>ryrony404@gmail.com</t>
  </si>
  <si>
    <t>Salma Islam</t>
  </si>
  <si>
    <t>B.B.A Running</t>
  </si>
  <si>
    <t>ISTT</t>
  </si>
  <si>
    <t>Area : Ananda road,mirpur-14,Thana : Kafrul ,Dist : Dhaka</t>
  </si>
  <si>
    <t>Area : Gujadia,Thana : karimganj,Dist : kishorgonj</t>
  </si>
  <si>
    <t xml:space="preserve">Mirpur-14, Kafrul </t>
  </si>
  <si>
    <t>yeasin.arafat@genex.com.bd</t>
  </si>
  <si>
    <t xml:space="preserve">Personal Issue (Family issues) </t>
  </si>
  <si>
    <t>Abu Huraira Shohan</t>
  </si>
  <si>
    <t>Sports &amp; shoes &amp; bags &amp; sepcial women clothing</t>
  </si>
  <si>
    <t>Temu Batch-11</t>
  </si>
  <si>
    <t>huraira.shohan@gmail.com</t>
  </si>
  <si>
    <t>Rezuana Binte Helal</t>
  </si>
  <si>
    <t>Late MD. Abdul Khaleq</t>
  </si>
  <si>
    <t>Kaniz Fatima Shimo</t>
  </si>
  <si>
    <t>Area: House No- 399, Area- Jamtola, Kawlar, Thana: dakkhinkhan Dist :Dhaka</t>
  </si>
  <si>
    <t>Area :House- 234, Area- Dhokkhingaon,Thana: Basabo, Dist: Dhaka-1214</t>
  </si>
  <si>
    <t>Mahdir Hossain</t>
  </si>
  <si>
    <t>MD. Fahim Hossain Hemal</t>
  </si>
  <si>
    <t>tekinoff28@gmail.com</t>
  </si>
  <si>
    <t>Ferdousi Akhter Konika</t>
  </si>
  <si>
    <t>19993326611056598</t>
  </si>
  <si>
    <t>Bhawal badre alam govt. college</t>
  </si>
  <si>
    <t>Hossain Ahmed Khan</t>
  </si>
  <si>
    <t>Ferdousi Akhter</t>
  </si>
  <si>
    <t xml:space="preserve">House :  Ferdousi kunja, 124 Area : Dattapara banamala road, Thana : Tongi, Dist : Gazipur</t>
  </si>
  <si>
    <t xml:space="preserve">Vill : Autshahi  , P:O: Autshahi ,Thana : Tongi Bari
District: Munshiganj</t>
  </si>
  <si>
    <t xml:space="preserve"> Dattapara banamala road, Tongi</t>
  </si>
  <si>
    <t>mahdir.hossain@genex.com.bd</t>
  </si>
  <si>
    <t>mmaigenex006</t>
  </si>
  <si>
    <t>Abdullah Khan</t>
  </si>
  <si>
    <t>abdullahkhan2987966@gmail.com</t>
  </si>
  <si>
    <t>Sumaiya khan</t>
  </si>
  <si>
    <t>Institute of science &amp; technology (ISTT)</t>
  </si>
  <si>
    <t>Sufia Rahman</t>
  </si>
  <si>
    <t>Area : Mirpur 13, Ayna moshjid , Thana: Kafrul , Dist : Dhaka</t>
  </si>
  <si>
    <t xml:space="preserve"> Mirpur 13, Kafrul </t>
  </si>
  <si>
    <t>abdullah.khan@genex.com.bd</t>
  </si>
  <si>
    <t>Unreachable (He had ZTP issue)</t>
  </si>
  <si>
    <t>mmaigenex007</t>
  </si>
  <si>
    <t>Reyadul Islam</t>
  </si>
  <si>
    <t>reyadulislam18@gmail.com</t>
  </si>
  <si>
    <t>Maya Akter</t>
  </si>
  <si>
    <t>Institute Of science trade &amp; technology</t>
  </si>
  <si>
    <t>MD.ABDUR RASHID</t>
  </si>
  <si>
    <t>HASINA BEGUM</t>
  </si>
  <si>
    <t xml:space="preserve">Area : House- 2/1Dhaka Dental College Staff Quarter Mirpur-14  Thana : Kafrul , Dist : Dhaka</t>
  </si>
  <si>
    <t xml:space="preserve">Area : CB 174/2 Basherpul , Thana :  Jatrabari Dist : Dhaka</t>
  </si>
  <si>
    <t xml:space="preserve"> Mirpur-14  , Kafrul </t>
  </si>
  <si>
    <t>reyadul.islam@genex.com.bd</t>
  </si>
  <si>
    <t>mmaigenex030</t>
  </si>
  <si>
    <t>Nadira Akhtar Antora</t>
  </si>
  <si>
    <t>antora1501@gmail.com</t>
  </si>
  <si>
    <t>Rafin</t>
  </si>
  <si>
    <t>Rangpur Govt College</t>
  </si>
  <si>
    <t>Md.Nur nabi</t>
  </si>
  <si>
    <t>Area: house no: 22 ,Road: 01 , Nikunjo 2 , Thana : Khilkhet Dist : Dhaka</t>
  </si>
  <si>
    <t>Vill : Baharkasna , House no: F1/3 , Thana : rangpur Kotwali , Dist : Rangpur</t>
  </si>
  <si>
    <t xml:space="preserve"> Nikunjo 2 , Khilkhet </t>
  </si>
  <si>
    <t>nadira.antora@genex.com.bd</t>
  </si>
  <si>
    <t xml:space="preserve">Personal Issue (She resigned due to her mother death, she needs to take care her Father &amp; Brother) </t>
  </si>
  <si>
    <t>mmaigenex015</t>
  </si>
  <si>
    <t>Promit Barua Ovi</t>
  </si>
  <si>
    <t xml:space="preserve">mr.promitovi@gmail </t>
  </si>
  <si>
    <t>Pushpita Barua</t>
  </si>
  <si>
    <t>Prodip Kumar Barua</t>
  </si>
  <si>
    <t>Alpona Barua</t>
  </si>
  <si>
    <t>Area : H-44,R-1/1,Blo-A,Vill-Delpara,Thana-Fatullah,Post- Kutubpur,Dis-Narayanganj,1421</t>
  </si>
  <si>
    <t>Area : West Shilok,Thana : Rangunia,Dist-Chittagong</t>
  </si>
  <si>
    <t>Delpara,Narayanganj</t>
  </si>
  <si>
    <t xml:space="preserve">Personal Issue (Family issues), Will apply again </t>
  </si>
  <si>
    <t> 171105</t>
  </si>
  <si>
    <t>Akash Panday Brinto</t>
  </si>
  <si>
    <t>skypandey2211@gmail.com</t>
  </si>
  <si>
    <t>Pranto Pandey</t>
  </si>
  <si>
    <t>Govt. Syed Hatem Ali College , Barishal</t>
  </si>
  <si>
    <t>Indrajit Pandey</t>
  </si>
  <si>
    <t>Mitali Rani Pandey</t>
  </si>
  <si>
    <t>House- 654/1,Sahinbag, Tejgaon ,Dhaka-1215</t>
  </si>
  <si>
    <t>South chalbal, Nabagram, kalkini, Madaripur-7900</t>
  </si>
  <si>
    <t>mmaigenex025</t>
  </si>
  <si>
    <t>Naznin Sultana Munni</t>
  </si>
  <si>
    <t>nazninsultanamunni25@gmail.com</t>
  </si>
  <si>
    <t>Mohammad Ali Mukit</t>
  </si>
  <si>
    <t>Independent University Bangladesh</t>
  </si>
  <si>
    <t>Bodhuzzaman Sarker</t>
  </si>
  <si>
    <t>Sharifa Zaman Champa</t>
  </si>
  <si>
    <t>Area : House 1/A, Road -15, Nikunjo -2 Thana : Khilkhet ,Dist: Sirajgonj</t>
  </si>
  <si>
    <t xml:space="preserve"> Vill : Goshganti , Thana: Ullarapara, Dist : Sirajgonj</t>
  </si>
  <si>
    <t xml:space="preserve"> Nikunjo -2 , Khilkhet</t>
  </si>
  <si>
    <t>naznin.munni@genex.com.bd</t>
  </si>
  <si>
    <t>Mushfeka Hossain</t>
  </si>
  <si>
    <t>mushfekanira@gmail.com</t>
  </si>
  <si>
    <t>Maliha farzana</t>
  </si>
  <si>
    <t>Begum Badrunnesa Government Women collage</t>
  </si>
  <si>
    <t>Md.Mofazzal Hossain</t>
  </si>
  <si>
    <t>Molikha Hossain</t>
  </si>
  <si>
    <t>Area : House no : 92,lalbag, Azimpur, Thana : Posta Dist : Dhaka</t>
  </si>
  <si>
    <t>lalbag, Azimpur</t>
  </si>
  <si>
    <t>mushfeka.hossain@genex.com.bd</t>
  </si>
  <si>
    <t>ZTP issues (GenMon break selection issue)</t>
  </si>
  <si>
    <t>Meraj Hossain</t>
  </si>
  <si>
    <t xml:space="preserve">mhjmeraj555@gmail </t>
  </si>
  <si>
    <t>Robiul Hossain</t>
  </si>
  <si>
    <t>Mohammad Mostafa</t>
  </si>
  <si>
    <t>Rokeya Begum</t>
  </si>
  <si>
    <t>Area : Munshi para Road, Thana : Tongi, Dist : Gazipur</t>
  </si>
  <si>
    <t xml:space="preserve">Vill:- Chobilpur P.O :- Shamgonj, Thana:  Lakshmipur Sadar Dist :  Lakshmipur</t>
  </si>
  <si>
    <t>Munshi para Road, Tongi</t>
  </si>
  <si>
    <t>meraj.hossain@genex.com.bd</t>
  </si>
  <si>
    <t>FerdousShithil</t>
  </si>
  <si>
    <t>Jannatul Ferdous Shithil</t>
  </si>
  <si>
    <t>jannatulferdousshithil2@gmail.com</t>
  </si>
  <si>
    <t>Shoeb Akter</t>
  </si>
  <si>
    <t>Hon's 2nd year</t>
  </si>
  <si>
    <t>Safar Chowdhury</t>
  </si>
  <si>
    <t>Shadhona Chowdhury</t>
  </si>
  <si>
    <t>House:75, Area:said mredha road , dattopara , Po: Islampur , Thana : Tongi , Dist : Gazipur</t>
  </si>
  <si>
    <t xml:space="preserve"> Dattopara ,  Tongi </t>
  </si>
  <si>
    <t>jannatul.ferdous@genex.com.bd</t>
  </si>
  <si>
    <t>Personal issues (Due to exam and family issues, office hour)</t>
  </si>
  <si>
    <t>Sharaban Tahura Shammi</t>
  </si>
  <si>
    <t>Temu Batch-6</t>
  </si>
  <si>
    <t>Fajlul haque bhuiya</t>
  </si>
  <si>
    <t xml:space="preserve"> 1727-377508</t>
  </si>
  <si>
    <t>BUBT</t>
  </si>
  <si>
    <t>MD. Fazlul Haque Bhuyan</t>
  </si>
  <si>
    <t>Zobayda Gulshan Ara</t>
  </si>
  <si>
    <t>Area : R# 04, Sector#04, Thana : Uttara Dist : Dhaka</t>
  </si>
  <si>
    <t>Vill: chorkoilash ,Thana: Hatiya, Dist : Noakhali</t>
  </si>
  <si>
    <t xml:space="preserve"> Uttara , Dhaka</t>
  </si>
  <si>
    <t>sharaban.shammi@genex.com.bd</t>
  </si>
  <si>
    <t xml:space="preserve">Health Issues </t>
  </si>
  <si>
    <t>Nabila Rahman Ruma</t>
  </si>
  <si>
    <t>Object(product) detection</t>
  </si>
  <si>
    <t>Temu Batch-9</t>
  </si>
  <si>
    <t>nabilarahmanruma4@gmail.com</t>
  </si>
  <si>
    <t>Shakila Rahman jhuma</t>
  </si>
  <si>
    <t>EC2291257</t>
  </si>
  <si>
    <t>Demra University College</t>
  </si>
  <si>
    <t>Md.Abdur Rahman</t>
  </si>
  <si>
    <t>Happy rahman</t>
  </si>
  <si>
    <t>House no : 11 , Road : 27 ,Vill: kamargope,PO:Demra Bazar Thana: Demra Dist: Dhaka</t>
  </si>
  <si>
    <t xml:space="preserve">Demra </t>
  </si>
  <si>
    <t xml:space="preserve">Due to sickness, she was less punctual at office. (Forcely resigned) </t>
  </si>
  <si>
    <t>Genex014</t>
  </si>
  <si>
    <t>Md.Rokibul Islam Ratul</t>
  </si>
  <si>
    <t>Shaadh Rahman</t>
  </si>
  <si>
    <t>ratul100bd@gmail.com</t>
  </si>
  <si>
    <t>Rabeya Sultana Rupa</t>
  </si>
  <si>
    <t>Govt.B.L College,Khulna</t>
  </si>
  <si>
    <t>Amina Islam</t>
  </si>
  <si>
    <t>Area : House:409,Road:01,Section:10,Senpara Parbata,Thana: Mirpur Dist : Dhaka</t>
  </si>
  <si>
    <t>Area : House:35,Road:1/A,Sector:05,Thana: Uttara ,Dist : Dhaka</t>
  </si>
  <si>
    <t xml:space="preserve">Mirpur </t>
  </si>
  <si>
    <t>Better opportunity</t>
  </si>
  <si>
    <t>Genex015</t>
  </si>
  <si>
    <t>Md. Fahim Aqundaw</t>
  </si>
  <si>
    <t>fahimshariar32446@gmail.com</t>
  </si>
  <si>
    <t>Md.Faruk Aqundaw</t>
  </si>
  <si>
    <t>19993925012202800</t>
  </si>
  <si>
    <t>Mrs.Farida Begum</t>
  </si>
  <si>
    <t xml:space="preserve">Area : Darji-Bari,Uttarpara,Thana:  Khil-khet, Dhaka-1229 Dist : Dhaka </t>
  </si>
  <si>
    <t>Vill: Ramnagor, Thana : Jamalpur Sadar, Dist : Jamalpur</t>
  </si>
  <si>
    <t xml:space="preserve"> Darji-Bari,Uttarpara, Khilkhet</t>
  </si>
  <si>
    <t xml:space="preserve">Academic issues </t>
  </si>
  <si>
    <t>Genex016</t>
  </si>
  <si>
    <t>Abdullah Faisal Siam</t>
  </si>
  <si>
    <t>abdullahfaisalsiam@gmail.com</t>
  </si>
  <si>
    <t>Sadi Abdullah</t>
  </si>
  <si>
    <t>Bangladesh University of professionals</t>
  </si>
  <si>
    <t>Ali Akbar</t>
  </si>
  <si>
    <t>Shahanara khatun</t>
  </si>
  <si>
    <t>Area : Surma building, sector 18, Thana: Uttara , Dist : Dhaka</t>
  </si>
  <si>
    <t xml:space="preserve">Vill : Sreepur, Thana : kaligonz Dist :  Satkhira.</t>
  </si>
  <si>
    <t xml:space="preserve"> Surma building,  Uttara </t>
  </si>
  <si>
    <t>Sobuj Ali</t>
  </si>
  <si>
    <t>symonsobuj4@gmail.com</t>
  </si>
  <si>
    <t>Kalam</t>
  </si>
  <si>
    <t>Uncle</t>
  </si>
  <si>
    <t xml:space="preserve">City University </t>
  </si>
  <si>
    <t xml:space="preserve">Kolim Uddin Sheikh </t>
  </si>
  <si>
    <t xml:space="preserve">Bedena Khatun </t>
  </si>
  <si>
    <t>House-30, Road-2, Sector-10, Uttara, Dhaka-1230</t>
  </si>
  <si>
    <t>Boshakustia -7721,Pangsha, Rajbari</t>
  </si>
  <si>
    <t>ForidUddin</t>
  </si>
  <si>
    <t>Forid Uddin</t>
  </si>
  <si>
    <t>uddinforid203@gmail.com</t>
  </si>
  <si>
    <t>Nur E Alam</t>
  </si>
  <si>
    <t>Government Bangla College</t>
  </si>
  <si>
    <t>MD. Nur Alam</t>
  </si>
  <si>
    <t>Somota Begum</t>
  </si>
  <si>
    <t>Area : 255 ,prembagan,Thana: Dakshinkhan, Dist : Dhaka</t>
  </si>
  <si>
    <t>Vill : alexander,Thana : ramgati, Dist: Lakshmipur.</t>
  </si>
  <si>
    <t>He is going to india due to his younger bother's health issues</t>
  </si>
  <si>
    <t>Genex023</t>
  </si>
  <si>
    <t>Sohad Hasan</t>
  </si>
  <si>
    <t>sohadhasan229142@gmail.com</t>
  </si>
  <si>
    <t>Hafizur Rahman</t>
  </si>
  <si>
    <t>A02519299</t>
  </si>
  <si>
    <t>Bhawal Mirzapur College</t>
  </si>
  <si>
    <t>Sumi Akter</t>
  </si>
  <si>
    <t>Area : Uttar Khailkur, 33 Ward Gazipur City Corporation , Thana : Tongi , Dist : Gazipur</t>
  </si>
  <si>
    <t xml:space="preserve">Family Issues </t>
  </si>
  <si>
    <t>mmaigenex050</t>
  </si>
  <si>
    <t>Md Saiduzzaman</t>
  </si>
  <si>
    <t>saiduzzamanshepon50@gmail.com</t>
  </si>
  <si>
    <t>Md soriful Islam</t>
  </si>
  <si>
    <t>Ashik Mahmud Collage</t>
  </si>
  <si>
    <t>Md Ali Akber</t>
  </si>
  <si>
    <t>Area : House no : 123 , crishtan road ,Thana: Dhanmondi,Dist : Dhaka</t>
  </si>
  <si>
    <t>Vill: sripur, thana : Jmalpur sadar , Dist : Jamalpur</t>
  </si>
  <si>
    <t>Tahmid</t>
  </si>
  <si>
    <t>Md. Sames E Tahmid</t>
  </si>
  <si>
    <t>Stahmid2001@gmail.com</t>
  </si>
  <si>
    <t>Mozammel Haque Roman</t>
  </si>
  <si>
    <t>A04041389</t>
  </si>
  <si>
    <t>Western Maritime Academy</t>
  </si>
  <si>
    <t>Lovely Yeasmin</t>
  </si>
  <si>
    <t>Area : section:6, Block:A, Road:02, House:15, Thana: Mirpur Dist : Dhaka</t>
  </si>
  <si>
    <t>Vil: Batua, PS: : Sakhipur, Dist : Tangail</t>
  </si>
  <si>
    <t xml:space="preserve"> Mirpur </t>
  </si>
  <si>
    <t>Starting Business</t>
  </si>
  <si>
    <t>HafizBinAzmanArnob</t>
  </si>
  <si>
    <t>Hafiz Bin Azman Arnob</t>
  </si>
  <si>
    <t>arnob.working@gmail.com</t>
  </si>
  <si>
    <t>Emtiaj Mahmud Purob</t>
  </si>
  <si>
    <t>MD.Hafiz Uddin</t>
  </si>
  <si>
    <t>Mst.Moriom Akter</t>
  </si>
  <si>
    <t>Area : 58,North Kamalapur,Thana : Motijheel, Dist: Dhaka</t>
  </si>
  <si>
    <t>Area : 58,North Kamalapur,Thana: Motijheel, Dist: Dhaka</t>
  </si>
  <si>
    <t>Kamalapur</t>
  </si>
  <si>
    <t>MdAhmedJubayerSrabon</t>
  </si>
  <si>
    <t>Md. Ahmed Jubayer Srabon</t>
  </si>
  <si>
    <t xml:space="preserve">srabon9012@gmail.com </t>
  </si>
  <si>
    <t>Julikha Akter</t>
  </si>
  <si>
    <t>Md Jashim Uddin</t>
  </si>
  <si>
    <t>Area : Kuril chowrasta ,Thana: Vatara , Dist : Dhaka</t>
  </si>
  <si>
    <t>Vill : Farhadnagar,Thana: Feni Sadar , Dist : Feni</t>
  </si>
  <si>
    <t xml:space="preserve">Vatara </t>
  </si>
  <si>
    <t>xushiyu2op</t>
  </si>
  <si>
    <t>rumaakther8546@gmail.com</t>
  </si>
  <si>
    <t xml:space="preserve">MD.Almas Miah </t>
  </si>
  <si>
    <t xml:space="preserve">Tejgaon Mohila College </t>
  </si>
  <si>
    <t>MD.Almas Miah</t>
  </si>
  <si>
    <t>Howa Begum</t>
  </si>
  <si>
    <t>House- 3/F, Shibbari R/A, Dhaka University Campus, Dhaka.</t>
  </si>
  <si>
    <t>Vill: Dhanarpar, Post: Khadergaow Bazar ,Thana: Motlob Dakshin, Dis: Cahndpur</t>
  </si>
  <si>
    <t xml:space="preserve">Dhaka University Campus </t>
  </si>
  <si>
    <t>mmaigenex016</t>
  </si>
  <si>
    <t>Md. Alif - Ur Rahman</t>
  </si>
  <si>
    <t>itsalifofficial51@gmail.com</t>
  </si>
  <si>
    <t>Md. Shoriful Islam</t>
  </si>
  <si>
    <t>Bangladesh University of Business and Technology</t>
  </si>
  <si>
    <t>Mst. Akter Banu</t>
  </si>
  <si>
    <t xml:space="preserve">Area : 14/8 Solimullah Road , Thana : Mohammadpur , Dist: Dhaka </t>
  </si>
  <si>
    <t>Vill : Soto sultanpur , Thana : Bochagonj, Dist : Dinajpur</t>
  </si>
  <si>
    <t xml:space="preserve">Mohammadpur </t>
  </si>
  <si>
    <t>heibulin3op</t>
  </si>
  <si>
    <t>Mokarrom Hossen</t>
  </si>
  <si>
    <t>mokarromrabby@gmail.com</t>
  </si>
  <si>
    <t>Beby Ara</t>
  </si>
  <si>
    <t xml:space="preserve">O+ </t>
  </si>
  <si>
    <t xml:space="preserve">Naogaon Government College </t>
  </si>
  <si>
    <t xml:space="preserve">Moksad Ali </t>
  </si>
  <si>
    <t>House-51,Road- 21, Nikonjo 2, Khilkhet, Dhaka.</t>
  </si>
  <si>
    <t xml:space="preserve">Village : Arail Post: Bhatshail, UP: Patnitala District : Naogaon </t>
  </si>
  <si>
    <t>TonmoyHassan</t>
  </si>
  <si>
    <t>Tonmoy Hassan</t>
  </si>
  <si>
    <t>tonmoy6982@gmail.com</t>
  </si>
  <si>
    <t>Momtaz Hassan</t>
  </si>
  <si>
    <t>Babul Hassan</t>
  </si>
  <si>
    <t>Momotaz Hassan</t>
  </si>
  <si>
    <t xml:space="preserve">Area : 45/5, block-e , Thana: mirpur, Dist :  Dhaka </t>
  </si>
  <si>
    <t>Sickness Issue</t>
  </si>
  <si>
    <t>mmaigenex004</t>
  </si>
  <si>
    <t>Ashfakuzzaman</t>
  </si>
  <si>
    <t>ashfak.saikat@gmail.com</t>
  </si>
  <si>
    <t>Farhana Akter</t>
  </si>
  <si>
    <t>Bangladesh Institute Of Bank Management</t>
  </si>
  <si>
    <t>Md.Abdul hayee</t>
  </si>
  <si>
    <t xml:space="preserve">Area: Houseno: 19 , road :18 ,thana: Uttara poschim  , Dist : Dhaka</t>
  </si>
  <si>
    <t xml:space="preserve">Vill : Chorkakhra , Thana: Companigonj, Dist : Noakhali </t>
  </si>
  <si>
    <t xml:space="preserve"> Uttara</t>
  </si>
  <si>
    <t>mmaigenex002</t>
  </si>
  <si>
    <t>Rasel Mahmud</t>
  </si>
  <si>
    <t>rmrana99@gmail.com</t>
  </si>
  <si>
    <t>Kohinoor</t>
  </si>
  <si>
    <t>Ibrahim mia</t>
  </si>
  <si>
    <t>Aisha Begum</t>
  </si>
  <si>
    <t>H-13,15.Road-03.Block-H.Banasree.Rampura.Dhaka.</t>
  </si>
  <si>
    <t>Vallage: Tulpai, PO: Hossenpur,PS:Kachua, Dis: Chandpur.</t>
  </si>
  <si>
    <t>xisailuo4op</t>
  </si>
  <si>
    <t>Md. Asraful Islam</t>
  </si>
  <si>
    <t>asrafulislam4465@gmail.com</t>
  </si>
  <si>
    <t>BGMEA University of Fashion &amp; Technology (BUFT)</t>
  </si>
  <si>
    <t>Md: Shifiqul Islam</t>
  </si>
  <si>
    <t>Area-Faidabad, Uttara, Dhaka</t>
  </si>
  <si>
    <t>Vill: Narayanpur,P.O: Belabo ,Narshingdi</t>
  </si>
  <si>
    <t>MdAnisuzzaman</t>
  </si>
  <si>
    <t>Saznin Akter Mitu</t>
  </si>
  <si>
    <t>Temu Batch-12</t>
  </si>
  <si>
    <t>sazninakther07@gmail.com</t>
  </si>
  <si>
    <t xml:space="preserve">M.S.C </t>
  </si>
  <si>
    <t>Gvt.Shaheed Suhrawardy College</t>
  </si>
  <si>
    <t>MD.M.A.Liton</t>
  </si>
  <si>
    <t>Area: 14/05,Block-A,Section-2,PS: Mirpur,Dist: Dhaka</t>
  </si>
  <si>
    <t>Vill:Madan bazar PS: Madan Dist: Netrokona</t>
  </si>
  <si>
    <t>Genex060</t>
  </si>
  <si>
    <t>Nadirujjaman Ridoy</t>
  </si>
  <si>
    <t>Temu Batch-15</t>
  </si>
  <si>
    <t>nadirujjaman390@gmail.com</t>
  </si>
  <si>
    <t>Rofiqul Islam</t>
  </si>
  <si>
    <t>Uttara Anowara Model Degree College</t>
  </si>
  <si>
    <t>Uttara, Joinal Market Dhaka-1230</t>
  </si>
  <si>
    <t>Joinal Market</t>
  </si>
  <si>
    <t>Mafia Chowdhury</t>
  </si>
  <si>
    <t>jannatakthershathi03@gmail.com</t>
  </si>
  <si>
    <t xml:space="preserve">Area: Shah Kabir Mazar Road,37 Chalabond, Bhai Bhai market, House #292, PS: Dhakhsinkhan, Dist: Dhaka </t>
  </si>
  <si>
    <t xml:space="preserve">Area: Shah Kabir Mazar Road,37 Chalabond, Bhai Bhai market, House #292,  PS: Dhakhsinkhan,  Dist : Dhaka </t>
  </si>
  <si>
    <t xml:space="preserve">Uttara </t>
  </si>
  <si>
    <t>mmaigenex031</t>
  </si>
  <si>
    <t>Sakiul Alam Nawab</t>
  </si>
  <si>
    <t>sakiul.aiub@gmail.com</t>
  </si>
  <si>
    <t>Most Setara Begum</t>
  </si>
  <si>
    <t>Md Robiul Alam</t>
  </si>
  <si>
    <t xml:space="preserve">Area : House -51, Road -19, Nikunja 2, Thana : Khilkhet , Dist :Dhaka </t>
  </si>
  <si>
    <t>Vill : Dowlatpur, Thana: Shibganj Dist : Chapainawabganj</t>
  </si>
  <si>
    <t xml:space="preserve">Khilkhet </t>
  </si>
  <si>
    <t>mmaigenex028</t>
  </si>
  <si>
    <t>Chanchal Sarkar</t>
  </si>
  <si>
    <t>csarkar148@gmail.com</t>
  </si>
  <si>
    <t>Bipul Sarkar</t>
  </si>
  <si>
    <t>London guildhal college</t>
  </si>
  <si>
    <t>Chittaranjan Sarkar</t>
  </si>
  <si>
    <t>Shikha Rani Sarkar</t>
  </si>
  <si>
    <t>Area : Kathaldia, Thana: Vatara, Dist : Dhaka</t>
  </si>
  <si>
    <t>Personal Issue</t>
  </si>
  <si>
    <t>mmaigenex019</t>
  </si>
  <si>
    <t>Safiul Muznabin</t>
  </si>
  <si>
    <t>safiul.shetu@gmail.com</t>
  </si>
  <si>
    <t>MD. Azizur Rahman</t>
  </si>
  <si>
    <t>Honour's Final Year</t>
  </si>
  <si>
    <t xml:space="preserve">Area : 1/D Nikunja, Thana: Khilkhet,Dist :  Dhaka</t>
  </si>
  <si>
    <t xml:space="preserve">Vill : Hasligaon, Zhinaigati, Thana : Sherpur,Dist :  Mymensingh</t>
  </si>
  <si>
    <t>Md. Abu Hurayra Chayon</t>
  </si>
  <si>
    <t>Temu Batch-16</t>
  </si>
  <si>
    <t>abu.hurayra.chayon@gmail.com</t>
  </si>
  <si>
    <t>AISHA AKTAR</t>
  </si>
  <si>
    <t>MD. GOLAM HOSSAIN</t>
  </si>
  <si>
    <t>House- 2/1/A-3, Tolarbag, Mirpur-1, Dhaka-1216</t>
  </si>
  <si>
    <t xml:space="preserve">Unauthorized absent </t>
  </si>
  <si>
    <t>Genex062</t>
  </si>
  <si>
    <t>Tasin Al Majed</t>
  </si>
  <si>
    <t>tasinalmajed007@gmail.com</t>
  </si>
  <si>
    <t>Siam Khusnobish</t>
  </si>
  <si>
    <t>A11115692</t>
  </si>
  <si>
    <t>Md. Amir Pathan</t>
  </si>
  <si>
    <t>Majeda Akter</t>
  </si>
  <si>
    <t>West Dewvog, Munshiganj sadar, Munshiganj, Dhaka</t>
  </si>
  <si>
    <t>House-32, Road-08, Nikunja-2, Khilkhet TSO, Dhaka</t>
  </si>
  <si>
    <t>Family Issue</t>
  </si>
  <si>
    <t>FaysalKhan</t>
  </si>
  <si>
    <t>Md Faysal Khan</t>
  </si>
  <si>
    <t>Product's Review</t>
  </si>
  <si>
    <t>faisal161619@gmail.com</t>
  </si>
  <si>
    <t>Easir Arafat</t>
  </si>
  <si>
    <t>Abdul Quddus Khan</t>
  </si>
  <si>
    <t>Goleza Oher</t>
  </si>
  <si>
    <t xml:space="preserve">Area : 887 Lake view, Est. Shewrapara, Thana:  Mirpur Dist : Dhaka</t>
  </si>
  <si>
    <t>Vill: Shatpai, Post: Ananta pukurpar - 2400, Thana: Netrokona Sador, Dist: Netrokona</t>
  </si>
  <si>
    <t>naihe4op</t>
  </si>
  <si>
    <t>Md. Khorshed Uz Zaman</t>
  </si>
  <si>
    <t>T/3652/037</t>
  </si>
  <si>
    <t>khorshedali13@gmail.com</t>
  </si>
  <si>
    <t>G.M. Arif Iqbal</t>
  </si>
  <si>
    <t>Brother-in-Law</t>
  </si>
  <si>
    <t>Late. Md. Nasir Uddin Ahmed</t>
  </si>
  <si>
    <t>Late. Khorsheda Ahmed</t>
  </si>
  <si>
    <t>House: 48, West Baishtaky, Mirpur-13, Kafrul, Dhaka- 1216.</t>
  </si>
  <si>
    <t>ZTP issues (Misbehave &amp; Shouting with TL)</t>
  </si>
  <si>
    <t>Md. Nahid Hassan</t>
  </si>
  <si>
    <t>nahiddot@gmail.com</t>
  </si>
  <si>
    <t>Shafayet Jamil Shawon</t>
  </si>
  <si>
    <t>KUET</t>
  </si>
  <si>
    <t>Md. Abdul Halim</t>
  </si>
  <si>
    <t>Nazira Begum</t>
  </si>
  <si>
    <t>House- 281/1/UNO, Pirerbag, 60 feet, Mirpur, Dhaka</t>
  </si>
  <si>
    <t>House-350, Jamira Hat-9210, Phultala, Khulna</t>
  </si>
  <si>
    <t>Sheikh Mohammad Sayfullah</t>
  </si>
  <si>
    <t>Md.Jahirul Islam</t>
  </si>
  <si>
    <t>Hasen Vanu Parul</t>
  </si>
  <si>
    <t>House No:92, Road: Baitun Najad Jame Masjid,West Mollartech,Thana:Dakkhinkhan, Post Office:Ashkona (1230)Word No:50,DNCC</t>
  </si>
  <si>
    <t>House Name: Sheikh Villa,Road: Women College Road,Word No:08, Bauphal Paurasava, Post Office: Bauphal (8620),Upazila: Bauphal, District: Patuakhali</t>
  </si>
  <si>
    <t>Better Opportunity</t>
  </si>
  <si>
    <t>mmaigenex033</t>
  </si>
  <si>
    <t>Rumana Nahar</t>
  </si>
  <si>
    <t>rumananahar123@gmail.com</t>
  </si>
  <si>
    <t>Hassan Mahmud Polash</t>
  </si>
  <si>
    <t>BW0420330</t>
  </si>
  <si>
    <t>English Honours</t>
  </si>
  <si>
    <t>Shiddeswari girls college</t>
  </si>
  <si>
    <t>Kawser Ahammed</t>
  </si>
  <si>
    <t>Shanaz parvin</t>
  </si>
  <si>
    <t>Area : Plot:50,road:04 dhanshiri building, Thana : uttara , Dist : Dhaka</t>
  </si>
  <si>
    <t xml:space="preserve"> Vill : Lengutia,  Thana: Mehendigonj, Dsit : Barisal</t>
  </si>
  <si>
    <t>ZTP( Genmon Login )</t>
  </si>
  <si>
    <t>zhulan3op</t>
  </si>
  <si>
    <t>Minhaz Al Mahmud</t>
  </si>
  <si>
    <t>minhazalmahmud@outlook.com</t>
  </si>
  <si>
    <t>Most. Sadia Afrin</t>
  </si>
  <si>
    <t>A00844241</t>
  </si>
  <si>
    <t>Md. Abdur Mannan</t>
  </si>
  <si>
    <t>Most. Nazma Khatun</t>
  </si>
  <si>
    <t>House- 132, Road: 07, Block: D, Bashundhara R/A, Vatara, Dhaka-1229</t>
  </si>
  <si>
    <t>Vill: Charghat, Post: Charghat(6270), Thana: Charghat, Dist: Rajshahi</t>
  </si>
  <si>
    <t>Md. Nasim Hayder</t>
  </si>
  <si>
    <t>siamsharker16@gmail.com</t>
  </si>
  <si>
    <t>Abu sayed</t>
  </si>
  <si>
    <t>Shanto Mariom university</t>
  </si>
  <si>
    <t>Md. Abdul Malek</t>
  </si>
  <si>
    <t>Shahanaj begom</t>
  </si>
  <si>
    <t>Area: Sector 11, read 10, house 08 , PS: Uttara Dist: Dhaka</t>
  </si>
  <si>
    <t xml:space="preserve">House 39 &amp; Road Auchpara,2/1,shukkar mahmud road PS: Turag  Dist: Dhaka</t>
  </si>
  <si>
    <t>Md. Fakrul Islam</t>
  </si>
  <si>
    <t>fakrulislamnaeem@gmail.com</t>
  </si>
  <si>
    <t>Manowara Begum</t>
  </si>
  <si>
    <t>Md. Mofiz Ullah</t>
  </si>
  <si>
    <t>Monowara Begum</t>
  </si>
  <si>
    <t>House: 06, Road: 11, Sector: 10, Uttara, Dhaka</t>
  </si>
  <si>
    <t>House: Farazi Villa, Vill- Charkakra, PO- Bashurhat-3850, Companigonj, Bashurhat, Noakhali</t>
  </si>
  <si>
    <t>mmaigenex037</t>
  </si>
  <si>
    <t>Most. Sadia Afrin </t>
  </si>
  <si>
    <t>sshironsanam1007@gmail.com</t>
  </si>
  <si>
    <t>A00844243</t>
  </si>
  <si>
    <t xml:space="preserve">Diploma </t>
  </si>
  <si>
    <t>Rajshahi Mohila Polytechnic Institute</t>
  </si>
  <si>
    <t>Md. Abul Kalam Azad</t>
  </si>
  <si>
    <t>Most. Nurjahan Begum</t>
  </si>
  <si>
    <t>Area: Bashundhara, Block D, Road 7, House 132, PS: Vatara , Dist : Dhaka</t>
  </si>
  <si>
    <t>Vill: Meramotpur,PS: Charghat, Dist: Rajshahi</t>
  </si>
  <si>
    <t>Mahbubul Alam</t>
  </si>
  <si>
    <t>Rizvialam007@gmail.com</t>
  </si>
  <si>
    <t>Rasheda Akter</t>
  </si>
  <si>
    <t>Mohammad Alam</t>
  </si>
  <si>
    <t>Nilufar Alam</t>
  </si>
  <si>
    <t>House-22, Block-J, Road-4, Pallabi Extension, Mirpur, Dhaka-1216</t>
  </si>
  <si>
    <t>House-11 Road-24 Pallabi, Mirpur, Dhaka-1216</t>
  </si>
  <si>
    <t>Md. Abdul Awal</t>
  </si>
  <si>
    <t>md.abdulawal757@gmail.com</t>
  </si>
  <si>
    <t>Abubakar Siddik</t>
  </si>
  <si>
    <t>Noakhali Science And Technology University</t>
  </si>
  <si>
    <t>Md. Abdul Wadud</t>
  </si>
  <si>
    <t>Parul Akter</t>
  </si>
  <si>
    <t>House- 26, Road- 20, Eskaton Garden, Bangla Motor, Dhaka 1000</t>
  </si>
  <si>
    <t>House- 855, Nurunabi Engineer bari, West Maijdee, Noakhali - 3801</t>
  </si>
  <si>
    <t>Bangla Motor</t>
  </si>
  <si>
    <t>NaharLabonno</t>
  </si>
  <si>
    <t>Shamsun Nahar Labonno</t>
  </si>
  <si>
    <t>Shamsunnahar508@gmail.com</t>
  </si>
  <si>
    <t>Sharima Akter Mim</t>
  </si>
  <si>
    <t>B.A in English</t>
  </si>
  <si>
    <t>Shanto-Mariam Univarsity of Creative Technology</t>
  </si>
  <si>
    <t>Dewan Abdul Latif</t>
  </si>
  <si>
    <t xml:space="preserve">Area : Uttarkhan , Thana : Dakkhinkhan Dist :  Dhaka</t>
  </si>
  <si>
    <t xml:space="preserve">Vill : Damuddya bazar , Thana : Damuddya, Dist :  Shariatpur</t>
  </si>
  <si>
    <t xml:space="preserve">Dakkhinkhan </t>
  </si>
  <si>
    <t>Talha Chowdhury</t>
  </si>
  <si>
    <t>talhachow@gmail.com</t>
  </si>
  <si>
    <t>Ahsanullah University of Science and Technology</t>
  </si>
  <si>
    <t>Anowar Hossain chowdhury</t>
  </si>
  <si>
    <t xml:space="preserve">House 07,block a, road 1,lane 1 ,duip plot,mirpur 2, Dhaka </t>
  </si>
  <si>
    <t xml:space="preserve">House-34,Nur mohol, Stadium road,Chandpur </t>
  </si>
  <si>
    <t>mmaigenex045</t>
  </si>
  <si>
    <t>Temu Batch-5</t>
  </si>
  <si>
    <t>shahidullahkhan0107@gmail.com</t>
  </si>
  <si>
    <t>Moyedur Rahman</t>
  </si>
  <si>
    <t>College of aviation technology</t>
  </si>
  <si>
    <t>Habiba Begum</t>
  </si>
  <si>
    <t>Area : House-2,Road-19,Block-Ta, Section-6,Thana : Pallabi , Dist : Dhaka</t>
  </si>
  <si>
    <t>Vill : Rampur,Thana : Biral ,Dist : Dinajpur</t>
  </si>
  <si>
    <t>Md. Yeasin Mahmud Liton</t>
  </si>
  <si>
    <t>Temu Batch-19</t>
  </si>
  <si>
    <t>yeasinmahmud05@gmail.com</t>
  </si>
  <si>
    <t>Govt.Titumir College</t>
  </si>
  <si>
    <t>Md Abdur Razzak</t>
  </si>
  <si>
    <t>Sumsad Begum Lipy</t>
  </si>
  <si>
    <t>598/1 West Nakhal Para Post Office Tejgaon Dhaka - 1215</t>
  </si>
  <si>
    <t>Nakhalpara</t>
  </si>
  <si>
    <t>Jaytun Nesa Bindu</t>
  </si>
  <si>
    <t>Tasin Taiyeba Ayat</t>
  </si>
  <si>
    <t>Taskin Tahiya Ayjal</t>
  </si>
  <si>
    <t>xisailuo24op</t>
  </si>
  <si>
    <t>Temu Batch- 19</t>
  </si>
  <si>
    <t>sonali.nur15@gmail.com</t>
  </si>
  <si>
    <t>Abdul Jalil Shikder</t>
  </si>
  <si>
    <t>Govt. B M College</t>
  </si>
  <si>
    <t>Mst. Fatema</t>
  </si>
  <si>
    <t>House no: 364/12, Jamtola mor, Noor Madina Jame Masjed road. Area: Kawla. PS: khilkhet. Dist: Dhaka</t>
  </si>
  <si>
    <t>Vill: Sholna. PO: Sholna. PS: Airport. Dist: Barishal</t>
  </si>
  <si>
    <t>Rakibul Haque Maruf</t>
  </si>
  <si>
    <t>Zillur Rahman</t>
  </si>
  <si>
    <t>Temu Batch- 20</t>
  </si>
  <si>
    <t>alaminhusain2686@gmail.com</t>
  </si>
  <si>
    <t>Alauddin Ahmed Physical Institute</t>
  </si>
  <si>
    <t>Abdul Aziz</t>
  </si>
  <si>
    <t>Amina Khatun</t>
  </si>
  <si>
    <t>40fit, Future Town Mohammadpur, Dhaka-1207</t>
  </si>
  <si>
    <t>Vill# Debinagar, Post# Osmanpur, Thana# khoksha</t>
  </si>
  <si>
    <t>Senior Executive</t>
  </si>
  <si>
    <t>Project Base Fixed</t>
  </si>
  <si>
    <t>88-01847270360</t>
  </si>
  <si>
    <t>Mohathir Mohammad Mim</t>
  </si>
  <si>
    <t>BY0372325</t>
  </si>
  <si>
    <t>BSc In Electrical and Electronics Engineering , Final Semester</t>
  </si>
  <si>
    <t>BRAC University</t>
  </si>
  <si>
    <t>Md. Zulfikar Ali</t>
  </si>
  <si>
    <t>Mst. Kohinoor Begum</t>
  </si>
  <si>
    <t xml:space="preserve">Area : Road 19, Nikunja 2, Thana : Khilkhet, Dist :  Dhaka-1229</t>
  </si>
  <si>
    <t>Vill : HallPara, Thana: Thakurgaon Sadar, Dist : Thakurgaon</t>
  </si>
  <si>
    <t>Supervisor</t>
  </si>
  <si>
    <t>Genex005</t>
  </si>
  <si>
    <t>SHA PARAN</t>
  </si>
  <si>
    <t>207603/2003</t>
  </si>
  <si>
    <t>mdshahporan314@gmail.com</t>
  </si>
  <si>
    <t>ROKSANA AKTHER</t>
  </si>
  <si>
    <t>BT 0631450</t>
  </si>
  <si>
    <t>Nurul Islam</t>
  </si>
  <si>
    <t>Kaiturun Nessa</t>
  </si>
  <si>
    <t>House.57,Road. 04,(Pakuria Bazar beside Sector 14,Uttara) P.S.Turag, District.Dhaka -1230</t>
  </si>
  <si>
    <t>Vill: Haria ,Thana:Shahrasti ,District:Chandpur</t>
  </si>
  <si>
    <t>Pakuria Bazar , Turag</t>
  </si>
  <si>
    <t>Roksana Akther</t>
  </si>
  <si>
    <t>Halimatuch Sadia</t>
  </si>
  <si>
    <t>Noor Mohammad Safwan</t>
  </si>
  <si>
    <t>Exam Issue</t>
  </si>
  <si>
    <t>Md. Abdur Rakib</t>
  </si>
  <si>
    <t>Temu Batch-17</t>
  </si>
  <si>
    <t>logichard9@gmail.com</t>
  </si>
  <si>
    <t>Fariha Sultana</t>
  </si>
  <si>
    <t>Sheikh Fazilatunnesa Mujib University</t>
  </si>
  <si>
    <t>Tufyel Ahamed</t>
  </si>
  <si>
    <t>MST.Jahanara begum</t>
  </si>
  <si>
    <t>Khilkhet, uttarpara,Dhaka</t>
  </si>
  <si>
    <t>Sharkar bari, west brahmonpara,post:hazrabari 2010,Thana:Melanfha,dist:Jamalpur</t>
  </si>
  <si>
    <t>Khilkhet utttarpara</t>
  </si>
  <si>
    <t>mmaigenex048</t>
  </si>
  <si>
    <t xml:space="preserve">Shabnaj Shikdar </t>
  </si>
  <si>
    <t>shabnajshikdar@gamil.com</t>
  </si>
  <si>
    <t xml:space="preserve">Monira shikdar </t>
  </si>
  <si>
    <t>AUB</t>
  </si>
  <si>
    <t xml:space="preserve">Abhul hasnat shikdar </t>
  </si>
  <si>
    <t xml:space="preserve">Area : 196/1/B, tetoltola, marine tower,Thana:  khilkhet, Dist: dhaka </t>
  </si>
  <si>
    <t xml:space="preserve">Vill: Nobinaghar, Thana:Nobinaghar , Dist :  Bramonbaria </t>
  </si>
  <si>
    <t xml:space="preserve"> khilkhet </t>
  </si>
  <si>
    <t>Mst. Acia Khatun</t>
  </si>
  <si>
    <t>Jharna Begum</t>
  </si>
  <si>
    <t>Mothers</t>
  </si>
  <si>
    <t>BCS</t>
  </si>
  <si>
    <t>IUBAT-International University of Business Agriculture &amp; Technology</t>
  </si>
  <si>
    <t>House-17,Road-11.Sector-10,Uttara,Dhaka.Bangladesh</t>
  </si>
  <si>
    <t>Basatpur,Sharsha,Jashore</t>
  </si>
  <si>
    <t>Examination Preparation Issue</t>
  </si>
  <si>
    <t>naihe63op</t>
  </si>
  <si>
    <t>Sharif Shams Khondkar</t>
  </si>
  <si>
    <t>shraifahmed181993@gmail.com</t>
  </si>
  <si>
    <t>A.S.K Tanvir Ahmed</t>
  </si>
  <si>
    <t>Kushtia Govt. College</t>
  </si>
  <si>
    <t>Khondkar Shamsur Rashid</t>
  </si>
  <si>
    <t>Mst. Yasmin Sultana</t>
  </si>
  <si>
    <t>House- 215/A, Road- 5, Bashundhara R/A, Vatara, Dhaka.</t>
  </si>
  <si>
    <t>Vill- College Para, Post Office- Alamdanga, Post Code- 7210, Upazila- Alamdanga, Zilla- Chuadanga</t>
  </si>
  <si>
    <t>xisailuo9op</t>
  </si>
  <si>
    <t>Md. Naimul Huda Nafi</t>
  </si>
  <si>
    <t>Women cloting</t>
  </si>
  <si>
    <t>naimulhudanafi@gmail.com</t>
  </si>
  <si>
    <t>B.Sc in Computer Science &amp; Engineering</t>
  </si>
  <si>
    <t>Md. Abdul Hamid</t>
  </si>
  <si>
    <t>Most. Nasima Khatun</t>
  </si>
  <si>
    <t>Flat (5/C), House no. 34, Block B, Road - 3, Aftabnagar, Dhaka-1212</t>
  </si>
  <si>
    <t>Village &amp; Post: Raksha, Police Station: Lalpur, District: Natore, Division: Rajshahi</t>
  </si>
  <si>
    <t>Zahid Ferdous</t>
  </si>
  <si>
    <t>Image segmentation</t>
  </si>
  <si>
    <t>zahidferdous69@gmail</t>
  </si>
  <si>
    <t>MOST. ASIYA MEHE JABIN</t>
  </si>
  <si>
    <t>Gaibandha Govt. College</t>
  </si>
  <si>
    <t>MD REZAUL FERDOUS</t>
  </si>
  <si>
    <t>MST NURZAHAN FERDOUS</t>
  </si>
  <si>
    <t xml:space="preserve">Area : Mirpur 1, Gudaraghat, Block A, Road No. 2 , PS:Mirpur  Dist: Dhaka</t>
  </si>
  <si>
    <t>Vill : Munshipara, PS : Gaibandha Sadar, Dist: Gaibandha</t>
  </si>
  <si>
    <t>SOUHARDO-AL IRFAN</t>
  </si>
  <si>
    <t>mmaigenex011</t>
  </si>
  <si>
    <t>Shihab Hasan Rudro</t>
  </si>
  <si>
    <t>rudrohasan181@gmail.com</t>
  </si>
  <si>
    <t>Harunur Rashid</t>
  </si>
  <si>
    <t>University of Asia Pacific</t>
  </si>
  <si>
    <t>Mst. Bakul Nahar</t>
  </si>
  <si>
    <t xml:space="preserve">Area : 58/gha/22, West Rajabazar, Thana : Farmgate ,Dist :  Dhaka</t>
  </si>
  <si>
    <t xml:space="preserve">Vill : Purba Karia, Thana : Panchbibi,  Dist : Joypurhat</t>
  </si>
  <si>
    <t xml:space="preserve">Farmgate </t>
  </si>
  <si>
    <t>zhulan2op</t>
  </si>
  <si>
    <t>Md. Mizanur Rahman</t>
  </si>
  <si>
    <t>mizanur.work35@gmail.com</t>
  </si>
  <si>
    <t>Mrs. Minara Begum</t>
  </si>
  <si>
    <t>Md. Khalilur Rahman</t>
  </si>
  <si>
    <t>House- 27, R- Kawlar Mollabari, P.O-Khilkhet-1229, Dhakkhinkhan, Dhaka Uttar City Corporation, Dhaka</t>
  </si>
  <si>
    <t>Vill- Khajura, P.O- Khajura, Thana- Barguna, Zilla-Barguna</t>
  </si>
  <si>
    <t>mahadiserniabad04@gmail.com</t>
  </si>
  <si>
    <t>Md Sobuj Serniabad</t>
  </si>
  <si>
    <t>Govt Titumir college</t>
  </si>
  <si>
    <t>Sathi Begum</t>
  </si>
  <si>
    <t>House 166, Notunpara, Madartek, Bashabo, Dhaka 1214</t>
  </si>
  <si>
    <t>East sayedkathi, Masjidbari, Banaripara, Barishal</t>
  </si>
  <si>
    <t>mmaigenex017</t>
  </si>
  <si>
    <t>ahammedali266@gmail.com</t>
  </si>
  <si>
    <t>Sume Ahamed</t>
  </si>
  <si>
    <t>Professional BBA 5th semester</t>
  </si>
  <si>
    <t>Uttara Town Collage And University</t>
  </si>
  <si>
    <t>Area : Koshaibari,Mirerbazar, Thana : Tongi , Dist : Gazipur</t>
  </si>
  <si>
    <t xml:space="preserve"> Tongi </t>
  </si>
  <si>
    <t>Jakia Sultana Sumi</t>
  </si>
  <si>
    <t>jakiasultanasumi159@gmail.com</t>
  </si>
  <si>
    <t>Jaynal Abedin</t>
  </si>
  <si>
    <t>Jannatul Fardosh</t>
  </si>
  <si>
    <t>House Building Staff Quarter, Building -3, sector #8, Uttara,Dhaka-1230.</t>
  </si>
  <si>
    <t>Vill-Asotala, P.o-Pashchimgaon, Laksam, Cumilla.</t>
  </si>
  <si>
    <t>Dewan Habibul Hoque</t>
  </si>
  <si>
    <t>Shayan</t>
  </si>
  <si>
    <t>Md Shahnawaz Nayon </t>
  </si>
  <si>
    <t>Beauty &amp; Accessory</t>
  </si>
  <si>
    <t>Temu Batch-18</t>
  </si>
  <si>
    <t>shahnawaz.nayon9@gmail.com</t>
  </si>
  <si>
    <t>Nasima Akter</t>
  </si>
  <si>
    <t>aunt</t>
  </si>
  <si>
    <t>House 7, Road 8, Block E, Mirpur 12 Dhaka 1216</t>
  </si>
  <si>
    <t>19/G/2 North Tolarbag, Mirpur 1, dhaka 1216</t>
  </si>
  <si>
    <t>Mirpur 12 pallabi</t>
  </si>
  <si>
    <t>mmaigenex020</t>
  </si>
  <si>
    <t>Md. Anisuzzaman</t>
  </si>
  <si>
    <t>mdanisuzzaman43@gmail.com</t>
  </si>
  <si>
    <t>Md.Firoz Kabir</t>
  </si>
  <si>
    <t>Govt Azizul Haque College, Bogura</t>
  </si>
  <si>
    <t>Md.Afzal Hossain</t>
  </si>
  <si>
    <t>Most.Fency Begum</t>
  </si>
  <si>
    <t>Area: House-1240/1, East monipur,PS: Mipur,Dist: Dhaka</t>
  </si>
  <si>
    <t>Vill:Salmara, Thana:Gobindaganj, post:Jalalabad, Dist : Gaibandha</t>
  </si>
  <si>
    <t>Simla Ara</t>
  </si>
  <si>
    <t>Simlaara80@gmail.com</t>
  </si>
  <si>
    <t>Shahbur Rahman</t>
  </si>
  <si>
    <t>Jasmin Ara</t>
  </si>
  <si>
    <t>House 263 Road 8 block D Bashundhara</t>
  </si>
  <si>
    <t>Katabari,Phulbari Dinajpure</t>
  </si>
  <si>
    <t>zhulan12op</t>
  </si>
  <si>
    <t>Md. Masud Rana</t>
  </si>
  <si>
    <t>mr356136@gmail.com</t>
  </si>
  <si>
    <t>Md. Monirul Islam Rubel</t>
  </si>
  <si>
    <t>01735-009826</t>
  </si>
  <si>
    <t>19944910695000000</t>
  </si>
  <si>
    <t>National University (Carmichael College, Rangpur )</t>
  </si>
  <si>
    <t>Late, Abdur Razzak</t>
  </si>
  <si>
    <t>House: 102/1, Road: Matikatabazar, Dhaka Cantonment, Dhaka -1206</t>
  </si>
  <si>
    <t>Village: Bokultola, Post: Fulkumar, Upazila: Bhurungamari, Zila: Kurigram.</t>
  </si>
  <si>
    <t>Matikatabazar</t>
  </si>
  <si>
    <t>Samsunnahar Begum</t>
  </si>
  <si>
    <t>ritubinte44@gmail.com</t>
  </si>
  <si>
    <t>Shahnaz parvin</t>
  </si>
  <si>
    <t>MD Rafiqul Islam</t>
  </si>
  <si>
    <t>Shahnaz Parvin</t>
  </si>
  <si>
    <t>House: kha 50/2 ,Rode: 5 , Tanpara , Nikunja 2 , khilkhet Dhaka.</t>
  </si>
  <si>
    <t>Vill: Monaikhali ,PO:Bancharampur, PS: Bancharampur, Dist:Brahmanbaria</t>
  </si>
  <si>
    <t>xushiyu3op</t>
  </si>
  <si>
    <t>Ahsanul Haque Rahat</t>
  </si>
  <si>
    <t>ahsanrahat49@gmail.com</t>
  </si>
  <si>
    <t>Najmul Haque Rubel</t>
  </si>
  <si>
    <t>A05803222</t>
  </si>
  <si>
    <t xml:space="preserve">BGMEA University of fashion &amp; Technology </t>
  </si>
  <si>
    <t>Enamul Haque</t>
  </si>
  <si>
    <t>Rekha Begum</t>
  </si>
  <si>
    <t>House-63/B, Kalabagan, Dhanmondi, Dhaka.</t>
  </si>
  <si>
    <t xml:space="preserve">East Khabuspur, Faridpur </t>
  </si>
  <si>
    <t>Family issue</t>
  </si>
  <si>
    <t>Sharmin Akter</t>
  </si>
  <si>
    <t>Sharmin.office77@gmail.com</t>
  </si>
  <si>
    <t>MD. Sahadul Haque</t>
  </si>
  <si>
    <t>Syed Ahmed College, shukhanpukur, Gabtoli, Bogura</t>
  </si>
  <si>
    <t>MD. Abdul Aziz</t>
  </si>
  <si>
    <t>Mst. Morjina Beguma</t>
  </si>
  <si>
    <t>House- 11 road- 19, Kabi Faroque sarani, Nikunja-2 Dhaka</t>
  </si>
  <si>
    <t>Atapara idgahmath, fulbari, dakghor: Bogura sadar- 5800, Bogura sadar, Bogura pouroshova, Bogura</t>
  </si>
  <si>
    <t>Nikunja2</t>
  </si>
  <si>
    <t>Md. Sahadul Haque</t>
  </si>
  <si>
    <t>naihe28op</t>
  </si>
  <si>
    <t>Sharmin Akter  </t>
  </si>
  <si>
    <t>sharmin01628588200@gmail.com</t>
  </si>
  <si>
    <t>Eqramor Rabbi</t>
  </si>
  <si>
    <t>Md Noor Hossain</t>
  </si>
  <si>
    <t>Vill- Talotia, P.S.- pubail, P.O.- Pubail 1721, Dis- Gazipur.</t>
  </si>
  <si>
    <t>Vill- Talotia, P. S.- Pubail, P. O.- Pubail 1721, Dis- Gazipur.</t>
  </si>
  <si>
    <t>Personal issue</t>
  </si>
  <si>
    <t>Sabbir Ahmed</t>
  </si>
  <si>
    <t>ahmedsabbir486@gmail.com</t>
  </si>
  <si>
    <t>Shahida Aktare</t>
  </si>
  <si>
    <t>University of Information Technology and Sciences</t>
  </si>
  <si>
    <t>Md. Idris Matbbar</t>
  </si>
  <si>
    <t>House- 32/1,Block- A, Road-3, Gulshan,Vatara(Noyabari),Dhaka-1212</t>
  </si>
  <si>
    <t>House- 32/1,Block- A, Road-3,Gulshan, Vatara(Noyabari),Dhaka-1212</t>
  </si>
  <si>
    <t>Sarmin Nahar</t>
  </si>
  <si>
    <t>sarminnahar199@gmail.com</t>
  </si>
  <si>
    <t>Sheuly Ahmed</t>
  </si>
  <si>
    <t>Md- Mizanur Rahman</t>
  </si>
  <si>
    <t>Taslima Khatun</t>
  </si>
  <si>
    <t>House -5,Road -12,Sector -12,Uttara, Dhaka</t>
  </si>
  <si>
    <t>Village - Matiadanga,Post - Dhulihor,Upazila - Satkhira, District -Satkhira</t>
  </si>
  <si>
    <t>xisailuo82op</t>
  </si>
  <si>
    <t>S.M. Shoyaib</t>
  </si>
  <si>
    <t>shoyaibsm@gmail.com</t>
  </si>
  <si>
    <t>Umayer Kabir</t>
  </si>
  <si>
    <t>B.Sc (Hons)</t>
  </si>
  <si>
    <t>MD HARUN AR RASHID</t>
  </si>
  <si>
    <t>KHAIRUNNESA</t>
  </si>
  <si>
    <t>House : 11, Road : 15, Sector : 14, Area : Uttara, P.S : Uttara west, District : Dhaka.</t>
  </si>
  <si>
    <t>Village : Tokia, P.O : Godaipur, P.S : Paikgacha, District : Khulna.</t>
  </si>
  <si>
    <t>Uttara, Dhaka.</t>
  </si>
  <si>
    <t>mmaigenex014</t>
  </si>
  <si>
    <t>Md Sazzadur Rahman</t>
  </si>
  <si>
    <t>sazzadur015gen@gmail.com</t>
  </si>
  <si>
    <t>PRANTO</t>
  </si>
  <si>
    <t>EF0234307</t>
  </si>
  <si>
    <t>Tejgaon College Dhaka</t>
  </si>
  <si>
    <t>Sahida akter</t>
  </si>
  <si>
    <t xml:space="preserve">CAAB STAFF , QUARTER  ,kawla-1229</t>
  </si>
  <si>
    <t xml:space="preserve">Vill:  Dakkhin dholdangga , thana: Bhurungamari dist: Rangpur</t>
  </si>
  <si>
    <t>Nusrat Khandaker</t>
  </si>
  <si>
    <t>Khandakejisa2526@gmail.com</t>
  </si>
  <si>
    <t>MD. Tanvir Hossain</t>
  </si>
  <si>
    <t>19941592036000200</t>
  </si>
  <si>
    <t>EE0261771</t>
  </si>
  <si>
    <t>East Delta University</t>
  </si>
  <si>
    <t>Akkas Uddin Khandaker</t>
  </si>
  <si>
    <t>5B, House- 17, Road- 21, Nikunja-2, p.S- khilkhet, Dhaka.</t>
  </si>
  <si>
    <t>Area- 3 no. Fakir hat, becha shah road, P.S- Bandar, Chattagram.</t>
  </si>
  <si>
    <t>xisailuo3op</t>
  </si>
  <si>
    <t>Md. Borhan Uddin</t>
  </si>
  <si>
    <t xml:space="preserve">borhannt12@gmail.com </t>
  </si>
  <si>
    <t xml:space="preserve">Emran Hossain </t>
  </si>
  <si>
    <t>19941324902000031</t>
  </si>
  <si>
    <t xml:space="preserve">Institute of science trade and technology </t>
  </si>
  <si>
    <t>Md.Joynal Abedin</t>
  </si>
  <si>
    <t>House- 08, Road- 104, Gulshan -2, Dhaka -1212</t>
  </si>
  <si>
    <t xml:space="preserve">Village- Balakhal, Thana- Hajigonj , Dist- Chandpur </t>
  </si>
  <si>
    <t>Mursana Rahman Sony</t>
  </si>
  <si>
    <t>antilasony94@gmail.com</t>
  </si>
  <si>
    <t>Mst. Mafuja Begum</t>
  </si>
  <si>
    <t>MD. Motassen Billah</t>
  </si>
  <si>
    <t>Mst.Mafuja Begum</t>
  </si>
  <si>
    <t>Area: 97/2 Shantinagar,PS: Paltan,Dist: Dhaka</t>
  </si>
  <si>
    <t>Vill: Kalabaria,PS: Kalia,Dist: Narail.</t>
  </si>
  <si>
    <t>Shantinagar</t>
  </si>
  <si>
    <t>Touhidul Islam</t>
  </si>
  <si>
    <t>touhidulislam.bu@gmail.com</t>
  </si>
  <si>
    <t>Md. Abu Khair Hridoy</t>
  </si>
  <si>
    <t>University of Barishal</t>
  </si>
  <si>
    <t>Md. Jahangir Hossain</t>
  </si>
  <si>
    <t>Joynab Bibi</t>
  </si>
  <si>
    <t>House : 801, Matir Mosjid Road, Dakshinkhan, Dhaka 1230</t>
  </si>
  <si>
    <t>House: 203, Village: Dingerhat, Post office: Dingerhat -8284, Bakerganj, Barishal</t>
  </si>
  <si>
    <t>Uttara Sector 4</t>
  </si>
  <si>
    <t>mmaigenex029</t>
  </si>
  <si>
    <t>Sabrin Akter Usha</t>
  </si>
  <si>
    <t>ushasubreen@gmail.com</t>
  </si>
  <si>
    <t>Yasir Mahmud</t>
  </si>
  <si>
    <t>20002647298002400</t>
  </si>
  <si>
    <t>American International University ,bangladesh</t>
  </si>
  <si>
    <t>Abdul Hamid</t>
  </si>
  <si>
    <t>Sherina Akter</t>
  </si>
  <si>
    <t>Area : Plot 33, road 1,block i ,basundhara Thana : Vatara , Dist : Dhaka</t>
  </si>
  <si>
    <t>Area : Jamgora , fantacy kindom , Thana : Savar , Dist : Dhaka</t>
  </si>
  <si>
    <t xml:space="preserve"> Vatara</t>
  </si>
  <si>
    <t>Jewel Matubber</t>
  </si>
  <si>
    <t>203585/2006</t>
  </si>
  <si>
    <t>riyadraj9484@gmail.com</t>
  </si>
  <si>
    <t>Motiur Rahman Matubber</t>
  </si>
  <si>
    <t>Government Commerce Collage Chittagong .</t>
  </si>
  <si>
    <t>Village: (Boro Bari)Charkamer Kandi Post Office : Nilokhi Bander Upazila: Shibchar Distrct: Madaripur</t>
  </si>
  <si>
    <t>Genex081</t>
  </si>
  <si>
    <t>Md. Mim Khan</t>
  </si>
  <si>
    <t>khanmim327@gmail.com</t>
  </si>
  <si>
    <t>Md. Azahan Ali Khan</t>
  </si>
  <si>
    <t>BGMEA University of Fashion and Technology</t>
  </si>
  <si>
    <t>Md.Azahan Ali Khan</t>
  </si>
  <si>
    <t>Most Mariowm Begum</t>
  </si>
  <si>
    <t>House:10 Road :12 Block :A Area: Sayed Nagar PS:Vatara, Dhaka</t>
  </si>
  <si>
    <t>Vill: Chalkmamrojpur, PS :Gaibandha Sadar, Dis:Gaibandha</t>
  </si>
  <si>
    <t>Md. Shourov Hossain</t>
  </si>
  <si>
    <t>shourovnayon01@gmail.com</t>
  </si>
  <si>
    <t>Md.Shourov Hossain</t>
  </si>
  <si>
    <t>Joypurhat Govt College</t>
  </si>
  <si>
    <t>Mosa. Dali Begum</t>
  </si>
  <si>
    <t>Area: Rasulbag,Ashkona, PS: Airport, Dist: Dhaka</t>
  </si>
  <si>
    <t xml:space="preserve">Vill: Additapur, PS: Bhanderpur,  District : Naogaon.</t>
  </si>
  <si>
    <t>mmaigenex034</t>
  </si>
  <si>
    <t>Jannate Shefa</t>
  </si>
  <si>
    <t xml:space="preserve">jannatjannat070@gmail.com </t>
  </si>
  <si>
    <t>Miraj Sheikh</t>
  </si>
  <si>
    <t>MD. Afzal Hossian</t>
  </si>
  <si>
    <t>Mst. Chamely Begum</t>
  </si>
  <si>
    <t>Area : House no:22, road no:1/B, Nikunja-2, Thana: Khilkhet Dist : Dhaka</t>
  </si>
  <si>
    <t>Area : House no:18, Maroary potti, Mujib Sarak,Thana: Sirajganj Sadar Dist: Sirajgonj</t>
  </si>
  <si>
    <t>Genex076</t>
  </si>
  <si>
    <t>Mahabub Alam</t>
  </si>
  <si>
    <t>Temu Batch- 18</t>
  </si>
  <si>
    <t>mahabub.alam7604@gmail.com</t>
  </si>
  <si>
    <t>Sumaya Akter</t>
  </si>
  <si>
    <t>Bachelor of Honours</t>
  </si>
  <si>
    <t>Md.Shajahan Prodhaniya</t>
  </si>
  <si>
    <t>Late Suraya Akter</t>
  </si>
  <si>
    <t>Holding No:891,Village :Adarsha Nagar,Post office :Kutubpur-1421,District :Narayanganj</t>
  </si>
  <si>
    <t>Holding No:891,Village :Adarsha Nagar,Post office :Kutubpur-1421,Thana :Fatullah,District :Narayanganj</t>
  </si>
  <si>
    <t>Narayangonj</t>
  </si>
  <si>
    <t>Genex011</t>
  </si>
  <si>
    <t>Uday Shanker Sarker Rahul</t>
  </si>
  <si>
    <t>rahul.sarker.nmuc@gmail.com</t>
  </si>
  <si>
    <t>Rabi Sanker Sarker</t>
  </si>
  <si>
    <t>B.A.Hon's</t>
  </si>
  <si>
    <t>Rasaraj Sarker</t>
  </si>
  <si>
    <t>Shulakha Sarker</t>
  </si>
  <si>
    <t xml:space="preserve">Area : H-531, R-02. Monipur, Thana: Mirpur Dist :  Dhaka</t>
  </si>
  <si>
    <t>Vill- Shimul Kandi, P.O- Bhairab-2350, Bhairab, Dist : Kishoregonj</t>
  </si>
  <si>
    <t>Md. Rabiul Islam Apel</t>
  </si>
  <si>
    <t>rabiul.apel@gmail.com</t>
  </si>
  <si>
    <t>01712-170017</t>
  </si>
  <si>
    <t>Md. Ashraful Islam</t>
  </si>
  <si>
    <t>A06008122</t>
  </si>
  <si>
    <t>University of Chittagong</t>
  </si>
  <si>
    <t>Md. Azahar Ali</t>
  </si>
  <si>
    <t>Mst. Anowara Khatun</t>
  </si>
  <si>
    <t>House: 50/2, Road: 11, Kallyanpur, Mirpur, Dhaka-1207</t>
  </si>
  <si>
    <t>Vill: Kamatangaria, P.O: Bhurungamari-5670, P.S: Bhurungamari, Dist: Kurigram</t>
  </si>
  <si>
    <t>Kallyanpur</t>
  </si>
  <si>
    <t>Ovi Mal</t>
  </si>
  <si>
    <t>ovimal48@gmail.com</t>
  </si>
  <si>
    <t>Mukta</t>
  </si>
  <si>
    <t>BSS , Hons</t>
  </si>
  <si>
    <t>Chandpur Govt. College</t>
  </si>
  <si>
    <t>Md:Ali Hossain</t>
  </si>
  <si>
    <t>House No-5G,Road No-13,Sec No-03,Uttara,Dhaka-1230</t>
  </si>
  <si>
    <t>Vill:Digholdi, Post:Munshir hat:Upazilla:Matlab south:District:Chandpur</t>
  </si>
  <si>
    <t>Binta Jarin Esha</t>
  </si>
  <si>
    <t>binteesha177@gmail.com</t>
  </si>
  <si>
    <t>A.B.M. Mahir Faisal</t>
  </si>
  <si>
    <t>Ialam</t>
  </si>
  <si>
    <t>MD:Mosharrof Hossain</t>
  </si>
  <si>
    <t>Kohinor Khatun</t>
  </si>
  <si>
    <t>House no:45,Road No:20,Area:Nikunja-2,PS:Khilkhet,Dist:Dhaka</t>
  </si>
  <si>
    <t>Vill:South Milik Bagha,Ps:Bagha,Dist:Rajshahi</t>
  </si>
  <si>
    <t>Md. Sifuqul Islam</t>
  </si>
  <si>
    <t>mdsofiqulislam1521998@gmail.com</t>
  </si>
  <si>
    <t>MD-Naeem</t>
  </si>
  <si>
    <t>Mirza Golam Hafiz College Panchagarh</t>
  </si>
  <si>
    <t>MD-Ismail Haque</t>
  </si>
  <si>
    <t>MIS: Shahina Begum</t>
  </si>
  <si>
    <t>Vill: KA-17, Shahadapur, P.S: Gulshan, Dist: Dhaka-1212</t>
  </si>
  <si>
    <t>Vill: puraton Atoari, P.O: Giragao-5041 P.S: Atoari, Dist: Panchgarh</t>
  </si>
  <si>
    <t>Shahajdpur</t>
  </si>
  <si>
    <t>mmaigenex035</t>
  </si>
  <si>
    <t>arrahmanpinku@gmail.com</t>
  </si>
  <si>
    <t>Masudur Rahman</t>
  </si>
  <si>
    <t>Dhaka international University</t>
  </si>
  <si>
    <t>Anisur Rahman</t>
  </si>
  <si>
    <t>Area : Nikunjo 2,road 13,house 05 , Thana : Khilkhet , Dist : Dhaka</t>
  </si>
  <si>
    <t>Vill : Vharukhali, Thana : Satkhira Sadar , Dist: Satkhira</t>
  </si>
  <si>
    <t>Nargis Diya</t>
  </si>
  <si>
    <t>709361/2009-2010</t>
  </si>
  <si>
    <t>nargisdiya.nd@gmail.com</t>
  </si>
  <si>
    <t>BSCSE</t>
  </si>
  <si>
    <t>Shafij Uddin</t>
  </si>
  <si>
    <t>Shefali Khatun</t>
  </si>
  <si>
    <t>Prabashi Tower, Dag NO: 2669, Sayednagar, Badda</t>
  </si>
  <si>
    <t>Village: Balshabari, Thana : Ullapara, Zila: Sirajgonj</t>
  </si>
  <si>
    <t>Genex072</t>
  </si>
  <si>
    <t>Md. Solaiman Mia </t>
  </si>
  <si>
    <t>solaimanmia885@gmail.com</t>
  </si>
  <si>
    <t>Md. Faruk Hossain</t>
  </si>
  <si>
    <t>'8514227000041</t>
  </si>
  <si>
    <t>Noakhali Science and Technology University</t>
  </si>
  <si>
    <t>Md. Yesin Ali</t>
  </si>
  <si>
    <t>Most. Sofura Begum</t>
  </si>
  <si>
    <t>Adorsho Nagre, Badda Link Road</t>
  </si>
  <si>
    <t>Haricharan Laskar, Kaunia, Rangpur</t>
  </si>
  <si>
    <t>Arju goli, Sumon Villa-355</t>
  </si>
  <si>
    <t>Mohin Mia</t>
  </si>
  <si>
    <t>anonto.mohin@gmail.com</t>
  </si>
  <si>
    <t>Lipon</t>
  </si>
  <si>
    <t>Brother In Law</t>
  </si>
  <si>
    <t>MBS</t>
  </si>
  <si>
    <t>Kobi Nazrul Govt. College</t>
  </si>
  <si>
    <t>Monu Mia</t>
  </si>
  <si>
    <t>House-12, Bamoil Purbo Para,Sarulia,Demra Dhaka-1361</t>
  </si>
  <si>
    <t>Vill: Kartikpur P.O: Kartikpur P.S: Naria Dist: Shariatpur</t>
  </si>
  <si>
    <t>Demra</t>
  </si>
  <si>
    <t>Surove Paul</t>
  </si>
  <si>
    <t>surovepaul23@gmail.com</t>
  </si>
  <si>
    <t>Mary Baral</t>
  </si>
  <si>
    <t>Hinduism</t>
  </si>
  <si>
    <t>Sunil Chandra Paul</t>
  </si>
  <si>
    <t>House: 65no, Road: Durga Mondir Lane Jafrabad, PO:Mohammad, Dis: Dhaka-1207</t>
  </si>
  <si>
    <t>Higher Study</t>
  </si>
  <si>
    <t>Parvej Ahammed</t>
  </si>
  <si>
    <t>parvejahammed.6511@gmail.com</t>
  </si>
  <si>
    <t>Fahomida Hossin</t>
  </si>
  <si>
    <t xml:space="preserve">BBA </t>
  </si>
  <si>
    <t>Md Salauddin</t>
  </si>
  <si>
    <t>Anu Begum</t>
  </si>
  <si>
    <t>House No:242/A/9,Betuli,Kanchkura,Uttarkhan,Dhaka-1230</t>
  </si>
  <si>
    <t>Kanchkura</t>
  </si>
  <si>
    <t>Sickness Issues</t>
  </si>
  <si>
    <t>Taher Ahmed Nayeem</t>
  </si>
  <si>
    <t>421454/2009</t>
  </si>
  <si>
    <t>taherahmed151@gmail.com</t>
  </si>
  <si>
    <t>Tanzina Ferdous Saika</t>
  </si>
  <si>
    <t xml:space="preserve">Master </t>
  </si>
  <si>
    <t>Meherul Islam</t>
  </si>
  <si>
    <t>Sayera Akter</t>
  </si>
  <si>
    <t xml:space="preserve">Area : Charabag, Bashaid, Ashulia, Thana: Savar, Dist: Dhaka </t>
  </si>
  <si>
    <t>Ashulia</t>
  </si>
  <si>
    <t>Tanzina ferdous</t>
  </si>
  <si>
    <t>24/07/1996</t>
  </si>
  <si>
    <t>Tiham Ahmed izaan</t>
  </si>
  <si>
    <t>27/03/2023</t>
  </si>
  <si>
    <t>Md. Shahain Akther</t>
  </si>
  <si>
    <t>Must. Jamila Akhter</t>
  </si>
  <si>
    <t>Bs.Ag.</t>
  </si>
  <si>
    <t>IUBAT Uttara Dhaka</t>
  </si>
  <si>
    <t>Md. Sohidul Islam</t>
  </si>
  <si>
    <t>Mirpur-1, Block-C, Road-11, House-15, Dhaka</t>
  </si>
  <si>
    <t>Aramdanga, Karpashdanga, Damurhuda, Chuadanga</t>
  </si>
  <si>
    <t>Mirpur-1, Dhaka</t>
  </si>
  <si>
    <t>Study &amp; Family Issues</t>
  </si>
  <si>
    <t>zhulan15op</t>
  </si>
  <si>
    <t>Md. Saddam Hossain</t>
  </si>
  <si>
    <t>iamsaddam2020@gmail.com</t>
  </si>
  <si>
    <t>Bangladesh Institute of science and technology, National University</t>
  </si>
  <si>
    <t>Abul Khair</t>
  </si>
  <si>
    <t>Laile Begum</t>
  </si>
  <si>
    <t>House-232,Road-Kolilbox road,Moddow Gaowar,Dhakshin khan,Dhaka-1230</t>
  </si>
  <si>
    <t>P.O:Kutuberhat,P.S:Senbug,Vill:Devishingpur, Noakhali.</t>
  </si>
  <si>
    <t>Dhakshin khan</t>
  </si>
  <si>
    <t>Genex008</t>
  </si>
  <si>
    <t>imdshoriful407@gmail.com</t>
  </si>
  <si>
    <t>Md. Abid Hassan Prince</t>
  </si>
  <si>
    <t>House: Stellamoon (Opposite of metro rail first station) ,Nishatnagar, Diabari, Thana : Turag, Dist : Dhaka</t>
  </si>
  <si>
    <t>Diabari</t>
  </si>
  <si>
    <t>zhulan19op</t>
  </si>
  <si>
    <t>Md. Rifat Hossain</t>
  </si>
  <si>
    <t>MST MAKSUDA</t>
  </si>
  <si>
    <t>A06617769</t>
  </si>
  <si>
    <t>UNIVERSITY OF DHAKA</t>
  </si>
  <si>
    <t>OHEDUR RAHMAN MANIK</t>
  </si>
  <si>
    <t>Holding:127, Auchpara, College Road, Nishat Nagar-1711, Tongi West, Gazipur</t>
  </si>
  <si>
    <t>GAZIPUR</t>
  </si>
  <si>
    <t>Md. Alamgir kebir</t>
  </si>
  <si>
    <t>Sports &amp; Shoes &amp; Bags &amp; Women clothing</t>
  </si>
  <si>
    <t>alamgirkebir19@gmail.com</t>
  </si>
  <si>
    <t>Md. Shanti</t>
  </si>
  <si>
    <t>6866o22484</t>
  </si>
  <si>
    <t>Govt. M.M. College</t>
  </si>
  <si>
    <t>Md. Nur Islam</t>
  </si>
  <si>
    <t>Mis Anjuara Begum</t>
  </si>
  <si>
    <t>House No- 32, New Eskaton road, Ramna, Dhaka-1000</t>
  </si>
  <si>
    <t>Holding No- 60, Vill- Tarinibas, P.O- Chougachha-7410, P.S- Chougachha, Dist- Jashore.</t>
  </si>
  <si>
    <t>Personal Issues</t>
  </si>
  <si>
    <t>naihe14op</t>
  </si>
  <si>
    <t>Arid Ahsan Dodul</t>
  </si>
  <si>
    <t>aridahsandodul@gmail.com</t>
  </si>
  <si>
    <t>Shiwly Islam</t>
  </si>
  <si>
    <t>EA0324933</t>
  </si>
  <si>
    <t>UCSI University (KL Campus, Malaysia)</t>
  </si>
  <si>
    <t>Ahsanul Islam Dulal (Late)</t>
  </si>
  <si>
    <t>House- 04, Road- 16, Sector- 11, Uttara, Dhaka-1230</t>
  </si>
  <si>
    <t>House/Holding- 77, Road- Afzal Khan Road, Amlapara, Sirajganj</t>
  </si>
  <si>
    <t>Sakibur Rahman</t>
  </si>
  <si>
    <t>mdsakibur081@gmail.com</t>
  </si>
  <si>
    <t>Md.Robiul</t>
  </si>
  <si>
    <t>Barisal information technology College</t>
  </si>
  <si>
    <t>Md.Selim Peyda</t>
  </si>
  <si>
    <t>House 36A,Road 01,Mirpur 10, Dhaka</t>
  </si>
  <si>
    <t>Degreer char, Muladi, Barishal</t>
  </si>
  <si>
    <t>mmaigenex039</t>
  </si>
  <si>
    <t>Md. Meraz Chowdhury</t>
  </si>
  <si>
    <t>merazchowdhury.mcss@gmail.com</t>
  </si>
  <si>
    <t>Rafid hossain</t>
  </si>
  <si>
    <t>Bangladesh army university of science and technology</t>
  </si>
  <si>
    <t>Moyazzal haque Chowdhury</t>
  </si>
  <si>
    <t>Most. Dilruba sharmin Chowdhury</t>
  </si>
  <si>
    <t>Area : Saied nagar, Notun Bazar, PS: Badda Dist: Dhaka</t>
  </si>
  <si>
    <t xml:space="preserve">Vill: Khoddokolorpur, PS: sadullapur,  Dist: Gaibandha</t>
  </si>
  <si>
    <t>Treatment in abroad</t>
  </si>
  <si>
    <t>Genex078</t>
  </si>
  <si>
    <t>Anwar Hossain Anik</t>
  </si>
  <si>
    <t>ahanik399@gmail.com</t>
  </si>
  <si>
    <t>Md. Zahid Hasan</t>
  </si>
  <si>
    <t>Mst. Amena Khatun</t>
  </si>
  <si>
    <t>House No:Sheba 47,Road:Moktarbari Road, PS:Nishat Nagar, Dist: Gazipur</t>
  </si>
  <si>
    <t>Vill: Auchpara, PS:Nishat Nagar, Dist: Gazipur</t>
  </si>
  <si>
    <t>Temu Batch-4</t>
  </si>
  <si>
    <t>Fahimchowdhury780@gmail.com</t>
  </si>
  <si>
    <t>M.Ismat Hossain</t>
  </si>
  <si>
    <t>EE0750831</t>
  </si>
  <si>
    <t>Hasna Begum</t>
  </si>
  <si>
    <t xml:space="preserve">Area : House-323/A,Road -08,East Kazipara ,   Mirpur Thana: Kafrul ,Dist:  Dhaka</t>
  </si>
  <si>
    <t>East Kazipara, Mirpur</t>
  </si>
  <si>
    <t>BATB</t>
  </si>
  <si>
    <t>MahmudurRashid</t>
  </si>
  <si>
    <t>Gazi Mahmudur Rashid</t>
  </si>
  <si>
    <t>g.m.buft@gmail.com</t>
  </si>
  <si>
    <t>Gazi Juiana</t>
  </si>
  <si>
    <t>BUFT</t>
  </si>
  <si>
    <t>Gazi Harun Or Rashid</t>
  </si>
  <si>
    <t>Badrunnesa</t>
  </si>
  <si>
    <t>House No- 107/1, Area- Agargaon ,Taltola, Dhaka-1207</t>
  </si>
  <si>
    <t>Vill: Jangalia, PO: Adi Jangalia, Thana- kaligonj ,Dist- Gazipur.</t>
  </si>
  <si>
    <t>Agargaon</t>
  </si>
  <si>
    <t>naihe27op</t>
  </si>
  <si>
    <t>Md. Mahmudul Hasan</t>
  </si>
  <si>
    <t>mmahmudhasan23@gmail</t>
  </si>
  <si>
    <t>Md.Habibur Rahman</t>
  </si>
  <si>
    <t>LLM</t>
  </si>
  <si>
    <t>Jatiya Kabi Kazi Nazrul Islam University</t>
  </si>
  <si>
    <t>MD.Habibur Rahman</t>
  </si>
  <si>
    <t>Shirin sultana</t>
  </si>
  <si>
    <t>3/14,khilgaon, Dhaka</t>
  </si>
  <si>
    <t>Moddho Barera,Amlitola,shador, Mymensingh</t>
  </si>
  <si>
    <t>Fatema Tuz Zohora</t>
  </si>
  <si>
    <t>Mymuna Binte Mahmud</t>
  </si>
  <si>
    <t>Higher Education</t>
  </si>
  <si>
    <t>Mostafizur Rahman</t>
  </si>
  <si>
    <t>mostafiz.4781@gmail.com</t>
  </si>
  <si>
    <t>Mst. Rahima Khatun</t>
  </si>
  <si>
    <t>H-09, R-19, Nikunjo-2, Khilkhet, Dhaka.</t>
  </si>
  <si>
    <t>Village: Kalaibari, Post: Kalaibari, Post code: 6550, Thana: Porsha, District: Naogaon.</t>
  </si>
  <si>
    <t>Nikunjo-2,</t>
  </si>
  <si>
    <t>1920008@iub.edu.bd</t>
  </si>
  <si>
    <t>B.Pharm</t>
  </si>
  <si>
    <t>Independent University, Bangladesh</t>
  </si>
  <si>
    <t>Abdur Rakib Molla</t>
  </si>
  <si>
    <t>Mosana Begum</t>
  </si>
  <si>
    <t>Bashundhara Residential ,Block:B,Road Number:7,house-71</t>
  </si>
  <si>
    <t>Bhadughar, Brahmanbaria</t>
  </si>
  <si>
    <t>Bashundhara Residential</t>
  </si>
  <si>
    <t xml:space="preserve">Higher Study </t>
  </si>
  <si>
    <t>Israt Jahan Chadni</t>
  </si>
  <si>
    <t>chadnicc76@gmail.com</t>
  </si>
  <si>
    <t>Md. Zakir Hossain</t>
  </si>
  <si>
    <t>Sector 8, Uttara, Abhawa quater</t>
  </si>
  <si>
    <t>Family Issues</t>
  </si>
  <si>
    <t>Raihan Ahmed </t>
  </si>
  <si>
    <t>raihanahmed32044@gmail.com</t>
  </si>
  <si>
    <t>MD. Lutfor Kobir</t>
  </si>
  <si>
    <t>Monoyara Begum</t>
  </si>
  <si>
    <t>H-991, R-16, Baitul Aman Housing, Adabor, Mohammadpur, Dhaka- 1207</t>
  </si>
  <si>
    <t>Bakshanagar, Nawabganj, Dhaka.</t>
  </si>
  <si>
    <t>Genex033</t>
  </si>
  <si>
    <t>Md.Soharab Hossain</t>
  </si>
  <si>
    <t>BG Platform Governance Requirement</t>
  </si>
  <si>
    <t>Temu Batch-14</t>
  </si>
  <si>
    <t>Soharabifran@gmail.com</t>
  </si>
  <si>
    <t>MR. Reefath bin nurul</t>
  </si>
  <si>
    <t>19904815411000100</t>
  </si>
  <si>
    <t xml:space="preserve">Master's </t>
  </si>
  <si>
    <t xml:space="preserve">Govt Titumir College </t>
  </si>
  <si>
    <t>MR.Md. Emad Uddin</t>
  </si>
  <si>
    <t>Hena Akter</t>
  </si>
  <si>
    <t>Area : SouthPara Mohakhali, PS : Bonani, Dist: Dhaka.</t>
  </si>
  <si>
    <t xml:space="preserve">Vill: Chaysuti, PS :Kuliarchar,Dist:  kishoregonj.</t>
  </si>
  <si>
    <t>NetStar</t>
  </si>
  <si>
    <t>Nusrat Sharmin Shoshi</t>
  </si>
  <si>
    <t>362399/2006</t>
  </si>
  <si>
    <t>nsharmin9331@gmail.com</t>
  </si>
  <si>
    <t>MD. Abul Hossain</t>
  </si>
  <si>
    <t>Bangladesh University of Business and Techonology</t>
  </si>
  <si>
    <t>Raihan Abker</t>
  </si>
  <si>
    <t>House No:5-F Megan MRC City, Area: Mirpur-1, PS: Shah Ali, Dist: Dhaka</t>
  </si>
  <si>
    <t>Vill: Mirpur-1, PS: Shah Ali, Dist: Dhaka</t>
  </si>
  <si>
    <t>Ariful Islam</t>
  </si>
  <si>
    <t>arifulislamriyaz.cv@gmail.com</t>
  </si>
  <si>
    <t>Mohammad Nasir Uddin</t>
  </si>
  <si>
    <t>Ahmadur Rahman</t>
  </si>
  <si>
    <t>Mahopuja Begom</t>
  </si>
  <si>
    <t>House no: 323,Area: kuril chowrasta, PS: Vatara, Dist: Dhaka</t>
  </si>
  <si>
    <t>Vill: Rashidabad, PS: Shovondandi, Dist: Chattogram</t>
  </si>
  <si>
    <t>Kuril chowrasta</t>
  </si>
  <si>
    <t>Nusrat Jahan Annesha</t>
  </si>
  <si>
    <t>Temu Batch- 22</t>
  </si>
  <si>
    <t>nusraat7007@gmail.com</t>
  </si>
  <si>
    <t>Shirin Jahan</t>
  </si>
  <si>
    <t>Institute Of Progressive Meritocracy</t>
  </si>
  <si>
    <t>Amir Jahan</t>
  </si>
  <si>
    <t>House-12/D, Road-17, Block-G, Bashundhara, Dhaka</t>
  </si>
  <si>
    <t>Bara Beraid, Badda, Dhaka-1212</t>
  </si>
  <si>
    <t>rum+T2:T38aakther8546@gmail.com</t>
  </si>
  <si>
    <t>Tejgaon Mohila College</t>
  </si>
  <si>
    <t>Vill: Dhanarpar, Post: Khadergaow Bazar ,Thana: Motlob Dakshin, Dis: Chandpur</t>
  </si>
  <si>
    <t>Dhaka University Campus</t>
  </si>
  <si>
    <t>Jannatul Mifta</t>
  </si>
  <si>
    <t>Jannatulmifta071@gmail.com</t>
  </si>
  <si>
    <t>Shahanara Begum</t>
  </si>
  <si>
    <t>Zahir Ahmed</t>
  </si>
  <si>
    <t>Vill/Area:Hossen market,khalil Gate,.H:04 PS:Tongi PO:Islampur.PC:1712.District:Dhaka</t>
  </si>
  <si>
    <t>Vill/Area:Uttar Dattapara,Chanki.H:102 PS:Tongi PO:Arshad Naga.PC:1712.District:Dhaka</t>
  </si>
  <si>
    <t>mmaigenex046</t>
  </si>
  <si>
    <t>Md. Raihan Ali</t>
  </si>
  <si>
    <t>raihankaisaropurbo45@gmail.com</t>
  </si>
  <si>
    <t>Abdun Nayeem</t>
  </si>
  <si>
    <t>National Science Research and Technology College Rajshahi.</t>
  </si>
  <si>
    <t>MD.Dulal Uddin</t>
  </si>
  <si>
    <t>Mst.Ronglia Begum</t>
  </si>
  <si>
    <t>Area : Nikunja-2,Road-19,House -14,Thana : Khilkhat, Dist: Dhaka.</t>
  </si>
  <si>
    <t xml:space="preserve">Vill : Rahimpur Thana:  Lalpur,Dist :  Natore.</t>
  </si>
  <si>
    <t>xisailuo23op</t>
  </si>
  <si>
    <t>Shabrina Thahabin</t>
  </si>
  <si>
    <t>thahabinshabrina@gmail.com</t>
  </si>
  <si>
    <t>Shahinoor Akter</t>
  </si>
  <si>
    <t>Md. Shah Buddin</t>
  </si>
  <si>
    <t>House No: 73/C, Area: Ahmed Nagar, Jonaki Road, PS: Mirpur, Dist:Dhaka</t>
  </si>
  <si>
    <t>Vill: Rampur, P.O: Sachna Bazar, P.S: Jamalgonj, Dist: Shunamgonj, Div: Sylhet</t>
  </si>
  <si>
    <t>Genex097</t>
  </si>
  <si>
    <t>Mahbub Ahmed</t>
  </si>
  <si>
    <t>mahbub.ahmed868@gmail.com</t>
  </si>
  <si>
    <t>Sharmin Sultana</t>
  </si>
  <si>
    <t>World University Of Bangladesh</t>
  </si>
  <si>
    <t>MD. Abu Taher</t>
  </si>
  <si>
    <t>Shahin Akter</t>
  </si>
  <si>
    <t>78,No Bonogram Road, Wari, Dhaka</t>
  </si>
  <si>
    <t>Wari</t>
  </si>
  <si>
    <t>Meheruba Samara</t>
  </si>
  <si>
    <t>mmaigenex005</t>
  </si>
  <si>
    <t>Md. Shafiun Shihab</t>
  </si>
  <si>
    <t>shafiunshihab15@gmail.com</t>
  </si>
  <si>
    <t>Shahinur Begum</t>
  </si>
  <si>
    <t>Shanto-Mariam University</t>
  </si>
  <si>
    <t>Ali Azam Bapari</t>
  </si>
  <si>
    <t xml:space="preserve">Area : Gopalpur, Station-Road, Thana: Tongi , Dist :  Gazipur</t>
  </si>
  <si>
    <t>Habiba Jannat Bristy</t>
  </si>
  <si>
    <t>habibajannat19203011@gmail.com</t>
  </si>
  <si>
    <t>Amdadur Rahman</t>
  </si>
  <si>
    <t>BSCE</t>
  </si>
  <si>
    <t>Md. Habibur Rahman</t>
  </si>
  <si>
    <t>House #64, Road #10, Sector 10, Uttara, Dhaka</t>
  </si>
  <si>
    <t>College para Char Rajibpur, Char Rajibpur, Kurigram</t>
  </si>
  <si>
    <t>heibulin32op </t>
  </si>
  <si>
    <t>Pavel Rahman</t>
  </si>
  <si>
    <t>437524/2005</t>
  </si>
  <si>
    <t>ahpavel50@gmail</t>
  </si>
  <si>
    <t>MD Habibur RAHMAN</t>
  </si>
  <si>
    <t>Rehana Akhter</t>
  </si>
  <si>
    <t>House -5, Road - 1, Nikunja- 2, Khilkhet, Dhaka 1229</t>
  </si>
  <si>
    <t>Vill: Amudpur post: Nalbaid Thana: kuliarchar Zilla: Kishoreganj</t>
  </si>
  <si>
    <t>Shabnaj</t>
  </si>
  <si>
    <t>Md. Imran Hossain</t>
  </si>
  <si>
    <t>101764451512011</t>
  </si>
  <si>
    <t>www.imranempire0987@gmail.com</t>
  </si>
  <si>
    <t>MD Rafi bosunia</t>
  </si>
  <si>
    <t xml:space="preserve">BSS </t>
  </si>
  <si>
    <t>Uttar bangla College &amp; University</t>
  </si>
  <si>
    <t>MD Ataur Rahman</t>
  </si>
  <si>
    <t>Most : Mena Begum</t>
  </si>
  <si>
    <t>Nikunjo sec:2 Road no: 16 House no: 35</t>
  </si>
  <si>
    <t>Rangpur, Nilphamari, Domar</t>
  </si>
  <si>
    <t>mmaigenex008</t>
  </si>
  <si>
    <t>Md. Mosiur Rahaman</t>
  </si>
  <si>
    <t>mdmosiurrahaman77@gmail.com</t>
  </si>
  <si>
    <t>Razia Sultana</t>
  </si>
  <si>
    <t>BT0167604</t>
  </si>
  <si>
    <t>Yangzhou University, Jiangsu, China</t>
  </si>
  <si>
    <t>Md. Johurul Islam</t>
  </si>
  <si>
    <t>Most Nabia Parvin</t>
  </si>
  <si>
    <t>Area : House- 15, Road No. - 2, Madhubag, Thana : Dakshinkhan, Dist : Dhaka</t>
  </si>
  <si>
    <t xml:space="preserve">Vill : Gokulnagore, Bipro Halsa, Thana : Natore Sadar,- 6400  Dist : Natore</t>
  </si>
  <si>
    <t>Md. Abir Sheikh</t>
  </si>
  <si>
    <t>Sports &amp; shoes &amp; bags &amp; Special women clothing</t>
  </si>
  <si>
    <t>abirhossain42000@gmail.com</t>
  </si>
  <si>
    <t>Father(Md. Mijanur rahman mojnu sheikh)</t>
  </si>
  <si>
    <t>A12181768</t>
  </si>
  <si>
    <t>Md. Mijanur rahman mojnu sheikh</t>
  </si>
  <si>
    <t>Mrs. Hafiza</t>
  </si>
  <si>
    <t>Houes no-37, Road-khilbarirtake somota sarak, Vhatar-1212.</t>
  </si>
  <si>
    <t>Village- Syedpur, P.O- Syedpur, P.S- Sujanagar, District- Pabna-6682.</t>
  </si>
  <si>
    <t>Genex043</t>
  </si>
  <si>
    <t>Md. Tuhin</t>
  </si>
  <si>
    <t>tuhinahamed57@gmail.com</t>
  </si>
  <si>
    <t>Ismot Ara Begum</t>
  </si>
  <si>
    <t>MD. Takmidur Rahman</t>
  </si>
  <si>
    <t>Vill: Kishamot-harati, P.O: Saptibari, P.S: Lalmonirhat, Dist: Lalmonirhat.</t>
  </si>
  <si>
    <t>BISF Housing Colony, House No: 03, Flat No: 03, Zoo Road, Mirpur-1, Dhaka-1216.</t>
  </si>
  <si>
    <t>Genex121</t>
  </si>
  <si>
    <t>Rakibul Hasan Bappi</t>
  </si>
  <si>
    <t>Temu Batch-24</t>
  </si>
  <si>
    <t>Umme Musfica Arman</t>
  </si>
  <si>
    <t>ishra2308@gmail.com</t>
  </si>
  <si>
    <t>Jahanara Akter</t>
  </si>
  <si>
    <t>S. M. Shacub Uddin</t>
  </si>
  <si>
    <t>House: 1/A, Road: 1, Sector: 5, Uttara, Dhaka</t>
  </si>
  <si>
    <t>House: 1, Road:1/A, Sector: 5 Uttara, Dhaka</t>
  </si>
  <si>
    <t>Tanvir Ahmed</t>
  </si>
  <si>
    <t>Jannat Akter Shathi</t>
  </si>
  <si>
    <t>Ummay Habiba</t>
  </si>
  <si>
    <t>habibahumayera778@gmail.com</t>
  </si>
  <si>
    <t>MD. Abdul Halim Khan</t>
  </si>
  <si>
    <t>Hon"s</t>
  </si>
  <si>
    <t>Md. Abdul Halim Khan</t>
  </si>
  <si>
    <t>Mst. Nurjahan Begum</t>
  </si>
  <si>
    <t>East Chandana 27/8,Gazipur sadar, Gazipur</t>
  </si>
  <si>
    <t>Kuruin, Debidower, Cumilla</t>
  </si>
  <si>
    <t>Gazipur sadar.</t>
  </si>
  <si>
    <t>Genex044</t>
  </si>
  <si>
    <t>Md. Khairul Hasan Badal</t>
  </si>
  <si>
    <t>Khairulhasan947@gmail.com</t>
  </si>
  <si>
    <t>Md Khademul Islam</t>
  </si>
  <si>
    <t>EJ0028649</t>
  </si>
  <si>
    <t>Mst Shamima Islam</t>
  </si>
  <si>
    <t>Konchkory,Nasaratpur,Adamdighi,Bogura</t>
  </si>
  <si>
    <t>West Shawrapara House No 24/A</t>
  </si>
  <si>
    <t>Genex087</t>
  </si>
  <si>
    <t>Mahmud</t>
  </si>
  <si>
    <t>Temu Batch- 21</t>
  </si>
  <si>
    <t>mahmood.md911@gmail.com</t>
  </si>
  <si>
    <t>Mohammad Abul Bashar</t>
  </si>
  <si>
    <t>Eastern university</t>
  </si>
  <si>
    <t>Nahida Yasmin</t>
  </si>
  <si>
    <t>H:22/D, Road:6, mirpur-1, Dhaka</t>
  </si>
  <si>
    <t>Holding -1027, uttar joypara chowdhurypara, dohar, dhaka</t>
  </si>
  <si>
    <t>Marjuka Khan Lisa</t>
  </si>
  <si>
    <t>Genex052</t>
  </si>
  <si>
    <t>Md. Sajjatul Islam</t>
  </si>
  <si>
    <t>sheikhsajjat0389@gmail</t>
  </si>
  <si>
    <t>Md Shahin Alam</t>
  </si>
  <si>
    <t>Md Mofazzol Hossain</t>
  </si>
  <si>
    <t>Julekha Begum</t>
  </si>
  <si>
    <t>Radhakanai,Fulbaria,Mymensingh</t>
  </si>
  <si>
    <t xml:space="preserve"> Area : Board bazar PS: Gazipur sadar Dist : Gazipur</t>
  </si>
  <si>
    <t>Israt Rike</t>
  </si>
  <si>
    <t>rickyisrat@gmail.com</t>
  </si>
  <si>
    <t>Farzana Azgar</t>
  </si>
  <si>
    <t>University of South Asia</t>
  </si>
  <si>
    <t>Aulad Hossain</t>
  </si>
  <si>
    <t>Razia Aulad</t>
  </si>
  <si>
    <t>Area : 596;Shikder Vila;South Manikdi; Madrasa Road;ECB Chattar; Thana: Cantonment Dist : Dhaka</t>
  </si>
  <si>
    <t xml:space="preserve"> Vill : Dargahpara;  Thana : Shahzadpur; Dist : Sirajganj</t>
  </si>
  <si>
    <t>Cantonment</t>
  </si>
  <si>
    <t>Genex020</t>
  </si>
  <si>
    <t>MD MAHBUB HOSSAIN</t>
  </si>
  <si>
    <t>mahbobhossain50@gmail.com</t>
  </si>
  <si>
    <t>MD MOKHLESUR RAHMN</t>
  </si>
  <si>
    <t>A06046234</t>
  </si>
  <si>
    <t>MD MOKHLESUR RAHMAN</t>
  </si>
  <si>
    <t>MST AISHA SIDDIKA</t>
  </si>
  <si>
    <t>Area : Road no-11, House no-k/83, kalachandpur, gulshan-2, dhaka-1212 , Thana : Gulshan Dist : Dhaka</t>
  </si>
  <si>
    <t xml:space="preserve">Village-Arkandi, Post-Arkandi, P/S- Faridpur, 
District -Pabna.</t>
  </si>
  <si>
    <t>Rinki Chakma</t>
  </si>
  <si>
    <t>Temu Batch- 25</t>
  </si>
  <si>
    <t>Genex086</t>
  </si>
  <si>
    <t>Md. Al Mamun Akon</t>
  </si>
  <si>
    <t>mdalmamun5727@gmail.com</t>
  </si>
  <si>
    <t>Md.Badol Akon</t>
  </si>
  <si>
    <t>Mala Begum</t>
  </si>
  <si>
    <t>Nikunja 1/B, House No:20, Dhaka1229</t>
  </si>
  <si>
    <t>Vill:Rajoir, Thana:Sharankhola, Post:Rayenda(9330), District:Bagerhat</t>
  </si>
  <si>
    <t>Md. Saifuzzaman Yead</t>
  </si>
  <si>
    <t>mdyead26@gmail.com</t>
  </si>
  <si>
    <t>Md. Shahiduzzaman</t>
  </si>
  <si>
    <t>Nargis Aktar</t>
  </si>
  <si>
    <t>House: 84, Savar, Dhaka</t>
  </si>
  <si>
    <t>House: 34, Bisshaspara ,Chaugacha -7410 ,Jashore</t>
  </si>
  <si>
    <t>Md. Al Amin Fakir</t>
  </si>
  <si>
    <t>alaminfakir330@gmail.com</t>
  </si>
  <si>
    <t>Sekander Ali Fakir</t>
  </si>
  <si>
    <t>Islamabad fazil Madrasha</t>
  </si>
  <si>
    <t>Rahima Begum</t>
  </si>
  <si>
    <t>Nikunjo 2, Khilkhet, Dhaka</t>
  </si>
  <si>
    <t>Varoshalathi, Bamrail, Wazirpur, Barishal</t>
  </si>
  <si>
    <t>Nikunjo 2</t>
  </si>
  <si>
    <t>Nazmun Naher Dhety</t>
  </si>
  <si>
    <t>Genex091</t>
  </si>
  <si>
    <t>Asifur Rahman</t>
  </si>
  <si>
    <t>asifurrahman3669@gmail.com</t>
  </si>
  <si>
    <t>Md. Younus Ali</t>
  </si>
  <si>
    <t>Dinajpur govt College</t>
  </si>
  <si>
    <t>Mst. Ajija Begum</t>
  </si>
  <si>
    <t>Shajahan road, Towen Hol, Mohammadpur, Dhaka</t>
  </si>
  <si>
    <t>Vill: Tatihat, Post:Dhirganj, UP: Haripur, Dist: Thakurgaon</t>
  </si>
  <si>
    <t>mmaigenex049</t>
  </si>
  <si>
    <t>Md. Abdul Alim</t>
  </si>
  <si>
    <t>alimmondol954@gmail.com</t>
  </si>
  <si>
    <t>Md.Asab Uddin</t>
  </si>
  <si>
    <t>Bhawal Bodre Alom Govt College</t>
  </si>
  <si>
    <t>MD. Asab Uddin</t>
  </si>
  <si>
    <t>Mst. Aklima Khatun</t>
  </si>
  <si>
    <t>Area: Mirpur 12, Block E, Road 6, House 81 ,PS: Mirpur Dist: Dhaka</t>
  </si>
  <si>
    <t>Vill:Thonithonipara, Jadur char ,PS: Rowmari, Dist: Kurigram</t>
  </si>
  <si>
    <t>Genex115</t>
  </si>
  <si>
    <t>Atiqur Rahman</t>
  </si>
  <si>
    <t>Temu Batch- 24</t>
  </si>
  <si>
    <t>arrony012@gmail.com</t>
  </si>
  <si>
    <t>Masuqur Rahman</t>
  </si>
  <si>
    <t>B.Sc in EEE</t>
  </si>
  <si>
    <t>Husna Begum</t>
  </si>
  <si>
    <t>Ward 27 Bakshi-Bazar, Dhaka 1211</t>
  </si>
  <si>
    <t>Road 02 House 01 Burishware, Nasirnagar, Brahmanbaria</t>
  </si>
  <si>
    <t>Bakshi-Bazar</t>
  </si>
  <si>
    <t>Resvi Ahmed</t>
  </si>
  <si>
    <t>Temu Batch- 23</t>
  </si>
  <si>
    <t>resviahamed77@gmail.com</t>
  </si>
  <si>
    <t>RINA AKTER</t>
  </si>
  <si>
    <t>Adamjee Cantonment College</t>
  </si>
  <si>
    <t>JASIM UDDEN JOY</t>
  </si>
  <si>
    <t>H#04,R#3/c,S#09,Uttara,Dhaka</t>
  </si>
  <si>
    <t>Higher study</t>
  </si>
  <si>
    <t>Nazmus Sayadat Tomal</t>
  </si>
  <si>
    <t>MD. KIRON MAHMUD</t>
  </si>
  <si>
    <t>MD. FERDOUS ALAM</t>
  </si>
  <si>
    <t>MST. MAYA PARVIN</t>
  </si>
  <si>
    <t>Vill: Polashbari, PO: Dhamsona, PS: Ashulia, Dist: Dhaka</t>
  </si>
  <si>
    <t>Vill: Charvanudanga, PO: Vanudanga, PS: Kazipur, Dist: Sirajgonj</t>
  </si>
  <si>
    <t>Md.Shamiul Haque</t>
  </si>
  <si>
    <t>shamiulhaque06@gmail.com</t>
  </si>
  <si>
    <t>Md. Shahinul huq</t>
  </si>
  <si>
    <t>Textile</t>
  </si>
  <si>
    <t>Md.Shahinul huq</t>
  </si>
  <si>
    <t>Mst Sayeda hoque</t>
  </si>
  <si>
    <t>179, East rampura, rampura Dhaka, 1219</t>
  </si>
  <si>
    <t>Rampura , Dhaka,1219</t>
  </si>
  <si>
    <t>Genex105</t>
  </si>
  <si>
    <t>Ruhul Amin Tushar</t>
  </si>
  <si>
    <t>ruhulamintushar33@gmail.com</t>
  </si>
  <si>
    <t>Baby Akter</t>
  </si>
  <si>
    <t>20-07-1999</t>
  </si>
  <si>
    <t>B.Tech</t>
  </si>
  <si>
    <t>Jain Deemed To Be University</t>
  </si>
  <si>
    <t>Md. Rofiqul Islam</t>
  </si>
  <si>
    <t>Uttara: Sector-06, Housebuilding, Joynal Market, Uttara, Dhaka-1230</t>
  </si>
  <si>
    <t>Ulushara,Toknoyon Bazar, Kapasia,Gazipur</t>
  </si>
  <si>
    <t>mmaigenex042</t>
  </si>
  <si>
    <t xml:space="preserve">Fatema Jannat </t>
  </si>
  <si>
    <t>fatemajannat916@gmail.com</t>
  </si>
  <si>
    <t>Josna Begum</t>
  </si>
  <si>
    <t>Daughter</t>
  </si>
  <si>
    <t>19953022906007566</t>
  </si>
  <si>
    <t>Feni Govement College</t>
  </si>
  <si>
    <t>Md.Siraj Uddin</t>
  </si>
  <si>
    <t>Jyotsna Begum</t>
  </si>
  <si>
    <t>Area: Ka,225/A,Mariyom Villa,Boatghat,Thana: khilkhet, Dist : Dhaka.</t>
  </si>
  <si>
    <t>Vill : 389/2,Sultanpur,Thana: Feni Sadar , Dist : Feni</t>
  </si>
  <si>
    <t>Istiaque Ahmed</t>
  </si>
  <si>
    <t>istiaqueahamed414@gmail.com</t>
  </si>
  <si>
    <t>Musfiqur Rahman</t>
  </si>
  <si>
    <t>University Of south Asia</t>
  </si>
  <si>
    <t>Hiru Khan</t>
  </si>
  <si>
    <t>Ferdowsi Aktar</t>
  </si>
  <si>
    <t>Uttara,House 4, Road 8, sector 11, Dhaka 1230</t>
  </si>
  <si>
    <t>Pirojpur‚Barisal</t>
  </si>
  <si>
    <t>TanjeenOinty</t>
  </si>
  <si>
    <t>Alif Tanjeen Ointy</t>
  </si>
  <si>
    <t>aliftanjeen1017@gmail.com</t>
  </si>
  <si>
    <t>Taslima Parveen</t>
  </si>
  <si>
    <t>20042692019008588</t>
  </si>
  <si>
    <t>BT0022593</t>
  </si>
  <si>
    <t>BSS in Sociology &amp; Anthropology</t>
  </si>
  <si>
    <t>Shanto-Marium University of Creative Technology</t>
  </si>
  <si>
    <t>A.H.M. Alauddin</t>
  </si>
  <si>
    <t xml:space="preserve">Area : House 4, Qazil Villa, Army Housing Society, Thana : Uttarkhan Dist :  Dhaka.</t>
  </si>
  <si>
    <t>Vill : Rayerbag , Thana : Shah rasti, Dist : Chandpur</t>
  </si>
  <si>
    <t>Study purpose</t>
  </si>
  <si>
    <t>naihe13op</t>
  </si>
  <si>
    <t>Fatema Tuz Johora</t>
  </si>
  <si>
    <t>fatema3447@gmail.com</t>
  </si>
  <si>
    <t>Najmun Nahar</t>
  </si>
  <si>
    <t>MD. Zakir Hossain</t>
  </si>
  <si>
    <t>House-153,Shiyaldanga panir pump,kawlar,Dakkhinkhan, Dhaka-1229.</t>
  </si>
  <si>
    <t>House-130,kawlar shiyal danga,Dakkhinkhan,Dhaka-1229.</t>
  </si>
  <si>
    <t>Dakkhinkhan</t>
  </si>
  <si>
    <t>MD Raihan</t>
  </si>
  <si>
    <t>md.raihanrudro05@gmail.com</t>
  </si>
  <si>
    <t>Md. Mustafizur Rahman</t>
  </si>
  <si>
    <t>Govt' Bangla College</t>
  </si>
  <si>
    <t>dokhin bishil, Mirpur 1</t>
  </si>
  <si>
    <t>Kutubpur, Jessore Sadar</t>
  </si>
  <si>
    <t>heibulin42op</t>
  </si>
  <si>
    <t>Md Shakibul Kawser</t>
  </si>
  <si>
    <t>Temu Batch- 27</t>
  </si>
  <si>
    <t>Personal Issue </t>
  </si>
  <si>
    <t>mmaigenex026</t>
  </si>
  <si>
    <t>Rocky Markos Palma</t>
  </si>
  <si>
    <t>palmarocky19@gmail.com</t>
  </si>
  <si>
    <t>Philip Palma</t>
  </si>
  <si>
    <t>Bhawal Bodre Alam Govt, college Gazipur</t>
  </si>
  <si>
    <t>Ripa Palma</t>
  </si>
  <si>
    <t xml:space="preserve">
House no: 45/6, Vill:Fawkal, P.s: JoudevpOF-1703ur, Dis: Gazipur, P.o: Bof -1703
</t>
  </si>
  <si>
    <t>House no: 45/6Vill:Fawkal, P.s: JoudevpOF-1703ur, Dis: Gazipur, P.o: Bof- 1703</t>
  </si>
  <si>
    <t>Genex141</t>
  </si>
  <si>
    <t>MD Moklesur Rahaman</t>
  </si>
  <si>
    <t>moklesur143@gmail.com</t>
  </si>
  <si>
    <t>Md Munsur Ali</t>
  </si>
  <si>
    <t>(B+)</t>
  </si>
  <si>
    <t>13-06-1997</t>
  </si>
  <si>
    <t>Honors</t>
  </si>
  <si>
    <t>SHAHID M. MANSUR ALI COLLEGE</t>
  </si>
  <si>
    <t>MST Momotaz Parvin</t>
  </si>
  <si>
    <t>KA-142/2/A Khilkhet BotTola,Khilkhet, Dhaka1229</t>
  </si>
  <si>
    <t>Khamar Kodalia, Beruan-6610, Atgharia, Pabna Religion</t>
  </si>
  <si>
    <t>Uttra</t>
  </si>
  <si>
    <t>Singel</t>
  </si>
  <si>
    <t>AjminaEK</t>
  </si>
  <si>
    <t>Ajmina Easmin Khushi</t>
  </si>
  <si>
    <t>Temu Batch- 26</t>
  </si>
  <si>
    <t>ajminaeasmin.gub@gmail.com</t>
  </si>
  <si>
    <t>MST. SHILPY KHATUN</t>
  </si>
  <si>
    <t>B.Sc. Engineering in CSE</t>
  </si>
  <si>
    <t>Md Farid</t>
  </si>
  <si>
    <t>West Shewrapara, 464/2/B, Mirpur-1216, Dhaka</t>
  </si>
  <si>
    <t>Dhankhola, Gangni, Meherpur</t>
  </si>
  <si>
    <t>heibulin43op</t>
  </si>
  <si>
    <t>Moharrom</t>
  </si>
  <si>
    <t>Personal health Issue</t>
  </si>
  <si>
    <t>Riyajul Islam Showrov</t>
  </si>
  <si>
    <t>xisailuo76op</t>
  </si>
  <si>
    <t>Ataul Karim</t>
  </si>
  <si>
    <t>410174/2001-2002</t>
  </si>
  <si>
    <t>ataulkarim1988@gmail.com</t>
  </si>
  <si>
    <t>Sanzana Afroz Shuchi</t>
  </si>
  <si>
    <t>A02968916</t>
  </si>
  <si>
    <t>International Islamic University Chittagong</t>
  </si>
  <si>
    <t>Saleh Ahmed</t>
  </si>
  <si>
    <t>Ranavola, Sector-10, Road-06, House-17(Near Khamarpara,Uttara)</t>
  </si>
  <si>
    <t>1111, Shantidhara R/A, Jakir Hossain Road by Lane, East Nasirabad. Chittagong</t>
  </si>
  <si>
    <t>Ranavola</t>
  </si>
  <si>
    <t>Better oppurtunity</t>
  </si>
  <si>
    <t>heibulin45op</t>
  </si>
  <si>
    <t>Biswajit Sikder</t>
  </si>
  <si>
    <t>kabiraiscu69@gmail.com</t>
  </si>
  <si>
    <t>Md Razzul Al Amin</t>
  </si>
  <si>
    <t>BROTHER</t>
  </si>
  <si>
    <t>UNIVERSITY OF CHITTAGONG</t>
  </si>
  <si>
    <t>MD. ABDUR ROUF</t>
  </si>
  <si>
    <t>MST. SAJEDA KHATUN</t>
  </si>
  <si>
    <t>ABU JAFAR BHUYIAN GONG , HOUSE : 341 , ROAD : NODDAPARA , DAKKHIN KHAN , 1230</t>
  </si>
  <si>
    <t>VILLAGE : JAGTHA SARDAR PARA , P.O : PIRGANJ , P.S : PIRGANJ , DIST : THAKURGAON-5110</t>
  </si>
  <si>
    <t>Dokkhin Khan</t>
  </si>
  <si>
    <t>Mst. Arifa khatun</t>
  </si>
  <si>
    <t>arifakhatun393@gmail.com</t>
  </si>
  <si>
    <t>Md.Ali Hossain</t>
  </si>
  <si>
    <t>19925718795000300</t>
  </si>
  <si>
    <t>Mst.Halima khatun</t>
  </si>
  <si>
    <t>H# 6, R# 8, Lalbagh , Dhaka</t>
  </si>
  <si>
    <t>Vill: Shinghati, P.O : Baradi Bazer, P.S: Meherpur Sader, Dist: Meherpur</t>
  </si>
  <si>
    <t>House-6,Road-8, lalbagh-1211,Dhaka.</t>
  </si>
  <si>
    <t>heibulin20op</t>
  </si>
  <si>
    <t>Md Rafiqul Alam</t>
  </si>
  <si>
    <t>679961/2002</t>
  </si>
  <si>
    <t>rafiqulalam29@gmail.com</t>
  </si>
  <si>
    <t>Tariqul Islam</t>
  </si>
  <si>
    <t>01827940633</t>
  </si>
  <si>
    <t>Younger Brother</t>
  </si>
  <si>
    <t>Kabi Nazrul Govt College</t>
  </si>
  <si>
    <t>Abdur Rahim Sikder</t>
  </si>
  <si>
    <t>105/1, ward No# 68, Baitul Aman Jama Mosque Road, East Hazinagar, Sarulia, Demra, Dhaka(South)-1361</t>
  </si>
  <si>
    <t>Genex157</t>
  </si>
  <si>
    <t>Asim Barai</t>
  </si>
  <si>
    <t>asimbarai01741@gmail.com</t>
  </si>
  <si>
    <t>Lucky Mondol</t>
  </si>
  <si>
    <t>Masters (MSS)</t>
  </si>
  <si>
    <t>Gov. Shahid Suhrawardy College, Dhaka</t>
  </si>
  <si>
    <t>Moti lal Barai</t>
  </si>
  <si>
    <t>Rita Barai</t>
  </si>
  <si>
    <t>House: 06, Road:20, Block: B, Mirpur 11, Pollabi, Dhaka 1216</t>
  </si>
  <si>
    <t>Vill: Shibur, Post: Satla, Upozela: Wazirpur, Zilla: Barishal</t>
  </si>
  <si>
    <t>Mirpur 11</t>
  </si>
  <si>
    <t>Mohammad Ali Rabbi</t>
  </si>
  <si>
    <t>mohammadali731p@gmail.com</t>
  </si>
  <si>
    <t>Rozyna Easmin Rozi</t>
  </si>
  <si>
    <t>Post Graduation Diploma</t>
  </si>
  <si>
    <t>BGMEA University of Fashion &amp; Technology</t>
  </si>
  <si>
    <t>Abdur Rahman Howlader</t>
  </si>
  <si>
    <t>G.P.Cha-159, TV Gate, Mohakhali, Banani, Dhaka</t>
  </si>
  <si>
    <t>Vill: Rajpasha, PS &amp; Dist.: Jhalokati, PO: Shakerhat</t>
  </si>
  <si>
    <t>Personal Reason</t>
  </si>
  <si>
    <t>saddamporamanic@gmail.com</t>
  </si>
  <si>
    <t>Masum Billah</t>
  </si>
  <si>
    <t>Bhawal Badre Alam Govt.College</t>
  </si>
  <si>
    <t>MD. ABER PK</t>
  </si>
  <si>
    <t>RABEA BEGUM</t>
  </si>
  <si>
    <t>Nikunja-2,Road no-05,House no-kha-50,khilkhet,Dhaka-1229.</t>
  </si>
  <si>
    <t>Village: Nachiyarkandi,Kolom nagarpara,post office: kolom-6450,singra,Natore.</t>
  </si>
  <si>
    <t>Fmily Issue(mother's sickness)</t>
  </si>
  <si>
    <t>Genex126</t>
  </si>
  <si>
    <t>Dipta Saha</t>
  </si>
  <si>
    <t>Saharajdip555@gmail.com</t>
  </si>
  <si>
    <t>TRISHNA RANI SAHA</t>
  </si>
  <si>
    <t>SISTER</t>
  </si>
  <si>
    <t>HINDUISM</t>
  </si>
  <si>
    <t>HON'S</t>
  </si>
  <si>
    <t>PULBARIYA COLLAGE</t>
  </si>
  <si>
    <t>SRI SAMAR CHANDRA SAHA</t>
  </si>
  <si>
    <t>SRIMOTI SHIKHA RANI SAHA</t>
  </si>
  <si>
    <t>NIKUNJA-2,,ROAD NO--12,,HOUSE NO---12</t>
  </si>
  <si>
    <t>JASHIDDAR,, FATEMANAGAR,,TRISHAL,,MYMENSHING</t>
  </si>
  <si>
    <t>Education Purpose </t>
  </si>
  <si>
    <t>Genex103</t>
  </si>
  <si>
    <t>Rowshon Jalal Meril</t>
  </si>
  <si>
    <t>jalalmdrowson@gmail.com</t>
  </si>
  <si>
    <t>Mahid Ahmed</t>
  </si>
  <si>
    <t>Varendra University of Rajshahi</t>
  </si>
  <si>
    <t>Monjura Begum</t>
  </si>
  <si>
    <t>Vill:sector 12 post:Uttara ps:uttara poshchim Dist: Dhaka</t>
  </si>
  <si>
    <t>Vill:Ranisankail post:Ranisankail ps:Ranisankail Dist:Thakurgaon</t>
  </si>
  <si>
    <t>Genex158</t>
  </si>
  <si>
    <t>Shakil</t>
  </si>
  <si>
    <t>drraknaim@gmail.com</t>
  </si>
  <si>
    <t>1994261329500010</t>
  </si>
  <si>
    <t>Habibur Rahman</t>
  </si>
  <si>
    <t>Mohammad bag, Rayerbag Dhaka-1362</t>
  </si>
  <si>
    <t>Kodomtoli</t>
  </si>
  <si>
    <t>Genex143</t>
  </si>
  <si>
    <t>Mehedi Hasan Tusuer</t>
  </si>
  <si>
    <t>tusherhasan996@gmail.com</t>
  </si>
  <si>
    <t>mother</t>
  </si>
  <si>
    <t>jagannath University</t>
  </si>
  <si>
    <t>Badsha Mia</t>
  </si>
  <si>
    <t>Hossna Ara</t>
  </si>
  <si>
    <t>khilkhat, noyanagor</t>
  </si>
  <si>
    <t>protaber chor, sonargaon, narayongonj, new town</t>
  </si>
  <si>
    <t>singel</t>
  </si>
  <si>
    <t>FatemaIslam</t>
  </si>
  <si>
    <t>Fatema Islam </t>
  </si>
  <si>
    <t>Shahidu702@gmail.com</t>
  </si>
  <si>
    <t>MD.ABU BAKAR MOLLAH</t>
  </si>
  <si>
    <t>MELL</t>
  </si>
  <si>
    <t>Sheikh Mohammad abdul Motaleb</t>
  </si>
  <si>
    <t>Late - Fozelatun nessa.</t>
  </si>
  <si>
    <t>House 352/16,rayerbag bazar road.kadamtoli, Dhaka 1362.</t>
  </si>
  <si>
    <t>Village: Onnoypor, p.s+ p.o : shibalaya, District : Manikganj.1850.</t>
  </si>
  <si>
    <t>Rayerbag</t>
  </si>
  <si>
    <t>Umme Honey</t>
  </si>
  <si>
    <t>unmehoneyrose@gmail.com</t>
  </si>
  <si>
    <t>Emon Hasan</t>
  </si>
  <si>
    <t>WUB</t>
  </si>
  <si>
    <t>Md.Altab sikder</t>
  </si>
  <si>
    <t>Sajeda begum</t>
  </si>
  <si>
    <t>72/5 sohagi villa,Faidabad Dhaka 1230</t>
  </si>
  <si>
    <t>Tanvir Rahman</t>
  </si>
  <si>
    <t>Md. Mozidul Islam</t>
  </si>
  <si>
    <t>mozidulhasan555@gmail.com</t>
  </si>
  <si>
    <t>Abdul Alim</t>
  </si>
  <si>
    <t>Bhawal Badre Alom Govment College</t>
  </si>
  <si>
    <t>MD.Abul Hashem</t>
  </si>
  <si>
    <t>Mst.Beauti Khatun</t>
  </si>
  <si>
    <t>House-3/E, Road-06, pallabi, Mirpur12</t>
  </si>
  <si>
    <t>vill :thonthonypara, po:jadurchar , Up:Rowmary, Dist:Kurigram</t>
  </si>
  <si>
    <t>Genex123</t>
  </si>
  <si>
    <t>Md Faridul Islam</t>
  </si>
  <si>
    <t>faridulislamfiroz@gmail.com</t>
  </si>
  <si>
    <t>Md. Jalal Uddin</t>
  </si>
  <si>
    <t>O+(ve)</t>
  </si>
  <si>
    <t>B.Sc.</t>
  </si>
  <si>
    <t>Mrs. Firoza khatun</t>
  </si>
  <si>
    <t>House no: 31; Road no: 01; block : D ; Nikunja-2 ; Khilkhet, Dhaka 1229</t>
  </si>
  <si>
    <t>House: Dorjipara ; village: Jotramdhanpur ; Post office: Binnakuri ; Police station: Chirirbandar ; District: Dinajpur.</t>
  </si>
  <si>
    <t>Most. Safifa Mostari</t>
  </si>
  <si>
    <t>Genex096</t>
  </si>
  <si>
    <t>Tarikul Islam</t>
  </si>
  <si>
    <t>tarikul.islam.ru.173@gmail.com</t>
  </si>
  <si>
    <t>Md. Arman Hossain</t>
  </si>
  <si>
    <t>University of Rajshahi</t>
  </si>
  <si>
    <t>Md. Abdus Sattar Sheikh</t>
  </si>
  <si>
    <t>Momotaz Begum</t>
  </si>
  <si>
    <t>Kusarbag,Keraniganj, Dhaka</t>
  </si>
  <si>
    <t>Village:Ghullia, Post:Binodpur, Upazila:Mohammadpur, District:Magura</t>
  </si>
  <si>
    <t>Kusarbag</t>
  </si>
  <si>
    <t>Sadia Khatun</t>
  </si>
  <si>
    <t>Md. Nagmul Hasan Nahid </t>
  </si>
  <si>
    <t>nahidpro825@gmail.com</t>
  </si>
  <si>
    <t>MD Akhteruzzaman</t>
  </si>
  <si>
    <t>Mst Nazmin Akter</t>
  </si>
  <si>
    <t>Vogra. House No 169.National University. Gazipur.</t>
  </si>
  <si>
    <t>Vogra.15 no word. Gazipur.</t>
  </si>
  <si>
    <t>Adnan Jalal</t>
  </si>
  <si>
    <t>ajalal.aj23@gmail.com</t>
  </si>
  <si>
    <t>Shamim C Khan</t>
  </si>
  <si>
    <t>Uniworld College Australia</t>
  </si>
  <si>
    <t>A.K.M. Jalaluddin</t>
  </si>
  <si>
    <t>Area: Bashundhara PO:BAshundhara PS : Vatara Raod 8 House 251-256 apt B2 Block D Dist : Dhaka</t>
  </si>
  <si>
    <t>Area : Banani PO : Banani PS :Banani Road 11 House 38/G DIs: Dhaka</t>
  </si>
  <si>
    <t>Ritu Sheikh</t>
  </si>
  <si>
    <t>Rakibul Islam</t>
  </si>
  <si>
    <t>893237/2007</t>
  </si>
  <si>
    <t>rakib1sub@gmail.com</t>
  </si>
  <si>
    <t>Rayhan Ahmed</t>
  </si>
  <si>
    <t>Tazul Islam</t>
  </si>
  <si>
    <t>Vill: Protaper char, P.O: NewTown, P.S: Sonargaon, Dist: Narayanganj</t>
  </si>
  <si>
    <t>Health issues</t>
  </si>
  <si>
    <t>xisailuo2op</t>
  </si>
  <si>
    <t>Md Nafis Bin Hoque Samin</t>
  </si>
  <si>
    <t>Nafisbinhoque@gmail.com</t>
  </si>
  <si>
    <t>Md. Nurul hoque</t>
  </si>
  <si>
    <t>Nargis Sultana</t>
  </si>
  <si>
    <t>CB-212, Kochukhet, Dhaka Cantonment</t>
  </si>
  <si>
    <t>Family emergency</t>
  </si>
  <si>
    <t>heibulin24op</t>
  </si>
  <si>
    <t>Mohammad Atiqur Rahman </t>
  </si>
  <si>
    <t>md.atiq2011@gmail.com</t>
  </si>
  <si>
    <t>SUMAIYA RAHMAN</t>
  </si>
  <si>
    <t>A05955276</t>
  </si>
  <si>
    <t>GOVT. TONGI COLLEGE</t>
  </si>
  <si>
    <t>MOHAMMAD ABUL KHAIR</t>
  </si>
  <si>
    <t>HOSNEARA KHAIR</t>
  </si>
  <si>
    <t>ROAD # 18, HOUSE # 21 (1ST FLOOR), NIKUNJA-2, KHILKHET, DHAKA-1229.</t>
  </si>
  <si>
    <t>NIKUNJA-2</t>
  </si>
  <si>
    <t>RAIYAN ATIQ</t>
  </si>
  <si>
    <t>Suriya Yeasmin</t>
  </si>
  <si>
    <t>Temu Batch- 28</t>
  </si>
  <si>
    <t>suriyayasmin000@gmail.com</t>
  </si>
  <si>
    <t>01617-878586</t>
  </si>
  <si>
    <t>Salma Khatun</t>
  </si>
  <si>
    <t>+880 1603-309806</t>
  </si>
  <si>
    <t>Muslim</t>
  </si>
  <si>
    <t>BSc in Computer Science and Engineering</t>
  </si>
  <si>
    <t>Green University of Bangladesh.</t>
  </si>
  <si>
    <t>Badar Uddin</t>
  </si>
  <si>
    <t>907, East Shewrapara,Mirpur, Dhaka.</t>
  </si>
  <si>
    <t>Vill: Kazipur, Post: Rajarhat, Jashore Sodor, Jashore.</t>
  </si>
  <si>
    <t>Hasna Hena</t>
  </si>
  <si>
    <t>Temu Batch- 31</t>
  </si>
  <si>
    <t>hena5794@gmail.com</t>
  </si>
  <si>
    <t>Md. Nawez Sharif</t>
  </si>
  <si>
    <t>Md. Abul Hasim</t>
  </si>
  <si>
    <t>162/1 A, West Rampura Dhaka-1219</t>
  </si>
  <si>
    <t>Maddha Barishal, Sannyasi Bazar, Morelganj, Bagerhat.</t>
  </si>
  <si>
    <t>West Rampura</t>
  </si>
  <si>
    <t>heibulin9op</t>
  </si>
  <si>
    <t>Kazol mahmud</t>
  </si>
  <si>
    <t>kazolmahmud16@gmail</t>
  </si>
  <si>
    <t>Nadia Pervin</t>
  </si>
  <si>
    <t>T&amp;T College</t>
  </si>
  <si>
    <t>MD.Belayet Hossain</t>
  </si>
  <si>
    <t>Mst.Shamsunnahar</t>
  </si>
  <si>
    <t>Houde : 23, Road : 3, Block : C, Aftabnagar</t>
  </si>
  <si>
    <t>Vill : Mativanga , Post office : Nazirpur, P/S : Nazirpur , District : Pirojpur</t>
  </si>
  <si>
    <t>Shibly Teresa Gomes</t>
  </si>
  <si>
    <t>Ajitagomes01122016@gmail.com</t>
  </si>
  <si>
    <t>Prodip Gomes</t>
  </si>
  <si>
    <t>7612234865852</t>
  </si>
  <si>
    <t>Anil Gomes</t>
  </si>
  <si>
    <t>Mongoli Gomes</t>
  </si>
  <si>
    <t>71/1,kalachadpur,Gulshan Dhaka 1212</t>
  </si>
  <si>
    <t>Chatmohor, pabna</t>
  </si>
  <si>
    <t>Kalachadpur</t>
  </si>
  <si>
    <t>27/07/1977</t>
  </si>
  <si>
    <t>Apshori Gomes</t>
  </si>
  <si>
    <t>naihe26op</t>
  </si>
  <si>
    <t>Fowara Pervin</t>
  </si>
  <si>
    <t>fowara.pervin@gmail.com</t>
  </si>
  <si>
    <t>Delara Pervin</t>
  </si>
  <si>
    <t>19928210719000200</t>
  </si>
  <si>
    <t>Govt.Rajendra College, Faridpur</t>
  </si>
  <si>
    <t>Md.Maijuddin Sheikh</t>
  </si>
  <si>
    <t>Salina Khatun</t>
  </si>
  <si>
    <t>H-Madhumoti Tower 17/6, alabdirtech, dhaka cantonment,Ps: Pallabi,Dis:Dhaka</t>
  </si>
  <si>
    <t>Vill:Baliakandi, Ps:Baliakandi, Dis:Rajbari</t>
  </si>
  <si>
    <t>naihe30op</t>
  </si>
  <si>
    <t>Musfika Mahazabin Ishra</t>
  </si>
  <si>
    <t>98 56 18</t>
  </si>
  <si>
    <t>ishrasultana30@gmail</t>
  </si>
  <si>
    <t>Sultana Afroza Lubna</t>
  </si>
  <si>
    <t>150 263 9014</t>
  </si>
  <si>
    <t>A07521261</t>
  </si>
  <si>
    <t>Md. Mezba Uddin Ahmed</t>
  </si>
  <si>
    <t>D-8, C, 10 Dakhhin Cayabithi, Gazipur, PC-1700</t>
  </si>
  <si>
    <t>412/1 Noyatola Modhubag,Shantinagar, Rammna, TSO-1217</t>
  </si>
  <si>
    <t>Dakhhin Cayabithi</t>
  </si>
  <si>
    <t>Arafha Rahman Arabi</t>
  </si>
  <si>
    <t>arabiarafa79@gmail.com</t>
  </si>
  <si>
    <t>Md Imtiajur Rahman</t>
  </si>
  <si>
    <t>BBA Hon’s</t>
  </si>
  <si>
    <t>SK.Burhanuddin College,Dhaka</t>
  </si>
  <si>
    <t>Jahada Rahman</t>
  </si>
  <si>
    <t>57 No.Khaje Dewan 1st Lane,Lalbag,Dhaka(Rozi Villah-5th floor)</t>
  </si>
  <si>
    <t>16 No.Kumartuli Lane,Islampur,Dhaka</t>
  </si>
  <si>
    <t>Lalbag</t>
  </si>
  <si>
    <t>Takia Tabassum</t>
  </si>
  <si>
    <t>takiatabassumst80@gmail.com</t>
  </si>
  <si>
    <t>Nargis Banu</t>
  </si>
  <si>
    <t>Md.Khairul Bashar</t>
  </si>
  <si>
    <t>House 45 road 2 block c mirpur 12</t>
  </si>
  <si>
    <t>House 18 Road 22 Rupnaga R/A dhaka 1216</t>
  </si>
  <si>
    <t>Genex167</t>
  </si>
  <si>
    <t>A. T. M Junaidur Rahaman Chawdhury</t>
  </si>
  <si>
    <t>rahmanjunaid03@gmail.com</t>
  </si>
  <si>
    <t>A T M Sainur Rahman</t>
  </si>
  <si>
    <t>Hajee Mohammad Danesh Science and Technology University</t>
  </si>
  <si>
    <t>A.T.M Sainun Rahman</t>
  </si>
  <si>
    <t>Mst. Johura Begum</t>
  </si>
  <si>
    <t>F# 08( 5th Floor), R# 18, Khilkhet, Nikunjo-2</t>
  </si>
  <si>
    <t>Purbopara, Gaibandha</t>
  </si>
  <si>
    <t>Kilkhet</t>
  </si>
  <si>
    <t xml:space="preserve"> xushiyu1op</t>
  </si>
  <si>
    <t>Umme Barira Milky</t>
  </si>
  <si>
    <t>Bariramilky@gmail.com</t>
  </si>
  <si>
    <t>A.k.M. Sakib Hossain</t>
  </si>
  <si>
    <t>Md. Arif Milky</t>
  </si>
  <si>
    <t>Mst. Rubi Begum</t>
  </si>
  <si>
    <t>House- 107/1, Area: Baruntak; Thana: Pallabi; Dist: Dhaka.</t>
  </si>
  <si>
    <t>Vill: Darikandi; Thana: Bancharampur; Dist: B- Baria</t>
  </si>
  <si>
    <t>Cantt.</t>
  </si>
  <si>
    <t>Akhi Khanom</t>
  </si>
  <si>
    <t>Temu Batch- 32</t>
  </si>
  <si>
    <t>Unathourized Absent</t>
  </si>
  <si>
    <t>Mitusree Biswas</t>
  </si>
  <si>
    <t>mmaigenex012</t>
  </si>
  <si>
    <t>Shakila Parvin Sima</t>
  </si>
  <si>
    <t>shakilaparvinsima@gmail.com</t>
  </si>
  <si>
    <t>Nilima Shamsi</t>
  </si>
  <si>
    <t>MD.Saidur Rahman</t>
  </si>
  <si>
    <t xml:space="preserve">Parchim Arichpur 
Monnu Nagar, 1710 
1 No Monsur Ali Road, Tongi-Gazipur</t>
  </si>
  <si>
    <t>heibulin15op</t>
  </si>
  <si>
    <t>Jesmin Khatun</t>
  </si>
  <si>
    <t>Temu Batch- 29</t>
  </si>
  <si>
    <t>Jesminkhatun2588@gmail.com</t>
  </si>
  <si>
    <t>Titumir College</t>
  </si>
  <si>
    <t>Md.Abdul Jolil</t>
  </si>
  <si>
    <t>Airport dokhin khan,bidurpara, Dhaka -1230 house no-63</t>
  </si>
  <si>
    <t>Dokhin kupariyabari, kazipur,sirajgonj</t>
  </si>
  <si>
    <t>Md.Johurul Islam</t>
  </si>
  <si>
    <t>Genex114</t>
  </si>
  <si>
    <t>Md. Azim Miah</t>
  </si>
  <si>
    <t>azimmiah@321gmail.com</t>
  </si>
  <si>
    <t>Anjuman Ara Begum</t>
  </si>
  <si>
    <t>B.sc. in Textile Engineering</t>
  </si>
  <si>
    <t>World University of bangladesh</t>
  </si>
  <si>
    <t>Md. Abul khaer</t>
  </si>
  <si>
    <t>House no.89,Nihondo,shibaloya,Manikganj</t>
  </si>
  <si>
    <t>House no.89,Nihondo,shibaloya,Manikganj.</t>
  </si>
  <si>
    <t>Manikganj</t>
  </si>
  <si>
    <t>xisailuo22op</t>
  </si>
  <si>
    <t>Farzana Rahman Kona</t>
  </si>
  <si>
    <t>kona4690@gmail.com</t>
  </si>
  <si>
    <t>Kazi Atiqul Alam</t>
  </si>
  <si>
    <t>A06837372</t>
  </si>
  <si>
    <t>Eden Mahila College</t>
  </si>
  <si>
    <t>A K M MOTIUR RAHMAN</t>
  </si>
  <si>
    <t>REHANA BEGUM</t>
  </si>
  <si>
    <t>Ka-147/15, Nayanagar, Khilkhet, Dhaka</t>
  </si>
  <si>
    <t>201, J. N. Shaha Road, Lalbag, Dhaka</t>
  </si>
  <si>
    <t>KAZI ATIQUL ALAM</t>
  </si>
  <si>
    <t>Genex199</t>
  </si>
  <si>
    <t>Temu Batch- 30</t>
  </si>
  <si>
    <t>Genex206</t>
  </si>
  <si>
    <t>S A M Zubair</t>
  </si>
  <si>
    <t>samjubair.raj@gmail.com</t>
  </si>
  <si>
    <t>Muzahid</t>
  </si>
  <si>
    <t>A14502604</t>
  </si>
  <si>
    <t>MD. SHALEM REZA</t>
  </si>
  <si>
    <t>SELENA KHATUN</t>
  </si>
  <si>
    <t>Hous#7, Road 3, Section 13, Mirpur, Dhaka</t>
  </si>
  <si>
    <t>LANGALJHARA, KALAROA, SATKHIRA</t>
  </si>
  <si>
    <t>Genex237</t>
  </si>
  <si>
    <t>Himel Rahman Joy</t>
  </si>
  <si>
    <t>BGPG</t>
  </si>
  <si>
    <t>Temu Batch- 33</t>
  </si>
  <si>
    <t>joysharkar201@gmail.com</t>
  </si>
  <si>
    <t>0163570320</t>
  </si>
  <si>
    <t>Md Sharkar</t>
  </si>
  <si>
    <t>Nation university</t>
  </si>
  <si>
    <t>Md sajal</t>
  </si>
  <si>
    <t>Mst nur jahan</t>
  </si>
  <si>
    <t>mirpur-1</t>
  </si>
  <si>
    <t>panchagar</t>
  </si>
  <si>
    <t>naihe65op</t>
  </si>
  <si>
    <t>Tahmina Siddique Liza</t>
  </si>
  <si>
    <t>tahmina.liza9046@gmail.com</t>
  </si>
  <si>
    <t>Jaheda Begum</t>
  </si>
  <si>
    <t>World University of Bangladesh.</t>
  </si>
  <si>
    <t>Md. Siddiqur Rahman</t>
  </si>
  <si>
    <t>547/1 Gawair, Dakkhin Khan, Uttara Dhaka 1230.</t>
  </si>
  <si>
    <t>Khujoshripur, Gunoboti, Chouddogram Cumilla.</t>
  </si>
  <si>
    <t>547/1 Gawair, Dakkhin Khan, Uttara Dhaka</t>
  </si>
  <si>
    <t>Genex144</t>
  </si>
  <si>
    <t>Abirul Islam Rony</t>
  </si>
  <si>
    <t>sikderrony779@gmail.com</t>
  </si>
  <si>
    <t>01716-056673</t>
  </si>
  <si>
    <t>01745-007226</t>
  </si>
  <si>
    <t>Md. Shajahan Sikder</t>
  </si>
  <si>
    <t>Kohinur Begum</t>
  </si>
  <si>
    <t>Deloyara Monjil, (House no -821), Faydabadh Goalteak, Arafa school road, Dokkhinkhan, Uttara, Dhaka</t>
  </si>
  <si>
    <t>Barunbaria, Marichbunia, Patuakhali Sadar , Patuakhali-8600</t>
  </si>
  <si>
    <t>Genex019</t>
  </si>
  <si>
    <t>Rakib Hasan Surid</t>
  </si>
  <si>
    <t>surid.hasan@gmail.com</t>
  </si>
  <si>
    <t>Abdus Salam</t>
  </si>
  <si>
    <t>Sahida Akter</t>
  </si>
  <si>
    <t>Area : H-1,R-2, nurerchala bazar, Thana : vatara, Dist : Dhaka</t>
  </si>
  <si>
    <t>House : 202,west Area : Dawbog, Thana : Narayangonj Sadar , Dist : Narayangonj</t>
  </si>
  <si>
    <t>Genex235</t>
  </si>
  <si>
    <t>Mohammad Humyun Kabir</t>
  </si>
  <si>
    <t>Genex176</t>
  </si>
  <si>
    <t>Md Kausar Ahammed</t>
  </si>
  <si>
    <t>mdrm1278@gmail.com</t>
  </si>
  <si>
    <t>Abul Kashem</t>
  </si>
  <si>
    <t>no</t>
  </si>
  <si>
    <t>23/09/1995</t>
  </si>
  <si>
    <t>University of Development Alternative</t>
  </si>
  <si>
    <t>Bibi Kulsum</t>
  </si>
  <si>
    <t>163/9, Shahid Nagor, 2 no Road, Lalbagh, Dhaka-1211</t>
  </si>
  <si>
    <t>Lalbagh</t>
  </si>
  <si>
    <t>Genex218</t>
  </si>
  <si>
    <t>Ananta Das</t>
  </si>
  <si>
    <t>heibulin23op</t>
  </si>
  <si>
    <t>Imran Uddin Chowdhury</t>
  </si>
  <si>
    <t>chowdhuryimran262@gmail.com</t>
  </si>
  <si>
    <t>kafian pasha Chowdhury</t>
  </si>
  <si>
    <t>Isrut Jahan</t>
  </si>
  <si>
    <t>Mirpur-1, Tollarbag</t>
  </si>
  <si>
    <t>Gonapara, Sherpur sadar, sherpur</t>
  </si>
  <si>
    <t>Subarna Mitra</t>
  </si>
  <si>
    <t>subarnamitra2201@gmail.com</t>
  </si>
  <si>
    <t>kajal Rani Mitra</t>
  </si>
  <si>
    <t>Lalmatia Gvt Mohila college</t>
  </si>
  <si>
    <t>Late:Nitya gopal mitra</t>
  </si>
  <si>
    <t>Shapno nir 3rd floor ,Mukterbari road, tongi, gazipur</t>
  </si>
  <si>
    <t>Vill: baroikandi, p/o : Barkota p/s : Daudkandi.dis: cumilla</t>
  </si>
  <si>
    <t xml:space="preserve"> Tongi,</t>
  </si>
  <si>
    <t>Sujan Chandra Roy</t>
  </si>
  <si>
    <t>Genex222</t>
  </si>
  <si>
    <t>MD Shahariar</t>
  </si>
  <si>
    <t>Genex162</t>
  </si>
  <si>
    <t>Mosharof Hossen</t>
  </si>
  <si>
    <t>tusharahmed911@gmail.com</t>
  </si>
  <si>
    <t>MD.NURUL ISLAM</t>
  </si>
  <si>
    <t>MRS,ROZINA AKTER</t>
  </si>
  <si>
    <t>KHILKHET,DHAKA,1229</t>
  </si>
  <si>
    <t>Lucky Mondil</t>
  </si>
  <si>
    <t>Sanjeda Khanom</t>
  </si>
  <si>
    <t>Temu Batch- 35</t>
  </si>
  <si>
    <t>sanjidakhanom27@gmail.com</t>
  </si>
  <si>
    <t>Myself</t>
  </si>
  <si>
    <t>EB0996883</t>
  </si>
  <si>
    <t>Sheddeswari College, Dhaka</t>
  </si>
  <si>
    <t>Prodip Saha</t>
  </si>
  <si>
    <t>Smrity Saha</t>
  </si>
  <si>
    <t>Mohammadur, Dhaka</t>
  </si>
  <si>
    <t>Nabinagar, Brahmanbaria</t>
  </si>
  <si>
    <t>Mohammadia Housing Limited, RD-6, H- 202/I</t>
  </si>
  <si>
    <t>illness issue</t>
  </si>
  <si>
    <t>Seuly</t>
  </si>
  <si>
    <t>Afrin nesa monika</t>
  </si>
  <si>
    <t>afrinnesa25@gmail.com</t>
  </si>
  <si>
    <t>Md. Fahim</t>
  </si>
  <si>
    <t>Lalmatia Mohila College</t>
  </si>
  <si>
    <t>Aslam Hosen Gazi</t>
  </si>
  <si>
    <t>Shayka Begum Tania</t>
  </si>
  <si>
    <t>House- 10, Road- 08, Block- E, Section- 12, Pallabi, Mirpur, Dhaka- 1216</t>
  </si>
  <si>
    <t>House- 21/3, Road- 04, Block- E, Section- 12, Pallabi, Mirpur, Dhaka- 1216</t>
  </si>
  <si>
    <t>Md Fahim</t>
  </si>
  <si>
    <t>25-02-1998</t>
  </si>
  <si>
    <t>Ayman Akif Aahil</t>
  </si>
  <si>
    <t>Aklima Kabir</t>
  </si>
  <si>
    <t>Genex152</t>
  </si>
  <si>
    <t>MD Tufael Ahmed</t>
  </si>
  <si>
    <t>mdtufaelahmed1@gmail.com</t>
  </si>
  <si>
    <t>Muslin Uddin</t>
  </si>
  <si>
    <t>Sunamgonj govt college</t>
  </si>
  <si>
    <t>Muslin uddin</t>
  </si>
  <si>
    <t>Rubia Akter</t>
  </si>
  <si>
    <t>710, west Nakhalpara, tejgaon, Dhaka</t>
  </si>
  <si>
    <t>Vill - Suresnogar , POst - Meruakhala , Thana - Bishwamberpur , Dist - Sunamgonj.</t>
  </si>
  <si>
    <t>heibulin8op</t>
  </si>
  <si>
    <t>Sheikh Prity Akter</t>
  </si>
  <si>
    <t>muntakimchaite@gmail.com</t>
  </si>
  <si>
    <t>Shayanti Das</t>
  </si>
  <si>
    <t>WaliNewaz Khan College, Kishorganj</t>
  </si>
  <si>
    <t>Madhab Govinda Das</t>
  </si>
  <si>
    <t>Putul Das</t>
  </si>
  <si>
    <t>Road no : 9, house no : 27, Nikunjo 2,khilkhet,1212</t>
  </si>
  <si>
    <t>165,Sabujbagh,Chorsholakia,Kishoreganj pourosova,Kishorganj sadar,Dhaka</t>
  </si>
  <si>
    <t>Sheikh Mahafujur Rahman</t>
  </si>
  <si>
    <t>Md. Sahriar Hasan Sami</t>
  </si>
  <si>
    <t>sahriarhasansami3@gmail.com</t>
  </si>
  <si>
    <t>Nargis Parvin</t>
  </si>
  <si>
    <t>University of Information Technology And Sciences (UITS)</t>
  </si>
  <si>
    <t>Abdullah Yusuf Haroon</t>
  </si>
  <si>
    <t>House no: 101, Block: B, Road no: 07, Po: Khilgaon TSO - 1219, South Banasree, Dhaka</t>
  </si>
  <si>
    <t>Vill &amp; Po: Gokulkhali, P.s: Alamdanga, Dist: Chuadanga</t>
  </si>
  <si>
    <t>South Banasree</t>
  </si>
  <si>
    <t>Saddam218386@gmail.com</t>
  </si>
  <si>
    <t>Rasel</t>
  </si>
  <si>
    <t>Roommate</t>
  </si>
  <si>
    <t>Syed Ahmed College Bogura</t>
  </si>
  <si>
    <t>Mst.Sajeda begum</t>
  </si>
  <si>
    <t>Chandartech,kaola,khilkhet.</t>
  </si>
  <si>
    <t>Vill: Rampura,Post:Sapmara,Upozela:Gobindaganj, district:Gaibandha.</t>
  </si>
  <si>
    <t>Kaola</t>
  </si>
  <si>
    <t>Md Toufik Ahmed</t>
  </si>
  <si>
    <t>toufik4928@gmail.com</t>
  </si>
  <si>
    <t>md. rasel</t>
  </si>
  <si>
    <t>CSC</t>
  </si>
  <si>
    <t>MD.Tusleam Uddin</t>
  </si>
  <si>
    <t>Monoara begum</t>
  </si>
  <si>
    <t>house#09,rod no 2, section c,mirpur- 6 Dhakaa</t>
  </si>
  <si>
    <t>Village:Uttar Shalonder Shapara, Post office:Shorder Para, Upazilla:Parbotipur, District:Dinajpur</t>
  </si>
  <si>
    <t>heibulin22op</t>
  </si>
  <si>
    <t>Md. Al Amin Khan</t>
  </si>
  <si>
    <t>akronokofficial@gmail.com</t>
  </si>
  <si>
    <t>Md Rezaul bari Khan</t>
  </si>
  <si>
    <t>19965027909000000</t>
  </si>
  <si>
    <t>Mst Rehana Pervin</t>
  </si>
  <si>
    <t>Jamburar Tak shylmon station road Tongi Gazipur</t>
  </si>
  <si>
    <t>84 Sahid Yaqub Road Aruapara Kushtia</t>
  </si>
  <si>
    <t>beilei297op</t>
  </si>
  <si>
    <t>Kamrun Nahar Liza</t>
  </si>
  <si>
    <t>lizashikdar090@gmail.com</t>
  </si>
  <si>
    <t>A07184441</t>
  </si>
  <si>
    <t>MA In ELT</t>
  </si>
  <si>
    <t>Harun or Rashid Sikdar</t>
  </si>
  <si>
    <t>Ummea Salma</t>
  </si>
  <si>
    <t>Gazipura 27,kazibari road sikdar market,tongi gazipur</t>
  </si>
  <si>
    <t>Gazipura,ward:50</t>
  </si>
  <si>
    <t>Md. Kamrul Hasan Tanvir</t>
  </si>
  <si>
    <t>tanvir.cse561@gmail.com</t>
  </si>
  <si>
    <t>Tahmina Kabir Mukta</t>
  </si>
  <si>
    <t>Md. Kabir Ahmed Bhuiyan</t>
  </si>
  <si>
    <t>Taslima Begum Beauty</t>
  </si>
  <si>
    <t xml:space="preserve">House No. : 1595 37C 
Kunia,Mirza Ebrahim Road 
Gacha,Gazipur</t>
  </si>
  <si>
    <t>Vill : Dhanua Post Office : Shibpur District : Narsingdi</t>
  </si>
  <si>
    <t>Sharmin Khanam</t>
  </si>
  <si>
    <t>sharminkhanampapia@gmail.com</t>
  </si>
  <si>
    <t>Jomila Khatun</t>
  </si>
  <si>
    <t>A(+)ve</t>
  </si>
  <si>
    <t>MD. Shahjahan Ali</t>
  </si>
  <si>
    <t>Ka 36/1, Hridoy Cottage, Shahajadpur, Gulshan 2, Dhaka - 1212</t>
  </si>
  <si>
    <t>Rudrogati, Rajman, Ullapara, Sirajganj</t>
  </si>
  <si>
    <t>FatemaBanu</t>
  </si>
  <si>
    <t>Fatema Banu</t>
  </si>
  <si>
    <t>fatemabanucseuu@gmail.com</t>
  </si>
  <si>
    <t>Rakib Hasan</t>
  </si>
  <si>
    <t>A02020459</t>
  </si>
  <si>
    <t>C.S.C</t>
  </si>
  <si>
    <t>Md. Sekendar Ali</t>
  </si>
  <si>
    <t>Doly Begum</t>
  </si>
  <si>
    <t>Area : Faidabaad , Abdullahpur, Thana: Dakkhin khan Dist : Dhaka</t>
  </si>
  <si>
    <t>Vill : Bosontopur , Thana : Bodolgachi Dist: Noagaon</t>
  </si>
  <si>
    <t>Abdullahpur</t>
  </si>
  <si>
    <t>Longtime Absenteeism</t>
  </si>
  <si>
    <t>Befa Rahman</t>
  </si>
  <si>
    <t>Temu Batch- 34</t>
  </si>
  <si>
    <t>bifa016@gmail.com</t>
  </si>
  <si>
    <t>FAZLUL HAQUE MAHILA COLLEGE,DHAKA</t>
  </si>
  <si>
    <t>HABIBUR RAHMAN</t>
  </si>
  <si>
    <t>RINA BEGUM</t>
  </si>
  <si>
    <t>101/7GANDARIA HIGH SCHOOL</t>
  </si>
  <si>
    <t>54.HEMONDRO DAS ROAD</t>
  </si>
  <si>
    <t>SUTRAPUR</t>
  </si>
  <si>
    <t>RIAJ AHMED</t>
  </si>
  <si>
    <t>naihe19op</t>
  </si>
  <si>
    <t>job.tanvirahmed@gmail.com</t>
  </si>
  <si>
    <t>Beanibazar Govt. College</t>
  </si>
  <si>
    <t>MD. Abdul Basit</t>
  </si>
  <si>
    <t>Mrs. Sultana Begum</t>
  </si>
  <si>
    <t>189, wapda rd, ullan, west rampura</t>
  </si>
  <si>
    <t>Uttar Chakrabani, Kakura, Charkhai, Beanibazar, Sylhet</t>
  </si>
  <si>
    <t>heibulin46op</t>
  </si>
  <si>
    <t>rokibulislamsojib8@gmail.com</t>
  </si>
  <si>
    <t>MD.ABDUR RAHMAN</t>
  </si>
  <si>
    <t>FATHERS</t>
  </si>
  <si>
    <t>B00833131</t>
  </si>
  <si>
    <t>DU</t>
  </si>
  <si>
    <t>MST.SELINA BEGUM</t>
  </si>
  <si>
    <t>Home:701/ground floor ,Manikdi Shobuj Shatar goli,P/o:Dhaka cantonment1206 Thana:Cantonment District :Dhaka</t>
  </si>
  <si>
    <t>Home:Cithulia P/o:Dewan Tartia-6772 thana:Shahjadpur District:Sirajganj</t>
  </si>
  <si>
    <t xml:space="preserve">CANTONMENT </t>
  </si>
  <si>
    <t>xisailuo21op</t>
  </si>
  <si>
    <t>Md. Shibly Sharia</t>
  </si>
  <si>
    <t>shiblyss9363@gmail.com</t>
  </si>
  <si>
    <t>Md.Enamul Huque</t>
  </si>
  <si>
    <t>European university of bangladesh</t>
  </si>
  <si>
    <t>Mrs.Jobaida Khanom</t>
  </si>
  <si>
    <t>Uttor Auchpara,Nishat Nagar,Tongi,Gazipur.</t>
  </si>
  <si>
    <t>Bolidapara,Noldanga,Kaliganj,Jhenaidah.</t>
  </si>
  <si>
    <t>xisailuo36op</t>
  </si>
  <si>
    <t>Md. Al-Amin</t>
  </si>
  <si>
    <t>hmalamin.ag@gmail.com</t>
  </si>
  <si>
    <t>Masters in Science</t>
  </si>
  <si>
    <t>Bangladesh Agricultural University</t>
  </si>
  <si>
    <t>Md. Hasen Ali</t>
  </si>
  <si>
    <t>Mrs. Rubia Begum</t>
  </si>
  <si>
    <t>Block-C, Section-13, Mirpur, Dhaka-1216</t>
  </si>
  <si>
    <t>Village: Dakshin kumariabari, Post: kumariabari (2055), Upozila: kazipur, District: Sirajganj</t>
  </si>
  <si>
    <t>5 june, 2002</t>
  </si>
  <si>
    <t>beilei326op</t>
  </si>
  <si>
    <t>Orittri</t>
  </si>
  <si>
    <t>orittribarua82@gmail.com</t>
  </si>
  <si>
    <t>Biddut baran barua</t>
  </si>
  <si>
    <t>16/12/1999</t>
  </si>
  <si>
    <t>Buddhist</t>
  </si>
  <si>
    <t>Honor's</t>
  </si>
  <si>
    <t>Biddut Baran Barua</t>
  </si>
  <si>
    <t>Bina Rani Barua</t>
  </si>
  <si>
    <t>Joar shahara bazar road, Vatara, Dhaka.</t>
  </si>
  <si>
    <t>Vill: Fothenagar P.S: Joara Dist: Chittagong</t>
  </si>
  <si>
    <t>N/Al</t>
  </si>
  <si>
    <t>Genex049</t>
  </si>
  <si>
    <t>Sujit Mondol</t>
  </si>
  <si>
    <t>sujitm155@gmail.com</t>
  </si>
  <si>
    <t>Somoresh Mondal</t>
  </si>
  <si>
    <t>Satkhira City college</t>
  </si>
  <si>
    <t>Jago Bandhu Mondal</t>
  </si>
  <si>
    <t>Anjali Mondal</t>
  </si>
  <si>
    <t>Komorpur, Dhulihor, Satkhira,Kkhulna</t>
  </si>
  <si>
    <t>991/1/A, Monipur, Mirpur 2, Dhaka</t>
  </si>
  <si>
    <t xml:space="preserve"> Mirpur 2</t>
  </si>
  <si>
    <t>MdHasan</t>
  </si>
  <si>
    <t>Md Ariful Hasan</t>
  </si>
  <si>
    <t>arfhsanim@gmail.com</t>
  </si>
  <si>
    <t>Md Abdul Hannan</t>
  </si>
  <si>
    <t>A11398531</t>
  </si>
  <si>
    <t>Umma Hafiza Alen</t>
  </si>
  <si>
    <t>Aarea: Khilkhet bazar PO: khilkhet Dist: Dhaka</t>
  </si>
  <si>
    <t>Vill: East Kashipur PO: Jaypur PS: Homna Dist: Comilla</t>
  </si>
  <si>
    <t>heibulin34op</t>
  </si>
  <si>
    <t>Md. Yasin Arafat</t>
  </si>
  <si>
    <t>easinjr75@gmail.com</t>
  </si>
  <si>
    <t>Graduation (CSE)</t>
  </si>
  <si>
    <t>MD. Abdul Mannan Biswas</t>
  </si>
  <si>
    <t>Mst Rubiya Begum</t>
  </si>
  <si>
    <t>H-68,R-17,S-11, Uttara Dhaka 1231</t>
  </si>
  <si>
    <t>Vill- Dhormogong ,PO-Vhatikoya, PS- Bera,DIST- Pabna</t>
  </si>
  <si>
    <t>Bithi Chowdury</t>
  </si>
  <si>
    <t>Nadia Khan Oney</t>
  </si>
  <si>
    <t>getnadiakhan@gmail</t>
  </si>
  <si>
    <t>Nilufar</t>
  </si>
  <si>
    <t>O (+)</t>
  </si>
  <si>
    <t>Nazim Uddin Khan</t>
  </si>
  <si>
    <t>Nilufar Khan</t>
  </si>
  <si>
    <t>58/B, 3rd Colony Lalkuthi, Mirpur Dhaka-1216</t>
  </si>
  <si>
    <t>Genex231</t>
  </si>
  <si>
    <t>Sayed Sabbir Ahmed</t>
  </si>
  <si>
    <t xml:space="preserve">Fixed </t>
  </si>
  <si>
    <t>ahamedsabbir058@gmil.com</t>
  </si>
  <si>
    <t>sayed sabbir ahmed</t>
  </si>
  <si>
    <t>Sayed ahsan jubair</t>
  </si>
  <si>
    <t>Bsc in Math</t>
  </si>
  <si>
    <t>Govt.titumir College</t>
  </si>
  <si>
    <t>Mst.shilpi shahnaj</t>
  </si>
  <si>
    <t>Dokhin para,Mohakhali,Dhaka-1212</t>
  </si>
  <si>
    <t>Guagram fakir Para,Panchpir,Boda,Panchagarh</t>
  </si>
  <si>
    <t>Asma akhter</t>
  </si>
  <si>
    <t>Bobita Mojumdar</t>
  </si>
  <si>
    <t>Identification of same Product</t>
  </si>
  <si>
    <t>heibulin70op</t>
  </si>
  <si>
    <t>Monika Akter</t>
  </si>
  <si>
    <t xml:space="preserve">Asif Iqbal </t>
  </si>
  <si>
    <t>Monikaakter6426@gmail.com</t>
  </si>
  <si>
    <t>N A</t>
  </si>
  <si>
    <t>Md. Jasim Uddin</t>
  </si>
  <si>
    <t>2021-2022</t>
  </si>
  <si>
    <t>Md.Abdul Gofur</t>
  </si>
  <si>
    <t>Vill : Eastarichpur , P.O : Monnunagar ,P.S :Tongi , Dist: Gazipur</t>
  </si>
  <si>
    <t>vill : Baroghoria ,P.O : Dostonabad , P.S : Natore Sader , Dist : Natore</t>
  </si>
  <si>
    <t>Md.Jasim Uddin</t>
  </si>
  <si>
    <t>Mst. Shirina Akter</t>
  </si>
  <si>
    <t>Sudip Saha</t>
  </si>
  <si>
    <t>Identification of the same products</t>
  </si>
  <si>
    <t>Ashraful Haque</t>
  </si>
  <si>
    <t>shudipsaha4@gmail.com</t>
  </si>
  <si>
    <t>Sharmin Akter Semu</t>
  </si>
  <si>
    <t>Md Asraful Hoque</t>
  </si>
  <si>
    <t>sharminshimu505@gmail.com</t>
  </si>
  <si>
    <t>Sabyan</t>
  </si>
  <si>
    <t>Genex252</t>
  </si>
  <si>
    <t>Mohammad Ibrahim</t>
  </si>
  <si>
    <t>ibrahimjanyblgp@gmail.com</t>
  </si>
  <si>
    <t>mohammad faruk</t>
  </si>
  <si>
    <t>Govt. Bangla college</t>
  </si>
  <si>
    <t>md. Kalam</t>
  </si>
  <si>
    <t>shayesta khatun</t>
  </si>
  <si>
    <t>mohammadpur,dhaka</t>
  </si>
  <si>
    <t>modhammadpur</t>
  </si>
  <si>
    <t>Genex210</t>
  </si>
  <si>
    <t>Nazmus Shakib</t>
  </si>
  <si>
    <t>nazmusshakib788@gmail.com</t>
  </si>
  <si>
    <t>01533388401</t>
  </si>
  <si>
    <t>01792060407</t>
  </si>
  <si>
    <t>23/12/2003</t>
  </si>
  <si>
    <t xml:space="preserve">Diploma engineering </t>
  </si>
  <si>
    <t xml:space="preserve">Bsc in engineer </t>
  </si>
  <si>
    <t xml:space="preserve">Barisal polythene Institute </t>
  </si>
  <si>
    <t xml:space="preserve">Enayet kazi </t>
  </si>
  <si>
    <t xml:space="preserve">Molina Begum </t>
  </si>
  <si>
    <t>Badda, nutan Bazar, vatara, Dhaka</t>
  </si>
  <si>
    <t>C.N.B road, Dargabari, Barisal</t>
  </si>
  <si>
    <t>Badda, Nutan bazar</t>
  </si>
  <si>
    <t xml:space="preserve">single </t>
  </si>
  <si>
    <t xml:space="preserve">Enayet Kazi </t>
  </si>
  <si>
    <t>12/06/1966</t>
  </si>
  <si>
    <t>heibulin27op</t>
  </si>
  <si>
    <t>Mst. Lovely Khatun</t>
  </si>
  <si>
    <t>lovelykhatun004@gmail.com</t>
  </si>
  <si>
    <t>Shahida khatun</t>
  </si>
  <si>
    <t>6911547092271</t>
  </si>
  <si>
    <t>A12307290</t>
  </si>
  <si>
    <t>Eden Mohila College dhaka</t>
  </si>
  <si>
    <t>Late: Siddiqur Rahman</t>
  </si>
  <si>
    <t>Mst.Maksuda Begum</t>
  </si>
  <si>
    <t>Road-17, House -25, Nikunjo -2</t>
  </si>
  <si>
    <t>Shreekhondi, Baraigram,Natore</t>
  </si>
  <si>
    <t>Sarowar Sohel</t>
  </si>
  <si>
    <t>heibulin44op</t>
  </si>
  <si>
    <t>Sharmin Sultana Urmi</t>
  </si>
  <si>
    <t>sharminsultanaurmi02@gmail.com</t>
  </si>
  <si>
    <t>Monju Begum</t>
  </si>
  <si>
    <t>BBS (Degree)</t>
  </si>
  <si>
    <t>Govt.Bangobondhu college</t>
  </si>
  <si>
    <t>The Late Shah Alam</t>
  </si>
  <si>
    <t>House -2/2,Road-7,Block -E,Mirpur -1, Dhaka -1216</t>
  </si>
  <si>
    <t>Vill-Ranipur, Dist-Patuakhali P.s.-Mirzaganj p.o.-Dawli</t>
  </si>
  <si>
    <t>zhulan23op</t>
  </si>
  <si>
    <t>Md. Shariful Hassan Bhuiyan</t>
  </si>
  <si>
    <t>sharifulhassan018@gmai.com</t>
  </si>
  <si>
    <t>Md. Bahauddin Bhuiyan</t>
  </si>
  <si>
    <t>H-289, SSAC Road, College Gate, Tongi, Gazipur.1711</t>
  </si>
  <si>
    <t>Kandrapadi, Meghna Bazar, Narsingdi Sadar, Narsingdi. 1600.</t>
  </si>
  <si>
    <t>Shilamoni</t>
  </si>
  <si>
    <t>shilamoni154@gmail.com</t>
  </si>
  <si>
    <t>Salina</t>
  </si>
  <si>
    <t>Professional Institute Science And Fashion Technology</t>
  </si>
  <si>
    <t>Abu Kalam Matbar</t>
  </si>
  <si>
    <t>Nasima</t>
  </si>
  <si>
    <t>Area: Rampura, PS:Hatirjheel, Dis:Dhaka.</t>
  </si>
  <si>
    <t>Vill:Abdullah-Badh, PO:Vangga, Dis: Foridpur</t>
  </si>
  <si>
    <t>xisailuo79op</t>
  </si>
  <si>
    <t>Sumana Zaman</t>
  </si>
  <si>
    <t>sumu34768@gmail.com</t>
  </si>
  <si>
    <t>Dulna Rahman</t>
  </si>
  <si>
    <t>Govt.Islampur College</t>
  </si>
  <si>
    <t>Suruz Zaman</t>
  </si>
  <si>
    <t>Mst. onkan Begum</t>
  </si>
  <si>
    <t>Area:Beltia,Khupibari PO: Beltia Madrasha PS: Jamalpur sadar Dist: Jamalpur</t>
  </si>
  <si>
    <t>Vill: Khupibari PO:Beltia Madrasha PS: Jamalpur sadar, Dist: Jamalpur</t>
  </si>
  <si>
    <t>Md Kamruzzaman</t>
  </si>
  <si>
    <t>fatemaislamlopa1@gmail.com</t>
  </si>
  <si>
    <t>Mohammad Toufiq Sarker</t>
  </si>
  <si>
    <t>1875-295616</t>
  </si>
  <si>
    <t>Habibullah Bahar College</t>
  </si>
  <si>
    <t>Md. Mofjul Islam</t>
  </si>
  <si>
    <t>Labonno mansion, flat-B5, 481/4/A, North ibrahimpur, kafrul, Mirpur-14, Dhaka Cantonment</t>
  </si>
  <si>
    <t>Pagla, kutubpur-1421, Narayanganj Sadar, Narayanganj</t>
  </si>
  <si>
    <t>Syeda Assrafun Naher</t>
  </si>
  <si>
    <t>Sports &amp; Shoes &amp; Bags &amp; Special women clothing</t>
  </si>
  <si>
    <t>syeda199631@gmail.com</t>
  </si>
  <si>
    <t>Rumman Fatema</t>
  </si>
  <si>
    <t>Kushtia govt. College</t>
  </si>
  <si>
    <t>Mir. Kamruzzaman</t>
  </si>
  <si>
    <t>Most Anzuman</t>
  </si>
  <si>
    <t>House No : 215/A ;Road : 5; Bashundhar R/A; Vatara, Dhaka-1229</t>
  </si>
  <si>
    <t>Vill : Shalimpur; P.O:Taragunia; P.S:Daulatpur; Dist: Kushtia</t>
  </si>
  <si>
    <t>Bashundhar R/A</t>
  </si>
  <si>
    <t>Fahmida Sultana Tina</t>
  </si>
  <si>
    <t>fahmidatina4025@gmail.com</t>
  </si>
  <si>
    <t>Md Showkot Ali</t>
  </si>
  <si>
    <t>Farthose Begum</t>
  </si>
  <si>
    <t>House no:71,Block:B,Road No:8,Bashundhara-1212,Dhaka</t>
  </si>
  <si>
    <t>Ferdousi Tower,Gouripur-3517,Daudkandi,Comilla</t>
  </si>
  <si>
    <t>Amana Khanom Tonni</t>
  </si>
  <si>
    <t>Tonnikhan452@gmail.com</t>
  </si>
  <si>
    <t>Tahmina khanom any</t>
  </si>
  <si>
    <t>Siddheswari university College</t>
  </si>
  <si>
    <t>Md billal khan</t>
  </si>
  <si>
    <t>Nasima begum</t>
  </si>
  <si>
    <t>Ta-51, muktijoddha chattor, middle badda, dhaka</t>
  </si>
  <si>
    <t>Nasirabad, nabinagor, bi-bariya</t>
  </si>
  <si>
    <t>Middle badda</t>
  </si>
  <si>
    <t>Md Rasel Hossan</t>
  </si>
  <si>
    <t>raselkhantaj@gmail.com</t>
  </si>
  <si>
    <t>Honourse</t>
  </si>
  <si>
    <t>Kushtia govt.college</t>
  </si>
  <si>
    <t>Md. Abdur Razzak</t>
  </si>
  <si>
    <t>Most.shila Akter</t>
  </si>
  <si>
    <t>Kazipara, Mirpur-10,Dhaka1216</t>
  </si>
  <si>
    <t>Mazdair,Doulatpur, Kushtia</t>
  </si>
  <si>
    <t>Kazipara</t>
  </si>
  <si>
    <t>Farha Afrin</t>
  </si>
  <si>
    <t>101761161612011-12</t>
  </si>
  <si>
    <t>farhaafrin2019@gmail.com</t>
  </si>
  <si>
    <t>Mst.Nur Afza Begum</t>
  </si>
  <si>
    <t>cousin</t>
  </si>
  <si>
    <t>Masters running</t>
  </si>
  <si>
    <t>MD.Fazlur Rashid</t>
  </si>
  <si>
    <t>Katalbagan, Dhanmondi Dhaka</t>
  </si>
  <si>
    <t>Pirgonj Upazila, Rangpur</t>
  </si>
  <si>
    <t>Fatematuj Sayma</t>
  </si>
  <si>
    <t>Temu Batch- 37</t>
  </si>
  <si>
    <t>sayma10bhuiyan96@gmail.com</t>
  </si>
  <si>
    <t>Janey Alam Bhuiyan</t>
  </si>
  <si>
    <t>A+(ve)</t>
  </si>
  <si>
    <t>A13643239</t>
  </si>
  <si>
    <t>Master of Arts</t>
  </si>
  <si>
    <t>Eden Mohila College Affiliated to University of Dhaka.</t>
  </si>
  <si>
    <t>Fahima Akter</t>
  </si>
  <si>
    <t>151, Siam Tower, East tejturibazar, Tejgaon Industrial Area, Dhaka 1215</t>
  </si>
  <si>
    <t>Nabodhara Residential Area, DAG 770, North Bhuighar, Kutubpur Union, Fatullah, Bhuighar 1421, Narayanganj.</t>
  </si>
  <si>
    <t>Genex190</t>
  </si>
  <si>
    <t>693067/2008-2009</t>
  </si>
  <si>
    <t>rahmanvptt977@gmail.com</t>
  </si>
  <si>
    <t>Most. Aleya Begum</t>
  </si>
  <si>
    <t>BScEEE</t>
  </si>
  <si>
    <t>House-27, Road-11, Uttara sector 06, Uttara, Dhaka-1230</t>
  </si>
  <si>
    <t>Vill: Chak shiddha shory ,PO; pajovanga PS: Manda Dist: Naogaon</t>
  </si>
  <si>
    <t>Israt Jahan Snata</t>
  </si>
  <si>
    <t>Sahadat Ahammed</t>
  </si>
  <si>
    <t>sarifat280@gmail</t>
  </si>
  <si>
    <t>A12941271</t>
  </si>
  <si>
    <t>Govt.Gurudayal College</t>
  </si>
  <si>
    <t>Yosuf Ali</t>
  </si>
  <si>
    <t>Shara Katun</t>
  </si>
  <si>
    <t>Kaolar Bazar,Dokkhinkhan,Dhaka-1230</t>
  </si>
  <si>
    <t>Vil-Khurikhai,post-Chatal,Upazila -Katiadi,Dist-Kishoreganj</t>
  </si>
  <si>
    <t>Tasnuva Islam</t>
  </si>
  <si>
    <t>tasnuva.islam1702</t>
  </si>
  <si>
    <t>Azim Islam</t>
  </si>
  <si>
    <t>BSc honours</t>
  </si>
  <si>
    <t>govt titumir college</t>
  </si>
  <si>
    <t>Monzurul Islam</t>
  </si>
  <si>
    <t>shamsunnahar</t>
  </si>
  <si>
    <t>ka-42/1,nadda,gulshan,dhaka-1212</t>
  </si>
  <si>
    <t>nadda</t>
  </si>
  <si>
    <t>Genex093</t>
  </si>
  <si>
    <t>Md. Raoshanul Alam</t>
  </si>
  <si>
    <t>raoshanul3421@gmail.com</t>
  </si>
  <si>
    <t>Mst. Khairun Naher</t>
  </si>
  <si>
    <t>Pundra University of Science and Technology</t>
  </si>
  <si>
    <t>Md. Noorul Alam</t>
  </si>
  <si>
    <t>House- 26, road#13, Nikunjo 2, khilkhet, Dhaka</t>
  </si>
  <si>
    <t>Chalklokman, Colony, Bogura Sadar, Bogura</t>
  </si>
  <si>
    <t>Genex073</t>
  </si>
  <si>
    <t>Md. Mohaiminul Biswas</t>
  </si>
  <si>
    <t>840867/2010-2011</t>
  </si>
  <si>
    <t>mohaiminulbiswas@gmail.com</t>
  </si>
  <si>
    <t>Mst Jhorna Jamal</t>
  </si>
  <si>
    <t>House: 26, Road:16, Nikunjo 2, 1229</t>
  </si>
  <si>
    <t>Fulbari, Fulbari, Magura Sadar, Magura 7600</t>
  </si>
  <si>
    <t>GenexJ005</t>
  </si>
  <si>
    <t>Md.Mohibur Rahman Isan</t>
  </si>
  <si>
    <t>MD. Delwar Hosen</t>
  </si>
  <si>
    <t>mddelwarhosen12345@gmail.com</t>
  </si>
  <si>
    <t>Mst.Nilufa Yeasmin</t>
  </si>
  <si>
    <t>Bhawanigong College</t>
  </si>
  <si>
    <t>MD.Asfor Ali</t>
  </si>
  <si>
    <t>MOSr.Dilara Ferdousy</t>
  </si>
  <si>
    <t>KA-KHA Villa,House#22/5,Road#01,Ward#53,Block#B,Fulbaria(behind Baisakhi sweet)</t>
  </si>
  <si>
    <t>Village:Sheujbari,post office:shingsara,post code:6596,Upazila :Baghmara,District:Rajshahi</t>
  </si>
  <si>
    <t>Mst.Nilufa Yesmin</t>
  </si>
  <si>
    <t>Genex198</t>
  </si>
  <si>
    <t>Ashikur Rahman</t>
  </si>
  <si>
    <t>ashikurrahmansojib002@gmai.com</t>
  </si>
  <si>
    <t>01957280880</t>
  </si>
  <si>
    <t>01774254797</t>
  </si>
  <si>
    <t>10-11-1995</t>
  </si>
  <si>
    <t xml:space="preserve">BBA Graduate </t>
  </si>
  <si>
    <t xml:space="preserve">Eastern university </t>
  </si>
  <si>
    <t xml:space="preserve">Late Delowar Hossain </t>
  </si>
  <si>
    <t>Takkarmath ,Fatullah, Narayanganj 1421</t>
  </si>
  <si>
    <t>Fatullah</t>
  </si>
  <si>
    <t xml:space="preserve">Single </t>
  </si>
  <si>
    <t>MD Raihanul Islam</t>
  </si>
  <si>
    <t>raihanul.uits2001@gmail.com</t>
  </si>
  <si>
    <t>Md.Nazrul Islam</t>
  </si>
  <si>
    <t>Piyara khanam</t>
  </si>
  <si>
    <t>Dhaka, Badda</t>
  </si>
  <si>
    <t>Jamalpur</t>
  </si>
  <si>
    <t>Asif Ali Bibek</t>
  </si>
  <si>
    <t>U1O525437</t>
  </si>
  <si>
    <t>Asifbibek4@gmail.com</t>
  </si>
  <si>
    <t>Zannat Ara Shila</t>
  </si>
  <si>
    <t>Ab+</t>
  </si>
  <si>
    <t>Segi University</t>
  </si>
  <si>
    <t>Md Babar Ali Babu</t>
  </si>
  <si>
    <t>Monwara begum baby</t>
  </si>
  <si>
    <t>86, Fakirapool, Dhaka 1000</t>
  </si>
  <si>
    <t>Fakirapool</t>
  </si>
  <si>
    <t>Tasnima Tabassum Juthi</t>
  </si>
  <si>
    <t>ttabassumjuthi1998@gmail.com</t>
  </si>
  <si>
    <t>18.11.1998</t>
  </si>
  <si>
    <t>Cantonment College Jashore</t>
  </si>
  <si>
    <t>Shahida Islam</t>
  </si>
  <si>
    <t>Dhalibari Kachabazar, Coca Cola Road,Vatara</t>
  </si>
  <si>
    <t>Shornapotti, Muchipol, Narail</t>
  </si>
  <si>
    <t>AlArafat</t>
  </si>
  <si>
    <t>Al Arafat Uddin</t>
  </si>
  <si>
    <t>a.koraishi2000@gmail.com</t>
  </si>
  <si>
    <t>MD Giasuddin Prodhan</t>
  </si>
  <si>
    <t>Shewrapara, Dhaka</t>
  </si>
  <si>
    <t>Munshiganj, Dhaka</t>
  </si>
  <si>
    <t>MDAbdullahAlMahedi</t>
  </si>
  <si>
    <t>MD. Abdullah Al Mahedi</t>
  </si>
  <si>
    <t>10111263 47</t>
  </si>
  <si>
    <t>English Customer &amp; Voice Transcription</t>
  </si>
  <si>
    <t>almahedirifat@gmail.com</t>
  </si>
  <si>
    <t>Rahela Akter</t>
  </si>
  <si>
    <t>WORLD UNIVERSITY OF BANGLADESH</t>
  </si>
  <si>
    <t>MD Mizanur Rahman</t>
  </si>
  <si>
    <t>KHA 82/A, East Nawa Para, Taler-Tek, Khilkhet</t>
  </si>
  <si>
    <t>Joyka, Karimganj, Kishorganj, Dhaka</t>
  </si>
  <si>
    <t>Genex205</t>
  </si>
  <si>
    <t>aminul715525@gmail.com</t>
  </si>
  <si>
    <t>mama</t>
  </si>
  <si>
    <t>Gaibandha Govt. Collage</t>
  </si>
  <si>
    <t>Md Atoar Rahman</t>
  </si>
  <si>
    <t>Most Ambiya Begum</t>
  </si>
  <si>
    <t>Khilkhet Nikunju-2, R-15, H-08,</t>
  </si>
  <si>
    <t>North Borober,Mohongonj, Rajibpur, Kurigram.</t>
  </si>
  <si>
    <t>`</t>
  </si>
  <si>
    <t>Mehedi Hasan</t>
  </si>
  <si>
    <t xml:space="preserve">Trainer </t>
  </si>
  <si>
    <t>Training</t>
  </si>
  <si>
    <t>Permanent</t>
  </si>
  <si>
    <t>Salim Biswas</t>
  </si>
  <si>
    <t>Shahanaj Parveen</t>
  </si>
  <si>
    <t>Area : Kawlar Thana: Dakshin khan Dist: Dhaka</t>
  </si>
  <si>
    <t>Village: Baria, P.O: Vawal Baria, Sub-District: Gazipur Sadar, District: Gazipur</t>
  </si>
  <si>
    <t>Md Himel Khan</t>
  </si>
  <si>
    <t>himelkhan9990@gmail.com</t>
  </si>
  <si>
    <t>Md. Liton</t>
  </si>
  <si>
    <t>Md. Liton Khan</t>
  </si>
  <si>
    <t>Amina Begum</t>
  </si>
  <si>
    <t>7/2, R# 12, kallanpur, Mirpur.</t>
  </si>
  <si>
    <t>Muundoghati, H# 530, Shernagar-6748, Belkuchi, sirajgonj.</t>
  </si>
  <si>
    <t>Kollanpur</t>
  </si>
  <si>
    <t>Genex215</t>
  </si>
  <si>
    <t>Md.Shariful Islam</t>
  </si>
  <si>
    <t>shorifulshanto1999@gmail.com</t>
  </si>
  <si>
    <t>Md Samsul Alam</t>
  </si>
  <si>
    <t>Bsc in ME</t>
  </si>
  <si>
    <t xml:space="preserve">Md. Samsul Alam </t>
  </si>
  <si>
    <t>Rowshan Ara Begum</t>
  </si>
  <si>
    <t xml:space="preserve">Khilkhat ,Nikonjo-2 </t>
  </si>
  <si>
    <t>Saidpur . Nilphamire</t>
  </si>
  <si>
    <t>Genex243</t>
  </si>
  <si>
    <t>Md. Shifat Ashique Ullah</t>
  </si>
  <si>
    <t>mdshifat.official146@gmail.com</t>
  </si>
  <si>
    <t>Md Shahid ullah</t>
  </si>
  <si>
    <t>Bsc in EEE</t>
  </si>
  <si>
    <t>Aust</t>
  </si>
  <si>
    <t>Shereen sultana</t>
  </si>
  <si>
    <t>house:08,Road:01,Block:E,Rampura,Dhaka</t>
  </si>
  <si>
    <t>Same as present</t>
  </si>
  <si>
    <t>SM Shakil</t>
  </si>
  <si>
    <t>smshakilxyz@gmail.com</t>
  </si>
  <si>
    <t>Flight School International</t>
  </si>
  <si>
    <t>Sharifa Akter</t>
  </si>
  <si>
    <t>House 9, Road 20A, sector 3, uttara dhaka</t>
  </si>
  <si>
    <t>Word no.4, bhaluka pouroshova, bhaluka, mymensingh.</t>
  </si>
  <si>
    <t>heibulin61op</t>
  </si>
  <si>
    <t>Md.Abdul Halim</t>
  </si>
  <si>
    <t xml:space="preserve">Master"s </t>
  </si>
  <si>
    <t>Natinonal University</t>
  </si>
  <si>
    <t>27/8,East chandana,Gazipur sadar,Gazipur</t>
  </si>
  <si>
    <t>Kuruin,Devidwar,Cumilla</t>
  </si>
  <si>
    <t>heibulin26op</t>
  </si>
  <si>
    <t>Md Iqbal lohany</t>
  </si>
  <si>
    <t>iqballohany625@gmail.com</t>
  </si>
  <si>
    <t>mejbahuzzaman shuvo</t>
  </si>
  <si>
    <t>Mba</t>
  </si>
  <si>
    <t>Md Abed Ali Sardar</t>
  </si>
  <si>
    <t>Mst Lutfon Nahar</t>
  </si>
  <si>
    <t>Road 19 House 9 Nikunja-2,, khilkhet,Dhaka.</t>
  </si>
  <si>
    <t>Oikkopara,Bujruk Boalia,Gobindaganj 5740,Gobindaganj,Gaibandha.</t>
  </si>
  <si>
    <t>heibulin75op</t>
  </si>
  <si>
    <t>Dipa Chakma</t>
  </si>
  <si>
    <t xml:space="preserve">Halima akter </t>
  </si>
  <si>
    <t>beilei315op</t>
  </si>
  <si>
    <t>Tamalika Shaha Toma</t>
  </si>
  <si>
    <t>tomalikasaha8@gmail.com</t>
  </si>
  <si>
    <t>Mst Rehena Parveen</t>
  </si>
  <si>
    <t>A02007143</t>
  </si>
  <si>
    <t>B.Sc Hons</t>
  </si>
  <si>
    <t>Arifabad housing (2 no gate,plot 7,road no 9,Block-D),Mirpur Dhaka</t>
  </si>
  <si>
    <t>Village : Ratanganj, Union: Masumdia,Thana:Aminpur,Upzil: Bera, Zila : Pabna</t>
  </si>
  <si>
    <t>Genex095</t>
  </si>
  <si>
    <t>Nurazaman Piash</t>
  </si>
  <si>
    <t>Piashbhuyea2017@gmail.com</t>
  </si>
  <si>
    <t>Fatik Bhuiyan</t>
  </si>
  <si>
    <t>American international University of Bangladesh</t>
  </si>
  <si>
    <t>Kalpana Bagum</t>
  </si>
  <si>
    <t>Vill: Nurer chala, P.O: Vatara, P.S: Vatara, Dist: Dhaka</t>
  </si>
  <si>
    <t>Vill: Teory, P.O:Tumulia, P.S: Kaliganj, Dist: Gazipur</t>
  </si>
  <si>
    <t>Notun bazar</t>
  </si>
  <si>
    <t>Md. Easin </t>
  </si>
  <si>
    <t>easinjalil131@gmail.com</t>
  </si>
  <si>
    <t>Md Jalil Miah</t>
  </si>
  <si>
    <t>Salma Begum</t>
  </si>
  <si>
    <t>Road-01,House-14,Nikunja-2,Khilkhet</t>
  </si>
  <si>
    <t>Atlapur,Rupganj,narayanganj</t>
  </si>
  <si>
    <t>GenexJ062</t>
  </si>
  <si>
    <t>Hossain Ahmed Chowdhury</t>
  </si>
  <si>
    <t>665388/1999</t>
  </si>
  <si>
    <t>hossain19cpa@gmail.com</t>
  </si>
  <si>
    <t>Shabana Khatun</t>
  </si>
  <si>
    <t>Govt.Bangla college</t>
  </si>
  <si>
    <t>Late.Ali Ahmmad Chowdhury</t>
  </si>
  <si>
    <t>Late. Hosne Ara</t>
  </si>
  <si>
    <t>10/A/15, Mirpur-14, Govt. Staff Quarter</t>
  </si>
  <si>
    <t>10.10.87</t>
  </si>
  <si>
    <t>GenexJ051</t>
  </si>
  <si>
    <t>Nesar Uddin</t>
  </si>
  <si>
    <t>nesaruddinptk@gmail.com</t>
  </si>
  <si>
    <t>Mohibur Rahman Isan</t>
  </si>
  <si>
    <t>GOVT. TITUMIR COLLEGE</t>
  </si>
  <si>
    <t>Abdus Salam Pada</t>
  </si>
  <si>
    <t>Mosa. Khadija Begum</t>
  </si>
  <si>
    <t>Adorshonagor, 3 No road, Badda</t>
  </si>
  <si>
    <t>Vill: Durgapur, Post: Itbaria, Thana: Patuakhali, Zilla: Patuakhali</t>
  </si>
  <si>
    <t>Genex197</t>
  </si>
  <si>
    <t>Md.Arif Hasan</t>
  </si>
  <si>
    <t>arifhasan157942@gmail.com</t>
  </si>
  <si>
    <t xml:space="preserve">A13153110 </t>
  </si>
  <si>
    <t>Md. Razu Ahammed</t>
  </si>
  <si>
    <t>Mst.Areza Begum</t>
  </si>
  <si>
    <t xml:space="preserve">Uttara House Building Sector 9 Road 7/B </t>
  </si>
  <si>
    <t>Charpolisha.Melandoho. Jamalpur. Mymensingh</t>
  </si>
  <si>
    <t>Genex174</t>
  </si>
  <si>
    <t>Shahriar Ahmed</t>
  </si>
  <si>
    <t>Selima Siddika</t>
  </si>
  <si>
    <t>Super Home#6, Baridhara, J Bolck, Dhaka</t>
  </si>
  <si>
    <t>H#0078-01, H# 186, R# 2, Dhap Katkipara, Rangpur</t>
  </si>
  <si>
    <t>Baridhara</t>
  </si>
  <si>
    <t>Sheuly Akter</t>
  </si>
  <si>
    <t>Sheulyakter015816@gmail.com</t>
  </si>
  <si>
    <t>Bachelor of Business Administration (Honours )</t>
  </si>
  <si>
    <t>Lalmatiya Govt Mohila College</t>
  </si>
  <si>
    <t>A.K.M Moshiur Rahman</t>
  </si>
  <si>
    <t>East Shewrapara Jamtola mosjid 1200/A</t>
  </si>
  <si>
    <t>Mirzanogor bhuiyabari (kendurbag) Noyakhali</t>
  </si>
  <si>
    <t>Mirpur (Shewrapara)</t>
  </si>
  <si>
    <t>Genex166</t>
  </si>
  <si>
    <t>Md Nahid Hasan</t>
  </si>
  <si>
    <t>1118889920/12</t>
  </si>
  <si>
    <t>mrnahid055@gmail.com</t>
  </si>
  <si>
    <t>Nargis Begum</t>
  </si>
  <si>
    <t>H#122, Bottola, khilkhet, Dhaka-1229.</t>
  </si>
  <si>
    <t>Meher Afroz Tondra</t>
  </si>
  <si>
    <t>Swapanna Nag</t>
  </si>
  <si>
    <t xml:space="preserve">BSc </t>
  </si>
  <si>
    <t>Mymensingh Home Economics</t>
  </si>
  <si>
    <t>Md. Auranghajab Salim</t>
  </si>
  <si>
    <t>H# 10, R# 09, Nikunjo-2, Khilkhet.</t>
  </si>
  <si>
    <t>Gouripur, Mymensing</t>
  </si>
  <si>
    <t>heibulin69op</t>
  </si>
  <si>
    <t>honufa01922558128@gmail.com</t>
  </si>
  <si>
    <t>Nilufar Yeasmin</t>
  </si>
  <si>
    <t>640 462 3511</t>
  </si>
  <si>
    <t>Md. Azhar Ali</t>
  </si>
  <si>
    <t>Khilkhet Uttar Namapara</t>
  </si>
  <si>
    <t>Momtaj Jahan</t>
  </si>
  <si>
    <t>Md Sabbir Hossain</t>
  </si>
  <si>
    <t>sabbirhossain2020sh@gmail.com</t>
  </si>
  <si>
    <t>Mirpur College, Dhaka.</t>
  </si>
  <si>
    <t>Mst. Nurjahan Bagum</t>
  </si>
  <si>
    <t>40/2/C, west vashantek, Dhaka can't, Dhaka-1206.</t>
  </si>
  <si>
    <t>Vill: Char Sarishabari, PO: Char Satariya, PS: Sarishabari, Dist: Jamalpur.</t>
  </si>
  <si>
    <t>heibulin74op</t>
  </si>
  <si>
    <t>Saleha Akter Rima</t>
  </si>
  <si>
    <t>heibulin66op</t>
  </si>
  <si>
    <t>Abdullah Al Zubayer Shuvo</t>
  </si>
  <si>
    <t>MALE</t>
  </si>
  <si>
    <t>abdullahalzubayershubho@gmail.com</t>
  </si>
  <si>
    <t>MD. KHURSHED ALAM</t>
  </si>
  <si>
    <t>GRADUATE</t>
  </si>
  <si>
    <t>ENGLISH LANGUAGE &amp; LITERATURE</t>
  </si>
  <si>
    <t>NOOR JAHAN AKTHER NIPA</t>
  </si>
  <si>
    <t>139/3/A NORTH MUGDA, DHAKA- 1214</t>
  </si>
  <si>
    <t>SHARIFPUR,WARD NO-05, FULGAZI, GONGADHAR MAJUMDER HAT- 3900, FENI</t>
  </si>
  <si>
    <t>DHAKA</t>
  </si>
  <si>
    <t>xisailuo80op</t>
  </si>
  <si>
    <t>Most. Labonna Akter</t>
  </si>
  <si>
    <t>nusratlabonno68@gmail.com</t>
  </si>
  <si>
    <t>Md.Lutfor Rahman</t>
  </si>
  <si>
    <t>Bsc EEE</t>
  </si>
  <si>
    <t>Most.Nasima Begum</t>
  </si>
  <si>
    <t>Area: Bashundhara Residential Area, House No: 413</t>
  </si>
  <si>
    <t>Vill: Dhulotia, Po: Pathrail, PS: Tangail, Dist: Tangail</t>
  </si>
  <si>
    <t>MD Humayon Kabir</t>
  </si>
  <si>
    <t>naimumahmood48@gmail.com</t>
  </si>
  <si>
    <t>NASIR UDDIN MAHMOOD</t>
  </si>
  <si>
    <t>House no: ovijan 35, Road: Shakil shoroni road,Vill: Auchpara, po: Nishat Nagar, PS: Tongi, District: Gazipur</t>
  </si>
  <si>
    <t>Vill: Mandaritola, po: Barubkund, PS: sitakunda, District: Chattogram</t>
  </si>
  <si>
    <t>Minhazul Mim</t>
  </si>
  <si>
    <t>minhajulmim197@gmail.com</t>
  </si>
  <si>
    <t>Laila afroz</t>
  </si>
  <si>
    <t>MD.Mohsin</t>
  </si>
  <si>
    <t>Layla afroz</t>
  </si>
  <si>
    <t>181,fakirapool,motijheel,Dhaka,1000</t>
  </si>
  <si>
    <t>Motijheel</t>
  </si>
  <si>
    <t>mmaigenex022</t>
  </si>
  <si>
    <t>Md.Tanvir Rahman</t>
  </si>
  <si>
    <t>mtrdada1122@gmail.com</t>
  </si>
  <si>
    <t>Monoara Parvin</t>
  </si>
  <si>
    <t>20004121609313827</t>
  </si>
  <si>
    <t>Sheikh Liakot Ali</t>
  </si>
  <si>
    <t xml:space="preserve"> Area : 64/Kha, Uttarmara, Thana: Khilkhet Dist : Dhaka</t>
  </si>
  <si>
    <t>Vill : 178, NajirShonkorPur, Thana: Jessore Sadar , Dist : jessore</t>
  </si>
  <si>
    <t>heibulin79op</t>
  </si>
  <si>
    <t>Sumi Rani Puja</t>
  </si>
  <si>
    <t>Sumaiya Akter</t>
  </si>
  <si>
    <t>Rezaul Karim</t>
  </si>
  <si>
    <t>Abdul Motin</t>
  </si>
  <si>
    <t>Olipara,Joar Shahara ,Dhaka</t>
  </si>
  <si>
    <t>Baniarchala,Memberbari,Gazipur</t>
  </si>
  <si>
    <t>Farhana Yeasmin</t>
  </si>
  <si>
    <t>farhanamishu023@gmail.Com</t>
  </si>
  <si>
    <t>Noakhali Government College</t>
  </si>
  <si>
    <t>Nur Hoshen</t>
  </si>
  <si>
    <t>Rubina Begum</t>
  </si>
  <si>
    <t>House No: 174/2-Nahar Manjil, Road No: Jamaj Road, Joar Sahara, PS: Vatara, Dist: Dhaka</t>
  </si>
  <si>
    <t>Vill: Dohor para, PS: Gobindar Khil, Dist: Noakhali</t>
  </si>
  <si>
    <t>Joar Sahara</t>
  </si>
  <si>
    <t>Hafsa Bint Alam</t>
  </si>
  <si>
    <t>Genex169</t>
  </si>
  <si>
    <t>Foysal Molla</t>
  </si>
  <si>
    <t>foysalmolla.prime@gmail.com</t>
  </si>
  <si>
    <t>19963513286000300</t>
  </si>
  <si>
    <t>Prime University</t>
  </si>
  <si>
    <t>Showkot Molla</t>
  </si>
  <si>
    <t>Mafuza Begum</t>
  </si>
  <si>
    <t>7th floor, H# 47, R# 17, Nikunjo-2</t>
  </si>
  <si>
    <t>Vill# Chandradighalia, Post# Chandradighalia, P.S# Gopalganj, Dis# Gopalgonj.</t>
  </si>
  <si>
    <t>heibulin76op</t>
  </si>
  <si>
    <t>Bulbul Ahammed</t>
  </si>
  <si>
    <t>Shamnur Rahman</t>
  </si>
  <si>
    <t>Kaka</t>
  </si>
  <si>
    <t>Late Abdul Barek</t>
  </si>
  <si>
    <t>Firoja khatun</t>
  </si>
  <si>
    <t>Mirpur 1, Tolarbagh, panir pump, bhuiya nibas</t>
  </si>
  <si>
    <t>Danthiya kayrapara,mothurapur chatmohore pabna</t>
  </si>
  <si>
    <t>mmaigenex013</t>
  </si>
  <si>
    <t>Sadia Tabassum Usha</t>
  </si>
  <si>
    <t>tabassumusha96@gmail.com</t>
  </si>
  <si>
    <t>Saima Tabassum faria</t>
  </si>
  <si>
    <t>Asian university of Bangladesh</t>
  </si>
  <si>
    <t>Md yousuf</t>
  </si>
  <si>
    <t>Afroza yousuf</t>
  </si>
  <si>
    <t>Area : Pioyash nir 20/2'santibag ,Thana: Demra , Dist : Dhaka</t>
  </si>
  <si>
    <t>Md Mahfuzur Rahman</t>
  </si>
  <si>
    <t>mahfuzur126266@gmail.com</t>
  </si>
  <si>
    <t>RAKIB HASAN</t>
  </si>
  <si>
    <t>B.Sc in CSE</t>
  </si>
  <si>
    <t>MD YOUSUF MOLLAH</t>
  </si>
  <si>
    <t>MORZINA AKTER</t>
  </si>
  <si>
    <t>Madani Nagar, Sanarpar-1430, Siddirganj, Narayanganj.</t>
  </si>
  <si>
    <t>Narayanganj.</t>
  </si>
  <si>
    <t>GenexJ023</t>
  </si>
  <si>
    <t>Sadab Muhammad</t>
  </si>
  <si>
    <t>sadabmuhammad440@gmail.com</t>
  </si>
  <si>
    <t>Abdul malek</t>
  </si>
  <si>
    <t>Eastern University</t>
  </si>
  <si>
    <t>Syeda Monzuma farruk</t>
  </si>
  <si>
    <t>Adabor,Dhaka</t>
  </si>
  <si>
    <t>Lakshmipur,Chittagong</t>
  </si>
  <si>
    <t>Md Rasel</t>
  </si>
  <si>
    <t>Mst Joynob Khatun</t>
  </si>
  <si>
    <t>joty.islam021@gmail.com</t>
  </si>
  <si>
    <t>Fatema tu jhura</t>
  </si>
  <si>
    <t>National</t>
  </si>
  <si>
    <t>Mst. Asma Begum</t>
  </si>
  <si>
    <t>Amtola khilkhet Dhaka</t>
  </si>
  <si>
    <t>Chanmari ghat len malotinogor,bogura 5800</t>
  </si>
  <si>
    <t xml:space="preserve">Amtola, khilkhet </t>
  </si>
  <si>
    <t>Farhana Akther</t>
  </si>
  <si>
    <t>Abu Taher Mulla</t>
  </si>
  <si>
    <t>Konabari , Gazipur</t>
  </si>
  <si>
    <t>Konabari</t>
  </si>
  <si>
    <t>Genex232</t>
  </si>
  <si>
    <t>Md NazibUllah</t>
  </si>
  <si>
    <t>najibullahnajib758@gmail.com</t>
  </si>
  <si>
    <t>Md Emdad ullah</t>
  </si>
  <si>
    <t>Bsc in Cse</t>
  </si>
  <si>
    <t>Barisal Information technology college</t>
  </si>
  <si>
    <t>Mossa Nasrin Sultana</t>
  </si>
  <si>
    <t>House no:45,road no:15,nikunjjo,khilkhet,dhaka</t>
  </si>
  <si>
    <t>Bollov,Itbaria,patuakhali sador,Patuakhali</t>
  </si>
  <si>
    <t>Ariful Hasan</t>
  </si>
  <si>
    <t>Arifulshovo3@gmail.com</t>
  </si>
  <si>
    <t>Faysal</t>
  </si>
  <si>
    <t>Md.Unous Mia</t>
  </si>
  <si>
    <t>Mst.Josna Begum</t>
  </si>
  <si>
    <t>207/Hazi villa, Dakkhingaon Road 02, Bashabo, Sabujbag, Dhaka 1214</t>
  </si>
  <si>
    <t>Genex110</t>
  </si>
  <si>
    <t>Naimus Sadat Pranto</t>
  </si>
  <si>
    <t>nspranto6@gmail.com</t>
  </si>
  <si>
    <t>Md. Sayed Ali</t>
  </si>
  <si>
    <t>Mst. Momotaz Begom</t>
  </si>
  <si>
    <t>House 43, Road 19, Nikunja 2, Dhaka-1229</t>
  </si>
  <si>
    <t>Kaliani Dokhin Para, Goga, Sharsha, Jessore-7432</t>
  </si>
  <si>
    <t>Mreenmoy Chiram</t>
  </si>
  <si>
    <t>chiranmrinmoy@gmail</t>
  </si>
  <si>
    <t>Din Islam</t>
  </si>
  <si>
    <t>Tongi Government College</t>
  </si>
  <si>
    <t>Kamal kha</t>
  </si>
  <si>
    <t>Holan,Dakshin Khan Dhaka -1230</t>
  </si>
  <si>
    <t>Visherpar, Mongla kata,Sunamganj, Sunamganj</t>
  </si>
  <si>
    <t>Holan Dakshin khan Dhaka -1230</t>
  </si>
  <si>
    <t>heibulin17op</t>
  </si>
  <si>
    <t>Monika Rahman </t>
  </si>
  <si>
    <t>Masud Rahman</t>
  </si>
  <si>
    <t>Kholilur Rahman</t>
  </si>
  <si>
    <t>Hosne ara begum</t>
  </si>
  <si>
    <t>Uttarkhan madar bari uttara dhaka</t>
  </si>
  <si>
    <t>SM Rafsunjani Shikder Arnab</t>
  </si>
  <si>
    <t>iambaiustian@gmail.com</t>
  </si>
  <si>
    <t>Abdul Helim Shikder</t>
  </si>
  <si>
    <t>MSc in CSE</t>
  </si>
  <si>
    <t>Bangladesh Army International University of Science &amp; Technology (BAIUST)</t>
  </si>
  <si>
    <t>Jebunnahar Begum</t>
  </si>
  <si>
    <t>Vill: Manoherdi, Thana : Manoherdi, Postal Code : 1650, Dist: Narsingdi</t>
  </si>
  <si>
    <t>Vill : Arjunchor, Thana : Manoherdi, Postal Code : 1650, Dist : Narsingdi</t>
  </si>
  <si>
    <t>naihe3op</t>
  </si>
  <si>
    <t>Md. Sajal Khan</t>
  </si>
  <si>
    <t>khansajal703@gmail.com</t>
  </si>
  <si>
    <t>Md. Nurul Islam Khan</t>
  </si>
  <si>
    <t>City University, Dhaka</t>
  </si>
  <si>
    <t>Md.Nurul Islam Khan</t>
  </si>
  <si>
    <t>Samima Begum</t>
  </si>
  <si>
    <t>House No-8, Road-11, Nikunja-2, Khilkhet, Dhaka,Bangladesh.</t>
  </si>
  <si>
    <t>Vill : Galli, Post: Galli, Thana: Mirzapur, Dist: Tangail</t>
  </si>
  <si>
    <t>beilei209op</t>
  </si>
  <si>
    <t>Julia khatun</t>
  </si>
  <si>
    <t>08-0-10-878-176</t>
  </si>
  <si>
    <t>juliakhatun0809@gmail.com</t>
  </si>
  <si>
    <t>Jannatul ferdaus Tamanna</t>
  </si>
  <si>
    <t>A13901277</t>
  </si>
  <si>
    <t>Govt. B.L. College, Khulna.</t>
  </si>
  <si>
    <t>MD. Mojammel Hossain</t>
  </si>
  <si>
    <t>Piary Begum</t>
  </si>
  <si>
    <t>H#28, R#19, Nikunja-2, Khilkhet, Dhaka.</t>
  </si>
  <si>
    <t>Vill- Guakhola, P.O.- Noapara, P.S.- Abhoynagar, Dist.- Jashore.</t>
  </si>
  <si>
    <t>Md. Alamin</t>
  </si>
  <si>
    <t>alamin02081996@gmail.com</t>
  </si>
  <si>
    <t>Achia Begum (sister)</t>
  </si>
  <si>
    <t>BA(Honours)</t>
  </si>
  <si>
    <t>National University (graduate)</t>
  </si>
  <si>
    <t>JOYNAL ABDIN</t>
  </si>
  <si>
    <t>JULEKHA BUGUM</t>
  </si>
  <si>
    <t>North Mugda, Jhilpar.</t>
  </si>
  <si>
    <t>South Aicha,charfassion, Bhola.</t>
  </si>
  <si>
    <t>Mugdha</t>
  </si>
  <si>
    <t>KH Arafat Hasan</t>
  </si>
  <si>
    <t>27/06/1997</t>
  </si>
  <si>
    <t xml:space="preserve">BSC </t>
  </si>
  <si>
    <t>Khandakar Abul Bashar</t>
  </si>
  <si>
    <t>Sector : 10, Uttara, Dhaka</t>
  </si>
  <si>
    <t>Vill : Deuly, P.O : Deuly, Thana : Basail, Dis : Tangail</t>
  </si>
  <si>
    <t>Sanjida Akter</t>
  </si>
  <si>
    <t>1118718718287</t>
  </si>
  <si>
    <t>sanjedaps220@gmail.com</t>
  </si>
  <si>
    <t>Md.Kawsar Alam</t>
  </si>
  <si>
    <t>Md.Ikball Hossain</t>
  </si>
  <si>
    <t>Kohinoor Akter</t>
  </si>
  <si>
    <t>114,cha-block, tb gate, Mohakhali, Dhaka</t>
  </si>
  <si>
    <t>Chairman bari, Vill: Doulatpur, PO: Bangora, Muradnagor, Cumilla. - 3543, Muradnago</t>
  </si>
  <si>
    <t>Tasnia anjum</t>
  </si>
  <si>
    <t>tasniaanjum24@gmail.com</t>
  </si>
  <si>
    <t>Mst. Keya Afris</t>
  </si>
  <si>
    <t>Mst. Asida Begum</t>
  </si>
  <si>
    <t>Prominent Garden, Bottola, Sector-4,Uttara</t>
  </si>
  <si>
    <t>Ghoshnagar School Para, Ghoshnagar, Ghoshnagar-6540, Patnitala, Naogaon</t>
  </si>
  <si>
    <t>parvezmosharraf119@gmail.com</t>
  </si>
  <si>
    <t>Soma Akter</t>
  </si>
  <si>
    <t>Bechalor of Business Administration (BBA)</t>
  </si>
  <si>
    <t>Fajlu Mia</t>
  </si>
  <si>
    <t>Shahara Khatun</t>
  </si>
  <si>
    <t>Road 9 Dhaka 1212 Badda, Link Road</t>
  </si>
  <si>
    <t>Vill: Maliund, Post: Vathi Ghagra, Upzela: Mithamoin, Dist: Kishoregonj</t>
  </si>
  <si>
    <t>Budda</t>
  </si>
  <si>
    <t>Genex189</t>
  </si>
  <si>
    <t>Mahabub Hossain</t>
  </si>
  <si>
    <t>rahmanmahab70@gmail.com</t>
  </si>
  <si>
    <t>Afjal Hossain</t>
  </si>
  <si>
    <t>Abudharr Ghifari College</t>
  </si>
  <si>
    <t>306, Uttar Goran, Sipahibag</t>
  </si>
  <si>
    <t>Vill: Kafurdi, PO: Sonargaon, Dist: Narayanganj</t>
  </si>
  <si>
    <t>Khailgaon</t>
  </si>
  <si>
    <t>01759983770</t>
  </si>
  <si>
    <t>tushar.monica13@gmail.com</t>
  </si>
  <si>
    <t>Roshan Ara Talukder</t>
  </si>
  <si>
    <t>Shahjahan Talukder</t>
  </si>
  <si>
    <t>House-145/23/A, Road- Jama Moshjid, Noyanagar,Khilkhet,Dhaka-1229.</t>
  </si>
  <si>
    <t>Divoced</t>
  </si>
  <si>
    <t>Safwan Al Shafaq</t>
  </si>
  <si>
    <t>Genex279</t>
  </si>
  <si>
    <t>Hiranmay Karmokar Subho</t>
  </si>
  <si>
    <t>MD Shahariar Hasan</t>
  </si>
  <si>
    <t>shahariarhasan288@gmail.com</t>
  </si>
  <si>
    <t>Md Nazmul Hasan</t>
  </si>
  <si>
    <t>Nargish Hasan</t>
  </si>
  <si>
    <t>34/11 pallabi, Mrpur 11.5, Dhaka 1216</t>
  </si>
  <si>
    <t>Khaguria, Matlab (Uttar).Chandpur</t>
  </si>
  <si>
    <t>Genexj002</t>
  </si>
  <si>
    <t>Mohasin Mostafa Arafat</t>
  </si>
  <si>
    <t>mohasinarafat99@gmail.com</t>
  </si>
  <si>
    <t>Golam Mostafa</t>
  </si>
  <si>
    <t>Bilkis Bagum</t>
  </si>
  <si>
    <t>shahajadpur,Dhaka</t>
  </si>
  <si>
    <t>Patuakhali,Barisal</t>
  </si>
  <si>
    <t>shahajadpur</t>
  </si>
  <si>
    <t>Genex223</t>
  </si>
  <si>
    <t>Sk Shourov Ahemmed</t>
  </si>
  <si>
    <t>shourovahmed154@gmail.com</t>
  </si>
  <si>
    <t xml:space="preserve">Sk akharat </t>
  </si>
  <si>
    <t>rajshahi university</t>
  </si>
  <si>
    <t>moriom begum</t>
  </si>
  <si>
    <t>notun bazar,Badda</t>
  </si>
  <si>
    <t>bagerhat,khulna</t>
  </si>
  <si>
    <t>Oli Jahan Tuli</t>
  </si>
  <si>
    <t>olijahantulirajib@gmail.com</t>
  </si>
  <si>
    <t>Abdur Rahman Shobuj</t>
  </si>
  <si>
    <t>Uttara Town College University</t>
  </si>
  <si>
    <t>MD. Abdul Sattar</t>
  </si>
  <si>
    <t>Village - joynal market, Thana- Dakkhinkhan, Dist- Dhaka, P/O- 1230</t>
  </si>
  <si>
    <t>Village- Joynal market, Thana- Dakkhinkhan, Dist- Dhaka, P/O- 1230</t>
  </si>
  <si>
    <t>17/02/1994</t>
  </si>
  <si>
    <t>NaimUddinMahmood</t>
  </si>
  <si>
    <t>Naim Uddin Mahmood</t>
  </si>
  <si>
    <t>Kazi Ziaur Rahman Majba</t>
  </si>
  <si>
    <t>House 12, Road 09, Nikunju-2</t>
  </si>
  <si>
    <t>Village: Amtola, Mograpara, Post Office: Bars Nagar, Thana: Sonargaon ,District: Narayanganj</t>
  </si>
  <si>
    <t>Mashiur Rahman Khan</t>
  </si>
  <si>
    <t>mashiur0199@gmail.com</t>
  </si>
  <si>
    <t>Md. Nasir Uddin</t>
  </si>
  <si>
    <t>Md.Salim khan</t>
  </si>
  <si>
    <t>Mst.Nargis Pervin</t>
  </si>
  <si>
    <t>Nikhunja-2</t>
  </si>
  <si>
    <t>Vill:Char Raipur, Dis: Sirajganj, Thana: Sirajganj sadar</t>
  </si>
  <si>
    <t>sanjidashabnoor@gmail.com</t>
  </si>
  <si>
    <t>MD JAVED OMER</t>
  </si>
  <si>
    <t>A 05392729</t>
  </si>
  <si>
    <t>SOUTHERN UNIVERSITY BANGLADESH</t>
  </si>
  <si>
    <t>LATE ANAMUL HAQUE</t>
  </si>
  <si>
    <t>KAHINUR AKTER</t>
  </si>
  <si>
    <t>UTTAR PARA, MEMBER BARI MUR,KHILKHET,DHAKA,1229</t>
  </si>
  <si>
    <t>LOHAGARA,CHATTOGRAM</t>
  </si>
  <si>
    <t>Most. Sathi Ara khatun</t>
  </si>
  <si>
    <t>Sathiara35@gmail.com</t>
  </si>
  <si>
    <t>Razib Hossain</t>
  </si>
  <si>
    <t>4 years</t>
  </si>
  <si>
    <t>MD.Shamsuddoha</t>
  </si>
  <si>
    <t>56 no South Jatrabari Dhaka -1204</t>
  </si>
  <si>
    <t>Rajib Hossain</t>
  </si>
  <si>
    <t>Tasnimul Hasan Zayaan</t>
  </si>
  <si>
    <t>19/10/2019</t>
  </si>
  <si>
    <t>Genex286</t>
  </si>
  <si>
    <t>MD. Imran Hasan</t>
  </si>
  <si>
    <t>mdimranhasanemon71@gmail.com</t>
  </si>
  <si>
    <t>Forida Yeasmin</t>
  </si>
  <si>
    <t>20.07.1998</t>
  </si>
  <si>
    <t>MD. Ibrahim Mondal</t>
  </si>
  <si>
    <t>Vora, Gazipur Sadar, Gazipur</t>
  </si>
  <si>
    <t>Gafargoan, Mymensingh</t>
  </si>
  <si>
    <t>Genex301</t>
  </si>
  <si>
    <t>mdsaidurrahmansakib@gmail.com</t>
  </si>
  <si>
    <t>SM Mustafizur Rahman</t>
  </si>
  <si>
    <t>Md. Abu Bokor Shakh</t>
  </si>
  <si>
    <t>MOST. Saleha Khatun</t>
  </si>
  <si>
    <t>Aminpur,Pabna</t>
  </si>
  <si>
    <t>BIBI Kulsum</t>
  </si>
  <si>
    <t>sajeda12042024@gmail.com</t>
  </si>
  <si>
    <t>Md Rokinur zaman Roki</t>
  </si>
  <si>
    <t>Fulbary Government College</t>
  </si>
  <si>
    <t>AM.A. Mannan</t>
  </si>
  <si>
    <t>East Nakhalpara, Tejgaon, Dhaka</t>
  </si>
  <si>
    <t>Newtown 6no ,Dinajpur</t>
  </si>
  <si>
    <t>Md. Rokinur Zaman Roki</t>
  </si>
  <si>
    <t>Genex209</t>
  </si>
  <si>
    <t>Arif Muhammad</t>
  </si>
  <si>
    <t xml:space="preserve"> D114/72584/0207 </t>
  </si>
  <si>
    <t>Arif98.md23@gmail.com</t>
  </si>
  <si>
    <t>Ahmed Muhammad shafique</t>
  </si>
  <si>
    <t>EH0615273</t>
  </si>
  <si>
    <t xml:space="preserve">Bsc in computer science and engineering </t>
  </si>
  <si>
    <t xml:space="preserve">American international university - Bangladesh </t>
  </si>
  <si>
    <t xml:space="preserve">Muhammad shafiqur Rahman khan </t>
  </si>
  <si>
    <t>Mosammat hosne ara</t>
  </si>
  <si>
    <t xml:space="preserve">Road-12 , Nikunja-2, Dhaka </t>
  </si>
  <si>
    <t xml:space="preserve">Road -12, Nikunja-2 , Dhaka </t>
  </si>
  <si>
    <t>Mahfuj Anam</t>
  </si>
  <si>
    <t>mahfujanam023@gmail.com</t>
  </si>
  <si>
    <t>Md Ali Ahmed</t>
  </si>
  <si>
    <t>B.Sc Hon's Knitwear Merchandising</t>
  </si>
  <si>
    <t>Ali Munnesa</t>
  </si>
  <si>
    <t>Gawair Dakhinkhan road,House 484,Ward 49,Airport</t>
  </si>
  <si>
    <t>Gawair,Dakhinkhan road,House 484,Ward - 49,Airport</t>
  </si>
  <si>
    <t>Humaira Jarin</t>
  </si>
  <si>
    <t>Genex184</t>
  </si>
  <si>
    <t>Md Siyam Hossain</t>
  </si>
  <si>
    <t>hossainmdsiyam98@gmail.com</t>
  </si>
  <si>
    <t>Md. Tapchirul Hoque</t>
  </si>
  <si>
    <t>Wali Newaz Khan College Kishoreganj</t>
  </si>
  <si>
    <t>Ripa Aktar</t>
  </si>
  <si>
    <t xml:space="preserve">Rampura,Dhaka </t>
  </si>
  <si>
    <t>Kishoreganj,Dhaka,Bangladesh</t>
  </si>
  <si>
    <t>naihe58op</t>
  </si>
  <si>
    <t>Dipika Das</t>
  </si>
  <si>
    <t>dwipikadas0@gmail.com</t>
  </si>
  <si>
    <t>Sujala Das</t>
  </si>
  <si>
    <t>1798011750/ 1726834356</t>
  </si>
  <si>
    <t>Feni goverment college</t>
  </si>
  <si>
    <t>Ranjit Das</t>
  </si>
  <si>
    <t>26/6, nurpur, kadamtole</t>
  </si>
  <si>
    <t>Fazilpur, feni</t>
  </si>
  <si>
    <t>jatrabari</t>
  </si>
  <si>
    <t>Rowson Ara Talukder</t>
  </si>
  <si>
    <t>Genex320</t>
  </si>
  <si>
    <t>Nadiruzzaman</t>
  </si>
  <si>
    <t>sabbirrahmanbd1998@gmail.com</t>
  </si>
  <si>
    <t>Zisan kabir</t>
  </si>
  <si>
    <t>Helal Sikder</t>
  </si>
  <si>
    <t>Nasrin Bregum</t>
  </si>
  <si>
    <t>House-20,Road -07,Sector -10 Uttara,Dhaka,1230</t>
  </si>
  <si>
    <t>Tarafpur,Mirzapur,Tangail</t>
  </si>
  <si>
    <t>Md. Ahasanul Haque</t>
  </si>
  <si>
    <t>haqueahasanul.md@gmail.com</t>
  </si>
  <si>
    <t>Mrs. Shafali Parvin</t>
  </si>
  <si>
    <t>Diploma In Engineering</t>
  </si>
  <si>
    <t>Shyamoli Ideal Polytechnic Institute</t>
  </si>
  <si>
    <t>Md. Anwarul Haque</t>
  </si>
  <si>
    <t>Sarnali Tower, Kushumbag R/A, House no. 12/A, Road no. # 01, North Bishil, Section no. # 01, Mirpur, Dhaka-1216.</t>
  </si>
  <si>
    <t>Vill # Tamni Akondo Para, P.O. # Guzadia, P.S. # Karimganj, Dist. # Kishoreganj.</t>
  </si>
  <si>
    <t>beilei299op</t>
  </si>
  <si>
    <t>Md Sharif Patoyary</t>
  </si>
  <si>
    <t>604529/2002</t>
  </si>
  <si>
    <t>sarif.ten@gmail.com</t>
  </si>
  <si>
    <t>Sumona Ahther Eva</t>
  </si>
  <si>
    <t>Md Nijam Hossain</t>
  </si>
  <si>
    <t>R-9, H-6, Nikunja-2, Khilkhet, Dhaka-1229</t>
  </si>
  <si>
    <t>7/1 Hajigonj banglo, M-circus, Narayanjgonj-1400</t>
  </si>
  <si>
    <t>Sumona Akther Eva</t>
  </si>
  <si>
    <t>Monira Khatun</t>
  </si>
  <si>
    <t>Ashamoni Akter</t>
  </si>
  <si>
    <t>akterashamoni16@gmail.com</t>
  </si>
  <si>
    <t>Bhawal Badre Alom Govt.College</t>
  </si>
  <si>
    <t>Late Abul Kasem Bepary</t>
  </si>
  <si>
    <t>Member Market,Mosjid Road,Board Bazar,Gazipur</t>
  </si>
  <si>
    <t>Vill:Cherag Ali Bepary Kandi,Post Office:Budhair Hat,Upozilla:Jajira,Zilla:Jajira</t>
  </si>
  <si>
    <t>Board Bazar</t>
  </si>
  <si>
    <t>Bayazid Al Araf</t>
  </si>
  <si>
    <t>Azinat Binte Araf</t>
  </si>
  <si>
    <t>Genex165</t>
  </si>
  <si>
    <t>Md Rakibul Hassan Pallob</t>
  </si>
  <si>
    <t>rakibulhassanpallob@gmail.com</t>
  </si>
  <si>
    <t>MD sahakul Islam</t>
  </si>
  <si>
    <t>Md. Sahakul Islam</t>
  </si>
  <si>
    <t>Parul Begum</t>
  </si>
  <si>
    <t>H# 13/C, R# 13, Kallayanpur, Dhaka-1230</t>
  </si>
  <si>
    <t>Khubjipur, Gurudaspur, Dhaka.</t>
  </si>
  <si>
    <t>Kollayanpur</t>
  </si>
  <si>
    <t>Genex191</t>
  </si>
  <si>
    <t>ronnieeahmed1992@gmail.com</t>
  </si>
  <si>
    <t>Fahima Hawladar</t>
  </si>
  <si>
    <t>B.S.S (Hon's)</t>
  </si>
  <si>
    <t>Tongi Gov't College</t>
  </si>
  <si>
    <t>Renu Begum</t>
  </si>
  <si>
    <t>Ershad Nagar, Tongi, Gazipur</t>
  </si>
  <si>
    <t>Hossain Ahammed</t>
  </si>
  <si>
    <t>Hossainahmedrafi29@gmail.com</t>
  </si>
  <si>
    <t>Hasan Ahmed</t>
  </si>
  <si>
    <t>Abdul Kader</t>
  </si>
  <si>
    <t>Area: Dhaka University, kobi Jasimuddin hall, Post office: Dhaka -1000, Police station: Shahbag, District: Dhaka</t>
  </si>
  <si>
    <t>Village: sreerampur, Post office: montali bazar, Police station: Nangalkot, District: Cumilla</t>
  </si>
  <si>
    <t>Tarin Khanam</t>
  </si>
  <si>
    <t>Sohan Sheikh</t>
  </si>
  <si>
    <t>780 467 0268</t>
  </si>
  <si>
    <t>Md. Kalam Sheikh</t>
  </si>
  <si>
    <t>Mina Begum</t>
  </si>
  <si>
    <t>ক-57 Kha para, Khilkhet, Dhaka</t>
  </si>
  <si>
    <t>Vill: Paikerdanga, Post: Kuthibari, Dist: Gopalganj</t>
  </si>
  <si>
    <t>Kha para</t>
  </si>
  <si>
    <t>Rathin Mondol</t>
  </si>
  <si>
    <t>Nikunjo mondal</t>
  </si>
  <si>
    <t>A01400520</t>
  </si>
  <si>
    <t>Bijen mondal</t>
  </si>
  <si>
    <t>Morani mondal</t>
  </si>
  <si>
    <t>Mirpur 10, Dhaka, Bangladesh</t>
  </si>
  <si>
    <t>Kotalipara, gopalgonj, Dhaka, Bangladesh</t>
  </si>
  <si>
    <t>Mirpur 10, Dhaka</t>
  </si>
  <si>
    <t>Md Mosaddek Hossain</t>
  </si>
  <si>
    <t>Mohammad Abdul Aziz</t>
  </si>
  <si>
    <t>A15774315</t>
  </si>
  <si>
    <t>Maksuda Akter</t>
  </si>
  <si>
    <t>PO: Jigatola post office, PS: Dhanmondi Model Thana, Dis: Dhaka</t>
  </si>
  <si>
    <t>Vill: Mohonpur, PO: Mohonpur, PS: Matlab North, Dis: Chandpur</t>
  </si>
  <si>
    <t>Genex130</t>
  </si>
  <si>
    <t>Polokrahman20@gmail.com</t>
  </si>
  <si>
    <t>Abul kalam</t>
  </si>
  <si>
    <t>A05122988</t>
  </si>
  <si>
    <t>Dhaka institute of fashion and technology</t>
  </si>
  <si>
    <t>Salma akter</t>
  </si>
  <si>
    <t>Khilkhet kurmitola school road ,Dhaka 1229</t>
  </si>
  <si>
    <t>Vill- Charandhar manik, dist- Rajbari thana- Goalondoghat</t>
  </si>
  <si>
    <t>Sadia Nasrin</t>
  </si>
  <si>
    <t>sadianasrin642@gmail.com</t>
  </si>
  <si>
    <t>Mustakim Ahmed</t>
  </si>
  <si>
    <t>Master of Science (Msc)</t>
  </si>
  <si>
    <t>Govt. Rajendra College, Faridpur</t>
  </si>
  <si>
    <t>Md. Sohrab Ali Sarder</t>
  </si>
  <si>
    <t>House-2664, Block-B, Sayednagar, Vatara, Dhaka-1212</t>
  </si>
  <si>
    <t>Vill: Majlishpur, P.O:Basantapur, Upazila:Rajbari Sadar, District:Rajbari</t>
  </si>
  <si>
    <t>Humayra Afrin</t>
  </si>
  <si>
    <t>MST.LILIMA KHATUN</t>
  </si>
  <si>
    <t>MD.AKRAMUL HAQUE</t>
  </si>
  <si>
    <t>MST.LULIMA KHATUN</t>
  </si>
  <si>
    <t>Beparipara,khilkhet bazar,nikunja.</t>
  </si>
  <si>
    <t>Sreekandor,Kayempur-6320,Gomosthapur,Chapainawabganj</t>
  </si>
  <si>
    <t>UCB card no : 4094010048010597 Old EID-171725</t>
  </si>
  <si>
    <t>Beanger Ahmed Sadik</t>
  </si>
  <si>
    <t>beanjirahmedsadik@gmail.com</t>
  </si>
  <si>
    <t>Sayem</t>
  </si>
  <si>
    <t>Badrunnahar</t>
  </si>
  <si>
    <t>Mymensingh sadar</t>
  </si>
  <si>
    <t>Nusratpoly1999@gmail.com</t>
  </si>
  <si>
    <t>Aunt</t>
  </si>
  <si>
    <t>Shanto-mariam institution of creative technology</t>
  </si>
  <si>
    <t>Md.Azahar Fakir</t>
  </si>
  <si>
    <t>Saleha Begum</t>
  </si>
  <si>
    <t>Dakhshin khan, faydabadh, house :19,Dhaka :1230</t>
  </si>
  <si>
    <t>Dakhshin khan,faydhabadh, house :19, Dhaka :1230</t>
  </si>
  <si>
    <t>Jahid hasan anzan</t>
  </si>
  <si>
    <t>Tawhid noor afiff</t>
  </si>
  <si>
    <t>Md Omit Hasan</t>
  </si>
  <si>
    <t>Genex287</t>
  </si>
  <si>
    <t>Md.Kawsar</t>
  </si>
  <si>
    <t xml:space="preserve">munsiikawsar@gmail.com </t>
  </si>
  <si>
    <t>Md.Elias Hossain</t>
  </si>
  <si>
    <t>25.10.1997</t>
  </si>
  <si>
    <t>Md.Unus Munsi</t>
  </si>
  <si>
    <t>Sahanara Begum</t>
  </si>
  <si>
    <t xml:space="preserve">104/7,Aysha Monjil,Khapara,Sawra,Zohar </t>
  </si>
  <si>
    <t>Charmysadi, Islampur, Patuakhali</t>
  </si>
  <si>
    <t>Genex282</t>
  </si>
  <si>
    <t>Tanmoy Islam Opu</t>
  </si>
  <si>
    <t>opuak666@gmail.com</t>
  </si>
  <si>
    <t>Ali Akbor</t>
  </si>
  <si>
    <t>27/03/1997</t>
  </si>
  <si>
    <t>Renu Akbor</t>
  </si>
  <si>
    <t>Mirpur-6, Dhaka</t>
  </si>
  <si>
    <t>Nadia Akhter Antora</t>
  </si>
  <si>
    <t>heibulin97op</t>
  </si>
  <si>
    <t>Md Mominul Islam</t>
  </si>
  <si>
    <t>Genex171</t>
  </si>
  <si>
    <t>Al Amin</t>
  </si>
  <si>
    <t>alamin944024@gmail.com</t>
  </si>
  <si>
    <t>Md. Abdul Baset</t>
  </si>
  <si>
    <t>DhaKa college</t>
  </si>
  <si>
    <t>newpaltonline azimpur dhaka</t>
  </si>
  <si>
    <t>Ramchandrapur, munsi bari,hajiganj,chandpur</t>
  </si>
  <si>
    <t>Tithy Rani Das</t>
  </si>
  <si>
    <t>naihe64op</t>
  </si>
  <si>
    <t>Md. Shahnawas Tabib</t>
  </si>
  <si>
    <t>tabibkhan947@gmail.com</t>
  </si>
  <si>
    <t>Sakib</t>
  </si>
  <si>
    <t>Hajee Mohammad Danesh Science And Technology University</t>
  </si>
  <si>
    <t>Late Liaquat Hossain</t>
  </si>
  <si>
    <t>Gulsan Ara Begum</t>
  </si>
  <si>
    <t>house#403, Road#1, Moushair,Dakkshinkhan, Dhaka-1230</t>
  </si>
  <si>
    <t>Dakkshinkhan</t>
  </si>
  <si>
    <t>Sayema Akther</t>
  </si>
  <si>
    <t>Pasoara Begum</t>
  </si>
  <si>
    <t>Siddheswari Degree College,Dhaka</t>
  </si>
  <si>
    <t>Late Md. Monirul Islam</t>
  </si>
  <si>
    <t>KHA-84/2/A TALERTAK SOUTH NAMAPARA KHILKHAT,DHAKA-1229</t>
  </si>
  <si>
    <t>South Keroa,Raipur,Lakshmipur</t>
  </si>
  <si>
    <t>xisailuo25op</t>
  </si>
  <si>
    <t>Rocktim Das</t>
  </si>
  <si>
    <t>rocktim1630@gmail.com</t>
  </si>
  <si>
    <t>RIMA RANI</t>
  </si>
  <si>
    <t>SREE AMULLAH KUMAR DAS</t>
  </si>
  <si>
    <t>KAKOLEE DAS</t>
  </si>
  <si>
    <t>KADERABAD HOUSING,MOHAMMODPUR,DHAKA.(HOUSE: 23,ROAD: 6)</t>
  </si>
  <si>
    <t>Vill: PALIBARI, POST: KHANJANPUR, THANA:JOYPURHAT, DIST: JOYPURHAT.</t>
  </si>
  <si>
    <t>MOHAMMODPUR</t>
  </si>
  <si>
    <t>GenexJ022</t>
  </si>
  <si>
    <t>Rony Mia</t>
  </si>
  <si>
    <t>jedmohammad993@gmail.com</t>
  </si>
  <si>
    <t>GRADUATION</t>
  </si>
  <si>
    <t>29 ARAMBAGH, MOTIHJEEL- DHAKA-1000</t>
  </si>
  <si>
    <t>VILLAGE: GONKA BAGAN PARA THANA: CHAPAI NAWABGANJ POST: CHAPAI NAWABGANJ P0ST CODE: 6300 DISTRICT: CHAPAI NAWABGANJ</t>
  </si>
  <si>
    <t>ARAMBAGH</t>
  </si>
  <si>
    <t>M A Rahim</t>
  </si>
  <si>
    <t>22/12/1999</t>
  </si>
  <si>
    <t>BIHRM</t>
  </si>
  <si>
    <t>M.A. Rahim</t>
  </si>
  <si>
    <t>Mosammat Shamima Begum</t>
  </si>
  <si>
    <t>102,Faidabad main road, Faidabad South, Dakshinkhan, Dhaka-1230.</t>
  </si>
  <si>
    <t>102,Faidabad main road, Faidabad South, Dakshinkhan, Dhaka-1230</t>
  </si>
  <si>
    <t>Faidabad, Dakshinkhan, Dhaka</t>
  </si>
  <si>
    <t>Genex315</t>
  </si>
  <si>
    <t>Antu Biswas</t>
  </si>
  <si>
    <t>antubiswas41@gmail.com</t>
  </si>
  <si>
    <t>Debbroto debadhikary</t>
  </si>
  <si>
    <t>13/10/1996</t>
  </si>
  <si>
    <t>Nondo Biswas</t>
  </si>
  <si>
    <t>Mukte Biswas</t>
  </si>
  <si>
    <t>H-1/A,R-20,Nikunja-2,Khilkhet,Dhaka-1229</t>
  </si>
  <si>
    <t>Arpara,Kaligonj,Jhenaidah</t>
  </si>
  <si>
    <t>Farhat Lamisa Shorgo</t>
  </si>
  <si>
    <t>lamisa.city.tex34@gmail.com</t>
  </si>
  <si>
    <t>Md Rohmot Uz Zaman Babu</t>
  </si>
  <si>
    <t>1715-020303</t>
  </si>
  <si>
    <t>BQ0639850</t>
  </si>
  <si>
    <t>Md .Rohmot Uz Zaman Babu</t>
  </si>
  <si>
    <t>Shamim Ara Dipa</t>
  </si>
  <si>
    <t>183 , West Nakhalpara , Tejgaon , Dhaka -1215</t>
  </si>
  <si>
    <t>165, Tejkunipara , Tejgaon , Dhaka-1215</t>
  </si>
  <si>
    <t>naihe60op</t>
  </si>
  <si>
    <t>Tanjina Ferdous</t>
  </si>
  <si>
    <t>tanjinaferdows@gmail.com</t>
  </si>
  <si>
    <t>Relative</t>
  </si>
  <si>
    <t>Bachelor Degree</t>
  </si>
  <si>
    <t>Eden Mohila Collage</t>
  </si>
  <si>
    <t>Tafir Uddin</t>
  </si>
  <si>
    <t>Khadiza Akther</t>
  </si>
  <si>
    <t>229/4 North Badda ,Hazipara ,Masjid Road ,Dhaka 1212</t>
  </si>
  <si>
    <t>House: 136, Block: D ,village: Baherarchala ,Kewa ,Sreepur ,Gazipur .</t>
  </si>
  <si>
    <t>North Badda</t>
  </si>
  <si>
    <t>Nadira Akter Dina</t>
  </si>
  <si>
    <t>nadiradinaa@gmail.com</t>
  </si>
  <si>
    <t>Md.aslam</t>
  </si>
  <si>
    <t>Akter jahan</t>
  </si>
  <si>
    <t>House: 6,road:34,block :TA,section:6,mirpur, dhaka,1216</t>
  </si>
  <si>
    <t>Village:uttar gram,thana:burichang,post:ghilatola,cumilla,3500</t>
  </si>
  <si>
    <t>Juti Afrose</t>
  </si>
  <si>
    <t>23/3/1995</t>
  </si>
  <si>
    <t>Altab Hossain</t>
  </si>
  <si>
    <t>Genex329</t>
  </si>
  <si>
    <t>Md. Jahid Hasan Prince</t>
  </si>
  <si>
    <t>jahid.official1555@gmail.com</t>
  </si>
  <si>
    <t>Md Abdus Satter Patowary</t>
  </si>
  <si>
    <t>Nargish Begum</t>
  </si>
  <si>
    <t>Kalwala para , Mirpur-1</t>
  </si>
  <si>
    <t>Dhanua, Faridganj, Chandpur</t>
  </si>
  <si>
    <t>heibulin77op</t>
  </si>
  <si>
    <t>Md Sorif Hosen</t>
  </si>
  <si>
    <t>25/10/1998</t>
  </si>
  <si>
    <t>west manikdi, Dhaka cantonment,Dhaka</t>
  </si>
  <si>
    <t>Chotodap, Chotodap-5040, Atwari, Panchagarh</t>
  </si>
  <si>
    <t>Sultana Akther</t>
  </si>
  <si>
    <t>Genex251</t>
  </si>
  <si>
    <t>Md.Rashaduzzaman</t>
  </si>
  <si>
    <t>rashedsharif.bd@gmail.com</t>
  </si>
  <si>
    <t>Stamford university</t>
  </si>
  <si>
    <t>Sultana rina</t>
  </si>
  <si>
    <t>malibag ,dhaka-1217</t>
  </si>
  <si>
    <t>faridpur sadar. Faridpur</t>
  </si>
  <si>
    <t>malibgh</t>
  </si>
  <si>
    <t>Md. Shahriar Kobir</t>
  </si>
  <si>
    <t>shahriarshuvo21@gmail.com</t>
  </si>
  <si>
    <t>Varendra University</t>
  </si>
  <si>
    <t>Mst. Munniara Begum</t>
  </si>
  <si>
    <t>House: 231,232,Block-Dha,Road-Kalshi, Mirpur 12,Dhaka</t>
  </si>
  <si>
    <t>Village: Chatra, Post: Chalkkirti-6341,Shibganj,Chapai Nawabganj.</t>
  </si>
  <si>
    <t>Kaniz Farzana</t>
  </si>
  <si>
    <t>Enamul kabir</t>
  </si>
  <si>
    <t>AB Positive</t>
  </si>
  <si>
    <t>Late Rabiul alam</t>
  </si>
  <si>
    <t>Late Anowara begum</t>
  </si>
  <si>
    <t>North jatrabari</t>
  </si>
  <si>
    <t>Tahira Tabassum Chaity</t>
  </si>
  <si>
    <t>sikder4241@gmail.com</t>
  </si>
  <si>
    <t>Afroza khatun</t>
  </si>
  <si>
    <t>BCSE-at IUBAT</t>
  </si>
  <si>
    <t>BCSE At IUBAT</t>
  </si>
  <si>
    <t>Tahira Tabusaum Chaity</t>
  </si>
  <si>
    <t>sector 10</t>
  </si>
  <si>
    <t>unmmmarid</t>
  </si>
  <si>
    <t>Mahmudul Hassan</t>
  </si>
  <si>
    <t>mah2827316@gmail.com</t>
  </si>
  <si>
    <t>Mushfika jahan</t>
  </si>
  <si>
    <t>Mahfuja khanom</t>
  </si>
  <si>
    <t>380/2 Manikdi, Ecb Chattar, Dhaka Cantonment</t>
  </si>
  <si>
    <t>Village: Purbo sarodubi, Thana: Hatibandha, District: Lalmonirhat, Division: Rangpur</t>
  </si>
  <si>
    <t>Mst. Taniya Hamid</t>
  </si>
  <si>
    <t>taniyahamid08@gmail.com</t>
  </si>
  <si>
    <t>Soniya Hamid</t>
  </si>
  <si>
    <t>Pundra University of Science &amp; Technology</t>
  </si>
  <si>
    <t>Md.Abdul Hamid Molla</t>
  </si>
  <si>
    <t>Mst.Nilufa Hamid</t>
  </si>
  <si>
    <t>House 14,Road 01,Nikunja 2,Khilkhet Dhaka</t>
  </si>
  <si>
    <t>Chopinagur, Shahjahanpur,Bogura</t>
  </si>
  <si>
    <t>beilei270op</t>
  </si>
  <si>
    <t>Tazia Sultana</t>
  </si>
  <si>
    <t>tazia140@gmail.com</t>
  </si>
  <si>
    <t>Quazi Delwar Hossain</t>
  </si>
  <si>
    <t>Govt.M.M College Jashore</t>
  </si>
  <si>
    <t>MRS Ferdousi Hossain</t>
  </si>
  <si>
    <t>Solmai, Sultan Market, kazi bari, near Al - Quran Mosque, Bosumoti, Bosundhara, vatara Dhaka</t>
  </si>
  <si>
    <t>343/A Shahid Moshiur Rahman road police line Talikhola, puraton Kasba, Jashore-7400, Jasore sodor thana, Jashore</t>
  </si>
  <si>
    <t>Bosundhara</t>
  </si>
  <si>
    <t>SELIM JABED</t>
  </si>
  <si>
    <t>Fasiul Lisan Evan</t>
  </si>
  <si>
    <t>20/06/2020</t>
  </si>
  <si>
    <t>beilei282op</t>
  </si>
  <si>
    <t>Tanvir Hosan Khan</t>
  </si>
  <si>
    <t>khan.tanvirrd@gmail.com</t>
  </si>
  <si>
    <t>Beauty Khatun</t>
  </si>
  <si>
    <t>International University of Business Agriculture &amp; Technology (IUBAT)</t>
  </si>
  <si>
    <t>Md. Abdur Rouf Khan</t>
  </si>
  <si>
    <t>House#27, Road#12, Sector#10, Uttara, Dhaka 1230</t>
  </si>
  <si>
    <t>Vill:- Laskerpur, P.O:- Kamlapur P.S:- Narail Sadar, Dist.:- Narail</t>
  </si>
  <si>
    <t>Uttara sector 10</t>
  </si>
  <si>
    <t>Genex262</t>
  </si>
  <si>
    <t>Md Khairul Islam</t>
  </si>
  <si>
    <t>Md. Bablu Khan</t>
  </si>
  <si>
    <t>Late Khoiful Begum</t>
  </si>
  <si>
    <t>Zirabo Ashulia, Savar Dhaka</t>
  </si>
  <si>
    <t>Konagati, Porabari, Sirajganj Sadar, Sirajgonj</t>
  </si>
  <si>
    <t>Genex134</t>
  </si>
  <si>
    <t>Hasibul Islam</t>
  </si>
  <si>
    <t>hasib4634@gmail.com</t>
  </si>
  <si>
    <t>Md chondu Mia</t>
  </si>
  <si>
    <t>Anwara Begum</t>
  </si>
  <si>
    <t>Askona, hajicamp Dhaka</t>
  </si>
  <si>
    <t>Bajitpur, Kishorganj</t>
  </si>
  <si>
    <t>heibulin71op</t>
  </si>
  <si>
    <t>Tasphia Reza</t>
  </si>
  <si>
    <t>Rabeya Sultana</t>
  </si>
  <si>
    <t>Mother-Daughter</t>
  </si>
  <si>
    <t>29/12/1996</t>
  </si>
  <si>
    <t>35, Elias Mansion, West Tejturi Bajar, Farmgate, Dhaka 1215</t>
  </si>
  <si>
    <t>1720, Hasna Mansion, Gabtoli road, Naruli west para, Bogura 5800</t>
  </si>
  <si>
    <t>Farmgate, Dhaka.</t>
  </si>
  <si>
    <t>Genex387</t>
  </si>
  <si>
    <t xml:space="preserve">rana99138@gmail.com </t>
  </si>
  <si>
    <t xml:space="preserve">jahangir molla </t>
  </si>
  <si>
    <t>22/01/1998</t>
  </si>
  <si>
    <t>Jahangir molla</t>
  </si>
  <si>
    <t xml:space="preserve">Ripu Begum </t>
  </si>
  <si>
    <t>mirpur13</t>
  </si>
  <si>
    <t xml:space="preserve">vill:Dumain , p.o: Madhukhali, Dis: Faridpur </t>
  </si>
  <si>
    <t>Mirpur_13</t>
  </si>
  <si>
    <t>SL</t>
  </si>
  <si>
    <t>E-ID</t>
  </si>
  <si>
    <t>Name</t>
  </si>
  <si>
    <t>Contact No.</t>
  </si>
  <si>
    <t>Type of employment</t>
  </si>
  <si>
    <t>Previous Designation</t>
  </si>
  <si>
    <t>New Designation</t>
  </si>
  <si>
    <t>previous Job Role</t>
  </si>
  <si>
    <t>New Job Role</t>
  </si>
  <si>
    <t>Previous Department </t>
  </si>
  <si>
    <t>New Department</t>
  </si>
  <si>
    <t>New Process</t>
  </si>
  <si>
    <t>Previous LOB</t>
  </si>
  <si>
    <t>New LOB</t>
  </si>
  <si>
    <t>Proposed Movement Effective Date</t>
  </si>
  <si>
    <t>Financial Changes Effective Date</t>
  </si>
  <si>
    <t>Previous Rate 1</t>
  </si>
  <si>
    <t>Previous Rate 2</t>
  </si>
  <si>
    <t>Previous Rate 3</t>
  </si>
  <si>
    <t>New Rate 1</t>
  </si>
  <si>
    <t>New Rate 2</t>
  </si>
  <si>
    <t>New Rate 3</t>
  </si>
  <si>
    <t>Contractual </t>
  </si>
  <si>
    <t xml:space="preserve">Operations </t>
  </si>
  <si>
    <t xml:space="preserve">TEMU </t>
  </si>
  <si>
    <t>2500 (Night shift incentive)</t>
  </si>
  <si>
    <t>Emp ID</t>
  </si>
  <si>
    <t>LOB</t>
  </si>
  <si>
    <t>Supervisor_1</t>
  </si>
  <si>
    <t>Supervisor_2</t>
  </si>
  <si>
    <t>Resignation Submission Date</t>
  </si>
  <si>
    <t>LWD</t>
  </si>
  <si>
    <t>Notice Period(Day Count)</t>
  </si>
  <si>
    <t>Attrition Type</t>
  </si>
  <si>
    <t>Attrition Reason</t>
  </si>
  <si>
    <t>Retention effort by Supervisor_1</t>
  </si>
  <si>
    <t xml:space="preserve">Retention status
Supervisor_1</t>
  </si>
  <si>
    <t>Supervisor_2 review date</t>
  </si>
  <si>
    <t>Retention effort by Supervisor_2</t>
  </si>
  <si>
    <t>Retention status - Supervisor_2</t>
  </si>
  <si>
    <t>Id blocking mail Status</t>
  </si>
  <si>
    <t>MDB</t>
  </si>
  <si>
    <t>ID Block</t>
  </si>
  <si>
    <t>Notice Period Deduction Status</t>
  </si>
  <si>
    <t>HR Remarks</t>
  </si>
  <si>
    <t>mmaigenex010</t>
  </si>
  <si>
    <t>Product attributes classification</t>
  </si>
  <si>
    <t>7days</t>
  </si>
  <si>
    <t>Yes</t>
  </si>
  <si>
    <t>Negative</t>
  </si>
  <si>
    <t>Ok</t>
  </si>
  <si>
    <t>mmaigenex032</t>
  </si>
  <si>
    <t xml:space="preserve">NO </t>
  </si>
  <si>
    <t>Graduate </t>
  </si>
  <si>
    <t>7 days deduction</t>
  </si>
  <si>
    <t>NO</t>
  </si>
  <si>
    <t>mmaigenex003</t>
  </si>
  <si>
    <t>Natural language process</t>
  </si>
  <si>
    <t>Bhuiyan</t>
  </si>
  <si>
    <t xml:space="preserve">8 days </t>
  </si>
  <si>
    <t>TajimNur</t>
  </si>
  <si>
    <t>8 Days</t>
  </si>
  <si>
    <t>5 Days</t>
  </si>
  <si>
    <t>Better Oppurtunity</t>
  </si>
  <si>
    <t>2 days deduction</t>
  </si>
  <si>
    <t>Ahamed</t>
  </si>
  <si>
    <t>MD.Sakil Ahmed</t>
  </si>
  <si>
    <t>Product Review</t>
  </si>
  <si>
    <t>7 Days</t>
  </si>
  <si>
    <t>Study Purpose</t>
  </si>
  <si>
    <t>0 Days</t>
  </si>
  <si>
    <t xml:space="preserve">Force resignattion </t>
  </si>
  <si>
    <t>Dewan Raisul Islam Rohit</t>
  </si>
  <si>
    <t>Moontakim Alif</t>
  </si>
  <si>
    <t>Better Opportunities</t>
  </si>
  <si>
    <t>Hossain</t>
  </si>
  <si>
    <t>Better Opportunity </t>
  </si>
  <si>
    <t>MD.Fahim Hossain Hemal</t>
  </si>
  <si>
    <t>Undegraduate</t>
  </si>
  <si>
    <t>Sickness Issues</t>
  </si>
  <si>
    <t>1 Days</t>
  </si>
  <si>
    <t xml:space="preserve">Negative </t>
  </si>
  <si>
    <t>New Opportunity</t>
  </si>
  <si>
    <t>Academic Issues</t>
  </si>
  <si>
    <t>Abroad Study Purpose</t>
  </si>
  <si>
    <t>Family Purpose</t>
  </si>
  <si>
    <t>6 days deduction</t>
  </si>
  <si>
    <t>Md.Sames E Tahmid</t>
  </si>
  <si>
    <t>Resign</t>
  </si>
  <si>
    <t>Starting Buisness</t>
  </si>
  <si>
    <t>MD. Saiduzzaman</t>
  </si>
  <si>
    <t>Undergaduate</t>
  </si>
  <si>
    <t>Study Isuue</t>
  </si>
  <si>
    <t>OK</t>
  </si>
  <si>
    <t>Gaduate</t>
  </si>
  <si>
    <t>Family Isuue</t>
  </si>
  <si>
    <t>Sicikness Isuue</t>
  </si>
  <si>
    <t>Got New Job</t>
  </si>
  <si>
    <t>06 Days</t>
  </si>
  <si>
    <t>MafiaChowdhury</t>
  </si>
  <si>
    <t>Genex040</t>
  </si>
  <si>
    <t>4 Days</t>
  </si>
  <si>
    <t>Educational Purpose</t>
  </si>
  <si>
    <t>Genex035</t>
  </si>
  <si>
    <t>ChanchalSarkar</t>
  </si>
  <si>
    <t>6 Days</t>
  </si>
  <si>
    <t>MinhazMahmud</t>
  </si>
  <si>
    <t>Genex047</t>
  </si>
  <si>
    <t>10 Days</t>
  </si>
  <si>
    <t>Study Aboard</t>
  </si>
  <si>
    <t>Genex003</t>
  </si>
  <si>
    <t>18 Days</t>
  </si>
  <si>
    <t>18 Days Deduction</t>
  </si>
  <si>
    <t>Natural Language process</t>
  </si>
  <si>
    <t>Sickness</t>
  </si>
  <si>
    <t>Better opportunities</t>
  </si>
  <si>
    <t>Sha Paran</t>
  </si>
  <si>
    <t>Exam issue</t>
  </si>
  <si>
    <t xml:space="preserve">Graduate  </t>
  </si>
  <si>
    <t>He was in leave then call him for join or resign.</t>
  </si>
  <si>
    <t>Shabnaj Shikdar</t>
  </si>
  <si>
    <t>Genex036</t>
  </si>
  <si>
    <t>Sourov Ahammed</t>
  </si>
  <si>
    <t>Exam Issues</t>
  </si>
  <si>
    <t>Aziza Rahman</t>
  </si>
  <si>
    <t>Md Shahnawaz Nayon</t>
  </si>
  <si>
    <t>Genex064</t>
  </si>
  <si>
    <t>Md. Mehedi Hasan </t>
  </si>
  <si>
    <t>Genex057</t>
  </si>
  <si>
    <t>6days</t>
  </si>
  <si>
    <t>1 Day Deduction</t>
  </si>
  <si>
    <t>Xisailuo82op</t>
  </si>
  <si>
    <t>MD. Fahim Hossain Himel</t>
  </si>
  <si>
    <t>Xisailuo22op</t>
  </si>
  <si>
    <t>MD.Fahim Hossain Himel</t>
  </si>
  <si>
    <t>MdBorhanuddin</t>
  </si>
  <si>
    <t>Md. Borhan uddin</t>
  </si>
  <si>
    <t>Study Purpuse</t>
  </si>
  <si>
    <t>Genex037</t>
  </si>
  <si>
    <t>Md. Sofuqul Islam</t>
  </si>
  <si>
    <t>Genex063</t>
  </si>
  <si>
    <t>Voluntary/Resign</t>
  </si>
  <si>
    <t>Md. Solaiman Mia</t>
  </si>
  <si>
    <t>1914-612034</t>
  </si>
  <si>
    <t>Better oppurtunity </t>
  </si>
  <si>
    <t>AridAhsanDodul</t>
  </si>
  <si>
    <t>1782-066240</t>
  </si>
  <si>
    <t>24 Days</t>
  </si>
  <si>
    <t>Md. Shahain Akther</t>
  </si>
  <si>
    <t>Srudy &amp; Family Issues</t>
  </si>
  <si>
    <t>9 Days</t>
  </si>
  <si>
    <t>Genex056</t>
  </si>
  <si>
    <t>SakiburRahman</t>
  </si>
  <si>
    <t>0 1642-292467</t>
  </si>
  <si>
    <t>Nazimuddoula leon</t>
  </si>
  <si>
    <t>treatment in abroad</t>
  </si>
  <si>
    <t>Genex041</t>
  </si>
  <si>
    <t>Raihan Ahmed</t>
  </si>
  <si>
    <t>IsratJahanChadni</t>
  </si>
  <si>
    <t>7 Days</t>
  </si>
  <si>
    <t>Better Opportunity  </t>
  </si>
  <si>
    <t>07 Days</t>
  </si>
  <si>
    <t>01812-021040</t>
  </si>
  <si>
    <t>08 Days</t>
  </si>
  <si>
    <t>MD. Sohrab Hossain</t>
  </si>
  <si>
    <t>S.M Mahbub Ahmed</t>
  </si>
  <si>
    <t>Family problem  </t>
  </si>
  <si>
    <t>1688-649298</t>
  </si>
  <si>
    <t>better opportunity</t>
  </si>
  <si>
    <t>Genex066</t>
  </si>
  <si>
    <t>0 Days</t>
  </si>
  <si>
    <t>Genex046</t>
  </si>
  <si>
    <t>7 Day</t>
  </si>
  <si>
    <t>0 Day</t>
  </si>
  <si>
    <t>Md Mahbub Hossain</t>
  </si>
  <si>
    <t>1 Day</t>
  </si>
  <si>
    <t>24­­­-Feb-24</t>
  </si>
  <si>
    <t>Heibulin12op</t>
  </si>
  <si>
    <t>Genex069</t>
  </si>
  <si>
    <t>Md. Ruhul Amin Tushar</t>
  </si>
  <si>
    <t>Genex065</t>
  </si>
  <si>
    <t>FatemaJannat</t>
  </si>
  <si>
    <t>Fatema Jannat</t>
  </si>
  <si>
    <t>Asif Iqbal</t>
  </si>
  <si>
    <t>RockyMarkosPalma</t>
  </si>
  <si>
    <t>01673-316545</t>
  </si>
  <si>
    <t>#####</t>
  </si>
  <si>
    <t>Md Moklesur Rahaman</t>
  </si>
  <si>
    <t>01794-528780</t>
  </si>
  <si>
    <t>family Issue(mother's sickness)</t>
  </si>
  <si>
    <t>Md Rowson Jalal Meril</t>
  </si>
  <si>
    <t>Fatema Islam</t>
  </si>
  <si>
    <t>genex143</t>
  </si>
  <si>
    <t>Mehedi Hasan Tusher</t>
  </si>
  <si>
    <t>Resignation​</t>
  </si>
  <si>
    <t>Identification of same product</t>
  </si>
  <si>
    <t>Md. Faridul islam</t>
  </si>
  <si>
    <t>01690-254779</t>
  </si>
  <si>
    <t>xisailuo81op</t>
  </si>
  <si>
    <t>negative</t>
  </si>
  <si>
    <t>01721-337688</t>
  </si>
  <si>
    <t>family issues</t>
  </si>
  <si>
    <t>Md. Nagmul Hasan Nahid</t>
  </si>
  <si>
    <t>Mohammad Atiqur Rahman</t>
  </si>
  <si>
    <t>+880 1818-618963</t>
  </si>
  <si>
    <t>A. T. M JUNAIDUR RAHAMAN CHAWDHURY</t>
  </si>
  <si>
    <t>01687-623682</t>
  </si>
  <si>
    <t>Mizanur Rahman Noyon</t>
  </si>
  <si>
    <t>3 Days</t>
  </si>
  <si>
    <t>3 days deduction</t>
  </si>
  <si>
    <t>7 days</t>
  </si>
  <si>
    <t>S.A.M Zubair</t>
  </si>
  <si>
    <t>4 days deduction</t>
  </si>
  <si>
    <t>Md.Kawser Ahmed</t>
  </si>
  <si>
    <t>Sheikh sayfullah</t>
  </si>
  <si>
    <t>Abirul Islam Roni</t>
  </si>
  <si>
    <t>Muhammad Humyun Kabir</t>
  </si>
  <si>
    <t>Mosharof Hoshen</t>
  </si>
  <si>
    <t>Subarna mitro</t>
  </si>
  <si>
    <t>Md Tufael ahmad</t>
  </si>
  <si>
    <t>Better opportunity.</t>
  </si>
  <si>
    <t>Md.Toufik Ahmed</t>
  </si>
  <si>
    <t>Md.Al Amin Khan</t>
  </si>
  <si>
    <t>done</t>
  </si>
  <si>
    <t>heibulin58op</t>
  </si>
  <si>
    <t>Md.Kamrul Hasan Tanvir </t>
  </si>
  <si>
    <t>Rokibul Islam </t>
  </si>
  <si>
    <t>heibulin39op</t>
  </si>
  <si>
    <t>zhulan41op</t>
  </si>
  <si>
    <t>+880 1778-590712</t>
  </si>
  <si>
    <t>Monika Ahmed</t>
  </si>
  <si>
    <t>Mst.Lovely Khatun</t>
  </si>
  <si>
    <t>+880 1521-333372</t>
  </si>
  <si>
    <t>1 day</t>
  </si>
  <si>
    <t>Syeda Assrafun Nahar</t>
  </si>
  <si>
    <t>Farha afrin</t>
  </si>
  <si>
    <t>2 days</t>
  </si>
  <si>
    <t>Marriage purpose</t>
  </si>
  <si>
    <t>5 days deduction</t>
  </si>
  <si>
    <t>171725​</t>
  </si>
  <si>
    <t>beilei330op​</t>
  </si>
  <si>
    <t>Fatematuj Sayma​</t>
  </si>
  <si>
    <t>13 Days</t>
  </si>
  <si>
    <t>heibulin49op</t>
  </si>
  <si>
    <t>Health issue</t>
  </si>
  <si>
    <t>Ashikur rahman</t>
  </si>
  <si>
    <t>01749-968440</t>
  </si>
  <si>
    <t>Personal  Issue</t>
  </si>
  <si>
    <t>01992-935299</t>
  </si>
  <si>
    <t>MD. Aminul Islam</t>
  </si>
  <si>
    <t>mohammad jashim</t>
  </si>
  <si>
    <t>171728​</t>
  </si>
  <si>
    <t>beilei332op​</t>
  </si>
  <si>
    <t>Pending</t>
  </si>
  <si>
    <t>identification of the same product </t>
  </si>
  <si>
    <t>+880 1576-681739</t>
  </si>
  <si>
    <t>Md. Easin</t>
  </si>
  <si>
    <t>01787-711289</t>
  </si>
  <si>
    <t>Sickness issue</t>
  </si>
  <si>
    <t>Md. Nahid Hasan</t>
  </si>
  <si>
    <t>Labonno Akter</t>
  </si>
  <si>
    <t>MdTanvirRahman</t>
  </si>
  <si>
    <t>Sumi Rani puja</t>
  </si>
  <si>
    <t>Zhulan29op</t>
  </si>
  <si>
    <t>Md Maffujur Rahman</t>
  </si>
  <si>
    <t>Medical Issue</t>
  </si>
  <si>
    <t>Sickness </t>
  </si>
  <si>
    <t>Zhulan31op</t>
  </si>
  <si>
    <t xml:space="preserve">Identification of the same products </t>
  </si>
  <si>
    <t>Family Issue.</t>
  </si>
  <si>
    <t>Monika Rahman</t>
  </si>
  <si>
    <t>SM Rafsunjani Shikder Arnob</t>
  </si>
  <si>
    <t>Md Sajal Khan</t>
  </si>
  <si>
    <t> heibulin45op  </t>
  </si>
  <si>
    <t>heibulin78op </t>
  </si>
  <si>
    <t>MD Shahariar Hasan​</t>
  </si>
  <si>
    <t>01858-529180</t>
  </si>
  <si>
    <t>GenexJ002</t>
  </si>
  <si>
    <r>
      <t>12</t>
    </r>
    <r>
      <rPr>
        <rFont val="Calibri"/>
        <family val="2"/>
        <color rgb="FF000000"/>
        <sz val="9"/>
      </rPr>
      <t>-</t>
    </r>
    <r>
      <rPr>
        <rFont val="Calibri"/>
        <family val="2"/>
        <color theme="1"/>
        <sz val="9"/>
      </rPr>
      <t>Sept</t>
    </r>
    <r>
      <rPr>
        <rFont val="Calibri"/>
        <family val="2"/>
        <color rgb="FF000000"/>
        <sz val="9"/>
      </rPr>
      <t>-24</t>
    </r>
  </si>
  <si>
    <r>
      <t>8</t>
    </r>
    <r>
      <rPr>
        <rFont val="Calibri"/>
        <family val="2"/>
        <color rgb="FF000000"/>
        <sz val="9"/>
      </rPr>
      <t xml:space="preserve"> Days</t>
    </r>
  </si>
  <si>
    <r>
      <t>0</t>
    </r>
    <r>
      <rPr>
        <rFont val="Calibri"/>
        <family val="2"/>
        <color rgb="FF000000"/>
        <sz val="9"/>
      </rPr>
      <t xml:space="preserve"> Days</t>
    </r>
  </si>
  <si>
    <t>171835​</t>
  </si>
  <si>
    <t> heibulin5op  </t>
  </si>
  <si>
    <t>Pegnancy purpose</t>
  </si>
  <si>
    <t>Better opprtunity</t>
  </si>
  <si>
    <t>naihe58</t>
  </si>
  <si>
    <t>+880 1798-011750</t>
  </si>
  <si>
    <t>1614-009688</t>
  </si>
  <si>
    <t>Sanjeda Khanam Shorna</t>
  </si>
  <si>
    <t>4 days</t>
  </si>
  <si>
    <t>Mohammad Jashim</t>
  </si>
  <si>
    <t>171954​</t>
  </si>
  <si>
    <t>Personal problem</t>
  </si>
  <si>
    <r>
      <t>7</t>
    </r>
    <r>
      <rPr>
        <rFont val="Calibri"/>
        <family val="2"/>
        <color rgb="FF000000"/>
        <sz val="9"/>
      </rPr>
      <t xml:space="preserve"> Days</t>
    </r>
  </si>
  <si>
    <t xml:space="preserve">Better Opportunity </t>
  </si>
  <si>
    <t>Better opportunity </t>
  </si>
  <si>
    <t>Md Ahasanul Haque</t>
  </si>
  <si>
    <t>personal issue</t>
  </si>
  <si>
    <t>Mother's sickness issue</t>
  </si>
  <si>
    <r>
      <t>2</t>
    </r>
    <r>
      <rPr>
        <rFont val="Calibri"/>
        <family val="2"/>
        <color rgb="FF000000"/>
        <sz val="9"/>
      </rPr>
      <t xml:space="preserve"> Days</t>
    </r>
  </si>
  <si>
    <t>2 Days</t>
  </si>
  <si>
    <r>
      <t>7</t>
    </r>
    <r>
      <rPr>
        <rFont val="Calibri"/>
        <family val="2"/>
        <color rgb="FF000000"/>
        <sz val="9"/>
      </rPr>
      <t xml:space="preserve"> Days</t>
    </r>
  </si>
  <si>
    <t>Zhulan21op</t>
  </si>
  <si>
    <t>3 days</t>
  </si>
  <si>
    <t xml:space="preserve">Un authorized absentism </t>
  </si>
  <si>
    <t>1 days</t>
  </si>
  <si>
    <t>Md. Kawsar</t>
  </si>
  <si>
    <t>Al-Amin</t>
  </si>
  <si>
    <t>Rakibul Hassan Pallob</t>
  </si>
  <si>
    <t> beilei209op</t>
  </si>
  <si>
    <t>Nadira Akhtar Antora​</t>
  </si>
  <si>
    <t>01737773259 </t>
  </si>
  <si>
    <t>Md. Moniruzzaman </t>
  </si>
  <si>
    <r>
      <t>sickness</t>
    </r>
    <r>
      <rPr>
        <rFont val="Verdana"/>
        <family val="2"/>
        <color rgb="FF000000"/>
        <sz val="10"/>
      </rPr>
      <t xml:space="preserve"> </t>
    </r>
  </si>
  <si>
    <t>heibulin35op</t>
  </si>
  <si>
    <t>01753127755 </t>
  </si>
  <si>
    <t>171686  </t>
  </si>
  <si>
    <t> beilei310op  </t>
  </si>
  <si>
    <t>01765681839 </t>
  </si>
  <si>
    <t>16th-October -24</t>
  </si>
  <si>
    <r>
      <t>Higher study</t>
    </r>
    <r>
      <rPr>
        <rFont val="Verdana"/>
        <family val="2"/>
        <color rgb="FF000000"/>
        <sz val="10"/>
      </rPr>
      <t xml:space="preserve"> </t>
    </r>
  </si>
  <si>
    <t>MD. Siyam hossain</t>
  </si>
  <si>
    <t>Md Imran Hasan</t>
  </si>
  <si>
    <t>171816​</t>
  </si>
  <si>
    <t>heibulin31op​</t>
  </si>
  <si>
    <t>​171277</t>
  </si>
  <si>
    <t>zhulan39op</t>
  </si>
  <si>
    <t>15 days</t>
  </si>
  <si>
    <r>
      <t>14</t>
    </r>
    <r>
      <rPr>
        <rFont val="Calibri"/>
        <family val="2"/>
        <color rgb="FF000000"/>
        <sz val="9"/>
      </rPr>
      <t xml:space="preserve"> Days</t>
    </r>
  </si>
  <si>
    <t>14 Days</t>
  </si>
  <si>
    <t>171876​</t>
  </si>
  <si>
    <t>heibulin76op​</t>
  </si>
  <si>
    <t>01312262279 </t>
  </si>
  <si>
    <r>
      <t>1</t>
    </r>
    <r>
      <rPr>
        <rFont val="Calibri"/>
        <family val="2"/>
        <color rgb="FF000000"/>
        <sz val="9"/>
      </rPr>
      <t xml:space="preserve"> Days</t>
    </r>
  </si>
  <si>
    <t>Exam</t>
  </si>
  <si>
    <t>01747606908 </t>
  </si>
  <si>
    <t>10th-November -24</t>
  </si>
  <si>
    <t>higher study</t>
  </si>
  <si>
    <t>9th-November -24</t>
  </si>
  <si>
    <t>7th-November -24</t>
  </si>
  <si>
    <t>Emp.ID</t>
  </si>
  <si>
    <t>Retention status </t>
  </si>
  <si>
    <t>AbdullahAI</t>
  </si>
  <si>
    <t>Rana Molla</t>
  </si>
  <si>
    <t>zhulan38op</t>
  </si>
  <si>
    <t>Employee ID</t>
  </si>
  <si>
    <t>Mobile Number</t>
  </si>
  <si>
    <t>Line Manager 1</t>
  </si>
  <si>
    <t>Line Manager 2</t>
  </si>
  <si>
    <t>Type of Separation</t>
  </si>
  <si>
    <t>Effective date</t>
  </si>
  <si>
    <t>Floor</t>
  </si>
  <si>
    <t>mmaigenex018</t>
  </si>
  <si>
    <t>Separation</t>
  </si>
  <si>
    <t>obit.orid@genex.com.bd</t>
  </si>
  <si>
    <t>fakrul.asif@genex.com.bd</t>
  </si>
  <si>
    <t>riad.abdullah@genex.com.bd</t>
  </si>
  <si>
    <t>rammi.akter@genex.com.bd</t>
  </si>
  <si>
    <t>tajim.nur@genex.com.bd</t>
  </si>
  <si>
    <t>touhiduzzaman.bhuiyan@genex.com.bd</t>
  </si>
  <si>
    <t>MD. Sakil Ahmed</t>
  </si>
  <si>
    <t xml:space="preserve">Unethical Activities </t>
  </si>
  <si>
    <t xml:space="preserve">Unauthorized absent (ZTP) </t>
  </si>
  <si>
    <t>promit.ovi@genex.com.bd</t>
  </si>
  <si>
    <t xml:space="preserve">DONE </t>
  </si>
  <si>
    <t xml:space="preserve">Unauthorized absent  </t>
  </si>
  <si>
    <t xml:space="preserve">Starting Business </t>
  </si>
  <si>
    <t>Family Isssue</t>
  </si>
  <si>
    <t>Unauthorized Absent</t>
  </si>
  <si>
    <t>ZTP</t>
  </si>
  <si>
    <t>Genex058</t>
  </si>
  <si>
    <t>Genex067</t>
  </si>
  <si>
    <r>
      <rPr>
        <rFont val="Calibri"/>
        <family val="2"/>
        <color theme="1"/>
        <sz val="11"/>
      </rPr>
      <t>Genex0</t>
    </r>
    <r>
      <rPr>
        <rFont val="Calibri"/>
        <family val="2"/>
        <color theme="1"/>
        <sz val="12"/>
      </rPr>
      <t>37</t>
    </r>
  </si>
  <si>
    <r>
      <rPr>
        <rFont val="Calibri"/>
        <family val="2"/>
        <color theme="1"/>
        <sz val="11"/>
      </rPr>
      <t>Genex0</t>
    </r>
    <r>
      <rPr>
        <rFont val="Calibri"/>
        <family val="2"/>
        <color theme="1"/>
        <sz val="12"/>
      </rPr>
      <t>11</t>
    </r>
  </si>
  <si>
    <t>01722-481677</t>
  </si>
  <si>
    <t> 01706243268 </t>
  </si>
  <si>
    <t>Md. Shahariar</t>
  </si>
  <si>
    <t>DONE</t>
  </si>
  <si>
    <t>DONE Salary Hold</t>
  </si>
  <si>
    <t>DONE 7 days Deductions</t>
  </si>
  <si>
    <t>Done 7 days Deductions</t>
  </si>
  <si>
    <t>1778-590712</t>
  </si>
  <si>
    <t>Md. Yeasin Arafat</t>
  </si>
  <si>
    <t> 1786948850 </t>
  </si>
  <si>
    <t> 1644344854 </t>
  </si>
  <si>
    <t>Bobita Mojumder</t>
  </si>
  <si>
    <t> 1755177545 </t>
  </si>
  <si>
    <t>Done Salary Hold</t>
  </si>
  <si>
    <t>1521-333372</t>
  </si>
  <si>
    <t>Done 6 days Deductions</t>
  </si>
  <si>
    <t>Done 5 days Deductions</t>
  </si>
  <si>
    <t>Done 3 days Deductions</t>
  </si>
  <si>
    <t>1749-968440</t>
  </si>
  <si>
    <t xml:space="preserve">Personal  Issue</t>
  </si>
  <si>
    <t>1992-935299</t>
  </si>
  <si>
    <t>Done and hold the salary</t>
  </si>
  <si>
    <t>Md . Shorif </t>
  </si>
  <si>
    <t>1576-681739</t>
  </si>
  <si>
    <t>1787-711289</t>
  </si>
  <si>
    <t>Done &amp; Hold</t>
  </si>
  <si>
    <t>MD. Arif hasan</t>
  </si>
  <si>
    <t>Shahriar ahmed</t>
  </si>
  <si>
    <t>GenexJ021</t>
  </si>
  <si>
    <t>Nahid Hasan</t>
  </si>
  <si>
    <t>Bulbul Ahmed</t>
  </si>
  <si>
    <t xml:space="preserve">Done &amp; Hold </t>
  </si>
  <si>
    <t>heibulin37op</t>
  </si>
  <si>
    <t>heibulin57op</t>
  </si>
  <si>
    <t>16-Sep -24</t>
  </si>
  <si>
    <t>RTC Temu</t>
  </si>
  <si>
    <t>Done &amp; Hold the salary</t>
  </si>
  <si>
    <t>10-Sep -24</t>
  </si>
  <si>
    <t>DHK/RTC</t>
  </si>
  <si>
    <t>24-Sep -24</t>
  </si>
  <si>
    <t>23-Sep -24</t>
  </si>
  <si>
    <t>21-Sep -24</t>
  </si>
  <si>
    <t>1-Oct -24</t>
  </si>
  <si>
    <t>No Deduction</t>
  </si>
  <si>
    <t>20-Sep -24</t>
  </si>
  <si>
    <t>30-Sep -24</t>
  </si>
  <si>
    <t>Insufficient Salary</t>
  </si>
  <si>
    <t xml:space="preserve">Monira Khatun </t>
  </si>
  <si>
    <t>Resignation (unauthorized AB)</t>
  </si>
  <si>
    <t>EID</t>
  </si>
  <si>
    <r>
      <t xml:space="preserve"> </t>
    </r>
    <r>
      <rPr>
        <rFont val="Times New Roman"/>
        <family val="1"/>
        <b/>
        <color rgb="FF000000"/>
        <sz val="12"/>
      </rPr>
      <t>EID</t>
    </r>
  </si>
  <si>
    <t>Unauthorized Absenteesm</t>
  </si>
  <si>
    <t>Absenteesm</t>
  </si>
  <si>
    <t>Absent Record _From (date)</t>
  </si>
  <si>
    <t>Absent Record _To (date)</t>
  </si>
  <si>
    <t>Total Absent Days</t>
  </si>
  <si>
    <t>Remarks</t>
  </si>
  <si>
    <t>Md. Obit Hassan Orid</t>
  </si>
  <si>
    <t> Moderator</t>
  </si>
  <si>
    <t>Didn't join</t>
  </si>
  <si>
    <t> 01786948850 </t>
  </si>
  <si>
    <t> 01644344854 </t>
  </si>
  <si>
    <t>11 days</t>
  </si>
  <si>
    <t>07 days</t>
  </si>
  <si>
    <t>Mosharaf hossain</t>
  </si>
  <si>
    <t>Last Working Day</t>
  </si>
  <si>
    <t>Absent Record  (date)</t>
  </si>
  <si>
    <t>Absent Record _ (date)</t>
  </si>
  <si>
    <t>Till 19 Nov 2024</t>
  </si>
  <si>
    <t>Transferred From</t>
  </si>
  <si>
    <t>Transferred New Designation</t>
  </si>
  <si>
    <t>Transferred New Process</t>
  </si>
  <si>
    <t>Transferred New LOB</t>
  </si>
  <si>
    <t>Transferred New Department</t>
  </si>
  <si>
    <t>New Employment Type</t>
  </si>
  <si>
    <t>Financial Effective date</t>
  </si>
  <si>
    <t>Transferred Month</t>
  </si>
  <si>
    <t>New Emp ID</t>
  </si>
  <si>
    <t>Road 19, Nikunja 2, Khilkhet, Dhaka-1229</t>
  </si>
  <si>
    <t>HallPara, Thakurgaon Sadar, Thakurgaon</t>
  </si>
  <si>
    <t xml:space="preserve">Night </t>
  </si>
  <si>
    <t xml:space="preserve">June </t>
  </si>
  <si>
    <t>Quality Analyst</t>
  </si>
  <si>
    <t>Quality Assurance</t>
  </si>
  <si>
    <t xml:space="preserve"> Kawlar , Airport </t>
  </si>
  <si>
    <t xml:space="preserve">August </t>
  </si>
  <si>
    <t>mizan.diu43@gmail.com</t>
  </si>
  <si>
    <t>Najmul Huda</t>
  </si>
  <si>
    <t>Abu Hosen</t>
  </si>
  <si>
    <t>Mst Laizu Begum</t>
  </si>
  <si>
    <t>Area : Beparipara, Thana: Khilkhet,Dist: Dhaka</t>
  </si>
  <si>
    <t>Nimdasher vita, Monohorpur, Palashbari, Gaibandha.</t>
  </si>
  <si>
    <t xml:space="preserve"> Beparipara, Khilkhet</t>
  </si>
  <si>
    <t>Banglalink</t>
  </si>
  <si>
    <t>September</t>
  </si>
  <si>
    <t xml:space="preserve">mmaigenex018  mmaigenex032  </t>
  </si>
  <si>
    <t>Md. Mostafijur Rahman</t>
  </si>
  <si>
    <t>wmtutul@gmail.com</t>
  </si>
  <si>
    <t>Dilshad Jahan</t>
  </si>
  <si>
    <t>Md. Abul Hossain</t>
  </si>
  <si>
    <t>Mst. Mouluda Khatun</t>
  </si>
  <si>
    <t>H-k/39, Tanpara, Road No-10, Nikunja-2, Khilkhet, Dhaka-1229</t>
  </si>
  <si>
    <t>Vill: Koktara, Post: Bagzana, Thana: Panchbibi, Dist: Joypurhat.</t>
  </si>
  <si>
    <t>October</t>
  </si>
  <si>
    <t>OB+</t>
  </si>
  <si>
    <t>nazimuddoulaooo@gmail.com</t>
  </si>
  <si>
    <t>Kazi Masrufa Moufiha</t>
  </si>
  <si>
    <t>TITUMIR COLLEGE</t>
  </si>
  <si>
    <t>MD. ABDUL KHALEQUE</t>
  </si>
  <si>
    <t>MST. NAHID AKHTER</t>
  </si>
  <si>
    <t>Area : House: 43, Road: 14, Nikunjo-2,PS: Khilkhet, Dist: Dhaka</t>
  </si>
  <si>
    <t>Vill: Dhanghora, PS: Gaibandha Sadar, Dist: Gaibandha</t>
  </si>
  <si>
    <t>December</t>
  </si>
  <si>
    <t>Sr. Executive</t>
  </si>
  <si>
    <t>mehedi.hasan3@genex.com.bd</t>
  </si>
  <si>
    <t>February</t>
  </si>
  <si>
    <t>88-01847270318</t>
  </si>
  <si>
    <t>Fahima Begum</t>
  </si>
  <si>
    <t>Abdul Goni</t>
  </si>
  <si>
    <t xml:space="preserve">Area : House no :05, surjer hasi, kawlar uttor para, Thana : Dakkhinkhan,Dist:  Dhaka</t>
  </si>
  <si>
    <t>vill: Moddho Gulmaiz, po: ponchopalli, Thana : Naria, Dist: Shariatepur</t>
  </si>
  <si>
    <t>halima.akter@genex.com.bd</t>
  </si>
  <si>
    <t>Istiak Ahmed</t>
  </si>
  <si>
    <t>Airin Akter</t>
  </si>
  <si>
    <t>MD. Minarul Haque</t>
  </si>
  <si>
    <t xml:space="preserve">Area : Betuly, kanchkura, Uttarkhan,Thana: Dakkhinkhan, Dist :  Dhaka-1230</t>
  </si>
  <si>
    <t>istiak.ahmed@genex.com.bd</t>
  </si>
  <si>
    <t>March</t>
  </si>
  <si>
    <t>Temu Batch-13</t>
  </si>
  <si>
    <t>Genex030</t>
  </si>
  <si>
    <t>nasir0uddin0nahid@gmail.com</t>
  </si>
  <si>
    <t>Nazma Haque</t>
  </si>
  <si>
    <t>Barishal Polytechnic Institute</t>
  </si>
  <si>
    <t>Sheikh Kadirul Islam</t>
  </si>
  <si>
    <t>Area : Milk Vita Bhaban, Kacha Bazar Road, Block:- C, Mirpur-6, Dhaka-1216</t>
  </si>
  <si>
    <t>Akon Bari, Branch Road, Uttar Kawnia, Barisal Sadar, Barisal-8200</t>
  </si>
  <si>
    <t xml:space="preserve"> Mirpur-6</t>
  </si>
  <si>
    <t>TL</t>
  </si>
  <si>
    <t>July</t>
  </si>
  <si>
    <t xml:space="preserve">Last day at office </t>
  </si>
  <si>
    <t>Md. Emran Ahmed</t>
  </si>
  <si>
    <t>Trainee</t>
  </si>
  <si>
    <t xml:space="preserve">Trainee </t>
  </si>
  <si>
    <t>Genex009</t>
  </si>
  <si>
    <t>MASUD SHIKDER</t>
  </si>
  <si>
    <t>TBD</t>
  </si>
  <si>
    <t>ratulshikdermasud999@gmail.com</t>
  </si>
  <si>
    <t>MAMUN SHIKDER</t>
  </si>
  <si>
    <t>Md. Abul Hasan</t>
  </si>
  <si>
    <t>Rehena Begum</t>
  </si>
  <si>
    <t xml:space="preserve">Area : kathgora , Thana : Ashulia  Dist : Dhaka</t>
  </si>
  <si>
    <t xml:space="preserve">Vill : Bishnopur , Thana : Dalutpur , Dist :  Manikgonj</t>
  </si>
  <si>
    <t>Genex018</t>
  </si>
  <si>
    <t>Md Maruf Khan Razu</t>
  </si>
  <si>
    <t>marufkhanrazu@gmail.com</t>
  </si>
  <si>
    <t>A05877522</t>
  </si>
  <si>
    <t>Md Ismail khan</t>
  </si>
  <si>
    <t>Mst Fatima Begum</t>
  </si>
  <si>
    <t>H-547, Sharkar Bari Road, Azompur Railgate, Uttara, Dhaka -1230</t>
  </si>
  <si>
    <t>East Dhupoti, 09, Dhupoti - 8700, Barguna</t>
  </si>
  <si>
    <t>Genex028</t>
  </si>
  <si>
    <t>Rownak Ali</t>
  </si>
  <si>
    <t>Shenrownak.ali@gmail.com</t>
  </si>
  <si>
    <t>Md.Touhidul Islam</t>
  </si>
  <si>
    <t>Bother in law</t>
  </si>
  <si>
    <t>Rajshahi College, Rajshahi</t>
  </si>
  <si>
    <t>Kawsar Ali</t>
  </si>
  <si>
    <t>Mahamuda Ali</t>
  </si>
  <si>
    <t>Mainuddin Road, tara tex, kha para, Toggi</t>
  </si>
  <si>
    <t xml:space="preserve">Vill / Area : Shalbagan, PO : Sopura, Thana: Boalia , Dist:  Rajshahi.</t>
  </si>
  <si>
    <t>Mainuddin Road, tara tex, kha para, Toggi.</t>
  </si>
  <si>
    <t>Rabiul Islam</t>
  </si>
  <si>
    <t>Abdullah Rahman Shaad</t>
  </si>
  <si>
    <t>ksr62704@gmai.com</t>
  </si>
  <si>
    <t>MD.Nurul islam</t>
  </si>
  <si>
    <t>Shahana Khatun</t>
  </si>
  <si>
    <t>Area:358/Askona , Thana:Dakhkhinkhan , dist : Dhaka</t>
  </si>
  <si>
    <t>Vill: Mirpur , Po: Horinarayanpur , Ps:Kumarkhali Dist: Kushtia</t>
  </si>
  <si>
    <t>Askona</t>
  </si>
  <si>
    <t>Genex042</t>
  </si>
  <si>
    <t>eee18020205am@gmail.com</t>
  </si>
  <si>
    <t>Asaduzzaman</t>
  </si>
  <si>
    <t>Bangladesh Army University Of Science &amp; Technology</t>
  </si>
  <si>
    <t>Lubna Begum</t>
  </si>
  <si>
    <t>Union- Harivasha, Village-bonogram,Dist- Panchagarh</t>
  </si>
  <si>
    <t>House- 357/A, Road- 02, Middle Paikpara, Mirpur-1, Dhaka-1216</t>
  </si>
  <si>
    <t>Azizul Haque Bhuyan</t>
  </si>
  <si>
    <t>Azmerina Sultana</t>
  </si>
  <si>
    <t>Genex053</t>
  </si>
  <si>
    <t>Faysal Ahmed</t>
  </si>
  <si>
    <t>foysalhasanh8@gmail.com</t>
  </si>
  <si>
    <t>Mahmud Hasan</t>
  </si>
  <si>
    <t>Anwar Hossan</t>
  </si>
  <si>
    <t>Shahinur Akter</t>
  </si>
  <si>
    <t>Vill: Gopalpur , PO:-Gopalpur , PS : Gopalpur, Dist: Tangail</t>
  </si>
  <si>
    <t>Road 6 ,South Bishil, Mirpur 1</t>
  </si>
  <si>
    <t>Genex051</t>
  </si>
  <si>
    <t>Md. Mahmud Hasan</t>
  </si>
  <si>
    <t>mahmudhasansagar@gmail.com</t>
  </si>
  <si>
    <t>umme hasan</t>
  </si>
  <si>
    <t>sister</t>
  </si>
  <si>
    <t>MD Abdul jalil</t>
  </si>
  <si>
    <t>Mahmuda begum</t>
  </si>
  <si>
    <t>konabari bazar, gopalpur, tangail</t>
  </si>
  <si>
    <t>Road:14, house : 5 , nikunja-2, khilkhet</t>
  </si>
  <si>
    <t>Genex059</t>
  </si>
  <si>
    <t>Md. Belal Hossain</t>
  </si>
  <si>
    <t>mdbelal01792@gmail.com</t>
  </si>
  <si>
    <t xml:space="preserve">Shamsul </t>
  </si>
  <si>
    <t>Md.Samsul Alam</t>
  </si>
  <si>
    <t>Most.Bilkis Begum</t>
  </si>
  <si>
    <t>Amlagachhi, Palashbari, Gaibandha</t>
  </si>
  <si>
    <t>kawla bazar, Dakshinkhan, Dhaka</t>
  </si>
  <si>
    <t xml:space="preserve">kawla </t>
  </si>
  <si>
    <t>Genex061</t>
  </si>
  <si>
    <t>Mohibul Hasan Sunny</t>
  </si>
  <si>
    <t>mhsunnykhan39@gmail.com</t>
  </si>
  <si>
    <t>Saiful</t>
  </si>
  <si>
    <t>20023624412026900</t>
  </si>
  <si>
    <t>BCSE</t>
  </si>
  <si>
    <t>MD.Malai Miha</t>
  </si>
  <si>
    <t>MST Shuli Akter</t>
  </si>
  <si>
    <t>Bayek,Lalpur,Thana-Ashugonj, B-Baria</t>
  </si>
  <si>
    <t>House-98,Road-12,Uttara sector-10,Dhaka</t>
  </si>
  <si>
    <t>Job Role</t>
  </si>
  <si>
    <t>LoB</t>
  </si>
  <si>
    <t>Division</t>
  </si>
  <si>
    <t>Salary Type</t>
  </si>
  <si>
    <t>KPI Payout Structure</t>
  </si>
  <si>
    <t xml:space="preserve">Total  Monthly Target Days</t>
  </si>
  <si>
    <t>Account Number</t>
  </si>
  <si>
    <t>Account Type</t>
  </si>
  <si>
    <t>Bank Name</t>
  </si>
  <si>
    <t>Supervisor 1</t>
  </si>
  <si>
    <t>Supervisor 2</t>
  </si>
  <si>
    <t>Supervisor 3</t>
  </si>
  <si>
    <t>Supervisor 4</t>
  </si>
  <si>
    <t>Area</t>
  </si>
  <si>
    <t>Personal Contact</t>
  </si>
  <si>
    <t>Emergency Contact</t>
  </si>
  <si>
    <t>NID</t>
  </si>
  <si>
    <t>Passport</t>
  </si>
  <si>
    <t>Academic Qualification(Last Education Qualification)</t>
  </si>
  <si>
    <t>Spoc's Name</t>
  </si>
  <si>
    <t>Genex BPM</t>
  </si>
  <si>
    <t>DHK</t>
  </si>
  <si>
    <t>Others</t>
  </si>
  <si>
    <t xml:space="preserve">Md. Moshi Uddin Ahmed </t>
  </si>
  <si>
    <t>Separation Reason</t>
  </si>
  <si>
    <t>Genex Infosys</t>
  </si>
  <si>
    <t>Inactive</t>
  </si>
  <si>
    <t>Md. Moshi Uddin Ahmed</t>
  </si>
  <si>
    <t>Sl</t>
  </si>
  <si>
    <t>Doj</t>
  </si>
  <si>
    <t>NTR From</t>
  </si>
  <si>
    <t>NTR To</t>
  </si>
  <si>
    <t>Remarks For NTR</t>
  </si>
  <si>
    <t>as</t>
  </si>
  <si>
    <t>h</t>
  </si>
  <si>
    <t>f</t>
  </si>
  <si>
    <t>a</t>
  </si>
  <si>
    <t>SL.</t>
  </si>
  <si>
    <t>DoJ</t>
  </si>
  <si>
    <t xml:space="preserve">Emergency Contact </t>
  </si>
  <si>
    <t>Spoc's Nmae</t>
  </si>
  <si>
    <t>New Process Name</t>
  </si>
  <si>
    <t xml:space="preserve">New  LOB</t>
  </si>
  <si>
    <t>New salary Type</t>
  </si>
  <si>
    <t xml:space="preserve"> New Designation</t>
  </si>
  <si>
    <t>Transfer Effective date</t>
  </si>
  <si>
    <t xml:space="preserve">Financial Change  Effective date</t>
  </si>
  <si>
    <t>New ID</t>
  </si>
  <si>
    <t>Remarks after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</si>
</sst>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_);_(* \(#,##0.00\);_(* \-??_);_(@_)"/>
    <numFmt numFmtId="165" formatCode="[$-409]d\-mmm\-yy;@"/>
    <numFmt numFmtId="166" formatCode="[$-409]dd\-mmm\-yy;@"/>
    <numFmt numFmtId="167" formatCode="[$-409]d\-mmm\-yyyy;@"/>
    <numFmt numFmtId="168" formatCode="[$-409]mmmm\-yy;@"/>
  </numFmts>
  <fonts count="131">
    <font>
      <sz val="11"/>
      <color theme="1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</font>
    <font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000000"/>
      <name val="Verdana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sz val="11"/>
      <color theme="1"/>
      <name val="Agency FB"/>
      <family val="2"/>
    </font>
    <font>
      <sz val="10"/>
      <color indexed="9"/>
      <name val="Tahoma"/>
      <family val="2"/>
    </font>
    <font>
      <sz val="10"/>
      <color indexed="20"/>
      <name val="Tahoma"/>
      <family val="2"/>
    </font>
    <font>
      <sz val="11"/>
      <color rgb="FF9C0006"/>
      <name val="Calibri"/>
      <family val="2"/>
      <scheme val="minor"/>
    </font>
    <font>
      <sz val="11"/>
      <color rgb="FF9C0006"/>
      <name val="Calibri"/>
      <family val="2"/>
    </font>
    <font>
      <b/>
      <sz val="10"/>
      <color indexed="52"/>
      <name val="Tahoma"/>
      <family val="2"/>
    </font>
    <font>
      <b/>
      <sz val="11"/>
      <color rgb="FFFA7D00"/>
      <name val="Calibri"/>
      <family val="2"/>
      <scheme val="minor"/>
    </font>
    <font>
      <b/>
      <sz val="11"/>
      <color rgb="FFFA7D00"/>
      <name val="Agency FB"/>
      <family val="2"/>
    </font>
    <font>
      <b/>
      <sz val="11"/>
      <color rgb="FFFA7D00"/>
      <name val="Calibri"/>
      <family val="2"/>
    </font>
    <font>
      <b/>
      <sz val="10"/>
      <color indexed="9"/>
      <name val="Tahoma"/>
      <family val="2"/>
    </font>
    <font>
      <i/>
      <sz val="10"/>
      <color indexed="23"/>
      <name val="Tahoma"/>
      <family val="2"/>
    </font>
    <font>
      <i/>
      <sz val="11"/>
      <color rgb="FF7F7F7F"/>
      <name val="Calibri"/>
      <family val="2"/>
      <scheme val="minor"/>
    </font>
    <font>
      <i/>
      <sz val="11"/>
      <color rgb="FF7F7F7F"/>
      <name val="Calibri"/>
      <family val="2"/>
    </font>
    <font>
      <sz val="10"/>
      <color indexed="17"/>
      <name val="Tahoma"/>
      <family val="2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</font>
    <font>
      <b/>
      <sz val="15"/>
      <color indexed="56"/>
      <name val="Tahoma"/>
      <family val="2"/>
    </font>
    <font>
      <b/>
      <sz val="15"/>
      <color rgb="FF1F4A7E"/>
      <name val="Calibri"/>
      <family val="2"/>
    </font>
    <font>
      <b/>
      <sz val="13"/>
      <color indexed="56"/>
      <name val="Tahoma"/>
      <family val="2"/>
    </font>
    <font>
      <b/>
      <sz val="13"/>
      <color rgb="FF1F4A7E"/>
      <name val="Calibri"/>
      <family val="2"/>
    </font>
    <font>
      <b/>
      <sz val="11"/>
      <color indexed="56"/>
      <name val="Tahoma"/>
      <family val="2"/>
    </font>
    <font>
      <b/>
      <sz val="11"/>
      <color rgb="FF1F4A7E"/>
      <name val="Calibri"/>
      <family val="2"/>
    </font>
    <font>
      <u/>
      <sz val="11"/>
      <color theme="10"/>
      <name val="Axiata Book"/>
      <charset val="134"/>
    </font>
    <font>
      <u/>
      <sz val="10"/>
      <color theme="10"/>
      <name val="Arial"/>
      <family val="2"/>
    </font>
    <font>
      <sz val="10"/>
      <color indexed="62"/>
      <name val="Tahoma"/>
      <family val="2"/>
    </font>
    <font>
      <sz val="11"/>
      <color rgb="FF3F3F76"/>
      <name val="Calibri"/>
      <family val="2"/>
      <scheme val="minor"/>
    </font>
    <font>
      <sz val="11"/>
      <color rgb="FF3F3F76"/>
      <name val="Agency FB"/>
      <family val="2"/>
    </font>
    <font>
      <sz val="11"/>
      <color rgb="FF3F3F76"/>
      <name val="Calibri"/>
      <family val="2"/>
    </font>
    <font>
      <sz val="10"/>
      <color indexed="52"/>
      <name val="Tahoma"/>
      <family val="2"/>
    </font>
    <font>
      <sz val="11"/>
      <color rgb="FFFA7D00"/>
      <name val="Calibri"/>
      <family val="2"/>
      <scheme val="minor"/>
    </font>
    <font>
      <sz val="11"/>
      <color rgb="FFFA7D00"/>
      <name val="Calibri"/>
      <family val="2"/>
    </font>
    <font>
      <sz val="10"/>
      <color indexed="60"/>
      <name val="Tahoma"/>
      <family val="2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</font>
    <font>
      <sz val="11"/>
      <color indexed="8"/>
      <name val="Tahoma"/>
      <family val="2"/>
    </font>
    <font>
      <sz val="10"/>
      <color indexed="8"/>
      <name val="Calibri"/>
      <family val="2"/>
    </font>
    <font>
      <sz val="11"/>
      <color theme="1"/>
      <name val="Axiata Book"/>
      <charset val="134"/>
    </font>
    <font>
      <sz val="11"/>
      <color rgb="FF000000"/>
      <name val="Axiata Book"/>
      <charset val="134"/>
    </font>
    <font>
      <sz val="10"/>
      <color indexed="8"/>
      <name val="MS Sans Serif"/>
      <charset val="134"/>
    </font>
    <font>
      <sz val="10"/>
      <name val="Tahoma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0"/>
      <color indexed="63"/>
      <name val="Tahoma"/>
      <family val="2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color indexed="8"/>
      <name val="Axiata Book"/>
      <charset val="134"/>
    </font>
    <font>
      <b/>
      <sz val="18"/>
      <color indexed="56"/>
      <name val="Cambria"/>
      <family val="1"/>
    </font>
    <font>
      <b/>
      <sz val="18"/>
      <color theme="3"/>
      <name val="Calibri Light"/>
      <family val="2"/>
      <scheme val="major"/>
    </font>
    <font>
      <b/>
      <sz val="18"/>
      <color rgb="FF1F4A7E"/>
      <name val="Cambria"/>
      <family val="1"/>
    </font>
    <font>
      <b/>
      <sz val="10"/>
      <color indexed="8"/>
      <name val="Tahoma"/>
      <family val="2"/>
    </font>
    <font>
      <b/>
      <sz val="11"/>
      <color rgb="FF000000"/>
      <name val="Calibri"/>
      <family val="2"/>
    </font>
    <font>
      <sz val="10"/>
      <color indexed="10"/>
      <name val="Tahoma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12"/>
      <color theme="1"/>
      <name val="Aptos"/>
      <family val="2"/>
    </font>
    <font>
      <b/>
      <sz val="11"/>
      <color theme="1"/>
      <name val="Calibri"/>
      <family val="2"/>
    </font>
    <font>
      <b/>
      <sz val="9"/>
      <color rgb="FFFFFFFF"/>
      <name val="Calibri"/>
      <family val="2"/>
    </font>
    <font>
      <sz val="8"/>
      <color rgb="FF000000"/>
      <name val="Arial"/>
      <family val="2"/>
    </font>
    <font>
      <b/>
      <sz val="12"/>
      <color rgb="FFFFFFFF"/>
      <name val="Times New Roman"/>
      <family val="1"/>
    </font>
    <font>
      <sz val="9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Calibri"/>
      <family val="2"/>
      <scheme val="minor"/>
    </font>
    <font>
      <sz val="10"/>
      <color theme="1"/>
      <name val="Times New Roman"/>
      <family val="1"/>
    </font>
    <font>
      <sz val="12"/>
      <color rgb="FF434343"/>
      <name val="Calibri"/>
      <family val="2"/>
      <scheme val="minor"/>
    </font>
    <font>
      <sz val="10.5"/>
      <color rgb="FF000000"/>
      <name val="Arial"/>
      <family val="2"/>
    </font>
  </fonts>
  <fills count="9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82B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92065187536243"/>
        <bgColor theme="6" tint="0.79992065187536243"/>
      </patternFill>
    </fill>
    <fill>
      <patternFill patternType="solid">
        <fgColor rgb="FFEAF1DD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B8CBE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E5B8B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D5E3BB"/>
        <bgColor indexed="64"/>
      </patternFill>
    </fill>
    <fill>
      <patternFill patternType="solid">
        <fgColor rgb="FFCABFD8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BD3B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0066"/>
        <bgColor indexed="64"/>
      </patternFill>
    </fill>
  </fills>
  <borders count="5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1454817346722"/>
      </bottom>
      <diagonal/>
    </border>
    <border>
      <left/>
      <right/>
      <top/>
      <bottom style="medium">
        <color rgb="FF96B3D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0901">
    <xf numFmtId="0" fontId="0" fillId="0" borderId="0"/>
    <xf numFmtId="0" fontId="46" applyFont="1" fillId="0" borderId="0"/>
    <xf numFmtId="0" applyNumberFormat="0" fontId="47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18" applyFont="1" fillId="33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1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17" applyFont="1" fillId="35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18" applyFont="1" fillId="36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4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17" applyFont="1" fillId="38" applyFill="1" borderId="0" applyBorder="0" applyProtection="0" applyAlignment="0"/>
    <xf numFmtId="0" applyNumberFormat="0" fontId="49" applyFont="1" fillId="39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18" applyFont="1" fillId="40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37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17" applyFont="1" fillId="42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18" applyFont="1" fillId="43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17" applyFont="1" fillId="45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18" applyFont="1" fillId="46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4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17" applyFont="1" fillId="48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18" applyFont="1" fillId="49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47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18" applyFont="1" fillId="51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17" applyFont="1" fillId="2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18" applyFont="1" fillId="53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2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18" applyFont="1" fillId="55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54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17" applyFont="1" fillId="26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18" applyFont="1" fillId="56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41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18" applyFont="1" fillId="57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0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17" applyFont="1" fillId="30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18" applyFont="1" fillId="59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48" applyFont="1" fillId="58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35" applyFont="1" fillId="61" applyFill="1" borderId="0" applyBorder="0" applyProtection="0" applyAlignment="0"/>
    <xf numFmtId="0" applyNumberFormat="0" fontId="35" applyFont="1" fillId="61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35" applyFont="1" fillId="61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35" applyFont="1" fillId="61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35" applyFont="1" fillId="61" applyFill="1" borderId="0" applyBorder="0" applyProtection="0" applyAlignment="0"/>
    <xf numFmtId="0" applyNumberFormat="0" fontId="31" applyFont="1" fillId="62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60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35" applyFont="1" fillId="63" applyFill="1" borderId="0" applyBorder="0" applyProtection="0" applyAlignment="0"/>
    <xf numFmtId="0" applyNumberFormat="0" fontId="35" applyFont="1" fillId="63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35" applyFont="1" fillId="63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35" applyFont="1" fillId="63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35" applyFont="1" fillId="63" applyFill="1" borderId="0" applyBorder="0" applyProtection="0" applyAlignment="0"/>
    <xf numFmtId="0" applyNumberFormat="0" fontId="31" applyFont="1" fillId="64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2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35" applyFont="1" fillId="65" applyFill="1" borderId="0" applyBorder="0" applyProtection="0" applyAlignment="0"/>
    <xf numFmtId="0" applyNumberFormat="0" fontId="35" applyFont="1" fillId="65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35" applyFont="1" fillId="65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35" applyFont="1" fillId="65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35" applyFont="1" fillId="65" applyFill="1" borderId="0" applyBorder="0" applyProtection="0" applyAlignment="0"/>
    <xf numFmtId="0" applyNumberFormat="0" fontId="31" applyFont="1" fillId="66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54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35" applyFont="1" fillId="68" applyFill="1" borderId="0" applyBorder="0" applyProtection="0" applyAlignment="0"/>
    <xf numFmtId="0" applyNumberFormat="0" fontId="35" applyFont="1" fillId="68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35" applyFont="1" fillId="68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35" applyFont="1" fillId="68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35" applyFont="1" fillId="68" applyFill="1" borderId="0" applyBorder="0" applyProtection="0" applyAlignment="0"/>
    <xf numFmtId="0" applyNumberFormat="0" fontId="31" applyFont="1" fillId="69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35" applyFont="1" fillId="71" applyFill="1" borderId="0" applyBorder="0" applyProtection="0" applyAlignment="0"/>
    <xf numFmtId="0" applyNumberFormat="0" fontId="35" applyFont="1" fillId="71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35" applyFont="1" fillId="71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35" applyFont="1" fillId="71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35" applyFont="1" fillId="71" applyFill="1" borderId="0" applyBorder="0" applyProtection="0" applyAlignment="0"/>
    <xf numFmtId="0" applyNumberFormat="0" fontId="31" applyFont="1" fillId="72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35" applyFont="1" fillId="74" applyFill="1" borderId="0" applyBorder="0" applyProtection="0" applyAlignment="0"/>
    <xf numFmtId="0" applyNumberFormat="0" fontId="35" applyFont="1" fillId="74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35" applyFont="1" fillId="74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35" applyFont="1" fillId="74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35" applyFont="1" fillId="74" applyFill="1" borderId="0" applyBorder="0" applyProtection="0" applyAlignment="0"/>
    <xf numFmtId="0" applyNumberFormat="0" fontId="31" applyFont="1" fillId="75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3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35" applyFont="1" fillId="19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35" applyFont="1" fillId="19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31" applyFont="1" fillId="77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6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35" applyFont="1" fillId="21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35" applyFont="1" fillId="21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31" applyFont="1" fillId="79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78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35" applyFont="1" fillId="23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35" applyFont="1" fillId="23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31" applyFont="1" fillId="81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80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35" applyFont="1" fillId="25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35" applyFont="1" fillId="25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31" applyFont="1" fillId="82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67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35" applyFont="1" fillId="27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35" applyFont="1" fillId="27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31" applyFont="1" fillId="83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70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35" applyFont="1" fillId="29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35" applyFont="1" fillId="29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31" applyFont="1" fillId="85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0" applyFont="1" fillId="8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2" applyFont="1" fillId="17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2" applyFont="1" fillId="17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3" applyFont="1" fillId="17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1" applyFont="1" fillId="34" applyFill="1" borderId="0" applyBorder="0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5" applyFont="1" fillId="14" applyFill="1" borderId="12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5" applyFont="1" fillId="14" applyFill="1" borderId="12" applyBorder="1" applyProtection="0" applyAlignment="0"/>
    <xf numFmtId="0" applyNumberFormat="0" fontId="54" applyFont="1" fillId="86" applyFill="1" borderId="17" applyBorder="1" applyProtection="0" applyAlignment="0"/>
    <xf numFmtId="0" applyNumberFormat="0" fontId="56" applyFont="1" fillId="14" applyFill="1" borderId="12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7" applyFont="1" fillId="14" applyFill="1" borderId="12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4" applyFont="1" fillId="86" applyFill="1" borderId="17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16" applyFont="1" fillId="15" applyFill="1" borderId="14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16" applyFont="1" fillId="15" applyFill="1" borderId="14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23" applyFont="1" fillId="15" applyFill="1" borderId="14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0" applyNumberFormat="0" fontId="58" applyFont="1" fillId="87" applyFill="1" borderId="18" applyBorder="1" applyProtection="0" applyAlignment="0"/>
    <xf numFmtId="43" applyNumberFormat="1" fontId="46" applyFont="0" fillId="0" applyFill="0" borderId="0" applyBorder="0" applyProtection="0" applyAlignment="0"/>
    <xf numFmtId="43" applyNumberFormat="1" fontId="46" applyFont="0" fillId="0" applyFill="0" borderId="0" applyBorder="0" applyProtection="0" applyAlignment="0"/>
    <xf numFmtId="43" applyNumberFormat="1" fontId="46" applyFont="0" fillId="0" applyFill="0" borderId="0" applyBorder="0" applyProtection="0" applyAlignment="0"/>
    <xf numFmtId="43" applyNumberFormat="1" fontId="46" applyFont="0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164" applyNumberFormat="1" fontId="47" applyFont="1" fillId="0" applyFill="0" borderId="0" applyBorder="0" applyProtection="0" applyAlignment="0"/>
    <xf numFmtId="44" applyNumberFormat="1" fontId="46" applyFont="0" fillId="0" applyFill="0" borderId="0" applyBorder="0" applyProtection="0" applyAlignment="0"/>
    <xf numFmtId="0" fontId="47" applyFont="1" fillId="0" borderId="0"/>
    <xf numFmtId="0" fontId="47" applyFont="1" fillId="0" borderId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60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60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61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59" applyFont="1" fillId="0" applyFill="0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3" applyFont="1" fillId="16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3" applyFont="1" fillId="16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4" applyFont="1" fillId="16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2" applyFont="1" fillId="37" applyFill="1" borderId="0" applyBorder="0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43" applyFont="1" fillId="0" applyFill="0" borderId="20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43" applyFont="1" fillId="0" applyFill="0" borderId="20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6" applyFont="1" fillId="0" applyFill="0" borderId="21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5" applyFont="1" fillId="0" applyFill="0" borderId="19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44" applyFont="1" fillId="0" applyFill="0" borderId="23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44" applyFont="1" fillId="0" applyFill="0" borderId="23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8" applyFont="1" fillId="0" applyFill="0" borderId="24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7" applyFont="1" fillId="0" applyFill="0" borderId="22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45" applyFont="1" fillId="0" applyFill="0" borderId="26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45" applyFont="1" fillId="0" applyFill="0" borderId="26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70" applyFont="1" fillId="0" applyFill="0" borderId="27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25" applyBorder="1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45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45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70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69" applyFont="1" fillId="0" applyFill="0" borderId="0" applyBorder="0" applyProtection="0" applyAlignment="0"/>
    <xf numFmtId="0" applyNumberFormat="0" fontId="42" applyFont="1" fillId="0" applyFill="0" borderId="0" applyBorder="0" applyProtection="0" applyAlignment="0"/>
    <xf numFmtId="0" applyNumberFormat="0" fontId="37" applyFont="1" fillId="0" applyFill="0" borderId="0" applyBorder="0" applyProtection="0" applyAlignment="0">
      <alignment vertical="center"/>
    </xf>
    <xf numFmtId="0" applyNumberFormat="0" fontId="42" applyFont="1" fillId="0" applyFill="0" borderId="0" applyBorder="0" applyProtection="0" applyAlignment="0">
      <alignment vertical="top"/>
      <protection locked="0"/>
    </xf>
    <xf numFmtId="0" applyNumberFormat="0" fontId="42" applyFont="1" fillId="0" applyFill="0" borderId="0" applyBorder="0" applyProtection="0" applyAlignment="0">
      <alignment vertical="top"/>
      <protection locked="0"/>
    </xf>
    <xf numFmtId="0" applyNumberFormat="0" fontId="71" applyFont="1" fillId="0" applyFill="0" borderId="0" applyBorder="0" applyProtection="0" applyAlignment="0">
      <alignment vertical="top"/>
      <protection locked="0"/>
    </xf>
    <xf numFmtId="0" applyNumberFormat="0" fontId="42" applyFont="1" fillId="0" applyFill="0" borderId="0" applyBorder="0" applyProtection="0" applyAlignment="0">
      <alignment vertical="top"/>
      <protection locked="0"/>
    </xf>
    <xf numFmtId="0" applyNumberFormat="0" fontId="37" applyFont="1" fillId="0" applyFill="0" borderId="0" applyBorder="0" applyProtection="0" applyAlignment="0">
      <alignment vertical="center"/>
    </xf>
    <xf numFmtId="0" applyNumberFormat="0" fontId="72" applyFont="1" fillId="0" applyFill="0" borderId="0" applyBorder="0" applyProtection="0" applyAlignment="0"/>
    <xf numFmtId="0" applyNumberFormat="0" fontId="37" applyFont="1" fillId="0" applyFill="0" borderId="0" applyBorder="0" applyProtection="0" applyAlignment="0">
      <alignment vertical="center"/>
    </xf>
    <xf numFmtId="0" applyNumberFormat="0" fontId="37" applyFont="1" fillId="0" applyFill="0" borderId="0" applyBorder="0" applyProtection="0" applyAlignment="0">
      <alignment vertical="center"/>
    </xf>
    <xf numFmtId="0" applyNumberFormat="0" fontId="39" applyFont="1" fillId="0" applyFill="0" borderId="0" applyBorder="0" applyProtection="0" applyAlignment="0"/>
    <xf numFmtId="0" applyNumberFormat="0" fontId="39" applyFont="1" fillId="0" applyFill="0" borderId="0" applyBorder="0" applyProtection="0" applyAlignment="0"/>
    <xf numFmtId="0" applyNumberFormat="0" fontId="37" applyFont="1" fillId="0" applyFill="0" borderId="0" applyBorder="0" applyProtection="0" applyAlignment="0">
      <alignment vertical="center"/>
    </xf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4" applyFont="1" fillId="13" applyFill="1" borderId="12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4" applyFont="1" fillId="13" applyFill="1" borderId="12" applyBorder="1" applyProtection="0" applyAlignment="0"/>
    <xf numFmtId="0" applyNumberFormat="0" fontId="73" applyFont="1" fillId="47" applyFill="1" borderId="17" applyBorder="1" applyProtection="0" applyAlignment="0"/>
    <xf numFmtId="0" applyNumberFormat="0" fontId="75" applyFont="1" fillId="13" applyFill="1" borderId="12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6" applyFont="1" fillId="13" applyFill="1" borderId="12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3" applyFont="1" fillId="47" applyFill="1" borderId="17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8" applyFont="1" fillId="0" applyFill="0" borderId="15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8" applyFont="1" fillId="0" applyFill="0" borderId="15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9" applyFont="1" fillId="0" applyFill="0" borderId="15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77" applyFont="1" fillId="0" applyFill="0" borderId="28" applyBorder="1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1" applyFont="1" fillId="18" applyFill="1" borderId="0" applyBorder="0" applyProtection="0" applyAlignment="0"/>
    <xf numFmtId="0" applyNumberFormat="0" fontId="81" applyFont="1" fillId="1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1" applyFont="1" fillId="1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1" applyFont="1" fillId="1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1" applyFont="1" fillId="18" applyFill="1" borderId="0" applyBorder="0" applyProtection="0" applyAlignment="0"/>
    <xf numFmtId="0" applyNumberFormat="0" fontId="82" applyFont="1" fillId="1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80" applyFont="1" fillId="88" applyFill="1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fontId="47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2" applyFont="1" fillId="0" borderId="0"/>
    <xf numFmtId="0" fontId="11" applyFont="1" fillId="0" borderId="0"/>
    <xf numFmtId="0" fontId="7" applyFont="1" fillId="0" borderId="0"/>
    <xf numFmtId="0" fontId="1" applyFont="1" fillId="0" borderId="0"/>
    <xf numFmtId="0" fontId="46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3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4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8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5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4" applyFont="1" fillId="0" borderId="0"/>
    <xf numFmtId="0" fontId="47" applyFont="1" fillId="0" borderId="0"/>
    <xf numFmtId="0" fontId="84" applyFont="1" fillId="0" borderId="0"/>
    <xf numFmtId="0" fontId="84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84" applyFont="1" fillId="0" borderId="0"/>
    <xf numFmtId="0" fontId="46" applyFont="1" fillId="0" borderId="0"/>
    <xf numFmtId="0" fontId="84" applyFont="1" fillId="0" borderId="0"/>
    <xf numFmtId="0" fontId="84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5" applyFont="1" fillId="0" borderId="0"/>
    <xf numFmtId="0" fontId="85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5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84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84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8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5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fontId="46" applyFont="1" fillId="0" borderId="0"/>
    <xf numFmtId="0" fontId="46" applyFont="1" fillId="0" borderId="0"/>
    <xf numFmtId="0" fontId="87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84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7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87" applyFont="1" fillId="0" borderId="0"/>
    <xf numFmtId="0" fontId="88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87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87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7" applyFont="1" fillId="0" borderId="0"/>
    <xf numFmtId="0" fontId="46" applyFont="1" fillId="0" borderId="0"/>
    <xf numFmtId="0" fontId="46" applyFont="1" fillId="0" borderId="0"/>
    <xf numFmtId="0" fontId="87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7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7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89" applyFont="1" fillId="0" borderId="0"/>
    <xf numFmtId="0" fontId="89" applyFont="1" fillId="0" borderId="0"/>
    <xf numFmtId="0" fontId="89" applyFont="1" fillId="0" borderId="0"/>
    <xf numFmtId="0" fontId="89" applyFont="1" fillId="0" borderId="0"/>
    <xf numFmtId="0" fontId="89" applyFont="1" fillId="0" borderId="0"/>
    <xf numFmtId="0" fontId="89" applyFont="1" fillId="0" borderId="0"/>
    <xf numFmtId="0" fontId="87" applyFont="1" fillId="0" borderId="0"/>
    <xf numFmtId="0" fontId="89" applyFont="1" fillId="0" borderId="0"/>
    <xf numFmtId="0" fontId="87" applyFont="1" fillId="0" borderId="0"/>
    <xf numFmtId="0" fontId="87" applyFont="1" fillId="0" borderId="0"/>
    <xf numFmtId="0" fontId="89" applyFont="1" fillId="0" borderId="0"/>
    <xf numFmtId="0" fontId="46" applyFont="1" fillId="0" borderId="0"/>
    <xf numFmtId="0" fontId="88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8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88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9" applyFont="1" fillId="0" borderId="0"/>
    <xf numFmtId="0" fontId="89" applyFont="1" fillId="0" borderId="0"/>
    <xf numFmtId="0" fontId="46" applyFont="1" fillId="0" borderId="0"/>
    <xf numFmtId="0" fontId="89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84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fontId="84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8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90" applyFont="1" fillId="0" borderId="0"/>
    <xf numFmtId="0" fontId="90" applyFont="1" fillId="0" borderId="0"/>
    <xf numFmtId="0" fontId="84" applyFont="1" fillId="0" borderId="0"/>
    <xf numFmtId="0" fontId="8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47" applyFont="1" fillId="0" borderId="0"/>
    <xf numFmtId="0" fontId="47" applyFont="1" fillId="0" borderId="0"/>
    <xf numFmtId="0" fontId="8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47" applyFont="1" fillId="0" borderId="0"/>
    <xf numFmtId="0" fontId="47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fontId="46" applyFont="1" fillId="0" borderId="0"/>
    <xf numFmtId="0" fontId="84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87" applyFont="1" fillId="0" borderId="0"/>
    <xf numFmtId="0" fontId="8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90" applyFont="1" fillId="0" borderId="0" applyAlignment="1">
      <alignment vertical="top"/>
    </xf>
    <xf numFmtId="0" fontId="88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90" applyFont="1" fillId="0" borderId="0" applyAlignment="1">
      <alignment vertical="top"/>
    </xf>
    <xf numFmtId="0" fontId="88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90" applyFont="1" fillId="0" borderId="0" applyAlignment="1">
      <alignment vertical="top"/>
    </xf>
    <xf numFmtId="0" fontId="46" applyFont="1" fillId="0" borderId="0"/>
    <xf numFmtId="0" fontId="90" applyFont="1" fillId="0" borderId="0" applyAlignment="1">
      <alignment vertical="top"/>
    </xf>
    <xf numFmtId="0" fontId="46" applyFont="1" fillId="0" borderId="0"/>
    <xf numFmtId="0" fontId="90" applyFont="1" fillId="0" borderId="0" applyAlignment="1">
      <alignment vertical="top"/>
    </xf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90" applyFont="1" fillId="0" borderId="0" applyAlignment="1">
      <alignment vertical="top"/>
    </xf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90" applyFont="1" fillId="0" borderId="0" applyAlignment="1">
      <alignment vertical="top"/>
    </xf>
    <xf numFmtId="0" fontId="88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90" applyFont="1" fillId="0" borderId="0" applyAlignment="1">
      <alignment vertical="top"/>
    </xf>
    <xf numFmtId="0" fontId="46" applyFont="1" fillId="0" borderId="0"/>
    <xf numFmtId="0" fontId="90" applyFont="1" fillId="0" borderId="0" applyAlignment="1">
      <alignment vertical="top"/>
    </xf>
    <xf numFmtId="0" fontId="46" applyFont="1" fillId="0" borderId="0"/>
    <xf numFmtId="0" fontId="90" applyFont="1" fillId="0" borderId="0" applyAlignment="1">
      <alignment vertical="top"/>
    </xf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90" applyFont="1" fillId="0" borderId="0" applyAlignment="1">
      <alignment vertical="top"/>
    </xf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90" applyFont="1" fillId="0" borderId="0" applyAlignment="1">
      <alignment vertical="top"/>
    </xf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17" applyFont="1" fillId="0" borderId="0"/>
    <xf numFmtId="0" fontId="18" applyFont="1" fillId="0" borderId="0"/>
    <xf numFmtId="0" fontId="91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92" applyFont="1" fillId="0" borderId="0"/>
    <xf numFmtId="0" fontId="85" applyFont="1" fillId="0" borderId="0"/>
    <xf numFmtId="0" fontId="10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89" applyFont="1" fillId="0" borderId="0"/>
    <xf numFmtId="0" fontId="46" applyFont="1" fillId="0" borderId="0"/>
    <xf numFmtId="0" fontId="89" applyFont="1" fillId="0" borderId="0"/>
    <xf numFmtId="0" fontId="46" applyFont="1" fillId="0" borderId="0"/>
    <xf numFmtId="0" fontId="89" applyFont="1" fillId="0" borderId="0"/>
    <xf numFmtId="0" fontId="46" applyFont="1" fillId="0" borderId="0"/>
    <xf numFmtId="0" fontId="88" applyFont="1" fillId="0" borderId="0"/>
    <xf numFmtId="0" fontId="46" applyFont="1" fillId="0" borderId="0"/>
    <xf numFmtId="0" fontId="89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89" applyFont="1" fillId="0" borderId="0"/>
    <xf numFmtId="0" fontId="89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9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84" applyFont="1" fillId="0" borderId="0"/>
    <xf numFmtId="0" fontId="46" applyFont="1" fillId="0" borderId="0"/>
    <xf numFmtId="0" fontId="84" applyFont="1" fillId="0" borderId="0"/>
    <xf numFmtId="0" fontId="46" applyFont="1" fillId="0" borderId="0"/>
    <xf numFmtId="0" fontId="84" applyFont="1" fillId="0" borderId="0"/>
    <xf numFmtId="0" fontId="46" applyFont="1" fillId="0" borderId="0"/>
    <xf numFmtId="0" fontId="46" applyFont="1" fillId="0" borderId="0"/>
    <xf numFmtId="0" fontId="84" applyFont="1" fillId="0" borderId="0"/>
    <xf numFmtId="0" fontId="46" applyFont="1" fillId="0" borderId="0"/>
    <xf numFmtId="0" fontId="84" applyFont="1" fillId="0" borderId="0"/>
    <xf numFmtId="0" fontId="46" applyFont="1" fillId="0" borderId="0"/>
    <xf numFmtId="0" fontId="84" applyFont="1" fillId="0" borderId="0"/>
    <xf numFmtId="0" fontId="46" applyFont="1" fillId="0" borderId="0"/>
    <xf numFmtId="0" fontId="46" applyFont="1" fillId="0" borderId="0"/>
    <xf numFmtId="0" fontId="89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89" applyFont="1" fillId="0" borderId="0"/>
    <xf numFmtId="0" fontId="89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9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4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84" applyFont="1" fillId="0" borderId="0"/>
    <xf numFmtId="0" fontId="47" applyFont="1" fillId="0" borderId="0"/>
    <xf numFmtId="0" fontId="47" applyFont="1" fillId="0" borderId="0"/>
    <xf numFmtId="0" fontId="47" applyFont="1" fillId="0" borderId="0"/>
    <xf numFmtId="0" fontId="84" applyFont="1" fillId="0" borderId="0"/>
    <xf numFmtId="0" fontId="84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4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89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89" applyFont="1" fillId="0" borderId="0"/>
    <xf numFmtId="0" fontId="89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9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0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0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93" applyFont="1" fillId="0" borderId="0" applyAlignment="1">
      <alignment vertical="center"/>
    </xf>
    <xf numFmtId="0" fontId="47" applyFont="1" fillId="0" borderId="0"/>
    <xf numFmtId="0" fontId="47" applyFont="1" fillId="0" borderId="0"/>
    <xf numFmtId="0" fontId="87" applyFont="1" fillId="0" borderId="0"/>
    <xf numFmtId="0" fontId="85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93" applyFont="1" fillId="0" borderId="0" applyAlignment="1">
      <alignment vertical="center"/>
    </xf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7" applyFont="1" fillId="0" borderId="0"/>
    <xf numFmtId="0" fontId="47" applyFont="1" fillId="0" borderId="0"/>
    <xf numFmtId="0" fontId="47" applyFont="1" fillId="0" borderId="0"/>
    <xf numFmtId="0" fontId="47" applyFont="1" fillId="0" borderId="0"/>
    <xf numFmtId="0" fontId="47" applyFont="1" fillId="0" borderId="0"/>
    <xf numFmtId="0" fontId="88" applyFont="1" fillId="0" borderId="0"/>
    <xf numFmtId="0" fontId="46" applyFont="1" fillId="0" borderId="0"/>
    <xf numFmtId="0" fontId="47" applyFont="1" fillId="0" borderId="0"/>
    <xf numFmtId="0" fontId="47" applyFont="1" fillId="0" borderId="0"/>
    <xf numFmtId="0" fontId="47" applyFont="1" fillId="0" borderId="0"/>
    <xf numFmtId="0" fontId="47" applyFont="1" fillId="0" borderId="0"/>
    <xf numFmtId="0" fontId="46" applyFont="1" fillId="0" borderId="0"/>
    <xf numFmtId="0" fontId="47" applyFont="1" fillId="0" borderId="0"/>
    <xf numFmtId="0" fontId="88" applyFont="1" fillId="0" borderId="0"/>
    <xf numFmtId="0" fontId="85" applyFont="1" fillId="0" borderId="0"/>
    <xf numFmtId="0" fontId="46" applyFont="1" fillId="0" borderId="0"/>
    <xf numFmtId="0" fontId="46" applyFont="1" fillId="0" borderId="0"/>
    <xf numFmtId="0" fontId="88" applyFont="1" fillId="0" borderId="0"/>
    <xf numFmtId="0" fontId="87" applyFont="1" fillId="0" borderId="0"/>
    <xf numFmtId="0" fontId="89" applyFont="1" fillId="0" borderId="0"/>
    <xf numFmtId="0" fontId="89" applyFont="1" fillId="0" borderId="0"/>
    <xf numFmtId="0" fontId="89" applyFont="1" fillId="0" borderId="0"/>
    <xf numFmtId="0" fontId="89" applyFont="1" fillId="0" borderId="0"/>
    <xf numFmtId="0" fontId="89" applyFont="1" fillId="0" borderId="0"/>
    <xf numFmtId="0" fontId="89" applyFont="1" fillId="0" borderId="0"/>
    <xf numFmtId="0" fontId="46" applyFont="1" fillId="0" borderId="0"/>
    <xf numFmtId="0" fontId="89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89" applyFont="1" fillId="0" borderId="0"/>
    <xf numFmtId="0" fontId="88" applyFont="1" fillId="0" borderId="0"/>
    <xf numFmtId="0" fontId="89" applyFont="1" fillId="0" borderId="0"/>
    <xf numFmtId="0" fontId="89" applyFont="1" fillId="0" borderId="0"/>
    <xf numFmtId="0" fontId="87" applyFont="1" fillId="0" borderId="0"/>
    <xf numFmtId="0" fontId="89" applyFont="1" fillId="0" borderId="0"/>
    <xf numFmtId="0" fontId="87" applyFont="1" fillId="0" borderId="0"/>
    <xf numFmtId="0" fontId="87" applyFont="1" fillId="0" borderId="0"/>
    <xf numFmtId="0" fontId="89" applyFont="1" fillId="0" borderId="0"/>
    <xf numFmtId="0" fontId="89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92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08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5" applyFont="1" fillId="0" borderId="0"/>
    <xf numFmtId="0" applyNumberFormat="0" fontId="46" applyFont="1" fillId="0" applyFill="0" borderId="0" applyBorder="0" applyProtection="0" applyAlignment="0"/>
    <xf numFmtId="0" fontId="87" applyFont="1" fillId="0" borderId="0"/>
    <xf numFmtId="0" fontId="46" applyFont="1" fillId="0" borderId="0"/>
    <xf numFmtId="0" fontId="87" applyFont="1" fillId="0" borderId="0"/>
    <xf numFmtId="0" fontId="46" applyFont="1" fillId="0" borderId="0"/>
    <xf numFmtId="0" fontId="87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5" applyFont="1" fillId="0" borderId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fontId="85" applyFont="1" fillId="0" borderId="0"/>
    <xf numFmtId="0" fontId="85" applyFont="1" fillId="0" borderId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5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6" applyFont="1" fillId="0" borderId="0"/>
    <xf numFmtId="0" fontId="85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5" applyFont="1" fillId="0" borderId="0"/>
    <xf numFmtId="0" fontId="4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85" applyFont="1" fillId="0" borderId="0"/>
    <xf numFmtId="0" fontId="46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85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fontId="47" applyFont="1" fillId="0" borderId="0"/>
    <xf numFmtId="0" fontId="47" applyFont="1" fillId="0" borderId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fontId="47" applyFont="1" fillId="0" borderId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7" applyFont="1" fillId="0" borderId="0"/>
    <xf numFmtId="0" fontId="47" applyFont="1" fillId="0" borderId="0"/>
    <xf numFmtId="0" fontId="85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47" applyFont="1" fillId="0" borderId="0"/>
    <xf numFmtId="0" fontId="85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85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1" fillId="0" applyFill="0" borderId="0" applyBorder="0" applyProtection="0" applyAlignment="0"/>
    <xf numFmtId="0" fontId="47" applyFont="1" fillId="0" borderId="0"/>
    <xf numFmtId="0" fontId="89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47" applyFont="1" fillId="0" borderId="0"/>
    <xf numFmtId="0" fontId="89" applyFont="1" fillId="0" borderId="0"/>
    <xf numFmtId="0" fontId="89" applyFont="1" fillId="0" borderId="0"/>
    <xf numFmtId="0" applyNumberFormat="0" fontId="46" applyFont="1" fillId="0" applyFill="0" borderId="0" applyBorder="0" applyProtection="0" applyAlignment="0"/>
    <xf numFmtId="0" fontId="89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fontId="17" applyFont="1" fillId="0" borderId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17" applyFont="0" fillId="12" applyFill="1" borderId="11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7" applyFont="0" fillId="12" applyFill="1" borderId="11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46" applyFont="0" fillId="89" applyFill="1" borderId="29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5" applyFont="1" fillId="14" applyFill="1" borderId="13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5" applyFont="1" fillId="14" applyFill="1" borderId="13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6" applyFont="1" fillId="14" applyFill="1" borderId="13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0" applyNumberFormat="0" fontId="94" applyFont="1" fillId="86" applyFill="1" borderId="30" applyBorder="1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97" applyFont="0" fillId="0" applyFill="0" borderId="0" applyBorder="0" applyProtection="0" applyAlignment="0"/>
    <xf numFmtId="9" applyNumberFormat="1" fontId="97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97" applyFont="0" fillId="0" applyFill="0" borderId="0" applyBorder="0" applyProtection="0" applyAlignment="0"/>
    <xf numFmtId="9" applyNumberFormat="1" fontId="97" applyFont="0" fillId="0" applyFill="0" borderId="0" applyBorder="0" applyProtection="0" applyAlignment="0"/>
    <xf numFmtId="9" applyNumberFormat="1" fontId="47" applyFont="1" fillId="0" applyFill="0" borderId="0" applyBorder="0" applyProtection="0" applyAlignment="0"/>
    <xf numFmtId="9" applyNumberFormat="1" fontId="97" applyFont="0" fillId="0" applyFill="0" borderId="0" applyBorder="0" applyProtection="0" applyAlignment="0"/>
    <xf numFmtId="9" applyNumberFormat="1" fontId="97" applyFont="0" fillId="0" applyFill="0" borderId="0" applyBorder="0" applyProtection="0" applyAlignment="0"/>
    <xf numFmtId="9" applyNumberFormat="1" fontId="97" applyFont="0" fillId="0" applyFill="0" borderId="0" applyBorder="0" applyProtection="0" applyAlignment="0"/>
    <xf numFmtId="9" applyNumberFormat="1" fontId="46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1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9" applyNumberFormat="1" fontId="46" applyFont="0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applyNumberFormat="0" fontId="46" applyFont="1" fillId="0" applyFill="0" borderId="0" applyBorder="0" applyProtection="0" applyAlignment="0"/>
    <xf numFmtId="0" fontId="46" applyFont="1" fillId="0" borderId="0"/>
    <xf numFmtId="0" fontId="46" applyFont="1" fillId="0" borderId="0"/>
    <xf numFmtId="0" fontId="46" applyFont="1" fillId="0" borderId="0"/>
    <xf numFmtId="0" applyNumberFormat="0" fontId="46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9" applyFont="1" fillId="0" applyFill="0" borderId="0" applyBorder="0" applyProtection="0" applyAlignment="0"/>
    <xf numFmtId="0" applyNumberFormat="0" fontId="99" applyFont="1" fillId="0" applyFill="0" borderId="0" applyBorder="0" applyProtection="0" applyAlignment="0"/>
    <xf numFmtId="0" applyNumberFormat="0" fontId="99" applyFont="1" fillId="0" applyFill="0" borderId="0" applyBorder="0" applyProtection="0" applyAlignment="0"/>
    <xf numFmtId="0" applyNumberFormat="0" fontId="99" applyFont="1" fillId="0" applyFill="0" borderId="0" applyBorder="0" applyProtection="0" applyAlignment="0"/>
    <xf numFmtId="0" applyNumberFormat="0" fontId="99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9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9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9" applyFont="1" fillId="0" applyFill="0" borderId="0" applyBorder="0" applyProtection="0" applyAlignment="0"/>
    <xf numFmtId="0" applyNumberFormat="0" fontId="100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98" applyFont="1" fillId="0" applyFill="0" borderId="0" applyBorder="0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36" applyFont="1" fillId="0" applyFill="0" borderId="16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36" applyFont="1" fillId="0" applyFill="0" borderId="16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2" applyFont="1" fillId="0" applyFill="0" borderId="32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1" applyFont="1" fillId="0" applyFill="0" borderId="31" applyBorder="1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4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4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5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  <xf numFmtId="0" applyNumberFormat="0" fontId="103" applyFont="1" fillId="0" applyFill="0" borderId="0" applyBorder="0" applyProtection="0" applyAlignment="0"/>
  </cellStyleXfs>
  <cellXfs count="334">
    <xf numFmtId="0" fontId="0" fillId="0" borderId="0" xfId="0"/>
    <xf numFmtId="0" fontId="16" applyFont="1" fillId="2" applyFill="1" borderId="1" applyBorder="1" xfId="0" applyAlignment="1">
      <alignment horizontal="center" vertical="center"/>
    </xf>
    <xf numFmtId="165" applyNumberFormat="1" fontId="16" applyFont="1" fillId="2" applyFill="1" borderId="1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17" applyFont="1" fillId="3" applyFill="1" borderId="2" applyBorder="1" xfId="0" applyAlignment="1">
      <alignment horizontal="center" vertical="center"/>
    </xf>
    <xf numFmtId="0" fontId="0" fillId="0" borderId="1" applyBorder="1" xfId="0" applyAlignment="1">
      <alignment horizontal="left" vertical="center"/>
    </xf>
    <xf numFmtId="165" applyNumberFormat="1" fontId="0" fillId="0" borderId="1" applyBorder="1" xfId="0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19" applyFont="1" fillId="3" applyFill="1" borderId="2" applyBorder="1" xfId="0" applyAlignment="1">
      <alignment horizontal="center" vertical="center" wrapText="1"/>
    </xf>
    <xf numFmtId="0" fontId="20" applyFont="1" fillId="3" applyFill="1" borderId="2" applyBorder="1" xfId="0" applyAlignment="1">
      <alignment horizontal="center" vertical="center"/>
    </xf>
    <xf numFmtId="0" fontId="0" fillId="3" applyFill="1" borderId="2" applyBorder="1" xfId="0" applyAlignment="1">
      <alignment horizontal="center" vertical="center"/>
    </xf>
    <xf numFmtId="0" fontId="0" fillId="3" applyFill="1" borderId="3" applyBorder="1" xfId="0" applyAlignment="1">
      <alignment horizontal="center" vertical="center"/>
    </xf>
    <xf numFmtId="0" fontId="20" applyFont="1" fillId="3" applyFill="1" borderId="4" applyBorder="1" xfId="0" applyAlignment="1">
      <alignment horizontal="center" vertical="center"/>
    </xf>
    <xf numFmtId="0" fontId="21" applyFont="1" fillId="3" applyFill="1" borderId="2" applyBorder="1" xfId="0" applyAlignment="1">
      <alignment horizontal="center" vertical="center"/>
    </xf>
    <xf numFmtId="0" fontId="22" applyFont="1" fillId="2" applyFill="1" borderId="1" applyBorder="1" xfId="0" applyAlignment="1">
      <alignment horizontal="center"/>
    </xf>
    <xf numFmtId="0" fontId="23" applyFont="1" fillId="2" applyFill="1" borderId="1" applyBorder="1" xfId="0" applyAlignment="1">
      <alignment horizontal="center"/>
    </xf>
    <xf numFmtId="1" applyNumberFormat="1" fontId="0" fillId="0" borderId="1" applyBorder="1" xfId="0" applyAlignment="1">
      <alignment horizontal="center" vertical="center"/>
    </xf>
    <xf numFmtId="0" fontId="16" applyFont="1" fillId="4" applyFill="1" borderId="1" applyBorder="1" xfId="0" applyAlignment="1">
      <alignment horizontal="center" vertical="center"/>
    </xf>
    <xf numFmtId="0" fontId="0" fillId="0" borderId="0" xfId="0" applyAlignment="1">
      <alignment vertical="center"/>
    </xf>
    <xf numFmtId="0" fontId="16" applyFont="1" fillId="2" applyFill="1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7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2" applyBorder="1" xfId="0"/>
    <xf numFmtId="165" applyNumberFormat="1" fontId="16" applyFont="1" fillId="2" applyFill="1" borderId="2" applyBorder="1" xfId="0" applyAlignment="1">
      <alignment horizontal="center" vertical="center"/>
    </xf>
    <xf numFmtId="0" fontId="22" applyFont="1" fillId="5" applyFill="1" borderId="2" applyBorder="1" xfId="0" applyAlignment="1">
      <alignment horizontal="center" vertical="center"/>
    </xf>
    <xf numFmtId="165" applyNumberFormat="1" fontId="17" applyFont="1" fillId="0" borderId="2" applyBorder="1" xfId="0" applyAlignment="1">
      <alignment horizontal="center" vertical="center"/>
    </xf>
    <xf numFmtId="15" applyNumberFormat="1" fontId="24" applyFont="1" fillId="0" borderId="2" applyBorder="1" xfId="0" applyAlignment="1">
      <alignment horizontal="center" vertical="center"/>
    </xf>
    <xf numFmtId="0" fontId="25" applyFont="1" fillId="0" borderId="2" applyBorder="1" xfId="0" applyAlignment="1">
      <alignment horizontal="center" vertical="center"/>
    </xf>
    <xf numFmtId="165" applyNumberFormat="1" fontId="0" fillId="0" borderId="2" applyBorder="1" xfId="0" applyAlignment="1">
      <alignment horizontal="center" vertical="center"/>
    </xf>
    <xf numFmtId="0" fontId="0" fillId="0" borderId="0" xfId="0" applyAlignment="1">
      <alignment wrapText="1"/>
    </xf>
    <xf numFmtId="165" applyNumberFormat="1" fontId="0" fillId="0" borderId="0" xfId="0"/>
    <xf numFmtId="0" fontId="26" applyFont="1" fillId="2" applyFill="1" borderId="2" applyBorder="1" xfId="0" applyAlignment="1">
      <alignment horizontal="center" vertical="center" wrapText="1"/>
    </xf>
    <xf numFmtId="165" applyNumberFormat="1" fontId="26" applyFont="1" fillId="2" applyFill="1" borderId="2" applyBorder="1" xfId="0" applyAlignment="1">
      <alignment horizontal="center" vertical="center" wrapText="1"/>
    </xf>
    <xf numFmtId="0" fontId="27" applyFont="1" fillId="0" borderId="2" applyBorder="1" xfId="0" applyAlignment="1">
      <alignment horizontal="center" vertical="center"/>
    </xf>
    <xf numFmtId="0" fontId="27" applyFont="1" fillId="0" borderId="2" applyBorder="1" xfId="0" applyAlignment="1">
      <alignment horizontal="left"/>
    </xf>
    <xf numFmtId="0" fontId="27" applyFont="1" fillId="0" borderId="2" applyBorder="1" xfId="0" applyAlignment="1">
      <alignment horizontal="center"/>
    </xf>
    <xf numFmtId="165" applyNumberFormat="1" fontId="27" applyFont="1" fillId="0" borderId="2" applyBorder="1" xfId="0" applyAlignment="1">
      <alignment horizontal="center"/>
    </xf>
    <xf numFmtId="1" applyNumberFormat="1" fontId="26" applyFont="1" fillId="2" applyFill="1" borderId="2" applyBorder="1" xfId="0" applyAlignment="1">
      <alignment horizontal="center" vertical="center" wrapText="1"/>
    </xf>
    <xf numFmtId="0" fontId="29" applyFont="1" fillId="2" applyFill="1" borderId="2" applyBorder="1" xfId="0" applyAlignment="1">
      <alignment horizontal="center" vertical="center" wrapText="1"/>
    </xf>
    <xf numFmtId="2" applyNumberFormat="1" fontId="29" applyFont="1" fillId="2" applyFill="1" borderId="2" applyBorder="1" xfId="0" applyAlignment="1">
      <alignment horizontal="center" vertical="center" wrapText="1"/>
    </xf>
    <xf numFmtId="165" applyNumberFormat="1" fontId="27" applyFont="1" fillId="0" borderId="2" applyBorder="1" xfId="0" applyAlignment="1">
      <alignment horizontal="center" vertical="center"/>
    </xf>
    <xf numFmtId="0" fontId="0" fillId="0" borderId="0" xfId="0" applyAlignment="1">
      <alignment horizontal="center"/>
    </xf>
    <xf numFmtId="0" fontId="0" fillId="3" applyFill="1" borderId="0" xfId="0"/>
    <xf numFmtId="0" fontId="16" applyFont="1" fillId="2" applyFill="1" borderId="3" applyBorder="1" xfId="0" applyAlignment="1">
      <alignment horizontal="center" vertical="center"/>
    </xf>
    <xf numFmtId="0" fontId="22" applyFont="1" fillId="2" applyFill="1" borderId="2" applyBorder="1" xfId="0" applyAlignment="1">
      <alignment horizontal="center" vertical="center"/>
    </xf>
    <xf numFmtId="0" fontId="22" applyFont="1" fillId="2" applyFill="1" borderId="5" applyBorder="1" xfId="0" applyAlignment="1">
      <alignment horizontal="center" vertical="center"/>
    </xf>
    <xf numFmtId="165" applyNumberFormat="1" fontId="22" applyFont="1" fillId="2" applyFill="1" borderId="2" applyBorder="1" xfId="0" applyAlignment="1">
      <alignment horizontal="center" vertical="center"/>
    </xf>
    <xf numFmtId="0" fontId="0" fillId="0" borderId="6" applyBorder="1" xfId="0" applyAlignment="1">
      <alignment horizontal="center"/>
    </xf>
    <xf numFmtId="1" applyNumberFormat="1" fontId="22" applyFont="1" fillId="2" applyFill="1" borderId="2" applyBorder="1" xfId="0" applyAlignment="1">
      <alignment horizontal="center" vertical="center"/>
    </xf>
    <xf numFmtId="0" fontId="23" applyFont="1" fillId="2" applyFill="1" borderId="2" applyBorder="1" xfId="0" applyAlignment="1">
      <alignment horizontal="center" vertical="center"/>
    </xf>
    <xf numFmtId="2" applyNumberFormat="1" fontId="23" applyFont="1" fillId="2" applyFill="1" borderId="2" applyBorder="1" xfId="0" applyAlignment="1">
      <alignment horizontal="center" vertical="center"/>
    </xf>
    <xf numFmtId="0" fontId="18" applyFont="1" fillId="0" borderId="2" applyBorder="1" xfId="0" applyAlignment="1">
      <alignment horizontal="center" vertical="center"/>
    </xf>
    <xf numFmtId="0" fontId="17" applyFont="1" fillId="3" applyFill="1" borderId="0" xfId="0" applyAlignment="1">
      <alignment horizontal="center" vertical="center" wrapText="1"/>
    </xf>
    <xf numFmtId="0" fontId="20" applyFont="1" fillId="0" borderId="0" xfId="0"/>
    <xf numFmtId="0" fontId="17" applyFont="1" fillId="3" applyFill="1" borderId="2" applyBorder="1" xfId="0" applyAlignment="1">
      <alignment horizontal="center" vertical="center" wrapText="1"/>
    </xf>
    <xf numFmtId="15" applyNumberFormat="1" fontId="17" applyFont="1" fillId="3" applyFill="1" borderId="2" applyBorder="1" xfId="0" applyAlignment="1">
      <alignment horizontal="center" vertical="center" wrapText="1"/>
    </xf>
    <xf numFmtId="167" applyNumberFormat="1" fontId="17" applyFont="1" fillId="3" applyFill="1" borderId="2" applyBorder="1" xfId="0" applyAlignment="1">
      <alignment horizontal="center" vertical="center" wrapText="1"/>
    </xf>
    <xf numFmtId="0" fontId="17" applyFont="1" fillId="0" borderId="0" xfId="0" applyAlignment="1">
      <alignment horizontal="center" vertical="center"/>
    </xf>
    <xf numFmtId="0" fontId="33" applyFont="1" fillId="2" applyFill="1" borderId="0" xfId="0" applyAlignment="1">
      <alignment horizontal="center" vertical="center"/>
    </xf>
    <xf numFmtId="0" fontId="34" applyFont="1" fillId="6" applyFill="1" borderId="7" applyBorder="1" xfId="0" applyAlignment="1">
      <alignment horizontal="center" vertical="center" wrapText="1"/>
    </xf>
    <xf numFmtId="0" fontId="34" applyFont="1" fillId="6" applyFill="1" borderId="8" applyBorder="1" xfId="0" applyAlignment="1">
      <alignment horizontal="center" vertical="center" wrapText="1"/>
    </xf>
    <xf numFmtId="0" fontId="18" applyFont="1" fillId="6" applyFill="1" borderId="8" applyBorder="1" xfId="0" applyAlignment="1">
      <alignment horizontal="center" vertical="center" wrapText="1"/>
    </xf>
    <xf numFmtId="0" fontId="34" applyFont="1" fillId="6" applyFill="1" borderId="9" applyBorder="1" xfId="0" applyAlignment="1">
      <alignment horizontal="center" vertical="center" wrapText="1"/>
    </xf>
    <xf numFmtId="165" applyNumberFormat="1" fontId="17" applyFont="1" fillId="3" applyFill="1" borderId="2" applyBorder="1" xfId="0" applyAlignment="1">
      <alignment horizontal="center" vertical="center" wrapText="1"/>
    </xf>
    <xf numFmtId="0" fontId="35" applyFont="1" fillId="0" borderId="0" xfId="0" applyAlignment="1">
      <alignment horizontal="center" vertical="center"/>
    </xf>
    <xf numFmtId="0" fontId="17" applyFont="1" fillId="3" applyFill="1" borderId="0" xfId="0" applyAlignment="1">
      <alignment horizontal="center" vertical="center"/>
    </xf>
    <xf numFmtId="0" fontId="20" applyFont="1" fillId="3" applyFill="1" borderId="0" xfId="0" applyAlignment="1">
      <alignment horizontal="center" vertical="center"/>
    </xf>
    <xf numFmtId="0" fontId="16" applyFont="1" fillId="2" applyFill="1" borderId="2" applyBorder="1" xfId="0" applyAlignment="1">
      <alignment horizontal="center" vertical="center" wrapText="1"/>
    </xf>
    <xf numFmtId="15" applyNumberFormat="1" fontId="17" applyFont="1" fillId="3" applyFill="1" borderId="2" applyBorder="1" xfId="0" applyAlignment="1">
      <alignment horizontal="center" vertical="center"/>
    </xf>
    <xf numFmtId="166" applyNumberFormat="1" fontId="17" applyFont="1" fillId="3" applyFill="1" borderId="2" applyBorder="1" xfId="0" applyAlignment="1">
      <alignment horizontal="center" vertical="center" wrapText="1"/>
    </xf>
    <xf numFmtId="14" applyNumberFormat="1" fontId="17" applyFont="1" fillId="3" applyFill="1" borderId="2" applyBorder="1" xfId="0" applyAlignment="1">
      <alignment horizontal="center" vertical="center" wrapText="1"/>
    </xf>
    <xf numFmtId="166" applyNumberFormat="1" fontId="17" applyFont="1" fillId="3" applyFill="1" borderId="2" applyBorder="1" xfId="0" applyAlignment="1">
      <alignment horizontal="center" vertical="center"/>
    </xf>
    <xf numFmtId="0" fontId="36" applyFont="1" fillId="3" applyFill="1" borderId="2" applyBorder="1" xfId="0" applyAlignment="1">
      <alignment horizontal="center" vertical="center"/>
    </xf>
    <xf numFmtId="0" fontId="36" applyFont="1" fillId="3" applyFill="1" borderId="2" applyBorder="1" xfId="0" applyAlignment="1">
      <alignment horizontal="center" vertical="center" wrapText="1"/>
    </xf>
    <xf numFmtId="165" applyNumberFormat="1" fontId="17" applyFont="1" fillId="3" applyFill="1" borderId="2" applyBorder="1" xfId="0" applyAlignment="1">
      <alignment horizontal="center" vertical="center"/>
    </xf>
    <xf numFmtId="0" fontId="17" applyFont="1" fillId="3" applyFill="1" borderId="4" applyBorder="1" xfId="0" applyAlignment="1">
      <alignment horizontal="center" vertical="center" wrapText="1"/>
    </xf>
    <xf numFmtId="0" fontId="17" applyFont="1" fillId="3" applyFill="1" borderId="10" applyBorder="1" xfId="0" applyAlignment="1">
      <alignment horizontal="center" vertical="center" wrapText="1"/>
    </xf>
    <xf numFmtId="15" applyNumberFormat="1" fontId="17" applyFont="1" fillId="3" applyFill="1" borderId="4" applyBorder="1" xfId="0" applyAlignment="1">
      <alignment horizontal="center" vertical="center" wrapText="1"/>
    </xf>
    <xf numFmtId="0" fontId="17" applyFont="1" fillId="3" applyFill="1" borderId="4" applyBorder="1" xfId="0" applyAlignment="1">
      <alignment horizontal="center" vertical="center"/>
    </xf>
    <xf numFmtId="15" applyNumberFormat="1" fontId="17" applyFont="1" fillId="3" applyFill="1" borderId="10" applyBorder="1" xfId="0" applyAlignment="1">
      <alignment horizontal="center" vertical="center" wrapText="1"/>
    </xf>
    <xf numFmtId="0" fontId="17" applyFont="1" fillId="3" applyFill="1" borderId="10" applyBorder="1" xfId="0" applyAlignment="1">
      <alignment horizontal="center" vertical="center"/>
    </xf>
    <xf numFmtId="165" applyNumberFormat="1" fontId="17" applyFont="1" fillId="3" applyFill="1" borderId="4" applyBorder="1" xfId="0" applyAlignment="1">
      <alignment horizontal="center" vertical="center" wrapText="1"/>
    </xf>
    <xf numFmtId="165" applyNumberFormat="1" fontId="17" applyFont="1" fillId="3" applyFill="1" borderId="10" applyBorder="1" xfId="0" applyAlignment="1">
      <alignment horizontal="center" vertical="center" wrapText="1"/>
    </xf>
    <xf numFmtId="165" applyNumberFormat="1" fontId="17" applyFont="1" fillId="3" applyFill="1" borderId="10" applyBorder="1" xfId="0" applyAlignment="1">
      <alignment horizontal="center" vertical="center"/>
    </xf>
    <xf numFmtId="0" fontId="0" fillId="3" applyFill="1" borderId="0" xfId="0" applyAlignment="1">
      <alignment horizontal="center" vertical="center"/>
    </xf>
    <xf numFmtId="0" fontId="20" applyFont="1" fillId="0" borderId="0" xfId="0" applyAlignment="1">
      <alignment horizontal="center" vertical="center"/>
    </xf>
    <xf numFmtId="0" fontId="28" applyFont="1" fillId="3" applyFill="1" borderId="0" xfId="0" applyAlignment="1">
      <alignment horizontal="center" vertical="center"/>
    </xf>
    <xf numFmtId="0" fontId="21" applyFont="1" fillId="3" applyFill="1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8" applyNumberFormat="1" fontId="0" fillId="0" borderId="0" xfId="0" applyAlignment="1">
      <alignment horizontal="center" vertical="center"/>
    </xf>
    <xf numFmtId="0" fontId="16" applyFont="1" fillId="5" applyFill="1" borderId="2" applyBorder="1" xfId="0" applyAlignment="1">
      <alignment horizontal="center" vertical="center" wrapText="1"/>
    </xf>
    <xf numFmtId="0" fontId="30" applyFont="1" fillId="7" applyFill="1" borderId="2" applyBorder="1" xfId="0" applyAlignment="1">
      <alignment horizontal="center" vertical="center"/>
    </xf>
    <xf numFmtId="0" fontId="17" applyFont="1" fillId="3" applyFill="1" borderId="2" applyBorder="1" xfId="3263" applyAlignment="1">
      <alignment horizontal="center" vertical="center"/>
    </xf>
    <xf numFmtId="0" fontId="30" applyFont="1" fillId="3" applyFill="1" borderId="2" applyBorder="1" xfId="0" applyAlignment="1">
      <alignment horizontal="center" vertical="center"/>
    </xf>
    <xf numFmtId="0" fontId="30" applyFont="1" fillId="8" applyFill="1" borderId="2" applyBorder="1" xfId="0" applyAlignment="1">
      <alignment horizontal="center" vertical="center" wrapText="1"/>
    </xf>
    <xf numFmtId="0" fontId="17" applyFont="1" fillId="9" applyFill="1" borderId="2" applyBorder="1" xfId="0" applyAlignment="1">
      <alignment horizontal="center" vertical="center"/>
    </xf>
    <xf numFmtId="0" fontId="17" applyFont="1" fillId="9" applyFill="1" borderId="2" applyBorder="1" xfId="3263" applyAlignment="1">
      <alignment horizontal="center" vertical="center"/>
    </xf>
    <xf numFmtId="0" fontId="17" applyFont="1" fillId="0" borderId="2" applyBorder="1" xfId="3263" applyAlignment="1">
      <alignment horizontal="center" vertical="center"/>
    </xf>
    <xf numFmtId="0" fontId="17" applyFont="1" fillId="0" borderId="2" applyBorder="1" xfId="0" applyAlignment="1">
      <alignment horizontal="center" vertical="center" wrapText="1"/>
    </xf>
    <xf numFmtId="0" fontId="37" applyFont="1" fillId="3" applyFill="1" borderId="2" applyBorder="1" xfId="0" applyAlignment="1">
      <alignment horizontal="center" vertical="center"/>
    </xf>
    <xf numFmtId="14" applyNumberFormat="1" fontId="17" applyFont="1" fillId="3" applyFill="1" borderId="2" applyBorder="1" xfId="0" applyAlignment="1">
      <alignment horizontal="center" vertical="center"/>
    </xf>
    <xf numFmtId="15" applyNumberFormat="1" fontId="30" applyFont="1" fillId="0" borderId="2" applyBorder="1" xfId="0" applyAlignment="1">
      <alignment horizontal="center" vertical="center"/>
    </xf>
    <xf numFmtId="0" fontId="37" applyFont="1" fillId="0" borderId="2" applyBorder="1" xfId="0" applyAlignment="1">
      <alignment horizontal="center" vertical="center"/>
    </xf>
    <xf numFmtId="0" fontId="38" applyFont="1" fillId="3" applyFill="1" borderId="2" applyBorder="1" xfId="2329" applyAlignment="1">
      <alignment horizontal="center" vertical="center"/>
    </xf>
    <xf numFmtId="0" fontId="38" applyFont="1" fillId="3" applyFill="1" borderId="2" applyBorder="1" xfId="0" applyAlignment="1">
      <alignment horizontal="center" vertical="center"/>
    </xf>
    <xf numFmtId="49" applyNumberFormat="1" fontId="17" applyFont="1" fillId="3" applyFill="1" borderId="2" applyBorder="1" xfId="0" applyAlignment="1">
      <alignment horizontal="center" vertical="center"/>
    </xf>
    <xf numFmtId="1" applyNumberFormat="1" fontId="17" applyFont="1" fillId="3" applyFill="1" borderId="2" applyBorder="1" xfId="0" applyAlignment="1">
      <alignment horizontal="center" vertical="center"/>
    </xf>
    <xf numFmtId="167" applyNumberFormat="1" fontId="17" applyFont="1" fillId="3" applyFill="1" borderId="2" applyBorder="1" xfId="3263" applyAlignment="1">
      <alignment horizontal="center" vertical="center"/>
    </xf>
    <xf numFmtId="49" applyNumberFormat="1" fontId="17" applyFont="1" fillId="0" borderId="2" applyBorder="1" xfId="0" applyAlignment="1">
      <alignment horizontal="center" vertical="center"/>
    </xf>
    <xf numFmtId="1" applyNumberFormat="1" fontId="17" applyFont="1" fillId="0" borderId="2" applyBorder="1" xfId="0" applyAlignment="1">
      <alignment horizontal="center" vertical="center"/>
    </xf>
    <xf numFmtId="167" applyNumberFormat="1" fontId="17" applyFont="1" fillId="0" borderId="2" applyBorder="1" xfId="3263" applyAlignment="1">
      <alignment horizontal="center" vertical="center"/>
    </xf>
    <xf numFmtId="0" fontId="17" applyFont="1" fillId="3" applyFill="1" borderId="2" applyBorder="1" xfId="9037" applyAlignment="1">
      <alignment horizontal="center" vertical="center"/>
    </xf>
    <xf numFmtId="167" applyNumberFormat="1" fontId="17" applyFont="1" fillId="3" applyFill="1" borderId="2" applyBorder="1" xfId="0" applyAlignment="1">
      <alignment horizontal="center" vertical="center"/>
    </xf>
    <xf numFmtId="1" applyNumberFormat="1" fontId="17" applyFont="1" fillId="3" applyFill="1" borderId="2" applyBorder="1" xfId="0" applyAlignment="1">
      <alignment horizontal="center" vertical="center" wrapText="1"/>
    </xf>
    <xf numFmtId="0" fontId="17" applyFont="1" fillId="3" applyFill="1" borderId="2" applyBorder="1" xfId="3263" applyAlignment="1">
      <alignment horizontal="center" vertical="center" wrapText="1"/>
    </xf>
    <xf numFmtId="0" fontId="17" applyFont="1" fillId="0" borderId="2" applyBorder="1" xfId="3263" applyAlignment="1">
      <alignment horizontal="center" vertical="center" wrapText="1"/>
    </xf>
    <xf numFmtId="166" applyNumberFormat="1" fontId="17" applyFont="1" fillId="3" applyFill="1" borderId="2" applyBorder="1" xfId="3263" applyAlignment="1">
      <alignment horizontal="center" vertical="center"/>
    </xf>
    <xf numFmtId="166" applyNumberFormat="1" fontId="17" applyFont="1" fillId="0" borderId="2" applyBorder="1" xfId="0" applyAlignment="1">
      <alignment horizontal="center" vertical="center"/>
    </xf>
    <xf numFmtId="166" applyNumberFormat="1" fontId="17" applyFont="1" fillId="0" borderId="2" applyBorder="1" xfId="3263" applyAlignment="1">
      <alignment horizontal="center" vertical="center"/>
    </xf>
    <xf numFmtId="3" applyNumberFormat="1" fontId="17" applyFont="1" fillId="3" applyFill="1" borderId="2" applyBorder="1" xfId="0" applyAlignment="1">
      <alignment horizontal="center" vertical="center"/>
    </xf>
    <xf numFmtId="0" fontId="39" applyFont="1" fillId="0" borderId="2" applyBorder="1" xfId="2329" applyAlignment="1">
      <alignment horizontal="center" vertical="center"/>
    </xf>
    <xf numFmtId="165" applyNumberFormat="1" fontId="16" applyFont="1" fillId="5" applyFill="1" borderId="2" applyBorder="1" xfId="0" applyAlignment="1">
      <alignment horizontal="center" vertical="center" wrapText="1"/>
    </xf>
    <xf numFmtId="168" applyNumberFormat="1" fontId="16" applyFont="1" fillId="5" applyFill="1" borderId="2" applyBorder="1" xfId="0" applyAlignment="1">
      <alignment horizontal="center" vertical="center" wrapText="1"/>
    </xf>
    <xf numFmtId="0" fontId="40" applyFont="1" fillId="0" borderId="2" applyBorder="1" xfId="0" applyAlignment="1">
      <alignment horizontal="center" vertical="center"/>
    </xf>
    <xf numFmtId="0" fontId="30" applyFont="1" fillId="0" borderId="2" applyBorder="1" xfId="0" applyAlignment="1">
      <alignment horizontal="center" vertical="center"/>
    </xf>
    <xf numFmtId="15" applyNumberFormat="1" fontId="17" applyFont="1" fillId="3" applyFill="1" borderId="2" applyBorder="1" xfId="0" applyAlignment="1">
      <alignment horizontal="center"/>
    </xf>
    <xf numFmtId="0" fontId="23" applyFont="1" fillId="2" applyFill="1" borderId="2" applyBorder="1" xfId="0" applyAlignment="1">
      <alignment horizontal="center" vertical="center" wrapText="1"/>
    </xf>
    <xf numFmtId="15" applyNumberFormat="1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 wrapText="1"/>
    </xf>
    <xf numFmtId="0" fontId="17" applyFont="1" fillId="0" borderId="0" xfId="0" applyAlignment="1">
      <alignment vertical="center"/>
    </xf>
    <xf numFmtId="0" fontId="0" fillId="3" applyFill="1" borderId="0" xfId="0" applyAlignment="1">
      <alignment vertical="center"/>
    </xf>
    <xf numFmtId="15" applyNumberFormat="1" fontId="17" applyFont="1" fillId="0" borderId="2" applyBorder="1" xfId="0" applyAlignment="1">
      <alignment horizontal="center" vertical="center"/>
    </xf>
    <xf numFmtId="0" fontId="30" applyFont="1" fillId="10" applyFill="1" borderId="2" applyBorder="1" xfId="0" applyAlignment="1">
      <alignment horizontal="center" vertical="center"/>
    </xf>
    <xf numFmtId="167" applyNumberFormat="1" fontId="17" applyFont="1" fillId="0" borderId="2" applyBorder="1" xfId="0" applyAlignment="1">
      <alignment horizontal="center" vertical="center"/>
    </xf>
    <xf numFmtId="1" applyNumberFormat="1" fontId="17" applyFont="1" fillId="0" borderId="2" applyBorder="1" xfId="0" applyAlignment="1">
      <alignment horizontal="center" vertical="center" wrapText="1"/>
    </xf>
    <xf numFmtId="15" applyNumberFormat="1" fontId="0" fillId="0" borderId="0" xfId="0" applyAlignment="1">
      <alignment horizontal="center"/>
    </xf>
    <xf numFmtId="14" applyNumberFormat="1" fontId="17" applyFont="1" fillId="0" borderId="2" applyBorder="1" xfId="0" applyAlignment="1">
      <alignment horizontal="center" vertical="center"/>
    </xf>
    <xf numFmtId="167" applyNumberFormat="1" fontId="20" applyFont="1" fillId="0" borderId="0" xfId="0" applyAlignment="1">
      <alignment horizontal="center" vertical="center"/>
    </xf>
    <xf numFmtId="167" applyNumberFormat="1" fontId="16" applyFont="1" fillId="5" applyFill="1" borderId="2" applyBorder="1" xfId="0" applyAlignment="1">
      <alignment horizontal="center" vertical="center" wrapText="1"/>
    </xf>
    <xf numFmtId="0" fontId="20" applyFont="1" fillId="3" applyFill="1" borderId="0" xfId="0" applyAlignment="1">
      <alignment horizontal="center" vertical="center" wrapText="1"/>
    </xf>
    <xf numFmtId="49" applyNumberFormat="1" fontId="20" applyFont="1" fillId="3" applyFill="1" borderId="0" xfId="0" applyAlignment="1">
      <alignment horizontal="center" vertical="center"/>
    </xf>
    <xf numFmtId="167" applyNumberFormat="1" fontId="20" applyFont="1" fillId="3" applyFill="1" borderId="0" xfId="0" applyAlignment="1">
      <alignment horizontal="center" vertical="center"/>
    </xf>
    <xf numFmtId="166" applyNumberFormat="1" fontId="20" applyFont="1" fillId="3" applyFill="1" borderId="0" xfId="0" applyAlignment="1">
      <alignment horizontal="center" vertical="center"/>
    </xf>
    <xf numFmtId="165" applyNumberFormat="1" fontId="20" applyFont="1" fillId="3" applyFill="1" borderId="0" xfId="0" applyAlignment="1">
      <alignment horizontal="center" vertical="center"/>
    </xf>
    <xf numFmtId="0" fontId="41" applyFont="1" fillId="2" applyFill="1" borderId="2" applyBorder="1" xfId="0" applyAlignment="1">
      <alignment horizontal="center" vertical="center" wrapText="1"/>
    </xf>
    <xf numFmtId="49" applyNumberFormat="1" fontId="41" applyFont="1" fillId="2" applyFill="1" borderId="2" applyBorder="1" xfId="0" applyAlignment="1">
      <alignment horizontal="center" vertical="center" wrapText="1"/>
    </xf>
    <xf numFmtId="167" applyNumberFormat="1" fontId="41" applyFont="1" fillId="2" applyFill="1" borderId="2" applyBorder="1" xfId="0" applyAlignment="1">
      <alignment horizontal="center" vertical="center" wrapText="1"/>
    </xf>
    <xf numFmtId="166" applyNumberFormat="1" fontId="41" applyFont="1" fillId="2" applyFill="1" borderId="2" applyBorder="1" xfId="0" applyAlignment="1">
      <alignment horizontal="center" vertical="center" wrapText="1"/>
    </xf>
    <xf numFmtId="165" applyNumberFormat="1" fontId="41" applyFont="1" fillId="2" applyFill="1" borderId="2" applyBorder="1" xfId="0" applyAlignment="1">
      <alignment horizontal="center" vertical="center" wrapText="1"/>
    </xf>
    <xf numFmtId="0" fontId="38" applyFont="1" fillId="11" applyFill="1" borderId="2" applyBorder="1" xfId="0" quotePrefix="1" applyAlignment="1">
      <alignment horizontal="center" vertical="center"/>
    </xf>
    <xf numFmtId="0" fontId="17" applyFont="1" fillId="3" applyFill="1" borderId="2" applyBorder="1" xfId="0" quotePrefix="1" applyAlignment="1">
      <alignment horizontal="center" vertical="center"/>
    </xf>
    <xf numFmtId="0" fontId="17" applyFont="1" fillId="0" borderId="2" applyBorder="1" xfId="0" quotePrefix="1" applyAlignment="1">
      <alignment horizontal="center" vertical="center"/>
    </xf>
    <xf numFmtId="0" fontId="110" applyFont="1" fillId="5" applyFill="1" borderId="2" applyBorder="1" xfId="0" applyAlignment="1">
      <alignment horizontal="center" vertical="center" wrapText="1"/>
    </xf>
    <xf numFmtId="0" fontId="15" applyFont="1" fillId="3" applyFill="1" borderId="2" applyBorder="1" xfId="0" applyAlignment="1">
      <alignment horizontal="center" vertical="center"/>
    </xf>
    <xf numFmtId="0" fontId="111" applyFont="1" fillId="0" borderId="0" xfId="0" applyAlignment="1">
      <alignment horizontal="center" vertical="center"/>
    </xf>
    <xf numFmtId="0" fontId="112" applyFont="1" fillId="0" borderId="2" applyBorder="1" xfId="0" applyAlignment="1">
      <alignment horizontal="center" vertical="center"/>
    </xf>
    <xf numFmtId="0" fontId="17" applyFont="1" fillId="90" applyFill="1" borderId="2" applyBorder="1" xfId="0" applyAlignment="1">
      <alignment horizontal="center" vertical="center"/>
    </xf>
    <xf numFmtId="0" fontId="14" applyFont="1" fillId="3" applyFill="1" borderId="2" applyBorder="1" xfId="0" applyAlignment="1">
      <alignment horizontal="center" vertical="center" wrapText="1"/>
    </xf>
    <xf numFmtId="15" applyNumberFormat="1" fontId="17" applyFont="1" fillId="90" applyFill="1" borderId="2" applyBorder="1" xfId="0" applyAlignment="1">
      <alignment horizontal="center" vertical="center" wrapText="1"/>
    </xf>
    <xf numFmtId="0" fontId="17" applyFont="1" fillId="90" applyFill="1" borderId="2" applyBorder="1" xfId="0" applyAlignment="1">
      <alignment horizontal="center" vertical="center" wrapText="1"/>
    </xf>
    <xf numFmtId="167" applyNumberFormat="1" fontId="17" applyFont="1" fillId="90" applyFill="1" borderId="2" applyBorder="1" xfId="0" applyAlignment="1">
      <alignment horizontal="center" vertical="center" wrapText="1"/>
    </xf>
    <xf numFmtId="167" applyNumberFormat="1" fontId="17" applyFont="1" fillId="90" applyFill="1" borderId="2" applyBorder="1" xfId="0" applyAlignment="1">
      <alignment horizontal="center" vertical="center"/>
    </xf>
    <xf numFmtId="0" fontId="38" applyFont="1" fillId="90" applyFill="1" borderId="2" applyBorder="1" xfId="0" applyAlignment="1">
      <alignment horizontal="center" vertical="center"/>
    </xf>
    <xf numFmtId="1" applyNumberFormat="1" fontId="17" applyFont="1" fillId="90" applyFill="1" borderId="2" applyBorder="1" xfId="0" applyAlignment="1">
      <alignment horizontal="center" vertical="center" wrapText="1"/>
    </xf>
    <xf numFmtId="1" applyNumberFormat="1" fontId="17" applyFont="1" fillId="90" applyFill="1" borderId="2" applyBorder="1" xfId="0" applyAlignment="1">
      <alignment horizontal="center" vertical="center"/>
    </xf>
    <xf numFmtId="166" applyNumberFormat="1" fontId="17" applyFont="1" fillId="90" applyFill="1" borderId="2" applyBorder="1" xfId="0" applyAlignment="1">
      <alignment horizontal="center" vertical="center"/>
    </xf>
    <xf numFmtId="0" fontId="20" applyFont="1" fillId="90" applyFill="1" borderId="0" xfId="0" applyAlignment="1">
      <alignment horizontal="center" vertical="center"/>
    </xf>
    <xf numFmtId="0" fontId="32" applyFont="1" fillId="5" applyFill="1" borderId="2" applyBorder="1" xfId="0" applyAlignment="1">
      <alignment horizontal="center" vertical="center"/>
    </xf>
    <xf numFmtId="167" applyNumberFormat="1" fontId="32" applyFont="1" fillId="5" applyFill="1" borderId="2" applyBorder="1" xfId="0" applyAlignment="1">
      <alignment horizontal="center" vertical="center"/>
    </xf>
    <xf numFmtId="15" applyNumberFormat="1" fontId="113" applyFont="1" fillId="6" applyFill="1" borderId="33" applyBorder="1" xfId="0" applyAlignment="1">
      <alignment horizontal="center" vertical="center" wrapText="1"/>
    </xf>
    <xf numFmtId="15" applyNumberFormat="1" fontId="14" applyFont="1" fillId="3" applyFill="1" borderId="2" applyBorder="1" xfId="0" applyAlignment="1">
      <alignment horizontal="center" vertical="center" wrapText="1"/>
    </xf>
    <xf numFmtId="0" fontId="17" applyFont="1" fillId="0" borderId="36" applyBorder="1" xfId="0" applyAlignment="1">
      <alignment horizontal="center" vertical="center"/>
    </xf>
    <xf numFmtId="0" fontId="116" applyFont="1" fillId="0" borderId="36" applyBorder="1" xfId="0" applyAlignment="1">
      <alignment horizontal="center" vertical="center"/>
    </xf>
    <xf numFmtId="0" fontId="115" applyFont="1" fillId="6" applyFill="1" borderId="36" applyBorder="1" xfId="0" applyAlignment="1">
      <alignment horizontal="center" vertical="center" wrapText="1"/>
    </xf>
    <xf numFmtId="0" fontId="114" applyFont="1" fillId="0" borderId="36" applyBorder="1" xfId="0" applyAlignment="1">
      <alignment horizontal="center" vertical="center" wrapText="1"/>
    </xf>
    <xf numFmtId="15" applyNumberFormat="1" fontId="114" applyFont="1" fillId="0" borderId="36" applyBorder="1" xfId="0" applyAlignment="1">
      <alignment horizontal="center" vertical="center" wrapText="1"/>
    </xf>
    <xf numFmtId="0" fontId="109" applyFont="1" fillId="0" borderId="36" applyBorder="1" xfId="0" applyAlignment="1">
      <alignment horizontal="center" vertical="center"/>
    </xf>
    <xf numFmtId="15" applyNumberFormat="1" fontId="116" applyFont="1" fillId="0" borderId="36" applyBorder="1" xfId="0" applyAlignment="1">
      <alignment horizontal="center" vertical="center"/>
    </xf>
    <xf numFmtId="0" fontId="17" applyFont="1" fillId="0" borderId="37" applyBorder="1" xfId="0" applyAlignment="1">
      <alignment horizontal="center" vertical="center"/>
    </xf>
    <xf numFmtId="0" fontId="116" applyFont="1" fillId="0" borderId="37" applyBorder="1" xfId="0" applyAlignment="1">
      <alignment horizontal="center" vertical="center"/>
    </xf>
    <xf numFmtId="167" applyNumberFormat="1" fontId="17" applyFont="1" fillId="0" borderId="2" applyBorder="1" xfId="0" applyAlignment="1">
      <alignment horizontal="center" vertical="center" wrapText="1"/>
    </xf>
    <xf numFmtId="0" fontId="38" applyFont="1" fillId="0" borderId="2" applyBorder="1" xfId="0" applyAlignment="1">
      <alignment horizontal="center" vertical="center"/>
    </xf>
    <xf numFmtId="0" fontId="20" applyFont="1" fillId="3" applyFill="1" borderId="36" applyBorder="1" xfId="0" applyAlignment="1">
      <alignment horizontal="center" vertical="center"/>
    </xf>
    <xf numFmtId="0" fontId="20" applyFont="1" fillId="90" applyFill="1" borderId="36" applyBorder="1" xfId="0" applyAlignment="1">
      <alignment horizontal="center" vertical="center"/>
    </xf>
    <xf numFmtId="0" fontId="20" applyFont="1" fillId="3" applyFill="1" borderId="3" applyBorder="1" xfId="0" applyAlignment="1">
      <alignment horizontal="center" vertical="center"/>
    </xf>
    <xf numFmtId="0" fontId="20" applyFont="1" fillId="0" borderId="36" applyBorder="1" xfId="0" applyAlignment="1">
      <alignment horizontal="center" vertical="center"/>
    </xf>
    <xf numFmtId="0" fontId="107" applyFont="1" fillId="0" borderId="38" applyBorder="1" xfId="0" applyAlignment="1">
      <alignment horizontal="center" vertical="center"/>
    </xf>
    <xf numFmtId="0" fontId="107" applyFont="1" fillId="0" borderId="39" applyBorder="1" xfId="0" applyAlignment="1">
      <alignment horizontal="center" vertical="center"/>
    </xf>
    <xf numFmtId="0" fontId="106" applyFont="1" fillId="0" borderId="39" applyBorder="1" xfId="0" applyAlignment="1">
      <alignment horizontal="center" vertical="center"/>
    </xf>
    <xf numFmtId="15" applyNumberFormat="1" fontId="107" applyFont="1" fillId="0" borderId="39" applyBorder="1" xfId="0" applyAlignment="1">
      <alignment horizontal="center" vertical="center"/>
    </xf>
    <xf numFmtId="0" fontId="117" applyFont="1" fillId="0" borderId="39" applyBorder="1" xfId="0" applyAlignment="1">
      <alignment horizontal="center" vertical="center"/>
    </xf>
    <xf numFmtId="0" fontId="118" applyFont="1" fillId="0" borderId="39" applyBorder="1" xfId="0" applyAlignment="1">
      <alignment horizontal="center" vertical="center"/>
    </xf>
    <xf numFmtId="14" applyNumberFormat="1" fontId="17" applyFont="1" fillId="0" borderId="36" applyBorder="1" xfId="0" applyAlignment="1">
      <alignment horizontal="center" vertical="center"/>
    </xf>
    <xf numFmtId="165" applyNumberFormat="1" fontId="17" applyFont="1" fillId="0" borderId="36" applyBorder="1" xfId="0" applyAlignment="1">
      <alignment horizontal="center" vertical="center"/>
    </xf>
    <xf numFmtId="0" fontId="20" applyFont="1" fillId="3" applyFill="1" borderId="5" applyBorder="1" xfId="0" applyAlignment="1">
      <alignment horizontal="center" vertical="center"/>
    </xf>
    <xf numFmtId="0" fontId="20" applyFont="1" fillId="0" borderId="5" applyBorder="1" xfId="0" applyAlignment="1">
      <alignment horizontal="center" vertical="center"/>
    </xf>
    <xf numFmtId="0" fontId="0" fillId="90" applyFill="1" borderId="2" applyBorder="1" xfId="0" applyAlignment="1">
      <alignment horizontal="center" vertical="center"/>
    </xf>
    <xf numFmtId="0" fontId="25" applyFont="1" fillId="6" applyFill="1" borderId="38" applyBorder="1" xfId="0" applyAlignment="1">
      <alignment horizontal="center" vertical="center" wrapText="1"/>
    </xf>
    <xf numFmtId="0" fontId="27" applyFont="1" fillId="0" borderId="40" applyBorder="1" xfId="0" applyAlignment="1">
      <alignment horizontal="center" vertical="center" wrapText="1"/>
    </xf>
    <xf numFmtId="0" fontId="107" applyFont="1" fillId="0" borderId="41" applyBorder="1" xfId="0" applyAlignment="1">
      <alignment horizontal="center" vertical="center"/>
    </xf>
    <xf numFmtId="0" fontId="13" applyFont="1" fillId="3" applyFill="1" borderId="2" applyBorder="1" xfId="0" applyAlignment="1">
      <alignment horizontal="center" vertical="center"/>
    </xf>
    <xf numFmtId="0" fontId="107" applyFont="1" fillId="0" borderId="2" applyBorder="1" xfId="0" applyAlignment="1">
      <alignment horizontal="center" vertical="center"/>
    </xf>
    <xf numFmtId="0" fontId="120" applyFont="1" fillId="0" borderId="39" applyBorder="1" xfId="0" applyAlignment="1">
      <alignment horizontal="center" vertical="center"/>
    </xf>
    <xf numFmtId="0" fontId="106" applyFont="1" fillId="0" borderId="41" applyBorder="1" xfId="0" applyAlignment="1">
      <alignment horizontal="center" vertical="center"/>
    </xf>
    <xf numFmtId="0" fontId="106" applyFont="1" fillId="0" borderId="42" applyBorder="1" xfId="0" applyAlignment="1">
      <alignment horizontal="center" vertical="center"/>
    </xf>
    <xf numFmtId="0" fontId="106" applyFont="1" fillId="0" borderId="36" applyBorder="1" xfId="0" applyAlignment="1">
      <alignment horizontal="center" vertical="center"/>
    </xf>
    <xf numFmtId="0" fontId="10" applyFont="1" fillId="3" applyFill="1" borderId="2" applyBorder="1" xfId="0" applyAlignment="1">
      <alignment horizontal="center" vertical="center"/>
    </xf>
    <xf numFmtId="0" fontId="10" applyFont="1" fillId="3" applyFill="1" borderId="2" applyBorder="1" xfId="0" applyAlignment="1">
      <alignment horizontal="center" vertical="center" wrapText="1"/>
    </xf>
    <xf numFmtId="167" applyNumberFormat="1" fontId="10" applyFont="1" fillId="3" applyFill="1" borderId="2" applyBorder="1" xfId="0" applyAlignment="1">
      <alignment horizontal="center" vertical="center" wrapText="1"/>
    </xf>
    <xf numFmtId="167" applyNumberFormat="1" fontId="10" applyFont="1" fillId="3" applyFill="1" borderId="2" applyBorder="1" xfId="0" applyAlignment="1">
      <alignment horizontal="center" vertical="center"/>
    </xf>
    <xf numFmtId="1" applyNumberFormat="1" fontId="10" applyFont="1" fillId="3" applyFill="1" borderId="2" applyBorder="1" xfId="0" applyAlignment="1">
      <alignment horizontal="center" vertical="center" wrapText="1"/>
    </xf>
    <xf numFmtId="1" applyNumberFormat="1" fontId="10" applyFont="1" fillId="3" applyFill="1" borderId="2" applyBorder="1" xfId="0" applyAlignment="1">
      <alignment horizontal="center" vertical="center"/>
    </xf>
    <xf numFmtId="166" applyNumberFormat="1" fontId="10" applyFont="1" fillId="3" applyFill="1" borderId="2" applyBorder="1" xfId="0" applyAlignment="1">
      <alignment horizontal="center" vertical="center"/>
    </xf>
    <xf numFmtId="0" fontId="38" applyFont="1" fillId="22" applyFill="1" borderId="2" applyBorder="1" xfId="0" quotePrefix="1" applyAlignment="1">
      <alignment horizontal="center" vertical="center"/>
    </xf>
    <xf numFmtId="15" applyNumberFormat="1" fontId="10" applyFont="1" fillId="3" applyFill="1" borderId="2" applyBorder="1" xfId="0" applyAlignment="1">
      <alignment horizontal="center" vertical="center" wrapText="1"/>
    </xf>
    <xf numFmtId="1" applyNumberFormat="1" fontId="0" fillId="0" borderId="2" applyBorder="1" xfId="0" quotePrefix="1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108" applyFont="1" fillId="0" borderId="2" applyBorder="1" xfId="0" applyAlignment="1">
      <alignment horizontal="center"/>
    </xf>
    <xf numFmtId="165" applyNumberFormat="1" fontId="23" applyFont="1" fillId="2" applyFill="1" borderId="2" applyBorder="1" xfId="0" applyAlignment="1">
      <alignment horizontal="center" vertical="center"/>
    </xf>
    <xf numFmtId="0" fontId="115" applyFont="1" fillId="90" applyFill="1" borderId="36" applyBorder="1" xfId="0" applyAlignment="1">
      <alignment horizontal="center" vertical="center" wrapText="1"/>
    </xf>
    <xf numFmtId="0" fontId="114" applyFont="1" fillId="90" applyFill="1" borderId="36" applyBorder="1" xfId="0" applyAlignment="1">
      <alignment horizontal="center" vertical="center" wrapText="1"/>
    </xf>
    <xf numFmtId="15" applyNumberFormat="1" fontId="114" applyFont="1" fillId="90" applyFill="1" borderId="36" applyBorder="1" xfId="0" applyAlignment="1">
      <alignment horizontal="center" vertical="center" wrapText="1"/>
    </xf>
    <xf numFmtId="15" applyNumberFormat="1" fontId="113" applyFont="1" fillId="90" applyFill="1" borderId="33" applyBorder="1" xfId="0" applyAlignment="1">
      <alignment horizontal="center" vertical="center" wrapText="1"/>
    </xf>
    <xf numFmtId="0" fontId="17" applyFont="1" fillId="90" applyFill="1" borderId="36" applyBorder="1" xfId="0" applyAlignment="1">
      <alignment horizontal="center" vertical="center"/>
    </xf>
    <xf numFmtId="14" applyNumberFormat="1" fontId="17" applyFont="1" fillId="90" applyFill="1" borderId="36" applyBorder="1" xfId="0" applyAlignment="1">
      <alignment horizontal="center" vertical="center"/>
    </xf>
    <xf numFmtId="0" fontId="17" applyFont="1" fillId="90" applyFill="1" borderId="0" xfId="0" applyAlignment="1">
      <alignment horizontal="center" vertical="center"/>
    </xf>
    <xf numFmtId="15" applyNumberFormat="1" fontId="9" applyFont="1" fillId="3" applyFill="1" borderId="2" applyBorder="1" xfId="0" applyAlignment="1">
      <alignment horizontal="center" vertical="center" wrapText="1"/>
    </xf>
    <xf numFmtId="0" fontId="115" applyFont="1" fillId="0" borderId="36" applyBorder="1" xfId="0" applyAlignment="1">
      <alignment horizontal="center" vertical="center" wrapText="1"/>
    </xf>
    <xf numFmtId="15" applyNumberFormat="1" fontId="113" applyFont="1" fillId="0" borderId="33" applyBorder="1" xfId="0" applyAlignment="1">
      <alignment horizontal="center" vertical="center" wrapText="1"/>
    </xf>
    <xf numFmtId="167" applyNumberFormat="1" fontId="107" applyFont="1" fillId="0" borderId="36" applyBorder="1" xfId="0" applyAlignment="1">
      <alignment horizontal="center" vertical="center"/>
    </xf>
    <xf numFmtId="0" fontId="106" applyFont="1" fillId="0" borderId="39" applyBorder="1" xfId="0" applyAlignment="1">
      <alignment horizontal="center" vertical="center" wrapText="1"/>
    </xf>
    <xf numFmtId="15" applyNumberFormat="1" fontId="107" applyFont="1" fillId="0" borderId="42" applyBorder="1" xfId="0" applyAlignment="1">
      <alignment horizontal="center" vertical="center"/>
    </xf>
    <xf numFmtId="0" fontId="106" applyFont="1" fillId="0" borderId="0" xfId="0" applyAlignment="1">
      <alignment horizontal="center" vertical="center"/>
    </xf>
    <xf numFmtId="0" fontId="20" applyFont="1" fillId="0" borderId="2" applyBorder="1" xfId="0" applyAlignment="1">
      <alignment horizontal="center" vertical="center"/>
    </xf>
    <xf numFmtId="0" fontId="17" applyFont="1" fillId="0" borderId="5" applyBorder="1" xfId="0" applyAlignment="1">
      <alignment horizontal="center" vertical="center"/>
    </xf>
    <xf numFmtId="15" applyNumberFormat="1" fontId="107" applyFont="1" fillId="0" borderId="2" applyBorder="1" xfId="0" applyAlignment="1">
      <alignment horizontal="center" vertical="center"/>
    </xf>
    <xf numFmtId="0" fontId="120" applyFont="1" fillId="0" borderId="38" applyBorder="1" xfId="0" applyAlignment="1">
      <alignment horizontal="center" vertical="center"/>
    </xf>
    <xf numFmtId="0" fontId="122" applyFont="1" fillId="0" borderId="38" applyBorder="1" xfId="0" applyAlignment="1">
      <alignment horizontal="center" vertical="center"/>
    </xf>
    <xf numFmtId="0" fontId="122" applyFont="1" fillId="0" borderId="39" applyBorder="1" xfId="0" applyAlignment="1">
      <alignment horizontal="center" vertical="center"/>
    </xf>
    <xf numFmtId="0" fontId="106" applyFont="1" fillId="0" borderId="2" applyBorder="1" xfId="0" applyAlignment="1">
      <alignment horizontal="center" vertical="center"/>
    </xf>
    <xf numFmtId="15" applyNumberFormat="1" fontId="107" applyFont="1" fillId="0" borderId="41" applyBorder="1" xfId="0" applyAlignment="1">
      <alignment horizontal="center" vertical="center"/>
    </xf>
    <xf numFmtId="0" fontId="122" applyFont="1" fillId="0" borderId="41" applyBorder="1" xfId="0" applyAlignment="1">
      <alignment horizontal="center" vertical="center"/>
    </xf>
    <xf numFmtId="15" applyNumberFormat="1" fontId="123" applyFont="1" fillId="6" applyFill="1" borderId="2" applyBorder="1" xfId="0" applyAlignment="1">
      <alignment horizontal="center" vertical="center" wrapText="1"/>
    </xf>
    <xf numFmtId="0" fontId="107" applyFont="1" fillId="0" borderId="42" applyBorder="1" xfId="0" applyAlignment="1">
      <alignment horizontal="center" vertical="center"/>
    </xf>
    <xf numFmtId="0" fontId="106" applyFont="1" fillId="0" borderId="5" applyBorder="1" xfId="0" applyAlignment="1">
      <alignment horizontal="center" vertical="center"/>
    </xf>
    <xf numFmtId="0" fontId="117" applyFont="1" fillId="0" borderId="2" applyBorder="1" xfId="0" applyAlignment="1">
      <alignment horizontal="center" vertical="center"/>
    </xf>
    <xf numFmtId="0" fontId="120" applyFont="1" fillId="0" borderId="2" applyBorder="1" xfId="0" applyAlignment="1">
      <alignment horizontal="center" vertical="center"/>
    </xf>
    <xf numFmtId="0" fontId="114" applyFont="1" fillId="0" borderId="2" applyBorder="1" xfId="0" applyAlignment="1">
      <alignment horizontal="center" vertical="center" wrapText="1"/>
    </xf>
    <xf numFmtId="0" fontId="106" applyFont="1" fillId="6" applyFill="1" borderId="2" applyBorder="1" xfId="0" applyAlignment="1">
      <alignment horizontal="center" vertical="center" wrapText="1"/>
    </xf>
    <xf numFmtId="15" applyNumberFormat="1" fontId="106" applyFont="1" fillId="6" applyFill="1" borderId="2" applyBorder="1" xfId="0" applyAlignment="1">
      <alignment horizontal="center" vertical="center" wrapText="1"/>
    </xf>
    <xf numFmtId="0" fontId="121" applyFont="1" fillId="2" applyFill="1" borderId="2" applyBorder="1" xfId="0" applyAlignment="1">
      <alignment horizontal="center" vertical="center"/>
    </xf>
    <xf numFmtId="0" fontId="122" applyFont="1" fillId="0" borderId="2" applyBorder="1" xfId="0" applyAlignment="1">
      <alignment horizontal="center" vertical="center"/>
    </xf>
    <xf numFmtId="16" applyNumberFormat="1" fontId="0" fillId="0" borderId="2" applyBorder="1" xfId="0" applyAlignment="1">
      <alignment horizontal="center" vertical="center"/>
    </xf>
    <xf numFmtId="14" applyNumberFormat="1" fontId="0" fillId="0" borderId="2" applyBorder="1" xfId="0" applyAlignment="1">
      <alignment horizontal="center" vertical="center"/>
    </xf>
    <xf numFmtId="0" fontId="124" applyFont="1" fillId="0" borderId="2" applyBorder="1" xfId="0" applyAlignment="1">
      <alignment horizontal="center" vertical="center"/>
    </xf>
    <xf numFmtId="14" applyNumberFormat="1" fontId="20" applyFont="1" fillId="0" borderId="2" applyBorder="1" xfId="0" applyAlignment="1">
      <alignment horizontal="center" vertical="center"/>
    </xf>
    <xf numFmtId="0" fontId="20" applyFont="1" fillId="0" borderId="2" applyBorder="1" xfId="2964" applyAlignment="1">
      <alignment horizontal="center" vertical="center"/>
    </xf>
    <xf numFmtId="0" fontId="121" applyFont="1" fillId="2" applyFill="1" borderId="7" applyBorder="1" xfId="0" applyAlignment="1">
      <alignment horizontal="center" vertical="center" wrapText="1"/>
    </xf>
    <xf numFmtId="0" fontId="121" applyFont="1" fillId="2" applyFill="1" borderId="8" applyBorder="1" xfId="0" applyAlignment="1">
      <alignment horizontal="center" vertical="center" wrapText="1"/>
    </xf>
    <xf numFmtId="0" fontId="122" applyFont="1" fillId="0" borderId="36" applyBorder="1" xfId="0" applyAlignment="1">
      <alignment horizontal="center" vertical="center"/>
    </xf>
    <xf numFmtId="15" applyNumberFormat="1" fontId="123" applyFont="1" fillId="6" applyFill="1" borderId="36" applyBorder="1" xfId="0" applyAlignment="1">
      <alignment horizontal="center" vertical="center" wrapText="1"/>
    </xf>
    <xf numFmtId="166" applyNumberFormat="1" fontId="17" applyFont="1" fillId="0" borderId="36" applyBorder="1" xfId="0" applyAlignment="1">
      <alignment horizontal="center" vertical="center"/>
    </xf>
    <xf numFmtId="0" fontId="0" fillId="0" borderId="5" applyBorder="1" xfId="0"/>
    <xf numFmtId="0" fontId="8" applyFont="1" fillId="0" borderId="5" applyBorder="1" xfId="0" applyAlignment="1">
      <alignment horizontal="center" vertical="center"/>
    </xf>
    <xf numFmtId="0" fontId="10" applyFont="1" fillId="0" borderId="5" applyBorder="1" xfId="0" applyAlignment="1">
      <alignment horizontal="center" vertical="center"/>
    </xf>
    <xf numFmtId="0" fontId="125" applyFont="1" fillId="0" borderId="38" applyBorder="1" xfId="0" applyAlignment="1">
      <alignment horizontal="center" vertical="center"/>
    </xf>
    <xf numFmtId="0" fontId="125" applyFont="1" fillId="0" borderId="39" applyBorder="1" xfId="0" applyAlignment="1">
      <alignment horizontal="center" vertical="center"/>
    </xf>
    <xf numFmtId="15" applyNumberFormat="1" fontId="6" applyFont="1" fillId="3" applyFill="1" borderId="2" applyBorder="1" xfId="0" applyAlignment="1">
      <alignment horizontal="center" vertical="center" wrapText="1"/>
    </xf>
    <xf numFmtId="0" fontId="6" applyFont="1" fillId="3" applyFill="1" borderId="2" applyBorder="1" xfId="0" applyAlignment="1">
      <alignment horizontal="center" vertical="center" wrapText="1"/>
    </xf>
    <xf numFmtId="0" fontId="38" applyFont="1" fillId="3" applyFill="1" borderId="4" applyBorder="1" xfId="0" applyAlignment="1">
      <alignment horizontal="center" vertical="center"/>
    </xf>
    <xf numFmtId="0" fontId="5" applyFont="1" fillId="3" applyFill="1" borderId="2" applyBorder="1" xfId="0" applyAlignment="1">
      <alignment horizontal="center" vertical="center"/>
    </xf>
    <xf numFmtId="0" fontId="4" applyFont="1" fillId="3" applyFill="1" borderId="2" applyBorder="1" xfId="0" applyAlignment="1">
      <alignment horizontal="center" vertical="center"/>
    </xf>
    <xf numFmtId="0" fontId="25" applyFont="1" fillId="6" applyFill="1" borderId="2" applyBorder="1" xfId="0" applyAlignment="1">
      <alignment horizontal="center" vertical="center"/>
    </xf>
    <xf numFmtId="0" fontId="126" applyFont="1" fillId="0" borderId="2" applyBorder="1" xfId="0" applyAlignment="1">
      <alignment horizontal="center"/>
    </xf>
    <xf numFmtId="15" applyNumberFormat="1" fontId="25" applyFont="1" fillId="6" applyFill="1" borderId="2" applyBorder="1" xfId="0" applyAlignment="1">
      <alignment horizontal="center" vertical="center"/>
    </xf>
    <xf numFmtId="15" applyNumberFormat="1" fontId="126" applyFont="1" fillId="0" borderId="2" applyBorder="1" xfId="0" applyAlignment="1">
      <alignment horizontal="center"/>
    </xf>
    <xf numFmtId="0" fontId="3" applyFont="1" fillId="0" borderId="2" applyBorder="1" xfId="2339" applyAlignment="1">
      <alignment horizontal="center"/>
    </xf>
    <xf numFmtId="0" fontId="25" applyFont="1" fillId="6" applyFill="1" borderId="2" applyBorder="1" xfId="0" applyAlignment="1">
      <alignment horizontal="center" vertical="center" wrapText="1"/>
    </xf>
    <xf numFmtId="0" fontId="25" applyFont="1" fillId="90" applyFill="1" borderId="2" applyBorder="1" xfId="0" applyAlignment="1">
      <alignment horizontal="center" vertical="center"/>
    </xf>
    <xf numFmtId="0" fontId="126" applyFont="1" fillId="90" applyFill="1" borderId="2" applyBorder="1" xfId="0" applyAlignment="1">
      <alignment horizontal="center"/>
    </xf>
    <xf numFmtId="0" fontId="0" fillId="90" applyFill="1" borderId="2" applyBorder="1" xfId="0" applyAlignment="1">
      <alignment horizontal="center"/>
    </xf>
    <xf numFmtId="15" applyNumberFormat="1" fontId="25" applyFont="1" fillId="90" applyFill="1" borderId="2" applyBorder="1" xfId="0" applyAlignment="1">
      <alignment horizontal="center" vertical="center"/>
    </xf>
    <xf numFmtId="15" applyNumberFormat="1" fontId="126" applyFont="1" fillId="90" applyFill="1" borderId="2" applyBorder="1" xfId="0" applyAlignment="1">
      <alignment horizontal="center"/>
    </xf>
    <xf numFmtId="0" fontId="20" applyFont="1" fillId="90" applyFill="1" borderId="2" applyBorder="1" xfId="0" applyAlignment="1">
      <alignment horizontal="center" vertical="center"/>
    </xf>
    <xf numFmtId="15" applyNumberFormat="1" fontId="18" applyFont="1" fillId="0" borderId="2" applyBorder="1" xfId="0" applyAlignment="1">
      <alignment horizontal="center" vertical="center"/>
    </xf>
    <xf numFmtId="0" fontId="39" applyFont="1" fillId="0" borderId="2" applyBorder="1" xfId="2339" applyAlignment="1">
      <alignment horizontal="center" vertical="center"/>
    </xf>
    <xf numFmtId="165" applyNumberFormat="1" fontId="0" fillId="0" borderId="2" applyBorder="1" xfId="0" applyAlignment="1">
      <alignment horizontal="center"/>
    </xf>
    <xf numFmtId="0" fontId="0" fillId="0" borderId="43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16" applyNumberFormat="1" fontId="20" applyFont="1" fillId="0" borderId="2" applyBorder="1" xfId="0" applyAlignment="1">
      <alignment horizontal="center" vertical="center"/>
    </xf>
    <xf numFmtId="0" fontId="127" applyFont="1" fillId="0" borderId="2" applyBorder="1" xfId="2339" applyAlignment="1">
      <alignment horizontal="center" vertical="center"/>
    </xf>
    <xf numFmtId="0" fontId="128" applyFont="1" fillId="0" borderId="0" xfId="0" applyAlignment="1">
      <alignment vertical="center" wrapText="1"/>
    </xf>
    <xf numFmtId="15" applyNumberFormat="1" fontId="18" applyFont="1" fillId="0" borderId="39" applyBorder="1" xfId="0" applyAlignment="1">
      <alignment horizontal="center" vertical="center"/>
    </xf>
    <xf numFmtId="15" applyNumberFormat="1" fontId="18" applyFont="1" fillId="0" borderId="44" applyBorder="1" xfId="0" applyAlignment="1">
      <alignment horizontal="center" vertical="center" wrapText="1"/>
    </xf>
    <xf numFmtId="0" fontId="120" applyFont="1" fillId="0" borderId="45" applyBorder="1" xfId="0" applyAlignment="1">
      <alignment horizontal="center" vertical="center"/>
    </xf>
    <xf numFmtId="0" fontId="125" applyFont="1" fillId="0" borderId="42" applyBorder="1" xfId="0" applyAlignment="1">
      <alignment horizontal="center" vertical="center"/>
    </xf>
    <xf numFmtId="0" fontId="108" applyFont="1" fillId="0" borderId="34" applyBorder="1" xfId="0" applyAlignment="1">
      <alignment horizontal="center" vertical="center" wrapText="1"/>
    </xf>
    <xf numFmtId="0" fontId="108" applyFont="1" fillId="0" borderId="35" applyBorder="1" xfId="0" applyAlignment="1">
      <alignment horizontal="center" vertical="center" wrapText="1"/>
    </xf>
    <xf numFmtId="15" applyNumberFormat="1" fontId="108" applyFont="1" fillId="0" borderId="35" applyBorder="1" xfId="0" applyAlignment="1">
      <alignment horizontal="center" vertical="center" wrapText="1"/>
    </xf>
    <xf numFmtId="0" fontId="106" applyFont="1" fillId="0" borderId="35" applyBorder="1" xfId="0" applyAlignment="1">
      <alignment horizontal="center" vertical="center"/>
    </xf>
    <xf numFmtId="0" fontId="108" applyFont="1" fillId="0" borderId="46" applyBorder="1" xfId="0" applyAlignment="1">
      <alignment horizontal="center" vertical="center" wrapText="1"/>
    </xf>
    <xf numFmtId="0" fontId="17" applyFont="1" fillId="0" borderId="47" applyBorder="1" xfId="0" applyAlignment="1">
      <alignment horizontal="center" vertical="center"/>
    </xf>
    <xf numFmtId="0" fontId="107" applyFont="1" fillId="0" borderId="35" applyBorder="1" xfId="0" applyAlignment="1">
      <alignment horizontal="center" vertical="center"/>
    </xf>
    <xf numFmtId="15" applyNumberFormat="1" fontId="107" applyFont="1" fillId="0" borderId="34" applyBorder="1" xfId="0" applyAlignment="1">
      <alignment horizontal="center" vertical="center"/>
    </xf>
    <xf numFmtId="15" applyNumberFormat="1" fontId="123" applyFont="1" fillId="6" applyFill="1" borderId="10" applyBorder="1" xfId="0" applyAlignment="1">
      <alignment horizontal="center" vertical="center" wrapText="1"/>
    </xf>
    <xf numFmtId="0" fontId="2" applyFont="1" fillId="3" applyFill="1" borderId="2" applyBorder="1" xfId="0" applyAlignment="1">
      <alignment horizontal="center" vertical="center"/>
    </xf>
    <xf numFmtId="15" applyNumberFormat="1" fontId="92" applyFont="1" fillId="0" borderId="2" applyBorder="1" xfId="0" applyAlignment="1">
      <alignment horizontal="center"/>
    </xf>
    <xf numFmtId="165" applyNumberFormat="1" fontId="0" fillId="0" borderId="2" applyBorder="1" xfId="0" quotePrefix="1" applyAlignment="1">
      <alignment horizontal="center"/>
    </xf>
    <xf numFmtId="15" applyNumberFormat="1" fontId="92" applyFont="1" fillId="0" borderId="0" xfId="0" applyAlignment="1">
      <alignment horizontal="center"/>
    </xf>
    <xf numFmtId="0" fontId="28" applyFont="1" fillId="0" borderId="2" applyBorder="1" xfId="0" applyAlignment="1">
      <alignment horizontal="center" vertical="center"/>
    </xf>
    <xf numFmtId="15" applyNumberFormat="1" fontId="28" applyFont="1" fillId="0" borderId="2" applyBorder="1" xfId="0" applyAlignment="1">
      <alignment horizontal="center" vertical="center"/>
    </xf>
    <xf numFmtId="14" applyNumberFormat="1" fontId="28" applyFont="1" fillId="0" borderId="2" applyBorder="1" xfId="0" applyAlignment="1">
      <alignment horizontal="center" vertical="center"/>
    </xf>
    <xf numFmtId="0" fontId="129" applyFont="1" fillId="0" borderId="2" applyBorder="1" xfId="0" applyAlignment="1">
      <alignment horizontal="center" vertical="center"/>
    </xf>
    <xf numFmtId="0" fontId="121" applyFont="1" fillId="2" applyFill="1" borderId="48" applyBorder="1" xfId="0" applyAlignment="1">
      <alignment horizontal="center" vertical="center" wrapText="1"/>
    </xf>
    <xf numFmtId="0" fontId="121" applyFont="1" fillId="2" applyFill="1" borderId="49" applyBorder="1" xfId="0" applyAlignment="1">
      <alignment horizontal="center" vertical="center" wrapText="1"/>
    </xf>
    <xf numFmtId="0" fontId="121" applyFont="1" fillId="2" applyFill="1" borderId="50" applyBorder="1" xfId="0" applyAlignment="1">
      <alignment horizontal="center" vertical="center" wrapText="1"/>
    </xf>
    <xf numFmtId="0" fontId="25" applyFont="1" fillId="6" applyFill="1" borderId="51" applyBorder="1" xfId="0" applyAlignment="1">
      <alignment horizontal="center" vertical="center" wrapText="1"/>
    </xf>
    <xf numFmtId="0" fontId="25" applyFont="1" fillId="6" applyFill="1" borderId="33" applyBorder="1" xfId="0" applyAlignment="1">
      <alignment horizontal="center" vertical="center" wrapText="1"/>
    </xf>
    <xf numFmtId="15" applyNumberFormat="1" fontId="25" applyFont="1" fillId="6" applyFill="1" borderId="33" applyBorder="1" xfId="0" applyAlignment="1">
      <alignment horizontal="center" vertical="center" wrapText="1"/>
    </xf>
    <xf numFmtId="15" applyNumberFormat="1" fontId="130" applyFont="1" fillId="6" applyFill="1" borderId="33" applyBorder="1" xfId="0" applyAlignment="1">
      <alignment horizontal="center" vertical="center" wrapText="1"/>
    </xf>
    <xf numFmtId="0" fontId="130" applyFont="1" fillId="6" applyFill="1" borderId="33" applyBorder="1" xfId="0" applyAlignment="1">
      <alignment horizontal="center" vertical="center" wrapText="1"/>
    </xf>
    <xf numFmtId="15" applyNumberFormat="1" fontId="107" applyFont="1" fillId="0" borderId="10" applyBorder="1" xfId="0" applyAlignment="1">
      <alignment horizontal="center" vertical="center"/>
    </xf>
    <xf numFmtId="0" fontId="20" applyFont="1" fillId="0" borderId="2" applyBorder="1" xfId="0"/>
    <xf numFmtId="0" fontId="20" applyFont="1" fillId="0" borderId="2" applyBorder="1" xfId="0" applyAlignment="1">
      <alignment horizontal="center"/>
    </xf>
    <xf numFmtId="167" applyNumberFormat="1" fontId="20" applyFont="1" fillId="0" borderId="2" applyBorder="1" xfId="0"/>
    <xf numFmtId="0" fontId="33" applyFont="1" fillId="2" applyFill="1" borderId="2" applyBorder="1" xfId="0" applyAlignment="1">
      <alignment horizontal="center" vertical="center"/>
    </xf>
    <xf numFmtId="0" fontId="125" applyFont="1" fillId="0" borderId="2" applyBorder="1" xfId="0" applyAlignment="1">
      <alignment horizontal="center" vertical="center"/>
    </xf>
    <xf numFmtId="0" fontId="108" applyFont="1" fillId="0" borderId="2" applyBorder="1" xfId="0" applyAlignment="1">
      <alignment horizontal="center" vertical="center" wrapText="1"/>
    </xf>
    <xf numFmtId="15" applyNumberFormat="1" fontId="108" applyFont="1" fillId="0" borderId="2" applyBorder="1" xfId="0" applyAlignment="1">
      <alignment horizontal="center" vertical="center" wrapText="1"/>
    </xf>
    <xf numFmtId="0" fontId="25" applyFont="1" fillId="6" applyFill="1" borderId="52" applyBorder="1" xfId="0" applyAlignment="1">
      <alignment horizontal="center" vertical="center" wrapText="1"/>
    </xf>
    <xf numFmtId="0" fontId="119" applyFont="1" fillId="91" applyFill="1" borderId="4" applyBorder="1" xfId="0" applyAlignment="1">
      <alignment horizontal="center" vertical="center"/>
    </xf>
    <xf numFmtId="0" fontId="119" applyFont="1" fillId="91" applyFill="1" borderId="10" applyBorder="1" xfId="0" applyAlignment="1">
      <alignment horizontal="center" vertical="center"/>
    </xf>
    <xf numFmtId="0" fontId="119" applyFont="1" fillId="91" applyFill="1" borderId="2" applyBorder="1" xfId="0" applyAlignment="1">
      <alignment horizontal="center" vertical="center"/>
    </xf>
  </cellXfs>
  <cellStyles count="10901">
    <cellStyle name="??&amp;O龡&amp;H?_x0008_??_x0007__x0001__x0001_ 2" xfId="1" xr:uid="{00000000-0005-0000-0000-000031000000}"/>
    <cellStyle name="=C:\WINNT\SYSTEM32\COMMAND.COM" xfId="2" xr:uid="{00000000-0005-0000-0000-000032000000}"/>
    <cellStyle name="=F:\WINNT\SYSTEM32\COMMAND.COM" xfId="3" xr:uid="{00000000-0005-0000-0000-000033000000}"/>
    <cellStyle name="=F:\WINNT\SYSTEM32\COMMAND.COM 2" xfId="4" xr:uid="{00000000-0005-0000-0000-000034000000}"/>
    <cellStyle name="0,0_x000d__x000a_NA_x000d__x000a_" xfId="5" xr:uid="{00000000-0005-0000-0000-000035000000}"/>
    <cellStyle name="20% - Accent1 10" xfId="6" xr:uid="{00000000-0005-0000-0000-000036000000}"/>
    <cellStyle name="20% - Accent1 11" xfId="7" xr:uid="{00000000-0005-0000-0000-000037000000}"/>
    <cellStyle name="20% - Accent1 12" xfId="8" xr:uid="{00000000-0005-0000-0000-000038000000}"/>
    <cellStyle name="20% - Accent1 12 2" xfId="9" xr:uid="{00000000-0005-0000-0000-000039000000}"/>
    <cellStyle name="20% - Accent1 12 2 2" xfId="10" xr:uid="{00000000-0005-0000-0000-00003A000000}"/>
    <cellStyle name="20% - Accent1 12 2 2 2" xfId="11" xr:uid="{00000000-0005-0000-0000-00003B000000}"/>
    <cellStyle name="20% - Accent1 12 2 2 2 2" xfId="12" xr:uid="{00000000-0005-0000-0000-00003C000000}"/>
    <cellStyle name="20% - Accent1 12 2 2 3" xfId="13" xr:uid="{00000000-0005-0000-0000-00003D000000}"/>
    <cellStyle name="20% - Accent1 12 2 3" xfId="14" xr:uid="{00000000-0005-0000-0000-00003E000000}"/>
    <cellStyle name="20% - Accent1 12 2 3 2" xfId="15" xr:uid="{00000000-0005-0000-0000-00003F000000}"/>
    <cellStyle name="20% - Accent1 12 2 4" xfId="16" xr:uid="{00000000-0005-0000-0000-000040000000}"/>
    <cellStyle name="20% - Accent1 12 3" xfId="17" xr:uid="{00000000-0005-0000-0000-000041000000}"/>
    <cellStyle name="20% - Accent1 12 3 2" xfId="18" xr:uid="{00000000-0005-0000-0000-000042000000}"/>
    <cellStyle name="20% - Accent1 12 3 2 2" xfId="19" xr:uid="{00000000-0005-0000-0000-000043000000}"/>
    <cellStyle name="20% - Accent1 12 3 3" xfId="20" xr:uid="{00000000-0005-0000-0000-000044000000}"/>
    <cellStyle name="20% - Accent1 12 4" xfId="21" xr:uid="{00000000-0005-0000-0000-000045000000}"/>
    <cellStyle name="20% - Accent1 12 4 2" xfId="22" xr:uid="{00000000-0005-0000-0000-000046000000}"/>
    <cellStyle name="20% - Accent1 12 4 2 2" xfId="23" xr:uid="{00000000-0005-0000-0000-000047000000}"/>
    <cellStyle name="20% - Accent1 12 4 3" xfId="24" xr:uid="{00000000-0005-0000-0000-000048000000}"/>
    <cellStyle name="20% - Accent1 12 5" xfId="25" xr:uid="{00000000-0005-0000-0000-000049000000}"/>
    <cellStyle name="20% - Accent1 12 5 2" xfId="26" xr:uid="{00000000-0005-0000-0000-00004A000000}"/>
    <cellStyle name="20% - Accent1 12 6" xfId="27" xr:uid="{00000000-0005-0000-0000-00004B000000}"/>
    <cellStyle name="20% - Accent1 12 7" xfId="28" xr:uid="{00000000-0005-0000-0000-00004C000000}"/>
    <cellStyle name="20% - Accent1 13" xfId="29" xr:uid="{00000000-0005-0000-0000-00004D000000}"/>
    <cellStyle name="20% - Accent1 13 2" xfId="30" xr:uid="{00000000-0005-0000-0000-00004E000000}"/>
    <cellStyle name="20% - Accent1 13 2 2" xfId="31" xr:uid="{00000000-0005-0000-0000-00004F000000}"/>
    <cellStyle name="20% - Accent1 13 3" xfId="32" xr:uid="{00000000-0005-0000-0000-000050000000}"/>
    <cellStyle name="20% - Accent1 13 4" xfId="33" xr:uid="{00000000-0005-0000-0000-000051000000}"/>
    <cellStyle name="20% - Accent1 14" xfId="34" xr:uid="{00000000-0005-0000-0000-000052000000}"/>
    <cellStyle name="20% - Accent1 14 2" xfId="35" xr:uid="{00000000-0005-0000-0000-000053000000}"/>
    <cellStyle name="20% - Accent1 14 2 2" xfId="36" xr:uid="{00000000-0005-0000-0000-000054000000}"/>
    <cellStyle name="20% - Accent1 14 3" xfId="37" xr:uid="{00000000-0005-0000-0000-000055000000}"/>
    <cellStyle name="20% - Accent1 15" xfId="38" xr:uid="{00000000-0005-0000-0000-000056000000}"/>
    <cellStyle name="20% - Accent1 15 2" xfId="39" xr:uid="{00000000-0005-0000-0000-000057000000}"/>
    <cellStyle name="20% - Accent1 16" xfId="40" xr:uid="{00000000-0005-0000-0000-000058000000}"/>
    <cellStyle name="20% - Accent1 17" xfId="41" xr:uid="{00000000-0005-0000-0000-000059000000}"/>
    <cellStyle name="20% - Accent1 2" xfId="42" xr:uid="{00000000-0005-0000-0000-00005A000000}"/>
    <cellStyle name="20% - Accent1 2 2" xfId="43" xr:uid="{00000000-0005-0000-0000-00005B000000}"/>
    <cellStyle name="20% - Accent1 2 3" xfId="44" xr:uid="{00000000-0005-0000-0000-00005C000000}"/>
    <cellStyle name="20% - Accent1 2 4" xfId="45" xr:uid="{00000000-0005-0000-0000-00005D000000}"/>
    <cellStyle name="20% - Accent1 2 5" xfId="46" xr:uid="{00000000-0005-0000-0000-00005E000000}"/>
    <cellStyle name="20% - Accent1 2 6" xfId="47" xr:uid="{00000000-0005-0000-0000-00005F000000}"/>
    <cellStyle name="20% - Accent1 2 7" xfId="48" xr:uid="{00000000-0005-0000-0000-000060000000}"/>
    <cellStyle name="20% - Accent1 2 8" xfId="49" xr:uid="{00000000-0005-0000-0000-000061000000}"/>
    <cellStyle name="20% - Accent1 2 8 2" xfId="50" xr:uid="{00000000-0005-0000-0000-000062000000}"/>
    <cellStyle name="20% - Accent1 2 8 2 2" xfId="51" xr:uid="{00000000-0005-0000-0000-000063000000}"/>
    <cellStyle name="20% - Accent1 2 8 2 2 2" xfId="52" xr:uid="{00000000-0005-0000-0000-000064000000}"/>
    <cellStyle name="20% - Accent1 2 8 2 2 2 2" xfId="53" xr:uid="{00000000-0005-0000-0000-000065000000}"/>
    <cellStyle name="20% - Accent1 2 8 2 2 3" xfId="54" xr:uid="{00000000-0005-0000-0000-000066000000}"/>
    <cellStyle name="20% - Accent1 2 8 2 3" xfId="55" xr:uid="{00000000-0005-0000-0000-000067000000}"/>
    <cellStyle name="20% - Accent1 2 8 2 3 2" xfId="56" xr:uid="{00000000-0005-0000-0000-000068000000}"/>
    <cellStyle name="20% - Accent1 2 8 2 3 2 2" xfId="57" xr:uid="{00000000-0005-0000-0000-000069000000}"/>
    <cellStyle name="20% - Accent1 2 8 2 3 3" xfId="58" xr:uid="{00000000-0005-0000-0000-00006A000000}"/>
    <cellStyle name="20% - Accent1 2 8 2 4" xfId="59" xr:uid="{00000000-0005-0000-0000-00006B000000}"/>
    <cellStyle name="20% - Accent1 2 8 2 4 2" xfId="60" xr:uid="{00000000-0005-0000-0000-00006C000000}"/>
    <cellStyle name="20% - Accent1 2 8 2 5" xfId="61" xr:uid="{00000000-0005-0000-0000-00006D000000}"/>
    <cellStyle name="20% - Accent1 2 8 2 6" xfId="62" xr:uid="{00000000-0005-0000-0000-00006E000000}"/>
    <cellStyle name="20% - Accent1 2 8 3" xfId="63" xr:uid="{00000000-0005-0000-0000-00006F000000}"/>
    <cellStyle name="20% - Accent1 2 8 3 2" xfId="64" xr:uid="{00000000-0005-0000-0000-000070000000}"/>
    <cellStyle name="20% - Accent1 2 8 3 2 2" xfId="65" xr:uid="{00000000-0005-0000-0000-000071000000}"/>
    <cellStyle name="20% - Accent1 2 8 3 2 2 2" xfId="66" xr:uid="{00000000-0005-0000-0000-000072000000}"/>
    <cellStyle name="20% - Accent1 2 8 3 2 3" xfId="67" xr:uid="{00000000-0005-0000-0000-000073000000}"/>
    <cellStyle name="20% - Accent1 2 8 3 3" xfId="68" xr:uid="{00000000-0005-0000-0000-000074000000}"/>
    <cellStyle name="20% - Accent1 2 8 3 3 2" xfId="69" xr:uid="{00000000-0005-0000-0000-000075000000}"/>
    <cellStyle name="20% - Accent1 2 8 3 4" xfId="70" xr:uid="{00000000-0005-0000-0000-000076000000}"/>
    <cellStyle name="20% - Accent1 2 8 3 5" xfId="71" xr:uid="{00000000-0005-0000-0000-000077000000}"/>
    <cellStyle name="20% - Accent1 2 8 4" xfId="72" xr:uid="{00000000-0005-0000-0000-000078000000}"/>
    <cellStyle name="20% - Accent1 2 8 4 2" xfId="73" xr:uid="{00000000-0005-0000-0000-000079000000}"/>
    <cellStyle name="20% - Accent1 2 8 4 2 2" xfId="74" xr:uid="{00000000-0005-0000-0000-00007A000000}"/>
    <cellStyle name="20% - Accent1 2 8 4 3" xfId="75" xr:uid="{00000000-0005-0000-0000-00007B000000}"/>
    <cellStyle name="20% - Accent1 2 8 5" xfId="76" xr:uid="{00000000-0005-0000-0000-00007C000000}"/>
    <cellStyle name="20% - Accent1 2 8 5 2" xfId="77" xr:uid="{00000000-0005-0000-0000-00007D000000}"/>
    <cellStyle name="20% - Accent1 2 8 5 2 2" xfId="78" xr:uid="{00000000-0005-0000-0000-00007E000000}"/>
    <cellStyle name="20% - Accent1 2 8 5 3" xfId="79" xr:uid="{00000000-0005-0000-0000-00007F000000}"/>
    <cellStyle name="20% - Accent1 2 8 6" xfId="80" xr:uid="{00000000-0005-0000-0000-000080000000}"/>
    <cellStyle name="20% - Accent1 2 8 6 2" xfId="81" xr:uid="{00000000-0005-0000-0000-000081000000}"/>
    <cellStyle name="20% - Accent1 2 8 7" xfId="82" xr:uid="{00000000-0005-0000-0000-000082000000}"/>
    <cellStyle name="20% - Accent1 2 8 8" xfId="83" xr:uid="{00000000-0005-0000-0000-000083000000}"/>
    <cellStyle name="20% - Accent1 3" xfId="84" xr:uid="{00000000-0005-0000-0000-000084000000}"/>
    <cellStyle name="20% - Accent1 3 2" xfId="85" xr:uid="{00000000-0005-0000-0000-000085000000}"/>
    <cellStyle name="20% - Accent1 3 3" xfId="86" xr:uid="{00000000-0005-0000-0000-000086000000}"/>
    <cellStyle name="20% - Accent1 3 4" xfId="87" xr:uid="{00000000-0005-0000-0000-000087000000}"/>
    <cellStyle name="20% - Accent1 3 5" xfId="88" xr:uid="{00000000-0005-0000-0000-000088000000}"/>
    <cellStyle name="20% - Accent1 3 6" xfId="89" xr:uid="{00000000-0005-0000-0000-000089000000}"/>
    <cellStyle name="20% - Accent1 3 7" xfId="90" xr:uid="{00000000-0005-0000-0000-00008A000000}"/>
    <cellStyle name="20% - Accent1 3 8" xfId="91" xr:uid="{00000000-0005-0000-0000-00008B000000}"/>
    <cellStyle name="20% - Accent1 4" xfId="92" xr:uid="{00000000-0005-0000-0000-00008C000000}"/>
    <cellStyle name="20% - Accent1 4 2" xfId="93" xr:uid="{00000000-0005-0000-0000-00008D000000}"/>
    <cellStyle name="20% - Accent1 4 3" xfId="94" xr:uid="{00000000-0005-0000-0000-00008E000000}"/>
    <cellStyle name="20% - Accent1 4 4" xfId="95" xr:uid="{00000000-0005-0000-0000-00008F000000}"/>
    <cellStyle name="20% - Accent1 4 5" xfId="96" xr:uid="{00000000-0005-0000-0000-000090000000}"/>
    <cellStyle name="20% - Accent1 4 6" xfId="97" xr:uid="{00000000-0005-0000-0000-000091000000}"/>
    <cellStyle name="20% - Accent1 5" xfId="98" xr:uid="{00000000-0005-0000-0000-000092000000}"/>
    <cellStyle name="20% - Accent1 6" xfId="99" xr:uid="{00000000-0005-0000-0000-000093000000}"/>
    <cellStyle name="20% - Accent1 7" xfId="100" xr:uid="{00000000-0005-0000-0000-000094000000}"/>
    <cellStyle name="20% - Accent1 8" xfId="101" xr:uid="{00000000-0005-0000-0000-000095000000}"/>
    <cellStyle name="20% - Accent1 9" xfId="102" xr:uid="{00000000-0005-0000-0000-000096000000}"/>
    <cellStyle name="20% - Accent2 10" xfId="103" xr:uid="{00000000-0005-0000-0000-000097000000}"/>
    <cellStyle name="20% - Accent2 11" xfId="104" xr:uid="{00000000-0005-0000-0000-000098000000}"/>
    <cellStyle name="20% - Accent2 12" xfId="105" xr:uid="{00000000-0005-0000-0000-000099000000}"/>
    <cellStyle name="20% - Accent2 12 2" xfId="106" xr:uid="{00000000-0005-0000-0000-00009A000000}"/>
    <cellStyle name="20% - Accent2 12 2 2" xfId="107" xr:uid="{00000000-0005-0000-0000-00009B000000}"/>
    <cellStyle name="20% - Accent2 12 2 2 2" xfId="108" xr:uid="{00000000-0005-0000-0000-00009C000000}"/>
    <cellStyle name="20% - Accent2 12 2 2 2 2" xfId="109" xr:uid="{00000000-0005-0000-0000-00009D000000}"/>
    <cellStyle name="20% - Accent2 12 2 2 3" xfId="110" xr:uid="{00000000-0005-0000-0000-00009E000000}"/>
    <cellStyle name="20% - Accent2 12 2 3" xfId="111" xr:uid="{00000000-0005-0000-0000-00009F000000}"/>
    <cellStyle name="20% - Accent2 12 2 3 2" xfId="112" xr:uid="{00000000-0005-0000-0000-0000A0000000}"/>
    <cellStyle name="20% - Accent2 12 2 4" xfId="113" xr:uid="{00000000-0005-0000-0000-0000A1000000}"/>
    <cellStyle name="20% - Accent2 12 3" xfId="114" xr:uid="{00000000-0005-0000-0000-0000A2000000}"/>
    <cellStyle name="20% - Accent2 12 3 2" xfId="115" xr:uid="{00000000-0005-0000-0000-0000A3000000}"/>
    <cellStyle name="20% - Accent2 12 3 2 2" xfId="116" xr:uid="{00000000-0005-0000-0000-0000A4000000}"/>
    <cellStyle name="20% - Accent2 12 3 3" xfId="117" xr:uid="{00000000-0005-0000-0000-0000A5000000}"/>
    <cellStyle name="20% - Accent2 12 4" xfId="118" xr:uid="{00000000-0005-0000-0000-0000A6000000}"/>
    <cellStyle name="20% - Accent2 12 4 2" xfId="119" xr:uid="{00000000-0005-0000-0000-0000A7000000}"/>
    <cellStyle name="20% - Accent2 12 4 2 2" xfId="120" xr:uid="{00000000-0005-0000-0000-0000A8000000}"/>
    <cellStyle name="20% - Accent2 12 4 3" xfId="121" xr:uid="{00000000-0005-0000-0000-0000A9000000}"/>
    <cellStyle name="20% - Accent2 12 5" xfId="122" xr:uid="{00000000-0005-0000-0000-0000AA000000}"/>
    <cellStyle name="20% - Accent2 12 5 2" xfId="123" xr:uid="{00000000-0005-0000-0000-0000AB000000}"/>
    <cellStyle name="20% - Accent2 12 6" xfId="124" xr:uid="{00000000-0005-0000-0000-0000AC000000}"/>
    <cellStyle name="20% - Accent2 12 7" xfId="125" xr:uid="{00000000-0005-0000-0000-0000AD000000}"/>
    <cellStyle name="20% - Accent2 13" xfId="126" xr:uid="{00000000-0005-0000-0000-0000AE000000}"/>
    <cellStyle name="20% - Accent2 13 2" xfId="127" xr:uid="{00000000-0005-0000-0000-0000AF000000}"/>
    <cellStyle name="20% - Accent2 13 2 2" xfId="128" xr:uid="{00000000-0005-0000-0000-0000B0000000}"/>
    <cellStyle name="20% - Accent2 13 3" xfId="129" xr:uid="{00000000-0005-0000-0000-0000B1000000}"/>
    <cellStyle name="20% - Accent2 13 4" xfId="130" xr:uid="{00000000-0005-0000-0000-0000B2000000}"/>
    <cellStyle name="20% - Accent2 14" xfId="131" xr:uid="{00000000-0005-0000-0000-0000B3000000}"/>
    <cellStyle name="20% - Accent2 14 2" xfId="132" xr:uid="{00000000-0005-0000-0000-0000B4000000}"/>
    <cellStyle name="20% - Accent2 14 2 2" xfId="133" xr:uid="{00000000-0005-0000-0000-0000B5000000}"/>
    <cellStyle name="20% - Accent2 14 3" xfId="134" xr:uid="{00000000-0005-0000-0000-0000B6000000}"/>
    <cellStyle name="20% - Accent2 15" xfId="135" xr:uid="{00000000-0005-0000-0000-0000B7000000}"/>
    <cellStyle name="20% - Accent2 15 2" xfId="136" xr:uid="{00000000-0005-0000-0000-0000B8000000}"/>
    <cellStyle name="20% - Accent2 16" xfId="137" xr:uid="{00000000-0005-0000-0000-0000B9000000}"/>
    <cellStyle name="20% - Accent2 17" xfId="138" xr:uid="{00000000-0005-0000-0000-0000BA000000}"/>
    <cellStyle name="20% - Accent2 2" xfId="139" xr:uid="{00000000-0005-0000-0000-0000BB000000}"/>
    <cellStyle name="20% - Accent2 2 2" xfId="140" xr:uid="{00000000-0005-0000-0000-0000BC000000}"/>
    <cellStyle name="20% - Accent2 2 3" xfId="141" xr:uid="{00000000-0005-0000-0000-0000BD000000}"/>
    <cellStyle name="20% - Accent2 2 4" xfId="142" xr:uid="{00000000-0005-0000-0000-0000BE000000}"/>
    <cellStyle name="20% - Accent2 2 5" xfId="143" xr:uid="{00000000-0005-0000-0000-0000BF000000}"/>
    <cellStyle name="20% - Accent2 2 6" xfId="144" xr:uid="{00000000-0005-0000-0000-0000C0000000}"/>
    <cellStyle name="20% - Accent2 2 7" xfId="145" xr:uid="{00000000-0005-0000-0000-0000C1000000}"/>
    <cellStyle name="20% - Accent2 2 8" xfId="146" xr:uid="{00000000-0005-0000-0000-0000C2000000}"/>
    <cellStyle name="20% - Accent2 2 8 2" xfId="147" xr:uid="{00000000-0005-0000-0000-0000C3000000}"/>
    <cellStyle name="20% - Accent2 2 8 2 2" xfId="148" xr:uid="{00000000-0005-0000-0000-0000C4000000}"/>
    <cellStyle name="20% - Accent2 2 8 2 2 2" xfId="149" xr:uid="{00000000-0005-0000-0000-0000C5000000}"/>
    <cellStyle name="20% - Accent2 2 8 2 2 2 2" xfId="150" xr:uid="{00000000-0005-0000-0000-0000C6000000}"/>
    <cellStyle name="20% - Accent2 2 8 2 2 3" xfId="151" xr:uid="{00000000-0005-0000-0000-0000C7000000}"/>
    <cellStyle name="20% - Accent2 2 8 2 3" xfId="152" xr:uid="{00000000-0005-0000-0000-0000C8000000}"/>
    <cellStyle name="20% - Accent2 2 8 2 3 2" xfId="153" xr:uid="{00000000-0005-0000-0000-0000C9000000}"/>
    <cellStyle name="20% - Accent2 2 8 2 3 2 2" xfId="154" xr:uid="{00000000-0005-0000-0000-0000CA000000}"/>
    <cellStyle name="20% - Accent2 2 8 2 3 3" xfId="155" xr:uid="{00000000-0005-0000-0000-0000CB000000}"/>
    <cellStyle name="20% - Accent2 2 8 2 4" xfId="156" xr:uid="{00000000-0005-0000-0000-0000CC000000}"/>
    <cellStyle name="20% - Accent2 2 8 2 4 2" xfId="157" xr:uid="{00000000-0005-0000-0000-0000CD000000}"/>
    <cellStyle name="20% - Accent2 2 8 2 5" xfId="158" xr:uid="{00000000-0005-0000-0000-0000CE000000}"/>
    <cellStyle name="20% - Accent2 2 8 2 6" xfId="159" xr:uid="{00000000-0005-0000-0000-0000CF000000}"/>
    <cellStyle name="20% - Accent2 2 8 3" xfId="160" xr:uid="{00000000-0005-0000-0000-0000D0000000}"/>
    <cellStyle name="20% - Accent2 2 8 3 2" xfId="161" xr:uid="{00000000-0005-0000-0000-0000D1000000}"/>
    <cellStyle name="20% - Accent2 2 8 3 2 2" xfId="162" xr:uid="{00000000-0005-0000-0000-0000D2000000}"/>
    <cellStyle name="20% - Accent2 2 8 3 2 2 2" xfId="163" xr:uid="{00000000-0005-0000-0000-0000D3000000}"/>
    <cellStyle name="20% - Accent2 2 8 3 2 3" xfId="164" xr:uid="{00000000-0005-0000-0000-0000D4000000}"/>
    <cellStyle name="20% - Accent2 2 8 3 3" xfId="165" xr:uid="{00000000-0005-0000-0000-0000D5000000}"/>
    <cellStyle name="20% - Accent2 2 8 3 3 2" xfId="166" xr:uid="{00000000-0005-0000-0000-0000D6000000}"/>
    <cellStyle name="20% - Accent2 2 8 3 4" xfId="167" xr:uid="{00000000-0005-0000-0000-0000D7000000}"/>
    <cellStyle name="20% - Accent2 2 8 3 5" xfId="168" xr:uid="{00000000-0005-0000-0000-0000D8000000}"/>
    <cellStyle name="20% - Accent2 2 8 4" xfId="169" xr:uid="{00000000-0005-0000-0000-0000D9000000}"/>
    <cellStyle name="20% - Accent2 2 8 4 2" xfId="170" xr:uid="{00000000-0005-0000-0000-0000DA000000}"/>
    <cellStyle name="20% - Accent2 2 8 4 2 2" xfId="171" xr:uid="{00000000-0005-0000-0000-0000DB000000}"/>
    <cellStyle name="20% - Accent2 2 8 4 3" xfId="172" xr:uid="{00000000-0005-0000-0000-0000DC000000}"/>
    <cellStyle name="20% - Accent2 2 8 5" xfId="173" xr:uid="{00000000-0005-0000-0000-0000DD000000}"/>
    <cellStyle name="20% - Accent2 2 8 5 2" xfId="174" xr:uid="{00000000-0005-0000-0000-0000DE000000}"/>
    <cellStyle name="20% - Accent2 2 8 5 2 2" xfId="175" xr:uid="{00000000-0005-0000-0000-0000DF000000}"/>
    <cellStyle name="20% - Accent2 2 8 5 3" xfId="176" xr:uid="{00000000-0005-0000-0000-0000E0000000}"/>
    <cellStyle name="20% - Accent2 2 8 6" xfId="177" xr:uid="{00000000-0005-0000-0000-0000E1000000}"/>
    <cellStyle name="20% - Accent2 2 8 6 2" xfId="178" xr:uid="{00000000-0005-0000-0000-0000E2000000}"/>
    <cellStyle name="20% - Accent2 2 8 7" xfId="179" xr:uid="{00000000-0005-0000-0000-0000E3000000}"/>
    <cellStyle name="20% - Accent2 2 8 8" xfId="180" xr:uid="{00000000-0005-0000-0000-0000E4000000}"/>
    <cellStyle name="20% - Accent2 3" xfId="181" xr:uid="{00000000-0005-0000-0000-0000E5000000}"/>
    <cellStyle name="20% - Accent2 3 2" xfId="182" xr:uid="{00000000-0005-0000-0000-0000E6000000}"/>
    <cellStyle name="20% - Accent2 3 3" xfId="183" xr:uid="{00000000-0005-0000-0000-0000E7000000}"/>
    <cellStyle name="20% - Accent2 3 4" xfId="184" xr:uid="{00000000-0005-0000-0000-0000E8000000}"/>
    <cellStyle name="20% - Accent2 3 5" xfId="185" xr:uid="{00000000-0005-0000-0000-0000E9000000}"/>
    <cellStyle name="20% - Accent2 3 6" xfId="186" xr:uid="{00000000-0005-0000-0000-0000EA000000}"/>
    <cellStyle name="20% - Accent2 3 7" xfId="187" xr:uid="{00000000-0005-0000-0000-0000EB000000}"/>
    <cellStyle name="20% - Accent2 3 8" xfId="188" xr:uid="{00000000-0005-0000-0000-0000EC000000}"/>
    <cellStyle name="20% - Accent2 4" xfId="189" xr:uid="{00000000-0005-0000-0000-0000ED000000}"/>
    <cellStyle name="20% - Accent2 4 2" xfId="190" xr:uid="{00000000-0005-0000-0000-0000EE000000}"/>
    <cellStyle name="20% - Accent2 4 3" xfId="191" xr:uid="{00000000-0005-0000-0000-0000EF000000}"/>
    <cellStyle name="20% - Accent2 4 4" xfId="192" xr:uid="{00000000-0005-0000-0000-0000F0000000}"/>
    <cellStyle name="20% - Accent2 4 5" xfId="193" xr:uid="{00000000-0005-0000-0000-0000F1000000}"/>
    <cellStyle name="20% - Accent2 4 6" xfId="194" xr:uid="{00000000-0005-0000-0000-0000F2000000}"/>
    <cellStyle name="20% - Accent2 5" xfId="195" xr:uid="{00000000-0005-0000-0000-0000F3000000}"/>
    <cellStyle name="20% - Accent2 6" xfId="196" xr:uid="{00000000-0005-0000-0000-0000F4000000}"/>
    <cellStyle name="20% - Accent2 7" xfId="197" xr:uid="{00000000-0005-0000-0000-0000F5000000}"/>
    <cellStyle name="20% - Accent2 8" xfId="198" xr:uid="{00000000-0005-0000-0000-0000F6000000}"/>
    <cellStyle name="20% - Accent2 9" xfId="199" xr:uid="{00000000-0005-0000-0000-0000F7000000}"/>
    <cellStyle name="20% - Accent3 10" xfId="200" xr:uid="{00000000-0005-0000-0000-0000F8000000}"/>
    <cellStyle name="20% - Accent3 11" xfId="201" xr:uid="{00000000-0005-0000-0000-0000F9000000}"/>
    <cellStyle name="20% - Accent3 12" xfId="202" xr:uid="{00000000-0005-0000-0000-0000FA000000}"/>
    <cellStyle name="20% - Accent3 12 2" xfId="203" xr:uid="{00000000-0005-0000-0000-0000FB000000}"/>
    <cellStyle name="20% - Accent3 12 2 2" xfId="204" xr:uid="{00000000-0005-0000-0000-0000FC000000}"/>
    <cellStyle name="20% - Accent3 12 2 2 2" xfId="205" xr:uid="{00000000-0005-0000-0000-0000FD000000}"/>
    <cellStyle name="20% - Accent3 12 2 2 2 2" xfId="206" xr:uid="{00000000-0005-0000-0000-0000FE000000}"/>
    <cellStyle name="20% - Accent3 12 2 2 3" xfId="207" xr:uid="{00000000-0005-0000-0000-0000FF000000}"/>
    <cellStyle name="20% - Accent3 12 2 3" xfId="208" xr:uid="{00000000-0005-0000-0000-000000010000}"/>
    <cellStyle name="20% - Accent3 12 2 3 2" xfId="209" xr:uid="{00000000-0005-0000-0000-000001010000}"/>
    <cellStyle name="20% - Accent3 12 2 4" xfId="210" xr:uid="{00000000-0005-0000-0000-000002010000}"/>
    <cellStyle name="20% - Accent3 12 3" xfId="211" xr:uid="{00000000-0005-0000-0000-000003010000}"/>
    <cellStyle name="20% - Accent3 12 3 2" xfId="212" xr:uid="{00000000-0005-0000-0000-000004010000}"/>
    <cellStyle name="20% - Accent3 12 3 2 2" xfId="213" xr:uid="{00000000-0005-0000-0000-000005010000}"/>
    <cellStyle name="20% - Accent3 12 3 3" xfId="214" xr:uid="{00000000-0005-0000-0000-000006010000}"/>
    <cellStyle name="20% - Accent3 12 4" xfId="215" xr:uid="{00000000-0005-0000-0000-000007010000}"/>
    <cellStyle name="20% - Accent3 12 4 2" xfId="216" xr:uid="{00000000-0005-0000-0000-000008010000}"/>
    <cellStyle name="20% - Accent3 12 4 2 2" xfId="217" xr:uid="{00000000-0005-0000-0000-000009010000}"/>
    <cellStyle name="20% - Accent3 12 4 3" xfId="218" xr:uid="{00000000-0005-0000-0000-00000A010000}"/>
    <cellStyle name="20% - Accent3 12 5" xfId="219" xr:uid="{00000000-0005-0000-0000-00000B010000}"/>
    <cellStyle name="20% - Accent3 12 5 2" xfId="220" xr:uid="{00000000-0005-0000-0000-00000C010000}"/>
    <cellStyle name="20% - Accent3 12 6" xfId="221" xr:uid="{00000000-0005-0000-0000-00000D010000}"/>
    <cellStyle name="20% - Accent3 12 7" xfId="222" xr:uid="{00000000-0005-0000-0000-00000E010000}"/>
    <cellStyle name="20% - Accent3 13" xfId="223" xr:uid="{00000000-0005-0000-0000-00000F010000}"/>
    <cellStyle name="20% - Accent3 13 2" xfId="224" xr:uid="{00000000-0005-0000-0000-000010010000}"/>
    <cellStyle name="20% - Accent3 13 2 2" xfId="225" xr:uid="{00000000-0005-0000-0000-000011010000}"/>
    <cellStyle name="20% - Accent3 13 3" xfId="226" xr:uid="{00000000-0005-0000-0000-000012010000}"/>
    <cellStyle name="20% - Accent3 13 4" xfId="227" xr:uid="{00000000-0005-0000-0000-000013010000}"/>
    <cellStyle name="20% - Accent3 14" xfId="228" xr:uid="{00000000-0005-0000-0000-000014010000}"/>
    <cellStyle name="20% - Accent3 14 2" xfId="229" xr:uid="{00000000-0005-0000-0000-000015010000}"/>
    <cellStyle name="20% - Accent3 14 2 2" xfId="230" xr:uid="{00000000-0005-0000-0000-000016010000}"/>
    <cellStyle name="20% - Accent3 14 3" xfId="231" xr:uid="{00000000-0005-0000-0000-000017010000}"/>
    <cellStyle name="20% - Accent3 15" xfId="232" xr:uid="{00000000-0005-0000-0000-000018010000}"/>
    <cellStyle name="20% - Accent3 15 2" xfId="233" xr:uid="{00000000-0005-0000-0000-000019010000}"/>
    <cellStyle name="20% - Accent3 16" xfId="234" xr:uid="{00000000-0005-0000-0000-00001A010000}"/>
    <cellStyle name="20% - Accent3 17" xfId="235" xr:uid="{00000000-0005-0000-0000-00001B010000}"/>
    <cellStyle name="20% - Accent3 2" xfId="236" xr:uid="{00000000-0005-0000-0000-00001C010000}"/>
    <cellStyle name="20% - Accent3 2 2" xfId="237" xr:uid="{00000000-0005-0000-0000-00001D010000}"/>
    <cellStyle name="20% - Accent3 2 3" xfId="238" xr:uid="{00000000-0005-0000-0000-00001E010000}"/>
    <cellStyle name="20% - Accent3 2 4" xfId="239" xr:uid="{00000000-0005-0000-0000-00001F010000}"/>
    <cellStyle name="20% - Accent3 2 5" xfId="240" xr:uid="{00000000-0005-0000-0000-000020010000}"/>
    <cellStyle name="20% - Accent3 2 6" xfId="241" xr:uid="{00000000-0005-0000-0000-000021010000}"/>
    <cellStyle name="20% - Accent3 2 7" xfId="242" xr:uid="{00000000-0005-0000-0000-000022010000}"/>
    <cellStyle name="20% - Accent3 2 8" xfId="243" xr:uid="{00000000-0005-0000-0000-000023010000}"/>
    <cellStyle name="20% - Accent3 2 8 2" xfId="244" xr:uid="{00000000-0005-0000-0000-000024010000}"/>
    <cellStyle name="20% - Accent3 2 8 2 2" xfId="245" xr:uid="{00000000-0005-0000-0000-000025010000}"/>
    <cellStyle name="20% - Accent3 2 8 2 2 2" xfId="246" xr:uid="{00000000-0005-0000-0000-000026010000}"/>
    <cellStyle name="20% - Accent3 2 8 2 2 2 2" xfId="247" xr:uid="{00000000-0005-0000-0000-000027010000}"/>
    <cellStyle name="20% - Accent3 2 8 2 2 3" xfId="248" xr:uid="{00000000-0005-0000-0000-000028010000}"/>
    <cellStyle name="20% - Accent3 2 8 2 3" xfId="249" xr:uid="{00000000-0005-0000-0000-000029010000}"/>
    <cellStyle name="20% - Accent3 2 8 2 3 2" xfId="250" xr:uid="{00000000-0005-0000-0000-00002A010000}"/>
    <cellStyle name="20% - Accent3 2 8 2 3 2 2" xfId="251" xr:uid="{00000000-0005-0000-0000-00002B010000}"/>
    <cellStyle name="20% - Accent3 2 8 2 3 3" xfId="252" xr:uid="{00000000-0005-0000-0000-00002C010000}"/>
    <cellStyle name="20% - Accent3 2 8 2 4" xfId="253" xr:uid="{00000000-0005-0000-0000-00002D010000}"/>
    <cellStyle name="20% - Accent3 2 8 2 4 2" xfId="254" xr:uid="{00000000-0005-0000-0000-00002E010000}"/>
    <cellStyle name="20% - Accent3 2 8 2 5" xfId="255" xr:uid="{00000000-0005-0000-0000-00002F010000}"/>
    <cellStyle name="20% - Accent3 2 8 2 6" xfId="256" xr:uid="{00000000-0005-0000-0000-000030010000}"/>
    <cellStyle name="20% - Accent3 2 8 3" xfId="257" xr:uid="{00000000-0005-0000-0000-000031010000}"/>
    <cellStyle name="20% - Accent3 2 8 3 2" xfId="258" xr:uid="{00000000-0005-0000-0000-000032010000}"/>
    <cellStyle name="20% - Accent3 2 8 3 2 2" xfId="259" xr:uid="{00000000-0005-0000-0000-000033010000}"/>
    <cellStyle name="20% - Accent3 2 8 3 2 2 2" xfId="260" xr:uid="{00000000-0005-0000-0000-000034010000}"/>
    <cellStyle name="20% - Accent3 2 8 3 2 3" xfId="261" xr:uid="{00000000-0005-0000-0000-000035010000}"/>
    <cellStyle name="20% - Accent3 2 8 3 3" xfId="262" xr:uid="{00000000-0005-0000-0000-000036010000}"/>
    <cellStyle name="20% - Accent3 2 8 3 3 2" xfId="263" xr:uid="{00000000-0005-0000-0000-000037010000}"/>
    <cellStyle name="20% - Accent3 2 8 3 4" xfId="264" xr:uid="{00000000-0005-0000-0000-000038010000}"/>
    <cellStyle name="20% - Accent3 2 8 3 5" xfId="265" xr:uid="{00000000-0005-0000-0000-000039010000}"/>
    <cellStyle name="20% - Accent3 2 8 4" xfId="266" xr:uid="{00000000-0005-0000-0000-00003A010000}"/>
    <cellStyle name="20% - Accent3 2 8 4 2" xfId="267" xr:uid="{00000000-0005-0000-0000-00003B010000}"/>
    <cellStyle name="20% - Accent3 2 8 4 2 2" xfId="268" xr:uid="{00000000-0005-0000-0000-00003C010000}"/>
    <cellStyle name="20% - Accent3 2 8 4 3" xfId="269" xr:uid="{00000000-0005-0000-0000-00003D010000}"/>
    <cellStyle name="20% - Accent3 2 8 5" xfId="270" xr:uid="{00000000-0005-0000-0000-00003E010000}"/>
    <cellStyle name="20% - Accent3 2 8 5 2" xfId="271" xr:uid="{00000000-0005-0000-0000-00003F010000}"/>
    <cellStyle name="20% - Accent3 2 8 5 2 2" xfId="272" xr:uid="{00000000-0005-0000-0000-000040010000}"/>
    <cellStyle name="20% - Accent3 2 8 5 3" xfId="273" xr:uid="{00000000-0005-0000-0000-000041010000}"/>
    <cellStyle name="20% - Accent3 2 8 6" xfId="274" xr:uid="{00000000-0005-0000-0000-000042010000}"/>
    <cellStyle name="20% - Accent3 2 8 6 2" xfId="275" xr:uid="{00000000-0005-0000-0000-000043010000}"/>
    <cellStyle name="20% - Accent3 2 8 7" xfId="276" xr:uid="{00000000-0005-0000-0000-000044010000}"/>
    <cellStyle name="20% - Accent3 2 8 8" xfId="277" xr:uid="{00000000-0005-0000-0000-000045010000}"/>
    <cellStyle name="20% - Accent3 2 9" xfId="278" xr:uid="{00000000-0005-0000-0000-000046010000}"/>
    <cellStyle name="20% - Accent3 3" xfId="279" xr:uid="{00000000-0005-0000-0000-000047010000}"/>
    <cellStyle name="20% - Accent3 3 2" xfId="280" xr:uid="{00000000-0005-0000-0000-000048010000}"/>
    <cellStyle name="20% - Accent3 3 3" xfId="281" xr:uid="{00000000-0005-0000-0000-000049010000}"/>
    <cellStyle name="20% - Accent3 3 4" xfId="282" xr:uid="{00000000-0005-0000-0000-00004A010000}"/>
    <cellStyle name="20% - Accent3 3 5" xfId="283" xr:uid="{00000000-0005-0000-0000-00004B010000}"/>
    <cellStyle name="20% - Accent3 3 6" xfId="284" xr:uid="{00000000-0005-0000-0000-00004C010000}"/>
    <cellStyle name="20% - Accent3 3 7" xfId="285" xr:uid="{00000000-0005-0000-0000-00004D010000}"/>
    <cellStyle name="20% - Accent3 3 8" xfId="286" xr:uid="{00000000-0005-0000-0000-00004E010000}"/>
    <cellStyle name="20% - Accent3 4" xfId="287" xr:uid="{00000000-0005-0000-0000-00004F010000}"/>
    <cellStyle name="20% - Accent3 4 2" xfId="288" xr:uid="{00000000-0005-0000-0000-000050010000}"/>
    <cellStyle name="20% - Accent3 4 3" xfId="289" xr:uid="{00000000-0005-0000-0000-000051010000}"/>
    <cellStyle name="20% - Accent3 4 4" xfId="290" xr:uid="{00000000-0005-0000-0000-000052010000}"/>
    <cellStyle name="20% - Accent3 4 5" xfId="291" xr:uid="{00000000-0005-0000-0000-000053010000}"/>
    <cellStyle name="20% - Accent3 4 6" xfId="292" xr:uid="{00000000-0005-0000-0000-000054010000}"/>
    <cellStyle name="20% - Accent3 5" xfId="293" xr:uid="{00000000-0005-0000-0000-000055010000}"/>
    <cellStyle name="20% - Accent3 6" xfId="294" xr:uid="{00000000-0005-0000-0000-000056010000}"/>
    <cellStyle name="20% - Accent3 7" xfId="295" xr:uid="{00000000-0005-0000-0000-000057010000}"/>
    <cellStyle name="20% - Accent3 8" xfId="296" xr:uid="{00000000-0005-0000-0000-000058010000}"/>
    <cellStyle name="20% - Accent3 9" xfId="297" xr:uid="{00000000-0005-0000-0000-000059010000}"/>
    <cellStyle name="20% - Accent4 10" xfId="298" xr:uid="{00000000-0005-0000-0000-00005A010000}"/>
    <cellStyle name="20% - Accent4 11" xfId="299" xr:uid="{00000000-0005-0000-0000-00005B010000}"/>
    <cellStyle name="20% - Accent4 12" xfId="300" xr:uid="{00000000-0005-0000-0000-00005C010000}"/>
    <cellStyle name="20% - Accent4 12 2" xfId="301" xr:uid="{00000000-0005-0000-0000-00005D010000}"/>
    <cellStyle name="20% - Accent4 12 2 2" xfId="302" xr:uid="{00000000-0005-0000-0000-00005E010000}"/>
    <cellStyle name="20% - Accent4 12 2 2 2" xfId="303" xr:uid="{00000000-0005-0000-0000-00005F010000}"/>
    <cellStyle name="20% - Accent4 12 2 2 2 2" xfId="304" xr:uid="{00000000-0005-0000-0000-000060010000}"/>
    <cellStyle name="20% - Accent4 12 2 2 3" xfId="305" xr:uid="{00000000-0005-0000-0000-000061010000}"/>
    <cellStyle name="20% - Accent4 12 2 3" xfId="306" xr:uid="{00000000-0005-0000-0000-000062010000}"/>
    <cellStyle name="20% - Accent4 12 2 3 2" xfId="307" xr:uid="{00000000-0005-0000-0000-000063010000}"/>
    <cellStyle name="20% - Accent4 12 2 4" xfId="308" xr:uid="{00000000-0005-0000-0000-000064010000}"/>
    <cellStyle name="20% - Accent4 12 3" xfId="309" xr:uid="{00000000-0005-0000-0000-000065010000}"/>
    <cellStyle name="20% - Accent4 12 3 2" xfId="310" xr:uid="{00000000-0005-0000-0000-000066010000}"/>
    <cellStyle name="20% - Accent4 12 3 2 2" xfId="311" xr:uid="{00000000-0005-0000-0000-000067010000}"/>
    <cellStyle name="20% - Accent4 12 3 3" xfId="312" xr:uid="{00000000-0005-0000-0000-000068010000}"/>
    <cellStyle name="20% - Accent4 12 4" xfId="313" xr:uid="{00000000-0005-0000-0000-000069010000}"/>
    <cellStyle name="20% - Accent4 12 4 2" xfId="314" xr:uid="{00000000-0005-0000-0000-00006A010000}"/>
    <cellStyle name="20% - Accent4 12 4 2 2" xfId="315" xr:uid="{00000000-0005-0000-0000-00006B010000}"/>
    <cellStyle name="20% - Accent4 12 4 3" xfId="316" xr:uid="{00000000-0005-0000-0000-00006C010000}"/>
    <cellStyle name="20% - Accent4 12 5" xfId="317" xr:uid="{00000000-0005-0000-0000-00006D010000}"/>
    <cellStyle name="20% - Accent4 12 5 2" xfId="318" xr:uid="{00000000-0005-0000-0000-00006E010000}"/>
    <cellStyle name="20% - Accent4 12 6" xfId="319" xr:uid="{00000000-0005-0000-0000-00006F010000}"/>
    <cellStyle name="20% - Accent4 12 7" xfId="320" xr:uid="{00000000-0005-0000-0000-000070010000}"/>
    <cellStyle name="20% - Accent4 13" xfId="321" xr:uid="{00000000-0005-0000-0000-000071010000}"/>
    <cellStyle name="20% - Accent4 13 2" xfId="322" xr:uid="{00000000-0005-0000-0000-000072010000}"/>
    <cellStyle name="20% - Accent4 13 2 2" xfId="323" xr:uid="{00000000-0005-0000-0000-000073010000}"/>
    <cellStyle name="20% - Accent4 13 3" xfId="324" xr:uid="{00000000-0005-0000-0000-000074010000}"/>
    <cellStyle name="20% - Accent4 13 4" xfId="325" xr:uid="{00000000-0005-0000-0000-000075010000}"/>
    <cellStyle name="20% - Accent4 14" xfId="326" xr:uid="{00000000-0005-0000-0000-000076010000}"/>
    <cellStyle name="20% - Accent4 14 2" xfId="327" xr:uid="{00000000-0005-0000-0000-000077010000}"/>
    <cellStyle name="20% - Accent4 14 2 2" xfId="328" xr:uid="{00000000-0005-0000-0000-000078010000}"/>
    <cellStyle name="20% - Accent4 14 3" xfId="329" xr:uid="{00000000-0005-0000-0000-000079010000}"/>
    <cellStyle name="20% - Accent4 15" xfId="330" xr:uid="{00000000-0005-0000-0000-00007A010000}"/>
    <cellStyle name="20% - Accent4 15 2" xfId="331" xr:uid="{00000000-0005-0000-0000-00007B010000}"/>
    <cellStyle name="20% - Accent4 16" xfId="332" xr:uid="{00000000-0005-0000-0000-00007C010000}"/>
    <cellStyle name="20% - Accent4 17" xfId="333" xr:uid="{00000000-0005-0000-0000-00007D010000}"/>
    <cellStyle name="20% - Accent4 2" xfId="334" xr:uid="{00000000-0005-0000-0000-00007E010000}"/>
    <cellStyle name="20% - Accent4 2 2" xfId="335" xr:uid="{00000000-0005-0000-0000-00007F010000}"/>
    <cellStyle name="20% - Accent4 2 3" xfId="336" xr:uid="{00000000-0005-0000-0000-000080010000}"/>
    <cellStyle name="20% - Accent4 2 4" xfId="337" xr:uid="{00000000-0005-0000-0000-000081010000}"/>
    <cellStyle name="20% - Accent4 2 5" xfId="338" xr:uid="{00000000-0005-0000-0000-000082010000}"/>
    <cellStyle name="20% - Accent4 2 6" xfId="339" xr:uid="{00000000-0005-0000-0000-000083010000}"/>
    <cellStyle name="20% - Accent4 2 7" xfId="340" xr:uid="{00000000-0005-0000-0000-000084010000}"/>
    <cellStyle name="20% - Accent4 2 8" xfId="341" xr:uid="{00000000-0005-0000-0000-000085010000}"/>
    <cellStyle name="20% - Accent4 2 8 2" xfId="342" xr:uid="{00000000-0005-0000-0000-000086010000}"/>
    <cellStyle name="20% - Accent4 2 8 2 2" xfId="343" xr:uid="{00000000-0005-0000-0000-000087010000}"/>
    <cellStyle name="20% - Accent4 2 8 2 2 2" xfId="344" xr:uid="{00000000-0005-0000-0000-000088010000}"/>
    <cellStyle name="20% - Accent4 2 8 2 2 2 2" xfId="345" xr:uid="{00000000-0005-0000-0000-000089010000}"/>
    <cellStyle name="20% - Accent4 2 8 2 2 3" xfId="346" xr:uid="{00000000-0005-0000-0000-00008A010000}"/>
    <cellStyle name="20% - Accent4 2 8 2 3" xfId="347" xr:uid="{00000000-0005-0000-0000-00008B010000}"/>
    <cellStyle name="20% - Accent4 2 8 2 3 2" xfId="348" xr:uid="{00000000-0005-0000-0000-00008C010000}"/>
    <cellStyle name="20% - Accent4 2 8 2 3 2 2" xfId="349" xr:uid="{00000000-0005-0000-0000-00008D010000}"/>
    <cellStyle name="20% - Accent4 2 8 2 3 3" xfId="350" xr:uid="{00000000-0005-0000-0000-00008E010000}"/>
    <cellStyle name="20% - Accent4 2 8 2 4" xfId="351" xr:uid="{00000000-0005-0000-0000-00008F010000}"/>
    <cellStyle name="20% - Accent4 2 8 2 4 2" xfId="352" xr:uid="{00000000-0005-0000-0000-000090010000}"/>
    <cellStyle name="20% - Accent4 2 8 2 5" xfId="353" xr:uid="{00000000-0005-0000-0000-000091010000}"/>
    <cellStyle name="20% - Accent4 2 8 2 6" xfId="354" xr:uid="{00000000-0005-0000-0000-000092010000}"/>
    <cellStyle name="20% - Accent4 2 8 3" xfId="355" xr:uid="{00000000-0005-0000-0000-000093010000}"/>
    <cellStyle name="20% - Accent4 2 8 3 2" xfId="356" xr:uid="{00000000-0005-0000-0000-000094010000}"/>
    <cellStyle name="20% - Accent4 2 8 3 2 2" xfId="357" xr:uid="{00000000-0005-0000-0000-000095010000}"/>
    <cellStyle name="20% - Accent4 2 8 3 2 2 2" xfId="358" xr:uid="{00000000-0005-0000-0000-000096010000}"/>
    <cellStyle name="20% - Accent4 2 8 3 2 3" xfId="359" xr:uid="{00000000-0005-0000-0000-000097010000}"/>
    <cellStyle name="20% - Accent4 2 8 3 3" xfId="360" xr:uid="{00000000-0005-0000-0000-000098010000}"/>
    <cellStyle name="20% - Accent4 2 8 3 3 2" xfId="361" xr:uid="{00000000-0005-0000-0000-000099010000}"/>
    <cellStyle name="20% - Accent4 2 8 3 4" xfId="362" xr:uid="{00000000-0005-0000-0000-00009A010000}"/>
    <cellStyle name="20% - Accent4 2 8 3 5" xfId="363" xr:uid="{00000000-0005-0000-0000-00009B010000}"/>
    <cellStyle name="20% - Accent4 2 8 4" xfId="364" xr:uid="{00000000-0005-0000-0000-00009C010000}"/>
    <cellStyle name="20% - Accent4 2 8 4 2" xfId="365" xr:uid="{00000000-0005-0000-0000-00009D010000}"/>
    <cellStyle name="20% - Accent4 2 8 4 2 2" xfId="366" xr:uid="{00000000-0005-0000-0000-00009E010000}"/>
    <cellStyle name="20% - Accent4 2 8 4 3" xfId="367" xr:uid="{00000000-0005-0000-0000-00009F010000}"/>
    <cellStyle name="20% - Accent4 2 8 5" xfId="368" xr:uid="{00000000-0005-0000-0000-0000A0010000}"/>
    <cellStyle name="20% - Accent4 2 8 5 2" xfId="369" xr:uid="{00000000-0005-0000-0000-0000A1010000}"/>
    <cellStyle name="20% - Accent4 2 8 5 2 2" xfId="370" xr:uid="{00000000-0005-0000-0000-0000A2010000}"/>
    <cellStyle name="20% - Accent4 2 8 5 3" xfId="371" xr:uid="{00000000-0005-0000-0000-0000A3010000}"/>
    <cellStyle name="20% - Accent4 2 8 6" xfId="372" xr:uid="{00000000-0005-0000-0000-0000A4010000}"/>
    <cellStyle name="20% - Accent4 2 8 6 2" xfId="373" xr:uid="{00000000-0005-0000-0000-0000A5010000}"/>
    <cellStyle name="20% - Accent4 2 8 7" xfId="374" xr:uid="{00000000-0005-0000-0000-0000A6010000}"/>
    <cellStyle name="20% - Accent4 2 8 8" xfId="375" xr:uid="{00000000-0005-0000-0000-0000A7010000}"/>
    <cellStyle name="20% - Accent4 3" xfId="376" xr:uid="{00000000-0005-0000-0000-0000A8010000}"/>
    <cellStyle name="20% - Accent4 3 2" xfId="377" xr:uid="{00000000-0005-0000-0000-0000A9010000}"/>
    <cellStyle name="20% - Accent4 3 3" xfId="378" xr:uid="{00000000-0005-0000-0000-0000AA010000}"/>
    <cellStyle name="20% - Accent4 3 4" xfId="379" xr:uid="{00000000-0005-0000-0000-0000AB010000}"/>
    <cellStyle name="20% - Accent4 3 5" xfId="380" xr:uid="{00000000-0005-0000-0000-0000AC010000}"/>
    <cellStyle name="20% - Accent4 3 6" xfId="381" xr:uid="{00000000-0005-0000-0000-0000AD010000}"/>
    <cellStyle name="20% - Accent4 3 7" xfId="382" xr:uid="{00000000-0005-0000-0000-0000AE010000}"/>
    <cellStyle name="20% - Accent4 3 8" xfId="383" xr:uid="{00000000-0005-0000-0000-0000AF010000}"/>
    <cellStyle name="20% - Accent4 4" xfId="384" xr:uid="{00000000-0005-0000-0000-0000B0010000}"/>
    <cellStyle name="20% - Accent4 4 2" xfId="385" xr:uid="{00000000-0005-0000-0000-0000B1010000}"/>
    <cellStyle name="20% - Accent4 4 3" xfId="386" xr:uid="{00000000-0005-0000-0000-0000B2010000}"/>
    <cellStyle name="20% - Accent4 4 4" xfId="387" xr:uid="{00000000-0005-0000-0000-0000B3010000}"/>
    <cellStyle name="20% - Accent4 4 5" xfId="388" xr:uid="{00000000-0005-0000-0000-0000B4010000}"/>
    <cellStyle name="20% - Accent4 4 6" xfId="389" xr:uid="{00000000-0005-0000-0000-0000B5010000}"/>
    <cellStyle name="20% - Accent4 5" xfId="390" xr:uid="{00000000-0005-0000-0000-0000B6010000}"/>
    <cellStyle name="20% - Accent4 6" xfId="391" xr:uid="{00000000-0005-0000-0000-0000B7010000}"/>
    <cellStyle name="20% - Accent4 7" xfId="392" xr:uid="{00000000-0005-0000-0000-0000B8010000}"/>
    <cellStyle name="20% - Accent4 8" xfId="393" xr:uid="{00000000-0005-0000-0000-0000B9010000}"/>
    <cellStyle name="20% - Accent4 9" xfId="394" xr:uid="{00000000-0005-0000-0000-0000BA010000}"/>
    <cellStyle name="20% - Accent5 10" xfId="395" xr:uid="{00000000-0005-0000-0000-0000BB010000}"/>
    <cellStyle name="20% - Accent5 11" xfId="396" xr:uid="{00000000-0005-0000-0000-0000BC010000}"/>
    <cellStyle name="20% - Accent5 12" xfId="397" xr:uid="{00000000-0005-0000-0000-0000BD010000}"/>
    <cellStyle name="20% - Accent5 12 2" xfId="398" xr:uid="{00000000-0005-0000-0000-0000BE010000}"/>
    <cellStyle name="20% - Accent5 12 2 2" xfId="399" xr:uid="{00000000-0005-0000-0000-0000BF010000}"/>
    <cellStyle name="20% - Accent5 12 2 2 2" xfId="400" xr:uid="{00000000-0005-0000-0000-0000C0010000}"/>
    <cellStyle name="20% - Accent5 12 2 2 2 2" xfId="401" xr:uid="{00000000-0005-0000-0000-0000C1010000}"/>
    <cellStyle name="20% - Accent5 12 2 2 3" xfId="402" xr:uid="{00000000-0005-0000-0000-0000C2010000}"/>
    <cellStyle name="20% - Accent5 12 2 3" xfId="403" xr:uid="{00000000-0005-0000-0000-0000C3010000}"/>
    <cellStyle name="20% - Accent5 12 2 3 2" xfId="404" xr:uid="{00000000-0005-0000-0000-0000C4010000}"/>
    <cellStyle name="20% - Accent5 12 2 4" xfId="405" xr:uid="{00000000-0005-0000-0000-0000C5010000}"/>
    <cellStyle name="20% - Accent5 12 3" xfId="406" xr:uid="{00000000-0005-0000-0000-0000C6010000}"/>
    <cellStyle name="20% - Accent5 12 3 2" xfId="407" xr:uid="{00000000-0005-0000-0000-0000C7010000}"/>
    <cellStyle name="20% - Accent5 12 3 2 2" xfId="408" xr:uid="{00000000-0005-0000-0000-0000C8010000}"/>
    <cellStyle name="20% - Accent5 12 3 3" xfId="409" xr:uid="{00000000-0005-0000-0000-0000C9010000}"/>
    <cellStyle name="20% - Accent5 12 4" xfId="410" xr:uid="{00000000-0005-0000-0000-0000CA010000}"/>
    <cellStyle name="20% - Accent5 12 4 2" xfId="411" xr:uid="{00000000-0005-0000-0000-0000CB010000}"/>
    <cellStyle name="20% - Accent5 12 4 2 2" xfId="412" xr:uid="{00000000-0005-0000-0000-0000CC010000}"/>
    <cellStyle name="20% - Accent5 12 4 3" xfId="413" xr:uid="{00000000-0005-0000-0000-0000CD010000}"/>
    <cellStyle name="20% - Accent5 12 5" xfId="414" xr:uid="{00000000-0005-0000-0000-0000CE010000}"/>
    <cellStyle name="20% - Accent5 12 5 2" xfId="415" xr:uid="{00000000-0005-0000-0000-0000CF010000}"/>
    <cellStyle name="20% - Accent5 12 6" xfId="416" xr:uid="{00000000-0005-0000-0000-0000D0010000}"/>
    <cellStyle name="20% - Accent5 12 7" xfId="417" xr:uid="{00000000-0005-0000-0000-0000D1010000}"/>
    <cellStyle name="20% - Accent5 13" xfId="418" xr:uid="{00000000-0005-0000-0000-0000D2010000}"/>
    <cellStyle name="20% - Accent5 13 2" xfId="419" xr:uid="{00000000-0005-0000-0000-0000D3010000}"/>
    <cellStyle name="20% - Accent5 13 2 2" xfId="420" xr:uid="{00000000-0005-0000-0000-0000D4010000}"/>
    <cellStyle name="20% - Accent5 13 3" xfId="421" xr:uid="{00000000-0005-0000-0000-0000D5010000}"/>
    <cellStyle name="20% - Accent5 13 4" xfId="422" xr:uid="{00000000-0005-0000-0000-0000D6010000}"/>
    <cellStyle name="20% - Accent5 14" xfId="423" xr:uid="{00000000-0005-0000-0000-0000D7010000}"/>
    <cellStyle name="20% - Accent5 14 2" xfId="424" xr:uid="{00000000-0005-0000-0000-0000D8010000}"/>
    <cellStyle name="20% - Accent5 14 2 2" xfId="425" xr:uid="{00000000-0005-0000-0000-0000D9010000}"/>
    <cellStyle name="20% - Accent5 14 3" xfId="426" xr:uid="{00000000-0005-0000-0000-0000DA010000}"/>
    <cellStyle name="20% - Accent5 15" xfId="427" xr:uid="{00000000-0005-0000-0000-0000DB010000}"/>
    <cellStyle name="20% - Accent5 15 2" xfId="428" xr:uid="{00000000-0005-0000-0000-0000DC010000}"/>
    <cellStyle name="20% - Accent5 16" xfId="429" xr:uid="{00000000-0005-0000-0000-0000DD010000}"/>
    <cellStyle name="20% - Accent5 17" xfId="430" xr:uid="{00000000-0005-0000-0000-0000DE010000}"/>
    <cellStyle name="20% - Accent5 2" xfId="431" xr:uid="{00000000-0005-0000-0000-0000DF010000}"/>
    <cellStyle name="20% - Accent5 2 2" xfId="432" xr:uid="{00000000-0005-0000-0000-0000E0010000}"/>
    <cellStyle name="20% - Accent5 2 3" xfId="433" xr:uid="{00000000-0005-0000-0000-0000E1010000}"/>
    <cellStyle name="20% - Accent5 2 4" xfId="434" xr:uid="{00000000-0005-0000-0000-0000E2010000}"/>
    <cellStyle name="20% - Accent5 2 5" xfId="435" xr:uid="{00000000-0005-0000-0000-0000E3010000}"/>
    <cellStyle name="20% - Accent5 2 6" xfId="436" xr:uid="{00000000-0005-0000-0000-0000E4010000}"/>
    <cellStyle name="20% - Accent5 2 7" xfId="437" xr:uid="{00000000-0005-0000-0000-0000E5010000}"/>
    <cellStyle name="20% - Accent5 2 8" xfId="438" xr:uid="{00000000-0005-0000-0000-0000E6010000}"/>
    <cellStyle name="20% - Accent5 2 8 2" xfId="439" xr:uid="{00000000-0005-0000-0000-0000E7010000}"/>
    <cellStyle name="20% - Accent5 2 8 2 2" xfId="440" xr:uid="{00000000-0005-0000-0000-0000E8010000}"/>
    <cellStyle name="20% - Accent5 2 8 2 2 2" xfId="441" xr:uid="{00000000-0005-0000-0000-0000E9010000}"/>
    <cellStyle name="20% - Accent5 2 8 2 2 2 2" xfId="442" xr:uid="{00000000-0005-0000-0000-0000EA010000}"/>
    <cellStyle name="20% - Accent5 2 8 2 2 3" xfId="443" xr:uid="{00000000-0005-0000-0000-0000EB010000}"/>
    <cellStyle name="20% - Accent5 2 8 2 3" xfId="444" xr:uid="{00000000-0005-0000-0000-0000EC010000}"/>
    <cellStyle name="20% - Accent5 2 8 2 3 2" xfId="445" xr:uid="{00000000-0005-0000-0000-0000ED010000}"/>
    <cellStyle name="20% - Accent5 2 8 2 3 2 2" xfId="446" xr:uid="{00000000-0005-0000-0000-0000EE010000}"/>
    <cellStyle name="20% - Accent5 2 8 2 3 3" xfId="447" xr:uid="{00000000-0005-0000-0000-0000EF010000}"/>
    <cellStyle name="20% - Accent5 2 8 2 4" xfId="448" xr:uid="{00000000-0005-0000-0000-0000F0010000}"/>
    <cellStyle name="20% - Accent5 2 8 2 4 2" xfId="449" xr:uid="{00000000-0005-0000-0000-0000F1010000}"/>
    <cellStyle name="20% - Accent5 2 8 2 5" xfId="450" xr:uid="{00000000-0005-0000-0000-0000F2010000}"/>
    <cellStyle name="20% - Accent5 2 8 2 6" xfId="451" xr:uid="{00000000-0005-0000-0000-0000F3010000}"/>
    <cellStyle name="20% - Accent5 2 8 3" xfId="452" xr:uid="{00000000-0005-0000-0000-0000F4010000}"/>
    <cellStyle name="20% - Accent5 2 8 3 2" xfId="453" xr:uid="{00000000-0005-0000-0000-0000F5010000}"/>
    <cellStyle name="20% - Accent5 2 8 3 2 2" xfId="454" xr:uid="{00000000-0005-0000-0000-0000F6010000}"/>
    <cellStyle name="20% - Accent5 2 8 3 2 2 2" xfId="455" xr:uid="{00000000-0005-0000-0000-0000F7010000}"/>
    <cellStyle name="20% - Accent5 2 8 3 2 3" xfId="456" xr:uid="{00000000-0005-0000-0000-0000F8010000}"/>
    <cellStyle name="20% - Accent5 2 8 3 3" xfId="457" xr:uid="{00000000-0005-0000-0000-0000F9010000}"/>
    <cellStyle name="20% - Accent5 2 8 3 3 2" xfId="458" xr:uid="{00000000-0005-0000-0000-0000FA010000}"/>
    <cellStyle name="20% - Accent5 2 8 3 4" xfId="459" xr:uid="{00000000-0005-0000-0000-0000FB010000}"/>
    <cellStyle name="20% - Accent5 2 8 3 5" xfId="460" xr:uid="{00000000-0005-0000-0000-0000FC010000}"/>
    <cellStyle name="20% - Accent5 2 8 4" xfId="461" xr:uid="{00000000-0005-0000-0000-0000FD010000}"/>
    <cellStyle name="20% - Accent5 2 8 4 2" xfId="462" xr:uid="{00000000-0005-0000-0000-0000FE010000}"/>
    <cellStyle name="20% - Accent5 2 8 4 2 2" xfId="463" xr:uid="{00000000-0005-0000-0000-0000FF010000}"/>
    <cellStyle name="20% - Accent5 2 8 4 3" xfId="464" xr:uid="{00000000-0005-0000-0000-000000020000}"/>
    <cellStyle name="20% - Accent5 2 8 5" xfId="465" xr:uid="{00000000-0005-0000-0000-000001020000}"/>
    <cellStyle name="20% - Accent5 2 8 5 2" xfId="466" xr:uid="{00000000-0005-0000-0000-000002020000}"/>
    <cellStyle name="20% - Accent5 2 8 5 2 2" xfId="467" xr:uid="{00000000-0005-0000-0000-000003020000}"/>
    <cellStyle name="20% - Accent5 2 8 5 3" xfId="468" xr:uid="{00000000-0005-0000-0000-000004020000}"/>
    <cellStyle name="20% - Accent5 2 8 6" xfId="469" xr:uid="{00000000-0005-0000-0000-000005020000}"/>
    <cellStyle name="20% - Accent5 2 8 6 2" xfId="470" xr:uid="{00000000-0005-0000-0000-000006020000}"/>
    <cellStyle name="20% - Accent5 2 8 7" xfId="471" xr:uid="{00000000-0005-0000-0000-000007020000}"/>
    <cellStyle name="20% - Accent5 2 8 8" xfId="472" xr:uid="{00000000-0005-0000-0000-000008020000}"/>
    <cellStyle name="20% - Accent5 3" xfId="473" xr:uid="{00000000-0005-0000-0000-000009020000}"/>
    <cellStyle name="20% - Accent5 3 2" xfId="474" xr:uid="{00000000-0005-0000-0000-00000A020000}"/>
    <cellStyle name="20% - Accent5 3 3" xfId="475" xr:uid="{00000000-0005-0000-0000-00000B020000}"/>
    <cellStyle name="20% - Accent5 3 4" xfId="476" xr:uid="{00000000-0005-0000-0000-00000C020000}"/>
    <cellStyle name="20% - Accent5 3 5" xfId="477" xr:uid="{00000000-0005-0000-0000-00000D020000}"/>
    <cellStyle name="20% - Accent5 3 6" xfId="478" xr:uid="{00000000-0005-0000-0000-00000E020000}"/>
    <cellStyle name="20% - Accent5 3 7" xfId="479" xr:uid="{00000000-0005-0000-0000-00000F020000}"/>
    <cellStyle name="20% - Accent5 3 8" xfId="480" xr:uid="{00000000-0005-0000-0000-000010020000}"/>
    <cellStyle name="20% - Accent5 4" xfId="481" xr:uid="{00000000-0005-0000-0000-000011020000}"/>
    <cellStyle name="20% - Accent5 4 2" xfId="482" xr:uid="{00000000-0005-0000-0000-000012020000}"/>
    <cellStyle name="20% - Accent5 4 3" xfId="483" xr:uid="{00000000-0005-0000-0000-000013020000}"/>
    <cellStyle name="20% - Accent5 4 4" xfId="484" xr:uid="{00000000-0005-0000-0000-000014020000}"/>
    <cellStyle name="20% - Accent5 4 5" xfId="485" xr:uid="{00000000-0005-0000-0000-000015020000}"/>
    <cellStyle name="20% - Accent5 4 6" xfId="486" xr:uid="{00000000-0005-0000-0000-000016020000}"/>
    <cellStyle name="20% - Accent5 5" xfId="487" xr:uid="{00000000-0005-0000-0000-000017020000}"/>
    <cellStyle name="20% - Accent5 6" xfId="488" xr:uid="{00000000-0005-0000-0000-000018020000}"/>
    <cellStyle name="20% - Accent5 7" xfId="489" xr:uid="{00000000-0005-0000-0000-000019020000}"/>
    <cellStyle name="20% - Accent5 8" xfId="490" xr:uid="{00000000-0005-0000-0000-00001A020000}"/>
    <cellStyle name="20% - Accent5 9" xfId="491" xr:uid="{00000000-0005-0000-0000-00001B020000}"/>
    <cellStyle name="20% - Accent6 10" xfId="492" xr:uid="{00000000-0005-0000-0000-00001C020000}"/>
    <cellStyle name="20% - Accent6 11" xfId="493" xr:uid="{00000000-0005-0000-0000-00001D020000}"/>
    <cellStyle name="20% - Accent6 12" xfId="494" xr:uid="{00000000-0005-0000-0000-00001E020000}"/>
    <cellStyle name="20% - Accent6 12 2" xfId="495" xr:uid="{00000000-0005-0000-0000-00001F020000}"/>
    <cellStyle name="20% - Accent6 12 2 2" xfId="496" xr:uid="{00000000-0005-0000-0000-000020020000}"/>
    <cellStyle name="20% - Accent6 12 2 2 2" xfId="497" xr:uid="{00000000-0005-0000-0000-000021020000}"/>
    <cellStyle name="20% - Accent6 12 2 2 2 2" xfId="498" xr:uid="{00000000-0005-0000-0000-000022020000}"/>
    <cellStyle name="20% - Accent6 12 2 2 3" xfId="499" xr:uid="{00000000-0005-0000-0000-000023020000}"/>
    <cellStyle name="20% - Accent6 12 2 3" xfId="500" xr:uid="{00000000-0005-0000-0000-000024020000}"/>
    <cellStyle name="20% - Accent6 12 2 3 2" xfId="501" xr:uid="{00000000-0005-0000-0000-000025020000}"/>
    <cellStyle name="20% - Accent6 12 2 4" xfId="502" xr:uid="{00000000-0005-0000-0000-000026020000}"/>
    <cellStyle name="20% - Accent6 12 3" xfId="503" xr:uid="{00000000-0005-0000-0000-000027020000}"/>
    <cellStyle name="20% - Accent6 12 3 2" xfId="504" xr:uid="{00000000-0005-0000-0000-000028020000}"/>
    <cellStyle name="20% - Accent6 12 3 2 2" xfId="505" xr:uid="{00000000-0005-0000-0000-000029020000}"/>
    <cellStyle name="20% - Accent6 12 3 3" xfId="506" xr:uid="{00000000-0005-0000-0000-00002A020000}"/>
    <cellStyle name="20% - Accent6 12 4" xfId="507" xr:uid="{00000000-0005-0000-0000-00002B020000}"/>
    <cellStyle name="20% - Accent6 12 4 2" xfId="508" xr:uid="{00000000-0005-0000-0000-00002C020000}"/>
    <cellStyle name="20% - Accent6 12 4 2 2" xfId="509" xr:uid="{00000000-0005-0000-0000-00002D020000}"/>
    <cellStyle name="20% - Accent6 12 4 3" xfId="510" xr:uid="{00000000-0005-0000-0000-00002E020000}"/>
    <cellStyle name="20% - Accent6 12 5" xfId="511" xr:uid="{00000000-0005-0000-0000-00002F020000}"/>
    <cellStyle name="20% - Accent6 12 5 2" xfId="512" xr:uid="{00000000-0005-0000-0000-000030020000}"/>
    <cellStyle name="20% - Accent6 12 6" xfId="513" xr:uid="{00000000-0005-0000-0000-000031020000}"/>
    <cellStyle name="20% - Accent6 12 7" xfId="514" xr:uid="{00000000-0005-0000-0000-000032020000}"/>
    <cellStyle name="20% - Accent6 13" xfId="515" xr:uid="{00000000-0005-0000-0000-000033020000}"/>
    <cellStyle name="20% - Accent6 13 2" xfId="516" xr:uid="{00000000-0005-0000-0000-000034020000}"/>
    <cellStyle name="20% - Accent6 13 2 2" xfId="517" xr:uid="{00000000-0005-0000-0000-000035020000}"/>
    <cellStyle name="20% - Accent6 13 3" xfId="518" xr:uid="{00000000-0005-0000-0000-000036020000}"/>
    <cellStyle name="20% - Accent6 13 4" xfId="519" xr:uid="{00000000-0005-0000-0000-000037020000}"/>
    <cellStyle name="20% - Accent6 14" xfId="520" xr:uid="{00000000-0005-0000-0000-000038020000}"/>
    <cellStyle name="20% - Accent6 14 2" xfId="521" xr:uid="{00000000-0005-0000-0000-000039020000}"/>
    <cellStyle name="20% - Accent6 14 2 2" xfId="522" xr:uid="{00000000-0005-0000-0000-00003A020000}"/>
    <cellStyle name="20% - Accent6 14 3" xfId="523" xr:uid="{00000000-0005-0000-0000-00003B020000}"/>
    <cellStyle name="20% - Accent6 15" xfId="524" xr:uid="{00000000-0005-0000-0000-00003C020000}"/>
    <cellStyle name="20% - Accent6 15 2" xfId="525" xr:uid="{00000000-0005-0000-0000-00003D020000}"/>
    <cellStyle name="20% - Accent6 16" xfId="526" xr:uid="{00000000-0005-0000-0000-00003E020000}"/>
    <cellStyle name="20% - Accent6 17" xfId="527" xr:uid="{00000000-0005-0000-0000-00003F020000}"/>
    <cellStyle name="20% - Accent6 2" xfId="528" xr:uid="{00000000-0005-0000-0000-000040020000}"/>
    <cellStyle name="20% - Accent6 2 2" xfId="529" xr:uid="{00000000-0005-0000-0000-000041020000}"/>
    <cellStyle name="20% - Accent6 2 3" xfId="530" xr:uid="{00000000-0005-0000-0000-000042020000}"/>
    <cellStyle name="20% - Accent6 2 4" xfId="531" xr:uid="{00000000-0005-0000-0000-000043020000}"/>
    <cellStyle name="20% - Accent6 2 5" xfId="532" xr:uid="{00000000-0005-0000-0000-000044020000}"/>
    <cellStyle name="20% - Accent6 2 6" xfId="533" xr:uid="{00000000-0005-0000-0000-000045020000}"/>
    <cellStyle name="20% - Accent6 2 7" xfId="534" xr:uid="{00000000-0005-0000-0000-000046020000}"/>
    <cellStyle name="20% - Accent6 2 8" xfId="535" xr:uid="{00000000-0005-0000-0000-000047020000}"/>
    <cellStyle name="20% - Accent6 2 8 2" xfId="536" xr:uid="{00000000-0005-0000-0000-000048020000}"/>
    <cellStyle name="20% - Accent6 2 8 2 2" xfId="537" xr:uid="{00000000-0005-0000-0000-000049020000}"/>
    <cellStyle name="20% - Accent6 2 8 2 2 2" xfId="538" xr:uid="{00000000-0005-0000-0000-00004A020000}"/>
    <cellStyle name="20% - Accent6 2 8 2 2 2 2" xfId="539" xr:uid="{00000000-0005-0000-0000-00004B020000}"/>
    <cellStyle name="20% - Accent6 2 8 2 2 3" xfId="540" xr:uid="{00000000-0005-0000-0000-00004C020000}"/>
    <cellStyle name="20% - Accent6 2 8 2 3" xfId="541" xr:uid="{00000000-0005-0000-0000-00004D020000}"/>
    <cellStyle name="20% - Accent6 2 8 2 3 2" xfId="542" xr:uid="{00000000-0005-0000-0000-00004E020000}"/>
    <cellStyle name="20% - Accent6 2 8 2 3 2 2" xfId="543" xr:uid="{00000000-0005-0000-0000-00004F020000}"/>
    <cellStyle name="20% - Accent6 2 8 2 3 3" xfId="544" xr:uid="{00000000-0005-0000-0000-000050020000}"/>
    <cellStyle name="20% - Accent6 2 8 2 4" xfId="545" xr:uid="{00000000-0005-0000-0000-000051020000}"/>
    <cellStyle name="20% - Accent6 2 8 2 4 2" xfId="546" xr:uid="{00000000-0005-0000-0000-000052020000}"/>
    <cellStyle name="20% - Accent6 2 8 2 5" xfId="547" xr:uid="{00000000-0005-0000-0000-000053020000}"/>
    <cellStyle name="20% - Accent6 2 8 2 6" xfId="548" xr:uid="{00000000-0005-0000-0000-000054020000}"/>
    <cellStyle name="20% - Accent6 2 8 3" xfId="549" xr:uid="{00000000-0005-0000-0000-000055020000}"/>
    <cellStyle name="20% - Accent6 2 8 3 2" xfId="550" xr:uid="{00000000-0005-0000-0000-000056020000}"/>
    <cellStyle name="20% - Accent6 2 8 3 2 2" xfId="551" xr:uid="{00000000-0005-0000-0000-000057020000}"/>
    <cellStyle name="20% - Accent6 2 8 3 2 2 2" xfId="552" xr:uid="{00000000-0005-0000-0000-000058020000}"/>
    <cellStyle name="20% - Accent6 2 8 3 2 3" xfId="553" xr:uid="{00000000-0005-0000-0000-000059020000}"/>
    <cellStyle name="20% - Accent6 2 8 3 3" xfId="554" xr:uid="{00000000-0005-0000-0000-00005A020000}"/>
    <cellStyle name="20% - Accent6 2 8 3 3 2" xfId="555" xr:uid="{00000000-0005-0000-0000-00005B020000}"/>
    <cellStyle name="20% - Accent6 2 8 3 4" xfId="556" xr:uid="{00000000-0005-0000-0000-00005C020000}"/>
    <cellStyle name="20% - Accent6 2 8 3 5" xfId="557" xr:uid="{00000000-0005-0000-0000-00005D020000}"/>
    <cellStyle name="20% - Accent6 2 8 4" xfId="558" xr:uid="{00000000-0005-0000-0000-00005E020000}"/>
    <cellStyle name="20% - Accent6 2 8 4 2" xfId="559" xr:uid="{00000000-0005-0000-0000-00005F020000}"/>
    <cellStyle name="20% - Accent6 2 8 4 2 2" xfId="560" xr:uid="{00000000-0005-0000-0000-000060020000}"/>
    <cellStyle name="20% - Accent6 2 8 4 3" xfId="561" xr:uid="{00000000-0005-0000-0000-000061020000}"/>
    <cellStyle name="20% - Accent6 2 8 5" xfId="562" xr:uid="{00000000-0005-0000-0000-000062020000}"/>
    <cellStyle name="20% - Accent6 2 8 5 2" xfId="563" xr:uid="{00000000-0005-0000-0000-000063020000}"/>
    <cellStyle name="20% - Accent6 2 8 5 2 2" xfId="564" xr:uid="{00000000-0005-0000-0000-000064020000}"/>
    <cellStyle name="20% - Accent6 2 8 5 3" xfId="565" xr:uid="{00000000-0005-0000-0000-000065020000}"/>
    <cellStyle name="20% - Accent6 2 8 6" xfId="566" xr:uid="{00000000-0005-0000-0000-000066020000}"/>
    <cellStyle name="20% - Accent6 2 8 6 2" xfId="567" xr:uid="{00000000-0005-0000-0000-000067020000}"/>
    <cellStyle name="20% - Accent6 2 8 7" xfId="568" xr:uid="{00000000-0005-0000-0000-000068020000}"/>
    <cellStyle name="20% - Accent6 2 8 8" xfId="569" xr:uid="{00000000-0005-0000-0000-000069020000}"/>
    <cellStyle name="20% - Accent6 3" xfId="570" xr:uid="{00000000-0005-0000-0000-00006A020000}"/>
    <cellStyle name="20% - Accent6 3 2" xfId="571" xr:uid="{00000000-0005-0000-0000-00006B020000}"/>
    <cellStyle name="20% - Accent6 3 3" xfId="572" xr:uid="{00000000-0005-0000-0000-00006C020000}"/>
    <cellStyle name="20% - Accent6 3 4" xfId="573" xr:uid="{00000000-0005-0000-0000-00006D020000}"/>
    <cellStyle name="20% - Accent6 3 5" xfId="574" xr:uid="{00000000-0005-0000-0000-00006E020000}"/>
    <cellStyle name="20% - Accent6 3 6" xfId="575" xr:uid="{00000000-0005-0000-0000-00006F020000}"/>
    <cellStyle name="20% - Accent6 3 7" xfId="576" xr:uid="{00000000-0005-0000-0000-000070020000}"/>
    <cellStyle name="20% - Accent6 3 8" xfId="577" xr:uid="{00000000-0005-0000-0000-000071020000}"/>
    <cellStyle name="20% - Accent6 4" xfId="578" xr:uid="{00000000-0005-0000-0000-000072020000}"/>
    <cellStyle name="20% - Accent6 4 2" xfId="579" xr:uid="{00000000-0005-0000-0000-000073020000}"/>
    <cellStyle name="20% - Accent6 4 3" xfId="580" xr:uid="{00000000-0005-0000-0000-000074020000}"/>
    <cellStyle name="20% - Accent6 4 4" xfId="581" xr:uid="{00000000-0005-0000-0000-000075020000}"/>
    <cellStyle name="20% - Accent6 4 5" xfId="582" xr:uid="{00000000-0005-0000-0000-000076020000}"/>
    <cellStyle name="20% - Accent6 4 6" xfId="583" xr:uid="{00000000-0005-0000-0000-000077020000}"/>
    <cellStyle name="20% - Accent6 5" xfId="584" xr:uid="{00000000-0005-0000-0000-000078020000}"/>
    <cellStyle name="20% - Accent6 6" xfId="585" xr:uid="{00000000-0005-0000-0000-000079020000}"/>
    <cellStyle name="20% - Accent6 7" xfId="586" xr:uid="{00000000-0005-0000-0000-00007A020000}"/>
    <cellStyle name="20% - Accent6 8" xfId="587" xr:uid="{00000000-0005-0000-0000-00007B020000}"/>
    <cellStyle name="20% - Accent6 9" xfId="588" xr:uid="{00000000-0005-0000-0000-00007C020000}"/>
    <cellStyle name="40% - Accent1 10" xfId="589" xr:uid="{00000000-0005-0000-0000-00007D020000}"/>
    <cellStyle name="40% - Accent1 11" xfId="590" xr:uid="{00000000-0005-0000-0000-00007E020000}"/>
    <cellStyle name="40% - Accent1 12" xfId="591" xr:uid="{00000000-0005-0000-0000-00007F020000}"/>
    <cellStyle name="40% - Accent1 12 2" xfId="592" xr:uid="{00000000-0005-0000-0000-000080020000}"/>
    <cellStyle name="40% - Accent1 12 2 2" xfId="593" xr:uid="{00000000-0005-0000-0000-000081020000}"/>
    <cellStyle name="40% - Accent1 12 2 2 2" xfId="594" xr:uid="{00000000-0005-0000-0000-000082020000}"/>
    <cellStyle name="40% - Accent1 12 2 2 2 2" xfId="595" xr:uid="{00000000-0005-0000-0000-000083020000}"/>
    <cellStyle name="40% - Accent1 12 2 2 3" xfId="596" xr:uid="{00000000-0005-0000-0000-000084020000}"/>
    <cellStyle name="40% - Accent1 12 2 3" xfId="597" xr:uid="{00000000-0005-0000-0000-000085020000}"/>
    <cellStyle name="40% - Accent1 12 2 3 2" xfId="598" xr:uid="{00000000-0005-0000-0000-000086020000}"/>
    <cellStyle name="40% - Accent1 12 2 4" xfId="599" xr:uid="{00000000-0005-0000-0000-000087020000}"/>
    <cellStyle name="40% - Accent1 12 3" xfId="600" xr:uid="{00000000-0005-0000-0000-000088020000}"/>
    <cellStyle name="40% - Accent1 12 3 2" xfId="601" xr:uid="{00000000-0005-0000-0000-000089020000}"/>
    <cellStyle name="40% - Accent1 12 3 2 2" xfId="602" xr:uid="{00000000-0005-0000-0000-00008A020000}"/>
    <cellStyle name="40% - Accent1 12 3 3" xfId="603" xr:uid="{00000000-0005-0000-0000-00008B020000}"/>
    <cellStyle name="40% - Accent1 12 4" xfId="604" xr:uid="{00000000-0005-0000-0000-00008C020000}"/>
    <cellStyle name="40% - Accent1 12 4 2" xfId="605" xr:uid="{00000000-0005-0000-0000-00008D020000}"/>
    <cellStyle name="40% - Accent1 12 4 2 2" xfId="606" xr:uid="{00000000-0005-0000-0000-00008E020000}"/>
    <cellStyle name="40% - Accent1 12 4 3" xfId="607" xr:uid="{00000000-0005-0000-0000-00008F020000}"/>
    <cellStyle name="40% - Accent1 12 5" xfId="608" xr:uid="{00000000-0005-0000-0000-000090020000}"/>
    <cellStyle name="40% - Accent1 12 5 2" xfId="609" xr:uid="{00000000-0005-0000-0000-000091020000}"/>
    <cellStyle name="40% - Accent1 12 6" xfId="610" xr:uid="{00000000-0005-0000-0000-000092020000}"/>
    <cellStyle name="40% - Accent1 12 7" xfId="611" xr:uid="{00000000-0005-0000-0000-000093020000}"/>
    <cellStyle name="40% - Accent1 13" xfId="612" xr:uid="{00000000-0005-0000-0000-000094020000}"/>
    <cellStyle name="40% - Accent1 13 2" xfId="613" xr:uid="{00000000-0005-0000-0000-000095020000}"/>
    <cellStyle name="40% - Accent1 13 2 2" xfId="614" xr:uid="{00000000-0005-0000-0000-000096020000}"/>
    <cellStyle name="40% - Accent1 13 3" xfId="615" xr:uid="{00000000-0005-0000-0000-000097020000}"/>
    <cellStyle name="40% - Accent1 13 4" xfId="616" xr:uid="{00000000-0005-0000-0000-000098020000}"/>
    <cellStyle name="40% - Accent1 14" xfId="617" xr:uid="{00000000-0005-0000-0000-000099020000}"/>
    <cellStyle name="40% - Accent1 14 2" xfId="618" xr:uid="{00000000-0005-0000-0000-00009A020000}"/>
    <cellStyle name="40% - Accent1 14 2 2" xfId="619" xr:uid="{00000000-0005-0000-0000-00009B020000}"/>
    <cellStyle name="40% - Accent1 14 3" xfId="620" xr:uid="{00000000-0005-0000-0000-00009C020000}"/>
    <cellStyle name="40% - Accent1 15" xfId="621" xr:uid="{00000000-0005-0000-0000-00009D020000}"/>
    <cellStyle name="40% - Accent1 15 2" xfId="622" xr:uid="{00000000-0005-0000-0000-00009E020000}"/>
    <cellStyle name="40% - Accent1 16" xfId="623" xr:uid="{00000000-0005-0000-0000-00009F020000}"/>
    <cellStyle name="40% - Accent1 17" xfId="624" xr:uid="{00000000-0005-0000-0000-0000A0020000}"/>
    <cellStyle name="40% - Accent1 2" xfId="625" xr:uid="{00000000-0005-0000-0000-0000A1020000}"/>
    <cellStyle name="40% - Accent1 2 2" xfId="626" xr:uid="{00000000-0005-0000-0000-0000A2020000}"/>
    <cellStyle name="40% - Accent1 2 3" xfId="627" xr:uid="{00000000-0005-0000-0000-0000A3020000}"/>
    <cellStyle name="40% - Accent1 2 4" xfId="628" xr:uid="{00000000-0005-0000-0000-0000A4020000}"/>
    <cellStyle name="40% - Accent1 2 5" xfId="629" xr:uid="{00000000-0005-0000-0000-0000A5020000}"/>
    <cellStyle name="40% - Accent1 2 6" xfId="630" xr:uid="{00000000-0005-0000-0000-0000A6020000}"/>
    <cellStyle name="40% - Accent1 2 7" xfId="631" xr:uid="{00000000-0005-0000-0000-0000A7020000}"/>
    <cellStyle name="40% - Accent1 2 8" xfId="632" xr:uid="{00000000-0005-0000-0000-0000A8020000}"/>
    <cellStyle name="40% - Accent1 2 8 2" xfId="633" xr:uid="{00000000-0005-0000-0000-0000A9020000}"/>
    <cellStyle name="40% - Accent1 2 8 2 2" xfId="634" xr:uid="{00000000-0005-0000-0000-0000AA020000}"/>
    <cellStyle name="40% - Accent1 2 8 2 2 2" xfId="635" xr:uid="{00000000-0005-0000-0000-0000AB020000}"/>
    <cellStyle name="40% - Accent1 2 8 2 2 2 2" xfId="636" xr:uid="{00000000-0005-0000-0000-0000AC020000}"/>
    <cellStyle name="40% - Accent1 2 8 2 2 3" xfId="637" xr:uid="{00000000-0005-0000-0000-0000AD020000}"/>
    <cellStyle name="40% - Accent1 2 8 2 3" xfId="638" xr:uid="{00000000-0005-0000-0000-0000AE020000}"/>
    <cellStyle name="40% - Accent1 2 8 2 3 2" xfId="639" xr:uid="{00000000-0005-0000-0000-0000AF020000}"/>
    <cellStyle name="40% - Accent1 2 8 2 3 2 2" xfId="640" xr:uid="{00000000-0005-0000-0000-0000B0020000}"/>
    <cellStyle name="40% - Accent1 2 8 2 3 3" xfId="641" xr:uid="{00000000-0005-0000-0000-0000B1020000}"/>
    <cellStyle name="40% - Accent1 2 8 2 4" xfId="642" xr:uid="{00000000-0005-0000-0000-0000B2020000}"/>
    <cellStyle name="40% - Accent1 2 8 2 4 2" xfId="643" xr:uid="{00000000-0005-0000-0000-0000B3020000}"/>
    <cellStyle name="40% - Accent1 2 8 2 5" xfId="644" xr:uid="{00000000-0005-0000-0000-0000B4020000}"/>
    <cellStyle name="40% - Accent1 2 8 2 6" xfId="645" xr:uid="{00000000-0005-0000-0000-0000B5020000}"/>
    <cellStyle name="40% - Accent1 2 8 3" xfId="646" xr:uid="{00000000-0005-0000-0000-0000B6020000}"/>
    <cellStyle name="40% - Accent1 2 8 3 2" xfId="647" xr:uid="{00000000-0005-0000-0000-0000B7020000}"/>
    <cellStyle name="40% - Accent1 2 8 3 2 2" xfId="648" xr:uid="{00000000-0005-0000-0000-0000B8020000}"/>
    <cellStyle name="40% - Accent1 2 8 3 2 2 2" xfId="649" xr:uid="{00000000-0005-0000-0000-0000B9020000}"/>
    <cellStyle name="40% - Accent1 2 8 3 2 3" xfId="650" xr:uid="{00000000-0005-0000-0000-0000BA020000}"/>
    <cellStyle name="40% - Accent1 2 8 3 3" xfId="651" xr:uid="{00000000-0005-0000-0000-0000BB020000}"/>
    <cellStyle name="40% - Accent1 2 8 3 3 2" xfId="652" xr:uid="{00000000-0005-0000-0000-0000BC020000}"/>
    <cellStyle name="40% - Accent1 2 8 3 4" xfId="653" xr:uid="{00000000-0005-0000-0000-0000BD020000}"/>
    <cellStyle name="40% - Accent1 2 8 3 5" xfId="654" xr:uid="{00000000-0005-0000-0000-0000BE020000}"/>
    <cellStyle name="40% - Accent1 2 8 4" xfId="655" xr:uid="{00000000-0005-0000-0000-0000BF020000}"/>
    <cellStyle name="40% - Accent1 2 8 4 2" xfId="656" xr:uid="{00000000-0005-0000-0000-0000C0020000}"/>
    <cellStyle name="40% - Accent1 2 8 4 2 2" xfId="657" xr:uid="{00000000-0005-0000-0000-0000C1020000}"/>
    <cellStyle name="40% - Accent1 2 8 4 3" xfId="658" xr:uid="{00000000-0005-0000-0000-0000C2020000}"/>
    <cellStyle name="40% - Accent1 2 8 5" xfId="659" xr:uid="{00000000-0005-0000-0000-0000C3020000}"/>
    <cellStyle name="40% - Accent1 2 8 5 2" xfId="660" xr:uid="{00000000-0005-0000-0000-0000C4020000}"/>
    <cellStyle name="40% - Accent1 2 8 5 2 2" xfId="661" xr:uid="{00000000-0005-0000-0000-0000C5020000}"/>
    <cellStyle name="40% - Accent1 2 8 5 3" xfId="662" xr:uid="{00000000-0005-0000-0000-0000C6020000}"/>
    <cellStyle name="40% - Accent1 2 8 6" xfId="663" xr:uid="{00000000-0005-0000-0000-0000C7020000}"/>
    <cellStyle name="40% - Accent1 2 8 6 2" xfId="664" xr:uid="{00000000-0005-0000-0000-0000C8020000}"/>
    <cellStyle name="40% - Accent1 2 8 7" xfId="665" xr:uid="{00000000-0005-0000-0000-0000C9020000}"/>
    <cellStyle name="40% - Accent1 2 8 8" xfId="666" xr:uid="{00000000-0005-0000-0000-0000CA020000}"/>
    <cellStyle name="40% - Accent1 3" xfId="667" xr:uid="{00000000-0005-0000-0000-0000CB020000}"/>
    <cellStyle name="40% - Accent1 3 2" xfId="668" xr:uid="{00000000-0005-0000-0000-0000CC020000}"/>
    <cellStyle name="40% - Accent1 3 3" xfId="669" xr:uid="{00000000-0005-0000-0000-0000CD020000}"/>
    <cellStyle name="40% - Accent1 3 4" xfId="670" xr:uid="{00000000-0005-0000-0000-0000CE020000}"/>
    <cellStyle name="40% - Accent1 3 5" xfId="671" xr:uid="{00000000-0005-0000-0000-0000CF020000}"/>
    <cellStyle name="40% - Accent1 3 6" xfId="672" xr:uid="{00000000-0005-0000-0000-0000D0020000}"/>
    <cellStyle name="40% - Accent1 3 7" xfId="673" xr:uid="{00000000-0005-0000-0000-0000D1020000}"/>
    <cellStyle name="40% - Accent1 3 8" xfId="674" xr:uid="{00000000-0005-0000-0000-0000D2020000}"/>
    <cellStyle name="40% - Accent1 4" xfId="675" xr:uid="{00000000-0005-0000-0000-0000D3020000}"/>
    <cellStyle name="40% - Accent1 4 2" xfId="676" xr:uid="{00000000-0005-0000-0000-0000D4020000}"/>
    <cellStyle name="40% - Accent1 4 3" xfId="677" xr:uid="{00000000-0005-0000-0000-0000D5020000}"/>
    <cellStyle name="40% - Accent1 4 4" xfId="678" xr:uid="{00000000-0005-0000-0000-0000D6020000}"/>
    <cellStyle name="40% - Accent1 4 5" xfId="679" xr:uid="{00000000-0005-0000-0000-0000D7020000}"/>
    <cellStyle name="40% - Accent1 4 6" xfId="680" xr:uid="{00000000-0005-0000-0000-0000D8020000}"/>
    <cellStyle name="40% - Accent1 5" xfId="681" xr:uid="{00000000-0005-0000-0000-0000D9020000}"/>
    <cellStyle name="40% - Accent1 6" xfId="682" xr:uid="{00000000-0005-0000-0000-0000DA020000}"/>
    <cellStyle name="40% - Accent1 7" xfId="683" xr:uid="{00000000-0005-0000-0000-0000DB020000}"/>
    <cellStyle name="40% - Accent1 8" xfId="684" xr:uid="{00000000-0005-0000-0000-0000DC020000}"/>
    <cellStyle name="40% - Accent1 9" xfId="685" xr:uid="{00000000-0005-0000-0000-0000DD020000}"/>
    <cellStyle name="40% - Accent2 10" xfId="686" xr:uid="{00000000-0005-0000-0000-0000DE020000}"/>
    <cellStyle name="40% - Accent2 11" xfId="687" xr:uid="{00000000-0005-0000-0000-0000DF020000}"/>
    <cellStyle name="40% - Accent2 12" xfId="688" xr:uid="{00000000-0005-0000-0000-0000E0020000}"/>
    <cellStyle name="40% - Accent2 12 2" xfId="689" xr:uid="{00000000-0005-0000-0000-0000E1020000}"/>
    <cellStyle name="40% - Accent2 12 2 2" xfId="690" xr:uid="{00000000-0005-0000-0000-0000E2020000}"/>
    <cellStyle name="40% - Accent2 12 2 2 2" xfId="691" xr:uid="{00000000-0005-0000-0000-0000E3020000}"/>
    <cellStyle name="40% - Accent2 12 2 2 2 2" xfId="692" xr:uid="{00000000-0005-0000-0000-0000E4020000}"/>
    <cellStyle name="40% - Accent2 12 2 2 3" xfId="693" xr:uid="{00000000-0005-0000-0000-0000E5020000}"/>
    <cellStyle name="40% - Accent2 12 2 3" xfId="694" xr:uid="{00000000-0005-0000-0000-0000E6020000}"/>
    <cellStyle name="40% - Accent2 12 2 3 2" xfId="695" xr:uid="{00000000-0005-0000-0000-0000E7020000}"/>
    <cellStyle name="40% - Accent2 12 2 4" xfId="696" xr:uid="{00000000-0005-0000-0000-0000E8020000}"/>
    <cellStyle name="40% - Accent2 12 3" xfId="697" xr:uid="{00000000-0005-0000-0000-0000E9020000}"/>
    <cellStyle name="40% - Accent2 12 3 2" xfId="698" xr:uid="{00000000-0005-0000-0000-0000EA020000}"/>
    <cellStyle name="40% - Accent2 12 3 2 2" xfId="699" xr:uid="{00000000-0005-0000-0000-0000EB020000}"/>
    <cellStyle name="40% - Accent2 12 3 3" xfId="700" xr:uid="{00000000-0005-0000-0000-0000EC020000}"/>
    <cellStyle name="40% - Accent2 12 4" xfId="701" xr:uid="{00000000-0005-0000-0000-0000ED020000}"/>
    <cellStyle name="40% - Accent2 12 4 2" xfId="702" xr:uid="{00000000-0005-0000-0000-0000EE020000}"/>
    <cellStyle name="40% - Accent2 12 4 2 2" xfId="703" xr:uid="{00000000-0005-0000-0000-0000EF020000}"/>
    <cellStyle name="40% - Accent2 12 4 3" xfId="704" xr:uid="{00000000-0005-0000-0000-0000F0020000}"/>
    <cellStyle name="40% - Accent2 12 5" xfId="705" xr:uid="{00000000-0005-0000-0000-0000F1020000}"/>
    <cellStyle name="40% - Accent2 12 5 2" xfId="706" xr:uid="{00000000-0005-0000-0000-0000F2020000}"/>
    <cellStyle name="40% - Accent2 12 6" xfId="707" xr:uid="{00000000-0005-0000-0000-0000F3020000}"/>
    <cellStyle name="40% - Accent2 12 7" xfId="708" xr:uid="{00000000-0005-0000-0000-0000F4020000}"/>
    <cellStyle name="40% - Accent2 13" xfId="709" xr:uid="{00000000-0005-0000-0000-0000F5020000}"/>
    <cellStyle name="40% - Accent2 13 2" xfId="710" xr:uid="{00000000-0005-0000-0000-0000F6020000}"/>
    <cellStyle name="40% - Accent2 13 2 2" xfId="711" xr:uid="{00000000-0005-0000-0000-0000F7020000}"/>
    <cellStyle name="40% - Accent2 13 3" xfId="712" xr:uid="{00000000-0005-0000-0000-0000F8020000}"/>
    <cellStyle name="40% - Accent2 13 4" xfId="713" xr:uid="{00000000-0005-0000-0000-0000F9020000}"/>
    <cellStyle name="40% - Accent2 14" xfId="714" xr:uid="{00000000-0005-0000-0000-0000FA020000}"/>
    <cellStyle name="40% - Accent2 14 2" xfId="715" xr:uid="{00000000-0005-0000-0000-0000FB020000}"/>
    <cellStyle name="40% - Accent2 14 2 2" xfId="716" xr:uid="{00000000-0005-0000-0000-0000FC020000}"/>
    <cellStyle name="40% - Accent2 14 3" xfId="717" xr:uid="{00000000-0005-0000-0000-0000FD020000}"/>
    <cellStyle name="40% - Accent2 15" xfId="718" xr:uid="{00000000-0005-0000-0000-0000FE020000}"/>
    <cellStyle name="40% - Accent2 15 2" xfId="719" xr:uid="{00000000-0005-0000-0000-0000FF020000}"/>
    <cellStyle name="40% - Accent2 16" xfId="720" xr:uid="{00000000-0005-0000-0000-000000030000}"/>
    <cellStyle name="40% - Accent2 17" xfId="721" xr:uid="{00000000-0005-0000-0000-000001030000}"/>
    <cellStyle name="40% - Accent2 2" xfId="722" xr:uid="{00000000-0005-0000-0000-000002030000}"/>
    <cellStyle name="40% - Accent2 2 2" xfId="723" xr:uid="{00000000-0005-0000-0000-000003030000}"/>
    <cellStyle name="40% - Accent2 2 3" xfId="724" xr:uid="{00000000-0005-0000-0000-000004030000}"/>
    <cellStyle name="40% - Accent2 2 4" xfId="725" xr:uid="{00000000-0005-0000-0000-000005030000}"/>
    <cellStyle name="40% - Accent2 2 5" xfId="726" xr:uid="{00000000-0005-0000-0000-000006030000}"/>
    <cellStyle name="40% - Accent2 2 6" xfId="727" xr:uid="{00000000-0005-0000-0000-000007030000}"/>
    <cellStyle name="40% - Accent2 2 7" xfId="728" xr:uid="{00000000-0005-0000-0000-000008030000}"/>
    <cellStyle name="40% - Accent2 2 8" xfId="729" xr:uid="{00000000-0005-0000-0000-000009030000}"/>
    <cellStyle name="40% - Accent2 2 8 2" xfId="730" xr:uid="{00000000-0005-0000-0000-00000A030000}"/>
    <cellStyle name="40% - Accent2 2 8 2 2" xfId="731" xr:uid="{00000000-0005-0000-0000-00000B030000}"/>
    <cellStyle name="40% - Accent2 2 8 2 2 2" xfId="732" xr:uid="{00000000-0005-0000-0000-00000C030000}"/>
    <cellStyle name="40% - Accent2 2 8 2 2 2 2" xfId="733" xr:uid="{00000000-0005-0000-0000-00000D030000}"/>
    <cellStyle name="40% - Accent2 2 8 2 2 3" xfId="734" xr:uid="{00000000-0005-0000-0000-00000E030000}"/>
    <cellStyle name="40% - Accent2 2 8 2 3" xfId="735" xr:uid="{00000000-0005-0000-0000-00000F030000}"/>
    <cellStyle name="40% - Accent2 2 8 2 3 2" xfId="736" xr:uid="{00000000-0005-0000-0000-000010030000}"/>
    <cellStyle name="40% - Accent2 2 8 2 3 2 2" xfId="737" xr:uid="{00000000-0005-0000-0000-000011030000}"/>
    <cellStyle name="40% - Accent2 2 8 2 3 3" xfId="738" xr:uid="{00000000-0005-0000-0000-000012030000}"/>
    <cellStyle name="40% - Accent2 2 8 2 4" xfId="739" xr:uid="{00000000-0005-0000-0000-000013030000}"/>
    <cellStyle name="40% - Accent2 2 8 2 4 2" xfId="740" xr:uid="{00000000-0005-0000-0000-000014030000}"/>
    <cellStyle name="40% - Accent2 2 8 2 5" xfId="741" xr:uid="{00000000-0005-0000-0000-000015030000}"/>
    <cellStyle name="40% - Accent2 2 8 2 6" xfId="742" xr:uid="{00000000-0005-0000-0000-000016030000}"/>
    <cellStyle name="40% - Accent2 2 8 3" xfId="743" xr:uid="{00000000-0005-0000-0000-000017030000}"/>
    <cellStyle name="40% - Accent2 2 8 3 2" xfId="744" xr:uid="{00000000-0005-0000-0000-000018030000}"/>
    <cellStyle name="40% - Accent2 2 8 3 2 2" xfId="745" xr:uid="{00000000-0005-0000-0000-000019030000}"/>
    <cellStyle name="40% - Accent2 2 8 3 2 2 2" xfId="746" xr:uid="{00000000-0005-0000-0000-00001A030000}"/>
    <cellStyle name="40% - Accent2 2 8 3 2 3" xfId="747" xr:uid="{00000000-0005-0000-0000-00001B030000}"/>
    <cellStyle name="40% - Accent2 2 8 3 3" xfId="748" xr:uid="{00000000-0005-0000-0000-00001C030000}"/>
    <cellStyle name="40% - Accent2 2 8 3 3 2" xfId="749" xr:uid="{00000000-0005-0000-0000-00001D030000}"/>
    <cellStyle name="40% - Accent2 2 8 3 4" xfId="750" xr:uid="{00000000-0005-0000-0000-00001E030000}"/>
    <cellStyle name="40% - Accent2 2 8 3 5" xfId="751" xr:uid="{00000000-0005-0000-0000-00001F030000}"/>
    <cellStyle name="40% - Accent2 2 8 4" xfId="752" xr:uid="{00000000-0005-0000-0000-000020030000}"/>
    <cellStyle name="40% - Accent2 2 8 4 2" xfId="753" xr:uid="{00000000-0005-0000-0000-000021030000}"/>
    <cellStyle name="40% - Accent2 2 8 4 2 2" xfId="754" xr:uid="{00000000-0005-0000-0000-000022030000}"/>
    <cellStyle name="40% - Accent2 2 8 4 3" xfId="755" xr:uid="{00000000-0005-0000-0000-000023030000}"/>
    <cellStyle name="40% - Accent2 2 8 5" xfId="756" xr:uid="{00000000-0005-0000-0000-000024030000}"/>
    <cellStyle name="40% - Accent2 2 8 5 2" xfId="757" xr:uid="{00000000-0005-0000-0000-000025030000}"/>
    <cellStyle name="40% - Accent2 2 8 5 2 2" xfId="758" xr:uid="{00000000-0005-0000-0000-000026030000}"/>
    <cellStyle name="40% - Accent2 2 8 5 3" xfId="759" xr:uid="{00000000-0005-0000-0000-000027030000}"/>
    <cellStyle name="40% - Accent2 2 8 6" xfId="760" xr:uid="{00000000-0005-0000-0000-000028030000}"/>
    <cellStyle name="40% - Accent2 2 8 6 2" xfId="761" xr:uid="{00000000-0005-0000-0000-000029030000}"/>
    <cellStyle name="40% - Accent2 2 8 7" xfId="762" xr:uid="{00000000-0005-0000-0000-00002A030000}"/>
    <cellStyle name="40% - Accent2 2 8 8" xfId="763" xr:uid="{00000000-0005-0000-0000-00002B030000}"/>
    <cellStyle name="40% - Accent2 3" xfId="764" xr:uid="{00000000-0005-0000-0000-00002C030000}"/>
    <cellStyle name="40% - Accent2 3 2" xfId="765" xr:uid="{00000000-0005-0000-0000-00002D030000}"/>
    <cellStyle name="40% - Accent2 3 3" xfId="766" xr:uid="{00000000-0005-0000-0000-00002E030000}"/>
    <cellStyle name="40% - Accent2 3 4" xfId="767" xr:uid="{00000000-0005-0000-0000-00002F030000}"/>
    <cellStyle name="40% - Accent2 3 5" xfId="768" xr:uid="{00000000-0005-0000-0000-000030030000}"/>
    <cellStyle name="40% - Accent2 3 6" xfId="769" xr:uid="{00000000-0005-0000-0000-000031030000}"/>
    <cellStyle name="40% - Accent2 3 7" xfId="770" xr:uid="{00000000-0005-0000-0000-000032030000}"/>
    <cellStyle name="40% - Accent2 3 8" xfId="771" xr:uid="{00000000-0005-0000-0000-000033030000}"/>
    <cellStyle name="40% - Accent2 4" xfId="772" xr:uid="{00000000-0005-0000-0000-000034030000}"/>
    <cellStyle name="40% - Accent2 4 2" xfId="773" xr:uid="{00000000-0005-0000-0000-000035030000}"/>
    <cellStyle name="40% - Accent2 4 3" xfId="774" xr:uid="{00000000-0005-0000-0000-000036030000}"/>
    <cellStyle name="40% - Accent2 4 4" xfId="775" xr:uid="{00000000-0005-0000-0000-000037030000}"/>
    <cellStyle name="40% - Accent2 4 5" xfId="776" xr:uid="{00000000-0005-0000-0000-000038030000}"/>
    <cellStyle name="40% - Accent2 4 6" xfId="777" xr:uid="{00000000-0005-0000-0000-000039030000}"/>
    <cellStyle name="40% - Accent2 5" xfId="778" xr:uid="{00000000-0005-0000-0000-00003A030000}"/>
    <cellStyle name="40% - Accent2 6" xfId="779" xr:uid="{00000000-0005-0000-0000-00003B030000}"/>
    <cellStyle name="40% - Accent2 7" xfId="780" xr:uid="{00000000-0005-0000-0000-00003C030000}"/>
    <cellStyle name="40% - Accent2 8" xfId="781" xr:uid="{00000000-0005-0000-0000-00003D030000}"/>
    <cellStyle name="40% - Accent2 9" xfId="782" xr:uid="{00000000-0005-0000-0000-00003E030000}"/>
    <cellStyle name="40% - Accent3 10" xfId="783" xr:uid="{00000000-0005-0000-0000-00003F030000}"/>
    <cellStyle name="40% - Accent3 11" xfId="784" xr:uid="{00000000-0005-0000-0000-000040030000}"/>
    <cellStyle name="40% - Accent3 12" xfId="785" xr:uid="{00000000-0005-0000-0000-000041030000}"/>
    <cellStyle name="40% - Accent3 12 2" xfId="786" xr:uid="{00000000-0005-0000-0000-000042030000}"/>
    <cellStyle name="40% - Accent3 12 2 2" xfId="787" xr:uid="{00000000-0005-0000-0000-000043030000}"/>
    <cellStyle name="40% - Accent3 12 2 2 2" xfId="788" xr:uid="{00000000-0005-0000-0000-000044030000}"/>
    <cellStyle name="40% - Accent3 12 2 2 2 2" xfId="789" xr:uid="{00000000-0005-0000-0000-000045030000}"/>
    <cellStyle name="40% - Accent3 12 2 2 3" xfId="790" xr:uid="{00000000-0005-0000-0000-000046030000}"/>
    <cellStyle name="40% - Accent3 12 2 3" xfId="791" xr:uid="{00000000-0005-0000-0000-000047030000}"/>
    <cellStyle name="40% - Accent3 12 2 3 2" xfId="792" xr:uid="{00000000-0005-0000-0000-000048030000}"/>
    <cellStyle name="40% - Accent3 12 2 4" xfId="793" xr:uid="{00000000-0005-0000-0000-000049030000}"/>
    <cellStyle name="40% - Accent3 12 3" xfId="794" xr:uid="{00000000-0005-0000-0000-00004A030000}"/>
    <cellStyle name="40% - Accent3 12 3 2" xfId="795" xr:uid="{00000000-0005-0000-0000-00004B030000}"/>
    <cellStyle name="40% - Accent3 12 3 2 2" xfId="796" xr:uid="{00000000-0005-0000-0000-00004C030000}"/>
    <cellStyle name="40% - Accent3 12 3 3" xfId="797" xr:uid="{00000000-0005-0000-0000-00004D030000}"/>
    <cellStyle name="40% - Accent3 12 4" xfId="798" xr:uid="{00000000-0005-0000-0000-00004E030000}"/>
    <cellStyle name="40% - Accent3 12 4 2" xfId="799" xr:uid="{00000000-0005-0000-0000-00004F030000}"/>
    <cellStyle name="40% - Accent3 12 4 2 2" xfId="800" xr:uid="{00000000-0005-0000-0000-000050030000}"/>
    <cellStyle name="40% - Accent3 12 4 3" xfId="801" xr:uid="{00000000-0005-0000-0000-000051030000}"/>
    <cellStyle name="40% - Accent3 12 5" xfId="802" xr:uid="{00000000-0005-0000-0000-000052030000}"/>
    <cellStyle name="40% - Accent3 12 5 2" xfId="803" xr:uid="{00000000-0005-0000-0000-000053030000}"/>
    <cellStyle name="40% - Accent3 12 6" xfId="804" xr:uid="{00000000-0005-0000-0000-000054030000}"/>
    <cellStyle name="40% - Accent3 12 7" xfId="805" xr:uid="{00000000-0005-0000-0000-000055030000}"/>
    <cellStyle name="40% - Accent3 13" xfId="806" xr:uid="{00000000-0005-0000-0000-000056030000}"/>
    <cellStyle name="40% - Accent3 13 2" xfId="807" xr:uid="{00000000-0005-0000-0000-000057030000}"/>
    <cellStyle name="40% - Accent3 13 2 2" xfId="808" xr:uid="{00000000-0005-0000-0000-000058030000}"/>
    <cellStyle name="40% - Accent3 13 3" xfId="809" xr:uid="{00000000-0005-0000-0000-000059030000}"/>
    <cellStyle name="40% - Accent3 13 4" xfId="810" xr:uid="{00000000-0005-0000-0000-00005A030000}"/>
    <cellStyle name="40% - Accent3 14" xfId="811" xr:uid="{00000000-0005-0000-0000-00005B030000}"/>
    <cellStyle name="40% - Accent3 14 2" xfId="812" xr:uid="{00000000-0005-0000-0000-00005C030000}"/>
    <cellStyle name="40% - Accent3 14 2 2" xfId="813" xr:uid="{00000000-0005-0000-0000-00005D030000}"/>
    <cellStyle name="40% - Accent3 14 3" xfId="814" xr:uid="{00000000-0005-0000-0000-00005E030000}"/>
    <cellStyle name="40% - Accent3 15" xfId="815" xr:uid="{00000000-0005-0000-0000-00005F030000}"/>
    <cellStyle name="40% - Accent3 15 2" xfId="816" xr:uid="{00000000-0005-0000-0000-000060030000}"/>
    <cellStyle name="40% - Accent3 16" xfId="817" xr:uid="{00000000-0005-0000-0000-000061030000}"/>
    <cellStyle name="40% - Accent3 17" xfId="818" xr:uid="{00000000-0005-0000-0000-000062030000}"/>
    <cellStyle name="40% - Accent3 2" xfId="819" xr:uid="{00000000-0005-0000-0000-000063030000}"/>
    <cellStyle name="40% - Accent3 2 2" xfId="820" xr:uid="{00000000-0005-0000-0000-000064030000}"/>
    <cellStyle name="40% - Accent3 2 3" xfId="821" xr:uid="{00000000-0005-0000-0000-000065030000}"/>
    <cellStyle name="40% - Accent3 2 4" xfId="822" xr:uid="{00000000-0005-0000-0000-000066030000}"/>
    <cellStyle name="40% - Accent3 2 5" xfId="823" xr:uid="{00000000-0005-0000-0000-000067030000}"/>
    <cellStyle name="40% - Accent3 2 6" xfId="824" xr:uid="{00000000-0005-0000-0000-000068030000}"/>
    <cellStyle name="40% - Accent3 2 7" xfId="825" xr:uid="{00000000-0005-0000-0000-000069030000}"/>
    <cellStyle name="40% - Accent3 2 8" xfId="826" xr:uid="{00000000-0005-0000-0000-00006A030000}"/>
    <cellStyle name="40% - Accent3 2 8 2" xfId="827" xr:uid="{00000000-0005-0000-0000-00006B030000}"/>
    <cellStyle name="40% - Accent3 2 8 2 2" xfId="828" xr:uid="{00000000-0005-0000-0000-00006C030000}"/>
    <cellStyle name="40% - Accent3 2 8 2 2 2" xfId="829" xr:uid="{00000000-0005-0000-0000-00006D030000}"/>
    <cellStyle name="40% - Accent3 2 8 2 2 2 2" xfId="830" xr:uid="{00000000-0005-0000-0000-00006E030000}"/>
    <cellStyle name="40% - Accent3 2 8 2 2 3" xfId="831" xr:uid="{00000000-0005-0000-0000-00006F030000}"/>
    <cellStyle name="40% - Accent3 2 8 2 3" xfId="832" xr:uid="{00000000-0005-0000-0000-000070030000}"/>
    <cellStyle name="40% - Accent3 2 8 2 3 2" xfId="833" xr:uid="{00000000-0005-0000-0000-000071030000}"/>
    <cellStyle name="40% - Accent3 2 8 2 3 2 2" xfId="834" xr:uid="{00000000-0005-0000-0000-000072030000}"/>
    <cellStyle name="40% - Accent3 2 8 2 3 3" xfId="835" xr:uid="{00000000-0005-0000-0000-000073030000}"/>
    <cellStyle name="40% - Accent3 2 8 2 4" xfId="836" xr:uid="{00000000-0005-0000-0000-000074030000}"/>
    <cellStyle name="40% - Accent3 2 8 2 4 2" xfId="837" xr:uid="{00000000-0005-0000-0000-000075030000}"/>
    <cellStyle name="40% - Accent3 2 8 2 5" xfId="838" xr:uid="{00000000-0005-0000-0000-000076030000}"/>
    <cellStyle name="40% - Accent3 2 8 2 6" xfId="839" xr:uid="{00000000-0005-0000-0000-000077030000}"/>
    <cellStyle name="40% - Accent3 2 8 3" xfId="840" xr:uid="{00000000-0005-0000-0000-000078030000}"/>
    <cellStyle name="40% - Accent3 2 8 3 2" xfId="841" xr:uid="{00000000-0005-0000-0000-000079030000}"/>
    <cellStyle name="40% - Accent3 2 8 3 2 2" xfId="842" xr:uid="{00000000-0005-0000-0000-00007A030000}"/>
    <cellStyle name="40% - Accent3 2 8 3 2 2 2" xfId="843" xr:uid="{00000000-0005-0000-0000-00007B030000}"/>
    <cellStyle name="40% - Accent3 2 8 3 2 3" xfId="844" xr:uid="{00000000-0005-0000-0000-00007C030000}"/>
    <cellStyle name="40% - Accent3 2 8 3 3" xfId="845" xr:uid="{00000000-0005-0000-0000-00007D030000}"/>
    <cellStyle name="40% - Accent3 2 8 3 3 2" xfId="846" xr:uid="{00000000-0005-0000-0000-00007E030000}"/>
    <cellStyle name="40% - Accent3 2 8 3 4" xfId="847" xr:uid="{00000000-0005-0000-0000-00007F030000}"/>
    <cellStyle name="40% - Accent3 2 8 3 5" xfId="848" xr:uid="{00000000-0005-0000-0000-000080030000}"/>
    <cellStyle name="40% - Accent3 2 8 4" xfId="849" xr:uid="{00000000-0005-0000-0000-000081030000}"/>
    <cellStyle name="40% - Accent3 2 8 4 2" xfId="850" xr:uid="{00000000-0005-0000-0000-000082030000}"/>
    <cellStyle name="40% - Accent3 2 8 4 2 2" xfId="851" xr:uid="{00000000-0005-0000-0000-000083030000}"/>
    <cellStyle name="40% - Accent3 2 8 4 3" xfId="852" xr:uid="{00000000-0005-0000-0000-000084030000}"/>
    <cellStyle name="40% - Accent3 2 8 5" xfId="853" xr:uid="{00000000-0005-0000-0000-000085030000}"/>
    <cellStyle name="40% - Accent3 2 8 5 2" xfId="854" xr:uid="{00000000-0005-0000-0000-000086030000}"/>
    <cellStyle name="40% - Accent3 2 8 5 2 2" xfId="855" xr:uid="{00000000-0005-0000-0000-000087030000}"/>
    <cellStyle name="40% - Accent3 2 8 5 3" xfId="856" xr:uid="{00000000-0005-0000-0000-000088030000}"/>
    <cellStyle name="40% - Accent3 2 8 6" xfId="857" xr:uid="{00000000-0005-0000-0000-000089030000}"/>
    <cellStyle name="40% - Accent3 2 8 6 2" xfId="858" xr:uid="{00000000-0005-0000-0000-00008A030000}"/>
    <cellStyle name="40% - Accent3 2 8 7" xfId="859" xr:uid="{00000000-0005-0000-0000-00008B030000}"/>
    <cellStyle name="40% - Accent3 2 8 8" xfId="860" xr:uid="{00000000-0005-0000-0000-00008C030000}"/>
    <cellStyle name="40% - Accent3 3" xfId="861" xr:uid="{00000000-0005-0000-0000-00008D030000}"/>
    <cellStyle name="40% - Accent3 3 2" xfId="862" xr:uid="{00000000-0005-0000-0000-00008E030000}"/>
    <cellStyle name="40% - Accent3 3 3" xfId="863" xr:uid="{00000000-0005-0000-0000-00008F030000}"/>
    <cellStyle name="40% - Accent3 3 4" xfId="864" xr:uid="{00000000-0005-0000-0000-000090030000}"/>
    <cellStyle name="40% - Accent3 3 5" xfId="865" xr:uid="{00000000-0005-0000-0000-000091030000}"/>
    <cellStyle name="40% - Accent3 3 6" xfId="866" xr:uid="{00000000-0005-0000-0000-000092030000}"/>
    <cellStyle name="40% - Accent3 3 7" xfId="867" xr:uid="{00000000-0005-0000-0000-000093030000}"/>
    <cellStyle name="40% - Accent3 3 8" xfId="868" xr:uid="{00000000-0005-0000-0000-000094030000}"/>
    <cellStyle name="40% - Accent3 4" xfId="869" xr:uid="{00000000-0005-0000-0000-000095030000}"/>
    <cellStyle name="40% - Accent3 4 2" xfId="870" xr:uid="{00000000-0005-0000-0000-000096030000}"/>
    <cellStyle name="40% - Accent3 4 3" xfId="871" xr:uid="{00000000-0005-0000-0000-000097030000}"/>
    <cellStyle name="40% - Accent3 4 4" xfId="872" xr:uid="{00000000-0005-0000-0000-000098030000}"/>
    <cellStyle name="40% - Accent3 4 5" xfId="873" xr:uid="{00000000-0005-0000-0000-000099030000}"/>
    <cellStyle name="40% - Accent3 4 6" xfId="874" xr:uid="{00000000-0005-0000-0000-00009A030000}"/>
    <cellStyle name="40% - Accent3 5" xfId="875" xr:uid="{00000000-0005-0000-0000-00009B030000}"/>
    <cellStyle name="40% - Accent3 6" xfId="876" xr:uid="{00000000-0005-0000-0000-00009C030000}"/>
    <cellStyle name="40% - Accent3 7" xfId="877" xr:uid="{00000000-0005-0000-0000-00009D030000}"/>
    <cellStyle name="40% - Accent3 8" xfId="878" xr:uid="{00000000-0005-0000-0000-00009E030000}"/>
    <cellStyle name="40% - Accent3 9" xfId="879" xr:uid="{00000000-0005-0000-0000-00009F030000}"/>
    <cellStyle name="40% - Accent4 10" xfId="880" xr:uid="{00000000-0005-0000-0000-0000A0030000}"/>
    <cellStyle name="40% - Accent4 11" xfId="881" xr:uid="{00000000-0005-0000-0000-0000A1030000}"/>
    <cellStyle name="40% - Accent4 12" xfId="882" xr:uid="{00000000-0005-0000-0000-0000A2030000}"/>
    <cellStyle name="40% - Accent4 12 2" xfId="883" xr:uid="{00000000-0005-0000-0000-0000A3030000}"/>
    <cellStyle name="40% - Accent4 12 2 2" xfId="884" xr:uid="{00000000-0005-0000-0000-0000A4030000}"/>
    <cellStyle name="40% - Accent4 12 2 2 2" xfId="885" xr:uid="{00000000-0005-0000-0000-0000A5030000}"/>
    <cellStyle name="40% - Accent4 12 2 2 2 2" xfId="886" xr:uid="{00000000-0005-0000-0000-0000A6030000}"/>
    <cellStyle name="40% - Accent4 12 2 2 3" xfId="887" xr:uid="{00000000-0005-0000-0000-0000A7030000}"/>
    <cellStyle name="40% - Accent4 12 2 3" xfId="888" xr:uid="{00000000-0005-0000-0000-0000A8030000}"/>
    <cellStyle name="40% - Accent4 12 2 3 2" xfId="889" xr:uid="{00000000-0005-0000-0000-0000A9030000}"/>
    <cellStyle name="40% - Accent4 12 2 4" xfId="890" xr:uid="{00000000-0005-0000-0000-0000AA030000}"/>
    <cellStyle name="40% - Accent4 12 3" xfId="891" xr:uid="{00000000-0005-0000-0000-0000AB030000}"/>
    <cellStyle name="40% - Accent4 12 3 2" xfId="892" xr:uid="{00000000-0005-0000-0000-0000AC030000}"/>
    <cellStyle name="40% - Accent4 12 3 2 2" xfId="893" xr:uid="{00000000-0005-0000-0000-0000AD030000}"/>
    <cellStyle name="40% - Accent4 12 3 3" xfId="894" xr:uid="{00000000-0005-0000-0000-0000AE030000}"/>
    <cellStyle name="40% - Accent4 12 4" xfId="895" xr:uid="{00000000-0005-0000-0000-0000AF030000}"/>
    <cellStyle name="40% - Accent4 12 4 2" xfId="896" xr:uid="{00000000-0005-0000-0000-0000B0030000}"/>
    <cellStyle name="40% - Accent4 12 4 2 2" xfId="897" xr:uid="{00000000-0005-0000-0000-0000B1030000}"/>
    <cellStyle name="40% - Accent4 12 4 3" xfId="898" xr:uid="{00000000-0005-0000-0000-0000B2030000}"/>
    <cellStyle name="40% - Accent4 12 5" xfId="899" xr:uid="{00000000-0005-0000-0000-0000B3030000}"/>
    <cellStyle name="40% - Accent4 12 5 2" xfId="900" xr:uid="{00000000-0005-0000-0000-0000B4030000}"/>
    <cellStyle name="40% - Accent4 12 6" xfId="901" xr:uid="{00000000-0005-0000-0000-0000B5030000}"/>
    <cellStyle name="40% - Accent4 12 7" xfId="902" xr:uid="{00000000-0005-0000-0000-0000B6030000}"/>
    <cellStyle name="40% - Accent4 13" xfId="903" xr:uid="{00000000-0005-0000-0000-0000B7030000}"/>
    <cellStyle name="40% - Accent4 13 2" xfId="904" xr:uid="{00000000-0005-0000-0000-0000B8030000}"/>
    <cellStyle name="40% - Accent4 13 2 2" xfId="905" xr:uid="{00000000-0005-0000-0000-0000B9030000}"/>
    <cellStyle name="40% - Accent4 13 3" xfId="906" xr:uid="{00000000-0005-0000-0000-0000BA030000}"/>
    <cellStyle name="40% - Accent4 13 4" xfId="907" xr:uid="{00000000-0005-0000-0000-0000BB030000}"/>
    <cellStyle name="40% - Accent4 14" xfId="908" xr:uid="{00000000-0005-0000-0000-0000BC030000}"/>
    <cellStyle name="40% - Accent4 14 2" xfId="909" xr:uid="{00000000-0005-0000-0000-0000BD030000}"/>
    <cellStyle name="40% - Accent4 14 2 2" xfId="910" xr:uid="{00000000-0005-0000-0000-0000BE030000}"/>
    <cellStyle name="40% - Accent4 14 3" xfId="911" xr:uid="{00000000-0005-0000-0000-0000BF030000}"/>
    <cellStyle name="40% - Accent4 15" xfId="912" xr:uid="{00000000-0005-0000-0000-0000C0030000}"/>
    <cellStyle name="40% - Accent4 15 2" xfId="913" xr:uid="{00000000-0005-0000-0000-0000C1030000}"/>
    <cellStyle name="40% - Accent4 16" xfId="914" xr:uid="{00000000-0005-0000-0000-0000C2030000}"/>
    <cellStyle name="40% - Accent4 17" xfId="915" xr:uid="{00000000-0005-0000-0000-0000C3030000}"/>
    <cellStyle name="40% - Accent4 2" xfId="916" xr:uid="{00000000-0005-0000-0000-0000C4030000}"/>
    <cellStyle name="40% - Accent4 2 2" xfId="917" xr:uid="{00000000-0005-0000-0000-0000C5030000}"/>
    <cellStyle name="40% - Accent4 2 3" xfId="918" xr:uid="{00000000-0005-0000-0000-0000C6030000}"/>
    <cellStyle name="40% - Accent4 2 4" xfId="919" xr:uid="{00000000-0005-0000-0000-0000C7030000}"/>
    <cellStyle name="40% - Accent4 2 5" xfId="920" xr:uid="{00000000-0005-0000-0000-0000C8030000}"/>
    <cellStyle name="40% - Accent4 2 6" xfId="921" xr:uid="{00000000-0005-0000-0000-0000C9030000}"/>
    <cellStyle name="40% - Accent4 2 7" xfId="922" xr:uid="{00000000-0005-0000-0000-0000CA030000}"/>
    <cellStyle name="40% - Accent4 2 8" xfId="923" xr:uid="{00000000-0005-0000-0000-0000CB030000}"/>
    <cellStyle name="40% - Accent4 2 8 2" xfId="924" xr:uid="{00000000-0005-0000-0000-0000CC030000}"/>
    <cellStyle name="40% - Accent4 2 8 2 2" xfId="925" xr:uid="{00000000-0005-0000-0000-0000CD030000}"/>
    <cellStyle name="40% - Accent4 2 8 2 2 2" xfId="926" xr:uid="{00000000-0005-0000-0000-0000CE030000}"/>
    <cellStyle name="40% - Accent4 2 8 2 2 2 2" xfId="927" xr:uid="{00000000-0005-0000-0000-0000CF030000}"/>
    <cellStyle name="40% - Accent4 2 8 2 2 3" xfId="928" xr:uid="{00000000-0005-0000-0000-0000D0030000}"/>
    <cellStyle name="40% - Accent4 2 8 2 3" xfId="929" xr:uid="{00000000-0005-0000-0000-0000D1030000}"/>
    <cellStyle name="40% - Accent4 2 8 2 3 2" xfId="930" xr:uid="{00000000-0005-0000-0000-0000D2030000}"/>
    <cellStyle name="40% - Accent4 2 8 2 3 2 2" xfId="931" xr:uid="{00000000-0005-0000-0000-0000D3030000}"/>
    <cellStyle name="40% - Accent4 2 8 2 3 3" xfId="932" xr:uid="{00000000-0005-0000-0000-0000D4030000}"/>
    <cellStyle name="40% - Accent4 2 8 2 4" xfId="933" xr:uid="{00000000-0005-0000-0000-0000D5030000}"/>
    <cellStyle name="40% - Accent4 2 8 2 4 2" xfId="934" xr:uid="{00000000-0005-0000-0000-0000D6030000}"/>
    <cellStyle name="40% - Accent4 2 8 2 5" xfId="935" xr:uid="{00000000-0005-0000-0000-0000D7030000}"/>
    <cellStyle name="40% - Accent4 2 8 2 6" xfId="936" xr:uid="{00000000-0005-0000-0000-0000D8030000}"/>
    <cellStyle name="40% - Accent4 2 8 3" xfId="937" xr:uid="{00000000-0005-0000-0000-0000D9030000}"/>
    <cellStyle name="40% - Accent4 2 8 3 2" xfId="938" xr:uid="{00000000-0005-0000-0000-0000DA030000}"/>
    <cellStyle name="40% - Accent4 2 8 3 2 2" xfId="939" xr:uid="{00000000-0005-0000-0000-0000DB030000}"/>
    <cellStyle name="40% - Accent4 2 8 3 2 2 2" xfId="940" xr:uid="{00000000-0005-0000-0000-0000DC030000}"/>
    <cellStyle name="40% - Accent4 2 8 3 2 3" xfId="941" xr:uid="{00000000-0005-0000-0000-0000DD030000}"/>
    <cellStyle name="40% - Accent4 2 8 3 3" xfId="942" xr:uid="{00000000-0005-0000-0000-0000DE030000}"/>
    <cellStyle name="40% - Accent4 2 8 3 3 2" xfId="943" xr:uid="{00000000-0005-0000-0000-0000DF030000}"/>
    <cellStyle name="40% - Accent4 2 8 3 4" xfId="944" xr:uid="{00000000-0005-0000-0000-0000E0030000}"/>
    <cellStyle name="40% - Accent4 2 8 3 5" xfId="945" xr:uid="{00000000-0005-0000-0000-0000E1030000}"/>
    <cellStyle name="40% - Accent4 2 8 4" xfId="946" xr:uid="{00000000-0005-0000-0000-0000E2030000}"/>
    <cellStyle name="40% - Accent4 2 8 4 2" xfId="947" xr:uid="{00000000-0005-0000-0000-0000E3030000}"/>
    <cellStyle name="40% - Accent4 2 8 4 2 2" xfId="948" xr:uid="{00000000-0005-0000-0000-0000E4030000}"/>
    <cellStyle name="40% - Accent4 2 8 4 3" xfId="949" xr:uid="{00000000-0005-0000-0000-0000E5030000}"/>
    <cellStyle name="40% - Accent4 2 8 5" xfId="950" xr:uid="{00000000-0005-0000-0000-0000E6030000}"/>
    <cellStyle name="40% - Accent4 2 8 5 2" xfId="951" xr:uid="{00000000-0005-0000-0000-0000E7030000}"/>
    <cellStyle name="40% - Accent4 2 8 5 2 2" xfId="952" xr:uid="{00000000-0005-0000-0000-0000E8030000}"/>
    <cellStyle name="40% - Accent4 2 8 5 3" xfId="953" xr:uid="{00000000-0005-0000-0000-0000E9030000}"/>
    <cellStyle name="40% - Accent4 2 8 6" xfId="954" xr:uid="{00000000-0005-0000-0000-0000EA030000}"/>
    <cellStyle name="40% - Accent4 2 8 6 2" xfId="955" xr:uid="{00000000-0005-0000-0000-0000EB030000}"/>
    <cellStyle name="40% - Accent4 2 8 7" xfId="956" xr:uid="{00000000-0005-0000-0000-0000EC030000}"/>
    <cellStyle name="40% - Accent4 2 8 8" xfId="957" xr:uid="{00000000-0005-0000-0000-0000ED030000}"/>
    <cellStyle name="40% - Accent4 3" xfId="958" xr:uid="{00000000-0005-0000-0000-0000EE030000}"/>
    <cellStyle name="40% - Accent4 3 2" xfId="959" xr:uid="{00000000-0005-0000-0000-0000EF030000}"/>
    <cellStyle name="40% - Accent4 3 3" xfId="960" xr:uid="{00000000-0005-0000-0000-0000F0030000}"/>
    <cellStyle name="40% - Accent4 3 4" xfId="961" xr:uid="{00000000-0005-0000-0000-0000F1030000}"/>
    <cellStyle name="40% - Accent4 3 5" xfId="962" xr:uid="{00000000-0005-0000-0000-0000F2030000}"/>
    <cellStyle name="40% - Accent4 3 6" xfId="963" xr:uid="{00000000-0005-0000-0000-0000F3030000}"/>
    <cellStyle name="40% - Accent4 3 7" xfId="964" xr:uid="{00000000-0005-0000-0000-0000F4030000}"/>
    <cellStyle name="40% - Accent4 3 8" xfId="965" xr:uid="{00000000-0005-0000-0000-0000F5030000}"/>
    <cellStyle name="40% - Accent4 4" xfId="966" xr:uid="{00000000-0005-0000-0000-0000F6030000}"/>
    <cellStyle name="40% - Accent4 4 2" xfId="967" xr:uid="{00000000-0005-0000-0000-0000F7030000}"/>
    <cellStyle name="40% - Accent4 4 3" xfId="968" xr:uid="{00000000-0005-0000-0000-0000F8030000}"/>
    <cellStyle name="40% - Accent4 4 4" xfId="969" xr:uid="{00000000-0005-0000-0000-0000F9030000}"/>
    <cellStyle name="40% - Accent4 4 5" xfId="970" xr:uid="{00000000-0005-0000-0000-0000FA030000}"/>
    <cellStyle name="40% - Accent4 4 6" xfId="971" xr:uid="{00000000-0005-0000-0000-0000FB030000}"/>
    <cellStyle name="40% - Accent4 5" xfId="972" xr:uid="{00000000-0005-0000-0000-0000FC030000}"/>
    <cellStyle name="40% - Accent4 6" xfId="973" xr:uid="{00000000-0005-0000-0000-0000FD030000}"/>
    <cellStyle name="40% - Accent4 7" xfId="974" xr:uid="{00000000-0005-0000-0000-0000FE030000}"/>
    <cellStyle name="40% - Accent4 8" xfId="975" xr:uid="{00000000-0005-0000-0000-0000FF030000}"/>
    <cellStyle name="40% - Accent4 9" xfId="976" xr:uid="{00000000-0005-0000-0000-000000040000}"/>
    <cellStyle name="40% - Accent5 10" xfId="977" xr:uid="{00000000-0005-0000-0000-000001040000}"/>
    <cellStyle name="40% - Accent5 11" xfId="978" xr:uid="{00000000-0005-0000-0000-000002040000}"/>
    <cellStyle name="40% - Accent5 12" xfId="979" xr:uid="{00000000-0005-0000-0000-000003040000}"/>
    <cellStyle name="40% - Accent5 12 2" xfId="980" xr:uid="{00000000-0005-0000-0000-000004040000}"/>
    <cellStyle name="40% - Accent5 12 2 2" xfId="981" xr:uid="{00000000-0005-0000-0000-000005040000}"/>
    <cellStyle name="40% - Accent5 12 2 2 2" xfId="982" xr:uid="{00000000-0005-0000-0000-000006040000}"/>
    <cellStyle name="40% - Accent5 12 2 2 2 2" xfId="983" xr:uid="{00000000-0005-0000-0000-000007040000}"/>
    <cellStyle name="40% - Accent5 12 2 2 3" xfId="984" xr:uid="{00000000-0005-0000-0000-000008040000}"/>
    <cellStyle name="40% - Accent5 12 2 3" xfId="985" xr:uid="{00000000-0005-0000-0000-000009040000}"/>
    <cellStyle name="40% - Accent5 12 2 3 2" xfId="986" xr:uid="{00000000-0005-0000-0000-00000A040000}"/>
    <cellStyle name="40% - Accent5 12 2 4" xfId="987" xr:uid="{00000000-0005-0000-0000-00000B040000}"/>
    <cellStyle name="40% - Accent5 12 3" xfId="988" xr:uid="{00000000-0005-0000-0000-00000C040000}"/>
    <cellStyle name="40% - Accent5 12 3 2" xfId="989" xr:uid="{00000000-0005-0000-0000-00000D040000}"/>
    <cellStyle name="40% - Accent5 12 3 2 2" xfId="990" xr:uid="{00000000-0005-0000-0000-00000E040000}"/>
    <cellStyle name="40% - Accent5 12 3 3" xfId="991" xr:uid="{00000000-0005-0000-0000-00000F040000}"/>
    <cellStyle name="40% - Accent5 12 4" xfId="992" xr:uid="{00000000-0005-0000-0000-000010040000}"/>
    <cellStyle name="40% - Accent5 12 4 2" xfId="993" xr:uid="{00000000-0005-0000-0000-000011040000}"/>
    <cellStyle name="40% - Accent5 12 4 2 2" xfId="994" xr:uid="{00000000-0005-0000-0000-000012040000}"/>
    <cellStyle name="40% - Accent5 12 4 3" xfId="995" xr:uid="{00000000-0005-0000-0000-000013040000}"/>
    <cellStyle name="40% - Accent5 12 5" xfId="996" xr:uid="{00000000-0005-0000-0000-000014040000}"/>
    <cellStyle name="40% - Accent5 12 5 2" xfId="997" xr:uid="{00000000-0005-0000-0000-000015040000}"/>
    <cellStyle name="40% - Accent5 12 6" xfId="998" xr:uid="{00000000-0005-0000-0000-000016040000}"/>
    <cellStyle name="40% - Accent5 12 7" xfId="999" xr:uid="{00000000-0005-0000-0000-000017040000}"/>
    <cellStyle name="40% - Accent5 13" xfId="1000" xr:uid="{00000000-0005-0000-0000-000018040000}"/>
    <cellStyle name="40% - Accent5 13 2" xfId="1001" xr:uid="{00000000-0005-0000-0000-000019040000}"/>
    <cellStyle name="40% - Accent5 13 2 2" xfId="1002" xr:uid="{00000000-0005-0000-0000-00001A040000}"/>
    <cellStyle name="40% - Accent5 13 3" xfId="1003" xr:uid="{00000000-0005-0000-0000-00001B040000}"/>
    <cellStyle name="40% - Accent5 13 4" xfId="1004" xr:uid="{00000000-0005-0000-0000-00001C040000}"/>
    <cellStyle name="40% - Accent5 14" xfId="1005" xr:uid="{00000000-0005-0000-0000-00001D040000}"/>
    <cellStyle name="40% - Accent5 14 2" xfId="1006" xr:uid="{00000000-0005-0000-0000-00001E040000}"/>
    <cellStyle name="40% - Accent5 14 2 2" xfId="1007" xr:uid="{00000000-0005-0000-0000-00001F040000}"/>
    <cellStyle name="40% - Accent5 14 3" xfId="1008" xr:uid="{00000000-0005-0000-0000-000020040000}"/>
    <cellStyle name="40% - Accent5 15" xfId="1009" xr:uid="{00000000-0005-0000-0000-000021040000}"/>
    <cellStyle name="40% - Accent5 15 2" xfId="1010" xr:uid="{00000000-0005-0000-0000-000022040000}"/>
    <cellStyle name="40% - Accent5 16" xfId="1011" xr:uid="{00000000-0005-0000-0000-000023040000}"/>
    <cellStyle name="40% - Accent5 17" xfId="1012" xr:uid="{00000000-0005-0000-0000-000024040000}"/>
    <cellStyle name="40% - Accent5 2" xfId="1013" xr:uid="{00000000-0005-0000-0000-000025040000}"/>
    <cellStyle name="40% - Accent5 2 2" xfId="1014" xr:uid="{00000000-0005-0000-0000-000026040000}"/>
    <cellStyle name="40% - Accent5 2 3" xfId="1015" xr:uid="{00000000-0005-0000-0000-000027040000}"/>
    <cellStyle name="40% - Accent5 2 4" xfId="1016" xr:uid="{00000000-0005-0000-0000-000028040000}"/>
    <cellStyle name="40% - Accent5 2 5" xfId="1017" xr:uid="{00000000-0005-0000-0000-000029040000}"/>
    <cellStyle name="40% - Accent5 2 6" xfId="1018" xr:uid="{00000000-0005-0000-0000-00002A040000}"/>
    <cellStyle name="40% - Accent5 2 7" xfId="1019" xr:uid="{00000000-0005-0000-0000-00002B040000}"/>
    <cellStyle name="40% - Accent5 2 8" xfId="1020" xr:uid="{00000000-0005-0000-0000-00002C040000}"/>
    <cellStyle name="40% - Accent5 2 8 2" xfId="1021" xr:uid="{00000000-0005-0000-0000-00002D040000}"/>
    <cellStyle name="40% - Accent5 2 8 2 2" xfId="1022" xr:uid="{00000000-0005-0000-0000-00002E040000}"/>
    <cellStyle name="40% - Accent5 2 8 2 2 2" xfId="1023" xr:uid="{00000000-0005-0000-0000-00002F040000}"/>
    <cellStyle name="40% - Accent5 2 8 2 2 2 2" xfId="1024" xr:uid="{00000000-0005-0000-0000-000030040000}"/>
    <cellStyle name="40% - Accent5 2 8 2 2 3" xfId="1025" xr:uid="{00000000-0005-0000-0000-000031040000}"/>
    <cellStyle name="40% - Accent5 2 8 2 3" xfId="1026" xr:uid="{00000000-0005-0000-0000-000032040000}"/>
    <cellStyle name="40% - Accent5 2 8 2 3 2" xfId="1027" xr:uid="{00000000-0005-0000-0000-000033040000}"/>
    <cellStyle name="40% - Accent5 2 8 2 3 2 2" xfId="1028" xr:uid="{00000000-0005-0000-0000-000034040000}"/>
    <cellStyle name="40% - Accent5 2 8 2 3 3" xfId="1029" xr:uid="{00000000-0005-0000-0000-000035040000}"/>
    <cellStyle name="40% - Accent5 2 8 2 4" xfId="1030" xr:uid="{00000000-0005-0000-0000-000036040000}"/>
    <cellStyle name="40% - Accent5 2 8 2 4 2" xfId="1031" xr:uid="{00000000-0005-0000-0000-000037040000}"/>
    <cellStyle name="40% - Accent5 2 8 2 5" xfId="1032" xr:uid="{00000000-0005-0000-0000-000038040000}"/>
    <cellStyle name="40% - Accent5 2 8 2 6" xfId="1033" xr:uid="{00000000-0005-0000-0000-000039040000}"/>
    <cellStyle name="40% - Accent5 2 8 3" xfId="1034" xr:uid="{00000000-0005-0000-0000-00003A040000}"/>
    <cellStyle name="40% - Accent5 2 8 3 2" xfId="1035" xr:uid="{00000000-0005-0000-0000-00003B040000}"/>
    <cellStyle name="40% - Accent5 2 8 3 2 2" xfId="1036" xr:uid="{00000000-0005-0000-0000-00003C040000}"/>
    <cellStyle name="40% - Accent5 2 8 3 2 2 2" xfId="1037" xr:uid="{00000000-0005-0000-0000-00003D040000}"/>
    <cellStyle name="40% - Accent5 2 8 3 2 3" xfId="1038" xr:uid="{00000000-0005-0000-0000-00003E040000}"/>
    <cellStyle name="40% - Accent5 2 8 3 3" xfId="1039" xr:uid="{00000000-0005-0000-0000-00003F040000}"/>
    <cellStyle name="40% - Accent5 2 8 3 3 2" xfId="1040" xr:uid="{00000000-0005-0000-0000-000040040000}"/>
    <cellStyle name="40% - Accent5 2 8 3 4" xfId="1041" xr:uid="{00000000-0005-0000-0000-000041040000}"/>
    <cellStyle name="40% - Accent5 2 8 3 5" xfId="1042" xr:uid="{00000000-0005-0000-0000-000042040000}"/>
    <cellStyle name="40% - Accent5 2 8 4" xfId="1043" xr:uid="{00000000-0005-0000-0000-000043040000}"/>
    <cellStyle name="40% - Accent5 2 8 4 2" xfId="1044" xr:uid="{00000000-0005-0000-0000-000044040000}"/>
    <cellStyle name="40% - Accent5 2 8 4 2 2" xfId="1045" xr:uid="{00000000-0005-0000-0000-000045040000}"/>
    <cellStyle name="40% - Accent5 2 8 4 3" xfId="1046" xr:uid="{00000000-0005-0000-0000-000046040000}"/>
    <cellStyle name="40% - Accent5 2 8 5" xfId="1047" xr:uid="{00000000-0005-0000-0000-000047040000}"/>
    <cellStyle name="40% - Accent5 2 8 5 2" xfId="1048" xr:uid="{00000000-0005-0000-0000-000048040000}"/>
    <cellStyle name="40% - Accent5 2 8 5 2 2" xfId="1049" xr:uid="{00000000-0005-0000-0000-000049040000}"/>
    <cellStyle name="40% - Accent5 2 8 5 3" xfId="1050" xr:uid="{00000000-0005-0000-0000-00004A040000}"/>
    <cellStyle name="40% - Accent5 2 8 6" xfId="1051" xr:uid="{00000000-0005-0000-0000-00004B040000}"/>
    <cellStyle name="40% - Accent5 2 8 6 2" xfId="1052" xr:uid="{00000000-0005-0000-0000-00004C040000}"/>
    <cellStyle name="40% - Accent5 2 8 7" xfId="1053" xr:uid="{00000000-0005-0000-0000-00004D040000}"/>
    <cellStyle name="40% - Accent5 2 8 8" xfId="1054" xr:uid="{00000000-0005-0000-0000-00004E040000}"/>
    <cellStyle name="40% - Accent5 3" xfId="1055" xr:uid="{00000000-0005-0000-0000-00004F040000}"/>
    <cellStyle name="40% - Accent5 3 2" xfId="1056" xr:uid="{00000000-0005-0000-0000-000050040000}"/>
    <cellStyle name="40% - Accent5 3 3" xfId="1057" xr:uid="{00000000-0005-0000-0000-000051040000}"/>
    <cellStyle name="40% - Accent5 3 4" xfId="1058" xr:uid="{00000000-0005-0000-0000-000052040000}"/>
    <cellStyle name="40% - Accent5 3 5" xfId="1059" xr:uid="{00000000-0005-0000-0000-000053040000}"/>
    <cellStyle name="40% - Accent5 3 6" xfId="1060" xr:uid="{00000000-0005-0000-0000-000054040000}"/>
    <cellStyle name="40% - Accent5 3 7" xfId="1061" xr:uid="{00000000-0005-0000-0000-000055040000}"/>
    <cellStyle name="40% - Accent5 3 8" xfId="1062" xr:uid="{00000000-0005-0000-0000-000056040000}"/>
    <cellStyle name="40% - Accent5 4" xfId="1063" xr:uid="{00000000-0005-0000-0000-000057040000}"/>
    <cellStyle name="40% - Accent5 4 2" xfId="1064" xr:uid="{00000000-0005-0000-0000-000058040000}"/>
    <cellStyle name="40% - Accent5 4 3" xfId="1065" xr:uid="{00000000-0005-0000-0000-000059040000}"/>
    <cellStyle name="40% - Accent5 4 4" xfId="1066" xr:uid="{00000000-0005-0000-0000-00005A040000}"/>
    <cellStyle name="40% - Accent5 4 5" xfId="1067" xr:uid="{00000000-0005-0000-0000-00005B040000}"/>
    <cellStyle name="40% - Accent5 4 6" xfId="1068" xr:uid="{00000000-0005-0000-0000-00005C040000}"/>
    <cellStyle name="40% - Accent5 5" xfId="1069" xr:uid="{00000000-0005-0000-0000-00005D040000}"/>
    <cellStyle name="40% - Accent5 6" xfId="1070" xr:uid="{00000000-0005-0000-0000-00005E040000}"/>
    <cellStyle name="40% - Accent5 7" xfId="1071" xr:uid="{00000000-0005-0000-0000-00005F040000}"/>
    <cellStyle name="40% - Accent5 8" xfId="1072" xr:uid="{00000000-0005-0000-0000-000060040000}"/>
    <cellStyle name="40% - Accent5 9" xfId="1073" xr:uid="{00000000-0005-0000-0000-000061040000}"/>
    <cellStyle name="40% - Accent6 10" xfId="1074" xr:uid="{00000000-0005-0000-0000-000062040000}"/>
    <cellStyle name="40% - Accent6 11" xfId="1075" xr:uid="{00000000-0005-0000-0000-000063040000}"/>
    <cellStyle name="40% - Accent6 12" xfId="1076" xr:uid="{00000000-0005-0000-0000-000064040000}"/>
    <cellStyle name="40% - Accent6 12 2" xfId="1077" xr:uid="{00000000-0005-0000-0000-000065040000}"/>
    <cellStyle name="40% - Accent6 12 2 2" xfId="1078" xr:uid="{00000000-0005-0000-0000-000066040000}"/>
    <cellStyle name="40% - Accent6 12 2 2 2" xfId="1079" xr:uid="{00000000-0005-0000-0000-000067040000}"/>
    <cellStyle name="40% - Accent6 12 2 2 2 2" xfId="1080" xr:uid="{00000000-0005-0000-0000-000068040000}"/>
    <cellStyle name="40% - Accent6 12 2 2 3" xfId="1081" xr:uid="{00000000-0005-0000-0000-000069040000}"/>
    <cellStyle name="40% - Accent6 12 2 3" xfId="1082" xr:uid="{00000000-0005-0000-0000-00006A040000}"/>
    <cellStyle name="40% - Accent6 12 2 3 2" xfId="1083" xr:uid="{00000000-0005-0000-0000-00006B040000}"/>
    <cellStyle name="40% - Accent6 12 2 4" xfId="1084" xr:uid="{00000000-0005-0000-0000-00006C040000}"/>
    <cellStyle name="40% - Accent6 12 3" xfId="1085" xr:uid="{00000000-0005-0000-0000-00006D040000}"/>
    <cellStyle name="40% - Accent6 12 3 2" xfId="1086" xr:uid="{00000000-0005-0000-0000-00006E040000}"/>
    <cellStyle name="40% - Accent6 12 3 2 2" xfId="1087" xr:uid="{00000000-0005-0000-0000-00006F040000}"/>
    <cellStyle name="40% - Accent6 12 3 3" xfId="1088" xr:uid="{00000000-0005-0000-0000-000070040000}"/>
    <cellStyle name="40% - Accent6 12 4" xfId="1089" xr:uid="{00000000-0005-0000-0000-000071040000}"/>
    <cellStyle name="40% - Accent6 12 4 2" xfId="1090" xr:uid="{00000000-0005-0000-0000-000072040000}"/>
    <cellStyle name="40% - Accent6 12 4 2 2" xfId="1091" xr:uid="{00000000-0005-0000-0000-000073040000}"/>
    <cellStyle name="40% - Accent6 12 4 3" xfId="1092" xr:uid="{00000000-0005-0000-0000-000074040000}"/>
    <cellStyle name="40% - Accent6 12 5" xfId="1093" xr:uid="{00000000-0005-0000-0000-000075040000}"/>
    <cellStyle name="40% - Accent6 12 5 2" xfId="1094" xr:uid="{00000000-0005-0000-0000-000076040000}"/>
    <cellStyle name="40% - Accent6 12 6" xfId="1095" xr:uid="{00000000-0005-0000-0000-000077040000}"/>
    <cellStyle name="40% - Accent6 12 7" xfId="1096" xr:uid="{00000000-0005-0000-0000-000078040000}"/>
    <cellStyle name="40% - Accent6 13" xfId="1097" xr:uid="{00000000-0005-0000-0000-000079040000}"/>
    <cellStyle name="40% - Accent6 13 2" xfId="1098" xr:uid="{00000000-0005-0000-0000-00007A040000}"/>
    <cellStyle name="40% - Accent6 13 2 2" xfId="1099" xr:uid="{00000000-0005-0000-0000-00007B040000}"/>
    <cellStyle name="40% - Accent6 13 3" xfId="1100" xr:uid="{00000000-0005-0000-0000-00007C040000}"/>
    <cellStyle name="40% - Accent6 13 4" xfId="1101" xr:uid="{00000000-0005-0000-0000-00007D040000}"/>
    <cellStyle name="40% - Accent6 14" xfId="1102" xr:uid="{00000000-0005-0000-0000-00007E040000}"/>
    <cellStyle name="40% - Accent6 14 2" xfId="1103" xr:uid="{00000000-0005-0000-0000-00007F040000}"/>
    <cellStyle name="40% - Accent6 14 2 2" xfId="1104" xr:uid="{00000000-0005-0000-0000-000080040000}"/>
    <cellStyle name="40% - Accent6 14 3" xfId="1105" xr:uid="{00000000-0005-0000-0000-000081040000}"/>
    <cellStyle name="40% - Accent6 15" xfId="1106" xr:uid="{00000000-0005-0000-0000-000082040000}"/>
    <cellStyle name="40% - Accent6 15 2" xfId="1107" xr:uid="{00000000-0005-0000-0000-000083040000}"/>
    <cellStyle name="40% - Accent6 16" xfId="1108" xr:uid="{00000000-0005-0000-0000-000084040000}"/>
    <cellStyle name="40% - Accent6 17" xfId="1109" xr:uid="{00000000-0005-0000-0000-000085040000}"/>
    <cellStyle name="40% - Accent6 2" xfId="1110" xr:uid="{00000000-0005-0000-0000-000086040000}"/>
    <cellStyle name="40% - Accent6 2 2" xfId="1111" xr:uid="{00000000-0005-0000-0000-000087040000}"/>
    <cellStyle name="40% - Accent6 2 3" xfId="1112" xr:uid="{00000000-0005-0000-0000-000088040000}"/>
    <cellStyle name="40% - Accent6 2 4" xfId="1113" xr:uid="{00000000-0005-0000-0000-000089040000}"/>
    <cellStyle name="40% - Accent6 2 5" xfId="1114" xr:uid="{00000000-0005-0000-0000-00008A040000}"/>
    <cellStyle name="40% - Accent6 2 6" xfId="1115" xr:uid="{00000000-0005-0000-0000-00008B040000}"/>
    <cellStyle name="40% - Accent6 2 7" xfId="1116" xr:uid="{00000000-0005-0000-0000-00008C040000}"/>
    <cellStyle name="40% - Accent6 2 8" xfId="1117" xr:uid="{00000000-0005-0000-0000-00008D040000}"/>
    <cellStyle name="40% - Accent6 2 8 2" xfId="1118" xr:uid="{00000000-0005-0000-0000-00008E040000}"/>
    <cellStyle name="40% - Accent6 2 8 2 2" xfId="1119" xr:uid="{00000000-0005-0000-0000-00008F040000}"/>
    <cellStyle name="40% - Accent6 2 8 2 2 2" xfId="1120" xr:uid="{00000000-0005-0000-0000-000090040000}"/>
    <cellStyle name="40% - Accent6 2 8 2 2 2 2" xfId="1121" xr:uid="{00000000-0005-0000-0000-000091040000}"/>
    <cellStyle name="40% - Accent6 2 8 2 2 3" xfId="1122" xr:uid="{00000000-0005-0000-0000-000092040000}"/>
    <cellStyle name="40% - Accent6 2 8 2 3" xfId="1123" xr:uid="{00000000-0005-0000-0000-000093040000}"/>
    <cellStyle name="40% - Accent6 2 8 2 3 2" xfId="1124" xr:uid="{00000000-0005-0000-0000-000094040000}"/>
    <cellStyle name="40% - Accent6 2 8 2 3 2 2" xfId="1125" xr:uid="{00000000-0005-0000-0000-000095040000}"/>
    <cellStyle name="40% - Accent6 2 8 2 3 3" xfId="1126" xr:uid="{00000000-0005-0000-0000-000096040000}"/>
    <cellStyle name="40% - Accent6 2 8 2 4" xfId="1127" xr:uid="{00000000-0005-0000-0000-000097040000}"/>
    <cellStyle name="40% - Accent6 2 8 2 4 2" xfId="1128" xr:uid="{00000000-0005-0000-0000-000098040000}"/>
    <cellStyle name="40% - Accent6 2 8 2 5" xfId="1129" xr:uid="{00000000-0005-0000-0000-000099040000}"/>
    <cellStyle name="40% - Accent6 2 8 2 6" xfId="1130" xr:uid="{00000000-0005-0000-0000-00009A040000}"/>
    <cellStyle name="40% - Accent6 2 8 3" xfId="1131" xr:uid="{00000000-0005-0000-0000-00009B040000}"/>
    <cellStyle name="40% - Accent6 2 8 3 2" xfId="1132" xr:uid="{00000000-0005-0000-0000-00009C040000}"/>
    <cellStyle name="40% - Accent6 2 8 3 2 2" xfId="1133" xr:uid="{00000000-0005-0000-0000-00009D040000}"/>
    <cellStyle name="40% - Accent6 2 8 3 2 2 2" xfId="1134" xr:uid="{00000000-0005-0000-0000-00009E040000}"/>
    <cellStyle name="40% - Accent6 2 8 3 2 3" xfId="1135" xr:uid="{00000000-0005-0000-0000-00009F040000}"/>
    <cellStyle name="40% - Accent6 2 8 3 3" xfId="1136" xr:uid="{00000000-0005-0000-0000-0000A0040000}"/>
    <cellStyle name="40% - Accent6 2 8 3 3 2" xfId="1137" xr:uid="{00000000-0005-0000-0000-0000A1040000}"/>
    <cellStyle name="40% - Accent6 2 8 3 4" xfId="1138" xr:uid="{00000000-0005-0000-0000-0000A2040000}"/>
    <cellStyle name="40% - Accent6 2 8 3 5" xfId="1139" xr:uid="{00000000-0005-0000-0000-0000A3040000}"/>
    <cellStyle name="40% - Accent6 2 8 4" xfId="1140" xr:uid="{00000000-0005-0000-0000-0000A4040000}"/>
    <cellStyle name="40% - Accent6 2 8 4 2" xfId="1141" xr:uid="{00000000-0005-0000-0000-0000A5040000}"/>
    <cellStyle name="40% - Accent6 2 8 4 2 2" xfId="1142" xr:uid="{00000000-0005-0000-0000-0000A6040000}"/>
    <cellStyle name="40% - Accent6 2 8 4 3" xfId="1143" xr:uid="{00000000-0005-0000-0000-0000A7040000}"/>
    <cellStyle name="40% - Accent6 2 8 5" xfId="1144" xr:uid="{00000000-0005-0000-0000-0000A8040000}"/>
    <cellStyle name="40% - Accent6 2 8 5 2" xfId="1145" xr:uid="{00000000-0005-0000-0000-0000A9040000}"/>
    <cellStyle name="40% - Accent6 2 8 5 2 2" xfId="1146" xr:uid="{00000000-0005-0000-0000-0000AA040000}"/>
    <cellStyle name="40% - Accent6 2 8 5 3" xfId="1147" xr:uid="{00000000-0005-0000-0000-0000AB040000}"/>
    <cellStyle name="40% - Accent6 2 8 6" xfId="1148" xr:uid="{00000000-0005-0000-0000-0000AC040000}"/>
    <cellStyle name="40% - Accent6 2 8 6 2" xfId="1149" xr:uid="{00000000-0005-0000-0000-0000AD040000}"/>
    <cellStyle name="40% - Accent6 2 8 7" xfId="1150" xr:uid="{00000000-0005-0000-0000-0000AE040000}"/>
    <cellStyle name="40% - Accent6 2 8 8" xfId="1151" xr:uid="{00000000-0005-0000-0000-0000AF040000}"/>
    <cellStyle name="40% - Accent6 3" xfId="1152" xr:uid="{00000000-0005-0000-0000-0000B0040000}"/>
    <cellStyle name="40% - Accent6 3 2" xfId="1153" xr:uid="{00000000-0005-0000-0000-0000B1040000}"/>
    <cellStyle name="40% - Accent6 3 3" xfId="1154" xr:uid="{00000000-0005-0000-0000-0000B2040000}"/>
    <cellStyle name="40% - Accent6 3 4" xfId="1155" xr:uid="{00000000-0005-0000-0000-0000B3040000}"/>
    <cellStyle name="40% - Accent6 3 5" xfId="1156" xr:uid="{00000000-0005-0000-0000-0000B4040000}"/>
    <cellStyle name="40% - Accent6 3 6" xfId="1157" xr:uid="{00000000-0005-0000-0000-0000B5040000}"/>
    <cellStyle name="40% - Accent6 3 7" xfId="1158" xr:uid="{00000000-0005-0000-0000-0000B6040000}"/>
    <cellStyle name="40% - Accent6 3 8" xfId="1159" xr:uid="{00000000-0005-0000-0000-0000B7040000}"/>
    <cellStyle name="40% - Accent6 4" xfId="1160" xr:uid="{00000000-0005-0000-0000-0000B8040000}"/>
    <cellStyle name="40% - Accent6 4 2" xfId="1161" xr:uid="{00000000-0005-0000-0000-0000B9040000}"/>
    <cellStyle name="40% - Accent6 4 3" xfId="1162" xr:uid="{00000000-0005-0000-0000-0000BA040000}"/>
    <cellStyle name="40% - Accent6 4 4" xfId="1163" xr:uid="{00000000-0005-0000-0000-0000BB040000}"/>
    <cellStyle name="40% - Accent6 4 5" xfId="1164" xr:uid="{00000000-0005-0000-0000-0000BC040000}"/>
    <cellStyle name="40% - Accent6 4 6" xfId="1165" xr:uid="{00000000-0005-0000-0000-0000BD040000}"/>
    <cellStyle name="40% - Accent6 5" xfId="1166" xr:uid="{00000000-0005-0000-0000-0000BE040000}"/>
    <cellStyle name="40% - Accent6 6" xfId="1167" xr:uid="{00000000-0005-0000-0000-0000BF040000}"/>
    <cellStyle name="40% - Accent6 7" xfId="1168" xr:uid="{00000000-0005-0000-0000-0000C0040000}"/>
    <cellStyle name="40% - Accent6 8" xfId="1169" xr:uid="{00000000-0005-0000-0000-0000C1040000}"/>
    <cellStyle name="40% - Accent6 9" xfId="1170" xr:uid="{00000000-0005-0000-0000-0000C2040000}"/>
    <cellStyle name="60% - Accent1 10" xfId="1171" xr:uid="{00000000-0005-0000-0000-0000C3040000}"/>
    <cellStyle name="60% - Accent1 11" xfId="1172" xr:uid="{00000000-0005-0000-0000-0000C4040000}"/>
    <cellStyle name="60% - Accent1 12" xfId="1173" xr:uid="{00000000-0005-0000-0000-0000C5040000}"/>
    <cellStyle name="60% - Accent1 2" xfId="1174" xr:uid="{00000000-0005-0000-0000-0000C6040000}"/>
    <cellStyle name="60% - Accent1 2 2" xfId="1175" xr:uid="{00000000-0005-0000-0000-0000C7040000}"/>
    <cellStyle name="60% - Accent1 2 3" xfId="1176" xr:uid="{00000000-0005-0000-0000-0000C8040000}"/>
    <cellStyle name="60% - Accent1 2 4" xfId="1177" xr:uid="{00000000-0005-0000-0000-0000C9040000}"/>
    <cellStyle name="60% - Accent1 2 5" xfId="1178" xr:uid="{00000000-0005-0000-0000-0000CA040000}"/>
    <cellStyle name="60% - Accent1 2 6" xfId="1179" xr:uid="{00000000-0005-0000-0000-0000CB040000}"/>
    <cellStyle name="60% - Accent1 2 7" xfId="1180" xr:uid="{00000000-0005-0000-0000-0000CC040000}"/>
    <cellStyle name="60% - Accent1 2 7 2" xfId="1181" xr:uid="{00000000-0005-0000-0000-0000CD040000}"/>
    <cellStyle name="60% - Accent1 2 8" xfId="1182" xr:uid="{00000000-0005-0000-0000-0000CE040000}"/>
    <cellStyle name="60% - Accent1 3" xfId="1183" xr:uid="{00000000-0005-0000-0000-0000CF040000}"/>
    <cellStyle name="60% - Accent1 3 2" xfId="1184" xr:uid="{00000000-0005-0000-0000-0000D0040000}"/>
    <cellStyle name="60% - Accent1 3 3" xfId="1185" xr:uid="{00000000-0005-0000-0000-0000D1040000}"/>
    <cellStyle name="60% - Accent1 3 4" xfId="1186" xr:uid="{00000000-0005-0000-0000-0000D2040000}"/>
    <cellStyle name="60% - Accent1 3 5" xfId="1187" xr:uid="{00000000-0005-0000-0000-0000D3040000}"/>
    <cellStyle name="60% - Accent1 3 6" xfId="1188" xr:uid="{00000000-0005-0000-0000-0000D4040000}"/>
    <cellStyle name="60% - Accent1 3 7" xfId="1189" xr:uid="{00000000-0005-0000-0000-0000D5040000}"/>
    <cellStyle name="60% - Accent1 3 8" xfId="1190" xr:uid="{00000000-0005-0000-0000-0000D6040000}"/>
    <cellStyle name="60% - Accent1 3 9" xfId="1191" xr:uid="{00000000-0005-0000-0000-0000D7040000}"/>
    <cellStyle name="60% - Accent1 4" xfId="1192" xr:uid="{00000000-0005-0000-0000-0000D8040000}"/>
    <cellStyle name="60% - Accent1 4 2" xfId="1193" xr:uid="{00000000-0005-0000-0000-0000D9040000}"/>
    <cellStyle name="60% - Accent1 4 3" xfId="1194" xr:uid="{00000000-0005-0000-0000-0000DA040000}"/>
    <cellStyle name="60% - Accent1 4 4" xfId="1195" xr:uid="{00000000-0005-0000-0000-0000DB040000}"/>
    <cellStyle name="60% - Accent1 4 5" xfId="1196" xr:uid="{00000000-0005-0000-0000-0000DC040000}"/>
    <cellStyle name="60% - Accent1 4 6" xfId="1197" xr:uid="{00000000-0005-0000-0000-0000DD040000}"/>
    <cellStyle name="60% - Accent1 5" xfId="1198" xr:uid="{00000000-0005-0000-0000-0000DE040000}"/>
    <cellStyle name="60% - Accent1 6" xfId="1199" xr:uid="{00000000-0005-0000-0000-0000DF040000}"/>
    <cellStyle name="60% - Accent1 7" xfId="1200" xr:uid="{00000000-0005-0000-0000-0000E0040000}"/>
    <cellStyle name="60% - Accent1 8" xfId="1201" xr:uid="{00000000-0005-0000-0000-0000E1040000}"/>
    <cellStyle name="60% - Accent1 9" xfId="1202" xr:uid="{00000000-0005-0000-0000-0000E2040000}"/>
    <cellStyle name="60% - Accent2 10" xfId="1203" xr:uid="{00000000-0005-0000-0000-0000E3040000}"/>
    <cellStyle name="60% - Accent2 11" xfId="1204" xr:uid="{00000000-0005-0000-0000-0000E4040000}"/>
    <cellStyle name="60% - Accent2 12" xfId="1205" xr:uid="{00000000-0005-0000-0000-0000E5040000}"/>
    <cellStyle name="60% - Accent2 2" xfId="1206" xr:uid="{00000000-0005-0000-0000-0000E6040000}"/>
    <cellStyle name="60% - Accent2 2 2" xfId="1207" xr:uid="{00000000-0005-0000-0000-0000E7040000}"/>
    <cellStyle name="60% - Accent2 2 3" xfId="1208" xr:uid="{00000000-0005-0000-0000-0000E8040000}"/>
    <cellStyle name="60% - Accent2 2 4" xfId="1209" xr:uid="{00000000-0005-0000-0000-0000E9040000}"/>
    <cellStyle name="60% - Accent2 2 5" xfId="1210" xr:uid="{00000000-0005-0000-0000-0000EA040000}"/>
    <cellStyle name="60% - Accent2 2 6" xfId="1211" xr:uid="{00000000-0005-0000-0000-0000EB040000}"/>
    <cellStyle name="60% - Accent2 2 7" xfId="1212" xr:uid="{00000000-0005-0000-0000-0000EC040000}"/>
    <cellStyle name="60% - Accent2 2 7 2" xfId="1213" xr:uid="{00000000-0005-0000-0000-0000ED040000}"/>
    <cellStyle name="60% - Accent2 2 8" xfId="1214" xr:uid="{00000000-0005-0000-0000-0000EE040000}"/>
    <cellStyle name="60% - Accent2 3" xfId="1215" xr:uid="{00000000-0005-0000-0000-0000EF040000}"/>
    <cellStyle name="60% - Accent2 3 2" xfId="1216" xr:uid="{00000000-0005-0000-0000-0000F0040000}"/>
    <cellStyle name="60% - Accent2 3 3" xfId="1217" xr:uid="{00000000-0005-0000-0000-0000F1040000}"/>
    <cellStyle name="60% - Accent2 3 4" xfId="1218" xr:uid="{00000000-0005-0000-0000-0000F2040000}"/>
    <cellStyle name="60% - Accent2 3 5" xfId="1219" xr:uid="{00000000-0005-0000-0000-0000F3040000}"/>
    <cellStyle name="60% - Accent2 3 6" xfId="1220" xr:uid="{00000000-0005-0000-0000-0000F4040000}"/>
    <cellStyle name="60% - Accent2 3 7" xfId="1221" xr:uid="{00000000-0005-0000-0000-0000F5040000}"/>
    <cellStyle name="60% - Accent2 3 8" xfId="1222" xr:uid="{00000000-0005-0000-0000-0000F6040000}"/>
    <cellStyle name="60% - Accent2 3 9" xfId="1223" xr:uid="{00000000-0005-0000-0000-0000F7040000}"/>
    <cellStyle name="60% - Accent2 4" xfId="1224" xr:uid="{00000000-0005-0000-0000-0000F8040000}"/>
    <cellStyle name="60% - Accent2 4 2" xfId="1225" xr:uid="{00000000-0005-0000-0000-0000F9040000}"/>
    <cellStyle name="60% - Accent2 4 3" xfId="1226" xr:uid="{00000000-0005-0000-0000-0000FA040000}"/>
    <cellStyle name="60% - Accent2 4 4" xfId="1227" xr:uid="{00000000-0005-0000-0000-0000FB040000}"/>
    <cellStyle name="60% - Accent2 4 5" xfId="1228" xr:uid="{00000000-0005-0000-0000-0000FC040000}"/>
    <cellStyle name="60% - Accent2 4 6" xfId="1229" xr:uid="{00000000-0005-0000-0000-0000FD040000}"/>
    <cellStyle name="60% - Accent2 5" xfId="1230" xr:uid="{00000000-0005-0000-0000-0000FE040000}"/>
    <cellStyle name="60% - Accent2 6" xfId="1231" xr:uid="{00000000-0005-0000-0000-0000FF040000}"/>
    <cellStyle name="60% - Accent2 7" xfId="1232" xr:uid="{00000000-0005-0000-0000-000000050000}"/>
    <cellStyle name="60% - Accent2 8" xfId="1233" xr:uid="{00000000-0005-0000-0000-000001050000}"/>
    <cellStyle name="60% - Accent2 9" xfId="1234" xr:uid="{00000000-0005-0000-0000-000002050000}"/>
    <cellStyle name="60% - Accent3 10" xfId="1235" xr:uid="{00000000-0005-0000-0000-000003050000}"/>
    <cellStyle name="60% - Accent3 11" xfId="1236" xr:uid="{00000000-0005-0000-0000-000004050000}"/>
    <cellStyle name="60% - Accent3 12" xfId="1237" xr:uid="{00000000-0005-0000-0000-000005050000}"/>
    <cellStyle name="60% - Accent3 2" xfId="1238" xr:uid="{00000000-0005-0000-0000-000006050000}"/>
    <cellStyle name="60% - Accent3 2 2" xfId="1239" xr:uid="{00000000-0005-0000-0000-000007050000}"/>
    <cellStyle name="60% - Accent3 2 3" xfId="1240" xr:uid="{00000000-0005-0000-0000-000008050000}"/>
    <cellStyle name="60% - Accent3 2 4" xfId="1241" xr:uid="{00000000-0005-0000-0000-000009050000}"/>
    <cellStyle name="60% - Accent3 2 5" xfId="1242" xr:uid="{00000000-0005-0000-0000-00000A050000}"/>
    <cellStyle name="60% - Accent3 2 6" xfId="1243" xr:uid="{00000000-0005-0000-0000-00000B050000}"/>
    <cellStyle name="60% - Accent3 2 7" xfId="1244" xr:uid="{00000000-0005-0000-0000-00000C050000}"/>
    <cellStyle name="60% - Accent3 2 7 2" xfId="1245" xr:uid="{00000000-0005-0000-0000-00000D050000}"/>
    <cellStyle name="60% - Accent3 2 8" xfId="1246" xr:uid="{00000000-0005-0000-0000-00000E050000}"/>
    <cellStyle name="60% - Accent3 3" xfId="1247" xr:uid="{00000000-0005-0000-0000-00000F050000}"/>
    <cellStyle name="60% - Accent3 3 2" xfId="1248" xr:uid="{00000000-0005-0000-0000-000010050000}"/>
    <cellStyle name="60% - Accent3 3 3" xfId="1249" xr:uid="{00000000-0005-0000-0000-000011050000}"/>
    <cellStyle name="60% - Accent3 3 4" xfId="1250" xr:uid="{00000000-0005-0000-0000-000012050000}"/>
    <cellStyle name="60% - Accent3 3 5" xfId="1251" xr:uid="{00000000-0005-0000-0000-000013050000}"/>
    <cellStyle name="60% - Accent3 3 6" xfId="1252" xr:uid="{00000000-0005-0000-0000-000014050000}"/>
    <cellStyle name="60% - Accent3 3 7" xfId="1253" xr:uid="{00000000-0005-0000-0000-000015050000}"/>
    <cellStyle name="60% - Accent3 3 8" xfId="1254" xr:uid="{00000000-0005-0000-0000-000016050000}"/>
    <cellStyle name="60% - Accent3 3 9" xfId="1255" xr:uid="{00000000-0005-0000-0000-000017050000}"/>
    <cellStyle name="60% - Accent3 4" xfId="1256" xr:uid="{00000000-0005-0000-0000-000018050000}"/>
    <cellStyle name="60% - Accent3 4 2" xfId="1257" xr:uid="{00000000-0005-0000-0000-000019050000}"/>
    <cellStyle name="60% - Accent3 4 3" xfId="1258" xr:uid="{00000000-0005-0000-0000-00001A050000}"/>
    <cellStyle name="60% - Accent3 4 4" xfId="1259" xr:uid="{00000000-0005-0000-0000-00001B050000}"/>
    <cellStyle name="60% - Accent3 4 5" xfId="1260" xr:uid="{00000000-0005-0000-0000-00001C050000}"/>
    <cellStyle name="60% - Accent3 4 6" xfId="1261" xr:uid="{00000000-0005-0000-0000-00001D050000}"/>
    <cellStyle name="60% - Accent3 5" xfId="1262" xr:uid="{00000000-0005-0000-0000-00001E050000}"/>
    <cellStyle name="60% - Accent3 6" xfId="1263" xr:uid="{00000000-0005-0000-0000-00001F050000}"/>
    <cellStyle name="60% - Accent3 7" xfId="1264" xr:uid="{00000000-0005-0000-0000-000020050000}"/>
    <cellStyle name="60% - Accent3 8" xfId="1265" xr:uid="{00000000-0005-0000-0000-000021050000}"/>
    <cellStyle name="60% - Accent3 9" xfId="1266" xr:uid="{00000000-0005-0000-0000-000022050000}"/>
    <cellStyle name="60% - Accent4 10" xfId="1267" xr:uid="{00000000-0005-0000-0000-000023050000}"/>
    <cellStyle name="60% - Accent4 11" xfId="1268" xr:uid="{00000000-0005-0000-0000-000024050000}"/>
    <cellStyle name="60% - Accent4 12" xfId="1269" xr:uid="{00000000-0005-0000-0000-000025050000}"/>
    <cellStyle name="60% - Accent4 2" xfId="1270" xr:uid="{00000000-0005-0000-0000-000026050000}"/>
    <cellStyle name="60% - Accent4 2 2" xfId="1271" xr:uid="{00000000-0005-0000-0000-000027050000}"/>
    <cellStyle name="60% - Accent4 2 3" xfId="1272" xr:uid="{00000000-0005-0000-0000-000028050000}"/>
    <cellStyle name="60% - Accent4 2 4" xfId="1273" xr:uid="{00000000-0005-0000-0000-000029050000}"/>
    <cellStyle name="60% - Accent4 2 5" xfId="1274" xr:uid="{00000000-0005-0000-0000-00002A050000}"/>
    <cellStyle name="60% - Accent4 2 6" xfId="1275" xr:uid="{00000000-0005-0000-0000-00002B050000}"/>
    <cellStyle name="60% - Accent4 2 7" xfId="1276" xr:uid="{00000000-0005-0000-0000-00002C050000}"/>
    <cellStyle name="60% - Accent4 2 7 2" xfId="1277" xr:uid="{00000000-0005-0000-0000-00002D050000}"/>
    <cellStyle name="60% - Accent4 2 8" xfId="1278" xr:uid="{00000000-0005-0000-0000-00002E050000}"/>
    <cellStyle name="60% - Accent4 3" xfId="1279" xr:uid="{00000000-0005-0000-0000-00002F050000}"/>
    <cellStyle name="60% - Accent4 3 2" xfId="1280" xr:uid="{00000000-0005-0000-0000-000030050000}"/>
    <cellStyle name="60% - Accent4 3 3" xfId="1281" xr:uid="{00000000-0005-0000-0000-000031050000}"/>
    <cellStyle name="60% - Accent4 3 4" xfId="1282" xr:uid="{00000000-0005-0000-0000-000032050000}"/>
    <cellStyle name="60% - Accent4 3 5" xfId="1283" xr:uid="{00000000-0005-0000-0000-000033050000}"/>
    <cellStyle name="60% - Accent4 3 6" xfId="1284" xr:uid="{00000000-0005-0000-0000-000034050000}"/>
    <cellStyle name="60% - Accent4 3 7" xfId="1285" xr:uid="{00000000-0005-0000-0000-000035050000}"/>
    <cellStyle name="60% - Accent4 3 8" xfId="1286" xr:uid="{00000000-0005-0000-0000-000036050000}"/>
    <cellStyle name="60% - Accent4 3 9" xfId="1287" xr:uid="{00000000-0005-0000-0000-000037050000}"/>
    <cellStyle name="60% - Accent4 4" xfId="1288" xr:uid="{00000000-0005-0000-0000-000038050000}"/>
    <cellStyle name="60% - Accent4 4 2" xfId="1289" xr:uid="{00000000-0005-0000-0000-000039050000}"/>
    <cellStyle name="60% - Accent4 4 3" xfId="1290" xr:uid="{00000000-0005-0000-0000-00003A050000}"/>
    <cellStyle name="60% - Accent4 4 4" xfId="1291" xr:uid="{00000000-0005-0000-0000-00003B050000}"/>
    <cellStyle name="60% - Accent4 4 5" xfId="1292" xr:uid="{00000000-0005-0000-0000-00003C050000}"/>
    <cellStyle name="60% - Accent4 4 6" xfId="1293" xr:uid="{00000000-0005-0000-0000-00003D050000}"/>
    <cellStyle name="60% - Accent4 5" xfId="1294" xr:uid="{00000000-0005-0000-0000-00003E050000}"/>
    <cellStyle name="60% - Accent4 6" xfId="1295" xr:uid="{00000000-0005-0000-0000-00003F050000}"/>
    <cellStyle name="60% - Accent4 7" xfId="1296" xr:uid="{00000000-0005-0000-0000-000040050000}"/>
    <cellStyle name="60% - Accent4 8" xfId="1297" xr:uid="{00000000-0005-0000-0000-000041050000}"/>
    <cellStyle name="60% - Accent4 9" xfId="1298" xr:uid="{00000000-0005-0000-0000-000042050000}"/>
    <cellStyle name="60% - Accent5 10" xfId="1299" xr:uid="{00000000-0005-0000-0000-000043050000}"/>
    <cellStyle name="60% - Accent5 11" xfId="1300" xr:uid="{00000000-0005-0000-0000-000044050000}"/>
    <cellStyle name="60% - Accent5 12" xfId="1301" xr:uid="{00000000-0005-0000-0000-000045050000}"/>
    <cellStyle name="60% - Accent5 2" xfId="1302" xr:uid="{00000000-0005-0000-0000-000046050000}"/>
    <cellStyle name="60% - Accent5 2 2" xfId="1303" xr:uid="{00000000-0005-0000-0000-000047050000}"/>
    <cellStyle name="60% - Accent5 2 3" xfId="1304" xr:uid="{00000000-0005-0000-0000-000048050000}"/>
    <cellStyle name="60% - Accent5 2 4" xfId="1305" xr:uid="{00000000-0005-0000-0000-000049050000}"/>
    <cellStyle name="60% - Accent5 2 5" xfId="1306" xr:uid="{00000000-0005-0000-0000-00004A050000}"/>
    <cellStyle name="60% - Accent5 2 6" xfId="1307" xr:uid="{00000000-0005-0000-0000-00004B050000}"/>
    <cellStyle name="60% - Accent5 2 7" xfId="1308" xr:uid="{00000000-0005-0000-0000-00004C050000}"/>
    <cellStyle name="60% - Accent5 2 7 2" xfId="1309" xr:uid="{00000000-0005-0000-0000-00004D050000}"/>
    <cellStyle name="60% - Accent5 2 8" xfId="1310" xr:uid="{00000000-0005-0000-0000-00004E050000}"/>
    <cellStyle name="60% - Accent5 3" xfId="1311" xr:uid="{00000000-0005-0000-0000-00004F050000}"/>
    <cellStyle name="60% - Accent5 3 2" xfId="1312" xr:uid="{00000000-0005-0000-0000-000050050000}"/>
    <cellStyle name="60% - Accent5 3 3" xfId="1313" xr:uid="{00000000-0005-0000-0000-000051050000}"/>
    <cellStyle name="60% - Accent5 3 4" xfId="1314" xr:uid="{00000000-0005-0000-0000-000052050000}"/>
    <cellStyle name="60% - Accent5 3 5" xfId="1315" xr:uid="{00000000-0005-0000-0000-000053050000}"/>
    <cellStyle name="60% - Accent5 3 6" xfId="1316" xr:uid="{00000000-0005-0000-0000-000054050000}"/>
    <cellStyle name="60% - Accent5 3 7" xfId="1317" xr:uid="{00000000-0005-0000-0000-000055050000}"/>
    <cellStyle name="60% - Accent5 3 8" xfId="1318" xr:uid="{00000000-0005-0000-0000-000056050000}"/>
    <cellStyle name="60% - Accent5 3 9" xfId="1319" xr:uid="{00000000-0005-0000-0000-000057050000}"/>
    <cellStyle name="60% - Accent5 4" xfId="1320" xr:uid="{00000000-0005-0000-0000-000058050000}"/>
    <cellStyle name="60% - Accent5 4 2" xfId="1321" xr:uid="{00000000-0005-0000-0000-000059050000}"/>
    <cellStyle name="60% - Accent5 4 3" xfId="1322" xr:uid="{00000000-0005-0000-0000-00005A050000}"/>
    <cellStyle name="60% - Accent5 4 4" xfId="1323" xr:uid="{00000000-0005-0000-0000-00005B050000}"/>
    <cellStyle name="60% - Accent5 4 5" xfId="1324" xr:uid="{00000000-0005-0000-0000-00005C050000}"/>
    <cellStyle name="60% - Accent5 4 6" xfId="1325" xr:uid="{00000000-0005-0000-0000-00005D050000}"/>
    <cellStyle name="60% - Accent5 5" xfId="1326" xr:uid="{00000000-0005-0000-0000-00005E050000}"/>
    <cellStyle name="60% - Accent5 6" xfId="1327" xr:uid="{00000000-0005-0000-0000-00005F050000}"/>
    <cellStyle name="60% - Accent5 7" xfId="1328" xr:uid="{00000000-0005-0000-0000-000060050000}"/>
    <cellStyle name="60% - Accent5 8" xfId="1329" xr:uid="{00000000-0005-0000-0000-000061050000}"/>
    <cellStyle name="60% - Accent5 9" xfId="1330" xr:uid="{00000000-0005-0000-0000-000062050000}"/>
    <cellStyle name="60% - Accent6 10" xfId="1331" xr:uid="{00000000-0005-0000-0000-000063050000}"/>
    <cellStyle name="60% - Accent6 11" xfId="1332" xr:uid="{00000000-0005-0000-0000-000064050000}"/>
    <cellStyle name="60% - Accent6 12" xfId="1333" xr:uid="{00000000-0005-0000-0000-000065050000}"/>
    <cellStyle name="60% - Accent6 2" xfId="1334" xr:uid="{00000000-0005-0000-0000-000066050000}"/>
    <cellStyle name="60% - Accent6 2 2" xfId="1335" xr:uid="{00000000-0005-0000-0000-000067050000}"/>
    <cellStyle name="60% - Accent6 2 3" xfId="1336" xr:uid="{00000000-0005-0000-0000-000068050000}"/>
    <cellStyle name="60% - Accent6 2 4" xfId="1337" xr:uid="{00000000-0005-0000-0000-000069050000}"/>
    <cellStyle name="60% - Accent6 2 5" xfId="1338" xr:uid="{00000000-0005-0000-0000-00006A050000}"/>
    <cellStyle name="60% - Accent6 2 6" xfId="1339" xr:uid="{00000000-0005-0000-0000-00006B050000}"/>
    <cellStyle name="60% - Accent6 2 7" xfId="1340" xr:uid="{00000000-0005-0000-0000-00006C050000}"/>
    <cellStyle name="60% - Accent6 2 7 2" xfId="1341" xr:uid="{00000000-0005-0000-0000-00006D050000}"/>
    <cellStyle name="60% - Accent6 2 8" xfId="1342" xr:uid="{00000000-0005-0000-0000-00006E050000}"/>
    <cellStyle name="60% - Accent6 3" xfId="1343" xr:uid="{00000000-0005-0000-0000-00006F050000}"/>
    <cellStyle name="60% - Accent6 3 2" xfId="1344" xr:uid="{00000000-0005-0000-0000-000070050000}"/>
    <cellStyle name="60% - Accent6 3 3" xfId="1345" xr:uid="{00000000-0005-0000-0000-000071050000}"/>
    <cellStyle name="60% - Accent6 3 4" xfId="1346" xr:uid="{00000000-0005-0000-0000-000072050000}"/>
    <cellStyle name="60% - Accent6 3 5" xfId="1347" xr:uid="{00000000-0005-0000-0000-000073050000}"/>
    <cellStyle name="60% - Accent6 3 6" xfId="1348" xr:uid="{00000000-0005-0000-0000-000074050000}"/>
    <cellStyle name="60% - Accent6 3 7" xfId="1349" xr:uid="{00000000-0005-0000-0000-000075050000}"/>
    <cellStyle name="60% - Accent6 3 8" xfId="1350" xr:uid="{00000000-0005-0000-0000-000076050000}"/>
    <cellStyle name="60% - Accent6 3 9" xfId="1351" xr:uid="{00000000-0005-0000-0000-000077050000}"/>
    <cellStyle name="60% - Accent6 4" xfId="1352" xr:uid="{00000000-0005-0000-0000-000078050000}"/>
    <cellStyle name="60% - Accent6 4 2" xfId="1353" xr:uid="{00000000-0005-0000-0000-000079050000}"/>
    <cellStyle name="60% - Accent6 4 3" xfId="1354" xr:uid="{00000000-0005-0000-0000-00007A050000}"/>
    <cellStyle name="60% - Accent6 4 4" xfId="1355" xr:uid="{00000000-0005-0000-0000-00007B050000}"/>
    <cellStyle name="60% - Accent6 4 5" xfId="1356" xr:uid="{00000000-0005-0000-0000-00007C050000}"/>
    <cellStyle name="60% - Accent6 4 6" xfId="1357" xr:uid="{00000000-0005-0000-0000-00007D050000}"/>
    <cellStyle name="60% - Accent6 5" xfId="1358" xr:uid="{00000000-0005-0000-0000-00007E050000}"/>
    <cellStyle name="60% - Accent6 6" xfId="1359" xr:uid="{00000000-0005-0000-0000-00007F050000}"/>
    <cellStyle name="60% - Accent6 7" xfId="1360" xr:uid="{00000000-0005-0000-0000-000080050000}"/>
    <cellStyle name="60% - Accent6 8" xfId="1361" xr:uid="{00000000-0005-0000-0000-000081050000}"/>
    <cellStyle name="60% - Accent6 9" xfId="1362" xr:uid="{00000000-0005-0000-0000-000082050000}"/>
    <cellStyle name="Accent1 10" xfId="1363" xr:uid="{00000000-0005-0000-0000-000083050000}"/>
    <cellStyle name="Accent1 11" xfId="1364" xr:uid="{00000000-0005-0000-0000-000084050000}"/>
    <cellStyle name="Accent1 12" xfId="1365" xr:uid="{00000000-0005-0000-0000-000085050000}"/>
    <cellStyle name="Accent1 2" xfId="1366" xr:uid="{00000000-0005-0000-0000-000086050000}"/>
    <cellStyle name="Accent1 2 2" xfId="1367" xr:uid="{00000000-0005-0000-0000-000087050000}"/>
    <cellStyle name="Accent1 2 3" xfId="1368" xr:uid="{00000000-0005-0000-0000-000088050000}"/>
    <cellStyle name="Accent1 2 4" xfId="1369" xr:uid="{00000000-0005-0000-0000-000089050000}"/>
    <cellStyle name="Accent1 2 5" xfId="1370" xr:uid="{00000000-0005-0000-0000-00008A050000}"/>
    <cellStyle name="Accent1 2 6" xfId="1371" xr:uid="{00000000-0005-0000-0000-00008B050000}"/>
    <cellStyle name="Accent1 2 7" xfId="1372" xr:uid="{00000000-0005-0000-0000-00008C050000}"/>
    <cellStyle name="Accent1 2 8" xfId="1373" xr:uid="{00000000-0005-0000-0000-00008D050000}"/>
    <cellStyle name="Accent1 3" xfId="1374" xr:uid="{00000000-0005-0000-0000-00008E050000}"/>
    <cellStyle name="Accent1 3 2" xfId="1375" xr:uid="{00000000-0005-0000-0000-00008F050000}"/>
    <cellStyle name="Accent1 3 3" xfId="1376" xr:uid="{00000000-0005-0000-0000-000090050000}"/>
    <cellStyle name="Accent1 3 4" xfId="1377" xr:uid="{00000000-0005-0000-0000-000091050000}"/>
    <cellStyle name="Accent1 3 5" xfId="1378" xr:uid="{00000000-0005-0000-0000-000092050000}"/>
    <cellStyle name="Accent1 3 6" xfId="1379" xr:uid="{00000000-0005-0000-0000-000093050000}"/>
    <cellStyle name="Accent1 3 7" xfId="1380" xr:uid="{00000000-0005-0000-0000-000094050000}"/>
    <cellStyle name="Accent1 3 8" xfId="1381" xr:uid="{00000000-0005-0000-0000-000095050000}"/>
    <cellStyle name="Accent1 4" xfId="1382" xr:uid="{00000000-0005-0000-0000-000096050000}"/>
    <cellStyle name="Accent1 4 2" xfId="1383" xr:uid="{00000000-0005-0000-0000-000097050000}"/>
    <cellStyle name="Accent1 4 3" xfId="1384" xr:uid="{00000000-0005-0000-0000-000098050000}"/>
    <cellStyle name="Accent1 4 4" xfId="1385" xr:uid="{00000000-0005-0000-0000-000099050000}"/>
    <cellStyle name="Accent1 4 5" xfId="1386" xr:uid="{00000000-0005-0000-0000-00009A050000}"/>
    <cellStyle name="Accent1 4 6" xfId="1387" xr:uid="{00000000-0005-0000-0000-00009B050000}"/>
    <cellStyle name="Accent1 5" xfId="1388" xr:uid="{00000000-0005-0000-0000-00009C050000}"/>
    <cellStyle name="Accent1 6" xfId="1389" xr:uid="{00000000-0005-0000-0000-00009D050000}"/>
    <cellStyle name="Accent1 7" xfId="1390" xr:uid="{00000000-0005-0000-0000-00009E050000}"/>
    <cellStyle name="Accent1 8" xfId="1391" xr:uid="{00000000-0005-0000-0000-00009F050000}"/>
    <cellStyle name="Accent1 9" xfId="1392" xr:uid="{00000000-0005-0000-0000-0000A0050000}"/>
    <cellStyle name="Accent2 10" xfId="1393" xr:uid="{00000000-0005-0000-0000-0000A1050000}"/>
    <cellStyle name="Accent2 11" xfId="1394" xr:uid="{00000000-0005-0000-0000-0000A2050000}"/>
    <cellStyle name="Accent2 12" xfId="1395" xr:uid="{00000000-0005-0000-0000-0000A3050000}"/>
    <cellStyle name="Accent2 2" xfId="1396" xr:uid="{00000000-0005-0000-0000-0000A4050000}"/>
    <cellStyle name="Accent2 2 2" xfId="1397" xr:uid="{00000000-0005-0000-0000-0000A5050000}"/>
    <cellStyle name="Accent2 2 3" xfId="1398" xr:uid="{00000000-0005-0000-0000-0000A6050000}"/>
    <cellStyle name="Accent2 2 4" xfId="1399" xr:uid="{00000000-0005-0000-0000-0000A7050000}"/>
    <cellStyle name="Accent2 2 5" xfId="1400" xr:uid="{00000000-0005-0000-0000-0000A8050000}"/>
    <cellStyle name="Accent2 2 6" xfId="1401" xr:uid="{00000000-0005-0000-0000-0000A9050000}"/>
    <cellStyle name="Accent2 2 7" xfId="1402" xr:uid="{00000000-0005-0000-0000-0000AA050000}"/>
    <cellStyle name="Accent2 2 8" xfId="1403" xr:uid="{00000000-0005-0000-0000-0000AB050000}"/>
    <cellStyle name="Accent2 3" xfId="1404" xr:uid="{00000000-0005-0000-0000-0000AC050000}"/>
    <cellStyle name="Accent2 3 2" xfId="1405" xr:uid="{00000000-0005-0000-0000-0000AD050000}"/>
    <cellStyle name="Accent2 3 3" xfId="1406" xr:uid="{00000000-0005-0000-0000-0000AE050000}"/>
    <cellStyle name="Accent2 3 4" xfId="1407" xr:uid="{00000000-0005-0000-0000-0000AF050000}"/>
    <cellStyle name="Accent2 3 5" xfId="1408" xr:uid="{00000000-0005-0000-0000-0000B0050000}"/>
    <cellStyle name="Accent2 3 6" xfId="1409" xr:uid="{00000000-0005-0000-0000-0000B1050000}"/>
    <cellStyle name="Accent2 3 7" xfId="1410" xr:uid="{00000000-0005-0000-0000-0000B2050000}"/>
    <cellStyle name="Accent2 3 8" xfId="1411" xr:uid="{00000000-0005-0000-0000-0000B3050000}"/>
    <cellStyle name="Accent2 4" xfId="1412" xr:uid="{00000000-0005-0000-0000-0000B4050000}"/>
    <cellStyle name="Accent2 4 2" xfId="1413" xr:uid="{00000000-0005-0000-0000-0000B5050000}"/>
    <cellStyle name="Accent2 4 3" xfId="1414" xr:uid="{00000000-0005-0000-0000-0000B6050000}"/>
    <cellStyle name="Accent2 4 4" xfId="1415" xr:uid="{00000000-0005-0000-0000-0000B7050000}"/>
    <cellStyle name="Accent2 4 5" xfId="1416" xr:uid="{00000000-0005-0000-0000-0000B8050000}"/>
    <cellStyle name="Accent2 4 6" xfId="1417" xr:uid="{00000000-0005-0000-0000-0000B9050000}"/>
    <cellStyle name="Accent2 5" xfId="1418" xr:uid="{00000000-0005-0000-0000-0000BA050000}"/>
    <cellStyle name="Accent2 6" xfId="1419" xr:uid="{00000000-0005-0000-0000-0000BB050000}"/>
    <cellStyle name="Accent2 7" xfId="1420" xr:uid="{00000000-0005-0000-0000-0000BC050000}"/>
    <cellStyle name="Accent2 8" xfId="1421" xr:uid="{00000000-0005-0000-0000-0000BD050000}"/>
    <cellStyle name="Accent2 9" xfId="1422" xr:uid="{00000000-0005-0000-0000-0000BE050000}"/>
    <cellStyle name="Accent3 10" xfId="1423" xr:uid="{00000000-0005-0000-0000-0000BF050000}"/>
    <cellStyle name="Accent3 11" xfId="1424" xr:uid="{00000000-0005-0000-0000-0000C0050000}"/>
    <cellStyle name="Accent3 12" xfId="1425" xr:uid="{00000000-0005-0000-0000-0000C1050000}"/>
    <cellStyle name="Accent3 2" xfId="1426" xr:uid="{00000000-0005-0000-0000-0000C2050000}"/>
    <cellStyle name="Accent3 2 2" xfId="1427" xr:uid="{00000000-0005-0000-0000-0000C3050000}"/>
    <cellStyle name="Accent3 2 3" xfId="1428" xr:uid="{00000000-0005-0000-0000-0000C4050000}"/>
    <cellStyle name="Accent3 2 4" xfId="1429" xr:uid="{00000000-0005-0000-0000-0000C5050000}"/>
    <cellStyle name="Accent3 2 5" xfId="1430" xr:uid="{00000000-0005-0000-0000-0000C6050000}"/>
    <cellStyle name="Accent3 2 6" xfId="1431" xr:uid="{00000000-0005-0000-0000-0000C7050000}"/>
    <cellStyle name="Accent3 2 7" xfId="1432" xr:uid="{00000000-0005-0000-0000-0000C8050000}"/>
    <cellStyle name="Accent3 2 8" xfId="1433" xr:uid="{00000000-0005-0000-0000-0000C9050000}"/>
    <cellStyle name="Accent3 3" xfId="1434" xr:uid="{00000000-0005-0000-0000-0000CA050000}"/>
    <cellStyle name="Accent3 3 2" xfId="1435" xr:uid="{00000000-0005-0000-0000-0000CB050000}"/>
    <cellStyle name="Accent3 3 3" xfId="1436" xr:uid="{00000000-0005-0000-0000-0000CC050000}"/>
    <cellStyle name="Accent3 3 4" xfId="1437" xr:uid="{00000000-0005-0000-0000-0000CD050000}"/>
    <cellStyle name="Accent3 3 5" xfId="1438" xr:uid="{00000000-0005-0000-0000-0000CE050000}"/>
    <cellStyle name="Accent3 3 6" xfId="1439" xr:uid="{00000000-0005-0000-0000-0000CF050000}"/>
    <cellStyle name="Accent3 3 7" xfId="1440" xr:uid="{00000000-0005-0000-0000-0000D0050000}"/>
    <cellStyle name="Accent3 3 8" xfId="1441" xr:uid="{00000000-0005-0000-0000-0000D1050000}"/>
    <cellStyle name="Accent3 4" xfId="1442" xr:uid="{00000000-0005-0000-0000-0000D2050000}"/>
    <cellStyle name="Accent3 4 2" xfId="1443" xr:uid="{00000000-0005-0000-0000-0000D3050000}"/>
    <cellStyle name="Accent3 4 3" xfId="1444" xr:uid="{00000000-0005-0000-0000-0000D4050000}"/>
    <cellStyle name="Accent3 4 4" xfId="1445" xr:uid="{00000000-0005-0000-0000-0000D5050000}"/>
    <cellStyle name="Accent3 4 5" xfId="1446" xr:uid="{00000000-0005-0000-0000-0000D6050000}"/>
    <cellStyle name="Accent3 4 6" xfId="1447" xr:uid="{00000000-0005-0000-0000-0000D7050000}"/>
    <cellStyle name="Accent3 5" xfId="1448" xr:uid="{00000000-0005-0000-0000-0000D8050000}"/>
    <cellStyle name="Accent3 6" xfId="1449" xr:uid="{00000000-0005-0000-0000-0000D9050000}"/>
    <cellStyle name="Accent3 7" xfId="1450" xr:uid="{00000000-0005-0000-0000-0000DA050000}"/>
    <cellStyle name="Accent3 8" xfId="1451" xr:uid="{00000000-0005-0000-0000-0000DB050000}"/>
    <cellStyle name="Accent3 9" xfId="1452" xr:uid="{00000000-0005-0000-0000-0000DC050000}"/>
    <cellStyle name="Accent4 10" xfId="1453" xr:uid="{00000000-0005-0000-0000-0000DD050000}"/>
    <cellStyle name="Accent4 11" xfId="1454" xr:uid="{00000000-0005-0000-0000-0000DE050000}"/>
    <cellStyle name="Accent4 12" xfId="1455" xr:uid="{00000000-0005-0000-0000-0000DF050000}"/>
    <cellStyle name="Accent4 2" xfId="1456" xr:uid="{00000000-0005-0000-0000-0000E0050000}"/>
    <cellStyle name="Accent4 2 2" xfId="1457" xr:uid="{00000000-0005-0000-0000-0000E1050000}"/>
    <cellStyle name="Accent4 2 3" xfId="1458" xr:uid="{00000000-0005-0000-0000-0000E2050000}"/>
    <cellStyle name="Accent4 2 4" xfId="1459" xr:uid="{00000000-0005-0000-0000-0000E3050000}"/>
    <cellStyle name="Accent4 2 5" xfId="1460" xr:uid="{00000000-0005-0000-0000-0000E4050000}"/>
    <cellStyle name="Accent4 2 6" xfId="1461" xr:uid="{00000000-0005-0000-0000-0000E5050000}"/>
    <cellStyle name="Accent4 2 7" xfId="1462" xr:uid="{00000000-0005-0000-0000-0000E6050000}"/>
    <cellStyle name="Accent4 2 8" xfId="1463" xr:uid="{00000000-0005-0000-0000-0000E7050000}"/>
    <cellStyle name="Accent4 3" xfId="1464" xr:uid="{00000000-0005-0000-0000-0000E8050000}"/>
    <cellStyle name="Accent4 3 2" xfId="1465" xr:uid="{00000000-0005-0000-0000-0000E9050000}"/>
    <cellStyle name="Accent4 3 3" xfId="1466" xr:uid="{00000000-0005-0000-0000-0000EA050000}"/>
    <cellStyle name="Accent4 3 4" xfId="1467" xr:uid="{00000000-0005-0000-0000-0000EB050000}"/>
    <cellStyle name="Accent4 3 5" xfId="1468" xr:uid="{00000000-0005-0000-0000-0000EC050000}"/>
    <cellStyle name="Accent4 3 6" xfId="1469" xr:uid="{00000000-0005-0000-0000-0000ED050000}"/>
    <cellStyle name="Accent4 3 7" xfId="1470" xr:uid="{00000000-0005-0000-0000-0000EE050000}"/>
    <cellStyle name="Accent4 3 8" xfId="1471" xr:uid="{00000000-0005-0000-0000-0000EF050000}"/>
    <cellStyle name="Accent4 4" xfId="1472" xr:uid="{00000000-0005-0000-0000-0000F0050000}"/>
    <cellStyle name="Accent4 4 2" xfId="1473" xr:uid="{00000000-0005-0000-0000-0000F1050000}"/>
    <cellStyle name="Accent4 4 3" xfId="1474" xr:uid="{00000000-0005-0000-0000-0000F2050000}"/>
    <cellStyle name="Accent4 4 4" xfId="1475" xr:uid="{00000000-0005-0000-0000-0000F3050000}"/>
    <cellStyle name="Accent4 4 5" xfId="1476" xr:uid="{00000000-0005-0000-0000-0000F4050000}"/>
    <cellStyle name="Accent4 4 6" xfId="1477" xr:uid="{00000000-0005-0000-0000-0000F5050000}"/>
    <cellStyle name="Accent4 5" xfId="1478" xr:uid="{00000000-0005-0000-0000-0000F6050000}"/>
    <cellStyle name="Accent4 6" xfId="1479" xr:uid="{00000000-0005-0000-0000-0000F7050000}"/>
    <cellStyle name="Accent4 7" xfId="1480" xr:uid="{00000000-0005-0000-0000-0000F8050000}"/>
    <cellStyle name="Accent4 8" xfId="1481" xr:uid="{00000000-0005-0000-0000-0000F9050000}"/>
    <cellStyle name="Accent4 9" xfId="1482" xr:uid="{00000000-0005-0000-0000-0000FA050000}"/>
    <cellStyle name="Accent5 10" xfId="1483" xr:uid="{00000000-0005-0000-0000-0000FB050000}"/>
    <cellStyle name="Accent5 11" xfId="1484" xr:uid="{00000000-0005-0000-0000-0000FC050000}"/>
    <cellStyle name="Accent5 12" xfId="1485" xr:uid="{00000000-0005-0000-0000-0000FD050000}"/>
    <cellStyle name="Accent5 2" xfId="1486" xr:uid="{00000000-0005-0000-0000-0000FE050000}"/>
    <cellStyle name="Accent5 2 2" xfId="1487" xr:uid="{00000000-0005-0000-0000-0000FF050000}"/>
    <cellStyle name="Accent5 2 3" xfId="1488" xr:uid="{00000000-0005-0000-0000-000000060000}"/>
    <cellStyle name="Accent5 2 4" xfId="1489" xr:uid="{00000000-0005-0000-0000-000001060000}"/>
    <cellStyle name="Accent5 2 5" xfId="1490" xr:uid="{00000000-0005-0000-0000-000002060000}"/>
    <cellStyle name="Accent5 2 6" xfId="1491" xr:uid="{00000000-0005-0000-0000-000003060000}"/>
    <cellStyle name="Accent5 2 7" xfId="1492" xr:uid="{00000000-0005-0000-0000-000004060000}"/>
    <cellStyle name="Accent5 2 8" xfId="1493" xr:uid="{00000000-0005-0000-0000-000005060000}"/>
    <cellStyle name="Accent5 3" xfId="1494" xr:uid="{00000000-0005-0000-0000-000006060000}"/>
    <cellStyle name="Accent5 3 2" xfId="1495" xr:uid="{00000000-0005-0000-0000-000007060000}"/>
    <cellStyle name="Accent5 3 3" xfId="1496" xr:uid="{00000000-0005-0000-0000-000008060000}"/>
    <cellStyle name="Accent5 3 4" xfId="1497" xr:uid="{00000000-0005-0000-0000-000009060000}"/>
    <cellStyle name="Accent5 3 5" xfId="1498" xr:uid="{00000000-0005-0000-0000-00000A060000}"/>
    <cellStyle name="Accent5 3 6" xfId="1499" xr:uid="{00000000-0005-0000-0000-00000B060000}"/>
    <cellStyle name="Accent5 3 7" xfId="1500" xr:uid="{00000000-0005-0000-0000-00000C060000}"/>
    <cellStyle name="Accent5 3 8" xfId="1501" xr:uid="{00000000-0005-0000-0000-00000D060000}"/>
    <cellStyle name="Accent5 4" xfId="1502" xr:uid="{00000000-0005-0000-0000-00000E060000}"/>
    <cellStyle name="Accent5 4 2" xfId="1503" xr:uid="{00000000-0005-0000-0000-00000F060000}"/>
    <cellStyle name="Accent5 4 3" xfId="1504" xr:uid="{00000000-0005-0000-0000-000010060000}"/>
    <cellStyle name="Accent5 4 4" xfId="1505" xr:uid="{00000000-0005-0000-0000-000011060000}"/>
    <cellStyle name="Accent5 4 5" xfId="1506" xr:uid="{00000000-0005-0000-0000-000012060000}"/>
    <cellStyle name="Accent5 4 6" xfId="1507" xr:uid="{00000000-0005-0000-0000-000013060000}"/>
    <cellStyle name="Accent5 5" xfId="1508" xr:uid="{00000000-0005-0000-0000-000014060000}"/>
    <cellStyle name="Accent5 6" xfId="1509" xr:uid="{00000000-0005-0000-0000-000015060000}"/>
    <cellStyle name="Accent5 7" xfId="1510" xr:uid="{00000000-0005-0000-0000-000016060000}"/>
    <cellStyle name="Accent5 8" xfId="1511" xr:uid="{00000000-0005-0000-0000-000017060000}"/>
    <cellStyle name="Accent5 9" xfId="1512" xr:uid="{00000000-0005-0000-0000-000018060000}"/>
    <cellStyle name="Accent6 10" xfId="1513" xr:uid="{00000000-0005-0000-0000-000019060000}"/>
    <cellStyle name="Accent6 11" xfId="1514" xr:uid="{00000000-0005-0000-0000-00001A060000}"/>
    <cellStyle name="Accent6 12" xfId="1515" xr:uid="{00000000-0005-0000-0000-00001B060000}"/>
    <cellStyle name="Accent6 2" xfId="1516" xr:uid="{00000000-0005-0000-0000-00001C060000}"/>
    <cellStyle name="Accent6 2 2" xfId="1517" xr:uid="{00000000-0005-0000-0000-00001D060000}"/>
    <cellStyle name="Accent6 2 3" xfId="1518" xr:uid="{00000000-0005-0000-0000-00001E060000}"/>
    <cellStyle name="Accent6 2 4" xfId="1519" xr:uid="{00000000-0005-0000-0000-00001F060000}"/>
    <cellStyle name="Accent6 2 5" xfId="1520" xr:uid="{00000000-0005-0000-0000-000020060000}"/>
    <cellStyle name="Accent6 2 6" xfId="1521" xr:uid="{00000000-0005-0000-0000-000021060000}"/>
    <cellStyle name="Accent6 2 7" xfId="1522" xr:uid="{00000000-0005-0000-0000-000022060000}"/>
    <cellStyle name="Accent6 2 8" xfId="1523" xr:uid="{00000000-0005-0000-0000-000023060000}"/>
    <cellStyle name="Accent6 3" xfId="1524" xr:uid="{00000000-0005-0000-0000-000024060000}"/>
    <cellStyle name="Accent6 3 2" xfId="1525" xr:uid="{00000000-0005-0000-0000-000025060000}"/>
    <cellStyle name="Accent6 3 3" xfId="1526" xr:uid="{00000000-0005-0000-0000-000026060000}"/>
    <cellStyle name="Accent6 3 4" xfId="1527" xr:uid="{00000000-0005-0000-0000-000027060000}"/>
    <cellStyle name="Accent6 3 5" xfId="1528" xr:uid="{00000000-0005-0000-0000-000028060000}"/>
    <cellStyle name="Accent6 3 6" xfId="1529" xr:uid="{00000000-0005-0000-0000-000029060000}"/>
    <cellStyle name="Accent6 3 7" xfId="1530" xr:uid="{00000000-0005-0000-0000-00002A060000}"/>
    <cellStyle name="Accent6 3 8" xfId="1531" xr:uid="{00000000-0005-0000-0000-00002B060000}"/>
    <cellStyle name="Accent6 4" xfId="1532" xr:uid="{00000000-0005-0000-0000-00002C060000}"/>
    <cellStyle name="Accent6 4 2" xfId="1533" xr:uid="{00000000-0005-0000-0000-00002D060000}"/>
    <cellStyle name="Accent6 4 3" xfId="1534" xr:uid="{00000000-0005-0000-0000-00002E060000}"/>
    <cellStyle name="Accent6 4 4" xfId="1535" xr:uid="{00000000-0005-0000-0000-00002F060000}"/>
    <cellStyle name="Accent6 4 5" xfId="1536" xr:uid="{00000000-0005-0000-0000-000030060000}"/>
    <cellStyle name="Accent6 4 6" xfId="1537" xr:uid="{00000000-0005-0000-0000-000031060000}"/>
    <cellStyle name="Accent6 5" xfId="1538" xr:uid="{00000000-0005-0000-0000-000032060000}"/>
    <cellStyle name="Accent6 6" xfId="1539" xr:uid="{00000000-0005-0000-0000-000033060000}"/>
    <cellStyle name="Accent6 7" xfId="1540" xr:uid="{00000000-0005-0000-0000-000034060000}"/>
    <cellStyle name="Accent6 8" xfId="1541" xr:uid="{00000000-0005-0000-0000-000035060000}"/>
    <cellStyle name="Accent6 9" xfId="1542" xr:uid="{00000000-0005-0000-0000-000036060000}"/>
    <cellStyle name="Bad 10" xfId="1543" xr:uid="{00000000-0005-0000-0000-000037060000}"/>
    <cellStyle name="Bad 11" xfId="1544" xr:uid="{00000000-0005-0000-0000-000038060000}"/>
    <cellStyle name="Bad 12" xfId="1545" xr:uid="{00000000-0005-0000-0000-000039060000}"/>
    <cellStyle name="Bad 2" xfId="1546" xr:uid="{00000000-0005-0000-0000-00003A060000}"/>
    <cellStyle name="Bad 2 2" xfId="1547" xr:uid="{00000000-0005-0000-0000-00003B060000}"/>
    <cellStyle name="Bad 2 3" xfId="1548" xr:uid="{00000000-0005-0000-0000-00003C060000}"/>
    <cellStyle name="Bad 2 4" xfId="1549" xr:uid="{00000000-0005-0000-0000-00003D060000}"/>
    <cellStyle name="Bad 2 5" xfId="1550" xr:uid="{00000000-0005-0000-0000-00003E060000}"/>
    <cellStyle name="Bad 2 6" xfId="1551" xr:uid="{00000000-0005-0000-0000-00003F060000}"/>
    <cellStyle name="Bad 2 7" xfId="1552" xr:uid="{00000000-0005-0000-0000-000040060000}"/>
    <cellStyle name="Bad 2 8" xfId="1553" xr:uid="{00000000-0005-0000-0000-000041060000}"/>
    <cellStyle name="Bad 3" xfId="1554" xr:uid="{00000000-0005-0000-0000-000042060000}"/>
    <cellStyle name="Bad 3 2" xfId="1555" xr:uid="{00000000-0005-0000-0000-000043060000}"/>
    <cellStyle name="Bad 3 3" xfId="1556" xr:uid="{00000000-0005-0000-0000-000044060000}"/>
    <cellStyle name="Bad 3 4" xfId="1557" xr:uid="{00000000-0005-0000-0000-000045060000}"/>
    <cellStyle name="Bad 3 5" xfId="1558" xr:uid="{00000000-0005-0000-0000-000046060000}"/>
    <cellStyle name="Bad 3 6" xfId="1559" xr:uid="{00000000-0005-0000-0000-000047060000}"/>
    <cellStyle name="Bad 3 7" xfId="1560" xr:uid="{00000000-0005-0000-0000-000048060000}"/>
    <cellStyle name="Bad 3 8" xfId="1561" xr:uid="{00000000-0005-0000-0000-000049060000}"/>
    <cellStyle name="Bad 4" xfId="1562" xr:uid="{00000000-0005-0000-0000-00004A060000}"/>
    <cellStyle name="Bad 4 2" xfId="1563" xr:uid="{00000000-0005-0000-0000-00004B060000}"/>
    <cellStyle name="Bad 4 3" xfId="1564" xr:uid="{00000000-0005-0000-0000-00004C060000}"/>
    <cellStyle name="Bad 4 4" xfId="1565" xr:uid="{00000000-0005-0000-0000-00004D060000}"/>
    <cellStyle name="Bad 4 5" xfId="1566" xr:uid="{00000000-0005-0000-0000-00004E060000}"/>
    <cellStyle name="Bad 4 6" xfId="1567" xr:uid="{00000000-0005-0000-0000-00004F060000}"/>
    <cellStyle name="Bad 5" xfId="1568" xr:uid="{00000000-0005-0000-0000-000050060000}"/>
    <cellStyle name="Bad 6" xfId="1569" xr:uid="{00000000-0005-0000-0000-000051060000}"/>
    <cellStyle name="Bad 7" xfId="1570" xr:uid="{00000000-0005-0000-0000-000052060000}"/>
    <cellStyle name="Bad 8" xfId="1571" xr:uid="{00000000-0005-0000-0000-000053060000}"/>
    <cellStyle name="Bad 9" xfId="1572" xr:uid="{00000000-0005-0000-0000-000054060000}"/>
    <cellStyle name="Calculation 10" xfId="1573" xr:uid="{00000000-0005-0000-0000-000055060000}"/>
    <cellStyle name="Calculation 10 2" xfId="1574" xr:uid="{00000000-0005-0000-0000-000056060000}"/>
    <cellStyle name="Calculation 10 2 2" xfId="1575" xr:uid="{00000000-0005-0000-0000-000057060000}"/>
    <cellStyle name="Calculation 10 2 3" xfId="1576" xr:uid="{00000000-0005-0000-0000-000058060000}"/>
    <cellStyle name="Calculation 10 2 4" xfId="1577" xr:uid="{00000000-0005-0000-0000-000059060000}"/>
    <cellStyle name="Calculation 10 3" xfId="1578" xr:uid="{00000000-0005-0000-0000-00005A060000}"/>
    <cellStyle name="Calculation 10 3 2" xfId="1579" xr:uid="{00000000-0005-0000-0000-00005B060000}"/>
    <cellStyle name="Calculation 10 3 3" xfId="1580" xr:uid="{00000000-0005-0000-0000-00005C060000}"/>
    <cellStyle name="Calculation 10 3 4" xfId="1581" xr:uid="{00000000-0005-0000-0000-00005D060000}"/>
    <cellStyle name="Calculation 10 4" xfId="1582" xr:uid="{00000000-0005-0000-0000-00005E060000}"/>
    <cellStyle name="Calculation 10 4 2" xfId="1583" xr:uid="{00000000-0005-0000-0000-00005F060000}"/>
    <cellStyle name="Calculation 10 4 3" xfId="1584" xr:uid="{00000000-0005-0000-0000-000060060000}"/>
    <cellStyle name="Calculation 10 4 4" xfId="1585" xr:uid="{00000000-0005-0000-0000-000061060000}"/>
    <cellStyle name="Calculation 10 5" xfId="1586" xr:uid="{00000000-0005-0000-0000-000062060000}"/>
    <cellStyle name="Calculation 10 5 2" xfId="1587" xr:uid="{00000000-0005-0000-0000-000063060000}"/>
    <cellStyle name="Calculation 10 5 3" xfId="1588" xr:uid="{00000000-0005-0000-0000-000064060000}"/>
    <cellStyle name="Calculation 10 5 4" xfId="1589" xr:uid="{00000000-0005-0000-0000-000065060000}"/>
    <cellStyle name="Calculation 10 6" xfId="1590" xr:uid="{00000000-0005-0000-0000-000066060000}"/>
    <cellStyle name="Calculation 10 7" xfId="1591" xr:uid="{00000000-0005-0000-0000-000067060000}"/>
    <cellStyle name="Calculation 10 8" xfId="1592" xr:uid="{00000000-0005-0000-0000-000068060000}"/>
    <cellStyle name="Calculation 11" xfId="1593" xr:uid="{00000000-0005-0000-0000-000069060000}"/>
    <cellStyle name="Calculation 11 2" xfId="1594" xr:uid="{00000000-0005-0000-0000-00006A060000}"/>
    <cellStyle name="Calculation 11 2 2" xfId="1595" xr:uid="{00000000-0005-0000-0000-00006B060000}"/>
    <cellStyle name="Calculation 11 2 3" xfId="1596" xr:uid="{00000000-0005-0000-0000-00006C060000}"/>
    <cellStyle name="Calculation 11 2 4" xfId="1597" xr:uid="{00000000-0005-0000-0000-00006D060000}"/>
    <cellStyle name="Calculation 11 3" xfId="1598" xr:uid="{00000000-0005-0000-0000-00006E060000}"/>
    <cellStyle name="Calculation 11 3 2" xfId="1599" xr:uid="{00000000-0005-0000-0000-00006F060000}"/>
    <cellStyle name="Calculation 11 3 3" xfId="1600" xr:uid="{00000000-0005-0000-0000-000070060000}"/>
    <cellStyle name="Calculation 11 3 4" xfId="1601" xr:uid="{00000000-0005-0000-0000-000071060000}"/>
    <cellStyle name="Calculation 11 4" xfId="1602" xr:uid="{00000000-0005-0000-0000-000072060000}"/>
    <cellStyle name="Calculation 11 4 2" xfId="1603" xr:uid="{00000000-0005-0000-0000-000073060000}"/>
    <cellStyle name="Calculation 11 4 3" xfId="1604" xr:uid="{00000000-0005-0000-0000-000074060000}"/>
    <cellStyle name="Calculation 11 4 4" xfId="1605" xr:uid="{00000000-0005-0000-0000-000075060000}"/>
    <cellStyle name="Calculation 11 5" xfId="1606" xr:uid="{00000000-0005-0000-0000-000076060000}"/>
    <cellStyle name="Calculation 11 5 2" xfId="1607" xr:uid="{00000000-0005-0000-0000-000077060000}"/>
    <cellStyle name="Calculation 11 5 3" xfId="1608" xr:uid="{00000000-0005-0000-0000-000078060000}"/>
    <cellStyle name="Calculation 11 5 4" xfId="1609" xr:uid="{00000000-0005-0000-0000-000079060000}"/>
    <cellStyle name="Calculation 11 6" xfId="1610" xr:uid="{00000000-0005-0000-0000-00007A060000}"/>
    <cellStyle name="Calculation 11 7" xfId="1611" xr:uid="{00000000-0005-0000-0000-00007B060000}"/>
    <cellStyle name="Calculation 11 8" xfId="1612" xr:uid="{00000000-0005-0000-0000-00007C060000}"/>
    <cellStyle name="Calculation 12" xfId="1613" xr:uid="{00000000-0005-0000-0000-00007D060000}"/>
    <cellStyle name="Calculation 2" xfId="1614" xr:uid="{00000000-0005-0000-0000-00007E060000}"/>
    <cellStyle name="Calculation 2 10" xfId="1615" xr:uid="{00000000-0005-0000-0000-00007F060000}"/>
    <cellStyle name="Calculation 2 10 2" xfId="1616" xr:uid="{00000000-0005-0000-0000-000080060000}"/>
    <cellStyle name="Calculation 2 10 3" xfId="1617" xr:uid="{00000000-0005-0000-0000-000081060000}"/>
    <cellStyle name="Calculation 2 10 4" xfId="1618" xr:uid="{00000000-0005-0000-0000-000082060000}"/>
    <cellStyle name="Calculation 2 11" xfId="1619" xr:uid="{00000000-0005-0000-0000-000083060000}"/>
    <cellStyle name="Calculation 2 12" xfId="1620" xr:uid="{00000000-0005-0000-0000-000084060000}"/>
    <cellStyle name="Calculation 2 12 2" xfId="1621" xr:uid="{00000000-0005-0000-0000-000085060000}"/>
    <cellStyle name="Calculation 2 13" xfId="1622" xr:uid="{00000000-0005-0000-0000-000086060000}"/>
    <cellStyle name="Calculation 2 14" xfId="1623" xr:uid="{00000000-0005-0000-0000-000087060000}"/>
    <cellStyle name="Calculation 2 2" xfId="1624" xr:uid="{00000000-0005-0000-0000-000088060000}"/>
    <cellStyle name="Calculation 2 2 2" xfId="1625" xr:uid="{00000000-0005-0000-0000-000089060000}"/>
    <cellStyle name="Calculation 2 2 2 2" xfId="1626" xr:uid="{00000000-0005-0000-0000-00008A060000}"/>
    <cellStyle name="Calculation 2 2 2 3" xfId="1627" xr:uid="{00000000-0005-0000-0000-00008B060000}"/>
    <cellStyle name="Calculation 2 2 2 4" xfId="1628" xr:uid="{00000000-0005-0000-0000-00008C060000}"/>
    <cellStyle name="Calculation 2 2 3" xfId="1629" xr:uid="{00000000-0005-0000-0000-00008D060000}"/>
    <cellStyle name="Calculation 2 2 3 2" xfId="1630" xr:uid="{00000000-0005-0000-0000-00008E060000}"/>
    <cellStyle name="Calculation 2 2 3 3" xfId="1631" xr:uid="{00000000-0005-0000-0000-00008F060000}"/>
    <cellStyle name="Calculation 2 2 3 4" xfId="1632" xr:uid="{00000000-0005-0000-0000-000090060000}"/>
    <cellStyle name="Calculation 2 2 4" xfId="1633" xr:uid="{00000000-0005-0000-0000-000091060000}"/>
    <cellStyle name="Calculation 2 2 4 2" xfId="1634" xr:uid="{00000000-0005-0000-0000-000092060000}"/>
    <cellStyle name="Calculation 2 2 4 3" xfId="1635" xr:uid="{00000000-0005-0000-0000-000093060000}"/>
    <cellStyle name="Calculation 2 2 4 4" xfId="1636" xr:uid="{00000000-0005-0000-0000-000094060000}"/>
    <cellStyle name="Calculation 2 2 5" xfId="1637" xr:uid="{00000000-0005-0000-0000-000095060000}"/>
    <cellStyle name="Calculation 2 2 5 2" xfId="1638" xr:uid="{00000000-0005-0000-0000-000096060000}"/>
    <cellStyle name="Calculation 2 2 5 3" xfId="1639" xr:uid="{00000000-0005-0000-0000-000097060000}"/>
    <cellStyle name="Calculation 2 2 5 4" xfId="1640" xr:uid="{00000000-0005-0000-0000-000098060000}"/>
    <cellStyle name="Calculation 2 2 6" xfId="1641" xr:uid="{00000000-0005-0000-0000-000099060000}"/>
    <cellStyle name="Calculation 2 2 7" xfId="1642" xr:uid="{00000000-0005-0000-0000-00009A060000}"/>
    <cellStyle name="Calculation 2 2 8" xfId="1643" xr:uid="{00000000-0005-0000-0000-00009B060000}"/>
    <cellStyle name="Calculation 2 3" xfId="1644" xr:uid="{00000000-0005-0000-0000-00009C060000}"/>
    <cellStyle name="Calculation 2 3 2" xfId="1645" xr:uid="{00000000-0005-0000-0000-00009D060000}"/>
    <cellStyle name="Calculation 2 3 2 2" xfId="1646" xr:uid="{00000000-0005-0000-0000-00009E060000}"/>
    <cellStyle name="Calculation 2 3 2 3" xfId="1647" xr:uid="{00000000-0005-0000-0000-00009F060000}"/>
    <cellStyle name="Calculation 2 3 2 4" xfId="1648" xr:uid="{00000000-0005-0000-0000-0000A0060000}"/>
    <cellStyle name="Calculation 2 3 3" xfId="1649" xr:uid="{00000000-0005-0000-0000-0000A1060000}"/>
    <cellStyle name="Calculation 2 3 3 2" xfId="1650" xr:uid="{00000000-0005-0000-0000-0000A2060000}"/>
    <cellStyle name="Calculation 2 3 3 3" xfId="1651" xr:uid="{00000000-0005-0000-0000-0000A3060000}"/>
    <cellStyle name="Calculation 2 3 3 4" xfId="1652" xr:uid="{00000000-0005-0000-0000-0000A4060000}"/>
    <cellStyle name="Calculation 2 3 4" xfId="1653" xr:uid="{00000000-0005-0000-0000-0000A5060000}"/>
    <cellStyle name="Calculation 2 3 4 2" xfId="1654" xr:uid="{00000000-0005-0000-0000-0000A6060000}"/>
    <cellStyle name="Calculation 2 3 4 3" xfId="1655" xr:uid="{00000000-0005-0000-0000-0000A7060000}"/>
    <cellStyle name="Calculation 2 3 4 4" xfId="1656" xr:uid="{00000000-0005-0000-0000-0000A8060000}"/>
    <cellStyle name="Calculation 2 3 5" xfId="1657" xr:uid="{00000000-0005-0000-0000-0000A9060000}"/>
    <cellStyle name="Calculation 2 3 5 2" xfId="1658" xr:uid="{00000000-0005-0000-0000-0000AA060000}"/>
    <cellStyle name="Calculation 2 3 5 3" xfId="1659" xr:uid="{00000000-0005-0000-0000-0000AB060000}"/>
    <cellStyle name="Calculation 2 3 5 4" xfId="1660" xr:uid="{00000000-0005-0000-0000-0000AC060000}"/>
    <cellStyle name="Calculation 2 3 6" xfId="1661" xr:uid="{00000000-0005-0000-0000-0000AD060000}"/>
    <cellStyle name="Calculation 2 3 7" xfId="1662" xr:uid="{00000000-0005-0000-0000-0000AE060000}"/>
    <cellStyle name="Calculation 2 3 8" xfId="1663" xr:uid="{00000000-0005-0000-0000-0000AF060000}"/>
    <cellStyle name="Calculation 2 4" xfId="1664" xr:uid="{00000000-0005-0000-0000-0000B0060000}"/>
    <cellStyle name="Calculation 2 4 2" xfId="1665" xr:uid="{00000000-0005-0000-0000-0000B1060000}"/>
    <cellStyle name="Calculation 2 4 2 2" xfId="1666" xr:uid="{00000000-0005-0000-0000-0000B2060000}"/>
    <cellStyle name="Calculation 2 4 2 3" xfId="1667" xr:uid="{00000000-0005-0000-0000-0000B3060000}"/>
    <cellStyle name="Calculation 2 4 2 4" xfId="1668" xr:uid="{00000000-0005-0000-0000-0000B4060000}"/>
    <cellStyle name="Calculation 2 4 3" xfId="1669" xr:uid="{00000000-0005-0000-0000-0000B5060000}"/>
    <cellStyle name="Calculation 2 4 3 2" xfId="1670" xr:uid="{00000000-0005-0000-0000-0000B6060000}"/>
    <cellStyle name="Calculation 2 4 3 3" xfId="1671" xr:uid="{00000000-0005-0000-0000-0000B7060000}"/>
    <cellStyle name="Calculation 2 4 3 4" xfId="1672" xr:uid="{00000000-0005-0000-0000-0000B8060000}"/>
    <cellStyle name="Calculation 2 4 4" xfId="1673" xr:uid="{00000000-0005-0000-0000-0000B9060000}"/>
    <cellStyle name="Calculation 2 4 4 2" xfId="1674" xr:uid="{00000000-0005-0000-0000-0000BA060000}"/>
    <cellStyle name="Calculation 2 4 4 3" xfId="1675" xr:uid="{00000000-0005-0000-0000-0000BB060000}"/>
    <cellStyle name="Calculation 2 4 4 4" xfId="1676" xr:uid="{00000000-0005-0000-0000-0000BC060000}"/>
    <cellStyle name="Calculation 2 4 5" xfId="1677" xr:uid="{00000000-0005-0000-0000-0000BD060000}"/>
    <cellStyle name="Calculation 2 4 5 2" xfId="1678" xr:uid="{00000000-0005-0000-0000-0000BE060000}"/>
    <cellStyle name="Calculation 2 4 5 3" xfId="1679" xr:uid="{00000000-0005-0000-0000-0000BF060000}"/>
    <cellStyle name="Calculation 2 4 5 4" xfId="1680" xr:uid="{00000000-0005-0000-0000-0000C0060000}"/>
    <cellStyle name="Calculation 2 4 6" xfId="1681" xr:uid="{00000000-0005-0000-0000-0000C1060000}"/>
    <cellStyle name="Calculation 2 4 7" xfId="1682" xr:uid="{00000000-0005-0000-0000-0000C2060000}"/>
    <cellStyle name="Calculation 2 4 8" xfId="1683" xr:uid="{00000000-0005-0000-0000-0000C3060000}"/>
    <cellStyle name="Calculation 2 5" xfId="1684" xr:uid="{00000000-0005-0000-0000-0000C4060000}"/>
    <cellStyle name="Calculation 2 5 2" xfId="1685" xr:uid="{00000000-0005-0000-0000-0000C5060000}"/>
    <cellStyle name="Calculation 2 5 2 2" xfId="1686" xr:uid="{00000000-0005-0000-0000-0000C6060000}"/>
    <cellStyle name="Calculation 2 5 2 3" xfId="1687" xr:uid="{00000000-0005-0000-0000-0000C7060000}"/>
    <cellStyle name="Calculation 2 5 2 4" xfId="1688" xr:uid="{00000000-0005-0000-0000-0000C8060000}"/>
    <cellStyle name="Calculation 2 5 3" xfId="1689" xr:uid="{00000000-0005-0000-0000-0000C9060000}"/>
    <cellStyle name="Calculation 2 5 3 2" xfId="1690" xr:uid="{00000000-0005-0000-0000-0000CA060000}"/>
    <cellStyle name="Calculation 2 5 3 3" xfId="1691" xr:uid="{00000000-0005-0000-0000-0000CB060000}"/>
    <cellStyle name="Calculation 2 5 3 4" xfId="1692" xr:uid="{00000000-0005-0000-0000-0000CC060000}"/>
    <cellStyle name="Calculation 2 5 4" xfId="1693" xr:uid="{00000000-0005-0000-0000-0000CD060000}"/>
    <cellStyle name="Calculation 2 5 4 2" xfId="1694" xr:uid="{00000000-0005-0000-0000-0000CE060000}"/>
    <cellStyle name="Calculation 2 5 4 3" xfId="1695" xr:uid="{00000000-0005-0000-0000-0000CF060000}"/>
    <cellStyle name="Calculation 2 5 4 4" xfId="1696" xr:uid="{00000000-0005-0000-0000-0000D0060000}"/>
    <cellStyle name="Calculation 2 5 5" xfId="1697" xr:uid="{00000000-0005-0000-0000-0000D1060000}"/>
    <cellStyle name="Calculation 2 5 5 2" xfId="1698" xr:uid="{00000000-0005-0000-0000-0000D2060000}"/>
    <cellStyle name="Calculation 2 5 5 3" xfId="1699" xr:uid="{00000000-0005-0000-0000-0000D3060000}"/>
    <cellStyle name="Calculation 2 5 5 4" xfId="1700" xr:uid="{00000000-0005-0000-0000-0000D4060000}"/>
    <cellStyle name="Calculation 2 5 6" xfId="1701" xr:uid="{00000000-0005-0000-0000-0000D5060000}"/>
    <cellStyle name="Calculation 2 5 7" xfId="1702" xr:uid="{00000000-0005-0000-0000-0000D6060000}"/>
    <cellStyle name="Calculation 2 5 8" xfId="1703" xr:uid="{00000000-0005-0000-0000-0000D7060000}"/>
    <cellStyle name="Calculation 2 6" xfId="1704" xr:uid="{00000000-0005-0000-0000-0000D8060000}"/>
    <cellStyle name="Calculation 2 6 2" xfId="1705" xr:uid="{00000000-0005-0000-0000-0000D9060000}"/>
    <cellStyle name="Calculation 2 6 2 2" xfId="1706" xr:uid="{00000000-0005-0000-0000-0000DA060000}"/>
    <cellStyle name="Calculation 2 6 2 3" xfId="1707" xr:uid="{00000000-0005-0000-0000-0000DB060000}"/>
    <cellStyle name="Calculation 2 6 2 4" xfId="1708" xr:uid="{00000000-0005-0000-0000-0000DC060000}"/>
    <cellStyle name="Calculation 2 6 3" xfId="1709" xr:uid="{00000000-0005-0000-0000-0000DD060000}"/>
    <cellStyle name="Calculation 2 6 3 2" xfId="1710" xr:uid="{00000000-0005-0000-0000-0000DE060000}"/>
    <cellStyle name="Calculation 2 6 3 3" xfId="1711" xr:uid="{00000000-0005-0000-0000-0000DF060000}"/>
    <cellStyle name="Calculation 2 6 3 4" xfId="1712" xr:uid="{00000000-0005-0000-0000-0000E0060000}"/>
    <cellStyle name="Calculation 2 6 4" xfId="1713" xr:uid="{00000000-0005-0000-0000-0000E1060000}"/>
    <cellStyle name="Calculation 2 6 4 2" xfId="1714" xr:uid="{00000000-0005-0000-0000-0000E2060000}"/>
    <cellStyle name="Calculation 2 6 4 3" xfId="1715" xr:uid="{00000000-0005-0000-0000-0000E3060000}"/>
    <cellStyle name="Calculation 2 6 4 4" xfId="1716" xr:uid="{00000000-0005-0000-0000-0000E4060000}"/>
    <cellStyle name="Calculation 2 6 5" xfId="1717" xr:uid="{00000000-0005-0000-0000-0000E5060000}"/>
    <cellStyle name="Calculation 2 6 5 2" xfId="1718" xr:uid="{00000000-0005-0000-0000-0000E6060000}"/>
    <cellStyle name="Calculation 2 6 5 3" xfId="1719" xr:uid="{00000000-0005-0000-0000-0000E7060000}"/>
    <cellStyle name="Calculation 2 6 5 4" xfId="1720" xr:uid="{00000000-0005-0000-0000-0000E8060000}"/>
    <cellStyle name="Calculation 2 6 6" xfId="1721" xr:uid="{00000000-0005-0000-0000-0000E9060000}"/>
    <cellStyle name="Calculation 2 6 7" xfId="1722" xr:uid="{00000000-0005-0000-0000-0000EA060000}"/>
    <cellStyle name="Calculation 2 6 8" xfId="1723" xr:uid="{00000000-0005-0000-0000-0000EB060000}"/>
    <cellStyle name="Calculation 2 7" xfId="1724" xr:uid="{00000000-0005-0000-0000-0000EC060000}"/>
    <cellStyle name="Calculation 2 7 2" xfId="1725" xr:uid="{00000000-0005-0000-0000-0000ED060000}"/>
    <cellStyle name="Calculation 2 7 2 2" xfId="1726" xr:uid="{00000000-0005-0000-0000-0000EE060000}"/>
    <cellStyle name="Calculation 2 7 2 3" xfId="1727" xr:uid="{00000000-0005-0000-0000-0000EF060000}"/>
    <cellStyle name="Calculation 2 7 2 4" xfId="1728" xr:uid="{00000000-0005-0000-0000-0000F0060000}"/>
    <cellStyle name="Calculation 2 7 3" xfId="1729" xr:uid="{00000000-0005-0000-0000-0000F1060000}"/>
    <cellStyle name="Calculation 2 7 4" xfId="1730" xr:uid="{00000000-0005-0000-0000-0000F2060000}"/>
    <cellStyle name="Calculation 2 7 5" xfId="1731" xr:uid="{00000000-0005-0000-0000-0000F3060000}"/>
    <cellStyle name="Calculation 2 8" xfId="1732" xr:uid="{00000000-0005-0000-0000-0000F4060000}"/>
    <cellStyle name="Calculation 2 8 2" xfId="1733" xr:uid="{00000000-0005-0000-0000-0000F5060000}"/>
    <cellStyle name="Calculation 2 8 3" xfId="1734" xr:uid="{00000000-0005-0000-0000-0000F6060000}"/>
    <cellStyle name="Calculation 2 8 4" xfId="1735" xr:uid="{00000000-0005-0000-0000-0000F7060000}"/>
    <cellStyle name="Calculation 2 9" xfId="1736" xr:uid="{00000000-0005-0000-0000-0000F8060000}"/>
    <cellStyle name="Calculation 2 9 2" xfId="1737" xr:uid="{00000000-0005-0000-0000-0000F9060000}"/>
    <cellStyle name="Calculation 2 9 3" xfId="1738" xr:uid="{00000000-0005-0000-0000-0000FA060000}"/>
    <cellStyle name="Calculation 2 9 4" xfId="1739" xr:uid="{00000000-0005-0000-0000-0000FB060000}"/>
    <cellStyle name="Calculation 3" xfId="1740" xr:uid="{00000000-0005-0000-0000-0000FC060000}"/>
    <cellStyle name="Calculation 3 10" xfId="1741" xr:uid="{00000000-0005-0000-0000-0000FD060000}"/>
    <cellStyle name="Calculation 3 10 2" xfId="1742" xr:uid="{00000000-0005-0000-0000-0000FE060000}"/>
    <cellStyle name="Calculation 3 10 3" xfId="1743" xr:uid="{00000000-0005-0000-0000-0000FF060000}"/>
    <cellStyle name="Calculation 3 10 4" xfId="1744" xr:uid="{00000000-0005-0000-0000-000000070000}"/>
    <cellStyle name="Calculation 3 11" xfId="1745" xr:uid="{00000000-0005-0000-0000-000001070000}"/>
    <cellStyle name="Calculation 3 12" xfId="1746" xr:uid="{00000000-0005-0000-0000-000002070000}"/>
    <cellStyle name="Calculation 3 13" xfId="1747" xr:uid="{00000000-0005-0000-0000-000003070000}"/>
    <cellStyle name="Calculation 3 14" xfId="1748" xr:uid="{00000000-0005-0000-0000-000004070000}"/>
    <cellStyle name="Calculation 3 2" xfId="1749" xr:uid="{00000000-0005-0000-0000-000005070000}"/>
    <cellStyle name="Calculation 3 2 2" xfId="1750" xr:uid="{00000000-0005-0000-0000-000006070000}"/>
    <cellStyle name="Calculation 3 2 2 2" xfId="1751" xr:uid="{00000000-0005-0000-0000-000007070000}"/>
    <cellStyle name="Calculation 3 2 2 3" xfId="1752" xr:uid="{00000000-0005-0000-0000-000008070000}"/>
    <cellStyle name="Calculation 3 2 2 4" xfId="1753" xr:uid="{00000000-0005-0000-0000-000009070000}"/>
    <cellStyle name="Calculation 3 2 3" xfId="1754" xr:uid="{00000000-0005-0000-0000-00000A070000}"/>
    <cellStyle name="Calculation 3 2 3 2" xfId="1755" xr:uid="{00000000-0005-0000-0000-00000B070000}"/>
    <cellStyle name="Calculation 3 2 3 3" xfId="1756" xr:uid="{00000000-0005-0000-0000-00000C070000}"/>
    <cellStyle name="Calculation 3 2 3 4" xfId="1757" xr:uid="{00000000-0005-0000-0000-00000D070000}"/>
    <cellStyle name="Calculation 3 2 4" xfId="1758" xr:uid="{00000000-0005-0000-0000-00000E070000}"/>
    <cellStyle name="Calculation 3 2 4 2" xfId="1759" xr:uid="{00000000-0005-0000-0000-00000F070000}"/>
    <cellStyle name="Calculation 3 2 4 3" xfId="1760" xr:uid="{00000000-0005-0000-0000-000010070000}"/>
    <cellStyle name="Calculation 3 2 4 4" xfId="1761" xr:uid="{00000000-0005-0000-0000-000011070000}"/>
    <cellStyle name="Calculation 3 2 5" xfId="1762" xr:uid="{00000000-0005-0000-0000-000012070000}"/>
    <cellStyle name="Calculation 3 2 5 2" xfId="1763" xr:uid="{00000000-0005-0000-0000-000013070000}"/>
    <cellStyle name="Calculation 3 2 5 3" xfId="1764" xr:uid="{00000000-0005-0000-0000-000014070000}"/>
    <cellStyle name="Calculation 3 2 5 4" xfId="1765" xr:uid="{00000000-0005-0000-0000-000015070000}"/>
    <cellStyle name="Calculation 3 2 6" xfId="1766" xr:uid="{00000000-0005-0000-0000-000016070000}"/>
    <cellStyle name="Calculation 3 2 7" xfId="1767" xr:uid="{00000000-0005-0000-0000-000017070000}"/>
    <cellStyle name="Calculation 3 2 8" xfId="1768" xr:uid="{00000000-0005-0000-0000-000018070000}"/>
    <cellStyle name="Calculation 3 3" xfId="1769" xr:uid="{00000000-0005-0000-0000-000019070000}"/>
    <cellStyle name="Calculation 3 3 2" xfId="1770" xr:uid="{00000000-0005-0000-0000-00001A070000}"/>
    <cellStyle name="Calculation 3 3 2 2" xfId="1771" xr:uid="{00000000-0005-0000-0000-00001B070000}"/>
    <cellStyle name="Calculation 3 3 2 3" xfId="1772" xr:uid="{00000000-0005-0000-0000-00001C070000}"/>
    <cellStyle name="Calculation 3 3 2 4" xfId="1773" xr:uid="{00000000-0005-0000-0000-00001D070000}"/>
    <cellStyle name="Calculation 3 3 3" xfId="1774" xr:uid="{00000000-0005-0000-0000-00001E070000}"/>
    <cellStyle name="Calculation 3 3 3 2" xfId="1775" xr:uid="{00000000-0005-0000-0000-00001F070000}"/>
    <cellStyle name="Calculation 3 3 3 3" xfId="1776" xr:uid="{00000000-0005-0000-0000-000020070000}"/>
    <cellStyle name="Calculation 3 3 3 4" xfId="1777" xr:uid="{00000000-0005-0000-0000-000021070000}"/>
    <cellStyle name="Calculation 3 3 4" xfId="1778" xr:uid="{00000000-0005-0000-0000-000022070000}"/>
    <cellStyle name="Calculation 3 3 4 2" xfId="1779" xr:uid="{00000000-0005-0000-0000-000023070000}"/>
    <cellStyle name="Calculation 3 3 4 3" xfId="1780" xr:uid="{00000000-0005-0000-0000-000024070000}"/>
    <cellStyle name="Calculation 3 3 4 4" xfId="1781" xr:uid="{00000000-0005-0000-0000-000025070000}"/>
    <cellStyle name="Calculation 3 3 5" xfId="1782" xr:uid="{00000000-0005-0000-0000-000026070000}"/>
    <cellStyle name="Calculation 3 3 5 2" xfId="1783" xr:uid="{00000000-0005-0000-0000-000027070000}"/>
    <cellStyle name="Calculation 3 3 5 3" xfId="1784" xr:uid="{00000000-0005-0000-0000-000028070000}"/>
    <cellStyle name="Calculation 3 3 5 4" xfId="1785" xr:uid="{00000000-0005-0000-0000-000029070000}"/>
    <cellStyle name="Calculation 3 3 6" xfId="1786" xr:uid="{00000000-0005-0000-0000-00002A070000}"/>
    <cellStyle name="Calculation 3 3 7" xfId="1787" xr:uid="{00000000-0005-0000-0000-00002B070000}"/>
    <cellStyle name="Calculation 3 3 8" xfId="1788" xr:uid="{00000000-0005-0000-0000-00002C070000}"/>
    <cellStyle name="Calculation 3 4" xfId="1789" xr:uid="{00000000-0005-0000-0000-00002D070000}"/>
    <cellStyle name="Calculation 3 4 2" xfId="1790" xr:uid="{00000000-0005-0000-0000-00002E070000}"/>
    <cellStyle name="Calculation 3 4 2 2" xfId="1791" xr:uid="{00000000-0005-0000-0000-00002F070000}"/>
    <cellStyle name="Calculation 3 4 2 3" xfId="1792" xr:uid="{00000000-0005-0000-0000-000030070000}"/>
    <cellStyle name="Calculation 3 4 2 4" xfId="1793" xr:uid="{00000000-0005-0000-0000-000031070000}"/>
    <cellStyle name="Calculation 3 4 3" xfId="1794" xr:uid="{00000000-0005-0000-0000-000032070000}"/>
    <cellStyle name="Calculation 3 4 3 2" xfId="1795" xr:uid="{00000000-0005-0000-0000-000033070000}"/>
    <cellStyle name="Calculation 3 4 3 3" xfId="1796" xr:uid="{00000000-0005-0000-0000-000034070000}"/>
    <cellStyle name="Calculation 3 4 3 4" xfId="1797" xr:uid="{00000000-0005-0000-0000-000035070000}"/>
    <cellStyle name="Calculation 3 4 4" xfId="1798" xr:uid="{00000000-0005-0000-0000-000036070000}"/>
    <cellStyle name="Calculation 3 4 4 2" xfId="1799" xr:uid="{00000000-0005-0000-0000-000037070000}"/>
    <cellStyle name="Calculation 3 4 4 3" xfId="1800" xr:uid="{00000000-0005-0000-0000-000038070000}"/>
    <cellStyle name="Calculation 3 4 4 4" xfId="1801" xr:uid="{00000000-0005-0000-0000-000039070000}"/>
    <cellStyle name="Calculation 3 4 5" xfId="1802" xr:uid="{00000000-0005-0000-0000-00003A070000}"/>
    <cellStyle name="Calculation 3 4 5 2" xfId="1803" xr:uid="{00000000-0005-0000-0000-00003B070000}"/>
    <cellStyle name="Calculation 3 4 5 3" xfId="1804" xr:uid="{00000000-0005-0000-0000-00003C070000}"/>
    <cellStyle name="Calculation 3 4 5 4" xfId="1805" xr:uid="{00000000-0005-0000-0000-00003D070000}"/>
    <cellStyle name="Calculation 3 4 6" xfId="1806" xr:uid="{00000000-0005-0000-0000-00003E070000}"/>
    <cellStyle name="Calculation 3 4 7" xfId="1807" xr:uid="{00000000-0005-0000-0000-00003F070000}"/>
    <cellStyle name="Calculation 3 4 8" xfId="1808" xr:uid="{00000000-0005-0000-0000-000040070000}"/>
    <cellStyle name="Calculation 3 5" xfId="1809" xr:uid="{00000000-0005-0000-0000-000041070000}"/>
    <cellStyle name="Calculation 3 5 2" xfId="1810" xr:uid="{00000000-0005-0000-0000-000042070000}"/>
    <cellStyle name="Calculation 3 5 2 2" xfId="1811" xr:uid="{00000000-0005-0000-0000-000043070000}"/>
    <cellStyle name="Calculation 3 5 2 3" xfId="1812" xr:uid="{00000000-0005-0000-0000-000044070000}"/>
    <cellStyle name="Calculation 3 5 2 4" xfId="1813" xr:uid="{00000000-0005-0000-0000-000045070000}"/>
    <cellStyle name="Calculation 3 5 3" xfId="1814" xr:uid="{00000000-0005-0000-0000-000046070000}"/>
    <cellStyle name="Calculation 3 5 3 2" xfId="1815" xr:uid="{00000000-0005-0000-0000-000047070000}"/>
    <cellStyle name="Calculation 3 5 3 3" xfId="1816" xr:uid="{00000000-0005-0000-0000-000048070000}"/>
    <cellStyle name="Calculation 3 5 3 4" xfId="1817" xr:uid="{00000000-0005-0000-0000-000049070000}"/>
    <cellStyle name="Calculation 3 5 4" xfId="1818" xr:uid="{00000000-0005-0000-0000-00004A070000}"/>
    <cellStyle name="Calculation 3 5 4 2" xfId="1819" xr:uid="{00000000-0005-0000-0000-00004B070000}"/>
    <cellStyle name="Calculation 3 5 4 3" xfId="1820" xr:uid="{00000000-0005-0000-0000-00004C070000}"/>
    <cellStyle name="Calculation 3 5 4 4" xfId="1821" xr:uid="{00000000-0005-0000-0000-00004D070000}"/>
    <cellStyle name="Calculation 3 5 5" xfId="1822" xr:uid="{00000000-0005-0000-0000-00004E070000}"/>
    <cellStyle name="Calculation 3 5 5 2" xfId="1823" xr:uid="{00000000-0005-0000-0000-00004F070000}"/>
    <cellStyle name="Calculation 3 5 5 3" xfId="1824" xr:uid="{00000000-0005-0000-0000-000050070000}"/>
    <cellStyle name="Calculation 3 5 5 4" xfId="1825" xr:uid="{00000000-0005-0000-0000-000051070000}"/>
    <cellStyle name="Calculation 3 5 6" xfId="1826" xr:uid="{00000000-0005-0000-0000-000052070000}"/>
    <cellStyle name="Calculation 3 5 7" xfId="1827" xr:uid="{00000000-0005-0000-0000-000053070000}"/>
    <cellStyle name="Calculation 3 5 8" xfId="1828" xr:uid="{00000000-0005-0000-0000-000054070000}"/>
    <cellStyle name="Calculation 3 6" xfId="1829" xr:uid="{00000000-0005-0000-0000-000055070000}"/>
    <cellStyle name="Calculation 3 6 2" xfId="1830" xr:uid="{00000000-0005-0000-0000-000056070000}"/>
    <cellStyle name="Calculation 3 6 2 2" xfId="1831" xr:uid="{00000000-0005-0000-0000-000057070000}"/>
    <cellStyle name="Calculation 3 6 2 3" xfId="1832" xr:uid="{00000000-0005-0000-0000-000058070000}"/>
    <cellStyle name="Calculation 3 6 2 4" xfId="1833" xr:uid="{00000000-0005-0000-0000-000059070000}"/>
    <cellStyle name="Calculation 3 6 3" xfId="1834" xr:uid="{00000000-0005-0000-0000-00005A070000}"/>
    <cellStyle name="Calculation 3 6 3 2" xfId="1835" xr:uid="{00000000-0005-0000-0000-00005B070000}"/>
    <cellStyle name="Calculation 3 6 3 3" xfId="1836" xr:uid="{00000000-0005-0000-0000-00005C070000}"/>
    <cellStyle name="Calculation 3 6 3 4" xfId="1837" xr:uid="{00000000-0005-0000-0000-00005D070000}"/>
    <cellStyle name="Calculation 3 6 4" xfId="1838" xr:uid="{00000000-0005-0000-0000-00005E070000}"/>
    <cellStyle name="Calculation 3 6 4 2" xfId="1839" xr:uid="{00000000-0005-0000-0000-00005F070000}"/>
    <cellStyle name="Calculation 3 6 4 3" xfId="1840" xr:uid="{00000000-0005-0000-0000-000060070000}"/>
    <cellStyle name="Calculation 3 6 4 4" xfId="1841" xr:uid="{00000000-0005-0000-0000-000061070000}"/>
    <cellStyle name="Calculation 3 6 5" xfId="1842" xr:uid="{00000000-0005-0000-0000-000062070000}"/>
    <cellStyle name="Calculation 3 6 5 2" xfId="1843" xr:uid="{00000000-0005-0000-0000-000063070000}"/>
    <cellStyle name="Calculation 3 6 5 3" xfId="1844" xr:uid="{00000000-0005-0000-0000-000064070000}"/>
    <cellStyle name="Calculation 3 6 5 4" xfId="1845" xr:uid="{00000000-0005-0000-0000-000065070000}"/>
    <cellStyle name="Calculation 3 6 6" xfId="1846" xr:uid="{00000000-0005-0000-0000-000066070000}"/>
    <cellStyle name="Calculation 3 6 7" xfId="1847" xr:uid="{00000000-0005-0000-0000-000067070000}"/>
    <cellStyle name="Calculation 3 6 8" xfId="1848" xr:uid="{00000000-0005-0000-0000-000068070000}"/>
    <cellStyle name="Calculation 3 7" xfId="1849" xr:uid="{00000000-0005-0000-0000-000069070000}"/>
    <cellStyle name="Calculation 3 7 2" xfId="1850" xr:uid="{00000000-0005-0000-0000-00006A070000}"/>
    <cellStyle name="Calculation 3 7 2 2" xfId="1851" xr:uid="{00000000-0005-0000-0000-00006B070000}"/>
    <cellStyle name="Calculation 3 7 2 3" xfId="1852" xr:uid="{00000000-0005-0000-0000-00006C070000}"/>
    <cellStyle name="Calculation 3 7 2 4" xfId="1853" xr:uid="{00000000-0005-0000-0000-00006D070000}"/>
    <cellStyle name="Calculation 3 7 3" xfId="1854" xr:uid="{00000000-0005-0000-0000-00006E070000}"/>
    <cellStyle name="Calculation 3 7 4" xfId="1855" xr:uid="{00000000-0005-0000-0000-00006F070000}"/>
    <cellStyle name="Calculation 3 7 5" xfId="1856" xr:uid="{00000000-0005-0000-0000-000070070000}"/>
    <cellStyle name="Calculation 3 8" xfId="1857" xr:uid="{00000000-0005-0000-0000-000071070000}"/>
    <cellStyle name="Calculation 3 8 2" xfId="1858" xr:uid="{00000000-0005-0000-0000-000072070000}"/>
    <cellStyle name="Calculation 3 8 3" xfId="1859" xr:uid="{00000000-0005-0000-0000-000073070000}"/>
    <cellStyle name="Calculation 3 8 4" xfId="1860" xr:uid="{00000000-0005-0000-0000-000074070000}"/>
    <cellStyle name="Calculation 3 9" xfId="1861" xr:uid="{00000000-0005-0000-0000-000075070000}"/>
    <cellStyle name="Calculation 3 9 2" xfId="1862" xr:uid="{00000000-0005-0000-0000-000076070000}"/>
    <cellStyle name="Calculation 3 9 3" xfId="1863" xr:uid="{00000000-0005-0000-0000-000077070000}"/>
    <cellStyle name="Calculation 3 9 4" xfId="1864" xr:uid="{00000000-0005-0000-0000-000078070000}"/>
    <cellStyle name="Calculation 4" xfId="1865" xr:uid="{00000000-0005-0000-0000-000079070000}"/>
    <cellStyle name="Calculation 4 10" xfId="1866" xr:uid="{00000000-0005-0000-0000-00007A070000}"/>
    <cellStyle name="Calculation 4 10 2" xfId="1867" xr:uid="{00000000-0005-0000-0000-00007B070000}"/>
    <cellStyle name="Calculation 4 10 3" xfId="1868" xr:uid="{00000000-0005-0000-0000-00007C070000}"/>
    <cellStyle name="Calculation 4 10 4" xfId="1869" xr:uid="{00000000-0005-0000-0000-00007D070000}"/>
    <cellStyle name="Calculation 4 11" xfId="1870" xr:uid="{00000000-0005-0000-0000-00007E070000}"/>
    <cellStyle name="Calculation 4 12" xfId="1871" xr:uid="{00000000-0005-0000-0000-00007F070000}"/>
    <cellStyle name="Calculation 4 13" xfId="1872" xr:uid="{00000000-0005-0000-0000-000080070000}"/>
    <cellStyle name="Calculation 4 2" xfId="1873" xr:uid="{00000000-0005-0000-0000-000081070000}"/>
    <cellStyle name="Calculation 4 2 2" xfId="1874" xr:uid="{00000000-0005-0000-0000-000082070000}"/>
    <cellStyle name="Calculation 4 2 2 2" xfId="1875" xr:uid="{00000000-0005-0000-0000-000083070000}"/>
    <cellStyle name="Calculation 4 2 2 3" xfId="1876" xr:uid="{00000000-0005-0000-0000-000084070000}"/>
    <cellStyle name="Calculation 4 2 2 4" xfId="1877" xr:uid="{00000000-0005-0000-0000-000085070000}"/>
    <cellStyle name="Calculation 4 2 3" xfId="1878" xr:uid="{00000000-0005-0000-0000-000086070000}"/>
    <cellStyle name="Calculation 4 2 3 2" xfId="1879" xr:uid="{00000000-0005-0000-0000-000087070000}"/>
    <cellStyle name="Calculation 4 2 3 3" xfId="1880" xr:uid="{00000000-0005-0000-0000-000088070000}"/>
    <cellStyle name="Calculation 4 2 3 4" xfId="1881" xr:uid="{00000000-0005-0000-0000-000089070000}"/>
    <cellStyle name="Calculation 4 2 4" xfId="1882" xr:uid="{00000000-0005-0000-0000-00008A070000}"/>
    <cellStyle name="Calculation 4 2 4 2" xfId="1883" xr:uid="{00000000-0005-0000-0000-00008B070000}"/>
    <cellStyle name="Calculation 4 2 4 3" xfId="1884" xr:uid="{00000000-0005-0000-0000-00008C070000}"/>
    <cellStyle name="Calculation 4 2 4 4" xfId="1885" xr:uid="{00000000-0005-0000-0000-00008D070000}"/>
    <cellStyle name="Calculation 4 2 5" xfId="1886" xr:uid="{00000000-0005-0000-0000-00008E070000}"/>
    <cellStyle name="Calculation 4 2 5 2" xfId="1887" xr:uid="{00000000-0005-0000-0000-00008F070000}"/>
    <cellStyle name="Calculation 4 2 5 3" xfId="1888" xr:uid="{00000000-0005-0000-0000-000090070000}"/>
    <cellStyle name="Calculation 4 2 5 4" xfId="1889" xr:uid="{00000000-0005-0000-0000-000091070000}"/>
    <cellStyle name="Calculation 4 2 6" xfId="1890" xr:uid="{00000000-0005-0000-0000-000092070000}"/>
    <cellStyle name="Calculation 4 2 7" xfId="1891" xr:uid="{00000000-0005-0000-0000-000093070000}"/>
    <cellStyle name="Calculation 4 2 8" xfId="1892" xr:uid="{00000000-0005-0000-0000-000094070000}"/>
    <cellStyle name="Calculation 4 3" xfId="1893" xr:uid="{00000000-0005-0000-0000-000095070000}"/>
    <cellStyle name="Calculation 4 3 2" xfId="1894" xr:uid="{00000000-0005-0000-0000-000096070000}"/>
    <cellStyle name="Calculation 4 3 2 2" xfId="1895" xr:uid="{00000000-0005-0000-0000-000097070000}"/>
    <cellStyle name="Calculation 4 3 2 3" xfId="1896" xr:uid="{00000000-0005-0000-0000-000098070000}"/>
    <cellStyle name="Calculation 4 3 2 4" xfId="1897" xr:uid="{00000000-0005-0000-0000-000099070000}"/>
    <cellStyle name="Calculation 4 3 3" xfId="1898" xr:uid="{00000000-0005-0000-0000-00009A070000}"/>
    <cellStyle name="Calculation 4 3 3 2" xfId="1899" xr:uid="{00000000-0005-0000-0000-00009B070000}"/>
    <cellStyle name="Calculation 4 3 3 3" xfId="1900" xr:uid="{00000000-0005-0000-0000-00009C070000}"/>
    <cellStyle name="Calculation 4 3 3 4" xfId="1901" xr:uid="{00000000-0005-0000-0000-00009D070000}"/>
    <cellStyle name="Calculation 4 3 4" xfId="1902" xr:uid="{00000000-0005-0000-0000-00009E070000}"/>
    <cellStyle name="Calculation 4 3 4 2" xfId="1903" xr:uid="{00000000-0005-0000-0000-00009F070000}"/>
    <cellStyle name="Calculation 4 3 4 3" xfId="1904" xr:uid="{00000000-0005-0000-0000-0000A0070000}"/>
    <cellStyle name="Calculation 4 3 4 4" xfId="1905" xr:uid="{00000000-0005-0000-0000-0000A1070000}"/>
    <cellStyle name="Calculation 4 3 5" xfId="1906" xr:uid="{00000000-0005-0000-0000-0000A2070000}"/>
    <cellStyle name="Calculation 4 3 5 2" xfId="1907" xr:uid="{00000000-0005-0000-0000-0000A3070000}"/>
    <cellStyle name="Calculation 4 3 5 3" xfId="1908" xr:uid="{00000000-0005-0000-0000-0000A4070000}"/>
    <cellStyle name="Calculation 4 3 5 4" xfId="1909" xr:uid="{00000000-0005-0000-0000-0000A5070000}"/>
    <cellStyle name="Calculation 4 3 6" xfId="1910" xr:uid="{00000000-0005-0000-0000-0000A6070000}"/>
    <cellStyle name="Calculation 4 3 7" xfId="1911" xr:uid="{00000000-0005-0000-0000-0000A7070000}"/>
    <cellStyle name="Calculation 4 3 8" xfId="1912" xr:uid="{00000000-0005-0000-0000-0000A8070000}"/>
    <cellStyle name="Calculation 4 4" xfId="1913" xr:uid="{00000000-0005-0000-0000-0000A9070000}"/>
    <cellStyle name="Calculation 4 4 2" xfId="1914" xr:uid="{00000000-0005-0000-0000-0000AA070000}"/>
    <cellStyle name="Calculation 4 4 2 2" xfId="1915" xr:uid="{00000000-0005-0000-0000-0000AB070000}"/>
    <cellStyle name="Calculation 4 4 2 3" xfId="1916" xr:uid="{00000000-0005-0000-0000-0000AC070000}"/>
    <cellStyle name="Calculation 4 4 2 4" xfId="1917" xr:uid="{00000000-0005-0000-0000-0000AD070000}"/>
    <cellStyle name="Calculation 4 4 3" xfId="1918" xr:uid="{00000000-0005-0000-0000-0000AE070000}"/>
    <cellStyle name="Calculation 4 4 3 2" xfId="1919" xr:uid="{00000000-0005-0000-0000-0000AF070000}"/>
    <cellStyle name="Calculation 4 4 3 3" xfId="1920" xr:uid="{00000000-0005-0000-0000-0000B0070000}"/>
    <cellStyle name="Calculation 4 4 3 4" xfId="1921" xr:uid="{00000000-0005-0000-0000-0000B1070000}"/>
    <cellStyle name="Calculation 4 4 4" xfId="1922" xr:uid="{00000000-0005-0000-0000-0000B2070000}"/>
    <cellStyle name="Calculation 4 4 4 2" xfId="1923" xr:uid="{00000000-0005-0000-0000-0000B3070000}"/>
    <cellStyle name="Calculation 4 4 4 3" xfId="1924" xr:uid="{00000000-0005-0000-0000-0000B4070000}"/>
    <cellStyle name="Calculation 4 4 4 4" xfId="1925" xr:uid="{00000000-0005-0000-0000-0000B5070000}"/>
    <cellStyle name="Calculation 4 4 5" xfId="1926" xr:uid="{00000000-0005-0000-0000-0000B6070000}"/>
    <cellStyle name="Calculation 4 4 5 2" xfId="1927" xr:uid="{00000000-0005-0000-0000-0000B7070000}"/>
    <cellStyle name="Calculation 4 4 5 3" xfId="1928" xr:uid="{00000000-0005-0000-0000-0000B8070000}"/>
    <cellStyle name="Calculation 4 4 5 4" xfId="1929" xr:uid="{00000000-0005-0000-0000-0000B9070000}"/>
    <cellStyle name="Calculation 4 4 6" xfId="1930" xr:uid="{00000000-0005-0000-0000-0000BA070000}"/>
    <cellStyle name="Calculation 4 4 7" xfId="1931" xr:uid="{00000000-0005-0000-0000-0000BB070000}"/>
    <cellStyle name="Calculation 4 4 8" xfId="1932" xr:uid="{00000000-0005-0000-0000-0000BC070000}"/>
    <cellStyle name="Calculation 4 5" xfId="1933" xr:uid="{00000000-0005-0000-0000-0000BD070000}"/>
    <cellStyle name="Calculation 4 5 2" xfId="1934" xr:uid="{00000000-0005-0000-0000-0000BE070000}"/>
    <cellStyle name="Calculation 4 5 2 2" xfId="1935" xr:uid="{00000000-0005-0000-0000-0000BF070000}"/>
    <cellStyle name="Calculation 4 5 2 3" xfId="1936" xr:uid="{00000000-0005-0000-0000-0000C0070000}"/>
    <cellStyle name="Calculation 4 5 2 4" xfId="1937" xr:uid="{00000000-0005-0000-0000-0000C1070000}"/>
    <cellStyle name="Calculation 4 5 3" xfId="1938" xr:uid="{00000000-0005-0000-0000-0000C2070000}"/>
    <cellStyle name="Calculation 4 5 3 2" xfId="1939" xr:uid="{00000000-0005-0000-0000-0000C3070000}"/>
    <cellStyle name="Calculation 4 5 3 3" xfId="1940" xr:uid="{00000000-0005-0000-0000-0000C4070000}"/>
    <cellStyle name="Calculation 4 5 3 4" xfId="1941" xr:uid="{00000000-0005-0000-0000-0000C5070000}"/>
    <cellStyle name="Calculation 4 5 4" xfId="1942" xr:uid="{00000000-0005-0000-0000-0000C6070000}"/>
    <cellStyle name="Calculation 4 5 4 2" xfId="1943" xr:uid="{00000000-0005-0000-0000-0000C7070000}"/>
    <cellStyle name="Calculation 4 5 4 3" xfId="1944" xr:uid="{00000000-0005-0000-0000-0000C8070000}"/>
    <cellStyle name="Calculation 4 5 4 4" xfId="1945" xr:uid="{00000000-0005-0000-0000-0000C9070000}"/>
    <cellStyle name="Calculation 4 5 5" xfId="1946" xr:uid="{00000000-0005-0000-0000-0000CA070000}"/>
    <cellStyle name="Calculation 4 5 5 2" xfId="1947" xr:uid="{00000000-0005-0000-0000-0000CB070000}"/>
    <cellStyle name="Calculation 4 5 5 3" xfId="1948" xr:uid="{00000000-0005-0000-0000-0000CC070000}"/>
    <cellStyle name="Calculation 4 5 5 4" xfId="1949" xr:uid="{00000000-0005-0000-0000-0000CD070000}"/>
    <cellStyle name="Calculation 4 5 6" xfId="1950" xr:uid="{00000000-0005-0000-0000-0000CE070000}"/>
    <cellStyle name="Calculation 4 5 7" xfId="1951" xr:uid="{00000000-0005-0000-0000-0000CF070000}"/>
    <cellStyle name="Calculation 4 5 8" xfId="1952" xr:uid="{00000000-0005-0000-0000-0000D0070000}"/>
    <cellStyle name="Calculation 4 6" xfId="1953" xr:uid="{00000000-0005-0000-0000-0000D1070000}"/>
    <cellStyle name="Calculation 4 6 2" xfId="1954" xr:uid="{00000000-0005-0000-0000-0000D2070000}"/>
    <cellStyle name="Calculation 4 6 2 2" xfId="1955" xr:uid="{00000000-0005-0000-0000-0000D3070000}"/>
    <cellStyle name="Calculation 4 6 2 3" xfId="1956" xr:uid="{00000000-0005-0000-0000-0000D4070000}"/>
    <cellStyle name="Calculation 4 6 2 4" xfId="1957" xr:uid="{00000000-0005-0000-0000-0000D5070000}"/>
    <cellStyle name="Calculation 4 6 3" xfId="1958" xr:uid="{00000000-0005-0000-0000-0000D6070000}"/>
    <cellStyle name="Calculation 4 6 3 2" xfId="1959" xr:uid="{00000000-0005-0000-0000-0000D7070000}"/>
    <cellStyle name="Calculation 4 6 3 3" xfId="1960" xr:uid="{00000000-0005-0000-0000-0000D8070000}"/>
    <cellStyle name="Calculation 4 6 3 4" xfId="1961" xr:uid="{00000000-0005-0000-0000-0000D9070000}"/>
    <cellStyle name="Calculation 4 6 4" xfId="1962" xr:uid="{00000000-0005-0000-0000-0000DA070000}"/>
    <cellStyle name="Calculation 4 6 4 2" xfId="1963" xr:uid="{00000000-0005-0000-0000-0000DB070000}"/>
    <cellStyle name="Calculation 4 6 4 3" xfId="1964" xr:uid="{00000000-0005-0000-0000-0000DC070000}"/>
    <cellStyle name="Calculation 4 6 4 4" xfId="1965" xr:uid="{00000000-0005-0000-0000-0000DD070000}"/>
    <cellStyle name="Calculation 4 6 5" xfId="1966" xr:uid="{00000000-0005-0000-0000-0000DE070000}"/>
    <cellStyle name="Calculation 4 6 5 2" xfId="1967" xr:uid="{00000000-0005-0000-0000-0000DF070000}"/>
    <cellStyle name="Calculation 4 6 5 3" xfId="1968" xr:uid="{00000000-0005-0000-0000-0000E0070000}"/>
    <cellStyle name="Calculation 4 6 5 4" xfId="1969" xr:uid="{00000000-0005-0000-0000-0000E1070000}"/>
    <cellStyle name="Calculation 4 6 6" xfId="1970" xr:uid="{00000000-0005-0000-0000-0000E2070000}"/>
    <cellStyle name="Calculation 4 6 7" xfId="1971" xr:uid="{00000000-0005-0000-0000-0000E3070000}"/>
    <cellStyle name="Calculation 4 6 8" xfId="1972" xr:uid="{00000000-0005-0000-0000-0000E4070000}"/>
    <cellStyle name="Calculation 4 7" xfId="1973" xr:uid="{00000000-0005-0000-0000-0000E5070000}"/>
    <cellStyle name="Calculation 4 7 2" xfId="1974" xr:uid="{00000000-0005-0000-0000-0000E6070000}"/>
    <cellStyle name="Calculation 4 7 3" xfId="1975" xr:uid="{00000000-0005-0000-0000-0000E7070000}"/>
    <cellStyle name="Calculation 4 7 4" xfId="1976" xr:uid="{00000000-0005-0000-0000-0000E8070000}"/>
    <cellStyle name="Calculation 4 8" xfId="1977" xr:uid="{00000000-0005-0000-0000-0000E9070000}"/>
    <cellStyle name="Calculation 4 8 2" xfId="1978" xr:uid="{00000000-0005-0000-0000-0000EA070000}"/>
    <cellStyle name="Calculation 4 8 3" xfId="1979" xr:uid="{00000000-0005-0000-0000-0000EB070000}"/>
    <cellStyle name="Calculation 4 8 4" xfId="1980" xr:uid="{00000000-0005-0000-0000-0000EC070000}"/>
    <cellStyle name="Calculation 4 9" xfId="1981" xr:uid="{00000000-0005-0000-0000-0000ED070000}"/>
    <cellStyle name="Calculation 4 9 2" xfId="1982" xr:uid="{00000000-0005-0000-0000-0000EE070000}"/>
    <cellStyle name="Calculation 4 9 3" xfId="1983" xr:uid="{00000000-0005-0000-0000-0000EF070000}"/>
    <cellStyle name="Calculation 4 9 4" xfId="1984" xr:uid="{00000000-0005-0000-0000-0000F0070000}"/>
    <cellStyle name="Calculation 5" xfId="1985" xr:uid="{00000000-0005-0000-0000-0000F1070000}"/>
    <cellStyle name="Calculation 5 2" xfId="1986" xr:uid="{00000000-0005-0000-0000-0000F2070000}"/>
    <cellStyle name="Calculation 5 2 2" xfId="1987" xr:uid="{00000000-0005-0000-0000-0000F3070000}"/>
    <cellStyle name="Calculation 5 2 3" xfId="1988" xr:uid="{00000000-0005-0000-0000-0000F4070000}"/>
    <cellStyle name="Calculation 5 2 4" xfId="1989" xr:uid="{00000000-0005-0000-0000-0000F5070000}"/>
    <cellStyle name="Calculation 5 3" xfId="1990" xr:uid="{00000000-0005-0000-0000-0000F6070000}"/>
    <cellStyle name="Calculation 5 3 2" xfId="1991" xr:uid="{00000000-0005-0000-0000-0000F7070000}"/>
    <cellStyle name="Calculation 5 3 3" xfId="1992" xr:uid="{00000000-0005-0000-0000-0000F8070000}"/>
    <cellStyle name="Calculation 5 3 4" xfId="1993" xr:uid="{00000000-0005-0000-0000-0000F9070000}"/>
    <cellStyle name="Calculation 5 4" xfId="1994" xr:uid="{00000000-0005-0000-0000-0000FA070000}"/>
    <cellStyle name="Calculation 5 4 2" xfId="1995" xr:uid="{00000000-0005-0000-0000-0000FB070000}"/>
    <cellStyle name="Calculation 5 4 3" xfId="1996" xr:uid="{00000000-0005-0000-0000-0000FC070000}"/>
    <cellStyle name="Calculation 5 4 4" xfId="1997" xr:uid="{00000000-0005-0000-0000-0000FD070000}"/>
    <cellStyle name="Calculation 5 5" xfId="1998" xr:uid="{00000000-0005-0000-0000-0000FE070000}"/>
    <cellStyle name="Calculation 5 5 2" xfId="1999" xr:uid="{00000000-0005-0000-0000-0000FF070000}"/>
    <cellStyle name="Calculation 5 5 3" xfId="2000" xr:uid="{00000000-0005-0000-0000-000000080000}"/>
    <cellStyle name="Calculation 5 5 4" xfId="2001" xr:uid="{00000000-0005-0000-0000-000001080000}"/>
    <cellStyle name="Calculation 5 6" xfId="2002" xr:uid="{00000000-0005-0000-0000-000002080000}"/>
    <cellStyle name="Calculation 5 7" xfId="2003" xr:uid="{00000000-0005-0000-0000-000003080000}"/>
    <cellStyle name="Calculation 5 8" xfId="2004" xr:uid="{00000000-0005-0000-0000-000004080000}"/>
    <cellStyle name="Calculation 6" xfId="2005" xr:uid="{00000000-0005-0000-0000-000005080000}"/>
    <cellStyle name="Calculation 6 2" xfId="2006" xr:uid="{00000000-0005-0000-0000-000006080000}"/>
    <cellStyle name="Calculation 6 2 2" xfId="2007" xr:uid="{00000000-0005-0000-0000-000007080000}"/>
    <cellStyle name="Calculation 6 2 3" xfId="2008" xr:uid="{00000000-0005-0000-0000-000008080000}"/>
    <cellStyle name="Calculation 6 2 4" xfId="2009" xr:uid="{00000000-0005-0000-0000-000009080000}"/>
    <cellStyle name="Calculation 6 3" xfId="2010" xr:uid="{00000000-0005-0000-0000-00000A080000}"/>
    <cellStyle name="Calculation 6 3 2" xfId="2011" xr:uid="{00000000-0005-0000-0000-00000B080000}"/>
    <cellStyle name="Calculation 6 3 3" xfId="2012" xr:uid="{00000000-0005-0000-0000-00000C080000}"/>
    <cellStyle name="Calculation 6 3 4" xfId="2013" xr:uid="{00000000-0005-0000-0000-00000D080000}"/>
    <cellStyle name="Calculation 6 4" xfId="2014" xr:uid="{00000000-0005-0000-0000-00000E080000}"/>
    <cellStyle name="Calculation 6 4 2" xfId="2015" xr:uid="{00000000-0005-0000-0000-00000F080000}"/>
    <cellStyle name="Calculation 6 4 3" xfId="2016" xr:uid="{00000000-0005-0000-0000-000010080000}"/>
    <cellStyle name="Calculation 6 4 4" xfId="2017" xr:uid="{00000000-0005-0000-0000-000011080000}"/>
    <cellStyle name="Calculation 6 5" xfId="2018" xr:uid="{00000000-0005-0000-0000-000012080000}"/>
    <cellStyle name="Calculation 6 5 2" xfId="2019" xr:uid="{00000000-0005-0000-0000-000013080000}"/>
    <cellStyle name="Calculation 6 5 3" xfId="2020" xr:uid="{00000000-0005-0000-0000-000014080000}"/>
    <cellStyle name="Calculation 6 5 4" xfId="2021" xr:uid="{00000000-0005-0000-0000-000015080000}"/>
    <cellStyle name="Calculation 6 6" xfId="2022" xr:uid="{00000000-0005-0000-0000-000016080000}"/>
    <cellStyle name="Calculation 6 7" xfId="2023" xr:uid="{00000000-0005-0000-0000-000017080000}"/>
    <cellStyle name="Calculation 6 8" xfId="2024" xr:uid="{00000000-0005-0000-0000-000018080000}"/>
    <cellStyle name="Calculation 7" xfId="2025" xr:uid="{00000000-0005-0000-0000-000019080000}"/>
    <cellStyle name="Calculation 7 2" xfId="2026" xr:uid="{00000000-0005-0000-0000-00001A080000}"/>
    <cellStyle name="Calculation 7 2 2" xfId="2027" xr:uid="{00000000-0005-0000-0000-00001B080000}"/>
    <cellStyle name="Calculation 7 2 3" xfId="2028" xr:uid="{00000000-0005-0000-0000-00001C080000}"/>
    <cellStyle name="Calculation 7 2 4" xfId="2029" xr:uid="{00000000-0005-0000-0000-00001D080000}"/>
    <cellStyle name="Calculation 7 3" xfId="2030" xr:uid="{00000000-0005-0000-0000-00001E080000}"/>
    <cellStyle name="Calculation 7 3 2" xfId="2031" xr:uid="{00000000-0005-0000-0000-00001F080000}"/>
    <cellStyle name="Calculation 7 3 3" xfId="2032" xr:uid="{00000000-0005-0000-0000-000020080000}"/>
    <cellStyle name="Calculation 7 3 4" xfId="2033" xr:uid="{00000000-0005-0000-0000-000021080000}"/>
    <cellStyle name="Calculation 7 4" xfId="2034" xr:uid="{00000000-0005-0000-0000-000022080000}"/>
    <cellStyle name="Calculation 7 4 2" xfId="2035" xr:uid="{00000000-0005-0000-0000-000023080000}"/>
    <cellStyle name="Calculation 7 4 3" xfId="2036" xr:uid="{00000000-0005-0000-0000-000024080000}"/>
    <cellStyle name="Calculation 7 4 4" xfId="2037" xr:uid="{00000000-0005-0000-0000-000025080000}"/>
    <cellStyle name="Calculation 7 5" xfId="2038" xr:uid="{00000000-0005-0000-0000-000026080000}"/>
    <cellStyle name="Calculation 7 5 2" xfId="2039" xr:uid="{00000000-0005-0000-0000-000027080000}"/>
    <cellStyle name="Calculation 7 5 3" xfId="2040" xr:uid="{00000000-0005-0000-0000-000028080000}"/>
    <cellStyle name="Calculation 7 5 4" xfId="2041" xr:uid="{00000000-0005-0000-0000-000029080000}"/>
    <cellStyle name="Calculation 7 6" xfId="2042" xr:uid="{00000000-0005-0000-0000-00002A080000}"/>
    <cellStyle name="Calculation 7 7" xfId="2043" xr:uid="{00000000-0005-0000-0000-00002B080000}"/>
    <cellStyle name="Calculation 7 8" xfId="2044" xr:uid="{00000000-0005-0000-0000-00002C080000}"/>
    <cellStyle name="Calculation 8" xfId="2045" xr:uid="{00000000-0005-0000-0000-00002D080000}"/>
    <cellStyle name="Calculation 8 2" xfId="2046" xr:uid="{00000000-0005-0000-0000-00002E080000}"/>
    <cellStyle name="Calculation 8 2 2" xfId="2047" xr:uid="{00000000-0005-0000-0000-00002F080000}"/>
    <cellStyle name="Calculation 8 2 3" xfId="2048" xr:uid="{00000000-0005-0000-0000-000030080000}"/>
    <cellStyle name="Calculation 8 2 4" xfId="2049" xr:uid="{00000000-0005-0000-0000-000031080000}"/>
    <cellStyle name="Calculation 8 3" xfId="2050" xr:uid="{00000000-0005-0000-0000-000032080000}"/>
    <cellStyle name="Calculation 8 3 2" xfId="2051" xr:uid="{00000000-0005-0000-0000-000033080000}"/>
    <cellStyle name="Calculation 8 3 3" xfId="2052" xr:uid="{00000000-0005-0000-0000-000034080000}"/>
    <cellStyle name="Calculation 8 3 4" xfId="2053" xr:uid="{00000000-0005-0000-0000-000035080000}"/>
    <cellStyle name="Calculation 8 4" xfId="2054" xr:uid="{00000000-0005-0000-0000-000036080000}"/>
    <cellStyle name="Calculation 8 4 2" xfId="2055" xr:uid="{00000000-0005-0000-0000-000037080000}"/>
    <cellStyle name="Calculation 8 4 3" xfId="2056" xr:uid="{00000000-0005-0000-0000-000038080000}"/>
    <cellStyle name="Calculation 8 4 4" xfId="2057" xr:uid="{00000000-0005-0000-0000-000039080000}"/>
    <cellStyle name="Calculation 8 5" xfId="2058" xr:uid="{00000000-0005-0000-0000-00003A080000}"/>
    <cellStyle name="Calculation 8 5 2" xfId="2059" xr:uid="{00000000-0005-0000-0000-00003B080000}"/>
    <cellStyle name="Calculation 8 5 3" xfId="2060" xr:uid="{00000000-0005-0000-0000-00003C080000}"/>
    <cellStyle name="Calculation 8 5 4" xfId="2061" xr:uid="{00000000-0005-0000-0000-00003D080000}"/>
    <cellStyle name="Calculation 8 6" xfId="2062" xr:uid="{00000000-0005-0000-0000-00003E080000}"/>
    <cellStyle name="Calculation 8 7" xfId="2063" xr:uid="{00000000-0005-0000-0000-00003F080000}"/>
    <cellStyle name="Calculation 8 8" xfId="2064" xr:uid="{00000000-0005-0000-0000-000040080000}"/>
    <cellStyle name="Calculation 9" xfId="2065" xr:uid="{00000000-0005-0000-0000-000041080000}"/>
    <cellStyle name="Calculation 9 2" xfId="2066" xr:uid="{00000000-0005-0000-0000-000042080000}"/>
    <cellStyle name="Calculation 9 2 2" xfId="2067" xr:uid="{00000000-0005-0000-0000-000043080000}"/>
    <cellStyle name="Calculation 9 2 3" xfId="2068" xr:uid="{00000000-0005-0000-0000-000044080000}"/>
    <cellStyle name="Calculation 9 2 4" xfId="2069" xr:uid="{00000000-0005-0000-0000-000045080000}"/>
    <cellStyle name="Calculation 9 3" xfId="2070" xr:uid="{00000000-0005-0000-0000-000046080000}"/>
    <cellStyle name="Calculation 9 3 2" xfId="2071" xr:uid="{00000000-0005-0000-0000-000047080000}"/>
    <cellStyle name="Calculation 9 3 3" xfId="2072" xr:uid="{00000000-0005-0000-0000-000048080000}"/>
    <cellStyle name="Calculation 9 3 4" xfId="2073" xr:uid="{00000000-0005-0000-0000-000049080000}"/>
    <cellStyle name="Calculation 9 4" xfId="2074" xr:uid="{00000000-0005-0000-0000-00004A080000}"/>
    <cellStyle name="Calculation 9 4 2" xfId="2075" xr:uid="{00000000-0005-0000-0000-00004B080000}"/>
    <cellStyle name="Calculation 9 4 3" xfId="2076" xr:uid="{00000000-0005-0000-0000-00004C080000}"/>
    <cellStyle name="Calculation 9 4 4" xfId="2077" xr:uid="{00000000-0005-0000-0000-00004D080000}"/>
    <cellStyle name="Calculation 9 5" xfId="2078" xr:uid="{00000000-0005-0000-0000-00004E080000}"/>
    <cellStyle name="Calculation 9 5 2" xfId="2079" xr:uid="{00000000-0005-0000-0000-00004F080000}"/>
    <cellStyle name="Calculation 9 5 3" xfId="2080" xr:uid="{00000000-0005-0000-0000-000050080000}"/>
    <cellStyle name="Calculation 9 5 4" xfId="2081" xr:uid="{00000000-0005-0000-0000-000051080000}"/>
    <cellStyle name="Calculation 9 6" xfId="2082" xr:uid="{00000000-0005-0000-0000-000052080000}"/>
    <cellStyle name="Calculation 9 7" xfId="2083" xr:uid="{00000000-0005-0000-0000-000053080000}"/>
    <cellStyle name="Calculation 9 8" xfId="2084" xr:uid="{00000000-0005-0000-0000-000054080000}"/>
    <cellStyle name="Check Cell 10" xfId="2085" xr:uid="{00000000-0005-0000-0000-000055080000}"/>
    <cellStyle name="Check Cell 11" xfId="2086" xr:uid="{00000000-0005-0000-0000-000056080000}"/>
    <cellStyle name="Check Cell 12" xfId="2087" xr:uid="{00000000-0005-0000-0000-000057080000}"/>
    <cellStyle name="Check Cell 2" xfId="2088" xr:uid="{00000000-0005-0000-0000-000058080000}"/>
    <cellStyle name="Check Cell 2 2" xfId="2089" xr:uid="{00000000-0005-0000-0000-000059080000}"/>
    <cellStyle name="Check Cell 2 3" xfId="2090" xr:uid="{00000000-0005-0000-0000-00005A080000}"/>
    <cellStyle name="Check Cell 2 4" xfId="2091" xr:uid="{00000000-0005-0000-0000-00005B080000}"/>
    <cellStyle name="Check Cell 2 5" xfId="2092" xr:uid="{00000000-0005-0000-0000-00005C080000}"/>
    <cellStyle name="Check Cell 2 6" xfId="2093" xr:uid="{00000000-0005-0000-0000-00005D080000}"/>
    <cellStyle name="Check Cell 2 7" xfId="2094" xr:uid="{00000000-0005-0000-0000-00005E080000}"/>
    <cellStyle name="Check Cell 2 8" xfId="2095" xr:uid="{00000000-0005-0000-0000-00005F080000}"/>
    <cellStyle name="Check Cell 3" xfId="2096" xr:uid="{00000000-0005-0000-0000-000060080000}"/>
    <cellStyle name="Check Cell 3 2" xfId="2097" xr:uid="{00000000-0005-0000-0000-000061080000}"/>
    <cellStyle name="Check Cell 3 3" xfId="2098" xr:uid="{00000000-0005-0000-0000-000062080000}"/>
    <cellStyle name="Check Cell 3 4" xfId="2099" xr:uid="{00000000-0005-0000-0000-000063080000}"/>
    <cellStyle name="Check Cell 3 5" xfId="2100" xr:uid="{00000000-0005-0000-0000-000064080000}"/>
    <cellStyle name="Check Cell 3 6" xfId="2101" xr:uid="{00000000-0005-0000-0000-000065080000}"/>
    <cellStyle name="Check Cell 3 7" xfId="2102" xr:uid="{00000000-0005-0000-0000-000066080000}"/>
    <cellStyle name="Check Cell 3 8" xfId="2103" xr:uid="{00000000-0005-0000-0000-000067080000}"/>
    <cellStyle name="Check Cell 4" xfId="2104" xr:uid="{00000000-0005-0000-0000-000068080000}"/>
    <cellStyle name="Check Cell 4 2" xfId="2105" xr:uid="{00000000-0005-0000-0000-000069080000}"/>
    <cellStyle name="Check Cell 4 3" xfId="2106" xr:uid="{00000000-0005-0000-0000-00006A080000}"/>
    <cellStyle name="Check Cell 4 4" xfId="2107" xr:uid="{00000000-0005-0000-0000-00006B080000}"/>
    <cellStyle name="Check Cell 4 5" xfId="2108" xr:uid="{00000000-0005-0000-0000-00006C080000}"/>
    <cellStyle name="Check Cell 4 6" xfId="2109" xr:uid="{00000000-0005-0000-0000-00006D080000}"/>
    <cellStyle name="Check Cell 5" xfId="2110" xr:uid="{00000000-0005-0000-0000-00006E080000}"/>
    <cellStyle name="Check Cell 6" xfId="2111" xr:uid="{00000000-0005-0000-0000-00006F080000}"/>
    <cellStyle name="Check Cell 7" xfId="2112" xr:uid="{00000000-0005-0000-0000-000070080000}"/>
    <cellStyle name="Check Cell 8" xfId="2113" xr:uid="{00000000-0005-0000-0000-000071080000}"/>
    <cellStyle name="Check Cell 9" xfId="2114" xr:uid="{00000000-0005-0000-0000-000072080000}"/>
    <cellStyle name="Comma 12" xfId="2115" xr:uid="{00000000-0005-0000-0000-000073080000}"/>
    <cellStyle name="Comma 12 2" xfId="2116" xr:uid="{00000000-0005-0000-0000-000074080000}"/>
    <cellStyle name="Comma 12 3" xfId="2117" xr:uid="{00000000-0005-0000-0000-000075080000}"/>
    <cellStyle name="Comma 12 4" xfId="2118" xr:uid="{00000000-0005-0000-0000-000076080000}"/>
    <cellStyle name="Comma 2" xfId="2119" xr:uid="{00000000-0005-0000-0000-000077080000}"/>
    <cellStyle name="Comma 2 2" xfId="2120" xr:uid="{00000000-0005-0000-0000-000078080000}"/>
    <cellStyle name="Comma 2 2 2" xfId="2121" xr:uid="{00000000-0005-0000-0000-000079080000}"/>
    <cellStyle name="Comma 2 2 2 2" xfId="2122" xr:uid="{00000000-0005-0000-0000-00007A080000}"/>
    <cellStyle name="Comma 2 2 3" xfId="2123" xr:uid="{00000000-0005-0000-0000-00007B080000}"/>
    <cellStyle name="Comma 2 2 3 2" xfId="2124" xr:uid="{00000000-0005-0000-0000-00007C080000}"/>
    <cellStyle name="Comma 2 3" xfId="2125" xr:uid="{00000000-0005-0000-0000-00007D080000}"/>
    <cellStyle name="Comma 2 3 2" xfId="2126" xr:uid="{00000000-0005-0000-0000-00007E080000}"/>
    <cellStyle name="Comma 2 4" xfId="2127" xr:uid="{00000000-0005-0000-0000-00007F080000}"/>
    <cellStyle name="Comma 2 4 2" xfId="2128" xr:uid="{00000000-0005-0000-0000-000080080000}"/>
    <cellStyle name="Comma 2 5" xfId="2129" xr:uid="{00000000-0005-0000-0000-000081080000}"/>
    <cellStyle name="Comma 3" xfId="2130" xr:uid="{00000000-0005-0000-0000-000082080000}"/>
    <cellStyle name="Comma 3 2" xfId="2131" xr:uid="{00000000-0005-0000-0000-000083080000}"/>
    <cellStyle name="Comma 3 2 2" xfId="2132" xr:uid="{00000000-0005-0000-0000-000084080000}"/>
    <cellStyle name="Comma 3 2 2 2" xfId="2133" xr:uid="{00000000-0005-0000-0000-000085080000}"/>
    <cellStyle name="Comma 3 2 3" xfId="2134" xr:uid="{00000000-0005-0000-0000-000086080000}"/>
    <cellStyle name="Comma 3 2 3 2" xfId="2135" xr:uid="{00000000-0005-0000-0000-000087080000}"/>
    <cellStyle name="Comma 3 3" xfId="2136" xr:uid="{00000000-0005-0000-0000-000088080000}"/>
    <cellStyle name="Comma 3 3 2" xfId="2137" xr:uid="{00000000-0005-0000-0000-000089080000}"/>
    <cellStyle name="Comma 3 3 3" xfId="2138" xr:uid="{00000000-0005-0000-0000-00008A080000}"/>
    <cellStyle name="Comma 3 3 3 2" xfId="2139" xr:uid="{00000000-0005-0000-0000-00008B080000}"/>
    <cellStyle name="Comma 3 4" xfId="2140" xr:uid="{00000000-0005-0000-0000-00008C080000}"/>
    <cellStyle name="Comma 3 5" xfId="2141" xr:uid="{00000000-0005-0000-0000-00008D080000}"/>
    <cellStyle name="Comma 3 5 2" xfId="2142" xr:uid="{00000000-0005-0000-0000-00008E080000}"/>
    <cellStyle name="Comma 4" xfId="2143" xr:uid="{00000000-0005-0000-0000-00008F080000}"/>
    <cellStyle name="Comma 5" xfId="2144" xr:uid="{00000000-0005-0000-0000-000090080000}"/>
    <cellStyle name="Comma 6" xfId="2145" xr:uid="{00000000-0005-0000-0000-000091080000}"/>
    <cellStyle name="Currency 2" xfId="2146" xr:uid="{00000000-0005-0000-0000-000092080000}"/>
    <cellStyle name="Excel Built-in Normal" xfId="2147" xr:uid="{00000000-0005-0000-0000-000093080000}"/>
    <cellStyle name="Excel Built-in Normal 1" xfId="2148" xr:uid="{00000000-0005-0000-0000-000094080000}"/>
    <cellStyle name="Explanatory Text 10" xfId="2149" xr:uid="{00000000-0005-0000-0000-000095080000}"/>
    <cellStyle name="Explanatory Text 11" xfId="2150" xr:uid="{00000000-0005-0000-0000-000096080000}"/>
    <cellStyle name="Explanatory Text 12" xfId="2151" xr:uid="{00000000-0005-0000-0000-000097080000}"/>
    <cellStyle name="Explanatory Text 2" xfId="2152" xr:uid="{00000000-0005-0000-0000-000098080000}"/>
    <cellStyle name="Explanatory Text 2 2" xfId="2153" xr:uid="{00000000-0005-0000-0000-000099080000}"/>
    <cellStyle name="Explanatory Text 2 3" xfId="2154" xr:uid="{00000000-0005-0000-0000-00009A080000}"/>
    <cellStyle name="Explanatory Text 2 4" xfId="2155" xr:uid="{00000000-0005-0000-0000-00009B080000}"/>
    <cellStyle name="Explanatory Text 2 5" xfId="2156" xr:uid="{00000000-0005-0000-0000-00009C080000}"/>
    <cellStyle name="Explanatory Text 2 6" xfId="2157" xr:uid="{00000000-0005-0000-0000-00009D080000}"/>
    <cellStyle name="Explanatory Text 2 7" xfId="2158" xr:uid="{00000000-0005-0000-0000-00009E080000}"/>
    <cellStyle name="Explanatory Text 2 8" xfId="2159" xr:uid="{00000000-0005-0000-0000-00009F080000}"/>
    <cellStyle name="Explanatory Text 3" xfId="2160" xr:uid="{00000000-0005-0000-0000-0000A0080000}"/>
    <cellStyle name="Explanatory Text 3 2" xfId="2161" xr:uid="{00000000-0005-0000-0000-0000A1080000}"/>
    <cellStyle name="Explanatory Text 3 3" xfId="2162" xr:uid="{00000000-0005-0000-0000-0000A2080000}"/>
    <cellStyle name="Explanatory Text 3 4" xfId="2163" xr:uid="{00000000-0005-0000-0000-0000A3080000}"/>
    <cellStyle name="Explanatory Text 3 5" xfId="2164" xr:uid="{00000000-0005-0000-0000-0000A4080000}"/>
    <cellStyle name="Explanatory Text 3 6" xfId="2165" xr:uid="{00000000-0005-0000-0000-0000A5080000}"/>
    <cellStyle name="Explanatory Text 3 7" xfId="2166" xr:uid="{00000000-0005-0000-0000-0000A6080000}"/>
    <cellStyle name="Explanatory Text 3 8" xfId="2167" xr:uid="{00000000-0005-0000-0000-0000A7080000}"/>
    <cellStyle name="Explanatory Text 4" xfId="2168" xr:uid="{00000000-0005-0000-0000-0000A8080000}"/>
    <cellStyle name="Explanatory Text 4 2" xfId="2169" xr:uid="{00000000-0005-0000-0000-0000A9080000}"/>
    <cellStyle name="Explanatory Text 4 3" xfId="2170" xr:uid="{00000000-0005-0000-0000-0000AA080000}"/>
    <cellStyle name="Explanatory Text 4 4" xfId="2171" xr:uid="{00000000-0005-0000-0000-0000AB080000}"/>
    <cellStyle name="Explanatory Text 4 5" xfId="2172" xr:uid="{00000000-0005-0000-0000-0000AC080000}"/>
    <cellStyle name="Explanatory Text 4 6" xfId="2173" xr:uid="{00000000-0005-0000-0000-0000AD080000}"/>
    <cellStyle name="Explanatory Text 5" xfId="2174" xr:uid="{00000000-0005-0000-0000-0000AE080000}"/>
    <cellStyle name="Explanatory Text 6" xfId="2175" xr:uid="{00000000-0005-0000-0000-0000AF080000}"/>
    <cellStyle name="Explanatory Text 7" xfId="2176" xr:uid="{00000000-0005-0000-0000-0000B0080000}"/>
    <cellStyle name="Explanatory Text 8" xfId="2177" xr:uid="{00000000-0005-0000-0000-0000B1080000}"/>
    <cellStyle name="Explanatory Text 9" xfId="2178" xr:uid="{00000000-0005-0000-0000-0000B2080000}"/>
    <cellStyle name="Good 10" xfId="2179" xr:uid="{00000000-0005-0000-0000-0000B3080000}"/>
    <cellStyle name="Good 11" xfId="2180" xr:uid="{00000000-0005-0000-0000-0000B4080000}"/>
    <cellStyle name="Good 12" xfId="2181" xr:uid="{00000000-0005-0000-0000-0000B5080000}"/>
    <cellStyle name="Good 2" xfId="2182" xr:uid="{00000000-0005-0000-0000-0000B6080000}"/>
    <cellStyle name="Good 2 2" xfId="2183" xr:uid="{00000000-0005-0000-0000-0000B7080000}"/>
    <cellStyle name="Good 2 3" xfId="2184" xr:uid="{00000000-0005-0000-0000-0000B8080000}"/>
    <cellStyle name="Good 2 4" xfId="2185" xr:uid="{00000000-0005-0000-0000-0000B9080000}"/>
    <cellStyle name="Good 2 5" xfId="2186" xr:uid="{00000000-0005-0000-0000-0000BA080000}"/>
    <cellStyle name="Good 2 6" xfId="2187" xr:uid="{00000000-0005-0000-0000-0000BB080000}"/>
    <cellStyle name="Good 2 7" xfId="2188" xr:uid="{00000000-0005-0000-0000-0000BC080000}"/>
    <cellStyle name="Good 2 8" xfId="2189" xr:uid="{00000000-0005-0000-0000-0000BD080000}"/>
    <cellStyle name="Good 3" xfId="2190" xr:uid="{00000000-0005-0000-0000-0000BE080000}"/>
    <cellStyle name="Good 3 2" xfId="2191" xr:uid="{00000000-0005-0000-0000-0000BF080000}"/>
    <cellStyle name="Good 3 3" xfId="2192" xr:uid="{00000000-0005-0000-0000-0000C0080000}"/>
    <cellStyle name="Good 3 4" xfId="2193" xr:uid="{00000000-0005-0000-0000-0000C1080000}"/>
    <cellStyle name="Good 3 5" xfId="2194" xr:uid="{00000000-0005-0000-0000-0000C2080000}"/>
    <cellStyle name="Good 3 6" xfId="2195" xr:uid="{00000000-0005-0000-0000-0000C3080000}"/>
    <cellStyle name="Good 3 7" xfId="2196" xr:uid="{00000000-0005-0000-0000-0000C4080000}"/>
    <cellStyle name="Good 3 8" xfId="2197" xr:uid="{00000000-0005-0000-0000-0000C5080000}"/>
    <cellStyle name="Good 4" xfId="2198" xr:uid="{00000000-0005-0000-0000-0000C6080000}"/>
    <cellStyle name="Good 4 2" xfId="2199" xr:uid="{00000000-0005-0000-0000-0000C7080000}"/>
    <cellStyle name="Good 4 3" xfId="2200" xr:uid="{00000000-0005-0000-0000-0000C8080000}"/>
    <cellStyle name="Good 4 4" xfId="2201" xr:uid="{00000000-0005-0000-0000-0000C9080000}"/>
    <cellStyle name="Good 4 5" xfId="2202" xr:uid="{00000000-0005-0000-0000-0000CA080000}"/>
    <cellStyle name="Good 4 6" xfId="2203" xr:uid="{00000000-0005-0000-0000-0000CB080000}"/>
    <cellStyle name="Good 5" xfId="2204" xr:uid="{00000000-0005-0000-0000-0000CC080000}"/>
    <cellStyle name="Good 6" xfId="2205" xr:uid="{00000000-0005-0000-0000-0000CD080000}"/>
    <cellStyle name="Good 7" xfId="2206" xr:uid="{00000000-0005-0000-0000-0000CE080000}"/>
    <cellStyle name="Good 8" xfId="2207" xr:uid="{00000000-0005-0000-0000-0000CF080000}"/>
    <cellStyle name="Good 9" xfId="2208" xr:uid="{00000000-0005-0000-0000-0000D0080000}"/>
    <cellStyle name="Heading 1 10" xfId="2209" xr:uid="{00000000-0005-0000-0000-0000D1080000}"/>
    <cellStyle name="Heading 1 11" xfId="2210" xr:uid="{00000000-0005-0000-0000-0000D2080000}"/>
    <cellStyle name="Heading 1 12" xfId="2211" xr:uid="{00000000-0005-0000-0000-0000D3080000}"/>
    <cellStyle name="Heading 1 2" xfId="2212" xr:uid="{00000000-0005-0000-0000-0000D4080000}"/>
    <cellStyle name="Heading 1 2 2" xfId="2213" xr:uid="{00000000-0005-0000-0000-0000D5080000}"/>
    <cellStyle name="Heading 1 2 3" xfId="2214" xr:uid="{00000000-0005-0000-0000-0000D6080000}"/>
    <cellStyle name="Heading 1 2 4" xfId="2215" xr:uid="{00000000-0005-0000-0000-0000D7080000}"/>
    <cellStyle name="Heading 1 2 5" xfId="2216" xr:uid="{00000000-0005-0000-0000-0000D8080000}"/>
    <cellStyle name="Heading 1 2 6" xfId="2217" xr:uid="{00000000-0005-0000-0000-0000D9080000}"/>
    <cellStyle name="Heading 1 2 7" xfId="2218" xr:uid="{00000000-0005-0000-0000-0000DA080000}"/>
    <cellStyle name="Heading 1 2 8" xfId="2219" xr:uid="{00000000-0005-0000-0000-0000DB080000}"/>
    <cellStyle name="Heading 1 3" xfId="2220" xr:uid="{00000000-0005-0000-0000-0000DC080000}"/>
    <cellStyle name="Heading 1 3 2" xfId="2221" xr:uid="{00000000-0005-0000-0000-0000DD080000}"/>
    <cellStyle name="Heading 1 3 3" xfId="2222" xr:uid="{00000000-0005-0000-0000-0000DE080000}"/>
    <cellStyle name="Heading 1 3 4" xfId="2223" xr:uid="{00000000-0005-0000-0000-0000DF080000}"/>
    <cellStyle name="Heading 1 3 5" xfId="2224" xr:uid="{00000000-0005-0000-0000-0000E0080000}"/>
    <cellStyle name="Heading 1 3 6" xfId="2225" xr:uid="{00000000-0005-0000-0000-0000E1080000}"/>
    <cellStyle name="Heading 1 3 7" xfId="2226" xr:uid="{00000000-0005-0000-0000-0000E2080000}"/>
    <cellStyle name="Heading 1 3 8" xfId="2227" xr:uid="{00000000-0005-0000-0000-0000E3080000}"/>
    <cellStyle name="Heading 1 4" xfId="2228" xr:uid="{00000000-0005-0000-0000-0000E4080000}"/>
    <cellStyle name="Heading 1 4 2" xfId="2229" xr:uid="{00000000-0005-0000-0000-0000E5080000}"/>
    <cellStyle name="Heading 1 4 3" xfId="2230" xr:uid="{00000000-0005-0000-0000-0000E6080000}"/>
    <cellStyle name="Heading 1 4 4" xfId="2231" xr:uid="{00000000-0005-0000-0000-0000E7080000}"/>
    <cellStyle name="Heading 1 4 5" xfId="2232" xr:uid="{00000000-0005-0000-0000-0000E8080000}"/>
    <cellStyle name="Heading 1 4 6" xfId="2233" xr:uid="{00000000-0005-0000-0000-0000E9080000}"/>
    <cellStyle name="Heading 1 5" xfId="2234" xr:uid="{00000000-0005-0000-0000-0000EA080000}"/>
    <cellStyle name="Heading 1 6" xfId="2235" xr:uid="{00000000-0005-0000-0000-0000EB080000}"/>
    <cellStyle name="Heading 1 7" xfId="2236" xr:uid="{00000000-0005-0000-0000-0000EC080000}"/>
    <cellStyle name="Heading 1 8" xfId="2237" xr:uid="{00000000-0005-0000-0000-0000ED080000}"/>
    <cellStyle name="Heading 1 9" xfId="2238" xr:uid="{00000000-0005-0000-0000-0000EE080000}"/>
    <cellStyle name="Heading 2 10" xfId="2239" xr:uid="{00000000-0005-0000-0000-0000EF080000}"/>
    <cellStyle name="Heading 2 11" xfId="2240" xr:uid="{00000000-0005-0000-0000-0000F0080000}"/>
    <cellStyle name="Heading 2 12" xfId="2241" xr:uid="{00000000-0005-0000-0000-0000F1080000}"/>
    <cellStyle name="Heading 2 2" xfId="2242" xr:uid="{00000000-0005-0000-0000-0000F2080000}"/>
    <cellStyle name="Heading 2 2 2" xfId="2243" xr:uid="{00000000-0005-0000-0000-0000F3080000}"/>
    <cellStyle name="Heading 2 2 3" xfId="2244" xr:uid="{00000000-0005-0000-0000-0000F4080000}"/>
    <cellStyle name="Heading 2 2 4" xfId="2245" xr:uid="{00000000-0005-0000-0000-0000F5080000}"/>
    <cellStyle name="Heading 2 2 5" xfId="2246" xr:uid="{00000000-0005-0000-0000-0000F6080000}"/>
    <cellStyle name="Heading 2 2 6" xfId="2247" xr:uid="{00000000-0005-0000-0000-0000F7080000}"/>
    <cellStyle name="Heading 2 2 7" xfId="2248" xr:uid="{00000000-0005-0000-0000-0000F8080000}"/>
    <cellStyle name="Heading 2 2 8" xfId="2249" xr:uid="{00000000-0005-0000-0000-0000F9080000}"/>
    <cellStyle name="Heading 2 3" xfId="2250" xr:uid="{00000000-0005-0000-0000-0000FA080000}"/>
    <cellStyle name="Heading 2 3 2" xfId="2251" xr:uid="{00000000-0005-0000-0000-0000FB080000}"/>
    <cellStyle name="Heading 2 3 3" xfId="2252" xr:uid="{00000000-0005-0000-0000-0000FC080000}"/>
    <cellStyle name="Heading 2 3 4" xfId="2253" xr:uid="{00000000-0005-0000-0000-0000FD080000}"/>
    <cellStyle name="Heading 2 3 5" xfId="2254" xr:uid="{00000000-0005-0000-0000-0000FE080000}"/>
    <cellStyle name="Heading 2 3 6" xfId="2255" xr:uid="{00000000-0005-0000-0000-0000FF080000}"/>
    <cellStyle name="Heading 2 3 7" xfId="2256" xr:uid="{00000000-0005-0000-0000-000000090000}"/>
    <cellStyle name="Heading 2 3 8" xfId="2257" xr:uid="{00000000-0005-0000-0000-000001090000}"/>
    <cellStyle name="Heading 2 4" xfId="2258" xr:uid="{00000000-0005-0000-0000-000002090000}"/>
    <cellStyle name="Heading 2 4 2" xfId="2259" xr:uid="{00000000-0005-0000-0000-000003090000}"/>
    <cellStyle name="Heading 2 4 3" xfId="2260" xr:uid="{00000000-0005-0000-0000-000004090000}"/>
    <cellStyle name="Heading 2 4 4" xfId="2261" xr:uid="{00000000-0005-0000-0000-000005090000}"/>
    <cellStyle name="Heading 2 4 5" xfId="2262" xr:uid="{00000000-0005-0000-0000-000006090000}"/>
    <cellStyle name="Heading 2 4 6" xfId="2263" xr:uid="{00000000-0005-0000-0000-000007090000}"/>
    <cellStyle name="Heading 2 5" xfId="2264" xr:uid="{00000000-0005-0000-0000-000008090000}"/>
    <cellStyle name="Heading 2 6" xfId="2265" xr:uid="{00000000-0005-0000-0000-000009090000}"/>
    <cellStyle name="Heading 2 7" xfId="2266" xr:uid="{00000000-0005-0000-0000-00000A090000}"/>
    <cellStyle name="Heading 2 8" xfId="2267" xr:uid="{00000000-0005-0000-0000-00000B090000}"/>
    <cellStyle name="Heading 2 9" xfId="2268" xr:uid="{00000000-0005-0000-0000-00000C090000}"/>
    <cellStyle name="Heading 3 10" xfId="2269" xr:uid="{00000000-0005-0000-0000-00000D090000}"/>
    <cellStyle name="Heading 3 11" xfId="2270" xr:uid="{00000000-0005-0000-0000-00000E090000}"/>
    <cellStyle name="Heading 3 12" xfId="2271" xr:uid="{00000000-0005-0000-0000-00000F090000}"/>
    <cellStyle name="Heading 3 2" xfId="2272" xr:uid="{00000000-0005-0000-0000-000010090000}"/>
    <cellStyle name="Heading 3 2 2" xfId="2273" xr:uid="{00000000-0005-0000-0000-000011090000}"/>
    <cellStyle name="Heading 3 2 3" xfId="2274" xr:uid="{00000000-0005-0000-0000-000012090000}"/>
    <cellStyle name="Heading 3 2 4" xfId="2275" xr:uid="{00000000-0005-0000-0000-000013090000}"/>
    <cellStyle name="Heading 3 2 5" xfId="2276" xr:uid="{00000000-0005-0000-0000-000014090000}"/>
    <cellStyle name="Heading 3 2 6" xfId="2277" xr:uid="{00000000-0005-0000-0000-000015090000}"/>
    <cellStyle name="Heading 3 2 7" xfId="2278" xr:uid="{00000000-0005-0000-0000-000016090000}"/>
    <cellStyle name="Heading 3 2 8" xfId="2279" xr:uid="{00000000-0005-0000-0000-000017090000}"/>
    <cellStyle name="Heading 3 3" xfId="2280" xr:uid="{00000000-0005-0000-0000-000018090000}"/>
    <cellStyle name="Heading 3 3 2" xfId="2281" xr:uid="{00000000-0005-0000-0000-000019090000}"/>
    <cellStyle name="Heading 3 3 3" xfId="2282" xr:uid="{00000000-0005-0000-0000-00001A090000}"/>
    <cellStyle name="Heading 3 3 4" xfId="2283" xr:uid="{00000000-0005-0000-0000-00001B090000}"/>
    <cellStyle name="Heading 3 3 5" xfId="2284" xr:uid="{00000000-0005-0000-0000-00001C090000}"/>
    <cellStyle name="Heading 3 3 6" xfId="2285" xr:uid="{00000000-0005-0000-0000-00001D090000}"/>
    <cellStyle name="Heading 3 3 7" xfId="2286" xr:uid="{00000000-0005-0000-0000-00001E090000}"/>
    <cellStyle name="Heading 3 3 8" xfId="2287" xr:uid="{00000000-0005-0000-0000-00001F090000}"/>
    <cellStyle name="Heading 3 4" xfId="2288" xr:uid="{00000000-0005-0000-0000-000020090000}"/>
    <cellStyle name="Heading 3 4 2" xfId="2289" xr:uid="{00000000-0005-0000-0000-000021090000}"/>
    <cellStyle name="Heading 3 4 3" xfId="2290" xr:uid="{00000000-0005-0000-0000-000022090000}"/>
    <cellStyle name="Heading 3 4 4" xfId="2291" xr:uid="{00000000-0005-0000-0000-000023090000}"/>
    <cellStyle name="Heading 3 4 5" xfId="2292" xr:uid="{00000000-0005-0000-0000-000024090000}"/>
    <cellStyle name="Heading 3 4 6" xfId="2293" xr:uid="{00000000-0005-0000-0000-000025090000}"/>
    <cellStyle name="Heading 3 5" xfId="2294" xr:uid="{00000000-0005-0000-0000-000026090000}"/>
    <cellStyle name="Heading 3 6" xfId="2295" xr:uid="{00000000-0005-0000-0000-000027090000}"/>
    <cellStyle name="Heading 3 7" xfId="2296" xr:uid="{00000000-0005-0000-0000-000028090000}"/>
    <cellStyle name="Heading 3 8" xfId="2297" xr:uid="{00000000-0005-0000-0000-000029090000}"/>
    <cellStyle name="Heading 3 9" xfId="2298" xr:uid="{00000000-0005-0000-0000-00002A090000}"/>
    <cellStyle name="Heading 4 10" xfId="2299" xr:uid="{00000000-0005-0000-0000-00002B090000}"/>
    <cellStyle name="Heading 4 11" xfId="2300" xr:uid="{00000000-0005-0000-0000-00002C090000}"/>
    <cellStyle name="Heading 4 12" xfId="2301" xr:uid="{00000000-0005-0000-0000-00002D090000}"/>
    <cellStyle name="Heading 4 2" xfId="2302" xr:uid="{00000000-0005-0000-0000-00002E090000}"/>
    <cellStyle name="Heading 4 2 2" xfId="2303" xr:uid="{00000000-0005-0000-0000-00002F090000}"/>
    <cellStyle name="Heading 4 2 3" xfId="2304" xr:uid="{00000000-0005-0000-0000-000030090000}"/>
    <cellStyle name="Heading 4 2 4" xfId="2305" xr:uid="{00000000-0005-0000-0000-000031090000}"/>
    <cellStyle name="Heading 4 2 5" xfId="2306" xr:uid="{00000000-0005-0000-0000-000032090000}"/>
    <cellStyle name="Heading 4 2 6" xfId="2307" xr:uid="{00000000-0005-0000-0000-000033090000}"/>
    <cellStyle name="Heading 4 2 7" xfId="2308" xr:uid="{00000000-0005-0000-0000-000034090000}"/>
    <cellStyle name="Heading 4 2 8" xfId="2309" xr:uid="{00000000-0005-0000-0000-000035090000}"/>
    <cellStyle name="Heading 4 3" xfId="2310" xr:uid="{00000000-0005-0000-0000-000036090000}"/>
    <cellStyle name="Heading 4 3 2" xfId="2311" xr:uid="{00000000-0005-0000-0000-000037090000}"/>
    <cellStyle name="Heading 4 3 3" xfId="2312" xr:uid="{00000000-0005-0000-0000-000038090000}"/>
    <cellStyle name="Heading 4 3 4" xfId="2313" xr:uid="{00000000-0005-0000-0000-000039090000}"/>
    <cellStyle name="Heading 4 3 5" xfId="2314" xr:uid="{00000000-0005-0000-0000-00003A090000}"/>
    <cellStyle name="Heading 4 3 6" xfId="2315" xr:uid="{00000000-0005-0000-0000-00003B090000}"/>
    <cellStyle name="Heading 4 3 7" xfId="2316" xr:uid="{00000000-0005-0000-0000-00003C090000}"/>
    <cellStyle name="Heading 4 3 8" xfId="2317" xr:uid="{00000000-0005-0000-0000-00003D090000}"/>
    <cellStyle name="Heading 4 4" xfId="2318" xr:uid="{00000000-0005-0000-0000-00003E090000}"/>
    <cellStyle name="Heading 4 4 2" xfId="2319" xr:uid="{00000000-0005-0000-0000-00003F090000}"/>
    <cellStyle name="Heading 4 4 3" xfId="2320" xr:uid="{00000000-0005-0000-0000-000040090000}"/>
    <cellStyle name="Heading 4 4 4" xfId="2321" xr:uid="{00000000-0005-0000-0000-000041090000}"/>
    <cellStyle name="Heading 4 4 5" xfId="2322" xr:uid="{00000000-0005-0000-0000-000042090000}"/>
    <cellStyle name="Heading 4 4 6" xfId="2323" xr:uid="{00000000-0005-0000-0000-000043090000}"/>
    <cellStyle name="Heading 4 5" xfId="2324" xr:uid="{00000000-0005-0000-0000-000044090000}"/>
    <cellStyle name="Heading 4 6" xfId="2325" xr:uid="{00000000-0005-0000-0000-000045090000}"/>
    <cellStyle name="Heading 4 7" xfId="2326" xr:uid="{00000000-0005-0000-0000-000046090000}"/>
    <cellStyle name="Heading 4 8" xfId="2327" xr:uid="{00000000-0005-0000-0000-000047090000}"/>
    <cellStyle name="Heading 4 9" xfId="2328" xr:uid="{00000000-0005-0000-0000-000048090000}"/>
    <cellStyle name="Hyperlink" xfId="2329" builtinId="8"/>
    <cellStyle name="Hyperlink 2" xfId="2330" xr:uid="{00000000-0005-0000-0000-000049090000}"/>
    <cellStyle name="Hyperlink 2 2" xfId="2331" xr:uid="{00000000-0005-0000-0000-00004A090000}"/>
    <cellStyle name="Hyperlink 2 3" xfId="2332" xr:uid="{00000000-0005-0000-0000-00004B090000}"/>
    <cellStyle name="Hyperlink 2 4" xfId="2333" xr:uid="{00000000-0005-0000-0000-00004C090000}"/>
    <cellStyle name="Hyperlink 2 5" xfId="2334" xr:uid="{00000000-0005-0000-0000-00004D090000}"/>
    <cellStyle name="Hyperlink 2 6" xfId="2335" xr:uid="{00000000-0005-0000-0000-00004E090000}"/>
    <cellStyle name="Hyperlink 2 7" xfId="2336" xr:uid="{00000000-0005-0000-0000-00004F090000}"/>
    <cellStyle name="Hyperlink 3" xfId="2337" xr:uid="{00000000-0005-0000-0000-000050090000}"/>
    <cellStyle name="Hyperlink 3 2" xfId="2338" xr:uid="{00000000-0005-0000-0000-000051090000}"/>
    <cellStyle name="Hyperlink 3 3" xfId="2339" xr:uid="{00000000-0005-0000-0000-000052090000}"/>
    <cellStyle name="Hyperlink 4" xfId="2340" xr:uid="{00000000-0005-0000-0000-000053090000}"/>
    <cellStyle name="Hyperlink 5" xfId="2341" xr:uid="{00000000-0005-0000-0000-000054090000}"/>
    <cellStyle name="Input 10" xfId="2342" xr:uid="{00000000-0005-0000-0000-000055090000}"/>
    <cellStyle name="Input 10 2" xfId="2343" xr:uid="{00000000-0005-0000-0000-000056090000}"/>
    <cellStyle name="Input 10 2 2" xfId="2344" xr:uid="{00000000-0005-0000-0000-000057090000}"/>
    <cellStyle name="Input 10 2 3" xfId="2345" xr:uid="{00000000-0005-0000-0000-000058090000}"/>
    <cellStyle name="Input 10 2 4" xfId="2346" xr:uid="{00000000-0005-0000-0000-000059090000}"/>
    <cellStyle name="Input 10 3" xfId="2347" xr:uid="{00000000-0005-0000-0000-00005A090000}"/>
    <cellStyle name="Input 10 3 2" xfId="2348" xr:uid="{00000000-0005-0000-0000-00005B090000}"/>
    <cellStyle name="Input 10 3 3" xfId="2349" xr:uid="{00000000-0005-0000-0000-00005C090000}"/>
    <cellStyle name="Input 10 3 4" xfId="2350" xr:uid="{00000000-0005-0000-0000-00005D090000}"/>
    <cellStyle name="Input 10 4" xfId="2351" xr:uid="{00000000-0005-0000-0000-00005E090000}"/>
    <cellStyle name="Input 10 4 2" xfId="2352" xr:uid="{00000000-0005-0000-0000-00005F090000}"/>
    <cellStyle name="Input 10 4 3" xfId="2353" xr:uid="{00000000-0005-0000-0000-000060090000}"/>
    <cellStyle name="Input 10 4 4" xfId="2354" xr:uid="{00000000-0005-0000-0000-000061090000}"/>
    <cellStyle name="Input 10 5" xfId="2355" xr:uid="{00000000-0005-0000-0000-000062090000}"/>
    <cellStyle name="Input 10 5 2" xfId="2356" xr:uid="{00000000-0005-0000-0000-000063090000}"/>
    <cellStyle name="Input 10 5 3" xfId="2357" xr:uid="{00000000-0005-0000-0000-000064090000}"/>
    <cellStyle name="Input 10 5 4" xfId="2358" xr:uid="{00000000-0005-0000-0000-000065090000}"/>
    <cellStyle name="Input 10 6" xfId="2359" xr:uid="{00000000-0005-0000-0000-000066090000}"/>
    <cellStyle name="Input 10 7" xfId="2360" xr:uid="{00000000-0005-0000-0000-000067090000}"/>
    <cellStyle name="Input 10 8" xfId="2361" xr:uid="{00000000-0005-0000-0000-000068090000}"/>
    <cellStyle name="Input 11" xfId="2362" xr:uid="{00000000-0005-0000-0000-000069090000}"/>
    <cellStyle name="Input 11 2" xfId="2363" xr:uid="{00000000-0005-0000-0000-00006A090000}"/>
    <cellStyle name="Input 11 2 2" xfId="2364" xr:uid="{00000000-0005-0000-0000-00006B090000}"/>
    <cellStyle name="Input 11 2 3" xfId="2365" xr:uid="{00000000-0005-0000-0000-00006C090000}"/>
    <cellStyle name="Input 11 2 4" xfId="2366" xr:uid="{00000000-0005-0000-0000-00006D090000}"/>
    <cellStyle name="Input 11 3" xfId="2367" xr:uid="{00000000-0005-0000-0000-00006E090000}"/>
    <cellStyle name="Input 11 3 2" xfId="2368" xr:uid="{00000000-0005-0000-0000-00006F090000}"/>
    <cellStyle name="Input 11 3 3" xfId="2369" xr:uid="{00000000-0005-0000-0000-000070090000}"/>
    <cellStyle name="Input 11 3 4" xfId="2370" xr:uid="{00000000-0005-0000-0000-000071090000}"/>
    <cellStyle name="Input 11 4" xfId="2371" xr:uid="{00000000-0005-0000-0000-000072090000}"/>
    <cellStyle name="Input 11 4 2" xfId="2372" xr:uid="{00000000-0005-0000-0000-000073090000}"/>
    <cellStyle name="Input 11 4 3" xfId="2373" xr:uid="{00000000-0005-0000-0000-000074090000}"/>
    <cellStyle name="Input 11 4 4" xfId="2374" xr:uid="{00000000-0005-0000-0000-000075090000}"/>
    <cellStyle name="Input 11 5" xfId="2375" xr:uid="{00000000-0005-0000-0000-000076090000}"/>
    <cellStyle name="Input 11 5 2" xfId="2376" xr:uid="{00000000-0005-0000-0000-000077090000}"/>
    <cellStyle name="Input 11 5 3" xfId="2377" xr:uid="{00000000-0005-0000-0000-000078090000}"/>
    <cellStyle name="Input 11 5 4" xfId="2378" xr:uid="{00000000-0005-0000-0000-000079090000}"/>
    <cellStyle name="Input 11 6" xfId="2379" xr:uid="{00000000-0005-0000-0000-00007A090000}"/>
    <cellStyle name="Input 11 7" xfId="2380" xr:uid="{00000000-0005-0000-0000-00007B090000}"/>
    <cellStyle name="Input 11 8" xfId="2381" xr:uid="{00000000-0005-0000-0000-00007C090000}"/>
    <cellStyle name="Input 12" xfId="2382" xr:uid="{00000000-0005-0000-0000-00007D090000}"/>
    <cellStyle name="Input 2" xfId="2383" xr:uid="{00000000-0005-0000-0000-00007E090000}"/>
    <cellStyle name="Input 2 10" xfId="2384" xr:uid="{00000000-0005-0000-0000-00007F090000}"/>
    <cellStyle name="Input 2 10 2" xfId="2385" xr:uid="{00000000-0005-0000-0000-000080090000}"/>
    <cellStyle name="Input 2 10 3" xfId="2386" xr:uid="{00000000-0005-0000-0000-000081090000}"/>
    <cellStyle name="Input 2 10 4" xfId="2387" xr:uid="{00000000-0005-0000-0000-000082090000}"/>
    <cellStyle name="Input 2 11" xfId="2388" xr:uid="{00000000-0005-0000-0000-000083090000}"/>
    <cellStyle name="Input 2 12" xfId="2389" xr:uid="{00000000-0005-0000-0000-000084090000}"/>
    <cellStyle name="Input 2 12 2" xfId="2390" xr:uid="{00000000-0005-0000-0000-000085090000}"/>
    <cellStyle name="Input 2 13" xfId="2391" xr:uid="{00000000-0005-0000-0000-000086090000}"/>
    <cellStyle name="Input 2 14" xfId="2392" xr:uid="{00000000-0005-0000-0000-000087090000}"/>
    <cellStyle name="Input 2 2" xfId="2393" xr:uid="{00000000-0005-0000-0000-000088090000}"/>
    <cellStyle name="Input 2 2 2" xfId="2394" xr:uid="{00000000-0005-0000-0000-000089090000}"/>
    <cellStyle name="Input 2 2 2 2" xfId="2395" xr:uid="{00000000-0005-0000-0000-00008A090000}"/>
    <cellStyle name="Input 2 2 2 3" xfId="2396" xr:uid="{00000000-0005-0000-0000-00008B090000}"/>
    <cellStyle name="Input 2 2 2 4" xfId="2397" xr:uid="{00000000-0005-0000-0000-00008C090000}"/>
    <cellStyle name="Input 2 2 3" xfId="2398" xr:uid="{00000000-0005-0000-0000-00008D090000}"/>
    <cellStyle name="Input 2 2 3 2" xfId="2399" xr:uid="{00000000-0005-0000-0000-00008E090000}"/>
    <cellStyle name="Input 2 2 3 3" xfId="2400" xr:uid="{00000000-0005-0000-0000-00008F090000}"/>
    <cellStyle name="Input 2 2 3 4" xfId="2401" xr:uid="{00000000-0005-0000-0000-000090090000}"/>
    <cellStyle name="Input 2 2 4" xfId="2402" xr:uid="{00000000-0005-0000-0000-000091090000}"/>
    <cellStyle name="Input 2 2 4 2" xfId="2403" xr:uid="{00000000-0005-0000-0000-000092090000}"/>
    <cellStyle name="Input 2 2 4 3" xfId="2404" xr:uid="{00000000-0005-0000-0000-000093090000}"/>
    <cellStyle name="Input 2 2 4 4" xfId="2405" xr:uid="{00000000-0005-0000-0000-000094090000}"/>
    <cellStyle name="Input 2 2 5" xfId="2406" xr:uid="{00000000-0005-0000-0000-000095090000}"/>
    <cellStyle name="Input 2 2 5 2" xfId="2407" xr:uid="{00000000-0005-0000-0000-000096090000}"/>
    <cellStyle name="Input 2 2 5 3" xfId="2408" xr:uid="{00000000-0005-0000-0000-000097090000}"/>
    <cellStyle name="Input 2 2 5 4" xfId="2409" xr:uid="{00000000-0005-0000-0000-000098090000}"/>
    <cellStyle name="Input 2 2 6" xfId="2410" xr:uid="{00000000-0005-0000-0000-000099090000}"/>
    <cellStyle name="Input 2 2 7" xfId="2411" xr:uid="{00000000-0005-0000-0000-00009A090000}"/>
    <cellStyle name="Input 2 2 8" xfId="2412" xr:uid="{00000000-0005-0000-0000-00009B090000}"/>
    <cellStyle name="Input 2 3" xfId="2413" xr:uid="{00000000-0005-0000-0000-00009C090000}"/>
    <cellStyle name="Input 2 3 2" xfId="2414" xr:uid="{00000000-0005-0000-0000-00009D090000}"/>
    <cellStyle name="Input 2 3 2 2" xfId="2415" xr:uid="{00000000-0005-0000-0000-00009E090000}"/>
    <cellStyle name="Input 2 3 2 3" xfId="2416" xr:uid="{00000000-0005-0000-0000-00009F090000}"/>
    <cellStyle name="Input 2 3 2 4" xfId="2417" xr:uid="{00000000-0005-0000-0000-0000A0090000}"/>
    <cellStyle name="Input 2 3 3" xfId="2418" xr:uid="{00000000-0005-0000-0000-0000A1090000}"/>
    <cellStyle name="Input 2 3 3 2" xfId="2419" xr:uid="{00000000-0005-0000-0000-0000A2090000}"/>
    <cellStyle name="Input 2 3 3 3" xfId="2420" xr:uid="{00000000-0005-0000-0000-0000A3090000}"/>
    <cellStyle name="Input 2 3 3 4" xfId="2421" xr:uid="{00000000-0005-0000-0000-0000A4090000}"/>
    <cellStyle name="Input 2 3 4" xfId="2422" xr:uid="{00000000-0005-0000-0000-0000A5090000}"/>
    <cellStyle name="Input 2 3 4 2" xfId="2423" xr:uid="{00000000-0005-0000-0000-0000A6090000}"/>
    <cellStyle name="Input 2 3 4 3" xfId="2424" xr:uid="{00000000-0005-0000-0000-0000A7090000}"/>
    <cellStyle name="Input 2 3 4 4" xfId="2425" xr:uid="{00000000-0005-0000-0000-0000A8090000}"/>
    <cellStyle name="Input 2 3 5" xfId="2426" xr:uid="{00000000-0005-0000-0000-0000A9090000}"/>
    <cellStyle name="Input 2 3 5 2" xfId="2427" xr:uid="{00000000-0005-0000-0000-0000AA090000}"/>
    <cellStyle name="Input 2 3 5 3" xfId="2428" xr:uid="{00000000-0005-0000-0000-0000AB090000}"/>
    <cellStyle name="Input 2 3 5 4" xfId="2429" xr:uid="{00000000-0005-0000-0000-0000AC090000}"/>
    <cellStyle name="Input 2 3 6" xfId="2430" xr:uid="{00000000-0005-0000-0000-0000AD090000}"/>
    <cellStyle name="Input 2 3 7" xfId="2431" xr:uid="{00000000-0005-0000-0000-0000AE090000}"/>
    <cellStyle name="Input 2 3 8" xfId="2432" xr:uid="{00000000-0005-0000-0000-0000AF090000}"/>
    <cellStyle name="Input 2 4" xfId="2433" xr:uid="{00000000-0005-0000-0000-0000B0090000}"/>
    <cellStyle name="Input 2 4 2" xfId="2434" xr:uid="{00000000-0005-0000-0000-0000B1090000}"/>
    <cellStyle name="Input 2 4 2 2" xfId="2435" xr:uid="{00000000-0005-0000-0000-0000B2090000}"/>
    <cellStyle name="Input 2 4 2 3" xfId="2436" xr:uid="{00000000-0005-0000-0000-0000B3090000}"/>
    <cellStyle name="Input 2 4 2 4" xfId="2437" xr:uid="{00000000-0005-0000-0000-0000B4090000}"/>
    <cellStyle name="Input 2 4 3" xfId="2438" xr:uid="{00000000-0005-0000-0000-0000B5090000}"/>
    <cellStyle name="Input 2 4 3 2" xfId="2439" xr:uid="{00000000-0005-0000-0000-0000B6090000}"/>
    <cellStyle name="Input 2 4 3 3" xfId="2440" xr:uid="{00000000-0005-0000-0000-0000B7090000}"/>
    <cellStyle name="Input 2 4 3 4" xfId="2441" xr:uid="{00000000-0005-0000-0000-0000B8090000}"/>
    <cellStyle name="Input 2 4 4" xfId="2442" xr:uid="{00000000-0005-0000-0000-0000B9090000}"/>
    <cellStyle name="Input 2 4 4 2" xfId="2443" xr:uid="{00000000-0005-0000-0000-0000BA090000}"/>
    <cellStyle name="Input 2 4 4 3" xfId="2444" xr:uid="{00000000-0005-0000-0000-0000BB090000}"/>
    <cellStyle name="Input 2 4 4 4" xfId="2445" xr:uid="{00000000-0005-0000-0000-0000BC090000}"/>
    <cellStyle name="Input 2 4 5" xfId="2446" xr:uid="{00000000-0005-0000-0000-0000BD090000}"/>
    <cellStyle name="Input 2 4 5 2" xfId="2447" xr:uid="{00000000-0005-0000-0000-0000BE090000}"/>
    <cellStyle name="Input 2 4 5 3" xfId="2448" xr:uid="{00000000-0005-0000-0000-0000BF090000}"/>
    <cellStyle name="Input 2 4 5 4" xfId="2449" xr:uid="{00000000-0005-0000-0000-0000C0090000}"/>
    <cellStyle name="Input 2 4 6" xfId="2450" xr:uid="{00000000-0005-0000-0000-0000C1090000}"/>
    <cellStyle name="Input 2 4 7" xfId="2451" xr:uid="{00000000-0005-0000-0000-0000C2090000}"/>
    <cellStyle name="Input 2 4 8" xfId="2452" xr:uid="{00000000-0005-0000-0000-0000C3090000}"/>
    <cellStyle name="Input 2 5" xfId="2453" xr:uid="{00000000-0005-0000-0000-0000C4090000}"/>
    <cellStyle name="Input 2 5 2" xfId="2454" xr:uid="{00000000-0005-0000-0000-0000C5090000}"/>
    <cellStyle name="Input 2 5 2 2" xfId="2455" xr:uid="{00000000-0005-0000-0000-0000C6090000}"/>
    <cellStyle name="Input 2 5 2 3" xfId="2456" xr:uid="{00000000-0005-0000-0000-0000C7090000}"/>
    <cellStyle name="Input 2 5 2 4" xfId="2457" xr:uid="{00000000-0005-0000-0000-0000C8090000}"/>
    <cellStyle name="Input 2 5 3" xfId="2458" xr:uid="{00000000-0005-0000-0000-0000C9090000}"/>
    <cellStyle name="Input 2 5 3 2" xfId="2459" xr:uid="{00000000-0005-0000-0000-0000CA090000}"/>
    <cellStyle name="Input 2 5 3 3" xfId="2460" xr:uid="{00000000-0005-0000-0000-0000CB090000}"/>
    <cellStyle name="Input 2 5 3 4" xfId="2461" xr:uid="{00000000-0005-0000-0000-0000CC090000}"/>
    <cellStyle name="Input 2 5 4" xfId="2462" xr:uid="{00000000-0005-0000-0000-0000CD090000}"/>
    <cellStyle name="Input 2 5 4 2" xfId="2463" xr:uid="{00000000-0005-0000-0000-0000CE090000}"/>
    <cellStyle name="Input 2 5 4 3" xfId="2464" xr:uid="{00000000-0005-0000-0000-0000CF090000}"/>
    <cellStyle name="Input 2 5 4 4" xfId="2465" xr:uid="{00000000-0005-0000-0000-0000D0090000}"/>
    <cellStyle name="Input 2 5 5" xfId="2466" xr:uid="{00000000-0005-0000-0000-0000D1090000}"/>
    <cellStyle name="Input 2 5 5 2" xfId="2467" xr:uid="{00000000-0005-0000-0000-0000D2090000}"/>
    <cellStyle name="Input 2 5 5 3" xfId="2468" xr:uid="{00000000-0005-0000-0000-0000D3090000}"/>
    <cellStyle name="Input 2 5 5 4" xfId="2469" xr:uid="{00000000-0005-0000-0000-0000D4090000}"/>
    <cellStyle name="Input 2 5 6" xfId="2470" xr:uid="{00000000-0005-0000-0000-0000D5090000}"/>
    <cellStyle name="Input 2 5 7" xfId="2471" xr:uid="{00000000-0005-0000-0000-0000D6090000}"/>
    <cellStyle name="Input 2 5 8" xfId="2472" xr:uid="{00000000-0005-0000-0000-0000D7090000}"/>
    <cellStyle name="Input 2 6" xfId="2473" xr:uid="{00000000-0005-0000-0000-0000D8090000}"/>
    <cellStyle name="Input 2 6 2" xfId="2474" xr:uid="{00000000-0005-0000-0000-0000D9090000}"/>
    <cellStyle name="Input 2 6 2 2" xfId="2475" xr:uid="{00000000-0005-0000-0000-0000DA090000}"/>
    <cellStyle name="Input 2 6 2 3" xfId="2476" xr:uid="{00000000-0005-0000-0000-0000DB090000}"/>
    <cellStyle name="Input 2 6 2 4" xfId="2477" xr:uid="{00000000-0005-0000-0000-0000DC090000}"/>
    <cellStyle name="Input 2 6 3" xfId="2478" xr:uid="{00000000-0005-0000-0000-0000DD090000}"/>
    <cellStyle name="Input 2 6 3 2" xfId="2479" xr:uid="{00000000-0005-0000-0000-0000DE090000}"/>
    <cellStyle name="Input 2 6 3 3" xfId="2480" xr:uid="{00000000-0005-0000-0000-0000DF090000}"/>
    <cellStyle name="Input 2 6 3 4" xfId="2481" xr:uid="{00000000-0005-0000-0000-0000E0090000}"/>
    <cellStyle name="Input 2 6 4" xfId="2482" xr:uid="{00000000-0005-0000-0000-0000E1090000}"/>
    <cellStyle name="Input 2 6 4 2" xfId="2483" xr:uid="{00000000-0005-0000-0000-0000E2090000}"/>
    <cellStyle name="Input 2 6 4 3" xfId="2484" xr:uid="{00000000-0005-0000-0000-0000E3090000}"/>
    <cellStyle name="Input 2 6 4 4" xfId="2485" xr:uid="{00000000-0005-0000-0000-0000E4090000}"/>
    <cellStyle name="Input 2 6 5" xfId="2486" xr:uid="{00000000-0005-0000-0000-0000E5090000}"/>
    <cellStyle name="Input 2 6 5 2" xfId="2487" xr:uid="{00000000-0005-0000-0000-0000E6090000}"/>
    <cellStyle name="Input 2 6 5 3" xfId="2488" xr:uid="{00000000-0005-0000-0000-0000E7090000}"/>
    <cellStyle name="Input 2 6 5 4" xfId="2489" xr:uid="{00000000-0005-0000-0000-0000E8090000}"/>
    <cellStyle name="Input 2 6 6" xfId="2490" xr:uid="{00000000-0005-0000-0000-0000E9090000}"/>
    <cellStyle name="Input 2 6 7" xfId="2491" xr:uid="{00000000-0005-0000-0000-0000EA090000}"/>
    <cellStyle name="Input 2 6 8" xfId="2492" xr:uid="{00000000-0005-0000-0000-0000EB090000}"/>
    <cellStyle name="Input 2 7" xfId="2493" xr:uid="{00000000-0005-0000-0000-0000EC090000}"/>
    <cellStyle name="Input 2 7 2" xfId="2494" xr:uid="{00000000-0005-0000-0000-0000ED090000}"/>
    <cellStyle name="Input 2 7 2 2" xfId="2495" xr:uid="{00000000-0005-0000-0000-0000EE090000}"/>
    <cellStyle name="Input 2 7 2 3" xfId="2496" xr:uid="{00000000-0005-0000-0000-0000EF090000}"/>
    <cellStyle name="Input 2 7 2 4" xfId="2497" xr:uid="{00000000-0005-0000-0000-0000F0090000}"/>
    <cellStyle name="Input 2 7 3" xfId="2498" xr:uid="{00000000-0005-0000-0000-0000F1090000}"/>
    <cellStyle name="Input 2 7 4" xfId="2499" xr:uid="{00000000-0005-0000-0000-0000F2090000}"/>
    <cellStyle name="Input 2 7 5" xfId="2500" xr:uid="{00000000-0005-0000-0000-0000F3090000}"/>
    <cellStyle name="Input 2 8" xfId="2501" xr:uid="{00000000-0005-0000-0000-0000F4090000}"/>
    <cellStyle name="Input 2 8 2" xfId="2502" xr:uid="{00000000-0005-0000-0000-0000F5090000}"/>
    <cellStyle name="Input 2 8 3" xfId="2503" xr:uid="{00000000-0005-0000-0000-0000F6090000}"/>
    <cellStyle name="Input 2 8 4" xfId="2504" xr:uid="{00000000-0005-0000-0000-0000F7090000}"/>
    <cellStyle name="Input 2 9" xfId="2505" xr:uid="{00000000-0005-0000-0000-0000F8090000}"/>
    <cellStyle name="Input 2 9 2" xfId="2506" xr:uid="{00000000-0005-0000-0000-0000F9090000}"/>
    <cellStyle name="Input 2 9 3" xfId="2507" xr:uid="{00000000-0005-0000-0000-0000FA090000}"/>
    <cellStyle name="Input 2 9 4" xfId="2508" xr:uid="{00000000-0005-0000-0000-0000FB090000}"/>
    <cellStyle name="Input 3" xfId="2509" xr:uid="{00000000-0005-0000-0000-0000FC090000}"/>
    <cellStyle name="Input 3 10" xfId="2510" xr:uid="{00000000-0005-0000-0000-0000FD090000}"/>
    <cellStyle name="Input 3 10 2" xfId="2511" xr:uid="{00000000-0005-0000-0000-0000FE090000}"/>
    <cellStyle name="Input 3 10 3" xfId="2512" xr:uid="{00000000-0005-0000-0000-0000FF090000}"/>
    <cellStyle name="Input 3 10 4" xfId="2513" xr:uid="{00000000-0005-0000-0000-0000000A0000}"/>
    <cellStyle name="Input 3 11" xfId="2514" xr:uid="{00000000-0005-0000-0000-0000010A0000}"/>
    <cellStyle name="Input 3 12" xfId="2515" xr:uid="{00000000-0005-0000-0000-0000020A0000}"/>
    <cellStyle name="Input 3 13" xfId="2516" xr:uid="{00000000-0005-0000-0000-0000030A0000}"/>
    <cellStyle name="Input 3 14" xfId="2517" xr:uid="{00000000-0005-0000-0000-0000040A0000}"/>
    <cellStyle name="Input 3 2" xfId="2518" xr:uid="{00000000-0005-0000-0000-0000050A0000}"/>
    <cellStyle name="Input 3 2 2" xfId="2519" xr:uid="{00000000-0005-0000-0000-0000060A0000}"/>
    <cellStyle name="Input 3 2 2 2" xfId="2520" xr:uid="{00000000-0005-0000-0000-0000070A0000}"/>
    <cellStyle name="Input 3 2 2 3" xfId="2521" xr:uid="{00000000-0005-0000-0000-0000080A0000}"/>
    <cellStyle name="Input 3 2 2 4" xfId="2522" xr:uid="{00000000-0005-0000-0000-0000090A0000}"/>
    <cellStyle name="Input 3 2 3" xfId="2523" xr:uid="{00000000-0005-0000-0000-00000A0A0000}"/>
    <cellStyle name="Input 3 2 3 2" xfId="2524" xr:uid="{00000000-0005-0000-0000-00000B0A0000}"/>
    <cellStyle name="Input 3 2 3 3" xfId="2525" xr:uid="{00000000-0005-0000-0000-00000C0A0000}"/>
    <cellStyle name="Input 3 2 3 4" xfId="2526" xr:uid="{00000000-0005-0000-0000-00000D0A0000}"/>
    <cellStyle name="Input 3 2 4" xfId="2527" xr:uid="{00000000-0005-0000-0000-00000E0A0000}"/>
    <cellStyle name="Input 3 2 4 2" xfId="2528" xr:uid="{00000000-0005-0000-0000-00000F0A0000}"/>
    <cellStyle name="Input 3 2 4 3" xfId="2529" xr:uid="{00000000-0005-0000-0000-0000100A0000}"/>
    <cellStyle name="Input 3 2 4 4" xfId="2530" xr:uid="{00000000-0005-0000-0000-0000110A0000}"/>
    <cellStyle name="Input 3 2 5" xfId="2531" xr:uid="{00000000-0005-0000-0000-0000120A0000}"/>
    <cellStyle name="Input 3 2 5 2" xfId="2532" xr:uid="{00000000-0005-0000-0000-0000130A0000}"/>
    <cellStyle name="Input 3 2 5 3" xfId="2533" xr:uid="{00000000-0005-0000-0000-0000140A0000}"/>
    <cellStyle name="Input 3 2 5 4" xfId="2534" xr:uid="{00000000-0005-0000-0000-0000150A0000}"/>
    <cellStyle name="Input 3 2 6" xfId="2535" xr:uid="{00000000-0005-0000-0000-0000160A0000}"/>
    <cellStyle name="Input 3 2 7" xfId="2536" xr:uid="{00000000-0005-0000-0000-0000170A0000}"/>
    <cellStyle name="Input 3 2 8" xfId="2537" xr:uid="{00000000-0005-0000-0000-0000180A0000}"/>
    <cellStyle name="Input 3 3" xfId="2538" xr:uid="{00000000-0005-0000-0000-0000190A0000}"/>
    <cellStyle name="Input 3 3 2" xfId="2539" xr:uid="{00000000-0005-0000-0000-00001A0A0000}"/>
    <cellStyle name="Input 3 3 2 2" xfId="2540" xr:uid="{00000000-0005-0000-0000-00001B0A0000}"/>
    <cellStyle name="Input 3 3 2 3" xfId="2541" xr:uid="{00000000-0005-0000-0000-00001C0A0000}"/>
    <cellStyle name="Input 3 3 2 4" xfId="2542" xr:uid="{00000000-0005-0000-0000-00001D0A0000}"/>
    <cellStyle name="Input 3 3 3" xfId="2543" xr:uid="{00000000-0005-0000-0000-00001E0A0000}"/>
    <cellStyle name="Input 3 3 3 2" xfId="2544" xr:uid="{00000000-0005-0000-0000-00001F0A0000}"/>
    <cellStyle name="Input 3 3 3 3" xfId="2545" xr:uid="{00000000-0005-0000-0000-0000200A0000}"/>
    <cellStyle name="Input 3 3 3 4" xfId="2546" xr:uid="{00000000-0005-0000-0000-0000210A0000}"/>
    <cellStyle name="Input 3 3 4" xfId="2547" xr:uid="{00000000-0005-0000-0000-0000220A0000}"/>
    <cellStyle name="Input 3 3 4 2" xfId="2548" xr:uid="{00000000-0005-0000-0000-0000230A0000}"/>
    <cellStyle name="Input 3 3 4 3" xfId="2549" xr:uid="{00000000-0005-0000-0000-0000240A0000}"/>
    <cellStyle name="Input 3 3 4 4" xfId="2550" xr:uid="{00000000-0005-0000-0000-0000250A0000}"/>
    <cellStyle name="Input 3 3 5" xfId="2551" xr:uid="{00000000-0005-0000-0000-0000260A0000}"/>
    <cellStyle name="Input 3 3 5 2" xfId="2552" xr:uid="{00000000-0005-0000-0000-0000270A0000}"/>
    <cellStyle name="Input 3 3 5 3" xfId="2553" xr:uid="{00000000-0005-0000-0000-0000280A0000}"/>
    <cellStyle name="Input 3 3 5 4" xfId="2554" xr:uid="{00000000-0005-0000-0000-0000290A0000}"/>
    <cellStyle name="Input 3 3 6" xfId="2555" xr:uid="{00000000-0005-0000-0000-00002A0A0000}"/>
    <cellStyle name="Input 3 3 7" xfId="2556" xr:uid="{00000000-0005-0000-0000-00002B0A0000}"/>
    <cellStyle name="Input 3 3 8" xfId="2557" xr:uid="{00000000-0005-0000-0000-00002C0A0000}"/>
    <cellStyle name="Input 3 4" xfId="2558" xr:uid="{00000000-0005-0000-0000-00002D0A0000}"/>
    <cellStyle name="Input 3 4 2" xfId="2559" xr:uid="{00000000-0005-0000-0000-00002E0A0000}"/>
    <cellStyle name="Input 3 4 2 2" xfId="2560" xr:uid="{00000000-0005-0000-0000-00002F0A0000}"/>
    <cellStyle name="Input 3 4 2 3" xfId="2561" xr:uid="{00000000-0005-0000-0000-0000300A0000}"/>
    <cellStyle name="Input 3 4 2 4" xfId="2562" xr:uid="{00000000-0005-0000-0000-0000310A0000}"/>
    <cellStyle name="Input 3 4 3" xfId="2563" xr:uid="{00000000-0005-0000-0000-0000320A0000}"/>
    <cellStyle name="Input 3 4 3 2" xfId="2564" xr:uid="{00000000-0005-0000-0000-0000330A0000}"/>
    <cellStyle name="Input 3 4 3 3" xfId="2565" xr:uid="{00000000-0005-0000-0000-0000340A0000}"/>
    <cellStyle name="Input 3 4 3 4" xfId="2566" xr:uid="{00000000-0005-0000-0000-0000350A0000}"/>
    <cellStyle name="Input 3 4 4" xfId="2567" xr:uid="{00000000-0005-0000-0000-0000360A0000}"/>
    <cellStyle name="Input 3 4 4 2" xfId="2568" xr:uid="{00000000-0005-0000-0000-0000370A0000}"/>
    <cellStyle name="Input 3 4 4 3" xfId="2569" xr:uid="{00000000-0005-0000-0000-0000380A0000}"/>
    <cellStyle name="Input 3 4 4 4" xfId="2570" xr:uid="{00000000-0005-0000-0000-0000390A0000}"/>
    <cellStyle name="Input 3 4 5" xfId="2571" xr:uid="{00000000-0005-0000-0000-00003A0A0000}"/>
    <cellStyle name="Input 3 4 5 2" xfId="2572" xr:uid="{00000000-0005-0000-0000-00003B0A0000}"/>
    <cellStyle name="Input 3 4 5 3" xfId="2573" xr:uid="{00000000-0005-0000-0000-00003C0A0000}"/>
    <cellStyle name="Input 3 4 5 4" xfId="2574" xr:uid="{00000000-0005-0000-0000-00003D0A0000}"/>
    <cellStyle name="Input 3 4 6" xfId="2575" xr:uid="{00000000-0005-0000-0000-00003E0A0000}"/>
    <cellStyle name="Input 3 4 7" xfId="2576" xr:uid="{00000000-0005-0000-0000-00003F0A0000}"/>
    <cellStyle name="Input 3 4 8" xfId="2577" xr:uid="{00000000-0005-0000-0000-0000400A0000}"/>
    <cellStyle name="Input 3 5" xfId="2578" xr:uid="{00000000-0005-0000-0000-0000410A0000}"/>
    <cellStyle name="Input 3 5 2" xfId="2579" xr:uid="{00000000-0005-0000-0000-0000420A0000}"/>
    <cellStyle name="Input 3 5 2 2" xfId="2580" xr:uid="{00000000-0005-0000-0000-0000430A0000}"/>
    <cellStyle name="Input 3 5 2 3" xfId="2581" xr:uid="{00000000-0005-0000-0000-0000440A0000}"/>
    <cellStyle name="Input 3 5 2 4" xfId="2582" xr:uid="{00000000-0005-0000-0000-0000450A0000}"/>
    <cellStyle name="Input 3 5 3" xfId="2583" xr:uid="{00000000-0005-0000-0000-0000460A0000}"/>
    <cellStyle name="Input 3 5 3 2" xfId="2584" xr:uid="{00000000-0005-0000-0000-0000470A0000}"/>
    <cellStyle name="Input 3 5 3 3" xfId="2585" xr:uid="{00000000-0005-0000-0000-0000480A0000}"/>
    <cellStyle name="Input 3 5 3 4" xfId="2586" xr:uid="{00000000-0005-0000-0000-0000490A0000}"/>
    <cellStyle name="Input 3 5 4" xfId="2587" xr:uid="{00000000-0005-0000-0000-00004A0A0000}"/>
    <cellStyle name="Input 3 5 4 2" xfId="2588" xr:uid="{00000000-0005-0000-0000-00004B0A0000}"/>
    <cellStyle name="Input 3 5 4 3" xfId="2589" xr:uid="{00000000-0005-0000-0000-00004C0A0000}"/>
    <cellStyle name="Input 3 5 4 4" xfId="2590" xr:uid="{00000000-0005-0000-0000-00004D0A0000}"/>
    <cellStyle name="Input 3 5 5" xfId="2591" xr:uid="{00000000-0005-0000-0000-00004E0A0000}"/>
    <cellStyle name="Input 3 5 5 2" xfId="2592" xr:uid="{00000000-0005-0000-0000-00004F0A0000}"/>
    <cellStyle name="Input 3 5 5 3" xfId="2593" xr:uid="{00000000-0005-0000-0000-0000500A0000}"/>
    <cellStyle name="Input 3 5 5 4" xfId="2594" xr:uid="{00000000-0005-0000-0000-0000510A0000}"/>
    <cellStyle name="Input 3 5 6" xfId="2595" xr:uid="{00000000-0005-0000-0000-0000520A0000}"/>
    <cellStyle name="Input 3 5 7" xfId="2596" xr:uid="{00000000-0005-0000-0000-0000530A0000}"/>
    <cellStyle name="Input 3 5 8" xfId="2597" xr:uid="{00000000-0005-0000-0000-0000540A0000}"/>
    <cellStyle name="Input 3 6" xfId="2598" xr:uid="{00000000-0005-0000-0000-0000550A0000}"/>
    <cellStyle name="Input 3 6 2" xfId="2599" xr:uid="{00000000-0005-0000-0000-0000560A0000}"/>
    <cellStyle name="Input 3 6 2 2" xfId="2600" xr:uid="{00000000-0005-0000-0000-0000570A0000}"/>
    <cellStyle name="Input 3 6 2 3" xfId="2601" xr:uid="{00000000-0005-0000-0000-0000580A0000}"/>
    <cellStyle name="Input 3 6 2 4" xfId="2602" xr:uid="{00000000-0005-0000-0000-0000590A0000}"/>
    <cellStyle name="Input 3 6 3" xfId="2603" xr:uid="{00000000-0005-0000-0000-00005A0A0000}"/>
    <cellStyle name="Input 3 6 3 2" xfId="2604" xr:uid="{00000000-0005-0000-0000-00005B0A0000}"/>
    <cellStyle name="Input 3 6 3 3" xfId="2605" xr:uid="{00000000-0005-0000-0000-00005C0A0000}"/>
    <cellStyle name="Input 3 6 3 4" xfId="2606" xr:uid="{00000000-0005-0000-0000-00005D0A0000}"/>
    <cellStyle name="Input 3 6 4" xfId="2607" xr:uid="{00000000-0005-0000-0000-00005E0A0000}"/>
    <cellStyle name="Input 3 6 4 2" xfId="2608" xr:uid="{00000000-0005-0000-0000-00005F0A0000}"/>
    <cellStyle name="Input 3 6 4 3" xfId="2609" xr:uid="{00000000-0005-0000-0000-0000600A0000}"/>
    <cellStyle name="Input 3 6 4 4" xfId="2610" xr:uid="{00000000-0005-0000-0000-0000610A0000}"/>
    <cellStyle name="Input 3 6 5" xfId="2611" xr:uid="{00000000-0005-0000-0000-0000620A0000}"/>
    <cellStyle name="Input 3 6 5 2" xfId="2612" xr:uid="{00000000-0005-0000-0000-0000630A0000}"/>
    <cellStyle name="Input 3 6 5 3" xfId="2613" xr:uid="{00000000-0005-0000-0000-0000640A0000}"/>
    <cellStyle name="Input 3 6 5 4" xfId="2614" xr:uid="{00000000-0005-0000-0000-0000650A0000}"/>
    <cellStyle name="Input 3 6 6" xfId="2615" xr:uid="{00000000-0005-0000-0000-0000660A0000}"/>
    <cellStyle name="Input 3 6 7" xfId="2616" xr:uid="{00000000-0005-0000-0000-0000670A0000}"/>
    <cellStyle name="Input 3 6 8" xfId="2617" xr:uid="{00000000-0005-0000-0000-0000680A0000}"/>
    <cellStyle name="Input 3 7" xfId="2618" xr:uid="{00000000-0005-0000-0000-0000690A0000}"/>
    <cellStyle name="Input 3 7 2" xfId="2619" xr:uid="{00000000-0005-0000-0000-00006A0A0000}"/>
    <cellStyle name="Input 3 7 2 2" xfId="2620" xr:uid="{00000000-0005-0000-0000-00006B0A0000}"/>
    <cellStyle name="Input 3 7 2 3" xfId="2621" xr:uid="{00000000-0005-0000-0000-00006C0A0000}"/>
    <cellStyle name="Input 3 7 2 4" xfId="2622" xr:uid="{00000000-0005-0000-0000-00006D0A0000}"/>
    <cellStyle name="Input 3 7 3" xfId="2623" xr:uid="{00000000-0005-0000-0000-00006E0A0000}"/>
    <cellStyle name="Input 3 7 4" xfId="2624" xr:uid="{00000000-0005-0000-0000-00006F0A0000}"/>
    <cellStyle name="Input 3 7 5" xfId="2625" xr:uid="{00000000-0005-0000-0000-0000700A0000}"/>
    <cellStyle name="Input 3 8" xfId="2626" xr:uid="{00000000-0005-0000-0000-0000710A0000}"/>
    <cellStyle name="Input 3 8 2" xfId="2627" xr:uid="{00000000-0005-0000-0000-0000720A0000}"/>
    <cellStyle name="Input 3 8 3" xfId="2628" xr:uid="{00000000-0005-0000-0000-0000730A0000}"/>
    <cellStyle name="Input 3 8 4" xfId="2629" xr:uid="{00000000-0005-0000-0000-0000740A0000}"/>
    <cellStyle name="Input 3 9" xfId="2630" xr:uid="{00000000-0005-0000-0000-0000750A0000}"/>
    <cellStyle name="Input 3 9 2" xfId="2631" xr:uid="{00000000-0005-0000-0000-0000760A0000}"/>
    <cellStyle name="Input 3 9 3" xfId="2632" xr:uid="{00000000-0005-0000-0000-0000770A0000}"/>
    <cellStyle name="Input 3 9 4" xfId="2633" xr:uid="{00000000-0005-0000-0000-0000780A0000}"/>
    <cellStyle name="Input 4" xfId="2634" xr:uid="{00000000-0005-0000-0000-0000790A0000}"/>
    <cellStyle name="Input 4 10" xfId="2635" xr:uid="{00000000-0005-0000-0000-00007A0A0000}"/>
    <cellStyle name="Input 4 10 2" xfId="2636" xr:uid="{00000000-0005-0000-0000-00007B0A0000}"/>
    <cellStyle name="Input 4 10 3" xfId="2637" xr:uid="{00000000-0005-0000-0000-00007C0A0000}"/>
    <cellStyle name="Input 4 10 4" xfId="2638" xr:uid="{00000000-0005-0000-0000-00007D0A0000}"/>
    <cellStyle name="Input 4 11" xfId="2639" xr:uid="{00000000-0005-0000-0000-00007E0A0000}"/>
    <cellStyle name="Input 4 12" xfId="2640" xr:uid="{00000000-0005-0000-0000-00007F0A0000}"/>
    <cellStyle name="Input 4 13" xfId="2641" xr:uid="{00000000-0005-0000-0000-0000800A0000}"/>
    <cellStyle name="Input 4 2" xfId="2642" xr:uid="{00000000-0005-0000-0000-0000810A0000}"/>
    <cellStyle name="Input 4 2 2" xfId="2643" xr:uid="{00000000-0005-0000-0000-0000820A0000}"/>
    <cellStyle name="Input 4 2 2 2" xfId="2644" xr:uid="{00000000-0005-0000-0000-0000830A0000}"/>
    <cellStyle name="Input 4 2 2 3" xfId="2645" xr:uid="{00000000-0005-0000-0000-0000840A0000}"/>
    <cellStyle name="Input 4 2 2 4" xfId="2646" xr:uid="{00000000-0005-0000-0000-0000850A0000}"/>
    <cellStyle name="Input 4 2 3" xfId="2647" xr:uid="{00000000-0005-0000-0000-0000860A0000}"/>
    <cellStyle name="Input 4 2 3 2" xfId="2648" xr:uid="{00000000-0005-0000-0000-0000870A0000}"/>
    <cellStyle name="Input 4 2 3 3" xfId="2649" xr:uid="{00000000-0005-0000-0000-0000880A0000}"/>
    <cellStyle name="Input 4 2 3 4" xfId="2650" xr:uid="{00000000-0005-0000-0000-0000890A0000}"/>
    <cellStyle name="Input 4 2 4" xfId="2651" xr:uid="{00000000-0005-0000-0000-00008A0A0000}"/>
    <cellStyle name="Input 4 2 4 2" xfId="2652" xr:uid="{00000000-0005-0000-0000-00008B0A0000}"/>
    <cellStyle name="Input 4 2 4 3" xfId="2653" xr:uid="{00000000-0005-0000-0000-00008C0A0000}"/>
    <cellStyle name="Input 4 2 4 4" xfId="2654" xr:uid="{00000000-0005-0000-0000-00008D0A0000}"/>
    <cellStyle name="Input 4 2 5" xfId="2655" xr:uid="{00000000-0005-0000-0000-00008E0A0000}"/>
    <cellStyle name="Input 4 2 5 2" xfId="2656" xr:uid="{00000000-0005-0000-0000-00008F0A0000}"/>
    <cellStyle name="Input 4 2 5 3" xfId="2657" xr:uid="{00000000-0005-0000-0000-0000900A0000}"/>
    <cellStyle name="Input 4 2 5 4" xfId="2658" xr:uid="{00000000-0005-0000-0000-0000910A0000}"/>
    <cellStyle name="Input 4 2 6" xfId="2659" xr:uid="{00000000-0005-0000-0000-0000920A0000}"/>
    <cellStyle name="Input 4 2 7" xfId="2660" xr:uid="{00000000-0005-0000-0000-0000930A0000}"/>
    <cellStyle name="Input 4 2 8" xfId="2661" xr:uid="{00000000-0005-0000-0000-0000940A0000}"/>
    <cellStyle name="Input 4 3" xfId="2662" xr:uid="{00000000-0005-0000-0000-0000950A0000}"/>
    <cellStyle name="Input 4 3 2" xfId="2663" xr:uid="{00000000-0005-0000-0000-0000960A0000}"/>
    <cellStyle name="Input 4 3 2 2" xfId="2664" xr:uid="{00000000-0005-0000-0000-0000970A0000}"/>
    <cellStyle name="Input 4 3 2 3" xfId="2665" xr:uid="{00000000-0005-0000-0000-0000980A0000}"/>
    <cellStyle name="Input 4 3 2 4" xfId="2666" xr:uid="{00000000-0005-0000-0000-0000990A0000}"/>
    <cellStyle name="Input 4 3 3" xfId="2667" xr:uid="{00000000-0005-0000-0000-00009A0A0000}"/>
    <cellStyle name="Input 4 3 3 2" xfId="2668" xr:uid="{00000000-0005-0000-0000-00009B0A0000}"/>
    <cellStyle name="Input 4 3 3 3" xfId="2669" xr:uid="{00000000-0005-0000-0000-00009C0A0000}"/>
    <cellStyle name="Input 4 3 3 4" xfId="2670" xr:uid="{00000000-0005-0000-0000-00009D0A0000}"/>
    <cellStyle name="Input 4 3 4" xfId="2671" xr:uid="{00000000-0005-0000-0000-00009E0A0000}"/>
    <cellStyle name="Input 4 3 4 2" xfId="2672" xr:uid="{00000000-0005-0000-0000-00009F0A0000}"/>
    <cellStyle name="Input 4 3 4 3" xfId="2673" xr:uid="{00000000-0005-0000-0000-0000A00A0000}"/>
    <cellStyle name="Input 4 3 4 4" xfId="2674" xr:uid="{00000000-0005-0000-0000-0000A10A0000}"/>
    <cellStyle name="Input 4 3 5" xfId="2675" xr:uid="{00000000-0005-0000-0000-0000A20A0000}"/>
    <cellStyle name="Input 4 3 5 2" xfId="2676" xr:uid="{00000000-0005-0000-0000-0000A30A0000}"/>
    <cellStyle name="Input 4 3 5 3" xfId="2677" xr:uid="{00000000-0005-0000-0000-0000A40A0000}"/>
    <cellStyle name="Input 4 3 5 4" xfId="2678" xr:uid="{00000000-0005-0000-0000-0000A50A0000}"/>
    <cellStyle name="Input 4 3 6" xfId="2679" xr:uid="{00000000-0005-0000-0000-0000A60A0000}"/>
    <cellStyle name="Input 4 3 7" xfId="2680" xr:uid="{00000000-0005-0000-0000-0000A70A0000}"/>
    <cellStyle name="Input 4 3 8" xfId="2681" xr:uid="{00000000-0005-0000-0000-0000A80A0000}"/>
    <cellStyle name="Input 4 4" xfId="2682" xr:uid="{00000000-0005-0000-0000-0000A90A0000}"/>
    <cellStyle name="Input 4 4 2" xfId="2683" xr:uid="{00000000-0005-0000-0000-0000AA0A0000}"/>
    <cellStyle name="Input 4 4 2 2" xfId="2684" xr:uid="{00000000-0005-0000-0000-0000AB0A0000}"/>
    <cellStyle name="Input 4 4 2 3" xfId="2685" xr:uid="{00000000-0005-0000-0000-0000AC0A0000}"/>
    <cellStyle name="Input 4 4 2 4" xfId="2686" xr:uid="{00000000-0005-0000-0000-0000AD0A0000}"/>
    <cellStyle name="Input 4 4 3" xfId="2687" xr:uid="{00000000-0005-0000-0000-0000AE0A0000}"/>
    <cellStyle name="Input 4 4 3 2" xfId="2688" xr:uid="{00000000-0005-0000-0000-0000AF0A0000}"/>
    <cellStyle name="Input 4 4 3 3" xfId="2689" xr:uid="{00000000-0005-0000-0000-0000B00A0000}"/>
    <cellStyle name="Input 4 4 3 4" xfId="2690" xr:uid="{00000000-0005-0000-0000-0000B10A0000}"/>
    <cellStyle name="Input 4 4 4" xfId="2691" xr:uid="{00000000-0005-0000-0000-0000B20A0000}"/>
    <cellStyle name="Input 4 4 4 2" xfId="2692" xr:uid="{00000000-0005-0000-0000-0000B30A0000}"/>
    <cellStyle name="Input 4 4 4 3" xfId="2693" xr:uid="{00000000-0005-0000-0000-0000B40A0000}"/>
    <cellStyle name="Input 4 4 4 4" xfId="2694" xr:uid="{00000000-0005-0000-0000-0000B50A0000}"/>
    <cellStyle name="Input 4 4 5" xfId="2695" xr:uid="{00000000-0005-0000-0000-0000B60A0000}"/>
    <cellStyle name="Input 4 4 5 2" xfId="2696" xr:uid="{00000000-0005-0000-0000-0000B70A0000}"/>
    <cellStyle name="Input 4 4 5 3" xfId="2697" xr:uid="{00000000-0005-0000-0000-0000B80A0000}"/>
    <cellStyle name="Input 4 4 5 4" xfId="2698" xr:uid="{00000000-0005-0000-0000-0000B90A0000}"/>
    <cellStyle name="Input 4 4 6" xfId="2699" xr:uid="{00000000-0005-0000-0000-0000BA0A0000}"/>
    <cellStyle name="Input 4 4 7" xfId="2700" xr:uid="{00000000-0005-0000-0000-0000BB0A0000}"/>
    <cellStyle name="Input 4 4 8" xfId="2701" xr:uid="{00000000-0005-0000-0000-0000BC0A0000}"/>
    <cellStyle name="Input 4 5" xfId="2702" xr:uid="{00000000-0005-0000-0000-0000BD0A0000}"/>
    <cellStyle name="Input 4 5 2" xfId="2703" xr:uid="{00000000-0005-0000-0000-0000BE0A0000}"/>
    <cellStyle name="Input 4 5 2 2" xfId="2704" xr:uid="{00000000-0005-0000-0000-0000BF0A0000}"/>
    <cellStyle name="Input 4 5 2 3" xfId="2705" xr:uid="{00000000-0005-0000-0000-0000C00A0000}"/>
    <cellStyle name="Input 4 5 2 4" xfId="2706" xr:uid="{00000000-0005-0000-0000-0000C10A0000}"/>
    <cellStyle name="Input 4 5 3" xfId="2707" xr:uid="{00000000-0005-0000-0000-0000C20A0000}"/>
    <cellStyle name="Input 4 5 3 2" xfId="2708" xr:uid="{00000000-0005-0000-0000-0000C30A0000}"/>
    <cellStyle name="Input 4 5 3 3" xfId="2709" xr:uid="{00000000-0005-0000-0000-0000C40A0000}"/>
    <cellStyle name="Input 4 5 3 4" xfId="2710" xr:uid="{00000000-0005-0000-0000-0000C50A0000}"/>
    <cellStyle name="Input 4 5 4" xfId="2711" xr:uid="{00000000-0005-0000-0000-0000C60A0000}"/>
    <cellStyle name="Input 4 5 4 2" xfId="2712" xr:uid="{00000000-0005-0000-0000-0000C70A0000}"/>
    <cellStyle name="Input 4 5 4 3" xfId="2713" xr:uid="{00000000-0005-0000-0000-0000C80A0000}"/>
    <cellStyle name="Input 4 5 4 4" xfId="2714" xr:uid="{00000000-0005-0000-0000-0000C90A0000}"/>
    <cellStyle name="Input 4 5 5" xfId="2715" xr:uid="{00000000-0005-0000-0000-0000CA0A0000}"/>
    <cellStyle name="Input 4 5 5 2" xfId="2716" xr:uid="{00000000-0005-0000-0000-0000CB0A0000}"/>
    <cellStyle name="Input 4 5 5 3" xfId="2717" xr:uid="{00000000-0005-0000-0000-0000CC0A0000}"/>
    <cellStyle name="Input 4 5 5 4" xfId="2718" xr:uid="{00000000-0005-0000-0000-0000CD0A0000}"/>
    <cellStyle name="Input 4 5 6" xfId="2719" xr:uid="{00000000-0005-0000-0000-0000CE0A0000}"/>
    <cellStyle name="Input 4 5 7" xfId="2720" xr:uid="{00000000-0005-0000-0000-0000CF0A0000}"/>
    <cellStyle name="Input 4 5 8" xfId="2721" xr:uid="{00000000-0005-0000-0000-0000D00A0000}"/>
    <cellStyle name="Input 4 6" xfId="2722" xr:uid="{00000000-0005-0000-0000-0000D10A0000}"/>
    <cellStyle name="Input 4 6 2" xfId="2723" xr:uid="{00000000-0005-0000-0000-0000D20A0000}"/>
    <cellStyle name="Input 4 6 2 2" xfId="2724" xr:uid="{00000000-0005-0000-0000-0000D30A0000}"/>
    <cellStyle name="Input 4 6 2 3" xfId="2725" xr:uid="{00000000-0005-0000-0000-0000D40A0000}"/>
    <cellStyle name="Input 4 6 2 4" xfId="2726" xr:uid="{00000000-0005-0000-0000-0000D50A0000}"/>
    <cellStyle name="Input 4 6 3" xfId="2727" xr:uid="{00000000-0005-0000-0000-0000D60A0000}"/>
    <cellStyle name="Input 4 6 3 2" xfId="2728" xr:uid="{00000000-0005-0000-0000-0000D70A0000}"/>
    <cellStyle name="Input 4 6 3 3" xfId="2729" xr:uid="{00000000-0005-0000-0000-0000D80A0000}"/>
    <cellStyle name="Input 4 6 3 4" xfId="2730" xr:uid="{00000000-0005-0000-0000-0000D90A0000}"/>
    <cellStyle name="Input 4 6 4" xfId="2731" xr:uid="{00000000-0005-0000-0000-0000DA0A0000}"/>
    <cellStyle name="Input 4 6 4 2" xfId="2732" xr:uid="{00000000-0005-0000-0000-0000DB0A0000}"/>
    <cellStyle name="Input 4 6 4 3" xfId="2733" xr:uid="{00000000-0005-0000-0000-0000DC0A0000}"/>
    <cellStyle name="Input 4 6 4 4" xfId="2734" xr:uid="{00000000-0005-0000-0000-0000DD0A0000}"/>
    <cellStyle name="Input 4 6 5" xfId="2735" xr:uid="{00000000-0005-0000-0000-0000DE0A0000}"/>
    <cellStyle name="Input 4 6 5 2" xfId="2736" xr:uid="{00000000-0005-0000-0000-0000DF0A0000}"/>
    <cellStyle name="Input 4 6 5 3" xfId="2737" xr:uid="{00000000-0005-0000-0000-0000E00A0000}"/>
    <cellStyle name="Input 4 6 5 4" xfId="2738" xr:uid="{00000000-0005-0000-0000-0000E10A0000}"/>
    <cellStyle name="Input 4 6 6" xfId="2739" xr:uid="{00000000-0005-0000-0000-0000E20A0000}"/>
    <cellStyle name="Input 4 6 7" xfId="2740" xr:uid="{00000000-0005-0000-0000-0000E30A0000}"/>
    <cellStyle name="Input 4 6 8" xfId="2741" xr:uid="{00000000-0005-0000-0000-0000E40A0000}"/>
    <cellStyle name="Input 4 7" xfId="2742" xr:uid="{00000000-0005-0000-0000-0000E50A0000}"/>
    <cellStyle name="Input 4 7 2" xfId="2743" xr:uid="{00000000-0005-0000-0000-0000E60A0000}"/>
    <cellStyle name="Input 4 7 3" xfId="2744" xr:uid="{00000000-0005-0000-0000-0000E70A0000}"/>
    <cellStyle name="Input 4 7 4" xfId="2745" xr:uid="{00000000-0005-0000-0000-0000E80A0000}"/>
    <cellStyle name="Input 4 8" xfId="2746" xr:uid="{00000000-0005-0000-0000-0000E90A0000}"/>
    <cellStyle name="Input 4 8 2" xfId="2747" xr:uid="{00000000-0005-0000-0000-0000EA0A0000}"/>
    <cellStyle name="Input 4 8 3" xfId="2748" xr:uid="{00000000-0005-0000-0000-0000EB0A0000}"/>
    <cellStyle name="Input 4 8 4" xfId="2749" xr:uid="{00000000-0005-0000-0000-0000EC0A0000}"/>
    <cellStyle name="Input 4 9" xfId="2750" xr:uid="{00000000-0005-0000-0000-0000ED0A0000}"/>
    <cellStyle name="Input 4 9 2" xfId="2751" xr:uid="{00000000-0005-0000-0000-0000EE0A0000}"/>
    <cellStyle name="Input 4 9 3" xfId="2752" xr:uid="{00000000-0005-0000-0000-0000EF0A0000}"/>
    <cellStyle name="Input 4 9 4" xfId="2753" xr:uid="{00000000-0005-0000-0000-0000F00A0000}"/>
    <cellStyle name="Input 5" xfId="2754" xr:uid="{00000000-0005-0000-0000-0000F10A0000}"/>
    <cellStyle name="Input 5 2" xfId="2755" xr:uid="{00000000-0005-0000-0000-0000F20A0000}"/>
    <cellStyle name="Input 5 2 2" xfId="2756" xr:uid="{00000000-0005-0000-0000-0000F30A0000}"/>
    <cellStyle name="Input 5 2 3" xfId="2757" xr:uid="{00000000-0005-0000-0000-0000F40A0000}"/>
    <cellStyle name="Input 5 2 4" xfId="2758" xr:uid="{00000000-0005-0000-0000-0000F50A0000}"/>
    <cellStyle name="Input 5 3" xfId="2759" xr:uid="{00000000-0005-0000-0000-0000F60A0000}"/>
    <cellStyle name="Input 5 3 2" xfId="2760" xr:uid="{00000000-0005-0000-0000-0000F70A0000}"/>
    <cellStyle name="Input 5 3 3" xfId="2761" xr:uid="{00000000-0005-0000-0000-0000F80A0000}"/>
    <cellStyle name="Input 5 3 4" xfId="2762" xr:uid="{00000000-0005-0000-0000-0000F90A0000}"/>
    <cellStyle name="Input 5 4" xfId="2763" xr:uid="{00000000-0005-0000-0000-0000FA0A0000}"/>
    <cellStyle name="Input 5 4 2" xfId="2764" xr:uid="{00000000-0005-0000-0000-0000FB0A0000}"/>
    <cellStyle name="Input 5 4 3" xfId="2765" xr:uid="{00000000-0005-0000-0000-0000FC0A0000}"/>
    <cellStyle name="Input 5 4 4" xfId="2766" xr:uid="{00000000-0005-0000-0000-0000FD0A0000}"/>
    <cellStyle name="Input 5 5" xfId="2767" xr:uid="{00000000-0005-0000-0000-0000FE0A0000}"/>
    <cellStyle name="Input 5 5 2" xfId="2768" xr:uid="{00000000-0005-0000-0000-0000FF0A0000}"/>
    <cellStyle name="Input 5 5 3" xfId="2769" xr:uid="{00000000-0005-0000-0000-0000000B0000}"/>
    <cellStyle name="Input 5 5 4" xfId="2770" xr:uid="{00000000-0005-0000-0000-0000010B0000}"/>
    <cellStyle name="Input 5 6" xfId="2771" xr:uid="{00000000-0005-0000-0000-0000020B0000}"/>
    <cellStyle name="Input 5 7" xfId="2772" xr:uid="{00000000-0005-0000-0000-0000030B0000}"/>
    <cellStyle name="Input 5 8" xfId="2773" xr:uid="{00000000-0005-0000-0000-0000040B0000}"/>
    <cellStyle name="Input 6" xfId="2774" xr:uid="{00000000-0005-0000-0000-0000050B0000}"/>
    <cellStyle name="Input 6 2" xfId="2775" xr:uid="{00000000-0005-0000-0000-0000060B0000}"/>
    <cellStyle name="Input 6 2 2" xfId="2776" xr:uid="{00000000-0005-0000-0000-0000070B0000}"/>
    <cellStyle name="Input 6 2 3" xfId="2777" xr:uid="{00000000-0005-0000-0000-0000080B0000}"/>
    <cellStyle name="Input 6 2 4" xfId="2778" xr:uid="{00000000-0005-0000-0000-0000090B0000}"/>
    <cellStyle name="Input 6 3" xfId="2779" xr:uid="{00000000-0005-0000-0000-00000A0B0000}"/>
    <cellStyle name="Input 6 3 2" xfId="2780" xr:uid="{00000000-0005-0000-0000-00000B0B0000}"/>
    <cellStyle name="Input 6 3 3" xfId="2781" xr:uid="{00000000-0005-0000-0000-00000C0B0000}"/>
    <cellStyle name="Input 6 3 4" xfId="2782" xr:uid="{00000000-0005-0000-0000-00000D0B0000}"/>
    <cellStyle name="Input 6 4" xfId="2783" xr:uid="{00000000-0005-0000-0000-00000E0B0000}"/>
    <cellStyle name="Input 6 4 2" xfId="2784" xr:uid="{00000000-0005-0000-0000-00000F0B0000}"/>
    <cellStyle name="Input 6 4 3" xfId="2785" xr:uid="{00000000-0005-0000-0000-0000100B0000}"/>
    <cellStyle name="Input 6 4 4" xfId="2786" xr:uid="{00000000-0005-0000-0000-0000110B0000}"/>
    <cellStyle name="Input 6 5" xfId="2787" xr:uid="{00000000-0005-0000-0000-0000120B0000}"/>
    <cellStyle name="Input 6 5 2" xfId="2788" xr:uid="{00000000-0005-0000-0000-0000130B0000}"/>
    <cellStyle name="Input 6 5 3" xfId="2789" xr:uid="{00000000-0005-0000-0000-0000140B0000}"/>
    <cellStyle name="Input 6 5 4" xfId="2790" xr:uid="{00000000-0005-0000-0000-0000150B0000}"/>
    <cellStyle name="Input 6 6" xfId="2791" xr:uid="{00000000-0005-0000-0000-0000160B0000}"/>
    <cellStyle name="Input 6 7" xfId="2792" xr:uid="{00000000-0005-0000-0000-0000170B0000}"/>
    <cellStyle name="Input 6 8" xfId="2793" xr:uid="{00000000-0005-0000-0000-0000180B0000}"/>
    <cellStyle name="Input 7" xfId="2794" xr:uid="{00000000-0005-0000-0000-0000190B0000}"/>
    <cellStyle name="Input 7 2" xfId="2795" xr:uid="{00000000-0005-0000-0000-00001A0B0000}"/>
    <cellStyle name="Input 7 2 2" xfId="2796" xr:uid="{00000000-0005-0000-0000-00001B0B0000}"/>
    <cellStyle name="Input 7 2 3" xfId="2797" xr:uid="{00000000-0005-0000-0000-00001C0B0000}"/>
    <cellStyle name="Input 7 2 4" xfId="2798" xr:uid="{00000000-0005-0000-0000-00001D0B0000}"/>
    <cellStyle name="Input 7 3" xfId="2799" xr:uid="{00000000-0005-0000-0000-00001E0B0000}"/>
    <cellStyle name="Input 7 3 2" xfId="2800" xr:uid="{00000000-0005-0000-0000-00001F0B0000}"/>
    <cellStyle name="Input 7 3 3" xfId="2801" xr:uid="{00000000-0005-0000-0000-0000200B0000}"/>
    <cellStyle name="Input 7 3 4" xfId="2802" xr:uid="{00000000-0005-0000-0000-0000210B0000}"/>
    <cellStyle name="Input 7 4" xfId="2803" xr:uid="{00000000-0005-0000-0000-0000220B0000}"/>
    <cellStyle name="Input 7 4 2" xfId="2804" xr:uid="{00000000-0005-0000-0000-0000230B0000}"/>
    <cellStyle name="Input 7 4 3" xfId="2805" xr:uid="{00000000-0005-0000-0000-0000240B0000}"/>
    <cellStyle name="Input 7 4 4" xfId="2806" xr:uid="{00000000-0005-0000-0000-0000250B0000}"/>
    <cellStyle name="Input 7 5" xfId="2807" xr:uid="{00000000-0005-0000-0000-0000260B0000}"/>
    <cellStyle name="Input 7 5 2" xfId="2808" xr:uid="{00000000-0005-0000-0000-0000270B0000}"/>
    <cellStyle name="Input 7 5 3" xfId="2809" xr:uid="{00000000-0005-0000-0000-0000280B0000}"/>
    <cellStyle name="Input 7 5 4" xfId="2810" xr:uid="{00000000-0005-0000-0000-0000290B0000}"/>
    <cellStyle name="Input 7 6" xfId="2811" xr:uid="{00000000-0005-0000-0000-00002A0B0000}"/>
    <cellStyle name="Input 7 7" xfId="2812" xr:uid="{00000000-0005-0000-0000-00002B0B0000}"/>
    <cellStyle name="Input 7 8" xfId="2813" xr:uid="{00000000-0005-0000-0000-00002C0B0000}"/>
    <cellStyle name="Input 8" xfId="2814" xr:uid="{00000000-0005-0000-0000-00002D0B0000}"/>
    <cellStyle name="Input 8 2" xfId="2815" xr:uid="{00000000-0005-0000-0000-00002E0B0000}"/>
    <cellStyle name="Input 8 2 2" xfId="2816" xr:uid="{00000000-0005-0000-0000-00002F0B0000}"/>
    <cellStyle name="Input 8 2 3" xfId="2817" xr:uid="{00000000-0005-0000-0000-0000300B0000}"/>
    <cellStyle name="Input 8 2 4" xfId="2818" xr:uid="{00000000-0005-0000-0000-0000310B0000}"/>
    <cellStyle name="Input 8 3" xfId="2819" xr:uid="{00000000-0005-0000-0000-0000320B0000}"/>
    <cellStyle name="Input 8 3 2" xfId="2820" xr:uid="{00000000-0005-0000-0000-0000330B0000}"/>
    <cellStyle name="Input 8 3 3" xfId="2821" xr:uid="{00000000-0005-0000-0000-0000340B0000}"/>
    <cellStyle name="Input 8 3 4" xfId="2822" xr:uid="{00000000-0005-0000-0000-0000350B0000}"/>
    <cellStyle name="Input 8 4" xfId="2823" xr:uid="{00000000-0005-0000-0000-0000360B0000}"/>
    <cellStyle name="Input 8 4 2" xfId="2824" xr:uid="{00000000-0005-0000-0000-0000370B0000}"/>
    <cellStyle name="Input 8 4 3" xfId="2825" xr:uid="{00000000-0005-0000-0000-0000380B0000}"/>
    <cellStyle name="Input 8 4 4" xfId="2826" xr:uid="{00000000-0005-0000-0000-0000390B0000}"/>
    <cellStyle name="Input 8 5" xfId="2827" xr:uid="{00000000-0005-0000-0000-00003A0B0000}"/>
    <cellStyle name="Input 8 5 2" xfId="2828" xr:uid="{00000000-0005-0000-0000-00003B0B0000}"/>
    <cellStyle name="Input 8 5 3" xfId="2829" xr:uid="{00000000-0005-0000-0000-00003C0B0000}"/>
    <cellStyle name="Input 8 5 4" xfId="2830" xr:uid="{00000000-0005-0000-0000-00003D0B0000}"/>
    <cellStyle name="Input 8 6" xfId="2831" xr:uid="{00000000-0005-0000-0000-00003E0B0000}"/>
    <cellStyle name="Input 8 7" xfId="2832" xr:uid="{00000000-0005-0000-0000-00003F0B0000}"/>
    <cellStyle name="Input 8 8" xfId="2833" xr:uid="{00000000-0005-0000-0000-0000400B0000}"/>
    <cellStyle name="Input 9" xfId="2834" xr:uid="{00000000-0005-0000-0000-0000410B0000}"/>
    <cellStyle name="Input 9 2" xfId="2835" xr:uid="{00000000-0005-0000-0000-0000420B0000}"/>
    <cellStyle name="Input 9 2 2" xfId="2836" xr:uid="{00000000-0005-0000-0000-0000430B0000}"/>
    <cellStyle name="Input 9 2 3" xfId="2837" xr:uid="{00000000-0005-0000-0000-0000440B0000}"/>
    <cellStyle name="Input 9 2 4" xfId="2838" xr:uid="{00000000-0005-0000-0000-0000450B0000}"/>
    <cellStyle name="Input 9 3" xfId="2839" xr:uid="{00000000-0005-0000-0000-0000460B0000}"/>
    <cellStyle name="Input 9 3 2" xfId="2840" xr:uid="{00000000-0005-0000-0000-0000470B0000}"/>
    <cellStyle name="Input 9 3 3" xfId="2841" xr:uid="{00000000-0005-0000-0000-0000480B0000}"/>
    <cellStyle name="Input 9 3 4" xfId="2842" xr:uid="{00000000-0005-0000-0000-0000490B0000}"/>
    <cellStyle name="Input 9 4" xfId="2843" xr:uid="{00000000-0005-0000-0000-00004A0B0000}"/>
    <cellStyle name="Input 9 4 2" xfId="2844" xr:uid="{00000000-0005-0000-0000-00004B0B0000}"/>
    <cellStyle name="Input 9 4 3" xfId="2845" xr:uid="{00000000-0005-0000-0000-00004C0B0000}"/>
    <cellStyle name="Input 9 4 4" xfId="2846" xr:uid="{00000000-0005-0000-0000-00004D0B0000}"/>
    <cellStyle name="Input 9 5" xfId="2847" xr:uid="{00000000-0005-0000-0000-00004E0B0000}"/>
    <cellStyle name="Input 9 5 2" xfId="2848" xr:uid="{00000000-0005-0000-0000-00004F0B0000}"/>
    <cellStyle name="Input 9 5 3" xfId="2849" xr:uid="{00000000-0005-0000-0000-0000500B0000}"/>
    <cellStyle name="Input 9 5 4" xfId="2850" xr:uid="{00000000-0005-0000-0000-0000510B0000}"/>
    <cellStyle name="Input 9 6" xfId="2851" xr:uid="{00000000-0005-0000-0000-0000520B0000}"/>
    <cellStyle name="Input 9 7" xfId="2852" xr:uid="{00000000-0005-0000-0000-0000530B0000}"/>
    <cellStyle name="Input 9 8" xfId="2853" xr:uid="{00000000-0005-0000-0000-0000540B0000}"/>
    <cellStyle name="Linked Cell 10" xfId="2854" xr:uid="{00000000-0005-0000-0000-0000550B0000}"/>
    <cellStyle name="Linked Cell 11" xfId="2855" xr:uid="{00000000-0005-0000-0000-0000560B0000}"/>
    <cellStyle name="Linked Cell 12" xfId="2856" xr:uid="{00000000-0005-0000-0000-0000570B0000}"/>
    <cellStyle name="Linked Cell 2" xfId="2857" xr:uid="{00000000-0005-0000-0000-0000580B0000}"/>
    <cellStyle name="Linked Cell 2 2" xfId="2858" xr:uid="{00000000-0005-0000-0000-0000590B0000}"/>
    <cellStyle name="Linked Cell 2 3" xfId="2859" xr:uid="{00000000-0005-0000-0000-00005A0B0000}"/>
    <cellStyle name="Linked Cell 2 4" xfId="2860" xr:uid="{00000000-0005-0000-0000-00005B0B0000}"/>
    <cellStyle name="Linked Cell 2 5" xfId="2861" xr:uid="{00000000-0005-0000-0000-00005C0B0000}"/>
    <cellStyle name="Linked Cell 2 6" xfId="2862" xr:uid="{00000000-0005-0000-0000-00005D0B0000}"/>
    <cellStyle name="Linked Cell 2 7" xfId="2863" xr:uid="{00000000-0005-0000-0000-00005E0B0000}"/>
    <cellStyle name="Linked Cell 2 8" xfId="2864" xr:uid="{00000000-0005-0000-0000-00005F0B0000}"/>
    <cellStyle name="Linked Cell 3" xfId="2865" xr:uid="{00000000-0005-0000-0000-0000600B0000}"/>
    <cellStyle name="Linked Cell 3 2" xfId="2866" xr:uid="{00000000-0005-0000-0000-0000610B0000}"/>
    <cellStyle name="Linked Cell 3 3" xfId="2867" xr:uid="{00000000-0005-0000-0000-0000620B0000}"/>
    <cellStyle name="Linked Cell 3 4" xfId="2868" xr:uid="{00000000-0005-0000-0000-0000630B0000}"/>
    <cellStyle name="Linked Cell 3 5" xfId="2869" xr:uid="{00000000-0005-0000-0000-0000640B0000}"/>
    <cellStyle name="Linked Cell 3 6" xfId="2870" xr:uid="{00000000-0005-0000-0000-0000650B0000}"/>
    <cellStyle name="Linked Cell 3 7" xfId="2871" xr:uid="{00000000-0005-0000-0000-0000660B0000}"/>
    <cellStyle name="Linked Cell 3 8" xfId="2872" xr:uid="{00000000-0005-0000-0000-0000670B0000}"/>
    <cellStyle name="Linked Cell 4" xfId="2873" xr:uid="{00000000-0005-0000-0000-0000680B0000}"/>
    <cellStyle name="Linked Cell 4 2" xfId="2874" xr:uid="{00000000-0005-0000-0000-0000690B0000}"/>
    <cellStyle name="Linked Cell 4 3" xfId="2875" xr:uid="{00000000-0005-0000-0000-00006A0B0000}"/>
    <cellStyle name="Linked Cell 4 4" xfId="2876" xr:uid="{00000000-0005-0000-0000-00006B0B0000}"/>
    <cellStyle name="Linked Cell 4 5" xfId="2877" xr:uid="{00000000-0005-0000-0000-00006C0B0000}"/>
    <cellStyle name="Linked Cell 4 6" xfId="2878" xr:uid="{00000000-0005-0000-0000-00006D0B0000}"/>
    <cellStyle name="Linked Cell 5" xfId="2879" xr:uid="{00000000-0005-0000-0000-00006E0B0000}"/>
    <cellStyle name="Linked Cell 6" xfId="2880" xr:uid="{00000000-0005-0000-0000-00006F0B0000}"/>
    <cellStyle name="Linked Cell 7" xfId="2881" xr:uid="{00000000-0005-0000-0000-0000700B0000}"/>
    <cellStyle name="Linked Cell 8" xfId="2882" xr:uid="{00000000-0005-0000-0000-0000710B0000}"/>
    <cellStyle name="Linked Cell 9" xfId="2883" xr:uid="{00000000-0005-0000-0000-0000720B0000}"/>
    <cellStyle name="Neutral 10" xfId="2884" xr:uid="{00000000-0005-0000-0000-0000730B0000}"/>
    <cellStyle name="Neutral 11" xfId="2885" xr:uid="{00000000-0005-0000-0000-0000740B0000}"/>
    <cellStyle name="Neutral 12" xfId="2886" xr:uid="{00000000-0005-0000-0000-0000750B0000}"/>
    <cellStyle name="Neutral 2" xfId="2887" xr:uid="{00000000-0005-0000-0000-0000760B0000}"/>
    <cellStyle name="Neutral 2 2" xfId="2888" xr:uid="{00000000-0005-0000-0000-0000770B0000}"/>
    <cellStyle name="Neutral 2 3" xfId="2889" xr:uid="{00000000-0005-0000-0000-0000780B0000}"/>
    <cellStyle name="Neutral 2 4" xfId="2890" xr:uid="{00000000-0005-0000-0000-0000790B0000}"/>
    <cellStyle name="Neutral 2 5" xfId="2891" xr:uid="{00000000-0005-0000-0000-00007A0B0000}"/>
    <cellStyle name="Neutral 2 6" xfId="2892" xr:uid="{00000000-0005-0000-0000-00007B0B0000}"/>
    <cellStyle name="Neutral 2 7" xfId="2893" xr:uid="{00000000-0005-0000-0000-00007C0B0000}"/>
    <cellStyle name="Neutral 2 7 2" xfId="2894" xr:uid="{00000000-0005-0000-0000-00007D0B0000}"/>
    <cellStyle name="Neutral 2 8" xfId="2895" xr:uid="{00000000-0005-0000-0000-00007E0B0000}"/>
    <cellStyle name="Neutral 3" xfId="2896" xr:uid="{00000000-0005-0000-0000-00007F0B0000}"/>
    <cellStyle name="Neutral 3 2" xfId="2897" xr:uid="{00000000-0005-0000-0000-0000800B0000}"/>
    <cellStyle name="Neutral 3 3" xfId="2898" xr:uid="{00000000-0005-0000-0000-0000810B0000}"/>
    <cellStyle name="Neutral 3 4" xfId="2899" xr:uid="{00000000-0005-0000-0000-0000820B0000}"/>
    <cellStyle name="Neutral 3 5" xfId="2900" xr:uid="{00000000-0005-0000-0000-0000830B0000}"/>
    <cellStyle name="Neutral 3 6" xfId="2901" xr:uid="{00000000-0005-0000-0000-0000840B0000}"/>
    <cellStyle name="Neutral 3 7" xfId="2902" xr:uid="{00000000-0005-0000-0000-0000850B0000}"/>
    <cellStyle name="Neutral 3 8" xfId="2903" xr:uid="{00000000-0005-0000-0000-0000860B0000}"/>
    <cellStyle name="Neutral 3 9" xfId="2904" xr:uid="{00000000-0005-0000-0000-0000870B0000}"/>
    <cellStyle name="Neutral 4" xfId="2905" xr:uid="{00000000-0005-0000-0000-0000880B0000}"/>
    <cellStyle name="Neutral 4 2" xfId="2906" xr:uid="{00000000-0005-0000-0000-0000890B0000}"/>
    <cellStyle name="Neutral 4 3" xfId="2907" xr:uid="{00000000-0005-0000-0000-00008A0B0000}"/>
    <cellStyle name="Neutral 4 4" xfId="2908" xr:uid="{00000000-0005-0000-0000-00008B0B0000}"/>
    <cellStyle name="Neutral 4 5" xfId="2909" xr:uid="{00000000-0005-0000-0000-00008C0B0000}"/>
    <cellStyle name="Neutral 4 6" xfId="2910" xr:uid="{00000000-0005-0000-0000-00008D0B0000}"/>
    <cellStyle name="Neutral 5" xfId="2911" xr:uid="{00000000-0005-0000-0000-00008E0B0000}"/>
    <cellStyle name="Neutral 6" xfId="2912" xr:uid="{00000000-0005-0000-0000-00008F0B0000}"/>
    <cellStyle name="Neutral 7" xfId="2913" xr:uid="{00000000-0005-0000-0000-0000900B0000}"/>
    <cellStyle name="Neutral 8" xfId="2914" xr:uid="{00000000-0005-0000-0000-0000910B0000}"/>
    <cellStyle name="Neutral 9" xfId="2915" xr:uid="{00000000-0005-0000-0000-0000920B0000}"/>
    <cellStyle name="Nor}al" xfId="2916" xr:uid="{00000000-0005-0000-0000-0000930B0000}"/>
    <cellStyle name="Nor}al 2" xfId="2917" xr:uid="{00000000-0005-0000-0000-0000940B0000}"/>
    <cellStyle name="Nor}al 3" xfId="2918" xr:uid="{00000000-0005-0000-0000-0000950B0000}"/>
    <cellStyle name="Normal" xfId="0" builtinId="0"/>
    <cellStyle name="Normal 10" xfId="2919" xr:uid="{00000000-0005-0000-0000-0000960B0000}"/>
    <cellStyle name="Normal 10 2" xfId="2920" xr:uid="{00000000-0005-0000-0000-0000970B0000}"/>
    <cellStyle name="Normal 10 2 2" xfId="2921" xr:uid="{00000000-0005-0000-0000-0000980B0000}"/>
    <cellStyle name="Normal 10 2 2 2" xfId="2922" xr:uid="{00000000-0005-0000-0000-0000990B0000}"/>
    <cellStyle name="Normal 10 2 2 2 2" xfId="2923" xr:uid="{00000000-0005-0000-0000-00009A0B0000}"/>
    <cellStyle name="Normal 10 2 2 2 3" xfId="2924" xr:uid="{00000000-0005-0000-0000-00009B0B0000}"/>
    <cellStyle name="Normal 10 2 3" xfId="2925" xr:uid="{00000000-0005-0000-0000-00009C0B0000}"/>
    <cellStyle name="Normal 10 2 4" xfId="2926" xr:uid="{00000000-0005-0000-0000-00009D0B0000}"/>
    <cellStyle name="Normal 10 2 5" xfId="2927" xr:uid="{00000000-0005-0000-0000-00009E0B0000}"/>
    <cellStyle name="Normal 10 2 6" xfId="2928" xr:uid="{00000000-0005-0000-0000-00009F0B0000}"/>
    <cellStyle name="Normal 10 2 7" xfId="2929" xr:uid="{00000000-0005-0000-0000-0000A00B0000}"/>
    <cellStyle name="Normal 10 2 7 2" xfId="2930" xr:uid="{00000000-0005-0000-0000-0000A10B0000}"/>
    <cellStyle name="Normal 10 2 7 2 2" xfId="2931" xr:uid="{00000000-0005-0000-0000-0000A20B0000}"/>
    <cellStyle name="Normal 10 2 7 3" xfId="2932" xr:uid="{00000000-0005-0000-0000-0000A30B0000}"/>
    <cellStyle name="Normal 10 2 7 4" xfId="2933" xr:uid="{00000000-0005-0000-0000-0000A40B0000}"/>
    <cellStyle name="Normal 10 3" xfId="2934" xr:uid="{00000000-0005-0000-0000-0000A50B0000}"/>
    <cellStyle name="Normal 10 3 2" xfId="2935" xr:uid="{00000000-0005-0000-0000-0000A60B0000}"/>
    <cellStyle name="Normal 10 3 3" xfId="2936" xr:uid="{00000000-0005-0000-0000-0000A70B0000}"/>
    <cellStyle name="Normal 10 3 4" xfId="2937" xr:uid="{00000000-0005-0000-0000-0000A80B0000}"/>
    <cellStyle name="Normal 10 3 4 2" xfId="2938" xr:uid="{00000000-0005-0000-0000-0000A90B0000}"/>
    <cellStyle name="Normal 10 3 4 2 2" xfId="2939" xr:uid="{00000000-0005-0000-0000-0000AA0B0000}"/>
    <cellStyle name="Normal 10 3 4 3" xfId="2940" xr:uid="{00000000-0005-0000-0000-0000AB0B0000}"/>
    <cellStyle name="Normal 10 3 4 4" xfId="2941" xr:uid="{00000000-0005-0000-0000-0000AC0B0000}"/>
    <cellStyle name="Normal 10 4" xfId="2942" xr:uid="{00000000-0005-0000-0000-0000AD0B0000}"/>
    <cellStyle name="Normal 10 4 2" xfId="2943" xr:uid="{00000000-0005-0000-0000-0000AE0B0000}"/>
    <cellStyle name="Normal 10 4 2 2" xfId="2944" xr:uid="{00000000-0005-0000-0000-0000AF0B0000}"/>
    <cellStyle name="Normal 10 4 2 2 2" xfId="2945" xr:uid="{00000000-0005-0000-0000-0000B00B0000}"/>
    <cellStyle name="Normal 10 4 2 3" xfId="2946" xr:uid="{00000000-0005-0000-0000-0000B10B0000}"/>
    <cellStyle name="Normal 10 4 2 4" xfId="2947" xr:uid="{00000000-0005-0000-0000-0000B20B0000}"/>
    <cellStyle name="Normal 10 5" xfId="2948" xr:uid="{00000000-0005-0000-0000-0000B30B0000}"/>
    <cellStyle name="Normal 10 5 2" xfId="2949" xr:uid="{00000000-0005-0000-0000-0000B40B0000}"/>
    <cellStyle name="Normal 10 5 2 2" xfId="2950" xr:uid="{00000000-0005-0000-0000-0000B50B0000}"/>
    <cellStyle name="Normal 10 5 3" xfId="2951" xr:uid="{00000000-0005-0000-0000-0000B60B0000}"/>
    <cellStyle name="Normal 10 5 4" xfId="2952" xr:uid="{00000000-0005-0000-0000-0000B70B0000}"/>
    <cellStyle name="Normal 10 6" xfId="2953" xr:uid="{00000000-0005-0000-0000-0000B80B0000}"/>
    <cellStyle name="Normal 10 6 2" xfId="2954" xr:uid="{00000000-0005-0000-0000-0000B90B0000}"/>
    <cellStyle name="Normal 10 6 2 2" xfId="2955" xr:uid="{00000000-0005-0000-0000-0000BA0B0000}"/>
    <cellStyle name="Normal 10 6 3" xfId="2956" xr:uid="{00000000-0005-0000-0000-0000BB0B0000}"/>
    <cellStyle name="Normal 10 6 4" xfId="2957" xr:uid="{00000000-0005-0000-0000-0000BC0B0000}"/>
    <cellStyle name="Normal 10 7" xfId="2958" xr:uid="{00000000-0005-0000-0000-0000BD0B0000}"/>
    <cellStyle name="Normal 10 7 2" xfId="2959" xr:uid="{00000000-0005-0000-0000-0000BE0B0000}"/>
    <cellStyle name="Normal 10 7 2 2" xfId="2960" xr:uid="{00000000-0005-0000-0000-0000BF0B0000}"/>
    <cellStyle name="Normal 10 7 3" xfId="2961" xr:uid="{00000000-0005-0000-0000-0000C00B0000}"/>
    <cellStyle name="Normal 100" xfId="2962" xr:uid="{79414E03-EF3D-4DB6-A492-D3ECD1D2EB59}"/>
    <cellStyle name="Normal 101" xfId="2963" xr:uid="{8E904DE4-0F82-4F52-8674-BB59E09795C9}"/>
    <cellStyle name="Normal 102" xfId="2964" xr:uid="{DA877A7C-4FE1-47FD-A89C-0991AEC611E6}"/>
    <cellStyle name="Normal 103" xfId="2965" xr:uid="{D0875C67-DC5E-4347-B408-E209D6A05856}"/>
    <cellStyle name="Normal 11" xfId="2966" xr:uid="{00000000-0005-0000-0000-0000C10B0000}"/>
    <cellStyle name="Normal 11 2" xfId="2967" xr:uid="{00000000-0005-0000-0000-0000C20B0000}"/>
    <cellStyle name="Normal 11 2 2" xfId="2968" xr:uid="{00000000-0005-0000-0000-0000C30B0000}"/>
    <cellStyle name="Normal 11 2 2 2" xfId="2969" xr:uid="{00000000-0005-0000-0000-0000C40B0000}"/>
    <cellStyle name="Normal 11 2 2 2 2" xfId="2970" xr:uid="{00000000-0005-0000-0000-0000C50B0000}"/>
    <cellStyle name="Normal 11 2 2 3" xfId="2971" xr:uid="{00000000-0005-0000-0000-0000C60B0000}"/>
    <cellStyle name="Normal 11 2 2 4" xfId="2972" xr:uid="{00000000-0005-0000-0000-0000C70B0000}"/>
    <cellStyle name="Normal 11 3" xfId="2973" xr:uid="{00000000-0005-0000-0000-0000C80B0000}"/>
    <cellStyle name="Normal 11 3 2" xfId="2974" xr:uid="{00000000-0005-0000-0000-0000C90B0000}"/>
    <cellStyle name="Normal 11 3 2 2" xfId="2975" xr:uid="{00000000-0005-0000-0000-0000CA0B0000}"/>
    <cellStyle name="Normal 11 3 2 2 2" xfId="2976" xr:uid="{00000000-0005-0000-0000-0000CB0B0000}"/>
    <cellStyle name="Normal 11 3 2 3" xfId="2977" xr:uid="{00000000-0005-0000-0000-0000CC0B0000}"/>
    <cellStyle name="Normal 11 3 2 4" xfId="2978" xr:uid="{00000000-0005-0000-0000-0000CD0B0000}"/>
    <cellStyle name="Normal 11 4" xfId="2979" xr:uid="{00000000-0005-0000-0000-0000CE0B0000}"/>
    <cellStyle name="Normal 11 4 2" xfId="2980" xr:uid="{00000000-0005-0000-0000-0000CF0B0000}"/>
    <cellStyle name="Normal 11 4 2 2" xfId="2981" xr:uid="{00000000-0005-0000-0000-0000D00B0000}"/>
    <cellStyle name="Normal 11 4 2 2 2" xfId="2982" xr:uid="{00000000-0005-0000-0000-0000D10B0000}"/>
    <cellStyle name="Normal 11 4 2 3" xfId="2983" xr:uid="{00000000-0005-0000-0000-0000D20B0000}"/>
    <cellStyle name="Normal 11 4 2 4" xfId="2984" xr:uid="{00000000-0005-0000-0000-0000D30B0000}"/>
    <cellStyle name="Normal 11 5" xfId="2985" xr:uid="{00000000-0005-0000-0000-0000D40B0000}"/>
    <cellStyle name="Normal 11 5 2" xfId="2986" xr:uid="{00000000-0005-0000-0000-0000D50B0000}"/>
    <cellStyle name="Normal 11 5 2 2" xfId="2987" xr:uid="{00000000-0005-0000-0000-0000D60B0000}"/>
    <cellStyle name="Normal 11 5 2 2 2" xfId="2988" xr:uid="{00000000-0005-0000-0000-0000D70B0000}"/>
    <cellStyle name="Normal 11 5 2 3" xfId="2989" xr:uid="{00000000-0005-0000-0000-0000D80B0000}"/>
    <cellStyle name="Normal 11 5 2 4" xfId="2990" xr:uid="{00000000-0005-0000-0000-0000D90B0000}"/>
    <cellStyle name="Normal 11 6" xfId="2991" xr:uid="{00000000-0005-0000-0000-0000DA0B0000}"/>
    <cellStyle name="Normal 11 6 2" xfId="2992" xr:uid="{00000000-0005-0000-0000-0000DB0B0000}"/>
    <cellStyle name="Normal 11 6 2 2" xfId="2993" xr:uid="{00000000-0005-0000-0000-0000DC0B0000}"/>
    <cellStyle name="Normal 11 6 3" xfId="2994" xr:uid="{00000000-0005-0000-0000-0000DD0B0000}"/>
    <cellStyle name="Normal 11 6 4" xfId="2995" xr:uid="{00000000-0005-0000-0000-0000DE0B0000}"/>
    <cellStyle name="Normal 12" xfId="2996" xr:uid="{00000000-0005-0000-0000-0000DF0B0000}"/>
    <cellStyle name="Normal 12 2" xfId="2997" xr:uid="{00000000-0005-0000-0000-0000E00B0000}"/>
    <cellStyle name="Normal 12 2 2" xfId="2998" xr:uid="{00000000-0005-0000-0000-0000E10B0000}"/>
    <cellStyle name="Normal 12 2 2 2" xfId="2999" xr:uid="{00000000-0005-0000-0000-0000E20B0000}"/>
    <cellStyle name="Normal 12 2 2 2 2" xfId="3000" xr:uid="{00000000-0005-0000-0000-0000E30B0000}"/>
    <cellStyle name="Normal 12 2 3" xfId="3001" xr:uid="{00000000-0005-0000-0000-0000E40B0000}"/>
    <cellStyle name="Normal 12 2 4" xfId="3002" xr:uid="{00000000-0005-0000-0000-0000E50B0000}"/>
    <cellStyle name="Normal 12 2 4 2" xfId="3003" xr:uid="{00000000-0005-0000-0000-0000E60B0000}"/>
    <cellStyle name="Normal 12 2 4 2 2" xfId="3004" xr:uid="{00000000-0005-0000-0000-0000E70B0000}"/>
    <cellStyle name="Normal 12 2 4 3" xfId="3005" xr:uid="{00000000-0005-0000-0000-0000E80B0000}"/>
    <cellStyle name="Normal 12 2 4 4" xfId="3006" xr:uid="{00000000-0005-0000-0000-0000E90B0000}"/>
    <cellStyle name="Normal 12 3" xfId="3007" xr:uid="{00000000-0005-0000-0000-0000EA0B0000}"/>
    <cellStyle name="Normal 12 3 2" xfId="3008" xr:uid="{00000000-0005-0000-0000-0000EB0B0000}"/>
    <cellStyle name="Normal 12 3 3" xfId="3009" xr:uid="{00000000-0005-0000-0000-0000EC0B0000}"/>
    <cellStyle name="Normal 12 3 3 2" xfId="3010" xr:uid="{00000000-0005-0000-0000-0000ED0B0000}"/>
    <cellStyle name="Normal 12 3 3 2 2" xfId="3011" xr:uid="{00000000-0005-0000-0000-0000EE0B0000}"/>
    <cellStyle name="Normal 12 3 3 3" xfId="3012" xr:uid="{00000000-0005-0000-0000-0000EF0B0000}"/>
    <cellStyle name="Normal 12 3 3 4" xfId="3013" xr:uid="{00000000-0005-0000-0000-0000F00B0000}"/>
    <cellStyle name="Normal 12 4" xfId="3014" xr:uid="{00000000-0005-0000-0000-0000F10B0000}"/>
    <cellStyle name="Normal 12 4 2" xfId="3015" xr:uid="{00000000-0005-0000-0000-0000F20B0000}"/>
    <cellStyle name="Normal 12 4 2 2" xfId="3016" xr:uid="{00000000-0005-0000-0000-0000F30B0000}"/>
    <cellStyle name="Normal 12 4 2 2 2" xfId="3017" xr:uid="{00000000-0005-0000-0000-0000F40B0000}"/>
    <cellStyle name="Normal 12 4 2 3" xfId="3018" xr:uid="{00000000-0005-0000-0000-0000F50B0000}"/>
    <cellStyle name="Normal 12 4 2 4" xfId="3019" xr:uid="{00000000-0005-0000-0000-0000F60B0000}"/>
    <cellStyle name="Normal 12 5" xfId="3020" xr:uid="{00000000-0005-0000-0000-0000F70B0000}"/>
    <cellStyle name="Normal 12 5 2" xfId="3021" xr:uid="{00000000-0005-0000-0000-0000F80B0000}"/>
    <cellStyle name="Normal 12 5 2 2" xfId="3022" xr:uid="{00000000-0005-0000-0000-0000F90B0000}"/>
    <cellStyle name="Normal 12 5 2 2 2" xfId="3023" xr:uid="{00000000-0005-0000-0000-0000FA0B0000}"/>
    <cellStyle name="Normal 12 5 2 3" xfId="3024" xr:uid="{00000000-0005-0000-0000-0000FB0B0000}"/>
    <cellStyle name="Normal 12 5 2 4" xfId="3025" xr:uid="{00000000-0005-0000-0000-0000FC0B0000}"/>
    <cellStyle name="Normal 12 6" xfId="3026" xr:uid="{00000000-0005-0000-0000-0000FD0B0000}"/>
    <cellStyle name="Normal 12 6 2" xfId="3027" xr:uid="{00000000-0005-0000-0000-0000FE0B0000}"/>
    <cellStyle name="Normal 12 6 2 2" xfId="3028" xr:uid="{00000000-0005-0000-0000-0000FF0B0000}"/>
    <cellStyle name="Normal 12 6 3" xfId="3029" xr:uid="{00000000-0005-0000-0000-0000000C0000}"/>
    <cellStyle name="Normal 12 6 4" xfId="3030" xr:uid="{00000000-0005-0000-0000-0000010C0000}"/>
    <cellStyle name="Normal 12 7" xfId="3031" xr:uid="{00000000-0005-0000-0000-0000020C0000}"/>
    <cellStyle name="Normal 12 7 2" xfId="3032" xr:uid="{00000000-0005-0000-0000-0000030C0000}"/>
    <cellStyle name="Normal 12 7 2 2" xfId="3033" xr:uid="{00000000-0005-0000-0000-0000040C0000}"/>
    <cellStyle name="Normal 12 7 3" xfId="3034" xr:uid="{00000000-0005-0000-0000-0000050C0000}"/>
    <cellStyle name="Normal 12 7 4" xfId="3035" xr:uid="{00000000-0005-0000-0000-0000060C0000}"/>
    <cellStyle name="Normal 13" xfId="3036" xr:uid="{00000000-0005-0000-0000-0000070C0000}"/>
    <cellStyle name="Normal 13 2" xfId="3037" xr:uid="{00000000-0005-0000-0000-0000080C0000}"/>
    <cellStyle name="Normal 13 3" xfId="3038" xr:uid="{00000000-0005-0000-0000-0000090C0000}"/>
    <cellStyle name="Normal 13 4" xfId="3039" xr:uid="{00000000-0005-0000-0000-00000A0C0000}"/>
    <cellStyle name="Normal 133 10" xfId="3040" xr:uid="{00000000-0005-0000-0000-00000B0C0000}"/>
    <cellStyle name="Normal 133 10 2" xfId="3041" xr:uid="{00000000-0005-0000-0000-00000C0C0000}"/>
    <cellStyle name="Normal 133 10 2 2" xfId="3042" xr:uid="{00000000-0005-0000-0000-00000D0C0000}"/>
    <cellStyle name="Normal 133 10 3" xfId="3043" xr:uid="{00000000-0005-0000-0000-00000E0C0000}"/>
    <cellStyle name="Normal 133 10 4" xfId="3044" xr:uid="{00000000-0005-0000-0000-00000F0C0000}"/>
    <cellStyle name="Normal 133 11" xfId="3045" xr:uid="{00000000-0005-0000-0000-0000100C0000}"/>
    <cellStyle name="Normal 133 11 2" xfId="3046" xr:uid="{00000000-0005-0000-0000-0000110C0000}"/>
    <cellStyle name="Normal 133 11 2 2" xfId="3047" xr:uid="{00000000-0005-0000-0000-0000120C0000}"/>
    <cellStyle name="Normal 133 11 3" xfId="3048" xr:uid="{00000000-0005-0000-0000-0000130C0000}"/>
    <cellStyle name="Normal 133 11 4" xfId="3049" xr:uid="{00000000-0005-0000-0000-0000140C0000}"/>
    <cellStyle name="Normal 133 12" xfId="3050" xr:uid="{00000000-0005-0000-0000-0000150C0000}"/>
    <cellStyle name="Normal 133 12 2" xfId="3051" xr:uid="{00000000-0005-0000-0000-0000160C0000}"/>
    <cellStyle name="Normal 133 12 2 2" xfId="3052" xr:uid="{00000000-0005-0000-0000-0000170C0000}"/>
    <cellStyle name="Normal 133 12 3" xfId="3053" xr:uid="{00000000-0005-0000-0000-0000180C0000}"/>
    <cellStyle name="Normal 133 12 4" xfId="3054" xr:uid="{00000000-0005-0000-0000-0000190C0000}"/>
    <cellStyle name="Normal 133 13" xfId="3055" xr:uid="{00000000-0005-0000-0000-00001A0C0000}"/>
    <cellStyle name="Normal 133 13 2" xfId="3056" xr:uid="{00000000-0005-0000-0000-00001B0C0000}"/>
    <cellStyle name="Normal 133 13 2 2" xfId="3057" xr:uid="{00000000-0005-0000-0000-00001C0C0000}"/>
    <cellStyle name="Normal 133 13 3" xfId="3058" xr:uid="{00000000-0005-0000-0000-00001D0C0000}"/>
    <cellStyle name="Normal 133 13 4" xfId="3059" xr:uid="{00000000-0005-0000-0000-00001E0C0000}"/>
    <cellStyle name="Normal 133 14" xfId="3060" xr:uid="{00000000-0005-0000-0000-00001F0C0000}"/>
    <cellStyle name="Normal 133 14 2" xfId="3061" xr:uid="{00000000-0005-0000-0000-0000200C0000}"/>
    <cellStyle name="Normal 133 14 2 2" xfId="3062" xr:uid="{00000000-0005-0000-0000-0000210C0000}"/>
    <cellStyle name="Normal 133 14 3" xfId="3063" xr:uid="{00000000-0005-0000-0000-0000220C0000}"/>
    <cellStyle name="Normal 133 14 4" xfId="3064" xr:uid="{00000000-0005-0000-0000-0000230C0000}"/>
    <cellStyle name="Normal 133 2" xfId="3065" xr:uid="{00000000-0005-0000-0000-0000240C0000}"/>
    <cellStyle name="Normal 133 2 2" xfId="3066" xr:uid="{00000000-0005-0000-0000-0000250C0000}"/>
    <cellStyle name="Normal 133 2 2 2" xfId="3067" xr:uid="{00000000-0005-0000-0000-0000260C0000}"/>
    <cellStyle name="Normal 133 2 3" xfId="3068" xr:uid="{00000000-0005-0000-0000-0000270C0000}"/>
    <cellStyle name="Normal 133 2 4" xfId="3069" xr:uid="{00000000-0005-0000-0000-0000280C0000}"/>
    <cellStyle name="Normal 133 3" xfId="3070" xr:uid="{00000000-0005-0000-0000-0000290C0000}"/>
    <cellStyle name="Normal 133 3 2" xfId="3071" xr:uid="{00000000-0005-0000-0000-00002A0C0000}"/>
    <cellStyle name="Normal 133 3 2 2" xfId="3072" xr:uid="{00000000-0005-0000-0000-00002B0C0000}"/>
    <cellStyle name="Normal 133 3 3" xfId="3073" xr:uid="{00000000-0005-0000-0000-00002C0C0000}"/>
    <cellStyle name="Normal 133 3 4" xfId="3074" xr:uid="{00000000-0005-0000-0000-00002D0C0000}"/>
    <cellStyle name="Normal 133 4" xfId="3075" xr:uid="{00000000-0005-0000-0000-00002E0C0000}"/>
    <cellStyle name="Normal 133 4 2" xfId="3076" xr:uid="{00000000-0005-0000-0000-00002F0C0000}"/>
    <cellStyle name="Normal 133 4 2 2" xfId="3077" xr:uid="{00000000-0005-0000-0000-0000300C0000}"/>
    <cellStyle name="Normal 133 4 3" xfId="3078" xr:uid="{00000000-0005-0000-0000-0000310C0000}"/>
    <cellStyle name="Normal 133 4 4" xfId="3079" xr:uid="{00000000-0005-0000-0000-0000320C0000}"/>
    <cellStyle name="Normal 133 5" xfId="3080" xr:uid="{00000000-0005-0000-0000-0000330C0000}"/>
    <cellStyle name="Normal 133 5 2" xfId="3081" xr:uid="{00000000-0005-0000-0000-0000340C0000}"/>
    <cellStyle name="Normal 133 5 2 2" xfId="3082" xr:uid="{00000000-0005-0000-0000-0000350C0000}"/>
    <cellStyle name="Normal 133 5 3" xfId="3083" xr:uid="{00000000-0005-0000-0000-0000360C0000}"/>
    <cellStyle name="Normal 133 5 4" xfId="3084" xr:uid="{00000000-0005-0000-0000-0000370C0000}"/>
    <cellStyle name="Normal 133 6" xfId="3085" xr:uid="{00000000-0005-0000-0000-0000380C0000}"/>
    <cellStyle name="Normal 133 6 2" xfId="3086" xr:uid="{00000000-0005-0000-0000-0000390C0000}"/>
    <cellStyle name="Normal 133 6 2 2" xfId="3087" xr:uid="{00000000-0005-0000-0000-00003A0C0000}"/>
    <cellStyle name="Normal 133 6 3" xfId="3088" xr:uid="{00000000-0005-0000-0000-00003B0C0000}"/>
    <cellStyle name="Normal 133 6 4" xfId="3089" xr:uid="{00000000-0005-0000-0000-00003C0C0000}"/>
    <cellStyle name="Normal 133 7" xfId="3090" xr:uid="{00000000-0005-0000-0000-00003D0C0000}"/>
    <cellStyle name="Normal 133 7 2" xfId="3091" xr:uid="{00000000-0005-0000-0000-00003E0C0000}"/>
    <cellStyle name="Normal 133 7 2 2" xfId="3092" xr:uid="{00000000-0005-0000-0000-00003F0C0000}"/>
    <cellStyle name="Normal 133 7 3" xfId="3093" xr:uid="{00000000-0005-0000-0000-0000400C0000}"/>
    <cellStyle name="Normal 133 7 4" xfId="3094" xr:uid="{00000000-0005-0000-0000-0000410C0000}"/>
    <cellStyle name="Normal 133 8" xfId="3095" xr:uid="{00000000-0005-0000-0000-0000420C0000}"/>
    <cellStyle name="Normal 133 8 2" xfId="3096" xr:uid="{00000000-0005-0000-0000-0000430C0000}"/>
    <cellStyle name="Normal 133 8 2 2" xfId="3097" xr:uid="{00000000-0005-0000-0000-0000440C0000}"/>
    <cellStyle name="Normal 133 8 3" xfId="3098" xr:uid="{00000000-0005-0000-0000-0000450C0000}"/>
    <cellStyle name="Normal 133 8 4" xfId="3099" xr:uid="{00000000-0005-0000-0000-0000460C0000}"/>
    <cellStyle name="Normal 133 9" xfId="3100" xr:uid="{00000000-0005-0000-0000-0000470C0000}"/>
    <cellStyle name="Normal 133 9 2" xfId="3101" xr:uid="{00000000-0005-0000-0000-0000480C0000}"/>
    <cellStyle name="Normal 133 9 2 2" xfId="3102" xr:uid="{00000000-0005-0000-0000-0000490C0000}"/>
    <cellStyle name="Normal 133 9 3" xfId="3103" xr:uid="{00000000-0005-0000-0000-00004A0C0000}"/>
    <cellStyle name="Normal 133 9 4" xfId="3104" xr:uid="{00000000-0005-0000-0000-00004B0C0000}"/>
    <cellStyle name="Normal 14" xfId="3105" xr:uid="{00000000-0005-0000-0000-00004C0C0000}"/>
    <cellStyle name="Normal 14 10" xfId="3106" xr:uid="{00000000-0005-0000-0000-00004D0C0000}"/>
    <cellStyle name="Normal 14 10 2" xfId="3107" xr:uid="{00000000-0005-0000-0000-00004E0C0000}"/>
    <cellStyle name="Normal 14 11" xfId="3108" xr:uid="{00000000-0005-0000-0000-00004F0C0000}"/>
    <cellStyle name="Normal 14 12" xfId="3109" xr:uid="{00000000-0005-0000-0000-0000500C0000}"/>
    <cellStyle name="Normal 14 2" xfId="3110" xr:uid="{00000000-0005-0000-0000-0000510C0000}"/>
    <cellStyle name="Normal 14 2 2" xfId="3111" xr:uid="{00000000-0005-0000-0000-0000520C0000}"/>
    <cellStyle name="Normal 14 2 3" xfId="3112" xr:uid="{00000000-0005-0000-0000-0000530C0000}"/>
    <cellStyle name="Normal 14 2 3 2" xfId="3113" xr:uid="{00000000-0005-0000-0000-0000540C0000}"/>
    <cellStyle name="Normal 14 2 3 2 2" xfId="3114" xr:uid="{00000000-0005-0000-0000-0000550C0000}"/>
    <cellStyle name="Normal 14 2 3 3" xfId="3115" xr:uid="{00000000-0005-0000-0000-0000560C0000}"/>
    <cellStyle name="Normal 14 2 3 4" xfId="3116" xr:uid="{00000000-0005-0000-0000-0000570C0000}"/>
    <cellStyle name="Normal 14 3" xfId="3117" xr:uid="{00000000-0005-0000-0000-0000580C0000}"/>
    <cellStyle name="Normal 14 3 2" xfId="3118" xr:uid="{00000000-0005-0000-0000-0000590C0000}"/>
    <cellStyle name="Normal 14 3 2 2" xfId="3119" xr:uid="{00000000-0005-0000-0000-00005A0C0000}"/>
    <cellStyle name="Normal 14 3 2 2 2" xfId="3120" xr:uid="{00000000-0005-0000-0000-00005B0C0000}"/>
    <cellStyle name="Normal 14 3 2 2 2 2" xfId="3121" xr:uid="{00000000-0005-0000-0000-00005C0C0000}"/>
    <cellStyle name="Normal 14 3 2 2 3" xfId="3122" xr:uid="{00000000-0005-0000-0000-00005D0C0000}"/>
    <cellStyle name="Normal 14 3 2 3" xfId="3123" xr:uid="{00000000-0005-0000-0000-00005E0C0000}"/>
    <cellStyle name="Normal 14 3 2 3 2" xfId="3124" xr:uid="{00000000-0005-0000-0000-00005F0C0000}"/>
    <cellStyle name="Normal 14 3 2 3 2 2" xfId="3125" xr:uid="{00000000-0005-0000-0000-0000600C0000}"/>
    <cellStyle name="Normal 14 3 2 3 3" xfId="3126" xr:uid="{00000000-0005-0000-0000-0000610C0000}"/>
    <cellStyle name="Normal 14 3 2 4" xfId="3127" xr:uid="{00000000-0005-0000-0000-0000620C0000}"/>
    <cellStyle name="Normal 14 3 2 4 2" xfId="3128" xr:uid="{00000000-0005-0000-0000-0000630C0000}"/>
    <cellStyle name="Normal 14 3 2 5" xfId="3129" xr:uid="{00000000-0005-0000-0000-0000640C0000}"/>
    <cellStyle name="Normal 14 3 2 6" xfId="3130" xr:uid="{00000000-0005-0000-0000-0000650C0000}"/>
    <cellStyle name="Normal 14 3 3" xfId="3131" xr:uid="{00000000-0005-0000-0000-0000660C0000}"/>
    <cellStyle name="Normal 14 3 3 2" xfId="3132" xr:uid="{00000000-0005-0000-0000-0000670C0000}"/>
    <cellStyle name="Normal 14 3 3 2 2" xfId="3133" xr:uid="{00000000-0005-0000-0000-0000680C0000}"/>
    <cellStyle name="Normal 14 3 3 2 2 2" xfId="3134" xr:uid="{00000000-0005-0000-0000-0000690C0000}"/>
    <cellStyle name="Normal 14 3 3 2 3" xfId="3135" xr:uid="{00000000-0005-0000-0000-00006A0C0000}"/>
    <cellStyle name="Normal 14 3 3 3" xfId="3136" xr:uid="{00000000-0005-0000-0000-00006B0C0000}"/>
    <cellStyle name="Normal 14 3 3 3 2" xfId="3137" xr:uid="{00000000-0005-0000-0000-00006C0C0000}"/>
    <cellStyle name="Normal 14 3 3 4" xfId="3138" xr:uid="{00000000-0005-0000-0000-00006D0C0000}"/>
    <cellStyle name="Normal 14 3 3 5" xfId="3139" xr:uid="{00000000-0005-0000-0000-00006E0C0000}"/>
    <cellStyle name="Normal 14 3 4" xfId="3140" xr:uid="{00000000-0005-0000-0000-00006F0C0000}"/>
    <cellStyle name="Normal 14 3 4 2" xfId="3141" xr:uid="{00000000-0005-0000-0000-0000700C0000}"/>
    <cellStyle name="Normal 14 3 4 2 2" xfId="3142" xr:uid="{00000000-0005-0000-0000-0000710C0000}"/>
    <cellStyle name="Normal 14 3 4 3" xfId="3143" xr:uid="{00000000-0005-0000-0000-0000720C0000}"/>
    <cellStyle name="Normal 14 3 5" xfId="3144" xr:uid="{00000000-0005-0000-0000-0000730C0000}"/>
    <cellStyle name="Normal 14 3 5 2" xfId="3145" xr:uid="{00000000-0005-0000-0000-0000740C0000}"/>
    <cellStyle name="Normal 14 3 5 2 2" xfId="3146" xr:uid="{00000000-0005-0000-0000-0000750C0000}"/>
    <cellStyle name="Normal 14 3 5 3" xfId="3147" xr:uid="{00000000-0005-0000-0000-0000760C0000}"/>
    <cellStyle name="Normal 14 3 6" xfId="3148" xr:uid="{00000000-0005-0000-0000-0000770C0000}"/>
    <cellStyle name="Normal 14 3 6 2" xfId="3149" xr:uid="{00000000-0005-0000-0000-0000780C0000}"/>
    <cellStyle name="Normal 14 3 7" xfId="3150" xr:uid="{00000000-0005-0000-0000-0000790C0000}"/>
    <cellStyle name="Normal 14 3 8" xfId="3151" xr:uid="{00000000-0005-0000-0000-00007A0C0000}"/>
    <cellStyle name="Normal 14 4" xfId="3152" xr:uid="{00000000-0005-0000-0000-00007B0C0000}"/>
    <cellStyle name="Normal 14 5" xfId="3153" xr:uid="{00000000-0005-0000-0000-00007C0C0000}"/>
    <cellStyle name="Normal 14 5 2" xfId="3154" xr:uid="{00000000-0005-0000-0000-00007D0C0000}"/>
    <cellStyle name="Normal 14 5 2 2" xfId="3155" xr:uid="{00000000-0005-0000-0000-00007E0C0000}"/>
    <cellStyle name="Normal 14 5 2 2 2" xfId="3156" xr:uid="{00000000-0005-0000-0000-00007F0C0000}"/>
    <cellStyle name="Normal 14 5 2 3" xfId="3157" xr:uid="{00000000-0005-0000-0000-0000800C0000}"/>
    <cellStyle name="Normal 14 5 3" xfId="3158" xr:uid="{00000000-0005-0000-0000-0000810C0000}"/>
    <cellStyle name="Normal 14 5 3 2" xfId="3159" xr:uid="{00000000-0005-0000-0000-0000820C0000}"/>
    <cellStyle name="Normal 14 5 3 2 2" xfId="3160" xr:uid="{00000000-0005-0000-0000-0000830C0000}"/>
    <cellStyle name="Normal 14 5 3 3" xfId="3161" xr:uid="{00000000-0005-0000-0000-0000840C0000}"/>
    <cellStyle name="Normal 14 5 4" xfId="3162" xr:uid="{00000000-0005-0000-0000-0000850C0000}"/>
    <cellStyle name="Normal 14 5 4 2" xfId="3163" xr:uid="{00000000-0005-0000-0000-0000860C0000}"/>
    <cellStyle name="Normal 14 5 5" xfId="3164" xr:uid="{00000000-0005-0000-0000-0000870C0000}"/>
    <cellStyle name="Normal 14 5 6" xfId="3165" xr:uid="{00000000-0005-0000-0000-0000880C0000}"/>
    <cellStyle name="Normal 14 6" xfId="3166" xr:uid="{00000000-0005-0000-0000-0000890C0000}"/>
    <cellStyle name="Normal 14 6 2" xfId="3167" xr:uid="{00000000-0005-0000-0000-00008A0C0000}"/>
    <cellStyle name="Normal 14 6 2 2" xfId="3168" xr:uid="{00000000-0005-0000-0000-00008B0C0000}"/>
    <cellStyle name="Normal 14 6 2 2 2" xfId="3169" xr:uid="{00000000-0005-0000-0000-00008C0C0000}"/>
    <cellStyle name="Normal 14 6 2 3" xfId="3170" xr:uid="{00000000-0005-0000-0000-00008D0C0000}"/>
    <cellStyle name="Normal 14 6 3" xfId="3171" xr:uid="{00000000-0005-0000-0000-00008E0C0000}"/>
    <cellStyle name="Normal 14 6 3 2" xfId="3172" xr:uid="{00000000-0005-0000-0000-00008F0C0000}"/>
    <cellStyle name="Normal 14 6 4" xfId="3173" xr:uid="{00000000-0005-0000-0000-0000900C0000}"/>
    <cellStyle name="Normal 14 6 5" xfId="3174" xr:uid="{00000000-0005-0000-0000-0000910C0000}"/>
    <cellStyle name="Normal 14 7" xfId="3175" xr:uid="{00000000-0005-0000-0000-0000920C0000}"/>
    <cellStyle name="Normal 14 7 2" xfId="3176" xr:uid="{00000000-0005-0000-0000-0000930C0000}"/>
    <cellStyle name="Normal 14 7 2 2" xfId="3177" xr:uid="{00000000-0005-0000-0000-0000940C0000}"/>
    <cellStyle name="Normal 14 7 3" xfId="3178" xr:uid="{00000000-0005-0000-0000-0000950C0000}"/>
    <cellStyle name="Normal 14 7 4" xfId="3179" xr:uid="{00000000-0005-0000-0000-0000960C0000}"/>
    <cellStyle name="Normal 14 8" xfId="3180" xr:uid="{00000000-0005-0000-0000-0000970C0000}"/>
    <cellStyle name="Normal 14 8 2" xfId="3181" xr:uid="{00000000-0005-0000-0000-0000980C0000}"/>
    <cellStyle name="Normal 14 8 2 2" xfId="3182" xr:uid="{00000000-0005-0000-0000-0000990C0000}"/>
    <cellStyle name="Normal 14 8 3" xfId="3183" xr:uid="{00000000-0005-0000-0000-00009A0C0000}"/>
    <cellStyle name="Normal 14 9" xfId="3184" xr:uid="{00000000-0005-0000-0000-00009B0C0000}"/>
    <cellStyle name="Normal 14 9 2" xfId="3185" xr:uid="{00000000-0005-0000-0000-00009C0C0000}"/>
    <cellStyle name="Normal 14 9 2 2" xfId="3186" xr:uid="{00000000-0005-0000-0000-00009D0C0000}"/>
    <cellStyle name="Normal 14 9 3" xfId="3187" xr:uid="{00000000-0005-0000-0000-00009E0C0000}"/>
    <cellStyle name="Normal 15" xfId="3188" xr:uid="{00000000-0005-0000-0000-00009F0C0000}"/>
    <cellStyle name="Normal 15 2" xfId="3189" xr:uid="{00000000-0005-0000-0000-0000A00C0000}"/>
    <cellStyle name="Normal 15 2 2" xfId="3190" xr:uid="{00000000-0005-0000-0000-0000A10C0000}"/>
    <cellStyle name="Normal 15 2 2 2" xfId="3191" xr:uid="{00000000-0005-0000-0000-0000A20C0000}"/>
    <cellStyle name="Normal 15 2 2 2 2" xfId="3192" xr:uid="{00000000-0005-0000-0000-0000A30C0000}"/>
    <cellStyle name="Normal 15 2 2 3" xfId="3193" xr:uid="{00000000-0005-0000-0000-0000A40C0000}"/>
    <cellStyle name="Normal 15 2 2 4" xfId="3194" xr:uid="{00000000-0005-0000-0000-0000A50C0000}"/>
    <cellStyle name="Normal 15 3" xfId="3195" xr:uid="{00000000-0005-0000-0000-0000A60C0000}"/>
    <cellStyle name="Normal 15 4" xfId="3196" xr:uid="{00000000-0005-0000-0000-0000A70C0000}"/>
    <cellStyle name="Normal 15 4 2" xfId="3197" xr:uid="{00000000-0005-0000-0000-0000A80C0000}"/>
    <cellStyle name="Normal 15 4 2 2" xfId="3198" xr:uid="{00000000-0005-0000-0000-0000A90C0000}"/>
    <cellStyle name="Normal 15 4 3" xfId="3199" xr:uid="{00000000-0005-0000-0000-0000AA0C0000}"/>
    <cellStyle name="Normal 15 4 4" xfId="3200" xr:uid="{00000000-0005-0000-0000-0000AB0C0000}"/>
    <cellStyle name="Normal 16" xfId="3201" xr:uid="{00000000-0005-0000-0000-0000AC0C0000}"/>
    <cellStyle name="Normal 16 2" xfId="3202" xr:uid="{00000000-0005-0000-0000-0000AD0C0000}"/>
    <cellStyle name="Normal 16 2 2" xfId="3203" xr:uid="{00000000-0005-0000-0000-0000AE0C0000}"/>
    <cellStyle name="Normal 16 2 2 2" xfId="3204" xr:uid="{00000000-0005-0000-0000-0000AF0C0000}"/>
    <cellStyle name="Normal 16 2 3" xfId="3205" xr:uid="{00000000-0005-0000-0000-0000B00C0000}"/>
    <cellStyle name="Normal 16 2 4" xfId="3206" xr:uid="{00000000-0005-0000-0000-0000B10C0000}"/>
    <cellStyle name="Normal 16 3" xfId="3207" xr:uid="{00000000-0005-0000-0000-0000B20C0000}"/>
    <cellStyle name="Normal 16 3 2" xfId="3208" xr:uid="{00000000-0005-0000-0000-0000B30C0000}"/>
    <cellStyle name="Normal 16 3 2 2" xfId="3209" xr:uid="{00000000-0005-0000-0000-0000B40C0000}"/>
    <cellStyle name="Normal 16 3 3" xfId="3210" xr:uid="{00000000-0005-0000-0000-0000B50C0000}"/>
    <cellStyle name="Normal 16 3 4" xfId="3211" xr:uid="{00000000-0005-0000-0000-0000B60C0000}"/>
    <cellStyle name="Normal 17" xfId="3212" xr:uid="{00000000-0005-0000-0000-0000B70C0000}"/>
    <cellStyle name="Normal 17 2" xfId="3213" xr:uid="{00000000-0005-0000-0000-0000B80C0000}"/>
    <cellStyle name="Normal 17 2 2" xfId="3214" xr:uid="{00000000-0005-0000-0000-0000B90C0000}"/>
    <cellStyle name="Normal 17 2 2 2" xfId="3215" xr:uid="{00000000-0005-0000-0000-0000BA0C0000}"/>
    <cellStyle name="Normal 17 2 2 2 2" xfId="3216" xr:uid="{00000000-0005-0000-0000-0000BB0C0000}"/>
    <cellStyle name="Normal 17 2 2 3" xfId="3217" xr:uid="{00000000-0005-0000-0000-0000BC0C0000}"/>
    <cellStyle name="Normal 17 2 2 4" xfId="3218" xr:uid="{00000000-0005-0000-0000-0000BD0C0000}"/>
    <cellStyle name="Normal 17 3" xfId="3219" xr:uid="{00000000-0005-0000-0000-0000BE0C0000}"/>
    <cellStyle name="Normal 17 4" xfId="3220" xr:uid="{00000000-0005-0000-0000-0000BF0C0000}"/>
    <cellStyle name="Normal 17 4 2" xfId="3221" xr:uid="{00000000-0005-0000-0000-0000C00C0000}"/>
    <cellStyle name="Normal 17 4 2 2" xfId="3222" xr:uid="{00000000-0005-0000-0000-0000C10C0000}"/>
    <cellStyle name="Normal 17 4 3" xfId="3223" xr:uid="{00000000-0005-0000-0000-0000C20C0000}"/>
    <cellStyle name="Normal 17 4 4" xfId="3224" xr:uid="{00000000-0005-0000-0000-0000C30C0000}"/>
    <cellStyle name="Normal 18" xfId="3225" xr:uid="{00000000-0005-0000-0000-0000C40C0000}"/>
    <cellStyle name="Normal 18 2" xfId="3226" xr:uid="{00000000-0005-0000-0000-0000C50C0000}"/>
    <cellStyle name="Normal 18 3" xfId="3227" xr:uid="{00000000-0005-0000-0000-0000C60C0000}"/>
    <cellStyle name="Normal 18 3 2" xfId="3228" xr:uid="{00000000-0005-0000-0000-0000C70C0000}"/>
    <cellStyle name="Normal 18 3 2 2" xfId="3229" xr:uid="{00000000-0005-0000-0000-0000C80C0000}"/>
    <cellStyle name="Normal 18 3 3" xfId="3230" xr:uid="{00000000-0005-0000-0000-0000C90C0000}"/>
    <cellStyle name="Normal 18 3 4" xfId="3231" xr:uid="{00000000-0005-0000-0000-0000CA0C0000}"/>
    <cellStyle name="Normal 188" xfId="3232" xr:uid="{00000000-0005-0000-0000-0000CB0C0000}"/>
    <cellStyle name="Normal 188 2" xfId="3233" xr:uid="{00000000-0005-0000-0000-0000CC0C0000}"/>
    <cellStyle name="Normal 188 2 2" xfId="3234" xr:uid="{00000000-0005-0000-0000-0000CD0C0000}"/>
    <cellStyle name="Normal 188 3" xfId="3235" xr:uid="{00000000-0005-0000-0000-0000CE0C0000}"/>
    <cellStyle name="Normal 188 4" xfId="3236" xr:uid="{00000000-0005-0000-0000-0000CF0C0000}"/>
    <cellStyle name="Normal 19" xfId="3237" xr:uid="{00000000-0005-0000-0000-0000D00C0000}"/>
    <cellStyle name="Normal 19 2" xfId="3238" xr:uid="{00000000-0005-0000-0000-0000D10C0000}"/>
    <cellStyle name="Normal 19 3" xfId="3239" xr:uid="{00000000-0005-0000-0000-0000D20C0000}"/>
    <cellStyle name="Normal 19 3 2" xfId="3240" xr:uid="{00000000-0005-0000-0000-0000D30C0000}"/>
    <cellStyle name="Normal 19 3 2 2" xfId="3241" xr:uid="{00000000-0005-0000-0000-0000D40C0000}"/>
    <cellStyle name="Normal 19 3 3" xfId="3242" xr:uid="{00000000-0005-0000-0000-0000D50C0000}"/>
    <cellStyle name="Normal 196" xfId="3243" xr:uid="{00000000-0005-0000-0000-0000D60C0000}"/>
    <cellStyle name="Normal 196 2" xfId="3244" xr:uid="{00000000-0005-0000-0000-0000D70C0000}"/>
    <cellStyle name="Normal 196 2 2" xfId="3245" xr:uid="{00000000-0005-0000-0000-0000D80C0000}"/>
    <cellStyle name="Normal 196 3" xfId="3246" xr:uid="{00000000-0005-0000-0000-0000D90C0000}"/>
    <cellStyle name="Normal 196 4" xfId="3247" xr:uid="{00000000-0005-0000-0000-0000DA0C0000}"/>
    <cellStyle name="Normal 197" xfId="3248" xr:uid="{00000000-0005-0000-0000-0000DB0C0000}"/>
    <cellStyle name="Normal 197 2" xfId="3249" xr:uid="{00000000-0005-0000-0000-0000DC0C0000}"/>
    <cellStyle name="Normal 197 2 2" xfId="3250" xr:uid="{00000000-0005-0000-0000-0000DD0C0000}"/>
    <cellStyle name="Normal 197 3" xfId="3251" xr:uid="{00000000-0005-0000-0000-0000DE0C0000}"/>
    <cellStyle name="Normal 197 4" xfId="3252" xr:uid="{00000000-0005-0000-0000-0000DF0C0000}"/>
    <cellStyle name="Normal 198" xfId="3253" xr:uid="{00000000-0005-0000-0000-0000E00C0000}"/>
    <cellStyle name="Normal 198 2" xfId="3254" xr:uid="{00000000-0005-0000-0000-0000E10C0000}"/>
    <cellStyle name="Normal 198 2 2" xfId="3255" xr:uid="{00000000-0005-0000-0000-0000E20C0000}"/>
    <cellStyle name="Normal 198 3" xfId="3256" xr:uid="{00000000-0005-0000-0000-0000E30C0000}"/>
    <cellStyle name="Normal 198 4" xfId="3257" xr:uid="{00000000-0005-0000-0000-0000E40C0000}"/>
    <cellStyle name="Normal 199" xfId="3258" xr:uid="{00000000-0005-0000-0000-0000E50C0000}"/>
    <cellStyle name="Normal 199 2" xfId="3259" xr:uid="{00000000-0005-0000-0000-0000E60C0000}"/>
    <cellStyle name="Normal 199 2 2" xfId="3260" xr:uid="{00000000-0005-0000-0000-0000E70C0000}"/>
    <cellStyle name="Normal 199 3" xfId="3261" xr:uid="{00000000-0005-0000-0000-0000E80C0000}"/>
    <cellStyle name="Normal 199 4" xfId="3262" xr:uid="{00000000-0005-0000-0000-0000E90C0000}"/>
    <cellStyle name="Normal 2" xfId="3263" xr:uid="{00000000-0005-0000-0000-0000EA0C0000}"/>
    <cellStyle name="Normal 2 10" xfId="3264" xr:uid="{00000000-0005-0000-0000-0000EB0C0000}"/>
    <cellStyle name="Normal 2 10 2" xfId="3265" xr:uid="{00000000-0005-0000-0000-0000EC0C0000}"/>
    <cellStyle name="Normal 2 10 2 10" xfId="3266" xr:uid="{00000000-0005-0000-0000-0000ED0C0000}"/>
    <cellStyle name="Normal 2 10 2 10 2" xfId="3267" xr:uid="{00000000-0005-0000-0000-0000EE0C0000}"/>
    <cellStyle name="Normal 2 10 2 11" xfId="3268" xr:uid="{00000000-0005-0000-0000-0000EF0C0000}"/>
    <cellStyle name="Normal 2 10 2 12" xfId="3269" xr:uid="{00000000-0005-0000-0000-0000F00C0000}"/>
    <cellStyle name="Normal 2 10 2 2" xfId="3270" xr:uid="{00000000-0005-0000-0000-0000F10C0000}"/>
    <cellStyle name="Normal 2 10 2 2 2" xfId="3271" xr:uid="{00000000-0005-0000-0000-0000F20C0000}"/>
    <cellStyle name="Normal 2 10 2 2 2 2" xfId="3272" xr:uid="{00000000-0005-0000-0000-0000F30C0000}"/>
    <cellStyle name="Normal 2 10 2 3" xfId="3273" xr:uid="{00000000-0005-0000-0000-0000F40C0000}"/>
    <cellStyle name="Normal 2 10 2 4" xfId="3274" xr:uid="{00000000-0005-0000-0000-0000F50C0000}"/>
    <cellStyle name="Normal 2 10 2 4 2" xfId="3275" xr:uid="{00000000-0005-0000-0000-0000F60C0000}"/>
    <cellStyle name="Normal 2 10 2 4 2 2" xfId="3276" xr:uid="{00000000-0005-0000-0000-0000F70C0000}"/>
    <cellStyle name="Normal 2 10 2 4 2 2 2" xfId="3277" xr:uid="{00000000-0005-0000-0000-0000F80C0000}"/>
    <cellStyle name="Normal 2 10 2 4 2 2 2 2" xfId="3278" xr:uid="{00000000-0005-0000-0000-0000F90C0000}"/>
    <cellStyle name="Normal 2 10 2 4 2 2 3" xfId="3279" xr:uid="{00000000-0005-0000-0000-0000FA0C0000}"/>
    <cellStyle name="Normal 2 10 2 4 2 3" xfId="3280" xr:uid="{00000000-0005-0000-0000-0000FB0C0000}"/>
    <cellStyle name="Normal 2 10 2 4 2 3 2" xfId="3281" xr:uid="{00000000-0005-0000-0000-0000FC0C0000}"/>
    <cellStyle name="Normal 2 10 2 4 2 3 2 2" xfId="3282" xr:uid="{00000000-0005-0000-0000-0000FD0C0000}"/>
    <cellStyle name="Normal 2 10 2 4 2 3 3" xfId="3283" xr:uid="{00000000-0005-0000-0000-0000FE0C0000}"/>
    <cellStyle name="Normal 2 10 2 4 2 4" xfId="3284" xr:uid="{00000000-0005-0000-0000-0000FF0C0000}"/>
    <cellStyle name="Normal 2 10 2 4 2 4 2" xfId="3285" xr:uid="{00000000-0005-0000-0000-0000000D0000}"/>
    <cellStyle name="Normal 2 10 2 4 2 5" xfId="3286" xr:uid="{00000000-0005-0000-0000-0000010D0000}"/>
    <cellStyle name="Normal 2 10 2 4 2 6" xfId="3287" xr:uid="{00000000-0005-0000-0000-0000020D0000}"/>
    <cellStyle name="Normal 2 10 2 4 3" xfId="3288" xr:uid="{00000000-0005-0000-0000-0000030D0000}"/>
    <cellStyle name="Normal 2 10 2 4 3 2" xfId="3289" xr:uid="{00000000-0005-0000-0000-0000040D0000}"/>
    <cellStyle name="Normal 2 10 2 4 3 2 2" xfId="3290" xr:uid="{00000000-0005-0000-0000-0000050D0000}"/>
    <cellStyle name="Normal 2 10 2 4 3 2 2 2" xfId="3291" xr:uid="{00000000-0005-0000-0000-0000060D0000}"/>
    <cellStyle name="Normal 2 10 2 4 3 2 3" xfId="3292" xr:uid="{00000000-0005-0000-0000-0000070D0000}"/>
    <cellStyle name="Normal 2 10 2 4 3 3" xfId="3293" xr:uid="{00000000-0005-0000-0000-0000080D0000}"/>
    <cellStyle name="Normal 2 10 2 4 3 3 2" xfId="3294" xr:uid="{00000000-0005-0000-0000-0000090D0000}"/>
    <cellStyle name="Normal 2 10 2 4 3 4" xfId="3295" xr:uid="{00000000-0005-0000-0000-00000A0D0000}"/>
    <cellStyle name="Normal 2 10 2 4 3 5" xfId="3296" xr:uid="{00000000-0005-0000-0000-00000B0D0000}"/>
    <cellStyle name="Normal 2 10 2 4 4" xfId="3297" xr:uid="{00000000-0005-0000-0000-00000C0D0000}"/>
    <cellStyle name="Normal 2 10 2 4 4 2" xfId="3298" xr:uid="{00000000-0005-0000-0000-00000D0D0000}"/>
    <cellStyle name="Normal 2 10 2 4 4 2 2" xfId="3299" xr:uid="{00000000-0005-0000-0000-00000E0D0000}"/>
    <cellStyle name="Normal 2 10 2 4 4 3" xfId="3300" xr:uid="{00000000-0005-0000-0000-00000F0D0000}"/>
    <cellStyle name="Normal 2 10 2 4 5" xfId="3301" xr:uid="{00000000-0005-0000-0000-0000100D0000}"/>
    <cellStyle name="Normal 2 10 2 4 5 2" xfId="3302" xr:uid="{00000000-0005-0000-0000-0000110D0000}"/>
    <cellStyle name="Normal 2 10 2 4 5 2 2" xfId="3303" xr:uid="{00000000-0005-0000-0000-0000120D0000}"/>
    <cellStyle name="Normal 2 10 2 4 5 3" xfId="3304" xr:uid="{00000000-0005-0000-0000-0000130D0000}"/>
    <cellStyle name="Normal 2 10 2 4 6" xfId="3305" xr:uid="{00000000-0005-0000-0000-0000140D0000}"/>
    <cellStyle name="Normal 2 10 2 4 6 2" xfId="3306" xr:uid="{00000000-0005-0000-0000-0000150D0000}"/>
    <cellStyle name="Normal 2 10 2 4 7" xfId="3307" xr:uid="{00000000-0005-0000-0000-0000160D0000}"/>
    <cellStyle name="Normal 2 10 2 4 8" xfId="3308" xr:uid="{00000000-0005-0000-0000-0000170D0000}"/>
    <cellStyle name="Normal 2 10 2 5" xfId="3309" xr:uid="{00000000-0005-0000-0000-0000180D0000}"/>
    <cellStyle name="Normal 2 10 2 6" xfId="3310" xr:uid="{00000000-0005-0000-0000-0000190D0000}"/>
    <cellStyle name="Normal 2 10 2 6 2" xfId="3311" xr:uid="{00000000-0005-0000-0000-00001A0D0000}"/>
    <cellStyle name="Normal 2 10 2 6 2 2" xfId="3312" xr:uid="{00000000-0005-0000-0000-00001B0D0000}"/>
    <cellStyle name="Normal 2 10 2 6 2 2 2" xfId="3313" xr:uid="{00000000-0005-0000-0000-00001C0D0000}"/>
    <cellStyle name="Normal 2 10 2 6 2 3" xfId="3314" xr:uid="{00000000-0005-0000-0000-00001D0D0000}"/>
    <cellStyle name="Normal 2 10 2 6 3" xfId="3315" xr:uid="{00000000-0005-0000-0000-00001E0D0000}"/>
    <cellStyle name="Normal 2 10 2 6 3 2" xfId="3316" xr:uid="{00000000-0005-0000-0000-00001F0D0000}"/>
    <cellStyle name="Normal 2 10 2 6 3 2 2" xfId="3317" xr:uid="{00000000-0005-0000-0000-0000200D0000}"/>
    <cellStyle name="Normal 2 10 2 6 3 3" xfId="3318" xr:uid="{00000000-0005-0000-0000-0000210D0000}"/>
    <cellStyle name="Normal 2 10 2 6 4" xfId="3319" xr:uid="{00000000-0005-0000-0000-0000220D0000}"/>
    <cellStyle name="Normal 2 10 2 6 4 2" xfId="3320" xr:uid="{00000000-0005-0000-0000-0000230D0000}"/>
    <cellStyle name="Normal 2 10 2 6 5" xfId="3321" xr:uid="{00000000-0005-0000-0000-0000240D0000}"/>
    <cellStyle name="Normal 2 10 2 6 6" xfId="3322" xr:uid="{00000000-0005-0000-0000-0000250D0000}"/>
    <cellStyle name="Normal 2 10 2 7" xfId="3323" xr:uid="{00000000-0005-0000-0000-0000260D0000}"/>
    <cellStyle name="Normal 2 10 2 7 2" xfId="3324" xr:uid="{00000000-0005-0000-0000-0000270D0000}"/>
    <cellStyle name="Normal 2 10 2 7 2 2" xfId="3325" xr:uid="{00000000-0005-0000-0000-0000280D0000}"/>
    <cellStyle name="Normal 2 10 2 7 2 2 2" xfId="3326" xr:uid="{00000000-0005-0000-0000-0000290D0000}"/>
    <cellStyle name="Normal 2 10 2 7 2 3" xfId="3327" xr:uid="{00000000-0005-0000-0000-00002A0D0000}"/>
    <cellStyle name="Normal 2 10 2 7 3" xfId="3328" xr:uid="{00000000-0005-0000-0000-00002B0D0000}"/>
    <cellStyle name="Normal 2 10 2 7 3 2" xfId="3329" xr:uid="{00000000-0005-0000-0000-00002C0D0000}"/>
    <cellStyle name="Normal 2 10 2 7 4" xfId="3330" xr:uid="{00000000-0005-0000-0000-00002D0D0000}"/>
    <cellStyle name="Normal 2 10 2 7 5" xfId="3331" xr:uid="{00000000-0005-0000-0000-00002E0D0000}"/>
    <cellStyle name="Normal 2 10 2 8" xfId="3332" xr:uid="{00000000-0005-0000-0000-00002F0D0000}"/>
    <cellStyle name="Normal 2 10 2 8 2" xfId="3333" xr:uid="{00000000-0005-0000-0000-0000300D0000}"/>
    <cellStyle name="Normal 2 10 2 8 2 2" xfId="3334" xr:uid="{00000000-0005-0000-0000-0000310D0000}"/>
    <cellStyle name="Normal 2 10 2 8 3" xfId="3335" xr:uid="{00000000-0005-0000-0000-0000320D0000}"/>
    <cellStyle name="Normal 2 10 2 9" xfId="3336" xr:uid="{00000000-0005-0000-0000-0000330D0000}"/>
    <cellStyle name="Normal 2 10 2 9 2" xfId="3337" xr:uid="{00000000-0005-0000-0000-0000340D0000}"/>
    <cellStyle name="Normal 2 10 2 9 2 2" xfId="3338" xr:uid="{00000000-0005-0000-0000-0000350D0000}"/>
    <cellStyle name="Normal 2 10 2 9 3" xfId="3339" xr:uid="{00000000-0005-0000-0000-0000360D0000}"/>
    <cellStyle name="Normal 2 10 3" xfId="3340" xr:uid="{00000000-0005-0000-0000-0000370D0000}"/>
    <cellStyle name="Normal 2 10 3 2" xfId="3341" xr:uid="{00000000-0005-0000-0000-0000380D0000}"/>
    <cellStyle name="Normal 2 10 3 2 2" xfId="3342" xr:uid="{00000000-0005-0000-0000-0000390D0000}"/>
    <cellStyle name="Normal 2 10 4" xfId="3343" xr:uid="{00000000-0005-0000-0000-00003A0D0000}"/>
    <cellStyle name="Normal 2 11" xfId="3344" xr:uid="{00000000-0005-0000-0000-00003B0D0000}"/>
    <cellStyle name="Normal 2 11 10" xfId="3345" xr:uid="{00000000-0005-0000-0000-00003C0D0000}"/>
    <cellStyle name="Normal 2 11 10 2" xfId="3346" xr:uid="{00000000-0005-0000-0000-00003D0D0000}"/>
    <cellStyle name="Normal 2 11 11" xfId="3347" xr:uid="{00000000-0005-0000-0000-00003E0D0000}"/>
    <cellStyle name="Normal 2 11 12" xfId="3348" xr:uid="{00000000-0005-0000-0000-00003F0D0000}"/>
    <cellStyle name="Normal 2 11 2" xfId="3349" xr:uid="{00000000-0005-0000-0000-0000400D0000}"/>
    <cellStyle name="Normal 2 11 2 2" xfId="3350" xr:uid="{00000000-0005-0000-0000-0000410D0000}"/>
    <cellStyle name="Normal 2 11 2 2 2" xfId="3351" xr:uid="{00000000-0005-0000-0000-0000420D0000}"/>
    <cellStyle name="Normal 2 11 2 2 3" xfId="3352" xr:uid="{00000000-0005-0000-0000-0000430D0000}"/>
    <cellStyle name="Normal 2 11 2 3" xfId="3353" xr:uid="{00000000-0005-0000-0000-0000440D0000}"/>
    <cellStyle name="Normal 2 11 3" xfId="3354" xr:uid="{00000000-0005-0000-0000-0000450D0000}"/>
    <cellStyle name="Normal 2 11 4" xfId="3355" xr:uid="{00000000-0005-0000-0000-0000460D0000}"/>
    <cellStyle name="Normal 2 11 5" xfId="3356" xr:uid="{00000000-0005-0000-0000-0000470D0000}"/>
    <cellStyle name="Normal 2 11 5 2" xfId="3357" xr:uid="{00000000-0005-0000-0000-0000480D0000}"/>
    <cellStyle name="Normal 2 11 5 2 2" xfId="3358" xr:uid="{00000000-0005-0000-0000-0000490D0000}"/>
    <cellStyle name="Normal 2 11 5 2 2 2" xfId="3359" xr:uid="{00000000-0005-0000-0000-00004A0D0000}"/>
    <cellStyle name="Normal 2 11 5 2 2 2 2" xfId="3360" xr:uid="{00000000-0005-0000-0000-00004B0D0000}"/>
    <cellStyle name="Normal 2 11 5 2 2 3" xfId="3361" xr:uid="{00000000-0005-0000-0000-00004C0D0000}"/>
    <cellStyle name="Normal 2 11 5 2 3" xfId="3362" xr:uid="{00000000-0005-0000-0000-00004D0D0000}"/>
    <cellStyle name="Normal 2 11 5 2 3 2" xfId="3363" xr:uid="{00000000-0005-0000-0000-00004E0D0000}"/>
    <cellStyle name="Normal 2 11 5 2 3 2 2" xfId="3364" xr:uid="{00000000-0005-0000-0000-00004F0D0000}"/>
    <cellStyle name="Normal 2 11 5 2 3 3" xfId="3365" xr:uid="{00000000-0005-0000-0000-0000500D0000}"/>
    <cellStyle name="Normal 2 11 5 2 4" xfId="3366" xr:uid="{00000000-0005-0000-0000-0000510D0000}"/>
    <cellStyle name="Normal 2 11 5 2 4 2" xfId="3367" xr:uid="{00000000-0005-0000-0000-0000520D0000}"/>
    <cellStyle name="Normal 2 11 5 2 5" xfId="3368" xr:uid="{00000000-0005-0000-0000-0000530D0000}"/>
    <cellStyle name="Normal 2 11 5 2 6" xfId="3369" xr:uid="{00000000-0005-0000-0000-0000540D0000}"/>
    <cellStyle name="Normal 2 11 5 3" xfId="3370" xr:uid="{00000000-0005-0000-0000-0000550D0000}"/>
    <cellStyle name="Normal 2 11 5 3 2" xfId="3371" xr:uid="{00000000-0005-0000-0000-0000560D0000}"/>
    <cellStyle name="Normal 2 11 5 3 2 2" xfId="3372" xr:uid="{00000000-0005-0000-0000-0000570D0000}"/>
    <cellStyle name="Normal 2 11 5 3 2 2 2" xfId="3373" xr:uid="{00000000-0005-0000-0000-0000580D0000}"/>
    <cellStyle name="Normal 2 11 5 3 2 3" xfId="3374" xr:uid="{00000000-0005-0000-0000-0000590D0000}"/>
    <cellStyle name="Normal 2 11 5 3 3" xfId="3375" xr:uid="{00000000-0005-0000-0000-00005A0D0000}"/>
    <cellStyle name="Normal 2 11 5 3 3 2" xfId="3376" xr:uid="{00000000-0005-0000-0000-00005B0D0000}"/>
    <cellStyle name="Normal 2 11 5 3 4" xfId="3377" xr:uid="{00000000-0005-0000-0000-00005C0D0000}"/>
    <cellStyle name="Normal 2 11 5 3 5" xfId="3378" xr:uid="{00000000-0005-0000-0000-00005D0D0000}"/>
    <cellStyle name="Normal 2 11 5 4" xfId="3379" xr:uid="{00000000-0005-0000-0000-00005E0D0000}"/>
    <cellStyle name="Normal 2 11 5 4 2" xfId="3380" xr:uid="{00000000-0005-0000-0000-00005F0D0000}"/>
    <cellStyle name="Normal 2 11 5 4 2 2" xfId="3381" xr:uid="{00000000-0005-0000-0000-0000600D0000}"/>
    <cellStyle name="Normal 2 11 5 4 3" xfId="3382" xr:uid="{00000000-0005-0000-0000-0000610D0000}"/>
    <cellStyle name="Normal 2 11 5 5" xfId="3383" xr:uid="{00000000-0005-0000-0000-0000620D0000}"/>
    <cellStyle name="Normal 2 11 5 5 2" xfId="3384" xr:uid="{00000000-0005-0000-0000-0000630D0000}"/>
    <cellStyle name="Normal 2 11 5 5 2 2" xfId="3385" xr:uid="{00000000-0005-0000-0000-0000640D0000}"/>
    <cellStyle name="Normal 2 11 5 5 3" xfId="3386" xr:uid="{00000000-0005-0000-0000-0000650D0000}"/>
    <cellStyle name="Normal 2 11 5 6" xfId="3387" xr:uid="{00000000-0005-0000-0000-0000660D0000}"/>
    <cellStyle name="Normal 2 11 5 6 2" xfId="3388" xr:uid="{00000000-0005-0000-0000-0000670D0000}"/>
    <cellStyle name="Normal 2 11 5 7" xfId="3389" xr:uid="{00000000-0005-0000-0000-0000680D0000}"/>
    <cellStyle name="Normal 2 11 5 8" xfId="3390" xr:uid="{00000000-0005-0000-0000-0000690D0000}"/>
    <cellStyle name="Normal 2 11 6" xfId="3391" xr:uid="{00000000-0005-0000-0000-00006A0D0000}"/>
    <cellStyle name="Normal 2 11 6 2" xfId="3392" xr:uid="{00000000-0005-0000-0000-00006B0D0000}"/>
    <cellStyle name="Normal 2 11 6 2 2" xfId="3393" xr:uid="{00000000-0005-0000-0000-00006C0D0000}"/>
    <cellStyle name="Normal 2 11 6 2 2 2" xfId="3394" xr:uid="{00000000-0005-0000-0000-00006D0D0000}"/>
    <cellStyle name="Normal 2 11 6 2 3" xfId="3395" xr:uid="{00000000-0005-0000-0000-00006E0D0000}"/>
    <cellStyle name="Normal 2 11 6 3" xfId="3396" xr:uid="{00000000-0005-0000-0000-00006F0D0000}"/>
    <cellStyle name="Normal 2 11 6 3 2" xfId="3397" xr:uid="{00000000-0005-0000-0000-0000700D0000}"/>
    <cellStyle name="Normal 2 11 6 3 2 2" xfId="3398" xr:uid="{00000000-0005-0000-0000-0000710D0000}"/>
    <cellStyle name="Normal 2 11 6 3 3" xfId="3399" xr:uid="{00000000-0005-0000-0000-0000720D0000}"/>
    <cellStyle name="Normal 2 11 6 4" xfId="3400" xr:uid="{00000000-0005-0000-0000-0000730D0000}"/>
    <cellStyle name="Normal 2 11 6 4 2" xfId="3401" xr:uid="{00000000-0005-0000-0000-0000740D0000}"/>
    <cellStyle name="Normal 2 11 6 5" xfId="3402" xr:uid="{00000000-0005-0000-0000-0000750D0000}"/>
    <cellStyle name="Normal 2 11 6 6" xfId="3403" xr:uid="{00000000-0005-0000-0000-0000760D0000}"/>
    <cellStyle name="Normal 2 11 7" xfId="3404" xr:uid="{00000000-0005-0000-0000-0000770D0000}"/>
    <cellStyle name="Normal 2 11 7 2" xfId="3405" xr:uid="{00000000-0005-0000-0000-0000780D0000}"/>
    <cellStyle name="Normal 2 11 7 2 2" xfId="3406" xr:uid="{00000000-0005-0000-0000-0000790D0000}"/>
    <cellStyle name="Normal 2 11 7 2 2 2" xfId="3407" xr:uid="{00000000-0005-0000-0000-00007A0D0000}"/>
    <cellStyle name="Normal 2 11 7 2 3" xfId="3408" xr:uid="{00000000-0005-0000-0000-00007B0D0000}"/>
    <cellStyle name="Normal 2 11 7 3" xfId="3409" xr:uid="{00000000-0005-0000-0000-00007C0D0000}"/>
    <cellStyle name="Normal 2 11 7 3 2" xfId="3410" xr:uid="{00000000-0005-0000-0000-00007D0D0000}"/>
    <cellStyle name="Normal 2 11 7 4" xfId="3411" xr:uid="{00000000-0005-0000-0000-00007E0D0000}"/>
    <cellStyle name="Normal 2 11 7 5" xfId="3412" xr:uid="{00000000-0005-0000-0000-00007F0D0000}"/>
    <cellStyle name="Normal 2 11 8" xfId="3413" xr:uid="{00000000-0005-0000-0000-0000800D0000}"/>
    <cellStyle name="Normal 2 11 8 2" xfId="3414" xr:uid="{00000000-0005-0000-0000-0000810D0000}"/>
    <cellStyle name="Normal 2 11 8 2 2" xfId="3415" xr:uid="{00000000-0005-0000-0000-0000820D0000}"/>
    <cellStyle name="Normal 2 11 8 3" xfId="3416" xr:uid="{00000000-0005-0000-0000-0000830D0000}"/>
    <cellStyle name="Normal 2 11 9" xfId="3417" xr:uid="{00000000-0005-0000-0000-0000840D0000}"/>
    <cellStyle name="Normal 2 11 9 2" xfId="3418" xr:uid="{00000000-0005-0000-0000-0000850D0000}"/>
    <cellStyle name="Normal 2 11 9 2 2" xfId="3419" xr:uid="{00000000-0005-0000-0000-0000860D0000}"/>
    <cellStyle name="Normal 2 11 9 3" xfId="3420" xr:uid="{00000000-0005-0000-0000-0000870D0000}"/>
    <cellStyle name="Normal 2 12" xfId="3421" xr:uid="{00000000-0005-0000-0000-0000880D0000}"/>
    <cellStyle name="Normal 2 12 10" xfId="3422" xr:uid="{00000000-0005-0000-0000-0000890D0000}"/>
    <cellStyle name="Normal 2 12 11" xfId="3423" xr:uid="{00000000-0005-0000-0000-00008A0D0000}"/>
    <cellStyle name="Normal 2 12 2" xfId="3424" xr:uid="{00000000-0005-0000-0000-00008B0D0000}"/>
    <cellStyle name="Normal 2 12 2 2" xfId="3425" xr:uid="{00000000-0005-0000-0000-00008C0D0000}"/>
    <cellStyle name="Normal 2 12 2 2 2" xfId="3426" xr:uid="{00000000-0005-0000-0000-00008D0D0000}"/>
    <cellStyle name="Normal 2 12 2 3" xfId="3427" xr:uid="{00000000-0005-0000-0000-00008E0D0000}"/>
    <cellStyle name="Normal 2 12 3" xfId="3428" xr:uid="{00000000-0005-0000-0000-00008F0D0000}"/>
    <cellStyle name="Normal 2 12 4" xfId="3429" xr:uid="{00000000-0005-0000-0000-0000900D0000}"/>
    <cellStyle name="Normal 2 12 4 2" xfId="3430" xr:uid="{00000000-0005-0000-0000-0000910D0000}"/>
    <cellStyle name="Normal 2 12 4 2 2" xfId="3431" xr:uid="{00000000-0005-0000-0000-0000920D0000}"/>
    <cellStyle name="Normal 2 12 4 2 2 2" xfId="3432" xr:uid="{00000000-0005-0000-0000-0000930D0000}"/>
    <cellStyle name="Normal 2 12 4 2 2 2 2" xfId="3433" xr:uid="{00000000-0005-0000-0000-0000940D0000}"/>
    <cellStyle name="Normal 2 12 4 2 2 3" xfId="3434" xr:uid="{00000000-0005-0000-0000-0000950D0000}"/>
    <cellStyle name="Normal 2 12 4 2 3" xfId="3435" xr:uid="{00000000-0005-0000-0000-0000960D0000}"/>
    <cellStyle name="Normal 2 12 4 2 3 2" xfId="3436" xr:uid="{00000000-0005-0000-0000-0000970D0000}"/>
    <cellStyle name="Normal 2 12 4 2 3 2 2" xfId="3437" xr:uid="{00000000-0005-0000-0000-0000980D0000}"/>
    <cellStyle name="Normal 2 12 4 2 3 3" xfId="3438" xr:uid="{00000000-0005-0000-0000-0000990D0000}"/>
    <cellStyle name="Normal 2 12 4 2 4" xfId="3439" xr:uid="{00000000-0005-0000-0000-00009A0D0000}"/>
    <cellStyle name="Normal 2 12 4 2 4 2" xfId="3440" xr:uid="{00000000-0005-0000-0000-00009B0D0000}"/>
    <cellStyle name="Normal 2 12 4 2 5" xfId="3441" xr:uid="{00000000-0005-0000-0000-00009C0D0000}"/>
    <cellStyle name="Normal 2 12 4 2 6" xfId="3442" xr:uid="{00000000-0005-0000-0000-00009D0D0000}"/>
    <cellStyle name="Normal 2 12 4 3" xfId="3443" xr:uid="{00000000-0005-0000-0000-00009E0D0000}"/>
    <cellStyle name="Normal 2 12 4 3 2" xfId="3444" xr:uid="{00000000-0005-0000-0000-00009F0D0000}"/>
    <cellStyle name="Normal 2 12 4 3 2 2" xfId="3445" xr:uid="{00000000-0005-0000-0000-0000A00D0000}"/>
    <cellStyle name="Normal 2 12 4 3 2 2 2" xfId="3446" xr:uid="{00000000-0005-0000-0000-0000A10D0000}"/>
    <cellStyle name="Normal 2 12 4 3 2 3" xfId="3447" xr:uid="{00000000-0005-0000-0000-0000A20D0000}"/>
    <cellStyle name="Normal 2 12 4 3 3" xfId="3448" xr:uid="{00000000-0005-0000-0000-0000A30D0000}"/>
    <cellStyle name="Normal 2 12 4 3 3 2" xfId="3449" xr:uid="{00000000-0005-0000-0000-0000A40D0000}"/>
    <cellStyle name="Normal 2 12 4 3 4" xfId="3450" xr:uid="{00000000-0005-0000-0000-0000A50D0000}"/>
    <cellStyle name="Normal 2 12 4 3 5" xfId="3451" xr:uid="{00000000-0005-0000-0000-0000A60D0000}"/>
    <cellStyle name="Normal 2 12 4 4" xfId="3452" xr:uid="{00000000-0005-0000-0000-0000A70D0000}"/>
    <cellStyle name="Normal 2 12 4 4 2" xfId="3453" xr:uid="{00000000-0005-0000-0000-0000A80D0000}"/>
    <cellStyle name="Normal 2 12 4 4 2 2" xfId="3454" xr:uid="{00000000-0005-0000-0000-0000A90D0000}"/>
    <cellStyle name="Normal 2 12 4 4 3" xfId="3455" xr:uid="{00000000-0005-0000-0000-0000AA0D0000}"/>
    <cellStyle name="Normal 2 12 4 5" xfId="3456" xr:uid="{00000000-0005-0000-0000-0000AB0D0000}"/>
    <cellStyle name="Normal 2 12 4 5 2" xfId="3457" xr:uid="{00000000-0005-0000-0000-0000AC0D0000}"/>
    <cellStyle name="Normal 2 12 4 5 2 2" xfId="3458" xr:uid="{00000000-0005-0000-0000-0000AD0D0000}"/>
    <cellStyle name="Normal 2 12 4 5 3" xfId="3459" xr:uid="{00000000-0005-0000-0000-0000AE0D0000}"/>
    <cellStyle name="Normal 2 12 4 6" xfId="3460" xr:uid="{00000000-0005-0000-0000-0000AF0D0000}"/>
    <cellStyle name="Normal 2 12 4 6 2" xfId="3461" xr:uid="{00000000-0005-0000-0000-0000B00D0000}"/>
    <cellStyle name="Normal 2 12 4 7" xfId="3462" xr:uid="{00000000-0005-0000-0000-0000B10D0000}"/>
    <cellStyle name="Normal 2 12 4 8" xfId="3463" xr:uid="{00000000-0005-0000-0000-0000B20D0000}"/>
    <cellStyle name="Normal 2 12 5" xfId="3464" xr:uid="{00000000-0005-0000-0000-0000B30D0000}"/>
    <cellStyle name="Normal 2 12 5 2" xfId="3465" xr:uid="{00000000-0005-0000-0000-0000B40D0000}"/>
    <cellStyle name="Normal 2 12 5 2 2" xfId="3466" xr:uid="{00000000-0005-0000-0000-0000B50D0000}"/>
    <cellStyle name="Normal 2 12 5 2 2 2" xfId="3467" xr:uid="{00000000-0005-0000-0000-0000B60D0000}"/>
    <cellStyle name="Normal 2 12 5 2 3" xfId="3468" xr:uid="{00000000-0005-0000-0000-0000B70D0000}"/>
    <cellStyle name="Normal 2 12 5 3" xfId="3469" xr:uid="{00000000-0005-0000-0000-0000B80D0000}"/>
    <cellStyle name="Normal 2 12 5 3 2" xfId="3470" xr:uid="{00000000-0005-0000-0000-0000B90D0000}"/>
    <cellStyle name="Normal 2 12 5 3 2 2" xfId="3471" xr:uid="{00000000-0005-0000-0000-0000BA0D0000}"/>
    <cellStyle name="Normal 2 12 5 3 3" xfId="3472" xr:uid="{00000000-0005-0000-0000-0000BB0D0000}"/>
    <cellStyle name="Normal 2 12 5 4" xfId="3473" xr:uid="{00000000-0005-0000-0000-0000BC0D0000}"/>
    <cellStyle name="Normal 2 12 5 4 2" xfId="3474" xr:uid="{00000000-0005-0000-0000-0000BD0D0000}"/>
    <cellStyle name="Normal 2 12 5 5" xfId="3475" xr:uid="{00000000-0005-0000-0000-0000BE0D0000}"/>
    <cellStyle name="Normal 2 12 5 6" xfId="3476" xr:uid="{00000000-0005-0000-0000-0000BF0D0000}"/>
    <cellStyle name="Normal 2 12 6" xfId="3477" xr:uid="{00000000-0005-0000-0000-0000C00D0000}"/>
    <cellStyle name="Normal 2 12 6 2" xfId="3478" xr:uid="{00000000-0005-0000-0000-0000C10D0000}"/>
    <cellStyle name="Normal 2 12 6 2 2" xfId="3479" xr:uid="{00000000-0005-0000-0000-0000C20D0000}"/>
    <cellStyle name="Normal 2 12 6 2 2 2" xfId="3480" xr:uid="{00000000-0005-0000-0000-0000C30D0000}"/>
    <cellStyle name="Normal 2 12 6 2 3" xfId="3481" xr:uid="{00000000-0005-0000-0000-0000C40D0000}"/>
    <cellStyle name="Normal 2 12 6 3" xfId="3482" xr:uid="{00000000-0005-0000-0000-0000C50D0000}"/>
    <cellStyle name="Normal 2 12 6 3 2" xfId="3483" xr:uid="{00000000-0005-0000-0000-0000C60D0000}"/>
    <cellStyle name="Normal 2 12 6 4" xfId="3484" xr:uid="{00000000-0005-0000-0000-0000C70D0000}"/>
    <cellStyle name="Normal 2 12 6 5" xfId="3485" xr:uid="{00000000-0005-0000-0000-0000C80D0000}"/>
    <cellStyle name="Normal 2 12 7" xfId="3486" xr:uid="{00000000-0005-0000-0000-0000C90D0000}"/>
    <cellStyle name="Normal 2 12 7 2" xfId="3487" xr:uid="{00000000-0005-0000-0000-0000CA0D0000}"/>
    <cellStyle name="Normal 2 12 7 2 2" xfId="3488" xr:uid="{00000000-0005-0000-0000-0000CB0D0000}"/>
    <cellStyle name="Normal 2 12 7 3" xfId="3489" xr:uid="{00000000-0005-0000-0000-0000CC0D0000}"/>
    <cellStyle name="Normal 2 12 8" xfId="3490" xr:uid="{00000000-0005-0000-0000-0000CD0D0000}"/>
    <cellStyle name="Normal 2 12 8 2" xfId="3491" xr:uid="{00000000-0005-0000-0000-0000CE0D0000}"/>
    <cellStyle name="Normal 2 12 8 2 2" xfId="3492" xr:uid="{00000000-0005-0000-0000-0000CF0D0000}"/>
    <cellStyle name="Normal 2 12 8 3" xfId="3493" xr:uid="{00000000-0005-0000-0000-0000D00D0000}"/>
    <cellStyle name="Normal 2 12 9" xfId="3494" xr:uid="{00000000-0005-0000-0000-0000D10D0000}"/>
    <cellStyle name="Normal 2 12 9 2" xfId="3495" xr:uid="{00000000-0005-0000-0000-0000D20D0000}"/>
    <cellStyle name="Normal 2 13" xfId="3496" xr:uid="{00000000-0005-0000-0000-0000D30D0000}"/>
    <cellStyle name="Normal 2 13 10" xfId="3497" xr:uid="{00000000-0005-0000-0000-0000D40D0000}"/>
    <cellStyle name="Normal 2 13 10 2" xfId="3498" xr:uid="{00000000-0005-0000-0000-0000D50D0000}"/>
    <cellStyle name="Normal 2 13 11" xfId="3499" xr:uid="{00000000-0005-0000-0000-0000D60D0000}"/>
    <cellStyle name="Normal 2 13 12" xfId="3500" xr:uid="{00000000-0005-0000-0000-0000D70D0000}"/>
    <cellStyle name="Normal 2 13 2" xfId="3501" xr:uid="{00000000-0005-0000-0000-0000D80D0000}"/>
    <cellStyle name="Normal 2 13 2 2" xfId="3502" xr:uid="{00000000-0005-0000-0000-0000D90D0000}"/>
    <cellStyle name="Normal 2 13 2 3" xfId="3503" xr:uid="{00000000-0005-0000-0000-0000DA0D0000}"/>
    <cellStyle name="Normal 2 13 3" xfId="3504" xr:uid="{00000000-0005-0000-0000-0000DB0D0000}"/>
    <cellStyle name="Normal 2 13 3 2" xfId="3505" xr:uid="{00000000-0005-0000-0000-0000DC0D0000}"/>
    <cellStyle name="Normal 2 13 3 2 2" xfId="3506" xr:uid="{00000000-0005-0000-0000-0000DD0D0000}"/>
    <cellStyle name="Normal 2 13 3 2 2 2" xfId="3507" xr:uid="{00000000-0005-0000-0000-0000DE0D0000}"/>
    <cellStyle name="Normal 2 13 3 2 2 2 2" xfId="3508" xr:uid="{00000000-0005-0000-0000-0000DF0D0000}"/>
    <cellStyle name="Normal 2 13 3 2 2 3" xfId="3509" xr:uid="{00000000-0005-0000-0000-0000E00D0000}"/>
    <cellStyle name="Normal 2 13 3 2 3" xfId="3510" xr:uid="{00000000-0005-0000-0000-0000E10D0000}"/>
    <cellStyle name="Normal 2 13 3 2 3 2" xfId="3511" xr:uid="{00000000-0005-0000-0000-0000E20D0000}"/>
    <cellStyle name="Normal 2 13 3 2 3 2 2" xfId="3512" xr:uid="{00000000-0005-0000-0000-0000E30D0000}"/>
    <cellStyle name="Normal 2 13 3 2 3 3" xfId="3513" xr:uid="{00000000-0005-0000-0000-0000E40D0000}"/>
    <cellStyle name="Normal 2 13 3 2 4" xfId="3514" xr:uid="{00000000-0005-0000-0000-0000E50D0000}"/>
    <cellStyle name="Normal 2 13 3 2 4 2" xfId="3515" xr:uid="{00000000-0005-0000-0000-0000E60D0000}"/>
    <cellStyle name="Normal 2 13 3 2 5" xfId="3516" xr:uid="{00000000-0005-0000-0000-0000E70D0000}"/>
    <cellStyle name="Normal 2 13 3 2 6" xfId="3517" xr:uid="{00000000-0005-0000-0000-0000E80D0000}"/>
    <cellStyle name="Normal 2 13 3 3" xfId="3518" xr:uid="{00000000-0005-0000-0000-0000E90D0000}"/>
    <cellStyle name="Normal 2 13 3 3 2" xfId="3519" xr:uid="{00000000-0005-0000-0000-0000EA0D0000}"/>
    <cellStyle name="Normal 2 13 3 3 2 2" xfId="3520" xr:uid="{00000000-0005-0000-0000-0000EB0D0000}"/>
    <cellStyle name="Normal 2 13 3 3 2 2 2" xfId="3521" xr:uid="{00000000-0005-0000-0000-0000EC0D0000}"/>
    <cellStyle name="Normal 2 13 3 3 2 3" xfId="3522" xr:uid="{00000000-0005-0000-0000-0000ED0D0000}"/>
    <cellStyle name="Normal 2 13 3 3 3" xfId="3523" xr:uid="{00000000-0005-0000-0000-0000EE0D0000}"/>
    <cellStyle name="Normal 2 13 3 3 3 2" xfId="3524" xr:uid="{00000000-0005-0000-0000-0000EF0D0000}"/>
    <cellStyle name="Normal 2 13 3 3 4" xfId="3525" xr:uid="{00000000-0005-0000-0000-0000F00D0000}"/>
    <cellStyle name="Normal 2 13 3 3 5" xfId="3526" xr:uid="{00000000-0005-0000-0000-0000F10D0000}"/>
    <cellStyle name="Normal 2 13 3 4" xfId="3527" xr:uid="{00000000-0005-0000-0000-0000F20D0000}"/>
    <cellStyle name="Normal 2 13 3 4 2" xfId="3528" xr:uid="{00000000-0005-0000-0000-0000F30D0000}"/>
    <cellStyle name="Normal 2 13 3 4 2 2" xfId="3529" xr:uid="{00000000-0005-0000-0000-0000F40D0000}"/>
    <cellStyle name="Normal 2 13 3 4 3" xfId="3530" xr:uid="{00000000-0005-0000-0000-0000F50D0000}"/>
    <cellStyle name="Normal 2 13 3 5" xfId="3531" xr:uid="{00000000-0005-0000-0000-0000F60D0000}"/>
    <cellStyle name="Normal 2 13 3 5 2" xfId="3532" xr:uid="{00000000-0005-0000-0000-0000F70D0000}"/>
    <cellStyle name="Normal 2 13 3 5 2 2" xfId="3533" xr:uid="{00000000-0005-0000-0000-0000F80D0000}"/>
    <cellStyle name="Normal 2 13 3 5 3" xfId="3534" xr:uid="{00000000-0005-0000-0000-0000F90D0000}"/>
    <cellStyle name="Normal 2 13 3 6" xfId="3535" xr:uid="{00000000-0005-0000-0000-0000FA0D0000}"/>
    <cellStyle name="Normal 2 13 3 6 2" xfId="3536" xr:uid="{00000000-0005-0000-0000-0000FB0D0000}"/>
    <cellStyle name="Normal 2 13 3 7" xfId="3537" xr:uid="{00000000-0005-0000-0000-0000FC0D0000}"/>
    <cellStyle name="Normal 2 13 3 8" xfId="3538" xr:uid="{00000000-0005-0000-0000-0000FD0D0000}"/>
    <cellStyle name="Normal 2 13 4" xfId="3539" xr:uid="{00000000-0005-0000-0000-0000FE0D0000}"/>
    <cellStyle name="Normal 2 13 5" xfId="3540" xr:uid="{00000000-0005-0000-0000-0000FF0D0000}"/>
    <cellStyle name="Normal 2 13 6" xfId="3541" xr:uid="{00000000-0005-0000-0000-0000000E0000}"/>
    <cellStyle name="Normal 2 13 6 2" xfId="3542" xr:uid="{00000000-0005-0000-0000-0000010E0000}"/>
    <cellStyle name="Normal 2 13 6 2 2" xfId="3543" xr:uid="{00000000-0005-0000-0000-0000020E0000}"/>
    <cellStyle name="Normal 2 13 6 2 2 2" xfId="3544" xr:uid="{00000000-0005-0000-0000-0000030E0000}"/>
    <cellStyle name="Normal 2 13 6 2 3" xfId="3545" xr:uid="{00000000-0005-0000-0000-0000040E0000}"/>
    <cellStyle name="Normal 2 13 6 3" xfId="3546" xr:uid="{00000000-0005-0000-0000-0000050E0000}"/>
    <cellStyle name="Normal 2 13 6 3 2" xfId="3547" xr:uid="{00000000-0005-0000-0000-0000060E0000}"/>
    <cellStyle name="Normal 2 13 6 3 2 2" xfId="3548" xr:uid="{00000000-0005-0000-0000-0000070E0000}"/>
    <cellStyle name="Normal 2 13 6 3 3" xfId="3549" xr:uid="{00000000-0005-0000-0000-0000080E0000}"/>
    <cellStyle name="Normal 2 13 6 4" xfId="3550" xr:uid="{00000000-0005-0000-0000-0000090E0000}"/>
    <cellStyle name="Normal 2 13 6 4 2" xfId="3551" xr:uid="{00000000-0005-0000-0000-00000A0E0000}"/>
    <cellStyle name="Normal 2 13 6 5" xfId="3552" xr:uid="{00000000-0005-0000-0000-00000B0E0000}"/>
    <cellStyle name="Normal 2 13 6 6" xfId="3553" xr:uid="{00000000-0005-0000-0000-00000C0E0000}"/>
    <cellStyle name="Normal 2 13 7" xfId="3554" xr:uid="{00000000-0005-0000-0000-00000D0E0000}"/>
    <cellStyle name="Normal 2 13 7 2" xfId="3555" xr:uid="{00000000-0005-0000-0000-00000E0E0000}"/>
    <cellStyle name="Normal 2 13 7 2 2" xfId="3556" xr:uid="{00000000-0005-0000-0000-00000F0E0000}"/>
    <cellStyle name="Normal 2 13 7 2 2 2" xfId="3557" xr:uid="{00000000-0005-0000-0000-0000100E0000}"/>
    <cellStyle name="Normal 2 13 7 2 3" xfId="3558" xr:uid="{00000000-0005-0000-0000-0000110E0000}"/>
    <cellStyle name="Normal 2 13 7 3" xfId="3559" xr:uid="{00000000-0005-0000-0000-0000120E0000}"/>
    <cellStyle name="Normal 2 13 7 3 2" xfId="3560" xr:uid="{00000000-0005-0000-0000-0000130E0000}"/>
    <cellStyle name="Normal 2 13 7 4" xfId="3561" xr:uid="{00000000-0005-0000-0000-0000140E0000}"/>
    <cellStyle name="Normal 2 13 7 5" xfId="3562" xr:uid="{00000000-0005-0000-0000-0000150E0000}"/>
    <cellStyle name="Normal 2 13 8" xfId="3563" xr:uid="{00000000-0005-0000-0000-0000160E0000}"/>
    <cellStyle name="Normal 2 13 8 2" xfId="3564" xr:uid="{00000000-0005-0000-0000-0000170E0000}"/>
    <cellStyle name="Normal 2 13 8 2 2" xfId="3565" xr:uid="{00000000-0005-0000-0000-0000180E0000}"/>
    <cellStyle name="Normal 2 13 8 3" xfId="3566" xr:uid="{00000000-0005-0000-0000-0000190E0000}"/>
    <cellStyle name="Normal 2 13 9" xfId="3567" xr:uid="{00000000-0005-0000-0000-00001A0E0000}"/>
    <cellStyle name="Normal 2 13 9 2" xfId="3568" xr:uid="{00000000-0005-0000-0000-00001B0E0000}"/>
    <cellStyle name="Normal 2 13 9 2 2" xfId="3569" xr:uid="{00000000-0005-0000-0000-00001C0E0000}"/>
    <cellStyle name="Normal 2 13 9 3" xfId="3570" xr:uid="{00000000-0005-0000-0000-00001D0E0000}"/>
    <cellStyle name="Normal 2 14" xfId="3571" xr:uid="{00000000-0005-0000-0000-00001E0E0000}"/>
    <cellStyle name="Normal 2 14 10" xfId="3572" xr:uid="{00000000-0005-0000-0000-00001F0E0000}"/>
    <cellStyle name="Normal 2 14 10 2" xfId="3573" xr:uid="{00000000-0005-0000-0000-0000200E0000}"/>
    <cellStyle name="Normal 2 14 11" xfId="3574" xr:uid="{00000000-0005-0000-0000-0000210E0000}"/>
    <cellStyle name="Normal 2 14 12" xfId="3575" xr:uid="{00000000-0005-0000-0000-0000220E0000}"/>
    <cellStyle name="Normal 2 14 2" xfId="3576" xr:uid="{00000000-0005-0000-0000-0000230E0000}"/>
    <cellStyle name="Normal 2 14 2 2" xfId="3577" xr:uid="{00000000-0005-0000-0000-0000240E0000}"/>
    <cellStyle name="Normal 2 14 2 3" xfId="3578" xr:uid="{00000000-0005-0000-0000-0000250E0000}"/>
    <cellStyle name="Normal 2 14 3" xfId="3579" xr:uid="{00000000-0005-0000-0000-0000260E0000}"/>
    <cellStyle name="Normal 2 14 3 2" xfId="3580" xr:uid="{00000000-0005-0000-0000-0000270E0000}"/>
    <cellStyle name="Normal 2 14 3 2 2" xfId="3581" xr:uid="{00000000-0005-0000-0000-0000280E0000}"/>
    <cellStyle name="Normal 2 14 3 2 2 2" xfId="3582" xr:uid="{00000000-0005-0000-0000-0000290E0000}"/>
    <cellStyle name="Normal 2 14 3 2 2 2 2" xfId="3583" xr:uid="{00000000-0005-0000-0000-00002A0E0000}"/>
    <cellStyle name="Normal 2 14 3 2 2 3" xfId="3584" xr:uid="{00000000-0005-0000-0000-00002B0E0000}"/>
    <cellStyle name="Normal 2 14 3 2 3" xfId="3585" xr:uid="{00000000-0005-0000-0000-00002C0E0000}"/>
    <cellStyle name="Normal 2 14 3 2 3 2" xfId="3586" xr:uid="{00000000-0005-0000-0000-00002D0E0000}"/>
    <cellStyle name="Normal 2 14 3 2 3 2 2" xfId="3587" xr:uid="{00000000-0005-0000-0000-00002E0E0000}"/>
    <cellStyle name="Normal 2 14 3 2 3 3" xfId="3588" xr:uid="{00000000-0005-0000-0000-00002F0E0000}"/>
    <cellStyle name="Normal 2 14 3 2 4" xfId="3589" xr:uid="{00000000-0005-0000-0000-0000300E0000}"/>
    <cellStyle name="Normal 2 14 3 2 4 2" xfId="3590" xr:uid="{00000000-0005-0000-0000-0000310E0000}"/>
    <cellStyle name="Normal 2 14 3 2 5" xfId="3591" xr:uid="{00000000-0005-0000-0000-0000320E0000}"/>
    <cellStyle name="Normal 2 14 3 2 6" xfId="3592" xr:uid="{00000000-0005-0000-0000-0000330E0000}"/>
    <cellStyle name="Normal 2 14 3 3" xfId="3593" xr:uid="{00000000-0005-0000-0000-0000340E0000}"/>
    <cellStyle name="Normal 2 14 3 3 2" xfId="3594" xr:uid="{00000000-0005-0000-0000-0000350E0000}"/>
    <cellStyle name="Normal 2 14 3 3 2 2" xfId="3595" xr:uid="{00000000-0005-0000-0000-0000360E0000}"/>
    <cellStyle name="Normal 2 14 3 3 2 2 2" xfId="3596" xr:uid="{00000000-0005-0000-0000-0000370E0000}"/>
    <cellStyle name="Normal 2 14 3 3 2 3" xfId="3597" xr:uid="{00000000-0005-0000-0000-0000380E0000}"/>
    <cellStyle name="Normal 2 14 3 3 3" xfId="3598" xr:uid="{00000000-0005-0000-0000-0000390E0000}"/>
    <cellStyle name="Normal 2 14 3 3 3 2" xfId="3599" xr:uid="{00000000-0005-0000-0000-00003A0E0000}"/>
    <cellStyle name="Normal 2 14 3 3 4" xfId="3600" xr:uid="{00000000-0005-0000-0000-00003B0E0000}"/>
    <cellStyle name="Normal 2 14 3 3 5" xfId="3601" xr:uid="{00000000-0005-0000-0000-00003C0E0000}"/>
    <cellStyle name="Normal 2 14 3 4" xfId="3602" xr:uid="{00000000-0005-0000-0000-00003D0E0000}"/>
    <cellStyle name="Normal 2 14 3 4 2" xfId="3603" xr:uid="{00000000-0005-0000-0000-00003E0E0000}"/>
    <cellStyle name="Normal 2 14 3 4 2 2" xfId="3604" xr:uid="{00000000-0005-0000-0000-00003F0E0000}"/>
    <cellStyle name="Normal 2 14 3 4 3" xfId="3605" xr:uid="{00000000-0005-0000-0000-0000400E0000}"/>
    <cellStyle name="Normal 2 14 3 5" xfId="3606" xr:uid="{00000000-0005-0000-0000-0000410E0000}"/>
    <cellStyle name="Normal 2 14 3 5 2" xfId="3607" xr:uid="{00000000-0005-0000-0000-0000420E0000}"/>
    <cellStyle name="Normal 2 14 3 5 2 2" xfId="3608" xr:uid="{00000000-0005-0000-0000-0000430E0000}"/>
    <cellStyle name="Normal 2 14 3 5 3" xfId="3609" xr:uid="{00000000-0005-0000-0000-0000440E0000}"/>
    <cellStyle name="Normal 2 14 3 6" xfId="3610" xr:uid="{00000000-0005-0000-0000-0000450E0000}"/>
    <cellStyle name="Normal 2 14 3 6 2" xfId="3611" xr:uid="{00000000-0005-0000-0000-0000460E0000}"/>
    <cellStyle name="Normal 2 14 3 7" xfId="3612" xr:uid="{00000000-0005-0000-0000-0000470E0000}"/>
    <cellStyle name="Normal 2 14 3 8" xfId="3613" xr:uid="{00000000-0005-0000-0000-0000480E0000}"/>
    <cellStyle name="Normal 2 14 4" xfId="3614" xr:uid="{00000000-0005-0000-0000-0000490E0000}"/>
    <cellStyle name="Normal 2 14 5" xfId="3615" xr:uid="{00000000-0005-0000-0000-00004A0E0000}"/>
    <cellStyle name="Normal 2 14 6" xfId="3616" xr:uid="{00000000-0005-0000-0000-00004B0E0000}"/>
    <cellStyle name="Normal 2 14 6 2" xfId="3617" xr:uid="{00000000-0005-0000-0000-00004C0E0000}"/>
    <cellStyle name="Normal 2 14 6 2 2" xfId="3618" xr:uid="{00000000-0005-0000-0000-00004D0E0000}"/>
    <cellStyle name="Normal 2 14 6 2 2 2" xfId="3619" xr:uid="{00000000-0005-0000-0000-00004E0E0000}"/>
    <cellStyle name="Normal 2 14 6 2 3" xfId="3620" xr:uid="{00000000-0005-0000-0000-00004F0E0000}"/>
    <cellStyle name="Normal 2 14 6 3" xfId="3621" xr:uid="{00000000-0005-0000-0000-0000500E0000}"/>
    <cellStyle name="Normal 2 14 6 3 2" xfId="3622" xr:uid="{00000000-0005-0000-0000-0000510E0000}"/>
    <cellStyle name="Normal 2 14 6 3 2 2" xfId="3623" xr:uid="{00000000-0005-0000-0000-0000520E0000}"/>
    <cellStyle name="Normal 2 14 6 3 3" xfId="3624" xr:uid="{00000000-0005-0000-0000-0000530E0000}"/>
    <cellStyle name="Normal 2 14 6 4" xfId="3625" xr:uid="{00000000-0005-0000-0000-0000540E0000}"/>
    <cellStyle name="Normal 2 14 6 4 2" xfId="3626" xr:uid="{00000000-0005-0000-0000-0000550E0000}"/>
    <cellStyle name="Normal 2 14 6 5" xfId="3627" xr:uid="{00000000-0005-0000-0000-0000560E0000}"/>
    <cellStyle name="Normal 2 14 6 6" xfId="3628" xr:uid="{00000000-0005-0000-0000-0000570E0000}"/>
    <cellStyle name="Normal 2 14 7" xfId="3629" xr:uid="{00000000-0005-0000-0000-0000580E0000}"/>
    <cellStyle name="Normal 2 14 7 2" xfId="3630" xr:uid="{00000000-0005-0000-0000-0000590E0000}"/>
    <cellStyle name="Normal 2 14 7 2 2" xfId="3631" xr:uid="{00000000-0005-0000-0000-00005A0E0000}"/>
    <cellStyle name="Normal 2 14 7 2 2 2" xfId="3632" xr:uid="{00000000-0005-0000-0000-00005B0E0000}"/>
    <cellStyle name="Normal 2 14 7 2 3" xfId="3633" xr:uid="{00000000-0005-0000-0000-00005C0E0000}"/>
    <cellStyle name="Normal 2 14 7 3" xfId="3634" xr:uid="{00000000-0005-0000-0000-00005D0E0000}"/>
    <cellStyle name="Normal 2 14 7 3 2" xfId="3635" xr:uid="{00000000-0005-0000-0000-00005E0E0000}"/>
    <cellStyle name="Normal 2 14 7 4" xfId="3636" xr:uid="{00000000-0005-0000-0000-00005F0E0000}"/>
    <cellStyle name="Normal 2 14 7 5" xfId="3637" xr:uid="{00000000-0005-0000-0000-0000600E0000}"/>
    <cellStyle name="Normal 2 14 8" xfId="3638" xr:uid="{00000000-0005-0000-0000-0000610E0000}"/>
    <cellStyle name="Normal 2 14 8 2" xfId="3639" xr:uid="{00000000-0005-0000-0000-0000620E0000}"/>
    <cellStyle name="Normal 2 14 8 2 2" xfId="3640" xr:uid="{00000000-0005-0000-0000-0000630E0000}"/>
    <cellStyle name="Normal 2 14 8 3" xfId="3641" xr:uid="{00000000-0005-0000-0000-0000640E0000}"/>
    <cellStyle name="Normal 2 14 9" xfId="3642" xr:uid="{00000000-0005-0000-0000-0000650E0000}"/>
    <cellStyle name="Normal 2 14 9 2" xfId="3643" xr:uid="{00000000-0005-0000-0000-0000660E0000}"/>
    <cellStyle name="Normal 2 14 9 2 2" xfId="3644" xr:uid="{00000000-0005-0000-0000-0000670E0000}"/>
    <cellStyle name="Normal 2 14 9 3" xfId="3645" xr:uid="{00000000-0005-0000-0000-0000680E0000}"/>
    <cellStyle name="Normal 2 15" xfId="3646" xr:uid="{00000000-0005-0000-0000-0000690E0000}"/>
    <cellStyle name="Normal 2 15 10" xfId="3647" xr:uid="{00000000-0005-0000-0000-00006A0E0000}"/>
    <cellStyle name="Normal 2 15 11" xfId="3648" xr:uid="{00000000-0005-0000-0000-00006B0E0000}"/>
    <cellStyle name="Normal 2 15 2" xfId="3649" xr:uid="{00000000-0005-0000-0000-00006C0E0000}"/>
    <cellStyle name="Normal 2 15 2 2" xfId="3650" xr:uid="{00000000-0005-0000-0000-00006D0E0000}"/>
    <cellStyle name="Normal 2 15 2 3" xfId="3651" xr:uid="{00000000-0005-0000-0000-00006E0E0000}"/>
    <cellStyle name="Normal 2 15 2 3 2" xfId="3652" xr:uid="{00000000-0005-0000-0000-00006F0E0000}"/>
    <cellStyle name="Normal 2 15 2 3 2 2" xfId="3653" xr:uid="{00000000-0005-0000-0000-0000700E0000}"/>
    <cellStyle name="Normal 2 15 2 3 2 2 2" xfId="3654" xr:uid="{00000000-0005-0000-0000-0000710E0000}"/>
    <cellStyle name="Normal 2 15 2 3 2 2 2 2" xfId="3655" xr:uid="{00000000-0005-0000-0000-0000720E0000}"/>
    <cellStyle name="Normal 2 15 2 3 2 2 3" xfId="3656" xr:uid="{00000000-0005-0000-0000-0000730E0000}"/>
    <cellStyle name="Normal 2 15 2 3 2 3" xfId="3657" xr:uid="{00000000-0005-0000-0000-0000740E0000}"/>
    <cellStyle name="Normal 2 15 2 3 2 3 2" xfId="3658" xr:uid="{00000000-0005-0000-0000-0000750E0000}"/>
    <cellStyle name="Normal 2 15 2 3 2 3 2 2" xfId="3659" xr:uid="{00000000-0005-0000-0000-0000760E0000}"/>
    <cellStyle name="Normal 2 15 2 3 2 3 3" xfId="3660" xr:uid="{00000000-0005-0000-0000-0000770E0000}"/>
    <cellStyle name="Normal 2 15 2 3 2 4" xfId="3661" xr:uid="{00000000-0005-0000-0000-0000780E0000}"/>
    <cellStyle name="Normal 2 15 2 3 2 4 2" xfId="3662" xr:uid="{00000000-0005-0000-0000-0000790E0000}"/>
    <cellStyle name="Normal 2 15 2 3 2 5" xfId="3663" xr:uid="{00000000-0005-0000-0000-00007A0E0000}"/>
    <cellStyle name="Normal 2 15 2 3 2 6" xfId="3664" xr:uid="{00000000-0005-0000-0000-00007B0E0000}"/>
    <cellStyle name="Normal 2 15 2 3 3" xfId="3665" xr:uid="{00000000-0005-0000-0000-00007C0E0000}"/>
    <cellStyle name="Normal 2 15 2 3 3 2" xfId="3666" xr:uid="{00000000-0005-0000-0000-00007D0E0000}"/>
    <cellStyle name="Normal 2 15 2 3 3 2 2" xfId="3667" xr:uid="{00000000-0005-0000-0000-00007E0E0000}"/>
    <cellStyle name="Normal 2 15 2 3 3 2 2 2" xfId="3668" xr:uid="{00000000-0005-0000-0000-00007F0E0000}"/>
    <cellStyle name="Normal 2 15 2 3 3 2 3" xfId="3669" xr:uid="{00000000-0005-0000-0000-0000800E0000}"/>
    <cellStyle name="Normal 2 15 2 3 3 3" xfId="3670" xr:uid="{00000000-0005-0000-0000-0000810E0000}"/>
    <cellStyle name="Normal 2 15 2 3 3 3 2" xfId="3671" xr:uid="{00000000-0005-0000-0000-0000820E0000}"/>
    <cellStyle name="Normal 2 15 2 3 3 4" xfId="3672" xr:uid="{00000000-0005-0000-0000-0000830E0000}"/>
    <cellStyle name="Normal 2 15 2 3 3 5" xfId="3673" xr:uid="{00000000-0005-0000-0000-0000840E0000}"/>
    <cellStyle name="Normal 2 15 2 3 4" xfId="3674" xr:uid="{00000000-0005-0000-0000-0000850E0000}"/>
    <cellStyle name="Normal 2 15 2 3 4 2" xfId="3675" xr:uid="{00000000-0005-0000-0000-0000860E0000}"/>
    <cellStyle name="Normal 2 15 2 3 4 2 2" xfId="3676" xr:uid="{00000000-0005-0000-0000-0000870E0000}"/>
    <cellStyle name="Normal 2 15 2 3 4 3" xfId="3677" xr:uid="{00000000-0005-0000-0000-0000880E0000}"/>
    <cellStyle name="Normal 2 15 2 3 5" xfId="3678" xr:uid="{00000000-0005-0000-0000-0000890E0000}"/>
    <cellStyle name="Normal 2 15 2 3 5 2" xfId="3679" xr:uid="{00000000-0005-0000-0000-00008A0E0000}"/>
    <cellStyle name="Normal 2 15 2 3 5 2 2" xfId="3680" xr:uid="{00000000-0005-0000-0000-00008B0E0000}"/>
    <cellStyle name="Normal 2 15 2 3 5 3" xfId="3681" xr:uid="{00000000-0005-0000-0000-00008C0E0000}"/>
    <cellStyle name="Normal 2 15 2 3 6" xfId="3682" xr:uid="{00000000-0005-0000-0000-00008D0E0000}"/>
    <cellStyle name="Normal 2 15 2 3 6 2" xfId="3683" xr:uid="{00000000-0005-0000-0000-00008E0E0000}"/>
    <cellStyle name="Normal 2 15 2 3 7" xfId="3684" xr:uid="{00000000-0005-0000-0000-00008F0E0000}"/>
    <cellStyle name="Normal 2 15 2 3 8" xfId="3685" xr:uid="{00000000-0005-0000-0000-0000900E0000}"/>
    <cellStyle name="Normal 2 15 3" xfId="3686" xr:uid="{00000000-0005-0000-0000-0000910E0000}"/>
    <cellStyle name="Normal 2 15 4" xfId="3687" xr:uid="{00000000-0005-0000-0000-0000920E0000}"/>
    <cellStyle name="Normal 2 15 5" xfId="3688" xr:uid="{00000000-0005-0000-0000-0000930E0000}"/>
    <cellStyle name="Normal 2 15 5 2" xfId="3689" xr:uid="{00000000-0005-0000-0000-0000940E0000}"/>
    <cellStyle name="Normal 2 15 5 2 2" xfId="3690" xr:uid="{00000000-0005-0000-0000-0000950E0000}"/>
    <cellStyle name="Normal 2 15 5 2 2 2" xfId="3691" xr:uid="{00000000-0005-0000-0000-0000960E0000}"/>
    <cellStyle name="Normal 2 15 5 2 3" xfId="3692" xr:uid="{00000000-0005-0000-0000-0000970E0000}"/>
    <cellStyle name="Normal 2 15 5 3" xfId="3693" xr:uid="{00000000-0005-0000-0000-0000980E0000}"/>
    <cellStyle name="Normal 2 15 5 3 2" xfId="3694" xr:uid="{00000000-0005-0000-0000-0000990E0000}"/>
    <cellStyle name="Normal 2 15 5 3 2 2" xfId="3695" xr:uid="{00000000-0005-0000-0000-00009A0E0000}"/>
    <cellStyle name="Normal 2 15 5 3 3" xfId="3696" xr:uid="{00000000-0005-0000-0000-00009B0E0000}"/>
    <cellStyle name="Normal 2 15 5 4" xfId="3697" xr:uid="{00000000-0005-0000-0000-00009C0E0000}"/>
    <cellStyle name="Normal 2 15 5 4 2" xfId="3698" xr:uid="{00000000-0005-0000-0000-00009D0E0000}"/>
    <cellStyle name="Normal 2 15 5 5" xfId="3699" xr:uid="{00000000-0005-0000-0000-00009E0E0000}"/>
    <cellStyle name="Normal 2 15 5 6" xfId="3700" xr:uid="{00000000-0005-0000-0000-00009F0E0000}"/>
    <cellStyle name="Normal 2 15 6" xfId="3701" xr:uid="{00000000-0005-0000-0000-0000A00E0000}"/>
    <cellStyle name="Normal 2 15 6 2" xfId="3702" xr:uid="{00000000-0005-0000-0000-0000A10E0000}"/>
    <cellStyle name="Normal 2 15 6 2 2" xfId="3703" xr:uid="{00000000-0005-0000-0000-0000A20E0000}"/>
    <cellStyle name="Normal 2 15 6 2 2 2" xfId="3704" xr:uid="{00000000-0005-0000-0000-0000A30E0000}"/>
    <cellStyle name="Normal 2 15 6 2 3" xfId="3705" xr:uid="{00000000-0005-0000-0000-0000A40E0000}"/>
    <cellStyle name="Normal 2 15 6 3" xfId="3706" xr:uid="{00000000-0005-0000-0000-0000A50E0000}"/>
    <cellStyle name="Normal 2 15 6 3 2" xfId="3707" xr:uid="{00000000-0005-0000-0000-0000A60E0000}"/>
    <cellStyle name="Normal 2 15 6 4" xfId="3708" xr:uid="{00000000-0005-0000-0000-0000A70E0000}"/>
    <cellStyle name="Normal 2 15 6 5" xfId="3709" xr:uid="{00000000-0005-0000-0000-0000A80E0000}"/>
    <cellStyle name="Normal 2 15 7" xfId="3710" xr:uid="{00000000-0005-0000-0000-0000A90E0000}"/>
    <cellStyle name="Normal 2 15 7 2" xfId="3711" xr:uid="{00000000-0005-0000-0000-0000AA0E0000}"/>
    <cellStyle name="Normal 2 15 7 2 2" xfId="3712" xr:uid="{00000000-0005-0000-0000-0000AB0E0000}"/>
    <cellStyle name="Normal 2 15 7 3" xfId="3713" xr:uid="{00000000-0005-0000-0000-0000AC0E0000}"/>
    <cellStyle name="Normal 2 15 8" xfId="3714" xr:uid="{00000000-0005-0000-0000-0000AD0E0000}"/>
    <cellStyle name="Normal 2 15 8 2" xfId="3715" xr:uid="{00000000-0005-0000-0000-0000AE0E0000}"/>
    <cellStyle name="Normal 2 15 8 2 2" xfId="3716" xr:uid="{00000000-0005-0000-0000-0000AF0E0000}"/>
    <cellStyle name="Normal 2 15 8 3" xfId="3717" xr:uid="{00000000-0005-0000-0000-0000B00E0000}"/>
    <cellStyle name="Normal 2 15 9" xfId="3718" xr:uid="{00000000-0005-0000-0000-0000B10E0000}"/>
    <cellStyle name="Normal 2 15 9 2" xfId="3719" xr:uid="{00000000-0005-0000-0000-0000B20E0000}"/>
    <cellStyle name="Normal 2 16" xfId="3720" xr:uid="{00000000-0005-0000-0000-0000B30E0000}"/>
    <cellStyle name="Normal 2 16 10" xfId="3721" xr:uid="{00000000-0005-0000-0000-0000B40E0000}"/>
    <cellStyle name="Normal 2 16 11" xfId="3722" xr:uid="{00000000-0005-0000-0000-0000B50E0000}"/>
    <cellStyle name="Normal 2 16 2" xfId="3723" xr:uid="{00000000-0005-0000-0000-0000B60E0000}"/>
    <cellStyle name="Normal 2 16 2 2" xfId="3724" xr:uid="{00000000-0005-0000-0000-0000B70E0000}"/>
    <cellStyle name="Normal 2 16 2 3" xfId="3725" xr:uid="{00000000-0005-0000-0000-0000B80E0000}"/>
    <cellStyle name="Normal 2 16 2 3 2" xfId="3726" xr:uid="{00000000-0005-0000-0000-0000B90E0000}"/>
    <cellStyle name="Normal 2 16 2 3 2 2" xfId="3727" xr:uid="{00000000-0005-0000-0000-0000BA0E0000}"/>
    <cellStyle name="Normal 2 16 2 3 2 2 2" xfId="3728" xr:uid="{00000000-0005-0000-0000-0000BB0E0000}"/>
    <cellStyle name="Normal 2 16 2 3 2 2 2 2" xfId="3729" xr:uid="{00000000-0005-0000-0000-0000BC0E0000}"/>
    <cellStyle name="Normal 2 16 2 3 2 2 3" xfId="3730" xr:uid="{00000000-0005-0000-0000-0000BD0E0000}"/>
    <cellStyle name="Normal 2 16 2 3 2 3" xfId="3731" xr:uid="{00000000-0005-0000-0000-0000BE0E0000}"/>
    <cellStyle name="Normal 2 16 2 3 2 3 2" xfId="3732" xr:uid="{00000000-0005-0000-0000-0000BF0E0000}"/>
    <cellStyle name="Normal 2 16 2 3 2 3 2 2" xfId="3733" xr:uid="{00000000-0005-0000-0000-0000C00E0000}"/>
    <cellStyle name="Normal 2 16 2 3 2 3 3" xfId="3734" xr:uid="{00000000-0005-0000-0000-0000C10E0000}"/>
    <cellStyle name="Normal 2 16 2 3 2 4" xfId="3735" xr:uid="{00000000-0005-0000-0000-0000C20E0000}"/>
    <cellStyle name="Normal 2 16 2 3 2 4 2" xfId="3736" xr:uid="{00000000-0005-0000-0000-0000C30E0000}"/>
    <cellStyle name="Normal 2 16 2 3 2 5" xfId="3737" xr:uid="{00000000-0005-0000-0000-0000C40E0000}"/>
    <cellStyle name="Normal 2 16 2 3 2 6" xfId="3738" xr:uid="{00000000-0005-0000-0000-0000C50E0000}"/>
    <cellStyle name="Normal 2 16 2 3 3" xfId="3739" xr:uid="{00000000-0005-0000-0000-0000C60E0000}"/>
    <cellStyle name="Normal 2 16 2 3 3 2" xfId="3740" xr:uid="{00000000-0005-0000-0000-0000C70E0000}"/>
    <cellStyle name="Normal 2 16 2 3 3 2 2" xfId="3741" xr:uid="{00000000-0005-0000-0000-0000C80E0000}"/>
    <cellStyle name="Normal 2 16 2 3 3 2 2 2" xfId="3742" xr:uid="{00000000-0005-0000-0000-0000C90E0000}"/>
    <cellStyle name="Normal 2 16 2 3 3 2 3" xfId="3743" xr:uid="{00000000-0005-0000-0000-0000CA0E0000}"/>
    <cellStyle name="Normal 2 16 2 3 3 3" xfId="3744" xr:uid="{00000000-0005-0000-0000-0000CB0E0000}"/>
    <cellStyle name="Normal 2 16 2 3 3 3 2" xfId="3745" xr:uid="{00000000-0005-0000-0000-0000CC0E0000}"/>
    <cellStyle name="Normal 2 16 2 3 3 4" xfId="3746" xr:uid="{00000000-0005-0000-0000-0000CD0E0000}"/>
    <cellStyle name="Normal 2 16 2 3 3 5" xfId="3747" xr:uid="{00000000-0005-0000-0000-0000CE0E0000}"/>
    <cellStyle name="Normal 2 16 2 3 4" xfId="3748" xr:uid="{00000000-0005-0000-0000-0000CF0E0000}"/>
    <cellStyle name="Normal 2 16 2 3 4 2" xfId="3749" xr:uid="{00000000-0005-0000-0000-0000D00E0000}"/>
    <cellStyle name="Normal 2 16 2 3 4 2 2" xfId="3750" xr:uid="{00000000-0005-0000-0000-0000D10E0000}"/>
    <cellStyle name="Normal 2 16 2 3 4 3" xfId="3751" xr:uid="{00000000-0005-0000-0000-0000D20E0000}"/>
    <cellStyle name="Normal 2 16 2 3 5" xfId="3752" xr:uid="{00000000-0005-0000-0000-0000D30E0000}"/>
    <cellStyle name="Normal 2 16 2 3 5 2" xfId="3753" xr:uid="{00000000-0005-0000-0000-0000D40E0000}"/>
    <cellStyle name="Normal 2 16 2 3 5 2 2" xfId="3754" xr:uid="{00000000-0005-0000-0000-0000D50E0000}"/>
    <cellStyle name="Normal 2 16 2 3 5 3" xfId="3755" xr:uid="{00000000-0005-0000-0000-0000D60E0000}"/>
    <cellStyle name="Normal 2 16 2 3 6" xfId="3756" xr:uid="{00000000-0005-0000-0000-0000D70E0000}"/>
    <cellStyle name="Normal 2 16 2 3 6 2" xfId="3757" xr:uid="{00000000-0005-0000-0000-0000D80E0000}"/>
    <cellStyle name="Normal 2 16 2 3 7" xfId="3758" xr:uid="{00000000-0005-0000-0000-0000D90E0000}"/>
    <cellStyle name="Normal 2 16 2 3 8" xfId="3759" xr:uid="{00000000-0005-0000-0000-0000DA0E0000}"/>
    <cellStyle name="Normal 2 16 3" xfId="3760" xr:uid="{00000000-0005-0000-0000-0000DB0E0000}"/>
    <cellStyle name="Normal 2 16 4" xfId="3761" xr:uid="{00000000-0005-0000-0000-0000DC0E0000}"/>
    <cellStyle name="Normal 2 16 5" xfId="3762" xr:uid="{00000000-0005-0000-0000-0000DD0E0000}"/>
    <cellStyle name="Normal 2 16 5 2" xfId="3763" xr:uid="{00000000-0005-0000-0000-0000DE0E0000}"/>
    <cellStyle name="Normal 2 16 5 2 2" xfId="3764" xr:uid="{00000000-0005-0000-0000-0000DF0E0000}"/>
    <cellStyle name="Normal 2 16 5 2 2 2" xfId="3765" xr:uid="{00000000-0005-0000-0000-0000E00E0000}"/>
    <cellStyle name="Normal 2 16 5 2 3" xfId="3766" xr:uid="{00000000-0005-0000-0000-0000E10E0000}"/>
    <cellStyle name="Normal 2 16 5 3" xfId="3767" xr:uid="{00000000-0005-0000-0000-0000E20E0000}"/>
    <cellStyle name="Normal 2 16 5 3 2" xfId="3768" xr:uid="{00000000-0005-0000-0000-0000E30E0000}"/>
    <cellStyle name="Normal 2 16 5 3 2 2" xfId="3769" xr:uid="{00000000-0005-0000-0000-0000E40E0000}"/>
    <cellStyle name="Normal 2 16 5 3 3" xfId="3770" xr:uid="{00000000-0005-0000-0000-0000E50E0000}"/>
    <cellStyle name="Normal 2 16 5 4" xfId="3771" xr:uid="{00000000-0005-0000-0000-0000E60E0000}"/>
    <cellStyle name="Normal 2 16 5 4 2" xfId="3772" xr:uid="{00000000-0005-0000-0000-0000E70E0000}"/>
    <cellStyle name="Normal 2 16 5 5" xfId="3773" xr:uid="{00000000-0005-0000-0000-0000E80E0000}"/>
    <cellStyle name="Normal 2 16 5 6" xfId="3774" xr:uid="{00000000-0005-0000-0000-0000E90E0000}"/>
    <cellStyle name="Normal 2 16 6" xfId="3775" xr:uid="{00000000-0005-0000-0000-0000EA0E0000}"/>
    <cellStyle name="Normal 2 16 6 2" xfId="3776" xr:uid="{00000000-0005-0000-0000-0000EB0E0000}"/>
    <cellStyle name="Normal 2 16 6 2 2" xfId="3777" xr:uid="{00000000-0005-0000-0000-0000EC0E0000}"/>
    <cellStyle name="Normal 2 16 6 2 2 2" xfId="3778" xr:uid="{00000000-0005-0000-0000-0000ED0E0000}"/>
    <cellStyle name="Normal 2 16 6 2 3" xfId="3779" xr:uid="{00000000-0005-0000-0000-0000EE0E0000}"/>
    <cellStyle name="Normal 2 16 6 3" xfId="3780" xr:uid="{00000000-0005-0000-0000-0000EF0E0000}"/>
    <cellStyle name="Normal 2 16 6 3 2" xfId="3781" xr:uid="{00000000-0005-0000-0000-0000F00E0000}"/>
    <cellStyle name="Normal 2 16 6 4" xfId="3782" xr:uid="{00000000-0005-0000-0000-0000F10E0000}"/>
    <cellStyle name="Normal 2 16 6 5" xfId="3783" xr:uid="{00000000-0005-0000-0000-0000F20E0000}"/>
    <cellStyle name="Normal 2 16 7" xfId="3784" xr:uid="{00000000-0005-0000-0000-0000F30E0000}"/>
    <cellStyle name="Normal 2 16 7 2" xfId="3785" xr:uid="{00000000-0005-0000-0000-0000F40E0000}"/>
    <cellStyle name="Normal 2 16 7 2 2" xfId="3786" xr:uid="{00000000-0005-0000-0000-0000F50E0000}"/>
    <cellStyle name="Normal 2 16 7 3" xfId="3787" xr:uid="{00000000-0005-0000-0000-0000F60E0000}"/>
    <cellStyle name="Normal 2 16 8" xfId="3788" xr:uid="{00000000-0005-0000-0000-0000F70E0000}"/>
    <cellStyle name="Normal 2 16 8 2" xfId="3789" xr:uid="{00000000-0005-0000-0000-0000F80E0000}"/>
    <cellStyle name="Normal 2 16 8 2 2" xfId="3790" xr:uid="{00000000-0005-0000-0000-0000F90E0000}"/>
    <cellStyle name="Normal 2 16 8 3" xfId="3791" xr:uid="{00000000-0005-0000-0000-0000FA0E0000}"/>
    <cellStyle name="Normal 2 16 9" xfId="3792" xr:uid="{00000000-0005-0000-0000-0000FB0E0000}"/>
    <cellStyle name="Normal 2 16 9 2" xfId="3793" xr:uid="{00000000-0005-0000-0000-0000FC0E0000}"/>
    <cellStyle name="Normal 2 17" xfId="3794" xr:uid="{00000000-0005-0000-0000-0000FD0E0000}"/>
    <cellStyle name="Normal 2 17 10" xfId="3795" xr:uid="{00000000-0005-0000-0000-0000FE0E0000}"/>
    <cellStyle name="Normal 2 17 11" xfId="3796" xr:uid="{00000000-0005-0000-0000-0000FF0E0000}"/>
    <cellStyle name="Normal 2 17 2" xfId="3797" xr:uid="{00000000-0005-0000-0000-0000000F0000}"/>
    <cellStyle name="Normal 2 17 2 2" xfId="3798" xr:uid="{00000000-0005-0000-0000-0000010F0000}"/>
    <cellStyle name="Normal 2 17 2 3" xfId="3799" xr:uid="{00000000-0005-0000-0000-0000020F0000}"/>
    <cellStyle name="Normal 2 17 2 3 2" xfId="3800" xr:uid="{00000000-0005-0000-0000-0000030F0000}"/>
    <cellStyle name="Normal 2 17 2 3 2 2" xfId="3801" xr:uid="{00000000-0005-0000-0000-0000040F0000}"/>
    <cellStyle name="Normal 2 17 2 3 2 2 2" xfId="3802" xr:uid="{00000000-0005-0000-0000-0000050F0000}"/>
    <cellStyle name="Normal 2 17 2 3 2 2 2 2" xfId="3803" xr:uid="{00000000-0005-0000-0000-0000060F0000}"/>
    <cellStyle name="Normal 2 17 2 3 2 2 3" xfId="3804" xr:uid="{00000000-0005-0000-0000-0000070F0000}"/>
    <cellStyle name="Normal 2 17 2 3 2 3" xfId="3805" xr:uid="{00000000-0005-0000-0000-0000080F0000}"/>
    <cellStyle name="Normal 2 17 2 3 2 3 2" xfId="3806" xr:uid="{00000000-0005-0000-0000-0000090F0000}"/>
    <cellStyle name="Normal 2 17 2 3 2 3 2 2" xfId="3807" xr:uid="{00000000-0005-0000-0000-00000A0F0000}"/>
    <cellStyle name="Normal 2 17 2 3 2 3 3" xfId="3808" xr:uid="{00000000-0005-0000-0000-00000B0F0000}"/>
    <cellStyle name="Normal 2 17 2 3 2 4" xfId="3809" xr:uid="{00000000-0005-0000-0000-00000C0F0000}"/>
    <cellStyle name="Normal 2 17 2 3 2 4 2" xfId="3810" xr:uid="{00000000-0005-0000-0000-00000D0F0000}"/>
    <cellStyle name="Normal 2 17 2 3 2 5" xfId="3811" xr:uid="{00000000-0005-0000-0000-00000E0F0000}"/>
    <cellStyle name="Normal 2 17 2 3 2 6" xfId="3812" xr:uid="{00000000-0005-0000-0000-00000F0F0000}"/>
    <cellStyle name="Normal 2 17 2 3 3" xfId="3813" xr:uid="{00000000-0005-0000-0000-0000100F0000}"/>
    <cellStyle name="Normal 2 17 2 3 3 2" xfId="3814" xr:uid="{00000000-0005-0000-0000-0000110F0000}"/>
    <cellStyle name="Normal 2 17 2 3 3 2 2" xfId="3815" xr:uid="{00000000-0005-0000-0000-0000120F0000}"/>
    <cellStyle name="Normal 2 17 2 3 3 2 2 2" xfId="3816" xr:uid="{00000000-0005-0000-0000-0000130F0000}"/>
    <cellStyle name="Normal 2 17 2 3 3 2 3" xfId="3817" xr:uid="{00000000-0005-0000-0000-0000140F0000}"/>
    <cellStyle name="Normal 2 17 2 3 3 3" xfId="3818" xr:uid="{00000000-0005-0000-0000-0000150F0000}"/>
    <cellStyle name="Normal 2 17 2 3 3 3 2" xfId="3819" xr:uid="{00000000-0005-0000-0000-0000160F0000}"/>
    <cellStyle name="Normal 2 17 2 3 3 4" xfId="3820" xr:uid="{00000000-0005-0000-0000-0000170F0000}"/>
    <cellStyle name="Normal 2 17 2 3 3 5" xfId="3821" xr:uid="{00000000-0005-0000-0000-0000180F0000}"/>
    <cellStyle name="Normal 2 17 2 3 4" xfId="3822" xr:uid="{00000000-0005-0000-0000-0000190F0000}"/>
    <cellStyle name="Normal 2 17 2 3 4 2" xfId="3823" xr:uid="{00000000-0005-0000-0000-00001A0F0000}"/>
    <cellStyle name="Normal 2 17 2 3 4 2 2" xfId="3824" xr:uid="{00000000-0005-0000-0000-00001B0F0000}"/>
    <cellStyle name="Normal 2 17 2 3 4 3" xfId="3825" xr:uid="{00000000-0005-0000-0000-00001C0F0000}"/>
    <cellStyle name="Normal 2 17 2 3 5" xfId="3826" xr:uid="{00000000-0005-0000-0000-00001D0F0000}"/>
    <cellStyle name="Normal 2 17 2 3 5 2" xfId="3827" xr:uid="{00000000-0005-0000-0000-00001E0F0000}"/>
    <cellStyle name="Normal 2 17 2 3 5 2 2" xfId="3828" xr:uid="{00000000-0005-0000-0000-00001F0F0000}"/>
    <cellStyle name="Normal 2 17 2 3 5 3" xfId="3829" xr:uid="{00000000-0005-0000-0000-0000200F0000}"/>
    <cellStyle name="Normal 2 17 2 3 6" xfId="3830" xr:uid="{00000000-0005-0000-0000-0000210F0000}"/>
    <cellStyle name="Normal 2 17 2 3 6 2" xfId="3831" xr:uid="{00000000-0005-0000-0000-0000220F0000}"/>
    <cellStyle name="Normal 2 17 2 3 7" xfId="3832" xr:uid="{00000000-0005-0000-0000-0000230F0000}"/>
    <cellStyle name="Normal 2 17 2 3 8" xfId="3833" xr:uid="{00000000-0005-0000-0000-0000240F0000}"/>
    <cellStyle name="Normal 2 17 3" xfId="3834" xr:uid="{00000000-0005-0000-0000-0000250F0000}"/>
    <cellStyle name="Normal 2 17 4" xfId="3835" xr:uid="{00000000-0005-0000-0000-0000260F0000}"/>
    <cellStyle name="Normal 2 17 5" xfId="3836" xr:uid="{00000000-0005-0000-0000-0000270F0000}"/>
    <cellStyle name="Normal 2 17 5 2" xfId="3837" xr:uid="{00000000-0005-0000-0000-0000280F0000}"/>
    <cellStyle name="Normal 2 17 5 2 2" xfId="3838" xr:uid="{00000000-0005-0000-0000-0000290F0000}"/>
    <cellStyle name="Normal 2 17 5 2 2 2" xfId="3839" xr:uid="{00000000-0005-0000-0000-00002A0F0000}"/>
    <cellStyle name="Normal 2 17 5 2 3" xfId="3840" xr:uid="{00000000-0005-0000-0000-00002B0F0000}"/>
    <cellStyle name="Normal 2 17 5 3" xfId="3841" xr:uid="{00000000-0005-0000-0000-00002C0F0000}"/>
    <cellStyle name="Normal 2 17 5 3 2" xfId="3842" xr:uid="{00000000-0005-0000-0000-00002D0F0000}"/>
    <cellStyle name="Normal 2 17 5 3 2 2" xfId="3843" xr:uid="{00000000-0005-0000-0000-00002E0F0000}"/>
    <cellStyle name="Normal 2 17 5 3 3" xfId="3844" xr:uid="{00000000-0005-0000-0000-00002F0F0000}"/>
    <cellStyle name="Normal 2 17 5 4" xfId="3845" xr:uid="{00000000-0005-0000-0000-0000300F0000}"/>
    <cellStyle name="Normal 2 17 5 4 2" xfId="3846" xr:uid="{00000000-0005-0000-0000-0000310F0000}"/>
    <cellStyle name="Normal 2 17 5 5" xfId="3847" xr:uid="{00000000-0005-0000-0000-0000320F0000}"/>
    <cellStyle name="Normal 2 17 5 6" xfId="3848" xr:uid="{00000000-0005-0000-0000-0000330F0000}"/>
    <cellStyle name="Normal 2 17 6" xfId="3849" xr:uid="{00000000-0005-0000-0000-0000340F0000}"/>
    <cellStyle name="Normal 2 17 6 2" xfId="3850" xr:uid="{00000000-0005-0000-0000-0000350F0000}"/>
    <cellStyle name="Normal 2 17 6 2 2" xfId="3851" xr:uid="{00000000-0005-0000-0000-0000360F0000}"/>
    <cellStyle name="Normal 2 17 6 2 2 2" xfId="3852" xr:uid="{00000000-0005-0000-0000-0000370F0000}"/>
    <cellStyle name="Normal 2 17 6 2 3" xfId="3853" xr:uid="{00000000-0005-0000-0000-0000380F0000}"/>
    <cellStyle name="Normal 2 17 6 3" xfId="3854" xr:uid="{00000000-0005-0000-0000-0000390F0000}"/>
    <cellStyle name="Normal 2 17 6 3 2" xfId="3855" xr:uid="{00000000-0005-0000-0000-00003A0F0000}"/>
    <cellStyle name="Normal 2 17 6 4" xfId="3856" xr:uid="{00000000-0005-0000-0000-00003B0F0000}"/>
    <cellStyle name="Normal 2 17 6 5" xfId="3857" xr:uid="{00000000-0005-0000-0000-00003C0F0000}"/>
    <cellStyle name="Normal 2 17 7" xfId="3858" xr:uid="{00000000-0005-0000-0000-00003D0F0000}"/>
    <cellStyle name="Normal 2 17 7 2" xfId="3859" xr:uid="{00000000-0005-0000-0000-00003E0F0000}"/>
    <cellStyle name="Normal 2 17 7 2 2" xfId="3860" xr:uid="{00000000-0005-0000-0000-00003F0F0000}"/>
    <cellStyle name="Normal 2 17 7 3" xfId="3861" xr:uid="{00000000-0005-0000-0000-0000400F0000}"/>
    <cellStyle name="Normal 2 17 8" xfId="3862" xr:uid="{00000000-0005-0000-0000-0000410F0000}"/>
    <cellStyle name="Normal 2 17 8 2" xfId="3863" xr:uid="{00000000-0005-0000-0000-0000420F0000}"/>
    <cellStyle name="Normal 2 17 8 2 2" xfId="3864" xr:uid="{00000000-0005-0000-0000-0000430F0000}"/>
    <cellStyle name="Normal 2 17 8 3" xfId="3865" xr:uid="{00000000-0005-0000-0000-0000440F0000}"/>
    <cellStyle name="Normal 2 17 9" xfId="3866" xr:uid="{00000000-0005-0000-0000-0000450F0000}"/>
    <cellStyle name="Normal 2 17 9 2" xfId="3867" xr:uid="{00000000-0005-0000-0000-0000460F0000}"/>
    <cellStyle name="Normal 2 18" xfId="3868" xr:uid="{00000000-0005-0000-0000-0000470F0000}"/>
    <cellStyle name="Normal 2 18 10" xfId="3869" xr:uid="{00000000-0005-0000-0000-0000480F0000}"/>
    <cellStyle name="Normal 2 18 11" xfId="3870" xr:uid="{00000000-0005-0000-0000-0000490F0000}"/>
    <cellStyle name="Normal 2 18 12" xfId="3871" xr:uid="{00000000-0005-0000-0000-00004A0F0000}"/>
    <cellStyle name="Normal 2 18 13" xfId="3872" xr:uid="{00000000-0005-0000-0000-00004B0F0000}"/>
    <cellStyle name="Normal 2 18 14" xfId="3873" xr:uid="{00000000-0005-0000-0000-00004C0F0000}"/>
    <cellStyle name="Normal 2 18 15" xfId="3874" xr:uid="{00000000-0005-0000-0000-00004D0F0000}"/>
    <cellStyle name="Normal 2 18 16" xfId="3875" xr:uid="{00000000-0005-0000-0000-00004E0F0000}"/>
    <cellStyle name="Normal 2 18 17" xfId="3876" xr:uid="{00000000-0005-0000-0000-00004F0F0000}"/>
    <cellStyle name="Normal 2 18 18" xfId="3877" xr:uid="{00000000-0005-0000-0000-0000500F0000}"/>
    <cellStyle name="Normal 2 18 19" xfId="3878" xr:uid="{00000000-0005-0000-0000-0000510F0000}"/>
    <cellStyle name="Normal 2 18 2" xfId="3879" xr:uid="{00000000-0005-0000-0000-0000520F0000}"/>
    <cellStyle name="Normal 2 18 2 2" xfId="3880" xr:uid="{00000000-0005-0000-0000-0000530F0000}"/>
    <cellStyle name="Normal 2 18 2 2 10" xfId="3881" xr:uid="{00000000-0005-0000-0000-0000540F0000}"/>
    <cellStyle name="Normal 2 18 2 2 11" xfId="3882" xr:uid="{00000000-0005-0000-0000-0000550F0000}"/>
    <cellStyle name="Normal 2 18 2 2 12" xfId="3883" xr:uid="{00000000-0005-0000-0000-0000560F0000}"/>
    <cellStyle name="Normal 2 18 2 2 13" xfId="3884" xr:uid="{00000000-0005-0000-0000-0000570F0000}"/>
    <cellStyle name="Normal 2 18 2 2 14" xfId="3885" xr:uid="{00000000-0005-0000-0000-0000580F0000}"/>
    <cellStyle name="Normal 2 18 2 2 15" xfId="3886" xr:uid="{00000000-0005-0000-0000-0000590F0000}"/>
    <cellStyle name="Normal 2 18 2 2 16" xfId="3887" xr:uid="{00000000-0005-0000-0000-00005A0F0000}"/>
    <cellStyle name="Normal 2 18 2 2 17" xfId="3888" xr:uid="{00000000-0005-0000-0000-00005B0F0000}"/>
    <cellStyle name="Normal 2 18 2 2 18" xfId="3889" xr:uid="{00000000-0005-0000-0000-00005C0F0000}"/>
    <cellStyle name="Normal 2 18 2 2 19" xfId="3890" xr:uid="{00000000-0005-0000-0000-00005D0F0000}"/>
    <cellStyle name="Normal 2 18 2 2 2" xfId="3891" xr:uid="{00000000-0005-0000-0000-00005E0F0000}"/>
    <cellStyle name="Normal 2 18 2 2 20" xfId="3892" xr:uid="{00000000-0005-0000-0000-00005F0F0000}"/>
    <cellStyle name="Normal 2 18 2 2 21" xfId="3893" xr:uid="{00000000-0005-0000-0000-0000600F0000}"/>
    <cellStyle name="Normal 2 18 2 2 22" xfId="3894" xr:uid="{00000000-0005-0000-0000-0000610F0000}"/>
    <cellStyle name="Normal 2 18 2 2 23" xfId="3895" xr:uid="{00000000-0005-0000-0000-0000620F0000}"/>
    <cellStyle name="Normal 2 18 2 2 24" xfId="3896" xr:uid="{00000000-0005-0000-0000-0000630F0000}"/>
    <cellStyle name="Normal 2 18 2 2 25" xfId="3897" xr:uid="{00000000-0005-0000-0000-0000640F0000}"/>
    <cellStyle name="Normal 2 18 2 2 3" xfId="3898" xr:uid="{00000000-0005-0000-0000-0000650F0000}"/>
    <cellStyle name="Normal 2 18 2 2 4" xfId="3899" xr:uid="{00000000-0005-0000-0000-0000660F0000}"/>
    <cellStyle name="Normal 2 18 2 2 5" xfId="3900" xr:uid="{00000000-0005-0000-0000-0000670F0000}"/>
    <cellStyle name="Normal 2 18 2 2 6" xfId="3901" xr:uid="{00000000-0005-0000-0000-0000680F0000}"/>
    <cellStyle name="Normal 2 18 2 2 7" xfId="3902" xr:uid="{00000000-0005-0000-0000-0000690F0000}"/>
    <cellStyle name="Normal 2 18 2 2 8" xfId="3903" xr:uid="{00000000-0005-0000-0000-00006A0F0000}"/>
    <cellStyle name="Normal 2 18 2 2 9" xfId="3904" xr:uid="{00000000-0005-0000-0000-00006B0F0000}"/>
    <cellStyle name="Normal 2 18 2 3" xfId="3905" xr:uid="{00000000-0005-0000-0000-00006C0F0000}"/>
    <cellStyle name="Normal 2 18 2 3 10" xfId="3906" xr:uid="{00000000-0005-0000-0000-00006D0F0000}"/>
    <cellStyle name="Normal 2 18 2 3 11" xfId="3907" xr:uid="{00000000-0005-0000-0000-00006E0F0000}"/>
    <cellStyle name="Normal 2 18 2 3 12" xfId="3908" xr:uid="{00000000-0005-0000-0000-00006F0F0000}"/>
    <cellStyle name="Normal 2 18 2 3 13" xfId="3909" xr:uid="{00000000-0005-0000-0000-0000700F0000}"/>
    <cellStyle name="Normal 2 18 2 3 14" xfId="3910" xr:uid="{00000000-0005-0000-0000-0000710F0000}"/>
    <cellStyle name="Normal 2 18 2 3 15" xfId="3911" xr:uid="{00000000-0005-0000-0000-0000720F0000}"/>
    <cellStyle name="Normal 2 18 2 3 16" xfId="3912" xr:uid="{00000000-0005-0000-0000-0000730F0000}"/>
    <cellStyle name="Normal 2 18 2 3 17" xfId="3913" xr:uid="{00000000-0005-0000-0000-0000740F0000}"/>
    <cellStyle name="Normal 2 18 2 3 18" xfId="3914" xr:uid="{00000000-0005-0000-0000-0000750F0000}"/>
    <cellStyle name="Normal 2 18 2 3 19" xfId="3915" xr:uid="{00000000-0005-0000-0000-0000760F0000}"/>
    <cellStyle name="Normal 2 18 2 3 2" xfId="3916" xr:uid="{00000000-0005-0000-0000-0000770F0000}"/>
    <cellStyle name="Normal 2 18 2 3 20" xfId="3917" xr:uid="{00000000-0005-0000-0000-0000780F0000}"/>
    <cellStyle name="Normal 2 18 2 3 21" xfId="3918" xr:uid="{00000000-0005-0000-0000-0000790F0000}"/>
    <cellStyle name="Normal 2 18 2 3 22" xfId="3919" xr:uid="{00000000-0005-0000-0000-00007A0F0000}"/>
    <cellStyle name="Normal 2 18 2 3 23" xfId="3920" xr:uid="{00000000-0005-0000-0000-00007B0F0000}"/>
    <cellStyle name="Normal 2 18 2 3 3" xfId="3921" xr:uid="{00000000-0005-0000-0000-00007C0F0000}"/>
    <cellStyle name="Normal 2 18 2 3 4" xfId="3922" xr:uid="{00000000-0005-0000-0000-00007D0F0000}"/>
    <cellStyle name="Normal 2 18 2 3 5" xfId="3923" xr:uid="{00000000-0005-0000-0000-00007E0F0000}"/>
    <cellStyle name="Normal 2 18 2 3 6" xfId="3924" xr:uid="{00000000-0005-0000-0000-00007F0F0000}"/>
    <cellStyle name="Normal 2 18 2 3 7" xfId="3925" xr:uid="{00000000-0005-0000-0000-0000800F0000}"/>
    <cellStyle name="Normal 2 18 2 3 8" xfId="3926" xr:uid="{00000000-0005-0000-0000-0000810F0000}"/>
    <cellStyle name="Normal 2 18 2 3 9" xfId="3927" xr:uid="{00000000-0005-0000-0000-0000820F0000}"/>
    <cellStyle name="Normal 2 18 2 4" xfId="3928" xr:uid="{00000000-0005-0000-0000-0000830F0000}"/>
    <cellStyle name="Normal 2 18 2 5" xfId="3929" xr:uid="{00000000-0005-0000-0000-0000840F0000}"/>
    <cellStyle name="Normal 2 18 2 5 2" xfId="3930" xr:uid="{00000000-0005-0000-0000-0000850F0000}"/>
    <cellStyle name="Normal 2 18 2 5 2 2" xfId="3931" xr:uid="{00000000-0005-0000-0000-0000860F0000}"/>
    <cellStyle name="Normal 2 18 2 5 2 2 2" xfId="3932" xr:uid="{00000000-0005-0000-0000-0000870F0000}"/>
    <cellStyle name="Normal 2 18 2 5 2 2 2 2" xfId="3933" xr:uid="{00000000-0005-0000-0000-0000880F0000}"/>
    <cellStyle name="Normal 2 18 2 5 2 2 3" xfId="3934" xr:uid="{00000000-0005-0000-0000-0000890F0000}"/>
    <cellStyle name="Normal 2 18 2 5 2 3" xfId="3935" xr:uid="{00000000-0005-0000-0000-00008A0F0000}"/>
    <cellStyle name="Normal 2 18 2 5 2 3 2" xfId="3936" xr:uid="{00000000-0005-0000-0000-00008B0F0000}"/>
    <cellStyle name="Normal 2 18 2 5 2 3 2 2" xfId="3937" xr:uid="{00000000-0005-0000-0000-00008C0F0000}"/>
    <cellStyle name="Normal 2 18 2 5 2 3 3" xfId="3938" xr:uid="{00000000-0005-0000-0000-00008D0F0000}"/>
    <cellStyle name="Normal 2 18 2 5 2 4" xfId="3939" xr:uid="{00000000-0005-0000-0000-00008E0F0000}"/>
    <cellStyle name="Normal 2 18 2 5 2 4 2" xfId="3940" xr:uid="{00000000-0005-0000-0000-00008F0F0000}"/>
    <cellStyle name="Normal 2 18 2 5 2 5" xfId="3941" xr:uid="{00000000-0005-0000-0000-0000900F0000}"/>
    <cellStyle name="Normal 2 18 2 5 2 6" xfId="3942" xr:uid="{00000000-0005-0000-0000-0000910F0000}"/>
    <cellStyle name="Normal 2 18 2 5 3" xfId="3943" xr:uid="{00000000-0005-0000-0000-0000920F0000}"/>
    <cellStyle name="Normal 2 18 2 5 3 2" xfId="3944" xr:uid="{00000000-0005-0000-0000-0000930F0000}"/>
    <cellStyle name="Normal 2 18 2 5 3 2 2" xfId="3945" xr:uid="{00000000-0005-0000-0000-0000940F0000}"/>
    <cellStyle name="Normal 2 18 2 5 3 2 2 2" xfId="3946" xr:uid="{00000000-0005-0000-0000-0000950F0000}"/>
    <cellStyle name="Normal 2 18 2 5 3 2 3" xfId="3947" xr:uid="{00000000-0005-0000-0000-0000960F0000}"/>
    <cellStyle name="Normal 2 18 2 5 3 3" xfId="3948" xr:uid="{00000000-0005-0000-0000-0000970F0000}"/>
    <cellStyle name="Normal 2 18 2 5 3 3 2" xfId="3949" xr:uid="{00000000-0005-0000-0000-0000980F0000}"/>
    <cellStyle name="Normal 2 18 2 5 3 4" xfId="3950" xr:uid="{00000000-0005-0000-0000-0000990F0000}"/>
    <cellStyle name="Normal 2 18 2 5 3 5" xfId="3951" xr:uid="{00000000-0005-0000-0000-00009A0F0000}"/>
    <cellStyle name="Normal 2 18 2 5 4" xfId="3952" xr:uid="{00000000-0005-0000-0000-00009B0F0000}"/>
    <cellStyle name="Normal 2 18 2 5 4 2" xfId="3953" xr:uid="{00000000-0005-0000-0000-00009C0F0000}"/>
    <cellStyle name="Normal 2 18 2 5 4 2 2" xfId="3954" xr:uid="{00000000-0005-0000-0000-00009D0F0000}"/>
    <cellStyle name="Normal 2 18 2 5 4 3" xfId="3955" xr:uid="{00000000-0005-0000-0000-00009E0F0000}"/>
    <cellStyle name="Normal 2 18 2 5 5" xfId="3956" xr:uid="{00000000-0005-0000-0000-00009F0F0000}"/>
    <cellStyle name="Normal 2 18 2 5 5 2" xfId="3957" xr:uid="{00000000-0005-0000-0000-0000A00F0000}"/>
    <cellStyle name="Normal 2 18 2 5 5 2 2" xfId="3958" xr:uid="{00000000-0005-0000-0000-0000A10F0000}"/>
    <cellStyle name="Normal 2 18 2 5 5 3" xfId="3959" xr:uid="{00000000-0005-0000-0000-0000A20F0000}"/>
    <cellStyle name="Normal 2 18 2 5 6" xfId="3960" xr:uid="{00000000-0005-0000-0000-0000A30F0000}"/>
    <cellStyle name="Normal 2 18 2 5 6 2" xfId="3961" xr:uid="{00000000-0005-0000-0000-0000A40F0000}"/>
    <cellStyle name="Normal 2 18 2 5 7" xfId="3962" xr:uid="{00000000-0005-0000-0000-0000A50F0000}"/>
    <cellStyle name="Normal 2 18 2 5 8" xfId="3963" xr:uid="{00000000-0005-0000-0000-0000A60F0000}"/>
    <cellStyle name="Normal 2 18 20" xfId="3964" xr:uid="{00000000-0005-0000-0000-0000A70F0000}"/>
    <cellStyle name="Normal 2 18 21" xfId="3965" xr:uid="{00000000-0005-0000-0000-0000A80F0000}"/>
    <cellStyle name="Normal 2 18 22" xfId="3966" xr:uid="{00000000-0005-0000-0000-0000A90F0000}"/>
    <cellStyle name="Normal 2 18 23" xfId="3967" xr:uid="{00000000-0005-0000-0000-0000AA0F0000}"/>
    <cellStyle name="Normal 2 18 24" xfId="3968" xr:uid="{00000000-0005-0000-0000-0000AB0F0000}"/>
    <cellStyle name="Normal 2 18 25" xfId="3969" xr:uid="{00000000-0005-0000-0000-0000AC0F0000}"/>
    <cellStyle name="Normal 2 18 26" xfId="3970" xr:uid="{00000000-0005-0000-0000-0000AD0F0000}"/>
    <cellStyle name="Normal 2 18 27" xfId="3971" xr:uid="{00000000-0005-0000-0000-0000AE0F0000}"/>
    <cellStyle name="Normal 2 18 28" xfId="3972" xr:uid="{00000000-0005-0000-0000-0000AF0F0000}"/>
    <cellStyle name="Normal 2 18 29" xfId="3973" xr:uid="{00000000-0005-0000-0000-0000B00F0000}"/>
    <cellStyle name="Normal 2 18 3" xfId="3974" xr:uid="{00000000-0005-0000-0000-0000B10F0000}"/>
    <cellStyle name="Normal 2 18 30" xfId="3975" xr:uid="{00000000-0005-0000-0000-0000B20F0000}"/>
    <cellStyle name="Normal 2 18 30 2" xfId="3976" xr:uid="{00000000-0005-0000-0000-0000B30F0000}"/>
    <cellStyle name="Normal 2 18 30 2 2" xfId="3977" xr:uid="{00000000-0005-0000-0000-0000B40F0000}"/>
    <cellStyle name="Normal 2 18 30 2 2 2" xfId="3978" xr:uid="{00000000-0005-0000-0000-0000B50F0000}"/>
    <cellStyle name="Normal 2 18 30 2 3" xfId="3979" xr:uid="{00000000-0005-0000-0000-0000B60F0000}"/>
    <cellStyle name="Normal 2 18 30 3" xfId="3980" xr:uid="{00000000-0005-0000-0000-0000B70F0000}"/>
    <cellStyle name="Normal 2 18 30 3 2" xfId="3981" xr:uid="{00000000-0005-0000-0000-0000B80F0000}"/>
    <cellStyle name="Normal 2 18 30 3 2 2" xfId="3982" xr:uid="{00000000-0005-0000-0000-0000B90F0000}"/>
    <cellStyle name="Normal 2 18 30 3 3" xfId="3983" xr:uid="{00000000-0005-0000-0000-0000BA0F0000}"/>
    <cellStyle name="Normal 2 18 30 4" xfId="3984" xr:uid="{00000000-0005-0000-0000-0000BB0F0000}"/>
    <cellStyle name="Normal 2 18 30 4 2" xfId="3985" xr:uid="{00000000-0005-0000-0000-0000BC0F0000}"/>
    <cellStyle name="Normal 2 18 30 5" xfId="3986" xr:uid="{00000000-0005-0000-0000-0000BD0F0000}"/>
    <cellStyle name="Normal 2 18 30 6" xfId="3987" xr:uid="{00000000-0005-0000-0000-0000BE0F0000}"/>
    <cellStyle name="Normal 2 18 31" xfId="3988" xr:uid="{00000000-0005-0000-0000-0000BF0F0000}"/>
    <cellStyle name="Normal 2 18 31 2" xfId="3989" xr:uid="{00000000-0005-0000-0000-0000C00F0000}"/>
    <cellStyle name="Normal 2 18 31 2 2" xfId="3990" xr:uid="{00000000-0005-0000-0000-0000C10F0000}"/>
    <cellStyle name="Normal 2 18 31 2 2 2" xfId="3991" xr:uid="{00000000-0005-0000-0000-0000C20F0000}"/>
    <cellStyle name="Normal 2 18 31 2 3" xfId="3992" xr:uid="{00000000-0005-0000-0000-0000C30F0000}"/>
    <cellStyle name="Normal 2 18 31 3" xfId="3993" xr:uid="{00000000-0005-0000-0000-0000C40F0000}"/>
    <cellStyle name="Normal 2 18 31 3 2" xfId="3994" xr:uid="{00000000-0005-0000-0000-0000C50F0000}"/>
    <cellStyle name="Normal 2 18 31 4" xfId="3995" xr:uid="{00000000-0005-0000-0000-0000C60F0000}"/>
    <cellStyle name="Normal 2 18 31 5" xfId="3996" xr:uid="{00000000-0005-0000-0000-0000C70F0000}"/>
    <cellStyle name="Normal 2 18 32" xfId="3997" xr:uid="{00000000-0005-0000-0000-0000C80F0000}"/>
    <cellStyle name="Normal 2 18 32 2" xfId="3998" xr:uid="{00000000-0005-0000-0000-0000C90F0000}"/>
    <cellStyle name="Normal 2 18 32 2 2" xfId="3999" xr:uid="{00000000-0005-0000-0000-0000CA0F0000}"/>
    <cellStyle name="Normal 2 18 32 3" xfId="4000" xr:uid="{00000000-0005-0000-0000-0000CB0F0000}"/>
    <cellStyle name="Normal 2 18 33" xfId="4001" xr:uid="{00000000-0005-0000-0000-0000CC0F0000}"/>
    <cellStyle name="Normal 2 18 33 2" xfId="4002" xr:uid="{00000000-0005-0000-0000-0000CD0F0000}"/>
    <cellStyle name="Normal 2 18 33 2 2" xfId="4003" xr:uid="{00000000-0005-0000-0000-0000CE0F0000}"/>
    <cellStyle name="Normal 2 18 33 3" xfId="4004" xr:uid="{00000000-0005-0000-0000-0000CF0F0000}"/>
    <cellStyle name="Normal 2 18 34" xfId="4005" xr:uid="{00000000-0005-0000-0000-0000D00F0000}"/>
    <cellStyle name="Normal 2 18 34 2" xfId="4006" xr:uid="{00000000-0005-0000-0000-0000D10F0000}"/>
    <cellStyle name="Normal 2 18 35" xfId="4007" xr:uid="{00000000-0005-0000-0000-0000D20F0000}"/>
    <cellStyle name="Normal 2 18 36" xfId="4008" xr:uid="{00000000-0005-0000-0000-0000D30F0000}"/>
    <cellStyle name="Normal 2 18 4" xfId="4009" xr:uid="{00000000-0005-0000-0000-0000D40F0000}"/>
    <cellStyle name="Normal 2 18 5" xfId="4010" xr:uid="{00000000-0005-0000-0000-0000D50F0000}"/>
    <cellStyle name="Normal 2 18 6" xfId="4011" xr:uid="{00000000-0005-0000-0000-0000D60F0000}"/>
    <cellStyle name="Normal 2 18 7" xfId="4012" xr:uid="{00000000-0005-0000-0000-0000D70F0000}"/>
    <cellStyle name="Normal 2 18 8" xfId="4013" xr:uid="{00000000-0005-0000-0000-0000D80F0000}"/>
    <cellStyle name="Normal 2 18 9" xfId="4014" xr:uid="{00000000-0005-0000-0000-0000D90F0000}"/>
    <cellStyle name="Normal 2 19" xfId="4015" xr:uid="{00000000-0005-0000-0000-0000DA0F0000}"/>
    <cellStyle name="Normal 2 19 10" xfId="4016" xr:uid="{00000000-0005-0000-0000-0000DB0F0000}"/>
    <cellStyle name="Normal 2 19 11" xfId="4017" xr:uid="{00000000-0005-0000-0000-0000DC0F0000}"/>
    <cellStyle name="Normal 2 19 12" xfId="4018" xr:uid="{00000000-0005-0000-0000-0000DD0F0000}"/>
    <cellStyle name="Normal 2 19 13" xfId="4019" xr:uid="{00000000-0005-0000-0000-0000DE0F0000}"/>
    <cellStyle name="Normal 2 19 14" xfId="4020" xr:uid="{00000000-0005-0000-0000-0000DF0F0000}"/>
    <cellStyle name="Normal 2 19 15" xfId="4021" xr:uid="{00000000-0005-0000-0000-0000E00F0000}"/>
    <cellStyle name="Normal 2 19 16" xfId="4022" xr:uid="{00000000-0005-0000-0000-0000E10F0000}"/>
    <cellStyle name="Normal 2 19 17" xfId="4023" xr:uid="{00000000-0005-0000-0000-0000E20F0000}"/>
    <cellStyle name="Normal 2 19 18" xfId="4024" xr:uid="{00000000-0005-0000-0000-0000E30F0000}"/>
    <cellStyle name="Normal 2 19 19" xfId="4025" xr:uid="{00000000-0005-0000-0000-0000E40F0000}"/>
    <cellStyle name="Normal 2 19 2" xfId="4026" xr:uid="{00000000-0005-0000-0000-0000E50F0000}"/>
    <cellStyle name="Normal 2 19 2 2" xfId="4027" xr:uid="{00000000-0005-0000-0000-0000E60F0000}"/>
    <cellStyle name="Normal 2 19 2 2 10" xfId="4028" xr:uid="{00000000-0005-0000-0000-0000E70F0000}"/>
    <cellStyle name="Normal 2 19 2 2 11" xfId="4029" xr:uid="{00000000-0005-0000-0000-0000E80F0000}"/>
    <cellStyle name="Normal 2 19 2 2 12" xfId="4030" xr:uid="{00000000-0005-0000-0000-0000E90F0000}"/>
    <cellStyle name="Normal 2 19 2 2 13" xfId="4031" xr:uid="{00000000-0005-0000-0000-0000EA0F0000}"/>
    <cellStyle name="Normal 2 19 2 2 14" xfId="4032" xr:uid="{00000000-0005-0000-0000-0000EB0F0000}"/>
    <cellStyle name="Normal 2 19 2 2 15" xfId="4033" xr:uid="{00000000-0005-0000-0000-0000EC0F0000}"/>
    <cellStyle name="Normal 2 19 2 2 16" xfId="4034" xr:uid="{00000000-0005-0000-0000-0000ED0F0000}"/>
    <cellStyle name="Normal 2 19 2 2 17" xfId="4035" xr:uid="{00000000-0005-0000-0000-0000EE0F0000}"/>
    <cellStyle name="Normal 2 19 2 2 18" xfId="4036" xr:uid="{00000000-0005-0000-0000-0000EF0F0000}"/>
    <cellStyle name="Normal 2 19 2 2 19" xfId="4037" xr:uid="{00000000-0005-0000-0000-0000F00F0000}"/>
    <cellStyle name="Normal 2 19 2 2 2" xfId="4038" xr:uid="{00000000-0005-0000-0000-0000F10F0000}"/>
    <cellStyle name="Normal 2 19 2 2 20" xfId="4039" xr:uid="{00000000-0005-0000-0000-0000F20F0000}"/>
    <cellStyle name="Normal 2 19 2 2 21" xfId="4040" xr:uid="{00000000-0005-0000-0000-0000F30F0000}"/>
    <cellStyle name="Normal 2 19 2 2 22" xfId="4041" xr:uid="{00000000-0005-0000-0000-0000F40F0000}"/>
    <cellStyle name="Normal 2 19 2 2 23" xfId="4042" xr:uid="{00000000-0005-0000-0000-0000F50F0000}"/>
    <cellStyle name="Normal 2 19 2 2 3" xfId="4043" xr:uid="{00000000-0005-0000-0000-0000F60F0000}"/>
    <cellStyle name="Normal 2 19 2 2 4" xfId="4044" xr:uid="{00000000-0005-0000-0000-0000F70F0000}"/>
    <cellStyle name="Normal 2 19 2 2 5" xfId="4045" xr:uid="{00000000-0005-0000-0000-0000F80F0000}"/>
    <cellStyle name="Normal 2 19 2 2 6" xfId="4046" xr:uid="{00000000-0005-0000-0000-0000F90F0000}"/>
    <cellStyle name="Normal 2 19 2 2 7" xfId="4047" xr:uid="{00000000-0005-0000-0000-0000FA0F0000}"/>
    <cellStyle name="Normal 2 19 2 2 8" xfId="4048" xr:uid="{00000000-0005-0000-0000-0000FB0F0000}"/>
    <cellStyle name="Normal 2 19 2 2 9" xfId="4049" xr:uid="{00000000-0005-0000-0000-0000FC0F0000}"/>
    <cellStyle name="Normal 2 19 2 3" xfId="4050" xr:uid="{00000000-0005-0000-0000-0000FD0F0000}"/>
    <cellStyle name="Normal 2 19 2 3 10" xfId="4051" xr:uid="{00000000-0005-0000-0000-0000FE0F0000}"/>
    <cellStyle name="Normal 2 19 2 3 11" xfId="4052" xr:uid="{00000000-0005-0000-0000-0000FF0F0000}"/>
    <cellStyle name="Normal 2 19 2 3 12" xfId="4053" xr:uid="{00000000-0005-0000-0000-000000100000}"/>
    <cellStyle name="Normal 2 19 2 3 13" xfId="4054" xr:uid="{00000000-0005-0000-0000-000001100000}"/>
    <cellStyle name="Normal 2 19 2 3 14" xfId="4055" xr:uid="{00000000-0005-0000-0000-000002100000}"/>
    <cellStyle name="Normal 2 19 2 3 15" xfId="4056" xr:uid="{00000000-0005-0000-0000-000003100000}"/>
    <cellStyle name="Normal 2 19 2 3 16" xfId="4057" xr:uid="{00000000-0005-0000-0000-000004100000}"/>
    <cellStyle name="Normal 2 19 2 3 17" xfId="4058" xr:uid="{00000000-0005-0000-0000-000005100000}"/>
    <cellStyle name="Normal 2 19 2 3 18" xfId="4059" xr:uid="{00000000-0005-0000-0000-000006100000}"/>
    <cellStyle name="Normal 2 19 2 3 19" xfId="4060" xr:uid="{00000000-0005-0000-0000-000007100000}"/>
    <cellStyle name="Normal 2 19 2 3 2" xfId="4061" xr:uid="{00000000-0005-0000-0000-000008100000}"/>
    <cellStyle name="Normal 2 19 2 3 20" xfId="4062" xr:uid="{00000000-0005-0000-0000-000009100000}"/>
    <cellStyle name="Normal 2 19 2 3 21" xfId="4063" xr:uid="{00000000-0005-0000-0000-00000A100000}"/>
    <cellStyle name="Normal 2 19 2 3 22" xfId="4064" xr:uid="{00000000-0005-0000-0000-00000B100000}"/>
    <cellStyle name="Normal 2 19 2 3 23" xfId="4065" xr:uid="{00000000-0005-0000-0000-00000C100000}"/>
    <cellStyle name="Normal 2 19 2 3 3" xfId="4066" xr:uid="{00000000-0005-0000-0000-00000D100000}"/>
    <cellStyle name="Normal 2 19 2 3 4" xfId="4067" xr:uid="{00000000-0005-0000-0000-00000E100000}"/>
    <cellStyle name="Normal 2 19 2 3 5" xfId="4068" xr:uid="{00000000-0005-0000-0000-00000F100000}"/>
    <cellStyle name="Normal 2 19 2 3 6" xfId="4069" xr:uid="{00000000-0005-0000-0000-000010100000}"/>
    <cellStyle name="Normal 2 19 2 3 7" xfId="4070" xr:uid="{00000000-0005-0000-0000-000011100000}"/>
    <cellStyle name="Normal 2 19 2 3 8" xfId="4071" xr:uid="{00000000-0005-0000-0000-000012100000}"/>
    <cellStyle name="Normal 2 19 2 3 9" xfId="4072" xr:uid="{00000000-0005-0000-0000-000013100000}"/>
    <cellStyle name="Normal 2 19 20" xfId="4073" xr:uid="{00000000-0005-0000-0000-000014100000}"/>
    <cellStyle name="Normal 2 19 21" xfId="4074" xr:uid="{00000000-0005-0000-0000-000015100000}"/>
    <cellStyle name="Normal 2 19 22" xfId="4075" xr:uid="{00000000-0005-0000-0000-000016100000}"/>
    <cellStyle name="Normal 2 19 23" xfId="4076" xr:uid="{00000000-0005-0000-0000-000017100000}"/>
    <cellStyle name="Normal 2 19 24" xfId="4077" xr:uid="{00000000-0005-0000-0000-000018100000}"/>
    <cellStyle name="Normal 2 19 25" xfId="4078" xr:uid="{00000000-0005-0000-0000-000019100000}"/>
    <cellStyle name="Normal 2 19 26" xfId="4079" xr:uid="{00000000-0005-0000-0000-00001A100000}"/>
    <cellStyle name="Normal 2 19 27" xfId="4080" xr:uid="{00000000-0005-0000-0000-00001B100000}"/>
    <cellStyle name="Normal 2 19 27 2" xfId="4081" xr:uid="{00000000-0005-0000-0000-00001C100000}"/>
    <cellStyle name="Normal 2 19 27 2 2" xfId="4082" xr:uid="{00000000-0005-0000-0000-00001D100000}"/>
    <cellStyle name="Normal 2 19 27 2 2 2" xfId="4083" xr:uid="{00000000-0005-0000-0000-00001E100000}"/>
    <cellStyle name="Normal 2 19 27 2 3" xfId="4084" xr:uid="{00000000-0005-0000-0000-00001F100000}"/>
    <cellStyle name="Normal 2 19 27 3" xfId="4085" xr:uid="{00000000-0005-0000-0000-000020100000}"/>
    <cellStyle name="Normal 2 19 27 3 2" xfId="4086" xr:uid="{00000000-0005-0000-0000-000021100000}"/>
    <cellStyle name="Normal 2 19 27 3 2 2" xfId="4087" xr:uid="{00000000-0005-0000-0000-000022100000}"/>
    <cellStyle name="Normal 2 19 27 3 3" xfId="4088" xr:uid="{00000000-0005-0000-0000-000023100000}"/>
    <cellStyle name="Normal 2 19 27 4" xfId="4089" xr:uid="{00000000-0005-0000-0000-000024100000}"/>
    <cellStyle name="Normal 2 19 27 4 2" xfId="4090" xr:uid="{00000000-0005-0000-0000-000025100000}"/>
    <cellStyle name="Normal 2 19 27 5" xfId="4091" xr:uid="{00000000-0005-0000-0000-000026100000}"/>
    <cellStyle name="Normal 2 19 27 6" xfId="4092" xr:uid="{00000000-0005-0000-0000-000027100000}"/>
    <cellStyle name="Normal 2 19 28" xfId="4093" xr:uid="{00000000-0005-0000-0000-000028100000}"/>
    <cellStyle name="Normal 2 19 28 2" xfId="4094" xr:uid="{00000000-0005-0000-0000-000029100000}"/>
    <cellStyle name="Normal 2 19 28 2 2" xfId="4095" xr:uid="{00000000-0005-0000-0000-00002A100000}"/>
    <cellStyle name="Normal 2 19 28 2 2 2" xfId="4096" xr:uid="{00000000-0005-0000-0000-00002B100000}"/>
    <cellStyle name="Normal 2 19 28 2 3" xfId="4097" xr:uid="{00000000-0005-0000-0000-00002C100000}"/>
    <cellStyle name="Normal 2 19 28 3" xfId="4098" xr:uid="{00000000-0005-0000-0000-00002D100000}"/>
    <cellStyle name="Normal 2 19 28 3 2" xfId="4099" xr:uid="{00000000-0005-0000-0000-00002E100000}"/>
    <cellStyle name="Normal 2 19 28 4" xfId="4100" xr:uid="{00000000-0005-0000-0000-00002F100000}"/>
    <cellStyle name="Normal 2 19 28 5" xfId="4101" xr:uid="{00000000-0005-0000-0000-000030100000}"/>
    <cellStyle name="Normal 2 19 29" xfId="4102" xr:uid="{00000000-0005-0000-0000-000031100000}"/>
    <cellStyle name="Normal 2 19 29 2" xfId="4103" xr:uid="{00000000-0005-0000-0000-000032100000}"/>
    <cellStyle name="Normal 2 19 29 2 2" xfId="4104" xr:uid="{00000000-0005-0000-0000-000033100000}"/>
    <cellStyle name="Normal 2 19 29 3" xfId="4105" xr:uid="{00000000-0005-0000-0000-000034100000}"/>
    <cellStyle name="Normal 2 19 3" xfId="4106" xr:uid="{00000000-0005-0000-0000-000035100000}"/>
    <cellStyle name="Normal 2 19 30" xfId="4107" xr:uid="{00000000-0005-0000-0000-000036100000}"/>
    <cellStyle name="Normal 2 19 30 2" xfId="4108" xr:uid="{00000000-0005-0000-0000-000037100000}"/>
    <cellStyle name="Normal 2 19 30 2 2" xfId="4109" xr:uid="{00000000-0005-0000-0000-000038100000}"/>
    <cellStyle name="Normal 2 19 30 3" xfId="4110" xr:uid="{00000000-0005-0000-0000-000039100000}"/>
    <cellStyle name="Normal 2 19 31" xfId="4111" xr:uid="{00000000-0005-0000-0000-00003A100000}"/>
    <cellStyle name="Normal 2 19 31 2" xfId="4112" xr:uid="{00000000-0005-0000-0000-00003B100000}"/>
    <cellStyle name="Normal 2 19 32" xfId="4113" xr:uid="{00000000-0005-0000-0000-00003C100000}"/>
    <cellStyle name="Normal 2 19 33" xfId="4114" xr:uid="{00000000-0005-0000-0000-00003D100000}"/>
    <cellStyle name="Normal 2 19 4" xfId="4115" xr:uid="{00000000-0005-0000-0000-00003E100000}"/>
    <cellStyle name="Normal 2 19 5" xfId="4116" xr:uid="{00000000-0005-0000-0000-00003F100000}"/>
    <cellStyle name="Normal 2 19 6" xfId="4117" xr:uid="{00000000-0005-0000-0000-000040100000}"/>
    <cellStyle name="Normal 2 19 7" xfId="4118" xr:uid="{00000000-0005-0000-0000-000041100000}"/>
    <cellStyle name="Normal 2 19 8" xfId="4119" xr:uid="{00000000-0005-0000-0000-000042100000}"/>
    <cellStyle name="Normal 2 19 9" xfId="4120" xr:uid="{00000000-0005-0000-0000-000043100000}"/>
    <cellStyle name="Normal 2 2" xfId="4121" xr:uid="{00000000-0005-0000-0000-000044100000}"/>
    <cellStyle name="Normal 2 2 10" xfId="4122" xr:uid="{00000000-0005-0000-0000-000045100000}"/>
    <cellStyle name="Normal 2 2 10 2" xfId="4123" xr:uid="{00000000-0005-0000-0000-000046100000}"/>
    <cellStyle name="Normal 2 2 10 3" xfId="4124" xr:uid="{00000000-0005-0000-0000-000047100000}"/>
    <cellStyle name="Normal 2 2 11" xfId="4125" xr:uid="{00000000-0005-0000-0000-000048100000}"/>
    <cellStyle name="Normal 2 2 11 2" xfId="4126" xr:uid="{00000000-0005-0000-0000-000049100000}"/>
    <cellStyle name="Normal 2 2 11 3" xfId="4127" xr:uid="{00000000-0005-0000-0000-00004A100000}"/>
    <cellStyle name="Normal 2 2 11 4" xfId="4128" xr:uid="{00000000-0005-0000-0000-00004B100000}"/>
    <cellStyle name="Normal 2 2 11 5" xfId="4129" xr:uid="{00000000-0005-0000-0000-00004C100000}"/>
    <cellStyle name="Normal 2 2 11 6" xfId="4130" xr:uid="{00000000-0005-0000-0000-00004D100000}"/>
    <cellStyle name="Normal 2 2 11 7" xfId="4131" xr:uid="{00000000-0005-0000-0000-00004E100000}"/>
    <cellStyle name="Normal 2 2 12" xfId="4132" xr:uid="{00000000-0005-0000-0000-00004F100000}"/>
    <cellStyle name="Normal 2 2 12 2" xfId="4133" xr:uid="{00000000-0005-0000-0000-000050100000}"/>
    <cellStyle name="Normal 2 2 13" xfId="4134" xr:uid="{00000000-0005-0000-0000-000051100000}"/>
    <cellStyle name="Normal 2 2 14" xfId="4135" xr:uid="{00000000-0005-0000-0000-000052100000}"/>
    <cellStyle name="Normal 2 2 14 2" xfId="4136" xr:uid="{00000000-0005-0000-0000-000053100000}"/>
    <cellStyle name="Normal 2 2 14 3" xfId="4137" xr:uid="{00000000-0005-0000-0000-000054100000}"/>
    <cellStyle name="Normal 2 2 14 3 2" xfId="4138" xr:uid="{00000000-0005-0000-0000-000055100000}"/>
    <cellStyle name="Normal 2 2 14 3 2 2" xfId="4139" xr:uid="{00000000-0005-0000-0000-000056100000}"/>
    <cellStyle name="Normal 2 2 14 3 2 2 2" xfId="4140" xr:uid="{00000000-0005-0000-0000-000057100000}"/>
    <cellStyle name="Normal 2 2 14 3 2 2 2 2" xfId="4141" xr:uid="{00000000-0005-0000-0000-000058100000}"/>
    <cellStyle name="Normal 2 2 14 3 2 2 3" xfId="4142" xr:uid="{00000000-0005-0000-0000-000059100000}"/>
    <cellStyle name="Normal 2 2 14 3 2 3" xfId="4143" xr:uid="{00000000-0005-0000-0000-00005A100000}"/>
    <cellStyle name="Normal 2 2 14 3 2 3 2" xfId="4144" xr:uid="{00000000-0005-0000-0000-00005B100000}"/>
    <cellStyle name="Normal 2 2 14 3 2 3 2 2" xfId="4145" xr:uid="{00000000-0005-0000-0000-00005C100000}"/>
    <cellStyle name="Normal 2 2 14 3 2 3 3" xfId="4146" xr:uid="{00000000-0005-0000-0000-00005D100000}"/>
    <cellStyle name="Normal 2 2 14 3 2 4" xfId="4147" xr:uid="{00000000-0005-0000-0000-00005E100000}"/>
    <cellStyle name="Normal 2 2 14 3 2 4 2" xfId="4148" xr:uid="{00000000-0005-0000-0000-00005F100000}"/>
    <cellStyle name="Normal 2 2 14 3 2 5" xfId="4149" xr:uid="{00000000-0005-0000-0000-000060100000}"/>
    <cellStyle name="Normal 2 2 14 3 2 6" xfId="4150" xr:uid="{00000000-0005-0000-0000-000061100000}"/>
    <cellStyle name="Normal 2 2 14 3 3" xfId="4151" xr:uid="{00000000-0005-0000-0000-000062100000}"/>
    <cellStyle name="Normal 2 2 14 3 3 2" xfId="4152" xr:uid="{00000000-0005-0000-0000-000063100000}"/>
    <cellStyle name="Normal 2 2 14 3 3 2 2" xfId="4153" xr:uid="{00000000-0005-0000-0000-000064100000}"/>
    <cellStyle name="Normal 2 2 14 3 3 2 2 2" xfId="4154" xr:uid="{00000000-0005-0000-0000-000065100000}"/>
    <cellStyle name="Normal 2 2 14 3 3 2 3" xfId="4155" xr:uid="{00000000-0005-0000-0000-000066100000}"/>
    <cellStyle name="Normal 2 2 14 3 3 3" xfId="4156" xr:uid="{00000000-0005-0000-0000-000067100000}"/>
    <cellStyle name="Normal 2 2 14 3 3 3 2" xfId="4157" xr:uid="{00000000-0005-0000-0000-000068100000}"/>
    <cellStyle name="Normal 2 2 14 3 3 4" xfId="4158" xr:uid="{00000000-0005-0000-0000-000069100000}"/>
    <cellStyle name="Normal 2 2 14 3 3 5" xfId="4159" xr:uid="{00000000-0005-0000-0000-00006A100000}"/>
    <cellStyle name="Normal 2 2 14 3 4" xfId="4160" xr:uid="{00000000-0005-0000-0000-00006B100000}"/>
    <cellStyle name="Normal 2 2 14 3 4 2" xfId="4161" xr:uid="{00000000-0005-0000-0000-00006C100000}"/>
    <cellStyle name="Normal 2 2 14 3 4 2 2" xfId="4162" xr:uid="{00000000-0005-0000-0000-00006D100000}"/>
    <cellStyle name="Normal 2 2 14 3 4 3" xfId="4163" xr:uid="{00000000-0005-0000-0000-00006E100000}"/>
    <cellStyle name="Normal 2 2 14 3 5" xfId="4164" xr:uid="{00000000-0005-0000-0000-00006F100000}"/>
    <cellStyle name="Normal 2 2 14 3 5 2" xfId="4165" xr:uid="{00000000-0005-0000-0000-000070100000}"/>
    <cellStyle name="Normal 2 2 14 3 5 2 2" xfId="4166" xr:uid="{00000000-0005-0000-0000-000071100000}"/>
    <cellStyle name="Normal 2 2 14 3 5 3" xfId="4167" xr:uid="{00000000-0005-0000-0000-000072100000}"/>
    <cellStyle name="Normal 2 2 14 3 6" xfId="4168" xr:uid="{00000000-0005-0000-0000-000073100000}"/>
    <cellStyle name="Normal 2 2 14 3 6 2" xfId="4169" xr:uid="{00000000-0005-0000-0000-000074100000}"/>
    <cellStyle name="Normal 2 2 14 3 7" xfId="4170" xr:uid="{00000000-0005-0000-0000-000075100000}"/>
    <cellStyle name="Normal 2 2 14 3 8" xfId="4171" xr:uid="{00000000-0005-0000-0000-000076100000}"/>
    <cellStyle name="Normal 2 2 15" xfId="4172" xr:uid="{00000000-0005-0000-0000-000077100000}"/>
    <cellStyle name="Normal 2 2 16" xfId="4173" xr:uid="{00000000-0005-0000-0000-000078100000}"/>
    <cellStyle name="Normal 2 2 17" xfId="4174" xr:uid="{00000000-0005-0000-0000-000079100000}"/>
    <cellStyle name="Normal 2 2 18" xfId="4175" xr:uid="{00000000-0005-0000-0000-00007A100000}"/>
    <cellStyle name="Normal 2 2 18 2" xfId="4176" xr:uid="{00000000-0005-0000-0000-00007B100000}"/>
    <cellStyle name="Normal 2 2 18 3" xfId="4177" xr:uid="{00000000-0005-0000-0000-00007C100000}"/>
    <cellStyle name="Normal 2 2 19" xfId="4178" xr:uid="{00000000-0005-0000-0000-00007D100000}"/>
    <cellStyle name="Normal 2 2 2" xfId="4179" xr:uid="{00000000-0005-0000-0000-00007E100000}"/>
    <cellStyle name="Normal 2 2 2 10" xfId="4180" xr:uid="{00000000-0005-0000-0000-00007F100000}"/>
    <cellStyle name="Normal 2 2 2 11" xfId="4181" xr:uid="{00000000-0005-0000-0000-000080100000}"/>
    <cellStyle name="Normal 2 2 2 12" xfId="4182" xr:uid="{00000000-0005-0000-0000-000081100000}"/>
    <cellStyle name="Normal 2 2 2 13" xfId="4183" xr:uid="{00000000-0005-0000-0000-000082100000}"/>
    <cellStyle name="Normal 2 2 2 14" xfId="4184" xr:uid="{00000000-0005-0000-0000-000083100000}"/>
    <cellStyle name="Normal 2 2 2 15" xfId="4185" xr:uid="{00000000-0005-0000-0000-000084100000}"/>
    <cellStyle name="Normal 2 2 2 16" xfId="4186" xr:uid="{00000000-0005-0000-0000-000085100000}"/>
    <cellStyle name="Normal 2 2 2 16 2" xfId="4187" xr:uid="{00000000-0005-0000-0000-000086100000}"/>
    <cellStyle name="Normal 2 2 2 16 3" xfId="4188" xr:uid="{00000000-0005-0000-0000-000087100000}"/>
    <cellStyle name="Normal 2 2 2 17" xfId="4189" xr:uid="{00000000-0005-0000-0000-000088100000}"/>
    <cellStyle name="Normal 2 2 2 18" xfId="4190" xr:uid="{00000000-0005-0000-0000-000089100000}"/>
    <cellStyle name="Normal 2 2 2 18 2" xfId="4191" xr:uid="{00000000-0005-0000-0000-00008A100000}"/>
    <cellStyle name="Normal 2 2 2 19" xfId="4192" xr:uid="{00000000-0005-0000-0000-00008B100000}"/>
    <cellStyle name="Normal 2 2 2 2" xfId="4193" xr:uid="{00000000-0005-0000-0000-00008C100000}"/>
    <cellStyle name="Normal 2 2 2 2 10" xfId="4194" xr:uid="{00000000-0005-0000-0000-00008D100000}"/>
    <cellStyle name="Normal 2 2 2 2 11" xfId="4195" xr:uid="{00000000-0005-0000-0000-00008E100000}"/>
    <cellStyle name="Normal 2 2 2 2 12" xfId="4196" xr:uid="{00000000-0005-0000-0000-00008F100000}"/>
    <cellStyle name="Normal 2 2 2 2 13" xfId="4197" xr:uid="{00000000-0005-0000-0000-000090100000}"/>
    <cellStyle name="Normal 2 2 2 2 14" xfId="4198" xr:uid="{00000000-0005-0000-0000-000091100000}"/>
    <cellStyle name="Normal 2 2 2 2 15" xfId="4199" xr:uid="{00000000-0005-0000-0000-000092100000}"/>
    <cellStyle name="Normal 2 2 2 2 16" xfId="4200" xr:uid="{00000000-0005-0000-0000-000093100000}"/>
    <cellStyle name="Normal 2 2 2 2 16 2" xfId="4201" xr:uid="{00000000-0005-0000-0000-000094100000}"/>
    <cellStyle name="Normal 2 2 2 2 16 3" xfId="4202" xr:uid="{00000000-0005-0000-0000-000095100000}"/>
    <cellStyle name="Normal 2 2 2 2 17" xfId="4203" xr:uid="{00000000-0005-0000-0000-000096100000}"/>
    <cellStyle name="Normal 2 2 2 2 18" xfId="4204" xr:uid="{00000000-0005-0000-0000-000097100000}"/>
    <cellStyle name="Normal 2 2 2 2 18 2" xfId="4205" xr:uid="{00000000-0005-0000-0000-000098100000}"/>
    <cellStyle name="Normal 2 2 2 2 19" xfId="4206" xr:uid="{00000000-0005-0000-0000-000099100000}"/>
    <cellStyle name="Normal 2 2 2 2 2" xfId="4207" xr:uid="{00000000-0005-0000-0000-00009A100000}"/>
    <cellStyle name="Normal 2 2 2 2 2 10" xfId="4208" xr:uid="{00000000-0005-0000-0000-00009B100000}"/>
    <cellStyle name="Normal 2 2 2 2 2 11" xfId="4209" xr:uid="{00000000-0005-0000-0000-00009C100000}"/>
    <cellStyle name="Normal 2 2 2 2 2 12" xfId="4210" xr:uid="{00000000-0005-0000-0000-00009D100000}"/>
    <cellStyle name="Normal 2 2 2 2 2 13" xfId="4211" xr:uid="{00000000-0005-0000-0000-00009E100000}"/>
    <cellStyle name="Normal 2 2 2 2 2 14" xfId="4212" xr:uid="{00000000-0005-0000-0000-00009F100000}"/>
    <cellStyle name="Normal 2 2 2 2 2 15" xfId="4213" xr:uid="{00000000-0005-0000-0000-0000A0100000}"/>
    <cellStyle name="Normal 2 2 2 2 2 15 2" xfId="4214" xr:uid="{00000000-0005-0000-0000-0000A1100000}"/>
    <cellStyle name="Normal 2 2 2 2 2 15 3" xfId="4215" xr:uid="{00000000-0005-0000-0000-0000A2100000}"/>
    <cellStyle name="Normal 2 2 2 2 2 16" xfId="4216" xr:uid="{00000000-0005-0000-0000-0000A3100000}"/>
    <cellStyle name="Normal 2 2 2 2 2 17" xfId="4217" xr:uid="{00000000-0005-0000-0000-0000A4100000}"/>
    <cellStyle name="Normal 2 2 2 2 2 17 2" xfId="4218" xr:uid="{00000000-0005-0000-0000-0000A5100000}"/>
    <cellStyle name="Normal 2 2 2 2 2 18" xfId="4219" xr:uid="{00000000-0005-0000-0000-0000A6100000}"/>
    <cellStyle name="Normal 2 2 2 2 2 19" xfId="4220" xr:uid="{00000000-0005-0000-0000-0000A7100000}"/>
    <cellStyle name="Normal 2 2 2 2 2 2" xfId="4221" xr:uid="{00000000-0005-0000-0000-0000A8100000}"/>
    <cellStyle name="Normal 2 2 2 2 2 2 10" xfId="4222" xr:uid="{00000000-0005-0000-0000-0000A9100000}"/>
    <cellStyle name="Normal 2 2 2 2 2 2 11" xfId="4223" xr:uid="{00000000-0005-0000-0000-0000AA100000}"/>
    <cellStyle name="Normal 2 2 2 2 2 2 12" xfId="4224" xr:uid="{00000000-0005-0000-0000-0000AB100000}"/>
    <cellStyle name="Normal 2 2 2 2 2 2 13" xfId="4225" xr:uid="{00000000-0005-0000-0000-0000AC100000}"/>
    <cellStyle name="Normal 2 2 2 2 2 2 14" xfId="4226" xr:uid="{00000000-0005-0000-0000-0000AD100000}"/>
    <cellStyle name="Normal 2 2 2 2 2 2 15" xfId="4227" xr:uid="{00000000-0005-0000-0000-0000AE100000}"/>
    <cellStyle name="Normal 2 2 2 2 2 2 15 2" xfId="4228" xr:uid="{00000000-0005-0000-0000-0000AF100000}"/>
    <cellStyle name="Normal 2 2 2 2 2 2 15 3" xfId="4229" xr:uid="{00000000-0005-0000-0000-0000B0100000}"/>
    <cellStyle name="Normal 2 2 2 2 2 2 16" xfId="4230" xr:uid="{00000000-0005-0000-0000-0000B1100000}"/>
    <cellStyle name="Normal 2 2 2 2 2 2 17" xfId="4231" xr:uid="{00000000-0005-0000-0000-0000B2100000}"/>
    <cellStyle name="Normal 2 2 2 2 2 2 17 2" xfId="4232" xr:uid="{00000000-0005-0000-0000-0000B3100000}"/>
    <cellStyle name="Normal 2 2 2 2 2 2 18" xfId="4233" xr:uid="{00000000-0005-0000-0000-0000B4100000}"/>
    <cellStyle name="Normal 2 2 2 2 2 2 19" xfId="4234" xr:uid="{00000000-0005-0000-0000-0000B5100000}"/>
    <cellStyle name="Normal 2 2 2 2 2 2 2" xfId="4235" xr:uid="{00000000-0005-0000-0000-0000B6100000}"/>
    <cellStyle name="Normal 2 2 2 2 2 2 2 10" xfId="4236" xr:uid="{00000000-0005-0000-0000-0000B7100000}"/>
    <cellStyle name="Normal 2 2 2 2 2 2 2 11" xfId="4237" xr:uid="{00000000-0005-0000-0000-0000B8100000}"/>
    <cellStyle name="Normal 2 2 2 2 2 2 2 12" xfId="4238" xr:uid="{00000000-0005-0000-0000-0000B9100000}"/>
    <cellStyle name="Normal 2 2 2 2 2 2 2 13" xfId="4239" xr:uid="{00000000-0005-0000-0000-0000BA100000}"/>
    <cellStyle name="Normal 2 2 2 2 2 2 2 14" xfId="4240" xr:uid="{00000000-0005-0000-0000-0000BB100000}"/>
    <cellStyle name="Normal 2 2 2 2 2 2 2 15" xfId="4241" xr:uid="{00000000-0005-0000-0000-0000BC100000}"/>
    <cellStyle name="Normal 2 2 2 2 2 2 2 15 2" xfId="4242" xr:uid="{00000000-0005-0000-0000-0000BD100000}"/>
    <cellStyle name="Normal 2 2 2 2 2 2 2 15 3" xfId="4243" xr:uid="{00000000-0005-0000-0000-0000BE100000}"/>
    <cellStyle name="Normal 2 2 2 2 2 2 2 16" xfId="4244" xr:uid="{00000000-0005-0000-0000-0000BF100000}"/>
    <cellStyle name="Normal 2 2 2 2 2 2 2 17" xfId="4245" xr:uid="{00000000-0005-0000-0000-0000C0100000}"/>
    <cellStyle name="Normal 2 2 2 2 2 2 2 17 2" xfId="4246" xr:uid="{00000000-0005-0000-0000-0000C1100000}"/>
    <cellStyle name="Normal 2 2 2 2 2 2 2 18" xfId="4247" xr:uid="{00000000-0005-0000-0000-0000C2100000}"/>
    <cellStyle name="Normal 2 2 2 2 2 2 2 19" xfId="4248" xr:uid="{00000000-0005-0000-0000-0000C3100000}"/>
    <cellStyle name="Normal 2 2 2 2 2 2 2 2" xfId="4249" xr:uid="{00000000-0005-0000-0000-0000C4100000}"/>
    <cellStyle name="Normal 2 2 2 2 2 2 2 2 10" xfId="4250" xr:uid="{00000000-0005-0000-0000-0000C5100000}"/>
    <cellStyle name="Normal 2 2 2 2 2 2 2 2 11" xfId="4251" xr:uid="{00000000-0005-0000-0000-0000C6100000}"/>
    <cellStyle name="Normal 2 2 2 2 2 2 2 2 12" xfId="4252" xr:uid="{00000000-0005-0000-0000-0000C7100000}"/>
    <cellStyle name="Normal 2 2 2 2 2 2 2 2 13" xfId="4253" xr:uid="{00000000-0005-0000-0000-0000C8100000}"/>
    <cellStyle name="Normal 2 2 2 2 2 2 2 2 14" xfId="4254" xr:uid="{00000000-0005-0000-0000-0000C9100000}"/>
    <cellStyle name="Normal 2 2 2 2 2 2 2 2 14 2" xfId="4255" xr:uid="{00000000-0005-0000-0000-0000CA100000}"/>
    <cellStyle name="Normal 2 2 2 2 2 2 2 2 14 3" xfId="4256" xr:uid="{00000000-0005-0000-0000-0000CB100000}"/>
    <cellStyle name="Normal 2 2 2 2 2 2 2 2 15" xfId="4257" xr:uid="{00000000-0005-0000-0000-0000CC100000}"/>
    <cellStyle name="Normal 2 2 2 2 2 2 2 2 16" xfId="4258" xr:uid="{00000000-0005-0000-0000-0000CD100000}"/>
    <cellStyle name="Normal 2 2 2 2 2 2 2 2 16 2" xfId="4259" xr:uid="{00000000-0005-0000-0000-0000CE100000}"/>
    <cellStyle name="Normal 2 2 2 2 2 2 2 2 17" xfId="4260" xr:uid="{00000000-0005-0000-0000-0000CF100000}"/>
    <cellStyle name="Normal 2 2 2 2 2 2 2 2 18" xfId="4261" xr:uid="{00000000-0005-0000-0000-0000D0100000}"/>
    <cellStyle name="Normal 2 2 2 2 2 2 2 2 19" xfId="4262" xr:uid="{00000000-0005-0000-0000-0000D1100000}"/>
    <cellStyle name="Normal 2 2 2 2 2 2 2 2 19 2" xfId="4263" xr:uid="{00000000-0005-0000-0000-0000D2100000}"/>
    <cellStyle name="Normal 2 2 2 2 2 2 2 2 2" xfId="4264" xr:uid="{00000000-0005-0000-0000-0000D3100000}"/>
    <cellStyle name="Normal 2 2 2 2 2 2 2 2 2 10" xfId="4265" xr:uid="{00000000-0005-0000-0000-0000D4100000}"/>
    <cellStyle name="Normal 2 2 2 2 2 2 2 2 2 11" xfId="4266" xr:uid="{00000000-0005-0000-0000-0000D5100000}"/>
    <cellStyle name="Normal 2 2 2 2 2 2 2 2 2 12" xfId="4267" xr:uid="{00000000-0005-0000-0000-0000D6100000}"/>
    <cellStyle name="Normal 2 2 2 2 2 2 2 2 2 13" xfId="4268" xr:uid="{00000000-0005-0000-0000-0000D7100000}"/>
    <cellStyle name="Normal 2 2 2 2 2 2 2 2 2 14" xfId="4269" xr:uid="{00000000-0005-0000-0000-0000D8100000}"/>
    <cellStyle name="Normal 2 2 2 2 2 2 2 2 2 14 2" xfId="4270" xr:uid="{00000000-0005-0000-0000-0000D9100000}"/>
    <cellStyle name="Normal 2 2 2 2 2 2 2 2 2 14 3" xfId="4271" xr:uid="{00000000-0005-0000-0000-0000DA100000}"/>
    <cellStyle name="Normal 2 2 2 2 2 2 2 2 2 15" xfId="4272" xr:uid="{00000000-0005-0000-0000-0000DB100000}"/>
    <cellStyle name="Normal 2 2 2 2 2 2 2 2 2 16" xfId="4273" xr:uid="{00000000-0005-0000-0000-0000DC100000}"/>
    <cellStyle name="Normal 2 2 2 2 2 2 2 2 2 16 2" xfId="4274" xr:uid="{00000000-0005-0000-0000-0000DD100000}"/>
    <cellStyle name="Normal 2 2 2 2 2 2 2 2 2 17" xfId="4275" xr:uid="{00000000-0005-0000-0000-0000DE100000}"/>
    <cellStyle name="Normal 2 2 2 2 2 2 2 2 2 18" xfId="4276" xr:uid="{00000000-0005-0000-0000-0000DF100000}"/>
    <cellStyle name="Normal 2 2 2 2 2 2 2 2 2 19" xfId="4277" xr:uid="{00000000-0005-0000-0000-0000E0100000}"/>
    <cellStyle name="Normal 2 2 2 2 2 2 2 2 2 19 2" xfId="4278" xr:uid="{00000000-0005-0000-0000-0000E1100000}"/>
    <cellStyle name="Normal 2 2 2 2 2 2 2 2 2 2" xfId="4279" xr:uid="{00000000-0005-0000-0000-0000E2100000}"/>
    <cellStyle name="Normal 2 2 2 2 2 2 2 2 2 2 10" xfId="4280" xr:uid="{00000000-0005-0000-0000-0000E3100000}"/>
    <cellStyle name="Normal 2 2 2 2 2 2 2 2 2 2 11" xfId="4281" xr:uid="{00000000-0005-0000-0000-0000E4100000}"/>
    <cellStyle name="Normal 2 2 2 2 2 2 2 2 2 2 12" xfId="4282" xr:uid="{00000000-0005-0000-0000-0000E5100000}"/>
    <cellStyle name="Normal 2 2 2 2 2 2 2 2 2 2 13" xfId="4283" xr:uid="{00000000-0005-0000-0000-0000E6100000}"/>
    <cellStyle name="Normal 2 2 2 2 2 2 2 2 2 2 13 2" xfId="4284" xr:uid="{00000000-0005-0000-0000-0000E7100000}"/>
    <cellStyle name="Normal 2 2 2 2 2 2 2 2 2 2 13 3" xfId="4285" xr:uid="{00000000-0005-0000-0000-0000E8100000}"/>
    <cellStyle name="Normal 2 2 2 2 2 2 2 2 2 2 14" xfId="4286" xr:uid="{00000000-0005-0000-0000-0000E9100000}"/>
    <cellStyle name="Normal 2 2 2 2 2 2 2 2 2 2 15" xfId="4287" xr:uid="{00000000-0005-0000-0000-0000EA100000}"/>
    <cellStyle name="Normal 2 2 2 2 2 2 2 2 2 2 15 2" xfId="4288" xr:uid="{00000000-0005-0000-0000-0000EB100000}"/>
    <cellStyle name="Normal 2 2 2 2 2 2 2 2 2 2 16" xfId="4289" xr:uid="{00000000-0005-0000-0000-0000EC100000}"/>
    <cellStyle name="Normal 2 2 2 2 2 2 2 2 2 2 17" xfId="4290" xr:uid="{00000000-0005-0000-0000-0000ED100000}"/>
    <cellStyle name="Normal 2 2 2 2 2 2 2 2 2 2 18" xfId="4291" xr:uid="{00000000-0005-0000-0000-0000EE100000}"/>
    <cellStyle name="Normal 2 2 2 2 2 2 2 2 2 2 18 2" xfId="4292" xr:uid="{00000000-0005-0000-0000-0000EF100000}"/>
    <cellStyle name="Normal 2 2 2 2 2 2 2 2 2 2 19" xfId="4293" xr:uid="{00000000-0005-0000-0000-0000F0100000}"/>
    <cellStyle name="Normal 2 2 2 2 2 2 2 2 2 2 2" xfId="4294" xr:uid="{00000000-0005-0000-0000-0000F1100000}"/>
    <cellStyle name="Normal 2 2 2 2 2 2 2 2 2 2 2 10" xfId="4295" xr:uid="{00000000-0005-0000-0000-0000F2100000}"/>
    <cellStyle name="Normal 2 2 2 2 2 2 2 2 2 2 2 11" xfId="4296" xr:uid="{00000000-0005-0000-0000-0000F3100000}"/>
    <cellStyle name="Normal 2 2 2 2 2 2 2 2 2 2 2 11 2" xfId="4297" xr:uid="{00000000-0005-0000-0000-0000F4100000}"/>
    <cellStyle name="Normal 2 2 2 2 2 2 2 2 2 2 2 11 3" xfId="4298" xr:uid="{00000000-0005-0000-0000-0000F5100000}"/>
    <cellStyle name="Normal 2 2 2 2 2 2 2 2 2 2 2 12" xfId="4299" xr:uid="{00000000-0005-0000-0000-0000F6100000}"/>
    <cellStyle name="Normal 2 2 2 2 2 2 2 2 2 2 2 13" xfId="4300" xr:uid="{00000000-0005-0000-0000-0000F7100000}"/>
    <cellStyle name="Normal 2 2 2 2 2 2 2 2 2 2 2 13 2" xfId="4301" xr:uid="{00000000-0005-0000-0000-0000F8100000}"/>
    <cellStyle name="Normal 2 2 2 2 2 2 2 2 2 2 2 14" xfId="4302" xr:uid="{00000000-0005-0000-0000-0000F9100000}"/>
    <cellStyle name="Normal 2 2 2 2 2 2 2 2 2 2 2 15" xfId="4303" xr:uid="{00000000-0005-0000-0000-0000FA100000}"/>
    <cellStyle name="Normal 2 2 2 2 2 2 2 2 2 2 2 16" xfId="4304" xr:uid="{00000000-0005-0000-0000-0000FB100000}"/>
    <cellStyle name="Normal 2 2 2 2 2 2 2 2 2 2 2 16 2" xfId="4305" xr:uid="{00000000-0005-0000-0000-0000FC100000}"/>
    <cellStyle name="Normal 2 2 2 2 2 2 2 2 2 2 2 17" xfId="4306" xr:uid="{00000000-0005-0000-0000-0000FD100000}"/>
    <cellStyle name="Normal 2 2 2 2 2 2 2 2 2 2 2 18" xfId="4307" xr:uid="{00000000-0005-0000-0000-0000FE100000}"/>
    <cellStyle name="Normal 2 2 2 2 2 2 2 2 2 2 2 19" xfId="4308" xr:uid="{00000000-0005-0000-0000-0000FF100000}"/>
    <cellStyle name="Normal 2 2 2 2 2 2 2 2 2 2 2 2" xfId="4309" xr:uid="{00000000-0005-0000-0000-000000110000}"/>
    <cellStyle name="Normal 2 2 2 2 2 2 2 2 2 2 2 2 10" xfId="4310" xr:uid="{00000000-0005-0000-0000-000001110000}"/>
    <cellStyle name="Normal 2 2 2 2 2 2 2 2 2 2 2 2 11" xfId="4311" xr:uid="{00000000-0005-0000-0000-000002110000}"/>
    <cellStyle name="Normal 2 2 2 2 2 2 2 2 2 2 2 2 11 2" xfId="4312" xr:uid="{00000000-0005-0000-0000-000003110000}"/>
    <cellStyle name="Normal 2 2 2 2 2 2 2 2 2 2 2 2 11 3" xfId="4313" xr:uid="{00000000-0005-0000-0000-000004110000}"/>
    <cellStyle name="Normal 2 2 2 2 2 2 2 2 2 2 2 2 12" xfId="4314" xr:uid="{00000000-0005-0000-0000-000005110000}"/>
    <cellStyle name="Normal 2 2 2 2 2 2 2 2 2 2 2 2 13" xfId="4315" xr:uid="{00000000-0005-0000-0000-000006110000}"/>
    <cellStyle name="Normal 2 2 2 2 2 2 2 2 2 2 2 2 13 2" xfId="4316" xr:uid="{00000000-0005-0000-0000-000007110000}"/>
    <cellStyle name="Normal 2 2 2 2 2 2 2 2 2 2 2 2 14" xfId="4317" xr:uid="{00000000-0005-0000-0000-000008110000}"/>
    <cellStyle name="Normal 2 2 2 2 2 2 2 2 2 2 2 2 15" xfId="4318" xr:uid="{00000000-0005-0000-0000-000009110000}"/>
    <cellStyle name="Normal 2 2 2 2 2 2 2 2 2 2 2 2 16" xfId="4319" xr:uid="{00000000-0005-0000-0000-00000A110000}"/>
    <cellStyle name="Normal 2 2 2 2 2 2 2 2 2 2 2 2 16 2" xfId="4320" xr:uid="{00000000-0005-0000-0000-00000B110000}"/>
    <cellStyle name="Normal 2 2 2 2 2 2 2 2 2 2 2 2 17" xfId="4321" xr:uid="{00000000-0005-0000-0000-00000C110000}"/>
    <cellStyle name="Normal 2 2 2 2 2 2 2 2 2 2 2 2 18" xfId="4322" xr:uid="{00000000-0005-0000-0000-00000D110000}"/>
    <cellStyle name="Normal 2 2 2 2 2 2 2 2 2 2 2 2 19" xfId="4323" xr:uid="{00000000-0005-0000-0000-00000E110000}"/>
    <cellStyle name="Normal 2 2 2 2 2 2 2 2 2 2 2 2 2" xfId="4324" xr:uid="{00000000-0005-0000-0000-00000F110000}"/>
    <cellStyle name="Normal 2 2 2 2 2 2 2 2 2 2 2 2 2 10" xfId="4325" xr:uid="{00000000-0005-0000-0000-000010110000}"/>
    <cellStyle name="Normal 2 2 2 2 2 2 2 2 2 2 2 2 2 10 2" xfId="4326" xr:uid="{00000000-0005-0000-0000-000011110000}"/>
    <cellStyle name="Normal 2 2 2 2 2 2 2 2 2 2 2 2 2 10 3" xfId="4327" xr:uid="{00000000-0005-0000-0000-000012110000}"/>
    <cellStyle name="Normal 2 2 2 2 2 2 2 2 2 2 2 2 2 11" xfId="4328" xr:uid="{00000000-0005-0000-0000-000013110000}"/>
    <cellStyle name="Normal 2 2 2 2 2 2 2 2 2 2 2 2 2 12" xfId="4329" xr:uid="{00000000-0005-0000-0000-000014110000}"/>
    <cellStyle name="Normal 2 2 2 2 2 2 2 2 2 2 2 2 2 12 2" xfId="4330" xr:uid="{00000000-0005-0000-0000-000015110000}"/>
    <cellStyle name="Normal 2 2 2 2 2 2 2 2 2 2 2 2 2 13" xfId="4331" xr:uid="{00000000-0005-0000-0000-000016110000}"/>
    <cellStyle name="Normal 2 2 2 2 2 2 2 2 2 2 2 2 2 14" xfId="4332" xr:uid="{00000000-0005-0000-0000-000017110000}"/>
    <cellStyle name="Normal 2 2 2 2 2 2 2 2 2 2 2 2 2 15" xfId="4333" xr:uid="{00000000-0005-0000-0000-000018110000}"/>
    <cellStyle name="Normal 2 2 2 2 2 2 2 2 2 2 2 2 2 15 2" xfId="4334" xr:uid="{00000000-0005-0000-0000-000019110000}"/>
    <cellStyle name="Normal 2 2 2 2 2 2 2 2 2 2 2 2 2 16" xfId="4335" xr:uid="{00000000-0005-0000-0000-00001A110000}"/>
    <cellStyle name="Normal 2 2 2 2 2 2 2 2 2 2 2 2 2 17" xfId="4336" xr:uid="{00000000-0005-0000-0000-00001B110000}"/>
    <cellStyle name="Normal 2 2 2 2 2 2 2 2 2 2 2 2 2 18" xfId="4337" xr:uid="{00000000-0005-0000-0000-00001C110000}"/>
    <cellStyle name="Normal 2 2 2 2 2 2 2 2 2 2 2 2 2 19" xfId="4338" xr:uid="{00000000-0005-0000-0000-00001D110000}"/>
    <cellStyle name="Normal 2 2 2 2 2 2 2 2 2 2 2 2 2 2" xfId="4339" xr:uid="{00000000-0005-0000-0000-00001E110000}"/>
    <cellStyle name="Normal 2 2 2 2 2 2 2 2 2 2 2 2 2 2 10" xfId="4340" xr:uid="{00000000-0005-0000-0000-00001F110000}"/>
    <cellStyle name="Normal 2 2 2 2 2 2 2 2 2 2 2 2 2 2 11" xfId="4341" xr:uid="{00000000-0005-0000-0000-000020110000}"/>
    <cellStyle name="Normal 2 2 2 2 2 2 2 2 2 2 2 2 2 2 11 2" xfId="4342" xr:uid="{00000000-0005-0000-0000-000021110000}"/>
    <cellStyle name="Normal 2 2 2 2 2 2 2 2 2 2 2 2 2 2 12" xfId="4343" xr:uid="{00000000-0005-0000-0000-000022110000}"/>
    <cellStyle name="Normal 2 2 2 2 2 2 2 2 2 2 2 2 2 2 13" xfId="4344" xr:uid="{00000000-0005-0000-0000-000023110000}"/>
    <cellStyle name="Normal 2 2 2 2 2 2 2 2 2 2 2 2 2 2 14" xfId="4345" xr:uid="{00000000-0005-0000-0000-000024110000}"/>
    <cellStyle name="Normal 2 2 2 2 2 2 2 2 2 2 2 2 2 2 14 2" xfId="4346" xr:uid="{00000000-0005-0000-0000-000025110000}"/>
    <cellStyle name="Normal 2 2 2 2 2 2 2 2 2 2 2 2 2 2 15" xfId="4347" xr:uid="{00000000-0005-0000-0000-000026110000}"/>
    <cellStyle name="Normal 2 2 2 2 2 2 2 2 2 2 2 2 2 2 16" xfId="4348" xr:uid="{00000000-0005-0000-0000-000027110000}"/>
    <cellStyle name="Normal 2 2 2 2 2 2 2 2 2 2 2 2 2 2 17" xfId="4349" xr:uid="{00000000-0005-0000-0000-000028110000}"/>
    <cellStyle name="Normal 2 2 2 2 2 2 2 2 2 2 2 2 2 2 18" xfId="4350" xr:uid="{00000000-0005-0000-0000-000029110000}"/>
    <cellStyle name="Normal 2 2 2 2 2 2 2 2 2 2 2 2 2 2 19" xfId="4351" xr:uid="{00000000-0005-0000-0000-00002A110000}"/>
    <cellStyle name="Normal 2 2 2 2 2 2 2 2 2 2 2 2 2 2 19 2" xfId="4352" xr:uid="{00000000-0005-0000-0000-00002B110000}"/>
    <cellStyle name="Normal 2 2 2 2 2 2 2 2 2 2 2 2 2 2 2" xfId="4353" xr:uid="{00000000-0005-0000-0000-00002C110000}"/>
    <cellStyle name="Normal 2 2 2 2 2 2 2 2 2 2 2 2 2 2 2 10" xfId="4354" xr:uid="{00000000-0005-0000-0000-00002D110000}"/>
    <cellStyle name="Normal 2 2 2 2 2 2 2 2 2 2 2 2 2 2 2 10 2" xfId="4355" xr:uid="{00000000-0005-0000-0000-00002E110000}"/>
    <cellStyle name="Normal 2 2 2 2 2 2 2 2 2 2 2 2 2 2 2 11" xfId="4356" xr:uid="{00000000-0005-0000-0000-00002F110000}"/>
    <cellStyle name="Normal 2 2 2 2 2 2 2 2 2 2 2 2 2 2 2 12" xfId="4357" xr:uid="{00000000-0005-0000-0000-000030110000}"/>
    <cellStyle name="Normal 2 2 2 2 2 2 2 2 2 2 2 2 2 2 2 13" xfId="4358" xr:uid="{00000000-0005-0000-0000-000031110000}"/>
    <cellStyle name="Normal 2 2 2 2 2 2 2 2 2 2 2 2 2 2 2 14" xfId="4359" xr:uid="{00000000-0005-0000-0000-000032110000}"/>
    <cellStyle name="Normal 2 2 2 2 2 2 2 2 2 2 2 2 2 2 2 15" xfId="4360" xr:uid="{00000000-0005-0000-0000-000033110000}"/>
    <cellStyle name="Normal 2 2 2 2 2 2 2 2 2 2 2 2 2 2 2 15 2" xfId="4361" xr:uid="{00000000-0005-0000-0000-000034110000}"/>
    <cellStyle name="Normal 2 2 2 2 2 2 2 2 2 2 2 2 2 2 2 16" xfId="4362" xr:uid="{00000000-0005-0000-0000-000035110000}"/>
    <cellStyle name="Normal 2 2 2 2 2 2 2 2 2 2 2 2 2 2 2 16 2" xfId="4363" xr:uid="{00000000-0005-0000-0000-000036110000}"/>
    <cellStyle name="Normal 2 2 2 2 2 2 2 2 2 2 2 2 2 2 2 17" xfId="4364" xr:uid="{00000000-0005-0000-0000-000037110000}"/>
    <cellStyle name="Normal 2 2 2 2 2 2 2 2 2 2 2 2 2 2 2 18" xfId="4365" xr:uid="{00000000-0005-0000-0000-000038110000}"/>
    <cellStyle name="Normal 2 2 2 2 2 2 2 2 2 2 2 2 2 2 2 19" xfId="4366" xr:uid="{00000000-0005-0000-0000-000039110000}"/>
    <cellStyle name="Normal 2 2 2 2 2 2 2 2 2 2 2 2 2 2 2 19 2" xfId="4367" xr:uid="{00000000-0005-0000-0000-00003A110000}"/>
    <cellStyle name="Normal 2 2 2 2 2 2 2 2 2 2 2 2 2 2 2 2" xfId="4368" xr:uid="{00000000-0005-0000-0000-00003B110000}"/>
    <cellStyle name="Normal 2 2 2 2 2 2 2 2 2 2 2 2 2 2 2 2 10" xfId="4369" xr:uid="{00000000-0005-0000-0000-00003C110000}"/>
    <cellStyle name="Normal 2 2 2 2 2 2 2 2 2 2 2 2 2 2 2 2 10 2" xfId="4370" xr:uid="{00000000-0005-0000-0000-00003D110000}"/>
    <cellStyle name="Normal 2 2 2 2 2 2 2 2 2 2 2 2 2 2 2 2 11" xfId="4371" xr:uid="{00000000-0005-0000-0000-00003E110000}"/>
    <cellStyle name="Normal 2 2 2 2 2 2 2 2 2 2 2 2 2 2 2 2 12" xfId="4372" xr:uid="{00000000-0005-0000-0000-00003F110000}"/>
    <cellStyle name="Normal 2 2 2 2 2 2 2 2 2 2 2 2 2 2 2 2 13" xfId="4373" xr:uid="{00000000-0005-0000-0000-000040110000}"/>
    <cellStyle name="Normal 2 2 2 2 2 2 2 2 2 2 2 2 2 2 2 2 14" xfId="4374" xr:uid="{00000000-0005-0000-0000-000041110000}"/>
    <cellStyle name="Normal 2 2 2 2 2 2 2 2 2 2 2 2 2 2 2 2 15" xfId="4375" xr:uid="{00000000-0005-0000-0000-000042110000}"/>
    <cellStyle name="Normal 2 2 2 2 2 2 2 2 2 2 2 2 2 2 2 2 15 2" xfId="4376" xr:uid="{00000000-0005-0000-0000-000043110000}"/>
    <cellStyle name="Normal 2 2 2 2 2 2 2 2 2 2 2 2 2 2 2 2 16" xfId="4377" xr:uid="{00000000-0005-0000-0000-000044110000}"/>
    <cellStyle name="Normal 2 2 2 2 2 2 2 2 2 2 2 2 2 2 2 2 16 2" xfId="4378" xr:uid="{00000000-0005-0000-0000-000045110000}"/>
    <cellStyle name="Normal 2 2 2 2 2 2 2 2 2 2 2 2 2 2 2 2 17" xfId="4379" xr:uid="{00000000-0005-0000-0000-000046110000}"/>
    <cellStyle name="Normal 2 2 2 2 2 2 2 2 2 2 2 2 2 2 2 2 18" xfId="4380" xr:uid="{00000000-0005-0000-0000-000047110000}"/>
    <cellStyle name="Normal 2 2 2 2 2 2 2 2 2 2 2 2 2 2 2 2 19" xfId="4381" xr:uid="{00000000-0005-0000-0000-000048110000}"/>
    <cellStyle name="Normal 2 2 2 2 2 2 2 2 2 2 2 2 2 2 2 2 19 2" xfId="4382" xr:uid="{00000000-0005-0000-0000-000049110000}"/>
    <cellStyle name="Normal 2 2 2 2 2 2 2 2 2 2 2 2 2 2 2 2 2" xfId="4383" xr:uid="{00000000-0005-0000-0000-00004A110000}"/>
    <cellStyle name="Normal 2 2 2 2 2 2 2 2 2 2 2 2 2 2 2 2 2 10" xfId="4384" xr:uid="{00000000-0005-0000-0000-00004B110000}"/>
    <cellStyle name="Normal 2 2 2 2 2 2 2 2 2 2 2 2 2 2 2 2 2 11" xfId="4385" xr:uid="{00000000-0005-0000-0000-00004C110000}"/>
    <cellStyle name="Normal 2 2 2 2 2 2 2 2 2 2 2 2 2 2 2 2 2 12" xfId="4386" xr:uid="{00000000-0005-0000-0000-00004D110000}"/>
    <cellStyle name="Normal 2 2 2 2 2 2 2 2 2 2 2 2 2 2 2 2 2 13" xfId="4387" xr:uid="{00000000-0005-0000-0000-00004E110000}"/>
    <cellStyle name="Normal 2 2 2 2 2 2 2 2 2 2 2 2 2 2 2 2 2 14" xfId="4388" xr:uid="{00000000-0005-0000-0000-00004F110000}"/>
    <cellStyle name="Normal 2 2 2 2 2 2 2 2 2 2 2 2 2 2 2 2 2 14 2" xfId="4389" xr:uid="{00000000-0005-0000-0000-000050110000}"/>
    <cellStyle name="Normal 2 2 2 2 2 2 2 2 2 2 2 2 2 2 2 2 2 15" xfId="4390" xr:uid="{00000000-0005-0000-0000-000051110000}"/>
    <cellStyle name="Normal 2 2 2 2 2 2 2 2 2 2 2 2 2 2 2 2 2 15 2" xfId="4391" xr:uid="{00000000-0005-0000-0000-000052110000}"/>
    <cellStyle name="Normal 2 2 2 2 2 2 2 2 2 2 2 2 2 2 2 2 2 16" xfId="4392" xr:uid="{00000000-0005-0000-0000-000053110000}"/>
    <cellStyle name="Normal 2 2 2 2 2 2 2 2 2 2 2 2 2 2 2 2 2 17" xfId="4393" xr:uid="{00000000-0005-0000-0000-000054110000}"/>
    <cellStyle name="Normal 2 2 2 2 2 2 2 2 2 2 2 2 2 2 2 2 2 18" xfId="4394" xr:uid="{00000000-0005-0000-0000-000055110000}"/>
    <cellStyle name="Normal 2 2 2 2 2 2 2 2 2 2 2 2 2 2 2 2 2 18 2" xfId="4395" xr:uid="{00000000-0005-0000-0000-000056110000}"/>
    <cellStyle name="Normal 2 2 2 2 2 2 2 2 2 2 2 2 2 2 2 2 2 19" xfId="4396" xr:uid="{00000000-0005-0000-0000-000057110000}"/>
    <cellStyle name="Normal 2 2 2 2 2 2 2 2 2 2 2 2 2 2 2 2 2 2" xfId="4397" xr:uid="{00000000-0005-0000-0000-000058110000}"/>
    <cellStyle name="Normal 2 2 2 2 2 2 2 2 2 2 2 2 2 2 2 2 2 2 10" xfId="4398" xr:uid="{00000000-0005-0000-0000-000059110000}"/>
    <cellStyle name="Normal 2 2 2 2 2 2 2 2 2 2 2 2 2 2 2 2 2 2 11" xfId="4399" xr:uid="{00000000-0005-0000-0000-00005A110000}"/>
    <cellStyle name="Normal 2 2 2 2 2 2 2 2 2 2 2 2 2 2 2 2 2 2 12" xfId="4400" xr:uid="{00000000-0005-0000-0000-00005B110000}"/>
    <cellStyle name="Normal 2 2 2 2 2 2 2 2 2 2 2 2 2 2 2 2 2 2 13" xfId="4401" xr:uid="{00000000-0005-0000-0000-00005C110000}"/>
    <cellStyle name="Normal 2 2 2 2 2 2 2 2 2 2 2 2 2 2 2 2 2 2 14" xfId="4402" xr:uid="{00000000-0005-0000-0000-00005D110000}"/>
    <cellStyle name="Normal 2 2 2 2 2 2 2 2 2 2 2 2 2 2 2 2 2 2 14 2" xfId="4403" xr:uid="{00000000-0005-0000-0000-00005E110000}"/>
    <cellStyle name="Normal 2 2 2 2 2 2 2 2 2 2 2 2 2 2 2 2 2 2 15" xfId="4404" xr:uid="{00000000-0005-0000-0000-00005F110000}"/>
    <cellStyle name="Normal 2 2 2 2 2 2 2 2 2 2 2 2 2 2 2 2 2 2 15 2" xfId="4405" xr:uid="{00000000-0005-0000-0000-000060110000}"/>
    <cellStyle name="Normal 2 2 2 2 2 2 2 2 2 2 2 2 2 2 2 2 2 2 16" xfId="4406" xr:uid="{00000000-0005-0000-0000-000061110000}"/>
    <cellStyle name="Normal 2 2 2 2 2 2 2 2 2 2 2 2 2 2 2 2 2 2 17" xfId="4407" xr:uid="{00000000-0005-0000-0000-000062110000}"/>
    <cellStyle name="Normal 2 2 2 2 2 2 2 2 2 2 2 2 2 2 2 2 2 2 18" xfId="4408" xr:uid="{00000000-0005-0000-0000-000063110000}"/>
    <cellStyle name="Normal 2 2 2 2 2 2 2 2 2 2 2 2 2 2 2 2 2 2 18 2" xfId="4409" xr:uid="{00000000-0005-0000-0000-000064110000}"/>
    <cellStyle name="Normal 2 2 2 2 2 2 2 2 2 2 2 2 2 2 2 2 2 2 19" xfId="4410" xr:uid="{00000000-0005-0000-0000-000065110000}"/>
    <cellStyle name="Normal 2 2 2 2 2 2 2 2 2 2 2 2 2 2 2 2 2 2 2" xfId="4411" xr:uid="{00000000-0005-0000-0000-000066110000}"/>
    <cellStyle name="Normal 2 2 2 2 2 2 2 2 2 2 2 2 2 2 2 2 2 2 2 10" xfId="4412" xr:uid="{00000000-0005-0000-0000-000067110000}"/>
    <cellStyle name="Normal 2 2 2 2 2 2 2 2 2 2 2 2 2 2 2 2 2 2 2 11" xfId="4413" xr:uid="{00000000-0005-0000-0000-000068110000}"/>
    <cellStyle name="Normal 2 2 2 2 2 2 2 2 2 2 2 2 2 2 2 2 2 2 2 12" xfId="4414" xr:uid="{00000000-0005-0000-0000-000069110000}"/>
    <cellStyle name="Normal 2 2 2 2 2 2 2 2 2 2 2 2 2 2 2 2 2 2 2 13" xfId="4415" xr:uid="{00000000-0005-0000-0000-00006A110000}"/>
    <cellStyle name="Normal 2 2 2 2 2 2 2 2 2 2 2 2 2 2 2 2 2 2 2 13 2" xfId="4416" xr:uid="{00000000-0005-0000-0000-00006B110000}"/>
    <cellStyle name="Normal 2 2 2 2 2 2 2 2 2 2 2 2 2 2 2 2 2 2 2 14" xfId="4417" xr:uid="{00000000-0005-0000-0000-00006C110000}"/>
    <cellStyle name="Normal 2 2 2 2 2 2 2 2 2 2 2 2 2 2 2 2 2 2 2 14 2" xfId="4418" xr:uid="{00000000-0005-0000-0000-00006D110000}"/>
    <cellStyle name="Normal 2 2 2 2 2 2 2 2 2 2 2 2 2 2 2 2 2 2 2 15" xfId="4419" xr:uid="{00000000-0005-0000-0000-00006E110000}"/>
    <cellStyle name="Normal 2 2 2 2 2 2 2 2 2 2 2 2 2 2 2 2 2 2 2 16" xfId="4420" xr:uid="{00000000-0005-0000-0000-00006F110000}"/>
    <cellStyle name="Normal 2 2 2 2 2 2 2 2 2 2 2 2 2 2 2 2 2 2 2 17" xfId="4421" xr:uid="{00000000-0005-0000-0000-000070110000}"/>
    <cellStyle name="Normal 2 2 2 2 2 2 2 2 2 2 2 2 2 2 2 2 2 2 2 17 2" xfId="4422" xr:uid="{00000000-0005-0000-0000-000071110000}"/>
    <cellStyle name="Normal 2 2 2 2 2 2 2 2 2 2 2 2 2 2 2 2 2 2 2 18" xfId="4423" xr:uid="{00000000-0005-0000-0000-000072110000}"/>
    <cellStyle name="Normal 2 2 2 2 2 2 2 2 2 2 2 2 2 2 2 2 2 2 2 19" xfId="4424" xr:uid="{00000000-0005-0000-0000-000073110000}"/>
    <cellStyle name="Normal 2 2 2 2 2 2 2 2 2 2 2 2 2 2 2 2 2 2 2 19 2" xfId="4425" xr:uid="{00000000-0005-0000-0000-000074110000}"/>
    <cellStyle name="Normal 2 2 2 2 2 2 2 2 2 2 2 2 2 2 2 2 2 2 2 2" xfId="4426" xr:uid="{00000000-0005-0000-0000-000075110000}"/>
    <cellStyle name="Normal 2 2 2 2 2 2 2 2 2 2 2 2 2 2 2 2 2 2 2 2 10" xfId="4427" xr:uid="{00000000-0005-0000-0000-000076110000}"/>
    <cellStyle name="Normal 2 2 2 2 2 2 2 2 2 2 2 2 2 2 2 2 2 2 2 2 11" xfId="4428" xr:uid="{00000000-0005-0000-0000-000077110000}"/>
    <cellStyle name="Normal 2 2 2 2 2 2 2 2 2 2 2 2 2 2 2 2 2 2 2 2 12" xfId="4429" xr:uid="{00000000-0005-0000-0000-000078110000}"/>
    <cellStyle name="Normal 2 2 2 2 2 2 2 2 2 2 2 2 2 2 2 2 2 2 2 2 13" xfId="4430" xr:uid="{00000000-0005-0000-0000-000079110000}"/>
    <cellStyle name="Normal 2 2 2 2 2 2 2 2 2 2 2 2 2 2 2 2 2 2 2 2 13 2" xfId="4431" xr:uid="{00000000-0005-0000-0000-00007A110000}"/>
    <cellStyle name="Normal 2 2 2 2 2 2 2 2 2 2 2 2 2 2 2 2 2 2 2 2 14" xfId="4432" xr:uid="{00000000-0005-0000-0000-00007B110000}"/>
    <cellStyle name="Normal 2 2 2 2 2 2 2 2 2 2 2 2 2 2 2 2 2 2 2 2 14 2" xfId="4433" xr:uid="{00000000-0005-0000-0000-00007C110000}"/>
    <cellStyle name="Normal 2 2 2 2 2 2 2 2 2 2 2 2 2 2 2 2 2 2 2 2 15" xfId="4434" xr:uid="{00000000-0005-0000-0000-00007D110000}"/>
    <cellStyle name="Normal 2 2 2 2 2 2 2 2 2 2 2 2 2 2 2 2 2 2 2 2 16" xfId="4435" xr:uid="{00000000-0005-0000-0000-00007E110000}"/>
    <cellStyle name="Normal 2 2 2 2 2 2 2 2 2 2 2 2 2 2 2 2 2 2 2 2 17" xfId="4436" xr:uid="{00000000-0005-0000-0000-00007F110000}"/>
    <cellStyle name="Normal 2 2 2 2 2 2 2 2 2 2 2 2 2 2 2 2 2 2 2 2 17 2" xfId="4437" xr:uid="{00000000-0005-0000-0000-000080110000}"/>
    <cellStyle name="Normal 2 2 2 2 2 2 2 2 2 2 2 2 2 2 2 2 2 2 2 2 18" xfId="4438" xr:uid="{00000000-0005-0000-0000-000081110000}"/>
    <cellStyle name="Normal 2 2 2 2 2 2 2 2 2 2 2 2 2 2 2 2 2 2 2 2 19" xfId="4439" xr:uid="{00000000-0005-0000-0000-000082110000}"/>
    <cellStyle name="Normal 2 2 2 2 2 2 2 2 2 2 2 2 2 2 2 2 2 2 2 2 19 2" xfId="4440" xr:uid="{00000000-0005-0000-0000-000083110000}"/>
    <cellStyle name="Normal 2 2 2 2 2 2 2 2 2 2 2 2 2 2 2 2 2 2 2 2 2" xfId="4441" xr:uid="{00000000-0005-0000-0000-000084110000}"/>
    <cellStyle name="Normal 2 2 2 2 2 2 2 2 2 2 2 2 2 2 2 2 2 2 2 2 2 10" xfId="4442" xr:uid="{00000000-0005-0000-0000-000085110000}"/>
    <cellStyle name="Normal 2 2 2 2 2 2 2 2 2 2 2 2 2 2 2 2 2 2 2 2 2 11" xfId="4443" xr:uid="{00000000-0005-0000-0000-000086110000}"/>
    <cellStyle name="Normal 2 2 2 2 2 2 2 2 2 2 2 2 2 2 2 2 2 2 2 2 2 12" xfId="4444" xr:uid="{00000000-0005-0000-0000-000087110000}"/>
    <cellStyle name="Normal 2 2 2 2 2 2 2 2 2 2 2 2 2 2 2 2 2 2 2 2 2 13" xfId="4445" xr:uid="{00000000-0005-0000-0000-000088110000}"/>
    <cellStyle name="Normal 2 2 2 2 2 2 2 2 2 2 2 2 2 2 2 2 2 2 2 2 2 13 2" xfId="4446" xr:uid="{00000000-0005-0000-0000-000089110000}"/>
    <cellStyle name="Normal 2 2 2 2 2 2 2 2 2 2 2 2 2 2 2 2 2 2 2 2 2 14" xfId="4447" xr:uid="{00000000-0005-0000-0000-00008A110000}"/>
    <cellStyle name="Normal 2 2 2 2 2 2 2 2 2 2 2 2 2 2 2 2 2 2 2 2 2 14 2" xfId="4448" xr:uid="{00000000-0005-0000-0000-00008B110000}"/>
    <cellStyle name="Normal 2 2 2 2 2 2 2 2 2 2 2 2 2 2 2 2 2 2 2 2 2 15" xfId="4449" xr:uid="{00000000-0005-0000-0000-00008C110000}"/>
    <cellStyle name="Normal 2 2 2 2 2 2 2 2 2 2 2 2 2 2 2 2 2 2 2 2 2 16" xfId="4450" xr:uid="{00000000-0005-0000-0000-00008D110000}"/>
    <cellStyle name="Normal 2 2 2 2 2 2 2 2 2 2 2 2 2 2 2 2 2 2 2 2 2 17" xfId="4451" xr:uid="{00000000-0005-0000-0000-00008E110000}"/>
    <cellStyle name="Normal 2 2 2 2 2 2 2 2 2 2 2 2 2 2 2 2 2 2 2 2 2 17 2" xfId="4452" xr:uid="{00000000-0005-0000-0000-00008F110000}"/>
    <cellStyle name="Normal 2 2 2 2 2 2 2 2 2 2 2 2 2 2 2 2 2 2 2 2 2 18" xfId="4453" xr:uid="{00000000-0005-0000-0000-000090110000}"/>
    <cellStyle name="Normal 2 2 2 2 2 2 2 2 2 2 2 2 2 2 2 2 2 2 2 2 2 19" xfId="4454" xr:uid="{00000000-0005-0000-0000-000091110000}"/>
    <cellStyle name="Normal 2 2 2 2 2 2 2 2 2 2 2 2 2 2 2 2 2 2 2 2 2 19 2" xfId="4455" xr:uid="{00000000-0005-0000-0000-000092110000}"/>
    <cellStyle name="Normal 2 2 2 2 2 2 2 2 2 2 2 2 2 2 2 2 2 2 2 2 2 2" xfId="4456" xr:uid="{00000000-0005-0000-0000-000093110000}"/>
    <cellStyle name="Normal 2 2 2 2 2 2 2 2 2 2 2 2 2 2 2 2 2 2 2 2 2 2 10" xfId="4457" xr:uid="{00000000-0005-0000-0000-000094110000}"/>
    <cellStyle name="Normal 2 2 2 2 2 2 2 2 2 2 2 2 2 2 2 2 2 2 2 2 2 2 11" xfId="4458" xr:uid="{00000000-0005-0000-0000-000095110000}"/>
    <cellStyle name="Normal 2 2 2 2 2 2 2 2 2 2 2 2 2 2 2 2 2 2 2 2 2 2 12" xfId="4459" xr:uid="{00000000-0005-0000-0000-000096110000}"/>
    <cellStyle name="Normal 2 2 2 2 2 2 2 2 2 2 2 2 2 2 2 2 2 2 2 2 2 2 12 2" xfId="4460" xr:uid="{00000000-0005-0000-0000-000097110000}"/>
    <cellStyle name="Normal 2 2 2 2 2 2 2 2 2 2 2 2 2 2 2 2 2 2 2 2 2 2 13" xfId="4461" xr:uid="{00000000-0005-0000-0000-000098110000}"/>
    <cellStyle name="Normal 2 2 2 2 2 2 2 2 2 2 2 2 2 2 2 2 2 2 2 2 2 2 13 2" xfId="4462" xr:uid="{00000000-0005-0000-0000-000099110000}"/>
    <cellStyle name="Normal 2 2 2 2 2 2 2 2 2 2 2 2 2 2 2 2 2 2 2 2 2 2 14" xfId="4463" xr:uid="{00000000-0005-0000-0000-00009A110000}"/>
    <cellStyle name="Normal 2 2 2 2 2 2 2 2 2 2 2 2 2 2 2 2 2 2 2 2 2 2 15" xfId="4464" xr:uid="{00000000-0005-0000-0000-00009B110000}"/>
    <cellStyle name="Normal 2 2 2 2 2 2 2 2 2 2 2 2 2 2 2 2 2 2 2 2 2 2 16" xfId="4465" xr:uid="{00000000-0005-0000-0000-00009C110000}"/>
    <cellStyle name="Normal 2 2 2 2 2 2 2 2 2 2 2 2 2 2 2 2 2 2 2 2 2 2 16 2" xfId="4466" xr:uid="{00000000-0005-0000-0000-00009D110000}"/>
    <cellStyle name="Normal 2 2 2 2 2 2 2 2 2 2 2 2 2 2 2 2 2 2 2 2 2 2 17" xfId="4467" xr:uid="{00000000-0005-0000-0000-00009E110000}"/>
    <cellStyle name="Normal 2 2 2 2 2 2 2 2 2 2 2 2 2 2 2 2 2 2 2 2 2 2 18" xfId="4468" xr:uid="{00000000-0005-0000-0000-00009F110000}"/>
    <cellStyle name="Normal 2 2 2 2 2 2 2 2 2 2 2 2 2 2 2 2 2 2 2 2 2 2 18 2" xfId="4469" xr:uid="{00000000-0005-0000-0000-0000A0110000}"/>
    <cellStyle name="Normal 2 2 2 2 2 2 2 2 2 2 2 2 2 2 2 2 2 2 2 2 2 2 2" xfId="4470" xr:uid="{00000000-0005-0000-0000-0000A1110000}"/>
    <cellStyle name="Normal 2 2 2 2 2 2 2 2 2 2 2 2 2 2 2 2 2 2 2 2 2 2 2 10" xfId="4471" xr:uid="{00000000-0005-0000-0000-0000A2110000}"/>
    <cellStyle name="Normal 2 2 2 2 2 2 2 2 2 2 2 2 2 2 2 2 2 2 2 2 2 2 2 11" xfId="4472" xr:uid="{00000000-0005-0000-0000-0000A3110000}"/>
    <cellStyle name="Normal 2 2 2 2 2 2 2 2 2 2 2 2 2 2 2 2 2 2 2 2 2 2 2 11 2" xfId="4473" xr:uid="{00000000-0005-0000-0000-0000A4110000}"/>
    <cellStyle name="Normal 2 2 2 2 2 2 2 2 2 2 2 2 2 2 2 2 2 2 2 2 2 2 2 12" xfId="4474" xr:uid="{00000000-0005-0000-0000-0000A5110000}"/>
    <cellStyle name="Normal 2 2 2 2 2 2 2 2 2 2 2 2 2 2 2 2 2 2 2 2 2 2 2 12 2" xfId="4475" xr:uid="{00000000-0005-0000-0000-0000A6110000}"/>
    <cellStyle name="Normal 2 2 2 2 2 2 2 2 2 2 2 2 2 2 2 2 2 2 2 2 2 2 2 13" xfId="4476" xr:uid="{00000000-0005-0000-0000-0000A7110000}"/>
    <cellStyle name="Normal 2 2 2 2 2 2 2 2 2 2 2 2 2 2 2 2 2 2 2 2 2 2 2 14" xfId="4477" xr:uid="{00000000-0005-0000-0000-0000A8110000}"/>
    <cellStyle name="Normal 2 2 2 2 2 2 2 2 2 2 2 2 2 2 2 2 2 2 2 2 2 2 2 15" xfId="4478" xr:uid="{00000000-0005-0000-0000-0000A9110000}"/>
    <cellStyle name="Normal 2 2 2 2 2 2 2 2 2 2 2 2 2 2 2 2 2 2 2 2 2 2 2 15 2" xfId="4479" xr:uid="{00000000-0005-0000-0000-0000AA110000}"/>
    <cellStyle name="Normal 2 2 2 2 2 2 2 2 2 2 2 2 2 2 2 2 2 2 2 2 2 2 2 16" xfId="4480" xr:uid="{00000000-0005-0000-0000-0000AB110000}"/>
    <cellStyle name="Normal 2 2 2 2 2 2 2 2 2 2 2 2 2 2 2 2 2 2 2 2 2 2 2 17" xfId="4481" xr:uid="{00000000-0005-0000-0000-0000AC110000}"/>
    <cellStyle name="Normal 2 2 2 2 2 2 2 2 2 2 2 2 2 2 2 2 2 2 2 2 2 2 2 17 2" xfId="4482" xr:uid="{00000000-0005-0000-0000-0000AD110000}"/>
    <cellStyle name="Normal 2 2 2 2 2 2 2 2 2 2 2 2 2 2 2 2 2 2 2 2 2 2 2 2" xfId="4483" xr:uid="{00000000-0005-0000-0000-0000AE110000}"/>
    <cellStyle name="Normal 2 2 2 2 2 2 2 2 2 2 2 2 2 2 2 2 2 2 2 2 2 2 2 2 10" xfId="4484" xr:uid="{00000000-0005-0000-0000-0000AF110000}"/>
    <cellStyle name="Normal 2 2 2 2 2 2 2 2 2 2 2 2 2 2 2 2 2 2 2 2 2 2 2 2 10 2" xfId="4485" xr:uid="{00000000-0005-0000-0000-0000B0110000}"/>
    <cellStyle name="Normal 2 2 2 2 2 2 2 2 2 2 2 2 2 2 2 2 2 2 2 2 2 2 2 2 11" xfId="4486" xr:uid="{00000000-0005-0000-0000-0000B1110000}"/>
    <cellStyle name="Normal 2 2 2 2 2 2 2 2 2 2 2 2 2 2 2 2 2 2 2 2 2 2 2 2 12" xfId="4487" xr:uid="{00000000-0005-0000-0000-0000B2110000}"/>
    <cellStyle name="Normal 2 2 2 2 2 2 2 2 2 2 2 2 2 2 2 2 2 2 2 2 2 2 2 2 13" xfId="4488" xr:uid="{00000000-0005-0000-0000-0000B3110000}"/>
    <cellStyle name="Normal 2 2 2 2 2 2 2 2 2 2 2 2 2 2 2 2 2 2 2 2 2 2 2 2 13 2" xfId="4489" xr:uid="{00000000-0005-0000-0000-0000B4110000}"/>
    <cellStyle name="Normal 2 2 2 2 2 2 2 2 2 2 2 2 2 2 2 2 2 2 2 2 2 2 2 2 14" xfId="4490" xr:uid="{00000000-0005-0000-0000-0000B5110000}"/>
    <cellStyle name="Normal 2 2 2 2 2 2 2 2 2 2 2 2 2 2 2 2 2 2 2 2 2 2 2 2 15" xfId="4491" xr:uid="{00000000-0005-0000-0000-0000B6110000}"/>
    <cellStyle name="Normal 2 2 2 2 2 2 2 2 2 2 2 2 2 2 2 2 2 2 2 2 2 2 2 2 15 2" xfId="4492" xr:uid="{00000000-0005-0000-0000-0000B7110000}"/>
    <cellStyle name="Normal 2 2 2 2 2 2 2 2 2 2 2 2 2 2 2 2 2 2 2 2 2 2 2 2 2" xfId="4493" xr:uid="{00000000-0005-0000-0000-0000B8110000}"/>
    <cellStyle name="Normal 2 2 2 2 2 2 2 2 2 2 2 2 2 2 2 2 2 2 2 2 2 2 2 2 2 10" xfId="4494" xr:uid="{00000000-0005-0000-0000-0000B9110000}"/>
    <cellStyle name="Normal 2 2 2 2 2 2 2 2 2 2 2 2 2 2 2 2 2 2 2 2 2 2 2 2 2 11" xfId="4495" xr:uid="{00000000-0005-0000-0000-0000BA110000}"/>
    <cellStyle name="Normal 2 2 2 2 2 2 2 2 2 2 2 2 2 2 2 2 2 2 2 2 2 2 2 2 2 12" xfId="4496" xr:uid="{00000000-0005-0000-0000-0000BB110000}"/>
    <cellStyle name="Normal 2 2 2 2 2 2 2 2 2 2 2 2 2 2 2 2 2 2 2 2 2 2 2 2 2 12 2" xfId="4497" xr:uid="{00000000-0005-0000-0000-0000BC110000}"/>
    <cellStyle name="Normal 2 2 2 2 2 2 2 2 2 2 2 2 2 2 2 2 2 2 2 2 2 2 2 2 2 13" xfId="4498" xr:uid="{00000000-0005-0000-0000-0000BD110000}"/>
    <cellStyle name="Normal 2 2 2 2 2 2 2 2 2 2 2 2 2 2 2 2 2 2 2 2 2 2 2 2 2 14" xfId="4499" xr:uid="{00000000-0005-0000-0000-0000BE110000}"/>
    <cellStyle name="Normal 2 2 2 2 2 2 2 2 2 2 2 2 2 2 2 2 2 2 2 2 2 2 2 2 2 14 2" xfId="4500" xr:uid="{00000000-0005-0000-0000-0000BF110000}"/>
    <cellStyle name="Normal 2 2 2 2 2 2 2 2 2 2 2 2 2 2 2 2 2 2 2 2 2 2 2 2 2 2" xfId="4501" xr:uid="{00000000-0005-0000-0000-0000C0110000}"/>
    <cellStyle name="Normal 2 2 2 2 2 2 2 2 2 2 2 2 2 2 2 2 2 2 2 2 2 2 2 2 2 2 10" xfId="4502" xr:uid="{00000000-0005-0000-0000-0000C1110000}"/>
    <cellStyle name="Normal 2 2 2 2 2 2 2 2 2 2 2 2 2 2 2 2 2 2 2 2 2 2 2 2 2 2 11" xfId="4503" xr:uid="{00000000-0005-0000-0000-0000C2110000}"/>
    <cellStyle name="Normal 2 2 2 2 2 2 2 2 2 2 2 2 2 2 2 2 2 2 2 2 2 2 2 2 2 2 12" xfId="4504" xr:uid="{00000000-0005-0000-0000-0000C3110000}"/>
    <cellStyle name="Normal 2 2 2 2 2 2 2 2 2 2 2 2 2 2 2 2 2 2 2 2 2 2 2 2 2 2 12 2" xfId="4505" xr:uid="{00000000-0005-0000-0000-0000C4110000}"/>
    <cellStyle name="Normal 2 2 2 2 2 2 2 2 2 2 2 2 2 2 2 2 2 2 2 2 2 2 2 2 2 2 13" xfId="4506" xr:uid="{00000000-0005-0000-0000-0000C5110000}"/>
    <cellStyle name="Normal 2 2 2 2 2 2 2 2 2 2 2 2 2 2 2 2 2 2 2 2 2 2 2 2 2 2 14" xfId="4507" xr:uid="{00000000-0005-0000-0000-0000C6110000}"/>
    <cellStyle name="Normal 2 2 2 2 2 2 2 2 2 2 2 2 2 2 2 2 2 2 2 2 2 2 2 2 2 2 14 2" xfId="4508" xr:uid="{00000000-0005-0000-0000-0000C7110000}"/>
    <cellStyle name="Normal 2 2 2 2 2 2 2 2 2 2 2 2 2 2 2 2 2 2 2 2 2 2 2 2 2 2 2" xfId="4509" xr:uid="{00000000-0005-0000-0000-0000C8110000}"/>
    <cellStyle name="Normal 2 2 2 2 2 2 2 2 2 2 2 2 2 2 2 2 2 2 2 2 2 2 2 2 2 2 2 10" xfId="4510" xr:uid="{00000000-0005-0000-0000-0000C9110000}"/>
    <cellStyle name="Normal 2 2 2 2 2 2 2 2 2 2 2 2 2 2 2 2 2 2 2 2 2 2 2 2 2 2 2 11" xfId="4511" xr:uid="{00000000-0005-0000-0000-0000CA110000}"/>
    <cellStyle name="Normal 2 2 2 2 2 2 2 2 2 2 2 2 2 2 2 2 2 2 2 2 2 2 2 2 2 2 2 12" xfId="4512" xr:uid="{00000000-0005-0000-0000-0000CB110000}"/>
    <cellStyle name="Normal 2 2 2 2 2 2 2 2 2 2 2 2 2 2 2 2 2 2 2 2 2 2 2 2 2 2 2 12 2" xfId="4513" xr:uid="{00000000-0005-0000-0000-0000CC110000}"/>
    <cellStyle name="Normal 2 2 2 2 2 2 2 2 2 2 2 2 2 2 2 2 2 2 2 2 2 2 2 2 2 2 2 13" xfId="4514" xr:uid="{00000000-0005-0000-0000-0000CD110000}"/>
    <cellStyle name="Normal 2 2 2 2 2 2 2 2 2 2 2 2 2 2 2 2 2 2 2 2 2 2 2 2 2 2 2 14" xfId="4515" xr:uid="{00000000-0005-0000-0000-0000CE110000}"/>
    <cellStyle name="Normal 2 2 2 2 2 2 2 2 2 2 2 2 2 2 2 2 2 2 2 2 2 2 2 2 2 2 2 14 2" xfId="4516" xr:uid="{00000000-0005-0000-0000-0000CF110000}"/>
    <cellStyle name="Normal 2 2 2 2 2 2 2 2 2 2 2 2 2 2 2 2 2 2 2 2 2 2 2 2 2 2 2 2" xfId="4517" xr:uid="{00000000-0005-0000-0000-0000D0110000}"/>
    <cellStyle name="Normal 2 2 2 2 2 2 2 2 2 2 2 2 2 2 2 2 2 2 2 2 2 2 2 2 2 2 2 2 10" xfId="4518" xr:uid="{00000000-0005-0000-0000-0000D1110000}"/>
    <cellStyle name="Normal 2 2 2 2 2 2 2 2 2 2 2 2 2 2 2 2 2 2 2 2 2 2 2 2 2 2 2 2 11" xfId="4519" xr:uid="{00000000-0005-0000-0000-0000D2110000}"/>
    <cellStyle name="Normal 2 2 2 2 2 2 2 2 2 2 2 2 2 2 2 2 2 2 2 2 2 2 2 2 2 2 2 2 11 2" xfId="4520" xr:uid="{00000000-0005-0000-0000-0000D3110000}"/>
    <cellStyle name="Normal 2 2 2 2 2 2 2 2 2 2 2 2 2 2 2 2 2 2 2 2 2 2 2 2 2 2 2 2 12" xfId="4521" xr:uid="{00000000-0005-0000-0000-0000D4110000}"/>
    <cellStyle name="Normal 2 2 2 2 2 2 2 2 2 2 2 2 2 2 2 2 2 2 2 2 2 2 2 2 2 2 2 2 13" xfId="4522" xr:uid="{00000000-0005-0000-0000-0000D5110000}"/>
    <cellStyle name="Normal 2 2 2 2 2 2 2 2 2 2 2 2 2 2 2 2 2 2 2 2 2 2 2 2 2 2 2 2 13 2" xfId="4523" xr:uid="{00000000-0005-0000-0000-0000D6110000}"/>
    <cellStyle name="Normal 2 2 2 2 2 2 2 2 2 2 2 2 2 2 2 2 2 2 2 2 2 2 2 2 2 2 2 2 2" xfId="4524" xr:uid="{00000000-0005-0000-0000-0000D7110000}"/>
    <cellStyle name="Normal 2 2 2 2 2 2 2 2 2 2 2 2 2 2 2 2 2 2 2 2 2 2 2 2 2 2 2 2 2 10" xfId="4525" xr:uid="{00000000-0005-0000-0000-0000D8110000}"/>
    <cellStyle name="Normal 2 2 2 2 2 2 2 2 2 2 2 2 2 2 2 2 2 2 2 2 2 2 2 2 2 2 2 2 2 10 2" xfId="4526" xr:uid="{00000000-0005-0000-0000-0000D9110000}"/>
    <cellStyle name="Normal 2 2 2 2 2 2 2 2 2 2 2 2 2 2 2 2 2 2 2 2 2 2 2 2 2 2 2 2 2 11" xfId="4527" xr:uid="{00000000-0005-0000-0000-0000DA110000}"/>
    <cellStyle name="Normal 2 2 2 2 2 2 2 2 2 2 2 2 2 2 2 2 2 2 2 2 2 2 2 2 2 2 2 2 2 12" xfId="4528" xr:uid="{00000000-0005-0000-0000-0000DB110000}"/>
    <cellStyle name="Normal 2 2 2 2 2 2 2 2 2 2 2 2 2 2 2 2 2 2 2 2 2 2 2 2 2 2 2 2 2 12 2" xfId="4529" xr:uid="{00000000-0005-0000-0000-0000DC110000}"/>
    <cellStyle name="Normal 2 2 2 2 2 2 2 2 2 2 2 2 2 2 2 2 2 2 2 2 2 2 2 2 2 2 2 2 2 2" xfId="4530" xr:uid="{00000000-0005-0000-0000-0000DD110000}"/>
    <cellStyle name="Normal 2 2 2 2 2 2 2 2 2 2 2 2 2 2 2 2 2 2 2 2 2 2 2 2 2 2 2 2 2 2 10" xfId="4531" xr:uid="{00000000-0005-0000-0000-0000DE110000}"/>
    <cellStyle name="Normal 2 2 2 2 2 2 2 2 2 2 2 2 2 2 2 2 2 2 2 2 2 2 2 2 2 2 2 2 2 2 10 2" xfId="4532" xr:uid="{00000000-0005-0000-0000-0000DF110000}"/>
    <cellStyle name="Normal 2 2 2 2 2 2 2 2 2 2 2 2 2 2 2 2 2 2 2 2 2 2 2 2 2 2 2 2 2 2 11" xfId="4533" xr:uid="{00000000-0005-0000-0000-0000E0110000}"/>
    <cellStyle name="Normal 2 2 2 2 2 2 2 2 2 2 2 2 2 2 2 2 2 2 2 2 2 2 2 2 2 2 2 2 2 2 12" xfId="4534" xr:uid="{00000000-0005-0000-0000-0000E1110000}"/>
    <cellStyle name="Normal 2 2 2 2 2 2 2 2 2 2 2 2 2 2 2 2 2 2 2 2 2 2 2 2 2 2 2 2 2 2 12 2" xfId="4535" xr:uid="{00000000-0005-0000-0000-0000E2110000}"/>
    <cellStyle name="Normal 2 2 2 2 2 2 2 2 2 2 2 2 2 2 2 2 2 2 2 2 2 2 2 2 2 2 2 2 2 2 2" xfId="4536" xr:uid="{00000000-0005-0000-0000-0000E3110000}"/>
    <cellStyle name="Normal 2 2 2 2 2 2 2 2 2 2 2 2 2 2 2 2 2 2 2 2 2 2 2 2 2 2 2 2 2 2 2 10" xfId="4537" xr:uid="{00000000-0005-0000-0000-0000E4110000}"/>
    <cellStyle name="Normal 2 2 2 2 2 2 2 2 2 2 2 2 2 2 2 2 2 2 2 2 2 2 2 2 2 2 2 2 2 2 2 11" xfId="4538" xr:uid="{00000000-0005-0000-0000-0000E5110000}"/>
    <cellStyle name="Normal 2 2 2 2 2 2 2 2 2 2 2 2 2 2 2 2 2 2 2 2 2 2 2 2 2 2 2 2 2 2 2 11 2" xfId="4539" xr:uid="{00000000-0005-0000-0000-0000E6110000}"/>
    <cellStyle name="Normal 2 2 2 2 2 2 2 2 2 2 2 2 2 2 2 2 2 2 2 2 2 2 2 2 2 2 2 2 2 2 2 2" xfId="4540" xr:uid="{00000000-0005-0000-0000-0000E7110000}"/>
    <cellStyle name="Normal 2 2 2 2 2 2 2 2 2 2 2 2 2 2 2 2 2 2 2 2 2 2 2 2 2 2 2 2 2 2 2 2 10" xfId="4541" xr:uid="{00000000-0005-0000-0000-0000E8110000}"/>
    <cellStyle name="Normal 2 2 2 2 2 2 2 2 2 2 2 2 2 2 2 2 2 2 2 2 2 2 2 2 2 2 2 2 2 2 2 2 11" xfId="4542" xr:uid="{00000000-0005-0000-0000-0000E9110000}"/>
    <cellStyle name="Normal 2 2 2 2 2 2 2 2 2 2 2 2 2 2 2 2 2 2 2 2 2 2 2 2 2 2 2 2 2 2 2 2 11 2" xfId="4543" xr:uid="{00000000-0005-0000-0000-0000EA110000}"/>
    <cellStyle name="Normal 2 2 2 2 2 2 2 2 2 2 2 2 2 2 2 2 2 2 2 2 2 2 2 2 2 2 2 2 2 2 2 2 2" xfId="4544" xr:uid="{00000000-0005-0000-0000-0000EB110000}"/>
    <cellStyle name="Normal 2 2 2 2 2 2 2 2 2 2 2 2 2 2 2 2 2 2 2 2 2 2 2 2 2 2 2 2 2 2 2 2 2 10" xfId="4545" xr:uid="{00000000-0005-0000-0000-0000EC110000}"/>
    <cellStyle name="Normal 2 2 2 2 2 2 2 2 2 2 2 2 2 2 2 2 2 2 2 2 2 2 2 2 2 2 2 2 2 2 2 2 2 10 2" xfId="4546" xr:uid="{00000000-0005-0000-0000-0000ED110000}"/>
    <cellStyle name="Normal 2 2 2 2 2 2 2 2 2 2 2 2 2 2 2 2 2 2 2 2 2 2 2 2 2 2 2 2 2 2 2 2 2 2" xfId="4547" xr:uid="{00000000-0005-0000-0000-0000EE110000}"/>
    <cellStyle name="Normal 2 2 2 2 2 2 2 2 2 2 2 2 2 2 2 2 2 2 2 2 2 2 2 2 2 2 2 2 2 2 2 2 2 2 10" xfId="4548" xr:uid="{00000000-0005-0000-0000-0000EF110000}"/>
    <cellStyle name="Normal 2 2 2 2 2 2 2 2 2 2 2 2 2 2 2 2 2 2 2 2 2 2 2 2 2 2 2 2 2 2 2 2 2 2 10 2" xfId="4549" xr:uid="{00000000-0005-0000-0000-0000F0110000}"/>
    <cellStyle name="Normal 2 2 2 2 2 2 2 2 2 2 2 2 2 2 2 2 2 2 2 2 2 2 2 2 2 2 2 2 2 2 2 2 2 2 2" xfId="4550" xr:uid="{00000000-0005-0000-0000-0000F1110000}"/>
    <cellStyle name="Normal 2 2 2 2 2 2 2 2 2 2 2 2 2 2 2 2 2 2 2 2 2 2 2 2 2 2 2 2 2 2 2 2 2 2 2 2" xfId="4551" xr:uid="{00000000-0005-0000-0000-0000F2110000}"/>
    <cellStyle name="Normal 2 2 2 2 2 2 2 2 2 2 2 2 2 2 2 2 2 2 2 2 2 2 2 2 2 2 2 2 2 2 2 2 2 2 2 2 2" xfId="4552" xr:uid="{00000000-0005-0000-0000-0000F3110000}"/>
    <cellStyle name="Normal 2 2 2 2 2 2 2 2 2 2 2 2 2 2 2 2 2 2 2 2 2 2 2 2 2 2 2 2 2 2 2 2 2 2 2 2 2 2" xfId="4553" xr:uid="{00000000-0005-0000-0000-0000F4110000}"/>
    <cellStyle name="Normal 2 2 2 2 2 2 2 2 2 2 2 2 2 2 2 2 2 2 2 2 2 2 2 2 2 2 2 2 2 2 2 2 2 2 2 2 2 2 2" xfId="4554" xr:uid="{00000000-0005-0000-0000-0000F5110000}"/>
    <cellStyle name="Normal 2 2 2 2 2 2 2 2 2 2 2 2 2 2 2 2 2 2 2 2 2 2 2 2 2 2 2 2 2 2 2 2 2 2 2 2 2 2 2 2" xfId="4555" xr:uid="{00000000-0005-0000-0000-0000F6110000}"/>
    <cellStyle name="Normal 2 2 2 2 2 2 2 2 2 2 2 2 2 2 2 2 2 2 2 2 2 2 2 2 2 2 2 2 2 2 2 2 2 2 2 2 2 2 2 2 2" xfId="4556" xr:uid="{00000000-0005-0000-0000-0000F7110000}"/>
    <cellStyle name="Normal 2 2 2 2 2 2 2 2 2 2 2 2 2 2 2 2 2 2 2 2 2 2 2 2 2 2 2 2 2 2 2 2 2 2 2 2 2 2 2 2 2 2" xfId="4557" xr:uid="{00000000-0005-0000-0000-0000F8110000}"/>
    <cellStyle name="Normal 2 2 2 2 2 2 2 2 2 2 2 2 2 2 2 2 2 2 2 2 2 2 2 2 2 2 2 2 2 2 2 2 2 2 2 2 2 2 2 2 2 2 2" xfId="4558" xr:uid="{00000000-0005-0000-0000-0000F9110000}"/>
    <cellStyle name="Normal 2 2 2 2 2 2 2 2 2 2 2 2 2 2 2 2 2 2 2 2 2 2 2 2 2 2 2 2 2 2 2 2 2 2 2 2 2 2 2 2 2 2 2 2" xfId="4559" xr:uid="{00000000-0005-0000-0000-0000FA110000}"/>
    <cellStyle name="Normal 2 2 2 2 2 2 2 2 2 2 2 2 2 2 2 2 2 2 2 2 2 2 2 2 2 2 2 2 2 2 2 2 2 2 2 2 2 2 2 2 2 2 2 2 2" xfId="4560" xr:uid="{00000000-0005-0000-0000-0000FB110000}"/>
    <cellStyle name="Normal 2 2 2 2 2 2 2 2 2 2 2 2 2 2 2 2 2 2 2 2 2 2 2 2 2 2 2 2 2 2 2 2 2 2 2 2 2 2 2 2 2 2 2 2 2 2" xfId="4561" xr:uid="{00000000-0005-0000-0000-0000FC110000}"/>
    <cellStyle name="Normal 2 2 2 2 2 2 2 2 2 2 2 2 2 2 2 2 2 2 2 2 2 2 2 2 2 2 2 2 2 2 2 2 2 2 2 2 2 2 2 2 2 2 2 2 2 2 2" xfId="4562" xr:uid="{00000000-0005-0000-0000-0000FD110000}"/>
    <cellStyle name="Normal 2 2 2 2 2 2 2 2 2 2 2 2 2 2 2 2 2 2 2 2 2 2 2 2 2 2 2 2 2 2 2 2 2 2 2 2 2 2 2 2 2 2 2 2 2 2 2 2" xfId="4563" xr:uid="{00000000-0005-0000-0000-0000FE110000}"/>
    <cellStyle name="Normal 2 2 2 2 2 2 2 2 2 2 2 2 2 2 2 2 2 2 2 2 2 2 2 2 2 2 2 2 2 2 2 2 2 2 2 2 2 2 2 2 2 2 2 2 2 2 2 2 2" xfId="4564" xr:uid="{00000000-0005-0000-0000-0000FF110000}"/>
    <cellStyle name="Normal 2 2 2 2 2 2 2 2 2 2 2 2 2 2 2 2 2 2 2 2 2 2 2 2 2 2 2 2 2 2 2 2 2 2 2 2 2 2 2 2 2 2 2 2 2 2 2 3" xfId="4565" xr:uid="{00000000-0005-0000-0000-000000120000}"/>
    <cellStyle name="Normal 2 2 2 2 2 2 2 2 2 2 2 2 2 2 2 2 2 2 2 2 2 2 2 2 2 2 2 2 2 2 2 2 2 2 2 2 2 2 2 2 2 2 2 2 2 2 3" xfId="4566" xr:uid="{00000000-0005-0000-0000-000001120000}"/>
    <cellStyle name="Normal 2 2 2 2 2 2 2 2 2 2 2 2 2 2 2 2 2 2 2 2 2 2 2 2 2 2 2 2 2 2 2 2 2 2 2 2 2 2 2 2 2 2 2 2 2 2 3 2" xfId="4567" xr:uid="{00000000-0005-0000-0000-000002120000}"/>
    <cellStyle name="Normal 2 2 2 2 2 2 2 2 2 2 2 2 2 2 2 2 2 2 2 2 2 2 2 2 2 2 2 2 2 2 2 2 2 2 2 2 2 2 2 2 2 2 2 2 2 3" xfId="4568" xr:uid="{00000000-0005-0000-0000-000003120000}"/>
    <cellStyle name="Normal 2 2 2 2 2 2 2 2 2 2 2 2 2 2 2 2 2 2 2 2 2 2 2 2 2 2 2 2 2 2 2 2 2 2 2 2 2 2 2 2 2 2 2 2 2 4" xfId="4569" xr:uid="{00000000-0005-0000-0000-000004120000}"/>
    <cellStyle name="Normal 2 2 2 2 2 2 2 2 2 2 2 2 2 2 2 2 2 2 2 2 2 2 2 2 2 2 2 2 2 2 2 2 2 2 2 2 2 2 2 2 2 2 2 2 2 5" xfId="4570" xr:uid="{00000000-0005-0000-0000-000005120000}"/>
    <cellStyle name="Normal 2 2 2 2 2 2 2 2 2 2 2 2 2 2 2 2 2 2 2 2 2 2 2 2 2 2 2 2 2 2 2 2 2 2 2 2 2 2 2 2 2 2 2 2 2 5 2" xfId="4571" xr:uid="{00000000-0005-0000-0000-000006120000}"/>
    <cellStyle name="Normal 2 2 2 2 2 2 2 2 2 2 2 2 2 2 2 2 2 2 2 2 2 2 2 2 2 2 2 2 2 2 2 2 2 2 2 2 2 2 2 2 2 2 2 2 3" xfId="4572" xr:uid="{00000000-0005-0000-0000-000007120000}"/>
    <cellStyle name="Normal 2 2 2 2 2 2 2 2 2 2 2 2 2 2 2 2 2 2 2 2 2 2 2 2 2 2 2 2 2 2 2 2 2 2 2 2 2 2 2 2 2 2 2 2 3 2" xfId="4573" xr:uid="{00000000-0005-0000-0000-000008120000}"/>
    <cellStyle name="Normal 2 2 2 2 2 2 2 2 2 2 2 2 2 2 2 2 2 2 2 2 2 2 2 2 2 2 2 2 2 2 2 2 2 2 2 2 2 2 2 2 2 2 2 2 4" xfId="4574" xr:uid="{00000000-0005-0000-0000-000009120000}"/>
    <cellStyle name="Normal 2 2 2 2 2 2 2 2 2 2 2 2 2 2 2 2 2 2 2 2 2 2 2 2 2 2 2 2 2 2 2 2 2 2 2 2 2 2 2 2 2 2 2 2 5" xfId="4575" xr:uid="{00000000-0005-0000-0000-00000A120000}"/>
    <cellStyle name="Normal 2 2 2 2 2 2 2 2 2 2 2 2 2 2 2 2 2 2 2 2 2 2 2 2 2 2 2 2 2 2 2 2 2 2 2 2 2 2 2 2 2 2 2 2 5 2" xfId="4576" xr:uid="{00000000-0005-0000-0000-00000B120000}"/>
    <cellStyle name="Normal 2 2 2 2 2 2 2 2 2 2 2 2 2 2 2 2 2 2 2 2 2 2 2 2 2 2 2 2 2 2 2 2 2 2 2 2 2 2 2 2 2 2 2 3" xfId="4577" xr:uid="{00000000-0005-0000-0000-00000C120000}"/>
    <cellStyle name="Normal 2 2 2 2 2 2 2 2 2 2 2 2 2 2 2 2 2 2 2 2 2 2 2 2 2 2 2 2 2 2 2 2 2 2 2 2 2 2 2 2 2 2 2 3 2" xfId="4578" xr:uid="{00000000-0005-0000-0000-00000D120000}"/>
    <cellStyle name="Normal 2 2 2 2 2 2 2 2 2 2 2 2 2 2 2 2 2 2 2 2 2 2 2 2 2 2 2 2 2 2 2 2 2 2 2 2 2 2 2 2 2 2 2 4" xfId="4579" xr:uid="{00000000-0005-0000-0000-00000E120000}"/>
    <cellStyle name="Normal 2 2 2 2 2 2 2 2 2 2 2 2 2 2 2 2 2 2 2 2 2 2 2 2 2 2 2 2 2 2 2 2 2 2 2 2 2 2 2 2 2 2 2 5" xfId="4580" xr:uid="{00000000-0005-0000-0000-00000F120000}"/>
    <cellStyle name="Normal 2 2 2 2 2 2 2 2 2 2 2 2 2 2 2 2 2 2 2 2 2 2 2 2 2 2 2 2 2 2 2 2 2 2 2 2 2 2 2 2 2 2 2 5 2" xfId="4581" xr:uid="{00000000-0005-0000-0000-000010120000}"/>
    <cellStyle name="Normal 2 2 2 2 2 2 2 2 2 2 2 2 2 2 2 2 2 2 2 2 2 2 2 2 2 2 2 2 2 2 2 2 2 2 2 2 2 2 2 2 2 2 3" xfId="4582" xr:uid="{00000000-0005-0000-0000-000011120000}"/>
    <cellStyle name="Normal 2 2 2 2 2 2 2 2 2 2 2 2 2 2 2 2 2 2 2 2 2 2 2 2 2 2 2 2 2 2 2 2 2 2 2 2 2 2 2 2 2 2 4" xfId="4583" xr:uid="{00000000-0005-0000-0000-000012120000}"/>
    <cellStyle name="Normal 2 2 2 2 2 2 2 2 2 2 2 2 2 2 2 2 2 2 2 2 2 2 2 2 2 2 2 2 2 2 2 2 2 2 2 2 2 2 2 2 2 2 4 2" xfId="4584" xr:uid="{00000000-0005-0000-0000-000013120000}"/>
    <cellStyle name="Normal 2 2 2 2 2 2 2 2 2 2 2 2 2 2 2 2 2 2 2 2 2 2 2 2 2 2 2 2 2 2 2 2 2 2 2 2 2 2 2 2 2 2 5" xfId="4585" xr:uid="{00000000-0005-0000-0000-000014120000}"/>
    <cellStyle name="Normal 2 2 2 2 2 2 2 2 2 2 2 2 2 2 2 2 2 2 2 2 2 2 2 2 2 2 2 2 2 2 2 2 2 2 2 2 2 2 2 2 2 2 6" xfId="4586" xr:uid="{00000000-0005-0000-0000-000015120000}"/>
    <cellStyle name="Normal 2 2 2 2 2 2 2 2 2 2 2 2 2 2 2 2 2 2 2 2 2 2 2 2 2 2 2 2 2 2 2 2 2 2 2 2 2 2 2 2 2 2 6 2" xfId="4587" xr:uid="{00000000-0005-0000-0000-000016120000}"/>
    <cellStyle name="Normal 2 2 2 2 2 2 2 2 2 2 2 2 2 2 2 2 2 2 2 2 2 2 2 2 2 2 2 2 2 2 2 2 2 2 2 2 2 2 2 2 2 3" xfId="4588" xr:uid="{00000000-0005-0000-0000-000017120000}"/>
    <cellStyle name="Normal 2 2 2 2 2 2 2 2 2 2 2 2 2 2 2 2 2 2 2 2 2 2 2 2 2 2 2 2 2 2 2 2 2 2 2 2 2 2 2 2 2 4" xfId="4589" xr:uid="{00000000-0005-0000-0000-000018120000}"/>
    <cellStyle name="Normal 2 2 2 2 2 2 2 2 2 2 2 2 2 2 2 2 2 2 2 2 2 2 2 2 2 2 2 2 2 2 2 2 2 2 2 2 2 2 2 2 2 4 2" xfId="4590" xr:uid="{00000000-0005-0000-0000-000019120000}"/>
    <cellStyle name="Normal 2 2 2 2 2 2 2 2 2 2 2 2 2 2 2 2 2 2 2 2 2 2 2 2 2 2 2 2 2 2 2 2 2 2 2 2 2 2 2 2 2 5" xfId="4591" xr:uid="{00000000-0005-0000-0000-00001A120000}"/>
    <cellStyle name="Normal 2 2 2 2 2 2 2 2 2 2 2 2 2 2 2 2 2 2 2 2 2 2 2 2 2 2 2 2 2 2 2 2 2 2 2 2 2 2 2 2 2 6" xfId="4592" xr:uid="{00000000-0005-0000-0000-00001B120000}"/>
    <cellStyle name="Normal 2 2 2 2 2 2 2 2 2 2 2 2 2 2 2 2 2 2 2 2 2 2 2 2 2 2 2 2 2 2 2 2 2 2 2 2 2 2 2 2 2 6 2" xfId="4593" xr:uid="{00000000-0005-0000-0000-00001C120000}"/>
    <cellStyle name="Normal 2 2 2 2 2 2 2 2 2 2 2 2 2 2 2 2 2 2 2 2 2 2 2 2 2 2 2 2 2 2 2 2 2 2 2 2 2 2 2 2 3" xfId="4594" xr:uid="{00000000-0005-0000-0000-00001D120000}"/>
    <cellStyle name="Normal 2 2 2 2 2 2 2 2 2 2 2 2 2 2 2 2 2 2 2 2 2 2 2 2 2 2 2 2 2 2 2 2 2 2 2 2 2 2 2 2 4" xfId="4595" xr:uid="{00000000-0005-0000-0000-00001E120000}"/>
    <cellStyle name="Normal 2 2 2 2 2 2 2 2 2 2 2 2 2 2 2 2 2 2 2 2 2 2 2 2 2 2 2 2 2 2 2 2 2 2 2 2 2 2 2 2 5" xfId="4596" xr:uid="{00000000-0005-0000-0000-00001F120000}"/>
    <cellStyle name="Normal 2 2 2 2 2 2 2 2 2 2 2 2 2 2 2 2 2 2 2 2 2 2 2 2 2 2 2 2 2 2 2 2 2 2 2 2 2 2 2 2 5 2" xfId="4597" xr:uid="{00000000-0005-0000-0000-000020120000}"/>
    <cellStyle name="Normal 2 2 2 2 2 2 2 2 2 2 2 2 2 2 2 2 2 2 2 2 2 2 2 2 2 2 2 2 2 2 2 2 2 2 2 2 2 2 2 2 6" xfId="4598" xr:uid="{00000000-0005-0000-0000-000021120000}"/>
    <cellStyle name="Normal 2 2 2 2 2 2 2 2 2 2 2 2 2 2 2 2 2 2 2 2 2 2 2 2 2 2 2 2 2 2 2 2 2 2 2 2 2 2 2 2 7" xfId="4599" xr:uid="{00000000-0005-0000-0000-000022120000}"/>
    <cellStyle name="Normal 2 2 2 2 2 2 2 2 2 2 2 2 2 2 2 2 2 2 2 2 2 2 2 2 2 2 2 2 2 2 2 2 2 2 2 2 2 2 2 2 7 2" xfId="4600" xr:uid="{00000000-0005-0000-0000-000023120000}"/>
    <cellStyle name="Normal 2 2 2 2 2 2 2 2 2 2 2 2 2 2 2 2 2 2 2 2 2 2 2 2 2 2 2 2 2 2 2 2 2 2 2 2 2 2 2 3" xfId="4601" xr:uid="{00000000-0005-0000-0000-000024120000}"/>
    <cellStyle name="Normal 2 2 2 2 2 2 2 2 2 2 2 2 2 2 2 2 2 2 2 2 2 2 2 2 2 2 2 2 2 2 2 2 2 2 2 2 2 2 2 4" xfId="4602" xr:uid="{00000000-0005-0000-0000-000025120000}"/>
    <cellStyle name="Normal 2 2 2 2 2 2 2 2 2 2 2 2 2 2 2 2 2 2 2 2 2 2 2 2 2 2 2 2 2 2 2 2 2 2 2 2 2 2 2 5" xfId="4603" xr:uid="{00000000-0005-0000-0000-000026120000}"/>
    <cellStyle name="Normal 2 2 2 2 2 2 2 2 2 2 2 2 2 2 2 2 2 2 2 2 2 2 2 2 2 2 2 2 2 2 2 2 2 2 2 2 2 2 2 6" xfId="4604" xr:uid="{00000000-0005-0000-0000-000027120000}"/>
    <cellStyle name="Normal 2 2 2 2 2 2 2 2 2 2 2 2 2 2 2 2 2 2 2 2 2 2 2 2 2 2 2 2 2 2 2 2 2 2 2 2 2 2 2 6 2" xfId="4605" xr:uid="{00000000-0005-0000-0000-000028120000}"/>
    <cellStyle name="Normal 2 2 2 2 2 2 2 2 2 2 2 2 2 2 2 2 2 2 2 2 2 2 2 2 2 2 2 2 2 2 2 2 2 2 2 2 2 2 2 7" xfId="4606" xr:uid="{00000000-0005-0000-0000-000029120000}"/>
    <cellStyle name="Normal 2 2 2 2 2 2 2 2 2 2 2 2 2 2 2 2 2 2 2 2 2 2 2 2 2 2 2 2 2 2 2 2 2 2 2 2 2 2 2 8" xfId="4607" xr:uid="{00000000-0005-0000-0000-00002A120000}"/>
    <cellStyle name="Normal 2 2 2 2 2 2 2 2 2 2 2 2 2 2 2 2 2 2 2 2 2 2 2 2 2 2 2 2 2 2 2 2 2 2 2 2 2 2 2 8 2" xfId="4608" xr:uid="{00000000-0005-0000-0000-00002B120000}"/>
    <cellStyle name="Normal 2 2 2 2 2 2 2 2 2 2 2 2 2 2 2 2 2 2 2 2 2 2 2 2 2 2 2 2 2 2 2 2 2 2 2 2 2 2 3" xfId="4609" xr:uid="{00000000-0005-0000-0000-00002C120000}"/>
    <cellStyle name="Normal 2 2 2 2 2 2 2 2 2 2 2 2 2 2 2 2 2 2 2 2 2 2 2 2 2 2 2 2 2 2 2 2 2 2 2 2 2 2 3 2" xfId="4610" xr:uid="{00000000-0005-0000-0000-00002D120000}"/>
    <cellStyle name="Normal 2 2 2 2 2 2 2 2 2 2 2 2 2 2 2 2 2 2 2 2 2 2 2 2 2 2 2 2 2 2 2 2 2 2 2 2 2 2 4" xfId="4611" xr:uid="{00000000-0005-0000-0000-00002E120000}"/>
    <cellStyle name="Normal 2 2 2 2 2 2 2 2 2 2 2 2 2 2 2 2 2 2 2 2 2 2 2 2 2 2 2 2 2 2 2 2 2 2 2 2 2 2 5" xfId="4612" xr:uid="{00000000-0005-0000-0000-00002F120000}"/>
    <cellStyle name="Normal 2 2 2 2 2 2 2 2 2 2 2 2 2 2 2 2 2 2 2 2 2 2 2 2 2 2 2 2 2 2 2 2 2 2 2 2 2 2 6" xfId="4613" xr:uid="{00000000-0005-0000-0000-000030120000}"/>
    <cellStyle name="Normal 2 2 2 2 2 2 2 2 2 2 2 2 2 2 2 2 2 2 2 2 2 2 2 2 2 2 2 2 2 2 2 2 2 2 2 2 2 2 6 2" xfId="4614" xr:uid="{00000000-0005-0000-0000-000031120000}"/>
    <cellStyle name="Normal 2 2 2 2 2 2 2 2 2 2 2 2 2 2 2 2 2 2 2 2 2 2 2 2 2 2 2 2 2 2 2 2 2 2 2 2 2 2 7" xfId="4615" xr:uid="{00000000-0005-0000-0000-000032120000}"/>
    <cellStyle name="Normal 2 2 2 2 2 2 2 2 2 2 2 2 2 2 2 2 2 2 2 2 2 2 2 2 2 2 2 2 2 2 2 2 2 2 2 2 2 2 8" xfId="4616" xr:uid="{00000000-0005-0000-0000-000033120000}"/>
    <cellStyle name="Normal 2 2 2 2 2 2 2 2 2 2 2 2 2 2 2 2 2 2 2 2 2 2 2 2 2 2 2 2 2 2 2 2 2 2 2 2 2 2 8 2" xfId="4617" xr:uid="{00000000-0005-0000-0000-000034120000}"/>
    <cellStyle name="Normal 2 2 2 2 2 2 2 2 2 2 2 2 2 2 2 2 2 2 2 2 2 2 2 2 2 2 2 2 2 2 2 2 2 2 2 2 2 3" xfId="4618" xr:uid="{00000000-0005-0000-0000-000035120000}"/>
    <cellStyle name="Normal 2 2 2 2 2 2 2 2 2 2 2 2 2 2 2 2 2 2 2 2 2 2 2 2 2 2 2 2 2 2 2 2 2 2 2 2 2 4" xfId="4619" xr:uid="{00000000-0005-0000-0000-000036120000}"/>
    <cellStyle name="Normal 2 2 2 2 2 2 2 2 2 2 2 2 2 2 2 2 2 2 2 2 2 2 2 2 2 2 2 2 2 2 2 2 2 2 2 2 2 4 2" xfId="4620" xr:uid="{00000000-0005-0000-0000-000037120000}"/>
    <cellStyle name="Normal 2 2 2 2 2 2 2 2 2 2 2 2 2 2 2 2 2 2 2 2 2 2 2 2 2 2 2 2 2 2 2 2 2 2 2 2 2 5" xfId="4621" xr:uid="{00000000-0005-0000-0000-000038120000}"/>
    <cellStyle name="Normal 2 2 2 2 2 2 2 2 2 2 2 2 2 2 2 2 2 2 2 2 2 2 2 2 2 2 2 2 2 2 2 2 2 2 2 2 2 6" xfId="4622" xr:uid="{00000000-0005-0000-0000-000039120000}"/>
    <cellStyle name="Normal 2 2 2 2 2 2 2 2 2 2 2 2 2 2 2 2 2 2 2 2 2 2 2 2 2 2 2 2 2 2 2 2 2 2 2 2 2 7" xfId="4623" xr:uid="{00000000-0005-0000-0000-00003A120000}"/>
    <cellStyle name="Normal 2 2 2 2 2 2 2 2 2 2 2 2 2 2 2 2 2 2 2 2 2 2 2 2 2 2 2 2 2 2 2 2 2 2 2 2 2 7 2" xfId="4624" xr:uid="{00000000-0005-0000-0000-00003B120000}"/>
    <cellStyle name="Normal 2 2 2 2 2 2 2 2 2 2 2 2 2 2 2 2 2 2 2 2 2 2 2 2 2 2 2 2 2 2 2 2 2 2 2 2 2 8" xfId="4625" xr:uid="{00000000-0005-0000-0000-00003C120000}"/>
    <cellStyle name="Normal 2 2 2 2 2 2 2 2 2 2 2 2 2 2 2 2 2 2 2 2 2 2 2 2 2 2 2 2 2 2 2 2 2 2 2 2 2 9" xfId="4626" xr:uid="{00000000-0005-0000-0000-00003D120000}"/>
    <cellStyle name="Normal 2 2 2 2 2 2 2 2 2 2 2 2 2 2 2 2 2 2 2 2 2 2 2 2 2 2 2 2 2 2 2 2 2 2 2 2 2 9 2" xfId="4627" xr:uid="{00000000-0005-0000-0000-00003E120000}"/>
    <cellStyle name="Normal 2 2 2 2 2 2 2 2 2 2 2 2 2 2 2 2 2 2 2 2 2 2 2 2 2 2 2 2 2 2 2 2 2 2 2 2 3" xfId="4628" xr:uid="{00000000-0005-0000-0000-00003F120000}"/>
    <cellStyle name="Normal 2 2 2 2 2 2 2 2 2 2 2 2 2 2 2 2 2 2 2 2 2 2 2 2 2 2 2 2 2 2 2 2 2 2 2 2 3 2" xfId="4629" xr:uid="{00000000-0005-0000-0000-000040120000}"/>
    <cellStyle name="Normal 2 2 2 2 2 2 2 2 2 2 2 2 2 2 2 2 2 2 2 2 2 2 2 2 2 2 2 2 2 2 2 2 2 2 2 2 4" xfId="4630" xr:uid="{00000000-0005-0000-0000-000041120000}"/>
    <cellStyle name="Normal 2 2 2 2 2 2 2 2 2 2 2 2 2 2 2 2 2 2 2 2 2 2 2 2 2 2 2 2 2 2 2 2 2 2 2 2 4 2" xfId="4631" xr:uid="{00000000-0005-0000-0000-000042120000}"/>
    <cellStyle name="Normal 2 2 2 2 2 2 2 2 2 2 2 2 2 2 2 2 2 2 2 2 2 2 2 2 2 2 2 2 2 2 2 2 2 2 2 2 5" xfId="4632" xr:uid="{00000000-0005-0000-0000-000043120000}"/>
    <cellStyle name="Normal 2 2 2 2 2 2 2 2 2 2 2 2 2 2 2 2 2 2 2 2 2 2 2 2 2 2 2 2 2 2 2 2 2 2 2 2 6" xfId="4633" xr:uid="{00000000-0005-0000-0000-000044120000}"/>
    <cellStyle name="Normal 2 2 2 2 2 2 2 2 2 2 2 2 2 2 2 2 2 2 2 2 2 2 2 2 2 2 2 2 2 2 2 2 2 2 2 2 7" xfId="4634" xr:uid="{00000000-0005-0000-0000-000045120000}"/>
    <cellStyle name="Normal 2 2 2 2 2 2 2 2 2 2 2 2 2 2 2 2 2 2 2 2 2 2 2 2 2 2 2 2 2 2 2 2 2 2 2 2 7 2" xfId="4635" xr:uid="{00000000-0005-0000-0000-000046120000}"/>
    <cellStyle name="Normal 2 2 2 2 2 2 2 2 2 2 2 2 2 2 2 2 2 2 2 2 2 2 2 2 2 2 2 2 2 2 2 2 2 2 2 2 8" xfId="4636" xr:uid="{00000000-0005-0000-0000-000047120000}"/>
    <cellStyle name="Normal 2 2 2 2 2 2 2 2 2 2 2 2 2 2 2 2 2 2 2 2 2 2 2 2 2 2 2 2 2 2 2 2 2 2 2 2 9" xfId="4637" xr:uid="{00000000-0005-0000-0000-000048120000}"/>
    <cellStyle name="Normal 2 2 2 2 2 2 2 2 2 2 2 2 2 2 2 2 2 2 2 2 2 2 2 2 2 2 2 2 2 2 2 2 2 2 2 2 9 2" xfId="4638" xr:uid="{00000000-0005-0000-0000-000049120000}"/>
    <cellStyle name="Normal 2 2 2 2 2 2 2 2 2 2 2 2 2 2 2 2 2 2 2 2 2 2 2 2 2 2 2 2 2 2 2 2 2 2 2 3" xfId="4639" xr:uid="{00000000-0005-0000-0000-00004A120000}"/>
    <cellStyle name="Normal 2 2 2 2 2 2 2 2 2 2 2 2 2 2 2 2 2 2 2 2 2 2 2 2 2 2 2 2 2 2 2 2 2 2 2 3 2" xfId="4640" xr:uid="{00000000-0005-0000-0000-00004B120000}"/>
    <cellStyle name="Normal 2 2 2 2 2 2 2 2 2 2 2 2 2 2 2 2 2 2 2 2 2 2 2 2 2 2 2 2 2 2 2 2 2 2 2 4" xfId="4641" xr:uid="{00000000-0005-0000-0000-00004C120000}"/>
    <cellStyle name="Normal 2 2 2 2 2 2 2 2 2 2 2 2 2 2 2 2 2 2 2 2 2 2 2 2 2 2 2 2 2 2 2 2 2 2 2 4 2" xfId="4642" xr:uid="{00000000-0005-0000-0000-00004D120000}"/>
    <cellStyle name="Normal 2 2 2 2 2 2 2 2 2 2 2 2 2 2 2 2 2 2 2 2 2 2 2 2 2 2 2 2 2 2 2 2 2 2 2 5" xfId="4643" xr:uid="{00000000-0005-0000-0000-00004E120000}"/>
    <cellStyle name="Normal 2 2 2 2 2 2 2 2 2 2 2 2 2 2 2 2 2 2 2 2 2 2 2 2 2 2 2 2 2 2 2 2 2 2 2 6" xfId="4644" xr:uid="{00000000-0005-0000-0000-00004F120000}"/>
    <cellStyle name="Normal 2 2 2 2 2 2 2 2 2 2 2 2 2 2 2 2 2 2 2 2 2 2 2 2 2 2 2 2 2 2 2 2 2 2 2 7" xfId="4645" xr:uid="{00000000-0005-0000-0000-000050120000}"/>
    <cellStyle name="Normal 2 2 2 2 2 2 2 2 2 2 2 2 2 2 2 2 2 2 2 2 2 2 2 2 2 2 2 2 2 2 2 2 2 2 2 7 2" xfId="4646" xr:uid="{00000000-0005-0000-0000-000051120000}"/>
    <cellStyle name="Normal 2 2 2 2 2 2 2 2 2 2 2 2 2 2 2 2 2 2 2 2 2 2 2 2 2 2 2 2 2 2 2 2 2 2 2 8" xfId="4647" xr:uid="{00000000-0005-0000-0000-000052120000}"/>
    <cellStyle name="Normal 2 2 2 2 2 2 2 2 2 2 2 2 2 2 2 2 2 2 2 2 2 2 2 2 2 2 2 2 2 2 2 2 2 2 2 9" xfId="4648" xr:uid="{00000000-0005-0000-0000-000053120000}"/>
    <cellStyle name="Normal 2 2 2 2 2 2 2 2 2 2 2 2 2 2 2 2 2 2 2 2 2 2 2 2 2 2 2 2 2 2 2 2 2 2 2 9 2" xfId="4649" xr:uid="{00000000-0005-0000-0000-000054120000}"/>
    <cellStyle name="Normal 2 2 2 2 2 2 2 2 2 2 2 2 2 2 2 2 2 2 2 2 2 2 2 2 2 2 2 2 2 2 2 2 2 2 3" xfId="4650" xr:uid="{00000000-0005-0000-0000-000055120000}"/>
    <cellStyle name="Normal 2 2 2 2 2 2 2 2 2 2 2 2 2 2 2 2 2 2 2 2 2 2 2 2 2 2 2 2 2 2 2 2 2 2 4" xfId="4651" xr:uid="{00000000-0005-0000-0000-000056120000}"/>
    <cellStyle name="Normal 2 2 2 2 2 2 2 2 2 2 2 2 2 2 2 2 2 2 2 2 2 2 2 2 2 2 2 2 2 2 2 2 2 2 4 2" xfId="4652" xr:uid="{00000000-0005-0000-0000-000057120000}"/>
    <cellStyle name="Normal 2 2 2 2 2 2 2 2 2 2 2 2 2 2 2 2 2 2 2 2 2 2 2 2 2 2 2 2 2 2 2 2 2 2 5" xfId="4653" xr:uid="{00000000-0005-0000-0000-000058120000}"/>
    <cellStyle name="Normal 2 2 2 2 2 2 2 2 2 2 2 2 2 2 2 2 2 2 2 2 2 2 2 2 2 2 2 2 2 2 2 2 2 2 5 2" xfId="4654" xr:uid="{00000000-0005-0000-0000-000059120000}"/>
    <cellStyle name="Normal 2 2 2 2 2 2 2 2 2 2 2 2 2 2 2 2 2 2 2 2 2 2 2 2 2 2 2 2 2 2 2 2 2 2 6" xfId="4655" xr:uid="{00000000-0005-0000-0000-00005A120000}"/>
    <cellStyle name="Normal 2 2 2 2 2 2 2 2 2 2 2 2 2 2 2 2 2 2 2 2 2 2 2 2 2 2 2 2 2 2 2 2 2 2 7" xfId="4656" xr:uid="{00000000-0005-0000-0000-00005B120000}"/>
    <cellStyle name="Normal 2 2 2 2 2 2 2 2 2 2 2 2 2 2 2 2 2 2 2 2 2 2 2 2 2 2 2 2 2 2 2 2 2 2 8" xfId="4657" xr:uid="{00000000-0005-0000-0000-00005C120000}"/>
    <cellStyle name="Normal 2 2 2 2 2 2 2 2 2 2 2 2 2 2 2 2 2 2 2 2 2 2 2 2 2 2 2 2 2 2 2 2 2 2 8 2" xfId="4658" xr:uid="{00000000-0005-0000-0000-00005D120000}"/>
    <cellStyle name="Normal 2 2 2 2 2 2 2 2 2 2 2 2 2 2 2 2 2 2 2 2 2 2 2 2 2 2 2 2 2 2 2 2 2 2 9" xfId="4659" xr:uid="{00000000-0005-0000-0000-00005E120000}"/>
    <cellStyle name="Normal 2 2 2 2 2 2 2 2 2 2 2 2 2 2 2 2 2 2 2 2 2 2 2 2 2 2 2 2 2 2 2 2 2 3" xfId="4660" xr:uid="{00000000-0005-0000-0000-00005F120000}"/>
    <cellStyle name="Normal 2 2 2 2 2 2 2 2 2 2 2 2 2 2 2 2 2 2 2 2 2 2 2 2 2 2 2 2 2 2 2 2 2 4" xfId="4661" xr:uid="{00000000-0005-0000-0000-000060120000}"/>
    <cellStyle name="Normal 2 2 2 2 2 2 2 2 2 2 2 2 2 2 2 2 2 2 2 2 2 2 2 2 2 2 2 2 2 2 2 2 2 4 2" xfId="4662" xr:uid="{00000000-0005-0000-0000-000061120000}"/>
    <cellStyle name="Normal 2 2 2 2 2 2 2 2 2 2 2 2 2 2 2 2 2 2 2 2 2 2 2 2 2 2 2 2 2 2 2 2 2 5" xfId="4663" xr:uid="{00000000-0005-0000-0000-000062120000}"/>
    <cellStyle name="Normal 2 2 2 2 2 2 2 2 2 2 2 2 2 2 2 2 2 2 2 2 2 2 2 2 2 2 2 2 2 2 2 2 2 5 2" xfId="4664" xr:uid="{00000000-0005-0000-0000-000063120000}"/>
    <cellStyle name="Normal 2 2 2 2 2 2 2 2 2 2 2 2 2 2 2 2 2 2 2 2 2 2 2 2 2 2 2 2 2 2 2 2 2 6" xfId="4665" xr:uid="{00000000-0005-0000-0000-000064120000}"/>
    <cellStyle name="Normal 2 2 2 2 2 2 2 2 2 2 2 2 2 2 2 2 2 2 2 2 2 2 2 2 2 2 2 2 2 2 2 2 2 7" xfId="4666" xr:uid="{00000000-0005-0000-0000-000065120000}"/>
    <cellStyle name="Normal 2 2 2 2 2 2 2 2 2 2 2 2 2 2 2 2 2 2 2 2 2 2 2 2 2 2 2 2 2 2 2 2 2 8" xfId="4667" xr:uid="{00000000-0005-0000-0000-000066120000}"/>
    <cellStyle name="Normal 2 2 2 2 2 2 2 2 2 2 2 2 2 2 2 2 2 2 2 2 2 2 2 2 2 2 2 2 2 2 2 2 2 8 2" xfId="4668" xr:uid="{00000000-0005-0000-0000-000067120000}"/>
    <cellStyle name="Normal 2 2 2 2 2 2 2 2 2 2 2 2 2 2 2 2 2 2 2 2 2 2 2 2 2 2 2 2 2 2 2 2 2 9" xfId="4669" xr:uid="{00000000-0005-0000-0000-000068120000}"/>
    <cellStyle name="Normal 2 2 2 2 2 2 2 2 2 2 2 2 2 2 2 2 2 2 2 2 2 2 2 2 2 2 2 2 2 2 2 2 3" xfId="4670" xr:uid="{00000000-0005-0000-0000-000069120000}"/>
    <cellStyle name="Normal 2 2 2 2 2 2 2 2 2 2 2 2 2 2 2 2 2 2 2 2 2 2 2 2 2 2 2 2 2 2 2 2 4" xfId="4671" xr:uid="{00000000-0005-0000-0000-00006A120000}"/>
    <cellStyle name="Normal 2 2 2 2 2 2 2 2 2 2 2 2 2 2 2 2 2 2 2 2 2 2 2 2 2 2 2 2 2 2 2 2 5" xfId="4672" xr:uid="{00000000-0005-0000-0000-00006B120000}"/>
    <cellStyle name="Normal 2 2 2 2 2 2 2 2 2 2 2 2 2 2 2 2 2 2 2 2 2 2 2 2 2 2 2 2 2 2 2 2 5 2" xfId="4673" xr:uid="{00000000-0005-0000-0000-00006C120000}"/>
    <cellStyle name="Normal 2 2 2 2 2 2 2 2 2 2 2 2 2 2 2 2 2 2 2 2 2 2 2 2 2 2 2 2 2 2 2 2 6" xfId="4674" xr:uid="{00000000-0005-0000-0000-00006D120000}"/>
    <cellStyle name="Normal 2 2 2 2 2 2 2 2 2 2 2 2 2 2 2 2 2 2 2 2 2 2 2 2 2 2 2 2 2 2 2 2 6 2" xfId="4675" xr:uid="{00000000-0005-0000-0000-00006E120000}"/>
    <cellStyle name="Normal 2 2 2 2 2 2 2 2 2 2 2 2 2 2 2 2 2 2 2 2 2 2 2 2 2 2 2 2 2 2 2 2 7" xfId="4676" xr:uid="{00000000-0005-0000-0000-00006F120000}"/>
    <cellStyle name="Normal 2 2 2 2 2 2 2 2 2 2 2 2 2 2 2 2 2 2 2 2 2 2 2 2 2 2 2 2 2 2 2 2 8" xfId="4677" xr:uid="{00000000-0005-0000-0000-000070120000}"/>
    <cellStyle name="Normal 2 2 2 2 2 2 2 2 2 2 2 2 2 2 2 2 2 2 2 2 2 2 2 2 2 2 2 2 2 2 2 2 9" xfId="4678" xr:uid="{00000000-0005-0000-0000-000071120000}"/>
    <cellStyle name="Normal 2 2 2 2 2 2 2 2 2 2 2 2 2 2 2 2 2 2 2 2 2 2 2 2 2 2 2 2 2 2 2 2 9 2" xfId="4679" xr:uid="{00000000-0005-0000-0000-000072120000}"/>
    <cellStyle name="Normal 2 2 2 2 2 2 2 2 2 2 2 2 2 2 2 2 2 2 2 2 2 2 2 2 2 2 2 2 2 2 2 3" xfId="4680" xr:uid="{00000000-0005-0000-0000-000073120000}"/>
    <cellStyle name="Normal 2 2 2 2 2 2 2 2 2 2 2 2 2 2 2 2 2 2 2 2 2 2 2 2 2 2 2 2 2 2 2 4" xfId="4681" xr:uid="{00000000-0005-0000-0000-000074120000}"/>
    <cellStyle name="Normal 2 2 2 2 2 2 2 2 2 2 2 2 2 2 2 2 2 2 2 2 2 2 2 2 2 2 2 2 2 2 2 5" xfId="4682" xr:uid="{00000000-0005-0000-0000-000075120000}"/>
    <cellStyle name="Normal 2 2 2 2 2 2 2 2 2 2 2 2 2 2 2 2 2 2 2 2 2 2 2 2 2 2 2 2 2 2 2 5 2" xfId="4683" xr:uid="{00000000-0005-0000-0000-000076120000}"/>
    <cellStyle name="Normal 2 2 2 2 2 2 2 2 2 2 2 2 2 2 2 2 2 2 2 2 2 2 2 2 2 2 2 2 2 2 2 6" xfId="4684" xr:uid="{00000000-0005-0000-0000-000077120000}"/>
    <cellStyle name="Normal 2 2 2 2 2 2 2 2 2 2 2 2 2 2 2 2 2 2 2 2 2 2 2 2 2 2 2 2 2 2 2 6 2" xfId="4685" xr:uid="{00000000-0005-0000-0000-000078120000}"/>
    <cellStyle name="Normal 2 2 2 2 2 2 2 2 2 2 2 2 2 2 2 2 2 2 2 2 2 2 2 2 2 2 2 2 2 2 2 7" xfId="4686" xr:uid="{00000000-0005-0000-0000-000079120000}"/>
    <cellStyle name="Normal 2 2 2 2 2 2 2 2 2 2 2 2 2 2 2 2 2 2 2 2 2 2 2 2 2 2 2 2 2 2 2 8" xfId="4687" xr:uid="{00000000-0005-0000-0000-00007A120000}"/>
    <cellStyle name="Normal 2 2 2 2 2 2 2 2 2 2 2 2 2 2 2 2 2 2 2 2 2 2 2 2 2 2 2 2 2 2 2 9" xfId="4688" xr:uid="{00000000-0005-0000-0000-00007B120000}"/>
    <cellStyle name="Normal 2 2 2 2 2 2 2 2 2 2 2 2 2 2 2 2 2 2 2 2 2 2 2 2 2 2 2 2 2 2 2 9 2" xfId="4689" xr:uid="{00000000-0005-0000-0000-00007C120000}"/>
    <cellStyle name="Normal 2 2 2 2 2 2 2 2 2 2 2 2 2 2 2 2 2 2 2 2 2 2 2 2 2 2 2 2 2 2 3" xfId="4690" xr:uid="{00000000-0005-0000-0000-00007D120000}"/>
    <cellStyle name="Normal 2 2 2 2 2 2 2 2 2 2 2 2 2 2 2 2 2 2 2 2 2 2 2 2 2 2 2 2 2 2 4" xfId="4691" xr:uid="{00000000-0005-0000-0000-00007E120000}"/>
    <cellStyle name="Normal 2 2 2 2 2 2 2 2 2 2 2 2 2 2 2 2 2 2 2 2 2 2 2 2 2 2 2 2 2 2 5" xfId="4692" xr:uid="{00000000-0005-0000-0000-00007F120000}"/>
    <cellStyle name="Normal 2 2 2 2 2 2 2 2 2 2 2 2 2 2 2 2 2 2 2 2 2 2 2 2 2 2 2 2 2 2 6" xfId="4693" xr:uid="{00000000-0005-0000-0000-000080120000}"/>
    <cellStyle name="Normal 2 2 2 2 2 2 2 2 2 2 2 2 2 2 2 2 2 2 2 2 2 2 2 2 2 2 2 2 2 2 6 2" xfId="4694" xr:uid="{00000000-0005-0000-0000-000081120000}"/>
    <cellStyle name="Normal 2 2 2 2 2 2 2 2 2 2 2 2 2 2 2 2 2 2 2 2 2 2 2 2 2 2 2 2 2 2 7" xfId="4695" xr:uid="{00000000-0005-0000-0000-000082120000}"/>
    <cellStyle name="Normal 2 2 2 2 2 2 2 2 2 2 2 2 2 2 2 2 2 2 2 2 2 2 2 2 2 2 2 2 2 2 7 2" xfId="4696" xr:uid="{00000000-0005-0000-0000-000083120000}"/>
    <cellStyle name="Normal 2 2 2 2 2 2 2 2 2 2 2 2 2 2 2 2 2 2 2 2 2 2 2 2 2 2 2 2 2 2 8" xfId="4697" xr:uid="{00000000-0005-0000-0000-000084120000}"/>
    <cellStyle name="Normal 2 2 2 2 2 2 2 2 2 2 2 2 2 2 2 2 2 2 2 2 2 2 2 2 2 2 2 2 2 2 9" xfId="4698" xr:uid="{00000000-0005-0000-0000-000085120000}"/>
    <cellStyle name="Normal 2 2 2 2 2 2 2 2 2 2 2 2 2 2 2 2 2 2 2 2 2 2 2 2 2 2 2 2 2 3" xfId="4699" xr:uid="{00000000-0005-0000-0000-000086120000}"/>
    <cellStyle name="Normal 2 2 2 2 2 2 2 2 2 2 2 2 2 2 2 2 2 2 2 2 2 2 2 2 2 2 2 2 2 4" xfId="4700" xr:uid="{00000000-0005-0000-0000-000087120000}"/>
    <cellStyle name="Normal 2 2 2 2 2 2 2 2 2 2 2 2 2 2 2 2 2 2 2 2 2 2 2 2 2 2 2 2 2 5" xfId="4701" xr:uid="{00000000-0005-0000-0000-000088120000}"/>
    <cellStyle name="Normal 2 2 2 2 2 2 2 2 2 2 2 2 2 2 2 2 2 2 2 2 2 2 2 2 2 2 2 2 2 6" xfId="4702" xr:uid="{00000000-0005-0000-0000-000089120000}"/>
    <cellStyle name="Normal 2 2 2 2 2 2 2 2 2 2 2 2 2 2 2 2 2 2 2 2 2 2 2 2 2 2 2 2 2 6 2" xfId="4703" xr:uid="{00000000-0005-0000-0000-00008A120000}"/>
    <cellStyle name="Normal 2 2 2 2 2 2 2 2 2 2 2 2 2 2 2 2 2 2 2 2 2 2 2 2 2 2 2 2 2 7" xfId="4704" xr:uid="{00000000-0005-0000-0000-00008B120000}"/>
    <cellStyle name="Normal 2 2 2 2 2 2 2 2 2 2 2 2 2 2 2 2 2 2 2 2 2 2 2 2 2 2 2 2 2 7 2" xfId="4705" xr:uid="{00000000-0005-0000-0000-00008C120000}"/>
    <cellStyle name="Normal 2 2 2 2 2 2 2 2 2 2 2 2 2 2 2 2 2 2 2 2 2 2 2 2 2 2 2 2 2 8" xfId="4706" xr:uid="{00000000-0005-0000-0000-00008D120000}"/>
    <cellStyle name="Normal 2 2 2 2 2 2 2 2 2 2 2 2 2 2 2 2 2 2 2 2 2 2 2 2 2 2 2 2 2 9" xfId="4707" xr:uid="{00000000-0005-0000-0000-00008E120000}"/>
    <cellStyle name="Normal 2 2 2 2 2 2 2 2 2 2 2 2 2 2 2 2 2 2 2 2 2 2 2 2 2 2 2 2 3" xfId="4708" xr:uid="{00000000-0005-0000-0000-00008F120000}"/>
    <cellStyle name="Normal 2 2 2 2 2 2 2 2 2 2 2 2 2 2 2 2 2 2 2 2 2 2 2 2 2 2 2 2 4" xfId="4709" xr:uid="{00000000-0005-0000-0000-000090120000}"/>
    <cellStyle name="Normal 2 2 2 2 2 2 2 2 2 2 2 2 2 2 2 2 2 2 2 2 2 2 2 2 2 2 2 2 5" xfId="4710" xr:uid="{00000000-0005-0000-0000-000091120000}"/>
    <cellStyle name="Normal 2 2 2 2 2 2 2 2 2 2 2 2 2 2 2 2 2 2 2 2 2 2 2 2 2 2 2 2 6" xfId="4711" xr:uid="{00000000-0005-0000-0000-000092120000}"/>
    <cellStyle name="Normal 2 2 2 2 2 2 2 2 2 2 2 2 2 2 2 2 2 2 2 2 2 2 2 2 2 2 2 2 7" xfId="4712" xr:uid="{00000000-0005-0000-0000-000093120000}"/>
    <cellStyle name="Normal 2 2 2 2 2 2 2 2 2 2 2 2 2 2 2 2 2 2 2 2 2 2 2 2 2 2 2 2 7 2" xfId="4713" xr:uid="{00000000-0005-0000-0000-000094120000}"/>
    <cellStyle name="Normal 2 2 2 2 2 2 2 2 2 2 2 2 2 2 2 2 2 2 2 2 2 2 2 2 2 2 2 2 8" xfId="4714" xr:uid="{00000000-0005-0000-0000-000095120000}"/>
    <cellStyle name="Normal 2 2 2 2 2 2 2 2 2 2 2 2 2 2 2 2 2 2 2 2 2 2 2 2 2 2 2 2 8 2" xfId="4715" xr:uid="{00000000-0005-0000-0000-000096120000}"/>
    <cellStyle name="Normal 2 2 2 2 2 2 2 2 2 2 2 2 2 2 2 2 2 2 2 2 2 2 2 2 2 2 2 2 9" xfId="4716" xr:uid="{00000000-0005-0000-0000-000097120000}"/>
    <cellStyle name="Normal 2 2 2 2 2 2 2 2 2 2 2 2 2 2 2 2 2 2 2 2 2 2 2 2 2 2 2 3" xfId="4717" xr:uid="{00000000-0005-0000-0000-000098120000}"/>
    <cellStyle name="Normal 2 2 2 2 2 2 2 2 2 2 2 2 2 2 2 2 2 2 2 2 2 2 2 2 2 2 2 4" xfId="4718" xr:uid="{00000000-0005-0000-0000-000099120000}"/>
    <cellStyle name="Normal 2 2 2 2 2 2 2 2 2 2 2 2 2 2 2 2 2 2 2 2 2 2 2 2 2 2 2 5" xfId="4719" xr:uid="{00000000-0005-0000-0000-00009A120000}"/>
    <cellStyle name="Normal 2 2 2 2 2 2 2 2 2 2 2 2 2 2 2 2 2 2 2 2 2 2 2 2 2 2 2 6" xfId="4720" xr:uid="{00000000-0005-0000-0000-00009B120000}"/>
    <cellStyle name="Normal 2 2 2 2 2 2 2 2 2 2 2 2 2 2 2 2 2 2 2 2 2 2 2 2 2 2 2 7" xfId="4721" xr:uid="{00000000-0005-0000-0000-00009C120000}"/>
    <cellStyle name="Normal 2 2 2 2 2 2 2 2 2 2 2 2 2 2 2 2 2 2 2 2 2 2 2 2 2 2 2 8" xfId="4722" xr:uid="{00000000-0005-0000-0000-00009D120000}"/>
    <cellStyle name="Normal 2 2 2 2 2 2 2 2 2 2 2 2 2 2 2 2 2 2 2 2 2 2 2 2 2 2 2 8 2" xfId="4723" xr:uid="{00000000-0005-0000-0000-00009E120000}"/>
    <cellStyle name="Normal 2 2 2 2 2 2 2 2 2 2 2 2 2 2 2 2 2 2 2 2 2 2 2 2 2 2 2 9" xfId="4724" xr:uid="{00000000-0005-0000-0000-00009F120000}"/>
    <cellStyle name="Normal 2 2 2 2 2 2 2 2 2 2 2 2 2 2 2 2 2 2 2 2 2 2 2 2 2 2 2 9 2" xfId="4725" xr:uid="{00000000-0005-0000-0000-0000A0120000}"/>
    <cellStyle name="Normal 2 2 2 2 2 2 2 2 2 2 2 2 2 2 2 2 2 2 2 2 2 2 2 2 2 2 3" xfId="4726" xr:uid="{00000000-0005-0000-0000-0000A1120000}"/>
    <cellStyle name="Normal 2 2 2 2 2 2 2 2 2 2 2 2 2 2 2 2 2 2 2 2 2 2 2 2 2 2 3 2" xfId="4727" xr:uid="{00000000-0005-0000-0000-0000A2120000}"/>
    <cellStyle name="Normal 2 2 2 2 2 2 2 2 2 2 2 2 2 2 2 2 2 2 2 2 2 2 2 2 2 2 4" xfId="4728" xr:uid="{00000000-0005-0000-0000-0000A3120000}"/>
    <cellStyle name="Normal 2 2 2 2 2 2 2 2 2 2 2 2 2 2 2 2 2 2 2 2 2 2 2 2 2 2 5" xfId="4729" xr:uid="{00000000-0005-0000-0000-0000A4120000}"/>
    <cellStyle name="Normal 2 2 2 2 2 2 2 2 2 2 2 2 2 2 2 2 2 2 2 2 2 2 2 2 2 2 6" xfId="4730" xr:uid="{00000000-0005-0000-0000-0000A5120000}"/>
    <cellStyle name="Normal 2 2 2 2 2 2 2 2 2 2 2 2 2 2 2 2 2 2 2 2 2 2 2 2 2 2 7" xfId="4731" xr:uid="{00000000-0005-0000-0000-0000A6120000}"/>
    <cellStyle name="Normal 2 2 2 2 2 2 2 2 2 2 2 2 2 2 2 2 2 2 2 2 2 2 2 2 2 2 8" xfId="4732" xr:uid="{00000000-0005-0000-0000-0000A7120000}"/>
    <cellStyle name="Normal 2 2 2 2 2 2 2 2 2 2 2 2 2 2 2 2 2 2 2 2 2 2 2 2 2 2 8 2" xfId="4733" xr:uid="{00000000-0005-0000-0000-0000A8120000}"/>
    <cellStyle name="Normal 2 2 2 2 2 2 2 2 2 2 2 2 2 2 2 2 2 2 2 2 2 2 2 2 2 2 9" xfId="4734" xr:uid="{00000000-0005-0000-0000-0000A9120000}"/>
    <cellStyle name="Normal 2 2 2 2 2 2 2 2 2 2 2 2 2 2 2 2 2 2 2 2 2 2 2 2 2 2 9 2" xfId="4735" xr:uid="{00000000-0005-0000-0000-0000AA120000}"/>
    <cellStyle name="Normal 2 2 2 2 2 2 2 2 2 2 2 2 2 2 2 2 2 2 2 2 2 2 2 2 2 3" xfId="4736" xr:uid="{00000000-0005-0000-0000-0000AB120000}"/>
    <cellStyle name="Normal 2 2 2 2 2 2 2 2 2 2 2 2 2 2 2 2 2 2 2 2 2 2 2 2 2 3 2" xfId="4737" xr:uid="{00000000-0005-0000-0000-0000AC120000}"/>
    <cellStyle name="Normal 2 2 2 2 2 2 2 2 2 2 2 2 2 2 2 2 2 2 2 2 2 2 2 2 2 4" xfId="4738" xr:uid="{00000000-0005-0000-0000-0000AD120000}"/>
    <cellStyle name="Normal 2 2 2 2 2 2 2 2 2 2 2 2 2 2 2 2 2 2 2 2 2 2 2 2 2 5" xfId="4739" xr:uid="{00000000-0005-0000-0000-0000AE120000}"/>
    <cellStyle name="Normal 2 2 2 2 2 2 2 2 2 2 2 2 2 2 2 2 2 2 2 2 2 2 2 2 2 6" xfId="4740" xr:uid="{00000000-0005-0000-0000-0000AF120000}"/>
    <cellStyle name="Normal 2 2 2 2 2 2 2 2 2 2 2 2 2 2 2 2 2 2 2 2 2 2 2 2 2 7" xfId="4741" xr:uid="{00000000-0005-0000-0000-0000B0120000}"/>
    <cellStyle name="Normal 2 2 2 2 2 2 2 2 2 2 2 2 2 2 2 2 2 2 2 2 2 2 2 2 2 8" xfId="4742" xr:uid="{00000000-0005-0000-0000-0000B1120000}"/>
    <cellStyle name="Normal 2 2 2 2 2 2 2 2 2 2 2 2 2 2 2 2 2 2 2 2 2 2 2 2 2 8 2" xfId="4743" xr:uid="{00000000-0005-0000-0000-0000B2120000}"/>
    <cellStyle name="Normal 2 2 2 2 2 2 2 2 2 2 2 2 2 2 2 2 2 2 2 2 2 2 2 2 2 9" xfId="4744" xr:uid="{00000000-0005-0000-0000-0000B3120000}"/>
    <cellStyle name="Normal 2 2 2 2 2 2 2 2 2 2 2 2 2 2 2 2 2 2 2 2 2 2 2 2 2 9 2" xfId="4745" xr:uid="{00000000-0005-0000-0000-0000B4120000}"/>
    <cellStyle name="Normal 2 2 2 2 2 2 2 2 2 2 2 2 2 2 2 2 2 2 2 2 2 2 2 2 3" xfId="4746" xr:uid="{00000000-0005-0000-0000-0000B5120000}"/>
    <cellStyle name="Normal 2 2 2 2 2 2 2 2 2 2 2 2 2 2 2 2 2 2 2 2 2 2 2 2 4" xfId="4747" xr:uid="{00000000-0005-0000-0000-0000B6120000}"/>
    <cellStyle name="Normal 2 2 2 2 2 2 2 2 2 2 2 2 2 2 2 2 2 2 2 2 2 2 2 2 4 2" xfId="4748" xr:uid="{00000000-0005-0000-0000-0000B7120000}"/>
    <cellStyle name="Normal 2 2 2 2 2 2 2 2 2 2 2 2 2 2 2 2 2 2 2 2 2 2 2 2 5" xfId="4749" xr:uid="{00000000-0005-0000-0000-0000B8120000}"/>
    <cellStyle name="Normal 2 2 2 2 2 2 2 2 2 2 2 2 2 2 2 2 2 2 2 2 2 2 2 2 6" xfId="4750" xr:uid="{00000000-0005-0000-0000-0000B9120000}"/>
    <cellStyle name="Normal 2 2 2 2 2 2 2 2 2 2 2 2 2 2 2 2 2 2 2 2 2 2 2 2 7" xfId="4751" xr:uid="{00000000-0005-0000-0000-0000BA120000}"/>
    <cellStyle name="Normal 2 2 2 2 2 2 2 2 2 2 2 2 2 2 2 2 2 2 2 2 2 2 2 2 8" xfId="4752" xr:uid="{00000000-0005-0000-0000-0000BB120000}"/>
    <cellStyle name="Normal 2 2 2 2 2 2 2 2 2 2 2 2 2 2 2 2 2 2 2 2 2 2 2 2 9" xfId="4753" xr:uid="{00000000-0005-0000-0000-0000BC120000}"/>
    <cellStyle name="Normal 2 2 2 2 2 2 2 2 2 2 2 2 2 2 2 2 2 2 2 2 2 2 2 2 9 2" xfId="4754" xr:uid="{00000000-0005-0000-0000-0000BD120000}"/>
    <cellStyle name="Normal 2 2 2 2 2 2 2 2 2 2 2 2 2 2 2 2 2 2 2 2 2 2 2 3" xfId="4755" xr:uid="{00000000-0005-0000-0000-0000BE120000}"/>
    <cellStyle name="Normal 2 2 2 2 2 2 2 2 2 2 2 2 2 2 2 2 2 2 2 2 2 2 2 4" xfId="4756" xr:uid="{00000000-0005-0000-0000-0000BF120000}"/>
    <cellStyle name="Normal 2 2 2 2 2 2 2 2 2 2 2 2 2 2 2 2 2 2 2 2 2 2 2 5" xfId="4757" xr:uid="{00000000-0005-0000-0000-0000C0120000}"/>
    <cellStyle name="Normal 2 2 2 2 2 2 2 2 2 2 2 2 2 2 2 2 2 2 2 2 2 2 2 6" xfId="4758" xr:uid="{00000000-0005-0000-0000-0000C1120000}"/>
    <cellStyle name="Normal 2 2 2 2 2 2 2 2 2 2 2 2 2 2 2 2 2 2 2 2 2 2 2 6 2" xfId="4759" xr:uid="{00000000-0005-0000-0000-0000C2120000}"/>
    <cellStyle name="Normal 2 2 2 2 2 2 2 2 2 2 2 2 2 2 2 2 2 2 2 2 2 2 2 7" xfId="4760" xr:uid="{00000000-0005-0000-0000-0000C3120000}"/>
    <cellStyle name="Normal 2 2 2 2 2 2 2 2 2 2 2 2 2 2 2 2 2 2 2 2 2 2 2 8" xfId="4761" xr:uid="{00000000-0005-0000-0000-0000C4120000}"/>
    <cellStyle name="Normal 2 2 2 2 2 2 2 2 2 2 2 2 2 2 2 2 2 2 2 2 2 2 2 9" xfId="4762" xr:uid="{00000000-0005-0000-0000-0000C5120000}"/>
    <cellStyle name="Normal 2 2 2 2 2 2 2 2 2 2 2 2 2 2 2 2 2 2 2 2 2 2 3" xfId="4763" xr:uid="{00000000-0005-0000-0000-0000C6120000}"/>
    <cellStyle name="Normal 2 2 2 2 2 2 2 2 2 2 2 2 2 2 2 2 2 2 2 2 2 2 4" xfId="4764" xr:uid="{00000000-0005-0000-0000-0000C7120000}"/>
    <cellStyle name="Normal 2 2 2 2 2 2 2 2 2 2 2 2 2 2 2 2 2 2 2 2 2 2 4 2" xfId="4765" xr:uid="{00000000-0005-0000-0000-0000C8120000}"/>
    <cellStyle name="Normal 2 2 2 2 2 2 2 2 2 2 2 2 2 2 2 2 2 2 2 2 2 2 5" xfId="4766" xr:uid="{00000000-0005-0000-0000-0000C9120000}"/>
    <cellStyle name="Normal 2 2 2 2 2 2 2 2 2 2 2 2 2 2 2 2 2 2 2 2 2 2 6" xfId="4767" xr:uid="{00000000-0005-0000-0000-0000CA120000}"/>
    <cellStyle name="Normal 2 2 2 2 2 2 2 2 2 2 2 2 2 2 2 2 2 2 2 2 2 2 7" xfId="4768" xr:uid="{00000000-0005-0000-0000-0000CB120000}"/>
    <cellStyle name="Normal 2 2 2 2 2 2 2 2 2 2 2 2 2 2 2 2 2 2 2 2 2 2 7 2" xfId="4769" xr:uid="{00000000-0005-0000-0000-0000CC120000}"/>
    <cellStyle name="Normal 2 2 2 2 2 2 2 2 2 2 2 2 2 2 2 2 2 2 2 2 2 2 8" xfId="4770" xr:uid="{00000000-0005-0000-0000-0000CD120000}"/>
    <cellStyle name="Normal 2 2 2 2 2 2 2 2 2 2 2 2 2 2 2 2 2 2 2 2 2 2 9" xfId="4771" xr:uid="{00000000-0005-0000-0000-0000CE120000}"/>
    <cellStyle name="Normal 2 2 2 2 2 2 2 2 2 2 2 2 2 2 2 2 2 2 2 2 2 3" xfId="4772" xr:uid="{00000000-0005-0000-0000-0000CF120000}"/>
    <cellStyle name="Normal 2 2 2 2 2 2 2 2 2 2 2 2 2 2 2 2 2 2 2 2 2 4" xfId="4773" xr:uid="{00000000-0005-0000-0000-0000D0120000}"/>
    <cellStyle name="Normal 2 2 2 2 2 2 2 2 2 2 2 2 2 2 2 2 2 2 2 2 2 5" xfId="4774" xr:uid="{00000000-0005-0000-0000-0000D1120000}"/>
    <cellStyle name="Normal 2 2 2 2 2 2 2 2 2 2 2 2 2 2 2 2 2 2 2 2 2 5 2" xfId="4775" xr:uid="{00000000-0005-0000-0000-0000D2120000}"/>
    <cellStyle name="Normal 2 2 2 2 2 2 2 2 2 2 2 2 2 2 2 2 2 2 2 2 2 6" xfId="4776" xr:uid="{00000000-0005-0000-0000-0000D3120000}"/>
    <cellStyle name="Normal 2 2 2 2 2 2 2 2 2 2 2 2 2 2 2 2 2 2 2 2 2 7" xfId="4777" xr:uid="{00000000-0005-0000-0000-0000D4120000}"/>
    <cellStyle name="Normal 2 2 2 2 2 2 2 2 2 2 2 2 2 2 2 2 2 2 2 2 2 8" xfId="4778" xr:uid="{00000000-0005-0000-0000-0000D5120000}"/>
    <cellStyle name="Normal 2 2 2 2 2 2 2 2 2 2 2 2 2 2 2 2 2 2 2 2 2 8 2" xfId="4779" xr:uid="{00000000-0005-0000-0000-0000D6120000}"/>
    <cellStyle name="Normal 2 2 2 2 2 2 2 2 2 2 2 2 2 2 2 2 2 2 2 2 2 9" xfId="4780" xr:uid="{00000000-0005-0000-0000-0000D7120000}"/>
    <cellStyle name="Normal 2 2 2 2 2 2 2 2 2 2 2 2 2 2 2 2 2 2 2 2 3" xfId="4781" xr:uid="{00000000-0005-0000-0000-0000D8120000}"/>
    <cellStyle name="Normal 2 2 2 2 2 2 2 2 2 2 2 2 2 2 2 2 2 2 2 2 3 2" xfId="4782" xr:uid="{00000000-0005-0000-0000-0000D9120000}"/>
    <cellStyle name="Normal 2 2 2 2 2 2 2 2 2 2 2 2 2 2 2 2 2 2 2 2 3 3" xfId="4783" xr:uid="{00000000-0005-0000-0000-0000DA120000}"/>
    <cellStyle name="Normal 2 2 2 2 2 2 2 2 2 2 2 2 2 2 2 2 2 2 2 2 4" xfId="4784" xr:uid="{00000000-0005-0000-0000-0000DB120000}"/>
    <cellStyle name="Normal 2 2 2 2 2 2 2 2 2 2 2 2 2 2 2 2 2 2 2 2 5" xfId="4785" xr:uid="{00000000-0005-0000-0000-0000DC120000}"/>
    <cellStyle name="Normal 2 2 2 2 2 2 2 2 2 2 2 2 2 2 2 2 2 2 2 2 5 2" xfId="4786" xr:uid="{00000000-0005-0000-0000-0000DD120000}"/>
    <cellStyle name="Normal 2 2 2 2 2 2 2 2 2 2 2 2 2 2 2 2 2 2 2 2 6" xfId="4787" xr:uid="{00000000-0005-0000-0000-0000DE120000}"/>
    <cellStyle name="Normal 2 2 2 2 2 2 2 2 2 2 2 2 2 2 2 2 2 2 2 2 7" xfId="4788" xr:uid="{00000000-0005-0000-0000-0000DF120000}"/>
    <cellStyle name="Normal 2 2 2 2 2 2 2 2 2 2 2 2 2 2 2 2 2 2 2 2 8" xfId="4789" xr:uid="{00000000-0005-0000-0000-0000E0120000}"/>
    <cellStyle name="Normal 2 2 2 2 2 2 2 2 2 2 2 2 2 2 2 2 2 2 2 2 8 2" xfId="4790" xr:uid="{00000000-0005-0000-0000-0000E1120000}"/>
    <cellStyle name="Normal 2 2 2 2 2 2 2 2 2 2 2 2 2 2 2 2 2 2 2 2 9" xfId="4791" xr:uid="{00000000-0005-0000-0000-0000E2120000}"/>
    <cellStyle name="Normal 2 2 2 2 2 2 2 2 2 2 2 2 2 2 2 2 2 2 2 3" xfId="4792" xr:uid="{00000000-0005-0000-0000-0000E3120000}"/>
    <cellStyle name="Normal 2 2 2 2 2 2 2 2 2 2 2 2 2 2 2 2 2 2 2 3 2" xfId="4793" xr:uid="{00000000-0005-0000-0000-0000E4120000}"/>
    <cellStyle name="Normal 2 2 2 2 2 2 2 2 2 2 2 2 2 2 2 2 2 2 2 3 3" xfId="4794" xr:uid="{00000000-0005-0000-0000-0000E5120000}"/>
    <cellStyle name="Normal 2 2 2 2 2 2 2 2 2 2 2 2 2 2 2 2 2 2 2 4" xfId="4795" xr:uid="{00000000-0005-0000-0000-0000E6120000}"/>
    <cellStyle name="Normal 2 2 2 2 2 2 2 2 2 2 2 2 2 2 2 2 2 2 2 5" xfId="4796" xr:uid="{00000000-0005-0000-0000-0000E7120000}"/>
    <cellStyle name="Normal 2 2 2 2 2 2 2 2 2 2 2 2 2 2 2 2 2 2 2 5 2" xfId="4797" xr:uid="{00000000-0005-0000-0000-0000E8120000}"/>
    <cellStyle name="Normal 2 2 2 2 2 2 2 2 2 2 2 2 2 2 2 2 2 2 2 6" xfId="4798" xr:uid="{00000000-0005-0000-0000-0000E9120000}"/>
    <cellStyle name="Normal 2 2 2 2 2 2 2 2 2 2 2 2 2 2 2 2 2 2 2 7" xfId="4799" xr:uid="{00000000-0005-0000-0000-0000EA120000}"/>
    <cellStyle name="Normal 2 2 2 2 2 2 2 2 2 2 2 2 2 2 2 2 2 2 2 8" xfId="4800" xr:uid="{00000000-0005-0000-0000-0000EB120000}"/>
    <cellStyle name="Normal 2 2 2 2 2 2 2 2 2 2 2 2 2 2 2 2 2 2 2 8 2" xfId="4801" xr:uid="{00000000-0005-0000-0000-0000EC120000}"/>
    <cellStyle name="Normal 2 2 2 2 2 2 2 2 2 2 2 2 2 2 2 2 2 2 2 9" xfId="4802" xr:uid="{00000000-0005-0000-0000-0000ED120000}"/>
    <cellStyle name="Normal 2 2 2 2 2 2 2 2 2 2 2 2 2 2 2 2 2 2 20" xfId="4803" xr:uid="{00000000-0005-0000-0000-0000EE120000}"/>
    <cellStyle name="Normal 2 2 2 2 2 2 2 2 2 2 2 2 2 2 2 2 2 2 20 2" xfId="4804" xr:uid="{00000000-0005-0000-0000-0000EF120000}"/>
    <cellStyle name="Normal 2 2 2 2 2 2 2 2 2 2 2 2 2 2 2 2 2 2 3" xfId="4805" xr:uid="{00000000-0005-0000-0000-0000F0120000}"/>
    <cellStyle name="Normal 2 2 2 2 2 2 2 2 2 2 2 2 2 2 2 2 2 2 4" xfId="4806" xr:uid="{00000000-0005-0000-0000-0000F1120000}"/>
    <cellStyle name="Normal 2 2 2 2 2 2 2 2 2 2 2 2 2 2 2 2 2 2 4 2" xfId="4807" xr:uid="{00000000-0005-0000-0000-0000F2120000}"/>
    <cellStyle name="Normal 2 2 2 2 2 2 2 2 2 2 2 2 2 2 2 2 2 2 4 3" xfId="4808" xr:uid="{00000000-0005-0000-0000-0000F3120000}"/>
    <cellStyle name="Normal 2 2 2 2 2 2 2 2 2 2 2 2 2 2 2 2 2 2 5" xfId="4809" xr:uid="{00000000-0005-0000-0000-0000F4120000}"/>
    <cellStyle name="Normal 2 2 2 2 2 2 2 2 2 2 2 2 2 2 2 2 2 2 6" xfId="4810" xr:uid="{00000000-0005-0000-0000-0000F5120000}"/>
    <cellStyle name="Normal 2 2 2 2 2 2 2 2 2 2 2 2 2 2 2 2 2 2 6 2" xfId="4811" xr:uid="{00000000-0005-0000-0000-0000F6120000}"/>
    <cellStyle name="Normal 2 2 2 2 2 2 2 2 2 2 2 2 2 2 2 2 2 2 7" xfId="4812" xr:uid="{00000000-0005-0000-0000-0000F7120000}"/>
    <cellStyle name="Normal 2 2 2 2 2 2 2 2 2 2 2 2 2 2 2 2 2 2 8" xfId="4813" xr:uid="{00000000-0005-0000-0000-0000F8120000}"/>
    <cellStyle name="Normal 2 2 2 2 2 2 2 2 2 2 2 2 2 2 2 2 2 2 9" xfId="4814" xr:uid="{00000000-0005-0000-0000-0000F9120000}"/>
    <cellStyle name="Normal 2 2 2 2 2 2 2 2 2 2 2 2 2 2 2 2 2 2 9 2" xfId="4815" xr:uid="{00000000-0005-0000-0000-0000FA120000}"/>
    <cellStyle name="Normal 2 2 2 2 2 2 2 2 2 2 2 2 2 2 2 2 2 20" xfId="4816" xr:uid="{00000000-0005-0000-0000-0000FB120000}"/>
    <cellStyle name="Normal 2 2 2 2 2 2 2 2 2 2 2 2 2 2 2 2 2 20 2" xfId="4817" xr:uid="{00000000-0005-0000-0000-0000FC120000}"/>
    <cellStyle name="Normal 2 2 2 2 2 2 2 2 2 2 2 2 2 2 2 2 2 3" xfId="4818" xr:uid="{00000000-0005-0000-0000-0000FD120000}"/>
    <cellStyle name="Normal 2 2 2 2 2 2 2 2 2 2 2 2 2 2 2 2 2 4" xfId="4819" xr:uid="{00000000-0005-0000-0000-0000FE120000}"/>
    <cellStyle name="Normal 2 2 2 2 2 2 2 2 2 2 2 2 2 2 2 2 2 4 2" xfId="4820" xr:uid="{00000000-0005-0000-0000-0000FF120000}"/>
    <cellStyle name="Normal 2 2 2 2 2 2 2 2 2 2 2 2 2 2 2 2 2 4 3" xfId="4821" xr:uid="{00000000-0005-0000-0000-000000130000}"/>
    <cellStyle name="Normal 2 2 2 2 2 2 2 2 2 2 2 2 2 2 2 2 2 5" xfId="4822" xr:uid="{00000000-0005-0000-0000-000001130000}"/>
    <cellStyle name="Normal 2 2 2 2 2 2 2 2 2 2 2 2 2 2 2 2 2 6" xfId="4823" xr:uid="{00000000-0005-0000-0000-000002130000}"/>
    <cellStyle name="Normal 2 2 2 2 2 2 2 2 2 2 2 2 2 2 2 2 2 6 2" xfId="4824" xr:uid="{00000000-0005-0000-0000-000003130000}"/>
    <cellStyle name="Normal 2 2 2 2 2 2 2 2 2 2 2 2 2 2 2 2 2 7" xfId="4825" xr:uid="{00000000-0005-0000-0000-000004130000}"/>
    <cellStyle name="Normal 2 2 2 2 2 2 2 2 2 2 2 2 2 2 2 2 2 8" xfId="4826" xr:uid="{00000000-0005-0000-0000-000005130000}"/>
    <cellStyle name="Normal 2 2 2 2 2 2 2 2 2 2 2 2 2 2 2 2 2 9" xfId="4827" xr:uid="{00000000-0005-0000-0000-000006130000}"/>
    <cellStyle name="Normal 2 2 2 2 2 2 2 2 2 2 2 2 2 2 2 2 2 9 2" xfId="4828" xr:uid="{00000000-0005-0000-0000-000007130000}"/>
    <cellStyle name="Normal 2 2 2 2 2 2 2 2 2 2 2 2 2 2 2 2 20" xfId="4829" xr:uid="{00000000-0005-0000-0000-000008130000}"/>
    <cellStyle name="Normal 2 2 2 2 2 2 2 2 2 2 2 2 2 2 2 2 21" xfId="4830" xr:uid="{00000000-0005-0000-0000-000009130000}"/>
    <cellStyle name="Normal 2 2 2 2 2 2 2 2 2 2 2 2 2 2 2 2 21 2" xfId="4831" xr:uid="{00000000-0005-0000-0000-00000A130000}"/>
    <cellStyle name="Normal 2 2 2 2 2 2 2 2 2 2 2 2 2 2 2 2 3" xfId="4832" xr:uid="{00000000-0005-0000-0000-00000B130000}"/>
    <cellStyle name="Normal 2 2 2 2 2 2 2 2 2 2 2 2 2 2 2 2 4" xfId="4833" xr:uid="{00000000-0005-0000-0000-00000C130000}"/>
    <cellStyle name="Normal 2 2 2 2 2 2 2 2 2 2 2 2 2 2 2 2 5" xfId="4834" xr:uid="{00000000-0005-0000-0000-00000D130000}"/>
    <cellStyle name="Normal 2 2 2 2 2 2 2 2 2 2 2 2 2 2 2 2 5 2" xfId="4835" xr:uid="{00000000-0005-0000-0000-00000E130000}"/>
    <cellStyle name="Normal 2 2 2 2 2 2 2 2 2 2 2 2 2 2 2 2 5 3" xfId="4836" xr:uid="{00000000-0005-0000-0000-00000F130000}"/>
    <cellStyle name="Normal 2 2 2 2 2 2 2 2 2 2 2 2 2 2 2 2 6" xfId="4837" xr:uid="{00000000-0005-0000-0000-000010130000}"/>
    <cellStyle name="Normal 2 2 2 2 2 2 2 2 2 2 2 2 2 2 2 2 7" xfId="4838" xr:uid="{00000000-0005-0000-0000-000011130000}"/>
    <cellStyle name="Normal 2 2 2 2 2 2 2 2 2 2 2 2 2 2 2 2 7 2" xfId="4839" xr:uid="{00000000-0005-0000-0000-000012130000}"/>
    <cellStyle name="Normal 2 2 2 2 2 2 2 2 2 2 2 2 2 2 2 2 8" xfId="4840" xr:uid="{00000000-0005-0000-0000-000013130000}"/>
    <cellStyle name="Normal 2 2 2 2 2 2 2 2 2 2 2 2 2 2 2 2 9" xfId="4841" xr:uid="{00000000-0005-0000-0000-000014130000}"/>
    <cellStyle name="Normal 2 2 2 2 2 2 2 2 2 2 2 2 2 2 2 20" xfId="4842" xr:uid="{00000000-0005-0000-0000-000015130000}"/>
    <cellStyle name="Normal 2 2 2 2 2 2 2 2 2 2 2 2 2 2 2 21" xfId="4843" xr:uid="{00000000-0005-0000-0000-000016130000}"/>
    <cellStyle name="Normal 2 2 2 2 2 2 2 2 2 2 2 2 2 2 2 21 2" xfId="4844" xr:uid="{00000000-0005-0000-0000-000017130000}"/>
    <cellStyle name="Normal 2 2 2 2 2 2 2 2 2 2 2 2 2 2 2 3" xfId="4845" xr:uid="{00000000-0005-0000-0000-000018130000}"/>
    <cellStyle name="Normal 2 2 2 2 2 2 2 2 2 2 2 2 2 2 2 4" xfId="4846" xr:uid="{00000000-0005-0000-0000-000019130000}"/>
    <cellStyle name="Normal 2 2 2 2 2 2 2 2 2 2 2 2 2 2 2 5" xfId="4847" xr:uid="{00000000-0005-0000-0000-00001A130000}"/>
    <cellStyle name="Normal 2 2 2 2 2 2 2 2 2 2 2 2 2 2 2 5 2" xfId="4848" xr:uid="{00000000-0005-0000-0000-00001B130000}"/>
    <cellStyle name="Normal 2 2 2 2 2 2 2 2 2 2 2 2 2 2 2 5 3" xfId="4849" xr:uid="{00000000-0005-0000-0000-00001C130000}"/>
    <cellStyle name="Normal 2 2 2 2 2 2 2 2 2 2 2 2 2 2 2 6" xfId="4850" xr:uid="{00000000-0005-0000-0000-00001D130000}"/>
    <cellStyle name="Normal 2 2 2 2 2 2 2 2 2 2 2 2 2 2 2 7" xfId="4851" xr:uid="{00000000-0005-0000-0000-00001E130000}"/>
    <cellStyle name="Normal 2 2 2 2 2 2 2 2 2 2 2 2 2 2 2 7 2" xfId="4852" xr:uid="{00000000-0005-0000-0000-00001F130000}"/>
    <cellStyle name="Normal 2 2 2 2 2 2 2 2 2 2 2 2 2 2 2 8" xfId="4853" xr:uid="{00000000-0005-0000-0000-000020130000}"/>
    <cellStyle name="Normal 2 2 2 2 2 2 2 2 2 2 2 2 2 2 2 9" xfId="4854" xr:uid="{00000000-0005-0000-0000-000021130000}"/>
    <cellStyle name="Normal 2 2 2 2 2 2 2 2 2 2 2 2 2 2 20" xfId="4855" xr:uid="{00000000-0005-0000-0000-000022130000}"/>
    <cellStyle name="Normal 2 2 2 2 2 2 2 2 2 2 2 2 2 2 20 2" xfId="4856" xr:uid="{00000000-0005-0000-0000-000023130000}"/>
    <cellStyle name="Normal 2 2 2 2 2 2 2 2 2 2 2 2 2 2 21" xfId="4857" xr:uid="{00000000-0005-0000-0000-000024130000}"/>
    <cellStyle name="Normal 2 2 2 2 2 2 2 2 2 2 2 2 2 2 22" xfId="4858" xr:uid="{00000000-0005-0000-0000-000025130000}"/>
    <cellStyle name="Normal 2 2 2 2 2 2 2 2 2 2 2 2 2 2 23" xfId="4859" xr:uid="{00000000-0005-0000-0000-000026130000}"/>
    <cellStyle name="Normal 2 2 2 2 2 2 2 2 2 2 2 2 2 2 23 2" xfId="4860" xr:uid="{00000000-0005-0000-0000-000027130000}"/>
    <cellStyle name="Normal 2 2 2 2 2 2 2 2 2 2 2 2 2 2 24" xfId="4861" xr:uid="{00000000-0005-0000-0000-000028130000}"/>
    <cellStyle name="Normal 2 2 2 2 2 2 2 2 2 2 2 2 2 2 25" xfId="4862" xr:uid="{00000000-0005-0000-0000-000029130000}"/>
    <cellStyle name="Normal 2 2 2 2 2 2 2 2 2 2 2 2 2 2 25 2" xfId="4863" xr:uid="{00000000-0005-0000-0000-00002A130000}"/>
    <cellStyle name="Normal 2 2 2 2 2 2 2 2 2 2 2 2 2 2 3" xfId="4864" xr:uid="{00000000-0005-0000-0000-00002B130000}"/>
    <cellStyle name="Normal 2 2 2 2 2 2 2 2 2 2 2 2 2 2 4" xfId="4865" xr:uid="{00000000-0005-0000-0000-00002C130000}"/>
    <cellStyle name="Normal 2 2 2 2 2 2 2 2 2 2 2 2 2 2 5" xfId="4866" xr:uid="{00000000-0005-0000-0000-00002D130000}"/>
    <cellStyle name="Normal 2 2 2 2 2 2 2 2 2 2 2 2 2 2 6" xfId="4867" xr:uid="{00000000-0005-0000-0000-00002E130000}"/>
    <cellStyle name="Normal 2 2 2 2 2 2 2 2 2 2 2 2 2 2 7" xfId="4868" xr:uid="{00000000-0005-0000-0000-00002F130000}"/>
    <cellStyle name="Normal 2 2 2 2 2 2 2 2 2 2 2 2 2 2 8" xfId="4869" xr:uid="{00000000-0005-0000-0000-000030130000}"/>
    <cellStyle name="Normal 2 2 2 2 2 2 2 2 2 2 2 2 2 2 9" xfId="4870" xr:uid="{00000000-0005-0000-0000-000031130000}"/>
    <cellStyle name="Normal 2 2 2 2 2 2 2 2 2 2 2 2 2 2 9 2" xfId="4871" xr:uid="{00000000-0005-0000-0000-000032130000}"/>
    <cellStyle name="Normal 2 2 2 2 2 2 2 2 2 2 2 2 2 2 9 3" xfId="4872" xr:uid="{00000000-0005-0000-0000-000033130000}"/>
    <cellStyle name="Normal 2 2 2 2 2 2 2 2 2 2 2 2 2 20" xfId="4873" xr:uid="{00000000-0005-0000-0000-000034130000}"/>
    <cellStyle name="Normal 2 2 2 2 2 2 2 2 2 2 2 2 2 20 2" xfId="4874" xr:uid="{00000000-0005-0000-0000-000035130000}"/>
    <cellStyle name="Normal 2 2 2 2 2 2 2 2 2 2 2 2 2 21" xfId="4875" xr:uid="{00000000-0005-0000-0000-000036130000}"/>
    <cellStyle name="Normal 2 2 2 2 2 2 2 2 2 2 2 2 2 21 2" xfId="4876" xr:uid="{00000000-0005-0000-0000-000037130000}"/>
    <cellStyle name="Normal 2 2 2 2 2 2 2 2 2 2 2 2 2 22" xfId="4877" xr:uid="{00000000-0005-0000-0000-000038130000}"/>
    <cellStyle name="Normal 2 2 2 2 2 2 2 2 2 2 2 2 2 23" xfId="4878" xr:uid="{00000000-0005-0000-0000-000039130000}"/>
    <cellStyle name="Normal 2 2 2 2 2 2 2 2 2 2 2 2 2 24" xfId="4879" xr:uid="{00000000-0005-0000-0000-00003A130000}"/>
    <cellStyle name="Normal 2 2 2 2 2 2 2 2 2 2 2 2 2 24 2" xfId="4880" xr:uid="{00000000-0005-0000-0000-00003B130000}"/>
    <cellStyle name="Normal 2 2 2 2 2 2 2 2 2 2 2 2 2 25" xfId="4881" xr:uid="{00000000-0005-0000-0000-00003C130000}"/>
    <cellStyle name="Normal 2 2 2 2 2 2 2 2 2 2 2 2 2 26" xfId="4882" xr:uid="{00000000-0005-0000-0000-00003D130000}"/>
    <cellStyle name="Normal 2 2 2 2 2 2 2 2 2 2 2 2 2 26 2" xfId="4883" xr:uid="{00000000-0005-0000-0000-00003E130000}"/>
    <cellStyle name="Normal 2 2 2 2 2 2 2 2 2 2 2 2 2 3" xfId="4884" xr:uid="{00000000-0005-0000-0000-00003F130000}"/>
    <cellStyle name="Normal 2 2 2 2 2 2 2 2 2 2 2 2 2 4" xfId="4885" xr:uid="{00000000-0005-0000-0000-000040130000}"/>
    <cellStyle name="Normal 2 2 2 2 2 2 2 2 2 2 2 2 2 5" xfId="4886" xr:uid="{00000000-0005-0000-0000-000041130000}"/>
    <cellStyle name="Normal 2 2 2 2 2 2 2 2 2 2 2 2 2 6" xfId="4887" xr:uid="{00000000-0005-0000-0000-000042130000}"/>
    <cellStyle name="Normal 2 2 2 2 2 2 2 2 2 2 2 2 2 7" xfId="4888" xr:uid="{00000000-0005-0000-0000-000043130000}"/>
    <cellStyle name="Normal 2 2 2 2 2 2 2 2 2 2 2 2 2 8" xfId="4889" xr:uid="{00000000-0005-0000-0000-000044130000}"/>
    <cellStyle name="Normal 2 2 2 2 2 2 2 2 2 2 2 2 2 9" xfId="4890" xr:uid="{00000000-0005-0000-0000-000045130000}"/>
    <cellStyle name="Normal 2 2 2 2 2 2 2 2 2 2 2 2 20" xfId="4891" xr:uid="{00000000-0005-0000-0000-000046130000}"/>
    <cellStyle name="Normal 2 2 2 2 2 2 2 2 2 2 2 2 21" xfId="4892" xr:uid="{00000000-0005-0000-0000-000047130000}"/>
    <cellStyle name="Normal 2 2 2 2 2 2 2 2 2 2 2 2 21 2" xfId="4893" xr:uid="{00000000-0005-0000-0000-000048130000}"/>
    <cellStyle name="Normal 2 2 2 2 2 2 2 2 2 2 2 2 22" xfId="4894" xr:uid="{00000000-0005-0000-0000-000049130000}"/>
    <cellStyle name="Normal 2 2 2 2 2 2 2 2 2 2 2 2 22 2" xfId="4895" xr:uid="{00000000-0005-0000-0000-00004A130000}"/>
    <cellStyle name="Normal 2 2 2 2 2 2 2 2 2 2 2 2 23" xfId="4896" xr:uid="{00000000-0005-0000-0000-00004B130000}"/>
    <cellStyle name="Normal 2 2 2 2 2 2 2 2 2 2 2 2 24" xfId="4897" xr:uid="{00000000-0005-0000-0000-00004C130000}"/>
    <cellStyle name="Normal 2 2 2 2 2 2 2 2 2 2 2 2 25" xfId="4898" xr:uid="{00000000-0005-0000-0000-00004D130000}"/>
    <cellStyle name="Normal 2 2 2 2 2 2 2 2 2 2 2 2 25 2" xfId="4899" xr:uid="{00000000-0005-0000-0000-00004E130000}"/>
    <cellStyle name="Normal 2 2 2 2 2 2 2 2 2 2 2 2 26" xfId="4900" xr:uid="{00000000-0005-0000-0000-00004F130000}"/>
    <cellStyle name="Normal 2 2 2 2 2 2 2 2 2 2 2 2 27" xfId="4901" xr:uid="{00000000-0005-0000-0000-000050130000}"/>
    <cellStyle name="Normal 2 2 2 2 2 2 2 2 2 2 2 2 27 2" xfId="4902" xr:uid="{00000000-0005-0000-0000-000051130000}"/>
    <cellStyle name="Normal 2 2 2 2 2 2 2 2 2 2 2 2 3" xfId="4903" xr:uid="{00000000-0005-0000-0000-000052130000}"/>
    <cellStyle name="Normal 2 2 2 2 2 2 2 2 2 2 2 2 4" xfId="4904" xr:uid="{00000000-0005-0000-0000-000053130000}"/>
    <cellStyle name="Normal 2 2 2 2 2 2 2 2 2 2 2 2 4 2" xfId="4905" xr:uid="{00000000-0005-0000-0000-000054130000}"/>
    <cellStyle name="Normal 2 2 2 2 2 2 2 2 2 2 2 2 4 3" xfId="4906" xr:uid="{00000000-0005-0000-0000-000055130000}"/>
    <cellStyle name="Normal 2 2 2 2 2 2 2 2 2 2 2 2 4 4" xfId="4907" xr:uid="{00000000-0005-0000-0000-000056130000}"/>
    <cellStyle name="Normal 2 2 2 2 2 2 2 2 2 2 2 2 4 5" xfId="4908" xr:uid="{00000000-0005-0000-0000-000057130000}"/>
    <cellStyle name="Normal 2 2 2 2 2 2 2 2 2 2 2 2 5" xfId="4909" xr:uid="{00000000-0005-0000-0000-000058130000}"/>
    <cellStyle name="Normal 2 2 2 2 2 2 2 2 2 2 2 2 6" xfId="4910" xr:uid="{00000000-0005-0000-0000-000059130000}"/>
    <cellStyle name="Normal 2 2 2 2 2 2 2 2 2 2 2 2 7" xfId="4911" xr:uid="{00000000-0005-0000-0000-00005A130000}"/>
    <cellStyle name="Normal 2 2 2 2 2 2 2 2 2 2 2 2 8" xfId="4912" xr:uid="{00000000-0005-0000-0000-00005B130000}"/>
    <cellStyle name="Normal 2 2 2 2 2 2 2 2 2 2 2 2 9" xfId="4913" xr:uid="{00000000-0005-0000-0000-00005C130000}"/>
    <cellStyle name="Normal 2 2 2 2 2 2 2 2 2 2 2 20" xfId="4914" xr:uid="{00000000-0005-0000-0000-00005D130000}"/>
    <cellStyle name="Normal 2 2 2 2 2 2 2 2 2 2 2 21" xfId="4915" xr:uid="{00000000-0005-0000-0000-00005E130000}"/>
    <cellStyle name="Normal 2 2 2 2 2 2 2 2 2 2 2 21 2" xfId="4916" xr:uid="{00000000-0005-0000-0000-00005F130000}"/>
    <cellStyle name="Normal 2 2 2 2 2 2 2 2 2 2 2 22" xfId="4917" xr:uid="{00000000-0005-0000-0000-000060130000}"/>
    <cellStyle name="Normal 2 2 2 2 2 2 2 2 2 2 2 22 2" xfId="4918" xr:uid="{00000000-0005-0000-0000-000061130000}"/>
    <cellStyle name="Normal 2 2 2 2 2 2 2 2 2 2 2 23" xfId="4919" xr:uid="{00000000-0005-0000-0000-000062130000}"/>
    <cellStyle name="Normal 2 2 2 2 2 2 2 2 2 2 2 24" xfId="4920" xr:uid="{00000000-0005-0000-0000-000063130000}"/>
    <cellStyle name="Normal 2 2 2 2 2 2 2 2 2 2 2 25" xfId="4921" xr:uid="{00000000-0005-0000-0000-000064130000}"/>
    <cellStyle name="Normal 2 2 2 2 2 2 2 2 2 2 2 25 2" xfId="4922" xr:uid="{00000000-0005-0000-0000-000065130000}"/>
    <cellStyle name="Normal 2 2 2 2 2 2 2 2 2 2 2 26" xfId="4923" xr:uid="{00000000-0005-0000-0000-000066130000}"/>
    <cellStyle name="Normal 2 2 2 2 2 2 2 2 2 2 2 27" xfId="4924" xr:uid="{00000000-0005-0000-0000-000067130000}"/>
    <cellStyle name="Normal 2 2 2 2 2 2 2 2 2 2 2 27 2" xfId="4925" xr:uid="{00000000-0005-0000-0000-000068130000}"/>
    <cellStyle name="Normal 2 2 2 2 2 2 2 2 2 2 2 3" xfId="4926" xr:uid="{00000000-0005-0000-0000-000069130000}"/>
    <cellStyle name="Normal 2 2 2 2 2 2 2 2 2 2 2 4" xfId="4927" xr:uid="{00000000-0005-0000-0000-00006A130000}"/>
    <cellStyle name="Normal 2 2 2 2 2 2 2 2 2 2 2 4 2" xfId="4928" xr:uid="{00000000-0005-0000-0000-00006B130000}"/>
    <cellStyle name="Normal 2 2 2 2 2 2 2 2 2 2 2 4 3" xfId="4929" xr:uid="{00000000-0005-0000-0000-00006C130000}"/>
    <cellStyle name="Normal 2 2 2 2 2 2 2 2 2 2 2 4 4" xfId="4930" xr:uid="{00000000-0005-0000-0000-00006D130000}"/>
    <cellStyle name="Normal 2 2 2 2 2 2 2 2 2 2 2 4 5" xfId="4931" xr:uid="{00000000-0005-0000-0000-00006E130000}"/>
    <cellStyle name="Normal 2 2 2 2 2 2 2 2 2 2 2 5" xfId="4932" xr:uid="{00000000-0005-0000-0000-00006F130000}"/>
    <cellStyle name="Normal 2 2 2 2 2 2 2 2 2 2 2 6" xfId="4933" xr:uid="{00000000-0005-0000-0000-000070130000}"/>
    <cellStyle name="Normal 2 2 2 2 2 2 2 2 2 2 2 7" xfId="4934" xr:uid="{00000000-0005-0000-0000-000071130000}"/>
    <cellStyle name="Normal 2 2 2 2 2 2 2 2 2 2 2 8" xfId="4935" xr:uid="{00000000-0005-0000-0000-000072130000}"/>
    <cellStyle name="Normal 2 2 2 2 2 2 2 2 2 2 2 9" xfId="4936" xr:uid="{00000000-0005-0000-0000-000073130000}"/>
    <cellStyle name="Normal 2 2 2 2 2 2 2 2 2 2 20" xfId="4937" xr:uid="{00000000-0005-0000-0000-000074130000}"/>
    <cellStyle name="Normal 2 2 2 2 2 2 2 2 2 2 21" xfId="4938" xr:uid="{00000000-0005-0000-0000-000075130000}"/>
    <cellStyle name="Normal 2 2 2 2 2 2 2 2 2 2 22" xfId="4939" xr:uid="{00000000-0005-0000-0000-000076130000}"/>
    <cellStyle name="Normal 2 2 2 2 2 2 2 2 2 2 23" xfId="4940" xr:uid="{00000000-0005-0000-0000-000077130000}"/>
    <cellStyle name="Normal 2 2 2 2 2 2 2 2 2 2 23 2" xfId="4941" xr:uid="{00000000-0005-0000-0000-000078130000}"/>
    <cellStyle name="Normal 2 2 2 2 2 2 2 2 2 2 24" xfId="4942" xr:uid="{00000000-0005-0000-0000-000079130000}"/>
    <cellStyle name="Normal 2 2 2 2 2 2 2 2 2 2 24 2" xfId="4943" xr:uid="{00000000-0005-0000-0000-00007A130000}"/>
    <cellStyle name="Normal 2 2 2 2 2 2 2 2 2 2 25" xfId="4944" xr:uid="{00000000-0005-0000-0000-00007B130000}"/>
    <cellStyle name="Normal 2 2 2 2 2 2 2 2 2 2 26" xfId="4945" xr:uid="{00000000-0005-0000-0000-00007C130000}"/>
    <cellStyle name="Normal 2 2 2 2 2 2 2 2 2 2 27" xfId="4946" xr:uid="{00000000-0005-0000-0000-00007D130000}"/>
    <cellStyle name="Normal 2 2 2 2 2 2 2 2 2 2 27 2" xfId="4947" xr:uid="{00000000-0005-0000-0000-00007E130000}"/>
    <cellStyle name="Normal 2 2 2 2 2 2 2 2 2 2 28" xfId="4948" xr:uid="{00000000-0005-0000-0000-00007F130000}"/>
    <cellStyle name="Normal 2 2 2 2 2 2 2 2 2 2 29" xfId="4949" xr:uid="{00000000-0005-0000-0000-000080130000}"/>
    <cellStyle name="Normal 2 2 2 2 2 2 2 2 2 2 29 2" xfId="4950" xr:uid="{00000000-0005-0000-0000-000081130000}"/>
    <cellStyle name="Normal 2 2 2 2 2 2 2 2 2 2 3" xfId="4951" xr:uid="{00000000-0005-0000-0000-000082130000}"/>
    <cellStyle name="Normal 2 2 2 2 2 2 2 2 2 2 4" xfId="4952" xr:uid="{00000000-0005-0000-0000-000083130000}"/>
    <cellStyle name="Normal 2 2 2 2 2 2 2 2 2 2 5" xfId="4953" xr:uid="{00000000-0005-0000-0000-000084130000}"/>
    <cellStyle name="Normal 2 2 2 2 2 2 2 2 2 2 6" xfId="4954" xr:uid="{00000000-0005-0000-0000-000085130000}"/>
    <cellStyle name="Normal 2 2 2 2 2 2 2 2 2 2 6 2" xfId="4955" xr:uid="{00000000-0005-0000-0000-000086130000}"/>
    <cellStyle name="Normal 2 2 2 2 2 2 2 2 2 2 6 3" xfId="4956" xr:uid="{00000000-0005-0000-0000-000087130000}"/>
    <cellStyle name="Normal 2 2 2 2 2 2 2 2 2 2 6 4" xfId="4957" xr:uid="{00000000-0005-0000-0000-000088130000}"/>
    <cellStyle name="Normal 2 2 2 2 2 2 2 2 2 2 6 5" xfId="4958" xr:uid="{00000000-0005-0000-0000-000089130000}"/>
    <cellStyle name="Normal 2 2 2 2 2 2 2 2 2 2 7" xfId="4959" xr:uid="{00000000-0005-0000-0000-00008A130000}"/>
    <cellStyle name="Normal 2 2 2 2 2 2 2 2 2 2 8" xfId="4960" xr:uid="{00000000-0005-0000-0000-00008B130000}"/>
    <cellStyle name="Normal 2 2 2 2 2 2 2 2 2 2 9" xfId="4961" xr:uid="{00000000-0005-0000-0000-00008C130000}"/>
    <cellStyle name="Normal 2 2 2 2 2 2 2 2 2 20" xfId="4962" xr:uid="{00000000-0005-0000-0000-00008D130000}"/>
    <cellStyle name="Normal 2 2 2 2 2 2 2 2 2 21" xfId="4963" xr:uid="{00000000-0005-0000-0000-00008E130000}"/>
    <cellStyle name="Normal 2 2 2 2 2 2 2 2 2 22" xfId="4964" xr:uid="{00000000-0005-0000-0000-00008F130000}"/>
    <cellStyle name="Normal 2 2 2 2 2 2 2 2 2 23" xfId="4965" xr:uid="{00000000-0005-0000-0000-000090130000}"/>
    <cellStyle name="Normal 2 2 2 2 2 2 2 2 2 24" xfId="4966" xr:uid="{00000000-0005-0000-0000-000091130000}"/>
    <cellStyle name="Normal 2 2 2 2 2 2 2 2 2 24 2" xfId="4967" xr:uid="{00000000-0005-0000-0000-000092130000}"/>
    <cellStyle name="Normal 2 2 2 2 2 2 2 2 2 25" xfId="4968" xr:uid="{00000000-0005-0000-0000-000093130000}"/>
    <cellStyle name="Normal 2 2 2 2 2 2 2 2 2 25 2" xfId="4969" xr:uid="{00000000-0005-0000-0000-000094130000}"/>
    <cellStyle name="Normal 2 2 2 2 2 2 2 2 2 26" xfId="4970" xr:uid="{00000000-0005-0000-0000-000095130000}"/>
    <cellStyle name="Normal 2 2 2 2 2 2 2 2 2 27" xfId="4971" xr:uid="{00000000-0005-0000-0000-000096130000}"/>
    <cellStyle name="Normal 2 2 2 2 2 2 2 2 2 28" xfId="4972" xr:uid="{00000000-0005-0000-0000-000097130000}"/>
    <cellStyle name="Normal 2 2 2 2 2 2 2 2 2 28 2" xfId="4973" xr:uid="{00000000-0005-0000-0000-000098130000}"/>
    <cellStyle name="Normal 2 2 2 2 2 2 2 2 2 29" xfId="4974" xr:uid="{00000000-0005-0000-0000-000099130000}"/>
    <cellStyle name="Normal 2 2 2 2 2 2 2 2 2 3" xfId="4975" xr:uid="{00000000-0005-0000-0000-00009A130000}"/>
    <cellStyle name="Normal 2 2 2 2 2 2 2 2 2 30" xfId="4976" xr:uid="{00000000-0005-0000-0000-00009B130000}"/>
    <cellStyle name="Normal 2 2 2 2 2 2 2 2 2 30 2" xfId="4977" xr:uid="{00000000-0005-0000-0000-00009C130000}"/>
    <cellStyle name="Normal 2 2 2 2 2 2 2 2 2 4" xfId="4978" xr:uid="{00000000-0005-0000-0000-00009D130000}"/>
    <cellStyle name="Normal 2 2 2 2 2 2 2 2 2 4 2" xfId="4979" xr:uid="{00000000-0005-0000-0000-00009E130000}"/>
    <cellStyle name="Normal 2 2 2 2 2 2 2 2 2 4 2 2" xfId="4980" xr:uid="{00000000-0005-0000-0000-00009F130000}"/>
    <cellStyle name="Normal 2 2 2 2 2 2 2 2 2 4 2 3" xfId="4981" xr:uid="{00000000-0005-0000-0000-0000A0130000}"/>
    <cellStyle name="Normal 2 2 2 2 2 2 2 2 2 4 3" xfId="4982" xr:uid="{00000000-0005-0000-0000-0000A1130000}"/>
    <cellStyle name="Normal 2 2 2 2 2 2 2 2 2 5" xfId="4983" xr:uid="{00000000-0005-0000-0000-0000A2130000}"/>
    <cellStyle name="Normal 2 2 2 2 2 2 2 2 2 6" xfId="4984" xr:uid="{00000000-0005-0000-0000-0000A3130000}"/>
    <cellStyle name="Normal 2 2 2 2 2 2 2 2 2 7" xfId="4985" xr:uid="{00000000-0005-0000-0000-0000A4130000}"/>
    <cellStyle name="Normal 2 2 2 2 2 2 2 2 2 7 2" xfId="4986" xr:uid="{00000000-0005-0000-0000-0000A5130000}"/>
    <cellStyle name="Normal 2 2 2 2 2 2 2 2 2 7 3" xfId="4987" xr:uid="{00000000-0005-0000-0000-0000A6130000}"/>
    <cellStyle name="Normal 2 2 2 2 2 2 2 2 2 7 4" xfId="4988" xr:uid="{00000000-0005-0000-0000-0000A7130000}"/>
    <cellStyle name="Normal 2 2 2 2 2 2 2 2 2 7 5" xfId="4989" xr:uid="{00000000-0005-0000-0000-0000A8130000}"/>
    <cellStyle name="Normal 2 2 2 2 2 2 2 2 2 8" xfId="4990" xr:uid="{00000000-0005-0000-0000-0000A9130000}"/>
    <cellStyle name="Normal 2 2 2 2 2 2 2 2 2 9" xfId="4991" xr:uid="{00000000-0005-0000-0000-0000AA130000}"/>
    <cellStyle name="Normal 2 2 2 2 2 2 2 2 20" xfId="4992" xr:uid="{00000000-0005-0000-0000-0000AB130000}"/>
    <cellStyle name="Normal 2 2 2 2 2 2 2 2 21" xfId="4993" xr:uid="{00000000-0005-0000-0000-0000AC130000}"/>
    <cellStyle name="Normal 2 2 2 2 2 2 2 2 22" xfId="4994" xr:uid="{00000000-0005-0000-0000-0000AD130000}"/>
    <cellStyle name="Normal 2 2 2 2 2 2 2 2 23" xfId="4995" xr:uid="{00000000-0005-0000-0000-0000AE130000}"/>
    <cellStyle name="Normal 2 2 2 2 2 2 2 2 24" xfId="4996" xr:uid="{00000000-0005-0000-0000-0000AF130000}"/>
    <cellStyle name="Normal 2 2 2 2 2 2 2 2 24 2" xfId="4997" xr:uid="{00000000-0005-0000-0000-0000B0130000}"/>
    <cellStyle name="Normal 2 2 2 2 2 2 2 2 25" xfId="4998" xr:uid="{00000000-0005-0000-0000-0000B1130000}"/>
    <cellStyle name="Normal 2 2 2 2 2 2 2 2 25 2" xfId="4999" xr:uid="{00000000-0005-0000-0000-0000B2130000}"/>
    <cellStyle name="Normal 2 2 2 2 2 2 2 2 26" xfId="5000" xr:uid="{00000000-0005-0000-0000-0000B3130000}"/>
    <cellStyle name="Normal 2 2 2 2 2 2 2 2 27" xfId="5001" xr:uid="{00000000-0005-0000-0000-0000B4130000}"/>
    <cellStyle name="Normal 2 2 2 2 2 2 2 2 28" xfId="5002" xr:uid="{00000000-0005-0000-0000-0000B5130000}"/>
    <cellStyle name="Normal 2 2 2 2 2 2 2 2 28 2" xfId="5003" xr:uid="{00000000-0005-0000-0000-0000B6130000}"/>
    <cellStyle name="Normal 2 2 2 2 2 2 2 2 29" xfId="5004" xr:uid="{00000000-0005-0000-0000-0000B7130000}"/>
    <cellStyle name="Normal 2 2 2 2 2 2 2 2 3" xfId="5005" xr:uid="{00000000-0005-0000-0000-0000B8130000}"/>
    <cellStyle name="Normal 2 2 2 2 2 2 2 2 3 2" xfId="5006" xr:uid="{00000000-0005-0000-0000-0000B9130000}"/>
    <cellStyle name="Normal 2 2 2 2 2 2 2 2 3 2 2" xfId="5007" xr:uid="{00000000-0005-0000-0000-0000BA130000}"/>
    <cellStyle name="Normal 2 2 2 2 2 2 2 2 3 2 2 2" xfId="5008" xr:uid="{00000000-0005-0000-0000-0000BB130000}"/>
    <cellStyle name="Normal 2 2 2 2 2 2 2 2 3 2 2 3" xfId="5009" xr:uid="{00000000-0005-0000-0000-0000BC130000}"/>
    <cellStyle name="Normal 2 2 2 2 2 2 2 2 3 2 3" xfId="5010" xr:uid="{00000000-0005-0000-0000-0000BD130000}"/>
    <cellStyle name="Normal 2 2 2 2 2 2 2 2 3 3" xfId="5011" xr:uid="{00000000-0005-0000-0000-0000BE130000}"/>
    <cellStyle name="Normal 2 2 2 2 2 2 2 2 3 4" xfId="5012" xr:uid="{00000000-0005-0000-0000-0000BF130000}"/>
    <cellStyle name="Normal 2 2 2 2 2 2 2 2 3 5" xfId="5013" xr:uid="{00000000-0005-0000-0000-0000C0130000}"/>
    <cellStyle name="Normal 2 2 2 2 2 2 2 2 30" xfId="5014" xr:uid="{00000000-0005-0000-0000-0000C1130000}"/>
    <cellStyle name="Normal 2 2 2 2 2 2 2 2 30 2" xfId="5015" xr:uid="{00000000-0005-0000-0000-0000C2130000}"/>
    <cellStyle name="Normal 2 2 2 2 2 2 2 2 4" xfId="5016" xr:uid="{00000000-0005-0000-0000-0000C3130000}"/>
    <cellStyle name="Normal 2 2 2 2 2 2 2 2 4 2" xfId="5017" xr:uid="{00000000-0005-0000-0000-0000C4130000}"/>
    <cellStyle name="Normal 2 2 2 2 2 2 2 2 4 2 2" xfId="5018" xr:uid="{00000000-0005-0000-0000-0000C5130000}"/>
    <cellStyle name="Normal 2 2 2 2 2 2 2 2 4 2 3" xfId="5019" xr:uid="{00000000-0005-0000-0000-0000C6130000}"/>
    <cellStyle name="Normal 2 2 2 2 2 2 2 2 4 3" xfId="5020" xr:uid="{00000000-0005-0000-0000-0000C7130000}"/>
    <cellStyle name="Normal 2 2 2 2 2 2 2 2 5" xfId="5021" xr:uid="{00000000-0005-0000-0000-0000C8130000}"/>
    <cellStyle name="Normal 2 2 2 2 2 2 2 2 6" xfId="5022" xr:uid="{00000000-0005-0000-0000-0000C9130000}"/>
    <cellStyle name="Normal 2 2 2 2 2 2 2 2 7" xfId="5023" xr:uid="{00000000-0005-0000-0000-0000CA130000}"/>
    <cellStyle name="Normal 2 2 2 2 2 2 2 2 7 2" xfId="5024" xr:uid="{00000000-0005-0000-0000-0000CB130000}"/>
    <cellStyle name="Normal 2 2 2 2 2 2 2 2 7 3" xfId="5025" xr:uid="{00000000-0005-0000-0000-0000CC130000}"/>
    <cellStyle name="Normal 2 2 2 2 2 2 2 2 7 4" xfId="5026" xr:uid="{00000000-0005-0000-0000-0000CD130000}"/>
    <cellStyle name="Normal 2 2 2 2 2 2 2 2 7 5" xfId="5027" xr:uid="{00000000-0005-0000-0000-0000CE130000}"/>
    <cellStyle name="Normal 2 2 2 2 2 2 2 2 8" xfId="5028" xr:uid="{00000000-0005-0000-0000-0000CF130000}"/>
    <cellStyle name="Normal 2 2 2 2 2 2 2 2 9" xfId="5029" xr:uid="{00000000-0005-0000-0000-0000D0130000}"/>
    <cellStyle name="Normal 2 2 2 2 2 2 2 20" xfId="5030" xr:uid="{00000000-0005-0000-0000-0000D1130000}"/>
    <cellStyle name="Normal 2 2 2 2 2 2 2 20 2" xfId="5031" xr:uid="{00000000-0005-0000-0000-0000D2130000}"/>
    <cellStyle name="Normal 2 2 2 2 2 2 2 21" xfId="5032" xr:uid="{00000000-0005-0000-0000-0000D3130000}"/>
    <cellStyle name="Normal 2 2 2 2 2 2 2 22" xfId="5033" xr:uid="{00000000-0005-0000-0000-0000D4130000}"/>
    <cellStyle name="Normal 2 2 2 2 2 2 2 23" xfId="5034" xr:uid="{00000000-0005-0000-0000-0000D5130000}"/>
    <cellStyle name="Normal 2 2 2 2 2 2 2 24" xfId="5035" xr:uid="{00000000-0005-0000-0000-0000D6130000}"/>
    <cellStyle name="Normal 2 2 2 2 2 2 2 25" xfId="5036" xr:uid="{00000000-0005-0000-0000-0000D7130000}"/>
    <cellStyle name="Normal 2 2 2 2 2 2 2 25 2" xfId="5037" xr:uid="{00000000-0005-0000-0000-0000D8130000}"/>
    <cellStyle name="Normal 2 2 2 2 2 2 2 26" xfId="5038" xr:uid="{00000000-0005-0000-0000-0000D9130000}"/>
    <cellStyle name="Normal 2 2 2 2 2 2 2 26 2" xfId="5039" xr:uid="{00000000-0005-0000-0000-0000DA130000}"/>
    <cellStyle name="Normal 2 2 2 2 2 2 2 27" xfId="5040" xr:uid="{00000000-0005-0000-0000-0000DB130000}"/>
    <cellStyle name="Normal 2 2 2 2 2 2 2 28" xfId="5041" xr:uid="{00000000-0005-0000-0000-0000DC130000}"/>
    <cellStyle name="Normal 2 2 2 2 2 2 2 29" xfId="5042" xr:uid="{00000000-0005-0000-0000-0000DD130000}"/>
    <cellStyle name="Normal 2 2 2 2 2 2 2 29 2" xfId="5043" xr:uid="{00000000-0005-0000-0000-0000DE130000}"/>
    <cellStyle name="Normal 2 2 2 2 2 2 2 3" xfId="5044" xr:uid="{00000000-0005-0000-0000-0000DF130000}"/>
    <cellStyle name="Normal 2 2 2 2 2 2 2 30" xfId="5045" xr:uid="{00000000-0005-0000-0000-0000E0130000}"/>
    <cellStyle name="Normal 2 2 2 2 2 2 2 31" xfId="5046" xr:uid="{00000000-0005-0000-0000-0000E1130000}"/>
    <cellStyle name="Normal 2 2 2 2 2 2 2 31 2" xfId="5047" xr:uid="{00000000-0005-0000-0000-0000E2130000}"/>
    <cellStyle name="Normal 2 2 2 2 2 2 2 4" xfId="5048" xr:uid="{00000000-0005-0000-0000-0000E3130000}"/>
    <cellStyle name="Normal 2 2 2 2 2 2 2 4 2" xfId="5049" xr:uid="{00000000-0005-0000-0000-0000E4130000}"/>
    <cellStyle name="Normal 2 2 2 2 2 2 2 4 2 2" xfId="5050" xr:uid="{00000000-0005-0000-0000-0000E5130000}"/>
    <cellStyle name="Normal 2 2 2 2 2 2 2 4 2 2 2" xfId="5051" xr:uid="{00000000-0005-0000-0000-0000E6130000}"/>
    <cellStyle name="Normal 2 2 2 2 2 2 2 4 2 2 3" xfId="5052" xr:uid="{00000000-0005-0000-0000-0000E7130000}"/>
    <cellStyle name="Normal 2 2 2 2 2 2 2 4 2 3" xfId="5053" xr:uid="{00000000-0005-0000-0000-0000E8130000}"/>
    <cellStyle name="Normal 2 2 2 2 2 2 2 4 3" xfId="5054" xr:uid="{00000000-0005-0000-0000-0000E9130000}"/>
    <cellStyle name="Normal 2 2 2 2 2 2 2 4 4" xfId="5055" xr:uid="{00000000-0005-0000-0000-0000EA130000}"/>
    <cellStyle name="Normal 2 2 2 2 2 2 2 4 5" xfId="5056" xr:uid="{00000000-0005-0000-0000-0000EB130000}"/>
    <cellStyle name="Normal 2 2 2 2 2 2 2 5" xfId="5057" xr:uid="{00000000-0005-0000-0000-0000EC130000}"/>
    <cellStyle name="Normal 2 2 2 2 2 2 2 5 2" xfId="5058" xr:uid="{00000000-0005-0000-0000-0000ED130000}"/>
    <cellStyle name="Normal 2 2 2 2 2 2 2 5 2 2" xfId="5059" xr:uid="{00000000-0005-0000-0000-0000EE130000}"/>
    <cellStyle name="Normal 2 2 2 2 2 2 2 5 2 3" xfId="5060" xr:uid="{00000000-0005-0000-0000-0000EF130000}"/>
    <cellStyle name="Normal 2 2 2 2 2 2 2 5 3" xfId="5061" xr:uid="{00000000-0005-0000-0000-0000F0130000}"/>
    <cellStyle name="Normal 2 2 2 2 2 2 2 6" xfId="5062" xr:uid="{00000000-0005-0000-0000-0000F1130000}"/>
    <cellStyle name="Normal 2 2 2 2 2 2 2 7" xfId="5063" xr:uid="{00000000-0005-0000-0000-0000F2130000}"/>
    <cellStyle name="Normal 2 2 2 2 2 2 2 8" xfId="5064" xr:uid="{00000000-0005-0000-0000-0000F3130000}"/>
    <cellStyle name="Normal 2 2 2 2 2 2 2 8 2" xfId="5065" xr:uid="{00000000-0005-0000-0000-0000F4130000}"/>
    <cellStyle name="Normal 2 2 2 2 2 2 2 8 3" xfId="5066" xr:uid="{00000000-0005-0000-0000-0000F5130000}"/>
    <cellStyle name="Normal 2 2 2 2 2 2 2 8 4" xfId="5067" xr:uid="{00000000-0005-0000-0000-0000F6130000}"/>
    <cellStyle name="Normal 2 2 2 2 2 2 2 8 5" xfId="5068" xr:uid="{00000000-0005-0000-0000-0000F7130000}"/>
    <cellStyle name="Normal 2 2 2 2 2 2 2 9" xfId="5069" xr:uid="{00000000-0005-0000-0000-0000F8130000}"/>
    <cellStyle name="Normal 2 2 2 2 2 2 20" xfId="5070" xr:uid="{00000000-0005-0000-0000-0000F9130000}"/>
    <cellStyle name="Normal 2 2 2 2 2 2 20 2" xfId="5071" xr:uid="{00000000-0005-0000-0000-0000FA130000}"/>
    <cellStyle name="Normal 2 2 2 2 2 2 21" xfId="5072" xr:uid="{00000000-0005-0000-0000-0000FB130000}"/>
    <cellStyle name="Normal 2 2 2 2 2 2 22" xfId="5073" xr:uid="{00000000-0005-0000-0000-0000FC130000}"/>
    <cellStyle name="Normal 2 2 2 2 2 2 23" xfId="5074" xr:uid="{00000000-0005-0000-0000-0000FD130000}"/>
    <cellStyle name="Normal 2 2 2 2 2 2 24" xfId="5075" xr:uid="{00000000-0005-0000-0000-0000FE130000}"/>
    <cellStyle name="Normal 2 2 2 2 2 2 25" xfId="5076" xr:uid="{00000000-0005-0000-0000-0000FF130000}"/>
    <cellStyle name="Normal 2 2 2 2 2 2 25 2" xfId="5077" xr:uid="{00000000-0005-0000-0000-000000140000}"/>
    <cellStyle name="Normal 2 2 2 2 2 2 26" xfId="5078" xr:uid="{00000000-0005-0000-0000-000001140000}"/>
    <cellStyle name="Normal 2 2 2 2 2 2 26 2" xfId="5079" xr:uid="{00000000-0005-0000-0000-000002140000}"/>
    <cellStyle name="Normal 2 2 2 2 2 2 27" xfId="5080" xr:uid="{00000000-0005-0000-0000-000003140000}"/>
    <cellStyle name="Normal 2 2 2 2 2 2 28" xfId="5081" xr:uid="{00000000-0005-0000-0000-000004140000}"/>
    <cellStyle name="Normal 2 2 2 2 2 2 29" xfId="5082" xr:uid="{00000000-0005-0000-0000-000005140000}"/>
    <cellStyle name="Normal 2 2 2 2 2 2 29 2" xfId="5083" xr:uid="{00000000-0005-0000-0000-000006140000}"/>
    <cellStyle name="Normal 2 2 2 2 2 2 3" xfId="5084" xr:uid="{00000000-0005-0000-0000-000007140000}"/>
    <cellStyle name="Normal 2 2 2 2 2 2 3 2" xfId="5085" xr:uid="{00000000-0005-0000-0000-000008140000}"/>
    <cellStyle name="Normal 2 2 2 2 2 2 30" xfId="5086" xr:uid="{00000000-0005-0000-0000-000009140000}"/>
    <cellStyle name="Normal 2 2 2 2 2 2 31" xfId="5087" xr:uid="{00000000-0005-0000-0000-00000A140000}"/>
    <cellStyle name="Normal 2 2 2 2 2 2 31 2" xfId="5088" xr:uid="{00000000-0005-0000-0000-00000B140000}"/>
    <cellStyle name="Normal 2 2 2 2 2 2 32" xfId="5089" xr:uid="{00000000-0005-0000-0000-00000C140000}"/>
    <cellStyle name="Normal 2 2 2 2 2 2 4" xfId="5090" xr:uid="{00000000-0005-0000-0000-00000D140000}"/>
    <cellStyle name="Normal 2 2 2 2 2 2 4 2" xfId="5091" xr:uid="{00000000-0005-0000-0000-00000E140000}"/>
    <cellStyle name="Normal 2 2 2 2 2 2 4 2 2" xfId="5092" xr:uid="{00000000-0005-0000-0000-00000F140000}"/>
    <cellStyle name="Normal 2 2 2 2 2 2 4 2 2 2" xfId="5093" xr:uid="{00000000-0005-0000-0000-000010140000}"/>
    <cellStyle name="Normal 2 2 2 2 2 2 4 2 2 3" xfId="5094" xr:uid="{00000000-0005-0000-0000-000011140000}"/>
    <cellStyle name="Normal 2 2 2 2 2 2 4 2 3" xfId="5095" xr:uid="{00000000-0005-0000-0000-000012140000}"/>
    <cellStyle name="Normal 2 2 2 2 2 2 4 3" xfId="5096" xr:uid="{00000000-0005-0000-0000-000013140000}"/>
    <cellStyle name="Normal 2 2 2 2 2 2 4 4" xfId="5097" xr:uid="{00000000-0005-0000-0000-000014140000}"/>
    <cellStyle name="Normal 2 2 2 2 2 2 4 5" xfId="5098" xr:uid="{00000000-0005-0000-0000-000015140000}"/>
    <cellStyle name="Normal 2 2 2 2 2 2 5" xfId="5099" xr:uid="{00000000-0005-0000-0000-000016140000}"/>
    <cellStyle name="Normal 2 2 2 2 2 2 5 2" xfId="5100" xr:uid="{00000000-0005-0000-0000-000017140000}"/>
    <cellStyle name="Normal 2 2 2 2 2 2 5 2 2" xfId="5101" xr:uid="{00000000-0005-0000-0000-000018140000}"/>
    <cellStyle name="Normal 2 2 2 2 2 2 5 2 3" xfId="5102" xr:uid="{00000000-0005-0000-0000-000019140000}"/>
    <cellStyle name="Normal 2 2 2 2 2 2 5 3" xfId="5103" xr:uid="{00000000-0005-0000-0000-00001A140000}"/>
    <cellStyle name="Normal 2 2 2 2 2 2 6" xfId="5104" xr:uid="{00000000-0005-0000-0000-00001B140000}"/>
    <cellStyle name="Normal 2 2 2 2 2 2 7" xfId="5105" xr:uid="{00000000-0005-0000-0000-00001C140000}"/>
    <cellStyle name="Normal 2 2 2 2 2 2 8" xfId="5106" xr:uid="{00000000-0005-0000-0000-00001D140000}"/>
    <cellStyle name="Normal 2 2 2 2 2 2 8 2" xfId="5107" xr:uid="{00000000-0005-0000-0000-00001E140000}"/>
    <cellStyle name="Normal 2 2 2 2 2 2 8 3" xfId="5108" xr:uid="{00000000-0005-0000-0000-00001F140000}"/>
    <cellStyle name="Normal 2 2 2 2 2 2 8 4" xfId="5109" xr:uid="{00000000-0005-0000-0000-000020140000}"/>
    <cellStyle name="Normal 2 2 2 2 2 2 8 5" xfId="5110" xr:uid="{00000000-0005-0000-0000-000021140000}"/>
    <cellStyle name="Normal 2 2 2 2 2 2 9" xfId="5111" xr:uid="{00000000-0005-0000-0000-000022140000}"/>
    <cellStyle name="Normal 2 2 2 2 2 20" xfId="5112" xr:uid="{00000000-0005-0000-0000-000023140000}"/>
    <cellStyle name="Normal 2 2 2 2 2 20 2" xfId="5113" xr:uid="{00000000-0005-0000-0000-000024140000}"/>
    <cellStyle name="Normal 2 2 2 2 2 21" xfId="5114" xr:uid="{00000000-0005-0000-0000-000025140000}"/>
    <cellStyle name="Normal 2 2 2 2 2 22" xfId="5115" xr:uid="{00000000-0005-0000-0000-000026140000}"/>
    <cellStyle name="Normal 2 2 2 2 2 23" xfId="5116" xr:uid="{00000000-0005-0000-0000-000027140000}"/>
    <cellStyle name="Normal 2 2 2 2 2 24" xfId="5117" xr:uid="{00000000-0005-0000-0000-000028140000}"/>
    <cellStyle name="Normal 2 2 2 2 2 25" xfId="5118" xr:uid="{00000000-0005-0000-0000-000029140000}"/>
    <cellStyle name="Normal 2 2 2 2 2 25 2" xfId="5119" xr:uid="{00000000-0005-0000-0000-00002A140000}"/>
    <cellStyle name="Normal 2 2 2 2 2 26" xfId="5120" xr:uid="{00000000-0005-0000-0000-00002B140000}"/>
    <cellStyle name="Normal 2 2 2 2 2 26 2" xfId="5121" xr:uid="{00000000-0005-0000-0000-00002C140000}"/>
    <cellStyle name="Normal 2 2 2 2 2 27" xfId="5122" xr:uid="{00000000-0005-0000-0000-00002D140000}"/>
    <cellStyle name="Normal 2 2 2 2 2 28" xfId="5123" xr:uid="{00000000-0005-0000-0000-00002E140000}"/>
    <cellStyle name="Normal 2 2 2 2 2 29" xfId="5124" xr:uid="{00000000-0005-0000-0000-00002F140000}"/>
    <cellStyle name="Normal 2 2 2 2 2 29 2" xfId="5125" xr:uid="{00000000-0005-0000-0000-000030140000}"/>
    <cellStyle name="Normal 2 2 2 2 2 3" xfId="5126" xr:uid="{00000000-0005-0000-0000-000031140000}"/>
    <cellStyle name="Normal 2 2 2 2 2 3 2" xfId="5127" xr:uid="{00000000-0005-0000-0000-000032140000}"/>
    <cellStyle name="Normal 2 2 2 2 2 30" xfId="5128" xr:uid="{00000000-0005-0000-0000-000033140000}"/>
    <cellStyle name="Normal 2 2 2 2 2 31" xfId="5129" xr:uid="{00000000-0005-0000-0000-000034140000}"/>
    <cellStyle name="Normal 2 2 2 2 2 31 2" xfId="5130" xr:uid="{00000000-0005-0000-0000-000035140000}"/>
    <cellStyle name="Normal 2 2 2 2 2 4" xfId="5131" xr:uid="{00000000-0005-0000-0000-000036140000}"/>
    <cellStyle name="Normal 2 2 2 2 2 4 2" xfId="5132" xr:uid="{00000000-0005-0000-0000-000037140000}"/>
    <cellStyle name="Normal 2 2 2 2 2 4 2 2" xfId="5133" xr:uid="{00000000-0005-0000-0000-000038140000}"/>
    <cellStyle name="Normal 2 2 2 2 2 4 2 2 2" xfId="5134" xr:uid="{00000000-0005-0000-0000-000039140000}"/>
    <cellStyle name="Normal 2 2 2 2 2 4 2 2 3" xfId="5135" xr:uid="{00000000-0005-0000-0000-00003A140000}"/>
    <cellStyle name="Normal 2 2 2 2 2 4 2 3" xfId="5136" xr:uid="{00000000-0005-0000-0000-00003B140000}"/>
    <cellStyle name="Normal 2 2 2 2 2 4 3" xfId="5137" xr:uid="{00000000-0005-0000-0000-00003C140000}"/>
    <cellStyle name="Normal 2 2 2 2 2 4 4" xfId="5138" xr:uid="{00000000-0005-0000-0000-00003D140000}"/>
    <cellStyle name="Normal 2 2 2 2 2 4 5" xfId="5139" xr:uid="{00000000-0005-0000-0000-00003E140000}"/>
    <cellStyle name="Normal 2 2 2 2 2 5" xfId="5140" xr:uid="{00000000-0005-0000-0000-00003F140000}"/>
    <cellStyle name="Normal 2 2 2 2 2 5 2" xfId="5141" xr:uid="{00000000-0005-0000-0000-000040140000}"/>
    <cellStyle name="Normal 2 2 2 2 2 5 2 2" xfId="5142" xr:uid="{00000000-0005-0000-0000-000041140000}"/>
    <cellStyle name="Normal 2 2 2 2 2 5 2 3" xfId="5143" xr:uid="{00000000-0005-0000-0000-000042140000}"/>
    <cellStyle name="Normal 2 2 2 2 2 5 3" xfId="5144" xr:uid="{00000000-0005-0000-0000-000043140000}"/>
    <cellStyle name="Normal 2 2 2 2 2 6" xfId="5145" xr:uid="{00000000-0005-0000-0000-000044140000}"/>
    <cellStyle name="Normal 2 2 2 2 2 7" xfId="5146" xr:uid="{00000000-0005-0000-0000-000045140000}"/>
    <cellStyle name="Normal 2 2 2 2 2 8" xfId="5147" xr:uid="{00000000-0005-0000-0000-000046140000}"/>
    <cellStyle name="Normal 2 2 2 2 2 8 2" xfId="5148" xr:uid="{00000000-0005-0000-0000-000047140000}"/>
    <cellStyle name="Normal 2 2 2 2 2 8 3" xfId="5149" xr:uid="{00000000-0005-0000-0000-000048140000}"/>
    <cellStyle name="Normal 2 2 2 2 2 8 4" xfId="5150" xr:uid="{00000000-0005-0000-0000-000049140000}"/>
    <cellStyle name="Normal 2 2 2 2 2 8 5" xfId="5151" xr:uid="{00000000-0005-0000-0000-00004A140000}"/>
    <cellStyle name="Normal 2 2 2 2 2 9" xfId="5152" xr:uid="{00000000-0005-0000-0000-00004B140000}"/>
    <cellStyle name="Normal 2 2 2 2 20" xfId="5153" xr:uid="{00000000-0005-0000-0000-00004C140000}"/>
    <cellStyle name="Normal 2 2 2 2 21" xfId="5154" xr:uid="{00000000-0005-0000-0000-00004D140000}"/>
    <cellStyle name="Normal 2 2 2 2 21 2" xfId="5155" xr:uid="{00000000-0005-0000-0000-00004E140000}"/>
    <cellStyle name="Normal 2 2 2 2 22" xfId="5156" xr:uid="{00000000-0005-0000-0000-00004F140000}"/>
    <cellStyle name="Normal 2 2 2 2 23" xfId="5157" xr:uid="{00000000-0005-0000-0000-000050140000}"/>
    <cellStyle name="Normal 2 2 2 2 24" xfId="5158" xr:uid="{00000000-0005-0000-0000-000051140000}"/>
    <cellStyle name="Normal 2 2 2 2 25" xfId="5159" xr:uid="{00000000-0005-0000-0000-000052140000}"/>
    <cellStyle name="Normal 2 2 2 2 26" xfId="5160" xr:uid="{00000000-0005-0000-0000-000053140000}"/>
    <cellStyle name="Normal 2 2 2 2 26 2" xfId="5161" xr:uid="{00000000-0005-0000-0000-000054140000}"/>
    <cellStyle name="Normal 2 2 2 2 27" xfId="5162" xr:uid="{00000000-0005-0000-0000-000055140000}"/>
    <cellStyle name="Normal 2 2 2 2 27 2" xfId="5163" xr:uid="{00000000-0005-0000-0000-000056140000}"/>
    <cellStyle name="Normal 2 2 2 2 28" xfId="5164" xr:uid="{00000000-0005-0000-0000-000057140000}"/>
    <cellStyle name="Normal 2 2 2 2 29" xfId="5165" xr:uid="{00000000-0005-0000-0000-000058140000}"/>
    <cellStyle name="Normal 2 2 2 2 3" xfId="5166" xr:uid="{00000000-0005-0000-0000-000059140000}"/>
    <cellStyle name="Normal 2 2 2 2 30" xfId="5167" xr:uid="{00000000-0005-0000-0000-00005A140000}"/>
    <cellStyle name="Normal 2 2 2 2 30 2" xfId="5168" xr:uid="{00000000-0005-0000-0000-00005B140000}"/>
    <cellStyle name="Normal 2 2 2 2 31" xfId="5169" xr:uid="{00000000-0005-0000-0000-00005C140000}"/>
    <cellStyle name="Normal 2 2 2 2 32" xfId="5170" xr:uid="{00000000-0005-0000-0000-00005D140000}"/>
    <cellStyle name="Normal 2 2 2 2 32 2" xfId="5171" xr:uid="{00000000-0005-0000-0000-00005E140000}"/>
    <cellStyle name="Normal 2 2 2 2 33" xfId="5172" xr:uid="{00000000-0005-0000-0000-00005F140000}"/>
    <cellStyle name="Normal 2 2 2 2 34" xfId="5173" xr:uid="{00000000-0005-0000-0000-000060140000}"/>
    <cellStyle name="Normal 2 2 2 2 4" xfId="5174" xr:uid="{00000000-0005-0000-0000-000061140000}"/>
    <cellStyle name="Normal 2 2 2 2 4 2" xfId="5175" xr:uid="{00000000-0005-0000-0000-000062140000}"/>
    <cellStyle name="Normal 2 2 2 2 5" xfId="5176" xr:uid="{00000000-0005-0000-0000-000063140000}"/>
    <cellStyle name="Normal 2 2 2 2 5 2" xfId="5177" xr:uid="{00000000-0005-0000-0000-000064140000}"/>
    <cellStyle name="Normal 2 2 2 2 5 2 2" xfId="5178" xr:uid="{00000000-0005-0000-0000-000065140000}"/>
    <cellStyle name="Normal 2 2 2 2 5 2 2 2" xfId="5179" xr:uid="{00000000-0005-0000-0000-000066140000}"/>
    <cellStyle name="Normal 2 2 2 2 5 2 2 3" xfId="5180" xr:uid="{00000000-0005-0000-0000-000067140000}"/>
    <cellStyle name="Normal 2 2 2 2 5 2 3" xfId="5181" xr:uid="{00000000-0005-0000-0000-000068140000}"/>
    <cellStyle name="Normal 2 2 2 2 5 3" xfId="5182" xr:uid="{00000000-0005-0000-0000-000069140000}"/>
    <cellStyle name="Normal 2 2 2 2 5 4" xfId="5183" xr:uid="{00000000-0005-0000-0000-00006A140000}"/>
    <cellStyle name="Normal 2 2 2 2 5 5" xfId="5184" xr:uid="{00000000-0005-0000-0000-00006B140000}"/>
    <cellStyle name="Normal 2 2 2 2 6" xfId="5185" xr:uid="{00000000-0005-0000-0000-00006C140000}"/>
    <cellStyle name="Normal 2 2 2 2 6 2" xfId="5186" xr:uid="{00000000-0005-0000-0000-00006D140000}"/>
    <cellStyle name="Normal 2 2 2 2 6 2 2" xfId="5187" xr:uid="{00000000-0005-0000-0000-00006E140000}"/>
    <cellStyle name="Normal 2 2 2 2 6 2 3" xfId="5188" xr:uid="{00000000-0005-0000-0000-00006F140000}"/>
    <cellStyle name="Normal 2 2 2 2 6 3" xfId="5189" xr:uid="{00000000-0005-0000-0000-000070140000}"/>
    <cellStyle name="Normal 2 2 2 2 7" xfId="5190" xr:uid="{00000000-0005-0000-0000-000071140000}"/>
    <cellStyle name="Normal 2 2 2 2 8" xfId="5191" xr:uid="{00000000-0005-0000-0000-000072140000}"/>
    <cellStyle name="Normal 2 2 2 2 9" xfId="5192" xr:uid="{00000000-0005-0000-0000-000073140000}"/>
    <cellStyle name="Normal 2 2 2 2 9 2" xfId="5193" xr:uid="{00000000-0005-0000-0000-000074140000}"/>
    <cellStyle name="Normal 2 2 2 2 9 3" xfId="5194" xr:uid="{00000000-0005-0000-0000-000075140000}"/>
    <cellStyle name="Normal 2 2 2 2 9 4" xfId="5195" xr:uid="{00000000-0005-0000-0000-000076140000}"/>
    <cellStyle name="Normal 2 2 2 2 9 5" xfId="5196" xr:uid="{00000000-0005-0000-0000-000077140000}"/>
    <cellStyle name="Normal 2 2 2 20" xfId="5197" xr:uid="{00000000-0005-0000-0000-000078140000}"/>
    <cellStyle name="Normal 2 2 2 21" xfId="5198" xr:uid="{00000000-0005-0000-0000-000079140000}"/>
    <cellStyle name="Normal 2 2 2 21 2" xfId="5199" xr:uid="{00000000-0005-0000-0000-00007A140000}"/>
    <cellStyle name="Normal 2 2 2 22" xfId="5200" xr:uid="{00000000-0005-0000-0000-00007B140000}"/>
    <cellStyle name="Normal 2 2 2 23" xfId="5201" xr:uid="{00000000-0005-0000-0000-00007C140000}"/>
    <cellStyle name="Normal 2 2 2 24" xfId="5202" xr:uid="{00000000-0005-0000-0000-00007D140000}"/>
    <cellStyle name="Normal 2 2 2 25" xfId="5203" xr:uid="{00000000-0005-0000-0000-00007E140000}"/>
    <cellStyle name="Normal 2 2 2 26" xfId="5204" xr:uid="{00000000-0005-0000-0000-00007F140000}"/>
    <cellStyle name="Normal 2 2 2 26 2" xfId="5205" xr:uid="{00000000-0005-0000-0000-000080140000}"/>
    <cellStyle name="Normal 2 2 2 27" xfId="5206" xr:uid="{00000000-0005-0000-0000-000081140000}"/>
    <cellStyle name="Normal 2 2 2 27 2" xfId="5207" xr:uid="{00000000-0005-0000-0000-000082140000}"/>
    <cellStyle name="Normal 2 2 2 28" xfId="5208" xr:uid="{00000000-0005-0000-0000-000083140000}"/>
    <cellStyle name="Normal 2 2 2 29" xfId="5209" xr:uid="{00000000-0005-0000-0000-000084140000}"/>
    <cellStyle name="Normal 2 2 2 3" xfId="5210" xr:uid="{00000000-0005-0000-0000-000085140000}"/>
    <cellStyle name="Normal 2 2 2 3 2" xfId="5211" xr:uid="{00000000-0005-0000-0000-000086140000}"/>
    <cellStyle name="Normal 2 2 2 3 3" xfId="5212" xr:uid="{00000000-0005-0000-0000-000087140000}"/>
    <cellStyle name="Normal 2 2 2 3 4" xfId="5213" xr:uid="{00000000-0005-0000-0000-000088140000}"/>
    <cellStyle name="Normal 2 2 2 30" xfId="5214" xr:uid="{00000000-0005-0000-0000-000089140000}"/>
    <cellStyle name="Normal 2 2 2 30 2" xfId="5215" xr:uid="{00000000-0005-0000-0000-00008A140000}"/>
    <cellStyle name="Normal 2 2 2 31" xfId="5216" xr:uid="{00000000-0005-0000-0000-00008B140000}"/>
    <cellStyle name="Normal 2 2 2 32" xfId="5217" xr:uid="{00000000-0005-0000-0000-00008C140000}"/>
    <cellStyle name="Normal 2 2 2 32 2" xfId="5218" xr:uid="{00000000-0005-0000-0000-00008D140000}"/>
    <cellStyle name="Normal 2 2 2 33" xfId="5219" xr:uid="{00000000-0005-0000-0000-00008E140000}"/>
    <cellStyle name="Normal 2 2 2 34" xfId="5220" xr:uid="{00000000-0005-0000-0000-00008F140000}"/>
    <cellStyle name="Normal 2 2 2 4" xfId="5221" xr:uid="{00000000-0005-0000-0000-000090140000}"/>
    <cellStyle name="Normal 2 2 2 4 2" xfId="5222" xr:uid="{00000000-0005-0000-0000-000091140000}"/>
    <cellStyle name="Normal 2 2 2 4 2 2" xfId="5223" xr:uid="{00000000-0005-0000-0000-000092140000}"/>
    <cellStyle name="Normal 2 2 2 4 2 3" xfId="5224" xr:uid="{00000000-0005-0000-0000-000093140000}"/>
    <cellStyle name="Normal 2 2 2 4 3" xfId="5225" xr:uid="{00000000-0005-0000-0000-000094140000}"/>
    <cellStyle name="Normal 2 2 2 4 4" xfId="5226" xr:uid="{00000000-0005-0000-0000-000095140000}"/>
    <cellStyle name="Normal 2 2 2 5" xfId="5227" xr:uid="{00000000-0005-0000-0000-000096140000}"/>
    <cellStyle name="Normal 2 2 2 5 2" xfId="5228" xr:uid="{00000000-0005-0000-0000-000097140000}"/>
    <cellStyle name="Normal 2 2 2 5 2 2" xfId="5229" xr:uid="{00000000-0005-0000-0000-000098140000}"/>
    <cellStyle name="Normal 2 2 2 5 2 2 2" xfId="5230" xr:uid="{00000000-0005-0000-0000-000099140000}"/>
    <cellStyle name="Normal 2 2 2 5 2 2 2 2" xfId="5231" xr:uid="{00000000-0005-0000-0000-00009A140000}"/>
    <cellStyle name="Normal 2 2 2 5 2 2 2 3" xfId="5232" xr:uid="{00000000-0005-0000-0000-00009B140000}"/>
    <cellStyle name="Normal 2 2 2 5 2 2 3" xfId="5233" xr:uid="{00000000-0005-0000-0000-00009C140000}"/>
    <cellStyle name="Normal 2 2 2 5 2 2 4" xfId="5234" xr:uid="{00000000-0005-0000-0000-00009D140000}"/>
    <cellStyle name="Normal 2 2 2 5 2 3" xfId="5235" xr:uid="{00000000-0005-0000-0000-00009E140000}"/>
    <cellStyle name="Normal 2 2 2 5 2 4" xfId="5236" xr:uid="{00000000-0005-0000-0000-00009F140000}"/>
    <cellStyle name="Normal 2 2 2 5 3" xfId="5237" xr:uid="{00000000-0005-0000-0000-0000A0140000}"/>
    <cellStyle name="Normal 2 2 2 5 3 2" xfId="5238" xr:uid="{00000000-0005-0000-0000-0000A1140000}"/>
    <cellStyle name="Normal 2 2 2 5 3 3" xfId="5239" xr:uid="{00000000-0005-0000-0000-0000A2140000}"/>
    <cellStyle name="Normal 2 2 2 5 4" xfId="5240" xr:uid="{00000000-0005-0000-0000-0000A3140000}"/>
    <cellStyle name="Normal 2 2 2 5 5" xfId="5241" xr:uid="{00000000-0005-0000-0000-0000A4140000}"/>
    <cellStyle name="Normal 2 2 2 5 6" xfId="5242" xr:uid="{00000000-0005-0000-0000-0000A5140000}"/>
    <cellStyle name="Normal 2 2 2 6" xfId="5243" xr:uid="{00000000-0005-0000-0000-0000A6140000}"/>
    <cellStyle name="Normal 2 2 2 6 2" xfId="5244" xr:uid="{00000000-0005-0000-0000-0000A7140000}"/>
    <cellStyle name="Normal 2 2 2 6 2 2" xfId="5245" xr:uid="{00000000-0005-0000-0000-0000A8140000}"/>
    <cellStyle name="Normal 2 2 2 6 2 3" xfId="5246" xr:uid="{00000000-0005-0000-0000-0000A9140000}"/>
    <cellStyle name="Normal 2 2 2 6 3" xfId="5247" xr:uid="{00000000-0005-0000-0000-0000AA140000}"/>
    <cellStyle name="Normal 2 2 2 6 4" xfId="5248" xr:uid="{00000000-0005-0000-0000-0000AB140000}"/>
    <cellStyle name="Normal 2 2 2 7" xfId="5249" xr:uid="{00000000-0005-0000-0000-0000AC140000}"/>
    <cellStyle name="Normal 2 2 2 7 2" xfId="5250" xr:uid="{00000000-0005-0000-0000-0000AD140000}"/>
    <cellStyle name="Normal 2 2 2 7 3" xfId="5251" xr:uid="{00000000-0005-0000-0000-0000AE140000}"/>
    <cellStyle name="Normal 2 2 2 7 4" xfId="5252" xr:uid="{00000000-0005-0000-0000-0000AF140000}"/>
    <cellStyle name="Normal 2 2 2 7 5" xfId="5253" xr:uid="{00000000-0005-0000-0000-0000B0140000}"/>
    <cellStyle name="Normal 2 2 2 8" xfId="5254" xr:uid="{00000000-0005-0000-0000-0000B1140000}"/>
    <cellStyle name="Normal 2 2 2 8 2" xfId="5255" xr:uid="{00000000-0005-0000-0000-0000B2140000}"/>
    <cellStyle name="Normal 2 2 2 8 3" xfId="5256" xr:uid="{00000000-0005-0000-0000-0000B3140000}"/>
    <cellStyle name="Normal 2 2 2 9" xfId="5257" xr:uid="{00000000-0005-0000-0000-0000B4140000}"/>
    <cellStyle name="Normal 2 2 2 9 2" xfId="5258" xr:uid="{00000000-0005-0000-0000-0000B5140000}"/>
    <cellStyle name="Normal 2 2 2 9 3" xfId="5259" xr:uid="{00000000-0005-0000-0000-0000B6140000}"/>
    <cellStyle name="Normal 2 2 2 9 4" xfId="5260" xr:uid="{00000000-0005-0000-0000-0000B7140000}"/>
    <cellStyle name="Normal 2 2 2 9 5" xfId="5261" xr:uid="{00000000-0005-0000-0000-0000B8140000}"/>
    <cellStyle name="Normal 2 2 20" xfId="5262" xr:uid="{00000000-0005-0000-0000-0000B9140000}"/>
    <cellStyle name="Normal 2 2 20 2" xfId="5263" xr:uid="{00000000-0005-0000-0000-0000BA140000}"/>
    <cellStyle name="Normal 2 2 21" xfId="5264" xr:uid="{00000000-0005-0000-0000-0000BB140000}"/>
    <cellStyle name="Normal 2 2 22" xfId="5265" xr:uid="{00000000-0005-0000-0000-0000BC140000}"/>
    <cellStyle name="Normal 2 2 23" xfId="5266" xr:uid="{00000000-0005-0000-0000-0000BD140000}"/>
    <cellStyle name="Normal 2 2 23 2" xfId="5267" xr:uid="{00000000-0005-0000-0000-0000BE140000}"/>
    <cellStyle name="Normal 2 2 24" xfId="5268" xr:uid="{00000000-0005-0000-0000-0000BF140000}"/>
    <cellStyle name="Normal 2 2 25" xfId="5269" xr:uid="{00000000-0005-0000-0000-0000C0140000}"/>
    <cellStyle name="Normal 2 2 26" xfId="5270" xr:uid="{00000000-0005-0000-0000-0000C1140000}"/>
    <cellStyle name="Normal 2 2 27" xfId="5271" xr:uid="{00000000-0005-0000-0000-0000C2140000}"/>
    <cellStyle name="Normal 2 2 28" xfId="5272" xr:uid="{00000000-0005-0000-0000-0000C3140000}"/>
    <cellStyle name="Normal 2 2 28 2" xfId="5273" xr:uid="{00000000-0005-0000-0000-0000C4140000}"/>
    <cellStyle name="Normal 2 2 29" xfId="5274" xr:uid="{00000000-0005-0000-0000-0000C5140000}"/>
    <cellStyle name="Normal 2 2 29 2" xfId="5275" xr:uid="{00000000-0005-0000-0000-0000C6140000}"/>
    <cellStyle name="Normal 2 2 3" xfId="5276" xr:uid="{00000000-0005-0000-0000-0000C7140000}"/>
    <cellStyle name="Normal 2 2 3 2" xfId="5277" xr:uid="{00000000-0005-0000-0000-0000C8140000}"/>
    <cellStyle name="Normal 2 2 3 2 2" xfId="5278" xr:uid="{00000000-0005-0000-0000-0000C9140000}"/>
    <cellStyle name="Normal 2 2 3 2 2 2" xfId="5279" xr:uid="{00000000-0005-0000-0000-0000CA140000}"/>
    <cellStyle name="Normal 2 2 3 2 3" xfId="5280" xr:uid="{00000000-0005-0000-0000-0000CB140000}"/>
    <cellStyle name="Normal 2 2 3 2 3 2" xfId="5281" xr:uid="{00000000-0005-0000-0000-0000CC140000}"/>
    <cellStyle name="Normal 2 2 3 3" xfId="5282" xr:uid="{00000000-0005-0000-0000-0000CD140000}"/>
    <cellStyle name="Normal 2 2 3 3 2" xfId="5283" xr:uid="{00000000-0005-0000-0000-0000CE140000}"/>
    <cellStyle name="Normal 2 2 3 3 2 2" xfId="5284" xr:uid="{00000000-0005-0000-0000-0000CF140000}"/>
    <cellStyle name="Normal 2 2 3 3 2 2 2" xfId="5285" xr:uid="{00000000-0005-0000-0000-0000D0140000}"/>
    <cellStyle name="Normal 2 2 3 3 3" xfId="5286" xr:uid="{00000000-0005-0000-0000-0000D1140000}"/>
    <cellStyle name="Normal 2 2 3 4" xfId="5287" xr:uid="{00000000-0005-0000-0000-0000D2140000}"/>
    <cellStyle name="Normal 2 2 3 5" xfId="5288" xr:uid="{00000000-0005-0000-0000-0000D3140000}"/>
    <cellStyle name="Normal 2 2 3 6" xfId="5289" xr:uid="{00000000-0005-0000-0000-0000D4140000}"/>
    <cellStyle name="Normal 2 2 30" xfId="5290" xr:uid="{00000000-0005-0000-0000-0000D5140000}"/>
    <cellStyle name="Normal 2 2 31" xfId="5291" xr:uid="{00000000-0005-0000-0000-0000D6140000}"/>
    <cellStyle name="Normal 2 2 32" xfId="5292" xr:uid="{00000000-0005-0000-0000-0000D7140000}"/>
    <cellStyle name="Normal 2 2 32 2" xfId="5293" xr:uid="{00000000-0005-0000-0000-0000D8140000}"/>
    <cellStyle name="Normal 2 2 33" xfId="5294" xr:uid="{00000000-0005-0000-0000-0000D9140000}"/>
    <cellStyle name="Normal 2 2 34" xfId="5295" xr:uid="{00000000-0005-0000-0000-0000DA140000}"/>
    <cellStyle name="Normal 2 2 34 2" xfId="5296" xr:uid="{00000000-0005-0000-0000-0000DB140000}"/>
    <cellStyle name="Normal 2 2 35" xfId="5297" xr:uid="{00000000-0005-0000-0000-0000DC140000}"/>
    <cellStyle name="Normal 2 2 36" xfId="5298" xr:uid="{00000000-0005-0000-0000-0000DD140000}"/>
    <cellStyle name="Normal 2 2 37" xfId="5299" xr:uid="{00000000-0005-0000-0000-0000DE140000}"/>
    <cellStyle name="Normal 2 2 38" xfId="5300" xr:uid="{00000000-0005-0000-0000-0000DF140000}"/>
    <cellStyle name="Normal 2 2 39" xfId="5301" xr:uid="{00000000-0005-0000-0000-0000E0140000}"/>
    <cellStyle name="Normal 2 2 39 2" xfId="5302" xr:uid="{00000000-0005-0000-0000-0000E1140000}"/>
    <cellStyle name="Normal 2 2 39 2 2" xfId="5303" xr:uid="{00000000-0005-0000-0000-0000E2140000}"/>
    <cellStyle name="Normal 2 2 39 2 2 2" xfId="5304" xr:uid="{00000000-0005-0000-0000-0000E3140000}"/>
    <cellStyle name="Normal 2 2 39 2 3" xfId="5305" xr:uid="{00000000-0005-0000-0000-0000E4140000}"/>
    <cellStyle name="Normal 2 2 39 3" xfId="5306" xr:uid="{00000000-0005-0000-0000-0000E5140000}"/>
    <cellStyle name="Normal 2 2 39 4" xfId="5307" xr:uid="{00000000-0005-0000-0000-0000E6140000}"/>
    <cellStyle name="Normal 2 2 39 4 2" xfId="5308" xr:uid="{00000000-0005-0000-0000-0000E7140000}"/>
    <cellStyle name="Normal 2 2 39 5" xfId="5309" xr:uid="{00000000-0005-0000-0000-0000E8140000}"/>
    <cellStyle name="Normal 2 2 4" xfId="5310" xr:uid="{00000000-0005-0000-0000-0000E9140000}"/>
    <cellStyle name="Normal 2 2 4 2" xfId="5311" xr:uid="{00000000-0005-0000-0000-0000EA140000}"/>
    <cellStyle name="Normal 2 2 4 3" xfId="5312" xr:uid="{00000000-0005-0000-0000-0000EB140000}"/>
    <cellStyle name="Normal 2 2 40" xfId="5313" xr:uid="{00000000-0005-0000-0000-0000EC140000}"/>
    <cellStyle name="Normal 2 2 40 2" xfId="5314" xr:uid="{00000000-0005-0000-0000-0000ED140000}"/>
    <cellStyle name="Normal 2 2 40 2 2" xfId="5315" xr:uid="{00000000-0005-0000-0000-0000EE140000}"/>
    <cellStyle name="Normal 2 2 40 2 2 2" xfId="5316" xr:uid="{00000000-0005-0000-0000-0000EF140000}"/>
    <cellStyle name="Normal 2 2 40 2 3" xfId="5317" xr:uid="{00000000-0005-0000-0000-0000F0140000}"/>
    <cellStyle name="Normal 2 2 40 3" xfId="5318" xr:uid="{00000000-0005-0000-0000-0000F1140000}"/>
    <cellStyle name="Normal 2 2 40 3 2" xfId="5319" xr:uid="{00000000-0005-0000-0000-0000F2140000}"/>
    <cellStyle name="Normal 2 2 40 4" xfId="5320" xr:uid="{00000000-0005-0000-0000-0000F3140000}"/>
    <cellStyle name="Normal 2 2 40 5" xfId="5321" xr:uid="{00000000-0005-0000-0000-0000F4140000}"/>
    <cellStyle name="Normal 2 2 41" xfId="5322" xr:uid="{00000000-0005-0000-0000-0000F5140000}"/>
    <cellStyle name="Normal 2 2 41 2" xfId="5323" xr:uid="{00000000-0005-0000-0000-0000F6140000}"/>
    <cellStyle name="Normal 2 2 41 2 2" xfId="5324" xr:uid="{00000000-0005-0000-0000-0000F7140000}"/>
    <cellStyle name="Normal 2 2 41 3" xfId="5325" xr:uid="{00000000-0005-0000-0000-0000F8140000}"/>
    <cellStyle name="Normal 2 2 41 4" xfId="5326" xr:uid="{00000000-0005-0000-0000-0000F9140000}"/>
    <cellStyle name="Normal 2 2 42" xfId="5327" xr:uid="{00000000-0005-0000-0000-0000FA140000}"/>
    <cellStyle name="Normal 2 2 42 2" xfId="5328" xr:uid="{00000000-0005-0000-0000-0000FB140000}"/>
    <cellStyle name="Normal 2 2 42 2 2" xfId="5329" xr:uid="{00000000-0005-0000-0000-0000FC140000}"/>
    <cellStyle name="Normal 2 2 42 3" xfId="5330" xr:uid="{00000000-0005-0000-0000-0000FD140000}"/>
    <cellStyle name="Normal 2 2 43" xfId="5331" xr:uid="{00000000-0005-0000-0000-0000FE140000}"/>
    <cellStyle name="Normal 2 2 43 2" xfId="5332" xr:uid="{00000000-0005-0000-0000-0000FF140000}"/>
    <cellStyle name="Normal 2 2 43 2 2" xfId="5333" xr:uid="{00000000-0005-0000-0000-000000150000}"/>
    <cellStyle name="Normal 2 2 43 3" xfId="5334" xr:uid="{00000000-0005-0000-0000-000001150000}"/>
    <cellStyle name="Normal 2 2 44" xfId="5335" xr:uid="{00000000-0005-0000-0000-000002150000}"/>
    <cellStyle name="Normal 2 2 44 2" xfId="5336" xr:uid="{00000000-0005-0000-0000-000003150000}"/>
    <cellStyle name="Normal 2 2 45" xfId="5337" xr:uid="{00000000-0005-0000-0000-000004150000}"/>
    <cellStyle name="Normal 2 2 46" xfId="5338" xr:uid="{00000000-0005-0000-0000-000005150000}"/>
    <cellStyle name="Normal 2 2 5" xfId="5339" xr:uid="{00000000-0005-0000-0000-000006150000}"/>
    <cellStyle name="Normal 2 2 5 2" xfId="5340" xr:uid="{00000000-0005-0000-0000-000007150000}"/>
    <cellStyle name="Normal 2 2 5 3" xfId="5341" xr:uid="{00000000-0005-0000-0000-000008150000}"/>
    <cellStyle name="Normal 2 2 6" xfId="5342" xr:uid="{00000000-0005-0000-0000-000009150000}"/>
    <cellStyle name="Normal 2 2 6 2" xfId="5343" xr:uid="{00000000-0005-0000-0000-00000A150000}"/>
    <cellStyle name="Normal 2 2 6 2 2" xfId="5344" xr:uid="{00000000-0005-0000-0000-00000B150000}"/>
    <cellStyle name="Normal 2 2 6 2 3" xfId="5345" xr:uid="{00000000-0005-0000-0000-00000C150000}"/>
    <cellStyle name="Normal 2 2 6 3" xfId="5346" xr:uid="{00000000-0005-0000-0000-00000D150000}"/>
    <cellStyle name="Normal 2 2 6 4" xfId="5347" xr:uid="{00000000-0005-0000-0000-00000E150000}"/>
    <cellStyle name="Normal 2 2 6 5" xfId="5348" xr:uid="{00000000-0005-0000-0000-00000F150000}"/>
    <cellStyle name="Normal 2 2 7" xfId="5349" xr:uid="{00000000-0005-0000-0000-000010150000}"/>
    <cellStyle name="Normal 2 2 7 2" xfId="5350" xr:uid="{00000000-0005-0000-0000-000011150000}"/>
    <cellStyle name="Normal 2 2 7 2 2" xfId="5351" xr:uid="{00000000-0005-0000-0000-000012150000}"/>
    <cellStyle name="Normal 2 2 7 2 2 2" xfId="5352" xr:uid="{00000000-0005-0000-0000-000013150000}"/>
    <cellStyle name="Normal 2 2 7 2 2 2 2" xfId="5353" xr:uid="{00000000-0005-0000-0000-000014150000}"/>
    <cellStyle name="Normal 2 2 7 2 2 2 3" xfId="5354" xr:uid="{00000000-0005-0000-0000-000015150000}"/>
    <cellStyle name="Normal 2 2 7 2 2 2 4" xfId="5355" xr:uid="{00000000-0005-0000-0000-000016150000}"/>
    <cellStyle name="Normal 2 2 7 2 2 3" xfId="5356" xr:uid="{00000000-0005-0000-0000-000017150000}"/>
    <cellStyle name="Normal 2 2 7 2 2 4" xfId="5357" xr:uid="{00000000-0005-0000-0000-000018150000}"/>
    <cellStyle name="Normal 2 2 7 2 3" xfId="5358" xr:uid="{00000000-0005-0000-0000-000019150000}"/>
    <cellStyle name="Normal 2 2 7 2 4" xfId="5359" xr:uid="{00000000-0005-0000-0000-00001A150000}"/>
    <cellStyle name="Normal 2 2 7 3" xfId="5360" xr:uid="{00000000-0005-0000-0000-00001B150000}"/>
    <cellStyle name="Normal 2 2 7 3 2" xfId="5361" xr:uid="{00000000-0005-0000-0000-00001C150000}"/>
    <cellStyle name="Normal 2 2 7 3 3" xfId="5362" xr:uid="{00000000-0005-0000-0000-00001D150000}"/>
    <cellStyle name="Normal 2 2 7 3 4" xfId="5363" xr:uid="{00000000-0005-0000-0000-00001E150000}"/>
    <cellStyle name="Normal 2 2 7 4" xfId="5364" xr:uid="{00000000-0005-0000-0000-00001F150000}"/>
    <cellStyle name="Normal 2 2 7 5" xfId="5365" xr:uid="{00000000-0005-0000-0000-000020150000}"/>
    <cellStyle name="Normal 2 2 7 6" xfId="5366" xr:uid="{00000000-0005-0000-0000-000021150000}"/>
    <cellStyle name="Normal 2 2 8" xfId="5367" xr:uid="{00000000-0005-0000-0000-000022150000}"/>
    <cellStyle name="Normal 2 2 8 2" xfId="5368" xr:uid="{00000000-0005-0000-0000-000023150000}"/>
    <cellStyle name="Normal 2 2 8 2 2" xfId="5369" xr:uid="{00000000-0005-0000-0000-000024150000}"/>
    <cellStyle name="Normal 2 2 8 2 3" xfId="5370" xr:uid="{00000000-0005-0000-0000-000025150000}"/>
    <cellStyle name="Normal 2 2 8 2 4" xfId="5371" xr:uid="{00000000-0005-0000-0000-000026150000}"/>
    <cellStyle name="Normal 2 2 8 3" xfId="5372" xr:uid="{00000000-0005-0000-0000-000027150000}"/>
    <cellStyle name="Normal 2 2 9" xfId="5373" xr:uid="{00000000-0005-0000-0000-000028150000}"/>
    <cellStyle name="Normal 2 2 9 2" xfId="5374" xr:uid="{00000000-0005-0000-0000-000029150000}"/>
    <cellStyle name="Normal 2 2 9 3" xfId="5375" xr:uid="{00000000-0005-0000-0000-00002A150000}"/>
    <cellStyle name="Normal 2 20" xfId="5376" xr:uid="{00000000-0005-0000-0000-00002B150000}"/>
    <cellStyle name="Normal 2 20 10" xfId="5377" xr:uid="{00000000-0005-0000-0000-00002C150000}"/>
    <cellStyle name="Normal 2 20 11" xfId="5378" xr:uid="{00000000-0005-0000-0000-00002D150000}"/>
    <cellStyle name="Normal 2 20 12" xfId="5379" xr:uid="{00000000-0005-0000-0000-00002E150000}"/>
    <cellStyle name="Normal 2 20 13" xfId="5380" xr:uid="{00000000-0005-0000-0000-00002F150000}"/>
    <cellStyle name="Normal 2 20 14" xfId="5381" xr:uid="{00000000-0005-0000-0000-000030150000}"/>
    <cellStyle name="Normal 2 20 15" xfId="5382" xr:uid="{00000000-0005-0000-0000-000031150000}"/>
    <cellStyle name="Normal 2 20 16" xfId="5383" xr:uid="{00000000-0005-0000-0000-000032150000}"/>
    <cellStyle name="Normal 2 20 17" xfId="5384" xr:uid="{00000000-0005-0000-0000-000033150000}"/>
    <cellStyle name="Normal 2 20 18" xfId="5385" xr:uid="{00000000-0005-0000-0000-000034150000}"/>
    <cellStyle name="Normal 2 20 19" xfId="5386" xr:uid="{00000000-0005-0000-0000-000035150000}"/>
    <cellStyle name="Normal 2 20 2" xfId="5387" xr:uid="{00000000-0005-0000-0000-000036150000}"/>
    <cellStyle name="Normal 2 20 20" xfId="5388" xr:uid="{00000000-0005-0000-0000-000037150000}"/>
    <cellStyle name="Normal 2 20 21" xfId="5389" xr:uid="{00000000-0005-0000-0000-000038150000}"/>
    <cellStyle name="Normal 2 20 22" xfId="5390" xr:uid="{00000000-0005-0000-0000-000039150000}"/>
    <cellStyle name="Normal 2 20 23" xfId="5391" xr:uid="{00000000-0005-0000-0000-00003A150000}"/>
    <cellStyle name="Normal 2 20 24" xfId="5392" xr:uid="{00000000-0005-0000-0000-00003B150000}"/>
    <cellStyle name="Normal 2 20 25" xfId="5393" xr:uid="{00000000-0005-0000-0000-00003C150000}"/>
    <cellStyle name="Normal 2 20 25 2" xfId="5394" xr:uid="{00000000-0005-0000-0000-00003D150000}"/>
    <cellStyle name="Normal 2 20 25 2 2" xfId="5395" xr:uid="{00000000-0005-0000-0000-00003E150000}"/>
    <cellStyle name="Normal 2 20 25 2 2 2" xfId="5396" xr:uid="{00000000-0005-0000-0000-00003F150000}"/>
    <cellStyle name="Normal 2 20 25 2 3" xfId="5397" xr:uid="{00000000-0005-0000-0000-000040150000}"/>
    <cellStyle name="Normal 2 20 25 3" xfId="5398" xr:uid="{00000000-0005-0000-0000-000041150000}"/>
    <cellStyle name="Normal 2 20 25 3 2" xfId="5399" xr:uid="{00000000-0005-0000-0000-000042150000}"/>
    <cellStyle name="Normal 2 20 25 3 2 2" xfId="5400" xr:uid="{00000000-0005-0000-0000-000043150000}"/>
    <cellStyle name="Normal 2 20 25 3 3" xfId="5401" xr:uid="{00000000-0005-0000-0000-000044150000}"/>
    <cellStyle name="Normal 2 20 25 4" xfId="5402" xr:uid="{00000000-0005-0000-0000-000045150000}"/>
    <cellStyle name="Normal 2 20 25 4 2" xfId="5403" xr:uid="{00000000-0005-0000-0000-000046150000}"/>
    <cellStyle name="Normal 2 20 25 5" xfId="5404" xr:uid="{00000000-0005-0000-0000-000047150000}"/>
    <cellStyle name="Normal 2 20 25 6" xfId="5405" xr:uid="{00000000-0005-0000-0000-000048150000}"/>
    <cellStyle name="Normal 2 20 26" xfId="5406" xr:uid="{00000000-0005-0000-0000-000049150000}"/>
    <cellStyle name="Normal 2 20 26 2" xfId="5407" xr:uid="{00000000-0005-0000-0000-00004A150000}"/>
    <cellStyle name="Normal 2 20 26 2 2" xfId="5408" xr:uid="{00000000-0005-0000-0000-00004B150000}"/>
    <cellStyle name="Normal 2 20 26 2 2 2" xfId="5409" xr:uid="{00000000-0005-0000-0000-00004C150000}"/>
    <cellStyle name="Normal 2 20 26 2 3" xfId="5410" xr:uid="{00000000-0005-0000-0000-00004D150000}"/>
    <cellStyle name="Normal 2 20 26 3" xfId="5411" xr:uid="{00000000-0005-0000-0000-00004E150000}"/>
    <cellStyle name="Normal 2 20 26 3 2" xfId="5412" xr:uid="{00000000-0005-0000-0000-00004F150000}"/>
    <cellStyle name="Normal 2 20 26 4" xfId="5413" xr:uid="{00000000-0005-0000-0000-000050150000}"/>
    <cellStyle name="Normal 2 20 26 5" xfId="5414" xr:uid="{00000000-0005-0000-0000-000051150000}"/>
    <cellStyle name="Normal 2 20 27" xfId="5415" xr:uid="{00000000-0005-0000-0000-000052150000}"/>
    <cellStyle name="Normal 2 20 27 2" xfId="5416" xr:uid="{00000000-0005-0000-0000-000053150000}"/>
    <cellStyle name="Normal 2 20 27 2 2" xfId="5417" xr:uid="{00000000-0005-0000-0000-000054150000}"/>
    <cellStyle name="Normal 2 20 27 3" xfId="5418" xr:uid="{00000000-0005-0000-0000-000055150000}"/>
    <cellStyle name="Normal 2 20 28" xfId="5419" xr:uid="{00000000-0005-0000-0000-000056150000}"/>
    <cellStyle name="Normal 2 20 28 2" xfId="5420" xr:uid="{00000000-0005-0000-0000-000057150000}"/>
    <cellStyle name="Normal 2 20 28 2 2" xfId="5421" xr:uid="{00000000-0005-0000-0000-000058150000}"/>
    <cellStyle name="Normal 2 20 28 3" xfId="5422" xr:uid="{00000000-0005-0000-0000-000059150000}"/>
    <cellStyle name="Normal 2 20 29" xfId="5423" xr:uid="{00000000-0005-0000-0000-00005A150000}"/>
    <cellStyle name="Normal 2 20 29 2" xfId="5424" xr:uid="{00000000-0005-0000-0000-00005B150000}"/>
    <cellStyle name="Normal 2 20 3" xfId="5425" xr:uid="{00000000-0005-0000-0000-00005C150000}"/>
    <cellStyle name="Normal 2 20 30" xfId="5426" xr:uid="{00000000-0005-0000-0000-00005D150000}"/>
    <cellStyle name="Normal 2 20 31" xfId="5427" xr:uid="{00000000-0005-0000-0000-00005E150000}"/>
    <cellStyle name="Normal 2 20 4" xfId="5428" xr:uid="{00000000-0005-0000-0000-00005F150000}"/>
    <cellStyle name="Normal 2 20 5" xfId="5429" xr:uid="{00000000-0005-0000-0000-000060150000}"/>
    <cellStyle name="Normal 2 20 6" xfId="5430" xr:uid="{00000000-0005-0000-0000-000061150000}"/>
    <cellStyle name="Normal 2 20 7" xfId="5431" xr:uid="{00000000-0005-0000-0000-000062150000}"/>
    <cellStyle name="Normal 2 20 8" xfId="5432" xr:uid="{00000000-0005-0000-0000-000063150000}"/>
    <cellStyle name="Normal 2 20 9" xfId="5433" xr:uid="{00000000-0005-0000-0000-000064150000}"/>
    <cellStyle name="Normal 2 21" xfId="5434" xr:uid="{00000000-0005-0000-0000-000065150000}"/>
    <cellStyle name="Normal 2 21 10" xfId="5435" xr:uid="{00000000-0005-0000-0000-000066150000}"/>
    <cellStyle name="Normal 2 21 11" xfId="5436" xr:uid="{00000000-0005-0000-0000-000067150000}"/>
    <cellStyle name="Normal 2 21 12" xfId="5437" xr:uid="{00000000-0005-0000-0000-000068150000}"/>
    <cellStyle name="Normal 2 21 13" xfId="5438" xr:uid="{00000000-0005-0000-0000-000069150000}"/>
    <cellStyle name="Normal 2 21 14" xfId="5439" xr:uid="{00000000-0005-0000-0000-00006A150000}"/>
    <cellStyle name="Normal 2 21 15" xfId="5440" xr:uid="{00000000-0005-0000-0000-00006B150000}"/>
    <cellStyle name="Normal 2 21 16" xfId="5441" xr:uid="{00000000-0005-0000-0000-00006C150000}"/>
    <cellStyle name="Normal 2 21 17" xfId="5442" xr:uid="{00000000-0005-0000-0000-00006D150000}"/>
    <cellStyle name="Normal 2 21 18" xfId="5443" xr:uid="{00000000-0005-0000-0000-00006E150000}"/>
    <cellStyle name="Normal 2 21 19" xfId="5444" xr:uid="{00000000-0005-0000-0000-00006F150000}"/>
    <cellStyle name="Normal 2 21 2" xfId="5445" xr:uid="{00000000-0005-0000-0000-000070150000}"/>
    <cellStyle name="Normal 2 21 20" xfId="5446" xr:uid="{00000000-0005-0000-0000-000071150000}"/>
    <cellStyle name="Normal 2 21 21" xfId="5447" xr:uid="{00000000-0005-0000-0000-000072150000}"/>
    <cellStyle name="Normal 2 21 22" xfId="5448" xr:uid="{00000000-0005-0000-0000-000073150000}"/>
    <cellStyle name="Normal 2 21 23" xfId="5449" xr:uid="{00000000-0005-0000-0000-000074150000}"/>
    <cellStyle name="Normal 2 21 24" xfId="5450" xr:uid="{00000000-0005-0000-0000-000075150000}"/>
    <cellStyle name="Normal 2 21 25" xfId="5451" xr:uid="{00000000-0005-0000-0000-000076150000}"/>
    <cellStyle name="Normal 2 21 25 2" xfId="5452" xr:uid="{00000000-0005-0000-0000-000077150000}"/>
    <cellStyle name="Normal 2 21 25 2 2" xfId="5453" xr:uid="{00000000-0005-0000-0000-000078150000}"/>
    <cellStyle name="Normal 2 21 25 2 2 2" xfId="5454" xr:uid="{00000000-0005-0000-0000-000079150000}"/>
    <cellStyle name="Normal 2 21 25 2 3" xfId="5455" xr:uid="{00000000-0005-0000-0000-00007A150000}"/>
    <cellStyle name="Normal 2 21 25 3" xfId="5456" xr:uid="{00000000-0005-0000-0000-00007B150000}"/>
    <cellStyle name="Normal 2 21 25 3 2" xfId="5457" xr:uid="{00000000-0005-0000-0000-00007C150000}"/>
    <cellStyle name="Normal 2 21 25 3 2 2" xfId="5458" xr:uid="{00000000-0005-0000-0000-00007D150000}"/>
    <cellStyle name="Normal 2 21 25 3 3" xfId="5459" xr:uid="{00000000-0005-0000-0000-00007E150000}"/>
    <cellStyle name="Normal 2 21 25 4" xfId="5460" xr:uid="{00000000-0005-0000-0000-00007F150000}"/>
    <cellStyle name="Normal 2 21 25 4 2" xfId="5461" xr:uid="{00000000-0005-0000-0000-000080150000}"/>
    <cellStyle name="Normal 2 21 25 5" xfId="5462" xr:uid="{00000000-0005-0000-0000-000081150000}"/>
    <cellStyle name="Normal 2 21 25 6" xfId="5463" xr:uid="{00000000-0005-0000-0000-000082150000}"/>
    <cellStyle name="Normal 2 21 26" xfId="5464" xr:uid="{00000000-0005-0000-0000-000083150000}"/>
    <cellStyle name="Normal 2 21 26 2" xfId="5465" xr:uid="{00000000-0005-0000-0000-000084150000}"/>
    <cellStyle name="Normal 2 21 26 2 2" xfId="5466" xr:uid="{00000000-0005-0000-0000-000085150000}"/>
    <cellStyle name="Normal 2 21 26 2 2 2" xfId="5467" xr:uid="{00000000-0005-0000-0000-000086150000}"/>
    <cellStyle name="Normal 2 21 26 2 3" xfId="5468" xr:uid="{00000000-0005-0000-0000-000087150000}"/>
    <cellStyle name="Normal 2 21 26 3" xfId="5469" xr:uid="{00000000-0005-0000-0000-000088150000}"/>
    <cellStyle name="Normal 2 21 26 3 2" xfId="5470" xr:uid="{00000000-0005-0000-0000-000089150000}"/>
    <cellStyle name="Normal 2 21 26 4" xfId="5471" xr:uid="{00000000-0005-0000-0000-00008A150000}"/>
    <cellStyle name="Normal 2 21 26 5" xfId="5472" xr:uid="{00000000-0005-0000-0000-00008B150000}"/>
    <cellStyle name="Normal 2 21 27" xfId="5473" xr:uid="{00000000-0005-0000-0000-00008C150000}"/>
    <cellStyle name="Normal 2 21 27 2" xfId="5474" xr:uid="{00000000-0005-0000-0000-00008D150000}"/>
    <cellStyle name="Normal 2 21 27 2 2" xfId="5475" xr:uid="{00000000-0005-0000-0000-00008E150000}"/>
    <cellStyle name="Normal 2 21 27 3" xfId="5476" xr:uid="{00000000-0005-0000-0000-00008F150000}"/>
    <cellStyle name="Normal 2 21 28" xfId="5477" xr:uid="{00000000-0005-0000-0000-000090150000}"/>
    <cellStyle name="Normal 2 21 28 2" xfId="5478" xr:uid="{00000000-0005-0000-0000-000091150000}"/>
    <cellStyle name="Normal 2 21 28 2 2" xfId="5479" xr:uid="{00000000-0005-0000-0000-000092150000}"/>
    <cellStyle name="Normal 2 21 28 3" xfId="5480" xr:uid="{00000000-0005-0000-0000-000093150000}"/>
    <cellStyle name="Normal 2 21 29" xfId="5481" xr:uid="{00000000-0005-0000-0000-000094150000}"/>
    <cellStyle name="Normal 2 21 29 2" xfId="5482" xr:uid="{00000000-0005-0000-0000-000095150000}"/>
    <cellStyle name="Normal 2 21 3" xfId="5483" xr:uid="{00000000-0005-0000-0000-000096150000}"/>
    <cellStyle name="Normal 2 21 30" xfId="5484" xr:uid="{00000000-0005-0000-0000-000097150000}"/>
    <cellStyle name="Normal 2 21 31" xfId="5485" xr:uid="{00000000-0005-0000-0000-000098150000}"/>
    <cellStyle name="Normal 2 21 4" xfId="5486" xr:uid="{00000000-0005-0000-0000-000099150000}"/>
    <cellStyle name="Normal 2 21 5" xfId="5487" xr:uid="{00000000-0005-0000-0000-00009A150000}"/>
    <cellStyle name="Normal 2 21 6" xfId="5488" xr:uid="{00000000-0005-0000-0000-00009B150000}"/>
    <cellStyle name="Normal 2 21 7" xfId="5489" xr:uid="{00000000-0005-0000-0000-00009C150000}"/>
    <cellStyle name="Normal 2 21 8" xfId="5490" xr:uid="{00000000-0005-0000-0000-00009D150000}"/>
    <cellStyle name="Normal 2 21 9" xfId="5491" xr:uid="{00000000-0005-0000-0000-00009E150000}"/>
    <cellStyle name="Normal 2 22" xfId="5492" xr:uid="{00000000-0005-0000-0000-00009F150000}"/>
    <cellStyle name="Normal 2 22 2" xfId="5493" xr:uid="{00000000-0005-0000-0000-0000A0150000}"/>
    <cellStyle name="Normal 2 22 3" xfId="5494" xr:uid="{00000000-0005-0000-0000-0000A1150000}"/>
    <cellStyle name="Normal 2 22 3 2" xfId="5495" xr:uid="{00000000-0005-0000-0000-0000A2150000}"/>
    <cellStyle name="Normal 2 22 3 2 2" xfId="5496" xr:uid="{00000000-0005-0000-0000-0000A3150000}"/>
    <cellStyle name="Normal 2 22 3 2 2 2" xfId="5497" xr:uid="{00000000-0005-0000-0000-0000A4150000}"/>
    <cellStyle name="Normal 2 22 3 2 3" xfId="5498" xr:uid="{00000000-0005-0000-0000-0000A5150000}"/>
    <cellStyle name="Normal 2 22 3 3" xfId="5499" xr:uid="{00000000-0005-0000-0000-0000A6150000}"/>
    <cellStyle name="Normal 2 22 3 3 2" xfId="5500" xr:uid="{00000000-0005-0000-0000-0000A7150000}"/>
    <cellStyle name="Normal 2 22 3 3 2 2" xfId="5501" xr:uid="{00000000-0005-0000-0000-0000A8150000}"/>
    <cellStyle name="Normal 2 22 3 3 3" xfId="5502" xr:uid="{00000000-0005-0000-0000-0000A9150000}"/>
    <cellStyle name="Normal 2 22 3 4" xfId="5503" xr:uid="{00000000-0005-0000-0000-0000AA150000}"/>
    <cellStyle name="Normal 2 22 3 4 2" xfId="5504" xr:uid="{00000000-0005-0000-0000-0000AB150000}"/>
    <cellStyle name="Normal 2 22 3 5" xfId="5505" xr:uid="{00000000-0005-0000-0000-0000AC150000}"/>
    <cellStyle name="Normal 2 22 3 6" xfId="5506" xr:uid="{00000000-0005-0000-0000-0000AD150000}"/>
    <cellStyle name="Normal 2 22 4" xfId="5507" xr:uid="{00000000-0005-0000-0000-0000AE150000}"/>
    <cellStyle name="Normal 2 22 4 2" xfId="5508" xr:uid="{00000000-0005-0000-0000-0000AF150000}"/>
    <cellStyle name="Normal 2 22 4 2 2" xfId="5509" xr:uid="{00000000-0005-0000-0000-0000B0150000}"/>
    <cellStyle name="Normal 2 22 4 2 2 2" xfId="5510" xr:uid="{00000000-0005-0000-0000-0000B1150000}"/>
    <cellStyle name="Normal 2 22 4 2 3" xfId="5511" xr:uid="{00000000-0005-0000-0000-0000B2150000}"/>
    <cellStyle name="Normal 2 22 4 3" xfId="5512" xr:uid="{00000000-0005-0000-0000-0000B3150000}"/>
    <cellStyle name="Normal 2 22 4 3 2" xfId="5513" xr:uid="{00000000-0005-0000-0000-0000B4150000}"/>
    <cellStyle name="Normal 2 22 4 4" xfId="5514" xr:uid="{00000000-0005-0000-0000-0000B5150000}"/>
    <cellStyle name="Normal 2 22 4 5" xfId="5515" xr:uid="{00000000-0005-0000-0000-0000B6150000}"/>
    <cellStyle name="Normal 2 22 5" xfId="5516" xr:uid="{00000000-0005-0000-0000-0000B7150000}"/>
    <cellStyle name="Normal 2 22 5 2" xfId="5517" xr:uid="{00000000-0005-0000-0000-0000B8150000}"/>
    <cellStyle name="Normal 2 22 5 2 2" xfId="5518" xr:uid="{00000000-0005-0000-0000-0000B9150000}"/>
    <cellStyle name="Normal 2 22 5 3" xfId="5519" xr:uid="{00000000-0005-0000-0000-0000BA150000}"/>
    <cellStyle name="Normal 2 22 6" xfId="5520" xr:uid="{00000000-0005-0000-0000-0000BB150000}"/>
    <cellStyle name="Normal 2 22 6 2" xfId="5521" xr:uid="{00000000-0005-0000-0000-0000BC150000}"/>
    <cellStyle name="Normal 2 22 6 2 2" xfId="5522" xr:uid="{00000000-0005-0000-0000-0000BD150000}"/>
    <cellStyle name="Normal 2 22 6 3" xfId="5523" xr:uid="{00000000-0005-0000-0000-0000BE150000}"/>
    <cellStyle name="Normal 2 22 7" xfId="5524" xr:uid="{00000000-0005-0000-0000-0000BF150000}"/>
    <cellStyle name="Normal 2 22 7 2" xfId="5525" xr:uid="{00000000-0005-0000-0000-0000C0150000}"/>
    <cellStyle name="Normal 2 22 8" xfId="5526" xr:uid="{00000000-0005-0000-0000-0000C1150000}"/>
    <cellStyle name="Normal 2 22 9" xfId="5527" xr:uid="{00000000-0005-0000-0000-0000C2150000}"/>
    <cellStyle name="Normal 2 23" xfId="5528" xr:uid="{00000000-0005-0000-0000-0000C3150000}"/>
    <cellStyle name="Normal 2 23 2" xfId="5529" xr:uid="{00000000-0005-0000-0000-0000C4150000}"/>
    <cellStyle name="Normal 2 23 3" xfId="5530" xr:uid="{00000000-0005-0000-0000-0000C5150000}"/>
    <cellStyle name="Normal 2 23 3 2" xfId="5531" xr:uid="{00000000-0005-0000-0000-0000C6150000}"/>
    <cellStyle name="Normal 2 23 3 2 2" xfId="5532" xr:uid="{00000000-0005-0000-0000-0000C7150000}"/>
    <cellStyle name="Normal 2 23 3 2 2 2" xfId="5533" xr:uid="{00000000-0005-0000-0000-0000C8150000}"/>
    <cellStyle name="Normal 2 23 3 2 3" xfId="5534" xr:uid="{00000000-0005-0000-0000-0000C9150000}"/>
    <cellStyle name="Normal 2 23 3 3" xfId="5535" xr:uid="{00000000-0005-0000-0000-0000CA150000}"/>
    <cellStyle name="Normal 2 23 3 3 2" xfId="5536" xr:uid="{00000000-0005-0000-0000-0000CB150000}"/>
    <cellStyle name="Normal 2 23 3 3 2 2" xfId="5537" xr:uid="{00000000-0005-0000-0000-0000CC150000}"/>
    <cellStyle name="Normal 2 23 3 3 3" xfId="5538" xr:uid="{00000000-0005-0000-0000-0000CD150000}"/>
    <cellStyle name="Normal 2 23 3 4" xfId="5539" xr:uid="{00000000-0005-0000-0000-0000CE150000}"/>
    <cellStyle name="Normal 2 23 3 4 2" xfId="5540" xr:uid="{00000000-0005-0000-0000-0000CF150000}"/>
    <cellStyle name="Normal 2 23 3 5" xfId="5541" xr:uid="{00000000-0005-0000-0000-0000D0150000}"/>
    <cellStyle name="Normal 2 23 3 6" xfId="5542" xr:uid="{00000000-0005-0000-0000-0000D1150000}"/>
    <cellStyle name="Normal 2 23 4" xfId="5543" xr:uid="{00000000-0005-0000-0000-0000D2150000}"/>
    <cellStyle name="Normal 2 23 4 2" xfId="5544" xr:uid="{00000000-0005-0000-0000-0000D3150000}"/>
    <cellStyle name="Normal 2 23 4 2 2" xfId="5545" xr:uid="{00000000-0005-0000-0000-0000D4150000}"/>
    <cellStyle name="Normal 2 23 4 2 2 2" xfId="5546" xr:uid="{00000000-0005-0000-0000-0000D5150000}"/>
    <cellStyle name="Normal 2 23 4 2 3" xfId="5547" xr:uid="{00000000-0005-0000-0000-0000D6150000}"/>
    <cellStyle name="Normal 2 23 4 3" xfId="5548" xr:uid="{00000000-0005-0000-0000-0000D7150000}"/>
    <cellStyle name="Normal 2 23 4 3 2" xfId="5549" xr:uid="{00000000-0005-0000-0000-0000D8150000}"/>
    <cellStyle name="Normal 2 23 4 4" xfId="5550" xr:uid="{00000000-0005-0000-0000-0000D9150000}"/>
    <cellStyle name="Normal 2 23 4 5" xfId="5551" xr:uid="{00000000-0005-0000-0000-0000DA150000}"/>
    <cellStyle name="Normal 2 23 5" xfId="5552" xr:uid="{00000000-0005-0000-0000-0000DB150000}"/>
    <cellStyle name="Normal 2 23 5 2" xfId="5553" xr:uid="{00000000-0005-0000-0000-0000DC150000}"/>
    <cellStyle name="Normal 2 23 5 2 2" xfId="5554" xr:uid="{00000000-0005-0000-0000-0000DD150000}"/>
    <cellStyle name="Normal 2 23 5 3" xfId="5555" xr:uid="{00000000-0005-0000-0000-0000DE150000}"/>
    <cellStyle name="Normal 2 23 6" xfId="5556" xr:uid="{00000000-0005-0000-0000-0000DF150000}"/>
    <cellStyle name="Normal 2 23 6 2" xfId="5557" xr:uid="{00000000-0005-0000-0000-0000E0150000}"/>
    <cellStyle name="Normal 2 23 6 2 2" xfId="5558" xr:uid="{00000000-0005-0000-0000-0000E1150000}"/>
    <cellStyle name="Normal 2 23 6 3" xfId="5559" xr:uid="{00000000-0005-0000-0000-0000E2150000}"/>
    <cellStyle name="Normal 2 23 7" xfId="5560" xr:uid="{00000000-0005-0000-0000-0000E3150000}"/>
    <cellStyle name="Normal 2 23 7 2" xfId="5561" xr:uid="{00000000-0005-0000-0000-0000E4150000}"/>
    <cellStyle name="Normal 2 23 8" xfId="5562" xr:uid="{00000000-0005-0000-0000-0000E5150000}"/>
    <cellStyle name="Normal 2 23 9" xfId="5563" xr:uid="{00000000-0005-0000-0000-0000E6150000}"/>
    <cellStyle name="Normal 2 24" xfId="5564" xr:uid="{00000000-0005-0000-0000-0000E7150000}"/>
    <cellStyle name="Normal 2 24 2" xfId="5565" xr:uid="{00000000-0005-0000-0000-0000E8150000}"/>
    <cellStyle name="Normal 2 24 3" xfId="5566" xr:uid="{00000000-0005-0000-0000-0000E9150000}"/>
    <cellStyle name="Normal 2 24 3 2" xfId="5567" xr:uid="{00000000-0005-0000-0000-0000EA150000}"/>
    <cellStyle name="Normal 2 24 3 2 2" xfId="5568" xr:uid="{00000000-0005-0000-0000-0000EB150000}"/>
    <cellStyle name="Normal 2 24 3 2 2 2" xfId="5569" xr:uid="{00000000-0005-0000-0000-0000EC150000}"/>
    <cellStyle name="Normal 2 24 3 2 3" xfId="5570" xr:uid="{00000000-0005-0000-0000-0000ED150000}"/>
    <cellStyle name="Normal 2 24 3 3" xfId="5571" xr:uid="{00000000-0005-0000-0000-0000EE150000}"/>
    <cellStyle name="Normal 2 24 3 3 2" xfId="5572" xr:uid="{00000000-0005-0000-0000-0000EF150000}"/>
    <cellStyle name="Normal 2 24 3 3 2 2" xfId="5573" xr:uid="{00000000-0005-0000-0000-0000F0150000}"/>
    <cellStyle name="Normal 2 24 3 3 3" xfId="5574" xr:uid="{00000000-0005-0000-0000-0000F1150000}"/>
    <cellStyle name="Normal 2 24 3 4" xfId="5575" xr:uid="{00000000-0005-0000-0000-0000F2150000}"/>
    <cellStyle name="Normal 2 24 3 4 2" xfId="5576" xr:uid="{00000000-0005-0000-0000-0000F3150000}"/>
    <cellStyle name="Normal 2 24 3 5" xfId="5577" xr:uid="{00000000-0005-0000-0000-0000F4150000}"/>
    <cellStyle name="Normal 2 24 3 6" xfId="5578" xr:uid="{00000000-0005-0000-0000-0000F5150000}"/>
    <cellStyle name="Normal 2 24 4" xfId="5579" xr:uid="{00000000-0005-0000-0000-0000F6150000}"/>
    <cellStyle name="Normal 2 24 4 2" xfId="5580" xr:uid="{00000000-0005-0000-0000-0000F7150000}"/>
    <cellStyle name="Normal 2 24 4 2 2" xfId="5581" xr:uid="{00000000-0005-0000-0000-0000F8150000}"/>
    <cellStyle name="Normal 2 24 4 2 2 2" xfId="5582" xr:uid="{00000000-0005-0000-0000-0000F9150000}"/>
    <cellStyle name="Normal 2 24 4 2 3" xfId="5583" xr:uid="{00000000-0005-0000-0000-0000FA150000}"/>
    <cellStyle name="Normal 2 24 4 3" xfId="5584" xr:uid="{00000000-0005-0000-0000-0000FB150000}"/>
    <cellStyle name="Normal 2 24 4 3 2" xfId="5585" xr:uid="{00000000-0005-0000-0000-0000FC150000}"/>
    <cellStyle name="Normal 2 24 4 4" xfId="5586" xr:uid="{00000000-0005-0000-0000-0000FD150000}"/>
    <cellStyle name="Normal 2 24 4 5" xfId="5587" xr:uid="{00000000-0005-0000-0000-0000FE150000}"/>
    <cellStyle name="Normal 2 24 5" xfId="5588" xr:uid="{00000000-0005-0000-0000-0000FF150000}"/>
    <cellStyle name="Normal 2 24 5 2" xfId="5589" xr:uid="{00000000-0005-0000-0000-000000160000}"/>
    <cellStyle name="Normal 2 24 5 2 2" xfId="5590" xr:uid="{00000000-0005-0000-0000-000001160000}"/>
    <cellStyle name="Normal 2 24 5 3" xfId="5591" xr:uid="{00000000-0005-0000-0000-000002160000}"/>
    <cellStyle name="Normal 2 24 6" xfId="5592" xr:uid="{00000000-0005-0000-0000-000003160000}"/>
    <cellStyle name="Normal 2 24 6 2" xfId="5593" xr:uid="{00000000-0005-0000-0000-000004160000}"/>
    <cellStyle name="Normal 2 24 6 2 2" xfId="5594" xr:uid="{00000000-0005-0000-0000-000005160000}"/>
    <cellStyle name="Normal 2 24 6 3" xfId="5595" xr:uid="{00000000-0005-0000-0000-000006160000}"/>
    <cellStyle name="Normal 2 24 7" xfId="5596" xr:uid="{00000000-0005-0000-0000-000007160000}"/>
    <cellStyle name="Normal 2 24 7 2" xfId="5597" xr:uid="{00000000-0005-0000-0000-000008160000}"/>
    <cellStyle name="Normal 2 24 8" xfId="5598" xr:uid="{00000000-0005-0000-0000-000009160000}"/>
    <cellStyle name="Normal 2 24 9" xfId="5599" xr:uid="{00000000-0005-0000-0000-00000A160000}"/>
    <cellStyle name="Normal 2 25" xfId="5600" xr:uid="{00000000-0005-0000-0000-00000B160000}"/>
    <cellStyle name="Normal 2 25 2" xfId="5601" xr:uid="{00000000-0005-0000-0000-00000C160000}"/>
    <cellStyle name="Normal 2 25 3" xfId="5602" xr:uid="{00000000-0005-0000-0000-00000D160000}"/>
    <cellStyle name="Normal 2 25 3 2" xfId="5603" xr:uid="{00000000-0005-0000-0000-00000E160000}"/>
    <cellStyle name="Normal 2 25 3 2 2" xfId="5604" xr:uid="{00000000-0005-0000-0000-00000F160000}"/>
    <cellStyle name="Normal 2 25 3 2 2 2" xfId="5605" xr:uid="{00000000-0005-0000-0000-000010160000}"/>
    <cellStyle name="Normal 2 25 3 2 3" xfId="5606" xr:uid="{00000000-0005-0000-0000-000011160000}"/>
    <cellStyle name="Normal 2 25 3 3" xfId="5607" xr:uid="{00000000-0005-0000-0000-000012160000}"/>
    <cellStyle name="Normal 2 25 3 3 2" xfId="5608" xr:uid="{00000000-0005-0000-0000-000013160000}"/>
    <cellStyle name="Normal 2 25 3 3 2 2" xfId="5609" xr:uid="{00000000-0005-0000-0000-000014160000}"/>
    <cellStyle name="Normal 2 25 3 3 3" xfId="5610" xr:uid="{00000000-0005-0000-0000-000015160000}"/>
    <cellStyle name="Normal 2 25 3 4" xfId="5611" xr:uid="{00000000-0005-0000-0000-000016160000}"/>
    <cellStyle name="Normal 2 25 3 4 2" xfId="5612" xr:uid="{00000000-0005-0000-0000-000017160000}"/>
    <cellStyle name="Normal 2 25 3 5" xfId="5613" xr:uid="{00000000-0005-0000-0000-000018160000}"/>
    <cellStyle name="Normal 2 25 3 6" xfId="5614" xr:uid="{00000000-0005-0000-0000-000019160000}"/>
    <cellStyle name="Normal 2 25 4" xfId="5615" xr:uid="{00000000-0005-0000-0000-00001A160000}"/>
    <cellStyle name="Normal 2 25 4 2" xfId="5616" xr:uid="{00000000-0005-0000-0000-00001B160000}"/>
    <cellStyle name="Normal 2 25 4 2 2" xfId="5617" xr:uid="{00000000-0005-0000-0000-00001C160000}"/>
    <cellStyle name="Normal 2 25 4 2 2 2" xfId="5618" xr:uid="{00000000-0005-0000-0000-00001D160000}"/>
    <cellStyle name="Normal 2 25 4 2 3" xfId="5619" xr:uid="{00000000-0005-0000-0000-00001E160000}"/>
    <cellStyle name="Normal 2 25 4 3" xfId="5620" xr:uid="{00000000-0005-0000-0000-00001F160000}"/>
    <cellStyle name="Normal 2 25 4 3 2" xfId="5621" xr:uid="{00000000-0005-0000-0000-000020160000}"/>
    <cellStyle name="Normal 2 25 4 4" xfId="5622" xr:uid="{00000000-0005-0000-0000-000021160000}"/>
    <cellStyle name="Normal 2 25 4 5" xfId="5623" xr:uid="{00000000-0005-0000-0000-000022160000}"/>
    <cellStyle name="Normal 2 25 5" xfId="5624" xr:uid="{00000000-0005-0000-0000-000023160000}"/>
    <cellStyle name="Normal 2 25 5 2" xfId="5625" xr:uid="{00000000-0005-0000-0000-000024160000}"/>
    <cellStyle name="Normal 2 25 5 2 2" xfId="5626" xr:uid="{00000000-0005-0000-0000-000025160000}"/>
    <cellStyle name="Normal 2 25 5 3" xfId="5627" xr:uid="{00000000-0005-0000-0000-000026160000}"/>
    <cellStyle name="Normal 2 25 6" xfId="5628" xr:uid="{00000000-0005-0000-0000-000027160000}"/>
    <cellStyle name="Normal 2 25 6 2" xfId="5629" xr:uid="{00000000-0005-0000-0000-000028160000}"/>
    <cellStyle name="Normal 2 25 6 2 2" xfId="5630" xr:uid="{00000000-0005-0000-0000-000029160000}"/>
    <cellStyle name="Normal 2 25 6 3" xfId="5631" xr:uid="{00000000-0005-0000-0000-00002A160000}"/>
    <cellStyle name="Normal 2 25 7" xfId="5632" xr:uid="{00000000-0005-0000-0000-00002B160000}"/>
    <cellStyle name="Normal 2 25 7 2" xfId="5633" xr:uid="{00000000-0005-0000-0000-00002C160000}"/>
    <cellStyle name="Normal 2 25 8" xfId="5634" xr:uid="{00000000-0005-0000-0000-00002D160000}"/>
    <cellStyle name="Normal 2 25 9" xfId="5635" xr:uid="{00000000-0005-0000-0000-00002E160000}"/>
    <cellStyle name="Normal 2 26" xfId="5636" xr:uid="{00000000-0005-0000-0000-00002F160000}"/>
    <cellStyle name="Normal 2 26 10" xfId="5637" xr:uid="{00000000-0005-0000-0000-000030160000}"/>
    <cellStyle name="Normal 2 26 11" xfId="5638" xr:uid="{00000000-0005-0000-0000-000031160000}"/>
    <cellStyle name="Normal 2 26 2" xfId="5639" xr:uid="{00000000-0005-0000-0000-000032160000}"/>
    <cellStyle name="Normal 2 26 3" xfId="5640" xr:uid="{00000000-0005-0000-0000-000033160000}"/>
    <cellStyle name="Normal 2 26 4" xfId="5641" xr:uid="{00000000-0005-0000-0000-000034160000}"/>
    <cellStyle name="Normal 2 26 5" xfId="5642" xr:uid="{00000000-0005-0000-0000-000035160000}"/>
    <cellStyle name="Normal 2 26 5 2" xfId="5643" xr:uid="{00000000-0005-0000-0000-000036160000}"/>
    <cellStyle name="Normal 2 26 5 2 2" xfId="5644" xr:uid="{00000000-0005-0000-0000-000037160000}"/>
    <cellStyle name="Normal 2 26 5 2 2 2" xfId="5645" xr:uid="{00000000-0005-0000-0000-000038160000}"/>
    <cellStyle name="Normal 2 26 5 2 3" xfId="5646" xr:uid="{00000000-0005-0000-0000-000039160000}"/>
    <cellStyle name="Normal 2 26 5 3" xfId="5647" xr:uid="{00000000-0005-0000-0000-00003A160000}"/>
    <cellStyle name="Normal 2 26 5 3 2" xfId="5648" xr:uid="{00000000-0005-0000-0000-00003B160000}"/>
    <cellStyle name="Normal 2 26 5 3 2 2" xfId="5649" xr:uid="{00000000-0005-0000-0000-00003C160000}"/>
    <cellStyle name="Normal 2 26 5 3 3" xfId="5650" xr:uid="{00000000-0005-0000-0000-00003D160000}"/>
    <cellStyle name="Normal 2 26 5 4" xfId="5651" xr:uid="{00000000-0005-0000-0000-00003E160000}"/>
    <cellStyle name="Normal 2 26 5 4 2" xfId="5652" xr:uid="{00000000-0005-0000-0000-00003F160000}"/>
    <cellStyle name="Normal 2 26 5 5" xfId="5653" xr:uid="{00000000-0005-0000-0000-000040160000}"/>
    <cellStyle name="Normal 2 26 5 6" xfId="5654" xr:uid="{00000000-0005-0000-0000-000041160000}"/>
    <cellStyle name="Normal 2 26 6" xfId="5655" xr:uid="{00000000-0005-0000-0000-000042160000}"/>
    <cellStyle name="Normal 2 26 6 2" xfId="5656" xr:uid="{00000000-0005-0000-0000-000043160000}"/>
    <cellStyle name="Normal 2 26 6 2 2" xfId="5657" xr:uid="{00000000-0005-0000-0000-000044160000}"/>
    <cellStyle name="Normal 2 26 6 2 2 2" xfId="5658" xr:uid="{00000000-0005-0000-0000-000045160000}"/>
    <cellStyle name="Normal 2 26 6 2 3" xfId="5659" xr:uid="{00000000-0005-0000-0000-000046160000}"/>
    <cellStyle name="Normal 2 26 6 3" xfId="5660" xr:uid="{00000000-0005-0000-0000-000047160000}"/>
    <cellStyle name="Normal 2 26 6 3 2" xfId="5661" xr:uid="{00000000-0005-0000-0000-000048160000}"/>
    <cellStyle name="Normal 2 26 6 4" xfId="5662" xr:uid="{00000000-0005-0000-0000-000049160000}"/>
    <cellStyle name="Normal 2 26 6 5" xfId="5663" xr:uid="{00000000-0005-0000-0000-00004A160000}"/>
    <cellStyle name="Normal 2 26 7" xfId="5664" xr:uid="{00000000-0005-0000-0000-00004B160000}"/>
    <cellStyle name="Normal 2 26 7 2" xfId="5665" xr:uid="{00000000-0005-0000-0000-00004C160000}"/>
    <cellStyle name="Normal 2 26 7 2 2" xfId="5666" xr:uid="{00000000-0005-0000-0000-00004D160000}"/>
    <cellStyle name="Normal 2 26 7 3" xfId="5667" xr:uid="{00000000-0005-0000-0000-00004E160000}"/>
    <cellStyle name="Normal 2 26 8" xfId="5668" xr:uid="{00000000-0005-0000-0000-00004F160000}"/>
    <cellStyle name="Normal 2 26 8 2" xfId="5669" xr:uid="{00000000-0005-0000-0000-000050160000}"/>
    <cellStyle name="Normal 2 26 8 2 2" xfId="5670" xr:uid="{00000000-0005-0000-0000-000051160000}"/>
    <cellStyle name="Normal 2 26 8 3" xfId="5671" xr:uid="{00000000-0005-0000-0000-000052160000}"/>
    <cellStyle name="Normal 2 26 9" xfId="5672" xr:uid="{00000000-0005-0000-0000-000053160000}"/>
    <cellStyle name="Normal 2 26 9 2" xfId="5673" xr:uid="{00000000-0005-0000-0000-000054160000}"/>
    <cellStyle name="Normal 2 27" xfId="5674" xr:uid="{00000000-0005-0000-0000-000055160000}"/>
    <cellStyle name="Normal 2 27 2" xfId="5675" xr:uid="{00000000-0005-0000-0000-000056160000}"/>
    <cellStyle name="Normal 2 27 3" xfId="5676" xr:uid="{00000000-0005-0000-0000-000057160000}"/>
    <cellStyle name="Normal 2 27 3 2" xfId="5677" xr:uid="{00000000-0005-0000-0000-000058160000}"/>
    <cellStyle name="Normal 2 27 3 2 2" xfId="5678" xr:uid="{00000000-0005-0000-0000-000059160000}"/>
    <cellStyle name="Normal 2 27 3 2 2 2" xfId="5679" xr:uid="{00000000-0005-0000-0000-00005A160000}"/>
    <cellStyle name="Normal 2 27 3 2 3" xfId="5680" xr:uid="{00000000-0005-0000-0000-00005B160000}"/>
    <cellStyle name="Normal 2 27 3 3" xfId="5681" xr:uid="{00000000-0005-0000-0000-00005C160000}"/>
    <cellStyle name="Normal 2 27 3 3 2" xfId="5682" xr:uid="{00000000-0005-0000-0000-00005D160000}"/>
    <cellStyle name="Normal 2 27 3 3 2 2" xfId="5683" xr:uid="{00000000-0005-0000-0000-00005E160000}"/>
    <cellStyle name="Normal 2 27 3 3 3" xfId="5684" xr:uid="{00000000-0005-0000-0000-00005F160000}"/>
    <cellStyle name="Normal 2 27 3 4" xfId="5685" xr:uid="{00000000-0005-0000-0000-000060160000}"/>
    <cellStyle name="Normal 2 27 3 4 2" xfId="5686" xr:uid="{00000000-0005-0000-0000-000061160000}"/>
    <cellStyle name="Normal 2 27 3 5" xfId="5687" xr:uid="{00000000-0005-0000-0000-000062160000}"/>
    <cellStyle name="Normal 2 27 3 6" xfId="5688" xr:uid="{00000000-0005-0000-0000-000063160000}"/>
    <cellStyle name="Normal 2 27 4" xfId="5689" xr:uid="{00000000-0005-0000-0000-000064160000}"/>
    <cellStyle name="Normal 2 27 4 2" xfId="5690" xr:uid="{00000000-0005-0000-0000-000065160000}"/>
    <cellStyle name="Normal 2 27 4 2 2" xfId="5691" xr:uid="{00000000-0005-0000-0000-000066160000}"/>
    <cellStyle name="Normal 2 27 4 2 2 2" xfId="5692" xr:uid="{00000000-0005-0000-0000-000067160000}"/>
    <cellStyle name="Normal 2 27 4 2 3" xfId="5693" xr:uid="{00000000-0005-0000-0000-000068160000}"/>
    <cellStyle name="Normal 2 27 4 3" xfId="5694" xr:uid="{00000000-0005-0000-0000-000069160000}"/>
    <cellStyle name="Normal 2 27 4 3 2" xfId="5695" xr:uid="{00000000-0005-0000-0000-00006A160000}"/>
    <cellStyle name="Normal 2 27 4 4" xfId="5696" xr:uid="{00000000-0005-0000-0000-00006B160000}"/>
    <cellStyle name="Normal 2 27 4 5" xfId="5697" xr:uid="{00000000-0005-0000-0000-00006C160000}"/>
    <cellStyle name="Normal 2 27 5" xfId="5698" xr:uid="{00000000-0005-0000-0000-00006D160000}"/>
    <cellStyle name="Normal 2 27 5 2" xfId="5699" xr:uid="{00000000-0005-0000-0000-00006E160000}"/>
    <cellStyle name="Normal 2 27 5 2 2" xfId="5700" xr:uid="{00000000-0005-0000-0000-00006F160000}"/>
    <cellStyle name="Normal 2 27 5 3" xfId="5701" xr:uid="{00000000-0005-0000-0000-000070160000}"/>
    <cellStyle name="Normal 2 27 6" xfId="5702" xr:uid="{00000000-0005-0000-0000-000071160000}"/>
    <cellStyle name="Normal 2 27 6 2" xfId="5703" xr:uid="{00000000-0005-0000-0000-000072160000}"/>
    <cellStyle name="Normal 2 27 6 2 2" xfId="5704" xr:uid="{00000000-0005-0000-0000-000073160000}"/>
    <cellStyle name="Normal 2 27 6 3" xfId="5705" xr:uid="{00000000-0005-0000-0000-000074160000}"/>
    <cellStyle name="Normal 2 27 7" xfId="5706" xr:uid="{00000000-0005-0000-0000-000075160000}"/>
    <cellStyle name="Normal 2 27 7 2" xfId="5707" xr:uid="{00000000-0005-0000-0000-000076160000}"/>
    <cellStyle name="Normal 2 27 8" xfId="5708" xr:uid="{00000000-0005-0000-0000-000077160000}"/>
    <cellStyle name="Normal 2 27 9" xfId="5709" xr:uid="{00000000-0005-0000-0000-000078160000}"/>
    <cellStyle name="Normal 2 28" xfId="5710" xr:uid="{00000000-0005-0000-0000-000079160000}"/>
    <cellStyle name="Normal 2 28 2" xfId="5711" xr:uid="{00000000-0005-0000-0000-00007A160000}"/>
    <cellStyle name="Normal 2 28 3" xfId="5712" xr:uid="{00000000-0005-0000-0000-00007B160000}"/>
    <cellStyle name="Normal 2 28 3 2" xfId="5713" xr:uid="{00000000-0005-0000-0000-00007C160000}"/>
    <cellStyle name="Normal 2 28 3 2 2" xfId="5714" xr:uid="{00000000-0005-0000-0000-00007D160000}"/>
    <cellStyle name="Normal 2 28 3 2 2 2" xfId="5715" xr:uid="{00000000-0005-0000-0000-00007E160000}"/>
    <cellStyle name="Normal 2 28 3 2 3" xfId="5716" xr:uid="{00000000-0005-0000-0000-00007F160000}"/>
    <cellStyle name="Normal 2 28 3 3" xfId="5717" xr:uid="{00000000-0005-0000-0000-000080160000}"/>
    <cellStyle name="Normal 2 28 3 3 2" xfId="5718" xr:uid="{00000000-0005-0000-0000-000081160000}"/>
    <cellStyle name="Normal 2 28 3 3 2 2" xfId="5719" xr:uid="{00000000-0005-0000-0000-000082160000}"/>
    <cellStyle name="Normal 2 28 3 3 3" xfId="5720" xr:uid="{00000000-0005-0000-0000-000083160000}"/>
    <cellStyle name="Normal 2 28 3 4" xfId="5721" xr:uid="{00000000-0005-0000-0000-000084160000}"/>
    <cellStyle name="Normal 2 28 3 4 2" xfId="5722" xr:uid="{00000000-0005-0000-0000-000085160000}"/>
    <cellStyle name="Normal 2 28 3 5" xfId="5723" xr:uid="{00000000-0005-0000-0000-000086160000}"/>
    <cellStyle name="Normal 2 28 3 6" xfId="5724" xr:uid="{00000000-0005-0000-0000-000087160000}"/>
    <cellStyle name="Normal 2 28 4" xfId="5725" xr:uid="{00000000-0005-0000-0000-000088160000}"/>
    <cellStyle name="Normal 2 28 4 2" xfId="5726" xr:uid="{00000000-0005-0000-0000-000089160000}"/>
    <cellStyle name="Normal 2 28 4 2 2" xfId="5727" xr:uid="{00000000-0005-0000-0000-00008A160000}"/>
    <cellStyle name="Normal 2 28 4 2 2 2" xfId="5728" xr:uid="{00000000-0005-0000-0000-00008B160000}"/>
    <cellStyle name="Normal 2 28 4 2 3" xfId="5729" xr:uid="{00000000-0005-0000-0000-00008C160000}"/>
    <cellStyle name="Normal 2 28 4 3" xfId="5730" xr:uid="{00000000-0005-0000-0000-00008D160000}"/>
    <cellStyle name="Normal 2 28 4 3 2" xfId="5731" xr:uid="{00000000-0005-0000-0000-00008E160000}"/>
    <cellStyle name="Normal 2 28 4 4" xfId="5732" xr:uid="{00000000-0005-0000-0000-00008F160000}"/>
    <cellStyle name="Normal 2 28 4 5" xfId="5733" xr:uid="{00000000-0005-0000-0000-000090160000}"/>
    <cellStyle name="Normal 2 28 5" xfId="5734" xr:uid="{00000000-0005-0000-0000-000091160000}"/>
    <cellStyle name="Normal 2 28 5 2" xfId="5735" xr:uid="{00000000-0005-0000-0000-000092160000}"/>
    <cellStyle name="Normal 2 28 5 2 2" xfId="5736" xr:uid="{00000000-0005-0000-0000-000093160000}"/>
    <cellStyle name="Normal 2 28 5 3" xfId="5737" xr:uid="{00000000-0005-0000-0000-000094160000}"/>
    <cellStyle name="Normal 2 28 6" xfId="5738" xr:uid="{00000000-0005-0000-0000-000095160000}"/>
    <cellStyle name="Normal 2 28 6 2" xfId="5739" xr:uid="{00000000-0005-0000-0000-000096160000}"/>
    <cellStyle name="Normal 2 28 6 2 2" xfId="5740" xr:uid="{00000000-0005-0000-0000-000097160000}"/>
    <cellStyle name="Normal 2 28 6 3" xfId="5741" xr:uid="{00000000-0005-0000-0000-000098160000}"/>
    <cellStyle name="Normal 2 28 7" xfId="5742" xr:uid="{00000000-0005-0000-0000-000099160000}"/>
    <cellStyle name="Normal 2 28 7 2" xfId="5743" xr:uid="{00000000-0005-0000-0000-00009A160000}"/>
    <cellStyle name="Normal 2 28 8" xfId="5744" xr:uid="{00000000-0005-0000-0000-00009B160000}"/>
    <cellStyle name="Normal 2 28 9" xfId="5745" xr:uid="{00000000-0005-0000-0000-00009C160000}"/>
    <cellStyle name="Normal 2 29" xfId="5746" xr:uid="{00000000-0005-0000-0000-00009D160000}"/>
    <cellStyle name="Normal 2 29 2" xfId="5747" xr:uid="{00000000-0005-0000-0000-00009E160000}"/>
    <cellStyle name="Normal 2 29 3" xfId="5748" xr:uid="{00000000-0005-0000-0000-00009F160000}"/>
    <cellStyle name="Normal 2 29 3 2" xfId="5749" xr:uid="{00000000-0005-0000-0000-0000A0160000}"/>
    <cellStyle name="Normal 2 29 3 2 2" xfId="5750" xr:uid="{00000000-0005-0000-0000-0000A1160000}"/>
    <cellStyle name="Normal 2 29 3 2 2 2" xfId="5751" xr:uid="{00000000-0005-0000-0000-0000A2160000}"/>
    <cellStyle name="Normal 2 29 3 2 3" xfId="5752" xr:uid="{00000000-0005-0000-0000-0000A3160000}"/>
    <cellStyle name="Normal 2 29 3 3" xfId="5753" xr:uid="{00000000-0005-0000-0000-0000A4160000}"/>
    <cellStyle name="Normal 2 29 3 3 2" xfId="5754" xr:uid="{00000000-0005-0000-0000-0000A5160000}"/>
    <cellStyle name="Normal 2 29 3 3 2 2" xfId="5755" xr:uid="{00000000-0005-0000-0000-0000A6160000}"/>
    <cellStyle name="Normal 2 29 3 3 3" xfId="5756" xr:uid="{00000000-0005-0000-0000-0000A7160000}"/>
    <cellStyle name="Normal 2 29 3 4" xfId="5757" xr:uid="{00000000-0005-0000-0000-0000A8160000}"/>
    <cellStyle name="Normal 2 29 3 4 2" xfId="5758" xr:uid="{00000000-0005-0000-0000-0000A9160000}"/>
    <cellStyle name="Normal 2 29 3 5" xfId="5759" xr:uid="{00000000-0005-0000-0000-0000AA160000}"/>
    <cellStyle name="Normal 2 29 3 6" xfId="5760" xr:uid="{00000000-0005-0000-0000-0000AB160000}"/>
    <cellStyle name="Normal 2 29 4" xfId="5761" xr:uid="{00000000-0005-0000-0000-0000AC160000}"/>
    <cellStyle name="Normal 2 29 4 2" xfId="5762" xr:uid="{00000000-0005-0000-0000-0000AD160000}"/>
    <cellStyle name="Normal 2 29 4 2 2" xfId="5763" xr:uid="{00000000-0005-0000-0000-0000AE160000}"/>
    <cellStyle name="Normal 2 29 4 2 2 2" xfId="5764" xr:uid="{00000000-0005-0000-0000-0000AF160000}"/>
    <cellStyle name="Normal 2 29 4 2 3" xfId="5765" xr:uid="{00000000-0005-0000-0000-0000B0160000}"/>
    <cellStyle name="Normal 2 29 4 3" xfId="5766" xr:uid="{00000000-0005-0000-0000-0000B1160000}"/>
    <cellStyle name="Normal 2 29 4 3 2" xfId="5767" xr:uid="{00000000-0005-0000-0000-0000B2160000}"/>
    <cellStyle name="Normal 2 29 4 4" xfId="5768" xr:uid="{00000000-0005-0000-0000-0000B3160000}"/>
    <cellStyle name="Normal 2 29 4 5" xfId="5769" xr:uid="{00000000-0005-0000-0000-0000B4160000}"/>
    <cellStyle name="Normal 2 29 5" xfId="5770" xr:uid="{00000000-0005-0000-0000-0000B5160000}"/>
    <cellStyle name="Normal 2 29 5 2" xfId="5771" xr:uid="{00000000-0005-0000-0000-0000B6160000}"/>
    <cellStyle name="Normal 2 29 5 2 2" xfId="5772" xr:uid="{00000000-0005-0000-0000-0000B7160000}"/>
    <cellStyle name="Normal 2 29 5 3" xfId="5773" xr:uid="{00000000-0005-0000-0000-0000B8160000}"/>
    <cellStyle name="Normal 2 29 6" xfId="5774" xr:uid="{00000000-0005-0000-0000-0000B9160000}"/>
    <cellStyle name="Normal 2 29 6 2" xfId="5775" xr:uid="{00000000-0005-0000-0000-0000BA160000}"/>
    <cellStyle name="Normal 2 29 6 2 2" xfId="5776" xr:uid="{00000000-0005-0000-0000-0000BB160000}"/>
    <cellStyle name="Normal 2 29 6 3" xfId="5777" xr:uid="{00000000-0005-0000-0000-0000BC160000}"/>
    <cellStyle name="Normal 2 29 7" xfId="5778" xr:uid="{00000000-0005-0000-0000-0000BD160000}"/>
    <cellStyle name="Normal 2 29 7 2" xfId="5779" xr:uid="{00000000-0005-0000-0000-0000BE160000}"/>
    <cellStyle name="Normal 2 29 8" xfId="5780" xr:uid="{00000000-0005-0000-0000-0000BF160000}"/>
    <cellStyle name="Normal 2 29 9" xfId="5781" xr:uid="{00000000-0005-0000-0000-0000C0160000}"/>
    <cellStyle name="Normal 2 3" xfId="5782" xr:uid="{00000000-0005-0000-0000-0000C1160000}"/>
    <cellStyle name="Normal 2 3 10" xfId="5783" xr:uid="{00000000-0005-0000-0000-0000C2160000}"/>
    <cellStyle name="Normal 2 3 11" xfId="5784" xr:uid="{00000000-0005-0000-0000-0000C3160000}"/>
    <cellStyle name="Normal 2 3 12" xfId="5785" xr:uid="{00000000-0005-0000-0000-0000C4160000}"/>
    <cellStyle name="Normal 2 3 2" xfId="5786" xr:uid="{00000000-0005-0000-0000-0000C5160000}"/>
    <cellStyle name="Normal 2 3 2 10" xfId="5787" xr:uid="{00000000-0005-0000-0000-0000C6160000}"/>
    <cellStyle name="Normal 2 3 2 10 2" xfId="5788" xr:uid="{00000000-0005-0000-0000-0000C7160000}"/>
    <cellStyle name="Normal 2 3 2 10 2 2" xfId="5789" xr:uid="{00000000-0005-0000-0000-0000C8160000}"/>
    <cellStyle name="Normal 2 3 2 10 3" xfId="5790" xr:uid="{00000000-0005-0000-0000-0000C9160000}"/>
    <cellStyle name="Normal 2 3 2 11" xfId="5791" xr:uid="{00000000-0005-0000-0000-0000CA160000}"/>
    <cellStyle name="Normal 2 3 2 11 2" xfId="5792" xr:uid="{00000000-0005-0000-0000-0000CB160000}"/>
    <cellStyle name="Normal 2 3 2 12" xfId="5793" xr:uid="{00000000-0005-0000-0000-0000CC160000}"/>
    <cellStyle name="Normal 2 3 2 13" xfId="5794" xr:uid="{00000000-0005-0000-0000-0000CD160000}"/>
    <cellStyle name="Normal 2 3 2 2" xfId="5795" xr:uid="{00000000-0005-0000-0000-0000CE160000}"/>
    <cellStyle name="Normal 2 3 2 3" xfId="5796" xr:uid="{00000000-0005-0000-0000-0000CF160000}"/>
    <cellStyle name="Normal 2 3 2 4" xfId="5797" xr:uid="{00000000-0005-0000-0000-0000D0160000}"/>
    <cellStyle name="Normal 2 3 2 5" xfId="5798" xr:uid="{00000000-0005-0000-0000-0000D1160000}"/>
    <cellStyle name="Normal 2 3 2 6" xfId="5799" xr:uid="{00000000-0005-0000-0000-0000D2160000}"/>
    <cellStyle name="Normal 2 3 2 6 2" xfId="5800" xr:uid="{00000000-0005-0000-0000-0000D3160000}"/>
    <cellStyle name="Normal 2 3 2 6 2 2" xfId="5801" xr:uid="{00000000-0005-0000-0000-0000D4160000}"/>
    <cellStyle name="Normal 2 3 2 6 2 2 2" xfId="5802" xr:uid="{00000000-0005-0000-0000-0000D5160000}"/>
    <cellStyle name="Normal 2 3 2 6 2 3" xfId="5803" xr:uid="{00000000-0005-0000-0000-0000D6160000}"/>
    <cellStyle name="Normal 2 3 2 6 3" xfId="5804" xr:uid="{00000000-0005-0000-0000-0000D7160000}"/>
    <cellStyle name="Normal 2 3 2 6 4" xfId="5805" xr:uid="{00000000-0005-0000-0000-0000D8160000}"/>
    <cellStyle name="Normal 2 3 2 6 4 2" xfId="5806" xr:uid="{00000000-0005-0000-0000-0000D9160000}"/>
    <cellStyle name="Normal 2 3 2 6 5" xfId="5807" xr:uid="{00000000-0005-0000-0000-0000DA160000}"/>
    <cellStyle name="Normal 2 3 2 7" xfId="5808" xr:uid="{00000000-0005-0000-0000-0000DB160000}"/>
    <cellStyle name="Normal 2 3 2 7 2" xfId="5809" xr:uid="{00000000-0005-0000-0000-0000DC160000}"/>
    <cellStyle name="Normal 2 3 2 7 2 2" xfId="5810" xr:uid="{00000000-0005-0000-0000-0000DD160000}"/>
    <cellStyle name="Normal 2 3 2 7 2 2 2" xfId="5811" xr:uid="{00000000-0005-0000-0000-0000DE160000}"/>
    <cellStyle name="Normal 2 3 2 7 2 3" xfId="5812" xr:uid="{00000000-0005-0000-0000-0000DF160000}"/>
    <cellStyle name="Normal 2 3 2 7 3" xfId="5813" xr:uid="{00000000-0005-0000-0000-0000E0160000}"/>
    <cellStyle name="Normal 2 3 2 7 3 2" xfId="5814" xr:uid="{00000000-0005-0000-0000-0000E1160000}"/>
    <cellStyle name="Normal 2 3 2 7 4" xfId="5815" xr:uid="{00000000-0005-0000-0000-0000E2160000}"/>
    <cellStyle name="Normal 2 3 2 7 5" xfId="5816" xr:uid="{00000000-0005-0000-0000-0000E3160000}"/>
    <cellStyle name="Normal 2 3 2 8" xfId="5817" xr:uid="{00000000-0005-0000-0000-0000E4160000}"/>
    <cellStyle name="Normal 2 3 2 8 2" xfId="5818" xr:uid="{00000000-0005-0000-0000-0000E5160000}"/>
    <cellStyle name="Normal 2 3 2 8 2 2" xfId="5819" xr:uid="{00000000-0005-0000-0000-0000E6160000}"/>
    <cellStyle name="Normal 2 3 2 8 3" xfId="5820" xr:uid="{00000000-0005-0000-0000-0000E7160000}"/>
    <cellStyle name="Normal 2 3 2 8 4" xfId="5821" xr:uid="{00000000-0005-0000-0000-0000E8160000}"/>
    <cellStyle name="Normal 2 3 2 9" xfId="5822" xr:uid="{00000000-0005-0000-0000-0000E9160000}"/>
    <cellStyle name="Normal 2 3 2 9 2" xfId="5823" xr:uid="{00000000-0005-0000-0000-0000EA160000}"/>
    <cellStyle name="Normal 2 3 2 9 2 2" xfId="5824" xr:uid="{00000000-0005-0000-0000-0000EB160000}"/>
    <cellStyle name="Normal 2 3 2 9 3" xfId="5825" xr:uid="{00000000-0005-0000-0000-0000EC160000}"/>
    <cellStyle name="Normal 2 3 3" xfId="5826" xr:uid="{00000000-0005-0000-0000-0000ED160000}"/>
    <cellStyle name="Normal 2 3 3 2" xfId="5827" xr:uid="{00000000-0005-0000-0000-0000EE160000}"/>
    <cellStyle name="Normal 2 3 3 3" xfId="5828" xr:uid="{00000000-0005-0000-0000-0000EF160000}"/>
    <cellStyle name="Normal 2 3 4" xfId="5829" xr:uid="{00000000-0005-0000-0000-0000F0160000}"/>
    <cellStyle name="Normal 2 3 4 2" xfId="5830" xr:uid="{00000000-0005-0000-0000-0000F1160000}"/>
    <cellStyle name="Normal 2 3 4 2 2" xfId="5831" xr:uid="{00000000-0005-0000-0000-0000F2160000}"/>
    <cellStyle name="Normal 2 3 4 2 2 2" xfId="5832" xr:uid="{00000000-0005-0000-0000-0000F3160000}"/>
    <cellStyle name="Normal 2 3 4 2 2 3" xfId="5833" xr:uid="{00000000-0005-0000-0000-0000F4160000}"/>
    <cellStyle name="Normal 2 3 4 3" xfId="5834" xr:uid="{00000000-0005-0000-0000-0000F5160000}"/>
    <cellStyle name="Normal 2 3 4 4" xfId="5835" xr:uid="{00000000-0005-0000-0000-0000F6160000}"/>
    <cellStyle name="Normal 2 3 5" xfId="5836" xr:uid="{00000000-0005-0000-0000-0000F7160000}"/>
    <cellStyle name="Normal 2 3 5 2" xfId="5837" xr:uid="{00000000-0005-0000-0000-0000F8160000}"/>
    <cellStyle name="Normal 2 3 5 2 2" xfId="5838" xr:uid="{00000000-0005-0000-0000-0000F9160000}"/>
    <cellStyle name="Normal 2 3 5 2 2 2" xfId="5839" xr:uid="{00000000-0005-0000-0000-0000FA160000}"/>
    <cellStyle name="Normal 2 3 5 3" xfId="5840" xr:uid="{00000000-0005-0000-0000-0000FB160000}"/>
    <cellStyle name="Normal 2 3 6" xfId="5841" xr:uid="{00000000-0005-0000-0000-0000FC160000}"/>
    <cellStyle name="Normal 2 3 6 2" xfId="5842" xr:uid="{00000000-0005-0000-0000-0000FD160000}"/>
    <cellStyle name="Normal 2 3 7" xfId="5843" xr:uid="{00000000-0005-0000-0000-0000FE160000}"/>
    <cellStyle name="Normal 2 3 8" xfId="5844" xr:uid="{00000000-0005-0000-0000-0000FF160000}"/>
    <cellStyle name="Normal 2 3 9" xfId="5845" xr:uid="{00000000-0005-0000-0000-000000170000}"/>
    <cellStyle name="Normal 2 3 9 2" xfId="5846" xr:uid="{00000000-0005-0000-0000-000001170000}"/>
    <cellStyle name="Normal 2 3 9 2 2" xfId="5847" xr:uid="{00000000-0005-0000-0000-000002170000}"/>
    <cellStyle name="Normal 2 3 9 2 2 2" xfId="5848" xr:uid="{00000000-0005-0000-0000-000003170000}"/>
    <cellStyle name="Normal 2 3 9 2 2 2 2" xfId="5849" xr:uid="{00000000-0005-0000-0000-000004170000}"/>
    <cellStyle name="Normal 2 3 9 2 2 3" xfId="5850" xr:uid="{00000000-0005-0000-0000-000005170000}"/>
    <cellStyle name="Normal 2 3 9 2 3" xfId="5851" xr:uid="{00000000-0005-0000-0000-000006170000}"/>
    <cellStyle name="Normal 2 3 9 2 3 2" xfId="5852" xr:uid="{00000000-0005-0000-0000-000007170000}"/>
    <cellStyle name="Normal 2 3 9 2 3 2 2" xfId="5853" xr:uid="{00000000-0005-0000-0000-000008170000}"/>
    <cellStyle name="Normal 2 3 9 2 3 3" xfId="5854" xr:uid="{00000000-0005-0000-0000-000009170000}"/>
    <cellStyle name="Normal 2 3 9 2 4" xfId="5855" xr:uid="{00000000-0005-0000-0000-00000A170000}"/>
    <cellStyle name="Normal 2 3 9 2 4 2" xfId="5856" xr:uid="{00000000-0005-0000-0000-00000B170000}"/>
    <cellStyle name="Normal 2 3 9 2 5" xfId="5857" xr:uid="{00000000-0005-0000-0000-00000C170000}"/>
    <cellStyle name="Normal 2 3 9 2 6" xfId="5858" xr:uid="{00000000-0005-0000-0000-00000D170000}"/>
    <cellStyle name="Normal 2 3 9 3" xfId="5859" xr:uid="{00000000-0005-0000-0000-00000E170000}"/>
    <cellStyle name="Normal 2 3 9 3 2" xfId="5860" xr:uid="{00000000-0005-0000-0000-00000F170000}"/>
    <cellStyle name="Normal 2 3 9 3 2 2" xfId="5861" xr:uid="{00000000-0005-0000-0000-000010170000}"/>
    <cellStyle name="Normal 2 3 9 3 2 2 2" xfId="5862" xr:uid="{00000000-0005-0000-0000-000011170000}"/>
    <cellStyle name="Normal 2 3 9 3 2 3" xfId="5863" xr:uid="{00000000-0005-0000-0000-000012170000}"/>
    <cellStyle name="Normal 2 3 9 3 3" xfId="5864" xr:uid="{00000000-0005-0000-0000-000013170000}"/>
    <cellStyle name="Normal 2 3 9 3 3 2" xfId="5865" xr:uid="{00000000-0005-0000-0000-000014170000}"/>
    <cellStyle name="Normal 2 3 9 3 4" xfId="5866" xr:uid="{00000000-0005-0000-0000-000015170000}"/>
    <cellStyle name="Normal 2 3 9 3 5" xfId="5867" xr:uid="{00000000-0005-0000-0000-000016170000}"/>
    <cellStyle name="Normal 2 3 9 4" xfId="5868" xr:uid="{00000000-0005-0000-0000-000017170000}"/>
    <cellStyle name="Normal 2 3 9 4 2" xfId="5869" xr:uid="{00000000-0005-0000-0000-000018170000}"/>
    <cellStyle name="Normal 2 3 9 4 2 2" xfId="5870" xr:uid="{00000000-0005-0000-0000-000019170000}"/>
    <cellStyle name="Normal 2 3 9 4 3" xfId="5871" xr:uid="{00000000-0005-0000-0000-00001A170000}"/>
    <cellStyle name="Normal 2 3 9 5" xfId="5872" xr:uid="{00000000-0005-0000-0000-00001B170000}"/>
    <cellStyle name="Normal 2 3 9 5 2" xfId="5873" xr:uid="{00000000-0005-0000-0000-00001C170000}"/>
    <cellStyle name="Normal 2 3 9 5 2 2" xfId="5874" xr:uid="{00000000-0005-0000-0000-00001D170000}"/>
    <cellStyle name="Normal 2 3 9 5 3" xfId="5875" xr:uid="{00000000-0005-0000-0000-00001E170000}"/>
    <cellStyle name="Normal 2 3 9 6" xfId="5876" xr:uid="{00000000-0005-0000-0000-00001F170000}"/>
    <cellStyle name="Normal 2 3 9 6 2" xfId="5877" xr:uid="{00000000-0005-0000-0000-000020170000}"/>
    <cellStyle name="Normal 2 3 9 7" xfId="5878" xr:uid="{00000000-0005-0000-0000-000021170000}"/>
    <cellStyle name="Normal 2 3 9 8" xfId="5879" xr:uid="{00000000-0005-0000-0000-000022170000}"/>
    <cellStyle name="Normal 2 30" xfId="5880" xr:uid="{00000000-0005-0000-0000-000023170000}"/>
    <cellStyle name="Normal 2 30 2" xfId="5881" xr:uid="{00000000-0005-0000-0000-000024170000}"/>
    <cellStyle name="Normal 2 30 3" xfId="5882" xr:uid="{00000000-0005-0000-0000-000025170000}"/>
    <cellStyle name="Normal 2 30 3 2" xfId="5883" xr:uid="{00000000-0005-0000-0000-000026170000}"/>
    <cellStyle name="Normal 2 30 3 2 2" xfId="5884" xr:uid="{00000000-0005-0000-0000-000027170000}"/>
    <cellStyle name="Normal 2 30 3 2 2 2" xfId="5885" xr:uid="{00000000-0005-0000-0000-000028170000}"/>
    <cellStyle name="Normal 2 30 3 2 3" xfId="5886" xr:uid="{00000000-0005-0000-0000-000029170000}"/>
    <cellStyle name="Normal 2 30 3 3" xfId="5887" xr:uid="{00000000-0005-0000-0000-00002A170000}"/>
    <cellStyle name="Normal 2 30 3 3 2" xfId="5888" xr:uid="{00000000-0005-0000-0000-00002B170000}"/>
    <cellStyle name="Normal 2 30 3 3 2 2" xfId="5889" xr:uid="{00000000-0005-0000-0000-00002C170000}"/>
    <cellStyle name="Normal 2 30 3 3 3" xfId="5890" xr:uid="{00000000-0005-0000-0000-00002D170000}"/>
    <cellStyle name="Normal 2 30 3 4" xfId="5891" xr:uid="{00000000-0005-0000-0000-00002E170000}"/>
    <cellStyle name="Normal 2 30 3 4 2" xfId="5892" xr:uid="{00000000-0005-0000-0000-00002F170000}"/>
    <cellStyle name="Normal 2 30 3 5" xfId="5893" xr:uid="{00000000-0005-0000-0000-000030170000}"/>
    <cellStyle name="Normal 2 30 3 6" xfId="5894" xr:uid="{00000000-0005-0000-0000-000031170000}"/>
    <cellStyle name="Normal 2 30 4" xfId="5895" xr:uid="{00000000-0005-0000-0000-000032170000}"/>
    <cellStyle name="Normal 2 30 4 2" xfId="5896" xr:uid="{00000000-0005-0000-0000-000033170000}"/>
    <cellStyle name="Normal 2 30 4 2 2" xfId="5897" xr:uid="{00000000-0005-0000-0000-000034170000}"/>
    <cellStyle name="Normal 2 30 4 2 2 2" xfId="5898" xr:uid="{00000000-0005-0000-0000-000035170000}"/>
    <cellStyle name="Normal 2 30 4 2 3" xfId="5899" xr:uid="{00000000-0005-0000-0000-000036170000}"/>
    <cellStyle name="Normal 2 30 4 3" xfId="5900" xr:uid="{00000000-0005-0000-0000-000037170000}"/>
    <cellStyle name="Normal 2 30 4 3 2" xfId="5901" xr:uid="{00000000-0005-0000-0000-000038170000}"/>
    <cellStyle name="Normal 2 30 4 4" xfId="5902" xr:uid="{00000000-0005-0000-0000-000039170000}"/>
    <cellStyle name="Normal 2 30 4 5" xfId="5903" xr:uid="{00000000-0005-0000-0000-00003A170000}"/>
    <cellStyle name="Normal 2 30 5" xfId="5904" xr:uid="{00000000-0005-0000-0000-00003B170000}"/>
    <cellStyle name="Normal 2 30 5 2" xfId="5905" xr:uid="{00000000-0005-0000-0000-00003C170000}"/>
    <cellStyle name="Normal 2 30 5 2 2" xfId="5906" xr:uid="{00000000-0005-0000-0000-00003D170000}"/>
    <cellStyle name="Normal 2 30 5 3" xfId="5907" xr:uid="{00000000-0005-0000-0000-00003E170000}"/>
    <cellStyle name="Normal 2 30 6" xfId="5908" xr:uid="{00000000-0005-0000-0000-00003F170000}"/>
    <cellStyle name="Normal 2 30 6 2" xfId="5909" xr:uid="{00000000-0005-0000-0000-000040170000}"/>
    <cellStyle name="Normal 2 30 6 2 2" xfId="5910" xr:uid="{00000000-0005-0000-0000-000041170000}"/>
    <cellStyle name="Normal 2 30 6 3" xfId="5911" xr:uid="{00000000-0005-0000-0000-000042170000}"/>
    <cellStyle name="Normal 2 30 7" xfId="5912" xr:uid="{00000000-0005-0000-0000-000043170000}"/>
    <cellStyle name="Normal 2 30 7 2" xfId="5913" xr:uid="{00000000-0005-0000-0000-000044170000}"/>
    <cellStyle name="Normal 2 30 8" xfId="5914" xr:uid="{00000000-0005-0000-0000-000045170000}"/>
    <cellStyle name="Normal 2 30 9" xfId="5915" xr:uid="{00000000-0005-0000-0000-000046170000}"/>
    <cellStyle name="Normal 2 31" xfId="5916" xr:uid="{00000000-0005-0000-0000-000047170000}"/>
    <cellStyle name="Normal 2 31 10" xfId="5917" xr:uid="{00000000-0005-0000-0000-000048170000}"/>
    <cellStyle name="Normal 2 31 2" xfId="5918" xr:uid="{00000000-0005-0000-0000-000049170000}"/>
    <cellStyle name="Normal 2 31 3" xfId="5919" xr:uid="{00000000-0005-0000-0000-00004A170000}"/>
    <cellStyle name="Normal 2 31 4" xfId="5920" xr:uid="{00000000-0005-0000-0000-00004B170000}"/>
    <cellStyle name="Normal 2 31 4 2" xfId="5921" xr:uid="{00000000-0005-0000-0000-00004C170000}"/>
    <cellStyle name="Normal 2 31 4 2 2" xfId="5922" xr:uid="{00000000-0005-0000-0000-00004D170000}"/>
    <cellStyle name="Normal 2 31 4 2 2 2" xfId="5923" xr:uid="{00000000-0005-0000-0000-00004E170000}"/>
    <cellStyle name="Normal 2 31 4 2 3" xfId="5924" xr:uid="{00000000-0005-0000-0000-00004F170000}"/>
    <cellStyle name="Normal 2 31 4 3" xfId="5925" xr:uid="{00000000-0005-0000-0000-000050170000}"/>
    <cellStyle name="Normal 2 31 4 3 2" xfId="5926" xr:uid="{00000000-0005-0000-0000-000051170000}"/>
    <cellStyle name="Normal 2 31 4 3 2 2" xfId="5927" xr:uid="{00000000-0005-0000-0000-000052170000}"/>
    <cellStyle name="Normal 2 31 4 3 3" xfId="5928" xr:uid="{00000000-0005-0000-0000-000053170000}"/>
    <cellStyle name="Normal 2 31 4 4" xfId="5929" xr:uid="{00000000-0005-0000-0000-000054170000}"/>
    <cellStyle name="Normal 2 31 4 4 2" xfId="5930" xr:uid="{00000000-0005-0000-0000-000055170000}"/>
    <cellStyle name="Normal 2 31 4 5" xfId="5931" xr:uid="{00000000-0005-0000-0000-000056170000}"/>
    <cellStyle name="Normal 2 31 4 6" xfId="5932" xr:uid="{00000000-0005-0000-0000-000057170000}"/>
    <cellStyle name="Normal 2 31 5" xfId="5933" xr:uid="{00000000-0005-0000-0000-000058170000}"/>
    <cellStyle name="Normal 2 31 5 2" xfId="5934" xr:uid="{00000000-0005-0000-0000-000059170000}"/>
    <cellStyle name="Normal 2 31 5 2 2" xfId="5935" xr:uid="{00000000-0005-0000-0000-00005A170000}"/>
    <cellStyle name="Normal 2 31 5 2 2 2" xfId="5936" xr:uid="{00000000-0005-0000-0000-00005B170000}"/>
    <cellStyle name="Normal 2 31 5 2 3" xfId="5937" xr:uid="{00000000-0005-0000-0000-00005C170000}"/>
    <cellStyle name="Normal 2 31 5 3" xfId="5938" xr:uid="{00000000-0005-0000-0000-00005D170000}"/>
    <cellStyle name="Normal 2 31 5 3 2" xfId="5939" xr:uid="{00000000-0005-0000-0000-00005E170000}"/>
    <cellStyle name="Normal 2 31 5 4" xfId="5940" xr:uid="{00000000-0005-0000-0000-00005F170000}"/>
    <cellStyle name="Normal 2 31 5 5" xfId="5941" xr:uid="{00000000-0005-0000-0000-000060170000}"/>
    <cellStyle name="Normal 2 31 6" xfId="5942" xr:uid="{00000000-0005-0000-0000-000061170000}"/>
    <cellStyle name="Normal 2 31 6 2" xfId="5943" xr:uid="{00000000-0005-0000-0000-000062170000}"/>
    <cellStyle name="Normal 2 31 6 2 2" xfId="5944" xr:uid="{00000000-0005-0000-0000-000063170000}"/>
    <cellStyle name="Normal 2 31 6 3" xfId="5945" xr:uid="{00000000-0005-0000-0000-000064170000}"/>
    <cellStyle name="Normal 2 31 7" xfId="5946" xr:uid="{00000000-0005-0000-0000-000065170000}"/>
    <cellStyle name="Normal 2 31 7 2" xfId="5947" xr:uid="{00000000-0005-0000-0000-000066170000}"/>
    <cellStyle name="Normal 2 31 7 2 2" xfId="5948" xr:uid="{00000000-0005-0000-0000-000067170000}"/>
    <cellStyle name="Normal 2 31 7 3" xfId="5949" xr:uid="{00000000-0005-0000-0000-000068170000}"/>
    <cellStyle name="Normal 2 31 8" xfId="5950" xr:uid="{00000000-0005-0000-0000-000069170000}"/>
    <cellStyle name="Normal 2 31 8 2" xfId="5951" xr:uid="{00000000-0005-0000-0000-00006A170000}"/>
    <cellStyle name="Normal 2 31 9" xfId="5952" xr:uid="{00000000-0005-0000-0000-00006B170000}"/>
    <cellStyle name="Normal 2 32" xfId="5953" xr:uid="{00000000-0005-0000-0000-00006C170000}"/>
    <cellStyle name="Normal 2 32 2" xfId="5954" xr:uid="{00000000-0005-0000-0000-00006D170000}"/>
    <cellStyle name="Normal 2 32 3" xfId="5955" xr:uid="{00000000-0005-0000-0000-00006E170000}"/>
    <cellStyle name="Normal 2 32 3 2" xfId="5956" xr:uid="{00000000-0005-0000-0000-00006F170000}"/>
    <cellStyle name="Normal 2 32 3 2 2" xfId="5957" xr:uid="{00000000-0005-0000-0000-000070170000}"/>
    <cellStyle name="Normal 2 32 3 2 2 2" xfId="5958" xr:uid="{00000000-0005-0000-0000-000071170000}"/>
    <cellStyle name="Normal 2 32 3 2 3" xfId="5959" xr:uid="{00000000-0005-0000-0000-000072170000}"/>
    <cellStyle name="Normal 2 32 3 3" xfId="5960" xr:uid="{00000000-0005-0000-0000-000073170000}"/>
    <cellStyle name="Normal 2 32 3 3 2" xfId="5961" xr:uid="{00000000-0005-0000-0000-000074170000}"/>
    <cellStyle name="Normal 2 32 3 3 2 2" xfId="5962" xr:uid="{00000000-0005-0000-0000-000075170000}"/>
    <cellStyle name="Normal 2 32 3 3 3" xfId="5963" xr:uid="{00000000-0005-0000-0000-000076170000}"/>
    <cellStyle name="Normal 2 32 3 4" xfId="5964" xr:uid="{00000000-0005-0000-0000-000077170000}"/>
    <cellStyle name="Normal 2 32 3 4 2" xfId="5965" xr:uid="{00000000-0005-0000-0000-000078170000}"/>
    <cellStyle name="Normal 2 32 3 5" xfId="5966" xr:uid="{00000000-0005-0000-0000-000079170000}"/>
    <cellStyle name="Normal 2 32 3 6" xfId="5967" xr:uid="{00000000-0005-0000-0000-00007A170000}"/>
    <cellStyle name="Normal 2 32 4" xfId="5968" xr:uid="{00000000-0005-0000-0000-00007B170000}"/>
    <cellStyle name="Normal 2 32 4 2" xfId="5969" xr:uid="{00000000-0005-0000-0000-00007C170000}"/>
    <cellStyle name="Normal 2 32 4 2 2" xfId="5970" xr:uid="{00000000-0005-0000-0000-00007D170000}"/>
    <cellStyle name="Normal 2 32 4 2 2 2" xfId="5971" xr:uid="{00000000-0005-0000-0000-00007E170000}"/>
    <cellStyle name="Normal 2 32 4 2 3" xfId="5972" xr:uid="{00000000-0005-0000-0000-00007F170000}"/>
    <cellStyle name="Normal 2 32 4 3" xfId="5973" xr:uid="{00000000-0005-0000-0000-000080170000}"/>
    <cellStyle name="Normal 2 32 4 3 2" xfId="5974" xr:uid="{00000000-0005-0000-0000-000081170000}"/>
    <cellStyle name="Normal 2 32 4 4" xfId="5975" xr:uid="{00000000-0005-0000-0000-000082170000}"/>
    <cellStyle name="Normal 2 32 4 5" xfId="5976" xr:uid="{00000000-0005-0000-0000-000083170000}"/>
    <cellStyle name="Normal 2 32 5" xfId="5977" xr:uid="{00000000-0005-0000-0000-000084170000}"/>
    <cellStyle name="Normal 2 32 5 2" xfId="5978" xr:uid="{00000000-0005-0000-0000-000085170000}"/>
    <cellStyle name="Normal 2 32 5 2 2" xfId="5979" xr:uid="{00000000-0005-0000-0000-000086170000}"/>
    <cellStyle name="Normal 2 32 5 3" xfId="5980" xr:uid="{00000000-0005-0000-0000-000087170000}"/>
    <cellStyle name="Normal 2 32 6" xfId="5981" xr:uid="{00000000-0005-0000-0000-000088170000}"/>
    <cellStyle name="Normal 2 32 6 2" xfId="5982" xr:uid="{00000000-0005-0000-0000-000089170000}"/>
    <cellStyle name="Normal 2 32 6 2 2" xfId="5983" xr:uid="{00000000-0005-0000-0000-00008A170000}"/>
    <cellStyle name="Normal 2 32 6 3" xfId="5984" xr:uid="{00000000-0005-0000-0000-00008B170000}"/>
    <cellStyle name="Normal 2 32 7" xfId="5985" xr:uid="{00000000-0005-0000-0000-00008C170000}"/>
    <cellStyle name="Normal 2 32 7 2" xfId="5986" xr:uid="{00000000-0005-0000-0000-00008D170000}"/>
    <cellStyle name="Normal 2 32 8" xfId="5987" xr:uid="{00000000-0005-0000-0000-00008E170000}"/>
    <cellStyle name="Normal 2 32 9" xfId="5988" xr:uid="{00000000-0005-0000-0000-00008F170000}"/>
    <cellStyle name="Normal 2 33" xfId="5989" xr:uid="{00000000-0005-0000-0000-000090170000}"/>
    <cellStyle name="Normal 2 33 2" xfId="5990" xr:uid="{00000000-0005-0000-0000-000091170000}"/>
    <cellStyle name="Normal 2 33 3" xfId="5991" xr:uid="{00000000-0005-0000-0000-000092170000}"/>
    <cellStyle name="Normal 2 33 3 2" xfId="5992" xr:uid="{00000000-0005-0000-0000-000093170000}"/>
    <cellStyle name="Normal 2 33 3 2 2" xfId="5993" xr:uid="{00000000-0005-0000-0000-000094170000}"/>
    <cellStyle name="Normal 2 33 3 2 2 2" xfId="5994" xr:uid="{00000000-0005-0000-0000-000095170000}"/>
    <cellStyle name="Normal 2 33 3 2 3" xfId="5995" xr:uid="{00000000-0005-0000-0000-000096170000}"/>
    <cellStyle name="Normal 2 33 3 3" xfId="5996" xr:uid="{00000000-0005-0000-0000-000097170000}"/>
    <cellStyle name="Normal 2 33 3 3 2" xfId="5997" xr:uid="{00000000-0005-0000-0000-000098170000}"/>
    <cellStyle name="Normal 2 33 3 3 2 2" xfId="5998" xr:uid="{00000000-0005-0000-0000-000099170000}"/>
    <cellStyle name="Normal 2 33 3 3 3" xfId="5999" xr:uid="{00000000-0005-0000-0000-00009A170000}"/>
    <cellStyle name="Normal 2 33 3 4" xfId="6000" xr:uid="{00000000-0005-0000-0000-00009B170000}"/>
    <cellStyle name="Normal 2 33 3 4 2" xfId="6001" xr:uid="{00000000-0005-0000-0000-00009C170000}"/>
    <cellStyle name="Normal 2 33 3 5" xfId="6002" xr:uid="{00000000-0005-0000-0000-00009D170000}"/>
    <cellStyle name="Normal 2 33 3 6" xfId="6003" xr:uid="{00000000-0005-0000-0000-00009E170000}"/>
    <cellStyle name="Normal 2 33 4" xfId="6004" xr:uid="{00000000-0005-0000-0000-00009F170000}"/>
    <cellStyle name="Normal 2 33 4 2" xfId="6005" xr:uid="{00000000-0005-0000-0000-0000A0170000}"/>
    <cellStyle name="Normal 2 33 4 2 2" xfId="6006" xr:uid="{00000000-0005-0000-0000-0000A1170000}"/>
    <cellStyle name="Normal 2 33 4 2 2 2" xfId="6007" xr:uid="{00000000-0005-0000-0000-0000A2170000}"/>
    <cellStyle name="Normal 2 33 4 2 3" xfId="6008" xr:uid="{00000000-0005-0000-0000-0000A3170000}"/>
    <cellStyle name="Normal 2 33 4 3" xfId="6009" xr:uid="{00000000-0005-0000-0000-0000A4170000}"/>
    <cellStyle name="Normal 2 33 4 3 2" xfId="6010" xr:uid="{00000000-0005-0000-0000-0000A5170000}"/>
    <cellStyle name="Normal 2 33 4 4" xfId="6011" xr:uid="{00000000-0005-0000-0000-0000A6170000}"/>
    <cellStyle name="Normal 2 33 4 5" xfId="6012" xr:uid="{00000000-0005-0000-0000-0000A7170000}"/>
    <cellStyle name="Normal 2 33 5" xfId="6013" xr:uid="{00000000-0005-0000-0000-0000A8170000}"/>
    <cellStyle name="Normal 2 33 5 2" xfId="6014" xr:uid="{00000000-0005-0000-0000-0000A9170000}"/>
    <cellStyle name="Normal 2 33 5 2 2" xfId="6015" xr:uid="{00000000-0005-0000-0000-0000AA170000}"/>
    <cellStyle name="Normal 2 33 5 3" xfId="6016" xr:uid="{00000000-0005-0000-0000-0000AB170000}"/>
    <cellStyle name="Normal 2 33 6" xfId="6017" xr:uid="{00000000-0005-0000-0000-0000AC170000}"/>
    <cellStyle name="Normal 2 33 6 2" xfId="6018" xr:uid="{00000000-0005-0000-0000-0000AD170000}"/>
    <cellStyle name="Normal 2 33 6 2 2" xfId="6019" xr:uid="{00000000-0005-0000-0000-0000AE170000}"/>
    <cellStyle name="Normal 2 33 6 3" xfId="6020" xr:uid="{00000000-0005-0000-0000-0000AF170000}"/>
    <cellStyle name="Normal 2 33 7" xfId="6021" xr:uid="{00000000-0005-0000-0000-0000B0170000}"/>
    <cellStyle name="Normal 2 33 7 2" xfId="6022" xr:uid="{00000000-0005-0000-0000-0000B1170000}"/>
    <cellStyle name="Normal 2 33 8" xfId="6023" xr:uid="{00000000-0005-0000-0000-0000B2170000}"/>
    <cellStyle name="Normal 2 33 9" xfId="6024" xr:uid="{00000000-0005-0000-0000-0000B3170000}"/>
    <cellStyle name="Normal 2 34" xfId="6025" xr:uid="{00000000-0005-0000-0000-0000B4170000}"/>
    <cellStyle name="Normal 2 34 2" xfId="6026" xr:uid="{00000000-0005-0000-0000-0000B5170000}"/>
    <cellStyle name="Normal 2 34 3" xfId="6027" xr:uid="{00000000-0005-0000-0000-0000B6170000}"/>
    <cellStyle name="Normal 2 34 3 2" xfId="6028" xr:uid="{00000000-0005-0000-0000-0000B7170000}"/>
    <cellStyle name="Normal 2 34 3 2 2" xfId="6029" xr:uid="{00000000-0005-0000-0000-0000B8170000}"/>
    <cellStyle name="Normal 2 34 3 2 2 2" xfId="6030" xr:uid="{00000000-0005-0000-0000-0000B9170000}"/>
    <cellStyle name="Normal 2 34 3 2 3" xfId="6031" xr:uid="{00000000-0005-0000-0000-0000BA170000}"/>
    <cellStyle name="Normal 2 34 3 3" xfId="6032" xr:uid="{00000000-0005-0000-0000-0000BB170000}"/>
    <cellStyle name="Normal 2 34 3 3 2" xfId="6033" xr:uid="{00000000-0005-0000-0000-0000BC170000}"/>
    <cellStyle name="Normal 2 34 3 3 2 2" xfId="6034" xr:uid="{00000000-0005-0000-0000-0000BD170000}"/>
    <cellStyle name="Normal 2 34 3 3 3" xfId="6035" xr:uid="{00000000-0005-0000-0000-0000BE170000}"/>
    <cellStyle name="Normal 2 34 3 4" xfId="6036" xr:uid="{00000000-0005-0000-0000-0000BF170000}"/>
    <cellStyle name="Normal 2 34 3 4 2" xfId="6037" xr:uid="{00000000-0005-0000-0000-0000C0170000}"/>
    <cellStyle name="Normal 2 34 3 5" xfId="6038" xr:uid="{00000000-0005-0000-0000-0000C1170000}"/>
    <cellStyle name="Normal 2 34 3 6" xfId="6039" xr:uid="{00000000-0005-0000-0000-0000C2170000}"/>
    <cellStyle name="Normal 2 34 4" xfId="6040" xr:uid="{00000000-0005-0000-0000-0000C3170000}"/>
    <cellStyle name="Normal 2 34 4 2" xfId="6041" xr:uid="{00000000-0005-0000-0000-0000C4170000}"/>
    <cellStyle name="Normal 2 34 4 2 2" xfId="6042" xr:uid="{00000000-0005-0000-0000-0000C5170000}"/>
    <cellStyle name="Normal 2 34 4 2 2 2" xfId="6043" xr:uid="{00000000-0005-0000-0000-0000C6170000}"/>
    <cellStyle name="Normal 2 34 4 2 3" xfId="6044" xr:uid="{00000000-0005-0000-0000-0000C7170000}"/>
    <cellStyle name="Normal 2 34 4 3" xfId="6045" xr:uid="{00000000-0005-0000-0000-0000C8170000}"/>
    <cellStyle name="Normal 2 34 4 3 2" xfId="6046" xr:uid="{00000000-0005-0000-0000-0000C9170000}"/>
    <cellStyle name="Normal 2 34 4 4" xfId="6047" xr:uid="{00000000-0005-0000-0000-0000CA170000}"/>
    <cellStyle name="Normal 2 34 4 5" xfId="6048" xr:uid="{00000000-0005-0000-0000-0000CB170000}"/>
    <cellStyle name="Normal 2 34 5" xfId="6049" xr:uid="{00000000-0005-0000-0000-0000CC170000}"/>
    <cellStyle name="Normal 2 34 5 2" xfId="6050" xr:uid="{00000000-0005-0000-0000-0000CD170000}"/>
    <cellStyle name="Normal 2 34 5 2 2" xfId="6051" xr:uid="{00000000-0005-0000-0000-0000CE170000}"/>
    <cellStyle name="Normal 2 34 5 3" xfId="6052" xr:uid="{00000000-0005-0000-0000-0000CF170000}"/>
    <cellStyle name="Normal 2 34 6" xfId="6053" xr:uid="{00000000-0005-0000-0000-0000D0170000}"/>
    <cellStyle name="Normal 2 34 6 2" xfId="6054" xr:uid="{00000000-0005-0000-0000-0000D1170000}"/>
    <cellStyle name="Normal 2 34 6 2 2" xfId="6055" xr:uid="{00000000-0005-0000-0000-0000D2170000}"/>
    <cellStyle name="Normal 2 34 6 3" xfId="6056" xr:uid="{00000000-0005-0000-0000-0000D3170000}"/>
    <cellStyle name="Normal 2 34 7" xfId="6057" xr:uid="{00000000-0005-0000-0000-0000D4170000}"/>
    <cellStyle name="Normal 2 34 7 2" xfId="6058" xr:uid="{00000000-0005-0000-0000-0000D5170000}"/>
    <cellStyle name="Normal 2 34 8" xfId="6059" xr:uid="{00000000-0005-0000-0000-0000D6170000}"/>
    <cellStyle name="Normal 2 34 9" xfId="6060" xr:uid="{00000000-0005-0000-0000-0000D7170000}"/>
    <cellStyle name="Normal 2 35" xfId="6061" xr:uid="{00000000-0005-0000-0000-0000D8170000}"/>
    <cellStyle name="Normal 2 35 2" xfId="6062" xr:uid="{00000000-0005-0000-0000-0000D9170000}"/>
    <cellStyle name="Normal 2 35 3" xfId="6063" xr:uid="{00000000-0005-0000-0000-0000DA170000}"/>
    <cellStyle name="Normal 2 35 3 2" xfId="6064" xr:uid="{00000000-0005-0000-0000-0000DB170000}"/>
    <cellStyle name="Normal 2 35 3 2 2" xfId="6065" xr:uid="{00000000-0005-0000-0000-0000DC170000}"/>
    <cellStyle name="Normal 2 35 3 2 2 2" xfId="6066" xr:uid="{00000000-0005-0000-0000-0000DD170000}"/>
    <cellStyle name="Normal 2 35 3 2 3" xfId="6067" xr:uid="{00000000-0005-0000-0000-0000DE170000}"/>
    <cellStyle name="Normal 2 35 3 3" xfId="6068" xr:uid="{00000000-0005-0000-0000-0000DF170000}"/>
    <cellStyle name="Normal 2 35 3 3 2" xfId="6069" xr:uid="{00000000-0005-0000-0000-0000E0170000}"/>
    <cellStyle name="Normal 2 35 3 3 2 2" xfId="6070" xr:uid="{00000000-0005-0000-0000-0000E1170000}"/>
    <cellStyle name="Normal 2 35 3 3 3" xfId="6071" xr:uid="{00000000-0005-0000-0000-0000E2170000}"/>
    <cellStyle name="Normal 2 35 3 4" xfId="6072" xr:uid="{00000000-0005-0000-0000-0000E3170000}"/>
    <cellStyle name="Normal 2 35 3 4 2" xfId="6073" xr:uid="{00000000-0005-0000-0000-0000E4170000}"/>
    <cellStyle name="Normal 2 35 3 5" xfId="6074" xr:uid="{00000000-0005-0000-0000-0000E5170000}"/>
    <cellStyle name="Normal 2 35 3 6" xfId="6075" xr:uid="{00000000-0005-0000-0000-0000E6170000}"/>
    <cellStyle name="Normal 2 35 4" xfId="6076" xr:uid="{00000000-0005-0000-0000-0000E7170000}"/>
    <cellStyle name="Normal 2 35 4 2" xfId="6077" xr:uid="{00000000-0005-0000-0000-0000E8170000}"/>
    <cellStyle name="Normal 2 35 4 2 2" xfId="6078" xr:uid="{00000000-0005-0000-0000-0000E9170000}"/>
    <cellStyle name="Normal 2 35 4 2 2 2" xfId="6079" xr:uid="{00000000-0005-0000-0000-0000EA170000}"/>
    <cellStyle name="Normal 2 35 4 2 3" xfId="6080" xr:uid="{00000000-0005-0000-0000-0000EB170000}"/>
    <cellStyle name="Normal 2 35 4 3" xfId="6081" xr:uid="{00000000-0005-0000-0000-0000EC170000}"/>
    <cellStyle name="Normal 2 35 4 3 2" xfId="6082" xr:uid="{00000000-0005-0000-0000-0000ED170000}"/>
    <cellStyle name="Normal 2 35 4 4" xfId="6083" xr:uid="{00000000-0005-0000-0000-0000EE170000}"/>
    <cellStyle name="Normal 2 35 4 5" xfId="6084" xr:uid="{00000000-0005-0000-0000-0000EF170000}"/>
    <cellStyle name="Normal 2 35 5" xfId="6085" xr:uid="{00000000-0005-0000-0000-0000F0170000}"/>
    <cellStyle name="Normal 2 35 5 2" xfId="6086" xr:uid="{00000000-0005-0000-0000-0000F1170000}"/>
    <cellStyle name="Normal 2 35 5 2 2" xfId="6087" xr:uid="{00000000-0005-0000-0000-0000F2170000}"/>
    <cellStyle name="Normal 2 35 5 3" xfId="6088" xr:uid="{00000000-0005-0000-0000-0000F3170000}"/>
    <cellStyle name="Normal 2 35 6" xfId="6089" xr:uid="{00000000-0005-0000-0000-0000F4170000}"/>
    <cellStyle name="Normal 2 35 6 2" xfId="6090" xr:uid="{00000000-0005-0000-0000-0000F5170000}"/>
    <cellStyle name="Normal 2 35 6 2 2" xfId="6091" xr:uid="{00000000-0005-0000-0000-0000F6170000}"/>
    <cellStyle name="Normal 2 35 6 3" xfId="6092" xr:uid="{00000000-0005-0000-0000-0000F7170000}"/>
    <cellStyle name="Normal 2 35 7" xfId="6093" xr:uid="{00000000-0005-0000-0000-0000F8170000}"/>
    <cellStyle name="Normal 2 35 7 2" xfId="6094" xr:uid="{00000000-0005-0000-0000-0000F9170000}"/>
    <cellStyle name="Normal 2 35 8" xfId="6095" xr:uid="{00000000-0005-0000-0000-0000FA170000}"/>
    <cellStyle name="Normal 2 35 9" xfId="6096" xr:uid="{00000000-0005-0000-0000-0000FB170000}"/>
    <cellStyle name="Normal 2 36" xfId="6097" xr:uid="{00000000-0005-0000-0000-0000FC170000}"/>
    <cellStyle name="Normal 2 36 2" xfId="6098" xr:uid="{00000000-0005-0000-0000-0000FD170000}"/>
    <cellStyle name="Normal 2 36 3" xfId="6099" xr:uid="{00000000-0005-0000-0000-0000FE170000}"/>
    <cellStyle name="Normal 2 36 3 2" xfId="6100" xr:uid="{00000000-0005-0000-0000-0000FF170000}"/>
    <cellStyle name="Normal 2 36 3 2 2" xfId="6101" xr:uid="{00000000-0005-0000-0000-000000180000}"/>
    <cellStyle name="Normal 2 36 3 2 2 2" xfId="6102" xr:uid="{00000000-0005-0000-0000-000001180000}"/>
    <cellStyle name="Normal 2 36 3 2 3" xfId="6103" xr:uid="{00000000-0005-0000-0000-000002180000}"/>
    <cellStyle name="Normal 2 36 3 3" xfId="6104" xr:uid="{00000000-0005-0000-0000-000003180000}"/>
    <cellStyle name="Normal 2 36 3 3 2" xfId="6105" xr:uid="{00000000-0005-0000-0000-000004180000}"/>
    <cellStyle name="Normal 2 36 3 3 2 2" xfId="6106" xr:uid="{00000000-0005-0000-0000-000005180000}"/>
    <cellStyle name="Normal 2 36 3 3 3" xfId="6107" xr:uid="{00000000-0005-0000-0000-000006180000}"/>
    <cellStyle name="Normal 2 36 3 4" xfId="6108" xr:uid="{00000000-0005-0000-0000-000007180000}"/>
    <cellStyle name="Normal 2 36 3 4 2" xfId="6109" xr:uid="{00000000-0005-0000-0000-000008180000}"/>
    <cellStyle name="Normal 2 36 3 5" xfId="6110" xr:uid="{00000000-0005-0000-0000-000009180000}"/>
    <cellStyle name="Normal 2 36 3 6" xfId="6111" xr:uid="{00000000-0005-0000-0000-00000A180000}"/>
    <cellStyle name="Normal 2 36 4" xfId="6112" xr:uid="{00000000-0005-0000-0000-00000B180000}"/>
    <cellStyle name="Normal 2 36 4 2" xfId="6113" xr:uid="{00000000-0005-0000-0000-00000C180000}"/>
    <cellStyle name="Normal 2 36 4 2 2" xfId="6114" xr:uid="{00000000-0005-0000-0000-00000D180000}"/>
    <cellStyle name="Normal 2 36 4 2 2 2" xfId="6115" xr:uid="{00000000-0005-0000-0000-00000E180000}"/>
    <cellStyle name="Normal 2 36 4 2 3" xfId="6116" xr:uid="{00000000-0005-0000-0000-00000F180000}"/>
    <cellStyle name="Normal 2 36 4 3" xfId="6117" xr:uid="{00000000-0005-0000-0000-000010180000}"/>
    <cellStyle name="Normal 2 36 4 3 2" xfId="6118" xr:uid="{00000000-0005-0000-0000-000011180000}"/>
    <cellStyle name="Normal 2 36 4 4" xfId="6119" xr:uid="{00000000-0005-0000-0000-000012180000}"/>
    <cellStyle name="Normal 2 36 4 5" xfId="6120" xr:uid="{00000000-0005-0000-0000-000013180000}"/>
    <cellStyle name="Normal 2 36 5" xfId="6121" xr:uid="{00000000-0005-0000-0000-000014180000}"/>
    <cellStyle name="Normal 2 36 5 2" xfId="6122" xr:uid="{00000000-0005-0000-0000-000015180000}"/>
    <cellStyle name="Normal 2 36 5 2 2" xfId="6123" xr:uid="{00000000-0005-0000-0000-000016180000}"/>
    <cellStyle name="Normal 2 36 5 3" xfId="6124" xr:uid="{00000000-0005-0000-0000-000017180000}"/>
    <cellStyle name="Normal 2 36 6" xfId="6125" xr:uid="{00000000-0005-0000-0000-000018180000}"/>
    <cellStyle name="Normal 2 36 6 2" xfId="6126" xr:uid="{00000000-0005-0000-0000-000019180000}"/>
    <cellStyle name="Normal 2 36 6 2 2" xfId="6127" xr:uid="{00000000-0005-0000-0000-00001A180000}"/>
    <cellStyle name="Normal 2 36 6 3" xfId="6128" xr:uid="{00000000-0005-0000-0000-00001B180000}"/>
    <cellStyle name="Normal 2 36 7" xfId="6129" xr:uid="{00000000-0005-0000-0000-00001C180000}"/>
    <cellStyle name="Normal 2 36 7 2" xfId="6130" xr:uid="{00000000-0005-0000-0000-00001D180000}"/>
    <cellStyle name="Normal 2 36 8" xfId="6131" xr:uid="{00000000-0005-0000-0000-00001E180000}"/>
    <cellStyle name="Normal 2 36 9" xfId="6132" xr:uid="{00000000-0005-0000-0000-00001F180000}"/>
    <cellStyle name="Normal 2 37" xfId="6133" xr:uid="{00000000-0005-0000-0000-000020180000}"/>
    <cellStyle name="Normal 2 37 2" xfId="6134" xr:uid="{00000000-0005-0000-0000-000021180000}"/>
    <cellStyle name="Normal 2 37 3" xfId="6135" xr:uid="{00000000-0005-0000-0000-000022180000}"/>
    <cellStyle name="Normal 2 37 3 2" xfId="6136" xr:uid="{00000000-0005-0000-0000-000023180000}"/>
    <cellStyle name="Normal 2 37 3 2 2" xfId="6137" xr:uid="{00000000-0005-0000-0000-000024180000}"/>
    <cellStyle name="Normal 2 37 3 2 2 2" xfId="6138" xr:uid="{00000000-0005-0000-0000-000025180000}"/>
    <cellStyle name="Normal 2 37 3 2 3" xfId="6139" xr:uid="{00000000-0005-0000-0000-000026180000}"/>
    <cellStyle name="Normal 2 37 3 3" xfId="6140" xr:uid="{00000000-0005-0000-0000-000027180000}"/>
    <cellStyle name="Normal 2 37 3 3 2" xfId="6141" xr:uid="{00000000-0005-0000-0000-000028180000}"/>
    <cellStyle name="Normal 2 37 3 3 2 2" xfId="6142" xr:uid="{00000000-0005-0000-0000-000029180000}"/>
    <cellStyle name="Normal 2 37 3 3 3" xfId="6143" xr:uid="{00000000-0005-0000-0000-00002A180000}"/>
    <cellStyle name="Normal 2 37 3 4" xfId="6144" xr:uid="{00000000-0005-0000-0000-00002B180000}"/>
    <cellStyle name="Normal 2 37 3 4 2" xfId="6145" xr:uid="{00000000-0005-0000-0000-00002C180000}"/>
    <cellStyle name="Normal 2 37 3 5" xfId="6146" xr:uid="{00000000-0005-0000-0000-00002D180000}"/>
    <cellStyle name="Normal 2 37 3 6" xfId="6147" xr:uid="{00000000-0005-0000-0000-00002E180000}"/>
    <cellStyle name="Normal 2 37 4" xfId="6148" xr:uid="{00000000-0005-0000-0000-00002F180000}"/>
    <cellStyle name="Normal 2 37 4 2" xfId="6149" xr:uid="{00000000-0005-0000-0000-000030180000}"/>
    <cellStyle name="Normal 2 37 4 2 2" xfId="6150" xr:uid="{00000000-0005-0000-0000-000031180000}"/>
    <cellStyle name="Normal 2 37 4 2 2 2" xfId="6151" xr:uid="{00000000-0005-0000-0000-000032180000}"/>
    <cellStyle name="Normal 2 37 4 2 3" xfId="6152" xr:uid="{00000000-0005-0000-0000-000033180000}"/>
    <cellStyle name="Normal 2 37 4 3" xfId="6153" xr:uid="{00000000-0005-0000-0000-000034180000}"/>
    <cellStyle name="Normal 2 37 4 3 2" xfId="6154" xr:uid="{00000000-0005-0000-0000-000035180000}"/>
    <cellStyle name="Normal 2 37 4 4" xfId="6155" xr:uid="{00000000-0005-0000-0000-000036180000}"/>
    <cellStyle name="Normal 2 37 4 5" xfId="6156" xr:uid="{00000000-0005-0000-0000-000037180000}"/>
    <cellStyle name="Normal 2 37 5" xfId="6157" xr:uid="{00000000-0005-0000-0000-000038180000}"/>
    <cellStyle name="Normal 2 37 5 2" xfId="6158" xr:uid="{00000000-0005-0000-0000-000039180000}"/>
    <cellStyle name="Normal 2 37 5 2 2" xfId="6159" xr:uid="{00000000-0005-0000-0000-00003A180000}"/>
    <cellStyle name="Normal 2 37 5 3" xfId="6160" xr:uid="{00000000-0005-0000-0000-00003B180000}"/>
    <cellStyle name="Normal 2 37 6" xfId="6161" xr:uid="{00000000-0005-0000-0000-00003C180000}"/>
    <cellStyle name="Normal 2 37 6 2" xfId="6162" xr:uid="{00000000-0005-0000-0000-00003D180000}"/>
    <cellStyle name="Normal 2 37 6 2 2" xfId="6163" xr:uid="{00000000-0005-0000-0000-00003E180000}"/>
    <cellStyle name="Normal 2 37 6 3" xfId="6164" xr:uid="{00000000-0005-0000-0000-00003F180000}"/>
    <cellStyle name="Normal 2 37 7" xfId="6165" xr:uid="{00000000-0005-0000-0000-000040180000}"/>
    <cellStyle name="Normal 2 37 7 2" xfId="6166" xr:uid="{00000000-0005-0000-0000-000041180000}"/>
    <cellStyle name="Normal 2 37 8" xfId="6167" xr:uid="{00000000-0005-0000-0000-000042180000}"/>
    <cellStyle name="Normal 2 37 9" xfId="6168" xr:uid="{00000000-0005-0000-0000-000043180000}"/>
    <cellStyle name="Normal 2 38" xfId="6169" xr:uid="{00000000-0005-0000-0000-000044180000}"/>
    <cellStyle name="Normal 2 38 2" xfId="6170" xr:uid="{00000000-0005-0000-0000-000045180000}"/>
    <cellStyle name="Normal 2 38 3" xfId="6171" xr:uid="{00000000-0005-0000-0000-000046180000}"/>
    <cellStyle name="Normal 2 38 3 2" xfId="6172" xr:uid="{00000000-0005-0000-0000-000047180000}"/>
    <cellStyle name="Normal 2 38 3 2 2" xfId="6173" xr:uid="{00000000-0005-0000-0000-000048180000}"/>
    <cellStyle name="Normal 2 38 3 2 2 2" xfId="6174" xr:uid="{00000000-0005-0000-0000-000049180000}"/>
    <cellStyle name="Normal 2 38 3 2 3" xfId="6175" xr:uid="{00000000-0005-0000-0000-00004A180000}"/>
    <cellStyle name="Normal 2 38 3 3" xfId="6176" xr:uid="{00000000-0005-0000-0000-00004B180000}"/>
    <cellStyle name="Normal 2 38 3 3 2" xfId="6177" xr:uid="{00000000-0005-0000-0000-00004C180000}"/>
    <cellStyle name="Normal 2 38 3 3 2 2" xfId="6178" xr:uid="{00000000-0005-0000-0000-00004D180000}"/>
    <cellStyle name="Normal 2 38 3 3 3" xfId="6179" xr:uid="{00000000-0005-0000-0000-00004E180000}"/>
    <cellStyle name="Normal 2 38 3 4" xfId="6180" xr:uid="{00000000-0005-0000-0000-00004F180000}"/>
    <cellStyle name="Normal 2 38 3 4 2" xfId="6181" xr:uid="{00000000-0005-0000-0000-000050180000}"/>
    <cellStyle name="Normal 2 38 3 5" xfId="6182" xr:uid="{00000000-0005-0000-0000-000051180000}"/>
    <cellStyle name="Normal 2 38 3 6" xfId="6183" xr:uid="{00000000-0005-0000-0000-000052180000}"/>
    <cellStyle name="Normal 2 38 4" xfId="6184" xr:uid="{00000000-0005-0000-0000-000053180000}"/>
    <cellStyle name="Normal 2 38 4 2" xfId="6185" xr:uid="{00000000-0005-0000-0000-000054180000}"/>
    <cellStyle name="Normal 2 38 4 2 2" xfId="6186" xr:uid="{00000000-0005-0000-0000-000055180000}"/>
    <cellStyle name="Normal 2 38 4 2 2 2" xfId="6187" xr:uid="{00000000-0005-0000-0000-000056180000}"/>
    <cellStyle name="Normal 2 38 4 2 3" xfId="6188" xr:uid="{00000000-0005-0000-0000-000057180000}"/>
    <cellStyle name="Normal 2 38 4 3" xfId="6189" xr:uid="{00000000-0005-0000-0000-000058180000}"/>
    <cellStyle name="Normal 2 38 4 3 2" xfId="6190" xr:uid="{00000000-0005-0000-0000-000059180000}"/>
    <cellStyle name="Normal 2 38 4 4" xfId="6191" xr:uid="{00000000-0005-0000-0000-00005A180000}"/>
    <cellStyle name="Normal 2 38 4 5" xfId="6192" xr:uid="{00000000-0005-0000-0000-00005B180000}"/>
    <cellStyle name="Normal 2 38 5" xfId="6193" xr:uid="{00000000-0005-0000-0000-00005C180000}"/>
    <cellStyle name="Normal 2 38 5 2" xfId="6194" xr:uid="{00000000-0005-0000-0000-00005D180000}"/>
    <cellStyle name="Normal 2 38 5 2 2" xfId="6195" xr:uid="{00000000-0005-0000-0000-00005E180000}"/>
    <cellStyle name="Normal 2 38 5 3" xfId="6196" xr:uid="{00000000-0005-0000-0000-00005F180000}"/>
    <cellStyle name="Normal 2 38 6" xfId="6197" xr:uid="{00000000-0005-0000-0000-000060180000}"/>
    <cellStyle name="Normal 2 38 6 2" xfId="6198" xr:uid="{00000000-0005-0000-0000-000061180000}"/>
    <cellStyle name="Normal 2 38 6 2 2" xfId="6199" xr:uid="{00000000-0005-0000-0000-000062180000}"/>
    <cellStyle name="Normal 2 38 6 3" xfId="6200" xr:uid="{00000000-0005-0000-0000-000063180000}"/>
    <cellStyle name="Normal 2 38 7" xfId="6201" xr:uid="{00000000-0005-0000-0000-000064180000}"/>
    <cellStyle name="Normal 2 38 7 2" xfId="6202" xr:uid="{00000000-0005-0000-0000-000065180000}"/>
    <cellStyle name="Normal 2 38 8" xfId="6203" xr:uid="{00000000-0005-0000-0000-000066180000}"/>
    <cellStyle name="Normal 2 38 9" xfId="6204" xr:uid="{00000000-0005-0000-0000-000067180000}"/>
    <cellStyle name="Normal 2 39" xfId="6205" xr:uid="{00000000-0005-0000-0000-000068180000}"/>
    <cellStyle name="Normal 2 39 2" xfId="6206" xr:uid="{00000000-0005-0000-0000-000069180000}"/>
    <cellStyle name="Normal 2 39 3" xfId="6207" xr:uid="{00000000-0005-0000-0000-00006A180000}"/>
    <cellStyle name="Normal 2 39 3 2" xfId="6208" xr:uid="{00000000-0005-0000-0000-00006B180000}"/>
    <cellStyle name="Normal 2 39 3 2 2" xfId="6209" xr:uid="{00000000-0005-0000-0000-00006C180000}"/>
    <cellStyle name="Normal 2 39 3 2 2 2" xfId="6210" xr:uid="{00000000-0005-0000-0000-00006D180000}"/>
    <cellStyle name="Normal 2 39 3 2 3" xfId="6211" xr:uid="{00000000-0005-0000-0000-00006E180000}"/>
    <cellStyle name="Normal 2 39 3 3" xfId="6212" xr:uid="{00000000-0005-0000-0000-00006F180000}"/>
    <cellStyle name="Normal 2 39 3 3 2" xfId="6213" xr:uid="{00000000-0005-0000-0000-000070180000}"/>
    <cellStyle name="Normal 2 39 3 3 2 2" xfId="6214" xr:uid="{00000000-0005-0000-0000-000071180000}"/>
    <cellStyle name="Normal 2 39 3 3 3" xfId="6215" xr:uid="{00000000-0005-0000-0000-000072180000}"/>
    <cellStyle name="Normal 2 39 3 4" xfId="6216" xr:uid="{00000000-0005-0000-0000-000073180000}"/>
    <cellStyle name="Normal 2 39 3 4 2" xfId="6217" xr:uid="{00000000-0005-0000-0000-000074180000}"/>
    <cellStyle name="Normal 2 39 3 5" xfId="6218" xr:uid="{00000000-0005-0000-0000-000075180000}"/>
    <cellStyle name="Normal 2 39 3 6" xfId="6219" xr:uid="{00000000-0005-0000-0000-000076180000}"/>
    <cellStyle name="Normal 2 39 4" xfId="6220" xr:uid="{00000000-0005-0000-0000-000077180000}"/>
    <cellStyle name="Normal 2 39 4 2" xfId="6221" xr:uid="{00000000-0005-0000-0000-000078180000}"/>
    <cellStyle name="Normal 2 39 4 2 2" xfId="6222" xr:uid="{00000000-0005-0000-0000-000079180000}"/>
    <cellStyle name="Normal 2 39 4 2 2 2" xfId="6223" xr:uid="{00000000-0005-0000-0000-00007A180000}"/>
    <cellStyle name="Normal 2 39 4 2 3" xfId="6224" xr:uid="{00000000-0005-0000-0000-00007B180000}"/>
    <cellStyle name="Normal 2 39 4 3" xfId="6225" xr:uid="{00000000-0005-0000-0000-00007C180000}"/>
    <cellStyle name="Normal 2 39 4 3 2" xfId="6226" xr:uid="{00000000-0005-0000-0000-00007D180000}"/>
    <cellStyle name="Normal 2 39 4 4" xfId="6227" xr:uid="{00000000-0005-0000-0000-00007E180000}"/>
    <cellStyle name="Normal 2 39 4 5" xfId="6228" xr:uid="{00000000-0005-0000-0000-00007F180000}"/>
    <cellStyle name="Normal 2 39 5" xfId="6229" xr:uid="{00000000-0005-0000-0000-000080180000}"/>
    <cellStyle name="Normal 2 39 5 2" xfId="6230" xr:uid="{00000000-0005-0000-0000-000081180000}"/>
    <cellStyle name="Normal 2 39 5 2 2" xfId="6231" xr:uid="{00000000-0005-0000-0000-000082180000}"/>
    <cellStyle name="Normal 2 39 5 3" xfId="6232" xr:uid="{00000000-0005-0000-0000-000083180000}"/>
    <cellStyle name="Normal 2 39 6" xfId="6233" xr:uid="{00000000-0005-0000-0000-000084180000}"/>
    <cellStyle name="Normal 2 39 6 2" xfId="6234" xr:uid="{00000000-0005-0000-0000-000085180000}"/>
    <cellStyle name="Normal 2 39 6 2 2" xfId="6235" xr:uid="{00000000-0005-0000-0000-000086180000}"/>
    <cellStyle name="Normal 2 39 6 3" xfId="6236" xr:uid="{00000000-0005-0000-0000-000087180000}"/>
    <cellStyle name="Normal 2 39 7" xfId="6237" xr:uid="{00000000-0005-0000-0000-000088180000}"/>
    <cellStyle name="Normal 2 39 7 2" xfId="6238" xr:uid="{00000000-0005-0000-0000-000089180000}"/>
    <cellStyle name="Normal 2 39 8" xfId="6239" xr:uid="{00000000-0005-0000-0000-00008A180000}"/>
    <cellStyle name="Normal 2 39 9" xfId="6240" xr:uid="{00000000-0005-0000-0000-00008B180000}"/>
    <cellStyle name="Normal 2 4" xfId="6241" xr:uid="{00000000-0005-0000-0000-00008C180000}"/>
    <cellStyle name="Normal 2 4 10" xfId="6242" xr:uid="{00000000-0005-0000-0000-00008D180000}"/>
    <cellStyle name="Normal 2 4 11" xfId="6243" xr:uid="{00000000-0005-0000-0000-00008E180000}"/>
    <cellStyle name="Normal 2 4 2" xfId="6244" xr:uid="{00000000-0005-0000-0000-00008F180000}"/>
    <cellStyle name="Normal 2 4 2 2" xfId="6245" xr:uid="{00000000-0005-0000-0000-000090180000}"/>
    <cellStyle name="Normal 2 4 2 2 2" xfId="6246" xr:uid="{00000000-0005-0000-0000-000091180000}"/>
    <cellStyle name="Normal 2 4 2 3" xfId="6247" xr:uid="{00000000-0005-0000-0000-000092180000}"/>
    <cellStyle name="Normal 2 4 2 3 2" xfId="6248" xr:uid="{00000000-0005-0000-0000-000093180000}"/>
    <cellStyle name="Normal 2 4 2 4" xfId="6249" xr:uid="{00000000-0005-0000-0000-000094180000}"/>
    <cellStyle name="Normal 2 4 2 4 2" xfId="6250" xr:uid="{00000000-0005-0000-0000-000095180000}"/>
    <cellStyle name="Normal 2 4 2 5" xfId="6251" xr:uid="{00000000-0005-0000-0000-000096180000}"/>
    <cellStyle name="Normal 2 4 2 6" xfId="6252" xr:uid="{00000000-0005-0000-0000-000097180000}"/>
    <cellStyle name="Normal 2 4 3" xfId="6253" xr:uid="{00000000-0005-0000-0000-000098180000}"/>
    <cellStyle name="Normal 2 4 3 10" xfId="6254" xr:uid="{00000000-0005-0000-0000-000099180000}"/>
    <cellStyle name="Normal 2 4 3 2" xfId="6255" xr:uid="{00000000-0005-0000-0000-00009A180000}"/>
    <cellStyle name="Normal 2 4 3 3" xfId="6256" xr:uid="{00000000-0005-0000-0000-00009B180000}"/>
    <cellStyle name="Normal 2 4 3 4" xfId="6257" xr:uid="{00000000-0005-0000-0000-00009C180000}"/>
    <cellStyle name="Normal 2 4 3 4 2" xfId="6258" xr:uid="{00000000-0005-0000-0000-00009D180000}"/>
    <cellStyle name="Normal 2 4 3 4 2 2" xfId="6259" xr:uid="{00000000-0005-0000-0000-00009E180000}"/>
    <cellStyle name="Normal 2 4 3 4 2 2 2" xfId="6260" xr:uid="{00000000-0005-0000-0000-00009F180000}"/>
    <cellStyle name="Normal 2 4 3 4 2 3" xfId="6261" xr:uid="{00000000-0005-0000-0000-0000A0180000}"/>
    <cellStyle name="Normal 2 4 3 4 3" xfId="6262" xr:uid="{00000000-0005-0000-0000-0000A1180000}"/>
    <cellStyle name="Normal 2 4 3 4 3 2" xfId="6263" xr:uid="{00000000-0005-0000-0000-0000A2180000}"/>
    <cellStyle name="Normal 2 4 3 4 3 2 2" xfId="6264" xr:uid="{00000000-0005-0000-0000-0000A3180000}"/>
    <cellStyle name="Normal 2 4 3 4 3 3" xfId="6265" xr:uid="{00000000-0005-0000-0000-0000A4180000}"/>
    <cellStyle name="Normal 2 4 3 4 4" xfId="6266" xr:uid="{00000000-0005-0000-0000-0000A5180000}"/>
    <cellStyle name="Normal 2 4 3 4 4 2" xfId="6267" xr:uid="{00000000-0005-0000-0000-0000A6180000}"/>
    <cellStyle name="Normal 2 4 3 4 5" xfId="6268" xr:uid="{00000000-0005-0000-0000-0000A7180000}"/>
    <cellStyle name="Normal 2 4 3 4 6" xfId="6269" xr:uid="{00000000-0005-0000-0000-0000A8180000}"/>
    <cellStyle name="Normal 2 4 3 5" xfId="6270" xr:uid="{00000000-0005-0000-0000-0000A9180000}"/>
    <cellStyle name="Normal 2 4 3 5 2" xfId="6271" xr:uid="{00000000-0005-0000-0000-0000AA180000}"/>
    <cellStyle name="Normal 2 4 3 5 2 2" xfId="6272" xr:uid="{00000000-0005-0000-0000-0000AB180000}"/>
    <cellStyle name="Normal 2 4 3 5 2 2 2" xfId="6273" xr:uid="{00000000-0005-0000-0000-0000AC180000}"/>
    <cellStyle name="Normal 2 4 3 5 2 3" xfId="6274" xr:uid="{00000000-0005-0000-0000-0000AD180000}"/>
    <cellStyle name="Normal 2 4 3 5 3" xfId="6275" xr:uid="{00000000-0005-0000-0000-0000AE180000}"/>
    <cellStyle name="Normal 2 4 3 5 3 2" xfId="6276" xr:uid="{00000000-0005-0000-0000-0000AF180000}"/>
    <cellStyle name="Normal 2 4 3 5 4" xfId="6277" xr:uid="{00000000-0005-0000-0000-0000B0180000}"/>
    <cellStyle name="Normal 2 4 3 5 5" xfId="6278" xr:uid="{00000000-0005-0000-0000-0000B1180000}"/>
    <cellStyle name="Normal 2 4 3 6" xfId="6279" xr:uid="{00000000-0005-0000-0000-0000B2180000}"/>
    <cellStyle name="Normal 2 4 3 6 2" xfId="6280" xr:uid="{00000000-0005-0000-0000-0000B3180000}"/>
    <cellStyle name="Normal 2 4 3 6 2 2" xfId="6281" xr:uid="{00000000-0005-0000-0000-0000B4180000}"/>
    <cellStyle name="Normal 2 4 3 6 3" xfId="6282" xr:uid="{00000000-0005-0000-0000-0000B5180000}"/>
    <cellStyle name="Normal 2 4 3 7" xfId="6283" xr:uid="{00000000-0005-0000-0000-0000B6180000}"/>
    <cellStyle name="Normal 2 4 3 7 2" xfId="6284" xr:uid="{00000000-0005-0000-0000-0000B7180000}"/>
    <cellStyle name="Normal 2 4 3 7 2 2" xfId="6285" xr:uid="{00000000-0005-0000-0000-0000B8180000}"/>
    <cellStyle name="Normal 2 4 3 7 3" xfId="6286" xr:uid="{00000000-0005-0000-0000-0000B9180000}"/>
    <cellStyle name="Normal 2 4 3 8" xfId="6287" xr:uid="{00000000-0005-0000-0000-0000BA180000}"/>
    <cellStyle name="Normal 2 4 3 8 2" xfId="6288" xr:uid="{00000000-0005-0000-0000-0000BB180000}"/>
    <cellStyle name="Normal 2 4 3 9" xfId="6289" xr:uid="{00000000-0005-0000-0000-0000BC180000}"/>
    <cellStyle name="Normal 2 4 4" xfId="6290" xr:uid="{00000000-0005-0000-0000-0000BD180000}"/>
    <cellStyle name="Normal 2 4 4 2" xfId="6291" xr:uid="{00000000-0005-0000-0000-0000BE180000}"/>
    <cellStyle name="Normal 2 4 4 2 2" xfId="6292" xr:uid="{00000000-0005-0000-0000-0000BF180000}"/>
    <cellStyle name="Normal 2 4 4 2 2 2" xfId="6293" xr:uid="{00000000-0005-0000-0000-0000C0180000}"/>
    <cellStyle name="Normal 2 4 4 2 2 3" xfId="6294" xr:uid="{00000000-0005-0000-0000-0000C1180000}"/>
    <cellStyle name="Normal 2 4 4 3" xfId="6295" xr:uid="{00000000-0005-0000-0000-0000C2180000}"/>
    <cellStyle name="Normal 2 4 4 4" xfId="6296" xr:uid="{00000000-0005-0000-0000-0000C3180000}"/>
    <cellStyle name="Normal 2 4 5" xfId="6297" xr:uid="{00000000-0005-0000-0000-0000C4180000}"/>
    <cellStyle name="Normal 2 4 5 2" xfId="6298" xr:uid="{00000000-0005-0000-0000-0000C5180000}"/>
    <cellStyle name="Normal 2 4 6" xfId="6299" xr:uid="{00000000-0005-0000-0000-0000C6180000}"/>
    <cellStyle name="Normal 2 4 6 2" xfId="6300" xr:uid="{00000000-0005-0000-0000-0000C7180000}"/>
    <cellStyle name="Normal 2 4 7" xfId="6301" xr:uid="{00000000-0005-0000-0000-0000C8180000}"/>
    <cellStyle name="Normal 2 4 8" xfId="6302" xr:uid="{00000000-0005-0000-0000-0000C9180000}"/>
    <cellStyle name="Normal 2 4 8 2" xfId="6303" xr:uid="{00000000-0005-0000-0000-0000CA180000}"/>
    <cellStyle name="Normal 2 4 8 2 2" xfId="6304" xr:uid="{00000000-0005-0000-0000-0000CB180000}"/>
    <cellStyle name="Normal 2 4 8 2 2 2" xfId="6305" xr:uid="{00000000-0005-0000-0000-0000CC180000}"/>
    <cellStyle name="Normal 2 4 8 2 2 2 2" xfId="6306" xr:uid="{00000000-0005-0000-0000-0000CD180000}"/>
    <cellStyle name="Normal 2 4 8 2 2 3" xfId="6307" xr:uid="{00000000-0005-0000-0000-0000CE180000}"/>
    <cellStyle name="Normal 2 4 8 2 3" xfId="6308" xr:uid="{00000000-0005-0000-0000-0000CF180000}"/>
    <cellStyle name="Normal 2 4 8 2 3 2" xfId="6309" xr:uid="{00000000-0005-0000-0000-0000D0180000}"/>
    <cellStyle name="Normal 2 4 8 2 3 2 2" xfId="6310" xr:uid="{00000000-0005-0000-0000-0000D1180000}"/>
    <cellStyle name="Normal 2 4 8 2 3 3" xfId="6311" xr:uid="{00000000-0005-0000-0000-0000D2180000}"/>
    <cellStyle name="Normal 2 4 8 2 4" xfId="6312" xr:uid="{00000000-0005-0000-0000-0000D3180000}"/>
    <cellStyle name="Normal 2 4 8 2 4 2" xfId="6313" xr:uid="{00000000-0005-0000-0000-0000D4180000}"/>
    <cellStyle name="Normal 2 4 8 2 5" xfId="6314" xr:uid="{00000000-0005-0000-0000-0000D5180000}"/>
    <cellStyle name="Normal 2 4 8 2 6" xfId="6315" xr:uid="{00000000-0005-0000-0000-0000D6180000}"/>
    <cellStyle name="Normal 2 4 8 3" xfId="6316" xr:uid="{00000000-0005-0000-0000-0000D7180000}"/>
    <cellStyle name="Normal 2 4 8 3 2" xfId="6317" xr:uid="{00000000-0005-0000-0000-0000D8180000}"/>
    <cellStyle name="Normal 2 4 8 3 2 2" xfId="6318" xr:uid="{00000000-0005-0000-0000-0000D9180000}"/>
    <cellStyle name="Normal 2 4 8 3 2 2 2" xfId="6319" xr:uid="{00000000-0005-0000-0000-0000DA180000}"/>
    <cellStyle name="Normal 2 4 8 3 2 3" xfId="6320" xr:uid="{00000000-0005-0000-0000-0000DB180000}"/>
    <cellStyle name="Normal 2 4 8 3 3" xfId="6321" xr:uid="{00000000-0005-0000-0000-0000DC180000}"/>
    <cellStyle name="Normal 2 4 8 3 3 2" xfId="6322" xr:uid="{00000000-0005-0000-0000-0000DD180000}"/>
    <cellStyle name="Normal 2 4 8 3 4" xfId="6323" xr:uid="{00000000-0005-0000-0000-0000DE180000}"/>
    <cellStyle name="Normal 2 4 8 3 5" xfId="6324" xr:uid="{00000000-0005-0000-0000-0000DF180000}"/>
    <cellStyle name="Normal 2 4 8 4" xfId="6325" xr:uid="{00000000-0005-0000-0000-0000E0180000}"/>
    <cellStyle name="Normal 2 4 8 4 2" xfId="6326" xr:uid="{00000000-0005-0000-0000-0000E1180000}"/>
    <cellStyle name="Normal 2 4 8 4 2 2" xfId="6327" xr:uid="{00000000-0005-0000-0000-0000E2180000}"/>
    <cellStyle name="Normal 2 4 8 4 3" xfId="6328" xr:uid="{00000000-0005-0000-0000-0000E3180000}"/>
    <cellStyle name="Normal 2 4 8 5" xfId="6329" xr:uid="{00000000-0005-0000-0000-0000E4180000}"/>
    <cellStyle name="Normal 2 4 8 5 2" xfId="6330" xr:uid="{00000000-0005-0000-0000-0000E5180000}"/>
    <cellStyle name="Normal 2 4 8 5 2 2" xfId="6331" xr:uid="{00000000-0005-0000-0000-0000E6180000}"/>
    <cellStyle name="Normal 2 4 8 5 3" xfId="6332" xr:uid="{00000000-0005-0000-0000-0000E7180000}"/>
    <cellStyle name="Normal 2 4 8 6" xfId="6333" xr:uid="{00000000-0005-0000-0000-0000E8180000}"/>
    <cellStyle name="Normal 2 4 8 6 2" xfId="6334" xr:uid="{00000000-0005-0000-0000-0000E9180000}"/>
    <cellStyle name="Normal 2 4 8 7" xfId="6335" xr:uid="{00000000-0005-0000-0000-0000EA180000}"/>
    <cellStyle name="Normal 2 4 8 8" xfId="6336" xr:uid="{00000000-0005-0000-0000-0000EB180000}"/>
    <cellStyle name="Normal 2 4 9" xfId="6337" xr:uid="{00000000-0005-0000-0000-0000EC180000}"/>
    <cellStyle name="Normal 2 40" xfId="6338" xr:uid="{00000000-0005-0000-0000-0000ED180000}"/>
    <cellStyle name="Normal 2 40 2" xfId="6339" xr:uid="{00000000-0005-0000-0000-0000EE180000}"/>
    <cellStyle name="Normal 2 40 3" xfId="6340" xr:uid="{00000000-0005-0000-0000-0000EF180000}"/>
    <cellStyle name="Normal 2 40 3 2" xfId="6341" xr:uid="{00000000-0005-0000-0000-0000F0180000}"/>
    <cellStyle name="Normal 2 40 3 2 2" xfId="6342" xr:uid="{00000000-0005-0000-0000-0000F1180000}"/>
    <cellStyle name="Normal 2 40 3 2 2 2" xfId="6343" xr:uid="{00000000-0005-0000-0000-0000F2180000}"/>
    <cellStyle name="Normal 2 40 3 2 3" xfId="6344" xr:uid="{00000000-0005-0000-0000-0000F3180000}"/>
    <cellStyle name="Normal 2 40 3 3" xfId="6345" xr:uid="{00000000-0005-0000-0000-0000F4180000}"/>
    <cellStyle name="Normal 2 40 3 3 2" xfId="6346" xr:uid="{00000000-0005-0000-0000-0000F5180000}"/>
    <cellStyle name="Normal 2 40 3 3 2 2" xfId="6347" xr:uid="{00000000-0005-0000-0000-0000F6180000}"/>
    <cellStyle name="Normal 2 40 3 3 3" xfId="6348" xr:uid="{00000000-0005-0000-0000-0000F7180000}"/>
    <cellStyle name="Normal 2 40 3 4" xfId="6349" xr:uid="{00000000-0005-0000-0000-0000F8180000}"/>
    <cellStyle name="Normal 2 40 3 4 2" xfId="6350" xr:uid="{00000000-0005-0000-0000-0000F9180000}"/>
    <cellStyle name="Normal 2 40 3 5" xfId="6351" xr:uid="{00000000-0005-0000-0000-0000FA180000}"/>
    <cellStyle name="Normal 2 40 3 6" xfId="6352" xr:uid="{00000000-0005-0000-0000-0000FB180000}"/>
    <cellStyle name="Normal 2 40 4" xfId="6353" xr:uid="{00000000-0005-0000-0000-0000FC180000}"/>
    <cellStyle name="Normal 2 40 4 2" xfId="6354" xr:uid="{00000000-0005-0000-0000-0000FD180000}"/>
    <cellStyle name="Normal 2 40 4 2 2" xfId="6355" xr:uid="{00000000-0005-0000-0000-0000FE180000}"/>
    <cellStyle name="Normal 2 40 4 2 2 2" xfId="6356" xr:uid="{00000000-0005-0000-0000-0000FF180000}"/>
    <cellStyle name="Normal 2 40 4 2 3" xfId="6357" xr:uid="{00000000-0005-0000-0000-000000190000}"/>
    <cellStyle name="Normal 2 40 4 3" xfId="6358" xr:uid="{00000000-0005-0000-0000-000001190000}"/>
    <cellStyle name="Normal 2 40 4 3 2" xfId="6359" xr:uid="{00000000-0005-0000-0000-000002190000}"/>
    <cellStyle name="Normal 2 40 4 4" xfId="6360" xr:uid="{00000000-0005-0000-0000-000003190000}"/>
    <cellStyle name="Normal 2 40 4 5" xfId="6361" xr:uid="{00000000-0005-0000-0000-000004190000}"/>
    <cellStyle name="Normal 2 40 5" xfId="6362" xr:uid="{00000000-0005-0000-0000-000005190000}"/>
    <cellStyle name="Normal 2 40 5 2" xfId="6363" xr:uid="{00000000-0005-0000-0000-000006190000}"/>
    <cellStyle name="Normal 2 40 5 2 2" xfId="6364" xr:uid="{00000000-0005-0000-0000-000007190000}"/>
    <cellStyle name="Normal 2 40 5 3" xfId="6365" xr:uid="{00000000-0005-0000-0000-000008190000}"/>
    <cellStyle name="Normal 2 40 6" xfId="6366" xr:uid="{00000000-0005-0000-0000-000009190000}"/>
    <cellStyle name="Normal 2 40 6 2" xfId="6367" xr:uid="{00000000-0005-0000-0000-00000A190000}"/>
    <cellStyle name="Normal 2 40 6 2 2" xfId="6368" xr:uid="{00000000-0005-0000-0000-00000B190000}"/>
    <cellStyle name="Normal 2 40 6 3" xfId="6369" xr:uid="{00000000-0005-0000-0000-00000C190000}"/>
    <cellStyle name="Normal 2 40 7" xfId="6370" xr:uid="{00000000-0005-0000-0000-00000D190000}"/>
    <cellStyle name="Normal 2 40 7 2" xfId="6371" xr:uid="{00000000-0005-0000-0000-00000E190000}"/>
    <cellStyle name="Normal 2 40 8" xfId="6372" xr:uid="{00000000-0005-0000-0000-00000F190000}"/>
    <cellStyle name="Normal 2 40 9" xfId="6373" xr:uid="{00000000-0005-0000-0000-000010190000}"/>
    <cellStyle name="Normal 2 41" xfId="6374" xr:uid="{00000000-0005-0000-0000-000011190000}"/>
    <cellStyle name="Normal 2 41 2" xfId="6375" xr:uid="{00000000-0005-0000-0000-000012190000}"/>
    <cellStyle name="Normal 2 41 3" xfId="6376" xr:uid="{00000000-0005-0000-0000-000013190000}"/>
    <cellStyle name="Normal 2 41 3 2" xfId="6377" xr:uid="{00000000-0005-0000-0000-000014190000}"/>
    <cellStyle name="Normal 2 41 3 2 2" xfId="6378" xr:uid="{00000000-0005-0000-0000-000015190000}"/>
    <cellStyle name="Normal 2 41 3 2 2 2" xfId="6379" xr:uid="{00000000-0005-0000-0000-000016190000}"/>
    <cellStyle name="Normal 2 41 3 2 3" xfId="6380" xr:uid="{00000000-0005-0000-0000-000017190000}"/>
    <cellStyle name="Normal 2 41 3 3" xfId="6381" xr:uid="{00000000-0005-0000-0000-000018190000}"/>
    <cellStyle name="Normal 2 41 3 3 2" xfId="6382" xr:uid="{00000000-0005-0000-0000-000019190000}"/>
    <cellStyle name="Normal 2 41 3 3 2 2" xfId="6383" xr:uid="{00000000-0005-0000-0000-00001A190000}"/>
    <cellStyle name="Normal 2 41 3 3 3" xfId="6384" xr:uid="{00000000-0005-0000-0000-00001B190000}"/>
    <cellStyle name="Normal 2 41 3 4" xfId="6385" xr:uid="{00000000-0005-0000-0000-00001C190000}"/>
    <cellStyle name="Normal 2 41 3 4 2" xfId="6386" xr:uid="{00000000-0005-0000-0000-00001D190000}"/>
    <cellStyle name="Normal 2 41 3 5" xfId="6387" xr:uid="{00000000-0005-0000-0000-00001E190000}"/>
    <cellStyle name="Normal 2 41 3 6" xfId="6388" xr:uid="{00000000-0005-0000-0000-00001F190000}"/>
    <cellStyle name="Normal 2 41 4" xfId="6389" xr:uid="{00000000-0005-0000-0000-000020190000}"/>
    <cellStyle name="Normal 2 41 4 2" xfId="6390" xr:uid="{00000000-0005-0000-0000-000021190000}"/>
    <cellStyle name="Normal 2 41 4 2 2" xfId="6391" xr:uid="{00000000-0005-0000-0000-000022190000}"/>
    <cellStyle name="Normal 2 41 4 2 2 2" xfId="6392" xr:uid="{00000000-0005-0000-0000-000023190000}"/>
    <cellStyle name="Normal 2 41 4 2 3" xfId="6393" xr:uid="{00000000-0005-0000-0000-000024190000}"/>
    <cellStyle name="Normal 2 41 4 3" xfId="6394" xr:uid="{00000000-0005-0000-0000-000025190000}"/>
    <cellStyle name="Normal 2 41 4 3 2" xfId="6395" xr:uid="{00000000-0005-0000-0000-000026190000}"/>
    <cellStyle name="Normal 2 41 4 4" xfId="6396" xr:uid="{00000000-0005-0000-0000-000027190000}"/>
    <cellStyle name="Normal 2 41 4 5" xfId="6397" xr:uid="{00000000-0005-0000-0000-000028190000}"/>
    <cellStyle name="Normal 2 41 5" xfId="6398" xr:uid="{00000000-0005-0000-0000-000029190000}"/>
    <cellStyle name="Normal 2 41 5 2" xfId="6399" xr:uid="{00000000-0005-0000-0000-00002A190000}"/>
    <cellStyle name="Normal 2 41 5 2 2" xfId="6400" xr:uid="{00000000-0005-0000-0000-00002B190000}"/>
    <cellStyle name="Normal 2 41 5 3" xfId="6401" xr:uid="{00000000-0005-0000-0000-00002C190000}"/>
    <cellStyle name="Normal 2 41 6" xfId="6402" xr:uid="{00000000-0005-0000-0000-00002D190000}"/>
    <cellStyle name="Normal 2 41 6 2" xfId="6403" xr:uid="{00000000-0005-0000-0000-00002E190000}"/>
    <cellStyle name="Normal 2 41 6 2 2" xfId="6404" xr:uid="{00000000-0005-0000-0000-00002F190000}"/>
    <cellStyle name="Normal 2 41 6 3" xfId="6405" xr:uid="{00000000-0005-0000-0000-000030190000}"/>
    <cellStyle name="Normal 2 41 7" xfId="6406" xr:uid="{00000000-0005-0000-0000-000031190000}"/>
    <cellStyle name="Normal 2 41 7 2" xfId="6407" xr:uid="{00000000-0005-0000-0000-000032190000}"/>
    <cellStyle name="Normal 2 41 8" xfId="6408" xr:uid="{00000000-0005-0000-0000-000033190000}"/>
    <cellStyle name="Normal 2 41 9" xfId="6409" xr:uid="{00000000-0005-0000-0000-000034190000}"/>
    <cellStyle name="Normal 2 42" xfId="6410" xr:uid="{00000000-0005-0000-0000-000035190000}"/>
    <cellStyle name="Normal 2 42 2" xfId="6411" xr:uid="{00000000-0005-0000-0000-000036190000}"/>
    <cellStyle name="Normal 2 42 3" xfId="6412" xr:uid="{00000000-0005-0000-0000-000037190000}"/>
    <cellStyle name="Normal 2 42 3 2" xfId="6413" xr:uid="{00000000-0005-0000-0000-000038190000}"/>
    <cellStyle name="Normal 2 42 3 2 2" xfId="6414" xr:uid="{00000000-0005-0000-0000-000039190000}"/>
    <cellStyle name="Normal 2 42 3 2 2 2" xfId="6415" xr:uid="{00000000-0005-0000-0000-00003A190000}"/>
    <cellStyle name="Normal 2 42 3 2 3" xfId="6416" xr:uid="{00000000-0005-0000-0000-00003B190000}"/>
    <cellStyle name="Normal 2 42 3 3" xfId="6417" xr:uid="{00000000-0005-0000-0000-00003C190000}"/>
    <cellStyle name="Normal 2 42 3 3 2" xfId="6418" xr:uid="{00000000-0005-0000-0000-00003D190000}"/>
    <cellStyle name="Normal 2 42 3 3 2 2" xfId="6419" xr:uid="{00000000-0005-0000-0000-00003E190000}"/>
    <cellStyle name="Normal 2 42 3 3 3" xfId="6420" xr:uid="{00000000-0005-0000-0000-00003F190000}"/>
    <cellStyle name="Normal 2 42 3 4" xfId="6421" xr:uid="{00000000-0005-0000-0000-000040190000}"/>
    <cellStyle name="Normal 2 42 3 4 2" xfId="6422" xr:uid="{00000000-0005-0000-0000-000041190000}"/>
    <cellStyle name="Normal 2 42 3 5" xfId="6423" xr:uid="{00000000-0005-0000-0000-000042190000}"/>
    <cellStyle name="Normal 2 42 3 6" xfId="6424" xr:uid="{00000000-0005-0000-0000-000043190000}"/>
    <cellStyle name="Normal 2 42 4" xfId="6425" xr:uid="{00000000-0005-0000-0000-000044190000}"/>
    <cellStyle name="Normal 2 42 4 2" xfId="6426" xr:uid="{00000000-0005-0000-0000-000045190000}"/>
    <cellStyle name="Normal 2 42 4 2 2" xfId="6427" xr:uid="{00000000-0005-0000-0000-000046190000}"/>
    <cellStyle name="Normal 2 42 4 2 2 2" xfId="6428" xr:uid="{00000000-0005-0000-0000-000047190000}"/>
    <cellStyle name="Normal 2 42 4 2 3" xfId="6429" xr:uid="{00000000-0005-0000-0000-000048190000}"/>
    <cellStyle name="Normal 2 42 4 3" xfId="6430" xr:uid="{00000000-0005-0000-0000-000049190000}"/>
    <cellStyle name="Normal 2 42 4 3 2" xfId="6431" xr:uid="{00000000-0005-0000-0000-00004A190000}"/>
    <cellStyle name="Normal 2 42 4 4" xfId="6432" xr:uid="{00000000-0005-0000-0000-00004B190000}"/>
    <cellStyle name="Normal 2 42 4 5" xfId="6433" xr:uid="{00000000-0005-0000-0000-00004C190000}"/>
    <cellStyle name="Normal 2 42 5" xfId="6434" xr:uid="{00000000-0005-0000-0000-00004D190000}"/>
    <cellStyle name="Normal 2 42 5 2" xfId="6435" xr:uid="{00000000-0005-0000-0000-00004E190000}"/>
    <cellStyle name="Normal 2 42 5 2 2" xfId="6436" xr:uid="{00000000-0005-0000-0000-00004F190000}"/>
    <cellStyle name="Normal 2 42 5 3" xfId="6437" xr:uid="{00000000-0005-0000-0000-000050190000}"/>
    <cellStyle name="Normal 2 42 6" xfId="6438" xr:uid="{00000000-0005-0000-0000-000051190000}"/>
    <cellStyle name="Normal 2 42 6 2" xfId="6439" xr:uid="{00000000-0005-0000-0000-000052190000}"/>
    <cellStyle name="Normal 2 42 6 2 2" xfId="6440" xr:uid="{00000000-0005-0000-0000-000053190000}"/>
    <cellStyle name="Normal 2 42 6 3" xfId="6441" xr:uid="{00000000-0005-0000-0000-000054190000}"/>
    <cellStyle name="Normal 2 42 7" xfId="6442" xr:uid="{00000000-0005-0000-0000-000055190000}"/>
    <cellStyle name="Normal 2 42 7 2" xfId="6443" xr:uid="{00000000-0005-0000-0000-000056190000}"/>
    <cellStyle name="Normal 2 42 8" xfId="6444" xr:uid="{00000000-0005-0000-0000-000057190000}"/>
    <cellStyle name="Normal 2 42 9" xfId="6445" xr:uid="{00000000-0005-0000-0000-000058190000}"/>
    <cellStyle name="Normal 2 43" xfId="6446" xr:uid="{00000000-0005-0000-0000-000059190000}"/>
    <cellStyle name="Normal 2 43 2" xfId="6447" xr:uid="{00000000-0005-0000-0000-00005A190000}"/>
    <cellStyle name="Normal 2 43 2 2" xfId="6448" xr:uid="{00000000-0005-0000-0000-00005B190000}"/>
    <cellStyle name="Normal 2 43 2 2 2" xfId="6449" xr:uid="{00000000-0005-0000-0000-00005C190000}"/>
    <cellStyle name="Normal 2 43 2 2 2 2" xfId="6450" xr:uid="{00000000-0005-0000-0000-00005D190000}"/>
    <cellStyle name="Normal 2 43 2 2 3" xfId="6451" xr:uid="{00000000-0005-0000-0000-00005E190000}"/>
    <cellStyle name="Normal 2 43 2 3" xfId="6452" xr:uid="{00000000-0005-0000-0000-00005F190000}"/>
    <cellStyle name="Normal 2 43 2 3 2" xfId="6453" xr:uid="{00000000-0005-0000-0000-000060190000}"/>
    <cellStyle name="Normal 2 43 2 3 2 2" xfId="6454" xr:uid="{00000000-0005-0000-0000-000061190000}"/>
    <cellStyle name="Normal 2 43 2 3 3" xfId="6455" xr:uid="{00000000-0005-0000-0000-000062190000}"/>
    <cellStyle name="Normal 2 43 2 4" xfId="6456" xr:uid="{00000000-0005-0000-0000-000063190000}"/>
    <cellStyle name="Normal 2 43 2 4 2" xfId="6457" xr:uid="{00000000-0005-0000-0000-000064190000}"/>
    <cellStyle name="Normal 2 43 2 5" xfId="6458" xr:uid="{00000000-0005-0000-0000-000065190000}"/>
    <cellStyle name="Normal 2 43 2 6" xfId="6459" xr:uid="{00000000-0005-0000-0000-000066190000}"/>
    <cellStyle name="Normal 2 43 3" xfId="6460" xr:uid="{00000000-0005-0000-0000-000067190000}"/>
    <cellStyle name="Normal 2 43 3 2" xfId="6461" xr:uid="{00000000-0005-0000-0000-000068190000}"/>
    <cellStyle name="Normal 2 43 3 2 2" xfId="6462" xr:uid="{00000000-0005-0000-0000-000069190000}"/>
    <cellStyle name="Normal 2 43 3 2 2 2" xfId="6463" xr:uid="{00000000-0005-0000-0000-00006A190000}"/>
    <cellStyle name="Normal 2 43 3 2 3" xfId="6464" xr:uid="{00000000-0005-0000-0000-00006B190000}"/>
    <cellStyle name="Normal 2 43 3 3" xfId="6465" xr:uid="{00000000-0005-0000-0000-00006C190000}"/>
    <cellStyle name="Normal 2 43 3 3 2" xfId="6466" xr:uid="{00000000-0005-0000-0000-00006D190000}"/>
    <cellStyle name="Normal 2 43 3 4" xfId="6467" xr:uid="{00000000-0005-0000-0000-00006E190000}"/>
    <cellStyle name="Normal 2 43 3 5" xfId="6468" xr:uid="{00000000-0005-0000-0000-00006F190000}"/>
    <cellStyle name="Normal 2 43 4" xfId="6469" xr:uid="{00000000-0005-0000-0000-000070190000}"/>
    <cellStyle name="Normal 2 43 4 2" xfId="6470" xr:uid="{00000000-0005-0000-0000-000071190000}"/>
    <cellStyle name="Normal 2 43 4 2 2" xfId="6471" xr:uid="{00000000-0005-0000-0000-000072190000}"/>
    <cellStyle name="Normal 2 43 4 3" xfId="6472" xr:uid="{00000000-0005-0000-0000-000073190000}"/>
    <cellStyle name="Normal 2 43 5" xfId="6473" xr:uid="{00000000-0005-0000-0000-000074190000}"/>
    <cellStyle name="Normal 2 43 5 2" xfId="6474" xr:uid="{00000000-0005-0000-0000-000075190000}"/>
    <cellStyle name="Normal 2 43 5 2 2" xfId="6475" xr:uid="{00000000-0005-0000-0000-000076190000}"/>
    <cellStyle name="Normal 2 43 5 3" xfId="6476" xr:uid="{00000000-0005-0000-0000-000077190000}"/>
    <cellStyle name="Normal 2 43 6" xfId="6477" xr:uid="{00000000-0005-0000-0000-000078190000}"/>
    <cellStyle name="Normal 2 43 6 2" xfId="6478" xr:uid="{00000000-0005-0000-0000-000079190000}"/>
    <cellStyle name="Normal 2 43 7" xfId="6479" xr:uid="{00000000-0005-0000-0000-00007A190000}"/>
    <cellStyle name="Normal 2 43 8" xfId="6480" xr:uid="{00000000-0005-0000-0000-00007B190000}"/>
    <cellStyle name="Normal 2 44" xfId="6481" xr:uid="{00000000-0005-0000-0000-00007C190000}"/>
    <cellStyle name="Normal 2 44 2" xfId="6482" xr:uid="{00000000-0005-0000-0000-00007D190000}"/>
    <cellStyle name="Normal 2 44 2 2" xfId="6483" xr:uid="{00000000-0005-0000-0000-00007E190000}"/>
    <cellStyle name="Normal 2 44 2 2 2" xfId="6484" xr:uid="{00000000-0005-0000-0000-00007F190000}"/>
    <cellStyle name="Normal 2 44 2 2 2 2" xfId="6485" xr:uid="{00000000-0005-0000-0000-000080190000}"/>
    <cellStyle name="Normal 2 44 2 2 3" xfId="6486" xr:uid="{00000000-0005-0000-0000-000081190000}"/>
    <cellStyle name="Normal 2 44 2 3" xfId="6487" xr:uid="{00000000-0005-0000-0000-000082190000}"/>
    <cellStyle name="Normal 2 44 2 3 2" xfId="6488" xr:uid="{00000000-0005-0000-0000-000083190000}"/>
    <cellStyle name="Normal 2 44 2 3 2 2" xfId="6489" xr:uid="{00000000-0005-0000-0000-000084190000}"/>
    <cellStyle name="Normal 2 44 2 3 3" xfId="6490" xr:uid="{00000000-0005-0000-0000-000085190000}"/>
    <cellStyle name="Normal 2 44 2 4" xfId="6491" xr:uid="{00000000-0005-0000-0000-000086190000}"/>
    <cellStyle name="Normal 2 44 2 4 2" xfId="6492" xr:uid="{00000000-0005-0000-0000-000087190000}"/>
    <cellStyle name="Normal 2 44 2 5" xfId="6493" xr:uid="{00000000-0005-0000-0000-000088190000}"/>
    <cellStyle name="Normal 2 44 2 6" xfId="6494" xr:uid="{00000000-0005-0000-0000-000089190000}"/>
    <cellStyle name="Normal 2 44 3" xfId="6495" xr:uid="{00000000-0005-0000-0000-00008A190000}"/>
    <cellStyle name="Normal 2 44 3 2" xfId="6496" xr:uid="{00000000-0005-0000-0000-00008B190000}"/>
    <cellStyle name="Normal 2 44 3 2 2" xfId="6497" xr:uid="{00000000-0005-0000-0000-00008C190000}"/>
    <cellStyle name="Normal 2 44 3 2 2 2" xfId="6498" xr:uid="{00000000-0005-0000-0000-00008D190000}"/>
    <cellStyle name="Normal 2 44 3 2 3" xfId="6499" xr:uid="{00000000-0005-0000-0000-00008E190000}"/>
    <cellStyle name="Normal 2 44 3 3" xfId="6500" xr:uid="{00000000-0005-0000-0000-00008F190000}"/>
    <cellStyle name="Normal 2 44 3 3 2" xfId="6501" xr:uid="{00000000-0005-0000-0000-000090190000}"/>
    <cellStyle name="Normal 2 44 3 4" xfId="6502" xr:uid="{00000000-0005-0000-0000-000091190000}"/>
    <cellStyle name="Normal 2 44 3 5" xfId="6503" xr:uid="{00000000-0005-0000-0000-000092190000}"/>
    <cellStyle name="Normal 2 44 4" xfId="6504" xr:uid="{00000000-0005-0000-0000-000093190000}"/>
    <cellStyle name="Normal 2 44 4 2" xfId="6505" xr:uid="{00000000-0005-0000-0000-000094190000}"/>
    <cellStyle name="Normal 2 44 4 2 2" xfId="6506" xr:uid="{00000000-0005-0000-0000-000095190000}"/>
    <cellStyle name="Normal 2 44 4 3" xfId="6507" xr:uid="{00000000-0005-0000-0000-000096190000}"/>
    <cellStyle name="Normal 2 44 5" xfId="6508" xr:uid="{00000000-0005-0000-0000-000097190000}"/>
    <cellStyle name="Normal 2 44 5 2" xfId="6509" xr:uid="{00000000-0005-0000-0000-000098190000}"/>
    <cellStyle name="Normal 2 44 5 2 2" xfId="6510" xr:uid="{00000000-0005-0000-0000-000099190000}"/>
    <cellStyle name="Normal 2 44 5 3" xfId="6511" xr:uid="{00000000-0005-0000-0000-00009A190000}"/>
    <cellStyle name="Normal 2 44 6" xfId="6512" xr:uid="{00000000-0005-0000-0000-00009B190000}"/>
    <cellStyle name="Normal 2 44 6 2" xfId="6513" xr:uid="{00000000-0005-0000-0000-00009C190000}"/>
    <cellStyle name="Normal 2 44 7" xfId="6514" xr:uid="{00000000-0005-0000-0000-00009D190000}"/>
    <cellStyle name="Normal 2 44 8" xfId="6515" xr:uid="{00000000-0005-0000-0000-00009E190000}"/>
    <cellStyle name="Normal 2 45" xfId="6516" xr:uid="{00000000-0005-0000-0000-00009F190000}"/>
    <cellStyle name="Normal 2 45 2" xfId="6517" xr:uid="{00000000-0005-0000-0000-0000A0190000}"/>
    <cellStyle name="Normal 2 45 2 2" xfId="6518" xr:uid="{00000000-0005-0000-0000-0000A1190000}"/>
    <cellStyle name="Normal 2 45 2 2 2" xfId="6519" xr:uid="{00000000-0005-0000-0000-0000A2190000}"/>
    <cellStyle name="Normal 2 45 2 2 2 2" xfId="6520" xr:uid="{00000000-0005-0000-0000-0000A3190000}"/>
    <cellStyle name="Normal 2 45 2 2 3" xfId="6521" xr:uid="{00000000-0005-0000-0000-0000A4190000}"/>
    <cellStyle name="Normal 2 45 2 3" xfId="6522" xr:uid="{00000000-0005-0000-0000-0000A5190000}"/>
    <cellStyle name="Normal 2 45 2 3 2" xfId="6523" xr:uid="{00000000-0005-0000-0000-0000A6190000}"/>
    <cellStyle name="Normal 2 45 2 3 2 2" xfId="6524" xr:uid="{00000000-0005-0000-0000-0000A7190000}"/>
    <cellStyle name="Normal 2 45 2 3 3" xfId="6525" xr:uid="{00000000-0005-0000-0000-0000A8190000}"/>
    <cellStyle name="Normal 2 45 2 4" xfId="6526" xr:uid="{00000000-0005-0000-0000-0000A9190000}"/>
    <cellStyle name="Normal 2 45 2 4 2" xfId="6527" xr:uid="{00000000-0005-0000-0000-0000AA190000}"/>
    <cellStyle name="Normal 2 45 2 5" xfId="6528" xr:uid="{00000000-0005-0000-0000-0000AB190000}"/>
    <cellStyle name="Normal 2 45 2 6" xfId="6529" xr:uid="{00000000-0005-0000-0000-0000AC190000}"/>
    <cellStyle name="Normal 2 45 3" xfId="6530" xr:uid="{00000000-0005-0000-0000-0000AD190000}"/>
    <cellStyle name="Normal 2 45 3 2" xfId="6531" xr:uid="{00000000-0005-0000-0000-0000AE190000}"/>
    <cellStyle name="Normal 2 45 3 2 2" xfId="6532" xr:uid="{00000000-0005-0000-0000-0000AF190000}"/>
    <cellStyle name="Normal 2 45 3 2 2 2" xfId="6533" xr:uid="{00000000-0005-0000-0000-0000B0190000}"/>
    <cellStyle name="Normal 2 45 3 2 3" xfId="6534" xr:uid="{00000000-0005-0000-0000-0000B1190000}"/>
    <cellStyle name="Normal 2 45 3 3" xfId="6535" xr:uid="{00000000-0005-0000-0000-0000B2190000}"/>
    <cellStyle name="Normal 2 45 3 3 2" xfId="6536" xr:uid="{00000000-0005-0000-0000-0000B3190000}"/>
    <cellStyle name="Normal 2 45 3 4" xfId="6537" xr:uid="{00000000-0005-0000-0000-0000B4190000}"/>
    <cellStyle name="Normal 2 45 3 5" xfId="6538" xr:uid="{00000000-0005-0000-0000-0000B5190000}"/>
    <cellStyle name="Normal 2 45 4" xfId="6539" xr:uid="{00000000-0005-0000-0000-0000B6190000}"/>
    <cellStyle name="Normal 2 45 4 2" xfId="6540" xr:uid="{00000000-0005-0000-0000-0000B7190000}"/>
    <cellStyle name="Normal 2 45 4 2 2" xfId="6541" xr:uid="{00000000-0005-0000-0000-0000B8190000}"/>
    <cellStyle name="Normal 2 45 4 3" xfId="6542" xr:uid="{00000000-0005-0000-0000-0000B9190000}"/>
    <cellStyle name="Normal 2 45 5" xfId="6543" xr:uid="{00000000-0005-0000-0000-0000BA190000}"/>
    <cellStyle name="Normal 2 45 5 2" xfId="6544" xr:uid="{00000000-0005-0000-0000-0000BB190000}"/>
    <cellStyle name="Normal 2 45 5 2 2" xfId="6545" xr:uid="{00000000-0005-0000-0000-0000BC190000}"/>
    <cellStyle name="Normal 2 45 5 3" xfId="6546" xr:uid="{00000000-0005-0000-0000-0000BD190000}"/>
    <cellStyle name="Normal 2 45 6" xfId="6547" xr:uid="{00000000-0005-0000-0000-0000BE190000}"/>
    <cellStyle name="Normal 2 45 6 2" xfId="6548" xr:uid="{00000000-0005-0000-0000-0000BF190000}"/>
    <cellStyle name="Normal 2 45 7" xfId="6549" xr:uid="{00000000-0005-0000-0000-0000C0190000}"/>
    <cellStyle name="Normal 2 45 8" xfId="6550" xr:uid="{00000000-0005-0000-0000-0000C1190000}"/>
    <cellStyle name="Normal 2 46" xfId="6551" xr:uid="{00000000-0005-0000-0000-0000C2190000}"/>
    <cellStyle name="Normal 2 46 2" xfId="6552" xr:uid="{00000000-0005-0000-0000-0000C3190000}"/>
    <cellStyle name="Normal 2 46 2 2" xfId="6553" xr:uid="{00000000-0005-0000-0000-0000C4190000}"/>
    <cellStyle name="Normal 2 46 2 2 2" xfId="6554" xr:uid="{00000000-0005-0000-0000-0000C5190000}"/>
    <cellStyle name="Normal 2 46 2 2 2 2" xfId="6555" xr:uid="{00000000-0005-0000-0000-0000C6190000}"/>
    <cellStyle name="Normal 2 46 2 2 3" xfId="6556" xr:uid="{00000000-0005-0000-0000-0000C7190000}"/>
    <cellStyle name="Normal 2 46 2 3" xfId="6557" xr:uid="{00000000-0005-0000-0000-0000C8190000}"/>
    <cellStyle name="Normal 2 46 2 3 2" xfId="6558" xr:uid="{00000000-0005-0000-0000-0000C9190000}"/>
    <cellStyle name="Normal 2 46 2 3 2 2" xfId="6559" xr:uid="{00000000-0005-0000-0000-0000CA190000}"/>
    <cellStyle name="Normal 2 46 2 3 3" xfId="6560" xr:uid="{00000000-0005-0000-0000-0000CB190000}"/>
    <cellStyle name="Normal 2 46 2 4" xfId="6561" xr:uid="{00000000-0005-0000-0000-0000CC190000}"/>
    <cellStyle name="Normal 2 46 2 4 2" xfId="6562" xr:uid="{00000000-0005-0000-0000-0000CD190000}"/>
    <cellStyle name="Normal 2 46 2 5" xfId="6563" xr:uid="{00000000-0005-0000-0000-0000CE190000}"/>
    <cellStyle name="Normal 2 46 2 6" xfId="6564" xr:uid="{00000000-0005-0000-0000-0000CF190000}"/>
    <cellStyle name="Normal 2 46 3" xfId="6565" xr:uid="{00000000-0005-0000-0000-0000D0190000}"/>
    <cellStyle name="Normal 2 46 3 2" xfId="6566" xr:uid="{00000000-0005-0000-0000-0000D1190000}"/>
    <cellStyle name="Normal 2 46 3 2 2" xfId="6567" xr:uid="{00000000-0005-0000-0000-0000D2190000}"/>
    <cellStyle name="Normal 2 46 3 2 2 2" xfId="6568" xr:uid="{00000000-0005-0000-0000-0000D3190000}"/>
    <cellStyle name="Normal 2 46 3 2 3" xfId="6569" xr:uid="{00000000-0005-0000-0000-0000D4190000}"/>
    <cellStyle name="Normal 2 46 3 3" xfId="6570" xr:uid="{00000000-0005-0000-0000-0000D5190000}"/>
    <cellStyle name="Normal 2 46 3 3 2" xfId="6571" xr:uid="{00000000-0005-0000-0000-0000D6190000}"/>
    <cellStyle name="Normal 2 46 3 4" xfId="6572" xr:uid="{00000000-0005-0000-0000-0000D7190000}"/>
    <cellStyle name="Normal 2 46 3 5" xfId="6573" xr:uid="{00000000-0005-0000-0000-0000D8190000}"/>
    <cellStyle name="Normal 2 46 4" xfId="6574" xr:uid="{00000000-0005-0000-0000-0000D9190000}"/>
    <cellStyle name="Normal 2 46 4 2" xfId="6575" xr:uid="{00000000-0005-0000-0000-0000DA190000}"/>
    <cellStyle name="Normal 2 46 4 2 2" xfId="6576" xr:uid="{00000000-0005-0000-0000-0000DB190000}"/>
    <cellStyle name="Normal 2 46 4 3" xfId="6577" xr:uid="{00000000-0005-0000-0000-0000DC190000}"/>
    <cellStyle name="Normal 2 46 5" xfId="6578" xr:uid="{00000000-0005-0000-0000-0000DD190000}"/>
    <cellStyle name="Normal 2 46 5 2" xfId="6579" xr:uid="{00000000-0005-0000-0000-0000DE190000}"/>
    <cellStyle name="Normal 2 46 5 2 2" xfId="6580" xr:uid="{00000000-0005-0000-0000-0000DF190000}"/>
    <cellStyle name="Normal 2 46 5 3" xfId="6581" xr:uid="{00000000-0005-0000-0000-0000E0190000}"/>
    <cellStyle name="Normal 2 46 6" xfId="6582" xr:uid="{00000000-0005-0000-0000-0000E1190000}"/>
    <cellStyle name="Normal 2 46 6 2" xfId="6583" xr:uid="{00000000-0005-0000-0000-0000E2190000}"/>
    <cellStyle name="Normal 2 46 7" xfId="6584" xr:uid="{00000000-0005-0000-0000-0000E3190000}"/>
    <cellStyle name="Normal 2 46 8" xfId="6585" xr:uid="{00000000-0005-0000-0000-0000E4190000}"/>
    <cellStyle name="Normal 2 47" xfId="6586" xr:uid="{00000000-0005-0000-0000-0000E5190000}"/>
    <cellStyle name="Normal 2 47 2" xfId="6587" xr:uid="{00000000-0005-0000-0000-0000E6190000}"/>
    <cellStyle name="Normal 2 47 2 2" xfId="6588" xr:uid="{00000000-0005-0000-0000-0000E7190000}"/>
    <cellStyle name="Normal 2 47 2 2 2" xfId="6589" xr:uid="{00000000-0005-0000-0000-0000E8190000}"/>
    <cellStyle name="Normal 2 47 2 2 2 2" xfId="6590" xr:uid="{00000000-0005-0000-0000-0000E9190000}"/>
    <cellStyle name="Normal 2 47 2 2 3" xfId="6591" xr:uid="{00000000-0005-0000-0000-0000EA190000}"/>
    <cellStyle name="Normal 2 47 2 3" xfId="6592" xr:uid="{00000000-0005-0000-0000-0000EB190000}"/>
    <cellStyle name="Normal 2 47 2 3 2" xfId="6593" xr:uid="{00000000-0005-0000-0000-0000EC190000}"/>
    <cellStyle name="Normal 2 47 2 3 2 2" xfId="6594" xr:uid="{00000000-0005-0000-0000-0000ED190000}"/>
    <cellStyle name="Normal 2 47 2 3 3" xfId="6595" xr:uid="{00000000-0005-0000-0000-0000EE190000}"/>
    <cellStyle name="Normal 2 47 2 4" xfId="6596" xr:uid="{00000000-0005-0000-0000-0000EF190000}"/>
    <cellStyle name="Normal 2 47 2 4 2" xfId="6597" xr:uid="{00000000-0005-0000-0000-0000F0190000}"/>
    <cellStyle name="Normal 2 47 2 5" xfId="6598" xr:uid="{00000000-0005-0000-0000-0000F1190000}"/>
    <cellStyle name="Normal 2 47 2 6" xfId="6599" xr:uid="{00000000-0005-0000-0000-0000F2190000}"/>
    <cellStyle name="Normal 2 47 3" xfId="6600" xr:uid="{00000000-0005-0000-0000-0000F3190000}"/>
    <cellStyle name="Normal 2 47 3 2" xfId="6601" xr:uid="{00000000-0005-0000-0000-0000F4190000}"/>
    <cellStyle name="Normal 2 47 3 2 2" xfId="6602" xr:uid="{00000000-0005-0000-0000-0000F5190000}"/>
    <cellStyle name="Normal 2 47 3 2 2 2" xfId="6603" xr:uid="{00000000-0005-0000-0000-0000F6190000}"/>
    <cellStyle name="Normal 2 47 3 2 3" xfId="6604" xr:uid="{00000000-0005-0000-0000-0000F7190000}"/>
    <cellStyle name="Normal 2 47 3 3" xfId="6605" xr:uid="{00000000-0005-0000-0000-0000F8190000}"/>
    <cellStyle name="Normal 2 47 3 3 2" xfId="6606" xr:uid="{00000000-0005-0000-0000-0000F9190000}"/>
    <cellStyle name="Normal 2 47 3 4" xfId="6607" xr:uid="{00000000-0005-0000-0000-0000FA190000}"/>
    <cellStyle name="Normal 2 47 3 5" xfId="6608" xr:uid="{00000000-0005-0000-0000-0000FB190000}"/>
    <cellStyle name="Normal 2 47 4" xfId="6609" xr:uid="{00000000-0005-0000-0000-0000FC190000}"/>
    <cellStyle name="Normal 2 47 4 2" xfId="6610" xr:uid="{00000000-0005-0000-0000-0000FD190000}"/>
    <cellStyle name="Normal 2 47 4 2 2" xfId="6611" xr:uid="{00000000-0005-0000-0000-0000FE190000}"/>
    <cellStyle name="Normal 2 47 4 3" xfId="6612" xr:uid="{00000000-0005-0000-0000-0000FF190000}"/>
    <cellStyle name="Normal 2 47 5" xfId="6613" xr:uid="{00000000-0005-0000-0000-0000001A0000}"/>
    <cellStyle name="Normal 2 47 5 2" xfId="6614" xr:uid="{00000000-0005-0000-0000-0000011A0000}"/>
    <cellStyle name="Normal 2 47 5 2 2" xfId="6615" xr:uid="{00000000-0005-0000-0000-0000021A0000}"/>
    <cellStyle name="Normal 2 47 5 3" xfId="6616" xr:uid="{00000000-0005-0000-0000-0000031A0000}"/>
    <cellStyle name="Normal 2 47 6" xfId="6617" xr:uid="{00000000-0005-0000-0000-0000041A0000}"/>
    <cellStyle name="Normal 2 47 6 2" xfId="6618" xr:uid="{00000000-0005-0000-0000-0000051A0000}"/>
    <cellStyle name="Normal 2 47 7" xfId="6619" xr:uid="{00000000-0005-0000-0000-0000061A0000}"/>
    <cellStyle name="Normal 2 47 8" xfId="6620" xr:uid="{00000000-0005-0000-0000-0000071A0000}"/>
    <cellStyle name="Normal 2 48" xfId="6621" xr:uid="{00000000-0005-0000-0000-0000081A0000}"/>
    <cellStyle name="Normal 2 48 2" xfId="6622" xr:uid="{00000000-0005-0000-0000-0000091A0000}"/>
    <cellStyle name="Normal 2 48 2 2" xfId="6623" xr:uid="{00000000-0005-0000-0000-00000A1A0000}"/>
    <cellStyle name="Normal 2 48 2 2 2" xfId="6624" xr:uid="{00000000-0005-0000-0000-00000B1A0000}"/>
    <cellStyle name="Normal 2 48 2 2 2 2" xfId="6625" xr:uid="{00000000-0005-0000-0000-00000C1A0000}"/>
    <cellStyle name="Normal 2 48 2 2 3" xfId="6626" xr:uid="{00000000-0005-0000-0000-00000D1A0000}"/>
    <cellStyle name="Normal 2 48 2 3" xfId="6627" xr:uid="{00000000-0005-0000-0000-00000E1A0000}"/>
    <cellStyle name="Normal 2 48 2 3 2" xfId="6628" xr:uid="{00000000-0005-0000-0000-00000F1A0000}"/>
    <cellStyle name="Normal 2 48 2 3 2 2" xfId="6629" xr:uid="{00000000-0005-0000-0000-0000101A0000}"/>
    <cellStyle name="Normal 2 48 2 3 3" xfId="6630" xr:uid="{00000000-0005-0000-0000-0000111A0000}"/>
    <cellStyle name="Normal 2 48 2 4" xfId="6631" xr:uid="{00000000-0005-0000-0000-0000121A0000}"/>
    <cellStyle name="Normal 2 48 2 4 2" xfId="6632" xr:uid="{00000000-0005-0000-0000-0000131A0000}"/>
    <cellStyle name="Normal 2 48 2 5" xfId="6633" xr:uid="{00000000-0005-0000-0000-0000141A0000}"/>
    <cellStyle name="Normal 2 48 2 6" xfId="6634" xr:uid="{00000000-0005-0000-0000-0000151A0000}"/>
    <cellStyle name="Normal 2 48 3" xfId="6635" xr:uid="{00000000-0005-0000-0000-0000161A0000}"/>
    <cellStyle name="Normal 2 48 3 2" xfId="6636" xr:uid="{00000000-0005-0000-0000-0000171A0000}"/>
    <cellStyle name="Normal 2 48 3 2 2" xfId="6637" xr:uid="{00000000-0005-0000-0000-0000181A0000}"/>
    <cellStyle name="Normal 2 48 3 2 2 2" xfId="6638" xr:uid="{00000000-0005-0000-0000-0000191A0000}"/>
    <cellStyle name="Normal 2 48 3 2 3" xfId="6639" xr:uid="{00000000-0005-0000-0000-00001A1A0000}"/>
    <cellStyle name="Normal 2 48 3 3" xfId="6640" xr:uid="{00000000-0005-0000-0000-00001B1A0000}"/>
    <cellStyle name="Normal 2 48 3 3 2" xfId="6641" xr:uid="{00000000-0005-0000-0000-00001C1A0000}"/>
    <cellStyle name="Normal 2 48 3 4" xfId="6642" xr:uid="{00000000-0005-0000-0000-00001D1A0000}"/>
    <cellStyle name="Normal 2 48 3 5" xfId="6643" xr:uid="{00000000-0005-0000-0000-00001E1A0000}"/>
    <cellStyle name="Normal 2 48 4" xfId="6644" xr:uid="{00000000-0005-0000-0000-00001F1A0000}"/>
    <cellStyle name="Normal 2 48 4 2" xfId="6645" xr:uid="{00000000-0005-0000-0000-0000201A0000}"/>
    <cellStyle name="Normal 2 48 4 2 2" xfId="6646" xr:uid="{00000000-0005-0000-0000-0000211A0000}"/>
    <cellStyle name="Normal 2 48 4 3" xfId="6647" xr:uid="{00000000-0005-0000-0000-0000221A0000}"/>
    <cellStyle name="Normal 2 48 5" xfId="6648" xr:uid="{00000000-0005-0000-0000-0000231A0000}"/>
    <cellStyle name="Normal 2 48 5 2" xfId="6649" xr:uid="{00000000-0005-0000-0000-0000241A0000}"/>
    <cellStyle name="Normal 2 48 5 2 2" xfId="6650" xr:uid="{00000000-0005-0000-0000-0000251A0000}"/>
    <cellStyle name="Normal 2 48 5 3" xfId="6651" xr:uid="{00000000-0005-0000-0000-0000261A0000}"/>
    <cellStyle name="Normal 2 48 6" xfId="6652" xr:uid="{00000000-0005-0000-0000-0000271A0000}"/>
    <cellStyle name="Normal 2 48 6 2" xfId="6653" xr:uid="{00000000-0005-0000-0000-0000281A0000}"/>
    <cellStyle name="Normal 2 48 7" xfId="6654" xr:uid="{00000000-0005-0000-0000-0000291A0000}"/>
    <cellStyle name="Normal 2 48 8" xfId="6655" xr:uid="{00000000-0005-0000-0000-00002A1A0000}"/>
    <cellStyle name="Normal 2 49" xfId="6656" xr:uid="{00000000-0005-0000-0000-00002B1A0000}"/>
    <cellStyle name="Normal 2 49 2" xfId="6657" xr:uid="{00000000-0005-0000-0000-00002C1A0000}"/>
    <cellStyle name="Normal 2 49 2 2" xfId="6658" xr:uid="{00000000-0005-0000-0000-00002D1A0000}"/>
    <cellStyle name="Normal 2 49 2 2 2" xfId="6659" xr:uid="{00000000-0005-0000-0000-00002E1A0000}"/>
    <cellStyle name="Normal 2 49 2 2 2 2" xfId="6660" xr:uid="{00000000-0005-0000-0000-00002F1A0000}"/>
    <cellStyle name="Normal 2 49 2 2 3" xfId="6661" xr:uid="{00000000-0005-0000-0000-0000301A0000}"/>
    <cellStyle name="Normal 2 49 2 3" xfId="6662" xr:uid="{00000000-0005-0000-0000-0000311A0000}"/>
    <cellStyle name="Normal 2 49 2 3 2" xfId="6663" xr:uid="{00000000-0005-0000-0000-0000321A0000}"/>
    <cellStyle name="Normal 2 49 2 3 2 2" xfId="6664" xr:uid="{00000000-0005-0000-0000-0000331A0000}"/>
    <cellStyle name="Normal 2 49 2 3 3" xfId="6665" xr:uid="{00000000-0005-0000-0000-0000341A0000}"/>
    <cellStyle name="Normal 2 49 2 4" xfId="6666" xr:uid="{00000000-0005-0000-0000-0000351A0000}"/>
    <cellStyle name="Normal 2 49 2 4 2" xfId="6667" xr:uid="{00000000-0005-0000-0000-0000361A0000}"/>
    <cellStyle name="Normal 2 49 2 5" xfId="6668" xr:uid="{00000000-0005-0000-0000-0000371A0000}"/>
    <cellStyle name="Normal 2 49 2 6" xfId="6669" xr:uid="{00000000-0005-0000-0000-0000381A0000}"/>
    <cellStyle name="Normal 2 49 3" xfId="6670" xr:uid="{00000000-0005-0000-0000-0000391A0000}"/>
    <cellStyle name="Normal 2 49 3 2" xfId="6671" xr:uid="{00000000-0005-0000-0000-00003A1A0000}"/>
    <cellStyle name="Normal 2 49 3 2 2" xfId="6672" xr:uid="{00000000-0005-0000-0000-00003B1A0000}"/>
    <cellStyle name="Normal 2 49 3 2 2 2" xfId="6673" xr:uid="{00000000-0005-0000-0000-00003C1A0000}"/>
    <cellStyle name="Normal 2 49 3 2 3" xfId="6674" xr:uid="{00000000-0005-0000-0000-00003D1A0000}"/>
    <cellStyle name="Normal 2 49 3 3" xfId="6675" xr:uid="{00000000-0005-0000-0000-00003E1A0000}"/>
    <cellStyle name="Normal 2 49 3 3 2" xfId="6676" xr:uid="{00000000-0005-0000-0000-00003F1A0000}"/>
    <cellStyle name="Normal 2 49 3 4" xfId="6677" xr:uid="{00000000-0005-0000-0000-0000401A0000}"/>
    <cellStyle name="Normal 2 49 3 5" xfId="6678" xr:uid="{00000000-0005-0000-0000-0000411A0000}"/>
    <cellStyle name="Normal 2 49 4" xfId="6679" xr:uid="{00000000-0005-0000-0000-0000421A0000}"/>
    <cellStyle name="Normal 2 49 4 2" xfId="6680" xr:uid="{00000000-0005-0000-0000-0000431A0000}"/>
    <cellStyle name="Normal 2 49 4 2 2" xfId="6681" xr:uid="{00000000-0005-0000-0000-0000441A0000}"/>
    <cellStyle name="Normal 2 49 4 3" xfId="6682" xr:uid="{00000000-0005-0000-0000-0000451A0000}"/>
    <cellStyle name="Normal 2 49 5" xfId="6683" xr:uid="{00000000-0005-0000-0000-0000461A0000}"/>
    <cellStyle name="Normal 2 49 5 2" xfId="6684" xr:uid="{00000000-0005-0000-0000-0000471A0000}"/>
    <cellStyle name="Normal 2 49 5 2 2" xfId="6685" xr:uid="{00000000-0005-0000-0000-0000481A0000}"/>
    <cellStyle name="Normal 2 49 5 3" xfId="6686" xr:uid="{00000000-0005-0000-0000-0000491A0000}"/>
    <cellStyle name="Normal 2 49 6" xfId="6687" xr:uid="{00000000-0005-0000-0000-00004A1A0000}"/>
    <cellStyle name="Normal 2 49 6 2" xfId="6688" xr:uid="{00000000-0005-0000-0000-00004B1A0000}"/>
    <cellStyle name="Normal 2 49 7" xfId="6689" xr:uid="{00000000-0005-0000-0000-00004C1A0000}"/>
    <cellStyle name="Normal 2 49 8" xfId="6690" xr:uid="{00000000-0005-0000-0000-00004D1A0000}"/>
    <cellStyle name="Normal 2 5" xfId="6691" xr:uid="{00000000-0005-0000-0000-00004E1A0000}"/>
    <cellStyle name="Normal 2 5 10" xfId="6692" xr:uid="{00000000-0005-0000-0000-00004F1A0000}"/>
    <cellStyle name="Normal 2 5 10 2" xfId="6693" xr:uid="{00000000-0005-0000-0000-0000501A0000}"/>
    <cellStyle name="Normal 2 5 10 2 2" xfId="6694" xr:uid="{00000000-0005-0000-0000-0000511A0000}"/>
    <cellStyle name="Normal 2 5 10 2 2 2" xfId="6695" xr:uid="{00000000-0005-0000-0000-0000521A0000}"/>
    <cellStyle name="Normal 2 5 10 2 3" xfId="6696" xr:uid="{00000000-0005-0000-0000-0000531A0000}"/>
    <cellStyle name="Normal 2 5 10 3" xfId="6697" xr:uid="{00000000-0005-0000-0000-0000541A0000}"/>
    <cellStyle name="Normal 2 5 10 4" xfId="6698" xr:uid="{00000000-0005-0000-0000-0000551A0000}"/>
    <cellStyle name="Normal 2 5 10 4 2" xfId="6699" xr:uid="{00000000-0005-0000-0000-0000561A0000}"/>
    <cellStyle name="Normal 2 5 10 5" xfId="6700" xr:uid="{00000000-0005-0000-0000-0000571A0000}"/>
    <cellStyle name="Normal 2 5 11" xfId="6701" xr:uid="{00000000-0005-0000-0000-0000581A0000}"/>
    <cellStyle name="Normal 2 5 11 2" xfId="6702" xr:uid="{00000000-0005-0000-0000-0000591A0000}"/>
    <cellStyle name="Normal 2 5 11 2 2" xfId="6703" xr:uid="{00000000-0005-0000-0000-00005A1A0000}"/>
    <cellStyle name="Normal 2 5 11 2 2 2" xfId="6704" xr:uid="{00000000-0005-0000-0000-00005B1A0000}"/>
    <cellStyle name="Normal 2 5 11 2 3" xfId="6705" xr:uid="{00000000-0005-0000-0000-00005C1A0000}"/>
    <cellStyle name="Normal 2 5 11 3" xfId="6706" xr:uid="{00000000-0005-0000-0000-00005D1A0000}"/>
    <cellStyle name="Normal 2 5 11 3 2" xfId="6707" xr:uid="{00000000-0005-0000-0000-00005E1A0000}"/>
    <cellStyle name="Normal 2 5 11 4" xfId="6708" xr:uid="{00000000-0005-0000-0000-00005F1A0000}"/>
    <cellStyle name="Normal 2 5 11 5" xfId="6709" xr:uid="{00000000-0005-0000-0000-0000601A0000}"/>
    <cellStyle name="Normal 2 5 12" xfId="6710" xr:uid="{00000000-0005-0000-0000-0000611A0000}"/>
    <cellStyle name="Normal 2 5 12 2" xfId="6711" xr:uid="{00000000-0005-0000-0000-0000621A0000}"/>
    <cellStyle name="Normal 2 5 12 2 2" xfId="6712" xr:uid="{00000000-0005-0000-0000-0000631A0000}"/>
    <cellStyle name="Normal 2 5 12 3" xfId="6713" xr:uid="{00000000-0005-0000-0000-0000641A0000}"/>
    <cellStyle name="Normal 2 5 12 4" xfId="6714" xr:uid="{00000000-0005-0000-0000-0000651A0000}"/>
    <cellStyle name="Normal 2 5 13" xfId="6715" xr:uid="{00000000-0005-0000-0000-0000661A0000}"/>
    <cellStyle name="Normal 2 5 13 2" xfId="6716" xr:uid="{00000000-0005-0000-0000-0000671A0000}"/>
    <cellStyle name="Normal 2 5 13 2 2" xfId="6717" xr:uid="{00000000-0005-0000-0000-0000681A0000}"/>
    <cellStyle name="Normal 2 5 13 3" xfId="6718" xr:uid="{00000000-0005-0000-0000-0000691A0000}"/>
    <cellStyle name="Normal 2 5 14" xfId="6719" xr:uid="{00000000-0005-0000-0000-00006A1A0000}"/>
    <cellStyle name="Normal 2 5 14 2" xfId="6720" xr:uid="{00000000-0005-0000-0000-00006B1A0000}"/>
    <cellStyle name="Normal 2 5 14 2 2" xfId="6721" xr:uid="{00000000-0005-0000-0000-00006C1A0000}"/>
    <cellStyle name="Normal 2 5 14 3" xfId="6722" xr:uid="{00000000-0005-0000-0000-00006D1A0000}"/>
    <cellStyle name="Normal 2 5 15" xfId="6723" xr:uid="{00000000-0005-0000-0000-00006E1A0000}"/>
    <cellStyle name="Normal 2 5 15 2" xfId="6724" xr:uid="{00000000-0005-0000-0000-00006F1A0000}"/>
    <cellStyle name="Normal 2 5 16" xfId="6725" xr:uid="{00000000-0005-0000-0000-0000701A0000}"/>
    <cellStyle name="Normal 2 5 17" xfId="6726" xr:uid="{00000000-0005-0000-0000-0000711A0000}"/>
    <cellStyle name="Normal 2 5 2" xfId="6727" xr:uid="{00000000-0005-0000-0000-0000721A0000}"/>
    <cellStyle name="Normal 2 5 2 2" xfId="6728" xr:uid="{00000000-0005-0000-0000-0000731A0000}"/>
    <cellStyle name="Normal 2 5 2 2 2" xfId="6729" xr:uid="{00000000-0005-0000-0000-0000741A0000}"/>
    <cellStyle name="Normal 2 5 2 3" xfId="6730" xr:uid="{00000000-0005-0000-0000-0000751A0000}"/>
    <cellStyle name="Normal 2 5 2 3 2" xfId="6731" xr:uid="{00000000-0005-0000-0000-0000761A0000}"/>
    <cellStyle name="Normal 2 5 2 4" xfId="6732" xr:uid="{00000000-0005-0000-0000-0000771A0000}"/>
    <cellStyle name="Normal 2 5 2 4 2" xfId="6733" xr:uid="{00000000-0005-0000-0000-0000781A0000}"/>
    <cellStyle name="Normal 2 5 2 5" xfId="6734" xr:uid="{00000000-0005-0000-0000-0000791A0000}"/>
    <cellStyle name="Normal 2 5 2 6" xfId="6735" xr:uid="{00000000-0005-0000-0000-00007A1A0000}"/>
    <cellStyle name="Normal 2 5 3" xfId="6736" xr:uid="{00000000-0005-0000-0000-00007B1A0000}"/>
    <cellStyle name="Normal 2 5 3 2" xfId="6737" xr:uid="{00000000-0005-0000-0000-00007C1A0000}"/>
    <cellStyle name="Normal 2 5 4" xfId="6738" xr:uid="{00000000-0005-0000-0000-00007D1A0000}"/>
    <cellStyle name="Normal 2 5 4 2" xfId="6739" xr:uid="{00000000-0005-0000-0000-00007E1A0000}"/>
    <cellStyle name="Normal 2 5 4 2 2" xfId="6740" xr:uid="{00000000-0005-0000-0000-00007F1A0000}"/>
    <cellStyle name="Normal 2 5 4 2 2 2" xfId="6741" xr:uid="{00000000-0005-0000-0000-0000801A0000}"/>
    <cellStyle name="Normal 2 5 4 2 2 3" xfId="6742" xr:uid="{00000000-0005-0000-0000-0000811A0000}"/>
    <cellStyle name="Normal 2 5 4 3" xfId="6743" xr:uid="{00000000-0005-0000-0000-0000821A0000}"/>
    <cellStyle name="Normal 2 5 4 4" xfId="6744" xr:uid="{00000000-0005-0000-0000-0000831A0000}"/>
    <cellStyle name="Normal 2 5 5" xfId="6745" xr:uid="{00000000-0005-0000-0000-0000841A0000}"/>
    <cellStyle name="Normal 2 5 5 2" xfId="6746" xr:uid="{00000000-0005-0000-0000-0000851A0000}"/>
    <cellStyle name="Normal 2 5 6" xfId="6747" xr:uid="{00000000-0005-0000-0000-0000861A0000}"/>
    <cellStyle name="Normal 2 5 6 2" xfId="6748" xr:uid="{00000000-0005-0000-0000-0000871A0000}"/>
    <cellStyle name="Normal 2 5 7" xfId="6749" xr:uid="{00000000-0005-0000-0000-0000881A0000}"/>
    <cellStyle name="Normal 2 5 8" xfId="6750" xr:uid="{00000000-0005-0000-0000-0000891A0000}"/>
    <cellStyle name="Normal 2 5 8 2" xfId="6751" xr:uid="{00000000-0005-0000-0000-00008A1A0000}"/>
    <cellStyle name="Normal 2 5 8 2 2" xfId="6752" xr:uid="{00000000-0005-0000-0000-00008B1A0000}"/>
    <cellStyle name="Normal 2 5 8 2 2 2" xfId="6753" xr:uid="{00000000-0005-0000-0000-00008C1A0000}"/>
    <cellStyle name="Normal 2 5 8 2 2 2 2" xfId="6754" xr:uid="{00000000-0005-0000-0000-00008D1A0000}"/>
    <cellStyle name="Normal 2 5 8 2 2 3" xfId="6755" xr:uid="{00000000-0005-0000-0000-00008E1A0000}"/>
    <cellStyle name="Normal 2 5 8 2 3" xfId="6756" xr:uid="{00000000-0005-0000-0000-00008F1A0000}"/>
    <cellStyle name="Normal 2 5 8 2 3 2" xfId="6757" xr:uid="{00000000-0005-0000-0000-0000901A0000}"/>
    <cellStyle name="Normal 2 5 8 2 3 2 2" xfId="6758" xr:uid="{00000000-0005-0000-0000-0000911A0000}"/>
    <cellStyle name="Normal 2 5 8 2 3 3" xfId="6759" xr:uid="{00000000-0005-0000-0000-0000921A0000}"/>
    <cellStyle name="Normal 2 5 8 2 4" xfId="6760" xr:uid="{00000000-0005-0000-0000-0000931A0000}"/>
    <cellStyle name="Normal 2 5 8 2 4 2" xfId="6761" xr:uid="{00000000-0005-0000-0000-0000941A0000}"/>
    <cellStyle name="Normal 2 5 8 2 5" xfId="6762" xr:uid="{00000000-0005-0000-0000-0000951A0000}"/>
    <cellStyle name="Normal 2 5 8 2 6" xfId="6763" xr:uid="{00000000-0005-0000-0000-0000961A0000}"/>
    <cellStyle name="Normal 2 5 8 3" xfId="6764" xr:uid="{00000000-0005-0000-0000-0000971A0000}"/>
    <cellStyle name="Normal 2 5 8 3 2" xfId="6765" xr:uid="{00000000-0005-0000-0000-0000981A0000}"/>
    <cellStyle name="Normal 2 5 8 3 2 2" xfId="6766" xr:uid="{00000000-0005-0000-0000-0000991A0000}"/>
    <cellStyle name="Normal 2 5 8 3 2 2 2" xfId="6767" xr:uid="{00000000-0005-0000-0000-00009A1A0000}"/>
    <cellStyle name="Normal 2 5 8 3 2 3" xfId="6768" xr:uid="{00000000-0005-0000-0000-00009B1A0000}"/>
    <cellStyle name="Normal 2 5 8 3 3" xfId="6769" xr:uid="{00000000-0005-0000-0000-00009C1A0000}"/>
    <cellStyle name="Normal 2 5 8 3 3 2" xfId="6770" xr:uid="{00000000-0005-0000-0000-00009D1A0000}"/>
    <cellStyle name="Normal 2 5 8 3 4" xfId="6771" xr:uid="{00000000-0005-0000-0000-00009E1A0000}"/>
    <cellStyle name="Normal 2 5 8 3 5" xfId="6772" xr:uid="{00000000-0005-0000-0000-00009F1A0000}"/>
    <cellStyle name="Normal 2 5 8 4" xfId="6773" xr:uid="{00000000-0005-0000-0000-0000A01A0000}"/>
    <cellStyle name="Normal 2 5 8 4 2" xfId="6774" xr:uid="{00000000-0005-0000-0000-0000A11A0000}"/>
    <cellStyle name="Normal 2 5 8 4 2 2" xfId="6775" xr:uid="{00000000-0005-0000-0000-0000A21A0000}"/>
    <cellStyle name="Normal 2 5 8 4 3" xfId="6776" xr:uid="{00000000-0005-0000-0000-0000A31A0000}"/>
    <cellStyle name="Normal 2 5 8 5" xfId="6777" xr:uid="{00000000-0005-0000-0000-0000A41A0000}"/>
    <cellStyle name="Normal 2 5 8 5 2" xfId="6778" xr:uid="{00000000-0005-0000-0000-0000A51A0000}"/>
    <cellStyle name="Normal 2 5 8 5 2 2" xfId="6779" xr:uid="{00000000-0005-0000-0000-0000A61A0000}"/>
    <cellStyle name="Normal 2 5 8 5 3" xfId="6780" xr:uid="{00000000-0005-0000-0000-0000A71A0000}"/>
    <cellStyle name="Normal 2 5 8 6" xfId="6781" xr:uid="{00000000-0005-0000-0000-0000A81A0000}"/>
    <cellStyle name="Normal 2 5 8 6 2" xfId="6782" xr:uid="{00000000-0005-0000-0000-0000A91A0000}"/>
    <cellStyle name="Normal 2 5 8 7" xfId="6783" xr:uid="{00000000-0005-0000-0000-0000AA1A0000}"/>
    <cellStyle name="Normal 2 5 8 8" xfId="6784" xr:uid="{00000000-0005-0000-0000-0000AB1A0000}"/>
    <cellStyle name="Normal 2 5 9" xfId="6785" xr:uid="{00000000-0005-0000-0000-0000AC1A0000}"/>
    <cellStyle name="Normal 2 50" xfId="6786" xr:uid="{00000000-0005-0000-0000-0000AD1A0000}"/>
    <cellStyle name="Normal 2 50 2" xfId="6787" xr:uid="{00000000-0005-0000-0000-0000AE1A0000}"/>
    <cellStyle name="Normal 2 50 2 2" xfId="6788" xr:uid="{00000000-0005-0000-0000-0000AF1A0000}"/>
    <cellStyle name="Normal 2 50 2 2 2" xfId="6789" xr:uid="{00000000-0005-0000-0000-0000B01A0000}"/>
    <cellStyle name="Normal 2 50 2 2 2 2" xfId="6790" xr:uid="{00000000-0005-0000-0000-0000B11A0000}"/>
    <cellStyle name="Normal 2 50 2 2 3" xfId="6791" xr:uid="{00000000-0005-0000-0000-0000B21A0000}"/>
    <cellStyle name="Normal 2 50 2 3" xfId="6792" xr:uid="{00000000-0005-0000-0000-0000B31A0000}"/>
    <cellStyle name="Normal 2 50 2 3 2" xfId="6793" xr:uid="{00000000-0005-0000-0000-0000B41A0000}"/>
    <cellStyle name="Normal 2 50 2 3 2 2" xfId="6794" xr:uid="{00000000-0005-0000-0000-0000B51A0000}"/>
    <cellStyle name="Normal 2 50 2 3 3" xfId="6795" xr:uid="{00000000-0005-0000-0000-0000B61A0000}"/>
    <cellStyle name="Normal 2 50 2 4" xfId="6796" xr:uid="{00000000-0005-0000-0000-0000B71A0000}"/>
    <cellStyle name="Normal 2 50 2 4 2" xfId="6797" xr:uid="{00000000-0005-0000-0000-0000B81A0000}"/>
    <cellStyle name="Normal 2 50 2 5" xfId="6798" xr:uid="{00000000-0005-0000-0000-0000B91A0000}"/>
    <cellStyle name="Normal 2 50 2 6" xfId="6799" xr:uid="{00000000-0005-0000-0000-0000BA1A0000}"/>
    <cellStyle name="Normal 2 50 3" xfId="6800" xr:uid="{00000000-0005-0000-0000-0000BB1A0000}"/>
    <cellStyle name="Normal 2 50 3 2" xfId="6801" xr:uid="{00000000-0005-0000-0000-0000BC1A0000}"/>
    <cellStyle name="Normal 2 50 3 2 2" xfId="6802" xr:uid="{00000000-0005-0000-0000-0000BD1A0000}"/>
    <cellStyle name="Normal 2 50 3 2 2 2" xfId="6803" xr:uid="{00000000-0005-0000-0000-0000BE1A0000}"/>
    <cellStyle name="Normal 2 50 3 2 3" xfId="6804" xr:uid="{00000000-0005-0000-0000-0000BF1A0000}"/>
    <cellStyle name="Normal 2 50 3 3" xfId="6805" xr:uid="{00000000-0005-0000-0000-0000C01A0000}"/>
    <cellStyle name="Normal 2 50 3 3 2" xfId="6806" xr:uid="{00000000-0005-0000-0000-0000C11A0000}"/>
    <cellStyle name="Normal 2 50 3 4" xfId="6807" xr:uid="{00000000-0005-0000-0000-0000C21A0000}"/>
    <cellStyle name="Normal 2 50 3 5" xfId="6808" xr:uid="{00000000-0005-0000-0000-0000C31A0000}"/>
    <cellStyle name="Normal 2 50 4" xfId="6809" xr:uid="{00000000-0005-0000-0000-0000C41A0000}"/>
    <cellStyle name="Normal 2 50 4 2" xfId="6810" xr:uid="{00000000-0005-0000-0000-0000C51A0000}"/>
    <cellStyle name="Normal 2 50 4 2 2" xfId="6811" xr:uid="{00000000-0005-0000-0000-0000C61A0000}"/>
    <cellStyle name="Normal 2 50 4 3" xfId="6812" xr:uid="{00000000-0005-0000-0000-0000C71A0000}"/>
    <cellStyle name="Normal 2 50 5" xfId="6813" xr:uid="{00000000-0005-0000-0000-0000C81A0000}"/>
    <cellStyle name="Normal 2 50 5 2" xfId="6814" xr:uid="{00000000-0005-0000-0000-0000C91A0000}"/>
    <cellStyle name="Normal 2 50 5 2 2" xfId="6815" xr:uid="{00000000-0005-0000-0000-0000CA1A0000}"/>
    <cellStyle name="Normal 2 50 5 3" xfId="6816" xr:uid="{00000000-0005-0000-0000-0000CB1A0000}"/>
    <cellStyle name="Normal 2 50 6" xfId="6817" xr:uid="{00000000-0005-0000-0000-0000CC1A0000}"/>
    <cellStyle name="Normal 2 50 6 2" xfId="6818" xr:uid="{00000000-0005-0000-0000-0000CD1A0000}"/>
    <cellStyle name="Normal 2 50 7" xfId="6819" xr:uid="{00000000-0005-0000-0000-0000CE1A0000}"/>
    <cellStyle name="Normal 2 50 8" xfId="6820" xr:uid="{00000000-0005-0000-0000-0000CF1A0000}"/>
    <cellStyle name="Normal 2 51" xfId="6821" xr:uid="{00000000-0005-0000-0000-0000D01A0000}"/>
    <cellStyle name="Normal 2 51 2" xfId="6822" xr:uid="{00000000-0005-0000-0000-0000D11A0000}"/>
    <cellStyle name="Normal 2 51 2 2" xfId="6823" xr:uid="{00000000-0005-0000-0000-0000D21A0000}"/>
    <cellStyle name="Normal 2 51 2 2 2" xfId="6824" xr:uid="{00000000-0005-0000-0000-0000D31A0000}"/>
    <cellStyle name="Normal 2 51 2 2 2 2" xfId="6825" xr:uid="{00000000-0005-0000-0000-0000D41A0000}"/>
    <cellStyle name="Normal 2 51 2 2 3" xfId="6826" xr:uid="{00000000-0005-0000-0000-0000D51A0000}"/>
    <cellStyle name="Normal 2 51 2 3" xfId="6827" xr:uid="{00000000-0005-0000-0000-0000D61A0000}"/>
    <cellStyle name="Normal 2 51 2 3 2" xfId="6828" xr:uid="{00000000-0005-0000-0000-0000D71A0000}"/>
    <cellStyle name="Normal 2 51 2 3 2 2" xfId="6829" xr:uid="{00000000-0005-0000-0000-0000D81A0000}"/>
    <cellStyle name="Normal 2 51 2 3 3" xfId="6830" xr:uid="{00000000-0005-0000-0000-0000D91A0000}"/>
    <cellStyle name="Normal 2 51 2 4" xfId="6831" xr:uid="{00000000-0005-0000-0000-0000DA1A0000}"/>
    <cellStyle name="Normal 2 51 2 4 2" xfId="6832" xr:uid="{00000000-0005-0000-0000-0000DB1A0000}"/>
    <cellStyle name="Normal 2 51 2 5" xfId="6833" xr:uid="{00000000-0005-0000-0000-0000DC1A0000}"/>
    <cellStyle name="Normal 2 51 2 6" xfId="6834" xr:uid="{00000000-0005-0000-0000-0000DD1A0000}"/>
    <cellStyle name="Normal 2 51 3" xfId="6835" xr:uid="{00000000-0005-0000-0000-0000DE1A0000}"/>
    <cellStyle name="Normal 2 51 3 2" xfId="6836" xr:uid="{00000000-0005-0000-0000-0000DF1A0000}"/>
    <cellStyle name="Normal 2 51 3 2 2" xfId="6837" xr:uid="{00000000-0005-0000-0000-0000E01A0000}"/>
    <cellStyle name="Normal 2 51 3 2 2 2" xfId="6838" xr:uid="{00000000-0005-0000-0000-0000E11A0000}"/>
    <cellStyle name="Normal 2 51 3 2 3" xfId="6839" xr:uid="{00000000-0005-0000-0000-0000E21A0000}"/>
    <cellStyle name="Normal 2 51 3 3" xfId="6840" xr:uid="{00000000-0005-0000-0000-0000E31A0000}"/>
    <cellStyle name="Normal 2 51 3 3 2" xfId="6841" xr:uid="{00000000-0005-0000-0000-0000E41A0000}"/>
    <cellStyle name="Normal 2 51 3 4" xfId="6842" xr:uid="{00000000-0005-0000-0000-0000E51A0000}"/>
    <cellStyle name="Normal 2 51 3 5" xfId="6843" xr:uid="{00000000-0005-0000-0000-0000E61A0000}"/>
    <cellStyle name="Normal 2 51 4" xfId="6844" xr:uid="{00000000-0005-0000-0000-0000E71A0000}"/>
    <cellStyle name="Normal 2 51 4 2" xfId="6845" xr:uid="{00000000-0005-0000-0000-0000E81A0000}"/>
    <cellStyle name="Normal 2 51 4 2 2" xfId="6846" xr:uid="{00000000-0005-0000-0000-0000E91A0000}"/>
    <cellStyle name="Normal 2 51 4 3" xfId="6847" xr:uid="{00000000-0005-0000-0000-0000EA1A0000}"/>
    <cellStyle name="Normal 2 51 5" xfId="6848" xr:uid="{00000000-0005-0000-0000-0000EB1A0000}"/>
    <cellStyle name="Normal 2 51 5 2" xfId="6849" xr:uid="{00000000-0005-0000-0000-0000EC1A0000}"/>
    <cellStyle name="Normal 2 51 5 2 2" xfId="6850" xr:uid="{00000000-0005-0000-0000-0000ED1A0000}"/>
    <cellStyle name="Normal 2 51 5 3" xfId="6851" xr:uid="{00000000-0005-0000-0000-0000EE1A0000}"/>
    <cellStyle name="Normal 2 51 6" xfId="6852" xr:uid="{00000000-0005-0000-0000-0000EF1A0000}"/>
    <cellStyle name="Normal 2 51 6 2" xfId="6853" xr:uid="{00000000-0005-0000-0000-0000F01A0000}"/>
    <cellStyle name="Normal 2 51 7" xfId="6854" xr:uid="{00000000-0005-0000-0000-0000F11A0000}"/>
    <cellStyle name="Normal 2 51 8" xfId="6855" xr:uid="{00000000-0005-0000-0000-0000F21A0000}"/>
    <cellStyle name="Normal 2 52" xfId="6856" xr:uid="{00000000-0005-0000-0000-0000F31A0000}"/>
    <cellStyle name="Normal 2 53" xfId="6857" xr:uid="{00000000-0005-0000-0000-0000F41A0000}"/>
    <cellStyle name="Normal 2 53 2" xfId="6858" xr:uid="{00000000-0005-0000-0000-0000F51A0000}"/>
    <cellStyle name="Normal 2 53 3" xfId="6859" xr:uid="{00000000-0005-0000-0000-0000F61A0000}"/>
    <cellStyle name="Normal 2 53 4" xfId="6860" xr:uid="{00000000-0005-0000-0000-0000F71A0000}"/>
    <cellStyle name="Normal 2 53 4 2" xfId="6861" xr:uid="{00000000-0005-0000-0000-0000F81A0000}"/>
    <cellStyle name="Normal 2 53 5" xfId="6862" xr:uid="{00000000-0005-0000-0000-0000F91A0000}"/>
    <cellStyle name="Normal 2 54" xfId="6863" xr:uid="{00000000-0005-0000-0000-0000FA1A0000}"/>
    <cellStyle name="Normal 2 54 2" xfId="6864" xr:uid="{00000000-0005-0000-0000-0000FB1A0000}"/>
    <cellStyle name="Normal 2 54 2 2" xfId="6865" xr:uid="{00000000-0005-0000-0000-0000FC1A0000}"/>
    <cellStyle name="Normal 2 54 2 2 2" xfId="6866" xr:uid="{00000000-0005-0000-0000-0000FD1A0000}"/>
    <cellStyle name="Normal 2 54 2 3" xfId="6867" xr:uid="{00000000-0005-0000-0000-0000FE1A0000}"/>
    <cellStyle name="Normal 2 54 3" xfId="6868" xr:uid="{00000000-0005-0000-0000-0000FF1A0000}"/>
    <cellStyle name="Normal 2 54 3 2" xfId="6869" xr:uid="{00000000-0005-0000-0000-0000001B0000}"/>
    <cellStyle name="Normal 2 54 3 2 2" xfId="6870" xr:uid="{00000000-0005-0000-0000-0000011B0000}"/>
    <cellStyle name="Normal 2 54 3 3" xfId="6871" xr:uid="{00000000-0005-0000-0000-0000021B0000}"/>
    <cellStyle name="Normal 2 54 3 4" xfId="6872" xr:uid="{00000000-0005-0000-0000-0000031B0000}"/>
    <cellStyle name="Normal 2 54 4" xfId="6873" xr:uid="{00000000-0005-0000-0000-0000041B0000}"/>
    <cellStyle name="Normal 2 54 4 2" xfId="6874" xr:uid="{00000000-0005-0000-0000-0000051B0000}"/>
    <cellStyle name="Normal 2 54 5" xfId="6875" xr:uid="{00000000-0005-0000-0000-0000061B0000}"/>
    <cellStyle name="Normal 2 55" xfId="6876" xr:uid="{00000000-0005-0000-0000-0000071B0000}"/>
    <cellStyle name="Normal 2 56" xfId="6877" xr:uid="{00000000-0005-0000-0000-0000081B0000}"/>
    <cellStyle name="Normal 2 57" xfId="6878" xr:uid="{00000000-0005-0000-0000-0000091B0000}"/>
    <cellStyle name="Normal 2 6" xfId="6879" xr:uid="{00000000-0005-0000-0000-00000A1B0000}"/>
    <cellStyle name="Normal 2 6 10" xfId="6880" xr:uid="{00000000-0005-0000-0000-00000B1B0000}"/>
    <cellStyle name="Normal 2 6 10 2" xfId="6881" xr:uid="{00000000-0005-0000-0000-00000C1B0000}"/>
    <cellStyle name="Normal 2 6 10 2 2" xfId="6882" xr:uid="{00000000-0005-0000-0000-00000D1B0000}"/>
    <cellStyle name="Normal 2 6 10 2 2 2" xfId="6883" xr:uid="{00000000-0005-0000-0000-00000E1B0000}"/>
    <cellStyle name="Normal 2 6 10 2 3" xfId="6884" xr:uid="{00000000-0005-0000-0000-00000F1B0000}"/>
    <cellStyle name="Normal 2 6 10 3" xfId="6885" xr:uid="{00000000-0005-0000-0000-0000101B0000}"/>
    <cellStyle name="Normal 2 6 10 3 2" xfId="6886" xr:uid="{00000000-0005-0000-0000-0000111B0000}"/>
    <cellStyle name="Normal 2 6 10 4" xfId="6887" xr:uid="{00000000-0005-0000-0000-0000121B0000}"/>
    <cellStyle name="Normal 2 6 10 5" xfId="6888" xr:uid="{00000000-0005-0000-0000-0000131B0000}"/>
    <cellStyle name="Normal 2 6 11" xfId="6889" xr:uid="{00000000-0005-0000-0000-0000141B0000}"/>
    <cellStyle name="Normal 2 6 11 2" xfId="6890" xr:uid="{00000000-0005-0000-0000-0000151B0000}"/>
    <cellStyle name="Normal 2 6 11 2 2" xfId="6891" xr:uid="{00000000-0005-0000-0000-0000161B0000}"/>
    <cellStyle name="Normal 2 6 11 3" xfId="6892" xr:uid="{00000000-0005-0000-0000-0000171B0000}"/>
    <cellStyle name="Normal 2 6 11 4" xfId="6893" xr:uid="{00000000-0005-0000-0000-0000181B0000}"/>
    <cellStyle name="Normal 2 6 12" xfId="6894" xr:uid="{00000000-0005-0000-0000-0000191B0000}"/>
    <cellStyle name="Normal 2 6 12 2" xfId="6895" xr:uid="{00000000-0005-0000-0000-00001A1B0000}"/>
    <cellStyle name="Normal 2 6 12 2 2" xfId="6896" xr:uid="{00000000-0005-0000-0000-00001B1B0000}"/>
    <cellStyle name="Normal 2 6 12 3" xfId="6897" xr:uid="{00000000-0005-0000-0000-00001C1B0000}"/>
    <cellStyle name="Normal 2 6 13" xfId="6898" xr:uid="{00000000-0005-0000-0000-00001D1B0000}"/>
    <cellStyle name="Normal 2 6 13 2" xfId="6899" xr:uid="{00000000-0005-0000-0000-00001E1B0000}"/>
    <cellStyle name="Normal 2 6 13 2 2" xfId="6900" xr:uid="{00000000-0005-0000-0000-00001F1B0000}"/>
    <cellStyle name="Normal 2 6 13 3" xfId="6901" xr:uid="{00000000-0005-0000-0000-0000201B0000}"/>
    <cellStyle name="Normal 2 6 14" xfId="6902" xr:uid="{00000000-0005-0000-0000-0000211B0000}"/>
    <cellStyle name="Normal 2 6 14 2" xfId="6903" xr:uid="{00000000-0005-0000-0000-0000221B0000}"/>
    <cellStyle name="Normal 2 6 15" xfId="6904" xr:uid="{00000000-0005-0000-0000-0000231B0000}"/>
    <cellStyle name="Normal 2 6 16" xfId="6905" xr:uid="{00000000-0005-0000-0000-0000241B0000}"/>
    <cellStyle name="Normal 2 6 2" xfId="6906" xr:uid="{00000000-0005-0000-0000-0000251B0000}"/>
    <cellStyle name="Normal 2 6 2 2" xfId="6907" xr:uid="{00000000-0005-0000-0000-0000261B0000}"/>
    <cellStyle name="Normal 2 6 2 2 2" xfId="6908" xr:uid="{00000000-0005-0000-0000-0000271B0000}"/>
    <cellStyle name="Normal 2 6 2 2 2 2" xfId="6909" xr:uid="{00000000-0005-0000-0000-0000281B0000}"/>
    <cellStyle name="Normal 2 6 2 2 2 3" xfId="6910" xr:uid="{00000000-0005-0000-0000-0000291B0000}"/>
    <cellStyle name="Normal 2 6 2 3" xfId="6911" xr:uid="{00000000-0005-0000-0000-00002A1B0000}"/>
    <cellStyle name="Normal 2 6 2 4" xfId="6912" xr:uid="{00000000-0005-0000-0000-00002B1B0000}"/>
    <cellStyle name="Normal 2 6 2 5" xfId="6913" xr:uid="{00000000-0005-0000-0000-00002C1B0000}"/>
    <cellStyle name="Normal 2 6 3" xfId="6914" xr:uid="{00000000-0005-0000-0000-00002D1B0000}"/>
    <cellStyle name="Normal 2 6 3 2" xfId="6915" xr:uid="{00000000-0005-0000-0000-00002E1B0000}"/>
    <cellStyle name="Normal 2 6 3 2 2" xfId="6916" xr:uid="{00000000-0005-0000-0000-00002F1B0000}"/>
    <cellStyle name="Normal 2 6 3 2 2 2" xfId="6917" xr:uid="{00000000-0005-0000-0000-0000301B0000}"/>
    <cellStyle name="Normal 2 6 3 3" xfId="6918" xr:uid="{00000000-0005-0000-0000-0000311B0000}"/>
    <cellStyle name="Normal 2 6 4" xfId="6919" xr:uid="{00000000-0005-0000-0000-0000321B0000}"/>
    <cellStyle name="Normal 2 6 4 2" xfId="6920" xr:uid="{00000000-0005-0000-0000-0000331B0000}"/>
    <cellStyle name="Normal 2 6 5" xfId="6921" xr:uid="{00000000-0005-0000-0000-0000341B0000}"/>
    <cellStyle name="Normal 2 6 6" xfId="6922" xr:uid="{00000000-0005-0000-0000-0000351B0000}"/>
    <cellStyle name="Normal 2 6 7" xfId="6923" xr:uid="{00000000-0005-0000-0000-0000361B0000}"/>
    <cellStyle name="Normal 2 6 7 2" xfId="6924" xr:uid="{00000000-0005-0000-0000-0000371B0000}"/>
    <cellStyle name="Normal 2 6 7 2 2" xfId="6925" xr:uid="{00000000-0005-0000-0000-0000381B0000}"/>
    <cellStyle name="Normal 2 6 7 2 2 2" xfId="6926" xr:uid="{00000000-0005-0000-0000-0000391B0000}"/>
    <cellStyle name="Normal 2 6 7 2 2 2 2" xfId="6927" xr:uid="{00000000-0005-0000-0000-00003A1B0000}"/>
    <cellStyle name="Normal 2 6 7 2 2 3" xfId="6928" xr:uid="{00000000-0005-0000-0000-00003B1B0000}"/>
    <cellStyle name="Normal 2 6 7 2 3" xfId="6929" xr:uid="{00000000-0005-0000-0000-00003C1B0000}"/>
    <cellStyle name="Normal 2 6 7 2 3 2" xfId="6930" xr:uid="{00000000-0005-0000-0000-00003D1B0000}"/>
    <cellStyle name="Normal 2 6 7 2 3 2 2" xfId="6931" xr:uid="{00000000-0005-0000-0000-00003E1B0000}"/>
    <cellStyle name="Normal 2 6 7 2 3 3" xfId="6932" xr:uid="{00000000-0005-0000-0000-00003F1B0000}"/>
    <cellStyle name="Normal 2 6 7 2 4" xfId="6933" xr:uid="{00000000-0005-0000-0000-0000401B0000}"/>
    <cellStyle name="Normal 2 6 7 2 4 2" xfId="6934" xr:uid="{00000000-0005-0000-0000-0000411B0000}"/>
    <cellStyle name="Normal 2 6 7 2 5" xfId="6935" xr:uid="{00000000-0005-0000-0000-0000421B0000}"/>
    <cellStyle name="Normal 2 6 7 2 6" xfId="6936" xr:uid="{00000000-0005-0000-0000-0000431B0000}"/>
    <cellStyle name="Normal 2 6 7 3" xfId="6937" xr:uid="{00000000-0005-0000-0000-0000441B0000}"/>
    <cellStyle name="Normal 2 6 7 3 2" xfId="6938" xr:uid="{00000000-0005-0000-0000-0000451B0000}"/>
    <cellStyle name="Normal 2 6 7 3 2 2" xfId="6939" xr:uid="{00000000-0005-0000-0000-0000461B0000}"/>
    <cellStyle name="Normal 2 6 7 3 2 2 2" xfId="6940" xr:uid="{00000000-0005-0000-0000-0000471B0000}"/>
    <cellStyle name="Normal 2 6 7 3 2 3" xfId="6941" xr:uid="{00000000-0005-0000-0000-0000481B0000}"/>
    <cellStyle name="Normal 2 6 7 3 3" xfId="6942" xr:uid="{00000000-0005-0000-0000-0000491B0000}"/>
    <cellStyle name="Normal 2 6 7 3 3 2" xfId="6943" xr:uid="{00000000-0005-0000-0000-00004A1B0000}"/>
    <cellStyle name="Normal 2 6 7 3 4" xfId="6944" xr:uid="{00000000-0005-0000-0000-00004B1B0000}"/>
    <cellStyle name="Normal 2 6 7 3 5" xfId="6945" xr:uid="{00000000-0005-0000-0000-00004C1B0000}"/>
    <cellStyle name="Normal 2 6 7 4" xfId="6946" xr:uid="{00000000-0005-0000-0000-00004D1B0000}"/>
    <cellStyle name="Normal 2 6 7 4 2" xfId="6947" xr:uid="{00000000-0005-0000-0000-00004E1B0000}"/>
    <cellStyle name="Normal 2 6 7 4 2 2" xfId="6948" xr:uid="{00000000-0005-0000-0000-00004F1B0000}"/>
    <cellStyle name="Normal 2 6 7 4 3" xfId="6949" xr:uid="{00000000-0005-0000-0000-0000501B0000}"/>
    <cellStyle name="Normal 2 6 7 5" xfId="6950" xr:uid="{00000000-0005-0000-0000-0000511B0000}"/>
    <cellStyle name="Normal 2 6 7 5 2" xfId="6951" xr:uid="{00000000-0005-0000-0000-0000521B0000}"/>
    <cellStyle name="Normal 2 6 7 5 2 2" xfId="6952" xr:uid="{00000000-0005-0000-0000-0000531B0000}"/>
    <cellStyle name="Normal 2 6 7 5 3" xfId="6953" xr:uid="{00000000-0005-0000-0000-0000541B0000}"/>
    <cellStyle name="Normal 2 6 7 6" xfId="6954" xr:uid="{00000000-0005-0000-0000-0000551B0000}"/>
    <cellStyle name="Normal 2 6 7 6 2" xfId="6955" xr:uid="{00000000-0005-0000-0000-0000561B0000}"/>
    <cellStyle name="Normal 2 6 7 7" xfId="6956" xr:uid="{00000000-0005-0000-0000-0000571B0000}"/>
    <cellStyle name="Normal 2 6 7 8" xfId="6957" xr:uid="{00000000-0005-0000-0000-0000581B0000}"/>
    <cellStyle name="Normal 2 6 8" xfId="6958" xr:uid="{00000000-0005-0000-0000-0000591B0000}"/>
    <cellStyle name="Normal 2 6 9" xfId="6959" xr:uid="{00000000-0005-0000-0000-00005A1B0000}"/>
    <cellStyle name="Normal 2 6 9 2" xfId="6960" xr:uid="{00000000-0005-0000-0000-00005B1B0000}"/>
    <cellStyle name="Normal 2 6 9 2 2" xfId="6961" xr:uid="{00000000-0005-0000-0000-00005C1B0000}"/>
    <cellStyle name="Normal 2 6 9 2 2 2" xfId="6962" xr:uid="{00000000-0005-0000-0000-00005D1B0000}"/>
    <cellStyle name="Normal 2 6 9 2 3" xfId="6963" xr:uid="{00000000-0005-0000-0000-00005E1B0000}"/>
    <cellStyle name="Normal 2 6 9 3" xfId="6964" xr:uid="{00000000-0005-0000-0000-00005F1B0000}"/>
    <cellStyle name="Normal 2 6 9 4" xfId="6965" xr:uid="{00000000-0005-0000-0000-0000601B0000}"/>
    <cellStyle name="Normal 2 6 9 4 2" xfId="6966" xr:uid="{00000000-0005-0000-0000-0000611B0000}"/>
    <cellStyle name="Normal 2 6 9 5" xfId="6967" xr:uid="{00000000-0005-0000-0000-0000621B0000}"/>
    <cellStyle name="Normal 2 7" xfId="6968" xr:uid="{00000000-0005-0000-0000-0000631B0000}"/>
    <cellStyle name="Normal 2 7 10" xfId="6969" xr:uid="{00000000-0005-0000-0000-0000641B0000}"/>
    <cellStyle name="Normal 2 7 10 2" xfId="6970" xr:uid="{00000000-0005-0000-0000-0000651B0000}"/>
    <cellStyle name="Normal 2 7 10 2 2" xfId="6971" xr:uid="{00000000-0005-0000-0000-0000661B0000}"/>
    <cellStyle name="Normal 2 7 10 2 2 2" xfId="6972" xr:uid="{00000000-0005-0000-0000-0000671B0000}"/>
    <cellStyle name="Normal 2 7 10 2 3" xfId="6973" xr:uid="{00000000-0005-0000-0000-0000681B0000}"/>
    <cellStyle name="Normal 2 7 10 3" xfId="6974" xr:uid="{00000000-0005-0000-0000-0000691B0000}"/>
    <cellStyle name="Normal 2 7 10 3 2" xfId="6975" xr:uid="{00000000-0005-0000-0000-00006A1B0000}"/>
    <cellStyle name="Normal 2 7 10 4" xfId="6976" xr:uid="{00000000-0005-0000-0000-00006B1B0000}"/>
    <cellStyle name="Normal 2 7 10 5" xfId="6977" xr:uid="{00000000-0005-0000-0000-00006C1B0000}"/>
    <cellStyle name="Normal 2 7 11" xfId="6978" xr:uid="{00000000-0005-0000-0000-00006D1B0000}"/>
    <cellStyle name="Normal 2 7 11 2" xfId="6979" xr:uid="{00000000-0005-0000-0000-00006E1B0000}"/>
    <cellStyle name="Normal 2 7 11 2 2" xfId="6980" xr:uid="{00000000-0005-0000-0000-00006F1B0000}"/>
    <cellStyle name="Normal 2 7 11 3" xfId="6981" xr:uid="{00000000-0005-0000-0000-0000701B0000}"/>
    <cellStyle name="Normal 2 7 11 4" xfId="6982" xr:uid="{00000000-0005-0000-0000-0000711B0000}"/>
    <cellStyle name="Normal 2 7 12" xfId="6983" xr:uid="{00000000-0005-0000-0000-0000721B0000}"/>
    <cellStyle name="Normal 2 7 12 2" xfId="6984" xr:uid="{00000000-0005-0000-0000-0000731B0000}"/>
    <cellStyle name="Normal 2 7 12 2 2" xfId="6985" xr:uid="{00000000-0005-0000-0000-0000741B0000}"/>
    <cellStyle name="Normal 2 7 12 3" xfId="6986" xr:uid="{00000000-0005-0000-0000-0000751B0000}"/>
    <cellStyle name="Normal 2 7 13" xfId="6987" xr:uid="{00000000-0005-0000-0000-0000761B0000}"/>
    <cellStyle name="Normal 2 7 13 2" xfId="6988" xr:uid="{00000000-0005-0000-0000-0000771B0000}"/>
    <cellStyle name="Normal 2 7 13 2 2" xfId="6989" xr:uid="{00000000-0005-0000-0000-0000781B0000}"/>
    <cellStyle name="Normal 2 7 13 3" xfId="6990" xr:uid="{00000000-0005-0000-0000-0000791B0000}"/>
    <cellStyle name="Normal 2 7 14" xfId="6991" xr:uid="{00000000-0005-0000-0000-00007A1B0000}"/>
    <cellStyle name="Normal 2 7 14 2" xfId="6992" xr:uid="{00000000-0005-0000-0000-00007B1B0000}"/>
    <cellStyle name="Normal 2 7 15" xfId="6993" xr:uid="{00000000-0005-0000-0000-00007C1B0000}"/>
    <cellStyle name="Normal 2 7 16" xfId="6994" xr:uid="{00000000-0005-0000-0000-00007D1B0000}"/>
    <cellStyle name="Normal 2 7 2" xfId="6995" xr:uid="{00000000-0005-0000-0000-00007E1B0000}"/>
    <cellStyle name="Normal 2 7 2 2" xfId="6996" xr:uid="{00000000-0005-0000-0000-00007F1B0000}"/>
    <cellStyle name="Normal 2 7 2 2 2" xfId="6997" xr:uid="{00000000-0005-0000-0000-0000801B0000}"/>
    <cellStyle name="Normal 2 7 2 2 2 2" xfId="6998" xr:uid="{00000000-0005-0000-0000-0000811B0000}"/>
    <cellStyle name="Normal 2 7 2 2 2 3" xfId="6999" xr:uid="{00000000-0005-0000-0000-0000821B0000}"/>
    <cellStyle name="Normal 2 7 2 3" xfId="7000" xr:uid="{00000000-0005-0000-0000-0000831B0000}"/>
    <cellStyle name="Normal 2 7 2 4" xfId="7001" xr:uid="{00000000-0005-0000-0000-0000841B0000}"/>
    <cellStyle name="Normal 2 7 3" xfId="7002" xr:uid="{00000000-0005-0000-0000-0000851B0000}"/>
    <cellStyle name="Normal 2 7 3 2" xfId="7003" xr:uid="{00000000-0005-0000-0000-0000861B0000}"/>
    <cellStyle name="Normal 2 7 3 2 2" xfId="7004" xr:uid="{00000000-0005-0000-0000-0000871B0000}"/>
    <cellStyle name="Normal 2 7 3 2 2 2" xfId="7005" xr:uid="{00000000-0005-0000-0000-0000881B0000}"/>
    <cellStyle name="Normal 2 7 3 2 2 3" xfId="7006" xr:uid="{00000000-0005-0000-0000-0000891B0000}"/>
    <cellStyle name="Normal 2 7 3 3" xfId="7007" xr:uid="{00000000-0005-0000-0000-00008A1B0000}"/>
    <cellStyle name="Normal 2 7 3 4" xfId="7008" xr:uid="{00000000-0005-0000-0000-00008B1B0000}"/>
    <cellStyle name="Normal 2 7 4" xfId="7009" xr:uid="{00000000-0005-0000-0000-00008C1B0000}"/>
    <cellStyle name="Normal 2 7 4 2" xfId="7010" xr:uid="{00000000-0005-0000-0000-00008D1B0000}"/>
    <cellStyle name="Normal 2 7 4 2 2" xfId="7011" xr:uid="{00000000-0005-0000-0000-00008E1B0000}"/>
    <cellStyle name="Normal 2 7 4 2 2 2" xfId="7012" xr:uid="{00000000-0005-0000-0000-00008F1B0000}"/>
    <cellStyle name="Normal 2 7 4 3" xfId="7013" xr:uid="{00000000-0005-0000-0000-0000901B0000}"/>
    <cellStyle name="Normal 2 7 5" xfId="7014" xr:uid="{00000000-0005-0000-0000-0000911B0000}"/>
    <cellStyle name="Normal 2 7 6" xfId="7015" xr:uid="{00000000-0005-0000-0000-0000921B0000}"/>
    <cellStyle name="Normal 2 7 7" xfId="7016" xr:uid="{00000000-0005-0000-0000-0000931B0000}"/>
    <cellStyle name="Normal 2 7 7 2" xfId="7017" xr:uid="{00000000-0005-0000-0000-0000941B0000}"/>
    <cellStyle name="Normal 2 7 7 2 2" xfId="7018" xr:uid="{00000000-0005-0000-0000-0000951B0000}"/>
    <cellStyle name="Normal 2 7 7 2 2 2" xfId="7019" xr:uid="{00000000-0005-0000-0000-0000961B0000}"/>
    <cellStyle name="Normal 2 7 7 2 2 2 2" xfId="7020" xr:uid="{00000000-0005-0000-0000-0000971B0000}"/>
    <cellStyle name="Normal 2 7 7 2 2 3" xfId="7021" xr:uid="{00000000-0005-0000-0000-0000981B0000}"/>
    <cellStyle name="Normal 2 7 7 2 3" xfId="7022" xr:uid="{00000000-0005-0000-0000-0000991B0000}"/>
    <cellStyle name="Normal 2 7 7 2 3 2" xfId="7023" xr:uid="{00000000-0005-0000-0000-00009A1B0000}"/>
    <cellStyle name="Normal 2 7 7 2 3 2 2" xfId="7024" xr:uid="{00000000-0005-0000-0000-00009B1B0000}"/>
    <cellStyle name="Normal 2 7 7 2 3 3" xfId="7025" xr:uid="{00000000-0005-0000-0000-00009C1B0000}"/>
    <cellStyle name="Normal 2 7 7 2 4" xfId="7026" xr:uid="{00000000-0005-0000-0000-00009D1B0000}"/>
    <cellStyle name="Normal 2 7 7 2 4 2" xfId="7027" xr:uid="{00000000-0005-0000-0000-00009E1B0000}"/>
    <cellStyle name="Normal 2 7 7 2 5" xfId="7028" xr:uid="{00000000-0005-0000-0000-00009F1B0000}"/>
    <cellStyle name="Normal 2 7 7 2 6" xfId="7029" xr:uid="{00000000-0005-0000-0000-0000A01B0000}"/>
    <cellStyle name="Normal 2 7 7 3" xfId="7030" xr:uid="{00000000-0005-0000-0000-0000A11B0000}"/>
    <cellStyle name="Normal 2 7 7 3 2" xfId="7031" xr:uid="{00000000-0005-0000-0000-0000A21B0000}"/>
    <cellStyle name="Normal 2 7 7 3 2 2" xfId="7032" xr:uid="{00000000-0005-0000-0000-0000A31B0000}"/>
    <cellStyle name="Normal 2 7 7 3 2 2 2" xfId="7033" xr:uid="{00000000-0005-0000-0000-0000A41B0000}"/>
    <cellStyle name="Normal 2 7 7 3 2 3" xfId="7034" xr:uid="{00000000-0005-0000-0000-0000A51B0000}"/>
    <cellStyle name="Normal 2 7 7 3 3" xfId="7035" xr:uid="{00000000-0005-0000-0000-0000A61B0000}"/>
    <cellStyle name="Normal 2 7 7 3 3 2" xfId="7036" xr:uid="{00000000-0005-0000-0000-0000A71B0000}"/>
    <cellStyle name="Normal 2 7 7 3 4" xfId="7037" xr:uid="{00000000-0005-0000-0000-0000A81B0000}"/>
    <cellStyle name="Normal 2 7 7 3 5" xfId="7038" xr:uid="{00000000-0005-0000-0000-0000A91B0000}"/>
    <cellStyle name="Normal 2 7 7 4" xfId="7039" xr:uid="{00000000-0005-0000-0000-0000AA1B0000}"/>
    <cellStyle name="Normal 2 7 7 4 2" xfId="7040" xr:uid="{00000000-0005-0000-0000-0000AB1B0000}"/>
    <cellStyle name="Normal 2 7 7 4 2 2" xfId="7041" xr:uid="{00000000-0005-0000-0000-0000AC1B0000}"/>
    <cellStyle name="Normal 2 7 7 4 3" xfId="7042" xr:uid="{00000000-0005-0000-0000-0000AD1B0000}"/>
    <cellStyle name="Normal 2 7 7 5" xfId="7043" xr:uid="{00000000-0005-0000-0000-0000AE1B0000}"/>
    <cellStyle name="Normal 2 7 7 5 2" xfId="7044" xr:uid="{00000000-0005-0000-0000-0000AF1B0000}"/>
    <cellStyle name="Normal 2 7 7 5 2 2" xfId="7045" xr:uid="{00000000-0005-0000-0000-0000B01B0000}"/>
    <cellStyle name="Normal 2 7 7 5 3" xfId="7046" xr:uid="{00000000-0005-0000-0000-0000B11B0000}"/>
    <cellStyle name="Normal 2 7 7 6" xfId="7047" xr:uid="{00000000-0005-0000-0000-0000B21B0000}"/>
    <cellStyle name="Normal 2 7 7 6 2" xfId="7048" xr:uid="{00000000-0005-0000-0000-0000B31B0000}"/>
    <cellStyle name="Normal 2 7 7 7" xfId="7049" xr:uid="{00000000-0005-0000-0000-0000B41B0000}"/>
    <cellStyle name="Normal 2 7 7 8" xfId="7050" xr:uid="{00000000-0005-0000-0000-0000B51B0000}"/>
    <cellStyle name="Normal 2 7 8" xfId="7051" xr:uid="{00000000-0005-0000-0000-0000B61B0000}"/>
    <cellStyle name="Normal 2 7 9" xfId="7052" xr:uid="{00000000-0005-0000-0000-0000B71B0000}"/>
    <cellStyle name="Normal 2 7 9 2" xfId="7053" xr:uid="{00000000-0005-0000-0000-0000B81B0000}"/>
    <cellStyle name="Normal 2 7 9 2 2" xfId="7054" xr:uid="{00000000-0005-0000-0000-0000B91B0000}"/>
    <cellStyle name="Normal 2 7 9 2 2 2" xfId="7055" xr:uid="{00000000-0005-0000-0000-0000BA1B0000}"/>
    <cellStyle name="Normal 2 7 9 2 3" xfId="7056" xr:uid="{00000000-0005-0000-0000-0000BB1B0000}"/>
    <cellStyle name="Normal 2 7 9 3" xfId="7057" xr:uid="{00000000-0005-0000-0000-0000BC1B0000}"/>
    <cellStyle name="Normal 2 7 9 4" xfId="7058" xr:uid="{00000000-0005-0000-0000-0000BD1B0000}"/>
    <cellStyle name="Normal 2 7 9 4 2" xfId="7059" xr:uid="{00000000-0005-0000-0000-0000BE1B0000}"/>
    <cellStyle name="Normal 2 7 9 5" xfId="7060" xr:uid="{00000000-0005-0000-0000-0000BF1B0000}"/>
    <cellStyle name="Normal 2 77" xfId="7061" xr:uid="{00000000-0005-0000-0000-0000C01B0000}"/>
    <cellStyle name="Normal 2 78" xfId="7062" xr:uid="{00000000-0005-0000-0000-0000C11B0000}"/>
    <cellStyle name="Normal 2 8" xfId="7063" xr:uid="{00000000-0005-0000-0000-0000C21B0000}"/>
    <cellStyle name="Normal 2 8 10" xfId="7064" xr:uid="{00000000-0005-0000-0000-0000C31B0000}"/>
    <cellStyle name="Normal 2 8 10 2" xfId="7065" xr:uid="{00000000-0005-0000-0000-0000C41B0000}"/>
    <cellStyle name="Normal 2 8 10 2 2" xfId="7066" xr:uid="{00000000-0005-0000-0000-0000C51B0000}"/>
    <cellStyle name="Normal 2 8 10 2 2 2" xfId="7067" xr:uid="{00000000-0005-0000-0000-0000C61B0000}"/>
    <cellStyle name="Normal 2 8 10 2 3" xfId="7068" xr:uid="{00000000-0005-0000-0000-0000C71B0000}"/>
    <cellStyle name="Normal 2 8 10 3" xfId="7069" xr:uid="{00000000-0005-0000-0000-0000C81B0000}"/>
    <cellStyle name="Normal 2 8 10 3 2" xfId="7070" xr:uid="{00000000-0005-0000-0000-0000C91B0000}"/>
    <cellStyle name="Normal 2 8 10 4" xfId="7071" xr:uid="{00000000-0005-0000-0000-0000CA1B0000}"/>
    <cellStyle name="Normal 2 8 10 5" xfId="7072" xr:uid="{00000000-0005-0000-0000-0000CB1B0000}"/>
    <cellStyle name="Normal 2 8 11" xfId="7073" xr:uid="{00000000-0005-0000-0000-0000CC1B0000}"/>
    <cellStyle name="Normal 2 8 11 2" xfId="7074" xr:uid="{00000000-0005-0000-0000-0000CD1B0000}"/>
    <cellStyle name="Normal 2 8 11 2 2" xfId="7075" xr:uid="{00000000-0005-0000-0000-0000CE1B0000}"/>
    <cellStyle name="Normal 2 8 11 3" xfId="7076" xr:uid="{00000000-0005-0000-0000-0000CF1B0000}"/>
    <cellStyle name="Normal 2 8 11 4" xfId="7077" xr:uid="{00000000-0005-0000-0000-0000D01B0000}"/>
    <cellStyle name="Normal 2 8 12" xfId="7078" xr:uid="{00000000-0005-0000-0000-0000D11B0000}"/>
    <cellStyle name="Normal 2 8 12 2" xfId="7079" xr:uid="{00000000-0005-0000-0000-0000D21B0000}"/>
    <cellStyle name="Normal 2 8 12 2 2" xfId="7080" xr:uid="{00000000-0005-0000-0000-0000D31B0000}"/>
    <cellStyle name="Normal 2 8 12 3" xfId="7081" xr:uid="{00000000-0005-0000-0000-0000D41B0000}"/>
    <cellStyle name="Normal 2 8 13" xfId="7082" xr:uid="{00000000-0005-0000-0000-0000D51B0000}"/>
    <cellStyle name="Normal 2 8 13 2" xfId="7083" xr:uid="{00000000-0005-0000-0000-0000D61B0000}"/>
    <cellStyle name="Normal 2 8 13 2 2" xfId="7084" xr:uid="{00000000-0005-0000-0000-0000D71B0000}"/>
    <cellStyle name="Normal 2 8 13 3" xfId="7085" xr:uid="{00000000-0005-0000-0000-0000D81B0000}"/>
    <cellStyle name="Normal 2 8 14" xfId="7086" xr:uid="{00000000-0005-0000-0000-0000D91B0000}"/>
    <cellStyle name="Normal 2 8 14 2" xfId="7087" xr:uid="{00000000-0005-0000-0000-0000DA1B0000}"/>
    <cellStyle name="Normal 2 8 15" xfId="7088" xr:uid="{00000000-0005-0000-0000-0000DB1B0000}"/>
    <cellStyle name="Normal 2 8 16" xfId="7089" xr:uid="{00000000-0005-0000-0000-0000DC1B0000}"/>
    <cellStyle name="Normal 2 8 2" xfId="7090" xr:uid="{00000000-0005-0000-0000-0000DD1B0000}"/>
    <cellStyle name="Normal 2 8 2 2" xfId="7091" xr:uid="{00000000-0005-0000-0000-0000DE1B0000}"/>
    <cellStyle name="Normal 2 8 2 2 2" xfId="7092" xr:uid="{00000000-0005-0000-0000-0000DF1B0000}"/>
    <cellStyle name="Normal 2 8 2 2 2 2" xfId="7093" xr:uid="{00000000-0005-0000-0000-0000E01B0000}"/>
    <cellStyle name="Normal 2 8 2 2 2 2 2" xfId="7094" xr:uid="{00000000-0005-0000-0000-0000E11B0000}"/>
    <cellStyle name="Normal 2 8 2 2 3" xfId="7095" xr:uid="{00000000-0005-0000-0000-0000E21B0000}"/>
    <cellStyle name="Normal 2 8 2 3" xfId="7096" xr:uid="{00000000-0005-0000-0000-0000E31B0000}"/>
    <cellStyle name="Normal 2 8 2 3 2" xfId="7097" xr:uid="{00000000-0005-0000-0000-0000E41B0000}"/>
    <cellStyle name="Normal 2 8 2 4" xfId="7098" xr:uid="{00000000-0005-0000-0000-0000E51B0000}"/>
    <cellStyle name="Normal 2 8 2 4 2" xfId="7099" xr:uid="{00000000-0005-0000-0000-0000E61B0000}"/>
    <cellStyle name="Normal 2 8 2 5" xfId="7100" xr:uid="{00000000-0005-0000-0000-0000E71B0000}"/>
    <cellStyle name="Normal 2 8 2 6" xfId="7101" xr:uid="{00000000-0005-0000-0000-0000E81B0000}"/>
    <cellStyle name="Normal 2 8 3" xfId="7102" xr:uid="{00000000-0005-0000-0000-0000E91B0000}"/>
    <cellStyle name="Normal 2 8 4" xfId="7103" xr:uid="{00000000-0005-0000-0000-0000EA1B0000}"/>
    <cellStyle name="Normal 2 8 5" xfId="7104" xr:uid="{00000000-0005-0000-0000-0000EB1B0000}"/>
    <cellStyle name="Normal 2 8 6" xfId="7105" xr:uid="{00000000-0005-0000-0000-0000EC1B0000}"/>
    <cellStyle name="Normal 2 8 7" xfId="7106" xr:uid="{00000000-0005-0000-0000-0000ED1B0000}"/>
    <cellStyle name="Normal 2 8 7 2" xfId="7107" xr:uid="{00000000-0005-0000-0000-0000EE1B0000}"/>
    <cellStyle name="Normal 2 8 7 2 2" xfId="7108" xr:uid="{00000000-0005-0000-0000-0000EF1B0000}"/>
    <cellStyle name="Normal 2 8 7 2 2 2" xfId="7109" xr:uid="{00000000-0005-0000-0000-0000F01B0000}"/>
    <cellStyle name="Normal 2 8 7 2 2 2 2" xfId="7110" xr:uid="{00000000-0005-0000-0000-0000F11B0000}"/>
    <cellStyle name="Normal 2 8 7 2 2 3" xfId="7111" xr:uid="{00000000-0005-0000-0000-0000F21B0000}"/>
    <cellStyle name="Normal 2 8 7 2 3" xfId="7112" xr:uid="{00000000-0005-0000-0000-0000F31B0000}"/>
    <cellStyle name="Normal 2 8 7 2 3 2" xfId="7113" xr:uid="{00000000-0005-0000-0000-0000F41B0000}"/>
    <cellStyle name="Normal 2 8 7 2 3 2 2" xfId="7114" xr:uid="{00000000-0005-0000-0000-0000F51B0000}"/>
    <cellStyle name="Normal 2 8 7 2 3 3" xfId="7115" xr:uid="{00000000-0005-0000-0000-0000F61B0000}"/>
    <cellStyle name="Normal 2 8 7 2 4" xfId="7116" xr:uid="{00000000-0005-0000-0000-0000F71B0000}"/>
    <cellStyle name="Normal 2 8 7 2 4 2" xfId="7117" xr:uid="{00000000-0005-0000-0000-0000F81B0000}"/>
    <cellStyle name="Normal 2 8 7 2 5" xfId="7118" xr:uid="{00000000-0005-0000-0000-0000F91B0000}"/>
    <cellStyle name="Normal 2 8 7 2 6" xfId="7119" xr:uid="{00000000-0005-0000-0000-0000FA1B0000}"/>
    <cellStyle name="Normal 2 8 7 3" xfId="7120" xr:uid="{00000000-0005-0000-0000-0000FB1B0000}"/>
    <cellStyle name="Normal 2 8 7 3 2" xfId="7121" xr:uid="{00000000-0005-0000-0000-0000FC1B0000}"/>
    <cellStyle name="Normal 2 8 7 3 2 2" xfId="7122" xr:uid="{00000000-0005-0000-0000-0000FD1B0000}"/>
    <cellStyle name="Normal 2 8 7 3 2 2 2" xfId="7123" xr:uid="{00000000-0005-0000-0000-0000FE1B0000}"/>
    <cellStyle name="Normal 2 8 7 3 2 3" xfId="7124" xr:uid="{00000000-0005-0000-0000-0000FF1B0000}"/>
    <cellStyle name="Normal 2 8 7 3 3" xfId="7125" xr:uid="{00000000-0005-0000-0000-0000001C0000}"/>
    <cellStyle name="Normal 2 8 7 3 3 2" xfId="7126" xr:uid="{00000000-0005-0000-0000-0000011C0000}"/>
    <cellStyle name="Normal 2 8 7 3 4" xfId="7127" xr:uid="{00000000-0005-0000-0000-0000021C0000}"/>
    <cellStyle name="Normal 2 8 7 3 5" xfId="7128" xr:uid="{00000000-0005-0000-0000-0000031C0000}"/>
    <cellStyle name="Normal 2 8 7 4" xfId="7129" xr:uid="{00000000-0005-0000-0000-0000041C0000}"/>
    <cellStyle name="Normal 2 8 7 4 2" xfId="7130" xr:uid="{00000000-0005-0000-0000-0000051C0000}"/>
    <cellStyle name="Normal 2 8 7 4 2 2" xfId="7131" xr:uid="{00000000-0005-0000-0000-0000061C0000}"/>
    <cellStyle name="Normal 2 8 7 4 3" xfId="7132" xr:uid="{00000000-0005-0000-0000-0000071C0000}"/>
    <cellStyle name="Normal 2 8 7 5" xfId="7133" xr:uid="{00000000-0005-0000-0000-0000081C0000}"/>
    <cellStyle name="Normal 2 8 7 5 2" xfId="7134" xr:uid="{00000000-0005-0000-0000-0000091C0000}"/>
    <cellStyle name="Normal 2 8 7 5 2 2" xfId="7135" xr:uid="{00000000-0005-0000-0000-00000A1C0000}"/>
    <cellStyle name="Normal 2 8 7 5 3" xfId="7136" xr:uid="{00000000-0005-0000-0000-00000B1C0000}"/>
    <cellStyle name="Normal 2 8 7 6" xfId="7137" xr:uid="{00000000-0005-0000-0000-00000C1C0000}"/>
    <cellStyle name="Normal 2 8 7 6 2" xfId="7138" xr:uid="{00000000-0005-0000-0000-00000D1C0000}"/>
    <cellStyle name="Normal 2 8 7 7" xfId="7139" xr:uid="{00000000-0005-0000-0000-00000E1C0000}"/>
    <cellStyle name="Normal 2 8 7 8" xfId="7140" xr:uid="{00000000-0005-0000-0000-00000F1C0000}"/>
    <cellStyle name="Normal 2 8 8" xfId="7141" xr:uid="{00000000-0005-0000-0000-0000101C0000}"/>
    <cellStyle name="Normal 2 8 9" xfId="7142" xr:uid="{00000000-0005-0000-0000-0000111C0000}"/>
    <cellStyle name="Normal 2 8 9 2" xfId="7143" xr:uid="{00000000-0005-0000-0000-0000121C0000}"/>
    <cellStyle name="Normal 2 8 9 2 2" xfId="7144" xr:uid="{00000000-0005-0000-0000-0000131C0000}"/>
    <cellStyle name="Normal 2 8 9 2 2 2" xfId="7145" xr:uid="{00000000-0005-0000-0000-0000141C0000}"/>
    <cellStyle name="Normal 2 8 9 2 3" xfId="7146" xr:uid="{00000000-0005-0000-0000-0000151C0000}"/>
    <cellStyle name="Normal 2 8 9 3" xfId="7147" xr:uid="{00000000-0005-0000-0000-0000161C0000}"/>
    <cellStyle name="Normal 2 8 9 4" xfId="7148" xr:uid="{00000000-0005-0000-0000-0000171C0000}"/>
    <cellStyle name="Normal 2 8 9 4 2" xfId="7149" xr:uid="{00000000-0005-0000-0000-0000181C0000}"/>
    <cellStyle name="Normal 2 8 9 5" xfId="7150" xr:uid="{00000000-0005-0000-0000-0000191C0000}"/>
    <cellStyle name="Normal 2 9" xfId="7151" xr:uid="{00000000-0005-0000-0000-00001A1C0000}"/>
    <cellStyle name="Normal 2 9 10" xfId="7152" xr:uid="{00000000-0005-0000-0000-00001B1C0000}"/>
    <cellStyle name="Normal 2 9 10 2" xfId="7153" xr:uid="{00000000-0005-0000-0000-00001C1C0000}"/>
    <cellStyle name="Normal 2 9 10 2 2" xfId="7154" xr:uid="{00000000-0005-0000-0000-00001D1C0000}"/>
    <cellStyle name="Normal 2 9 10 2 2 2" xfId="7155" xr:uid="{00000000-0005-0000-0000-00001E1C0000}"/>
    <cellStyle name="Normal 2 9 10 2 3" xfId="7156" xr:uid="{00000000-0005-0000-0000-00001F1C0000}"/>
    <cellStyle name="Normal 2 9 10 3" xfId="7157" xr:uid="{00000000-0005-0000-0000-0000201C0000}"/>
    <cellStyle name="Normal 2 9 10 3 2" xfId="7158" xr:uid="{00000000-0005-0000-0000-0000211C0000}"/>
    <cellStyle name="Normal 2 9 10 4" xfId="7159" xr:uid="{00000000-0005-0000-0000-0000221C0000}"/>
    <cellStyle name="Normal 2 9 10 5" xfId="7160" xr:uid="{00000000-0005-0000-0000-0000231C0000}"/>
    <cellStyle name="Normal 2 9 11" xfId="7161" xr:uid="{00000000-0005-0000-0000-0000241C0000}"/>
    <cellStyle name="Normal 2 9 11 2" xfId="7162" xr:uid="{00000000-0005-0000-0000-0000251C0000}"/>
    <cellStyle name="Normal 2 9 11 2 2" xfId="7163" xr:uid="{00000000-0005-0000-0000-0000261C0000}"/>
    <cellStyle name="Normal 2 9 11 3" xfId="7164" xr:uid="{00000000-0005-0000-0000-0000271C0000}"/>
    <cellStyle name="Normal 2 9 12" xfId="7165" xr:uid="{00000000-0005-0000-0000-0000281C0000}"/>
    <cellStyle name="Normal 2 9 12 2" xfId="7166" xr:uid="{00000000-0005-0000-0000-0000291C0000}"/>
    <cellStyle name="Normal 2 9 12 2 2" xfId="7167" xr:uid="{00000000-0005-0000-0000-00002A1C0000}"/>
    <cellStyle name="Normal 2 9 12 3" xfId="7168" xr:uid="{00000000-0005-0000-0000-00002B1C0000}"/>
    <cellStyle name="Normal 2 9 13" xfId="7169" xr:uid="{00000000-0005-0000-0000-00002C1C0000}"/>
    <cellStyle name="Normal 2 9 13 2" xfId="7170" xr:uid="{00000000-0005-0000-0000-00002D1C0000}"/>
    <cellStyle name="Normal 2 9 14" xfId="7171" xr:uid="{00000000-0005-0000-0000-00002E1C0000}"/>
    <cellStyle name="Normal 2 9 15" xfId="7172" xr:uid="{00000000-0005-0000-0000-00002F1C0000}"/>
    <cellStyle name="Normal 2 9 2" xfId="7173" xr:uid="{00000000-0005-0000-0000-0000301C0000}"/>
    <cellStyle name="Normal 2 9 2 2" xfId="7174" xr:uid="{00000000-0005-0000-0000-0000311C0000}"/>
    <cellStyle name="Normal 2 9 2 2 2" xfId="7175" xr:uid="{00000000-0005-0000-0000-0000321C0000}"/>
    <cellStyle name="Normal 2 9 2 2 2 2" xfId="7176" xr:uid="{00000000-0005-0000-0000-0000331C0000}"/>
    <cellStyle name="Normal 2 9 2 3" xfId="7177" xr:uid="{00000000-0005-0000-0000-0000341C0000}"/>
    <cellStyle name="Normal 2 9 3" xfId="7178" xr:uid="{00000000-0005-0000-0000-0000351C0000}"/>
    <cellStyle name="Normal 2 9 3 2" xfId="7179" xr:uid="{00000000-0005-0000-0000-0000361C0000}"/>
    <cellStyle name="Normal 2 9 4" xfId="7180" xr:uid="{00000000-0005-0000-0000-0000371C0000}"/>
    <cellStyle name="Normal 2 9 4 2" xfId="7181" xr:uid="{00000000-0005-0000-0000-0000381C0000}"/>
    <cellStyle name="Normal 2 9 5" xfId="7182" xr:uid="{00000000-0005-0000-0000-0000391C0000}"/>
    <cellStyle name="Normal 2 9 6" xfId="7183" xr:uid="{00000000-0005-0000-0000-00003A1C0000}"/>
    <cellStyle name="Normal 2 9 7" xfId="7184" xr:uid="{00000000-0005-0000-0000-00003B1C0000}"/>
    <cellStyle name="Normal 2 9 7 2" xfId="7185" xr:uid="{00000000-0005-0000-0000-00003C1C0000}"/>
    <cellStyle name="Normal 2 9 7 2 2" xfId="7186" xr:uid="{00000000-0005-0000-0000-00003D1C0000}"/>
    <cellStyle name="Normal 2 9 7 2 2 2" xfId="7187" xr:uid="{00000000-0005-0000-0000-00003E1C0000}"/>
    <cellStyle name="Normal 2 9 7 2 2 2 2" xfId="7188" xr:uid="{00000000-0005-0000-0000-00003F1C0000}"/>
    <cellStyle name="Normal 2 9 7 2 2 3" xfId="7189" xr:uid="{00000000-0005-0000-0000-0000401C0000}"/>
    <cellStyle name="Normal 2 9 7 2 3" xfId="7190" xr:uid="{00000000-0005-0000-0000-0000411C0000}"/>
    <cellStyle name="Normal 2 9 7 2 3 2" xfId="7191" xr:uid="{00000000-0005-0000-0000-0000421C0000}"/>
    <cellStyle name="Normal 2 9 7 2 3 2 2" xfId="7192" xr:uid="{00000000-0005-0000-0000-0000431C0000}"/>
    <cellStyle name="Normal 2 9 7 2 3 3" xfId="7193" xr:uid="{00000000-0005-0000-0000-0000441C0000}"/>
    <cellStyle name="Normal 2 9 7 2 4" xfId="7194" xr:uid="{00000000-0005-0000-0000-0000451C0000}"/>
    <cellStyle name="Normal 2 9 7 2 4 2" xfId="7195" xr:uid="{00000000-0005-0000-0000-0000461C0000}"/>
    <cellStyle name="Normal 2 9 7 2 5" xfId="7196" xr:uid="{00000000-0005-0000-0000-0000471C0000}"/>
    <cellStyle name="Normal 2 9 7 2 6" xfId="7197" xr:uid="{00000000-0005-0000-0000-0000481C0000}"/>
    <cellStyle name="Normal 2 9 7 3" xfId="7198" xr:uid="{00000000-0005-0000-0000-0000491C0000}"/>
    <cellStyle name="Normal 2 9 7 3 2" xfId="7199" xr:uid="{00000000-0005-0000-0000-00004A1C0000}"/>
    <cellStyle name="Normal 2 9 7 3 2 2" xfId="7200" xr:uid="{00000000-0005-0000-0000-00004B1C0000}"/>
    <cellStyle name="Normal 2 9 7 3 2 2 2" xfId="7201" xr:uid="{00000000-0005-0000-0000-00004C1C0000}"/>
    <cellStyle name="Normal 2 9 7 3 2 3" xfId="7202" xr:uid="{00000000-0005-0000-0000-00004D1C0000}"/>
    <cellStyle name="Normal 2 9 7 3 3" xfId="7203" xr:uid="{00000000-0005-0000-0000-00004E1C0000}"/>
    <cellStyle name="Normal 2 9 7 3 3 2" xfId="7204" xr:uid="{00000000-0005-0000-0000-00004F1C0000}"/>
    <cellStyle name="Normal 2 9 7 3 4" xfId="7205" xr:uid="{00000000-0005-0000-0000-0000501C0000}"/>
    <cellStyle name="Normal 2 9 7 3 5" xfId="7206" xr:uid="{00000000-0005-0000-0000-0000511C0000}"/>
    <cellStyle name="Normal 2 9 7 4" xfId="7207" xr:uid="{00000000-0005-0000-0000-0000521C0000}"/>
    <cellStyle name="Normal 2 9 7 4 2" xfId="7208" xr:uid="{00000000-0005-0000-0000-0000531C0000}"/>
    <cellStyle name="Normal 2 9 7 4 2 2" xfId="7209" xr:uid="{00000000-0005-0000-0000-0000541C0000}"/>
    <cellStyle name="Normal 2 9 7 4 3" xfId="7210" xr:uid="{00000000-0005-0000-0000-0000551C0000}"/>
    <cellStyle name="Normal 2 9 7 5" xfId="7211" xr:uid="{00000000-0005-0000-0000-0000561C0000}"/>
    <cellStyle name="Normal 2 9 7 5 2" xfId="7212" xr:uid="{00000000-0005-0000-0000-0000571C0000}"/>
    <cellStyle name="Normal 2 9 7 5 2 2" xfId="7213" xr:uid="{00000000-0005-0000-0000-0000581C0000}"/>
    <cellStyle name="Normal 2 9 7 5 3" xfId="7214" xr:uid="{00000000-0005-0000-0000-0000591C0000}"/>
    <cellStyle name="Normal 2 9 7 6" xfId="7215" xr:uid="{00000000-0005-0000-0000-00005A1C0000}"/>
    <cellStyle name="Normal 2 9 7 6 2" xfId="7216" xr:uid="{00000000-0005-0000-0000-00005B1C0000}"/>
    <cellStyle name="Normal 2 9 7 7" xfId="7217" xr:uid="{00000000-0005-0000-0000-00005C1C0000}"/>
    <cellStyle name="Normal 2 9 7 8" xfId="7218" xr:uid="{00000000-0005-0000-0000-00005D1C0000}"/>
    <cellStyle name="Normal 2 9 8" xfId="7219" xr:uid="{00000000-0005-0000-0000-00005E1C0000}"/>
    <cellStyle name="Normal 2 9 9" xfId="7220" xr:uid="{00000000-0005-0000-0000-00005F1C0000}"/>
    <cellStyle name="Normal 2 9 9 2" xfId="7221" xr:uid="{00000000-0005-0000-0000-0000601C0000}"/>
    <cellStyle name="Normal 2 9 9 2 2" xfId="7222" xr:uid="{00000000-0005-0000-0000-0000611C0000}"/>
    <cellStyle name="Normal 2 9 9 2 2 2" xfId="7223" xr:uid="{00000000-0005-0000-0000-0000621C0000}"/>
    <cellStyle name="Normal 2 9 9 2 3" xfId="7224" xr:uid="{00000000-0005-0000-0000-0000631C0000}"/>
    <cellStyle name="Normal 2 9 9 3" xfId="7225" xr:uid="{00000000-0005-0000-0000-0000641C0000}"/>
    <cellStyle name="Normal 2 9 9 3 2" xfId="7226" xr:uid="{00000000-0005-0000-0000-0000651C0000}"/>
    <cellStyle name="Normal 2 9 9 3 2 2" xfId="7227" xr:uid="{00000000-0005-0000-0000-0000661C0000}"/>
    <cellStyle name="Normal 2 9 9 3 3" xfId="7228" xr:uid="{00000000-0005-0000-0000-0000671C0000}"/>
    <cellStyle name="Normal 2 9 9 4" xfId="7229" xr:uid="{00000000-0005-0000-0000-0000681C0000}"/>
    <cellStyle name="Normal 2 9 9 4 2" xfId="7230" xr:uid="{00000000-0005-0000-0000-0000691C0000}"/>
    <cellStyle name="Normal 2 9 9 5" xfId="7231" xr:uid="{00000000-0005-0000-0000-00006A1C0000}"/>
    <cellStyle name="Normal 2 9 9 6" xfId="7232" xr:uid="{00000000-0005-0000-0000-00006B1C0000}"/>
    <cellStyle name="Normal 20" xfId="7233" xr:uid="{00000000-0005-0000-0000-00006C1C0000}"/>
    <cellStyle name="Normal 20 2" xfId="7234" xr:uid="{00000000-0005-0000-0000-00006D1C0000}"/>
    <cellStyle name="Normal 20 3" xfId="7235" xr:uid="{00000000-0005-0000-0000-00006E1C0000}"/>
    <cellStyle name="Normal 20 4" xfId="7236" xr:uid="{00000000-0005-0000-0000-00006F1C0000}"/>
    <cellStyle name="Normal 20 5" xfId="7237" xr:uid="{00000000-0005-0000-0000-0000701C0000}"/>
    <cellStyle name="Normal 200" xfId="7238" xr:uid="{00000000-0005-0000-0000-0000711C0000}"/>
    <cellStyle name="Normal 200 2" xfId="7239" xr:uid="{00000000-0005-0000-0000-0000721C0000}"/>
    <cellStyle name="Normal 200 2 2" xfId="7240" xr:uid="{00000000-0005-0000-0000-0000731C0000}"/>
    <cellStyle name="Normal 200 3" xfId="7241" xr:uid="{00000000-0005-0000-0000-0000741C0000}"/>
    <cellStyle name="Normal 200 4" xfId="7242" xr:uid="{00000000-0005-0000-0000-0000751C0000}"/>
    <cellStyle name="Normal 201" xfId="7243" xr:uid="{00000000-0005-0000-0000-0000761C0000}"/>
    <cellStyle name="Normal 201 2" xfId="7244" xr:uid="{00000000-0005-0000-0000-0000771C0000}"/>
    <cellStyle name="Normal 201 2 2" xfId="7245" xr:uid="{00000000-0005-0000-0000-0000781C0000}"/>
    <cellStyle name="Normal 201 3" xfId="7246" xr:uid="{00000000-0005-0000-0000-0000791C0000}"/>
    <cellStyle name="Normal 201 4" xfId="7247" xr:uid="{00000000-0005-0000-0000-00007A1C0000}"/>
    <cellStyle name="Normal 21" xfId="7248" xr:uid="{00000000-0005-0000-0000-00007B1C0000}"/>
    <cellStyle name="Normal 21 2" xfId="7249" xr:uid="{00000000-0005-0000-0000-00007C1C0000}"/>
    <cellStyle name="Normal 21 3" xfId="7250" xr:uid="{00000000-0005-0000-0000-00007D1C0000}"/>
    <cellStyle name="Normal 21 4" xfId="7251" xr:uid="{00000000-0005-0000-0000-00007E1C0000}"/>
    <cellStyle name="Normal 21 5" xfId="7252" xr:uid="{00000000-0005-0000-0000-00007F1C0000}"/>
    <cellStyle name="Normal 22" xfId="7253" xr:uid="{00000000-0005-0000-0000-0000801C0000}"/>
    <cellStyle name="Normal 22 10" xfId="7254" xr:uid="{00000000-0005-0000-0000-0000811C0000}"/>
    <cellStyle name="Normal 22 11" xfId="7255" xr:uid="{00000000-0005-0000-0000-0000821C0000}"/>
    <cellStyle name="Normal 22 2" xfId="7256" xr:uid="{00000000-0005-0000-0000-0000831C0000}"/>
    <cellStyle name="Normal 22 2 2" xfId="7257" xr:uid="{00000000-0005-0000-0000-0000841C0000}"/>
    <cellStyle name="Normal 22 2 2 2" xfId="7258" xr:uid="{00000000-0005-0000-0000-0000851C0000}"/>
    <cellStyle name="Normal 22 2 2 2 2" xfId="7259" xr:uid="{00000000-0005-0000-0000-0000861C0000}"/>
    <cellStyle name="Normal 22 2 2 2 2 2" xfId="7260" xr:uid="{00000000-0005-0000-0000-0000871C0000}"/>
    <cellStyle name="Normal 22 2 2 2 3" xfId="7261" xr:uid="{00000000-0005-0000-0000-0000881C0000}"/>
    <cellStyle name="Normal 22 2 2 3" xfId="7262" xr:uid="{00000000-0005-0000-0000-0000891C0000}"/>
    <cellStyle name="Normal 22 2 2 3 2" xfId="7263" xr:uid="{00000000-0005-0000-0000-00008A1C0000}"/>
    <cellStyle name="Normal 22 2 2 3 2 2" xfId="7264" xr:uid="{00000000-0005-0000-0000-00008B1C0000}"/>
    <cellStyle name="Normal 22 2 2 3 3" xfId="7265" xr:uid="{00000000-0005-0000-0000-00008C1C0000}"/>
    <cellStyle name="Normal 22 2 2 4" xfId="7266" xr:uid="{00000000-0005-0000-0000-00008D1C0000}"/>
    <cellStyle name="Normal 22 2 2 4 2" xfId="7267" xr:uid="{00000000-0005-0000-0000-00008E1C0000}"/>
    <cellStyle name="Normal 22 2 2 5" xfId="7268" xr:uid="{00000000-0005-0000-0000-00008F1C0000}"/>
    <cellStyle name="Normal 22 2 2 6" xfId="7269" xr:uid="{00000000-0005-0000-0000-0000901C0000}"/>
    <cellStyle name="Normal 22 2 3" xfId="7270" xr:uid="{00000000-0005-0000-0000-0000911C0000}"/>
    <cellStyle name="Normal 22 2 3 2" xfId="7271" xr:uid="{00000000-0005-0000-0000-0000921C0000}"/>
    <cellStyle name="Normal 22 2 3 2 2" xfId="7272" xr:uid="{00000000-0005-0000-0000-0000931C0000}"/>
    <cellStyle name="Normal 22 2 3 2 2 2" xfId="7273" xr:uid="{00000000-0005-0000-0000-0000941C0000}"/>
    <cellStyle name="Normal 22 2 3 2 3" xfId="7274" xr:uid="{00000000-0005-0000-0000-0000951C0000}"/>
    <cellStyle name="Normal 22 2 3 3" xfId="7275" xr:uid="{00000000-0005-0000-0000-0000961C0000}"/>
    <cellStyle name="Normal 22 2 3 3 2" xfId="7276" xr:uid="{00000000-0005-0000-0000-0000971C0000}"/>
    <cellStyle name="Normal 22 2 3 4" xfId="7277" xr:uid="{00000000-0005-0000-0000-0000981C0000}"/>
    <cellStyle name="Normal 22 2 3 5" xfId="7278" xr:uid="{00000000-0005-0000-0000-0000991C0000}"/>
    <cellStyle name="Normal 22 2 4" xfId="7279" xr:uid="{00000000-0005-0000-0000-00009A1C0000}"/>
    <cellStyle name="Normal 22 2 4 2" xfId="7280" xr:uid="{00000000-0005-0000-0000-00009B1C0000}"/>
    <cellStyle name="Normal 22 2 4 2 2" xfId="7281" xr:uid="{00000000-0005-0000-0000-00009C1C0000}"/>
    <cellStyle name="Normal 22 2 4 3" xfId="7282" xr:uid="{00000000-0005-0000-0000-00009D1C0000}"/>
    <cellStyle name="Normal 22 2 5" xfId="7283" xr:uid="{00000000-0005-0000-0000-00009E1C0000}"/>
    <cellStyle name="Normal 22 2 5 2" xfId="7284" xr:uid="{00000000-0005-0000-0000-00009F1C0000}"/>
    <cellStyle name="Normal 22 2 5 2 2" xfId="7285" xr:uid="{00000000-0005-0000-0000-0000A01C0000}"/>
    <cellStyle name="Normal 22 2 5 3" xfId="7286" xr:uid="{00000000-0005-0000-0000-0000A11C0000}"/>
    <cellStyle name="Normal 22 2 6" xfId="7287" xr:uid="{00000000-0005-0000-0000-0000A21C0000}"/>
    <cellStyle name="Normal 22 2 6 2" xfId="7288" xr:uid="{00000000-0005-0000-0000-0000A31C0000}"/>
    <cellStyle name="Normal 22 2 7" xfId="7289" xr:uid="{00000000-0005-0000-0000-0000A41C0000}"/>
    <cellStyle name="Normal 22 2 8" xfId="7290" xr:uid="{00000000-0005-0000-0000-0000A51C0000}"/>
    <cellStyle name="Normal 22 3" xfId="7291" xr:uid="{00000000-0005-0000-0000-0000A61C0000}"/>
    <cellStyle name="Normal 22 3 2" xfId="7292" xr:uid="{00000000-0005-0000-0000-0000A71C0000}"/>
    <cellStyle name="Normal 22 3 2 2" xfId="7293" xr:uid="{00000000-0005-0000-0000-0000A81C0000}"/>
    <cellStyle name="Normal 22 3 2 2 2" xfId="7294" xr:uid="{00000000-0005-0000-0000-0000A91C0000}"/>
    <cellStyle name="Normal 22 3 2 2 2 2" xfId="7295" xr:uid="{00000000-0005-0000-0000-0000AA1C0000}"/>
    <cellStyle name="Normal 22 3 2 2 3" xfId="7296" xr:uid="{00000000-0005-0000-0000-0000AB1C0000}"/>
    <cellStyle name="Normal 22 3 2 3" xfId="7297" xr:uid="{00000000-0005-0000-0000-0000AC1C0000}"/>
    <cellStyle name="Normal 22 3 2 3 2" xfId="7298" xr:uid="{00000000-0005-0000-0000-0000AD1C0000}"/>
    <cellStyle name="Normal 22 3 2 3 2 2" xfId="7299" xr:uid="{00000000-0005-0000-0000-0000AE1C0000}"/>
    <cellStyle name="Normal 22 3 2 3 3" xfId="7300" xr:uid="{00000000-0005-0000-0000-0000AF1C0000}"/>
    <cellStyle name="Normal 22 3 2 4" xfId="7301" xr:uid="{00000000-0005-0000-0000-0000B01C0000}"/>
    <cellStyle name="Normal 22 3 2 4 2" xfId="7302" xr:uid="{00000000-0005-0000-0000-0000B11C0000}"/>
    <cellStyle name="Normal 22 3 2 5" xfId="7303" xr:uid="{00000000-0005-0000-0000-0000B21C0000}"/>
    <cellStyle name="Normal 22 3 2 6" xfId="7304" xr:uid="{00000000-0005-0000-0000-0000B31C0000}"/>
    <cellStyle name="Normal 22 3 3" xfId="7305" xr:uid="{00000000-0005-0000-0000-0000B41C0000}"/>
    <cellStyle name="Normal 22 3 3 2" xfId="7306" xr:uid="{00000000-0005-0000-0000-0000B51C0000}"/>
    <cellStyle name="Normal 22 3 3 2 2" xfId="7307" xr:uid="{00000000-0005-0000-0000-0000B61C0000}"/>
    <cellStyle name="Normal 22 3 3 2 2 2" xfId="7308" xr:uid="{00000000-0005-0000-0000-0000B71C0000}"/>
    <cellStyle name="Normal 22 3 3 2 3" xfId="7309" xr:uid="{00000000-0005-0000-0000-0000B81C0000}"/>
    <cellStyle name="Normal 22 3 3 3" xfId="7310" xr:uid="{00000000-0005-0000-0000-0000B91C0000}"/>
    <cellStyle name="Normal 22 3 3 3 2" xfId="7311" xr:uid="{00000000-0005-0000-0000-0000BA1C0000}"/>
    <cellStyle name="Normal 22 3 3 4" xfId="7312" xr:uid="{00000000-0005-0000-0000-0000BB1C0000}"/>
    <cellStyle name="Normal 22 3 3 5" xfId="7313" xr:uid="{00000000-0005-0000-0000-0000BC1C0000}"/>
    <cellStyle name="Normal 22 3 4" xfId="7314" xr:uid="{00000000-0005-0000-0000-0000BD1C0000}"/>
    <cellStyle name="Normal 22 3 4 2" xfId="7315" xr:uid="{00000000-0005-0000-0000-0000BE1C0000}"/>
    <cellStyle name="Normal 22 3 4 2 2" xfId="7316" xr:uid="{00000000-0005-0000-0000-0000BF1C0000}"/>
    <cellStyle name="Normal 22 3 4 3" xfId="7317" xr:uid="{00000000-0005-0000-0000-0000C01C0000}"/>
    <cellStyle name="Normal 22 3 5" xfId="7318" xr:uid="{00000000-0005-0000-0000-0000C11C0000}"/>
    <cellStyle name="Normal 22 3 5 2" xfId="7319" xr:uid="{00000000-0005-0000-0000-0000C21C0000}"/>
    <cellStyle name="Normal 22 3 5 2 2" xfId="7320" xr:uid="{00000000-0005-0000-0000-0000C31C0000}"/>
    <cellStyle name="Normal 22 3 5 3" xfId="7321" xr:uid="{00000000-0005-0000-0000-0000C41C0000}"/>
    <cellStyle name="Normal 22 3 6" xfId="7322" xr:uid="{00000000-0005-0000-0000-0000C51C0000}"/>
    <cellStyle name="Normal 22 3 6 2" xfId="7323" xr:uid="{00000000-0005-0000-0000-0000C61C0000}"/>
    <cellStyle name="Normal 22 3 7" xfId="7324" xr:uid="{00000000-0005-0000-0000-0000C71C0000}"/>
    <cellStyle name="Normal 22 3 8" xfId="7325" xr:uid="{00000000-0005-0000-0000-0000C81C0000}"/>
    <cellStyle name="Normal 22 4" xfId="7326" xr:uid="{00000000-0005-0000-0000-0000C91C0000}"/>
    <cellStyle name="Normal 22 4 2" xfId="7327" xr:uid="{00000000-0005-0000-0000-0000CA1C0000}"/>
    <cellStyle name="Normal 22 4 2 2" xfId="7328" xr:uid="{00000000-0005-0000-0000-0000CB1C0000}"/>
    <cellStyle name="Normal 22 4 2 2 2" xfId="7329" xr:uid="{00000000-0005-0000-0000-0000CC1C0000}"/>
    <cellStyle name="Normal 22 4 2 2 2 2" xfId="7330" xr:uid="{00000000-0005-0000-0000-0000CD1C0000}"/>
    <cellStyle name="Normal 22 4 2 2 3" xfId="7331" xr:uid="{00000000-0005-0000-0000-0000CE1C0000}"/>
    <cellStyle name="Normal 22 4 2 3" xfId="7332" xr:uid="{00000000-0005-0000-0000-0000CF1C0000}"/>
    <cellStyle name="Normal 22 4 2 3 2" xfId="7333" xr:uid="{00000000-0005-0000-0000-0000D01C0000}"/>
    <cellStyle name="Normal 22 4 2 3 2 2" xfId="7334" xr:uid="{00000000-0005-0000-0000-0000D11C0000}"/>
    <cellStyle name="Normal 22 4 2 3 3" xfId="7335" xr:uid="{00000000-0005-0000-0000-0000D21C0000}"/>
    <cellStyle name="Normal 22 4 2 4" xfId="7336" xr:uid="{00000000-0005-0000-0000-0000D31C0000}"/>
    <cellStyle name="Normal 22 4 2 4 2" xfId="7337" xr:uid="{00000000-0005-0000-0000-0000D41C0000}"/>
    <cellStyle name="Normal 22 4 2 5" xfId="7338" xr:uid="{00000000-0005-0000-0000-0000D51C0000}"/>
    <cellStyle name="Normal 22 4 2 6" xfId="7339" xr:uid="{00000000-0005-0000-0000-0000D61C0000}"/>
    <cellStyle name="Normal 22 4 3" xfId="7340" xr:uid="{00000000-0005-0000-0000-0000D71C0000}"/>
    <cellStyle name="Normal 22 4 3 2" xfId="7341" xr:uid="{00000000-0005-0000-0000-0000D81C0000}"/>
    <cellStyle name="Normal 22 4 3 2 2" xfId="7342" xr:uid="{00000000-0005-0000-0000-0000D91C0000}"/>
    <cellStyle name="Normal 22 4 3 2 2 2" xfId="7343" xr:uid="{00000000-0005-0000-0000-0000DA1C0000}"/>
    <cellStyle name="Normal 22 4 3 2 3" xfId="7344" xr:uid="{00000000-0005-0000-0000-0000DB1C0000}"/>
    <cellStyle name="Normal 22 4 3 3" xfId="7345" xr:uid="{00000000-0005-0000-0000-0000DC1C0000}"/>
    <cellStyle name="Normal 22 4 3 3 2" xfId="7346" xr:uid="{00000000-0005-0000-0000-0000DD1C0000}"/>
    <cellStyle name="Normal 22 4 3 4" xfId="7347" xr:uid="{00000000-0005-0000-0000-0000DE1C0000}"/>
    <cellStyle name="Normal 22 4 3 5" xfId="7348" xr:uid="{00000000-0005-0000-0000-0000DF1C0000}"/>
    <cellStyle name="Normal 22 4 4" xfId="7349" xr:uid="{00000000-0005-0000-0000-0000E01C0000}"/>
    <cellStyle name="Normal 22 4 4 2" xfId="7350" xr:uid="{00000000-0005-0000-0000-0000E11C0000}"/>
    <cellStyle name="Normal 22 4 4 2 2" xfId="7351" xr:uid="{00000000-0005-0000-0000-0000E21C0000}"/>
    <cellStyle name="Normal 22 4 4 3" xfId="7352" xr:uid="{00000000-0005-0000-0000-0000E31C0000}"/>
    <cellStyle name="Normal 22 4 5" xfId="7353" xr:uid="{00000000-0005-0000-0000-0000E41C0000}"/>
    <cellStyle name="Normal 22 4 5 2" xfId="7354" xr:uid="{00000000-0005-0000-0000-0000E51C0000}"/>
    <cellStyle name="Normal 22 4 5 2 2" xfId="7355" xr:uid="{00000000-0005-0000-0000-0000E61C0000}"/>
    <cellStyle name="Normal 22 4 5 3" xfId="7356" xr:uid="{00000000-0005-0000-0000-0000E71C0000}"/>
    <cellStyle name="Normal 22 4 6" xfId="7357" xr:uid="{00000000-0005-0000-0000-0000E81C0000}"/>
    <cellStyle name="Normal 22 4 6 2" xfId="7358" xr:uid="{00000000-0005-0000-0000-0000E91C0000}"/>
    <cellStyle name="Normal 22 4 7" xfId="7359" xr:uid="{00000000-0005-0000-0000-0000EA1C0000}"/>
    <cellStyle name="Normal 22 4 8" xfId="7360" xr:uid="{00000000-0005-0000-0000-0000EB1C0000}"/>
    <cellStyle name="Normal 22 5" xfId="7361" xr:uid="{00000000-0005-0000-0000-0000EC1C0000}"/>
    <cellStyle name="Normal 22 5 2" xfId="7362" xr:uid="{00000000-0005-0000-0000-0000ED1C0000}"/>
    <cellStyle name="Normal 22 5 2 2" xfId="7363" xr:uid="{00000000-0005-0000-0000-0000EE1C0000}"/>
    <cellStyle name="Normal 22 5 2 2 2" xfId="7364" xr:uid="{00000000-0005-0000-0000-0000EF1C0000}"/>
    <cellStyle name="Normal 22 5 2 3" xfId="7365" xr:uid="{00000000-0005-0000-0000-0000F01C0000}"/>
    <cellStyle name="Normal 22 5 3" xfId="7366" xr:uid="{00000000-0005-0000-0000-0000F11C0000}"/>
    <cellStyle name="Normal 22 5 3 2" xfId="7367" xr:uid="{00000000-0005-0000-0000-0000F21C0000}"/>
    <cellStyle name="Normal 22 5 3 2 2" xfId="7368" xr:uid="{00000000-0005-0000-0000-0000F31C0000}"/>
    <cellStyle name="Normal 22 5 3 3" xfId="7369" xr:uid="{00000000-0005-0000-0000-0000F41C0000}"/>
    <cellStyle name="Normal 22 5 4" xfId="7370" xr:uid="{00000000-0005-0000-0000-0000F51C0000}"/>
    <cellStyle name="Normal 22 5 4 2" xfId="7371" xr:uid="{00000000-0005-0000-0000-0000F61C0000}"/>
    <cellStyle name="Normal 22 5 5" xfId="7372" xr:uid="{00000000-0005-0000-0000-0000F71C0000}"/>
    <cellStyle name="Normal 22 5 6" xfId="7373" xr:uid="{00000000-0005-0000-0000-0000F81C0000}"/>
    <cellStyle name="Normal 22 6" xfId="7374" xr:uid="{00000000-0005-0000-0000-0000F91C0000}"/>
    <cellStyle name="Normal 22 6 2" xfId="7375" xr:uid="{00000000-0005-0000-0000-0000FA1C0000}"/>
    <cellStyle name="Normal 22 6 2 2" xfId="7376" xr:uid="{00000000-0005-0000-0000-0000FB1C0000}"/>
    <cellStyle name="Normal 22 6 2 2 2" xfId="7377" xr:uid="{00000000-0005-0000-0000-0000FC1C0000}"/>
    <cellStyle name="Normal 22 6 2 3" xfId="7378" xr:uid="{00000000-0005-0000-0000-0000FD1C0000}"/>
    <cellStyle name="Normal 22 6 3" xfId="7379" xr:uid="{00000000-0005-0000-0000-0000FE1C0000}"/>
    <cellStyle name="Normal 22 6 3 2" xfId="7380" xr:uid="{00000000-0005-0000-0000-0000FF1C0000}"/>
    <cellStyle name="Normal 22 6 4" xfId="7381" xr:uid="{00000000-0005-0000-0000-0000001D0000}"/>
    <cellStyle name="Normal 22 6 5" xfId="7382" xr:uid="{00000000-0005-0000-0000-0000011D0000}"/>
    <cellStyle name="Normal 22 7" xfId="7383" xr:uid="{00000000-0005-0000-0000-0000021D0000}"/>
    <cellStyle name="Normal 22 7 2" xfId="7384" xr:uid="{00000000-0005-0000-0000-0000031D0000}"/>
    <cellStyle name="Normal 22 7 2 2" xfId="7385" xr:uid="{00000000-0005-0000-0000-0000041D0000}"/>
    <cellStyle name="Normal 22 7 3" xfId="7386" xr:uid="{00000000-0005-0000-0000-0000051D0000}"/>
    <cellStyle name="Normal 22 8" xfId="7387" xr:uid="{00000000-0005-0000-0000-0000061D0000}"/>
    <cellStyle name="Normal 22 8 2" xfId="7388" xr:uid="{00000000-0005-0000-0000-0000071D0000}"/>
    <cellStyle name="Normal 22 8 2 2" xfId="7389" xr:uid="{00000000-0005-0000-0000-0000081D0000}"/>
    <cellStyle name="Normal 22 8 3" xfId="7390" xr:uid="{00000000-0005-0000-0000-0000091D0000}"/>
    <cellStyle name="Normal 22 9" xfId="7391" xr:uid="{00000000-0005-0000-0000-00000A1D0000}"/>
    <cellStyle name="Normal 22 9 2" xfId="7392" xr:uid="{00000000-0005-0000-0000-00000B1D0000}"/>
    <cellStyle name="Normal 23" xfId="7393" xr:uid="{00000000-0005-0000-0000-00000C1D0000}"/>
    <cellStyle name="Normal 24" xfId="7394" xr:uid="{00000000-0005-0000-0000-00000D1D0000}"/>
    <cellStyle name="Normal 24 2" xfId="7395" xr:uid="{00000000-0005-0000-0000-00000E1D0000}"/>
    <cellStyle name="Normal 24 2 2" xfId="7396" xr:uid="{00000000-0005-0000-0000-00000F1D0000}"/>
    <cellStyle name="Normal 24 2 2 2" xfId="7397" xr:uid="{00000000-0005-0000-0000-0000101D0000}"/>
    <cellStyle name="Normal 24 2 2 2 2" xfId="7398" xr:uid="{00000000-0005-0000-0000-0000111D0000}"/>
    <cellStyle name="Normal 24 2 2 3" xfId="7399" xr:uid="{00000000-0005-0000-0000-0000121D0000}"/>
    <cellStyle name="Normal 24 2 3" xfId="7400" xr:uid="{00000000-0005-0000-0000-0000131D0000}"/>
    <cellStyle name="Normal 24 2 3 2" xfId="7401" xr:uid="{00000000-0005-0000-0000-0000141D0000}"/>
    <cellStyle name="Normal 24 2 3 2 2" xfId="7402" xr:uid="{00000000-0005-0000-0000-0000151D0000}"/>
    <cellStyle name="Normal 24 2 3 3" xfId="7403" xr:uid="{00000000-0005-0000-0000-0000161D0000}"/>
    <cellStyle name="Normal 24 2 4" xfId="7404" xr:uid="{00000000-0005-0000-0000-0000171D0000}"/>
    <cellStyle name="Normal 24 2 4 2" xfId="7405" xr:uid="{00000000-0005-0000-0000-0000181D0000}"/>
    <cellStyle name="Normal 24 2 5" xfId="7406" xr:uid="{00000000-0005-0000-0000-0000191D0000}"/>
    <cellStyle name="Normal 24 2 6" xfId="7407" xr:uid="{00000000-0005-0000-0000-00001A1D0000}"/>
    <cellStyle name="Normal 24 3" xfId="7408" xr:uid="{00000000-0005-0000-0000-00001B1D0000}"/>
    <cellStyle name="Normal 24 3 2" xfId="7409" xr:uid="{00000000-0005-0000-0000-00001C1D0000}"/>
    <cellStyle name="Normal 24 3 2 2" xfId="7410" xr:uid="{00000000-0005-0000-0000-00001D1D0000}"/>
    <cellStyle name="Normal 24 3 2 2 2" xfId="7411" xr:uid="{00000000-0005-0000-0000-00001E1D0000}"/>
    <cellStyle name="Normal 24 3 2 3" xfId="7412" xr:uid="{00000000-0005-0000-0000-00001F1D0000}"/>
    <cellStyle name="Normal 24 3 3" xfId="7413" xr:uid="{00000000-0005-0000-0000-0000201D0000}"/>
    <cellStyle name="Normal 24 3 3 2" xfId="7414" xr:uid="{00000000-0005-0000-0000-0000211D0000}"/>
    <cellStyle name="Normal 24 3 4" xfId="7415" xr:uid="{00000000-0005-0000-0000-0000221D0000}"/>
    <cellStyle name="Normal 24 3 5" xfId="7416" xr:uid="{00000000-0005-0000-0000-0000231D0000}"/>
    <cellStyle name="Normal 24 4" xfId="7417" xr:uid="{00000000-0005-0000-0000-0000241D0000}"/>
    <cellStyle name="Normal 24 4 2" xfId="7418" xr:uid="{00000000-0005-0000-0000-0000251D0000}"/>
    <cellStyle name="Normal 24 4 2 2" xfId="7419" xr:uid="{00000000-0005-0000-0000-0000261D0000}"/>
    <cellStyle name="Normal 24 4 3" xfId="7420" xr:uid="{00000000-0005-0000-0000-0000271D0000}"/>
    <cellStyle name="Normal 24 5" xfId="7421" xr:uid="{00000000-0005-0000-0000-0000281D0000}"/>
    <cellStyle name="Normal 24 5 2" xfId="7422" xr:uid="{00000000-0005-0000-0000-0000291D0000}"/>
    <cellStyle name="Normal 24 5 2 2" xfId="7423" xr:uid="{00000000-0005-0000-0000-00002A1D0000}"/>
    <cellStyle name="Normal 24 5 3" xfId="7424" xr:uid="{00000000-0005-0000-0000-00002B1D0000}"/>
    <cellStyle name="Normal 24 6" xfId="7425" xr:uid="{00000000-0005-0000-0000-00002C1D0000}"/>
    <cellStyle name="Normal 24 6 2" xfId="7426" xr:uid="{00000000-0005-0000-0000-00002D1D0000}"/>
    <cellStyle name="Normal 24 7" xfId="7427" xr:uid="{00000000-0005-0000-0000-00002E1D0000}"/>
    <cellStyle name="Normal 24 8" xfId="7428" xr:uid="{00000000-0005-0000-0000-00002F1D0000}"/>
    <cellStyle name="Normal 25" xfId="7429" xr:uid="{00000000-0005-0000-0000-0000301D0000}"/>
    <cellStyle name="Normal 25 2" xfId="7430" xr:uid="{00000000-0005-0000-0000-0000311D0000}"/>
    <cellStyle name="Normal 25 2 2" xfId="7431" xr:uid="{00000000-0005-0000-0000-0000321D0000}"/>
    <cellStyle name="Normal 25 2 2 2" xfId="7432" xr:uid="{00000000-0005-0000-0000-0000331D0000}"/>
    <cellStyle name="Normal 25 2 2 2 2" xfId="7433" xr:uid="{00000000-0005-0000-0000-0000341D0000}"/>
    <cellStyle name="Normal 25 2 2 3" xfId="7434" xr:uid="{00000000-0005-0000-0000-0000351D0000}"/>
    <cellStyle name="Normal 25 2 3" xfId="7435" xr:uid="{00000000-0005-0000-0000-0000361D0000}"/>
    <cellStyle name="Normal 25 2 3 2" xfId="7436" xr:uid="{00000000-0005-0000-0000-0000371D0000}"/>
    <cellStyle name="Normal 25 2 4" xfId="7437" xr:uid="{00000000-0005-0000-0000-0000381D0000}"/>
    <cellStyle name="Normal 25 3" xfId="7438" xr:uid="{00000000-0005-0000-0000-0000391D0000}"/>
    <cellStyle name="Normal 25 3 2" xfId="7439" xr:uid="{00000000-0005-0000-0000-00003A1D0000}"/>
    <cellStyle name="Normal 25 3 2 2" xfId="7440" xr:uid="{00000000-0005-0000-0000-00003B1D0000}"/>
    <cellStyle name="Normal 25 3 3" xfId="7441" xr:uid="{00000000-0005-0000-0000-00003C1D0000}"/>
    <cellStyle name="Normal 25 4" xfId="7442" xr:uid="{00000000-0005-0000-0000-00003D1D0000}"/>
    <cellStyle name="Normal 25 4 2" xfId="7443" xr:uid="{00000000-0005-0000-0000-00003E1D0000}"/>
    <cellStyle name="Normal 25 4 2 2" xfId="7444" xr:uid="{00000000-0005-0000-0000-00003F1D0000}"/>
    <cellStyle name="Normal 25 4 3" xfId="7445" xr:uid="{00000000-0005-0000-0000-0000401D0000}"/>
    <cellStyle name="Normal 25 5" xfId="7446" xr:uid="{00000000-0005-0000-0000-0000411D0000}"/>
    <cellStyle name="Normal 25 5 2" xfId="7447" xr:uid="{00000000-0005-0000-0000-0000421D0000}"/>
    <cellStyle name="Normal 25 6" xfId="7448" xr:uid="{00000000-0005-0000-0000-0000431D0000}"/>
    <cellStyle name="Normal 25 7" xfId="7449" xr:uid="{00000000-0005-0000-0000-0000441D0000}"/>
    <cellStyle name="Normal 26" xfId="7450" xr:uid="{00000000-0005-0000-0000-0000451D0000}"/>
    <cellStyle name="Normal 26 2" xfId="7451" xr:uid="{00000000-0005-0000-0000-0000461D0000}"/>
    <cellStyle name="Normal 26 2 2" xfId="7452" xr:uid="{00000000-0005-0000-0000-0000471D0000}"/>
    <cellStyle name="Normal 26 2 2 2" xfId="7453" xr:uid="{00000000-0005-0000-0000-0000481D0000}"/>
    <cellStyle name="Normal 26 2 3" xfId="7454" xr:uid="{00000000-0005-0000-0000-0000491D0000}"/>
    <cellStyle name="Normal 26 3" xfId="7455" xr:uid="{00000000-0005-0000-0000-00004A1D0000}"/>
    <cellStyle name="Normal 26 3 2" xfId="7456" xr:uid="{00000000-0005-0000-0000-00004B1D0000}"/>
    <cellStyle name="Normal 26 3 2 2" xfId="7457" xr:uid="{00000000-0005-0000-0000-00004C1D0000}"/>
    <cellStyle name="Normal 26 3 3" xfId="7458" xr:uid="{00000000-0005-0000-0000-00004D1D0000}"/>
    <cellStyle name="Normal 26 4" xfId="7459" xr:uid="{00000000-0005-0000-0000-00004E1D0000}"/>
    <cellStyle name="Normal 26 4 2" xfId="7460" xr:uid="{00000000-0005-0000-0000-00004F1D0000}"/>
    <cellStyle name="Normal 26 5" xfId="7461" xr:uid="{00000000-0005-0000-0000-0000501D0000}"/>
    <cellStyle name="Normal 26 6" xfId="7462" xr:uid="{00000000-0005-0000-0000-0000511D0000}"/>
    <cellStyle name="Normal 27" xfId="7463" xr:uid="{00000000-0005-0000-0000-0000521D0000}"/>
    <cellStyle name="Normal 27 2" xfId="7464" xr:uid="{00000000-0005-0000-0000-0000531D0000}"/>
    <cellStyle name="Normal 27 2 2" xfId="7465" xr:uid="{00000000-0005-0000-0000-0000541D0000}"/>
    <cellStyle name="Normal 27 2 2 2" xfId="7466" xr:uid="{00000000-0005-0000-0000-0000551D0000}"/>
    <cellStyle name="Normal 27 2 3" xfId="7467" xr:uid="{00000000-0005-0000-0000-0000561D0000}"/>
    <cellStyle name="Normal 27 3" xfId="7468" xr:uid="{00000000-0005-0000-0000-0000571D0000}"/>
    <cellStyle name="Normal 28" xfId="7469" xr:uid="{00000000-0005-0000-0000-0000581D0000}"/>
    <cellStyle name="Normal 28 2" xfId="7470" xr:uid="{00000000-0005-0000-0000-0000591D0000}"/>
    <cellStyle name="Normal 28 2 2" xfId="7471" xr:uid="{00000000-0005-0000-0000-00005A1D0000}"/>
    <cellStyle name="Normal 28 2 2 2" xfId="7472" xr:uid="{00000000-0005-0000-0000-00005B1D0000}"/>
    <cellStyle name="Normal 28 2 2 2 2" xfId="7473" xr:uid="{00000000-0005-0000-0000-00005C1D0000}"/>
    <cellStyle name="Normal 28 2 2 2 2 2" xfId="7474" xr:uid="{00000000-0005-0000-0000-00005D1D0000}"/>
    <cellStyle name="Normal 28 2 2 2 3" xfId="7475" xr:uid="{00000000-0005-0000-0000-00005E1D0000}"/>
    <cellStyle name="Normal 28 2 2 3" xfId="7476" xr:uid="{00000000-0005-0000-0000-00005F1D0000}"/>
    <cellStyle name="Normal 28 2 2 3 2" xfId="7477" xr:uid="{00000000-0005-0000-0000-0000601D0000}"/>
    <cellStyle name="Normal 28 2 2 3 2 2" xfId="7478" xr:uid="{00000000-0005-0000-0000-0000611D0000}"/>
    <cellStyle name="Normal 28 2 2 3 3" xfId="7479" xr:uid="{00000000-0005-0000-0000-0000621D0000}"/>
    <cellStyle name="Normal 28 2 2 4" xfId="7480" xr:uid="{00000000-0005-0000-0000-0000631D0000}"/>
    <cellStyle name="Normal 28 2 2 4 2" xfId="7481" xr:uid="{00000000-0005-0000-0000-0000641D0000}"/>
    <cellStyle name="Normal 28 2 2 5" xfId="7482" xr:uid="{00000000-0005-0000-0000-0000651D0000}"/>
    <cellStyle name="Normal 28 2 2 6" xfId="7483" xr:uid="{00000000-0005-0000-0000-0000661D0000}"/>
    <cellStyle name="Normal 28 2 3" xfId="7484" xr:uid="{00000000-0005-0000-0000-0000671D0000}"/>
    <cellStyle name="Normal 28 2 3 2" xfId="7485" xr:uid="{00000000-0005-0000-0000-0000681D0000}"/>
    <cellStyle name="Normal 28 2 3 2 2" xfId="7486" xr:uid="{00000000-0005-0000-0000-0000691D0000}"/>
    <cellStyle name="Normal 28 2 3 2 2 2" xfId="7487" xr:uid="{00000000-0005-0000-0000-00006A1D0000}"/>
    <cellStyle name="Normal 28 2 3 2 3" xfId="7488" xr:uid="{00000000-0005-0000-0000-00006B1D0000}"/>
    <cellStyle name="Normal 28 2 3 3" xfId="7489" xr:uid="{00000000-0005-0000-0000-00006C1D0000}"/>
    <cellStyle name="Normal 28 2 3 3 2" xfId="7490" xr:uid="{00000000-0005-0000-0000-00006D1D0000}"/>
    <cellStyle name="Normal 28 2 3 4" xfId="7491" xr:uid="{00000000-0005-0000-0000-00006E1D0000}"/>
    <cellStyle name="Normal 28 2 3 5" xfId="7492" xr:uid="{00000000-0005-0000-0000-00006F1D0000}"/>
    <cellStyle name="Normal 28 2 4" xfId="7493" xr:uid="{00000000-0005-0000-0000-0000701D0000}"/>
    <cellStyle name="Normal 28 2 4 2" xfId="7494" xr:uid="{00000000-0005-0000-0000-0000711D0000}"/>
    <cellStyle name="Normal 28 2 4 2 2" xfId="7495" xr:uid="{00000000-0005-0000-0000-0000721D0000}"/>
    <cellStyle name="Normal 28 2 4 3" xfId="7496" xr:uid="{00000000-0005-0000-0000-0000731D0000}"/>
    <cellStyle name="Normal 28 2 4 4" xfId="7497" xr:uid="{00000000-0005-0000-0000-0000741D0000}"/>
    <cellStyle name="Normal 28 2 5" xfId="7498" xr:uid="{00000000-0005-0000-0000-0000751D0000}"/>
    <cellStyle name="Normal 28 2 5 2" xfId="7499" xr:uid="{00000000-0005-0000-0000-0000761D0000}"/>
    <cellStyle name="Normal 28 2 5 2 2" xfId="7500" xr:uid="{00000000-0005-0000-0000-0000771D0000}"/>
    <cellStyle name="Normal 28 2 5 3" xfId="7501" xr:uid="{00000000-0005-0000-0000-0000781D0000}"/>
    <cellStyle name="Normal 28 2 6" xfId="7502" xr:uid="{00000000-0005-0000-0000-0000791D0000}"/>
    <cellStyle name="Normal 28 2 6 2" xfId="7503" xr:uid="{00000000-0005-0000-0000-00007A1D0000}"/>
    <cellStyle name="Normal 28 2 6 2 2" xfId="7504" xr:uid="{00000000-0005-0000-0000-00007B1D0000}"/>
    <cellStyle name="Normal 28 2 6 3" xfId="7505" xr:uid="{00000000-0005-0000-0000-00007C1D0000}"/>
    <cellStyle name="Normal 28 2 7" xfId="7506" xr:uid="{00000000-0005-0000-0000-00007D1D0000}"/>
    <cellStyle name="Normal 28 2 7 2" xfId="7507" xr:uid="{00000000-0005-0000-0000-00007E1D0000}"/>
    <cellStyle name="Normal 28 2 8" xfId="7508" xr:uid="{00000000-0005-0000-0000-00007F1D0000}"/>
    <cellStyle name="Normal 28 2 9" xfId="7509" xr:uid="{00000000-0005-0000-0000-0000801D0000}"/>
    <cellStyle name="Normal 28 3" xfId="7510" xr:uid="{00000000-0005-0000-0000-0000811D0000}"/>
    <cellStyle name="Normal 28 3 2" xfId="7511" xr:uid="{00000000-0005-0000-0000-0000821D0000}"/>
    <cellStyle name="Normal 28 3 2 2" xfId="7512" xr:uid="{00000000-0005-0000-0000-0000831D0000}"/>
    <cellStyle name="Normal 28 3 2 2 2" xfId="7513" xr:uid="{00000000-0005-0000-0000-0000841D0000}"/>
    <cellStyle name="Normal 28 3 2 2 2 2" xfId="7514" xr:uid="{00000000-0005-0000-0000-0000851D0000}"/>
    <cellStyle name="Normal 28 3 2 2 3" xfId="7515" xr:uid="{00000000-0005-0000-0000-0000861D0000}"/>
    <cellStyle name="Normal 28 3 2 3" xfId="7516" xr:uid="{00000000-0005-0000-0000-0000871D0000}"/>
    <cellStyle name="Normal 28 3 2 3 2" xfId="7517" xr:uid="{00000000-0005-0000-0000-0000881D0000}"/>
    <cellStyle name="Normal 28 3 2 3 2 2" xfId="7518" xr:uid="{00000000-0005-0000-0000-0000891D0000}"/>
    <cellStyle name="Normal 28 3 2 3 3" xfId="7519" xr:uid="{00000000-0005-0000-0000-00008A1D0000}"/>
    <cellStyle name="Normal 28 3 2 4" xfId="7520" xr:uid="{00000000-0005-0000-0000-00008B1D0000}"/>
    <cellStyle name="Normal 28 3 2 4 2" xfId="7521" xr:uid="{00000000-0005-0000-0000-00008C1D0000}"/>
    <cellStyle name="Normal 28 3 2 5" xfId="7522" xr:uid="{00000000-0005-0000-0000-00008D1D0000}"/>
    <cellStyle name="Normal 28 3 2 6" xfId="7523" xr:uid="{00000000-0005-0000-0000-00008E1D0000}"/>
    <cellStyle name="Normal 28 3 3" xfId="7524" xr:uid="{00000000-0005-0000-0000-00008F1D0000}"/>
    <cellStyle name="Normal 28 3 3 2" xfId="7525" xr:uid="{00000000-0005-0000-0000-0000901D0000}"/>
    <cellStyle name="Normal 28 3 3 2 2" xfId="7526" xr:uid="{00000000-0005-0000-0000-0000911D0000}"/>
    <cellStyle name="Normal 28 3 3 2 2 2" xfId="7527" xr:uid="{00000000-0005-0000-0000-0000921D0000}"/>
    <cellStyle name="Normal 28 3 3 2 3" xfId="7528" xr:uid="{00000000-0005-0000-0000-0000931D0000}"/>
    <cellStyle name="Normal 28 3 3 3" xfId="7529" xr:uid="{00000000-0005-0000-0000-0000941D0000}"/>
    <cellStyle name="Normal 28 3 3 3 2" xfId="7530" xr:uid="{00000000-0005-0000-0000-0000951D0000}"/>
    <cellStyle name="Normal 28 3 3 4" xfId="7531" xr:uid="{00000000-0005-0000-0000-0000961D0000}"/>
    <cellStyle name="Normal 28 3 3 5" xfId="7532" xr:uid="{00000000-0005-0000-0000-0000971D0000}"/>
    <cellStyle name="Normal 28 3 4" xfId="7533" xr:uid="{00000000-0005-0000-0000-0000981D0000}"/>
    <cellStyle name="Normal 28 3 4 2" xfId="7534" xr:uid="{00000000-0005-0000-0000-0000991D0000}"/>
    <cellStyle name="Normal 28 3 4 2 2" xfId="7535" xr:uid="{00000000-0005-0000-0000-00009A1D0000}"/>
    <cellStyle name="Normal 28 3 4 3" xfId="7536" xr:uid="{00000000-0005-0000-0000-00009B1D0000}"/>
    <cellStyle name="Normal 28 3 5" xfId="7537" xr:uid="{00000000-0005-0000-0000-00009C1D0000}"/>
    <cellStyle name="Normal 28 3 5 2" xfId="7538" xr:uid="{00000000-0005-0000-0000-00009D1D0000}"/>
    <cellStyle name="Normal 28 3 5 2 2" xfId="7539" xr:uid="{00000000-0005-0000-0000-00009E1D0000}"/>
    <cellStyle name="Normal 28 3 5 3" xfId="7540" xr:uid="{00000000-0005-0000-0000-00009F1D0000}"/>
    <cellStyle name="Normal 28 3 6" xfId="7541" xr:uid="{00000000-0005-0000-0000-0000A01D0000}"/>
    <cellStyle name="Normal 28 3 6 2" xfId="7542" xr:uid="{00000000-0005-0000-0000-0000A11D0000}"/>
    <cellStyle name="Normal 28 3 7" xfId="7543" xr:uid="{00000000-0005-0000-0000-0000A21D0000}"/>
    <cellStyle name="Normal 28 3 8" xfId="7544" xr:uid="{00000000-0005-0000-0000-0000A31D0000}"/>
    <cellStyle name="Normal 28 4" xfId="7545" xr:uid="{00000000-0005-0000-0000-0000A41D0000}"/>
    <cellStyle name="Normal 28 4 2" xfId="7546" xr:uid="{00000000-0005-0000-0000-0000A51D0000}"/>
    <cellStyle name="Normal 28 4 2 2" xfId="7547" xr:uid="{00000000-0005-0000-0000-0000A61D0000}"/>
    <cellStyle name="Normal 28 4 2 2 2" xfId="7548" xr:uid="{00000000-0005-0000-0000-0000A71D0000}"/>
    <cellStyle name="Normal 28 4 2 2 2 2" xfId="7549" xr:uid="{00000000-0005-0000-0000-0000A81D0000}"/>
    <cellStyle name="Normal 28 4 2 2 3" xfId="7550" xr:uid="{00000000-0005-0000-0000-0000A91D0000}"/>
    <cellStyle name="Normal 28 4 2 3" xfId="7551" xr:uid="{00000000-0005-0000-0000-0000AA1D0000}"/>
    <cellStyle name="Normal 28 4 2 3 2" xfId="7552" xr:uid="{00000000-0005-0000-0000-0000AB1D0000}"/>
    <cellStyle name="Normal 28 4 2 3 2 2" xfId="7553" xr:uid="{00000000-0005-0000-0000-0000AC1D0000}"/>
    <cellStyle name="Normal 28 4 2 3 3" xfId="7554" xr:uid="{00000000-0005-0000-0000-0000AD1D0000}"/>
    <cellStyle name="Normal 28 4 2 4" xfId="7555" xr:uid="{00000000-0005-0000-0000-0000AE1D0000}"/>
    <cellStyle name="Normal 28 4 2 4 2" xfId="7556" xr:uid="{00000000-0005-0000-0000-0000AF1D0000}"/>
    <cellStyle name="Normal 28 4 2 5" xfId="7557" xr:uid="{00000000-0005-0000-0000-0000B01D0000}"/>
    <cellStyle name="Normal 28 4 2 6" xfId="7558" xr:uid="{00000000-0005-0000-0000-0000B11D0000}"/>
    <cellStyle name="Normal 28 4 3" xfId="7559" xr:uid="{00000000-0005-0000-0000-0000B21D0000}"/>
    <cellStyle name="Normal 28 4 3 2" xfId="7560" xr:uid="{00000000-0005-0000-0000-0000B31D0000}"/>
    <cellStyle name="Normal 28 4 3 2 2" xfId="7561" xr:uid="{00000000-0005-0000-0000-0000B41D0000}"/>
    <cellStyle name="Normal 28 4 3 2 2 2" xfId="7562" xr:uid="{00000000-0005-0000-0000-0000B51D0000}"/>
    <cellStyle name="Normal 28 4 3 2 3" xfId="7563" xr:uid="{00000000-0005-0000-0000-0000B61D0000}"/>
    <cellStyle name="Normal 28 4 3 3" xfId="7564" xr:uid="{00000000-0005-0000-0000-0000B71D0000}"/>
    <cellStyle name="Normal 28 4 3 3 2" xfId="7565" xr:uid="{00000000-0005-0000-0000-0000B81D0000}"/>
    <cellStyle name="Normal 28 4 3 4" xfId="7566" xr:uid="{00000000-0005-0000-0000-0000B91D0000}"/>
    <cellStyle name="Normal 28 4 3 5" xfId="7567" xr:uid="{00000000-0005-0000-0000-0000BA1D0000}"/>
    <cellStyle name="Normal 28 4 4" xfId="7568" xr:uid="{00000000-0005-0000-0000-0000BB1D0000}"/>
    <cellStyle name="Normal 28 4 4 2" xfId="7569" xr:uid="{00000000-0005-0000-0000-0000BC1D0000}"/>
    <cellStyle name="Normal 28 4 4 2 2" xfId="7570" xr:uid="{00000000-0005-0000-0000-0000BD1D0000}"/>
    <cellStyle name="Normal 28 4 4 3" xfId="7571" xr:uid="{00000000-0005-0000-0000-0000BE1D0000}"/>
    <cellStyle name="Normal 28 4 5" xfId="7572" xr:uid="{00000000-0005-0000-0000-0000BF1D0000}"/>
    <cellStyle name="Normal 28 4 5 2" xfId="7573" xr:uid="{00000000-0005-0000-0000-0000C01D0000}"/>
    <cellStyle name="Normal 28 4 5 2 2" xfId="7574" xr:uid="{00000000-0005-0000-0000-0000C11D0000}"/>
    <cellStyle name="Normal 28 4 5 3" xfId="7575" xr:uid="{00000000-0005-0000-0000-0000C21D0000}"/>
    <cellStyle name="Normal 28 4 6" xfId="7576" xr:uid="{00000000-0005-0000-0000-0000C31D0000}"/>
    <cellStyle name="Normal 28 4 6 2" xfId="7577" xr:uid="{00000000-0005-0000-0000-0000C41D0000}"/>
    <cellStyle name="Normal 28 4 7" xfId="7578" xr:uid="{00000000-0005-0000-0000-0000C51D0000}"/>
    <cellStyle name="Normal 28 4 8" xfId="7579" xr:uid="{00000000-0005-0000-0000-0000C61D0000}"/>
    <cellStyle name="Normal 28 5" xfId="7580" xr:uid="{00000000-0005-0000-0000-0000C71D0000}"/>
    <cellStyle name="Normal 28 5 2" xfId="7581" xr:uid="{00000000-0005-0000-0000-0000C81D0000}"/>
    <cellStyle name="Normal 28 5 2 2" xfId="7582" xr:uid="{00000000-0005-0000-0000-0000C91D0000}"/>
    <cellStyle name="Normal 28 5 3" xfId="7583" xr:uid="{00000000-0005-0000-0000-0000CA1D0000}"/>
    <cellStyle name="Normal 28 6" xfId="7584" xr:uid="{00000000-0005-0000-0000-0000CB1D0000}"/>
    <cellStyle name="Normal 29" xfId="7585" xr:uid="{00000000-0005-0000-0000-0000CC1D0000}"/>
    <cellStyle name="Normal 29 2" xfId="7586" xr:uid="{00000000-0005-0000-0000-0000CD1D0000}"/>
    <cellStyle name="Normal 29 2 2" xfId="7587" xr:uid="{00000000-0005-0000-0000-0000CE1D0000}"/>
    <cellStyle name="Normal 29 2 2 2" xfId="7588" xr:uid="{00000000-0005-0000-0000-0000CF1D0000}"/>
    <cellStyle name="Normal 29 2 3" xfId="7589" xr:uid="{00000000-0005-0000-0000-0000D01D0000}"/>
    <cellStyle name="Normal 29 2 4" xfId="7590" xr:uid="{00000000-0005-0000-0000-0000D11D0000}"/>
    <cellStyle name="Normal 29 3" xfId="7591" xr:uid="{00000000-0005-0000-0000-0000D21D0000}"/>
    <cellStyle name="Normal 29 3 2" xfId="7592" xr:uid="{00000000-0005-0000-0000-0000D31D0000}"/>
    <cellStyle name="Normal 29 4" xfId="7593" xr:uid="{00000000-0005-0000-0000-0000D41D0000}"/>
    <cellStyle name="Normal 3" xfId="7594" xr:uid="{00000000-0005-0000-0000-0000D51D0000}"/>
    <cellStyle name="Normal 3 10" xfId="7595" xr:uid="{00000000-0005-0000-0000-0000D61D0000}"/>
    <cellStyle name="Normal 3 11" xfId="7596" xr:uid="{00000000-0005-0000-0000-0000D71D0000}"/>
    <cellStyle name="Normal 3 12" xfId="7597" xr:uid="{00000000-0005-0000-0000-0000D81D0000}"/>
    <cellStyle name="Normal 3 13" xfId="7598" xr:uid="{00000000-0005-0000-0000-0000D91D0000}"/>
    <cellStyle name="Normal 3 14" xfId="7599" xr:uid="{00000000-0005-0000-0000-0000DA1D0000}"/>
    <cellStyle name="Normal 3 14 2" xfId="7600" xr:uid="{00000000-0005-0000-0000-0000DB1D0000}"/>
    <cellStyle name="Normal 3 14 2 2" xfId="7601" xr:uid="{00000000-0005-0000-0000-0000DC1D0000}"/>
    <cellStyle name="Normal 3 14 2 2 2" xfId="7602" xr:uid="{00000000-0005-0000-0000-0000DD1D0000}"/>
    <cellStyle name="Normal 3 14 2 2 2 2" xfId="7603" xr:uid="{00000000-0005-0000-0000-0000DE1D0000}"/>
    <cellStyle name="Normal 3 14 2 2 3" xfId="7604" xr:uid="{00000000-0005-0000-0000-0000DF1D0000}"/>
    <cellStyle name="Normal 3 14 2 3" xfId="7605" xr:uid="{00000000-0005-0000-0000-0000E01D0000}"/>
    <cellStyle name="Normal 3 14 2 3 2" xfId="7606" xr:uid="{00000000-0005-0000-0000-0000E11D0000}"/>
    <cellStyle name="Normal 3 14 2 3 2 2" xfId="7607" xr:uid="{00000000-0005-0000-0000-0000E21D0000}"/>
    <cellStyle name="Normal 3 14 2 3 3" xfId="7608" xr:uid="{00000000-0005-0000-0000-0000E31D0000}"/>
    <cellStyle name="Normal 3 14 2 4" xfId="7609" xr:uid="{00000000-0005-0000-0000-0000E41D0000}"/>
    <cellStyle name="Normal 3 14 2 4 2" xfId="7610" xr:uid="{00000000-0005-0000-0000-0000E51D0000}"/>
    <cellStyle name="Normal 3 14 2 5" xfId="7611" xr:uid="{00000000-0005-0000-0000-0000E61D0000}"/>
    <cellStyle name="Normal 3 14 2 6" xfId="7612" xr:uid="{00000000-0005-0000-0000-0000E71D0000}"/>
    <cellStyle name="Normal 3 14 3" xfId="7613" xr:uid="{00000000-0005-0000-0000-0000E81D0000}"/>
    <cellStyle name="Normal 3 14 3 2" xfId="7614" xr:uid="{00000000-0005-0000-0000-0000E91D0000}"/>
    <cellStyle name="Normal 3 14 3 2 2" xfId="7615" xr:uid="{00000000-0005-0000-0000-0000EA1D0000}"/>
    <cellStyle name="Normal 3 14 3 2 2 2" xfId="7616" xr:uid="{00000000-0005-0000-0000-0000EB1D0000}"/>
    <cellStyle name="Normal 3 14 3 2 3" xfId="7617" xr:uid="{00000000-0005-0000-0000-0000EC1D0000}"/>
    <cellStyle name="Normal 3 14 3 3" xfId="7618" xr:uid="{00000000-0005-0000-0000-0000ED1D0000}"/>
    <cellStyle name="Normal 3 14 3 3 2" xfId="7619" xr:uid="{00000000-0005-0000-0000-0000EE1D0000}"/>
    <cellStyle name="Normal 3 14 3 4" xfId="7620" xr:uid="{00000000-0005-0000-0000-0000EF1D0000}"/>
    <cellStyle name="Normal 3 14 3 5" xfId="7621" xr:uid="{00000000-0005-0000-0000-0000F01D0000}"/>
    <cellStyle name="Normal 3 14 4" xfId="7622" xr:uid="{00000000-0005-0000-0000-0000F11D0000}"/>
    <cellStyle name="Normal 3 14 4 2" xfId="7623" xr:uid="{00000000-0005-0000-0000-0000F21D0000}"/>
    <cellStyle name="Normal 3 14 4 2 2" xfId="7624" xr:uid="{00000000-0005-0000-0000-0000F31D0000}"/>
    <cellStyle name="Normal 3 14 4 3" xfId="7625" xr:uid="{00000000-0005-0000-0000-0000F41D0000}"/>
    <cellStyle name="Normal 3 14 5" xfId="7626" xr:uid="{00000000-0005-0000-0000-0000F51D0000}"/>
    <cellStyle name="Normal 3 14 5 2" xfId="7627" xr:uid="{00000000-0005-0000-0000-0000F61D0000}"/>
    <cellStyle name="Normal 3 14 5 2 2" xfId="7628" xr:uid="{00000000-0005-0000-0000-0000F71D0000}"/>
    <cellStyle name="Normal 3 14 5 3" xfId="7629" xr:uid="{00000000-0005-0000-0000-0000F81D0000}"/>
    <cellStyle name="Normal 3 14 6" xfId="7630" xr:uid="{00000000-0005-0000-0000-0000F91D0000}"/>
    <cellStyle name="Normal 3 14 6 2" xfId="7631" xr:uid="{00000000-0005-0000-0000-0000FA1D0000}"/>
    <cellStyle name="Normal 3 14 7" xfId="7632" xr:uid="{00000000-0005-0000-0000-0000FB1D0000}"/>
    <cellStyle name="Normal 3 14 8" xfId="7633" xr:uid="{00000000-0005-0000-0000-0000FC1D0000}"/>
    <cellStyle name="Normal 3 15" xfId="7634" xr:uid="{00000000-0005-0000-0000-0000FD1D0000}"/>
    <cellStyle name="Normal 3 16" xfId="7635" xr:uid="{00000000-0005-0000-0000-0000FE1D0000}"/>
    <cellStyle name="Normal 3 16 2" xfId="7636" xr:uid="{00000000-0005-0000-0000-0000FF1D0000}"/>
    <cellStyle name="Normal 3 16 2 2" xfId="7637" xr:uid="{00000000-0005-0000-0000-0000001E0000}"/>
    <cellStyle name="Normal 3 16 2 2 2" xfId="7638" xr:uid="{00000000-0005-0000-0000-0000011E0000}"/>
    <cellStyle name="Normal 3 16 2 2 2 2" xfId="7639" xr:uid="{00000000-0005-0000-0000-0000021E0000}"/>
    <cellStyle name="Normal 3 16 2 2 3" xfId="7640" xr:uid="{00000000-0005-0000-0000-0000031E0000}"/>
    <cellStyle name="Normal 3 16 2 3" xfId="7641" xr:uid="{00000000-0005-0000-0000-0000041E0000}"/>
    <cellStyle name="Normal 3 16 2 3 2" xfId="7642" xr:uid="{00000000-0005-0000-0000-0000051E0000}"/>
    <cellStyle name="Normal 3 16 2 3 2 2" xfId="7643" xr:uid="{00000000-0005-0000-0000-0000061E0000}"/>
    <cellStyle name="Normal 3 16 2 3 3" xfId="7644" xr:uid="{00000000-0005-0000-0000-0000071E0000}"/>
    <cellStyle name="Normal 3 16 2 4" xfId="7645" xr:uid="{00000000-0005-0000-0000-0000081E0000}"/>
    <cellStyle name="Normal 3 16 2 4 2" xfId="7646" xr:uid="{00000000-0005-0000-0000-0000091E0000}"/>
    <cellStyle name="Normal 3 16 2 5" xfId="7647" xr:uid="{00000000-0005-0000-0000-00000A1E0000}"/>
    <cellStyle name="Normal 3 16 2 6" xfId="7648" xr:uid="{00000000-0005-0000-0000-00000B1E0000}"/>
    <cellStyle name="Normal 3 16 3" xfId="7649" xr:uid="{00000000-0005-0000-0000-00000C1E0000}"/>
    <cellStyle name="Normal 3 16 3 2" xfId="7650" xr:uid="{00000000-0005-0000-0000-00000D1E0000}"/>
    <cellStyle name="Normal 3 16 3 2 2" xfId="7651" xr:uid="{00000000-0005-0000-0000-00000E1E0000}"/>
    <cellStyle name="Normal 3 16 3 3" xfId="7652" xr:uid="{00000000-0005-0000-0000-00000F1E0000}"/>
    <cellStyle name="Normal 3 16 4" xfId="7653" xr:uid="{00000000-0005-0000-0000-0000101E0000}"/>
    <cellStyle name="Normal 3 16 4 2" xfId="7654" xr:uid="{00000000-0005-0000-0000-0000111E0000}"/>
    <cellStyle name="Normal 3 16 4 2 2" xfId="7655" xr:uid="{00000000-0005-0000-0000-0000121E0000}"/>
    <cellStyle name="Normal 3 16 4 3" xfId="7656" xr:uid="{00000000-0005-0000-0000-0000131E0000}"/>
    <cellStyle name="Normal 3 16 5" xfId="7657" xr:uid="{00000000-0005-0000-0000-0000141E0000}"/>
    <cellStyle name="Normal 3 16 5 2" xfId="7658" xr:uid="{00000000-0005-0000-0000-0000151E0000}"/>
    <cellStyle name="Normal 3 16 5 2 2" xfId="7659" xr:uid="{00000000-0005-0000-0000-0000161E0000}"/>
    <cellStyle name="Normal 3 16 5 3" xfId="7660" xr:uid="{00000000-0005-0000-0000-0000171E0000}"/>
    <cellStyle name="Normal 3 16 6" xfId="7661" xr:uid="{00000000-0005-0000-0000-0000181E0000}"/>
    <cellStyle name="Normal 3 16 6 2" xfId="7662" xr:uid="{00000000-0005-0000-0000-0000191E0000}"/>
    <cellStyle name="Normal 3 16 7" xfId="7663" xr:uid="{00000000-0005-0000-0000-00001A1E0000}"/>
    <cellStyle name="Normal 3 16 8" xfId="7664" xr:uid="{00000000-0005-0000-0000-00001B1E0000}"/>
    <cellStyle name="Normal 3 17" xfId="7665" xr:uid="{00000000-0005-0000-0000-00001C1E0000}"/>
    <cellStyle name="Normal 3 18" xfId="7666" xr:uid="{00000000-0005-0000-0000-00001D1E0000}"/>
    <cellStyle name="Normal 3 18 2" xfId="7667" xr:uid="{00000000-0005-0000-0000-00001E1E0000}"/>
    <cellStyle name="Normal 3 18 2 2" xfId="7668" xr:uid="{00000000-0005-0000-0000-00001F1E0000}"/>
    <cellStyle name="Normal 3 18 3" xfId="7669" xr:uid="{00000000-0005-0000-0000-0000201E0000}"/>
    <cellStyle name="Normal 3 19" xfId="7670" xr:uid="{00000000-0005-0000-0000-0000211E0000}"/>
    <cellStyle name="Normal 3 2" xfId="7671" xr:uid="{00000000-0005-0000-0000-0000221E0000}"/>
    <cellStyle name="Normal 3 2 2" xfId="7672" xr:uid="{00000000-0005-0000-0000-0000231E0000}"/>
    <cellStyle name="Normal 3 2 2 2" xfId="7673" xr:uid="{00000000-0005-0000-0000-0000241E0000}"/>
    <cellStyle name="Normal 3 2 2 2 2" xfId="7674" xr:uid="{00000000-0005-0000-0000-0000251E0000}"/>
    <cellStyle name="Normal 3 2 2 3" xfId="7675" xr:uid="{00000000-0005-0000-0000-0000261E0000}"/>
    <cellStyle name="Normal 3 2 2 3 2" xfId="7676" xr:uid="{00000000-0005-0000-0000-0000271E0000}"/>
    <cellStyle name="Normal 3 2 2 4" xfId="7677" xr:uid="{00000000-0005-0000-0000-0000281E0000}"/>
    <cellStyle name="Normal 3 2 3" xfId="7678" xr:uid="{00000000-0005-0000-0000-0000291E0000}"/>
    <cellStyle name="Normal 3 2 3 2" xfId="7679" xr:uid="{00000000-0005-0000-0000-00002A1E0000}"/>
    <cellStyle name="Normal 3 2 3 2 2" xfId="7680" xr:uid="{00000000-0005-0000-0000-00002B1E0000}"/>
    <cellStyle name="Normal 3 2 3 3" xfId="7681" xr:uid="{00000000-0005-0000-0000-00002C1E0000}"/>
    <cellStyle name="Normal 3 2 3 3 2" xfId="7682" xr:uid="{00000000-0005-0000-0000-00002D1E0000}"/>
    <cellStyle name="Normal 3 2 3 4" xfId="7683" xr:uid="{00000000-0005-0000-0000-00002E1E0000}"/>
    <cellStyle name="Normal 3 2 4" xfId="7684" xr:uid="{00000000-0005-0000-0000-00002F1E0000}"/>
    <cellStyle name="Normal 3 2 4 2" xfId="7685" xr:uid="{00000000-0005-0000-0000-0000301E0000}"/>
    <cellStyle name="Normal 3 2 5" xfId="7686" xr:uid="{00000000-0005-0000-0000-0000311E0000}"/>
    <cellStyle name="Normal 3 2 5 2" xfId="7687" xr:uid="{00000000-0005-0000-0000-0000321E0000}"/>
    <cellStyle name="Normal 3 2 6" xfId="7688" xr:uid="{00000000-0005-0000-0000-0000331E0000}"/>
    <cellStyle name="Normal 3 2 7" xfId="7689" xr:uid="{00000000-0005-0000-0000-0000341E0000}"/>
    <cellStyle name="Normal 3 3" xfId="7690" xr:uid="{00000000-0005-0000-0000-0000351E0000}"/>
    <cellStyle name="Normal 3 3 2" xfId="7691" xr:uid="{00000000-0005-0000-0000-0000361E0000}"/>
    <cellStyle name="Normal 3 3 2 2" xfId="7692" xr:uid="{00000000-0005-0000-0000-0000371E0000}"/>
    <cellStyle name="Normal 3 3 3" xfId="7693" xr:uid="{00000000-0005-0000-0000-0000381E0000}"/>
    <cellStyle name="Normal 3 3 3 2" xfId="7694" xr:uid="{00000000-0005-0000-0000-0000391E0000}"/>
    <cellStyle name="Normal 3 3 4" xfId="7695" xr:uid="{00000000-0005-0000-0000-00003A1E0000}"/>
    <cellStyle name="Normal 3 3 5" xfId="7696" xr:uid="{00000000-0005-0000-0000-00003B1E0000}"/>
    <cellStyle name="Normal 3 3 6" xfId="7697" xr:uid="{00000000-0005-0000-0000-00003C1E0000}"/>
    <cellStyle name="Normal 3 4" xfId="7698" xr:uid="{00000000-0005-0000-0000-00003D1E0000}"/>
    <cellStyle name="Normal 3 4 2" xfId="7699" xr:uid="{00000000-0005-0000-0000-00003E1E0000}"/>
    <cellStyle name="Normal 3 4 3" xfId="7700" xr:uid="{00000000-0005-0000-0000-00003F1E0000}"/>
    <cellStyle name="Normal 3 4 4" xfId="7701" xr:uid="{00000000-0005-0000-0000-0000401E0000}"/>
    <cellStyle name="Normal 3 5" xfId="7702" xr:uid="{00000000-0005-0000-0000-0000411E0000}"/>
    <cellStyle name="Normal 3 5 2" xfId="7703" xr:uid="{00000000-0005-0000-0000-0000421E0000}"/>
    <cellStyle name="Normal 3 5 2 2" xfId="7704" xr:uid="{00000000-0005-0000-0000-0000431E0000}"/>
    <cellStyle name="Normal 3 5 2 2 2" xfId="7705" xr:uid="{00000000-0005-0000-0000-0000441E0000}"/>
    <cellStyle name="Normal 3 5 2 3" xfId="7706" xr:uid="{00000000-0005-0000-0000-0000451E0000}"/>
    <cellStyle name="Normal 3 5 2 3 2" xfId="7707" xr:uid="{00000000-0005-0000-0000-0000461E0000}"/>
    <cellStyle name="Normal 3 5 3" xfId="7708" xr:uid="{00000000-0005-0000-0000-0000471E0000}"/>
    <cellStyle name="Normal 3 5 3 2" xfId="7709" xr:uid="{00000000-0005-0000-0000-0000481E0000}"/>
    <cellStyle name="Normal 3 5 3 2 2" xfId="7710" xr:uid="{00000000-0005-0000-0000-0000491E0000}"/>
    <cellStyle name="Normal 3 5 3 2 2 2" xfId="7711" xr:uid="{00000000-0005-0000-0000-00004A1E0000}"/>
    <cellStyle name="Normal 3 5 3 2 2 2 2" xfId="7712" xr:uid="{00000000-0005-0000-0000-00004B1E0000}"/>
    <cellStyle name="Normal 3 5 3 2 3" xfId="7713" xr:uid="{00000000-0005-0000-0000-00004C1E0000}"/>
    <cellStyle name="Normal 3 5 3 3" xfId="7714" xr:uid="{00000000-0005-0000-0000-00004D1E0000}"/>
    <cellStyle name="Normal 3 5 3 3 2" xfId="7715" xr:uid="{00000000-0005-0000-0000-00004E1E0000}"/>
    <cellStyle name="Normal 3 5 4" xfId="7716" xr:uid="{00000000-0005-0000-0000-00004F1E0000}"/>
    <cellStyle name="Normal 3 5 5" xfId="7717" xr:uid="{00000000-0005-0000-0000-0000501E0000}"/>
    <cellStyle name="Normal 3 6" xfId="7718" xr:uid="{00000000-0005-0000-0000-0000511E0000}"/>
    <cellStyle name="Normal 3 6 2" xfId="7719" xr:uid="{00000000-0005-0000-0000-0000521E0000}"/>
    <cellStyle name="Normal 3 6 2 2" xfId="7720" xr:uid="{00000000-0005-0000-0000-0000531E0000}"/>
    <cellStyle name="Normal 3 6 2 2 2" xfId="7721" xr:uid="{00000000-0005-0000-0000-0000541E0000}"/>
    <cellStyle name="Normal 3 6 2 2 2 2" xfId="7722" xr:uid="{00000000-0005-0000-0000-0000551E0000}"/>
    <cellStyle name="Normal 3 6 2 3" xfId="7723" xr:uid="{00000000-0005-0000-0000-0000561E0000}"/>
    <cellStyle name="Normal 3 6 3" xfId="7724" xr:uid="{00000000-0005-0000-0000-0000571E0000}"/>
    <cellStyle name="Normal 3 6 3 2" xfId="7725" xr:uid="{00000000-0005-0000-0000-0000581E0000}"/>
    <cellStyle name="Normal 3 7" xfId="7726" xr:uid="{00000000-0005-0000-0000-0000591E0000}"/>
    <cellStyle name="Normal 3 7 2" xfId="7727" xr:uid="{00000000-0005-0000-0000-00005A1E0000}"/>
    <cellStyle name="Normal 3 8" xfId="7728" xr:uid="{00000000-0005-0000-0000-00005B1E0000}"/>
    <cellStyle name="Normal 3 8 2" xfId="7729" xr:uid="{00000000-0005-0000-0000-00005C1E0000}"/>
    <cellStyle name="Normal 3 9" xfId="7730" xr:uid="{00000000-0005-0000-0000-00005D1E0000}"/>
    <cellStyle name="Normal 3 9 2" xfId="7731" xr:uid="{00000000-0005-0000-0000-00005E1E0000}"/>
    <cellStyle name="Normal 30" xfId="7732" xr:uid="{00000000-0005-0000-0000-00005F1E0000}"/>
    <cellStyle name="Normal 30 2" xfId="7733" xr:uid="{00000000-0005-0000-0000-0000601E0000}"/>
    <cellStyle name="Normal 30 2 2" xfId="7734" xr:uid="{00000000-0005-0000-0000-0000611E0000}"/>
    <cellStyle name="Normal 30 2 2 2" xfId="7735" xr:uid="{00000000-0005-0000-0000-0000621E0000}"/>
    <cellStyle name="Normal 30 2 3" xfId="7736" xr:uid="{00000000-0005-0000-0000-0000631E0000}"/>
    <cellStyle name="Normal 30 2 4" xfId="7737" xr:uid="{00000000-0005-0000-0000-0000641E0000}"/>
    <cellStyle name="Normal 31" xfId="7738" xr:uid="{00000000-0005-0000-0000-0000651E0000}"/>
    <cellStyle name="Normal 31 2" xfId="7739" xr:uid="{00000000-0005-0000-0000-0000661E0000}"/>
    <cellStyle name="Normal 31 2 2" xfId="7740" xr:uid="{00000000-0005-0000-0000-0000671E0000}"/>
    <cellStyle name="Normal 31 2 2 2" xfId="7741" xr:uid="{00000000-0005-0000-0000-0000681E0000}"/>
    <cellStyle name="Normal 31 2 3" xfId="7742" xr:uid="{00000000-0005-0000-0000-0000691E0000}"/>
    <cellStyle name="Normal 31 2 4" xfId="7743" xr:uid="{00000000-0005-0000-0000-00006A1E0000}"/>
    <cellStyle name="Normal 31 3" xfId="7744" xr:uid="{00000000-0005-0000-0000-00006B1E0000}"/>
    <cellStyle name="Normal 31 3 2" xfId="7745" xr:uid="{00000000-0005-0000-0000-00006C1E0000}"/>
    <cellStyle name="Normal 31 3 2 2" xfId="7746" xr:uid="{00000000-0005-0000-0000-00006D1E0000}"/>
    <cellStyle name="Normal 31 3 2 2 2" xfId="7747" xr:uid="{00000000-0005-0000-0000-00006E1E0000}"/>
    <cellStyle name="Normal 31 3 2 2 2 2" xfId="7748" xr:uid="{00000000-0005-0000-0000-00006F1E0000}"/>
    <cellStyle name="Normal 31 3 2 2 3" xfId="7749" xr:uid="{00000000-0005-0000-0000-0000701E0000}"/>
    <cellStyle name="Normal 31 3 2 2 4" xfId="7750" xr:uid="{00000000-0005-0000-0000-0000711E0000}"/>
    <cellStyle name="Normal 31 3 2 2 5" xfId="7751" xr:uid="{00000000-0005-0000-0000-0000721E0000}"/>
    <cellStyle name="Normal 31 3 2 3" xfId="7752" xr:uid="{00000000-0005-0000-0000-0000731E0000}"/>
    <cellStyle name="Normal 31 3 3" xfId="7753" xr:uid="{00000000-0005-0000-0000-0000741E0000}"/>
    <cellStyle name="Normal 31 4" xfId="7754" xr:uid="{00000000-0005-0000-0000-0000751E0000}"/>
    <cellStyle name="Normal 31 4 2" xfId="7755" xr:uid="{00000000-0005-0000-0000-0000761E0000}"/>
    <cellStyle name="Normal 31 4 2 2" xfId="7756" xr:uid="{00000000-0005-0000-0000-0000771E0000}"/>
    <cellStyle name="Normal 31 4 3" xfId="7757" xr:uid="{00000000-0005-0000-0000-0000781E0000}"/>
    <cellStyle name="Normal 31 4 4" xfId="7758" xr:uid="{00000000-0005-0000-0000-0000791E0000}"/>
    <cellStyle name="Normal 31 5" xfId="7759" xr:uid="{00000000-0005-0000-0000-00007A1E0000}"/>
    <cellStyle name="Normal 32" xfId="7760" xr:uid="{00000000-0005-0000-0000-00007B1E0000}"/>
    <cellStyle name="Normal 32 2" xfId="7761" xr:uid="{00000000-0005-0000-0000-00007C1E0000}"/>
    <cellStyle name="Normal 32 2 2" xfId="7762" xr:uid="{00000000-0005-0000-0000-00007D1E0000}"/>
    <cellStyle name="Normal 32 2 2 2" xfId="7763" xr:uid="{00000000-0005-0000-0000-00007E1E0000}"/>
    <cellStyle name="Normal 32 2 3" xfId="7764" xr:uid="{00000000-0005-0000-0000-00007F1E0000}"/>
    <cellStyle name="Normal 32 2 4" xfId="7765" xr:uid="{00000000-0005-0000-0000-0000801E0000}"/>
    <cellStyle name="Normal 32 3" xfId="7766" xr:uid="{00000000-0005-0000-0000-0000811E0000}"/>
    <cellStyle name="Normal 32 3 2" xfId="7767" xr:uid="{00000000-0005-0000-0000-0000821E0000}"/>
    <cellStyle name="Normal 32 4" xfId="7768" xr:uid="{00000000-0005-0000-0000-0000831E0000}"/>
    <cellStyle name="Normal 33" xfId="7769" xr:uid="{00000000-0005-0000-0000-0000841E0000}"/>
    <cellStyle name="Normal 33 2" xfId="7770" xr:uid="{00000000-0005-0000-0000-0000851E0000}"/>
    <cellStyle name="Normal 33 2 2" xfId="7771" xr:uid="{00000000-0005-0000-0000-0000861E0000}"/>
    <cellStyle name="Normal 33 2 2 2" xfId="7772" xr:uid="{00000000-0005-0000-0000-0000871E0000}"/>
    <cellStyle name="Normal 33 2 3" xfId="7773" xr:uid="{00000000-0005-0000-0000-0000881E0000}"/>
    <cellStyle name="Normal 33 2 4" xfId="7774" xr:uid="{00000000-0005-0000-0000-0000891E0000}"/>
    <cellStyle name="Normal 33 3" xfId="7775" xr:uid="{00000000-0005-0000-0000-00008A1E0000}"/>
    <cellStyle name="Normal 33 3 2" xfId="7776" xr:uid="{00000000-0005-0000-0000-00008B1E0000}"/>
    <cellStyle name="Normal 33 4" xfId="7777" xr:uid="{00000000-0005-0000-0000-00008C1E0000}"/>
    <cellStyle name="Normal 34" xfId="7778" xr:uid="{00000000-0005-0000-0000-00008D1E0000}"/>
    <cellStyle name="Normal 34 2" xfId="7779" xr:uid="{00000000-0005-0000-0000-00008E1E0000}"/>
    <cellStyle name="Normal 34 2 2" xfId="7780" xr:uid="{00000000-0005-0000-0000-00008F1E0000}"/>
    <cellStyle name="Normal 34 3" xfId="7781" xr:uid="{00000000-0005-0000-0000-0000901E0000}"/>
    <cellStyle name="Normal 34 4" xfId="7782" xr:uid="{00000000-0005-0000-0000-0000911E0000}"/>
    <cellStyle name="Normal 35" xfId="7783" xr:uid="{00000000-0005-0000-0000-0000921E0000}"/>
    <cellStyle name="Normal 35 2" xfId="7784" xr:uid="{00000000-0005-0000-0000-0000931E0000}"/>
    <cellStyle name="Normal 35 2 2" xfId="7785" xr:uid="{00000000-0005-0000-0000-0000941E0000}"/>
    <cellStyle name="Normal 35 3" xfId="7786" xr:uid="{00000000-0005-0000-0000-0000951E0000}"/>
    <cellStyle name="Normal 36" xfId="7787" xr:uid="{00000000-0005-0000-0000-0000961E0000}"/>
    <cellStyle name="Normal 36 2" xfId="7788" xr:uid="{00000000-0005-0000-0000-0000971E0000}"/>
    <cellStyle name="Normal 36 2 2" xfId="7789" xr:uid="{00000000-0005-0000-0000-0000981E0000}"/>
    <cellStyle name="Normal 36 3" xfId="7790" xr:uid="{00000000-0005-0000-0000-0000991E0000}"/>
    <cellStyle name="Normal 37" xfId="7791" xr:uid="{00000000-0005-0000-0000-00009A1E0000}"/>
    <cellStyle name="Normal 37 2" xfId="7792" xr:uid="{00000000-0005-0000-0000-00009B1E0000}"/>
    <cellStyle name="Normal 37 2 2" xfId="7793" xr:uid="{00000000-0005-0000-0000-00009C1E0000}"/>
    <cellStyle name="Normal 37 3" xfId="7794" xr:uid="{00000000-0005-0000-0000-00009D1E0000}"/>
    <cellStyle name="Normal 38" xfId="7795" xr:uid="{00000000-0005-0000-0000-00009E1E0000}"/>
    <cellStyle name="Normal 38 2" xfId="7796" xr:uid="{00000000-0005-0000-0000-00009F1E0000}"/>
    <cellStyle name="Normal 38 2 2" xfId="7797" xr:uid="{00000000-0005-0000-0000-0000A01E0000}"/>
    <cellStyle name="Normal 38 3" xfId="7798" xr:uid="{00000000-0005-0000-0000-0000A11E0000}"/>
    <cellStyle name="Normal 38 4" xfId="7799" xr:uid="{00000000-0005-0000-0000-0000A21E0000}"/>
    <cellStyle name="Normal 39" xfId="7800" xr:uid="{00000000-0005-0000-0000-0000A31E0000}"/>
    <cellStyle name="Normal 39 2" xfId="7801" xr:uid="{00000000-0005-0000-0000-0000A41E0000}"/>
    <cellStyle name="Normal 39 2 2" xfId="7802" xr:uid="{00000000-0005-0000-0000-0000A51E0000}"/>
    <cellStyle name="Normal 39 2 2 2" xfId="7803" xr:uid="{00000000-0005-0000-0000-0000A61E0000}"/>
    <cellStyle name="Normal 39 2 2 2 2" xfId="7804" xr:uid="{00000000-0005-0000-0000-0000A71E0000}"/>
    <cellStyle name="Normal 39 2 2 2 2 2" xfId="7805" xr:uid="{00000000-0005-0000-0000-0000A81E0000}"/>
    <cellStyle name="Normal 39 2 2 2 3" xfId="7806" xr:uid="{00000000-0005-0000-0000-0000A91E0000}"/>
    <cellStyle name="Normal 39 2 2 3" xfId="7807" xr:uid="{00000000-0005-0000-0000-0000AA1E0000}"/>
    <cellStyle name="Normal 39 2 2 3 2" xfId="7808" xr:uid="{00000000-0005-0000-0000-0000AB1E0000}"/>
    <cellStyle name="Normal 39 2 2 3 2 2" xfId="7809" xr:uid="{00000000-0005-0000-0000-0000AC1E0000}"/>
    <cellStyle name="Normal 39 2 2 3 3" xfId="7810" xr:uid="{00000000-0005-0000-0000-0000AD1E0000}"/>
    <cellStyle name="Normal 39 2 2 4" xfId="7811" xr:uid="{00000000-0005-0000-0000-0000AE1E0000}"/>
    <cellStyle name="Normal 39 2 2 4 2" xfId="7812" xr:uid="{00000000-0005-0000-0000-0000AF1E0000}"/>
    <cellStyle name="Normal 39 2 2 5" xfId="7813" xr:uid="{00000000-0005-0000-0000-0000B01E0000}"/>
    <cellStyle name="Normal 39 2 2 6" xfId="7814" xr:uid="{00000000-0005-0000-0000-0000B11E0000}"/>
    <cellStyle name="Normal 39 2 3" xfId="7815" xr:uid="{00000000-0005-0000-0000-0000B21E0000}"/>
    <cellStyle name="Normal 39 2 3 2" xfId="7816" xr:uid="{00000000-0005-0000-0000-0000B31E0000}"/>
    <cellStyle name="Normal 39 2 3 2 2" xfId="7817" xr:uid="{00000000-0005-0000-0000-0000B41E0000}"/>
    <cellStyle name="Normal 39 2 3 2 2 2" xfId="7818" xr:uid="{00000000-0005-0000-0000-0000B51E0000}"/>
    <cellStyle name="Normal 39 2 3 2 3" xfId="7819" xr:uid="{00000000-0005-0000-0000-0000B61E0000}"/>
    <cellStyle name="Normal 39 2 3 3" xfId="7820" xr:uid="{00000000-0005-0000-0000-0000B71E0000}"/>
    <cellStyle name="Normal 39 2 3 3 2" xfId="7821" xr:uid="{00000000-0005-0000-0000-0000B81E0000}"/>
    <cellStyle name="Normal 39 2 3 4" xfId="7822" xr:uid="{00000000-0005-0000-0000-0000B91E0000}"/>
    <cellStyle name="Normal 39 2 3 5" xfId="7823" xr:uid="{00000000-0005-0000-0000-0000BA1E0000}"/>
    <cellStyle name="Normal 39 2 4" xfId="7824" xr:uid="{00000000-0005-0000-0000-0000BB1E0000}"/>
    <cellStyle name="Normal 39 2 4 2" xfId="7825" xr:uid="{00000000-0005-0000-0000-0000BC1E0000}"/>
    <cellStyle name="Normal 39 2 4 2 2" xfId="7826" xr:uid="{00000000-0005-0000-0000-0000BD1E0000}"/>
    <cellStyle name="Normal 39 2 4 3" xfId="7827" xr:uid="{00000000-0005-0000-0000-0000BE1E0000}"/>
    <cellStyle name="Normal 39 2 5" xfId="7828" xr:uid="{00000000-0005-0000-0000-0000BF1E0000}"/>
    <cellStyle name="Normal 39 2 5 2" xfId="7829" xr:uid="{00000000-0005-0000-0000-0000C01E0000}"/>
    <cellStyle name="Normal 39 2 5 2 2" xfId="7830" xr:uid="{00000000-0005-0000-0000-0000C11E0000}"/>
    <cellStyle name="Normal 39 2 5 3" xfId="7831" xr:uid="{00000000-0005-0000-0000-0000C21E0000}"/>
    <cellStyle name="Normal 39 2 6" xfId="7832" xr:uid="{00000000-0005-0000-0000-0000C31E0000}"/>
    <cellStyle name="Normal 39 2 6 2" xfId="7833" xr:uid="{00000000-0005-0000-0000-0000C41E0000}"/>
    <cellStyle name="Normal 39 2 7" xfId="7834" xr:uid="{00000000-0005-0000-0000-0000C51E0000}"/>
    <cellStyle name="Normal 39 2 8" xfId="7835" xr:uid="{00000000-0005-0000-0000-0000C61E0000}"/>
    <cellStyle name="Normal 39 3" xfId="7836" xr:uid="{00000000-0005-0000-0000-0000C71E0000}"/>
    <cellStyle name="Normal 39 3 2" xfId="7837" xr:uid="{00000000-0005-0000-0000-0000C81E0000}"/>
    <cellStyle name="Normal 39 3 2 2" xfId="7838" xr:uid="{00000000-0005-0000-0000-0000C91E0000}"/>
    <cellStyle name="Normal 39 3 2 2 2" xfId="7839" xr:uid="{00000000-0005-0000-0000-0000CA1E0000}"/>
    <cellStyle name="Normal 39 3 2 2 2 2" xfId="7840" xr:uid="{00000000-0005-0000-0000-0000CB1E0000}"/>
    <cellStyle name="Normal 39 3 2 2 3" xfId="7841" xr:uid="{00000000-0005-0000-0000-0000CC1E0000}"/>
    <cellStyle name="Normal 39 3 2 3" xfId="7842" xr:uid="{00000000-0005-0000-0000-0000CD1E0000}"/>
    <cellStyle name="Normal 39 3 2 3 2" xfId="7843" xr:uid="{00000000-0005-0000-0000-0000CE1E0000}"/>
    <cellStyle name="Normal 39 3 2 3 2 2" xfId="7844" xr:uid="{00000000-0005-0000-0000-0000CF1E0000}"/>
    <cellStyle name="Normal 39 3 2 3 3" xfId="7845" xr:uid="{00000000-0005-0000-0000-0000D01E0000}"/>
    <cellStyle name="Normal 39 3 2 4" xfId="7846" xr:uid="{00000000-0005-0000-0000-0000D11E0000}"/>
    <cellStyle name="Normal 39 3 2 4 2" xfId="7847" xr:uid="{00000000-0005-0000-0000-0000D21E0000}"/>
    <cellStyle name="Normal 39 3 2 5" xfId="7848" xr:uid="{00000000-0005-0000-0000-0000D31E0000}"/>
    <cellStyle name="Normal 39 3 2 6" xfId="7849" xr:uid="{00000000-0005-0000-0000-0000D41E0000}"/>
    <cellStyle name="Normal 39 3 3" xfId="7850" xr:uid="{00000000-0005-0000-0000-0000D51E0000}"/>
    <cellStyle name="Normal 39 3 3 2" xfId="7851" xr:uid="{00000000-0005-0000-0000-0000D61E0000}"/>
    <cellStyle name="Normal 39 3 3 2 2" xfId="7852" xr:uid="{00000000-0005-0000-0000-0000D71E0000}"/>
    <cellStyle name="Normal 39 3 3 2 2 2" xfId="7853" xr:uid="{00000000-0005-0000-0000-0000D81E0000}"/>
    <cellStyle name="Normal 39 3 3 2 3" xfId="7854" xr:uid="{00000000-0005-0000-0000-0000D91E0000}"/>
    <cellStyle name="Normal 39 3 3 3" xfId="7855" xr:uid="{00000000-0005-0000-0000-0000DA1E0000}"/>
    <cellStyle name="Normal 39 3 3 3 2" xfId="7856" xr:uid="{00000000-0005-0000-0000-0000DB1E0000}"/>
    <cellStyle name="Normal 39 3 3 4" xfId="7857" xr:uid="{00000000-0005-0000-0000-0000DC1E0000}"/>
    <cellStyle name="Normal 39 3 3 5" xfId="7858" xr:uid="{00000000-0005-0000-0000-0000DD1E0000}"/>
    <cellStyle name="Normal 39 3 4" xfId="7859" xr:uid="{00000000-0005-0000-0000-0000DE1E0000}"/>
    <cellStyle name="Normal 39 3 4 2" xfId="7860" xr:uid="{00000000-0005-0000-0000-0000DF1E0000}"/>
    <cellStyle name="Normal 39 3 4 2 2" xfId="7861" xr:uid="{00000000-0005-0000-0000-0000E01E0000}"/>
    <cellStyle name="Normal 39 3 4 3" xfId="7862" xr:uid="{00000000-0005-0000-0000-0000E11E0000}"/>
    <cellStyle name="Normal 39 3 5" xfId="7863" xr:uid="{00000000-0005-0000-0000-0000E21E0000}"/>
    <cellStyle name="Normal 39 3 5 2" xfId="7864" xr:uid="{00000000-0005-0000-0000-0000E31E0000}"/>
    <cellStyle name="Normal 39 3 5 2 2" xfId="7865" xr:uid="{00000000-0005-0000-0000-0000E41E0000}"/>
    <cellStyle name="Normal 39 3 5 3" xfId="7866" xr:uid="{00000000-0005-0000-0000-0000E51E0000}"/>
    <cellStyle name="Normal 39 3 6" xfId="7867" xr:uid="{00000000-0005-0000-0000-0000E61E0000}"/>
    <cellStyle name="Normal 39 3 6 2" xfId="7868" xr:uid="{00000000-0005-0000-0000-0000E71E0000}"/>
    <cellStyle name="Normal 39 3 7" xfId="7869" xr:uid="{00000000-0005-0000-0000-0000E81E0000}"/>
    <cellStyle name="Normal 39 3 8" xfId="7870" xr:uid="{00000000-0005-0000-0000-0000E91E0000}"/>
    <cellStyle name="Normal 39 4" xfId="7871" xr:uid="{00000000-0005-0000-0000-0000EA1E0000}"/>
    <cellStyle name="Normal 39 4 2" xfId="7872" xr:uid="{00000000-0005-0000-0000-0000EB1E0000}"/>
    <cellStyle name="Normal 39 4 2 2" xfId="7873" xr:uid="{00000000-0005-0000-0000-0000EC1E0000}"/>
    <cellStyle name="Normal 39 4 2 2 2" xfId="7874" xr:uid="{00000000-0005-0000-0000-0000ED1E0000}"/>
    <cellStyle name="Normal 39 4 2 2 2 2" xfId="7875" xr:uid="{00000000-0005-0000-0000-0000EE1E0000}"/>
    <cellStyle name="Normal 39 4 2 2 3" xfId="7876" xr:uid="{00000000-0005-0000-0000-0000EF1E0000}"/>
    <cellStyle name="Normal 39 4 2 3" xfId="7877" xr:uid="{00000000-0005-0000-0000-0000F01E0000}"/>
    <cellStyle name="Normal 39 4 2 3 2" xfId="7878" xr:uid="{00000000-0005-0000-0000-0000F11E0000}"/>
    <cellStyle name="Normal 39 4 2 3 2 2" xfId="7879" xr:uid="{00000000-0005-0000-0000-0000F21E0000}"/>
    <cellStyle name="Normal 39 4 2 3 3" xfId="7880" xr:uid="{00000000-0005-0000-0000-0000F31E0000}"/>
    <cellStyle name="Normal 39 4 2 4" xfId="7881" xr:uid="{00000000-0005-0000-0000-0000F41E0000}"/>
    <cellStyle name="Normal 39 4 2 4 2" xfId="7882" xr:uid="{00000000-0005-0000-0000-0000F51E0000}"/>
    <cellStyle name="Normal 39 4 2 5" xfId="7883" xr:uid="{00000000-0005-0000-0000-0000F61E0000}"/>
    <cellStyle name="Normal 39 4 2 6" xfId="7884" xr:uid="{00000000-0005-0000-0000-0000F71E0000}"/>
    <cellStyle name="Normal 39 4 3" xfId="7885" xr:uid="{00000000-0005-0000-0000-0000F81E0000}"/>
    <cellStyle name="Normal 39 4 3 2" xfId="7886" xr:uid="{00000000-0005-0000-0000-0000F91E0000}"/>
    <cellStyle name="Normal 39 4 3 2 2" xfId="7887" xr:uid="{00000000-0005-0000-0000-0000FA1E0000}"/>
    <cellStyle name="Normal 39 4 3 2 2 2" xfId="7888" xr:uid="{00000000-0005-0000-0000-0000FB1E0000}"/>
    <cellStyle name="Normal 39 4 3 2 3" xfId="7889" xr:uid="{00000000-0005-0000-0000-0000FC1E0000}"/>
    <cellStyle name="Normal 39 4 3 3" xfId="7890" xr:uid="{00000000-0005-0000-0000-0000FD1E0000}"/>
    <cellStyle name="Normal 39 4 3 3 2" xfId="7891" xr:uid="{00000000-0005-0000-0000-0000FE1E0000}"/>
    <cellStyle name="Normal 39 4 3 4" xfId="7892" xr:uid="{00000000-0005-0000-0000-0000FF1E0000}"/>
    <cellStyle name="Normal 39 4 3 5" xfId="7893" xr:uid="{00000000-0005-0000-0000-0000001F0000}"/>
    <cellStyle name="Normal 39 4 4" xfId="7894" xr:uid="{00000000-0005-0000-0000-0000011F0000}"/>
    <cellStyle name="Normal 39 4 4 2" xfId="7895" xr:uid="{00000000-0005-0000-0000-0000021F0000}"/>
    <cellStyle name="Normal 39 4 4 2 2" xfId="7896" xr:uid="{00000000-0005-0000-0000-0000031F0000}"/>
    <cellStyle name="Normal 39 4 4 3" xfId="7897" xr:uid="{00000000-0005-0000-0000-0000041F0000}"/>
    <cellStyle name="Normal 39 4 5" xfId="7898" xr:uid="{00000000-0005-0000-0000-0000051F0000}"/>
    <cellStyle name="Normal 39 4 5 2" xfId="7899" xr:uid="{00000000-0005-0000-0000-0000061F0000}"/>
    <cellStyle name="Normal 39 4 5 2 2" xfId="7900" xr:uid="{00000000-0005-0000-0000-0000071F0000}"/>
    <cellStyle name="Normal 39 4 5 3" xfId="7901" xr:uid="{00000000-0005-0000-0000-0000081F0000}"/>
    <cellStyle name="Normal 39 4 6" xfId="7902" xr:uid="{00000000-0005-0000-0000-0000091F0000}"/>
    <cellStyle name="Normal 39 4 6 2" xfId="7903" xr:uid="{00000000-0005-0000-0000-00000A1F0000}"/>
    <cellStyle name="Normal 39 4 7" xfId="7904" xr:uid="{00000000-0005-0000-0000-00000B1F0000}"/>
    <cellStyle name="Normal 39 4 8" xfId="7905" xr:uid="{00000000-0005-0000-0000-00000C1F0000}"/>
    <cellStyle name="Normal 39 5" xfId="7906" xr:uid="{00000000-0005-0000-0000-00000D1F0000}"/>
    <cellStyle name="Normal 39 5 2" xfId="7907" xr:uid="{00000000-0005-0000-0000-00000E1F0000}"/>
    <cellStyle name="Normal 39 5 2 2" xfId="7908" xr:uid="{00000000-0005-0000-0000-00000F1F0000}"/>
    <cellStyle name="Normal 39 5 2 2 2" xfId="7909" xr:uid="{00000000-0005-0000-0000-0000101F0000}"/>
    <cellStyle name="Normal 39 5 2 2 2 2" xfId="7910" xr:uid="{00000000-0005-0000-0000-0000111F0000}"/>
    <cellStyle name="Normal 39 5 2 2 3" xfId="7911" xr:uid="{00000000-0005-0000-0000-0000121F0000}"/>
    <cellStyle name="Normal 39 5 2 3" xfId="7912" xr:uid="{00000000-0005-0000-0000-0000131F0000}"/>
    <cellStyle name="Normal 39 5 2 3 2" xfId="7913" xr:uid="{00000000-0005-0000-0000-0000141F0000}"/>
    <cellStyle name="Normal 39 5 2 3 2 2" xfId="7914" xr:uid="{00000000-0005-0000-0000-0000151F0000}"/>
    <cellStyle name="Normal 39 5 2 3 3" xfId="7915" xr:uid="{00000000-0005-0000-0000-0000161F0000}"/>
    <cellStyle name="Normal 39 5 2 4" xfId="7916" xr:uid="{00000000-0005-0000-0000-0000171F0000}"/>
    <cellStyle name="Normal 39 5 2 4 2" xfId="7917" xr:uid="{00000000-0005-0000-0000-0000181F0000}"/>
    <cellStyle name="Normal 39 5 2 5" xfId="7918" xr:uid="{00000000-0005-0000-0000-0000191F0000}"/>
    <cellStyle name="Normal 39 5 2 6" xfId="7919" xr:uid="{00000000-0005-0000-0000-00001A1F0000}"/>
    <cellStyle name="Normal 39 5 3" xfId="7920" xr:uid="{00000000-0005-0000-0000-00001B1F0000}"/>
    <cellStyle name="Normal 39 5 3 2" xfId="7921" xr:uid="{00000000-0005-0000-0000-00001C1F0000}"/>
    <cellStyle name="Normal 39 5 3 2 2" xfId="7922" xr:uid="{00000000-0005-0000-0000-00001D1F0000}"/>
    <cellStyle name="Normal 39 5 3 2 2 2" xfId="7923" xr:uid="{00000000-0005-0000-0000-00001E1F0000}"/>
    <cellStyle name="Normal 39 5 3 2 3" xfId="7924" xr:uid="{00000000-0005-0000-0000-00001F1F0000}"/>
    <cellStyle name="Normal 39 5 3 3" xfId="7925" xr:uid="{00000000-0005-0000-0000-0000201F0000}"/>
    <cellStyle name="Normal 39 5 3 3 2" xfId="7926" xr:uid="{00000000-0005-0000-0000-0000211F0000}"/>
    <cellStyle name="Normal 39 5 3 4" xfId="7927" xr:uid="{00000000-0005-0000-0000-0000221F0000}"/>
    <cellStyle name="Normal 39 5 3 5" xfId="7928" xr:uid="{00000000-0005-0000-0000-0000231F0000}"/>
    <cellStyle name="Normal 39 5 4" xfId="7929" xr:uid="{00000000-0005-0000-0000-0000241F0000}"/>
    <cellStyle name="Normal 39 5 4 2" xfId="7930" xr:uid="{00000000-0005-0000-0000-0000251F0000}"/>
    <cellStyle name="Normal 39 5 4 2 2" xfId="7931" xr:uid="{00000000-0005-0000-0000-0000261F0000}"/>
    <cellStyle name="Normal 39 5 4 3" xfId="7932" xr:uid="{00000000-0005-0000-0000-0000271F0000}"/>
    <cellStyle name="Normal 39 5 5" xfId="7933" xr:uid="{00000000-0005-0000-0000-0000281F0000}"/>
    <cellStyle name="Normal 39 5 5 2" xfId="7934" xr:uid="{00000000-0005-0000-0000-0000291F0000}"/>
    <cellStyle name="Normal 39 5 5 2 2" xfId="7935" xr:uid="{00000000-0005-0000-0000-00002A1F0000}"/>
    <cellStyle name="Normal 39 5 5 3" xfId="7936" xr:uid="{00000000-0005-0000-0000-00002B1F0000}"/>
    <cellStyle name="Normal 39 5 6" xfId="7937" xr:uid="{00000000-0005-0000-0000-00002C1F0000}"/>
    <cellStyle name="Normal 39 5 6 2" xfId="7938" xr:uid="{00000000-0005-0000-0000-00002D1F0000}"/>
    <cellStyle name="Normal 39 5 7" xfId="7939" xr:uid="{00000000-0005-0000-0000-00002E1F0000}"/>
    <cellStyle name="Normal 39 5 8" xfId="7940" xr:uid="{00000000-0005-0000-0000-00002F1F0000}"/>
    <cellStyle name="Normal 39 6" xfId="7941" xr:uid="{00000000-0005-0000-0000-0000301F0000}"/>
    <cellStyle name="Normal 39 6 2" xfId="7942" xr:uid="{00000000-0005-0000-0000-0000311F0000}"/>
    <cellStyle name="Normal 39 6 2 2" xfId="7943" xr:uid="{00000000-0005-0000-0000-0000321F0000}"/>
    <cellStyle name="Normal 39 6 2 2 2" xfId="7944" xr:uid="{00000000-0005-0000-0000-0000331F0000}"/>
    <cellStyle name="Normal 39 6 2 2 2 2" xfId="7945" xr:uid="{00000000-0005-0000-0000-0000341F0000}"/>
    <cellStyle name="Normal 39 6 2 2 3" xfId="7946" xr:uid="{00000000-0005-0000-0000-0000351F0000}"/>
    <cellStyle name="Normal 39 6 2 3" xfId="7947" xr:uid="{00000000-0005-0000-0000-0000361F0000}"/>
    <cellStyle name="Normal 39 6 2 3 2" xfId="7948" xr:uid="{00000000-0005-0000-0000-0000371F0000}"/>
    <cellStyle name="Normal 39 6 2 3 2 2" xfId="7949" xr:uid="{00000000-0005-0000-0000-0000381F0000}"/>
    <cellStyle name="Normal 39 6 2 3 3" xfId="7950" xr:uid="{00000000-0005-0000-0000-0000391F0000}"/>
    <cellStyle name="Normal 39 6 2 4" xfId="7951" xr:uid="{00000000-0005-0000-0000-00003A1F0000}"/>
    <cellStyle name="Normal 39 6 2 4 2" xfId="7952" xr:uid="{00000000-0005-0000-0000-00003B1F0000}"/>
    <cellStyle name="Normal 39 6 2 5" xfId="7953" xr:uid="{00000000-0005-0000-0000-00003C1F0000}"/>
    <cellStyle name="Normal 39 6 2 6" xfId="7954" xr:uid="{00000000-0005-0000-0000-00003D1F0000}"/>
    <cellStyle name="Normal 39 6 3" xfId="7955" xr:uid="{00000000-0005-0000-0000-00003E1F0000}"/>
    <cellStyle name="Normal 39 6 3 2" xfId="7956" xr:uid="{00000000-0005-0000-0000-00003F1F0000}"/>
    <cellStyle name="Normal 39 6 3 2 2" xfId="7957" xr:uid="{00000000-0005-0000-0000-0000401F0000}"/>
    <cellStyle name="Normal 39 6 3 2 2 2" xfId="7958" xr:uid="{00000000-0005-0000-0000-0000411F0000}"/>
    <cellStyle name="Normal 39 6 3 2 3" xfId="7959" xr:uid="{00000000-0005-0000-0000-0000421F0000}"/>
    <cellStyle name="Normal 39 6 3 3" xfId="7960" xr:uid="{00000000-0005-0000-0000-0000431F0000}"/>
    <cellStyle name="Normal 39 6 3 3 2" xfId="7961" xr:uid="{00000000-0005-0000-0000-0000441F0000}"/>
    <cellStyle name="Normal 39 6 3 4" xfId="7962" xr:uid="{00000000-0005-0000-0000-0000451F0000}"/>
    <cellStyle name="Normal 39 6 3 5" xfId="7963" xr:uid="{00000000-0005-0000-0000-0000461F0000}"/>
    <cellStyle name="Normal 39 6 4" xfId="7964" xr:uid="{00000000-0005-0000-0000-0000471F0000}"/>
    <cellStyle name="Normal 39 6 4 2" xfId="7965" xr:uid="{00000000-0005-0000-0000-0000481F0000}"/>
    <cellStyle name="Normal 39 6 4 2 2" xfId="7966" xr:uid="{00000000-0005-0000-0000-0000491F0000}"/>
    <cellStyle name="Normal 39 6 4 3" xfId="7967" xr:uid="{00000000-0005-0000-0000-00004A1F0000}"/>
    <cellStyle name="Normal 39 6 5" xfId="7968" xr:uid="{00000000-0005-0000-0000-00004B1F0000}"/>
    <cellStyle name="Normal 39 6 5 2" xfId="7969" xr:uid="{00000000-0005-0000-0000-00004C1F0000}"/>
    <cellStyle name="Normal 39 6 5 2 2" xfId="7970" xr:uid="{00000000-0005-0000-0000-00004D1F0000}"/>
    <cellStyle name="Normal 39 6 5 3" xfId="7971" xr:uid="{00000000-0005-0000-0000-00004E1F0000}"/>
    <cellStyle name="Normal 39 6 6" xfId="7972" xr:uid="{00000000-0005-0000-0000-00004F1F0000}"/>
    <cellStyle name="Normal 39 6 6 2" xfId="7973" xr:uid="{00000000-0005-0000-0000-0000501F0000}"/>
    <cellStyle name="Normal 39 6 7" xfId="7974" xr:uid="{00000000-0005-0000-0000-0000511F0000}"/>
    <cellStyle name="Normal 39 6 8" xfId="7975" xr:uid="{00000000-0005-0000-0000-0000521F0000}"/>
    <cellStyle name="Normal 39 7" xfId="7976" xr:uid="{00000000-0005-0000-0000-0000531F0000}"/>
    <cellStyle name="Normal 39 7 2" xfId="7977" xr:uid="{00000000-0005-0000-0000-0000541F0000}"/>
    <cellStyle name="Normal 39 7 2 2" xfId="7978" xr:uid="{00000000-0005-0000-0000-0000551F0000}"/>
    <cellStyle name="Normal 39 7 2 2 2" xfId="7979" xr:uid="{00000000-0005-0000-0000-0000561F0000}"/>
    <cellStyle name="Normal 39 7 2 2 2 2" xfId="7980" xr:uid="{00000000-0005-0000-0000-0000571F0000}"/>
    <cellStyle name="Normal 39 7 2 2 3" xfId="7981" xr:uid="{00000000-0005-0000-0000-0000581F0000}"/>
    <cellStyle name="Normal 39 7 2 3" xfId="7982" xr:uid="{00000000-0005-0000-0000-0000591F0000}"/>
    <cellStyle name="Normal 39 7 2 3 2" xfId="7983" xr:uid="{00000000-0005-0000-0000-00005A1F0000}"/>
    <cellStyle name="Normal 39 7 2 3 2 2" xfId="7984" xr:uid="{00000000-0005-0000-0000-00005B1F0000}"/>
    <cellStyle name="Normal 39 7 2 3 3" xfId="7985" xr:uid="{00000000-0005-0000-0000-00005C1F0000}"/>
    <cellStyle name="Normal 39 7 2 4" xfId="7986" xr:uid="{00000000-0005-0000-0000-00005D1F0000}"/>
    <cellStyle name="Normal 39 7 2 4 2" xfId="7987" xr:uid="{00000000-0005-0000-0000-00005E1F0000}"/>
    <cellStyle name="Normal 39 7 2 5" xfId="7988" xr:uid="{00000000-0005-0000-0000-00005F1F0000}"/>
    <cellStyle name="Normal 39 7 2 6" xfId="7989" xr:uid="{00000000-0005-0000-0000-0000601F0000}"/>
    <cellStyle name="Normal 39 7 3" xfId="7990" xr:uid="{00000000-0005-0000-0000-0000611F0000}"/>
    <cellStyle name="Normal 39 7 3 2" xfId="7991" xr:uid="{00000000-0005-0000-0000-0000621F0000}"/>
    <cellStyle name="Normal 39 7 3 2 2" xfId="7992" xr:uid="{00000000-0005-0000-0000-0000631F0000}"/>
    <cellStyle name="Normal 39 7 3 2 2 2" xfId="7993" xr:uid="{00000000-0005-0000-0000-0000641F0000}"/>
    <cellStyle name="Normal 39 7 3 2 3" xfId="7994" xr:uid="{00000000-0005-0000-0000-0000651F0000}"/>
    <cellStyle name="Normal 39 7 3 3" xfId="7995" xr:uid="{00000000-0005-0000-0000-0000661F0000}"/>
    <cellStyle name="Normal 39 7 3 3 2" xfId="7996" xr:uid="{00000000-0005-0000-0000-0000671F0000}"/>
    <cellStyle name="Normal 39 7 3 4" xfId="7997" xr:uid="{00000000-0005-0000-0000-0000681F0000}"/>
    <cellStyle name="Normal 39 7 3 5" xfId="7998" xr:uid="{00000000-0005-0000-0000-0000691F0000}"/>
    <cellStyle name="Normal 39 7 4" xfId="7999" xr:uid="{00000000-0005-0000-0000-00006A1F0000}"/>
    <cellStyle name="Normal 39 7 4 2" xfId="8000" xr:uid="{00000000-0005-0000-0000-00006B1F0000}"/>
    <cellStyle name="Normal 39 7 4 2 2" xfId="8001" xr:uid="{00000000-0005-0000-0000-00006C1F0000}"/>
    <cellStyle name="Normal 39 7 4 3" xfId="8002" xr:uid="{00000000-0005-0000-0000-00006D1F0000}"/>
    <cellStyle name="Normal 39 7 5" xfId="8003" xr:uid="{00000000-0005-0000-0000-00006E1F0000}"/>
    <cellStyle name="Normal 39 7 5 2" xfId="8004" xr:uid="{00000000-0005-0000-0000-00006F1F0000}"/>
    <cellStyle name="Normal 39 7 5 2 2" xfId="8005" xr:uid="{00000000-0005-0000-0000-0000701F0000}"/>
    <cellStyle name="Normal 39 7 5 3" xfId="8006" xr:uid="{00000000-0005-0000-0000-0000711F0000}"/>
    <cellStyle name="Normal 39 7 6" xfId="8007" xr:uid="{00000000-0005-0000-0000-0000721F0000}"/>
    <cellStyle name="Normal 39 7 6 2" xfId="8008" xr:uid="{00000000-0005-0000-0000-0000731F0000}"/>
    <cellStyle name="Normal 39 7 7" xfId="8009" xr:uid="{00000000-0005-0000-0000-0000741F0000}"/>
    <cellStyle name="Normal 39 7 8" xfId="8010" xr:uid="{00000000-0005-0000-0000-0000751F0000}"/>
    <cellStyle name="Normal 39 8" xfId="8011" xr:uid="{00000000-0005-0000-0000-0000761F0000}"/>
    <cellStyle name="Normal 4" xfId="8012" xr:uid="{00000000-0005-0000-0000-0000771F0000}"/>
    <cellStyle name="Normal 4 10" xfId="8013" xr:uid="{00000000-0005-0000-0000-0000781F0000}"/>
    <cellStyle name="Normal 4 10 10" xfId="8014" xr:uid="{00000000-0005-0000-0000-0000791F0000}"/>
    <cellStyle name="Normal 4 10 11" xfId="8015" xr:uid="{00000000-0005-0000-0000-00007A1F0000}"/>
    <cellStyle name="Normal 4 10 12" xfId="8016" xr:uid="{00000000-0005-0000-0000-00007B1F0000}"/>
    <cellStyle name="Normal 4 10 13" xfId="8017" xr:uid="{00000000-0005-0000-0000-00007C1F0000}"/>
    <cellStyle name="Normal 4 10 14" xfId="8018" xr:uid="{00000000-0005-0000-0000-00007D1F0000}"/>
    <cellStyle name="Normal 4 10 15" xfId="8019" xr:uid="{00000000-0005-0000-0000-00007E1F0000}"/>
    <cellStyle name="Normal 4 10 16" xfId="8020" xr:uid="{00000000-0005-0000-0000-00007F1F0000}"/>
    <cellStyle name="Normal 4 10 17" xfId="8021" xr:uid="{00000000-0005-0000-0000-0000801F0000}"/>
    <cellStyle name="Normal 4 10 18" xfId="8022" xr:uid="{00000000-0005-0000-0000-0000811F0000}"/>
    <cellStyle name="Normal 4 10 19" xfId="8023" xr:uid="{00000000-0005-0000-0000-0000821F0000}"/>
    <cellStyle name="Normal 4 10 2" xfId="8024" xr:uid="{00000000-0005-0000-0000-0000831F0000}"/>
    <cellStyle name="Normal 4 10 20" xfId="8025" xr:uid="{00000000-0005-0000-0000-0000841F0000}"/>
    <cellStyle name="Normal 4 10 21" xfId="8026" xr:uid="{00000000-0005-0000-0000-0000851F0000}"/>
    <cellStyle name="Normal 4 10 22" xfId="8027" xr:uid="{00000000-0005-0000-0000-0000861F0000}"/>
    <cellStyle name="Normal 4 10 23" xfId="8028" xr:uid="{00000000-0005-0000-0000-0000871F0000}"/>
    <cellStyle name="Normal 4 10 3" xfId="8029" xr:uid="{00000000-0005-0000-0000-0000881F0000}"/>
    <cellStyle name="Normal 4 10 4" xfId="8030" xr:uid="{00000000-0005-0000-0000-0000891F0000}"/>
    <cellStyle name="Normal 4 10 5" xfId="8031" xr:uid="{00000000-0005-0000-0000-00008A1F0000}"/>
    <cellStyle name="Normal 4 10 6" xfId="8032" xr:uid="{00000000-0005-0000-0000-00008B1F0000}"/>
    <cellStyle name="Normal 4 10 7" xfId="8033" xr:uid="{00000000-0005-0000-0000-00008C1F0000}"/>
    <cellStyle name="Normal 4 10 8" xfId="8034" xr:uid="{00000000-0005-0000-0000-00008D1F0000}"/>
    <cellStyle name="Normal 4 10 9" xfId="8035" xr:uid="{00000000-0005-0000-0000-00008E1F0000}"/>
    <cellStyle name="Normal 4 11" xfId="8036" xr:uid="{00000000-0005-0000-0000-00008F1F0000}"/>
    <cellStyle name="Normal 4 11 10" xfId="8037" xr:uid="{00000000-0005-0000-0000-0000901F0000}"/>
    <cellStyle name="Normal 4 11 11" xfId="8038" xr:uid="{00000000-0005-0000-0000-0000911F0000}"/>
    <cellStyle name="Normal 4 11 12" xfId="8039" xr:uid="{00000000-0005-0000-0000-0000921F0000}"/>
    <cellStyle name="Normal 4 11 13" xfId="8040" xr:uid="{00000000-0005-0000-0000-0000931F0000}"/>
    <cellStyle name="Normal 4 11 14" xfId="8041" xr:uid="{00000000-0005-0000-0000-0000941F0000}"/>
    <cellStyle name="Normal 4 11 15" xfId="8042" xr:uid="{00000000-0005-0000-0000-0000951F0000}"/>
    <cellStyle name="Normal 4 11 16" xfId="8043" xr:uid="{00000000-0005-0000-0000-0000961F0000}"/>
    <cellStyle name="Normal 4 11 17" xfId="8044" xr:uid="{00000000-0005-0000-0000-0000971F0000}"/>
    <cellStyle name="Normal 4 11 18" xfId="8045" xr:uid="{00000000-0005-0000-0000-0000981F0000}"/>
    <cellStyle name="Normal 4 11 19" xfId="8046" xr:uid="{00000000-0005-0000-0000-0000991F0000}"/>
    <cellStyle name="Normal 4 11 2" xfId="8047" xr:uid="{00000000-0005-0000-0000-00009A1F0000}"/>
    <cellStyle name="Normal 4 11 20" xfId="8048" xr:uid="{00000000-0005-0000-0000-00009B1F0000}"/>
    <cellStyle name="Normal 4 11 21" xfId="8049" xr:uid="{00000000-0005-0000-0000-00009C1F0000}"/>
    <cellStyle name="Normal 4 11 22" xfId="8050" xr:uid="{00000000-0005-0000-0000-00009D1F0000}"/>
    <cellStyle name="Normal 4 11 23" xfId="8051" xr:uid="{00000000-0005-0000-0000-00009E1F0000}"/>
    <cellStyle name="Normal 4 11 3" xfId="8052" xr:uid="{00000000-0005-0000-0000-00009F1F0000}"/>
    <cellStyle name="Normal 4 11 4" xfId="8053" xr:uid="{00000000-0005-0000-0000-0000A01F0000}"/>
    <cellStyle name="Normal 4 11 5" xfId="8054" xr:uid="{00000000-0005-0000-0000-0000A11F0000}"/>
    <cellStyle name="Normal 4 11 6" xfId="8055" xr:uid="{00000000-0005-0000-0000-0000A21F0000}"/>
    <cellStyle name="Normal 4 11 7" xfId="8056" xr:uid="{00000000-0005-0000-0000-0000A31F0000}"/>
    <cellStyle name="Normal 4 11 8" xfId="8057" xr:uid="{00000000-0005-0000-0000-0000A41F0000}"/>
    <cellStyle name="Normal 4 11 9" xfId="8058" xr:uid="{00000000-0005-0000-0000-0000A51F0000}"/>
    <cellStyle name="Normal 4 12" xfId="8059" xr:uid="{00000000-0005-0000-0000-0000A61F0000}"/>
    <cellStyle name="Normal 4 12 10" xfId="8060" xr:uid="{00000000-0005-0000-0000-0000A71F0000}"/>
    <cellStyle name="Normal 4 12 11" xfId="8061" xr:uid="{00000000-0005-0000-0000-0000A81F0000}"/>
    <cellStyle name="Normal 4 12 12" xfId="8062" xr:uid="{00000000-0005-0000-0000-0000A91F0000}"/>
    <cellStyle name="Normal 4 12 13" xfId="8063" xr:uid="{00000000-0005-0000-0000-0000AA1F0000}"/>
    <cellStyle name="Normal 4 12 14" xfId="8064" xr:uid="{00000000-0005-0000-0000-0000AB1F0000}"/>
    <cellStyle name="Normal 4 12 15" xfId="8065" xr:uid="{00000000-0005-0000-0000-0000AC1F0000}"/>
    <cellStyle name="Normal 4 12 16" xfId="8066" xr:uid="{00000000-0005-0000-0000-0000AD1F0000}"/>
    <cellStyle name="Normal 4 12 17" xfId="8067" xr:uid="{00000000-0005-0000-0000-0000AE1F0000}"/>
    <cellStyle name="Normal 4 12 18" xfId="8068" xr:uid="{00000000-0005-0000-0000-0000AF1F0000}"/>
    <cellStyle name="Normal 4 12 19" xfId="8069" xr:uid="{00000000-0005-0000-0000-0000B01F0000}"/>
    <cellStyle name="Normal 4 12 2" xfId="8070" xr:uid="{00000000-0005-0000-0000-0000B11F0000}"/>
    <cellStyle name="Normal 4 12 20" xfId="8071" xr:uid="{00000000-0005-0000-0000-0000B21F0000}"/>
    <cellStyle name="Normal 4 12 21" xfId="8072" xr:uid="{00000000-0005-0000-0000-0000B31F0000}"/>
    <cellStyle name="Normal 4 12 22" xfId="8073" xr:uid="{00000000-0005-0000-0000-0000B41F0000}"/>
    <cellStyle name="Normal 4 12 23" xfId="8074" xr:uid="{00000000-0005-0000-0000-0000B51F0000}"/>
    <cellStyle name="Normal 4 12 3" xfId="8075" xr:uid="{00000000-0005-0000-0000-0000B61F0000}"/>
    <cellStyle name="Normal 4 12 4" xfId="8076" xr:uid="{00000000-0005-0000-0000-0000B71F0000}"/>
    <cellStyle name="Normal 4 12 5" xfId="8077" xr:uid="{00000000-0005-0000-0000-0000B81F0000}"/>
    <cellStyle name="Normal 4 12 6" xfId="8078" xr:uid="{00000000-0005-0000-0000-0000B91F0000}"/>
    <cellStyle name="Normal 4 12 7" xfId="8079" xr:uid="{00000000-0005-0000-0000-0000BA1F0000}"/>
    <cellStyle name="Normal 4 12 8" xfId="8080" xr:uid="{00000000-0005-0000-0000-0000BB1F0000}"/>
    <cellStyle name="Normal 4 12 9" xfId="8081" xr:uid="{00000000-0005-0000-0000-0000BC1F0000}"/>
    <cellStyle name="Normal 4 13" xfId="8082" xr:uid="{00000000-0005-0000-0000-0000BD1F0000}"/>
    <cellStyle name="Normal 4 14" xfId="8083" xr:uid="{00000000-0005-0000-0000-0000BE1F0000}"/>
    <cellStyle name="Normal 4 15" xfId="8084" xr:uid="{00000000-0005-0000-0000-0000BF1F0000}"/>
    <cellStyle name="Normal 4 16" xfId="8085" xr:uid="{00000000-0005-0000-0000-0000C01F0000}"/>
    <cellStyle name="Normal 4 17" xfId="8086" xr:uid="{00000000-0005-0000-0000-0000C11F0000}"/>
    <cellStyle name="Normal 4 18" xfId="8087" xr:uid="{00000000-0005-0000-0000-0000C21F0000}"/>
    <cellStyle name="Normal 4 19" xfId="8088" xr:uid="{00000000-0005-0000-0000-0000C31F0000}"/>
    <cellStyle name="Normal 4 2" xfId="8089" xr:uid="{00000000-0005-0000-0000-0000C41F0000}"/>
    <cellStyle name="Normal 4 2 2" xfId="8090" xr:uid="{00000000-0005-0000-0000-0000C51F0000}"/>
    <cellStyle name="Normal 4 2 2 2" xfId="8091" xr:uid="{00000000-0005-0000-0000-0000C61F0000}"/>
    <cellStyle name="Normal 4 2 2 2 2" xfId="8092" xr:uid="{00000000-0005-0000-0000-0000C71F0000}"/>
    <cellStyle name="Normal 4 2 2 2 2 2" xfId="8093" xr:uid="{00000000-0005-0000-0000-0000C81F0000}"/>
    <cellStyle name="Normal 4 2 2 2 2 3" xfId="8094" xr:uid="{00000000-0005-0000-0000-0000C91F0000}"/>
    <cellStyle name="Normal 4 2 2 3" xfId="8095" xr:uid="{00000000-0005-0000-0000-0000CA1F0000}"/>
    <cellStyle name="Normal 4 2 2 4" xfId="8096" xr:uid="{00000000-0005-0000-0000-0000CB1F0000}"/>
    <cellStyle name="Normal 4 2 2 5" xfId="8097" xr:uid="{00000000-0005-0000-0000-0000CC1F0000}"/>
    <cellStyle name="Normal 4 2 2 6" xfId="8098" xr:uid="{00000000-0005-0000-0000-0000CD1F0000}"/>
    <cellStyle name="Normal 4 2 3" xfId="8099" xr:uid="{00000000-0005-0000-0000-0000CE1F0000}"/>
    <cellStyle name="Normal 4 2 3 2" xfId="8100" xr:uid="{00000000-0005-0000-0000-0000CF1F0000}"/>
    <cellStyle name="Normal 4 2 3 2 2" xfId="8101" xr:uid="{00000000-0005-0000-0000-0000D01F0000}"/>
    <cellStyle name="Normal 4 2 3 2 2 2" xfId="8102" xr:uid="{00000000-0005-0000-0000-0000D11F0000}"/>
    <cellStyle name="Normal 4 2 3 3" xfId="8103" xr:uid="{00000000-0005-0000-0000-0000D21F0000}"/>
    <cellStyle name="Normal 4 2 3 4" xfId="8104" xr:uid="{00000000-0005-0000-0000-0000D31F0000}"/>
    <cellStyle name="Normal 4 2 3 5" xfId="8105" xr:uid="{00000000-0005-0000-0000-0000D41F0000}"/>
    <cellStyle name="Normal 4 2 4" xfId="8106" xr:uid="{00000000-0005-0000-0000-0000D51F0000}"/>
    <cellStyle name="Normal 4 2 4 2" xfId="8107" xr:uid="{00000000-0005-0000-0000-0000D61F0000}"/>
    <cellStyle name="Normal 4 2 4 3" xfId="8108" xr:uid="{00000000-0005-0000-0000-0000D71F0000}"/>
    <cellStyle name="Normal 4 2 4 4" xfId="8109" xr:uid="{00000000-0005-0000-0000-0000D81F0000}"/>
    <cellStyle name="Normal 4 2 5" xfId="8110" xr:uid="{00000000-0005-0000-0000-0000D91F0000}"/>
    <cellStyle name="Normal 4 2 5 2" xfId="8111" xr:uid="{00000000-0005-0000-0000-0000DA1F0000}"/>
    <cellStyle name="Normal 4 2 5 3" xfId="8112" xr:uid="{00000000-0005-0000-0000-0000DB1F0000}"/>
    <cellStyle name="Normal 4 2 6" xfId="8113" xr:uid="{00000000-0005-0000-0000-0000DC1F0000}"/>
    <cellStyle name="Normal 4 2 6 2" xfId="8114" xr:uid="{00000000-0005-0000-0000-0000DD1F0000}"/>
    <cellStyle name="Normal 4 2 6 3" xfId="8115" xr:uid="{00000000-0005-0000-0000-0000DE1F0000}"/>
    <cellStyle name="Normal 4 2 7" xfId="8116" xr:uid="{00000000-0005-0000-0000-0000DF1F0000}"/>
    <cellStyle name="Normal 4 2 7 2" xfId="8117" xr:uid="{00000000-0005-0000-0000-0000E01F0000}"/>
    <cellStyle name="Normal 4 2 7 3" xfId="8118" xr:uid="{00000000-0005-0000-0000-0000E11F0000}"/>
    <cellStyle name="Normal 4 2 8" xfId="8119" xr:uid="{00000000-0005-0000-0000-0000E21F0000}"/>
    <cellStyle name="Normal 4 20" xfId="8120" xr:uid="{00000000-0005-0000-0000-0000E31F0000}"/>
    <cellStyle name="Normal 4 20 2" xfId="8121" xr:uid="{00000000-0005-0000-0000-0000E41F0000}"/>
    <cellStyle name="Normal 4 20 3" xfId="8122" xr:uid="{00000000-0005-0000-0000-0000E51F0000}"/>
    <cellStyle name="Normal 4 20 4" xfId="8123" xr:uid="{00000000-0005-0000-0000-0000E61F0000}"/>
    <cellStyle name="Normal 4 20 5" xfId="8124" xr:uid="{00000000-0005-0000-0000-0000E71F0000}"/>
    <cellStyle name="Normal 4 20 6" xfId="8125" xr:uid="{00000000-0005-0000-0000-0000E81F0000}"/>
    <cellStyle name="Normal 4 21" xfId="8126" xr:uid="{00000000-0005-0000-0000-0000E91F0000}"/>
    <cellStyle name="Normal 4 22" xfId="8127" xr:uid="{00000000-0005-0000-0000-0000EA1F0000}"/>
    <cellStyle name="Normal 4 23" xfId="8128" xr:uid="{00000000-0005-0000-0000-0000EB1F0000}"/>
    <cellStyle name="Normal 4 24" xfId="8129" xr:uid="{00000000-0005-0000-0000-0000EC1F0000}"/>
    <cellStyle name="Normal 4 3" xfId="8130" xr:uid="{00000000-0005-0000-0000-0000ED1F0000}"/>
    <cellStyle name="Normal 4 3 2" xfId="8131" xr:uid="{00000000-0005-0000-0000-0000EE1F0000}"/>
    <cellStyle name="Normal 4 3 2 2" xfId="8132" xr:uid="{00000000-0005-0000-0000-0000EF1F0000}"/>
    <cellStyle name="Normal 4 3 3" xfId="8133" xr:uid="{00000000-0005-0000-0000-0000F01F0000}"/>
    <cellStyle name="Normal 4 3 3 2" xfId="8134" xr:uid="{00000000-0005-0000-0000-0000F11F0000}"/>
    <cellStyle name="Normal 4 3 4" xfId="8135" xr:uid="{00000000-0005-0000-0000-0000F21F0000}"/>
    <cellStyle name="Normal 4 3 4 2" xfId="8136" xr:uid="{00000000-0005-0000-0000-0000F31F0000}"/>
    <cellStyle name="Normal 4 3 5" xfId="8137" xr:uid="{00000000-0005-0000-0000-0000F41F0000}"/>
    <cellStyle name="Normal 4 3 6" xfId="8138" xr:uid="{00000000-0005-0000-0000-0000F51F0000}"/>
    <cellStyle name="Normal 4 4" xfId="8139" xr:uid="{00000000-0005-0000-0000-0000F61F0000}"/>
    <cellStyle name="Normal 4 4 2" xfId="8140" xr:uid="{00000000-0005-0000-0000-0000F71F0000}"/>
    <cellStyle name="Normal 4 4 3" xfId="8141" xr:uid="{00000000-0005-0000-0000-0000F81F0000}"/>
    <cellStyle name="Normal 4 5" xfId="8142" xr:uid="{00000000-0005-0000-0000-0000F91F0000}"/>
    <cellStyle name="Normal 4 5 2" xfId="8143" xr:uid="{00000000-0005-0000-0000-0000FA1F0000}"/>
    <cellStyle name="Normal 4 5 3" xfId="8144" xr:uid="{00000000-0005-0000-0000-0000FB1F0000}"/>
    <cellStyle name="Normal 4 6" xfId="8145" xr:uid="{00000000-0005-0000-0000-0000FC1F0000}"/>
    <cellStyle name="Normal 4 6 2" xfId="8146" xr:uid="{00000000-0005-0000-0000-0000FD1F0000}"/>
    <cellStyle name="Normal 4 6 3" xfId="8147" xr:uid="{00000000-0005-0000-0000-0000FE1F0000}"/>
    <cellStyle name="Normal 4 7" xfId="8148" xr:uid="{00000000-0005-0000-0000-0000FF1F0000}"/>
    <cellStyle name="Normal 4 7 2" xfId="8149" xr:uid="{00000000-0005-0000-0000-000000200000}"/>
    <cellStyle name="Normal 4 7 3" xfId="8150" xr:uid="{00000000-0005-0000-0000-000001200000}"/>
    <cellStyle name="Normal 4 8" xfId="8151" xr:uid="{00000000-0005-0000-0000-000002200000}"/>
    <cellStyle name="Normal 4 8 2" xfId="8152" xr:uid="{00000000-0005-0000-0000-000003200000}"/>
    <cellStyle name="Normal 4 8 3" xfId="8153" xr:uid="{00000000-0005-0000-0000-000004200000}"/>
    <cellStyle name="Normal 4 9" xfId="8154" xr:uid="{00000000-0005-0000-0000-000005200000}"/>
    <cellStyle name="Normal 4 9 10" xfId="8155" xr:uid="{00000000-0005-0000-0000-000006200000}"/>
    <cellStyle name="Normal 4 9 11" xfId="8156" xr:uid="{00000000-0005-0000-0000-000007200000}"/>
    <cellStyle name="Normal 4 9 12" xfId="8157" xr:uid="{00000000-0005-0000-0000-000008200000}"/>
    <cellStyle name="Normal 4 9 13" xfId="8158" xr:uid="{00000000-0005-0000-0000-000009200000}"/>
    <cellStyle name="Normal 4 9 14" xfId="8159" xr:uid="{00000000-0005-0000-0000-00000A200000}"/>
    <cellStyle name="Normal 4 9 15" xfId="8160" xr:uid="{00000000-0005-0000-0000-00000B200000}"/>
    <cellStyle name="Normal 4 9 16" xfId="8161" xr:uid="{00000000-0005-0000-0000-00000C200000}"/>
    <cellStyle name="Normal 4 9 17" xfId="8162" xr:uid="{00000000-0005-0000-0000-00000D200000}"/>
    <cellStyle name="Normal 4 9 18" xfId="8163" xr:uid="{00000000-0005-0000-0000-00000E200000}"/>
    <cellStyle name="Normal 4 9 19" xfId="8164" xr:uid="{00000000-0005-0000-0000-00000F200000}"/>
    <cellStyle name="Normal 4 9 2" xfId="8165" xr:uid="{00000000-0005-0000-0000-000010200000}"/>
    <cellStyle name="Normal 4 9 20" xfId="8166" xr:uid="{00000000-0005-0000-0000-000011200000}"/>
    <cellStyle name="Normal 4 9 21" xfId="8167" xr:uid="{00000000-0005-0000-0000-000012200000}"/>
    <cellStyle name="Normal 4 9 22" xfId="8168" xr:uid="{00000000-0005-0000-0000-000013200000}"/>
    <cellStyle name="Normal 4 9 23" xfId="8169" xr:uid="{00000000-0005-0000-0000-000014200000}"/>
    <cellStyle name="Normal 4 9 3" xfId="8170" xr:uid="{00000000-0005-0000-0000-000015200000}"/>
    <cellStyle name="Normal 4 9 4" xfId="8171" xr:uid="{00000000-0005-0000-0000-000016200000}"/>
    <cellStyle name="Normal 4 9 5" xfId="8172" xr:uid="{00000000-0005-0000-0000-000017200000}"/>
    <cellStyle name="Normal 4 9 6" xfId="8173" xr:uid="{00000000-0005-0000-0000-000018200000}"/>
    <cellStyle name="Normal 4 9 7" xfId="8174" xr:uid="{00000000-0005-0000-0000-000019200000}"/>
    <cellStyle name="Normal 4 9 8" xfId="8175" xr:uid="{00000000-0005-0000-0000-00001A200000}"/>
    <cellStyle name="Normal 4 9 9" xfId="8176" xr:uid="{00000000-0005-0000-0000-00001B200000}"/>
    <cellStyle name="Normal 4_Sheet1" xfId="8177" xr:uid="{00000000-0005-0000-0000-00001C200000}"/>
    <cellStyle name="Normal 40" xfId="8178" xr:uid="{00000000-0005-0000-0000-00001D200000}"/>
    <cellStyle name="Normal 40 2" xfId="8179" xr:uid="{00000000-0005-0000-0000-00001E200000}"/>
    <cellStyle name="Normal 40 2 2" xfId="8180" xr:uid="{00000000-0005-0000-0000-00001F200000}"/>
    <cellStyle name="Normal 40 2 2 2" xfId="8181" xr:uid="{00000000-0005-0000-0000-000020200000}"/>
    <cellStyle name="Normal 40 2 2 2 2" xfId="8182" xr:uid="{00000000-0005-0000-0000-000021200000}"/>
    <cellStyle name="Normal 40 2 2 2 2 2" xfId="8183" xr:uid="{00000000-0005-0000-0000-000022200000}"/>
    <cellStyle name="Normal 40 2 2 2 3" xfId="8184" xr:uid="{00000000-0005-0000-0000-000023200000}"/>
    <cellStyle name="Normal 40 2 2 3" xfId="8185" xr:uid="{00000000-0005-0000-0000-000024200000}"/>
    <cellStyle name="Normal 40 2 2 3 2" xfId="8186" xr:uid="{00000000-0005-0000-0000-000025200000}"/>
    <cellStyle name="Normal 40 2 2 3 2 2" xfId="8187" xr:uid="{00000000-0005-0000-0000-000026200000}"/>
    <cellStyle name="Normal 40 2 2 3 3" xfId="8188" xr:uid="{00000000-0005-0000-0000-000027200000}"/>
    <cellStyle name="Normal 40 2 2 4" xfId="8189" xr:uid="{00000000-0005-0000-0000-000028200000}"/>
    <cellStyle name="Normal 40 2 2 4 2" xfId="8190" xr:uid="{00000000-0005-0000-0000-000029200000}"/>
    <cellStyle name="Normal 40 2 2 5" xfId="8191" xr:uid="{00000000-0005-0000-0000-00002A200000}"/>
    <cellStyle name="Normal 40 2 2 6" xfId="8192" xr:uid="{00000000-0005-0000-0000-00002B200000}"/>
    <cellStyle name="Normal 40 2 3" xfId="8193" xr:uid="{00000000-0005-0000-0000-00002C200000}"/>
    <cellStyle name="Normal 40 2 3 2" xfId="8194" xr:uid="{00000000-0005-0000-0000-00002D200000}"/>
    <cellStyle name="Normal 40 2 3 2 2" xfId="8195" xr:uid="{00000000-0005-0000-0000-00002E200000}"/>
    <cellStyle name="Normal 40 2 3 2 2 2" xfId="8196" xr:uid="{00000000-0005-0000-0000-00002F200000}"/>
    <cellStyle name="Normal 40 2 3 2 3" xfId="8197" xr:uid="{00000000-0005-0000-0000-000030200000}"/>
    <cellStyle name="Normal 40 2 3 3" xfId="8198" xr:uid="{00000000-0005-0000-0000-000031200000}"/>
    <cellStyle name="Normal 40 2 3 3 2" xfId="8199" xr:uid="{00000000-0005-0000-0000-000032200000}"/>
    <cellStyle name="Normal 40 2 3 4" xfId="8200" xr:uid="{00000000-0005-0000-0000-000033200000}"/>
    <cellStyle name="Normal 40 2 3 5" xfId="8201" xr:uid="{00000000-0005-0000-0000-000034200000}"/>
    <cellStyle name="Normal 40 2 4" xfId="8202" xr:uid="{00000000-0005-0000-0000-000035200000}"/>
    <cellStyle name="Normal 40 2 4 2" xfId="8203" xr:uid="{00000000-0005-0000-0000-000036200000}"/>
    <cellStyle name="Normal 40 2 4 2 2" xfId="8204" xr:uid="{00000000-0005-0000-0000-000037200000}"/>
    <cellStyle name="Normal 40 2 4 3" xfId="8205" xr:uid="{00000000-0005-0000-0000-000038200000}"/>
    <cellStyle name="Normal 40 2 5" xfId="8206" xr:uid="{00000000-0005-0000-0000-000039200000}"/>
    <cellStyle name="Normal 40 2 5 2" xfId="8207" xr:uid="{00000000-0005-0000-0000-00003A200000}"/>
    <cellStyle name="Normal 40 2 5 2 2" xfId="8208" xr:uid="{00000000-0005-0000-0000-00003B200000}"/>
    <cellStyle name="Normal 40 2 5 3" xfId="8209" xr:uid="{00000000-0005-0000-0000-00003C200000}"/>
    <cellStyle name="Normal 40 2 6" xfId="8210" xr:uid="{00000000-0005-0000-0000-00003D200000}"/>
    <cellStyle name="Normal 40 2 6 2" xfId="8211" xr:uid="{00000000-0005-0000-0000-00003E200000}"/>
    <cellStyle name="Normal 40 2 7" xfId="8212" xr:uid="{00000000-0005-0000-0000-00003F200000}"/>
    <cellStyle name="Normal 40 2 8" xfId="8213" xr:uid="{00000000-0005-0000-0000-000040200000}"/>
    <cellStyle name="Normal 40 3" xfId="8214" xr:uid="{00000000-0005-0000-0000-000041200000}"/>
    <cellStyle name="Normal 40 3 2" xfId="8215" xr:uid="{00000000-0005-0000-0000-000042200000}"/>
    <cellStyle name="Normal 40 3 2 2" xfId="8216" xr:uid="{00000000-0005-0000-0000-000043200000}"/>
    <cellStyle name="Normal 40 3 2 2 2" xfId="8217" xr:uid="{00000000-0005-0000-0000-000044200000}"/>
    <cellStyle name="Normal 40 3 2 2 2 2" xfId="8218" xr:uid="{00000000-0005-0000-0000-000045200000}"/>
    <cellStyle name="Normal 40 3 2 2 3" xfId="8219" xr:uid="{00000000-0005-0000-0000-000046200000}"/>
    <cellStyle name="Normal 40 3 2 3" xfId="8220" xr:uid="{00000000-0005-0000-0000-000047200000}"/>
    <cellStyle name="Normal 40 3 2 3 2" xfId="8221" xr:uid="{00000000-0005-0000-0000-000048200000}"/>
    <cellStyle name="Normal 40 3 2 3 2 2" xfId="8222" xr:uid="{00000000-0005-0000-0000-000049200000}"/>
    <cellStyle name="Normal 40 3 2 3 3" xfId="8223" xr:uid="{00000000-0005-0000-0000-00004A200000}"/>
    <cellStyle name="Normal 40 3 2 4" xfId="8224" xr:uid="{00000000-0005-0000-0000-00004B200000}"/>
    <cellStyle name="Normal 40 3 2 4 2" xfId="8225" xr:uid="{00000000-0005-0000-0000-00004C200000}"/>
    <cellStyle name="Normal 40 3 2 5" xfId="8226" xr:uid="{00000000-0005-0000-0000-00004D200000}"/>
    <cellStyle name="Normal 40 3 2 6" xfId="8227" xr:uid="{00000000-0005-0000-0000-00004E200000}"/>
    <cellStyle name="Normal 40 3 3" xfId="8228" xr:uid="{00000000-0005-0000-0000-00004F200000}"/>
    <cellStyle name="Normal 40 3 3 2" xfId="8229" xr:uid="{00000000-0005-0000-0000-000050200000}"/>
    <cellStyle name="Normal 40 3 3 2 2" xfId="8230" xr:uid="{00000000-0005-0000-0000-000051200000}"/>
    <cellStyle name="Normal 40 3 3 2 2 2" xfId="8231" xr:uid="{00000000-0005-0000-0000-000052200000}"/>
    <cellStyle name="Normal 40 3 3 2 3" xfId="8232" xr:uid="{00000000-0005-0000-0000-000053200000}"/>
    <cellStyle name="Normal 40 3 3 3" xfId="8233" xr:uid="{00000000-0005-0000-0000-000054200000}"/>
    <cellStyle name="Normal 40 3 3 3 2" xfId="8234" xr:uid="{00000000-0005-0000-0000-000055200000}"/>
    <cellStyle name="Normal 40 3 3 4" xfId="8235" xr:uid="{00000000-0005-0000-0000-000056200000}"/>
    <cellStyle name="Normal 40 3 3 5" xfId="8236" xr:uid="{00000000-0005-0000-0000-000057200000}"/>
    <cellStyle name="Normal 40 3 4" xfId="8237" xr:uid="{00000000-0005-0000-0000-000058200000}"/>
    <cellStyle name="Normal 40 3 4 2" xfId="8238" xr:uid="{00000000-0005-0000-0000-000059200000}"/>
    <cellStyle name="Normal 40 3 4 2 2" xfId="8239" xr:uid="{00000000-0005-0000-0000-00005A200000}"/>
    <cellStyle name="Normal 40 3 4 3" xfId="8240" xr:uid="{00000000-0005-0000-0000-00005B200000}"/>
    <cellStyle name="Normal 40 3 5" xfId="8241" xr:uid="{00000000-0005-0000-0000-00005C200000}"/>
    <cellStyle name="Normal 40 3 5 2" xfId="8242" xr:uid="{00000000-0005-0000-0000-00005D200000}"/>
    <cellStyle name="Normal 40 3 5 2 2" xfId="8243" xr:uid="{00000000-0005-0000-0000-00005E200000}"/>
    <cellStyle name="Normal 40 3 5 3" xfId="8244" xr:uid="{00000000-0005-0000-0000-00005F200000}"/>
    <cellStyle name="Normal 40 3 6" xfId="8245" xr:uid="{00000000-0005-0000-0000-000060200000}"/>
    <cellStyle name="Normal 40 3 6 2" xfId="8246" xr:uid="{00000000-0005-0000-0000-000061200000}"/>
    <cellStyle name="Normal 40 3 7" xfId="8247" xr:uid="{00000000-0005-0000-0000-000062200000}"/>
    <cellStyle name="Normal 40 3 8" xfId="8248" xr:uid="{00000000-0005-0000-0000-000063200000}"/>
    <cellStyle name="Normal 40 4" xfId="8249" xr:uid="{00000000-0005-0000-0000-000064200000}"/>
    <cellStyle name="Normal 40 4 2" xfId="8250" xr:uid="{00000000-0005-0000-0000-000065200000}"/>
    <cellStyle name="Normal 40 4 2 2" xfId="8251" xr:uid="{00000000-0005-0000-0000-000066200000}"/>
    <cellStyle name="Normal 40 4 2 2 2" xfId="8252" xr:uid="{00000000-0005-0000-0000-000067200000}"/>
    <cellStyle name="Normal 40 4 2 2 2 2" xfId="8253" xr:uid="{00000000-0005-0000-0000-000068200000}"/>
    <cellStyle name="Normal 40 4 2 2 3" xfId="8254" xr:uid="{00000000-0005-0000-0000-000069200000}"/>
    <cellStyle name="Normal 40 4 2 3" xfId="8255" xr:uid="{00000000-0005-0000-0000-00006A200000}"/>
    <cellStyle name="Normal 40 4 2 3 2" xfId="8256" xr:uid="{00000000-0005-0000-0000-00006B200000}"/>
    <cellStyle name="Normal 40 4 2 3 2 2" xfId="8257" xr:uid="{00000000-0005-0000-0000-00006C200000}"/>
    <cellStyle name="Normal 40 4 2 3 3" xfId="8258" xr:uid="{00000000-0005-0000-0000-00006D200000}"/>
    <cellStyle name="Normal 40 4 2 4" xfId="8259" xr:uid="{00000000-0005-0000-0000-00006E200000}"/>
    <cellStyle name="Normal 40 4 2 4 2" xfId="8260" xr:uid="{00000000-0005-0000-0000-00006F200000}"/>
    <cellStyle name="Normal 40 4 2 5" xfId="8261" xr:uid="{00000000-0005-0000-0000-000070200000}"/>
    <cellStyle name="Normal 40 4 2 6" xfId="8262" xr:uid="{00000000-0005-0000-0000-000071200000}"/>
    <cellStyle name="Normal 40 4 3" xfId="8263" xr:uid="{00000000-0005-0000-0000-000072200000}"/>
    <cellStyle name="Normal 40 4 3 2" xfId="8264" xr:uid="{00000000-0005-0000-0000-000073200000}"/>
    <cellStyle name="Normal 40 4 3 2 2" xfId="8265" xr:uid="{00000000-0005-0000-0000-000074200000}"/>
    <cellStyle name="Normal 40 4 3 2 2 2" xfId="8266" xr:uid="{00000000-0005-0000-0000-000075200000}"/>
    <cellStyle name="Normal 40 4 3 2 3" xfId="8267" xr:uid="{00000000-0005-0000-0000-000076200000}"/>
    <cellStyle name="Normal 40 4 3 3" xfId="8268" xr:uid="{00000000-0005-0000-0000-000077200000}"/>
    <cellStyle name="Normal 40 4 3 3 2" xfId="8269" xr:uid="{00000000-0005-0000-0000-000078200000}"/>
    <cellStyle name="Normal 40 4 3 4" xfId="8270" xr:uid="{00000000-0005-0000-0000-000079200000}"/>
    <cellStyle name="Normal 40 4 3 5" xfId="8271" xr:uid="{00000000-0005-0000-0000-00007A200000}"/>
    <cellStyle name="Normal 40 4 4" xfId="8272" xr:uid="{00000000-0005-0000-0000-00007B200000}"/>
    <cellStyle name="Normal 40 4 4 2" xfId="8273" xr:uid="{00000000-0005-0000-0000-00007C200000}"/>
    <cellStyle name="Normal 40 4 4 2 2" xfId="8274" xr:uid="{00000000-0005-0000-0000-00007D200000}"/>
    <cellStyle name="Normal 40 4 4 3" xfId="8275" xr:uid="{00000000-0005-0000-0000-00007E200000}"/>
    <cellStyle name="Normal 40 4 5" xfId="8276" xr:uid="{00000000-0005-0000-0000-00007F200000}"/>
    <cellStyle name="Normal 40 4 5 2" xfId="8277" xr:uid="{00000000-0005-0000-0000-000080200000}"/>
    <cellStyle name="Normal 40 4 5 2 2" xfId="8278" xr:uid="{00000000-0005-0000-0000-000081200000}"/>
    <cellStyle name="Normal 40 4 5 3" xfId="8279" xr:uid="{00000000-0005-0000-0000-000082200000}"/>
    <cellStyle name="Normal 40 4 6" xfId="8280" xr:uid="{00000000-0005-0000-0000-000083200000}"/>
    <cellStyle name="Normal 40 4 6 2" xfId="8281" xr:uid="{00000000-0005-0000-0000-000084200000}"/>
    <cellStyle name="Normal 40 4 7" xfId="8282" xr:uid="{00000000-0005-0000-0000-000085200000}"/>
    <cellStyle name="Normal 40 4 8" xfId="8283" xr:uid="{00000000-0005-0000-0000-000086200000}"/>
    <cellStyle name="Normal 40 5" xfId="8284" xr:uid="{00000000-0005-0000-0000-000087200000}"/>
    <cellStyle name="Normal 40 5 2" xfId="8285" xr:uid="{00000000-0005-0000-0000-000088200000}"/>
    <cellStyle name="Normal 40 5 2 2" xfId="8286" xr:uid="{00000000-0005-0000-0000-000089200000}"/>
    <cellStyle name="Normal 40 5 2 2 2" xfId="8287" xr:uid="{00000000-0005-0000-0000-00008A200000}"/>
    <cellStyle name="Normal 40 5 2 2 2 2" xfId="8288" xr:uid="{00000000-0005-0000-0000-00008B200000}"/>
    <cellStyle name="Normal 40 5 2 2 3" xfId="8289" xr:uid="{00000000-0005-0000-0000-00008C200000}"/>
    <cellStyle name="Normal 40 5 2 3" xfId="8290" xr:uid="{00000000-0005-0000-0000-00008D200000}"/>
    <cellStyle name="Normal 40 5 2 3 2" xfId="8291" xr:uid="{00000000-0005-0000-0000-00008E200000}"/>
    <cellStyle name="Normal 40 5 2 3 2 2" xfId="8292" xr:uid="{00000000-0005-0000-0000-00008F200000}"/>
    <cellStyle name="Normal 40 5 2 3 3" xfId="8293" xr:uid="{00000000-0005-0000-0000-000090200000}"/>
    <cellStyle name="Normal 40 5 2 4" xfId="8294" xr:uid="{00000000-0005-0000-0000-000091200000}"/>
    <cellStyle name="Normal 40 5 2 4 2" xfId="8295" xr:uid="{00000000-0005-0000-0000-000092200000}"/>
    <cellStyle name="Normal 40 5 2 5" xfId="8296" xr:uid="{00000000-0005-0000-0000-000093200000}"/>
    <cellStyle name="Normal 40 5 2 6" xfId="8297" xr:uid="{00000000-0005-0000-0000-000094200000}"/>
    <cellStyle name="Normal 40 5 3" xfId="8298" xr:uid="{00000000-0005-0000-0000-000095200000}"/>
    <cellStyle name="Normal 40 5 3 2" xfId="8299" xr:uid="{00000000-0005-0000-0000-000096200000}"/>
    <cellStyle name="Normal 40 5 3 2 2" xfId="8300" xr:uid="{00000000-0005-0000-0000-000097200000}"/>
    <cellStyle name="Normal 40 5 3 2 2 2" xfId="8301" xr:uid="{00000000-0005-0000-0000-000098200000}"/>
    <cellStyle name="Normal 40 5 3 2 3" xfId="8302" xr:uid="{00000000-0005-0000-0000-000099200000}"/>
    <cellStyle name="Normal 40 5 3 3" xfId="8303" xr:uid="{00000000-0005-0000-0000-00009A200000}"/>
    <cellStyle name="Normal 40 5 3 3 2" xfId="8304" xr:uid="{00000000-0005-0000-0000-00009B200000}"/>
    <cellStyle name="Normal 40 5 3 4" xfId="8305" xr:uid="{00000000-0005-0000-0000-00009C200000}"/>
    <cellStyle name="Normal 40 5 3 5" xfId="8306" xr:uid="{00000000-0005-0000-0000-00009D200000}"/>
    <cellStyle name="Normal 40 5 4" xfId="8307" xr:uid="{00000000-0005-0000-0000-00009E200000}"/>
    <cellStyle name="Normal 40 5 4 2" xfId="8308" xr:uid="{00000000-0005-0000-0000-00009F200000}"/>
    <cellStyle name="Normal 40 5 4 2 2" xfId="8309" xr:uid="{00000000-0005-0000-0000-0000A0200000}"/>
    <cellStyle name="Normal 40 5 4 3" xfId="8310" xr:uid="{00000000-0005-0000-0000-0000A1200000}"/>
    <cellStyle name="Normal 40 5 5" xfId="8311" xr:uid="{00000000-0005-0000-0000-0000A2200000}"/>
    <cellStyle name="Normal 40 5 5 2" xfId="8312" xr:uid="{00000000-0005-0000-0000-0000A3200000}"/>
    <cellStyle name="Normal 40 5 5 2 2" xfId="8313" xr:uid="{00000000-0005-0000-0000-0000A4200000}"/>
    <cellStyle name="Normal 40 5 5 3" xfId="8314" xr:uid="{00000000-0005-0000-0000-0000A5200000}"/>
    <cellStyle name="Normal 40 5 6" xfId="8315" xr:uid="{00000000-0005-0000-0000-0000A6200000}"/>
    <cellStyle name="Normal 40 5 6 2" xfId="8316" xr:uid="{00000000-0005-0000-0000-0000A7200000}"/>
    <cellStyle name="Normal 40 5 7" xfId="8317" xr:uid="{00000000-0005-0000-0000-0000A8200000}"/>
    <cellStyle name="Normal 40 5 8" xfId="8318" xr:uid="{00000000-0005-0000-0000-0000A9200000}"/>
    <cellStyle name="Normal 40 6" xfId="8319" xr:uid="{00000000-0005-0000-0000-0000AA200000}"/>
    <cellStyle name="Normal 40 6 2" xfId="8320" xr:uid="{00000000-0005-0000-0000-0000AB200000}"/>
    <cellStyle name="Normal 40 6 2 2" xfId="8321" xr:uid="{00000000-0005-0000-0000-0000AC200000}"/>
    <cellStyle name="Normal 40 6 2 2 2" xfId="8322" xr:uid="{00000000-0005-0000-0000-0000AD200000}"/>
    <cellStyle name="Normal 40 6 2 2 2 2" xfId="8323" xr:uid="{00000000-0005-0000-0000-0000AE200000}"/>
    <cellStyle name="Normal 40 6 2 2 3" xfId="8324" xr:uid="{00000000-0005-0000-0000-0000AF200000}"/>
    <cellStyle name="Normal 40 6 2 3" xfId="8325" xr:uid="{00000000-0005-0000-0000-0000B0200000}"/>
    <cellStyle name="Normal 40 6 2 3 2" xfId="8326" xr:uid="{00000000-0005-0000-0000-0000B1200000}"/>
    <cellStyle name="Normal 40 6 2 3 2 2" xfId="8327" xr:uid="{00000000-0005-0000-0000-0000B2200000}"/>
    <cellStyle name="Normal 40 6 2 3 3" xfId="8328" xr:uid="{00000000-0005-0000-0000-0000B3200000}"/>
    <cellStyle name="Normal 40 6 2 4" xfId="8329" xr:uid="{00000000-0005-0000-0000-0000B4200000}"/>
    <cellStyle name="Normal 40 6 2 4 2" xfId="8330" xr:uid="{00000000-0005-0000-0000-0000B5200000}"/>
    <cellStyle name="Normal 40 6 2 5" xfId="8331" xr:uid="{00000000-0005-0000-0000-0000B6200000}"/>
    <cellStyle name="Normal 40 6 2 6" xfId="8332" xr:uid="{00000000-0005-0000-0000-0000B7200000}"/>
    <cellStyle name="Normal 40 6 3" xfId="8333" xr:uid="{00000000-0005-0000-0000-0000B8200000}"/>
    <cellStyle name="Normal 40 6 3 2" xfId="8334" xr:uid="{00000000-0005-0000-0000-0000B9200000}"/>
    <cellStyle name="Normal 40 6 3 2 2" xfId="8335" xr:uid="{00000000-0005-0000-0000-0000BA200000}"/>
    <cellStyle name="Normal 40 6 3 2 2 2" xfId="8336" xr:uid="{00000000-0005-0000-0000-0000BB200000}"/>
    <cellStyle name="Normal 40 6 3 2 3" xfId="8337" xr:uid="{00000000-0005-0000-0000-0000BC200000}"/>
    <cellStyle name="Normal 40 6 3 3" xfId="8338" xr:uid="{00000000-0005-0000-0000-0000BD200000}"/>
    <cellStyle name="Normal 40 6 3 3 2" xfId="8339" xr:uid="{00000000-0005-0000-0000-0000BE200000}"/>
    <cellStyle name="Normal 40 6 3 4" xfId="8340" xr:uid="{00000000-0005-0000-0000-0000BF200000}"/>
    <cellStyle name="Normal 40 6 3 5" xfId="8341" xr:uid="{00000000-0005-0000-0000-0000C0200000}"/>
    <cellStyle name="Normal 40 6 4" xfId="8342" xr:uid="{00000000-0005-0000-0000-0000C1200000}"/>
    <cellStyle name="Normal 40 6 4 2" xfId="8343" xr:uid="{00000000-0005-0000-0000-0000C2200000}"/>
    <cellStyle name="Normal 40 6 4 2 2" xfId="8344" xr:uid="{00000000-0005-0000-0000-0000C3200000}"/>
    <cellStyle name="Normal 40 6 4 3" xfId="8345" xr:uid="{00000000-0005-0000-0000-0000C4200000}"/>
    <cellStyle name="Normal 40 6 5" xfId="8346" xr:uid="{00000000-0005-0000-0000-0000C5200000}"/>
    <cellStyle name="Normal 40 6 5 2" xfId="8347" xr:uid="{00000000-0005-0000-0000-0000C6200000}"/>
    <cellStyle name="Normal 40 6 5 2 2" xfId="8348" xr:uid="{00000000-0005-0000-0000-0000C7200000}"/>
    <cellStyle name="Normal 40 6 5 3" xfId="8349" xr:uid="{00000000-0005-0000-0000-0000C8200000}"/>
    <cellStyle name="Normal 40 6 6" xfId="8350" xr:uid="{00000000-0005-0000-0000-0000C9200000}"/>
    <cellStyle name="Normal 40 6 6 2" xfId="8351" xr:uid="{00000000-0005-0000-0000-0000CA200000}"/>
    <cellStyle name="Normal 40 6 7" xfId="8352" xr:uid="{00000000-0005-0000-0000-0000CB200000}"/>
    <cellStyle name="Normal 40 6 8" xfId="8353" xr:uid="{00000000-0005-0000-0000-0000CC200000}"/>
    <cellStyle name="Normal 40 7" xfId="8354" xr:uid="{00000000-0005-0000-0000-0000CD200000}"/>
    <cellStyle name="Normal 41" xfId="8355" xr:uid="{00000000-0005-0000-0000-0000CE200000}"/>
    <cellStyle name="Normal 41 2" xfId="8356" xr:uid="{00000000-0005-0000-0000-0000CF200000}"/>
    <cellStyle name="Normal 41 2 2" xfId="8357" xr:uid="{00000000-0005-0000-0000-0000D0200000}"/>
    <cellStyle name="Normal 41 2 2 2" xfId="8358" xr:uid="{00000000-0005-0000-0000-0000D1200000}"/>
    <cellStyle name="Normal 41 2 2 2 2" xfId="8359" xr:uid="{00000000-0005-0000-0000-0000D2200000}"/>
    <cellStyle name="Normal 41 2 2 2 2 2" xfId="8360" xr:uid="{00000000-0005-0000-0000-0000D3200000}"/>
    <cellStyle name="Normal 41 2 2 2 3" xfId="8361" xr:uid="{00000000-0005-0000-0000-0000D4200000}"/>
    <cellStyle name="Normal 41 2 2 3" xfId="8362" xr:uid="{00000000-0005-0000-0000-0000D5200000}"/>
    <cellStyle name="Normal 41 2 2 3 2" xfId="8363" xr:uid="{00000000-0005-0000-0000-0000D6200000}"/>
    <cellStyle name="Normal 41 2 2 3 2 2" xfId="8364" xr:uid="{00000000-0005-0000-0000-0000D7200000}"/>
    <cellStyle name="Normal 41 2 2 3 3" xfId="8365" xr:uid="{00000000-0005-0000-0000-0000D8200000}"/>
    <cellStyle name="Normal 41 2 2 4" xfId="8366" xr:uid="{00000000-0005-0000-0000-0000D9200000}"/>
    <cellStyle name="Normal 41 2 2 4 2" xfId="8367" xr:uid="{00000000-0005-0000-0000-0000DA200000}"/>
    <cellStyle name="Normal 41 2 2 5" xfId="8368" xr:uid="{00000000-0005-0000-0000-0000DB200000}"/>
    <cellStyle name="Normal 41 2 2 6" xfId="8369" xr:uid="{00000000-0005-0000-0000-0000DC200000}"/>
    <cellStyle name="Normal 41 2 3" xfId="8370" xr:uid="{00000000-0005-0000-0000-0000DD200000}"/>
    <cellStyle name="Normal 41 2 3 2" xfId="8371" xr:uid="{00000000-0005-0000-0000-0000DE200000}"/>
    <cellStyle name="Normal 41 2 3 2 2" xfId="8372" xr:uid="{00000000-0005-0000-0000-0000DF200000}"/>
    <cellStyle name="Normal 41 2 3 2 2 2" xfId="8373" xr:uid="{00000000-0005-0000-0000-0000E0200000}"/>
    <cellStyle name="Normal 41 2 3 2 3" xfId="8374" xr:uid="{00000000-0005-0000-0000-0000E1200000}"/>
    <cellStyle name="Normal 41 2 3 3" xfId="8375" xr:uid="{00000000-0005-0000-0000-0000E2200000}"/>
    <cellStyle name="Normal 41 2 3 3 2" xfId="8376" xr:uid="{00000000-0005-0000-0000-0000E3200000}"/>
    <cellStyle name="Normal 41 2 3 4" xfId="8377" xr:uid="{00000000-0005-0000-0000-0000E4200000}"/>
    <cellStyle name="Normal 41 2 3 5" xfId="8378" xr:uid="{00000000-0005-0000-0000-0000E5200000}"/>
    <cellStyle name="Normal 41 2 4" xfId="8379" xr:uid="{00000000-0005-0000-0000-0000E6200000}"/>
    <cellStyle name="Normal 41 2 4 2" xfId="8380" xr:uid="{00000000-0005-0000-0000-0000E7200000}"/>
    <cellStyle name="Normal 41 2 4 2 2" xfId="8381" xr:uid="{00000000-0005-0000-0000-0000E8200000}"/>
    <cellStyle name="Normal 41 2 4 3" xfId="8382" xr:uid="{00000000-0005-0000-0000-0000E9200000}"/>
    <cellStyle name="Normal 41 2 5" xfId="8383" xr:uid="{00000000-0005-0000-0000-0000EA200000}"/>
    <cellStyle name="Normal 41 2 5 2" xfId="8384" xr:uid="{00000000-0005-0000-0000-0000EB200000}"/>
    <cellStyle name="Normal 41 2 5 2 2" xfId="8385" xr:uid="{00000000-0005-0000-0000-0000EC200000}"/>
    <cellStyle name="Normal 41 2 5 3" xfId="8386" xr:uid="{00000000-0005-0000-0000-0000ED200000}"/>
    <cellStyle name="Normal 41 2 6" xfId="8387" xr:uid="{00000000-0005-0000-0000-0000EE200000}"/>
    <cellStyle name="Normal 41 2 6 2" xfId="8388" xr:uid="{00000000-0005-0000-0000-0000EF200000}"/>
    <cellStyle name="Normal 41 2 7" xfId="8389" xr:uid="{00000000-0005-0000-0000-0000F0200000}"/>
    <cellStyle name="Normal 41 2 8" xfId="8390" xr:uid="{00000000-0005-0000-0000-0000F1200000}"/>
    <cellStyle name="Normal 41 3" xfId="8391" xr:uid="{00000000-0005-0000-0000-0000F2200000}"/>
    <cellStyle name="Normal 41 3 2" xfId="8392" xr:uid="{00000000-0005-0000-0000-0000F3200000}"/>
    <cellStyle name="Normal 41 3 2 2" xfId="8393" xr:uid="{00000000-0005-0000-0000-0000F4200000}"/>
    <cellStyle name="Normal 41 3 2 2 2" xfId="8394" xr:uid="{00000000-0005-0000-0000-0000F5200000}"/>
    <cellStyle name="Normal 41 3 2 2 2 2" xfId="8395" xr:uid="{00000000-0005-0000-0000-0000F6200000}"/>
    <cellStyle name="Normal 41 3 2 2 3" xfId="8396" xr:uid="{00000000-0005-0000-0000-0000F7200000}"/>
    <cellStyle name="Normal 41 3 2 3" xfId="8397" xr:uid="{00000000-0005-0000-0000-0000F8200000}"/>
    <cellStyle name="Normal 41 3 2 3 2" xfId="8398" xr:uid="{00000000-0005-0000-0000-0000F9200000}"/>
    <cellStyle name="Normal 41 3 2 3 2 2" xfId="8399" xr:uid="{00000000-0005-0000-0000-0000FA200000}"/>
    <cellStyle name="Normal 41 3 2 3 3" xfId="8400" xr:uid="{00000000-0005-0000-0000-0000FB200000}"/>
    <cellStyle name="Normal 41 3 2 4" xfId="8401" xr:uid="{00000000-0005-0000-0000-0000FC200000}"/>
    <cellStyle name="Normal 41 3 2 4 2" xfId="8402" xr:uid="{00000000-0005-0000-0000-0000FD200000}"/>
    <cellStyle name="Normal 41 3 2 5" xfId="8403" xr:uid="{00000000-0005-0000-0000-0000FE200000}"/>
    <cellStyle name="Normal 41 3 2 6" xfId="8404" xr:uid="{00000000-0005-0000-0000-0000FF200000}"/>
    <cellStyle name="Normal 41 3 3" xfId="8405" xr:uid="{00000000-0005-0000-0000-000000210000}"/>
    <cellStyle name="Normal 41 3 3 2" xfId="8406" xr:uid="{00000000-0005-0000-0000-000001210000}"/>
    <cellStyle name="Normal 41 3 3 2 2" xfId="8407" xr:uid="{00000000-0005-0000-0000-000002210000}"/>
    <cellStyle name="Normal 41 3 3 2 2 2" xfId="8408" xr:uid="{00000000-0005-0000-0000-000003210000}"/>
    <cellStyle name="Normal 41 3 3 2 3" xfId="8409" xr:uid="{00000000-0005-0000-0000-000004210000}"/>
    <cellStyle name="Normal 41 3 3 3" xfId="8410" xr:uid="{00000000-0005-0000-0000-000005210000}"/>
    <cellStyle name="Normal 41 3 3 3 2" xfId="8411" xr:uid="{00000000-0005-0000-0000-000006210000}"/>
    <cellStyle name="Normal 41 3 3 4" xfId="8412" xr:uid="{00000000-0005-0000-0000-000007210000}"/>
    <cellStyle name="Normal 41 3 3 5" xfId="8413" xr:uid="{00000000-0005-0000-0000-000008210000}"/>
    <cellStyle name="Normal 41 3 4" xfId="8414" xr:uid="{00000000-0005-0000-0000-000009210000}"/>
    <cellStyle name="Normal 41 3 4 2" xfId="8415" xr:uid="{00000000-0005-0000-0000-00000A210000}"/>
    <cellStyle name="Normal 41 3 4 2 2" xfId="8416" xr:uid="{00000000-0005-0000-0000-00000B210000}"/>
    <cellStyle name="Normal 41 3 4 3" xfId="8417" xr:uid="{00000000-0005-0000-0000-00000C210000}"/>
    <cellStyle name="Normal 41 3 5" xfId="8418" xr:uid="{00000000-0005-0000-0000-00000D210000}"/>
    <cellStyle name="Normal 41 3 5 2" xfId="8419" xr:uid="{00000000-0005-0000-0000-00000E210000}"/>
    <cellStyle name="Normal 41 3 5 2 2" xfId="8420" xr:uid="{00000000-0005-0000-0000-00000F210000}"/>
    <cellStyle name="Normal 41 3 5 3" xfId="8421" xr:uid="{00000000-0005-0000-0000-000010210000}"/>
    <cellStyle name="Normal 41 3 6" xfId="8422" xr:uid="{00000000-0005-0000-0000-000011210000}"/>
    <cellStyle name="Normal 41 3 6 2" xfId="8423" xr:uid="{00000000-0005-0000-0000-000012210000}"/>
    <cellStyle name="Normal 41 3 7" xfId="8424" xr:uid="{00000000-0005-0000-0000-000013210000}"/>
    <cellStyle name="Normal 41 3 8" xfId="8425" xr:uid="{00000000-0005-0000-0000-000014210000}"/>
    <cellStyle name="Normal 41 4" xfId="8426" xr:uid="{00000000-0005-0000-0000-000015210000}"/>
    <cellStyle name="Normal 41 4 2" xfId="8427" xr:uid="{00000000-0005-0000-0000-000016210000}"/>
    <cellStyle name="Normal 41 4 2 2" xfId="8428" xr:uid="{00000000-0005-0000-0000-000017210000}"/>
    <cellStyle name="Normal 41 4 2 2 2" xfId="8429" xr:uid="{00000000-0005-0000-0000-000018210000}"/>
    <cellStyle name="Normal 41 4 2 2 2 2" xfId="8430" xr:uid="{00000000-0005-0000-0000-000019210000}"/>
    <cellStyle name="Normal 41 4 2 2 3" xfId="8431" xr:uid="{00000000-0005-0000-0000-00001A210000}"/>
    <cellStyle name="Normal 41 4 2 3" xfId="8432" xr:uid="{00000000-0005-0000-0000-00001B210000}"/>
    <cellStyle name="Normal 41 4 2 3 2" xfId="8433" xr:uid="{00000000-0005-0000-0000-00001C210000}"/>
    <cellStyle name="Normal 41 4 2 3 2 2" xfId="8434" xr:uid="{00000000-0005-0000-0000-00001D210000}"/>
    <cellStyle name="Normal 41 4 2 3 3" xfId="8435" xr:uid="{00000000-0005-0000-0000-00001E210000}"/>
    <cellStyle name="Normal 41 4 2 4" xfId="8436" xr:uid="{00000000-0005-0000-0000-00001F210000}"/>
    <cellStyle name="Normal 41 4 2 4 2" xfId="8437" xr:uid="{00000000-0005-0000-0000-000020210000}"/>
    <cellStyle name="Normal 41 4 2 5" xfId="8438" xr:uid="{00000000-0005-0000-0000-000021210000}"/>
    <cellStyle name="Normal 41 4 2 6" xfId="8439" xr:uid="{00000000-0005-0000-0000-000022210000}"/>
    <cellStyle name="Normal 41 4 3" xfId="8440" xr:uid="{00000000-0005-0000-0000-000023210000}"/>
    <cellStyle name="Normal 41 4 3 2" xfId="8441" xr:uid="{00000000-0005-0000-0000-000024210000}"/>
    <cellStyle name="Normal 41 4 3 2 2" xfId="8442" xr:uid="{00000000-0005-0000-0000-000025210000}"/>
    <cellStyle name="Normal 41 4 3 2 2 2" xfId="8443" xr:uid="{00000000-0005-0000-0000-000026210000}"/>
    <cellStyle name="Normal 41 4 3 2 3" xfId="8444" xr:uid="{00000000-0005-0000-0000-000027210000}"/>
    <cellStyle name="Normal 41 4 3 3" xfId="8445" xr:uid="{00000000-0005-0000-0000-000028210000}"/>
    <cellStyle name="Normal 41 4 3 3 2" xfId="8446" xr:uid="{00000000-0005-0000-0000-000029210000}"/>
    <cellStyle name="Normal 41 4 3 4" xfId="8447" xr:uid="{00000000-0005-0000-0000-00002A210000}"/>
    <cellStyle name="Normal 41 4 3 5" xfId="8448" xr:uid="{00000000-0005-0000-0000-00002B210000}"/>
    <cellStyle name="Normal 41 4 4" xfId="8449" xr:uid="{00000000-0005-0000-0000-00002C210000}"/>
    <cellStyle name="Normal 41 4 4 2" xfId="8450" xr:uid="{00000000-0005-0000-0000-00002D210000}"/>
    <cellStyle name="Normal 41 4 4 2 2" xfId="8451" xr:uid="{00000000-0005-0000-0000-00002E210000}"/>
    <cellStyle name="Normal 41 4 4 3" xfId="8452" xr:uid="{00000000-0005-0000-0000-00002F210000}"/>
    <cellStyle name="Normal 41 4 5" xfId="8453" xr:uid="{00000000-0005-0000-0000-000030210000}"/>
    <cellStyle name="Normal 41 4 5 2" xfId="8454" xr:uid="{00000000-0005-0000-0000-000031210000}"/>
    <cellStyle name="Normal 41 4 5 2 2" xfId="8455" xr:uid="{00000000-0005-0000-0000-000032210000}"/>
    <cellStyle name="Normal 41 4 5 3" xfId="8456" xr:uid="{00000000-0005-0000-0000-000033210000}"/>
    <cellStyle name="Normal 41 4 6" xfId="8457" xr:uid="{00000000-0005-0000-0000-000034210000}"/>
    <cellStyle name="Normal 41 4 6 2" xfId="8458" xr:uid="{00000000-0005-0000-0000-000035210000}"/>
    <cellStyle name="Normal 41 4 7" xfId="8459" xr:uid="{00000000-0005-0000-0000-000036210000}"/>
    <cellStyle name="Normal 41 4 8" xfId="8460" xr:uid="{00000000-0005-0000-0000-000037210000}"/>
    <cellStyle name="Normal 41 5" xfId="8461" xr:uid="{00000000-0005-0000-0000-000038210000}"/>
    <cellStyle name="Normal 41 5 2" xfId="8462" xr:uid="{00000000-0005-0000-0000-000039210000}"/>
    <cellStyle name="Normal 41 5 2 2" xfId="8463" xr:uid="{00000000-0005-0000-0000-00003A210000}"/>
    <cellStyle name="Normal 41 5 2 2 2" xfId="8464" xr:uid="{00000000-0005-0000-0000-00003B210000}"/>
    <cellStyle name="Normal 41 5 2 2 2 2" xfId="8465" xr:uid="{00000000-0005-0000-0000-00003C210000}"/>
    <cellStyle name="Normal 41 5 2 2 3" xfId="8466" xr:uid="{00000000-0005-0000-0000-00003D210000}"/>
    <cellStyle name="Normal 41 5 2 3" xfId="8467" xr:uid="{00000000-0005-0000-0000-00003E210000}"/>
    <cellStyle name="Normal 41 5 2 3 2" xfId="8468" xr:uid="{00000000-0005-0000-0000-00003F210000}"/>
    <cellStyle name="Normal 41 5 2 3 2 2" xfId="8469" xr:uid="{00000000-0005-0000-0000-000040210000}"/>
    <cellStyle name="Normal 41 5 2 3 3" xfId="8470" xr:uid="{00000000-0005-0000-0000-000041210000}"/>
    <cellStyle name="Normal 41 5 2 4" xfId="8471" xr:uid="{00000000-0005-0000-0000-000042210000}"/>
    <cellStyle name="Normal 41 5 2 4 2" xfId="8472" xr:uid="{00000000-0005-0000-0000-000043210000}"/>
    <cellStyle name="Normal 41 5 2 5" xfId="8473" xr:uid="{00000000-0005-0000-0000-000044210000}"/>
    <cellStyle name="Normal 41 5 2 6" xfId="8474" xr:uid="{00000000-0005-0000-0000-000045210000}"/>
    <cellStyle name="Normal 41 5 3" xfId="8475" xr:uid="{00000000-0005-0000-0000-000046210000}"/>
    <cellStyle name="Normal 41 5 3 2" xfId="8476" xr:uid="{00000000-0005-0000-0000-000047210000}"/>
    <cellStyle name="Normal 41 5 3 2 2" xfId="8477" xr:uid="{00000000-0005-0000-0000-000048210000}"/>
    <cellStyle name="Normal 41 5 3 2 2 2" xfId="8478" xr:uid="{00000000-0005-0000-0000-000049210000}"/>
    <cellStyle name="Normal 41 5 3 2 3" xfId="8479" xr:uid="{00000000-0005-0000-0000-00004A210000}"/>
    <cellStyle name="Normal 41 5 3 3" xfId="8480" xr:uid="{00000000-0005-0000-0000-00004B210000}"/>
    <cellStyle name="Normal 41 5 3 3 2" xfId="8481" xr:uid="{00000000-0005-0000-0000-00004C210000}"/>
    <cellStyle name="Normal 41 5 3 4" xfId="8482" xr:uid="{00000000-0005-0000-0000-00004D210000}"/>
    <cellStyle name="Normal 41 5 3 5" xfId="8483" xr:uid="{00000000-0005-0000-0000-00004E210000}"/>
    <cellStyle name="Normal 41 5 4" xfId="8484" xr:uid="{00000000-0005-0000-0000-00004F210000}"/>
    <cellStyle name="Normal 41 5 4 2" xfId="8485" xr:uid="{00000000-0005-0000-0000-000050210000}"/>
    <cellStyle name="Normal 41 5 4 2 2" xfId="8486" xr:uid="{00000000-0005-0000-0000-000051210000}"/>
    <cellStyle name="Normal 41 5 4 3" xfId="8487" xr:uid="{00000000-0005-0000-0000-000052210000}"/>
    <cellStyle name="Normal 41 5 5" xfId="8488" xr:uid="{00000000-0005-0000-0000-000053210000}"/>
    <cellStyle name="Normal 41 5 5 2" xfId="8489" xr:uid="{00000000-0005-0000-0000-000054210000}"/>
    <cellStyle name="Normal 41 5 5 2 2" xfId="8490" xr:uid="{00000000-0005-0000-0000-000055210000}"/>
    <cellStyle name="Normal 41 5 5 3" xfId="8491" xr:uid="{00000000-0005-0000-0000-000056210000}"/>
    <cellStyle name="Normal 41 5 6" xfId="8492" xr:uid="{00000000-0005-0000-0000-000057210000}"/>
    <cellStyle name="Normal 41 5 6 2" xfId="8493" xr:uid="{00000000-0005-0000-0000-000058210000}"/>
    <cellStyle name="Normal 41 5 7" xfId="8494" xr:uid="{00000000-0005-0000-0000-000059210000}"/>
    <cellStyle name="Normal 41 5 8" xfId="8495" xr:uid="{00000000-0005-0000-0000-00005A210000}"/>
    <cellStyle name="Normal 41 6" xfId="8496" xr:uid="{00000000-0005-0000-0000-00005B210000}"/>
    <cellStyle name="Normal 42" xfId="8497" xr:uid="{00000000-0005-0000-0000-00005C210000}"/>
    <cellStyle name="Normal 42 2" xfId="8498" xr:uid="{00000000-0005-0000-0000-00005D210000}"/>
    <cellStyle name="Normal 42 2 2" xfId="8499" xr:uid="{00000000-0005-0000-0000-00005E210000}"/>
    <cellStyle name="Normal 42 2 2 2" xfId="8500" xr:uid="{00000000-0005-0000-0000-00005F210000}"/>
    <cellStyle name="Normal 42 2 2 2 2" xfId="8501" xr:uid="{00000000-0005-0000-0000-000060210000}"/>
    <cellStyle name="Normal 42 2 2 2 2 2" xfId="8502" xr:uid="{00000000-0005-0000-0000-000061210000}"/>
    <cellStyle name="Normal 42 2 2 2 3" xfId="8503" xr:uid="{00000000-0005-0000-0000-000062210000}"/>
    <cellStyle name="Normal 42 2 2 3" xfId="8504" xr:uid="{00000000-0005-0000-0000-000063210000}"/>
    <cellStyle name="Normal 42 2 2 3 2" xfId="8505" xr:uid="{00000000-0005-0000-0000-000064210000}"/>
    <cellStyle name="Normal 42 2 2 3 2 2" xfId="8506" xr:uid="{00000000-0005-0000-0000-000065210000}"/>
    <cellStyle name="Normal 42 2 2 3 3" xfId="8507" xr:uid="{00000000-0005-0000-0000-000066210000}"/>
    <cellStyle name="Normal 42 2 2 4" xfId="8508" xr:uid="{00000000-0005-0000-0000-000067210000}"/>
    <cellStyle name="Normal 42 2 2 4 2" xfId="8509" xr:uid="{00000000-0005-0000-0000-000068210000}"/>
    <cellStyle name="Normal 42 2 2 5" xfId="8510" xr:uid="{00000000-0005-0000-0000-000069210000}"/>
    <cellStyle name="Normal 42 2 2 6" xfId="8511" xr:uid="{00000000-0005-0000-0000-00006A210000}"/>
    <cellStyle name="Normal 42 2 3" xfId="8512" xr:uid="{00000000-0005-0000-0000-00006B210000}"/>
    <cellStyle name="Normal 42 2 3 2" xfId="8513" xr:uid="{00000000-0005-0000-0000-00006C210000}"/>
    <cellStyle name="Normal 42 2 3 2 2" xfId="8514" xr:uid="{00000000-0005-0000-0000-00006D210000}"/>
    <cellStyle name="Normal 42 2 3 2 2 2" xfId="8515" xr:uid="{00000000-0005-0000-0000-00006E210000}"/>
    <cellStyle name="Normal 42 2 3 2 3" xfId="8516" xr:uid="{00000000-0005-0000-0000-00006F210000}"/>
    <cellStyle name="Normal 42 2 3 3" xfId="8517" xr:uid="{00000000-0005-0000-0000-000070210000}"/>
    <cellStyle name="Normal 42 2 3 3 2" xfId="8518" xr:uid="{00000000-0005-0000-0000-000071210000}"/>
    <cellStyle name="Normal 42 2 3 4" xfId="8519" xr:uid="{00000000-0005-0000-0000-000072210000}"/>
    <cellStyle name="Normal 42 2 3 5" xfId="8520" xr:uid="{00000000-0005-0000-0000-000073210000}"/>
    <cellStyle name="Normal 42 2 4" xfId="8521" xr:uid="{00000000-0005-0000-0000-000074210000}"/>
    <cellStyle name="Normal 42 2 4 2" xfId="8522" xr:uid="{00000000-0005-0000-0000-000075210000}"/>
    <cellStyle name="Normal 42 2 4 2 2" xfId="8523" xr:uid="{00000000-0005-0000-0000-000076210000}"/>
    <cellStyle name="Normal 42 2 4 3" xfId="8524" xr:uid="{00000000-0005-0000-0000-000077210000}"/>
    <cellStyle name="Normal 42 2 5" xfId="8525" xr:uid="{00000000-0005-0000-0000-000078210000}"/>
    <cellStyle name="Normal 42 2 5 2" xfId="8526" xr:uid="{00000000-0005-0000-0000-000079210000}"/>
    <cellStyle name="Normal 42 2 5 2 2" xfId="8527" xr:uid="{00000000-0005-0000-0000-00007A210000}"/>
    <cellStyle name="Normal 42 2 5 3" xfId="8528" xr:uid="{00000000-0005-0000-0000-00007B210000}"/>
    <cellStyle name="Normal 42 2 6" xfId="8529" xr:uid="{00000000-0005-0000-0000-00007C210000}"/>
    <cellStyle name="Normal 42 2 6 2" xfId="8530" xr:uid="{00000000-0005-0000-0000-00007D210000}"/>
    <cellStyle name="Normal 42 2 7" xfId="8531" xr:uid="{00000000-0005-0000-0000-00007E210000}"/>
    <cellStyle name="Normal 42 2 8" xfId="8532" xr:uid="{00000000-0005-0000-0000-00007F210000}"/>
    <cellStyle name="Normal 42 3" xfId="8533" xr:uid="{00000000-0005-0000-0000-000080210000}"/>
    <cellStyle name="Normal 42 3 2" xfId="8534" xr:uid="{00000000-0005-0000-0000-000081210000}"/>
    <cellStyle name="Normal 42 3 2 2" xfId="8535" xr:uid="{00000000-0005-0000-0000-000082210000}"/>
    <cellStyle name="Normal 42 3 2 2 2" xfId="8536" xr:uid="{00000000-0005-0000-0000-000083210000}"/>
    <cellStyle name="Normal 42 3 2 2 2 2" xfId="8537" xr:uid="{00000000-0005-0000-0000-000084210000}"/>
    <cellStyle name="Normal 42 3 2 2 3" xfId="8538" xr:uid="{00000000-0005-0000-0000-000085210000}"/>
    <cellStyle name="Normal 42 3 2 3" xfId="8539" xr:uid="{00000000-0005-0000-0000-000086210000}"/>
    <cellStyle name="Normal 42 3 2 3 2" xfId="8540" xr:uid="{00000000-0005-0000-0000-000087210000}"/>
    <cellStyle name="Normal 42 3 2 3 2 2" xfId="8541" xr:uid="{00000000-0005-0000-0000-000088210000}"/>
    <cellStyle name="Normal 42 3 2 3 3" xfId="8542" xr:uid="{00000000-0005-0000-0000-000089210000}"/>
    <cellStyle name="Normal 42 3 2 4" xfId="8543" xr:uid="{00000000-0005-0000-0000-00008A210000}"/>
    <cellStyle name="Normal 42 3 2 4 2" xfId="8544" xr:uid="{00000000-0005-0000-0000-00008B210000}"/>
    <cellStyle name="Normal 42 3 2 5" xfId="8545" xr:uid="{00000000-0005-0000-0000-00008C210000}"/>
    <cellStyle name="Normal 42 3 2 6" xfId="8546" xr:uid="{00000000-0005-0000-0000-00008D210000}"/>
    <cellStyle name="Normal 42 3 3" xfId="8547" xr:uid="{00000000-0005-0000-0000-00008E210000}"/>
    <cellStyle name="Normal 42 3 3 2" xfId="8548" xr:uid="{00000000-0005-0000-0000-00008F210000}"/>
    <cellStyle name="Normal 42 3 3 2 2" xfId="8549" xr:uid="{00000000-0005-0000-0000-000090210000}"/>
    <cellStyle name="Normal 42 3 3 2 2 2" xfId="8550" xr:uid="{00000000-0005-0000-0000-000091210000}"/>
    <cellStyle name="Normal 42 3 3 2 3" xfId="8551" xr:uid="{00000000-0005-0000-0000-000092210000}"/>
    <cellStyle name="Normal 42 3 3 3" xfId="8552" xr:uid="{00000000-0005-0000-0000-000093210000}"/>
    <cellStyle name="Normal 42 3 3 3 2" xfId="8553" xr:uid="{00000000-0005-0000-0000-000094210000}"/>
    <cellStyle name="Normal 42 3 3 4" xfId="8554" xr:uid="{00000000-0005-0000-0000-000095210000}"/>
    <cellStyle name="Normal 42 3 3 5" xfId="8555" xr:uid="{00000000-0005-0000-0000-000096210000}"/>
    <cellStyle name="Normal 42 3 4" xfId="8556" xr:uid="{00000000-0005-0000-0000-000097210000}"/>
    <cellStyle name="Normal 42 3 4 2" xfId="8557" xr:uid="{00000000-0005-0000-0000-000098210000}"/>
    <cellStyle name="Normal 42 3 4 2 2" xfId="8558" xr:uid="{00000000-0005-0000-0000-000099210000}"/>
    <cellStyle name="Normal 42 3 4 3" xfId="8559" xr:uid="{00000000-0005-0000-0000-00009A210000}"/>
    <cellStyle name="Normal 42 3 5" xfId="8560" xr:uid="{00000000-0005-0000-0000-00009B210000}"/>
    <cellStyle name="Normal 42 3 5 2" xfId="8561" xr:uid="{00000000-0005-0000-0000-00009C210000}"/>
    <cellStyle name="Normal 42 3 5 2 2" xfId="8562" xr:uid="{00000000-0005-0000-0000-00009D210000}"/>
    <cellStyle name="Normal 42 3 5 3" xfId="8563" xr:uid="{00000000-0005-0000-0000-00009E210000}"/>
    <cellStyle name="Normal 42 3 6" xfId="8564" xr:uid="{00000000-0005-0000-0000-00009F210000}"/>
    <cellStyle name="Normal 42 3 6 2" xfId="8565" xr:uid="{00000000-0005-0000-0000-0000A0210000}"/>
    <cellStyle name="Normal 42 3 7" xfId="8566" xr:uid="{00000000-0005-0000-0000-0000A1210000}"/>
    <cellStyle name="Normal 42 3 8" xfId="8567" xr:uid="{00000000-0005-0000-0000-0000A2210000}"/>
    <cellStyle name="Normal 42 4" xfId="8568" xr:uid="{00000000-0005-0000-0000-0000A3210000}"/>
    <cellStyle name="Normal 42 4 2" xfId="8569" xr:uid="{00000000-0005-0000-0000-0000A4210000}"/>
    <cellStyle name="Normal 42 4 2 2" xfId="8570" xr:uid="{00000000-0005-0000-0000-0000A5210000}"/>
    <cellStyle name="Normal 42 4 2 2 2" xfId="8571" xr:uid="{00000000-0005-0000-0000-0000A6210000}"/>
    <cellStyle name="Normal 42 4 2 2 2 2" xfId="8572" xr:uid="{00000000-0005-0000-0000-0000A7210000}"/>
    <cellStyle name="Normal 42 4 2 2 3" xfId="8573" xr:uid="{00000000-0005-0000-0000-0000A8210000}"/>
    <cellStyle name="Normal 42 4 2 3" xfId="8574" xr:uid="{00000000-0005-0000-0000-0000A9210000}"/>
    <cellStyle name="Normal 42 4 2 3 2" xfId="8575" xr:uid="{00000000-0005-0000-0000-0000AA210000}"/>
    <cellStyle name="Normal 42 4 2 3 2 2" xfId="8576" xr:uid="{00000000-0005-0000-0000-0000AB210000}"/>
    <cellStyle name="Normal 42 4 2 3 3" xfId="8577" xr:uid="{00000000-0005-0000-0000-0000AC210000}"/>
    <cellStyle name="Normal 42 4 2 4" xfId="8578" xr:uid="{00000000-0005-0000-0000-0000AD210000}"/>
    <cellStyle name="Normal 42 4 2 4 2" xfId="8579" xr:uid="{00000000-0005-0000-0000-0000AE210000}"/>
    <cellStyle name="Normal 42 4 2 5" xfId="8580" xr:uid="{00000000-0005-0000-0000-0000AF210000}"/>
    <cellStyle name="Normal 42 4 2 6" xfId="8581" xr:uid="{00000000-0005-0000-0000-0000B0210000}"/>
    <cellStyle name="Normal 42 4 3" xfId="8582" xr:uid="{00000000-0005-0000-0000-0000B1210000}"/>
    <cellStyle name="Normal 42 4 3 2" xfId="8583" xr:uid="{00000000-0005-0000-0000-0000B2210000}"/>
    <cellStyle name="Normal 42 4 3 2 2" xfId="8584" xr:uid="{00000000-0005-0000-0000-0000B3210000}"/>
    <cellStyle name="Normal 42 4 3 2 2 2" xfId="8585" xr:uid="{00000000-0005-0000-0000-0000B4210000}"/>
    <cellStyle name="Normal 42 4 3 2 3" xfId="8586" xr:uid="{00000000-0005-0000-0000-0000B5210000}"/>
    <cellStyle name="Normal 42 4 3 3" xfId="8587" xr:uid="{00000000-0005-0000-0000-0000B6210000}"/>
    <cellStyle name="Normal 42 4 3 3 2" xfId="8588" xr:uid="{00000000-0005-0000-0000-0000B7210000}"/>
    <cellStyle name="Normal 42 4 3 4" xfId="8589" xr:uid="{00000000-0005-0000-0000-0000B8210000}"/>
    <cellStyle name="Normal 42 4 3 5" xfId="8590" xr:uid="{00000000-0005-0000-0000-0000B9210000}"/>
    <cellStyle name="Normal 42 4 4" xfId="8591" xr:uid="{00000000-0005-0000-0000-0000BA210000}"/>
    <cellStyle name="Normal 42 4 4 2" xfId="8592" xr:uid="{00000000-0005-0000-0000-0000BB210000}"/>
    <cellStyle name="Normal 42 4 4 2 2" xfId="8593" xr:uid="{00000000-0005-0000-0000-0000BC210000}"/>
    <cellStyle name="Normal 42 4 4 3" xfId="8594" xr:uid="{00000000-0005-0000-0000-0000BD210000}"/>
    <cellStyle name="Normal 42 4 5" xfId="8595" xr:uid="{00000000-0005-0000-0000-0000BE210000}"/>
    <cellStyle name="Normal 42 4 5 2" xfId="8596" xr:uid="{00000000-0005-0000-0000-0000BF210000}"/>
    <cellStyle name="Normal 42 4 5 2 2" xfId="8597" xr:uid="{00000000-0005-0000-0000-0000C0210000}"/>
    <cellStyle name="Normal 42 4 5 3" xfId="8598" xr:uid="{00000000-0005-0000-0000-0000C1210000}"/>
    <cellStyle name="Normal 42 4 6" xfId="8599" xr:uid="{00000000-0005-0000-0000-0000C2210000}"/>
    <cellStyle name="Normal 42 4 6 2" xfId="8600" xr:uid="{00000000-0005-0000-0000-0000C3210000}"/>
    <cellStyle name="Normal 42 4 7" xfId="8601" xr:uid="{00000000-0005-0000-0000-0000C4210000}"/>
    <cellStyle name="Normal 42 4 8" xfId="8602" xr:uid="{00000000-0005-0000-0000-0000C5210000}"/>
    <cellStyle name="Normal 43" xfId="8603" xr:uid="{00000000-0005-0000-0000-0000C6210000}"/>
    <cellStyle name="Normal 44" xfId="8604" xr:uid="{00000000-0005-0000-0000-0000C7210000}"/>
    <cellStyle name="Normal 44 2" xfId="8605" xr:uid="{00000000-0005-0000-0000-0000C8210000}"/>
    <cellStyle name="Normal 44 2 2" xfId="8606" xr:uid="{00000000-0005-0000-0000-0000C9210000}"/>
    <cellStyle name="Normal 44 2 2 2" xfId="8607" xr:uid="{00000000-0005-0000-0000-0000CA210000}"/>
    <cellStyle name="Normal 44 2 2 2 2" xfId="8608" xr:uid="{00000000-0005-0000-0000-0000CB210000}"/>
    <cellStyle name="Normal 44 2 2 2 2 2" xfId="8609" xr:uid="{00000000-0005-0000-0000-0000CC210000}"/>
    <cellStyle name="Normal 44 2 2 2 3" xfId="8610" xr:uid="{00000000-0005-0000-0000-0000CD210000}"/>
    <cellStyle name="Normal 44 2 2 3" xfId="8611" xr:uid="{00000000-0005-0000-0000-0000CE210000}"/>
    <cellStyle name="Normal 44 2 2 3 2" xfId="8612" xr:uid="{00000000-0005-0000-0000-0000CF210000}"/>
    <cellStyle name="Normal 44 2 2 3 2 2" xfId="8613" xr:uid="{00000000-0005-0000-0000-0000D0210000}"/>
    <cellStyle name="Normal 44 2 2 3 3" xfId="8614" xr:uid="{00000000-0005-0000-0000-0000D1210000}"/>
    <cellStyle name="Normal 44 2 2 4" xfId="8615" xr:uid="{00000000-0005-0000-0000-0000D2210000}"/>
    <cellStyle name="Normal 44 2 2 4 2" xfId="8616" xr:uid="{00000000-0005-0000-0000-0000D3210000}"/>
    <cellStyle name="Normal 44 2 2 5" xfId="8617" xr:uid="{00000000-0005-0000-0000-0000D4210000}"/>
    <cellStyle name="Normal 44 2 2 6" xfId="8618" xr:uid="{00000000-0005-0000-0000-0000D5210000}"/>
    <cellStyle name="Normal 44 2 3" xfId="8619" xr:uid="{00000000-0005-0000-0000-0000D6210000}"/>
    <cellStyle name="Normal 44 2 3 2" xfId="8620" xr:uid="{00000000-0005-0000-0000-0000D7210000}"/>
    <cellStyle name="Normal 44 2 3 2 2" xfId="8621" xr:uid="{00000000-0005-0000-0000-0000D8210000}"/>
    <cellStyle name="Normal 44 2 3 2 2 2" xfId="8622" xr:uid="{00000000-0005-0000-0000-0000D9210000}"/>
    <cellStyle name="Normal 44 2 3 2 3" xfId="8623" xr:uid="{00000000-0005-0000-0000-0000DA210000}"/>
    <cellStyle name="Normal 44 2 3 3" xfId="8624" xr:uid="{00000000-0005-0000-0000-0000DB210000}"/>
    <cellStyle name="Normal 44 2 3 3 2" xfId="8625" xr:uid="{00000000-0005-0000-0000-0000DC210000}"/>
    <cellStyle name="Normal 44 2 3 4" xfId="8626" xr:uid="{00000000-0005-0000-0000-0000DD210000}"/>
    <cellStyle name="Normal 44 2 3 5" xfId="8627" xr:uid="{00000000-0005-0000-0000-0000DE210000}"/>
    <cellStyle name="Normal 44 2 4" xfId="8628" xr:uid="{00000000-0005-0000-0000-0000DF210000}"/>
    <cellStyle name="Normal 44 2 4 2" xfId="8629" xr:uid="{00000000-0005-0000-0000-0000E0210000}"/>
    <cellStyle name="Normal 44 2 4 2 2" xfId="8630" xr:uid="{00000000-0005-0000-0000-0000E1210000}"/>
    <cellStyle name="Normal 44 2 4 3" xfId="8631" xr:uid="{00000000-0005-0000-0000-0000E2210000}"/>
    <cellStyle name="Normal 44 2 5" xfId="8632" xr:uid="{00000000-0005-0000-0000-0000E3210000}"/>
    <cellStyle name="Normal 44 2 5 2" xfId="8633" xr:uid="{00000000-0005-0000-0000-0000E4210000}"/>
    <cellStyle name="Normal 44 2 5 2 2" xfId="8634" xr:uid="{00000000-0005-0000-0000-0000E5210000}"/>
    <cellStyle name="Normal 44 2 5 3" xfId="8635" xr:uid="{00000000-0005-0000-0000-0000E6210000}"/>
    <cellStyle name="Normal 44 2 6" xfId="8636" xr:uid="{00000000-0005-0000-0000-0000E7210000}"/>
    <cellStyle name="Normal 44 2 6 2" xfId="8637" xr:uid="{00000000-0005-0000-0000-0000E8210000}"/>
    <cellStyle name="Normal 44 2 7" xfId="8638" xr:uid="{00000000-0005-0000-0000-0000E9210000}"/>
    <cellStyle name="Normal 44 2 8" xfId="8639" xr:uid="{00000000-0005-0000-0000-0000EA210000}"/>
    <cellStyle name="Normal 44 3" xfId="8640" xr:uid="{00000000-0005-0000-0000-0000EB210000}"/>
    <cellStyle name="Normal 45" xfId="8641" xr:uid="{00000000-0005-0000-0000-0000EC210000}"/>
    <cellStyle name="Normal 46" xfId="8642" xr:uid="{00000000-0005-0000-0000-0000ED210000}"/>
    <cellStyle name="Normal 47" xfId="8643" xr:uid="{00000000-0005-0000-0000-0000EE210000}"/>
    <cellStyle name="Normal 48" xfId="8644" xr:uid="{00000000-0005-0000-0000-0000EF210000}"/>
    <cellStyle name="Normal 49" xfId="8645" xr:uid="{00000000-0005-0000-0000-0000F0210000}"/>
    <cellStyle name="Normal 49 2" xfId="8646" xr:uid="{00000000-0005-0000-0000-0000F1210000}"/>
    <cellStyle name="Normal 49 2 2" xfId="8647" xr:uid="{00000000-0005-0000-0000-0000F2210000}"/>
    <cellStyle name="Normal 49 2 2 2" xfId="8648" xr:uid="{00000000-0005-0000-0000-0000F3210000}"/>
    <cellStyle name="Normal 49 2 2 2 2" xfId="8649" xr:uid="{00000000-0005-0000-0000-0000F4210000}"/>
    <cellStyle name="Normal 49 2 2 3" xfId="8650" xr:uid="{00000000-0005-0000-0000-0000F5210000}"/>
    <cellStyle name="Normal 49 2 3" xfId="8651" xr:uid="{00000000-0005-0000-0000-0000F6210000}"/>
    <cellStyle name="Normal 49 2 3 2" xfId="8652" xr:uid="{00000000-0005-0000-0000-0000F7210000}"/>
    <cellStyle name="Normal 49 2 3 2 2" xfId="8653" xr:uid="{00000000-0005-0000-0000-0000F8210000}"/>
    <cellStyle name="Normal 49 2 3 3" xfId="8654" xr:uid="{00000000-0005-0000-0000-0000F9210000}"/>
    <cellStyle name="Normal 49 2 4" xfId="8655" xr:uid="{00000000-0005-0000-0000-0000FA210000}"/>
    <cellStyle name="Normal 49 2 4 2" xfId="8656" xr:uid="{00000000-0005-0000-0000-0000FB210000}"/>
    <cellStyle name="Normal 49 2 5" xfId="8657" xr:uid="{00000000-0005-0000-0000-0000FC210000}"/>
    <cellStyle name="Normal 49 2 6" xfId="8658" xr:uid="{00000000-0005-0000-0000-0000FD210000}"/>
    <cellStyle name="Normal 49 3" xfId="8659" xr:uid="{00000000-0005-0000-0000-0000FE210000}"/>
    <cellStyle name="Normal 49 3 2" xfId="8660" xr:uid="{00000000-0005-0000-0000-0000FF210000}"/>
    <cellStyle name="Normal 49 3 2 2" xfId="8661" xr:uid="{00000000-0005-0000-0000-000000220000}"/>
    <cellStyle name="Normal 49 3 2 2 2" xfId="8662" xr:uid="{00000000-0005-0000-0000-000001220000}"/>
    <cellStyle name="Normal 49 3 2 3" xfId="8663" xr:uid="{00000000-0005-0000-0000-000002220000}"/>
    <cellStyle name="Normal 49 3 3" xfId="8664" xr:uid="{00000000-0005-0000-0000-000003220000}"/>
    <cellStyle name="Normal 49 3 3 2" xfId="8665" xr:uid="{00000000-0005-0000-0000-000004220000}"/>
    <cellStyle name="Normal 49 3 4" xfId="8666" xr:uid="{00000000-0005-0000-0000-000005220000}"/>
    <cellStyle name="Normal 49 3 5" xfId="8667" xr:uid="{00000000-0005-0000-0000-000006220000}"/>
    <cellStyle name="Normal 49 4" xfId="8668" xr:uid="{00000000-0005-0000-0000-000007220000}"/>
    <cellStyle name="Normal 49 4 2" xfId="8669" xr:uid="{00000000-0005-0000-0000-000008220000}"/>
    <cellStyle name="Normal 49 4 2 2" xfId="8670" xr:uid="{00000000-0005-0000-0000-000009220000}"/>
    <cellStyle name="Normal 49 4 3" xfId="8671" xr:uid="{00000000-0005-0000-0000-00000A220000}"/>
    <cellStyle name="Normal 49 5" xfId="8672" xr:uid="{00000000-0005-0000-0000-00000B220000}"/>
    <cellStyle name="Normal 49 5 2" xfId="8673" xr:uid="{00000000-0005-0000-0000-00000C220000}"/>
    <cellStyle name="Normal 49 5 2 2" xfId="8674" xr:uid="{00000000-0005-0000-0000-00000D220000}"/>
    <cellStyle name="Normal 49 5 3" xfId="8675" xr:uid="{00000000-0005-0000-0000-00000E220000}"/>
    <cellStyle name="Normal 49 6" xfId="8676" xr:uid="{00000000-0005-0000-0000-00000F220000}"/>
    <cellStyle name="Normal 49 6 2" xfId="8677" xr:uid="{00000000-0005-0000-0000-000010220000}"/>
    <cellStyle name="Normal 49 7" xfId="8678" xr:uid="{00000000-0005-0000-0000-000011220000}"/>
    <cellStyle name="Normal 49 8" xfId="8679" xr:uid="{00000000-0005-0000-0000-000012220000}"/>
    <cellStyle name="Normal 5" xfId="8680" xr:uid="{00000000-0005-0000-0000-000013220000}"/>
    <cellStyle name="Normal 5 10" xfId="8681" xr:uid="{00000000-0005-0000-0000-000014220000}"/>
    <cellStyle name="Normal 5 10 2" xfId="8682" xr:uid="{00000000-0005-0000-0000-000015220000}"/>
    <cellStyle name="Normal 5 10 2 2" xfId="8683" xr:uid="{00000000-0005-0000-0000-000016220000}"/>
    <cellStyle name="Normal 5 10 2 2 2" xfId="8684" xr:uid="{00000000-0005-0000-0000-000017220000}"/>
    <cellStyle name="Normal 5 10 2 3" xfId="8685" xr:uid="{00000000-0005-0000-0000-000018220000}"/>
    <cellStyle name="Normal 5 10 3" xfId="8686" xr:uid="{00000000-0005-0000-0000-000019220000}"/>
    <cellStyle name="Normal 5 10 3 2" xfId="8687" xr:uid="{00000000-0005-0000-0000-00001A220000}"/>
    <cellStyle name="Normal 5 10 3 2 2" xfId="8688" xr:uid="{00000000-0005-0000-0000-00001B220000}"/>
    <cellStyle name="Normal 5 10 3 3" xfId="8689" xr:uid="{00000000-0005-0000-0000-00001C220000}"/>
    <cellStyle name="Normal 5 10 4" xfId="8690" xr:uid="{00000000-0005-0000-0000-00001D220000}"/>
    <cellStyle name="Normal 5 10 4 2" xfId="8691" xr:uid="{00000000-0005-0000-0000-00001E220000}"/>
    <cellStyle name="Normal 5 10 5" xfId="8692" xr:uid="{00000000-0005-0000-0000-00001F220000}"/>
    <cellStyle name="Normal 5 10 6" xfId="8693" xr:uid="{00000000-0005-0000-0000-000020220000}"/>
    <cellStyle name="Normal 5 11" xfId="8694" xr:uid="{00000000-0005-0000-0000-000021220000}"/>
    <cellStyle name="Normal 5 11 2" xfId="8695" xr:uid="{00000000-0005-0000-0000-000022220000}"/>
    <cellStyle name="Normal 5 11 2 2" xfId="8696" xr:uid="{00000000-0005-0000-0000-000023220000}"/>
    <cellStyle name="Normal 5 11 2 2 2" xfId="8697" xr:uid="{00000000-0005-0000-0000-000024220000}"/>
    <cellStyle name="Normal 5 11 2 3" xfId="8698" xr:uid="{00000000-0005-0000-0000-000025220000}"/>
    <cellStyle name="Normal 5 11 3" xfId="8699" xr:uid="{00000000-0005-0000-0000-000026220000}"/>
    <cellStyle name="Normal 5 11 3 2" xfId="8700" xr:uid="{00000000-0005-0000-0000-000027220000}"/>
    <cellStyle name="Normal 5 11 4" xfId="8701" xr:uid="{00000000-0005-0000-0000-000028220000}"/>
    <cellStyle name="Normal 5 11 5" xfId="8702" xr:uid="{00000000-0005-0000-0000-000029220000}"/>
    <cellStyle name="Normal 5 12" xfId="8703" xr:uid="{00000000-0005-0000-0000-00002A220000}"/>
    <cellStyle name="Normal 5 12 2" xfId="8704" xr:uid="{00000000-0005-0000-0000-00002B220000}"/>
    <cellStyle name="Normal 5 12 2 2" xfId="8705" xr:uid="{00000000-0005-0000-0000-00002C220000}"/>
    <cellStyle name="Normal 5 12 3" xfId="8706" xr:uid="{00000000-0005-0000-0000-00002D220000}"/>
    <cellStyle name="Normal 5 13" xfId="8707" xr:uid="{00000000-0005-0000-0000-00002E220000}"/>
    <cellStyle name="Normal 5 13 2" xfId="8708" xr:uid="{00000000-0005-0000-0000-00002F220000}"/>
    <cellStyle name="Normal 5 14" xfId="8709" xr:uid="{00000000-0005-0000-0000-000030220000}"/>
    <cellStyle name="Normal 5 2" xfId="8710" xr:uid="{00000000-0005-0000-0000-000031220000}"/>
    <cellStyle name="Normal 5 2 10" xfId="8711" xr:uid="{00000000-0005-0000-0000-000032220000}"/>
    <cellStyle name="Normal 5 2 2" xfId="8712" xr:uid="{00000000-0005-0000-0000-000033220000}"/>
    <cellStyle name="Normal 5 2 2 10" xfId="8713" xr:uid="{00000000-0005-0000-0000-000034220000}"/>
    <cellStyle name="Normal 5 2 2 2" xfId="8714" xr:uid="{00000000-0005-0000-0000-000035220000}"/>
    <cellStyle name="Normal 5 2 2 3" xfId="8715" xr:uid="{00000000-0005-0000-0000-000036220000}"/>
    <cellStyle name="Normal 5 2 2 3 2" xfId="8716" xr:uid="{00000000-0005-0000-0000-000037220000}"/>
    <cellStyle name="Normal 5 2 2 3 2 2" xfId="8717" xr:uid="{00000000-0005-0000-0000-000038220000}"/>
    <cellStyle name="Normal 5 2 2 3 2 2 2" xfId="8718" xr:uid="{00000000-0005-0000-0000-000039220000}"/>
    <cellStyle name="Normal 5 2 2 3 2 2 2 2" xfId="8719" xr:uid="{00000000-0005-0000-0000-00003A220000}"/>
    <cellStyle name="Normal 5 2 2 3 2 2 3" xfId="8720" xr:uid="{00000000-0005-0000-0000-00003B220000}"/>
    <cellStyle name="Normal 5 2 2 3 2 3" xfId="8721" xr:uid="{00000000-0005-0000-0000-00003C220000}"/>
    <cellStyle name="Normal 5 2 2 3 2 3 2" xfId="8722" xr:uid="{00000000-0005-0000-0000-00003D220000}"/>
    <cellStyle name="Normal 5 2 2 3 2 3 2 2" xfId="8723" xr:uid="{00000000-0005-0000-0000-00003E220000}"/>
    <cellStyle name="Normal 5 2 2 3 2 3 3" xfId="8724" xr:uid="{00000000-0005-0000-0000-00003F220000}"/>
    <cellStyle name="Normal 5 2 2 3 2 4" xfId="8725" xr:uid="{00000000-0005-0000-0000-000040220000}"/>
    <cellStyle name="Normal 5 2 2 3 2 4 2" xfId="8726" xr:uid="{00000000-0005-0000-0000-000041220000}"/>
    <cellStyle name="Normal 5 2 2 3 2 5" xfId="8727" xr:uid="{00000000-0005-0000-0000-000042220000}"/>
    <cellStyle name="Normal 5 2 2 3 2 6" xfId="8728" xr:uid="{00000000-0005-0000-0000-000043220000}"/>
    <cellStyle name="Normal 5 2 2 3 3" xfId="8729" xr:uid="{00000000-0005-0000-0000-000044220000}"/>
    <cellStyle name="Normal 5 2 2 3 3 2" xfId="8730" xr:uid="{00000000-0005-0000-0000-000045220000}"/>
    <cellStyle name="Normal 5 2 2 3 3 2 2" xfId="8731" xr:uid="{00000000-0005-0000-0000-000046220000}"/>
    <cellStyle name="Normal 5 2 2 3 3 3" xfId="8732" xr:uid="{00000000-0005-0000-0000-000047220000}"/>
    <cellStyle name="Normal 5 2 2 3 4" xfId="8733" xr:uid="{00000000-0005-0000-0000-000048220000}"/>
    <cellStyle name="Normal 5 2 2 3 4 2" xfId="8734" xr:uid="{00000000-0005-0000-0000-000049220000}"/>
    <cellStyle name="Normal 5 2 2 3 4 2 2" xfId="8735" xr:uid="{00000000-0005-0000-0000-00004A220000}"/>
    <cellStyle name="Normal 5 2 2 3 4 3" xfId="8736" xr:uid="{00000000-0005-0000-0000-00004B220000}"/>
    <cellStyle name="Normal 5 2 2 3 5" xfId="8737" xr:uid="{00000000-0005-0000-0000-00004C220000}"/>
    <cellStyle name="Normal 5 2 2 3 5 2" xfId="8738" xr:uid="{00000000-0005-0000-0000-00004D220000}"/>
    <cellStyle name="Normal 5 2 2 3 5 2 2" xfId="8739" xr:uid="{00000000-0005-0000-0000-00004E220000}"/>
    <cellStyle name="Normal 5 2 2 3 5 3" xfId="8740" xr:uid="{00000000-0005-0000-0000-00004F220000}"/>
    <cellStyle name="Normal 5 2 2 3 6" xfId="8741" xr:uid="{00000000-0005-0000-0000-000050220000}"/>
    <cellStyle name="Normal 5 2 2 3 6 2" xfId="8742" xr:uid="{00000000-0005-0000-0000-000051220000}"/>
    <cellStyle name="Normal 5 2 2 3 7" xfId="8743" xr:uid="{00000000-0005-0000-0000-000052220000}"/>
    <cellStyle name="Normal 5 2 2 3 8" xfId="8744" xr:uid="{00000000-0005-0000-0000-000053220000}"/>
    <cellStyle name="Normal 5 2 2 4" xfId="8745" xr:uid="{00000000-0005-0000-0000-000054220000}"/>
    <cellStyle name="Normal 5 2 2 4 2" xfId="8746" xr:uid="{00000000-0005-0000-0000-000055220000}"/>
    <cellStyle name="Normal 5 2 2 4 2 2" xfId="8747" xr:uid="{00000000-0005-0000-0000-000056220000}"/>
    <cellStyle name="Normal 5 2 2 4 2 2 2" xfId="8748" xr:uid="{00000000-0005-0000-0000-000057220000}"/>
    <cellStyle name="Normal 5 2 2 4 2 3" xfId="8749" xr:uid="{00000000-0005-0000-0000-000058220000}"/>
    <cellStyle name="Normal 5 2 2 4 3" xfId="8750" xr:uid="{00000000-0005-0000-0000-000059220000}"/>
    <cellStyle name="Normal 5 2 2 4 3 2" xfId="8751" xr:uid="{00000000-0005-0000-0000-00005A220000}"/>
    <cellStyle name="Normal 5 2 2 4 3 2 2" xfId="8752" xr:uid="{00000000-0005-0000-0000-00005B220000}"/>
    <cellStyle name="Normal 5 2 2 4 3 3" xfId="8753" xr:uid="{00000000-0005-0000-0000-00005C220000}"/>
    <cellStyle name="Normal 5 2 2 4 4" xfId="8754" xr:uid="{00000000-0005-0000-0000-00005D220000}"/>
    <cellStyle name="Normal 5 2 2 4 4 2" xfId="8755" xr:uid="{00000000-0005-0000-0000-00005E220000}"/>
    <cellStyle name="Normal 5 2 2 4 5" xfId="8756" xr:uid="{00000000-0005-0000-0000-00005F220000}"/>
    <cellStyle name="Normal 5 2 2 4 6" xfId="8757" xr:uid="{00000000-0005-0000-0000-000060220000}"/>
    <cellStyle name="Normal 5 2 2 5" xfId="8758" xr:uid="{00000000-0005-0000-0000-000061220000}"/>
    <cellStyle name="Normal 5 2 2 5 2" xfId="8759" xr:uid="{00000000-0005-0000-0000-000062220000}"/>
    <cellStyle name="Normal 5 2 2 5 2 2" xfId="8760" xr:uid="{00000000-0005-0000-0000-000063220000}"/>
    <cellStyle name="Normal 5 2 2 5 2 2 2" xfId="8761" xr:uid="{00000000-0005-0000-0000-000064220000}"/>
    <cellStyle name="Normal 5 2 2 5 2 3" xfId="8762" xr:uid="{00000000-0005-0000-0000-000065220000}"/>
    <cellStyle name="Normal 5 2 2 5 3" xfId="8763" xr:uid="{00000000-0005-0000-0000-000066220000}"/>
    <cellStyle name="Normal 5 2 2 5 3 2" xfId="8764" xr:uid="{00000000-0005-0000-0000-000067220000}"/>
    <cellStyle name="Normal 5 2 2 5 4" xfId="8765" xr:uid="{00000000-0005-0000-0000-000068220000}"/>
    <cellStyle name="Normal 5 2 2 5 5" xfId="8766" xr:uid="{00000000-0005-0000-0000-000069220000}"/>
    <cellStyle name="Normal 5 2 2 6" xfId="8767" xr:uid="{00000000-0005-0000-0000-00006A220000}"/>
    <cellStyle name="Normal 5 2 2 6 2" xfId="8768" xr:uid="{00000000-0005-0000-0000-00006B220000}"/>
    <cellStyle name="Normal 5 2 2 6 2 2" xfId="8769" xr:uid="{00000000-0005-0000-0000-00006C220000}"/>
    <cellStyle name="Normal 5 2 2 6 3" xfId="8770" xr:uid="{00000000-0005-0000-0000-00006D220000}"/>
    <cellStyle name="Normal 5 2 2 7" xfId="8771" xr:uid="{00000000-0005-0000-0000-00006E220000}"/>
    <cellStyle name="Normal 5 2 2 7 2" xfId="8772" xr:uid="{00000000-0005-0000-0000-00006F220000}"/>
    <cellStyle name="Normal 5 2 2 7 2 2" xfId="8773" xr:uid="{00000000-0005-0000-0000-000070220000}"/>
    <cellStyle name="Normal 5 2 2 7 3" xfId="8774" xr:uid="{00000000-0005-0000-0000-000071220000}"/>
    <cellStyle name="Normal 5 2 2 8" xfId="8775" xr:uid="{00000000-0005-0000-0000-000072220000}"/>
    <cellStyle name="Normal 5 2 2 8 2" xfId="8776" xr:uid="{00000000-0005-0000-0000-000073220000}"/>
    <cellStyle name="Normal 5 2 2 9" xfId="8777" xr:uid="{00000000-0005-0000-0000-000074220000}"/>
    <cellStyle name="Normal 5 2 3" xfId="8778" xr:uid="{00000000-0005-0000-0000-000075220000}"/>
    <cellStyle name="Normal 5 2 4" xfId="8779" xr:uid="{00000000-0005-0000-0000-000076220000}"/>
    <cellStyle name="Normal 5 2 5" xfId="8780" xr:uid="{00000000-0005-0000-0000-000077220000}"/>
    <cellStyle name="Normal 5 2 6" xfId="8781" xr:uid="{00000000-0005-0000-0000-000078220000}"/>
    <cellStyle name="Normal 5 2 6 2" xfId="8782" xr:uid="{00000000-0005-0000-0000-000079220000}"/>
    <cellStyle name="Normal 5 2 6 2 2" xfId="8783" xr:uid="{00000000-0005-0000-0000-00007A220000}"/>
    <cellStyle name="Normal 5 2 6 2 2 2" xfId="8784" xr:uid="{00000000-0005-0000-0000-00007B220000}"/>
    <cellStyle name="Normal 5 2 6 2 3" xfId="8785" xr:uid="{00000000-0005-0000-0000-00007C220000}"/>
    <cellStyle name="Normal 5 2 6 3" xfId="8786" xr:uid="{00000000-0005-0000-0000-00007D220000}"/>
    <cellStyle name="Normal 5 2 6 3 2" xfId="8787" xr:uid="{00000000-0005-0000-0000-00007E220000}"/>
    <cellStyle name="Normal 5 2 6 3 2 2" xfId="8788" xr:uid="{00000000-0005-0000-0000-00007F220000}"/>
    <cellStyle name="Normal 5 2 6 3 3" xfId="8789" xr:uid="{00000000-0005-0000-0000-000080220000}"/>
    <cellStyle name="Normal 5 2 6 4" xfId="8790" xr:uid="{00000000-0005-0000-0000-000081220000}"/>
    <cellStyle name="Normal 5 2 6 4 2" xfId="8791" xr:uid="{00000000-0005-0000-0000-000082220000}"/>
    <cellStyle name="Normal 5 2 6 5" xfId="8792" xr:uid="{00000000-0005-0000-0000-000083220000}"/>
    <cellStyle name="Normal 5 2 6 6" xfId="8793" xr:uid="{00000000-0005-0000-0000-000084220000}"/>
    <cellStyle name="Normal 5 2 7" xfId="8794" xr:uid="{00000000-0005-0000-0000-000085220000}"/>
    <cellStyle name="Normal 5 2 7 2" xfId="8795" xr:uid="{00000000-0005-0000-0000-000086220000}"/>
    <cellStyle name="Normal 5 2 7 2 2" xfId="8796" xr:uid="{00000000-0005-0000-0000-000087220000}"/>
    <cellStyle name="Normal 5 2 7 2 2 2" xfId="8797" xr:uid="{00000000-0005-0000-0000-000088220000}"/>
    <cellStyle name="Normal 5 2 7 2 3" xfId="8798" xr:uid="{00000000-0005-0000-0000-000089220000}"/>
    <cellStyle name="Normal 5 2 7 3" xfId="8799" xr:uid="{00000000-0005-0000-0000-00008A220000}"/>
    <cellStyle name="Normal 5 2 7 3 2" xfId="8800" xr:uid="{00000000-0005-0000-0000-00008B220000}"/>
    <cellStyle name="Normal 5 2 7 4" xfId="8801" xr:uid="{00000000-0005-0000-0000-00008C220000}"/>
    <cellStyle name="Normal 5 2 7 5" xfId="8802" xr:uid="{00000000-0005-0000-0000-00008D220000}"/>
    <cellStyle name="Normal 5 2 8" xfId="8803" xr:uid="{00000000-0005-0000-0000-00008E220000}"/>
    <cellStyle name="Normal 5 2 8 2" xfId="8804" xr:uid="{00000000-0005-0000-0000-00008F220000}"/>
    <cellStyle name="Normal 5 2 8 2 2" xfId="8805" xr:uid="{00000000-0005-0000-0000-000090220000}"/>
    <cellStyle name="Normal 5 2 8 3" xfId="8806" xr:uid="{00000000-0005-0000-0000-000091220000}"/>
    <cellStyle name="Normal 5 2 9" xfId="8807" xr:uid="{00000000-0005-0000-0000-000092220000}"/>
    <cellStyle name="Normal 5 2 9 2" xfId="8808" xr:uid="{00000000-0005-0000-0000-000093220000}"/>
    <cellStyle name="Normal 5 3" xfId="8809" xr:uid="{00000000-0005-0000-0000-000094220000}"/>
    <cellStyle name="Normal 5 3 2" xfId="8810" xr:uid="{00000000-0005-0000-0000-000095220000}"/>
    <cellStyle name="Normal 5 3 3" xfId="8811" xr:uid="{00000000-0005-0000-0000-000096220000}"/>
    <cellStyle name="Normal 5 3 4" xfId="8812" xr:uid="{00000000-0005-0000-0000-000097220000}"/>
    <cellStyle name="Normal 5 4" xfId="8813" xr:uid="{00000000-0005-0000-0000-000098220000}"/>
    <cellStyle name="Normal 5 4 2" xfId="8814" xr:uid="{00000000-0005-0000-0000-000099220000}"/>
    <cellStyle name="Normal 5 4 3" xfId="8815" xr:uid="{00000000-0005-0000-0000-00009A220000}"/>
    <cellStyle name="Normal 5 4 4" xfId="8816" xr:uid="{00000000-0005-0000-0000-00009B220000}"/>
    <cellStyle name="Normal 5 5" xfId="8817" xr:uid="{00000000-0005-0000-0000-00009C220000}"/>
    <cellStyle name="Normal 5 5 2" xfId="8818" xr:uid="{00000000-0005-0000-0000-00009D220000}"/>
    <cellStyle name="Normal 5 5 3" xfId="8819" xr:uid="{00000000-0005-0000-0000-00009E220000}"/>
    <cellStyle name="Normal 5 6" xfId="8820" xr:uid="{00000000-0005-0000-0000-00009F220000}"/>
    <cellStyle name="Normal 5 6 2" xfId="8821" xr:uid="{00000000-0005-0000-0000-0000A0220000}"/>
    <cellStyle name="Normal 5 6 3" xfId="8822" xr:uid="{00000000-0005-0000-0000-0000A1220000}"/>
    <cellStyle name="Normal 5 7" xfId="8823" xr:uid="{00000000-0005-0000-0000-0000A2220000}"/>
    <cellStyle name="Normal 5 7 2" xfId="8824" xr:uid="{00000000-0005-0000-0000-0000A3220000}"/>
    <cellStyle name="Normal 5 7 2 2" xfId="8825" xr:uid="{00000000-0005-0000-0000-0000A4220000}"/>
    <cellStyle name="Normal 5 7 2 2 2" xfId="8826" xr:uid="{00000000-0005-0000-0000-0000A5220000}"/>
    <cellStyle name="Normal 5 7 2 2 2 2" xfId="8827" xr:uid="{00000000-0005-0000-0000-0000A6220000}"/>
    <cellStyle name="Normal 5 7 2 2 3" xfId="8828" xr:uid="{00000000-0005-0000-0000-0000A7220000}"/>
    <cellStyle name="Normal 5 7 2 3" xfId="8829" xr:uid="{00000000-0005-0000-0000-0000A8220000}"/>
    <cellStyle name="Normal 5 7 2 3 2" xfId="8830" xr:uid="{00000000-0005-0000-0000-0000A9220000}"/>
    <cellStyle name="Normal 5 7 2 3 2 2" xfId="8831" xr:uid="{00000000-0005-0000-0000-0000AA220000}"/>
    <cellStyle name="Normal 5 7 2 3 3" xfId="8832" xr:uid="{00000000-0005-0000-0000-0000AB220000}"/>
    <cellStyle name="Normal 5 7 2 4" xfId="8833" xr:uid="{00000000-0005-0000-0000-0000AC220000}"/>
    <cellStyle name="Normal 5 7 2 4 2" xfId="8834" xr:uid="{00000000-0005-0000-0000-0000AD220000}"/>
    <cellStyle name="Normal 5 7 2 5" xfId="8835" xr:uid="{00000000-0005-0000-0000-0000AE220000}"/>
    <cellStyle name="Normal 5 7 2 6" xfId="8836" xr:uid="{00000000-0005-0000-0000-0000AF220000}"/>
    <cellStyle name="Normal 5 7 3" xfId="8837" xr:uid="{00000000-0005-0000-0000-0000B0220000}"/>
    <cellStyle name="Normal 5 7 3 2" xfId="8838" xr:uid="{00000000-0005-0000-0000-0000B1220000}"/>
    <cellStyle name="Normal 5 7 3 2 2" xfId="8839" xr:uid="{00000000-0005-0000-0000-0000B2220000}"/>
    <cellStyle name="Normal 5 7 3 2 2 2" xfId="8840" xr:uid="{00000000-0005-0000-0000-0000B3220000}"/>
    <cellStyle name="Normal 5 7 3 2 3" xfId="8841" xr:uid="{00000000-0005-0000-0000-0000B4220000}"/>
    <cellStyle name="Normal 5 7 3 3" xfId="8842" xr:uid="{00000000-0005-0000-0000-0000B5220000}"/>
    <cellStyle name="Normal 5 7 3 3 2" xfId="8843" xr:uid="{00000000-0005-0000-0000-0000B6220000}"/>
    <cellStyle name="Normal 5 7 3 4" xfId="8844" xr:uid="{00000000-0005-0000-0000-0000B7220000}"/>
    <cellStyle name="Normal 5 7 3 5" xfId="8845" xr:uid="{00000000-0005-0000-0000-0000B8220000}"/>
    <cellStyle name="Normal 5 7 4" xfId="8846" xr:uid="{00000000-0005-0000-0000-0000B9220000}"/>
    <cellStyle name="Normal 5 7 4 2" xfId="8847" xr:uid="{00000000-0005-0000-0000-0000BA220000}"/>
    <cellStyle name="Normal 5 7 4 2 2" xfId="8848" xr:uid="{00000000-0005-0000-0000-0000BB220000}"/>
    <cellStyle name="Normal 5 7 4 3" xfId="8849" xr:uid="{00000000-0005-0000-0000-0000BC220000}"/>
    <cellStyle name="Normal 5 7 5" xfId="8850" xr:uid="{00000000-0005-0000-0000-0000BD220000}"/>
    <cellStyle name="Normal 5 7 5 2" xfId="8851" xr:uid="{00000000-0005-0000-0000-0000BE220000}"/>
    <cellStyle name="Normal 5 7 5 2 2" xfId="8852" xr:uid="{00000000-0005-0000-0000-0000BF220000}"/>
    <cellStyle name="Normal 5 7 5 3" xfId="8853" xr:uid="{00000000-0005-0000-0000-0000C0220000}"/>
    <cellStyle name="Normal 5 7 6" xfId="8854" xr:uid="{00000000-0005-0000-0000-0000C1220000}"/>
    <cellStyle name="Normal 5 7 6 2" xfId="8855" xr:uid="{00000000-0005-0000-0000-0000C2220000}"/>
    <cellStyle name="Normal 5 7 7" xfId="8856" xr:uid="{00000000-0005-0000-0000-0000C3220000}"/>
    <cellStyle name="Normal 5 7 8" xfId="8857" xr:uid="{00000000-0005-0000-0000-0000C4220000}"/>
    <cellStyle name="Normal 5 8" xfId="8858" xr:uid="{00000000-0005-0000-0000-0000C5220000}"/>
    <cellStyle name="Normal 5 9" xfId="8859" xr:uid="{00000000-0005-0000-0000-0000C6220000}"/>
    <cellStyle name="Normal 50" xfId="8860" xr:uid="{00000000-0005-0000-0000-0000C7220000}"/>
    <cellStyle name="Normal 50 2" xfId="8861" xr:uid="{00000000-0005-0000-0000-0000C8220000}"/>
    <cellStyle name="Normal 50 2 2" xfId="8862" xr:uid="{00000000-0005-0000-0000-0000C9220000}"/>
    <cellStyle name="Normal 50 2 2 2" xfId="8863" xr:uid="{00000000-0005-0000-0000-0000CA220000}"/>
    <cellStyle name="Normal 50 2 2 2 2" xfId="8864" xr:uid="{00000000-0005-0000-0000-0000CB220000}"/>
    <cellStyle name="Normal 50 2 2 3" xfId="8865" xr:uid="{00000000-0005-0000-0000-0000CC220000}"/>
    <cellStyle name="Normal 50 2 3" xfId="8866" xr:uid="{00000000-0005-0000-0000-0000CD220000}"/>
    <cellStyle name="Normal 50 2 3 2" xfId="8867" xr:uid="{00000000-0005-0000-0000-0000CE220000}"/>
    <cellStyle name="Normal 50 2 3 2 2" xfId="8868" xr:uid="{00000000-0005-0000-0000-0000CF220000}"/>
    <cellStyle name="Normal 50 2 3 3" xfId="8869" xr:uid="{00000000-0005-0000-0000-0000D0220000}"/>
    <cellStyle name="Normal 50 2 4" xfId="8870" xr:uid="{00000000-0005-0000-0000-0000D1220000}"/>
    <cellStyle name="Normal 50 2 4 2" xfId="8871" xr:uid="{00000000-0005-0000-0000-0000D2220000}"/>
    <cellStyle name="Normal 50 2 5" xfId="8872" xr:uid="{00000000-0005-0000-0000-0000D3220000}"/>
    <cellStyle name="Normal 50 2 6" xfId="8873" xr:uid="{00000000-0005-0000-0000-0000D4220000}"/>
    <cellStyle name="Normal 50 3" xfId="8874" xr:uid="{00000000-0005-0000-0000-0000D5220000}"/>
    <cellStyle name="Normal 50 3 2" xfId="8875" xr:uid="{00000000-0005-0000-0000-0000D6220000}"/>
    <cellStyle name="Normal 50 3 2 2" xfId="8876" xr:uid="{00000000-0005-0000-0000-0000D7220000}"/>
    <cellStyle name="Normal 50 3 2 2 2" xfId="8877" xr:uid="{00000000-0005-0000-0000-0000D8220000}"/>
    <cellStyle name="Normal 50 3 2 3" xfId="8878" xr:uid="{00000000-0005-0000-0000-0000D9220000}"/>
    <cellStyle name="Normal 50 3 3" xfId="8879" xr:uid="{00000000-0005-0000-0000-0000DA220000}"/>
    <cellStyle name="Normal 50 3 3 2" xfId="8880" xr:uid="{00000000-0005-0000-0000-0000DB220000}"/>
    <cellStyle name="Normal 50 3 4" xfId="8881" xr:uid="{00000000-0005-0000-0000-0000DC220000}"/>
    <cellStyle name="Normal 50 3 5" xfId="8882" xr:uid="{00000000-0005-0000-0000-0000DD220000}"/>
    <cellStyle name="Normal 50 4" xfId="8883" xr:uid="{00000000-0005-0000-0000-0000DE220000}"/>
    <cellStyle name="Normal 50 4 2" xfId="8884" xr:uid="{00000000-0005-0000-0000-0000DF220000}"/>
    <cellStyle name="Normal 50 4 2 2" xfId="8885" xr:uid="{00000000-0005-0000-0000-0000E0220000}"/>
    <cellStyle name="Normal 50 4 3" xfId="8886" xr:uid="{00000000-0005-0000-0000-0000E1220000}"/>
    <cellStyle name="Normal 50 5" xfId="8887" xr:uid="{00000000-0005-0000-0000-0000E2220000}"/>
    <cellStyle name="Normal 50 5 2" xfId="8888" xr:uid="{00000000-0005-0000-0000-0000E3220000}"/>
    <cellStyle name="Normal 50 5 2 2" xfId="8889" xr:uid="{00000000-0005-0000-0000-0000E4220000}"/>
    <cellStyle name="Normal 50 5 3" xfId="8890" xr:uid="{00000000-0005-0000-0000-0000E5220000}"/>
    <cellStyle name="Normal 50 6" xfId="8891" xr:uid="{00000000-0005-0000-0000-0000E6220000}"/>
    <cellStyle name="Normal 50 6 2" xfId="8892" xr:uid="{00000000-0005-0000-0000-0000E7220000}"/>
    <cellStyle name="Normal 50 7" xfId="8893" xr:uid="{00000000-0005-0000-0000-0000E8220000}"/>
    <cellStyle name="Normal 50 8" xfId="8894" xr:uid="{00000000-0005-0000-0000-0000E9220000}"/>
    <cellStyle name="Normal 51" xfId="8895" xr:uid="{00000000-0005-0000-0000-0000EA220000}"/>
    <cellStyle name="Normal 51 2" xfId="8896" xr:uid="{00000000-0005-0000-0000-0000EB220000}"/>
    <cellStyle name="Normal 51 2 2" xfId="8897" xr:uid="{00000000-0005-0000-0000-0000EC220000}"/>
    <cellStyle name="Normal 51 2 2 2" xfId="8898" xr:uid="{00000000-0005-0000-0000-0000ED220000}"/>
    <cellStyle name="Normal 51 2 2 2 2" xfId="8899" xr:uid="{00000000-0005-0000-0000-0000EE220000}"/>
    <cellStyle name="Normal 51 2 2 3" xfId="8900" xr:uid="{00000000-0005-0000-0000-0000EF220000}"/>
    <cellStyle name="Normal 51 2 3" xfId="8901" xr:uid="{00000000-0005-0000-0000-0000F0220000}"/>
    <cellStyle name="Normal 51 2 3 2" xfId="8902" xr:uid="{00000000-0005-0000-0000-0000F1220000}"/>
    <cellStyle name="Normal 51 2 3 2 2" xfId="8903" xr:uid="{00000000-0005-0000-0000-0000F2220000}"/>
    <cellStyle name="Normal 51 2 3 3" xfId="8904" xr:uid="{00000000-0005-0000-0000-0000F3220000}"/>
    <cellStyle name="Normal 51 2 4" xfId="8905" xr:uid="{00000000-0005-0000-0000-0000F4220000}"/>
    <cellStyle name="Normal 51 2 4 2" xfId="8906" xr:uid="{00000000-0005-0000-0000-0000F5220000}"/>
    <cellStyle name="Normal 51 2 5" xfId="8907" xr:uid="{00000000-0005-0000-0000-0000F6220000}"/>
    <cellStyle name="Normal 51 2 6" xfId="8908" xr:uid="{00000000-0005-0000-0000-0000F7220000}"/>
    <cellStyle name="Normal 51 3" xfId="8909" xr:uid="{00000000-0005-0000-0000-0000F8220000}"/>
    <cellStyle name="Normal 51 3 2" xfId="8910" xr:uid="{00000000-0005-0000-0000-0000F9220000}"/>
    <cellStyle name="Normal 51 3 2 2" xfId="8911" xr:uid="{00000000-0005-0000-0000-0000FA220000}"/>
    <cellStyle name="Normal 51 3 2 2 2" xfId="8912" xr:uid="{00000000-0005-0000-0000-0000FB220000}"/>
    <cellStyle name="Normal 51 3 2 3" xfId="8913" xr:uid="{00000000-0005-0000-0000-0000FC220000}"/>
    <cellStyle name="Normal 51 3 3" xfId="8914" xr:uid="{00000000-0005-0000-0000-0000FD220000}"/>
    <cellStyle name="Normal 51 3 3 2" xfId="8915" xr:uid="{00000000-0005-0000-0000-0000FE220000}"/>
    <cellStyle name="Normal 51 3 4" xfId="8916" xr:uid="{00000000-0005-0000-0000-0000FF220000}"/>
    <cellStyle name="Normal 51 3 5" xfId="8917" xr:uid="{00000000-0005-0000-0000-000000230000}"/>
    <cellStyle name="Normal 51 4" xfId="8918" xr:uid="{00000000-0005-0000-0000-000001230000}"/>
    <cellStyle name="Normal 51 4 2" xfId="8919" xr:uid="{00000000-0005-0000-0000-000002230000}"/>
    <cellStyle name="Normal 51 4 2 2" xfId="8920" xr:uid="{00000000-0005-0000-0000-000003230000}"/>
    <cellStyle name="Normal 51 4 3" xfId="8921" xr:uid="{00000000-0005-0000-0000-000004230000}"/>
    <cellStyle name="Normal 51 5" xfId="8922" xr:uid="{00000000-0005-0000-0000-000005230000}"/>
    <cellStyle name="Normal 51 5 2" xfId="8923" xr:uid="{00000000-0005-0000-0000-000006230000}"/>
    <cellStyle name="Normal 51 5 2 2" xfId="8924" xr:uid="{00000000-0005-0000-0000-000007230000}"/>
    <cellStyle name="Normal 51 5 3" xfId="8925" xr:uid="{00000000-0005-0000-0000-000008230000}"/>
    <cellStyle name="Normal 51 6" xfId="8926" xr:uid="{00000000-0005-0000-0000-000009230000}"/>
    <cellStyle name="Normal 51 6 2" xfId="8927" xr:uid="{00000000-0005-0000-0000-00000A230000}"/>
    <cellStyle name="Normal 51 7" xfId="8928" xr:uid="{00000000-0005-0000-0000-00000B230000}"/>
    <cellStyle name="Normal 51 8" xfId="8929" xr:uid="{00000000-0005-0000-0000-00000C230000}"/>
    <cellStyle name="Normal 52" xfId="8930" xr:uid="{00000000-0005-0000-0000-00000D230000}"/>
    <cellStyle name="Normal 52 2" xfId="8931" xr:uid="{00000000-0005-0000-0000-00000E230000}"/>
    <cellStyle name="Normal 52 2 2" xfId="8932" xr:uid="{00000000-0005-0000-0000-00000F230000}"/>
    <cellStyle name="Normal 52 2 2 2" xfId="8933" xr:uid="{00000000-0005-0000-0000-000010230000}"/>
    <cellStyle name="Normal 52 2 2 2 2" xfId="8934" xr:uid="{00000000-0005-0000-0000-000011230000}"/>
    <cellStyle name="Normal 52 2 2 3" xfId="8935" xr:uid="{00000000-0005-0000-0000-000012230000}"/>
    <cellStyle name="Normal 52 2 3" xfId="8936" xr:uid="{00000000-0005-0000-0000-000013230000}"/>
    <cellStyle name="Normal 52 2 3 2" xfId="8937" xr:uid="{00000000-0005-0000-0000-000014230000}"/>
    <cellStyle name="Normal 52 2 3 2 2" xfId="8938" xr:uid="{00000000-0005-0000-0000-000015230000}"/>
    <cellStyle name="Normal 52 2 3 3" xfId="8939" xr:uid="{00000000-0005-0000-0000-000016230000}"/>
    <cellStyle name="Normal 52 2 4" xfId="8940" xr:uid="{00000000-0005-0000-0000-000017230000}"/>
    <cellStyle name="Normal 52 2 4 2" xfId="8941" xr:uid="{00000000-0005-0000-0000-000018230000}"/>
    <cellStyle name="Normal 52 2 5" xfId="8942" xr:uid="{00000000-0005-0000-0000-000019230000}"/>
    <cellStyle name="Normal 52 2 6" xfId="8943" xr:uid="{00000000-0005-0000-0000-00001A230000}"/>
    <cellStyle name="Normal 52 3" xfId="8944" xr:uid="{00000000-0005-0000-0000-00001B230000}"/>
    <cellStyle name="Normal 52 3 2" xfId="8945" xr:uid="{00000000-0005-0000-0000-00001C230000}"/>
    <cellStyle name="Normal 52 3 2 2" xfId="8946" xr:uid="{00000000-0005-0000-0000-00001D230000}"/>
    <cellStyle name="Normal 52 3 2 2 2" xfId="8947" xr:uid="{00000000-0005-0000-0000-00001E230000}"/>
    <cellStyle name="Normal 52 3 2 3" xfId="8948" xr:uid="{00000000-0005-0000-0000-00001F230000}"/>
    <cellStyle name="Normal 52 3 3" xfId="8949" xr:uid="{00000000-0005-0000-0000-000020230000}"/>
    <cellStyle name="Normal 52 3 3 2" xfId="8950" xr:uid="{00000000-0005-0000-0000-000021230000}"/>
    <cellStyle name="Normal 52 3 4" xfId="8951" xr:uid="{00000000-0005-0000-0000-000022230000}"/>
    <cellStyle name="Normal 52 3 5" xfId="8952" xr:uid="{00000000-0005-0000-0000-000023230000}"/>
    <cellStyle name="Normal 52 4" xfId="8953" xr:uid="{00000000-0005-0000-0000-000024230000}"/>
    <cellStyle name="Normal 52 4 2" xfId="8954" xr:uid="{00000000-0005-0000-0000-000025230000}"/>
    <cellStyle name="Normal 52 4 2 2" xfId="8955" xr:uid="{00000000-0005-0000-0000-000026230000}"/>
    <cellStyle name="Normal 52 4 3" xfId="8956" xr:uid="{00000000-0005-0000-0000-000027230000}"/>
    <cellStyle name="Normal 52 5" xfId="8957" xr:uid="{00000000-0005-0000-0000-000028230000}"/>
    <cellStyle name="Normal 52 5 2" xfId="8958" xr:uid="{00000000-0005-0000-0000-000029230000}"/>
    <cellStyle name="Normal 52 5 2 2" xfId="8959" xr:uid="{00000000-0005-0000-0000-00002A230000}"/>
    <cellStyle name="Normal 52 5 3" xfId="8960" xr:uid="{00000000-0005-0000-0000-00002B230000}"/>
    <cellStyle name="Normal 52 6" xfId="8961" xr:uid="{00000000-0005-0000-0000-00002C230000}"/>
    <cellStyle name="Normal 52 6 2" xfId="8962" xr:uid="{00000000-0005-0000-0000-00002D230000}"/>
    <cellStyle name="Normal 52 7" xfId="8963" xr:uid="{00000000-0005-0000-0000-00002E230000}"/>
    <cellStyle name="Normal 52 8" xfId="8964" xr:uid="{00000000-0005-0000-0000-00002F230000}"/>
    <cellStyle name="Normal 53" xfId="8965" xr:uid="{00000000-0005-0000-0000-000030230000}"/>
    <cellStyle name="Normal 53 2" xfId="8966" xr:uid="{00000000-0005-0000-0000-000031230000}"/>
    <cellStyle name="Normal 53 2 2" xfId="8967" xr:uid="{00000000-0005-0000-0000-000032230000}"/>
    <cellStyle name="Normal 53 2 2 2" xfId="8968" xr:uid="{00000000-0005-0000-0000-000033230000}"/>
    <cellStyle name="Normal 53 2 2 2 2" xfId="8969" xr:uid="{00000000-0005-0000-0000-000034230000}"/>
    <cellStyle name="Normal 53 2 2 3" xfId="8970" xr:uid="{00000000-0005-0000-0000-000035230000}"/>
    <cellStyle name="Normal 53 2 3" xfId="8971" xr:uid="{00000000-0005-0000-0000-000036230000}"/>
    <cellStyle name="Normal 53 2 3 2" xfId="8972" xr:uid="{00000000-0005-0000-0000-000037230000}"/>
    <cellStyle name="Normal 53 2 3 2 2" xfId="8973" xr:uid="{00000000-0005-0000-0000-000038230000}"/>
    <cellStyle name="Normal 53 2 3 3" xfId="8974" xr:uid="{00000000-0005-0000-0000-000039230000}"/>
    <cellStyle name="Normal 53 2 4" xfId="8975" xr:uid="{00000000-0005-0000-0000-00003A230000}"/>
    <cellStyle name="Normal 53 2 4 2" xfId="8976" xr:uid="{00000000-0005-0000-0000-00003B230000}"/>
    <cellStyle name="Normal 53 2 5" xfId="8977" xr:uid="{00000000-0005-0000-0000-00003C230000}"/>
    <cellStyle name="Normal 53 2 6" xfId="8978" xr:uid="{00000000-0005-0000-0000-00003D230000}"/>
    <cellStyle name="Normal 53 3" xfId="8979" xr:uid="{00000000-0005-0000-0000-00003E230000}"/>
    <cellStyle name="Normal 53 3 2" xfId="8980" xr:uid="{00000000-0005-0000-0000-00003F230000}"/>
    <cellStyle name="Normal 53 3 2 2" xfId="8981" xr:uid="{00000000-0005-0000-0000-000040230000}"/>
    <cellStyle name="Normal 53 3 2 2 2" xfId="8982" xr:uid="{00000000-0005-0000-0000-000041230000}"/>
    <cellStyle name="Normal 53 3 2 3" xfId="8983" xr:uid="{00000000-0005-0000-0000-000042230000}"/>
    <cellStyle name="Normal 53 3 3" xfId="8984" xr:uid="{00000000-0005-0000-0000-000043230000}"/>
    <cellStyle name="Normal 53 3 3 2" xfId="8985" xr:uid="{00000000-0005-0000-0000-000044230000}"/>
    <cellStyle name="Normal 53 3 4" xfId="8986" xr:uid="{00000000-0005-0000-0000-000045230000}"/>
    <cellStyle name="Normal 53 3 5" xfId="8987" xr:uid="{00000000-0005-0000-0000-000046230000}"/>
    <cellStyle name="Normal 53 4" xfId="8988" xr:uid="{00000000-0005-0000-0000-000047230000}"/>
    <cellStyle name="Normal 53 4 2" xfId="8989" xr:uid="{00000000-0005-0000-0000-000048230000}"/>
    <cellStyle name="Normal 53 4 2 2" xfId="8990" xr:uid="{00000000-0005-0000-0000-000049230000}"/>
    <cellStyle name="Normal 53 4 3" xfId="8991" xr:uid="{00000000-0005-0000-0000-00004A230000}"/>
    <cellStyle name="Normal 53 5" xfId="8992" xr:uid="{00000000-0005-0000-0000-00004B230000}"/>
    <cellStyle name="Normal 53 5 2" xfId="8993" xr:uid="{00000000-0005-0000-0000-00004C230000}"/>
    <cellStyle name="Normal 53 5 2 2" xfId="8994" xr:uid="{00000000-0005-0000-0000-00004D230000}"/>
    <cellStyle name="Normal 53 5 3" xfId="8995" xr:uid="{00000000-0005-0000-0000-00004E230000}"/>
    <cellStyle name="Normal 53 6" xfId="8996" xr:uid="{00000000-0005-0000-0000-00004F230000}"/>
    <cellStyle name="Normal 53 6 2" xfId="8997" xr:uid="{00000000-0005-0000-0000-000050230000}"/>
    <cellStyle name="Normal 53 7" xfId="8998" xr:uid="{00000000-0005-0000-0000-000051230000}"/>
    <cellStyle name="Normal 53 8" xfId="8999" xr:uid="{00000000-0005-0000-0000-000052230000}"/>
    <cellStyle name="Normal 54" xfId="9000" xr:uid="{00000000-0005-0000-0000-000053230000}"/>
    <cellStyle name="Normal 54 2" xfId="9001" xr:uid="{00000000-0005-0000-0000-000054230000}"/>
    <cellStyle name="Normal 54 2 2" xfId="9002" xr:uid="{00000000-0005-0000-0000-000055230000}"/>
    <cellStyle name="Normal 54 2 2 2" xfId="9003" xr:uid="{00000000-0005-0000-0000-000056230000}"/>
    <cellStyle name="Normal 54 2 2 2 2" xfId="9004" xr:uid="{00000000-0005-0000-0000-000057230000}"/>
    <cellStyle name="Normal 54 2 2 3" xfId="9005" xr:uid="{00000000-0005-0000-0000-000058230000}"/>
    <cellStyle name="Normal 54 2 3" xfId="9006" xr:uid="{00000000-0005-0000-0000-000059230000}"/>
    <cellStyle name="Normal 54 2 3 2" xfId="9007" xr:uid="{00000000-0005-0000-0000-00005A230000}"/>
    <cellStyle name="Normal 54 2 3 2 2" xfId="9008" xr:uid="{00000000-0005-0000-0000-00005B230000}"/>
    <cellStyle name="Normal 54 2 3 3" xfId="9009" xr:uid="{00000000-0005-0000-0000-00005C230000}"/>
    <cellStyle name="Normal 54 2 4" xfId="9010" xr:uid="{00000000-0005-0000-0000-00005D230000}"/>
    <cellStyle name="Normal 54 2 4 2" xfId="9011" xr:uid="{00000000-0005-0000-0000-00005E230000}"/>
    <cellStyle name="Normal 54 2 5" xfId="9012" xr:uid="{00000000-0005-0000-0000-00005F230000}"/>
    <cellStyle name="Normal 54 2 6" xfId="9013" xr:uid="{00000000-0005-0000-0000-000060230000}"/>
    <cellStyle name="Normal 54 3" xfId="9014" xr:uid="{00000000-0005-0000-0000-000061230000}"/>
    <cellStyle name="Normal 54 3 2" xfId="9015" xr:uid="{00000000-0005-0000-0000-000062230000}"/>
    <cellStyle name="Normal 54 3 2 2" xfId="9016" xr:uid="{00000000-0005-0000-0000-000063230000}"/>
    <cellStyle name="Normal 54 3 2 2 2" xfId="9017" xr:uid="{00000000-0005-0000-0000-000064230000}"/>
    <cellStyle name="Normal 54 3 2 3" xfId="9018" xr:uid="{00000000-0005-0000-0000-000065230000}"/>
    <cellStyle name="Normal 54 3 3" xfId="9019" xr:uid="{00000000-0005-0000-0000-000066230000}"/>
    <cellStyle name="Normal 54 3 3 2" xfId="9020" xr:uid="{00000000-0005-0000-0000-000067230000}"/>
    <cellStyle name="Normal 54 3 4" xfId="9021" xr:uid="{00000000-0005-0000-0000-000068230000}"/>
    <cellStyle name="Normal 54 3 5" xfId="9022" xr:uid="{00000000-0005-0000-0000-000069230000}"/>
    <cellStyle name="Normal 54 4" xfId="9023" xr:uid="{00000000-0005-0000-0000-00006A230000}"/>
    <cellStyle name="Normal 54 4 2" xfId="9024" xr:uid="{00000000-0005-0000-0000-00006B230000}"/>
    <cellStyle name="Normal 54 4 2 2" xfId="9025" xr:uid="{00000000-0005-0000-0000-00006C230000}"/>
    <cellStyle name="Normal 54 4 3" xfId="9026" xr:uid="{00000000-0005-0000-0000-00006D230000}"/>
    <cellStyle name="Normal 54 5" xfId="9027" xr:uid="{00000000-0005-0000-0000-00006E230000}"/>
    <cellStyle name="Normal 54 5 2" xfId="9028" xr:uid="{00000000-0005-0000-0000-00006F230000}"/>
    <cellStyle name="Normal 54 5 2 2" xfId="9029" xr:uid="{00000000-0005-0000-0000-000070230000}"/>
    <cellStyle name="Normal 54 5 3" xfId="9030" xr:uid="{00000000-0005-0000-0000-000071230000}"/>
    <cellStyle name="Normal 54 6" xfId="9031" xr:uid="{00000000-0005-0000-0000-000072230000}"/>
    <cellStyle name="Normal 54 6 2" xfId="9032" xr:uid="{00000000-0005-0000-0000-000073230000}"/>
    <cellStyle name="Normal 54 7" xfId="9033" xr:uid="{00000000-0005-0000-0000-000074230000}"/>
    <cellStyle name="Normal 54 8" xfId="9034" xr:uid="{00000000-0005-0000-0000-000075230000}"/>
    <cellStyle name="Normal 55" xfId="9035" xr:uid="{00000000-0005-0000-0000-000076230000}"/>
    <cellStyle name="Normal 56" xfId="9036" xr:uid="{00000000-0005-0000-0000-000077230000}"/>
    <cellStyle name="Normal 57" xfId="9037" xr:uid="{00000000-0005-0000-0000-000078230000}"/>
    <cellStyle name="Normal 58" xfId="9038" xr:uid="{00000000-0005-0000-0000-000079230000}"/>
    <cellStyle name="Normal 59" xfId="9039" xr:uid="{00000000-0005-0000-0000-00007A230000}"/>
    <cellStyle name="Normal 6" xfId="9040" xr:uid="{00000000-0005-0000-0000-00007B230000}"/>
    <cellStyle name="Normal 6 2" xfId="9041" xr:uid="{00000000-0005-0000-0000-00007C230000}"/>
    <cellStyle name="Normal 6 3" xfId="9042" xr:uid="{00000000-0005-0000-0000-00007D230000}"/>
    <cellStyle name="Normal 6 3 2" xfId="9043" xr:uid="{00000000-0005-0000-0000-00007E230000}"/>
    <cellStyle name="Normal 6 4" xfId="9044" xr:uid="{00000000-0005-0000-0000-00007F230000}"/>
    <cellStyle name="Normal 6 5" xfId="9045" xr:uid="{00000000-0005-0000-0000-000080230000}"/>
    <cellStyle name="Normal 6 6" xfId="9046" xr:uid="{00000000-0005-0000-0000-000081230000}"/>
    <cellStyle name="Normal 60" xfId="9047" xr:uid="{00000000-0005-0000-0000-000082230000}"/>
    <cellStyle name="Normal 61" xfId="9048" xr:uid="{00000000-0005-0000-0000-000083230000}"/>
    <cellStyle name="Normal 62" xfId="9049" xr:uid="{00000000-0005-0000-0000-000084230000}"/>
    <cellStyle name="Normal 63" xfId="9050" xr:uid="{00000000-0005-0000-0000-000085230000}"/>
    <cellStyle name="Normal 64" xfId="9051" xr:uid="{00000000-0005-0000-0000-000086230000}"/>
    <cellStyle name="Normal 65" xfId="9052" xr:uid="{00000000-0005-0000-0000-000087230000}"/>
    <cellStyle name="Normal 66" xfId="9053" xr:uid="{00000000-0005-0000-0000-000088230000}"/>
    <cellStyle name="Normal 67" xfId="9054" xr:uid="{00000000-0005-0000-0000-000089230000}"/>
    <cellStyle name="Normal 68" xfId="9055" xr:uid="{00000000-0005-0000-0000-00008A230000}"/>
    <cellStyle name="Normal 69" xfId="9056" xr:uid="{00000000-0005-0000-0000-00008B230000}"/>
    <cellStyle name="Normal 7" xfId="9057" xr:uid="{00000000-0005-0000-0000-00008C230000}"/>
    <cellStyle name="Normal 7 10" xfId="9058" xr:uid="{00000000-0005-0000-0000-00008D230000}"/>
    <cellStyle name="Normal 7 11" xfId="9059" xr:uid="{00000000-0005-0000-0000-00008E230000}"/>
    <cellStyle name="Normal 7 11 2" xfId="9060" xr:uid="{00000000-0005-0000-0000-00008F230000}"/>
    <cellStyle name="Normal 7 11 2 2" xfId="9061" xr:uid="{00000000-0005-0000-0000-000090230000}"/>
    <cellStyle name="Normal 7 11 2 2 2" xfId="9062" xr:uid="{00000000-0005-0000-0000-000091230000}"/>
    <cellStyle name="Normal 7 11 2 3" xfId="9063" xr:uid="{00000000-0005-0000-0000-000092230000}"/>
    <cellStyle name="Normal 7 11 3" xfId="9064" xr:uid="{00000000-0005-0000-0000-000093230000}"/>
    <cellStyle name="Normal 7 11 3 2" xfId="9065" xr:uid="{00000000-0005-0000-0000-000094230000}"/>
    <cellStyle name="Normal 7 11 3 2 2" xfId="9066" xr:uid="{00000000-0005-0000-0000-000095230000}"/>
    <cellStyle name="Normal 7 11 3 3" xfId="9067" xr:uid="{00000000-0005-0000-0000-000096230000}"/>
    <cellStyle name="Normal 7 11 4" xfId="9068" xr:uid="{00000000-0005-0000-0000-000097230000}"/>
    <cellStyle name="Normal 7 11 4 2" xfId="9069" xr:uid="{00000000-0005-0000-0000-000098230000}"/>
    <cellStyle name="Normal 7 11 5" xfId="9070" xr:uid="{00000000-0005-0000-0000-000099230000}"/>
    <cellStyle name="Normal 7 11 6" xfId="9071" xr:uid="{00000000-0005-0000-0000-00009A230000}"/>
    <cellStyle name="Normal 7 12" xfId="9072" xr:uid="{00000000-0005-0000-0000-00009B230000}"/>
    <cellStyle name="Normal 7 12 2" xfId="9073" xr:uid="{00000000-0005-0000-0000-00009C230000}"/>
    <cellStyle name="Normal 7 12 2 2" xfId="9074" xr:uid="{00000000-0005-0000-0000-00009D230000}"/>
    <cellStyle name="Normal 7 12 2 2 2" xfId="9075" xr:uid="{00000000-0005-0000-0000-00009E230000}"/>
    <cellStyle name="Normal 7 12 2 3" xfId="9076" xr:uid="{00000000-0005-0000-0000-00009F230000}"/>
    <cellStyle name="Normal 7 12 3" xfId="9077" xr:uid="{00000000-0005-0000-0000-0000A0230000}"/>
    <cellStyle name="Normal 7 12 3 2" xfId="9078" xr:uid="{00000000-0005-0000-0000-0000A1230000}"/>
    <cellStyle name="Normal 7 12 4" xfId="9079" xr:uid="{00000000-0005-0000-0000-0000A2230000}"/>
    <cellStyle name="Normal 7 12 5" xfId="9080" xr:uid="{00000000-0005-0000-0000-0000A3230000}"/>
    <cellStyle name="Normal 7 13" xfId="9081" xr:uid="{00000000-0005-0000-0000-0000A4230000}"/>
    <cellStyle name="Normal 7 13 2" xfId="9082" xr:uid="{00000000-0005-0000-0000-0000A5230000}"/>
    <cellStyle name="Normal 7 13 2 2" xfId="9083" xr:uid="{00000000-0005-0000-0000-0000A6230000}"/>
    <cellStyle name="Normal 7 13 3" xfId="9084" xr:uid="{00000000-0005-0000-0000-0000A7230000}"/>
    <cellStyle name="Normal 7 14" xfId="9085" xr:uid="{00000000-0005-0000-0000-0000A8230000}"/>
    <cellStyle name="Normal 7 14 2" xfId="9086" xr:uid="{00000000-0005-0000-0000-0000A9230000}"/>
    <cellStyle name="Normal 7 15" xfId="9087" xr:uid="{00000000-0005-0000-0000-0000AA230000}"/>
    <cellStyle name="Normal 7 2" xfId="9088" xr:uid="{00000000-0005-0000-0000-0000AB230000}"/>
    <cellStyle name="Normal 7 2 2" xfId="9089" xr:uid="{00000000-0005-0000-0000-0000AC230000}"/>
    <cellStyle name="Normal 7 2 2 2" xfId="9090" xr:uid="{00000000-0005-0000-0000-0000AD230000}"/>
    <cellStyle name="Normal 7 2 2 2 2" xfId="9091" xr:uid="{00000000-0005-0000-0000-0000AE230000}"/>
    <cellStyle name="Normal 7 2 2 2 2 2" xfId="9092" xr:uid="{00000000-0005-0000-0000-0000AF230000}"/>
    <cellStyle name="Normal 7 2 2 3" xfId="9093" xr:uid="{00000000-0005-0000-0000-0000B0230000}"/>
    <cellStyle name="Normal 7 2 3" xfId="9094" xr:uid="{00000000-0005-0000-0000-0000B1230000}"/>
    <cellStyle name="Normal 7 2 3 2" xfId="9095" xr:uid="{00000000-0005-0000-0000-0000B2230000}"/>
    <cellStyle name="Normal 7 2 4" xfId="9096" xr:uid="{00000000-0005-0000-0000-0000B3230000}"/>
    <cellStyle name="Normal 7 2 4 2" xfId="9097" xr:uid="{00000000-0005-0000-0000-0000B4230000}"/>
    <cellStyle name="Normal 7 2 5" xfId="9098" xr:uid="{00000000-0005-0000-0000-0000B5230000}"/>
    <cellStyle name="Normal 7 2 6" xfId="9099" xr:uid="{00000000-0005-0000-0000-0000B6230000}"/>
    <cellStyle name="Normal 7 2 7" xfId="9100" xr:uid="{00000000-0005-0000-0000-0000B7230000}"/>
    <cellStyle name="Normal 7 2 8" xfId="9101" xr:uid="{00000000-0005-0000-0000-0000B8230000}"/>
    <cellStyle name="Normal 7 3" xfId="9102" xr:uid="{00000000-0005-0000-0000-0000B9230000}"/>
    <cellStyle name="Normal 7 3 2" xfId="9103" xr:uid="{00000000-0005-0000-0000-0000BA230000}"/>
    <cellStyle name="Normal 7 3 2 2" xfId="9104" xr:uid="{00000000-0005-0000-0000-0000BB230000}"/>
    <cellStyle name="Normal 7 3 2 2 2" xfId="9105" xr:uid="{00000000-0005-0000-0000-0000BC230000}"/>
    <cellStyle name="Normal 7 3 3" xfId="9106" xr:uid="{00000000-0005-0000-0000-0000BD230000}"/>
    <cellStyle name="Normal 7 3 4" xfId="9107" xr:uid="{00000000-0005-0000-0000-0000BE230000}"/>
    <cellStyle name="Normal 7 3 5" xfId="9108" xr:uid="{00000000-0005-0000-0000-0000BF230000}"/>
    <cellStyle name="Normal 7 4" xfId="9109" xr:uid="{00000000-0005-0000-0000-0000C0230000}"/>
    <cellStyle name="Normal 7 4 2" xfId="9110" xr:uid="{00000000-0005-0000-0000-0000C1230000}"/>
    <cellStyle name="Normal 7 4 3" xfId="9111" xr:uid="{00000000-0005-0000-0000-0000C2230000}"/>
    <cellStyle name="Normal 7 5" xfId="9112" xr:uid="{00000000-0005-0000-0000-0000C3230000}"/>
    <cellStyle name="Normal 7 5 2" xfId="9113" xr:uid="{00000000-0005-0000-0000-0000C4230000}"/>
    <cellStyle name="Normal 7 5 3" xfId="9114" xr:uid="{00000000-0005-0000-0000-0000C5230000}"/>
    <cellStyle name="Normal 7 6" xfId="9115" xr:uid="{00000000-0005-0000-0000-0000C6230000}"/>
    <cellStyle name="Normal 7 6 2" xfId="9116" xr:uid="{00000000-0005-0000-0000-0000C7230000}"/>
    <cellStyle name="Normal 7 6 3" xfId="9117" xr:uid="{00000000-0005-0000-0000-0000C8230000}"/>
    <cellStyle name="Normal 7 7" xfId="9118" xr:uid="{00000000-0005-0000-0000-0000C9230000}"/>
    <cellStyle name="Normal 7 8" xfId="9119" xr:uid="{00000000-0005-0000-0000-0000CA230000}"/>
    <cellStyle name="Normal 7 9" xfId="9120" xr:uid="{00000000-0005-0000-0000-0000CB230000}"/>
    <cellStyle name="Normal 70" xfId="9121" xr:uid="{00000000-0005-0000-0000-0000CC230000}"/>
    <cellStyle name="Normal 71" xfId="9122" xr:uid="{00000000-0005-0000-0000-0000CD230000}"/>
    <cellStyle name="Normal 72" xfId="9123" xr:uid="{00000000-0005-0000-0000-0000CE230000}"/>
    <cellStyle name="Normal 73" xfId="9124" xr:uid="{00000000-0005-0000-0000-0000CF230000}"/>
    <cellStyle name="Normal 74" xfId="9125" xr:uid="{00000000-0005-0000-0000-0000D0230000}"/>
    <cellStyle name="Normal 75" xfId="9126" xr:uid="{00000000-0005-0000-0000-0000D1230000}"/>
    <cellStyle name="Normal 76" xfId="9127" xr:uid="{00000000-0005-0000-0000-0000D2230000}"/>
    <cellStyle name="Normal 77" xfId="9128" xr:uid="{00000000-0005-0000-0000-0000D3230000}"/>
    <cellStyle name="Normal 78" xfId="9129" xr:uid="{00000000-0005-0000-0000-0000D4230000}"/>
    <cellStyle name="Normal 79" xfId="9130" xr:uid="{00000000-0005-0000-0000-0000D5230000}"/>
    <cellStyle name="Normal 8" xfId="9131" xr:uid="{00000000-0005-0000-0000-0000D6230000}"/>
    <cellStyle name="Normal 8 10" xfId="9132" xr:uid="{00000000-0005-0000-0000-0000D7230000}"/>
    <cellStyle name="Normal 8 11" xfId="9133" xr:uid="{00000000-0005-0000-0000-0000D8230000}"/>
    <cellStyle name="Normal 8 12" xfId="9134" xr:uid="{00000000-0005-0000-0000-0000D9230000}"/>
    <cellStyle name="Normal 8 13" xfId="9135" xr:uid="{00000000-0005-0000-0000-0000DA230000}"/>
    <cellStyle name="Normal 8 13 2" xfId="9136" xr:uid="{00000000-0005-0000-0000-0000DB230000}"/>
    <cellStyle name="Normal 8 13 2 2" xfId="9137" xr:uid="{00000000-0005-0000-0000-0000DC230000}"/>
    <cellStyle name="Normal 8 13 2 2 2" xfId="9138" xr:uid="{00000000-0005-0000-0000-0000DD230000}"/>
    <cellStyle name="Normal 8 13 2 3" xfId="9139" xr:uid="{00000000-0005-0000-0000-0000DE230000}"/>
    <cellStyle name="Normal 8 13 3" xfId="9140" xr:uid="{00000000-0005-0000-0000-0000DF230000}"/>
    <cellStyle name="Normal 8 13 3 2" xfId="9141" xr:uid="{00000000-0005-0000-0000-0000E0230000}"/>
    <cellStyle name="Normal 8 13 3 2 2" xfId="9142" xr:uid="{00000000-0005-0000-0000-0000E1230000}"/>
    <cellStyle name="Normal 8 13 3 3" xfId="9143" xr:uid="{00000000-0005-0000-0000-0000E2230000}"/>
    <cellStyle name="Normal 8 13 4" xfId="9144" xr:uid="{00000000-0005-0000-0000-0000E3230000}"/>
    <cellStyle name="Normal 8 13 4 2" xfId="9145" xr:uid="{00000000-0005-0000-0000-0000E4230000}"/>
    <cellStyle name="Normal 8 13 5" xfId="9146" xr:uid="{00000000-0005-0000-0000-0000E5230000}"/>
    <cellStyle name="Normal 8 13 6" xfId="9147" xr:uid="{00000000-0005-0000-0000-0000E6230000}"/>
    <cellStyle name="Normal 8 14" xfId="9148" xr:uid="{00000000-0005-0000-0000-0000E7230000}"/>
    <cellStyle name="Normal 8 14 2" xfId="9149" xr:uid="{00000000-0005-0000-0000-0000E8230000}"/>
    <cellStyle name="Normal 8 14 2 2" xfId="9150" xr:uid="{00000000-0005-0000-0000-0000E9230000}"/>
    <cellStyle name="Normal 8 14 2 2 2" xfId="9151" xr:uid="{00000000-0005-0000-0000-0000EA230000}"/>
    <cellStyle name="Normal 8 14 2 3" xfId="9152" xr:uid="{00000000-0005-0000-0000-0000EB230000}"/>
    <cellStyle name="Normal 8 14 3" xfId="9153" xr:uid="{00000000-0005-0000-0000-0000EC230000}"/>
    <cellStyle name="Normal 8 14 3 2" xfId="9154" xr:uid="{00000000-0005-0000-0000-0000ED230000}"/>
    <cellStyle name="Normal 8 14 4" xfId="9155" xr:uid="{00000000-0005-0000-0000-0000EE230000}"/>
    <cellStyle name="Normal 8 14 5" xfId="9156" xr:uid="{00000000-0005-0000-0000-0000EF230000}"/>
    <cellStyle name="Normal 8 15" xfId="9157" xr:uid="{00000000-0005-0000-0000-0000F0230000}"/>
    <cellStyle name="Normal 8 15 2" xfId="9158" xr:uid="{00000000-0005-0000-0000-0000F1230000}"/>
    <cellStyle name="Normal 8 15 2 2" xfId="9159" xr:uid="{00000000-0005-0000-0000-0000F2230000}"/>
    <cellStyle name="Normal 8 15 3" xfId="9160" xr:uid="{00000000-0005-0000-0000-0000F3230000}"/>
    <cellStyle name="Normal 8 16" xfId="9161" xr:uid="{00000000-0005-0000-0000-0000F4230000}"/>
    <cellStyle name="Normal 8 16 2" xfId="9162" xr:uid="{00000000-0005-0000-0000-0000F5230000}"/>
    <cellStyle name="Normal 8 17" xfId="9163" xr:uid="{00000000-0005-0000-0000-0000F6230000}"/>
    <cellStyle name="Normal 8 2" xfId="9164" xr:uid="{00000000-0005-0000-0000-0000F7230000}"/>
    <cellStyle name="Normal 8 2 2" xfId="9165" xr:uid="{00000000-0005-0000-0000-0000F8230000}"/>
    <cellStyle name="Normal 8 2 3" xfId="9166" xr:uid="{00000000-0005-0000-0000-0000F9230000}"/>
    <cellStyle name="Normal 8 2 4" xfId="9167" xr:uid="{00000000-0005-0000-0000-0000FA230000}"/>
    <cellStyle name="Normal 8 3" xfId="9168" xr:uid="{00000000-0005-0000-0000-0000FB230000}"/>
    <cellStyle name="Normal 8 3 2" xfId="9169" xr:uid="{00000000-0005-0000-0000-0000FC230000}"/>
    <cellStyle name="Normal 8 3 3" xfId="9170" xr:uid="{00000000-0005-0000-0000-0000FD230000}"/>
    <cellStyle name="Normal 8 3 4" xfId="9171" xr:uid="{00000000-0005-0000-0000-0000FE230000}"/>
    <cellStyle name="Normal 8 4" xfId="9172" xr:uid="{00000000-0005-0000-0000-0000FF230000}"/>
    <cellStyle name="Normal 8 4 2" xfId="9173" xr:uid="{00000000-0005-0000-0000-000000240000}"/>
    <cellStyle name="Normal 8 4 3" xfId="9174" xr:uid="{00000000-0005-0000-0000-000001240000}"/>
    <cellStyle name="Normal 8 4 4" xfId="9175" xr:uid="{00000000-0005-0000-0000-000002240000}"/>
    <cellStyle name="Normal 8 5" xfId="9176" xr:uid="{00000000-0005-0000-0000-000003240000}"/>
    <cellStyle name="Normal 8 5 2" xfId="9177" xr:uid="{00000000-0005-0000-0000-000004240000}"/>
    <cellStyle name="Normal 8 5 3" xfId="9178" xr:uid="{00000000-0005-0000-0000-000005240000}"/>
    <cellStyle name="Normal 8 6" xfId="9179" xr:uid="{00000000-0005-0000-0000-000006240000}"/>
    <cellStyle name="Normal 8 7" xfId="9180" xr:uid="{00000000-0005-0000-0000-000007240000}"/>
    <cellStyle name="Normal 8 7 10" xfId="9181" xr:uid="{00000000-0005-0000-0000-000008240000}"/>
    <cellStyle name="Normal 8 7 11" xfId="9182" xr:uid="{00000000-0005-0000-0000-000009240000}"/>
    <cellStyle name="Normal 8 7 12" xfId="9183" xr:uid="{00000000-0005-0000-0000-00000A240000}"/>
    <cellStyle name="Normal 8 7 13" xfId="9184" xr:uid="{00000000-0005-0000-0000-00000B240000}"/>
    <cellStyle name="Normal 8 7 14" xfId="9185" xr:uid="{00000000-0005-0000-0000-00000C240000}"/>
    <cellStyle name="Normal 8 7 15" xfId="9186" xr:uid="{00000000-0005-0000-0000-00000D240000}"/>
    <cellStyle name="Normal 8 7 16" xfId="9187" xr:uid="{00000000-0005-0000-0000-00000E240000}"/>
    <cellStyle name="Normal 8 7 17" xfId="9188" xr:uid="{00000000-0005-0000-0000-00000F240000}"/>
    <cellStyle name="Normal 8 7 18" xfId="9189" xr:uid="{00000000-0005-0000-0000-000010240000}"/>
    <cellStyle name="Normal 8 7 19" xfId="9190" xr:uid="{00000000-0005-0000-0000-000011240000}"/>
    <cellStyle name="Normal 8 7 2" xfId="9191" xr:uid="{00000000-0005-0000-0000-000012240000}"/>
    <cellStyle name="Normal 8 7 20" xfId="9192" xr:uid="{00000000-0005-0000-0000-000013240000}"/>
    <cellStyle name="Normal 8 7 21" xfId="9193" xr:uid="{00000000-0005-0000-0000-000014240000}"/>
    <cellStyle name="Normal 8 7 22" xfId="9194" xr:uid="{00000000-0005-0000-0000-000015240000}"/>
    <cellStyle name="Normal 8 7 23" xfId="9195" xr:uid="{00000000-0005-0000-0000-000016240000}"/>
    <cellStyle name="Normal 8 7 3" xfId="9196" xr:uid="{00000000-0005-0000-0000-000017240000}"/>
    <cellStyle name="Normal 8 7 4" xfId="9197" xr:uid="{00000000-0005-0000-0000-000018240000}"/>
    <cellStyle name="Normal 8 7 5" xfId="9198" xr:uid="{00000000-0005-0000-0000-000019240000}"/>
    <cellStyle name="Normal 8 7 6" xfId="9199" xr:uid="{00000000-0005-0000-0000-00001A240000}"/>
    <cellStyle name="Normal 8 7 7" xfId="9200" xr:uid="{00000000-0005-0000-0000-00001B240000}"/>
    <cellStyle name="Normal 8 7 8" xfId="9201" xr:uid="{00000000-0005-0000-0000-00001C240000}"/>
    <cellStyle name="Normal 8 7 9" xfId="9202" xr:uid="{00000000-0005-0000-0000-00001D240000}"/>
    <cellStyle name="Normal 8 8" xfId="9203" xr:uid="{00000000-0005-0000-0000-00001E240000}"/>
    <cellStyle name="Normal 8 8 10" xfId="9204" xr:uid="{00000000-0005-0000-0000-00001F240000}"/>
    <cellStyle name="Normal 8 8 11" xfId="9205" xr:uid="{00000000-0005-0000-0000-000020240000}"/>
    <cellStyle name="Normal 8 8 12" xfId="9206" xr:uid="{00000000-0005-0000-0000-000021240000}"/>
    <cellStyle name="Normal 8 8 13" xfId="9207" xr:uid="{00000000-0005-0000-0000-000022240000}"/>
    <cellStyle name="Normal 8 8 14" xfId="9208" xr:uid="{00000000-0005-0000-0000-000023240000}"/>
    <cellStyle name="Normal 8 8 15" xfId="9209" xr:uid="{00000000-0005-0000-0000-000024240000}"/>
    <cellStyle name="Normal 8 8 16" xfId="9210" xr:uid="{00000000-0005-0000-0000-000025240000}"/>
    <cellStyle name="Normal 8 8 17" xfId="9211" xr:uid="{00000000-0005-0000-0000-000026240000}"/>
    <cellStyle name="Normal 8 8 18" xfId="9212" xr:uid="{00000000-0005-0000-0000-000027240000}"/>
    <cellStyle name="Normal 8 8 19" xfId="9213" xr:uid="{00000000-0005-0000-0000-000028240000}"/>
    <cellStyle name="Normal 8 8 2" xfId="9214" xr:uid="{00000000-0005-0000-0000-000029240000}"/>
    <cellStyle name="Normal 8 8 20" xfId="9215" xr:uid="{00000000-0005-0000-0000-00002A240000}"/>
    <cellStyle name="Normal 8 8 21" xfId="9216" xr:uid="{00000000-0005-0000-0000-00002B240000}"/>
    <cellStyle name="Normal 8 8 22" xfId="9217" xr:uid="{00000000-0005-0000-0000-00002C240000}"/>
    <cellStyle name="Normal 8 8 23" xfId="9218" xr:uid="{00000000-0005-0000-0000-00002D240000}"/>
    <cellStyle name="Normal 8 8 3" xfId="9219" xr:uid="{00000000-0005-0000-0000-00002E240000}"/>
    <cellStyle name="Normal 8 8 4" xfId="9220" xr:uid="{00000000-0005-0000-0000-00002F240000}"/>
    <cellStyle name="Normal 8 8 5" xfId="9221" xr:uid="{00000000-0005-0000-0000-000030240000}"/>
    <cellStyle name="Normal 8 8 6" xfId="9222" xr:uid="{00000000-0005-0000-0000-000031240000}"/>
    <cellStyle name="Normal 8 8 7" xfId="9223" xr:uid="{00000000-0005-0000-0000-000032240000}"/>
    <cellStyle name="Normal 8 8 8" xfId="9224" xr:uid="{00000000-0005-0000-0000-000033240000}"/>
    <cellStyle name="Normal 8 8 9" xfId="9225" xr:uid="{00000000-0005-0000-0000-000034240000}"/>
    <cellStyle name="Normal 8 9" xfId="9226" xr:uid="{00000000-0005-0000-0000-000035240000}"/>
    <cellStyle name="Normal 80" xfId="9227" xr:uid="{00000000-0005-0000-0000-000036240000}"/>
    <cellStyle name="Normal 81" xfId="9228" xr:uid="{00000000-0005-0000-0000-000037240000}"/>
    <cellStyle name="Normal 82" xfId="9229" xr:uid="{00000000-0005-0000-0000-000038240000}"/>
    <cellStyle name="Normal 83" xfId="9230" xr:uid="{00000000-0005-0000-0000-000039240000}"/>
    <cellStyle name="Normal 84" xfId="9231" xr:uid="{00000000-0005-0000-0000-00003A240000}"/>
    <cellStyle name="Normal 85" xfId="9232" xr:uid="{00000000-0005-0000-0000-00003B240000}"/>
    <cellStyle name="Normal 86" xfId="9233" xr:uid="{00000000-0005-0000-0000-00003C240000}"/>
    <cellStyle name="Normal 87" xfId="9234" xr:uid="{00000000-0005-0000-0000-00003D240000}"/>
    <cellStyle name="Normal 88" xfId="9235" xr:uid="{00000000-0005-0000-0000-00003E240000}"/>
    <cellStyle name="Normal 89" xfId="9236" xr:uid="{00000000-0005-0000-0000-00003F240000}"/>
    <cellStyle name="Normal 9" xfId="9237" xr:uid="{00000000-0005-0000-0000-000040240000}"/>
    <cellStyle name="Normal 9 2" xfId="9238" xr:uid="{00000000-0005-0000-0000-000041240000}"/>
    <cellStyle name="Normal 9 2 2" xfId="9239" xr:uid="{00000000-0005-0000-0000-000042240000}"/>
    <cellStyle name="Normal 9 2 2 2" xfId="9240" xr:uid="{00000000-0005-0000-0000-000043240000}"/>
    <cellStyle name="Normal 9 2 3" xfId="9241" xr:uid="{00000000-0005-0000-0000-000044240000}"/>
    <cellStyle name="Normal 9 2 3 2" xfId="9242" xr:uid="{00000000-0005-0000-0000-000045240000}"/>
    <cellStyle name="Normal 9 2 3 2 2" xfId="9243" xr:uid="{00000000-0005-0000-0000-000046240000}"/>
    <cellStyle name="Normal 9 2 3 3" xfId="9244" xr:uid="{00000000-0005-0000-0000-000047240000}"/>
    <cellStyle name="Normal 9 2 3 4" xfId="9245" xr:uid="{00000000-0005-0000-0000-000048240000}"/>
    <cellStyle name="Normal 9 3" xfId="9246" xr:uid="{00000000-0005-0000-0000-000049240000}"/>
    <cellStyle name="Normal 9 3 2" xfId="9247" xr:uid="{00000000-0005-0000-0000-00004A240000}"/>
    <cellStyle name="Normal 9 3 2 2" xfId="9248" xr:uid="{00000000-0005-0000-0000-00004B240000}"/>
    <cellStyle name="Normal 9 3 2 2 2" xfId="9249" xr:uid="{00000000-0005-0000-0000-00004C240000}"/>
    <cellStyle name="Normal 9 3 2 3" xfId="9250" xr:uid="{00000000-0005-0000-0000-00004D240000}"/>
    <cellStyle name="Normal 9 3 2 4" xfId="9251" xr:uid="{00000000-0005-0000-0000-00004E240000}"/>
    <cellStyle name="Normal 9 4" xfId="9252" xr:uid="{00000000-0005-0000-0000-00004F240000}"/>
    <cellStyle name="Normal 9 5" xfId="9253" xr:uid="{00000000-0005-0000-0000-000050240000}"/>
    <cellStyle name="Normal 9 6" xfId="9254" xr:uid="{00000000-0005-0000-0000-000051240000}"/>
    <cellStyle name="Normal 9 7" xfId="9255" xr:uid="{00000000-0005-0000-0000-000052240000}"/>
    <cellStyle name="Normal 9 8" xfId="9256" xr:uid="{00000000-0005-0000-0000-000053240000}"/>
    <cellStyle name="Normal 90" xfId="9257" xr:uid="{00000000-0005-0000-0000-000054240000}"/>
    <cellStyle name="Normal 91" xfId="9258" xr:uid="{00000000-0005-0000-0000-000055240000}"/>
    <cellStyle name="Normal 92" xfId="9259" xr:uid="{00000000-0005-0000-0000-000056240000}"/>
    <cellStyle name="Normal 93" xfId="9260" xr:uid="{00000000-0005-0000-0000-000057240000}"/>
    <cellStyle name="Normal 94" xfId="9261" xr:uid="{00000000-0005-0000-0000-000058240000}"/>
    <cellStyle name="Normal 95" xfId="9262" xr:uid="{00000000-0005-0000-0000-000059240000}"/>
    <cellStyle name="Normal 96" xfId="9263" xr:uid="{00000000-0005-0000-0000-00005A240000}"/>
    <cellStyle name="Normal 97" xfId="9264" xr:uid="{00000000-0005-0000-0000-00005B240000}"/>
    <cellStyle name="Normal 98" xfId="9265" xr:uid="{00000000-0005-0000-0000-00005C240000}"/>
    <cellStyle name="Normal 99" xfId="9266" xr:uid="{00000000-0005-0000-0000-00005D240000}"/>
    <cellStyle name="Note 10" xfId="9267" xr:uid="{00000000-0005-0000-0000-00005E240000}"/>
    <cellStyle name="Note 10 2" xfId="9268" xr:uid="{00000000-0005-0000-0000-00005F240000}"/>
    <cellStyle name="Note 10 2 2" xfId="9269" xr:uid="{00000000-0005-0000-0000-000060240000}"/>
    <cellStyle name="Note 10 2 3" xfId="9270" xr:uid="{00000000-0005-0000-0000-000061240000}"/>
    <cellStyle name="Note 10 2 4" xfId="9271" xr:uid="{00000000-0005-0000-0000-000062240000}"/>
    <cellStyle name="Note 10 3" xfId="9272" xr:uid="{00000000-0005-0000-0000-000063240000}"/>
    <cellStyle name="Note 10 3 2" xfId="9273" xr:uid="{00000000-0005-0000-0000-000064240000}"/>
    <cellStyle name="Note 10 3 3" xfId="9274" xr:uid="{00000000-0005-0000-0000-000065240000}"/>
    <cellStyle name="Note 10 3 4" xfId="9275" xr:uid="{00000000-0005-0000-0000-000066240000}"/>
    <cellStyle name="Note 10 4" xfId="9276" xr:uid="{00000000-0005-0000-0000-000067240000}"/>
    <cellStyle name="Note 10 4 2" xfId="9277" xr:uid="{00000000-0005-0000-0000-000068240000}"/>
    <cellStyle name="Note 10 4 3" xfId="9278" xr:uid="{00000000-0005-0000-0000-000069240000}"/>
    <cellStyle name="Note 10 4 4" xfId="9279" xr:uid="{00000000-0005-0000-0000-00006A240000}"/>
    <cellStyle name="Note 10 5" xfId="9280" xr:uid="{00000000-0005-0000-0000-00006B240000}"/>
    <cellStyle name="Note 10 5 2" xfId="9281" xr:uid="{00000000-0005-0000-0000-00006C240000}"/>
    <cellStyle name="Note 10 5 3" xfId="9282" xr:uid="{00000000-0005-0000-0000-00006D240000}"/>
    <cellStyle name="Note 10 5 4" xfId="9283" xr:uid="{00000000-0005-0000-0000-00006E240000}"/>
    <cellStyle name="Note 10 6" xfId="9284" xr:uid="{00000000-0005-0000-0000-00006F240000}"/>
    <cellStyle name="Note 10 7" xfId="9285" xr:uid="{00000000-0005-0000-0000-000070240000}"/>
    <cellStyle name="Note 10 8" xfId="9286" xr:uid="{00000000-0005-0000-0000-000071240000}"/>
    <cellStyle name="Note 11" xfId="9287" xr:uid="{00000000-0005-0000-0000-000072240000}"/>
    <cellStyle name="Note 11 2" xfId="9288" xr:uid="{00000000-0005-0000-0000-000073240000}"/>
    <cellStyle name="Note 11 2 2" xfId="9289" xr:uid="{00000000-0005-0000-0000-000074240000}"/>
    <cellStyle name="Note 11 2 3" xfId="9290" xr:uid="{00000000-0005-0000-0000-000075240000}"/>
    <cellStyle name="Note 11 2 4" xfId="9291" xr:uid="{00000000-0005-0000-0000-000076240000}"/>
    <cellStyle name="Note 11 3" xfId="9292" xr:uid="{00000000-0005-0000-0000-000077240000}"/>
    <cellStyle name="Note 11 3 2" xfId="9293" xr:uid="{00000000-0005-0000-0000-000078240000}"/>
    <cellStyle name="Note 11 3 3" xfId="9294" xr:uid="{00000000-0005-0000-0000-000079240000}"/>
    <cellStyle name="Note 11 3 4" xfId="9295" xr:uid="{00000000-0005-0000-0000-00007A240000}"/>
    <cellStyle name="Note 11 4" xfId="9296" xr:uid="{00000000-0005-0000-0000-00007B240000}"/>
    <cellStyle name="Note 11 4 2" xfId="9297" xr:uid="{00000000-0005-0000-0000-00007C240000}"/>
    <cellStyle name="Note 11 4 3" xfId="9298" xr:uid="{00000000-0005-0000-0000-00007D240000}"/>
    <cellStyle name="Note 11 4 4" xfId="9299" xr:uid="{00000000-0005-0000-0000-00007E240000}"/>
    <cellStyle name="Note 11 5" xfId="9300" xr:uid="{00000000-0005-0000-0000-00007F240000}"/>
    <cellStyle name="Note 11 5 2" xfId="9301" xr:uid="{00000000-0005-0000-0000-000080240000}"/>
    <cellStyle name="Note 11 5 3" xfId="9302" xr:uid="{00000000-0005-0000-0000-000081240000}"/>
    <cellStyle name="Note 11 5 4" xfId="9303" xr:uid="{00000000-0005-0000-0000-000082240000}"/>
    <cellStyle name="Note 11 6" xfId="9304" xr:uid="{00000000-0005-0000-0000-000083240000}"/>
    <cellStyle name="Note 11 7" xfId="9305" xr:uid="{00000000-0005-0000-0000-000084240000}"/>
    <cellStyle name="Note 11 8" xfId="9306" xr:uid="{00000000-0005-0000-0000-000085240000}"/>
    <cellStyle name="Note 12" xfId="9307" xr:uid="{00000000-0005-0000-0000-000086240000}"/>
    <cellStyle name="Note 12 2" xfId="9308" xr:uid="{00000000-0005-0000-0000-000087240000}"/>
    <cellStyle name="Note 12 2 2" xfId="9309" xr:uid="{00000000-0005-0000-0000-000088240000}"/>
    <cellStyle name="Note 12 2 2 2" xfId="9310" xr:uid="{00000000-0005-0000-0000-000089240000}"/>
    <cellStyle name="Note 12 2 2 2 2" xfId="9311" xr:uid="{00000000-0005-0000-0000-00008A240000}"/>
    <cellStyle name="Note 12 2 2 3" xfId="9312" xr:uid="{00000000-0005-0000-0000-00008B240000}"/>
    <cellStyle name="Note 12 2 3" xfId="9313" xr:uid="{00000000-0005-0000-0000-00008C240000}"/>
    <cellStyle name="Note 12 2 3 2" xfId="9314" xr:uid="{00000000-0005-0000-0000-00008D240000}"/>
    <cellStyle name="Note 12 2 3 2 2" xfId="9315" xr:uid="{00000000-0005-0000-0000-00008E240000}"/>
    <cellStyle name="Note 12 2 3 3" xfId="9316" xr:uid="{00000000-0005-0000-0000-00008F240000}"/>
    <cellStyle name="Note 12 2 4" xfId="9317" xr:uid="{00000000-0005-0000-0000-000090240000}"/>
    <cellStyle name="Note 12 2 4 2" xfId="9318" xr:uid="{00000000-0005-0000-0000-000091240000}"/>
    <cellStyle name="Note 12 2 5" xfId="9319" xr:uid="{00000000-0005-0000-0000-000092240000}"/>
    <cellStyle name="Note 12 2 6" xfId="9320" xr:uid="{00000000-0005-0000-0000-000093240000}"/>
    <cellStyle name="Note 12 3" xfId="9321" xr:uid="{00000000-0005-0000-0000-000094240000}"/>
    <cellStyle name="Note 12 3 2" xfId="9322" xr:uid="{00000000-0005-0000-0000-000095240000}"/>
    <cellStyle name="Note 12 3 2 2" xfId="9323" xr:uid="{00000000-0005-0000-0000-000096240000}"/>
    <cellStyle name="Note 12 3 2 2 2" xfId="9324" xr:uid="{00000000-0005-0000-0000-000097240000}"/>
    <cellStyle name="Note 12 3 2 3" xfId="9325" xr:uid="{00000000-0005-0000-0000-000098240000}"/>
    <cellStyle name="Note 12 3 3" xfId="9326" xr:uid="{00000000-0005-0000-0000-000099240000}"/>
    <cellStyle name="Note 12 3 3 2" xfId="9327" xr:uid="{00000000-0005-0000-0000-00009A240000}"/>
    <cellStyle name="Note 12 3 4" xfId="9328" xr:uid="{00000000-0005-0000-0000-00009B240000}"/>
    <cellStyle name="Note 12 3 5" xfId="9329" xr:uid="{00000000-0005-0000-0000-00009C240000}"/>
    <cellStyle name="Note 12 4" xfId="9330" xr:uid="{00000000-0005-0000-0000-00009D240000}"/>
    <cellStyle name="Note 12 4 2" xfId="9331" xr:uid="{00000000-0005-0000-0000-00009E240000}"/>
    <cellStyle name="Note 12 4 2 2" xfId="9332" xr:uid="{00000000-0005-0000-0000-00009F240000}"/>
    <cellStyle name="Note 12 4 3" xfId="9333" xr:uid="{00000000-0005-0000-0000-0000A0240000}"/>
    <cellStyle name="Note 12 5" xfId="9334" xr:uid="{00000000-0005-0000-0000-0000A1240000}"/>
    <cellStyle name="Note 12 5 2" xfId="9335" xr:uid="{00000000-0005-0000-0000-0000A2240000}"/>
    <cellStyle name="Note 12 5 2 2" xfId="9336" xr:uid="{00000000-0005-0000-0000-0000A3240000}"/>
    <cellStyle name="Note 12 5 3" xfId="9337" xr:uid="{00000000-0005-0000-0000-0000A4240000}"/>
    <cellStyle name="Note 12 6" xfId="9338" xr:uid="{00000000-0005-0000-0000-0000A5240000}"/>
    <cellStyle name="Note 12 6 2" xfId="9339" xr:uid="{00000000-0005-0000-0000-0000A6240000}"/>
    <cellStyle name="Note 12 7" xfId="9340" xr:uid="{00000000-0005-0000-0000-0000A7240000}"/>
    <cellStyle name="Note 12 8" xfId="9341" xr:uid="{00000000-0005-0000-0000-0000A8240000}"/>
    <cellStyle name="Note 13" xfId="9342" xr:uid="{00000000-0005-0000-0000-0000A9240000}"/>
    <cellStyle name="Note 13 2" xfId="9343" xr:uid="{00000000-0005-0000-0000-0000AA240000}"/>
    <cellStyle name="Note 13 2 2" xfId="9344" xr:uid="{00000000-0005-0000-0000-0000AB240000}"/>
    <cellStyle name="Note 13 2 2 2" xfId="9345" xr:uid="{00000000-0005-0000-0000-0000AC240000}"/>
    <cellStyle name="Note 13 2 2 2 2" xfId="9346" xr:uid="{00000000-0005-0000-0000-0000AD240000}"/>
    <cellStyle name="Note 13 2 2 3" xfId="9347" xr:uid="{00000000-0005-0000-0000-0000AE240000}"/>
    <cellStyle name="Note 13 2 3" xfId="9348" xr:uid="{00000000-0005-0000-0000-0000AF240000}"/>
    <cellStyle name="Note 13 2 3 2" xfId="9349" xr:uid="{00000000-0005-0000-0000-0000B0240000}"/>
    <cellStyle name="Note 13 2 4" xfId="9350" xr:uid="{00000000-0005-0000-0000-0000B1240000}"/>
    <cellStyle name="Note 13 3" xfId="9351" xr:uid="{00000000-0005-0000-0000-0000B2240000}"/>
    <cellStyle name="Note 13 3 2" xfId="9352" xr:uid="{00000000-0005-0000-0000-0000B3240000}"/>
    <cellStyle name="Note 13 3 2 2" xfId="9353" xr:uid="{00000000-0005-0000-0000-0000B4240000}"/>
    <cellStyle name="Note 13 3 3" xfId="9354" xr:uid="{00000000-0005-0000-0000-0000B5240000}"/>
    <cellStyle name="Note 13 4" xfId="9355" xr:uid="{00000000-0005-0000-0000-0000B6240000}"/>
    <cellStyle name="Note 13 4 2" xfId="9356" xr:uid="{00000000-0005-0000-0000-0000B7240000}"/>
    <cellStyle name="Note 13 5" xfId="9357" xr:uid="{00000000-0005-0000-0000-0000B8240000}"/>
    <cellStyle name="Note 2" xfId="9358" xr:uid="{00000000-0005-0000-0000-0000B9240000}"/>
    <cellStyle name="Note 2 10" xfId="9359" xr:uid="{00000000-0005-0000-0000-0000BA240000}"/>
    <cellStyle name="Note 2 10 2" xfId="9360" xr:uid="{00000000-0005-0000-0000-0000BB240000}"/>
    <cellStyle name="Note 2 10 3" xfId="9361" xr:uid="{00000000-0005-0000-0000-0000BC240000}"/>
    <cellStyle name="Note 2 10 4" xfId="9362" xr:uid="{00000000-0005-0000-0000-0000BD240000}"/>
    <cellStyle name="Note 2 11" xfId="9363" xr:uid="{00000000-0005-0000-0000-0000BE240000}"/>
    <cellStyle name="Note 2 11 2" xfId="9364" xr:uid="{00000000-0005-0000-0000-0000BF240000}"/>
    <cellStyle name="Note 2 11 2 2" xfId="9365" xr:uid="{00000000-0005-0000-0000-0000C0240000}"/>
    <cellStyle name="Note 2 11 2 2 2" xfId="9366" xr:uid="{00000000-0005-0000-0000-0000C1240000}"/>
    <cellStyle name="Note 2 11 2 2 2 2" xfId="9367" xr:uid="{00000000-0005-0000-0000-0000C2240000}"/>
    <cellStyle name="Note 2 11 2 2 3" xfId="9368" xr:uid="{00000000-0005-0000-0000-0000C3240000}"/>
    <cellStyle name="Note 2 11 2 3" xfId="9369" xr:uid="{00000000-0005-0000-0000-0000C4240000}"/>
    <cellStyle name="Note 2 11 2 3 2" xfId="9370" xr:uid="{00000000-0005-0000-0000-0000C5240000}"/>
    <cellStyle name="Note 2 11 2 3 2 2" xfId="9371" xr:uid="{00000000-0005-0000-0000-0000C6240000}"/>
    <cellStyle name="Note 2 11 2 3 3" xfId="9372" xr:uid="{00000000-0005-0000-0000-0000C7240000}"/>
    <cellStyle name="Note 2 11 2 4" xfId="9373" xr:uid="{00000000-0005-0000-0000-0000C8240000}"/>
    <cellStyle name="Note 2 11 2 4 2" xfId="9374" xr:uid="{00000000-0005-0000-0000-0000C9240000}"/>
    <cellStyle name="Note 2 11 2 5" xfId="9375" xr:uid="{00000000-0005-0000-0000-0000CA240000}"/>
    <cellStyle name="Note 2 11 2 6" xfId="9376" xr:uid="{00000000-0005-0000-0000-0000CB240000}"/>
    <cellStyle name="Note 2 11 3" xfId="9377" xr:uid="{00000000-0005-0000-0000-0000CC240000}"/>
    <cellStyle name="Note 2 11 3 2" xfId="9378" xr:uid="{00000000-0005-0000-0000-0000CD240000}"/>
    <cellStyle name="Note 2 11 3 2 2" xfId="9379" xr:uid="{00000000-0005-0000-0000-0000CE240000}"/>
    <cellStyle name="Note 2 11 3 2 2 2" xfId="9380" xr:uid="{00000000-0005-0000-0000-0000CF240000}"/>
    <cellStyle name="Note 2 11 3 2 3" xfId="9381" xr:uid="{00000000-0005-0000-0000-0000D0240000}"/>
    <cellStyle name="Note 2 11 3 3" xfId="9382" xr:uid="{00000000-0005-0000-0000-0000D1240000}"/>
    <cellStyle name="Note 2 11 3 3 2" xfId="9383" xr:uid="{00000000-0005-0000-0000-0000D2240000}"/>
    <cellStyle name="Note 2 11 3 4" xfId="9384" xr:uid="{00000000-0005-0000-0000-0000D3240000}"/>
    <cellStyle name="Note 2 11 3 5" xfId="9385" xr:uid="{00000000-0005-0000-0000-0000D4240000}"/>
    <cellStyle name="Note 2 11 4" xfId="9386" xr:uid="{00000000-0005-0000-0000-0000D5240000}"/>
    <cellStyle name="Note 2 11 4 2" xfId="9387" xr:uid="{00000000-0005-0000-0000-0000D6240000}"/>
    <cellStyle name="Note 2 11 4 2 2" xfId="9388" xr:uid="{00000000-0005-0000-0000-0000D7240000}"/>
    <cellStyle name="Note 2 11 4 3" xfId="9389" xr:uid="{00000000-0005-0000-0000-0000D8240000}"/>
    <cellStyle name="Note 2 11 5" xfId="9390" xr:uid="{00000000-0005-0000-0000-0000D9240000}"/>
    <cellStyle name="Note 2 11 5 2" xfId="9391" xr:uid="{00000000-0005-0000-0000-0000DA240000}"/>
    <cellStyle name="Note 2 11 5 2 2" xfId="9392" xr:uid="{00000000-0005-0000-0000-0000DB240000}"/>
    <cellStyle name="Note 2 11 5 3" xfId="9393" xr:uid="{00000000-0005-0000-0000-0000DC240000}"/>
    <cellStyle name="Note 2 11 6" xfId="9394" xr:uid="{00000000-0005-0000-0000-0000DD240000}"/>
    <cellStyle name="Note 2 11 6 2" xfId="9395" xr:uid="{00000000-0005-0000-0000-0000DE240000}"/>
    <cellStyle name="Note 2 11 7" xfId="9396" xr:uid="{00000000-0005-0000-0000-0000DF240000}"/>
    <cellStyle name="Note 2 11 8" xfId="9397" xr:uid="{00000000-0005-0000-0000-0000E0240000}"/>
    <cellStyle name="Note 2 12" xfId="9398" xr:uid="{00000000-0005-0000-0000-0000E1240000}"/>
    <cellStyle name="Note 2 13" xfId="9399" xr:uid="{00000000-0005-0000-0000-0000E2240000}"/>
    <cellStyle name="Note 2 14" xfId="9400" xr:uid="{00000000-0005-0000-0000-0000E3240000}"/>
    <cellStyle name="Note 2 2" xfId="9401" xr:uid="{00000000-0005-0000-0000-0000E4240000}"/>
    <cellStyle name="Note 2 2 2" xfId="9402" xr:uid="{00000000-0005-0000-0000-0000E5240000}"/>
    <cellStyle name="Note 2 2 2 2" xfId="9403" xr:uid="{00000000-0005-0000-0000-0000E6240000}"/>
    <cellStyle name="Note 2 2 2 3" xfId="9404" xr:uid="{00000000-0005-0000-0000-0000E7240000}"/>
    <cellStyle name="Note 2 2 2 4" xfId="9405" xr:uid="{00000000-0005-0000-0000-0000E8240000}"/>
    <cellStyle name="Note 2 2 3" xfId="9406" xr:uid="{00000000-0005-0000-0000-0000E9240000}"/>
    <cellStyle name="Note 2 2 3 2" xfId="9407" xr:uid="{00000000-0005-0000-0000-0000EA240000}"/>
    <cellStyle name="Note 2 2 3 3" xfId="9408" xr:uid="{00000000-0005-0000-0000-0000EB240000}"/>
    <cellStyle name="Note 2 2 3 4" xfId="9409" xr:uid="{00000000-0005-0000-0000-0000EC240000}"/>
    <cellStyle name="Note 2 2 4" xfId="9410" xr:uid="{00000000-0005-0000-0000-0000ED240000}"/>
    <cellStyle name="Note 2 2 4 2" xfId="9411" xr:uid="{00000000-0005-0000-0000-0000EE240000}"/>
    <cellStyle name="Note 2 2 4 3" xfId="9412" xr:uid="{00000000-0005-0000-0000-0000EF240000}"/>
    <cellStyle name="Note 2 2 4 4" xfId="9413" xr:uid="{00000000-0005-0000-0000-0000F0240000}"/>
    <cellStyle name="Note 2 2 5" xfId="9414" xr:uid="{00000000-0005-0000-0000-0000F1240000}"/>
    <cellStyle name="Note 2 2 5 2" xfId="9415" xr:uid="{00000000-0005-0000-0000-0000F2240000}"/>
    <cellStyle name="Note 2 2 5 3" xfId="9416" xr:uid="{00000000-0005-0000-0000-0000F3240000}"/>
    <cellStyle name="Note 2 2 5 4" xfId="9417" xr:uid="{00000000-0005-0000-0000-0000F4240000}"/>
    <cellStyle name="Note 2 2 6" xfId="9418" xr:uid="{00000000-0005-0000-0000-0000F5240000}"/>
    <cellStyle name="Note 2 2 7" xfId="9419" xr:uid="{00000000-0005-0000-0000-0000F6240000}"/>
    <cellStyle name="Note 2 2 8" xfId="9420" xr:uid="{00000000-0005-0000-0000-0000F7240000}"/>
    <cellStyle name="Note 2 3" xfId="9421" xr:uid="{00000000-0005-0000-0000-0000F8240000}"/>
    <cellStyle name="Note 2 3 2" xfId="9422" xr:uid="{00000000-0005-0000-0000-0000F9240000}"/>
    <cellStyle name="Note 2 3 2 2" xfId="9423" xr:uid="{00000000-0005-0000-0000-0000FA240000}"/>
    <cellStyle name="Note 2 3 2 3" xfId="9424" xr:uid="{00000000-0005-0000-0000-0000FB240000}"/>
    <cellStyle name="Note 2 3 2 4" xfId="9425" xr:uid="{00000000-0005-0000-0000-0000FC240000}"/>
    <cellStyle name="Note 2 3 3" xfId="9426" xr:uid="{00000000-0005-0000-0000-0000FD240000}"/>
    <cellStyle name="Note 2 3 3 2" xfId="9427" xr:uid="{00000000-0005-0000-0000-0000FE240000}"/>
    <cellStyle name="Note 2 3 3 3" xfId="9428" xr:uid="{00000000-0005-0000-0000-0000FF240000}"/>
    <cellStyle name="Note 2 3 3 4" xfId="9429" xr:uid="{00000000-0005-0000-0000-000000250000}"/>
    <cellStyle name="Note 2 3 4" xfId="9430" xr:uid="{00000000-0005-0000-0000-000001250000}"/>
    <cellStyle name="Note 2 3 4 2" xfId="9431" xr:uid="{00000000-0005-0000-0000-000002250000}"/>
    <cellStyle name="Note 2 3 4 3" xfId="9432" xr:uid="{00000000-0005-0000-0000-000003250000}"/>
    <cellStyle name="Note 2 3 4 4" xfId="9433" xr:uid="{00000000-0005-0000-0000-000004250000}"/>
    <cellStyle name="Note 2 3 5" xfId="9434" xr:uid="{00000000-0005-0000-0000-000005250000}"/>
    <cellStyle name="Note 2 3 5 2" xfId="9435" xr:uid="{00000000-0005-0000-0000-000006250000}"/>
    <cellStyle name="Note 2 3 5 3" xfId="9436" xr:uid="{00000000-0005-0000-0000-000007250000}"/>
    <cellStyle name="Note 2 3 5 4" xfId="9437" xr:uid="{00000000-0005-0000-0000-000008250000}"/>
    <cellStyle name="Note 2 3 6" xfId="9438" xr:uid="{00000000-0005-0000-0000-000009250000}"/>
    <cellStyle name="Note 2 3 7" xfId="9439" xr:uid="{00000000-0005-0000-0000-00000A250000}"/>
    <cellStyle name="Note 2 3 8" xfId="9440" xr:uid="{00000000-0005-0000-0000-00000B250000}"/>
    <cellStyle name="Note 2 4" xfId="9441" xr:uid="{00000000-0005-0000-0000-00000C250000}"/>
    <cellStyle name="Note 2 4 2" xfId="9442" xr:uid="{00000000-0005-0000-0000-00000D250000}"/>
    <cellStyle name="Note 2 4 2 2" xfId="9443" xr:uid="{00000000-0005-0000-0000-00000E250000}"/>
    <cellStyle name="Note 2 4 2 3" xfId="9444" xr:uid="{00000000-0005-0000-0000-00000F250000}"/>
    <cellStyle name="Note 2 4 2 4" xfId="9445" xr:uid="{00000000-0005-0000-0000-000010250000}"/>
    <cellStyle name="Note 2 4 3" xfId="9446" xr:uid="{00000000-0005-0000-0000-000011250000}"/>
    <cellStyle name="Note 2 4 3 2" xfId="9447" xr:uid="{00000000-0005-0000-0000-000012250000}"/>
    <cellStyle name="Note 2 4 3 3" xfId="9448" xr:uid="{00000000-0005-0000-0000-000013250000}"/>
    <cellStyle name="Note 2 4 3 4" xfId="9449" xr:uid="{00000000-0005-0000-0000-000014250000}"/>
    <cellStyle name="Note 2 4 4" xfId="9450" xr:uid="{00000000-0005-0000-0000-000015250000}"/>
    <cellStyle name="Note 2 4 4 2" xfId="9451" xr:uid="{00000000-0005-0000-0000-000016250000}"/>
    <cellStyle name="Note 2 4 4 3" xfId="9452" xr:uid="{00000000-0005-0000-0000-000017250000}"/>
    <cellStyle name="Note 2 4 4 4" xfId="9453" xr:uid="{00000000-0005-0000-0000-000018250000}"/>
    <cellStyle name="Note 2 4 5" xfId="9454" xr:uid="{00000000-0005-0000-0000-000019250000}"/>
    <cellStyle name="Note 2 4 5 2" xfId="9455" xr:uid="{00000000-0005-0000-0000-00001A250000}"/>
    <cellStyle name="Note 2 4 5 3" xfId="9456" xr:uid="{00000000-0005-0000-0000-00001B250000}"/>
    <cellStyle name="Note 2 4 5 4" xfId="9457" xr:uid="{00000000-0005-0000-0000-00001C250000}"/>
    <cellStyle name="Note 2 4 6" xfId="9458" xr:uid="{00000000-0005-0000-0000-00001D250000}"/>
    <cellStyle name="Note 2 4 7" xfId="9459" xr:uid="{00000000-0005-0000-0000-00001E250000}"/>
    <cellStyle name="Note 2 4 8" xfId="9460" xr:uid="{00000000-0005-0000-0000-00001F250000}"/>
    <cellStyle name="Note 2 5" xfId="9461" xr:uid="{00000000-0005-0000-0000-000020250000}"/>
    <cellStyle name="Note 2 5 2" xfId="9462" xr:uid="{00000000-0005-0000-0000-000021250000}"/>
    <cellStyle name="Note 2 5 2 2" xfId="9463" xr:uid="{00000000-0005-0000-0000-000022250000}"/>
    <cellStyle name="Note 2 5 2 3" xfId="9464" xr:uid="{00000000-0005-0000-0000-000023250000}"/>
    <cellStyle name="Note 2 5 2 4" xfId="9465" xr:uid="{00000000-0005-0000-0000-000024250000}"/>
    <cellStyle name="Note 2 5 3" xfId="9466" xr:uid="{00000000-0005-0000-0000-000025250000}"/>
    <cellStyle name="Note 2 5 3 2" xfId="9467" xr:uid="{00000000-0005-0000-0000-000026250000}"/>
    <cellStyle name="Note 2 5 3 3" xfId="9468" xr:uid="{00000000-0005-0000-0000-000027250000}"/>
    <cellStyle name="Note 2 5 3 4" xfId="9469" xr:uid="{00000000-0005-0000-0000-000028250000}"/>
    <cellStyle name="Note 2 5 4" xfId="9470" xr:uid="{00000000-0005-0000-0000-000029250000}"/>
    <cellStyle name="Note 2 5 4 2" xfId="9471" xr:uid="{00000000-0005-0000-0000-00002A250000}"/>
    <cellStyle name="Note 2 5 4 3" xfId="9472" xr:uid="{00000000-0005-0000-0000-00002B250000}"/>
    <cellStyle name="Note 2 5 4 4" xfId="9473" xr:uid="{00000000-0005-0000-0000-00002C250000}"/>
    <cellStyle name="Note 2 5 5" xfId="9474" xr:uid="{00000000-0005-0000-0000-00002D250000}"/>
    <cellStyle name="Note 2 5 5 2" xfId="9475" xr:uid="{00000000-0005-0000-0000-00002E250000}"/>
    <cellStyle name="Note 2 5 5 3" xfId="9476" xr:uid="{00000000-0005-0000-0000-00002F250000}"/>
    <cellStyle name="Note 2 5 5 4" xfId="9477" xr:uid="{00000000-0005-0000-0000-000030250000}"/>
    <cellStyle name="Note 2 5 6" xfId="9478" xr:uid="{00000000-0005-0000-0000-000031250000}"/>
    <cellStyle name="Note 2 5 7" xfId="9479" xr:uid="{00000000-0005-0000-0000-000032250000}"/>
    <cellStyle name="Note 2 5 8" xfId="9480" xr:uid="{00000000-0005-0000-0000-000033250000}"/>
    <cellStyle name="Note 2 6" xfId="9481" xr:uid="{00000000-0005-0000-0000-000034250000}"/>
    <cellStyle name="Note 2 6 2" xfId="9482" xr:uid="{00000000-0005-0000-0000-000035250000}"/>
    <cellStyle name="Note 2 6 2 2" xfId="9483" xr:uid="{00000000-0005-0000-0000-000036250000}"/>
    <cellStyle name="Note 2 6 2 3" xfId="9484" xr:uid="{00000000-0005-0000-0000-000037250000}"/>
    <cellStyle name="Note 2 6 2 4" xfId="9485" xr:uid="{00000000-0005-0000-0000-000038250000}"/>
    <cellStyle name="Note 2 6 3" xfId="9486" xr:uid="{00000000-0005-0000-0000-000039250000}"/>
    <cellStyle name="Note 2 6 3 2" xfId="9487" xr:uid="{00000000-0005-0000-0000-00003A250000}"/>
    <cellStyle name="Note 2 6 3 3" xfId="9488" xr:uid="{00000000-0005-0000-0000-00003B250000}"/>
    <cellStyle name="Note 2 6 3 4" xfId="9489" xr:uid="{00000000-0005-0000-0000-00003C250000}"/>
    <cellStyle name="Note 2 6 4" xfId="9490" xr:uid="{00000000-0005-0000-0000-00003D250000}"/>
    <cellStyle name="Note 2 6 4 2" xfId="9491" xr:uid="{00000000-0005-0000-0000-00003E250000}"/>
    <cellStyle name="Note 2 6 4 3" xfId="9492" xr:uid="{00000000-0005-0000-0000-00003F250000}"/>
    <cellStyle name="Note 2 6 4 4" xfId="9493" xr:uid="{00000000-0005-0000-0000-000040250000}"/>
    <cellStyle name="Note 2 6 5" xfId="9494" xr:uid="{00000000-0005-0000-0000-000041250000}"/>
    <cellStyle name="Note 2 6 5 2" xfId="9495" xr:uid="{00000000-0005-0000-0000-000042250000}"/>
    <cellStyle name="Note 2 6 5 3" xfId="9496" xr:uid="{00000000-0005-0000-0000-000043250000}"/>
    <cellStyle name="Note 2 6 5 4" xfId="9497" xr:uid="{00000000-0005-0000-0000-000044250000}"/>
    <cellStyle name="Note 2 6 6" xfId="9498" xr:uid="{00000000-0005-0000-0000-000045250000}"/>
    <cellStyle name="Note 2 6 7" xfId="9499" xr:uid="{00000000-0005-0000-0000-000046250000}"/>
    <cellStyle name="Note 2 6 8" xfId="9500" xr:uid="{00000000-0005-0000-0000-000047250000}"/>
    <cellStyle name="Note 2 7" xfId="9501" xr:uid="{00000000-0005-0000-0000-000048250000}"/>
    <cellStyle name="Note 2 7 2" xfId="9502" xr:uid="{00000000-0005-0000-0000-000049250000}"/>
    <cellStyle name="Note 2 7 2 2" xfId="9503" xr:uid="{00000000-0005-0000-0000-00004A250000}"/>
    <cellStyle name="Note 2 7 2 3" xfId="9504" xr:uid="{00000000-0005-0000-0000-00004B250000}"/>
    <cellStyle name="Note 2 7 2 4" xfId="9505" xr:uid="{00000000-0005-0000-0000-00004C250000}"/>
    <cellStyle name="Note 2 7 3" xfId="9506" xr:uid="{00000000-0005-0000-0000-00004D250000}"/>
    <cellStyle name="Note 2 7 4" xfId="9507" xr:uid="{00000000-0005-0000-0000-00004E250000}"/>
    <cellStyle name="Note 2 7 5" xfId="9508" xr:uid="{00000000-0005-0000-0000-00004F250000}"/>
    <cellStyle name="Note 2 8" xfId="9509" xr:uid="{00000000-0005-0000-0000-000050250000}"/>
    <cellStyle name="Note 2 8 2" xfId="9510" xr:uid="{00000000-0005-0000-0000-000051250000}"/>
    <cellStyle name="Note 2 8 3" xfId="9511" xr:uid="{00000000-0005-0000-0000-000052250000}"/>
    <cellStyle name="Note 2 8 4" xfId="9512" xr:uid="{00000000-0005-0000-0000-000053250000}"/>
    <cellStyle name="Note 2 9" xfId="9513" xr:uid="{00000000-0005-0000-0000-000054250000}"/>
    <cellStyle name="Note 2 9 2" xfId="9514" xr:uid="{00000000-0005-0000-0000-000055250000}"/>
    <cellStyle name="Note 2 9 3" xfId="9515" xr:uid="{00000000-0005-0000-0000-000056250000}"/>
    <cellStyle name="Note 2 9 4" xfId="9516" xr:uid="{00000000-0005-0000-0000-000057250000}"/>
    <cellStyle name="Note 3" xfId="9517" xr:uid="{00000000-0005-0000-0000-000058250000}"/>
    <cellStyle name="Note 3 10" xfId="9518" xr:uid="{00000000-0005-0000-0000-000059250000}"/>
    <cellStyle name="Note 3 10 2" xfId="9519" xr:uid="{00000000-0005-0000-0000-00005A250000}"/>
    <cellStyle name="Note 3 10 3" xfId="9520" xr:uid="{00000000-0005-0000-0000-00005B250000}"/>
    <cellStyle name="Note 3 10 4" xfId="9521" xr:uid="{00000000-0005-0000-0000-00005C250000}"/>
    <cellStyle name="Note 3 11" xfId="9522" xr:uid="{00000000-0005-0000-0000-00005D250000}"/>
    <cellStyle name="Note 3 12" xfId="9523" xr:uid="{00000000-0005-0000-0000-00005E250000}"/>
    <cellStyle name="Note 3 13" xfId="9524" xr:uid="{00000000-0005-0000-0000-00005F250000}"/>
    <cellStyle name="Note 3 14" xfId="9525" xr:uid="{00000000-0005-0000-0000-000060250000}"/>
    <cellStyle name="Note 3 2" xfId="9526" xr:uid="{00000000-0005-0000-0000-000061250000}"/>
    <cellStyle name="Note 3 2 2" xfId="9527" xr:uid="{00000000-0005-0000-0000-000062250000}"/>
    <cellStyle name="Note 3 2 2 2" xfId="9528" xr:uid="{00000000-0005-0000-0000-000063250000}"/>
    <cellStyle name="Note 3 2 2 3" xfId="9529" xr:uid="{00000000-0005-0000-0000-000064250000}"/>
    <cellStyle name="Note 3 2 2 4" xfId="9530" xr:uid="{00000000-0005-0000-0000-000065250000}"/>
    <cellStyle name="Note 3 2 3" xfId="9531" xr:uid="{00000000-0005-0000-0000-000066250000}"/>
    <cellStyle name="Note 3 2 3 2" xfId="9532" xr:uid="{00000000-0005-0000-0000-000067250000}"/>
    <cellStyle name="Note 3 2 3 3" xfId="9533" xr:uid="{00000000-0005-0000-0000-000068250000}"/>
    <cellStyle name="Note 3 2 3 4" xfId="9534" xr:uid="{00000000-0005-0000-0000-000069250000}"/>
    <cellStyle name="Note 3 2 4" xfId="9535" xr:uid="{00000000-0005-0000-0000-00006A250000}"/>
    <cellStyle name="Note 3 2 4 2" xfId="9536" xr:uid="{00000000-0005-0000-0000-00006B250000}"/>
    <cellStyle name="Note 3 2 4 3" xfId="9537" xr:uid="{00000000-0005-0000-0000-00006C250000}"/>
    <cellStyle name="Note 3 2 4 4" xfId="9538" xr:uid="{00000000-0005-0000-0000-00006D250000}"/>
    <cellStyle name="Note 3 2 5" xfId="9539" xr:uid="{00000000-0005-0000-0000-00006E250000}"/>
    <cellStyle name="Note 3 2 5 2" xfId="9540" xr:uid="{00000000-0005-0000-0000-00006F250000}"/>
    <cellStyle name="Note 3 2 5 3" xfId="9541" xr:uid="{00000000-0005-0000-0000-000070250000}"/>
    <cellStyle name="Note 3 2 5 4" xfId="9542" xr:uid="{00000000-0005-0000-0000-000071250000}"/>
    <cellStyle name="Note 3 2 6" xfId="9543" xr:uid="{00000000-0005-0000-0000-000072250000}"/>
    <cellStyle name="Note 3 2 7" xfId="9544" xr:uid="{00000000-0005-0000-0000-000073250000}"/>
    <cellStyle name="Note 3 2 8" xfId="9545" xr:uid="{00000000-0005-0000-0000-000074250000}"/>
    <cellStyle name="Note 3 3" xfId="9546" xr:uid="{00000000-0005-0000-0000-000075250000}"/>
    <cellStyle name="Note 3 3 2" xfId="9547" xr:uid="{00000000-0005-0000-0000-000076250000}"/>
    <cellStyle name="Note 3 3 2 2" xfId="9548" xr:uid="{00000000-0005-0000-0000-000077250000}"/>
    <cellStyle name="Note 3 3 2 3" xfId="9549" xr:uid="{00000000-0005-0000-0000-000078250000}"/>
    <cellStyle name="Note 3 3 2 4" xfId="9550" xr:uid="{00000000-0005-0000-0000-000079250000}"/>
    <cellStyle name="Note 3 3 3" xfId="9551" xr:uid="{00000000-0005-0000-0000-00007A250000}"/>
    <cellStyle name="Note 3 3 3 2" xfId="9552" xr:uid="{00000000-0005-0000-0000-00007B250000}"/>
    <cellStyle name="Note 3 3 3 3" xfId="9553" xr:uid="{00000000-0005-0000-0000-00007C250000}"/>
    <cellStyle name="Note 3 3 3 4" xfId="9554" xr:uid="{00000000-0005-0000-0000-00007D250000}"/>
    <cellStyle name="Note 3 3 4" xfId="9555" xr:uid="{00000000-0005-0000-0000-00007E250000}"/>
    <cellStyle name="Note 3 3 4 2" xfId="9556" xr:uid="{00000000-0005-0000-0000-00007F250000}"/>
    <cellStyle name="Note 3 3 4 3" xfId="9557" xr:uid="{00000000-0005-0000-0000-000080250000}"/>
    <cellStyle name="Note 3 3 4 4" xfId="9558" xr:uid="{00000000-0005-0000-0000-000081250000}"/>
    <cellStyle name="Note 3 3 5" xfId="9559" xr:uid="{00000000-0005-0000-0000-000082250000}"/>
    <cellStyle name="Note 3 3 5 2" xfId="9560" xr:uid="{00000000-0005-0000-0000-000083250000}"/>
    <cellStyle name="Note 3 3 5 3" xfId="9561" xr:uid="{00000000-0005-0000-0000-000084250000}"/>
    <cellStyle name="Note 3 3 5 4" xfId="9562" xr:uid="{00000000-0005-0000-0000-000085250000}"/>
    <cellStyle name="Note 3 3 6" xfId="9563" xr:uid="{00000000-0005-0000-0000-000086250000}"/>
    <cellStyle name="Note 3 3 7" xfId="9564" xr:uid="{00000000-0005-0000-0000-000087250000}"/>
    <cellStyle name="Note 3 3 8" xfId="9565" xr:uid="{00000000-0005-0000-0000-000088250000}"/>
    <cellStyle name="Note 3 4" xfId="9566" xr:uid="{00000000-0005-0000-0000-000089250000}"/>
    <cellStyle name="Note 3 4 2" xfId="9567" xr:uid="{00000000-0005-0000-0000-00008A250000}"/>
    <cellStyle name="Note 3 4 2 2" xfId="9568" xr:uid="{00000000-0005-0000-0000-00008B250000}"/>
    <cellStyle name="Note 3 4 2 3" xfId="9569" xr:uid="{00000000-0005-0000-0000-00008C250000}"/>
    <cellStyle name="Note 3 4 2 4" xfId="9570" xr:uid="{00000000-0005-0000-0000-00008D250000}"/>
    <cellStyle name="Note 3 4 3" xfId="9571" xr:uid="{00000000-0005-0000-0000-00008E250000}"/>
    <cellStyle name="Note 3 4 3 2" xfId="9572" xr:uid="{00000000-0005-0000-0000-00008F250000}"/>
    <cellStyle name="Note 3 4 3 3" xfId="9573" xr:uid="{00000000-0005-0000-0000-000090250000}"/>
    <cellStyle name="Note 3 4 3 4" xfId="9574" xr:uid="{00000000-0005-0000-0000-000091250000}"/>
    <cellStyle name="Note 3 4 4" xfId="9575" xr:uid="{00000000-0005-0000-0000-000092250000}"/>
    <cellStyle name="Note 3 4 4 2" xfId="9576" xr:uid="{00000000-0005-0000-0000-000093250000}"/>
    <cellStyle name="Note 3 4 4 3" xfId="9577" xr:uid="{00000000-0005-0000-0000-000094250000}"/>
    <cellStyle name="Note 3 4 4 4" xfId="9578" xr:uid="{00000000-0005-0000-0000-000095250000}"/>
    <cellStyle name="Note 3 4 5" xfId="9579" xr:uid="{00000000-0005-0000-0000-000096250000}"/>
    <cellStyle name="Note 3 4 5 2" xfId="9580" xr:uid="{00000000-0005-0000-0000-000097250000}"/>
    <cellStyle name="Note 3 4 5 3" xfId="9581" xr:uid="{00000000-0005-0000-0000-000098250000}"/>
    <cellStyle name="Note 3 4 5 4" xfId="9582" xr:uid="{00000000-0005-0000-0000-000099250000}"/>
    <cellStyle name="Note 3 4 6" xfId="9583" xr:uid="{00000000-0005-0000-0000-00009A250000}"/>
    <cellStyle name="Note 3 4 7" xfId="9584" xr:uid="{00000000-0005-0000-0000-00009B250000}"/>
    <cellStyle name="Note 3 4 8" xfId="9585" xr:uid="{00000000-0005-0000-0000-00009C250000}"/>
    <cellStyle name="Note 3 5" xfId="9586" xr:uid="{00000000-0005-0000-0000-00009D250000}"/>
    <cellStyle name="Note 3 5 2" xfId="9587" xr:uid="{00000000-0005-0000-0000-00009E250000}"/>
    <cellStyle name="Note 3 5 2 2" xfId="9588" xr:uid="{00000000-0005-0000-0000-00009F250000}"/>
    <cellStyle name="Note 3 5 2 3" xfId="9589" xr:uid="{00000000-0005-0000-0000-0000A0250000}"/>
    <cellStyle name="Note 3 5 2 4" xfId="9590" xr:uid="{00000000-0005-0000-0000-0000A1250000}"/>
    <cellStyle name="Note 3 5 3" xfId="9591" xr:uid="{00000000-0005-0000-0000-0000A2250000}"/>
    <cellStyle name="Note 3 5 3 2" xfId="9592" xr:uid="{00000000-0005-0000-0000-0000A3250000}"/>
    <cellStyle name="Note 3 5 3 3" xfId="9593" xr:uid="{00000000-0005-0000-0000-0000A4250000}"/>
    <cellStyle name="Note 3 5 3 4" xfId="9594" xr:uid="{00000000-0005-0000-0000-0000A5250000}"/>
    <cellStyle name="Note 3 5 4" xfId="9595" xr:uid="{00000000-0005-0000-0000-0000A6250000}"/>
    <cellStyle name="Note 3 5 4 2" xfId="9596" xr:uid="{00000000-0005-0000-0000-0000A7250000}"/>
    <cellStyle name="Note 3 5 4 3" xfId="9597" xr:uid="{00000000-0005-0000-0000-0000A8250000}"/>
    <cellStyle name="Note 3 5 4 4" xfId="9598" xr:uid="{00000000-0005-0000-0000-0000A9250000}"/>
    <cellStyle name="Note 3 5 5" xfId="9599" xr:uid="{00000000-0005-0000-0000-0000AA250000}"/>
    <cellStyle name="Note 3 5 5 2" xfId="9600" xr:uid="{00000000-0005-0000-0000-0000AB250000}"/>
    <cellStyle name="Note 3 5 5 3" xfId="9601" xr:uid="{00000000-0005-0000-0000-0000AC250000}"/>
    <cellStyle name="Note 3 5 5 4" xfId="9602" xr:uid="{00000000-0005-0000-0000-0000AD250000}"/>
    <cellStyle name="Note 3 5 6" xfId="9603" xr:uid="{00000000-0005-0000-0000-0000AE250000}"/>
    <cellStyle name="Note 3 5 7" xfId="9604" xr:uid="{00000000-0005-0000-0000-0000AF250000}"/>
    <cellStyle name="Note 3 5 8" xfId="9605" xr:uid="{00000000-0005-0000-0000-0000B0250000}"/>
    <cellStyle name="Note 3 6" xfId="9606" xr:uid="{00000000-0005-0000-0000-0000B1250000}"/>
    <cellStyle name="Note 3 6 2" xfId="9607" xr:uid="{00000000-0005-0000-0000-0000B2250000}"/>
    <cellStyle name="Note 3 6 2 2" xfId="9608" xr:uid="{00000000-0005-0000-0000-0000B3250000}"/>
    <cellStyle name="Note 3 6 2 3" xfId="9609" xr:uid="{00000000-0005-0000-0000-0000B4250000}"/>
    <cellStyle name="Note 3 6 2 4" xfId="9610" xr:uid="{00000000-0005-0000-0000-0000B5250000}"/>
    <cellStyle name="Note 3 6 3" xfId="9611" xr:uid="{00000000-0005-0000-0000-0000B6250000}"/>
    <cellStyle name="Note 3 6 3 2" xfId="9612" xr:uid="{00000000-0005-0000-0000-0000B7250000}"/>
    <cellStyle name="Note 3 6 3 3" xfId="9613" xr:uid="{00000000-0005-0000-0000-0000B8250000}"/>
    <cellStyle name="Note 3 6 3 4" xfId="9614" xr:uid="{00000000-0005-0000-0000-0000B9250000}"/>
    <cellStyle name="Note 3 6 4" xfId="9615" xr:uid="{00000000-0005-0000-0000-0000BA250000}"/>
    <cellStyle name="Note 3 6 4 2" xfId="9616" xr:uid="{00000000-0005-0000-0000-0000BB250000}"/>
    <cellStyle name="Note 3 6 4 3" xfId="9617" xr:uid="{00000000-0005-0000-0000-0000BC250000}"/>
    <cellStyle name="Note 3 6 4 4" xfId="9618" xr:uid="{00000000-0005-0000-0000-0000BD250000}"/>
    <cellStyle name="Note 3 6 5" xfId="9619" xr:uid="{00000000-0005-0000-0000-0000BE250000}"/>
    <cellStyle name="Note 3 6 5 2" xfId="9620" xr:uid="{00000000-0005-0000-0000-0000BF250000}"/>
    <cellStyle name="Note 3 6 5 3" xfId="9621" xr:uid="{00000000-0005-0000-0000-0000C0250000}"/>
    <cellStyle name="Note 3 6 5 4" xfId="9622" xr:uid="{00000000-0005-0000-0000-0000C1250000}"/>
    <cellStyle name="Note 3 6 6" xfId="9623" xr:uid="{00000000-0005-0000-0000-0000C2250000}"/>
    <cellStyle name="Note 3 6 7" xfId="9624" xr:uid="{00000000-0005-0000-0000-0000C3250000}"/>
    <cellStyle name="Note 3 6 8" xfId="9625" xr:uid="{00000000-0005-0000-0000-0000C4250000}"/>
    <cellStyle name="Note 3 7" xfId="9626" xr:uid="{00000000-0005-0000-0000-0000C5250000}"/>
    <cellStyle name="Note 3 7 2" xfId="9627" xr:uid="{00000000-0005-0000-0000-0000C6250000}"/>
    <cellStyle name="Note 3 7 2 2" xfId="9628" xr:uid="{00000000-0005-0000-0000-0000C7250000}"/>
    <cellStyle name="Note 3 7 2 3" xfId="9629" xr:uid="{00000000-0005-0000-0000-0000C8250000}"/>
    <cellStyle name="Note 3 7 2 4" xfId="9630" xr:uid="{00000000-0005-0000-0000-0000C9250000}"/>
    <cellStyle name="Note 3 7 3" xfId="9631" xr:uid="{00000000-0005-0000-0000-0000CA250000}"/>
    <cellStyle name="Note 3 7 4" xfId="9632" xr:uid="{00000000-0005-0000-0000-0000CB250000}"/>
    <cellStyle name="Note 3 7 5" xfId="9633" xr:uid="{00000000-0005-0000-0000-0000CC250000}"/>
    <cellStyle name="Note 3 8" xfId="9634" xr:uid="{00000000-0005-0000-0000-0000CD250000}"/>
    <cellStyle name="Note 3 8 2" xfId="9635" xr:uid="{00000000-0005-0000-0000-0000CE250000}"/>
    <cellStyle name="Note 3 8 3" xfId="9636" xr:uid="{00000000-0005-0000-0000-0000CF250000}"/>
    <cellStyle name="Note 3 8 4" xfId="9637" xr:uid="{00000000-0005-0000-0000-0000D0250000}"/>
    <cellStyle name="Note 3 9" xfId="9638" xr:uid="{00000000-0005-0000-0000-0000D1250000}"/>
    <cellStyle name="Note 3 9 2" xfId="9639" xr:uid="{00000000-0005-0000-0000-0000D2250000}"/>
    <cellStyle name="Note 3 9 3" xfId="9640" xr:uid="{00000000-0005-0000-0000-0000D3250000}"/>
    <cellStyle name="Note 3 9 4" xfId="9641" xr:uid="{00000000-0005-0000-0000-0000D4250000}"/>
    <cellStyle name="Note 4" xfId="9642" xr:uid="{00000000-0005-0000-0000-0000D5250000}"/>
    <cellStyle name="Note 4 10" xfId="9643" xr:uid="{00000000-0005-0000-0000-0000D6250000}"/>
    <cellStyle name="Note 4 10 2" xfId="9644" xr:uid="{00000000-0005-0000-0000-0000D7250000}"/>
    <cellStyle name="Note 4 10 3" xfId="9645" xr:uid="{00000000-0005-0000-0000-0000D8250000}"/>
    <cellStyle name="Note 4 10 4" xfId="9646" xr:uid="{00000000-0005-0000-0000-0000D9250000}"/>
    <cellStyle name="Note 4 11" xfId="9647" xr:uid="{00000000-0005-0000-0000-0000DA250000}"/>
    <cellStyle name="Note 4 12" xfId="9648" xr:uid="{00000000-0005-0000-0000-0000DB250000}"/>
    <cellStyle name="Note 4 13" xfId="9649" xr:uid="{00000000-0005-0000-0000-0000DC250000}"/>
    <cellStyle name="Note 4 2" xfId="9650" xr:uid="{00000000-0005-0000-0000-0000DD250000}"/>
    <cellStyle name="Note 4 2 2" xfId="9651" xr:uid="{00000000-0005-0000-0000-0000DE250000}"/>
    <cellStyle name="Note 4 2 2 2" xfId="9652" xr:uid="{00000000-0005-0000-0000-0000DF250000}"/>
    <cellStyle name="Note 4 2 2 3" xfId="9653" xr:uid="{00000000-0005-0000-0000-0000E0250000}"/>
    <cellStyle name="Note 4 2 2 4" xfId="9654" xr:uid="{00000000-0005-0000-0000-0000E1250000}"/>
    <cellStyle name="Note 4 2 3" xfId="9655" xr:uid="{00000000-0005-0000-0000-0000E2250000}"/>
    <cellStyle name="Note 4 2 3 2" xfId="9656" xr:uid="{00000000-0005-0000-0000-0000E3250000}"/>
    <cellStyle name="Note 4 2 3 3" xfId="9657" xr:uid="{00000000-0005-0000-0000-0000E4250000}"/>
    <cellStyle name="Note 4 2 3 4" xfId="9658" xr:uid="{00000000-0005-0000-0000-0000E5250000}"/>
    <cellStyle name="Note 4 2 4" xfId="9659" xr:uid="{00000000-0005-0000-0000-0000E6250000}"/>
    <cellStyle name="Note 4 2 4 2" xfId="9660" xr:uid="{00000000-0005-0000-0000-0000E7250000}"/>
    <cellStyle name="Note 4 2 4 3" xfId="9661" xr:uid="{00000000-0005-0000-0000-0000E8250000}"/>
    <cellStyle name="Note 4 2 4 4" xfId="9662" xr:uid="{00000000-0005-0000-0000-0000E9250000}"/>
    <cellStyle name="Note 4 2 5" xfId="9663" xr:uid="{00000000-0005-0000-0000-0000EA250000}"/>
    <cellStyle name="Note 4 2 5 2" xfId="9664" xr:uid="{00000000-0005-0000-0000-0000EB250000}"/>
    <cellStyle name="Note 4 2 5 3" xfId="9665" xr:uid="{00000000-0005-0000-0000-0000EC250000}"/>
    <cellStyle name="Note 4 2 5 4" xfId="9666" xr:uid="{00000000-0005-0000-0000-0000ED250000}"/>
    <cellStyle name="Note 4 2 6" xfId="9667" xr:uid="{00000000-0005-0000-0000-0000EE250000}"/>
    <cellStyle name="Note 4 2 7" xfId="9668" xr:uid="{00000000-0005-0000-0000-0000EF250000}"/>
    <cellStyle name="Note 4 2 8" xfId="9669" xr:uid="{00000000-0005-0000-0000-0000F0250000}"/>
    <cellStyle name="Note 4 3" xfId="9670" xr:uid="{00000000-0005-0000-0000-0000F1250000}"/>
    <cellStyle name="Note 4 3 2" xfId="9671" xr:uid="{00000000-0005-0000-0000-0000F2250000}"/>
    <cellStyle name="Note 4 3 2 2" xfId="9672" xr:uid="{00000000-0005-0000-0000-0000F3250000}"/>
    <cellStyle name="Note 4 3 2 3" xfId="9673" xr:uid="{00000000-0005-0000-0000-0000F4250000}"/>
    <cellStyle name="Note 4 3 2 4" xfId="9674" xr:uid="{00000000-0005-0000-0000-0000F5250000}"/>
    <cellStyle name="Note 4 3 3" xfId="9675" xr:uid="{00000000-0005-0000-0000-0000F6250000}"/>
    <cellStyle name="Note 4 3 3 2" xfId="9676" xr:uid="{00000000-0005-0000-0000-0000F7250000}"/>
    <cellStyle name="Note 4 3 3 3" xfId="9677" xr:uid="{00000000-0005-0000-0000-0000F8250000}"/>
    <cellStyle name="Note 4 3 3 4" xfId="9678" xr:uid="{00000000-0005-0000-0000-0000F9250000}"/>
    <cellStyle name="Note 4 3 4" xfId="9679" xr:uid="{00000000-0005-0000-0000-0000FA250000}"/>
    <cellStyle name="Note 4 3 4 2" xfId="9680" xr:uid="{00000000-0005-0000-0000-0000FB250000}"/>
    <cellStyle name="Note 4 3 4 3" xfId="9681" xr:uid="{00000000-0005-0000-0000-0000FC250000}"/>
    <cellStyle name="Note 4 3 4 4" xfId="9682" xr:uid="{00000000-0005-0000-0000-0000FD250000}"/>
    <cellStyle name="Note 4 3 5" xfId="9683" xr:uid="{00000000-0005-0000-0000-0000FE250000}"/>
    <cellStyle name="Note 4 3 5 2" xfId="9684" xr:uid="{00000000-0005-0000-0000-0000FF250000}"/>
    <cellStyle name="Note 4 3 5 3" xfId="9685" xr:uid="{00000000-0005-0000-0000-000000260000}"/>
    <cellStyle name="Note 4 3 5 4" xfId="9686" xr:uid="{00000000-0005-0000-0000-000001260000}"/>
    <cellStyle name="Note 4 3 6" xfId="9687" xr:uid="{00000000-0005-0000-0000-000002260000}"/>
    <cellStyle name="Note 4 3 7" xfId="9688" xr:uid="{00000000-0005-0000-0000-000003260000}"/>
    <cellStyle name="Note 4 3 8" xfId="9689" xr:uid="{00000000-0005-0000-0000-000004260000}"/>
    <cellStyle name="Note 4 4" xfId="9690" xr:uid="{00000000-0005-0000-0000-000005260000}"/>
    <cellStyle name="Note 4 4 2" xfId="9691" xr:uid="{00000000-0005-0000-0000-000006260000}"/>
    <cellStyle name="Note 4 4 2 2" xfId="9692" xr:uid="{00000000-0005-0000-0000-000007260000}"/>
    <cellStyle name="Note 4 4 2 3" xfId="9693" xr:uid="{00000000-0005-0000-0000-000008260000}"/>
    <cellStyle name="Note 4 4 2 4" xfId="9694" xr:uid="{00000000-0005-0000-0000-000009260000}"/>
    <cellStyle name="Note 4 4 3" xfId="9695" xr:uid="{00000000-0005-0000-0000-00000A260000}"/>
    <cellStyle name="Note 4 4 3 2" xfId="9696" xr:uid="{00000000-0005-0000-0000-00000B260000}"/>
    <cellStyle name="Note 4 4 3 3" xfId="9697" xr:uid="{00000000-0005-0000-0000-00000C260000}"/>
    <cellStyle name="Note 4 4 3 4" xfId="9698" xr:uid="{00000000-0005-0000-0000-00000D260000}"/>
    <cellStyle name="Note 4 4 4" xfId="9699" xr:uid="{00000000-0005-0000-0000-00000E260000}"/>
    <cellStyle name="Note 4 4 4 2" xfId="9700" xr:uid="{00000000-0005-0000-0000-00000F260000}"/>
    <cellStyle name="Note 4 4 4 3" xfId="9701" xr:uid="{00000000-0005-0000-0000-000010260000}"/>
    <cellStyle name="Note 4 4 4 4" xfId="9702" xr:uid="{00000000-0005-0000-0000-000011260000}"/>
    <cellStyle name="Note 4 4 5" xfId="9703" xr:uid="{00000000-0005-0000-0000-000012260000}"/>
    <cellStyle name="Note 4 4 5 2" xfId="9704" xr:uid="{00000000-0005-0000-0000-000013260000}"/>
    <cellStyle name="Note 4 4 5 3" xfId="9705" xr:uid="{00000000-0005-0000-0000-000014260000}"/>
    <cellStyle name="Note 4 4 5 4" xfId="9706" xr:uid="{00000000-0005-0000-0000-000015260000}"/>
    <cellStyle name="Note 4 4 6" xfId="9707" xr:uid="{00000000-0005-0000-0000-000016260000}"/>
    <cellStyle name="Note 4 4 7" xfId="9708" xr:uid="{00000000-0005-0000-0000-000017260000}"/>
    <cellStyle name="Note 4 4 8" xfId="9709" xr:uid="{00000000-0005-0000-0000-000018260000}"/>
    <cellStyle name="Note 4 5" xfId="9710" xr:uid="{00000000-0005-0000-0000-000019260000}"/>
    <cellStyle name="Note 4 5 2" xfId="9711" xr:uid="{00000000-0005-0000-0000-00001A260000}"/>
    <cellStyle name="Note 4 5 2 2" xfId="9712" xr:uid="{00000000-0005-0000-0000-00001B260000}"/>
    <cellStyle name="Note 4 5 2 3" xfId="9713" xr:uid="{00000000-0005-0000-0000-00001C260000}"/>
    <cellStyle name="Note 4 5 2 4" xfId="9714" xr:uid="{00000000-0005-0000-0000-00001D260000}"/>
    <cellStyle name="Note 4 5 3" xfId="9715" xr:uid="{00000000-0005-0000-0000-00001E260000}"/>
    <cellStyle name="Note 4 5 3 2" xfId="9716" xr:uid="{00000000-0005-0000-0000-00001F260000}"/>
    <cellStyle name="Note 4 5 3 3" xfId="9717" xr:uid="{00000000-0005-0000-0000-000020260000}"/>
    <cellStyle name="Note 4 5 3 4" xfId="9718" xr:uid="{00000000-0005-0000-0000-000021260000}"/>
    <cellStyle name="Note 4 5 4" xfId="9719" xr:uid="{00000000-0005-0000-0000-000022260000}"/>
    <cellStyle name="Note 4 5 4 2" xfId="9720" xr:uid="{00000000-0005-0000-0000-000023260000}"/>
    <cellStyle name="Note 4 5 4 3" xfId="9721" xr:uid="{00000000-0005-0000-0000-000024260000}"/>
    <cellStyle name="Note 4 5 4 4" xfId="9722" xr:uid="{00000000-0005-0000-0000-000025260000}"/>
    <cellStyle name="Note 4 5 5" xfId="9723" xr:uid="{00000000-0005-0000-0000-000026260000}"/>
    <cellStyle name="Note 4 5 5 2" xfId="9724" xr:uid="{00000000-0005-0000-0000-000027260000}"/>
    <cellStyle name="Note 4 5 5 3" xfId="9725" xr:uid="{00000000-0005-0000-0000-000028260000}"/>
    <cellStyle name="Note 4 5 5 4" xfId="9726" xr:uid="{00000000-0005-0000-0000-000029260000}"/>
    <cellStyle name="Note 4 5 6" xfId="9727" xr:uid="{00000000-0005-0000-0000-00002A260000}"/>
    <cellStyle name="Note 4 5 7" xfId="9728" xr:uid="{00000000-0005-0000-0000-00002B260000}"/>
    <cellStyle name="Note 4 5 8" xfId="9729" xr:uid="{00000000-0005-0000-0000-00002C260000}"/>
    <cellStyle name="Note 4 6" xfId="9730" xr:uid="{00000000-0005-0000-0000-00002D260000}"/>
    <cellStyle name="Note 4 6 2" xfId="9731" xr:uid="{00000000-0005-0000-0000-00002E260000}"/>
    <cellStyle name="Note 4 6 2 2" xfId="9732" xr:uid="{00000000-0005-0000-0000-00002F260000}"/>
    <cellStyle name="Note 4 6 2 3" xfId="9733" xr:uid="{00000000-0005-0000-0000-000030260000}"/>
    <cellStyle name="Note 4 6 2 4" xfId="9734" xr:uid="{00000000-0005-0000-0000-000031260000}"/>
    <cellStyle name="Note 4 6 3" xfId="9735" xr:uid="{00000000-0005-0000-0000-000032260000}"/>
    <cellStyle name="Note 4 6 3 2" xfId="9736" xr:uid="{00000000-0005-0000-0000-000033260000}"/>
    <cellStyle name="Note 4 6 3 3" xfId="9737" xr:uid="{00000000-0005-0000-0000-000034260000}"/>
    <cellStyle name="Note 4 6 3 4" xfId="9738" xr:uid="{00000000-0005-0000-0000-000035260000}"/>
    <cellStyle name="Note 4 6 4" xfId="9739" xr:uid="{00000000-0005-0000-0000-000036260000}"/>
    <cellStyle name="Note 4 6 4 2" xfId="9740" xr:uid="{00000000-0005-0000-0000-000037260000}"/>
    <cellStyle name="Note 4 6 4 3" xfId="9741" xr:uid="{00000000-0005-0000-0000-000038260000}"/>
    <cellStyle name="Note 4 6 4 4" xfId="9742" xr:uid="{00000000-0005-0000-0000-000039260000}"/>
    <cellStyle name="Note 4 6 5" xfId="9743" xr:uid="{00000000-0005-0000-0000-00003A260000}"/>
    <cellStyle name="Note 4 6 5 2" xfId="9744" xr:uid="{00000000-0005-0000-0000-00003B260000}"/>
    <cellStyle name="Note 4 6 5 3" xfId="9745" xr:uid="{00000000-0005-0000-0000-00003C260000}"/>
    <cellStyle name="Note 4 6 5 4" xfId="9746" xr:uid="{00000000-0005-0000-0000-00003D260000}"/>
    <cellStyle name="Note 4 6 6" xfId="9747" xr:uid="{00000000-0005-0000-0000-00003E260000}"/>
    <cellStyle name="Note 4 6 7" xfId="9748" xr:uid="{00000000-0005-0000-0000-00003F260000}"/>
    <cellStyle name="Note 4 6 8" xfId="9749" xr:uid="{00000000-0005-0000-0000-000040260000}"/>
    <cellStyle name="Note 4 7" xfId="9750" xr:uid="{00000000-0005-0000-0000-000041260000}"/>
    <cellStyle name="Note 4 7 2" xfId="9751" xr:uid="{00000000-0005-0000-0000-000042260000}"/>
    <cellStyle name="Note 4 7 3" xfId="9752" xr:uid="{00000000-0005-0000-0000-000043260000}"/>
    <cellStyle name="Note 4 7 4" xfId="9753" xr:uid="{00000000-0005-0000-0000-000044260000}"/>
    <cellStyle name="Note 4 8" xfId="9754" xr:uid="{00000000-0005-0000-0000-000045260000}"/>
    <cellStyle name="Note 4 8 2" xfId="9755" xr:uid="{00000000-0005-0000-0000-000046260000}"/>
    <cellStyle name="Note 4 8 3" xfId="9756" xr:uid="{00000000-0005-0000-0000-000047260000}"/>
    <cellStyle name="Note 4 8 4" xfId="9757" xr:uid="{00000000-0005-0000-0000-000048260000}"/>
    <cellStyle name="Note 4 9" xfId="9758" xr:uid="{00000000-0005-0000-0000-000049260000}"/>
    <cellStyle name="Note 4 9 2" xfId="9759" xr:uid="{00000000-0005-0000-0000-00004A260000}"/>
    <cellStyle name="Note 4 9 3" xfId="9760" xr:uid="{00000000-0005-0000-0000-00004B260000}"/>
    <cellStyle name="Note 4 9 4" xfId="9761" xr:uid="{00000000-0005-0000-0000-00004C260000}"/>
    <cellStyle name="Note 5" xfId="9762" xr:uid="{00000000-0005-0000-0000-00004D260000}"/>
    <cellStyle name="Note 5 2" xfId="9763" xr:uid="{00000000-0005-0000-0000-00004E260000}"/>
    <cellStyle name="Note 5 2 2" xfId="9764" xr:uid="{00000000-0005-0000-0000-00004F260000}"/>
    <cellStyle name="Note 5 2 3" xfId="9765" xr:uid="{00000000-0005-0000-0000-000050260000}"/>
    <cellStyle name="Note 5 2 4" xfId="9766" xr:uid="{00000000-0005-0000-0000-000051260000}"/>
    <cellStyle name="Note 5 3" xfId="9767" xr:uid="{00000000-0005-0000-0000-000052260000}"/>
    <cellStyle name="Note 5 3 2" xfId="9768" xr:uid="{00000000-0005-0000-0000-000053260000}"/>
    <cellStyle name="Note 5 3 3" xfId="9769" xr:uid="{00000000-0005-0000-0000-000054260000}"/>
    <cellStyle name="Note 5 3 4" xfId="9770" xr:uid="{00000000-0005-0000-0000-000055260000}"/>
    <cellStyle name="Note 5 4" xfId="9771" xr:uid="{00000000-0005-0000-0000-000056260000}"/>
    <cellStyle name="Note 5 4 2" xfId="9772" xr:uid="{00000000-0005-0000-0000-000057260000}"/>
    <cellStyle name="Note 5 4 3" xfId="9773" xr:uid="{00000000-0005-0000-0000-000058260000}"/>
    <cellStyle name="Note 5 4 4" xfId="9774" xr:uid="{00000000-0005-0000-0000-000059260000}"/>
    <cellStyle name="Note 5 5" xfId="9775" xr:uid="{00000000-0005-0000-0000-00005A260000}"/>
    <cellStyle name="Note 5 5 2" xfId="9776" xr:uid="{00000000-0005-0000-0000-00005B260000}"/>
    <cellStyle name="Note 5 5 3" xfId="9777" xr:uid="{00000000-0005-0000-0000-00005C260000}"/>
    <cellStyle name="Note 5 5 4" xfId="9778" xr:uid="{00000000-0005-0000-0000-00005D260000}"/>
    <cellStyle name="Note 5 6" xfId="9779" xr:uid="{00000000-0005-0000-0000-00005E260000}"/>
    <cellStyle name="Note 5 7" xfId="9780" xr:uid="{00000000-0005-0000-0000-00005F260000}"/>
    <cellStyle name="Note 5 8" xfId="9781" xr:uid="{00000000-0005-0000-0000-000060260000}"/>
    <cellStyle name="Note 6" xfId="9782" xr:uid="{00000000-0005-0000-0000-000061260000}"/>
    <cellStyle name="Note 6 2" xfId="9783" xr:uid="{00000000-0005-0000-0000-000062260000}"/>
    <cellStyle name="Note 6 2 2" xfId="9784" xr:uid="{00000000-0005-0000-0000-000063260000}"/>
    <cellStyle name="Note 6 2 3" xfId="9785" xr:uid="{00000000-0005-0000-0000-000064260000}"/>
    <cellStyle name="Note 6 2 4" xfId="9786" xr:uid="{00000000-0005-0000-0000-000065260000}"/>
    <cellStyle name="Note 6 3" xfId="9787" xr:uid="{00000000-0005-0000-0000-000066260000}"/>
    <cellStyle name="Note 6 3 2" xfId="9788" xr:uid="{00000000-0005-0000-0000-000067260000}"/>
    <cellStyle name="Note 6 3 3" xfId="9789" xr:uid="{00000000-0005-0000-0000-000068260000}"/>
    <cellStyle name="Note 6 3 4" xfId="9790" xr:uid="{00000000-0005-0000-0000-000069260000}"/>
    <cellStyle name="Note 6 4" xfId="9791" xr:uid="{00000000-0005-0000-0000-00006A260000}"/>
    <cellStyle name="Note 6 4 2" xfId="9792" xr:uid="{00000000-0005-0000-0000-00006B260000}"/>
    <cellStyle name="Note 6 4 3" xfId="9793" xr:uid="{00000000-0005-0000-0000-00006C260000}"/>
    <cellStyle name="Note 6 4 4" xfId="9794" xr:uid="{00000000-0005-0000-0000-00006D260000}"/>
    <cellStyle name="Note 6 5" xfId="9795" xr:uid="{00000000-0005-0000-0000-00006E260000}"/>
    <cellStyle name="Note 6 5 2" xfId="9796" xr:uid="{00000000-0005-0000-0000-00006F260000}"/>
    <cellStyle name="Note 6 5 3" xfId="9797" xr:uid="{00000000-0005-0000-0000-000070260000}"/>
    <cellStyle name="Note 6 5 4" xfId="9798" xr:uid="{00000000-0005-0000-0000-000071260000}"/>
    <cellStyle name="Note 6 6" xfId="9799" xr:uid="{00000000-0005-0000-0000-000072260000}"/>
    <cellStyle name="Note 6 7" xfId="9800" xr:uid="{00000000-0005-0000-0000-000073260000}"/>
    <cellStyle name="Note 6 8" xfId="9801" xr:uid="{00000000-0005-0000-0000-000074260000}"/>
    <cellStyle name="Note 7" xfId="9802" xr:uid="{00000000-0005-0000-0000-000075260000}"/>
    <cellStyle name="Note 7 2" xfId="9803" xr:uid="{00000000-0005-0000-0000-000076260000}"/>
    <cellStyle name="Note 7 2 2" xfId="9804" xr:uid="{00000000-0005-0000-0000-000077260000}"/>
    <cellStyle name="Note 7 2 3" xfId="9805" xr:uid="{00000000-0005-0000-0000-000078260000}"/>
    <cellStyle name="Note 7 2 4" xfId="9806" xr:uid="{00000000-0005-0000-0000-000079260000}"/>
    <cellStyle name="Note 7 3" xfId="9807" xr:uid="{00000000-0005-0000-0000-00007A260000}"/>
    <cellStyle name="Note 7 3 2" xfId="9808" xr:uid="{00000000-0005-0000-0000-00007B260000}"/>
    <cellStyle name="Note 7 3 3" xfId="9809" xr:uid="{00000000-0005-0000-0000-00007C260000}"/>
    <cellStyle name="Note 7 3 4" xfId="9810" xr:uid="{00000000-0005-0000-0000-00007D260000}"/>
    <cellStyle name="Note 7 4" xfId="9811" xr:uid="{00000000-0005-0000-0000-00007E260000}"/>
    <cellStyle name="Note 7 4 2" xfId="9812" xr:uid="{00000000-0005-0000-0000-00007F260000}"/>
    <cellStyle name="Note 7 4 3" xfId="9813" xr:uid="{00000000-0005-0000-0000-000080260000}"/>
    <cellStyle name="Note 7 4 4" xfId="9814" xr:uid="{00000000-0005-0000-0000-000081260000}"/>
    <cellStyle name="Note 7 5" xfId="9815" xr:uid="{00000000-0005-0000-0000-000082260000}"/>
    <cellStyle name="Note 7 5 2" xfId="9816" xr:uid="{00000000-0005-0000-0000-000083260000}"/>
    <cellStyle name="Note 7 5 3" xfId="9817" xr:uid="{00000000-0005-0000-0000-000084260000}"/>
    <cellStyle name="Note 7 5 4" xfId="9818" xr:uid="{00000000-0005-0000-0000-000085260000}"/>
    <cellStyle name="Note 7 6" xfId="9819" xr:uid="{00000000-0005-0000-0000-000086260000}"/>
    <cellStyle name="Note 7 7" xfId="9820" xr:uid="{00000000-0005-0000-0000-000087260000}"/>
    <cellStyle name="Note 7 8" xfId="9821" xr:uid="{00000000-0005-0000-0000-000088260000}"/>
    <cellStyle name="Note 8" xfId="9822" xr:uid="{00000000-0005-0000-0000-000089260000}"/>
    <cellStyle name="Note 8 2" xfId="9823" xr:uid="{00000000-0005-0000-0000-00008A260000}"/>
    <cellStyle name="Note 8 2 2" xfId="9824" xr:uid="{00000000-0005-0000-0000-00008B260000}"/>
    <cellStyle name="Note 8 2 3" xfId="9825" xr:uid="{00000000-0005-0000-0000-00008C260000}"/>
    <cellStyle name="Note 8 2 4" xfId="9826" xr:uid="{00000000-0005-0000-0000-00008D260000}"/>
    <cellStyle name="Note 8 3" xfId="9827" xr:uid="{00000000-0005-0000-0000-00008E260000}"/>
    <cellStyle name="Note 8 3 2" xfId="9828" xr:uid="{00000000-0005-0000-0000-00008F260000}"/>
    <cellStyle name="Note 8 3 3" xfId="9829" xr:uid="{00000000-0005-0000-0000-000090260000}"/>
    <cellStyle name="Note 8 3 4" xfId="9830" xr:uid="{00000000-0005-0000-0000-000091260000}"/>
    <cellStyle name="Note 8 4" xfId="9831" xr:uid="{00000000-0005-0000-0000-000092260000}"/>
    <cellStyle name="Note 8 4 2" xfId="9832" xr:uid="{00000000-0005-0000-0000-000093260000}"/>
    <cellStyle name="Note 8 4 3" xfId="9833" xr:uid="{00000000-0005-0000-0000-000094260000}"/>
    <cellStyle name="Note 8 4 4" xfId="9834" xr:uid="{00000000-0005-0000-0000-000095260000}"/>
    <cellStyle name="Note 8 5" xfId="9835" xr:uid="{00000000-0005-0000-0000-000096260000}"/>
    <cellStyle name="Note 8 5 2" xfId="9836" xr:uid="{00000000-0005-0000-0000-000097260000}"/>
    <cellStyle name="Note 8 5 3" xfId="9837" xr:uid="{00000000-0005-0000-0000-000098260000}"/>
    <cellStyle name="Note 8 5 4" xfId="9838" xr:uid="{00000000-0005-0000-0000-000099260000}"/>
    <cellStyle name="Note 8 6" xfId="9839" xr:uid="{00000000-0005-0000-0000-00009A260000}"/>
    <cellStyle name="Note 8 7" xfId="9840" xr:uid="{00000000-0005-0000-0000-00009B260000}"/>
    <cellStyle name="Note 8 8" xfId="9841" xr:uid="{00000000-0005-0000-0000-00009C260000}"/>
    <cellStyle name="Note 9" xfId="9842" xr:uid="{00000000-0005-0000-0000-00009D260000}"/>
    <cellStyle name="Note 9 2" xfId="9843" xr:uid="{00000000-0005-0000-0000-00009E260000}"/>
    <cellStyle name="Note 9 2 2" xfId="9844" xr:uid="{00000000-0005-0000-0000-00009F260000}"/>
    <cellStyle name="Note 9 2 3" xfId="9845" xr:uid="{00000000-0005-0000-0000-0000A0260000}"/>
    <cellStyle name="Note 9 2 4" xfId="9846" xr:uid="{00000000-0005-0000-0000-0000A1260000}"/>
    <cellStyle name="Note 9 3" xfId="9847" xr:uid="{00000000-0005-0000-0000-0000A2260000}"/>
    <cellStyle name="Note 9 3 2" xfId="9848" xr:uid="{00000000-0005-0000-0000-0000A3260000}"/>
    <cellStyle name="Note 9 3 3" xfId="9849" xr:uid="{00000000-0005-0000-0000-0000A4260000}"/>
    <cellStyle name="Note 9 3 4" xfId="9850" xr:uid="{00000000-0005-0000-0000-0000A5260000}"/>
    <cellStyle name="Note 9 4" xfId="9851" xr:uid="{00000000-0005-0000-0000-0000A6260000}"/>
    <cellStyle name="Note 9 4 2" xfId="9852" xr:uid="{00000000-0005-0000-0000-0000A7260000}"/>
    <cellStyle name="Note 9 4 3" xfId="9853" xr:uid="{00000000-0005-0000-0000-0000A8260000}"/>
    <cellStyle name="Note 9 4 4" xfId="9854" xr:uid="{00000000-0005-0000-0000-0000A9260000}"/>
    <cellStyle name="Note 9 5" xfId="9855" xr:uid="{00000000-0005-0000-0000-0000AA260000}"/>
    <cellStyle name="Note 9 5 2" xfId="9856" xr:uid="{00000000-0005-0000-0000-0000AB260000}"/>
    <cellStyle name="Note 9 5 3" xfId="9857" xr:uid="{00000000-0005-0000-0000-0000AC260000}"/>
    <cellStyle name="Note 9 5 4" xfId="9858" xr:uid="{00000000-0005-0000-0000-0000AD260000}"/>
    <cellStyle name="Note 9 6" xfId="9859" xr:uid="{00000000-0005-0000-0000-0000AE260000}"/>
    <cellStyle name="Note 9 7" xfId="9860" xr:uid="{00000000-0005-0000-0000-0000AF260000}"/>
    <cellStyle name="Note 9 8" xfId="9861" xr:uid="{00000000-0005-0000-0000-0000B0260000}"/>
    <cellStyle name="Output 10" xfId="9862" xr:uid="{00000000-0005-0000-0000-0000B1260000}"/>
    <cellStyle name="Output 10 2" xfId="9863" xr:uid="{00000000-0005-0000-0000-0000B2260000}"/>
    <cellStyle name="Output 10 2 2" xfId="9864" xr:uid="{00000000-0005-0000-0000-0000B3260000}"/>
    <cellStyle name="Output 10 2 3" xfId="9865" xr:uid="{00000000-0005-0000-0000-0000B4260000}"/>
    <cellStyle name="Output 10 2 4" xfId="9866" xr:uid="{00000000-0005-0000-0000-0000B5260000}"/>
    <cellStyle name="Output 10 3" xfId="9867" xr:uid="{00000000-0005-0000-0000-0000B6260000}"/>
    <cellStyle name="Output 10 3 2" xfId="9868" xr:uid="{00000000-0005-0000-0000-0000B7260000}"/>
    <cellStyle name="Output 10 3 3" xfId="9869" xr:uid="{00000000-0005-0000-0000-0000B8260000}"/>
    <cellStyle name="Output 10 3 4" xfId="9870" xr:uid="{00000000-0005-0000-0000-0000B9260000}"/>
    <cellStyle name="Output 10 4" xfId="9871" xr:uid="{00000000-0005-0000-0000-0000BA260000}"/>
    <cellStyle name="Output 10 4 2" xfId="9872" xr:uid="{00000000-0005-0000-0000-0000BB260000}"/>
    <cellStyle name="Output 10 4 3" xfId="9873" xr:uid="{00000000-0005-0000-0000-0000BC260000}"/>
    <cellStyle name="Output 10 4 4" xfId="9874" xr:uid="{00000000-0005-0000-0000-0000BD260000}"/>
    <cellStyle name="Output 10 5" xfId="9875" xr:uid="{00000000-0005-0000-0000-0000BE260000}"/>
    <cellStyle name="Output 10 6" xfId="9876" xr:uid="{00000000-0005-0000-0000-0000BF260000}"/>
    <cellStyle name="Output 10 7" xfId="9877" xr:uid="{00000000-0005-0000-0000-0000C0260000}"/>
    <cellStyle name="Output 11" xfId="9878" xr:uid="{00000000-0005-0000-0000-0000C1260000}"/>
    <cellStyle name="Output 11 2" xfId="9879" xr:uid="{00000000-0005-0000-0000-0000C2260000}"/>
    <cellStyle name="Output 11 2 2" xfId="9880" xr:uid="{00000000-0005-0000-0000-0000C3260000}"/>
    <cellStyle name="Output 11 2 3" xfId="9881" xr:uid="{00000000-0005-0000-0000-0000C4260000}"/>
    <cellStyle name="Output 11 2 4" xfId="9882" xr:uid="{00000000-0005-0000-0000-0000C5260000}"/>
    <cellStyle name="Output 11 3" xfId="9883" xr:uid="{00000000-0005-0000-0000-0000C6260000}"/>
    <cellStyle name="Output 11 3 2" xfId="9884" xr:uid="{00000000-0005-0000-0000-0000C7260000}"/>
    <cellStyle name="Output 11 3 3" xfId="9885" xr:uid="{00000000-0005-0000-0000-0000C8260000}"/>
    <cellStyle name="Output 11 3 4" xfId="9886" xr:uid="{00000000-0005-0000-0000-0000C9260000}"/>
    <cellStyle name="Output 11 4" xfId="9887" xr:uid="{00000000-0005-0000-0000-0000CA260000}"/>
    <cellStyle name="Output 11 4 2" xfId="9888" xr:uid="{00000000-0005-0000-0000-0000CB260000}"/>
    <cellStyle name="Output 11 4 3" xfId="9889" xr:uid="{00000000-0005-0000-0000-0000CC260000}"/>
    <cellStyle name="Output 11 4 4" xfId="9890" xr:uid="{00000000-0005-0000-0000-0000CD260000}"/>
    <cellStyle name="Output 11 5" xfId="9891" xr:uid="{00000000-0005-0000-0000-0000CE260000}"/>
    <cellStyle name="Output 11 6" xfId="9892" xr:uid="{00000000-0005-0000-0000-0000CF260000}"/>
    <cellStyle name="Output 11 7" xfId="9893" xr:uid="{00000000-0005-0000-0000-0000D0260000}"/>
    <cellStyle name="Output 12" xfId="9894" xr:uid="{00000000-0005-0000-0000-0000D1260000}"/>
    <cellStyle name="Output 2" xfId="9895" xr:uid="{00000000-0005-0000-0000-0000D2260000}"/>
    <cellStyle name="Output 2 10" xfId="9896" xr:uid="{00000000-0005-0000-0000-0000D3260000}"/>
    <cellStyle name="Output 2 10 2" xfId="9897" xr:uid="{00000000-0005-0000-0000-0000D4260000}"/>
    <cellStyle name="Output 2 10 3" xfId="9898" xr:uid="{00000000-0005-0000-0000-0000D5260000}"/>
    <cellStyle name="Output 2 10 4" xfId="9899" xr:uid="{00000000-0005-0000-0000-0000D6260000}"/>
    <cellStyle name="Output 2 11" xfId="9900" xr:uid="{00000000-0005-0000-0000-0000D7260000}"/>
    <cellStyle name="Output 2 12" xfId="9901" xr:uid="{00000000-0005-0000-0000-0000D8260000}"/>
    <cellStyle name="Output 2 13" xfId="9902" xr:uid="{00000000-0005-0000-0000-0000D9260000}"/>
    <cellStyle name="Output 2 14" xfId="9903" xr:uid="{00000000-0005-0000-0000-0000DA260000}"/>
    <cellStyle name="Output 2 2" xfId="9904" xr:uid="{00000000-0005-0000-0000-0000DB260000}"/>
    <cellStyle name="Output 2 2 2" xfId="9905" xr:uid="{00000000-0005-0000-0000-0000DC260000}"/>
    <cellStyle name="Output 2 2 2 2" xfId="9906" xr:uid="{00000000-0005-0000-0000-0000DD260000}"/>
    <cellStyle name="Output 2 2 2 3" xfId="9907" xr:uid="{00000000-0005-0000-0000-0000DE260000}"/>
    <cellStyle name="Output 2 2 2 4" xfId="9908" xr:uid="{00000000-0005-0000-0000-0000DF260000}"/>
    <cellStyle name="Output 2 2 3" xfId="9909" xr:uid="{00000000-0005-0000-0000-0000E0260000}"/>
    <cellStyle name="Output 2 2 3 2" xfId="9910" xr:uid="{00000000-0005-0000-0000-0000E1260000}"/>
    <cellStyle name="Output 2 2 3 3" xfId="9911" xr:uid="{00000000-0005-0000-0000-0000E2260000}"/>
    <cellStyle name="Output 2 2 3 4" xfId="9912" xr:uid="{00000000-0005-0000-0000-0000E3260000}"/>
    <cellStyle name="Output 2 2 4" xfId="9913" xr:uid="{00000000-0005-0000-0000-0000E4260000}"/>
    <cellStyle name="Output 2 2 4 2" xfId="9914" xr:uid="{00000000-0005-0000-0000-0000E5260000}"/>
    <cellStyle name="Output 2 2 4 3" xfId="9915" xr:uid="{00000000-0005-0000-0000-0000E6260000}"/>
    <cellStyle name="Output 2 2 4 4" xfId="9916" xr:uid="{00000000-0005-0000-0000-0000E7260000}"/>
    <cellStyle name="Output 2 2 5" xfId="9917" xr:uid="{00000000-0005-0000-0000-0000E8260000}"/>
    <cellStyle name="Output 2 2 6" xfId="9918" xr:uid="{00000000-0005-0000-0000-0000E9260000}"/>
    <cellStyle name="Output 2 2 7" xfId="9919" xr:uid="{00000000-0005-0000-0000-0000EA260000}"/>
    <cellStyle name="Output 2 3" xfId="9920" xr:uid="{00000000-0005-0000-0000-0000EB260000}"/>
    <cellStyle name="Output 2 3 2" xfId="9921" xr:uid="{00000000-0005-0000-0000-0000EC260000}"/>
    <cellStyle name="Output 2 3 2 2" xfId="9922" xr:uid="{00000000-0005-0000-0000-0000ED260000}"/>
    <cellStyle name="Output 2 3 2 3" xfId="9923" xr:uid="{00000000-0005-0000-0000-0000EE260000}"/>
    <cellStyle name="Output 2 3 2 4" xfId="9924" xr:uid="{00000000-0005-0000-0000-0000EF260000}"/>
    <cellStyle name="Output 2 3 3" xfId="9925" xr:uid="{00000000-0005-0000-0000-0000F0260000}"/>
    <cellStyle name="Output 2 3 3 2" xfId="9926" xr:uid="{00000000-0005-0000-0000-0000F1260000}"/>
    <cellStyle name="Output 2 3 3 3" xfId="9927" xr:uid="{00000000-0005-0000-0000-0000F2260000}"/>
    <cellStyle name="Output 2 3 3 4" xfId="9928" xr:uid="{00000000-0005-0000-0000-0000F3260000}"/>
    <cellStyle name="Output 2 3 4" xfId="9929" xr:uid="{00000000-0005-0000-0000-0000F4260000}"/>
    <cellStyle name="Output 2 3 4 2" xfId="9930" xr:uid="{00000000-0005-0000-0000-0000F5260000}"/>
    <cellStyle name="Output 2 3 4 3" xfId="9931" xr:uid="{00000000-0005-0000-0000-0000F6260000}"/>
    <cellStyle name="Output 2 3 4 4" xfId="9932" xr:uid="{00000000-0005-0000-0000-0000F7260000}"/>
    <cellStyle name="Output 2 3 5" xfId="9933" xr:uid="{00000000-0005-0000-0000-0000F8260000}"/>
    <cellStyle name="Output 2 3 6" xfId="9934" xr:uid="{00000000-0005-0000-0000-0000F9260000}"/>
    <cellStyle name="Output 2 3 7" xfId="9935" xr:uid="{00000000-0005-0000-0000-0000FA260000}"/>
    <cellStyle name="Output 2 4" xfId="9936" xr:uid="{00000000-0005-0000-0000-0000FB260000}"/>
    <cellStyle name="Output 2 4 2" xfId="9937" xr:uid="{00000000-0005-0000-0000-0000FC260000}"/>
    <cellStyle name="Output 2 4 2 2" xfId="9938" xr:uid="{00000000-0005-0000-0000-0000FD260000}"/>
    <cellStyle name="Output 2 4 2 3" xfId="9939" xr:uid="{00000000-0005-0000-0000-0000FE260000}"/>
    <cellStyle name="Output 2 4 2 4" xfId="9940" xr:uid="{00000000-0005-0000-0000-0000FF260000}"/>
    <cellStyle name="Output 2 4 3" xfId="9941" xr:uid="{00000000-0005-0000-0000-000000270000}"/>
    <cellStyle name="Output 2 4 3 2" xfId="9942" xr:uid="{00000000-0005-0000-0000-000001270000}"/>
    <cellStyle name="Output 2 4 3 3" xfId="9943" xr:uid="{00000000-0005-0000-0000-000002270000}"/>
    <cellStyle name="Output 2 4 3 4" xfId="9944" xr:uid="{00000000-0005-0000-0000-000003270000}"/>
    <cellStyle name="Output 2 4 4" xfId="9945" xr:uid="{00000000-0005-0000-0000-000004270000}"/>
    <cellStyle name="Output 2 4 4 2" xfId="9946" xr:uid="{00000000-0005-0000-0000-000005270000}"/>
    <cellStyle name="Output 2 4 4 3" xfId="9947" xr:uid="{00000000-0005-0000-0000-000006270000}"/>
    <cellStyle name="Output 2 4 4 4" xfId="9948" xr:uid="{00000000-0005-0000-0000-000007270000}"/>
    <cellStyle name="Output 2 4 5" xfId="9949" xr:uid="{00000000-0005-0000-0000-000008270000}"/>
    <cellStyle name="Output 2 4 6" xfId="9950" xr:uid="{00000000-0005-0000-0000-000009270000}"/>
    <cellStyle name="Output 2 4 7" xfId="9951" xr:uid="{00000000-0005-0000-0000-00000A270000}"/>
    <cellStyle name="Output 2 5" xfId="9952" xr:uid="{00000000-0005-0000-0000-00000B270000}"/>
    <cellStyle name="Output 2 5 2" xfId="9953" xr:uid="{00000000-0005-0000-0000-00000C270000}"/>
    <cellStyle name="Output 2 5 2 2" xfId="9954" xr:uid="{00000000-0005-0000-0000-00000D270000}"/>
    <cellStyle name="Output 2 5 2 3" xfId="9955" xr:uid="{00000000-0005-0000-0000-00000E270000}"/>
    <cellStyle name="Output 2 5 2 4" xfId="9956" xr:uid="{00000000-0005-0000-0000-00000F270000}"/>
    <cellStyle name="Output 2 5 3" xfId="9957" xr:uid="{00000000-0005-0000-0000-000010270000}"/>
    <cellStyle name="Output 2 5 3 2" xfId="9958" xr:uid="{00000000-0005-0000-0000-000011270000}"/>
    <cellStyle name="Output 2 5 3 3" xfId="9959" xr:uid="{00000000-0005-0000-0000-000012270000}"/>
    <cellStyle name="Output 2 5 3 4" xfId="9960" xr:uid="{00000000-0005-0000-0000-000013270000}"/>
    <cellStyle name="Output 2 5 4" xfId="9961" xr:uid="{00000000-0005-0000-0000-000014270000}"/>
    <cellStyle name="Output 2 5 4 2" xfId="9962" xr:uid="{00000000-0005-0000-0000-000015270000}"/>
    <cellStyle name="Output 2 5 4 3" xfId="9963" xr:uid="{00000000-0005-0000-0000-000016270000}"/>
    <cellStyle name="Output 2 5 4 4" xfId="9964" xr:uid="{00000000-0005-0000-0000-000017270000}"/>
    <cellStyle name="Output 2 5 5" xfId="9965" xr:uid="{00000000-0005-0000-0000-000018270000}"/>
    <cellStyle name="Output 2 5 6" xfId="9966" xr:uid="{00000000-0005-0000-0000-000019270000}"/>
    <cellStyle name="Output 2 5 7" xfId="9967" xr:uid="{00000000-0005-0000-0000-00001A270000}"/>
    <cellStyle name="Output 2 6" xfId="9968" xr:uid="{00000000-0005-0000-0000-00001B270000}"/>
    <cellStyle name="Output 2 6 2" xfId="9969" xr:uid="{00000000-0005-0000-0000-00001C270000}"/>
    <cellStyle name="Output 2 6 2 2" xfId="9970" xr:uid="{00000000-0005-0000-0000-00001D270000}"/>
    <cellStyle name="Output 2 6 2 3" xfId="9971" xr:uid="{00000000-0005-0000-0000-00001E270000}"/>
    <cellStyle name="Output 2 6 2 4" xfId="9972" xr:uid="{00000000-0005-0000-0000-00001F270000}"/>
    <cellStyle name="Output 2 6 3" xfId="9973" xr:uid="{00000000-0005-0000-0000-000020270000}"/>
    <cellStyle name="Output 2 6 3 2" xfId="9974" xr:uid="{00000000-0005-0000-0000-000021270000}"/>
    <cellStyle name="Output 2 6 3 3" xfId="9975" xr:uid="{00000000-0005-0000-0000-000022270000}"/>
    <cellStyle name="Output 2 6 3 4" xfId="9976" xr:uid="{00000000-0005-0000-0000-000023270000}"/>
    <cellStyle name="Output 2 6 4" xfId="9977" xr:uid="{00000000-0005-0000-0000-000024270000}"/>
    <cellStyle name="Output 2 6 4 2" xfId="9978" xr:uid="{00000000-0005-0000-0000-000025270000}"/>
    <cellStyle name="Output 2 6 4 3" xfId="9979" xr:uid="{00000000-0005-0000-0000-000026270000}"/>
    <cellStyle name="Output 2 6 4 4" xfId="9980" xr:uid="{00000000-0005-0000-0000-000027270000}"/>
    <cellStyle name="Output 2 6 5" xfId="9981" xr:uid="{00000000-0005-0000-0000-000028270000}"/>
    <cellStyle name="Output 2 6 6" xfId="9982" xr:uid="{00000000-0005-0000-0000-000029270000}"/>
    <cellStyle name="Output 2 6 7" xfId="9983" xr:uid="{00000000-0005-0000-0000-00002A270000}"/>
    <cellStyle name="Output 2 7" xfId="9984" xr:uid="{00000000-0005-0000-0000-00002B270000}"/>
    <cellStyle name="Output 2 7 2" xfId="9985" xr:uid="{00000000-0005-0000-0000-00002C270000}"/>
    <cellStyle name="Output 2 7 3" xfId="9986" xr:uid="{00000000-0005-0000-0000-00002D270000}"/>
    <cellStyle name="Output 2 7 4" xfId="9987" xr:uid="{00000000-0005-0000-0000-00002E270000}"/>
    <cellStyle name="Output 2 8" xfId="9988" xr:uid="{00000000-0005-0000-0000-00002F270000}"/>
    <cellStyle name="Output 2 8 2" xfId="9989" xr:uid="{00000000-0005-0000-0000-000030270000}"/>
    <cellStyle name="Output 2 8 3" xfId="9990" xr:uid="{00000000-0005-0000-0000-000031270000}"/>
    <cellStyle name="Output 2 8 4" xfId="9991" xr:uid="{00000000-0005-0000-0000-000032270000}"/>
    <cellStyle name="Output 2 9" xfId="9992" xr:uid="{00000000-0005-0000-0000-000033270000}"/>
    <cellStyle name="Output 2 9 2" xfId="9993" xr:uid="{00000000-0005-0000-0000-000034270000}"/>
    <cellStyle name="Output 2 9 3" xfId="9994" xr:uid="{00000000-0005-0000-0000-000035270000}"/>
    <cellStyle name="Output 2 9 4" xfId="9995" xr:uid="{00000000-0005-0000-0000-000036270000}"/>
    <cellStyle name="Output 3" xfId="9996" xr:uid="{00000000-0005-0000-0000-000037270000}"/>
    <cellStyle name="Output 3 10" xfId="9997" xr:uid="{00000000-0005-0000-0000-000038270000}"/>
    <cellStyle name="Output 3 10 2" xfId="9998" xr:uid="{00000000-0005-0000-0000-000039270000}"/>
    <cellStyle name="Output 3 10 3" xfId="9999" xr:uid="{00000000-0005-0000-0000-00003A270000}"/>
    <cellStyle name="Output 3 10 4" xfId="10000" xr:uid="{00000000-0005-0000-0000-00003B270000}"/>
    <cellStyle name="Output 3 11" xfId="10001" xr:uid="{00000000-0005-0000-0000-00003C270000}"/>
    <cellStyle name="Output 3 12" xfId="10002" xr:uid="{00000000-0005-0000-0000-00003D270000}"/>
    <cellStyle name="Output 3 13" xfId="10003" xr:uid="{00000000-0005-0000-0000-00003E270000}"/>
    <cellStyle name="Output 3 14" xfId="10004" xr:uid="{00000000-0005-0000-0000-00003F270000}"/>
    <cellStyle name="Output 3 2" xfId="10005" xr:uid="{00000000-0005-0000-0000-000040270000}"/>
    <cellStyle name="Output 3 2 2" xfId="10006" xr:uid="{00000000-0005-0000-0000-000041270000}"/>
    <cellStyle name="Output 3 2 2 2" xfId="10007" xr:uid="{00000000-0005-0000-0000-000042270000}"/>
    <cellStyle name="Output 3 2 2 3" xfId="10008" xr:uid="{00000000-0005-0000-0000-000043270000}"/>
    <cellStyle name="Output 3 2 2 4" xfId="10009" xr:uid="{00000000-0005-0000-0000-000044270000}"/>
    <cellStyle name="Output 3 2 3" xfId="10010" xr:uid="{00000000-0005-0000-0000-000045270000}"/>
    <cellStyle name="Output 3 2 3 2" xfId="10011" xr:uid="{00000000-0005-0000-0000-000046270000}"/>
    <cellStyle name="Output 3 2 3 3" xfId="10012" xr:uid="{00000000-0005-0000-0000-000047270000}"/>
    <cellStyle name="Output 3 2 3 4" xfId="10013" xr:uid="{00000000-0005-0000-0000-000048270000}"/>
    <cellStyle name="Output 3 2 4" xfId="10014" xr:uid="{00000000-0005-0000-0000-000049270000}"/>
    <cellStyle name="Output 3 2 4 2" xfId="10015" xr:uid="{00000000-0005-0000-0000-00004A270000}"/>
    <cellStyle name="Output 3 2 4 3" xfId="10016" xr:uid="{00000000-0005-0000-0000-00004B270000}"/>
    <cellStyle name="Output 3 2 4 4" xfId="10017" xr:uid="{00000000-0005-0000-0000-00004C270000}"/>
    <cellStyle name="Output 3 2 5" xfId="10018" xr:uid="{00000000-0005-0000-0000-00004D270000}"/>
    <cellStyle name="Output 3 2 6" xfId="10019" xr:uid="{00000000-0005-0000-0000-00004E270000}"/>
    <cellStyle name="Output 3 2 7" xfId="10020" xr:uid="{00000000-0005-0000-0000-00004F270000}"/>
    <cellStyle name="Output 3 3" xfId="10021" xr:uid="{00000000-0005-0000-0000-000050270000}"/>
    <cellStyle name="Output 3 3 2" xfId="10022" xr:uid="{00000000-0005-0000-0000-000051270000}"/>
    <cellStyle name="Output 3 3 2 2" xfId="10023" xr:uid="{00000000-0005-0000-0000-000052270000}"/>
    <cellStyle name="Output 3 3 2 3" xfId="10024" xr:uid="{00000000-0005-0000-0000-000053270000}"/>
    <cellStyle name="Output 3 3 2 4" xfId="10025" xr:uid="{00000000-0005-0000-0000-000054270000}"/>
    <cellStyle name="Output 3 3 3" xfId="10026" xr:uid="{00000000-0005-0000-0000-000055270000}"/>
    <cellStyle name="Output 3 3 3 2" xfId="10027" xr:uid="{00000000-0005-0000-0000-000056270000}"/>
    <cellStyle name="Output 3 3 3 3" xfId="10028" xr:uid="{00000000-0005-0000-0000-000057270000}"/>
    <cellStyle name="Output 3 3 3 4" xfId="10029" xr:uid="{00000000-0005-0000-0000-000058270000}"/>
    <cellStyle name="Output 3 3 4" xfId="10030" xr:uid="{00000000-0005-0000-0000-000059270000}"/>
    <cellStyle name="Output 3 3 4 2" xfId="10031" xr:uid="{00000000-0005-0000-0000-00005A270000}"/>
    <cellStyle name="Output 3 3 4 3" xfId="10032" xr:uid="{00000000-0005-0000-0000-00005B270000}"/>
    <cellStyle name="Output 3 3 4 4" xfId="10033" xr:uid="{00000000-0005-0000-0000-00005C270000}"/>
    <cellStyle name="Output 3 3 5" xfId="10034" xr:uid="{00000000-0005-0000-0000-00005D270000}"/>
    <cellStyle name="Output 3 3 6" xfId="10035" xr:uid="{00000000-0005-0000-0000-00005E270000}"/>
    <cellStyle name="Output 3 3 7" xfId="10036" xr:uid="{00000000-0005-0000-0000-00005F270000}"/>
    <cellStyle name="Output 3 4" xfId="10037" xr:uid="{00000000-0005-0000-0000-000060270000}"/>
    <cellStyle name="Output 3 4 2" xfId="10038" xr:uid="{00000000-0005-0000-0000-000061270000}"/>
    <cellStyle name="Output 3 4 2 2" xfId="10039" xr:uid="{00000000-0005-0000-0000-000062270000}"/>
    <cellStyle name="Output 3 4 2 3" xfId="10040" xr:uid="{00000000-0005-0000-0000-000063270000}"/>
    <cellStyle name="Output 3 4 2 4" xfId="10041" xr:uid="{00000000-0005-0000-0000-000064270000}"/>
    <cellStyle name="Output 3 4 3" xfId="10042" xr:uid="{00000000-0005-0000-0000-000065270000}"/>
    <cellStyle name="Output 3 4 3 2" xfId="10043" xr:uid="{00000000-0005-0000-0000-000066270000}"/>
    <cellStyle name="Output 3 4 3 3" xfId="10044" xr:uid="{00000000-0005-0000-0000-000067270000}"/>
    <cellStyle name="Output 3 4 3 4" xfId="10045" xr:uid="{00000000-0005-0000-0000-000068270000}"/>
    <cellStyle name="Output 3 4 4" xfId="10046" xr:uid="{00000000-0005-0000-0000-000069270000}"/>
    <cellStyle name="Output 3 4 4 2" xfId="10047" xr:uid="{00000000-0005-0000-0000-00006A270000}"/>
    <cellStyle name="Output 3 4 4 3" xfId="10048" xr:uid="{00000000-0005-0000-0000-00006B270000}"/>
    <cellStyle name="Output 3 4 4 4" xfId="10049" xr:uid="{00000000-0005-0000-0000-00006C270000}"/>
    <cellStyle name="Output 3 4 5" xfId="10050" xr:uid="{00000000-0005-0000-0000-00006D270000}"/>
    <cellStyle name="Output 3 4 6" xfId="10051" xr:uid="{00000000-0005-0000-0000-00006E270000}"/>
    <cellStyle name="Output 3 4 7" xfId="10052" xr:uid="{00000000-0005-0000-0000-00006F270000}"/>
    <cellStyle name="Output 3 5" xfId="10053" xr:uid="{00000000-0005-0000-0000-000070270000}"/>
    <cellStyle name="Output 3 5 2" xfId="10054" xr:uid="{00000000-0005-0000-0000-000071270000}"/>
    <cellStyle name="Output 3 5 2 2" xfId="10055" xr:uid="{00000000-0005-0000-0000-000072270000}"/>
    <cellStyle name="Output 3 5 2 3" xfId="10056" xr:uid="{00000000-0005-0000-0000-000073270000}"/>
    <cellStyle name="Output 3 5 2 4" xfId="10057" xr:uid="{00000000-0005-0000-0000-000074270000}"/>
    <cellStyle name="Output 3 5 3" xfId="10058" xr:uid="{00000000-0005-0000-0000-000075270000}"/>
    <cellStyle name="Output 3 5 3 2" xfId="10059" xr:uid="{00000000-0005-0000-0000-000076270000}"/>
    <cellStyle name="Output 3 5 3 3" xfId="10060" xr:uid="{00000000-0005-0000-0000-000077270000}"/>
    <cellStyle name="Output 3 5 3 4" xfId="10061" xr:uid="{00000000-0005-0000-0000-000078270000}"/>
    <cellStyle name="Output 3 5 4" xfId="10062" xr:uid="{00000000-0005-0000-0000-000079270000}"/>
    <cellStyle name="Output 3 5 4 2" xfId="10063" xr:uid="{00000000-0005-0000-0000-00007A270000}"/>
    <cellStyle name="Output 3 5 4 3" xfId="10064" xr:uid="{00000000-0005-0000-0000-00007B270000}"/>
    <cellStyle name="Output 3 5 4 4" xfId="10065" xr:uid="{00000000-0005-0000-0000-00007C270000}"/>
    <cellStyle name="Output 3 5 5" xfId="10066" xr:uid="{00000000-0005-0000-0000-00007D270000}"/>
    <cellStyle name="Output 3 5 6" xfId="10067" xr:uid="{00000000-0005-0000-0000-00007E270000}"/>
    <cellStyle name="Output 3 5 7" xfId="10068" xr:uid="{00000000-0005-0000-0000-00007F270000}"/>
    <cellStyle name="Output 3 6" xfId="10069" xr:uid="{00000000-0005-0000-0000-000080270000}"/>
    <cellStyle name="Output 3 6 2" xfId="10070" xr:uid="{00000000-0005-0000-0000-000081270000}"/>
    <cellStyle name="Output 3 6 2 2" xfId="10071" xr:uid="{00000000-0005-0000-0000-000082270000}"/>
    <cellStyle name="Output 3 6 2 3" xfId="10072" xr:uid="{00000000-0005-0000-0000-000083270000}"/>
    <cellStyle name="Output 3 6 2 4" xfId="10073" xr:uid="{00000000-0005-0000-0000-000084270000}"/>
    <cellStyle name="Output 3 6 3" xfId="10074" xr:uid="{00000000-0005-0000-0000-000085270000}"/>
    <cellStyle name="Output 3 6 3 2" xfId="10075" xr:uid="{00000000-0005-0000-0000-000086270000}"/>
    <cellStyle name="Output 3 6 3 3" xfId="10076" xr:uid="{00000000-0005-0000-0000-000087270000}"/>
    <cellStyle name="Output 3 6 3 4" xfId="10077" xr:uid="{00000000-0005-0000-0000-000088270000}"/>
    <cellStyle name="Output 3 6 4" xfId="10078" xr:uid="{00000000-0005-0000-0000-000089270000}"/>
    <cellStyle name="Output 3 6 4 2" xfId="10079" xr:uid="{00000000-0005-0000-0000-00008A270000}"/>
    <cellStyle name="Output 3 6 4 3" xfId="10080" xr:uid="{00000000-0005-0000-0000-00008B270000}"/>
    <cellStyle name="Output 3 6 4 4" xfId="10081" xr:uid="{00000000-0005-0000-0000-00008C270000}"/>
    <cellStyle name="Output 3 6 5" xfId="10082" xr:uid="{00000000-0005-0000-0000-00008D270000}"/>
    <cellStyle name="Output 3 6 6" xfId="10083" xr:uid="{00000000-0005-0000-0000-00008E270000}"/>
    <cellStyle name="Output 3 6 7" xfId="10084" xr:uid="{00000000-0005-0000-0000-00008F270000}"/>
    <cellStyle name="Output 3 7" xfId="10085" xr:uid="{00000000-0005-0000-0000-000090270000}"/>
    <cellStyle name="Output 3 7 2" xfId="10086" xr:uid="{00000000-0005-0000-0000-000091270000}"/>
    <cellStyle name="Output 3 7 3" xfId="10087" xr:uid="{00000000-0005-0000-0000-000092270000}"/>
    <cellStyle name="Output 3 7 4" xfId="10088" xr:uid="{00000000-0005-0000-0000-000093270000}"/>
    <cellStyle name="Output 3 8" xfId="10089" xr:uid="{00000000-0005-0000-0000-000094270000}"/>
    <cellStyle name="Output 3 8 2" xfId="10090" xr:uid="{00000000-0005-0000-0000-000095270000}"/>
    <cellStyle name="Output 3 8 3" xfId="10091" xr:uid="{00000000-0005-0000-0000-000096270000}"/>
    <cellStyle name="Output 3 8 4" xfId="10092" xr:uid="{00000000-0005-0000-0000-000097270000}"/>
    <cellStyle name="Output 3 9" xfId="10093" xr:uid="{00000000-0005-0000-0000-000098270000}"/>
    <cellStyle name="Output 3 9 2" xfId="10094" xr:uid="{00000000-0005-0000-0000-000099270000}"/>
    <cellStyle name="Output 3 9 3" xfId="10095" xr:uid="{00000000-0005-0000-0000-00009A270000}"/>
    <cellStyle name="Output 3 9 4" xfId="10096" xr:uid="{00000000-0005-0000-0000-00009B270000}"/>
    <cellStyle name="Output 4" xfId="10097" xr:uid="{00000000-0005-0000-0000-00009C270000}"/>
    <cellStyle name="Output 4 10" xfId="10098" xr:uid="{00000000-0005-0000-0000-00009D270000}"/>
    <cellStyle name="Output 4 11" xfId="10099" xr:uid="{00000000-0005-0000-0000-00009E270000}"/>
    <cellStyle name="Output 4 12" xfId="10100" xr:uid="{00000000-0005-0000-0000-00009F270000}"/>
    <cellStyle name="Output 4 2" xfId="10101" xr:uid="{00000000-0005-0000-0000-0000A0270000}"/>
    <cellStyle name="Output 4 2 2" xfId="10102" xr:uid="{00000000-0005-0000-0000-0000A1270000}"/>
    <cellStyle name="Output 4 2 2 2" xfId="10103" xr:uid="{00000000-0005-0000-0000-0000A2270000}"/>
    <cellStyle name="Output 4 2 2 3" xfId="10104" xr:uid="{00000000-0005-0000-0000-0000A3270000}"/>
    <cellStyle name="Output 4 2 2 4" xfId="10105" xr:uid="{00000000-0005-0000-0000-0000A4270000}"/>
    <cellStyle name="Output 4 2 3" xfId="10106" xr:uid="{00000000-0005-0000-0000-0000A5270000}"/>
    <cellStyle name="Output 4 2 3 2" xfId="10107" xr:uid="{00000000-0005-0000-0000-0000A6270000}"/>
    <cellStyle name="Output 4 2 3 3" xfId="10108" xr:uid="{00000000-0005-0000-0000-0000A7270000}"/>
    <cellStyle name="Output 4 2 3 4" xfId="10109" xr:uid="{00000000-0005-0000-0000-0000A8270000}"/>
    <cellStyle name="Output 4 2 4" xfId="10110" xr:uid="{00000000-0005-0000-0000-0000A9270000}"/>
    <cellStyle name="Output 4 2 4 2" xfId="10111" xr:uid="{00000000-0005-0000-0000-0000AA270000}"/>
    <cellStyle name="Output 4 2 4 3" xfId="10112" xr:uid="{00000000-0005-0000-0000-0000AB270000}"/>
    <cellStyle name="Output 4 2 4 4" xfId="10113" xr:uid="{00000000-0005-0000-0000-0000AC270000}"/>
    <cellStyle name="Output 4 2 5" xfId="10114" xr:uid="{00000000-0005-0000-0000-0000AD270000}"/>
    <cellStyle name="Output 4 2 6" xfId="10115" xr:uid="{00000000-0005-0000-0000-0000AE270000}"/>
    <cellStyle name="Output 4 2 7" xfId="10116" xr:uid="{00000000-0005-0000-0000-0000AF270000}"/>
    <cellStyle name="Output 4 3" xfId="10117" xr:uid="{00000000-0005-0000-0000-0000B0270000}"/>
    <cellStyle name="Output 4 3 2" xfId="10118" xr:uid="{00000000-0005-0000-0000-0000B1270000}"/>
    <cellStyle name="Output 4 3 2 2" xfId="10119" xr:uid="{00000000-0005-0000-0000-0000B2270000}"/>
    <cellStyle name="Output 4 3 2 3" xfId="10120" xr:uid="{00000000-0005-0000-0000-0000B3270000}"/>
    <cellStyle name="Output 4 3 2 4" xfId="10121" xr:uid="{00000000-0005-0000-0000-0000B4270000}"/>
    <cellStyle name="Output 4 3 3" xfId="10122" xr:uid="{00000000-0005-0000-0000-0000B5270000}"/>
    <cellStyle name="Output 4 3 3 2" xfId="10123" xr:uid="{00000000-0005-0000-0000-0000B6270000}"/>
    <cellStyle name="Output 4 3 3 3" xfId="10124" xr:uid="{00000000-0005-0000-0000-0000B7270000}"/>
    <cellStyle name="Output 4 3 3 4" xfId="10125" xr:uid="{00000000-0005-0000-0000-0000B8270000}"/>
    <cellStyle name="Output 4 3 4" xfId="10126" xr:uid="{00000000-0005-0000-0000-0000B9270000}"/>
    <cellStyle name="Output 4 3 4 2" xfId="10127" xr:uid="{00000000-0005-0000-0000-0000BA270000}"/>
    <cellStyle name="Output 4 3 4 3" xfId="10128" xr:uid="{00000000-0005-0000-0000-0000BB270000}"/>
    <cellStyle name="Output 4 3 4 4" xfId="10129" xr:uid="{00000000-0005-0000-0000-0000BC270000}"/>
    <cellStyle name="Output 4 3 5" xfId="10130" xr:uid="{00000000-0005-0000-0000-0000BD270000}"/>
    <cellStyle name="Output 4 3 6" xfId="10131" xr:uid="{00000000-0005-0000-0000-0000BE270000}"/>
    <cellStyle name="Output 4 3 7" xfId="10132" xr:uid="{00000000-0005-0000-0000-0000BF270000}"/>
    <cellStyle name="Output 4 4" xfId="10133" xr:uid="{00000000-0005-0000-0000-0000C0270000}"/>
    <cellStyle name="Output 4 4 2" xfId="10134" xr:uid="{00000000-0005-0000-0000-0000C1270000}"/>
    <cellStyle name="Output 4 4 2 2" xfId="10135" xr:uid="{00000000-0005-0000-0000-0000C2270000}"/>
    <cellStyle name="Output 4 4 2 3" xfId="10136" xr:uid="{00000000-0005-0000-0000-0000C3270000}"/>
    <cellStyle name="Output 4 4 2 4" xfId="10137" xr:uid="{00000000-0005-0000-0000-0000C4270000}"/>
    <cellStyle name="Output 4 4 3" xfId="10138" xr:uid="{00000000-0005-0000-0000-0000C5270000}"/>
    <cellStyle name="Output 4 4 3 2" xfId="10139" xr:uid="{00000000-0005-0000-0000-0000C6270000}"/>
    <cellStyle name="Output 4 4 3 3" xfId="10140" xr:uid="{00000000-0005-0000-0000-0000C7270000}"/>
    <cellStyle name="Output 4 4 3 4" xfId="10141" xr:uid="{00000000-0005-0000-0000-0000C8270000}"/>
    <cellStyle name="Output 4 4 4" xfId="10142" xr:uid="{00000000-0005-0000-0000-0000C9270000}"/>
    <cellStyle name="Output 4 4 4 2" xfId="10143" xr:uid="{00000000-0005-0000-0000-0000CA270000}"/>
    <cellStyle name="Output 4 4 4 3" xfId="10144" xr:uid="{00000000-0005-0000-0000-0000CB270000}"/>
    <cellStyle name="Output 4 4 4 4" xfId="10145" xr:uid="{00000000-0005-0000-0000-0000CC270000}"/>
    <cellStyle name="Output 4 4 5" xfId="10146" xr:uid="{00000000-0005-0000-0000-0000CD270000}"/>
    <cellStyle name="Output 4 4 6" xfId="10147" xr:uid="{00000000-0005-0000-0000-0000CE270000}"/>
    <cellStyle name="Output 4 4 7" xfId="10148" xr:uid="{00000000-0005-0000-0000-0000CF270000}"/>
    <cellStyle name="Output 4 5" xfId="10149" xr:uid="{00000000-0005-0000-0000-0000D0270000}"/>
    <cellStyle name="Output 4 5 2" xfId="10150" xr:uid="{00000000-0005-0000-0000-0000D1270000}"/>
    <cellStyle name="Output 4 5 2 2" xfId="10151" xr:uid="{00000000-0005-0000-0000-0000D2270000}"/>
    <cellStyle name="Output 4 5 2 3" xfId="10152" xr:uid="{00000000-0005-0000-0000-0000D3270000}"/>
    <cellStyle name="Output 4 5 2 4" xfId="10153" xr:uid="{00000000-0005-0000-0000-0000D4270000}"/>
    <cellStyle name="Output 4 5 3" xfId="10154" xr:uid="{00000000-0005-0000-0000-0000D5270000}"/>
    <cellStyle name="Output 4 5 3 2" xfId="10155" xr:uid="{00000000-0005-0000-0000-0000D6270000}"/>
    <cellStyle name="Output 4 5 3 3" xfId="10156" xr:uid="{00000000-0005-0000-0000-0000D7270000}"/>
    <cellStyle name="Output 4 5 3 4" xfId="10157" xr:uid="{00000000-0005-0000-0000-0000D8270000}"/>
    <cellStyle name="Output 4 5 4" xfId="10158" xr:uid="{00000000-0005-0000-0000-0000D9270000}"/>
    <cellStyle name="Output 4 5 4 2" xfId="10159" xr:uid="{00000000-0005-0000-0000-0000DA270000}"/>
    <cellStyle name="Output 4 5 4 3" xfId="10160" xr:uid="{00000000-0005-0000-0000-0000DB270000}"/>
    <cellStyle name="Output 4 5 4 4" xfId="10161" xr:uid="{00000000-0005-0000-0000-0000DC270000}"/>
    <cellStyle name="Output 4 5 5" xfId="10162" xr:uid="{00000000-0005-0000-0000-0000DD270000}"/>
    <cellStyle name="Output 4 5 6" xfId="10163" xr:uid="{00000000-0005-0000-0000-0000DE270000}"/>
    <cellStyle name="Output 4 5 7" xfId="10164" xr:uid="{00000000-0005-0000-0000-0000DF270000}"/>
    <cellStyle name="Output 4 6" xfId="10165" xr:uid="{00000000-0005-0000-0000-0000E0270000}"/>
    <cellStyle name="Output 4 6 2" xfId="10166" xr:uid="{00000000-0005-0000-0000-0000E1270000}"/>
    <cellStyle name="Output 4 6 2 2" xfId="10167" xr:uid="{00000000-0005-0000-0000-0000E2270000}"/>
    <cellStyle name="Output 4 6 2 3" xfId="10168" xr:uid="{00000000-0005-0000-0000-0000E3270000}"/>
    <cellStyle name="Output 4 6 2 4" xfId="10169" xr:uid="{00000000-0005-0000-0000-0000E4270000}"/>
    <cellStyle name="Output 4 6 3" xfId="10170" xr:uid="{00000000-0005-0000-0000-0000E5270000}"/>
    <cellStyle name="Output 4 6 3 2" xfId="10171" xr:uid="{00000000-0005-0000-0000-0000E6270000}"/>
    <cellStyle name="Output 4 6 3 3" xfId="10172" xr:uid="{00000000-0005-0000-0000-0000E7270000}"/>
    <cellStyle name="Output 4 6 3 4" xfId="10173" xr:uid="{00000000-0005-0000-0000-0000E8270000}"/>
    <cellStyle name="Output 4 6 4" xfId="10174" xr:uid="{00000000-0005-0000-0000-0000E9270000}"/>
    <cellStyle name="Output 4 6 4 2" xfId="10175" xr:uid="{00000000-0005-0000-0000-0000EA270000}"/>
    <cellStyle name="Output 4 6 4 3" xfId="10176" xr:uid="{00000000-0005-0000-0000-0000EB270000}"/>
    <cellStyle name="Output 4 6 4 4" xfId="10177" xr:uid="{00000000-0005-0000-0000-0000EC270000}"/>
    <cellStyle name="Output 4 6 5" xfId="10178" xr:uid="{00000000-0005-0000-0000-0000ED270000}"/>
    <cellStyle name="Output 4 6 6" xfId="10179" xr:uid="{00000000-0005-0000-0000-0000EE270000}"/>
    <cellStyle name="Output 4 6 7" xfId="10180" xr:uid="{00000000-0005-0000-0000-0000EF270000}"/>
    <cellStyle name="Output 4 7" xfId="10181" xr:uid="{00000000-0005-0000-0000-0000F0270000}"/>
    <cellStyle name="Output 4 7 2" xfId="10182" xr:uid="{00000000-0005-0000-0000-0000F1270000}"/>
    <cellStyle name="Output 4 7 3" xfId="10183" xr:uid="{00000000-0005-0000-0000-0000F2270000}"/>
    <cellStyle name="Output 4 7 4" xfId="10184" xr:uid="{00000000-0005-0000-0000-0000F3270000}"/>
    <cellStyle name="Output 4 8" xfId="10185" xr:uid="{00000000-0005-0000-0000-0000F4270000}"/>
    <cellStyle name="Output 4 8 2" xfId="10186" xr:uid="{00000000-0005-0000-0000-0000F5270000}"/>
    <cellStyle name="Output 4 8 3" xfId="10187" xr:uid="{00000000-0005-0000-0000-0000F6270000}"/>
    <cellStyle name="Output 4 8 4" xfId="10188" xr:uid="{00000000-0005-0000-0000-0000F7270000}"/>
    <cellStyle name="Output 4 9" xfId="10189" xr:uid="{00000000-0005-0000-0000-0000F8270000}"/>
    <cellStyle name="Output 4 9 2" xfId="10190" xr:uid="{00000000-0005-0000-0000-0000F9270000}"/>
    <cellStyle name="Output 4 9 3" xfId="10191" xr:uid="{00000000-0005-0000-0000-0000FA270000}"/>
    <cellStyle name="Output 4 9 4" xfId="10192" xr:uid="{00000000-0005-0000-0000-0000FB270000}"/>
    <cellStyle name="Output 5" xfId="10193" xr:uid="{00000000-0005-0000-0000-0000FC270000}"/>
    <cellStyle name="Output 5 2" xfId="10194" xr:uid="{00000000-0005-0000-0000-0000FD270000}"/>
    <cellStyle name="Output 5 2 2" xfId="10195" xr:uid="{00000000-0005-0000-0000-0000FE270000}"/>
    <cellStyle name="Output 5 2 3" xfId="10196" xr:uid="{00000000-0005-0000-0000-0000FF270000}"/>
    <cellStyle name="Output 5 2 4" xfId="10197" xr:uid="{00000000-0005-0000-0000-000000280000}"/>
    <cellStyle name="Output 5 3" xfId="10198" xr:uid="{00000000-0005-0000-0000-000001280000}"/>
    <cellStyle name="Output 5 3 2" xfId="10199" xr:uid="{00000000-0005-0000-0000-000002280000}"/>
    <cellStyle name="Output 5 3 3" xfId="10200" xr:uid="{00000000-0005-0000-0000-000003280000}"/>
    <cellStyle name="Output 5 3 4" xfId="10201" xr:uid="{00000000-0005-0000-0000-000004280000}"/>
    <cellStyle name="Output 5 4" xfId="10202" xr:uid="{00000000-0005-0000-0000-000005280000}"/>
    <cellStyle name="Output 5 4 2" xfId="10203" xr:uid="{00000000-0005-0000-0000-000006280000}"/>
    <cellStyle name="Output 5 4 3" xfId="10204" xr:uid="{00000000-0005-0000-0000-000007280000}"/>
    <cellStyle name="Output 5 4 4" xfId="10205" xr:uid="{00000000-0005-0000-0000-000008280000}"/>
    <cellStyle name="Output 5 5" xfId="10206" xr:uid="{00000000-0005-0000-0000-000009280000}"/>
    <cellStyle name="Output 5 6" xfId="10207" xr:uid="{00000000-0005-0000-0000-00000A280000}"/>
    <cellStyle name="Output 5 7" xfId="10208" xr:uid="{00000000-0005-0000-0000-00000B280000}"/>
    <cellStyle name="Output 6" xfId="10209" xr:uid="{00000000-0005-0000-0000-00000C280000}"/>
    <cellStyle name="Output 6 2" xfId="10210" xr:uid="{00000000-0005-0000-0000-00000D280000}"/>
    <cellStyle name="Output 6 2 2" xfId="10211" xr:uid="{00000000-0005-0000-0000-00000E280000}"/>
    <cellStyle name="Output 6 2 3" xfId="10212" xr:uid="{00000000-0005-0000-0000-00000F280000}"/>
    <cellStyle name="Output 6 2 4" xfId="10213" xr:uid="{00000000-0005-0000-0000-000010280000}"/>
    <cellStyle name="Output 6 3" xfId="10214" xr:uid="{00000000-0005-0000-0000-000011280000}"/>
    <cellStyle name="Output 6 3 2" xfId="10215" xr:uid="{00000000-0005-0000-0000-000012280000}"/>
    <cellStyle name="Output 6 3 3" xfId="10216" xr:uid="{00000000-0005-0000-0000-000013280000}"/>
    <cellStyle name="Output 6 3 4" xfId="10217" xr:uid="{00000000-0005-0000-0000-000014280000}"/>
    <cellStyle name="Output 6 4" xfId="10218" xr:uid="{00000000-0005-0000-0000-000015280000}"/>
    <cellStyle name="Output 6 4 2" xfId="10219" xr:uid="{00000000-0005-0000-0000-000016280000}"/>
    <cellStyle name="Output 6 4 3" xfId="10220" xr:uid="{00000000-0005-0000-0000-000017280000}"/>
    <cellStyle name="Output 6 4 4" xfId="10221" xr:uid="{00000000-0005-0000-0000-000018280000}"/>
    <cellStyle name="Output 6 5" xfId="10222" xr:uid="{00000000-0005-0000-0000-000019280000}"/>
    <cellStyle name="Output 6 6" xfId="10223" xr:uid="{00000000-0005-0000-0000-00001A280000}"/>
    <cellStyle name="Output 6 7" xfId="10224" xr:uid="{00000000-0005-0000-0000-00001B280000}"/>
    <cellStyle name="Output 7" xfId="10225" xr:uid="{00000000-0005-0000-0000-00001C280000}"/>
    <cellStyle name="Output 7 2" xfId="10226" xr:uid="{00000000-0005-0000-0000-00001D280000}"/>
    <cellStyle name="Output 7 2 2" xfId="10227" xr:uid="{00000000-0005-0000-0000-00001E280000}"/>
    <cellStyle name="Output 7 2 3" xfId="10228" xr:uid="{00000000-0005-0000-0000-00001F280000}"/>
    <cellStyle name="Output 7 2 4" xfId="10229" xr:uid="{00000000-0005-0000-0000-000020280000}"/>
    <cellStyle name="Output 7 3" xfId="10230" xr:uid="{00000000-0005-0000-0000-000021280000}"/>
    <cellStyle name="Output 7 3 2" xfId="10231" xr:uid="{00000000-0005-0000-0000-000022280000}"/>
    <cellStyle name="Output 7 3 3" xfId="10232" xr:uid="{00000000-0005-0000-0000-000023280000}"/>
    <cellStyle name="Output 7 3 4" xfId="10233" xr:uid="{00000000-0005-0000-0000-000024280000}"/>
    <cellStyle name="Output 7 4" xfId="10234" xr:uid="{00000000-0005-0000-0000-000025280000}"/>
    <cellStyle name="Output 7 4 2" xfId="10235" xr:uid="{00000000-0005-0000-0000-000026280000}"/>
    <cellStyle name="Output 7 4 3" xfId="10236" xr:uid="{00000000-0005-0000-0000-000027280000}"/>
    <cellStyle name="Output 7 4 4" xfId="10237" xr:uid="{00000000-0005-0000-0000-000028280000}"/>
    <cellStyle name="Output 7 5" xfId="10238" xr:uid="{00000000-0005-0000-0000-000029280000}"/>
    <cellStyle name="Output 7 6" xfId="10239" xr:uid="{00000000-0005-0000-0000-00002A280000}"/>
    <cellStyle name="Output 7 7" xfId="10240" xr:uid="{00000000-0005-0000-0000-00002B280000}"/>
    <cellStyle name="Output 8" xfId="10241" xr:uid="{00000000-0005-0000-0000-00002C280000}"/>
    <cellStyle name="Output 8 2" xfId="10242" xr:uid="{00000000-0005-0000-0000-00002D280000}"/>
    <cellStyle name="Output 8 2 2" xfId="10243" xr:uid="{00000000-0005-0000-0000-00002E280000}"/>
    <cellStyle name="Output 8 2 3" xfId="10244" xr:uid="{00000000-0005-0000-0000-00002F280000}"/>
    <cellStyle name="Output 8 2 4" xfId="10245" xr:uid="{00000000-0005-0000-0000-000030280000}"/>
    <cellStyle name="Output 8 3" xfId="10246" xr:uid="{00000000-0005-0000-0000-000031280000}"/>
    <cellStyle name="Output 8 3 2" xfId="10247" xr:uid="{00000000-0005-0000-0000-000032280000}"/>
    <cellStyle name="Output 8 3 3" xfId="10248" xr:uid="{00000000-0005-0000-0000-000033280000}"/>
    <cellStyle name="Output 8 3 4" xfId="10249" xr:uid="{00000000-0005-0000-0000-000034280000}"/>
    <cellStyle name="Output 8 4" xfId="10250" xr:uid="{00000000-0005-0000-0000-000035280000}"/>
    <cellStyle name="Output 8 4 2" xfId="10251" xr:uid="{00000000-0005-0000-0000-000036280000}"/>
    <cellStyle name="Output 8 4 3" xfId="10252" xr:uid="{00000000-0005-0000-0000-000037280000}"/>
    <cellStyle name="Output 8 4 4" xfId="10253" xr:uid="{00000000-0005-0000-0000-000038280000}"/>
    <cellStyle name="Output 8 5" xfId="10254" xr:uid="{00000000-0005-0000-0000-000039280000}"/>
    <cellStyle name="Output 8 6" xfId="10255" xr:uid="{00000000-0005-0000-0000-00003A280000}"/>
    <cellStyle name="Output 8 7" xfId="10256" xr:uid="{00000000-0005-0000-0000-00003B280000}"/>
    <cellStyle name="Output 9" xfId="10257" xr:uid="{00000000-0005-0000-0000-00003C280000}"/>
    <cellStyle name="Output 9 2" xfId="10258" xr:uid="{00000000-0005-0000-0000-00003D280000}"/>
    <cellStyle name="Output 9 2 2" xfId="10259" xr:uid="{00000000-0005-0000-0000-00003E280000}"/>
    <cellStyle name="Output 9 2 3" xfId="10260" xr:uid="{00000000-0005-0000-0000-00003F280000}"/>
    <cellStyle name="Output 9 2 4" xfId="10261" xr:uid="{00000000-0005-0000-0000-000040280000}"/>
    <cellStyle name="Output 9 3" xfId="10262" xr:uid="{00000000-0005-0000-0000-000041280000}"/>
    <cellStyle name="Output 9 3 2" xfId="10263" xr:uid="{00000000-0005-0000-0000-000042280000}"/>
    <cellStyle name="Output 9 3 3" xfId="10264" xr:uid="{00000000-0005-0000-0000-000043280000}"/>
    <cellStyle name="Output 9 3 4" xfId="10265" xr:uid="{00000000-0005-0000-0000-000044280000}"/>
    <cellStyle name="Output 9 4" xfId="10266" xr:uid="{00000000-0005-0000-0000-000045280000}"/>
    <cellStyle name="Output 9 4 2" xfId="10267" xr:uid="{00000000-0005-0000-0000-000046280000}"/>
    <cellStyle name="Output 9 4 3" xfId="10268" xr:uid="{00000000-0005-0000-0000-000047280000}"/>
    <cellStyle name="Output 9 4 4" xfId="10269" xr:uid="{00000000-0005-0000-0000-000048280000}"/>
    <cellStyle name="Output 9 5" xfId="10270" xr:uid="{00000000-0005-0000-0000-000049280000}"/>
    <cellStyle name="Output 9 6" xfId="10271" xr:uid="{00000000-0005-0000-0000-00004A280000}"/>
    <cellStyle name="Output 9 7" xfId="10272" xr:uid="{00000000-0005-0000-0000-00004B280000}"/>
    <cellStyle name="Percent 10" xfId="10273" xr:uid="{00000000-0005-0000-0000-00004C280000}"/>
    <cellStyle name="Percent 10 2" xfId="10274" xr:uid="{00000000-0005-0000-0000-00004D280000}"/>
    <cellStyle name="Percent 10 2 2" xfId="10275" xr:uid="{00000000-0005-0000-0000-00004E280000}"/>
    <cellStyle name="Percent 10 2 2 2" xfId="10276" xr:uid="{00000000-0005-0000-0000-00004F280000}"/>
    <cellStyle name="Percent 10 2 3" xfId="10277" xr:uid="{00000000-0005-0000-0000-000050280000}"/>
    <cellStyle name="Percent 10 2 3 2" xfId="10278" xr:uid="{00000000-0005-0000-0000-000051280000}"/>
    <cellStyle name="Percent 10 3" xfId="10279" xr:uid="{00000000-0005-0000-0000-000052280000}"/>
    <cellStyle name="Percent 10 3 2" xfId="10280" xr:uid="{00000000-0005-0000-0000-000053280000}"/>
    <cellStyle name="Percent 10 3 3" xfId="10281" xr:uid="{00000000-0005-0000-0000-000054280000}"/>
    <cellStyle name="Percent 10 3 3 2" xfId="10282" xr:uid="{00000000-0005-0000-0000-000055280000}"/>
    <cellStyle name="Percent 10 4" xfId="10283" xr:uid="{00000000-0005-0000-0000-000056280000}"/>
    <cellStyle name="Percent 10 5" xfId="10284" xr:uid="{00000000-0005-0000-0000-000057280000}"/>
    <cellStyle name="Percent 10 5 2" xfId="10285" xr:uid="{00000000-0005-0000-0000-000058280000}"/>
    <cellStyle name="Percent 2" xfId="10286" xr:uid="{00000000-0005-0000-0000-000059280000}"/>
    <cellStyle name="Percent 2 10" xfId="10287" xr:uid="{00000000-0005-0000-0000-00005A280000}"/>
    <cellStyle name="Percent 2 2" xfId="10288" xr:uid="{00000000-0005-0000-0000-00005B280000}"/>
    <cellStyle name="Percent 2 2 2" xfId="10289" xr:uid="{00000000-0005-0000-0000-00005C280000}"/>
    <cellStyle name="Percent 2 2 2 2" xfId="10290" xr:uid="{00000000-0005-0000-0000-00005D280000}"/>
    <cellStyle name="Percent 2 2 2 2 2" xfId="10291" xr:uid="{00000000-0005-0000-0000-00005E280000}"/>
    <cellStyle name="Percent 2 2 2 3" xfId="10292" xr:uid="{00000000-0005-0000-0000-00005F280000}"/>
    <cellStyle name="Percent 2 2 2 3 2" xfId="10293" xr:uid="{00000000-0005-0000-0000-000060280000}"/>
    <cellStyle name="Percent 2 2 2 4" xfId="10294" xr:uid="{00000000-0005-0000-0000-000061280000}"/>
    <cellStyle name="Percent 2 2 2 5" xfId="10295" xr:uid="{00000000-0005-0000-0000-000062280000}"/>
    <cellStyle name="Percent 2 2 3" xfId="10296" xr:uid="{00000000-0005-0000-0000-000063280000}"/>
    <cellStyle name="Percent 2 2 3 2" xfId="10297" xr:uid="{00000000-0005-0000-0000-000064280000}"/>
    <cellStyle name="Percent 2 2 3 2 2" xfId="10298" xr:uid="{00000000-0005-0000-0000-000065280000}"/>
    <cellStyle name="Percent 2 2 3 2 3" xfId="10299" xr:uid="{00000000-0005-0000-0000-000066280000}"/>
    <cellStyle name="Percent 2 2 3 3" xfId="10300" xr:uid="{00000000-0005-0000-0000-000067280000}"/>
    <cellStyle name="Percent 2 2 3 3 2" xfId="10301" xr:uid="{00000000-0005-0000-0000-000068280000}"/>
    <cellStyle name="Percent 2 2 3 4" xfId="10302" xr:uid="{00000000-0005-0000-0000-000069280000}"/>
    <cellStyle name="Percent 2 2 3 5" xfId="10303" xr:uid="{00000000-0005-0000-0000-00006A280000}"/>
    <cellStyle name="Percent 2 2 4" xfId="10304" xr:uid="{00000000-0005-0000-0000-00006B280000}"/>
    <cellStyle name="Percent 2 2 4 2" xfId="10305" xr:uid="{00000000-0005-0000-0000-00006C280000}"/>
    <cellStyle name="Percent 2 2 4 3" xfId="10306" xr:uid="{00000000-0005-0000-0000-00006D280000}"/>
    <cellStyle name="Percent 2 2 4 4" xfId="10307" xr:uid="{00000000-0005-0000-0000-00006E280000}"/>
    <cellStyle name="Percent 2 2 5" xfId="10308" xr:uid="{00000000-0005-0000-0000-00006F280000}"/>
    <cellStyle name="Percent 2 2 5 2" xfId="10309" xr:uid="{00000000-0005-0000-0000-000070280000}"/>
    <cellStyle name="Percent 2 2 5 2 2" xfId="10310" xr:uid="{00000000-0005-0000-0000-000071280000}"/>
    <cellStyle name="Percent 2 2 5 2 2 2" xfId="10311" xr:uid="{00000000-0005-0000-0000-000072280000}"/>
    <cellStyle name="Percent 2 2 5 3" xfId="10312" xr:uid="{00000000-0005-0000-0000-000073280000}"/>
    <cellStyle name="Percent 2 2 5 3 2" xfId="10313" xr:uid="{00000000-0005-0000-0000-000074280000}"/>
    <cellStyle name="Percent 2 2 5 4" xfId="10314" xr:uid="{00000000-0005-0000-0000-000075280000}"/>
    <cellStyle name="Percent 2 2 5 5" xfId="10315" xr:uid="{00000000-0005-0000-0000-000076280000}"/>
    <cellStyle name="Percent 2 2 6" xfId="10316" xr:uid="{00000000-0005-0000-0000-000077280000}"/>
    <cellStyle name="Percent 2 2 6 2" xfId="10317" xr:uid="{00000000-0005-0000-0000-000078280000}"/>
    <cellStyle name="Percent 2 2 6 2 2" xfId="10318" xr:uid="{00000000-0005-0000-0000-000079280000}"/>
    <cellStyle name="Percent 2 2 6 3" xfId="10319" xr:uid="{00000000-0005-0000-0000-00007A280000}"/>
    <cellStyle name="Percent 2 2 6 4" xfId="10320" xr:uid="{00000000-0005-0000-0000-00007B280000}"/>
    <cellStyle name="Percent 2 2 7" xfId="10321" xr:uid="{00000000-0005-0000-0000-00007C280000}"/>
    <cellStyle name="Percent 2 2 7 2" xfId="10322" xr:uid="{00000000-0005-0000-0000-00007D280000}"/>
    <cellStyle name="Percent 2 2 8" xfId="10323" xr:uid="{00000000-0005-0000-0000-00007E280000}"/>
    <cellStyle name="Percent 2 2 9" xfId="10324" xr:uid="{00000000-0005-0000-0000-00007F280000}"/>
    <cellStyle name="Percent 2 3" xfId="10325" xr:uid="{00000000-0005-0000-0000-000080280000}"/>
    <cellStyle name="Percent 2 3 2" xfId="10326" xr:uid="{00000000-0005-0000-0000-000081280000}"/>
    <cellStyle name="Percent 2 3 2 2" xfId="10327" xr:uid="{00000000-0005-0000-0000-000082280000}"/>
    <cellStyle name="Percent 2 3 3" xfId="10328" xr:uid="{00000000-0005-0000-0000-000083280000}"/>
    <cellStyle name="Percent 2 3 3 2" xfId="10329" xr:uid="{00000000-0005-0000-0000-000084280000}"/>
    <cellStyle name="Percent 2 3 4" xfId="10330" xr:uid="{00000000-0005-0000-0000-000085280000}"/>
    <cellStyle name="Percent 2 3 5" xfId="10331" xr:uid="{00000000-0005-0000-0000-000086280000}"/>
    <cellStyle name="Percent 2 4" xfId="10332" xr:uid="{00000000-0005-0000-0000-000087280000}"/>
    <cellStyle name="Percent 2 4 2" xfId="10333" xr:uid="{00000000-0005-0000-0000-000088280000}"/>
    <cellStyle name="Percent 2 4 3" xfId="10334" xr:uid="{00000000-0005-0000-0000-000089280000}"/>
    <cellStyle name="Percent 2 4 4" xfId="10335" xr:uid="{00000000-0005-0000-0000-00008A280000}"/>
    <cellStyle name="Percent 2 4 5" xfId="10336" xr:uid="{00000000-0005-0000-0000-00008B280000}"/>
    <cellStyle name="Percent 2 5" xfId="10337" xr:uid="{00000000-0005-0000-0000-00008C280000}"/>
    <cellStyle name="Percent 2 5 2" xfId="10338" xr:uid="{00000000-0005-0000-0000-00008D280000}"/>
    <cellStyle name="Percent 2 5 3" xfId="10339" xr:uid="{00000000-0005-0000-0000-00008E280000}"/>
    <cellStyle name="Percent 2 5 4" xfId="10340" xr:uid="{00000000-0005-0000-0000-00008F280000}"/>
    <cellStyle name="Percent 2 6" xfId="10341" xr:uid="{00000000-0005-0000-0000-000090280000}"/>
    <cellStyle name="Percent 2 6 2" xfId="10342" xr:uid="{00000000-0005-0000-0000-000091280000}"/>
    <cellStyle name="Percent 2 6 2 2" xfId="10343" xr:uid="{00000000-0005-0000-0000-000092280000}"/>
    <cellStyle name="Percent 2 6 3" xfId="10344" xr:uid="{00000000-0005-0000-0000-000093280000}"/>
    <cellStyle name="Percent 2 6 4" xfId="10345" xr:uid="{00000000-0005-0000-0000-000094280000}"/>
    <cellStyle name="Percent 2 7" xfId="10346" xr:uid="{00000000-0005-0000-0000-000095280000}"/>
    <cellStyle name="Percent 2 7 2" xfId="10347" xr:uid="{00000000-0005-0000-0000-000096280000}"/>
    <cellStyle name="Percent 2 7 2 2" xfId="10348" xr:uid="{00000000-0005-0000-0000-000097280000}"/>
    <cellStyle name="Percent 2 8" xfId="10349" xr:uid="{00000000-0005-0000-0000-000098280000}"/>
    <cellStyle name="Percent 2 8 2" xfId="10350" xr:uid="{00000000-0005-0000-0000-000099280000}"/>
    <cellStyle name="Percent 2 9" xfId="10351" xr:uid="{00000000-0005-0000-0000-00009A280000}"/>
    <cellStyle name="Percent 3" xfId="10352" xr:uid="{00000000-0005-0000-0000-00009B280000}"/>
    <cellStyle name="Percent 3 2" xfId="10353" xr:uid="{00000000-0005-0000-0000-00009C280000}"/>
    <cellStyle name="Percent 3 2 2" xfId="10354" xr:uid="{00000000-0005-0000-0000-00009D280000}"/>
    <cellStyle name="Percent 3 2 2 2" xfId="10355" xr:uid="{00000000-0005-0000-0000-00009E280000}"/>
    <cellStyle name="Percent 3 2 2 3" xfId="10356" xr:uid="{00000000-0005-0000-0000-00009F280000}"/>
    <cellStyle name="Percent 3 2 2 4" xfId="10357" xr:uid="{00000000-0005-0000-0000-0000A0280000}"/>
    <cellStyle name="Percent 3 2 3" xfId="10358" xr:uid="{00000000-0005-0000-0000-0000A1280000}"/>
    <cellStyle name="Percent 3 2 3 2" xfId="10359" xr:uid="{00000000-0005-0000-0000-0000A2280000}"/>
    <cellStyle name="Percent 3 2 3 3" xfId="10360" xr:uid="{00000000-0005-0000-0000-0000A3280000}"/>
    <cellStyle name="Percent 3 2 3 4" xfId="10361" xr:uid="{00000000-0005-0000-0000-0000A4280000}"/>
    <cellStyle name="Percent 3 2 4" xfId="10362" xr:uid="{00000000-0005-0000-0000-0000A5280000}"/>
    <cellStyle name="Percent 3 2 5" xfId="10363" xr:uid="{00000000-0005-0000-0000-0000A6280000}"/>
    <cellStyle name="Percent 3 2 6" xfId="10364" xr:uid="{00000000-0005-0000-0000-0000A7280000}"/>
    <cellStyle name="Percent 3 2 7" xfId="10365" xr:uid="{00000000-0005-0000-0000-0000A8280000}"/>
    <cellStyle name="Percent 3 2 8" xfId="10366" xr:uid="{00000000-0005-0000-0000-0000A9280000}"/>
    <cellStyle name="Percent 3 3" xfId="10367" xr:uid="{00000000-0005-0000-0000-0000AA280000}"/>
    <cellStyle name="Percent 3 3 2" xfId="10368" xr:uid="{00000000-0005-0000-0000-0000AB280000}"/>
    <cellStyle name="Percent 3 3 3" xfId="10369" xr:uid="{00000000-0005-0000-0000-0000AC280000}"/>
    <cellStyle name="Percent 3 3 3 2" xfId="10370" xr:uid="{00000000-0005-0000-0000-0000AD280000}"/>
    <cellStyle name="Percent 3 3 4" xfId="10371" xr:uid="{00000000-0005-0000-0000-0000AE280000}"/>
    <cellStyle name="Percent 3 3 5" xfId="10372" xr:uid="{00000000-0005-0000-0000-0000AF280000}"/>
    <cellStyle name="Percent 3 4" xfId="10373" xr:uid="{00000000-0005-0000-0000-0000B0280000}"/>
    <cellStyle name="Percent 3 4 2" xfId="10374" xr:uid="{00000000-0005-0000-0000-0000B1280000}"/>
    <cellStyle name="Percent 3 4 3" xfId="10375" xr:uid="{00000000-0005-0000-0000-0000B2280000}"/>
    <cellStyle name="Percent 3 5" xfId="10376" xr:uid="{00000000-0005-0000-0000-0000B3280000}"/>
    <cellStyle name="Percent 3 5 2" xfId="10377" xr:uid="{00000000-0005-0000-0000-0000B4280000}"/>
    <cellStyle name="Percent 3 5 3" xfId="10378" xr:uid="{00000000-0005-0000-0000-0000B5280000}"/>
    <cellStyle name="Percent 3 5 4" xfId="10379" xr:uid="{00000000-0005-0000-0000-0000B6280000}"/>
    <cellStyle name="Percent 3 6" xfId="10380" xr:uid="{00000000-0005-0000-0000-0000B7280000}"/>
    <cellStyle name="Percent 4" xfId="10381" xr:uid="{00000000-0005-0000-0000-0000B8280000}"/>
    <cellStyle name="Percent 4 2" xfId="10382" xr:uid="{00000000-0005-0000-0000-0000B9280000}"/>
    <cellStyle name="Percent 4 2 2" xfId="10383" xr:uid="{00000000-0005-0000-0000-0000BA280000}"/>
    <cellStyle name="Percent 4 2 3" xfId="10384" xr:uid="{00000000-0005-0000-0000-0000BB280000}"/>
    <cellStyle name="Percent 4 3" xfId="10385" xr:uid="{00000000-0005-0000-0000-0000BC280000}"/>
    <cellStyle name="Percent 4 3 2" xfId="10386" xr:uid="{00000000-0005-0000-0000-0000BD280000}"/>
    <cellStyle name="Percent 4 3 3" xfId="10387" xr:uid="{00000000-0005-0000-0000-0000BE280000}"/>
    <cellStyle name="Percent 4 4" xfId="10388" xr:uid="{00000000-0005-0000-0000-0000BF280000}"/>
    <cellStyle name="Percent 4 5" xfId="10389" xr:uid="{00000000-0005-0000-0000-0000C0280000}"/>
    <cellStyle name="Percent 4 6" xfId="10390" xr:uid="{00000000-0005-0000-0000-0000C1280000}"/>
    <cellStyle name="Percent 5" xfId="10391" xr:uid="{00000000-0005-0000-0000-0000C2280000}"/>
    <cellStyle name="Percent 5 2" xfId="10392" xr:uid="{00000000-0005-0000-0000-0000C3280000}"/>
    <cellStyle name="Percent 5 2 2" xfId="10393" xr:uid="{00000000-0005-0000-0000-0000C4280000}"/>
    <cellStyle name="Percent 5 2 3" xfId="10394" xr:uid="{00000000-0005-0000-0000-0000C5280000}"/>
    <cellStyle name="Percent 5 3" xfId="10395" xr:uid="{00000000-0005-0000-0000-0000C6280000}"/>
    <cellStyle name="Percent 5 4" xfId="10396" xr:uid="{00000000-0005-0000-0000-0000C7280000}"/>
    <cellStyle name="Percent 5 5" xfId="10397" xr:uid="{00000000-0005-0000-0000-0000C8280000}"/>
    <cellStyle name="Percent 5 6" xfId="10398" xr:uid="{00000000-0005-0000-0000-0000C9280000}"/>
    <cellStyle name="Percent 6" xfId="10399" xr:uid="{00000000-0005-0000-0000-0000CA280000}"/>
    <cellStyle name="Percent 6 2" xfId="10400" xr:uid="{00000000-0005-0000-0000-0000CB280000}"/>
    <cellStyle name="Percent 6 3" xfId="10401" xr:uid="{00000000-0005-0000-0000-0000CC280000}"/>
    <cellStyle name="Percent 6 4" xfId="10402" xr:uid="{00000000-0005-0000-0000-0000CD280000}"/>
    <cellStyle name="Percent 6 5" xfId="10403" xr:uid="{00000000-0005-0000-0000-0000CE280000}"/>
    <cellStyle name="Percent 6 6" xfId="10404" xr:uid="{00000000-0005-0000-0000-0000CF280000}"/>
    <cellStyle name="Percent 7 2" xfId="10405" xr:uid="{00000000-0005-0000-0000-0000D0280000}"/>
    <cellStyle name="Percent 7 3" xfId="10406" xr:uid="{00000000-0005-0000-0000-0000D1280000}"/>
    <cellStyle name="Percent 7 4" xfId="10407" xr:uid="{00000000-0005-0000-0000-0000D2280000}"/>
    <cellStyle name="Percent 7 5" xfId="10408" xr:uid="{00000000-0005-0000-0000-0000D3280000}"/>
    <cellStyle name="Percent 7 6" xfId="10409" xr:uid="{00000000-0005-0000-0000-0000D4280000}"/>
    <cellStyle name="Style 1" xfId="10410" xr:uid="{00000000-0005-0000-0000-0000D5280000}"/>
    <cellStyle name="Style 1 2" xfId="10411" xr:uid="{00000000-0005-0000-0000-0000D6280000}"/>
    <cellStyle name="Style 1 2 2" xfId="10412" xr:uid="{00000000-0005-0000-0000-0000D7280000}"/>
    <cellStyle name="Style 1 2 2 2" xfId="10413" xr:uid="{00000000-0005-0000-0000-0000D8280000}"/>
    <cellStyle name="Style 1 2 2 3" xfId="10414" xr:uid="{00000000-0005-0000-0000-0000D9280000}"/>
    <cellStyle name="Style 1 2 3" xfId="10415" xr:uid="{00000000-0005-0000-0000-0000DA280000}"/>
    <cellStyle name="Style 1 2 4" xfId="10416" xr:uid="{00000000-0005-0000-0000-0000DB280000}"/>
    <cellStyle name="Style 1 2 5" xfId="10417" xr:uid="{00000000-0005-0000-0000-0000DC280000}"/>
    <cellStyle name="Style 1 3" xfId="10418" xr:uid="{00000000-0005-0000-0000-0000DD280000}"/>
    <cellStyle name="Style 1 3 2" xfId="10419" xr:uid="{00000000-0005-0000-0000-0000DE280000}"/>
    <cellStyle name="Style 1 3 3" xfId="10420" xr:uid="{00000000-0005-0000-0000-0000DF280000}"/>
    <cellStyle name="Style 1 4" xfId="10421" xr:uid="{00000000-0005-0000-0000-0000E0280000}"/>
    <cellStyle name="Style 1 5" xfId="10422" xr:uid="{00000000-0005-0000-0000-0000E1280000}"/>
    <cellStyle name="Style 1 6" xfId="10423" xr:uid="{00000000-0005-0000-0000-0000E2280000}"/>
    <cellStyle name="Style 1 7" xfId="10424" xr:uid="{00000000-0005-0000-0000-0000E3280000}"/>
    <cellStyle name="Title 10" xfId="10425" xr:uid="{00000000-0005-0000-0000-0000E4280000}"/>
    <cellStyle name="Title 11" xfId="10426" xr:uid="{00000000-0005-0000-0000-0000E5280000}"/>
    <cellStyle name="Title 12" xfId="10427" xr:uid="{00000000-0005-0000-0000-0000E6280000}"/>
    <cellStyle name="Title 13" xfId="10428" xr:uid="{00000000-0005-0000-0000-0000E7280000}"/>
    <cellStyle name="Title 14" xfId="10429" xr:uid="{00000000-0005-0000-0000-0000E8280000}"/>
    <cellStyle name="Title 15" xfId="10430" xr:uid="{00000000-0005-0000-0000-0000E9280000}"/>
    <cellStyle name="Title 2" xfId="10431" xr:uid="{00000000-0005-0000-0000-0000EA280000}"/>
    <cellStyle name="Title 2 2" xfId="10432" xr:uid="{00000000-0005-0000-0000-0000EB280000}"/>
    <cellStyle name="Title 2 3" xfId="10433" xr:uid="{00000000-0005-0000-0000-0000EC280000}"/>
    <cellStyle name="Title 2 4" xfId="10434" xr:uid="{00000000-0005-0000-0000-0000ED280000}"/>
    <cellStyle name="Title 2 5" xfId="10435" xr:uid="{00000000-0005-0000-0000-0000EE280000}"/>
    <cellStyle name="Title 2 6" xfId="10436" xr:uid="{00000000-0005-0000-0000-0000EF280000}"/>
    <cellStyle name="Title 2 7" xfId="10437" xr:uid="{00000000-0005-0000-0000-0000F0280000}"/>
    <cellStyle name="Title 2 7 2" xfId="10438" xr:uid="{00000000-0005-0000-0000-0000F1280000}"/>
    <cellStyle name="Title 2 8" xfId="10439" xr:uid="{00000000-0005-0000-0000-0000F2280000}"/>
    <cellStyle name="Title 3" xfId="10440" xr:uid="{00000000-0005-0000-0000-0000F3280000}"/>
    <cellStyle name="Title 3 2" xfId="10441" xr:uid="{00000000-0005-0000-0000-0000F4280000}"/>
    <cellStyle name="Title 3 3" xfId="10442" xr:uid="{00000000-0005-0000-0000-0000F5280000}"/>
    <cellStyle name="Title 3 4" xfId="10443" xr:uid="{00000000-0005-0000-0000-0000F6280000}"/>
    <cellStyle name="Title 3 5" xfId="10444" xr:uid="{00000000-0005-0000-0000-0000F7280000}"/>
    <cellStyle name="Title 3 6" xfId="10445" xr:uid="{00000000-0005-0000-0000-0000F8280000}"/>
    <cellStyle name="Title 3 7" xfId="10446" xr:uid="{00000000-0005-0000-0000-0000F9280000}"/>
    <cellStyle name="Title 3 8" xfId="10447" xr:uid="{00000000-0005-0000-0000-0000FA280000}"/>
    <cellStyle name="Title 3 9" xfId="10448" xr:uid="{00000000-0005-0000-0000-0000FB280000}"/>
    <cellStyle name="Title 4" xfId="10449" xr:uid="{00000000-0005-0000-0000-0000FC280000}"/>
    <cellStyle name="Title 4 2" xfId="10450" xr:uid="{00000000-0005-0000-0000-0000FD280000}"/>
    <cellStyle name="Title 4 3" xfId="10451" xr:uid="{00000000-0005-0000-0000-0000FE280000}"/>
    <cellStyle name="Title 4 4" xfId="10452" xr:uid="{00000000-0005-0000-0000-0000FF280000}"/>
    <cellStyle name="Title 4 5" xfId="10453" xr:uid="{00000000-0005-0000-0000-000000290000}"/>
    <cellStyle name="Title 4 6" xfId="10454" xr:uid="{00000000-0005-0000-0000-000001290000}"/>
    <cellStyle name="Title 5" xfId="10455" xr:uid="{00000000-0005-0000-0000-000002290000}"/>
    <cellStyle name="Title 6" xfId="10456" xr:uid="{00000000-0005-0000-0000-000003290000}"/>
    <cellStyle name="Title 7" xfId="10457" xr:uid="{00000000-0005-0000-0000-000004290000}"/>
    <cellStyle name="Title 8" xfId="10458" xr:uid="{00000000-0005-0000-0000-000005290000}"/>
    <cellStyle name="Title 9" xfId="10459" xr:uid="{00000000-0005-0000-0000-000006290000}"/>
    <cellStyle name="Total 10" xfId="10460" xr:uid="{00000000-0005-0000-0000-000007290000}"/>
    <cellStyle name="Total 10 2" xfId="10461" xr:uid="{00000000-0005-0000-0000-000008290000}"/>
    <cellStyle name="Total 10 2 2" xfId="10462" xr:uid="{00000000-0005-0000-0000-000009290000}"/>
    <cellStyle name="Total 10 2 3" xfId="10463" xr:uid="{00000000-0005-0000-0000-00000A290000}"/>
    <cellStyle name="Total 10 2 4" xfId="10464" xr:uid="{00000000-0005-0000-0000-00000B290000}"/>
    <cellStyle name="Total 10 3" xfId="10465" xr:uid="{00000000-0005-0000-0000-00000C290000}"/>
    <cellStyle name="Total 10 3 2" xfId="10466" xr:uid="{00000000-0005-0000-0000-00000D290000}"/>
    <cellStyle name="Total 10 3 3" xfId="10467" xr:uid="{00000000-0005-0000-0000-00000E290000}"/>
    <cellStyle name="Total 10 3 4" xfId="10468" xr:uid="{00000000-0005-0000-0000-00000F290000}"/>
    <cellStyle name="Total 10 4" xfId="10469" xr:uid="{00000000-0005-0000-0000-000010290000}"/>
    <cellStyle name="Total 10 4 2" xfId="10470" xr:uid="{00000000-0005-0000-0000-000011290000}"/>
    <cellStyle name="Total 10 4 3" xfId="10471" xr:uid="{00000000-0005-0000-0000-000012290000}"/>
    <cellStyle name="Total 10 4 4" xfId="10472" xr:uid="{00000000-0005-0000-0000-000013290000}"/>
    <cellStyle name="Total 10 5" xfId="10473" xr:uid="{00000000-0005-0000-0000-000014290000}"/>
    <cellStyle name="Total 10 6" xfId="10474" xr:uid="{00000000-0005-0000-0000-000015290000}"/>
    <cellStyle name="Total 10 7" xfId="10475" xr:uid="{00000000-0005-0000-0000-000016290000}"/>
    <cellStyle name="Total 11" xfId="10476" xr:uid="{00000000-0005-0000-0000-000017290000}"/>
    <cellStyle name="Total 11 2" xfId="10477" xr:uid="{00000000-0005-0000-0000-000018290000}"/>
    <cellStyle name="Total 11 2 2" xfId="10478" xr:uid="{00000000-0005-0000-0000-000019290000}"/>
    <cellStyle name="Total 11 2 3" xfId="10479" xr:uid="{00000000-0005-0000-0000-00001A290000}"/>
    <cellStyle name="Total 11 2 4" xfId="10480" xr:uid="{00000000-0005-0000-0000-00001B290000}"/>
    <cellStyle name="Total 11 3" xfId="10481" xr:uid="{00000000-0005-0000-0000-00001C290000}"/>
    <cellStyle name="Total 11 3 2" xfId="10482" xr:uid="{00000000-0005-0000-0000-00001D290000}"/>
    <cellStyle name="Total 11 3 3" xfId="10483" xr:uid="{00000000-0005-0000-0000-00001E290000}"/>
    <cellStyle name="Total 11 3 4" xfId="10484" xr:uid="{00000000-0005-0000-0000-00001F290000}"/>
    <cellStyle name="Total 11 4" xfId="10485" xr:uid="{00000000-0005-0000-0000-000020290000}"/>
    <cellStyle name="Total 11 4 2" xfId="10486" xr:uid="{00000000-0005-0000-0000-000021290000}"/>
    <cellStyle name="Total 11 4 3" xfId="10487" xr:uid="{00000000-0005-0000-0000-000022290000}"/>
    <cellStyle name="Total 11 4 4" xfId="10488" xr:uid="{00000000-0005-0000-0000-000023290000}"/>
    <cellStyle name="Total 11 5" xfId="10489" xr:uid="{00000000-0005-0000-0000-000024290000}"/>
    <cellStyle name="Total 11 6" xfId="10490" xr:uid="{00000000-0005-0000-0000-000025290000}"/>
    <cellStyle name="Total 11 7" xfId="10491" xr:uid="{00000000-0005-0000-0000-000026290000}"/>
    <cellStyle name="Total 12" xfId="10492" xr:uid="{00000000-0005-0000-0000-000027290000}"/>
    <cellStyle name="Total 2" xfId="10493" xr:uid="{00000000-0005-0000-0000-000028290000}"/>
    <cellStyle name="Total 2 10" xfId="10494" xr:uid="{00000000-0005-0000-0000-000029290000}"/>
    <cellStyle name="Total 2 10 2" xfId="10495" xr:uid="{00000000-0005-0000-0000-00002A290000}"/>
    <cellStyle name="Total 2 10 3" xfId="10496" xr:uid="{00000000-0005-0000-0000-00002B290000}"/>
    <cellStyle name="Total 2 10 4" xfId="10497" xr:uid="{00000000-0005-0000-0000-00002C290000}"/>
    <cellStyle name="Total 2 11" xfId="10498" xr:uid="{00000000-0005-0000-0000-00002D290000}"/>
    <cellStyle name="Total 2 12" xfId="10499" xr:uid="{00000000-0005-0000-0000-00002E290000}"/>
    <cellStyle name="Total 2 13" xfId="10500" xr:uid="{00000000-0005-0000-0000-00002F290000}"/>
    <cellStyle name="Total 2 14" xfId="10501" xr:uid="{00000000-0005-0000-0000-000030290000}"/>
    <cellStyle name="Total 2 2" xfId="10502" xr:uid="{00000000-0005-0000-0000-000031290000}"/>
    <cellStyle name="Total 2 2 2" xfId="10503" xr:uid="{00000000-0005-0000-0000-000032290000}"/>
    <cellStyle name="Total 2 2 2 2" xfId="10504" xr:uid="{00000000-0005-0000-0000-000033290000}"/>
    <cellStyle name="Total 2 2 2 3" xfId="10505" xr:uid="{00000000-0005-0000-0000-000034290000}"/>
    <cellStyle name="Total 2 2 2 4" xfId="10506" xr:uid="{00000000-0005-0000-0000-000035290000}"/>
    <cellStyle name="Total 2 2 3" xfId="10507" xr:uid="{00000000-0005-0000-0000-000036290000}"/>
    <cellStyle name="Total 2 2 3 2" xfId="10508" xr:uid="{00000000-0005-0000-0000-000037290000}"/>
    <cellStyle name="Total 2 2 3 3" xfId="10509" xr:uid="{00000000-0005-0000-0000-000038290000}"/>
    <cellStyle name="Total 2 2 3 4" xfId="10510" xr:uid="{00000000-0005-0000-0000-000039290000}"/>
    <cellStyle name="Total 2 2 4" xfId="10511" xr:uid="{00000000-0005-0000-0000-00003A290000}"/>
    <cellStyle name="Total 2 2 4 2" xfId="10512" xr:uid="{00000000-0005-0000-0000-00003B290000}"/>
    <cellStyle name="Total 2 2 4 3" xfId="10513" xr:uid="{00000000-0005-0000-0000-00003C290000}"/>
    <cellStyle name="Total 2 2 4 4" xfId="10514" xr:uid="{00000000-0005-0000-0000-00003D290000}"/>
    <cellStyle name="Total 2 2 5" xfId="10515" xr:uid="{00000000-0005-0000-0000-00003E290000}"/>
    <cellStyle name="Total 2 2 6" xfId="10516" xr:uid="{00000000-0005-0000-0000-00003F290000}"/>
    <cellStyle name="Total 2 2 7" xfId="10517" xr:uid="{00000000-0005-0000-0000-000040290000}"/>
    <cellStyle name="Total 2 3" xfId="10518" xr:uid="{00000000-0005-0000-0000-000041290000}"/>
    <cellStyle name="Total 2 3 2" xfId="10519" xr:uid="{00000000-0005-0000-0000-000042290000}"/>
    <cellStyle name="Total 2 3 2 2" xfId="10520" xr:uid="{00000000-0005-0000-0000-000043290000}"/>
    <cellStyle name="Total 2 3 2 3" xfId="10521" xr:uid="{00000000-0005-0000-0000-000044290000}"/>
    <cellStyle name="Total 2 3 2 4" xfId="10522" xr:uid="{00000000-0005-0000-0000-000045290000}"/>
    <cellStyle name="Total 2 3 3" xfId="10523" xr:uid="{00000000-0005-0000-0000-000046290000}"/>
    <cellStyle name="Total 2 3 3 2" xfId="10524" xr:uid="{00000000-0005-0000-0000-000047290000}"/>
    <cellStyle name="Total 2 3 3 3" xfId="10525" xr:uid="{00000000-0005-0000-0000-000048290000}"/>
    <cellStyle name="Total 2 3 3 4" xfId="10526" xr:uid="{00000000-0005-0000-0000-000049290000}"/>
    <cellStyle name="Total 2 3 4" xfId="10527" xr:uid="{00000000-0005-0000-0000-00004A290000}"/>
    <cellStyle name="Total 2 3 4 2" xfId="10528" xr:uid="{00000000-0005-0000-0000-00004B290000}"/>
    <cellStyle name="Total 2 3 4 3" xfId="10529" xr:uid="{00000000-0005-0000-0000-00004C290000}"/>
    <cellStyle name="Total 2 3 4 4" xfId="10530" xr:uid="{00000000-0005-0000-0000-00004D290000}"/>
    <cellStyle name="Total 2 3 5" xfId="10531" xr:uid="{00000000-0005-0000-0000-00004E290000}"/>
    <cellStyle name="Total 2 3 6" xfId="10532" xr:uid="{00000000-0005-0000-0000-00004F290000}"/>
    <cellStyle name="Total 2 3 7" xfId="10533" xr:uid="{00000000-0005-0000-0000-000050290000}"/>
    <cellStyle name="Total 2 4" xfId="10534" xr:uid="{00000000-0005-0000-0000-000051290000}"/>
    <cellStyle name="Total 2 4 2" xfId="10535" xr:uid="{00000000-0005-0000-0000-000052290000}"/>
    <cellStyle name="Total 2 4 2 2" xfId="10536" xr:uid="{00000000-0005-0000-0000-000053290000}"/>
    <cellStyle name="Total 2 4 2 3" xfId="10537" xr:uid="{00000000-0005-0000-0000-000054290000}"/>
    <cellStyle name="Total 2 4 2 4" xfId="10538" xr:uid="{00000000-0005-0000-0000-000055290000}"/>
    <cellStyle name="Total 2 4 3" xfId="10539" xr:uid="{00000000-0005-0000-0000-000056290000}"/>
    <cellStyle name="Total 2 4 3 2" xfId="10540" xr:uid="{00000000-0005-0000-0000-000057290000}"/>
    <cellStyle name="Total 2 4 3 3" xfId="10541" xr:uid="{00000000-0005-0000-0000-000058290000}"/>
    <cellStyle name="Total 2 4 3 4" xfId="10542" xr:uid="{00000000-0005-0000-0000-000059290000}"/>
    <cellStyle name="Total 2 4 4" xfId="10543" xr:uid="{00000000-0005-0000-0000-00005A290000}"/>
    <cellStyle name="Total 2 4 4 2" xfId="10544" xr:uid="{00000000-0005-0000-0000-00005B290000}"/>
    <cellStyle name="Total 2 4 4 3" xfId="10545" xr:uid="{00000000-0005-0000-0000-00005C290000}"/>
    <cellStyle name="Total 2 4 4 4" xfId="10546" xr:uid="{00000000-0005-0000-0000-00005D290000}"/>
    <cellStyle name="Total 2 4 5" xfId="10547" xr:uid="{00000000-0005-0000-0000-00005E290000}"/>
    <cellStyle name="Total 2 4 6" xfId="10548" xr:uid="{00000000-0005-0000-0000-00005F290000}"/>
    <cellStyle name="Total 2 4 7" xfId="10549" xr:uid="{00000000-0005-0000-0000-000060290000}"/>
    <cellStyle name="Total 2 5" xfId="10550" xr:uid="{00000000-0005-0000-0000-000061290000}"/>
    <cellStyle name="Total 2 5 2" xfId="10551" xr:uid="{00000000-0005-0000-0000-000062290000}"/>
    <cellStyle name="Total 2 5 2 2" xfId="10552" xr:uid="{00000000-0005-0000-0000-000063290000}"/>
    <cellStyle name="Total 2 5 2 3" xfId="10553" xr:uid="{00000000-0005-0000-0000-000064290000}"/>
    <cellStyle name="Total 2 5 2 4" xfId="10554" xr:uid="{00000000-0005-0000-0000-000065290000}"/>
    <cellStyle name="Total 2 5 3" xfId="10555" xr:uid="{00000000-0005-0000-0000-000066290000}"/>
    <cellStyle name="Total 2 5 3 2" xfId="10556" xr:uid="{00000000-0005-0000-0000-000067290000}"/>
    <cellStyle name="Total 2 5 3 3" xfId="10557" xr:uid="{00000000-0005-0000-0000-000068290000}"/>
    <cellStyle name="Total 2 5 3 4" xfId="10558" xr:uid="{00000000-0005-0000-0000-000069290000}"/>
    <cellStyle name="Total 2 5 4" xfId="10559" xr:uid="{00000000-0005-0000-0000-00006A290000}"/>
    <cellStyle name="Total 2 5 4 2" xfId="10560" xr:uid="{00000000-0005-0000-0000-00006B290000}"/>
    <cellStyle name="Total 2 5 4 3" xfId="10561" xr:uid="{00000000-0005-0000-0000-00006C290000}"/>
    <cellStyle name="Total 2 5 4 4" xfId="10562" xr:uid="{00000000-0005-0000-0000-00006D290000}"/>
    <cellStyle name="Total 2 5 5" xfId="10563" xr:uid="{00000000-0005-0000-0000-00006E290000}"/>
    <cellStyle name="Total 2 5 6" xfId="10564" xr:uid="{00000000-0005-0000-0000-00006F290000}"/>
    <cellStyle name="Total 2 5 7" xfId="10565" xr:uid="{00000000-0005-0000-0000-000070290000}"/>
    <cellStyle name="Total 2 6" xfId="10566" xr:uid="{00000000-0005-0000-0000-000071290000}"/>
    <cellStyle name="Total 2 6 2" xfId="10567" xr:uid="{00000000-0005-0000-0000-000072290000}"/>
    <cellStyle name="Total 2 6 2 2" xfId="10568" xr:uid="{00000000-0005-0000-0000-000073290000}"/>
    <cellStyle name="Total 2 6 2 3" xfId="10569" xr:uid="{00000000-0005-0000-0000-000074290000}"/>
    <cellStyle name="Total 2 6 2 4" xfId="10570" xr:uid="{00000000-0005-0000-0000-000075290000}"/>
    <cellStyle name="Total 2 6 3" xfId="10571" xr:uid="{00000000-0005-0000-0000-000076290000}"/>
    <cellStyle name="Total 2 6 3 2" xfId="10572" xr:uid="{00000000-0005-0000-0000-000077290000}"/>
    <cellStyle name="Total 2 6 3 3" xfId="10573" xr:uid="{00000000-0005-0000-0000-000078290000}"/>
    <cellStyle name="Total 2 6 3 4" xfId="10574" xr:uid="{00000000-0005-0000-0000-000079290000}"/>
    <cellStyle name="Total 2 6 4" xfId="10575" xr:uid="{00000000-0005-0000-0000-00007A290000}"/>
    <cellStyle name="Total 2 6 4 2" xfId="10576" xr:uid="{00000000-0005-0000-0000-00007B290000}"/>
    <cellStyle name="Total 2 6 4 3" xfId="10577" xr:uid="{00000000-0005-0000-0000-00007C290000}"/>
    <cellStyle name="Total 2 6 4 4" xfId="10578" xr:uid="{00000000-0005-0000-0000-00007D290000}"/>
    <cellStyle name="Total 2 6 5" xfId="10579" xr:uid="{00000000-0005-0000-0000-00007E290000}"/>
    <cellStyle name="Total 2 6 6" xfId="10580" xr:uid="{00000000-0005-0000-0000-00007F290000}"/>
    <cellStyle name="Total 2 6 7" xfId="10581" xr:uid="{00000000-0005-0000-0000-000080290000}"/>
    <cellStyle name="Total 2 7" xfId="10582" xr:uid="{00000000-0005-0000-0000-000081290000}"/>
    <cellStyle name="Total 2 7 2" xfId="10583" xr:uid="{00000000-0005-0000-0000-000082290000}"/>
    <cellStyle name="Total 2 7 3" xfId="10584" xr:uid="{00000000-0005-0000-0000-000083290000}"/>
    <cellStyle name="Total 2 7 4" xfId="10585" xr:uid="{00000000-0005-0000-0000-000084290000}"/>
    <cellStyle name="Total 2 8" xfId="10586" xr:uid="{00000000-0005-0000-0000-000085290000}"/>
    <cellStyle name="Total 2 8 2" xfId="10587" xr:uid="{00000000-0005-0000-0000-000086290000}"/>
    <cellStyle name="Total 2 8 3" xfId="10588" xr:uid="{00000000-0005-0000-0000-000087290000}"/>
    <cellStyle name="Total 2 8 4" xfId="10589" xr:uid="{00000000-0005-0000-0000-000088290000}"/>
    <cellStyle name="Total 2 9" xfId="10590" xr:uid="{00000000-0005-0000-0000-000089290000}"/>
    <cellStyle name="Total 2 9 2" xfId="10591" xr:uid="{00000000-0005-0000-0000-00008A290000}"/>
    <cellStyle name="Total 2 9 3" xfId="10592" xr:uid="{00000000-0005-0000-0000-00008B290000}"/>
    <cellStyle name="Total 2 9 4" xfId="10593" xr:uid="{00000000-0005-0000-0000-00008C290000}"/>
    <cellStyle name="Total 3" xfId="10594" xr:uid="{00000000-0005-0000-0000-00008D290000}"/>
    <cellStyle name="Total 3 10" xfId="10595" xr:uid="{00000000-0005-0000-0000-00008E290000}"/>
    <cellStyle name="Total 3 10 2" xfId="10596" xr:uid="{00000000-0005-0000-0000-00008F290000}"/>
    <cellStyle name="Total 3 10 3" xfId="10597" xr:uid="{00000000-0005-0000-0000-000090290000}"/>
    <cellStyle name="Total 3 10 4" xfId="10598" xr:uid="{00000000-0005-0000-0000-000091290000}"/>
    <cellStyle name="Total 3 11" xfId="10599" xr:uid="{00000000-0005-0000-0000-000092290000}"/>
    <cellStyle name="Total 3 12" xfId="10600" xr:uid="{00000000-0005-0000-0000-000093290000}"/>
    <cellStyle name="Total 3 13" xfId="10601" xr:uid="{00000000-0005-0000-0000-000094290000}"/>
    <cellStyle name="Total 3 14" xfId="10602" xr:uid="{00000000-0005-0000-0000-000095290000}"/>
    <cellStyle name="Total 3 2" xfId="10603" xr:uid="{00000000-0005-0000-0000-000096290000}"/>
    <cellStyle name="Total 3 2 2" xfId="10604" xr:uid="{00000000-0005-0000-0000-000097290000}"/>
    <cellStyle name="Total 3 2 2 2" xfId="10605" xr:uid="{00000000-0005-0000-0000-000098290000}"/>
    <cellStyle name="Total 3 2 2 3" xfId="10606" xr:uid="{00000000-0005-0000-0000-000099290000}"/>
    <cellStyle name="Total 3 2 2 4" xfId="10607" xr:uid="{00000000-0005-0000-0000-00009A290000}"/>
    <cellStyle name="Total 3 2 3" xfId="10608" xr:uid="{00000000-0005-0000-0000-00009B290000}"/>
    <cellStyle name="Total 3 2 3 2" xfId="10609" xr:uid="{00000000-0005-0000-0000-00009C290000}"/>
    <cellStyle name="Total 3 2 3 3" xfId="10610" xr:uid="{00000000-0005-0000-0000-00009D290000}"/>
    <cellStyle name="Total 3 2 3 4" xfId="10611" xr:uid="{00000000-0005-0000-0000-00009E290000}"/>
    <cellStyle name="Total 3 2 4" xfId="10612" xr:uid="{00000000-0005-0000-0000-00009F290000}"/>
    <cellStyle name="Total 3 2 4 2" xfId="10613" xr:uid="{00000000-0005-0000-0000-0000A0290000}"/>
    <cellStyle name="Total 3 2 4 3" xfId="10614" xr:uid="{00000000-0005-0000-0000-0000A1290000}"/>
    <cellStyle name="Total 3 2 4 4" xfId="10615" xr:uid="{00000000-0005-0000-0000-0000A2290000}"/>
    <cellStyle name="Total 3 2 5" xfId="10616" xr:uid="{00000000-0005-0000-0000-0000A3290000}"/>
    <cellStyle name="Total 3 2 6" xfId="10617" xr:uid="{00000000-0005-0000-0000-0000A4290000}"/>
    <cellStyle name="Total 3 2 7" xfId="10618" xr:uid="{00000000-0005-0000-0000-0000A5290000}"/>
    <cellStyle name="Total 3 3" xfId="10619" xr:uid="{00000000-0005-0000-0000-0000A6290000}"/>
    <cellStyle name="Total 3 3 2" xfId="10620" xr:uid="{00000000-0005-0000-0000-0000A7290000}"/>
    <cellStyle name="Total 3 3 2 2" xfId="10621" xr:uid="{00000000-0005-0000-0000-0000A8290000}"/>
    <cellStyle name="Total 3 3 2 3" xfId="10622" xr:uid="{00000000-0005-0000-0000-0000A9290000}"/>
    <cellStyle name="Total 3 3 2 4" xfId="10623" xr:uid="{00000000-0005-0000-0000-0000AA290000}"/>
    <cellStyle name="Total 3 3 3" xfId="10624" xr:uid="{00000000-0005-0000-0000-0000AB290000}"/>
    <cellStyle name="Total 3 3 3 2" xfId="10625" xr:uid="{00000000-0005-0000-0000-0000AC290000}"/>
    <cellStyle name="Total 3 3 3 3" xfId="10626" xr:uid="{00000000-0005-0000-0000-0000AD290000}"/>
    <cellStyle name="Total 3 3 3 4" xfId="10627" xr:uid="{00000000-0005-0000-0000-0000AE290000}"/>
    <cellStyle name="Total 3 3 4" xfId="10628" xr:uid="{00000000-0005-0000-0000-0000AF290000}"/>
    <cellStyle name="Total 3 3 4 2" xfId="10629" xr:uid="{00000000-0005-0000-0000-0000B0290000}"/>
    <cellStyle name="Total 3 3 4 3" xfId="10630" xr:uid="{00000000-0005-0000-0000-0000B1290000}"/>
    <cellStyle name="Total 3 3 4 4" xfId="10631" xr:uid="{00000000-0005-0000-0000-0000B2290000}"/>
    <cellStyle name="Total 3 3 5" xfId="10632" xr:uid="{00000000-0005-0000-0000-0000B3290000}"/>
    <cellStyle name="Total 3 3 6" xfId="10633" xr:uid="{00000000-0005-0000-0000-0000B4290000}"/>
    <cellStyle name="Total 3 3 7" xfId="10634" xr:uid="{00000000-0005-0000-0000-0000B5290000}"/>
    <cellStyle name="Total 3 4" xfId="10635" xr:uid="{00000000-0005-0000-0000-0000B6290000}"/>
    <cellStyle name="Total 3 4 2" xfId="10636" xr:uid="{00000000-0005-0000-0000-0000B7290000}"/>
    <cellStyle name="Total 3 4 2 2" xfId="10637" xr:uid="{00000000-0005-0000-0000-0000B8290000}"/>
    <cellStyle name="Total 3 4 2 3" xfId="10638" xr:uid="{00000000-0005-0000-0000-0000B9290000}"/>
    <cellStyle name="Total 3 4 2 4" xfId="10639" xr:uid="{00000000-0005-0000-0000-0000BA290000}"/>
    <cellStyle name="Total 3 4 3" xfId="10640" xr:uid="{00000000-0005-0000-0000-0000BB290000}"/>
    <cellStyle name="Total 3 4 3 2" xfId="10641" xr:uid="{00000000-0005-0000-0000-0000BC290000}"/>
    <cellStyle name="Total 3 4 3 3" xfId="10642" xr:uid="{00000000-0005-0000-0000-0000BD290000}"/>
    <cellStyle name="Total 3 4 3 4" xfId="10643" xr:uid="{00000000-0005-0000-0000-0000BE290000}"/>
    <cellStyle name="Total 3 4 4" xfId="10644" xr:uid="{00000000-0005-0000-0000-0000BF290000}"/>
    <cellStyle name="Total 3 4 4 2" xfId="10645" xr:uid="{00000000-0005-0000-0000-0000C0290000}"/>
    <cellStyle name="Total 3 4 4 3" xfId="10646" xr:uid="{00000000-0005-0000-0000-0000C1290000}"/>
    <cellStyle name="Total 3 4 4 4" xfId="10647" xr:uid="{00000000-0005-0000-0000-0000C2290000}"/>
    <cellStyle name="Total 3 4 5" xfId="10648" xr:uid="{00000000-0005-0000-0000-0000C3290000}"/>
    <cellStyle name="Total 3 4 6" xfId="10649" xr:uid="{00000000-0005-0000-0000-0000C4290000}"/>
    <cellStyle name="Total 3 4 7" xfId="10650" xr:uid="{00000000-0005-0000-0000-0000C5290000}"/>
    <cellStyle name="Total 3 5" xfId="10651" xr:uid="{00000000-0005-0000-0000-0000C6290000}"/>
    <cellStyle name="Total 3 5 2" xfId="10652" xr:uid="{00000000-0005-0000-0000-0000C7290000}"/>
    <cellStyle name="Total 3 5 2 2" xfId="10653" xr:uid="{00000000-0005-0000-0000-0000C8290000}"/>
    <cellStyle name="Total 3 5 2 3" xfId="10654" xr:uid="{00000000-0005-0000-0000-0000C9290000}"/>
    <cellStyle name="Total 3 5 2 4" xfId="10655" xr:uid="{00000000-0005-0000-0000-0000CA290000}"/>
    <cellStyle name="Total 3 5 3" xfId="10656" xr:uid="{00000000-0005-0000-0000-0000CB290000}"/>
    <cellStyle name="Total 3 5 3 2" xfId="10657" xr:uid="{00000000-0005-0000-0000-0000CC290000}"/>
    <cellStyle name="Total 3 5 3 3" xfId="10658" xr:uid="{00000000-0005-0000-0000-0000CD290000}"/>
    <cellStyle name="Total 3 5 3 4" xfId="10659" xr:uid="{00000000-0005-0000-0000-0000CE290000}"/>
    <cellStyle name="Total 3 5 4" xfId="10660" xr:uid="{00000000-0005-0000-0000-0000CF290000}"/>
    <cellStyle name="Total 3 5 4 2" xfId="10661" xr:uid="{00000000-0005-0000-0000-0000D0290000}"/>
    <cellStyle name="Total 3 5 4 3" xfId="10662" xr:uid="{00000000-0005-0000-0000-0000D1290000}"/>
    <cellStyle name="Total 3 5 4 4" xfId="10663" xr:uid="{00000000-0005-0000-0000-0000D2290000}"/>
    <cellStyle name="Total 3 5 5" xfId="10664" xr:uid="{00000000-0005-0000-0000-0000D3290000}"/>
    <cellStyle name="Total 3 5 6" xfId="10665" xr:uid="{00000000-0005-0000-0000-0000D4290000}"/>
    <cellStyle name="Total 3 5 7" xfId="10666" xr:uid="{00000000-0005-0000-0000-0000D5290000}"/>
    <cellStyle name="Total 3 6" xfId="10667" xr:uid="{00000000-0005-0000-0000-0000D6290000}"/>
    <cellStyle name="Total 3 6 2" xfId="10668" xr:uid="{00000000-0005-0000-0000-0000D7290000}"/>
    <cellStyle name="Total 3 6 2 2" xfId="10669" xr:uid="{00000000-0005-0000-0000-0000D8290000}"/>
    <cellStyle name="Total 3 6 2 3" xfId="10670" xr:uid="{00000000-0005-0000-0000-0000D9290000}"/>
    <cellStyle name="Total 3 6 2 4" xfId="10671" xr:uid="{00000000-0005-0000-0000-0000DA290000}"/>
    <cellStyle name="Total 3 6 3" xfId="10672" xr:uid="{00000000-0005-0000-0000-0000DB290000}"/>
    <cellStyle name="Total 3 6 3 2" xfId="10673" xr:uid="{00000000-0005-0000-0000-0000DC290000}"/>
    <cellStyle name="Total 3 6 3 3" xfId="10674" xr:uid="{00000000-0005-0000-0000-0000DD290000}"/>
    <cellStyle name="Total 3 6 3 4" xfId="10675" xr:uid="{00000000-0005-0000-0000-0000DE290000}"/>
    <cellStyle name="Total 3 6 4" xfId="10676" xr:uid="{00000000-0005-0000-0000-0000DF290000}"/>
    <cellStyle name="Total 3 6 4 2" xfId="10677" xr:uid="{00000000-0005-0000-0000-0000E0290000}"/>
    <cellStyle name="Total 3 6 4 3" xfId="10678" xr:uid="{00000000-0005-0000-0000-0000E1290000}"/>
    <cellStyle name="Total 3 6 4 4" xfId="10679" xr:uid="{00000000-0005-0000-0000-0000E2290000}"/>
    <cellStyle name="Total 3 6 5" xfId="10680" xr:uid="{00000000-0005-0000-0000-0000E3290000}"/>
    <cellStyle name="Total 3 6 6" xfId="10681" xr:uid="{00000000-0005-0000-0000-0000E4290000}"/>
    <cellStyle name="Total 3 6 7" xfId="10682" xr:uid="{00000000-0005-0000-0000-0000E5290000}"/>
    <cellStyle name="Total 3 7" xfId="10683" xr:uid="{00000000-0005-0000-0000-0000E6290000}"/>
    <cellStyle name="Total 3 7 2" xfId="10684" xr:uid="{00000000-0005-0000-0000-0000E7290000}"/>
    <cellStyle name="Total 3 7 3" xfId="10685" xr:uid="{00000000-0005-0000-0000-0000E8290000}"/>
    <cellStyle name="Total 3 7 4" xfId="10686" xr:uid="{00000000-0005-0000-0000-0000E9290000}"/>
    <cellStyle name="Total 3 8" xfId="10687" xr:uid="{00000000-0005-0000-0000-0000EA290000}"/>
    <cellStyle name="Total 3 8 2" xfId="10688" xr:uid="{00000000-0005-0000-0000-0000EB290000}"/>
    <cellStyle name="Total 3 8 3" xfId="10689" xr:uid="{00000000-0005-0000-0000-0000EC290000}"/>
    <cellStyle name="Total 3 8 4" xfId="10690" xr:uid="{00000000-0005-0000-0000-0000ED290000}"/>
    <cellStyle name="Total 3 9" xfId="10691" xr:uid="{00000000-0005-0000-0000-0000EE290000}"/>
    <cellStyle name="Total 3 9 2" xfId="10692" xr:uid="{00000000-0005-0000-0000-0000EF290000}"/>
    <cellStyle name="Total 3 9 3" xfId="10693" xr:uid="{00000000-0005-0000-0000-0000F0290000}"/>
    <cellStyle name="Total 3 9 4" xfId="10694" xr:uid="{00000000-0005-0000-0000-0000F1290000}"/>
    <cellStyle name="Total 4" xfId="10695" xr:uid="{00000000-0005-0000-0000-0000F2290000}"/>
    <cellStyle name="Total 4 10" xfId="10696" xr:uid="{00000000-0005-0000-0000-0000F3290000}"/>
    <cellStyle name="Total 4 11" xfId="10697" xr:uid="{00000000-0005-0000-0000-0000F4290000}"/>
    <cellStyle name="Total 4 12" xfId="10698" xr:uid="{00000000-0005-0000-0000-0000F5290000}"/>
    <cellStyle name="Total 4 2" xfId="10699" xr:uid="{00000000-0005-0000-0000-0000F6290000}"/>
    <cellStyle name="Total 4 2 2" xfId="10700" xr:uid="{00000000-0005-0000-0000-0000F7290000}"/>
    <cellStyle name="Total 4 2 2 2" xfId="10701" xr:uid="{00000000-0005-0000-0000-0000F8290000}"/>
    <cellStyle name="Total 4 2 2 3" xfId="10702" xr:uid="{00000000-0005-0000-0000-0000F9290000}"/>
    <cellStyle name="Total 4 2 2 4" xfId="10703" xr:uid="{00000000-0005-0000-0000-0000FA290000}"/>
    <cellStyle name="Total 4 2 3" xfId="10704" xr:uid="{00000000-0005-0000-0000-0000FB290000}"/>
    <cellStyle name="Total 4 2 3 2" xfId="10705" xr:uid="{00000000-0005-0000-0000-0000FC290000}"/>
    <cellStyle name="Total 4 2 3 3" xfId="10706" xr:uid="{00000000-0005-0000-0000-0000FD290000}"/>
    <cellStyle name="Total 4 2 3 4" xfId="10707" xr:uid="{00000000-0005-0000-0000-0000FE290000}"/>
    <cellStyle name="Total 4 2 4" xfId="10708" xr:uid="{00000000-0005-0000-0000-0000FF290000}"/>
    <cellStyle name="Total 4 2 4 2" xfId="10709" xr:uid="{00000000-0005-0000-0000-0000002A0000}"/>
    <cellStyle name="Total 4 2 4 3" xfId="10710" xr:uid="{00000000-0005-0000-0000-0000012A0000}"/>
    <cellStyle name="Total 4 2 4 4" xfId="10711" xr:uid="{00000000-0005-0000-0000-0000022A0000}"/>
    <cellStyle name="Total 4 2 5" xfId="10712" xr:uid="{00000000-0005-0000-0000-0000032A0000}"/>
    <cellStyle name="Total 4 2 6" xfId="10713" xr:uid="{00000000-0005-0000-0000-0000042A0000}"/>
    <cellStyle name="Total 4 2 7" xfId="10714" xr:uid="{00000000-0005-0000-0000-0000052A0000}"/>
    <cellStyle name="Total 4 3" xfId="10715" xr:uid="{00000000-0005-0000-0000-0000062A0000}"/>
    <cellStyle name="Total 4 3 2" xfId="10716" xr:uid="{00000000-0005-0000-0000-0000072A0000}"/>
    <cellStyle name="Total 4 3 2 2" xfId="10717" xr:uid="{00000000-0005-0000-0000-0000082A0000}"/>
    <cellStyle name="Total 4 3 2 3" xfId="10718" xr:uid="{00000000-0005-0000-0000-0000092A0000}"/>
    <cellStyle name="Total 4 3 2 4" xfId="10719" xr:uid="{00000000-0005-0000-0000-00000A2A0000}"/>
    <cellStyle name="Total 4 3 3" xfId="10720" xr:uid="{00000000-0005-0000-0000-00000B2A0000}"/>
    <cellStyle name="Total 4 3 3 2" xfId="10721" xr:uid="{00000000-0005-0000-0000-00000C2A0000}"/>
    <cellStyle name="Total 4 3 3 3" xfId="10722" xr:uid="{00000000-0005-0000-0000-00000D2A0000}"/>
    <cellStyle name="Total 4 3 3 4" xfId="10723" xr:uid="{00000000-0005-0000-0000-00000E2A0000}"/>
    <cellStyle name="Total 4 3 4" xfId="10724" xr:uid="{00000000-0005-0000-0000-00000F2A0000}"/>
    <cellStyle name="Total 4 3 4 2" xfId="10725" xr:uid="{00000000-0005-0000-0000-0000102A0000}"/>
    <cellStyle name="Total 4 3 4 3" xfId="10726" xr:uid="{00000000-0005-0000-0000-0000112A0000}"/>
    <cellStyle name="Total 4 3 4 4" xfId="10727" xr:uid="{00000000-0005-0000-0000-0000122A0000}"/>
    <cellStyle name="Total 4 3 5" xfId="10728" xr:uid="{00000000-0005-0000-0000-0000132A0000}"/>
    <cellStyle name="Total 4 3 6" xfId="10729" xr:uid="{00000000-0005-0000-0000-0000142A0000}"/>
    <cellStyle name="Total 4 3 7" xfId="10730" xr:uid="{00000000-0005-0000-0000-0000152A0000}"/>
    <cellStyle name="Total 4 4" xfId="10731" xr:uid="{00000000-0005-0000-0000-0000162A0000}"/>
    <cellStyle name="Total 4 4 2" xfId="10732" xr:uid="{00000000-0005-0000-0000-0000172A0000}"/>
    <cellStyle name="Total 4 4 2 2" xfId="10733" xr:uid="{00000000-0005-0000-0000-0000182A0000}"/>
    <cellStyle name="Total 4 4 2 3" xfId="10734" xr:uid="{00000000-0005-0000-0000-0000192A0000}"/>
    <cellStyle name="Total 4 4 2 4" xfId="10735" xr:uid="{00000000-0005-0000-0000-00001A2A0000}"/>
    <cellStyle name="Total 4 4 3" xfId="10736" xr:uid="{00000000-0005-0000-0000-00001B2A0000}"/>
    <cellStyle name="Total 4 4 3 2" xfId="10737" xr:uid="{00000000-0005-0000-0000-00001C2A0000}"/>
    <cellStyle name="Total 4 4 3 3" xfId="10738" xr:uid="{00000000-0005-0000-0000-00001D2A0000}"/>
    <cellStyle name="Total 4 4 3 4" xfId="10739" xr:uid="{00000000-0005-0000-0000-00001E2A0000}"/>
    <cellStyle name="Total 4 4 4" xfId="10740" xr:uid="{00000000-0005-0000-0000-00001F2A0000}"/>
    <cellStyle name="Total 4 4 4 2" xfId="10741" xr:uid="{00000000-0005-0000-0000-0000202A0000}"/>
    <cellStyle name="Total 4 4 4 3" xfId="10742" xr:uid="{00000000-0005-0000-0000-0000212A0000}"/>
    <cellStyle name="Total 4 4 4 4" xfId="10743" xr:uid="{00000000-0005-0000-0000-0000222A0000}"/>
    <cellStyle name="Total 4 4 5" xfId="10744" xr:uid="{00000000-0005-0000-0000-0000232A0000}"/>
    <cellStyle name="Total 4 4 6" xfId="10745" xr:uid="{00000000-0005-0000-0000-0000242A0000}"/>
    <cellStyle name="Total 4 4 7" xfId="10746" xr:uid="{00000000-0005-0000-0000-0000252A0000}"/>
    <cellStyle name="Total 4 5" xfId="10747" xr:uid="{00000000-0005-0000-0000-0000262A0000}"/>
    <cellStyle name="Total 4 5 2" xfId="10748" xr:uid="{00000000-0005-0000-0000-0000272A0000}"/>
    <cellStyle name="Total 4 5 2 2" xfId="10749" xr:uid="{00000000-0005-0000-0000-0000282A0000}"/>
    <cellStyle name="Total 4 5 2 3" xfId="10750" xr:uid="{00000000-0005-0000-0000-0000292A0000}"/>
    <cellStyle name="Total 4 5 2 4" xfId="10751" xr:uid="{00000000-0005-0000-0000-00002A2A0000}"/>
    <cellStyle name="Total 4 5 3" xfId="10752" xr:uid="{00000000-0005-0000-0000-00002B2A0000}"/>
    <cellStyle name="Total 4 5 3 2" xfId="10753" xr:uid="{00000000-0005-0000-0000-00002C2A0000}"/>
    <cellStyle name="Total 4 5 3 3" xfId="10754" xr:uid="{00000000-0005-0000-0000-00002D2A0000}"/>
    <cellStyle name="Total 4 5 3 4" xfId="10755" xr:uid="{00000000-0005-0000-0000-00002E2A0000}"/>
    <cellStyle name="Total 4 5 4" xfId="10756" xr:uid="{00000000-0005-0000-0000-00002F2A0000}"/>
    <cellStyle name="Total 4 5 4 2" xfId="10757" xr:uid="{00000000-0005-0000-0000-0000302A0000}"/>
    <cellStyle name="Total 4 5 4 3" xfId="10758" xr:uid="{00000000-0005-0000-0000-0000312A0000}"/>
    <cellStyle name="Total 4 5 4 4" xfId="10759" xr:uid="{00000000-0005-0000-0000-0000322A0000}"/>
    <cellStyle name="Total 4 5 5" xfId="10760" xr:uid="{00000000-0005-0000-0000-0000332A0000}"/>
    <cellStyle name="Total 4 5 6" xfId="10761" xr:uid="{00000000-0005-0000-0000-0000342A0000}"/>
    <cellStyle name="Total 4 5 7" xfId="10762" xr:uid="{00000000-0005-0000-0000-0000352A0000}"/>
    <cellStyle name="Total 4 6" xfId="10763" xr:uid="{00000000-0005-0000-0000-0000362A0000}"/>
    <cellStyle name="Total 4 6 2" xfId="10764" xr:uid="{00000000-0005-0000-0000-0000372A0000}"/>
    <cellStyle name="Total 4 6 2 2" xfId="10765" xr:uid="{00000000-0005-0000-0000-0000382A0000}"/>
    <cellStyle name="Total 4 6 2 3" xfId="10766" xr:uid="{00000000-0005-0000-0000-0000392A0000}"/>
    <cellStyle name="Total 4 6 2 4" xfId="10767" xr:uid="{00000000-0005-0000-0000-00003A2A0000}"/>
    <cellStyle name="Total 4 6 3" xfId="10768" xr:uid="{00000000-0005-0000-0000-00003B2A0000}"/>
    <cellStyle name="Total 4 6 3 2" xfId="10769" xr:uid="{00000000-0005-0000-0000-00003C2A0000}"/>
    <cellStyle name="Total 4 6 3 3" xfId="10770" xr:uid="{00000000-0005-0000-0000-00003D2A0000}"/>
    <cellStyle name="Total 4 6 3 4" xfId="10771" xr:uid="{00000000-0005-0000-0000-00003E2A0000}"/>
    <cellStyle name="Total 4 6 4" xfId="10772" xr:uid="{00000000-0005-0000-0000-00003F2A0000}"/>
    <cellStyle name="Total 4 6 4 2" xfId="10773" xr:uid="{00000000-0005-0000-0000-0000402A0000}"/>
    <cellStyle name="Total 4 6 4 3" xfId="10774" xr:uid="{00000000-0005-0000-0000-0000412A0000}"/>
    <cellStyle name="Total 4 6 4 4" xfId="10775" xr:uid="{00000000-0005-0000-0000-0000422A0000}"/>
    <cellStyle name="Total 4 6 5" xfId="10776" xr:uid="{00000000-0005-0000-0000-0000432A0000}"/>
    <cellStyle name="Total 4 6 6" xfId="10777" xr:uid="{00000000-0005-0000-0000-0000442A0000}"/>
    <cellStyle name="Total 4 6 7" xfId="10778" xr:uid="{00000000-0005-0000-0000-0000452A0000}"/>
    <cellStyle name="Total 4 7" xfId="10779" xr:uid="{00000000-0005-0000-0000-0000462A0000}"/>
    <cellStyle name="Total 4 7 2" xfId="10780" xr:uid="{00000000-0005-0000-0000-0000472A0000}"/>
    <cellStyle name="Total 4 7 3" xfId="10781" xr:uid="{00000000-0005-0000-0000-0000482A0000}"/>
    <cellStyle name="Total 4 7 4" xfId="10782" xr:uid="{00000000-0005-0000-0000-0000492A0000}"/>
    <cellStyle name="Total 4 8" xfId="10783" xr:uid="{00000000-0005-0000-0000-00004A2A0000}"/>
    <cellStyle name="Total 4 8 2" xfId="10784" xr:uid="{00000000-0005-0000-0000-00004B2A0000}"/>
    <cellStyle name="Total 4 8 3" xfId="10785" xr:uid="{00000000-0005-0000-0000-00004C2A0000}"/>
    <cellStyle name="Total 4 8 4" xfId="10786" xr:uid="{00000000-0005-0000-0000-00004D2A0000}"/>
    <cellStyle name="Total 4 9" xfId="10787" xr:uid="{00000000-0005-0000-0000-00004E2A0000}"/>
    <cellStyle name="Total 4 9 2" xfId="10788" xr:uid="{00000000-0005-0000-0000-00004F2A0000}"/>
    <cellStyle name="Total 4 9 3" xfId="10789" xr:uid="{00000000-0005-0000-0000-0000502A0000}"/>
    <cellStyle name="Total 4 9 4" xfId="10790" xr:uid="{00000000-0005-0000-0000-0000512A0000}"/>
    <cellStyle name="Total 5" xfId="10791" xr:uid="{00000000-0005-0000-0000-0000522A0000}"/>
    <cellStyle name="Total 5 2" xfId="10792" xr:uid="{00000000-0005-0000-0000-0000532A0000}"/>
    <cellStyle name="Total 5 2 2" xfId="10793" xr:uid="{00000000-0005-0000-0000-0000542A0000}"/>
    <cellStyle name="Total 5 2 3" xfId="10794" xr:uid="{00000000-0005-0000-0000-0000552A0000}"/>
    <cellStyle name="Total 5 2 4" xfId="10795" xr:uid="{00000000-0005-0000-0000-0000562A0000}"/>
    <cellStyle name="Total 5 3" xfId="10796" xr:uid="{00000000-0005-0000-0000-0000572A0000}"/>
    <cellStyle name="Total 5 3 2" xfId="10797" xr:uid="{00000000-0005-0000-0000-0000582A0000}"/>
    <cellStyle name="Total 5 3 3" xfId="10798" xr:uid="{00000000-0005-0000-0000-0000592A0000}"/>
    <cellStyle name="Total 5 3 4" xfId="10799" xr:uid="{00000000-0005-0000-0000-00005A2A0000}"/>
    <cellStyle name="Total 5 4" xfId="10800" xr:uid="{00000000-0005-0000-0000-00005B2A0000}"/>
    <cellStyle name="Total 5 4 2" xfId="10801" xr:uid="{00000000-0005-0000-0000-00005C2A0000}"/>
    <cellStyle name="Total 5 4 3" xfId="10802" xr:uid="{00000000-0005-0000-0000-00005D2A0000}"/>
    <cellStyle name="Total 5 4 4" xfId="10803" xr:uid="{00000000-0005-0000-0000-00005E2A0000}"/>
    <cellStyle name="Total 5 5" xfId="10804" xr:uid="{00000000-0005-0000-0000-00005F2A0000}"/>
    <cellStyle name="Total 5 6" xfId="10805" xr:uid="{00000000-0005-0000-0000-0000602A0000}"/>
    <cellStyle name="Total 5 7" xfId="10806" xr:uid="{00000000-0005-0000-0000-0000612A0000}"/>
    <cellStyle name="Total 6" xfId="10807" xr:uid="{00000000-0005-0000-0000-0000622A0000}"/>
    <cellStyle name="Total 6 2" xfId="10808" xr:uid="{00000000-0005-0000-0000-0000632A0000}"/>
    <cellStyle name="Total 6 2 2" xfId="10809" xr:uid="{00000000-0005-0000-0000-0000642A0000}"/>
    <cellStyle name="Total 6 2 3" xfId="10810" xr:uid="{00000000-0005-0000-0000-0000652A0000}"/>
    <cellStyle name="Total 6 2 4" xfId="10811" xr:uid="{00000000-0005-0000-0000-0000662A0000}"/>
    <cellStyle name="Total 6 3" xfId="10812" xr:uid="{00000000-0005-0000-0000-0000672A0000}"/>
    <cellStyle name="Total 6 3 2" xfId="10813" xr:uid="{00000000-0005-0000-0000-0000682A0000}"/>
    <cellStyle name="Total 6 3 3" xfId="10814" xr:uid="{00000000-0005-0000-0000-0000692A0000}"/>
    <cellStyle name="Total 6 3 4" xfId="10815" xr:uid="{00000000-0005-0000-0000-00006A2A0000}"/>
    <cellStyle name="Total 6 4" xfId="10816" xr:uid="{00000000-0005-0000-0000-00006B2A0000}"/>
    <cellStyle name="Total 6 4 2" xfId="10817" xr:uid="{00000000-0005-0000-0000-00006C2A0000}"/>
    <cellStyle name="Total 6 4 3" xfId="10818" xr:uid="{00000000-0005-0000-0000-00006D2A0000}"/>
    <cellStyle name="Total 6 4 4" xfId="10819" xr:uid="{00000000-0005-0000-0000-00006E2A0000}"/>
    <cellStyle name="Total 6 5" xfId="10820" xr:uid="{00000000-0005-0000-0000-00006F2A0000}"/>
    <cellStyle name="Total 6 6" xfId="10821" xr:uid="{00000000-0005-0000-0000-0000702A0000}"/>
    <cellStyle name="Total 6 7" xfId="10822" xr:uid="{00000000-0005-0000-0000-0000712A0000}"/>
    <cellStyle name="Total 7" xfId="10823" xr:uid="{00000000-0005-0000-0000-0000722A0000}"/>
    <cellStyle name="Total 7 2" xfId="10824" xr:uid="{00000000-0005-0000-0000-0000732A0000}"/>
    <cellStyle name="Total 7 2 2" xfId="10825" xr:uid="{00000000-0005-0000-0000-0000742A0000}"/>
    <cellStyle name="Total 7 2 3" xfId="10826" xr:uid="{00000000-0005-0000-0000-0000752A0000}"/>
    <cellStyle name="Total 7 2 4" xfId="10827" xr:uid="{00000000-0005-0000-0000-0000762A0000}"/>
    <cellStyle name="Total 7 3" xfId="10828" xr:uid="{00000000-0005-0000-0000-0000772A0000}"/>
    <cellStyle name="Total 7 3 2" xfId="10829" xr:uid="{00000000-0005-0000-0000-0000782A0000}"/>
    <cellStyle name="Total 7 3 3" xfId="10830" xr:uid="{00000000-0005-0000-0000-0000792A0000}"/>
    <cellStyle name="Total 7 3 4" xfId="10831" xr:uid="{00000000-0005-0000-0000-00007A2A0000}"/>
    <cellStyle name="Total 7 4" xfId="10832" xr:uid="{00000000-0005-0000-0000-00007B2A0000}"/>
    <cellStyle name="Total 7 4 2" xfId="10833" xr:uid="{00000000-0005-0000-0000-00007C2A0000}"/>
    <cellStyle name="Total 7 4 3" xfId="10834" xr:uid="{00000000-0005-0000-0000-00007D2A0000}"/>
    <cellStyle name="Total 7 4 4" xfId="10835" xr:uid="{00000000-0005-0000-0000-00007E2A0000}"/>
    <cellStyle name="Total 7 5" xfId="10836" xr:uid="{00000000-0005-0000-0000-00007F2A0000}"/>
    <cellStyle name="Total 7 6" xfId="10837" xr:uid="{00000000-0005-0000-0000-0000802A0000}"/>
    <cellStyle name="Total 7 7" xfId="10838" xr:uid="{00000000-0005-0000-0000-0000812A0000}"/>
    <cellStyle name="Total 8" xfId="10839" xr:uid="{00000000-0005-0000-0000-0000822A0000}"/>
    <cellStyle name="Total 8 2" xfId="10840" xr:uid="{00000000-0005-0000-0000-0000832A0000}"/>
    <cellStyle name="Total 8 2 2" xfId="10841" xr:uid="{00000000-0005-0000-0000-0000842A0000}"/>
    <cellStyle name="Total 8 2 3" xfId="10842" xr:uid="{00000000-0005-0000-0000-0000852A0000}"/>
    <cellStyle name="Total 8 2 4" xfId="10843" xr:uid="{00000000-0005-0000-0000-0000862A0000}"/>
    <cellStyle name="Total 8 3" xfId="10844" xr:uid="{00000000-0005-0000-0000-0000872A0000}"/>
    <cellStyle name="Total 8 3 2" xfId="10845" xr:uid="{00000000-0005-0000-0000-0000882A0000}"/>
    <cellStyle name="Total 8 3 3" xfId="10846" xr:uid="{00000000-0005-0000-0000-0000892A0000}"/>
    <cellStyle name="Total 8 3 4" xfId="10847" xr:uid="{00000000-0005-0000-0000-00008A2A0000}"/>
    <cellStyle name="Total 8 4" xfId="10848" xr:uid="{00000000-0005-0000-0000-00008B2A0000}"/>
    <cellStyle name="Total 8 4 2" xfId="10849" xr:uid="{00000000-0005-0000-0000-00008C2A0000}"/>
    <cellStyle name="Total 8 4 3" xfId="10850" xr:uid="{00000000-0005-0000-0000-00008D2A0000}"/>
    <cellStyle name="Total 8 4 4" xfId="10851" xr:uid="{00000000-0005-0000-0000-00008E2A0000}"/>
    <cellStyle name="Total 8 5" xfId="10852" xr:uid="{00000000-0005-0000-0000-00008F2A0000}"/>
    <cellStyle name="Total 8 6" xfId="10853" xr:uid="{00000000-0005-0000-0000-0000902A0000}"/>
    <cellStyle name="Total 8 7" xfId="10854" xr:uid="{00000000-0005-0000-0000-0000912A0000}"/>
    <cellStyle name="Total 9" xfId="10855" xr:uid="{00000000-0005-0000-0000-0000922A0000}"/>
    <cellStyle name="Total 9 2" xfId="10856" xr:uid="{00000000-0005-0000-0000-0000932A0000}"/>
    <cellStyle name="Total 9 2 2" xfId="10857" xr:uid="{00000000-0005-0000-0000-0000942A0000}"/>
    <cellStyle name="Total 9 2 3" xfId="10858" xr:uid="{00000000-0005-0000-0000-0000952A0000}"/>
    <cellStyle name="Total 9 2 4" xfId="10859" xr:uid="{00000000-0005-0000-0000-0000962A0000}"/>
    <cellStyle name="Total 9 3" xfId="10860" xr:uid="{00000000-0005-0000-0000-0000972A0000}"/>
    <cellStyle name="Total 9 3 2" xfId="10861" xr:uid="{00000000-0005-0000-0000-0000982A0000}"/>
    <cellStyle name="Total 9 3 3" xfId="10862" xr:uid="{00000000-0005-0000-0000-0000992A0000}"/>
    <cellStyle name="Total 9 3 4" xfId="10863" xr:uid="{00000000-0005-0000-0000-00009A2A0000}"/>
    <cellStyle name="Total 9 4" xfId="10864" xr:uid="{00000000-0005-0000-0000-00009B2A0000}"/>
    <cellStyle name="Total 9 4 2" xfId="10865" xr:uid="{00000000-0005-0000-0000-00009C2A0000}"/>
    <cellStyle name="Total 9 4 3" xfId="10866" xr:uid="{00000000-0005-0000-0000-00009D2A0000}"/>
    <cellStyle name="Total 9 4 4" xfId="10867" xr:uid="{00000000-0005-0000-0000-00009E2A0000}"/>
    <cellStyle name="Total 9 5" xfId="10868" xr:uid="{00000000-0005-0000-0000-00009F2A0000}"/>
    <cellStyle name="Total 9 6" xfId="10869" xr:uid="{00000000-0005-0000-0000-0000A02A0000}"/>
    <cellStyle name="Total 9 7" xfId="10870" xr:uid="{00000000-0005-0000-0000-0000A12A0000}"/>
    <cellStyle name="Warning Text 10" xfId="10871" xr:uid="{00000000-0005-0000-0000-0000A22A0000}"/>
    <cellStyle name="Warning Text 11" xfId="10872" xr:uid="{00000000-0005-0000-0000-0000A32A0000}"/>
    <cellStyle name="Warning Text 12" xfId="10873" xr:uid="{00000000-0005-0000-0000-0000A42A0000}"/>
    <cellStyle name="Warning Text 2" xfId="10874" xr:uid="{00000000-0005-0000-0000-0000A52A0000}"/>
    <cellStyle name="Warning Text 2 2" xfId="10875" xr:uid="{00000000-0005-0000-0000-0000A62A0000}"/>
    <cellStyle name="Warning Text 2 3" xfId="10876" xr:uid="{00000000-0005-0000-0000-0000A72A0000}"/>
    <cellStyle name="Warning Text 2 4" xfId="10877" xr:uid="{00000000-0005-0000-0000-0000A82A0000}"/>
    <cellStyle name="Warning Text 2 5" xfId="10878" xr:uid="{00000000-0005-0000-0000-0000A92A0000}"/>
    <cellStyle name="Warning Text 2 6" xfId="10879" xr:uid="{00000000-0005-0000-0000-0000AA2A0000}"/>
    <cellStyle name="Warning Text 2 7" xfId="10880" xr:uid="{00000000-0005-0000-0000-0000AB2A0000}"/>
    <cellStyle name="Warning Text 2 8" xfId="10881" xr:uid="{00000000-0005-0000-0000-0000AC2A0000}"/>
    <cellStyle name="Warning Text 3" xfId="10882" xr:uid="{00000000-0005-0000-0000-0000AD2A0000}"/>
    <cellStyle name="Warning Text 3 2" xfId="10883" xr:uid="{00000000-0005-0000-0000-0000AE2A0000}"/>
    <cellStyle name="Warning Text 3 3" xfId="10884" xr:uid="{00000000-0005-0000-0000-0000AF2A0000}"/>
    <cellStyle name="Warning Text 3 4" xfId="10885" xr:uid="{00000000-0005-0000-0000-0000B02A0000}"/>
    <cellStyle name="Warning Text 3 5" xfId="10886" xr:uid="{00000000-0005-0000-0000-0000B12A0000}"/>
    <cellStyle name="Warning Text 3 6" xfId="10887" xr:uid="{00000000-0005-0000-0000-0000B22A0000}"/>
    <cellStyle name="Warning Text 3 7" xfId="10888" xr:uid="{00000000-0005-0000-0000-0000B32A0000}"/>
    <cellStyle name="Warning Text 3 8" xfId="10889" xr:uid="{00000000-0005-0000-0000-0000B42A0000}"/>
    <cellStyle name="Warning Text 4" xfId="10890" xr:uid="{00000000-0005-0000-0000-0000B52A0000}"/>
    <cellStyle name="Warning Text 4 2" xfId="10891" xr:uid="{00000000-0005-0000-0000-0000B62A0000}"/>
    <cellStyle name="Warning Text 4 3" xfId="10892" xr:uid="{00000000-0005-0000-0000-0000B72A0000}"/>
    <cellStyle name="Warning Text 4 4" xfId="10893" xr:uid="{00000000-0005-0000-0000-0000B82A0000}"/>
    <cellStyle name="Warning Text 4 5" xfId="10894" xr:uid="{00000000-0005-0000-0000-0000B92A0000}"/>
    <cellStyle name="Warning Text 4 6" xfId="10895" xr:uid="{00000000-0005-0000-0000-0000BA2A0000}"/>
    <cellStyle name="Warning Text 5" xfId="10896" xr:uid="{00000000-0005-0000-0000-0000BB2A0000}"/>
    <cellStyle name="Warning Text 6" xfId="10897" xr:uid="{00000000-0005-0000-0000-0000BC2A0000}"/>
    <cellStyle name="Warning Text 7" xfId="10898" xr:uid="{00000000-0005-0000-0000-0000BD2A0000}"/>
    <cellStyle name="Warning Text 8" xfId="10899" xr:uid="{00000000-0005-0000-0000-0000BE2A0000}"/>
    <cellStyle name="Warning Text 9" xfId="10900" xr:uid="{00000000-0005-0000-0000-0000BF2A0000}"/>
  </cellStyles>
  <dxfs count="564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2" name="x_Picture 1" descr="Description: cid:image001.png@01D03949.49457930">
          <a:extLst>
            <a:ext uri="{FF2B5EF4-FFF2-40B4-BE49-F238E27FC236}">
              <a16:creationId xmlns:a16="http://schemas.microsoft.com/office/drawing/2014/main" id="{EA29F049-39B5-47AB-883F-53CDD41B53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10" name="x_Picture 1" descr="Description: cid:image001.png@01D03949.49457930">
          <a:extLst>
            <a:ext uri="{FF2B5EF4-FFF2-40B4-BE49-F238E27FC236}">
              <a16:creationId xmlns:a16="http://schemas.microsoft.com/office/drawing/2014/main" id="{51F867FC-0638-4C4E-8906-62044ADA0B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11" name="x_Picture 1" descr="Description: cid:image001.png@01D03949.49457930">
          <a:extLst>
            <a:ext uri="{FF2B5EF4-FFF2-40B4-BE49-F238E27FC236}">
              <a16:creationId xmlns:a16="http://schemas.microsoft.com/office/drawing/2014/main" id="{B79DF6AC-91A2-4CBA-9888-BF7AA1271B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12" name="x_Picture 1" descr="Description: cid:image001.png@01D03949.49457930">
          <a:extLst>
            <a:ext uri="{FF2B5EF4-FFF2-40B4-BE49-F238E27FC236}">
              <a16:creationId xmlns:a16="http://schemas.microsoft.com/office/drawing/2014/main" id="{4BFC46B8-C941-41AC-90E3-F687A91CE7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14" name="x_Picture 1" descr="Description: cid:image001.png@01D03949.49457930">
          <a:extLst>
            <a:ext uri="{FF2B5EF4-FFF2-40B4-BE49-F238E27FC236}">
              <a16:creationId xmlns:a16="http://schemas.microsoft.com/office/drawing/2014/main" id="{6B0C3F41-D180-4271-B5CF-CD639AC4C5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42" name="x_Picture 1" descr="Description: cid:image001.png@01D03949.49457930">
          <a:extLst>
            <a:ext uri="{FF2B5EF4-FFF2-40B4-BE49-F238E27FC236}">
              <a16:creationId xmlns:a16="http://schemas.microsoft.com/office/drawing/2014/main" id="{0853AE2A-0A30-48CF-BF4A-51B6707953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43" name="x_Picture 1" descr="Description: cid:image001.png@01D03949.49457930">
          <a:extLst>
            <a:ext uri="{FF2B5EF4-FFF2-40B4-BE49-F238E27FC236}">
              <a16:creationId xmlns:a16="http://schemas.microsoft.com/office/drawing/2014/main" id="{6768CDD0-ED5A-449C-973D-FF14BDB48D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44" name="x_Picture 1" descr="Description: cid:image001.png@01D03949.49457930">
          <a:extLst>
            <a:ext uri="{FF2B5EF4-FFF2-40B4-BE49-F238E27FC236}">
              <a16:creationId xmlns:a16="http://schemas.microsoft.com/office/drawing/2014/main" id="{23A24E6F-CA74-4004-83FE-41A35BC864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45" name="x_Picture 1" descr="Description: cid:image001.png@01D03949.49457930">
          <a:extLst>
            <a:ext uri="{FF2B5EF4-FFF2-40B4-BE49-F238E27FC236}">
              <a16:creationId xmlns:a16="http://schemas.microsoft.com/office/drawing/2014/main" id="{C8F47D46-2091-4820-9241-3B24D98C6596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46" name="x_Picture 1" descr="Description: cid:image001.png@01D03949.49457930">
          <a:extLst>
            <a:ext uri="{FF2B5EF4-FFF2-40B4-BE49-F238E27FC236}">
              <a16:creationId xmlns:a16="http://schemas.microsoft.com/office/drawing/2014/main" id="{AAD4B2B7-F2E5-4E6A-BC31-8E9243756D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47" name="x_Picture 1" descr="Description: cid:image001.png@01D03949.49457930">
          <a:extLst>
            <a:ext uri="{FF2B5EF4-FFF2-40B4-BE49-F238E27FC236}">
              <a16:creationId xmlns:a16="http://schemas.microsoft.com/office/drawing/2014/main" id="{EADB9570-F842-4370-B626-93E5ED3CEAC6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48" name="x_Picture 1" descr="Description: cid:image001.png@01D03949.49457930">
          <a:extLst>
            <a:ext uri="{FF2B5EF4-FFF2-40B4-BE49-F238E27FC236}">
              <a16:creationId xmlns:a16="http://schemas.microsoft.com/office/drawing/2014/main" id="{D0C00CFE-F3E9-4446-B66C-006CD52A34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49" name="x_Picture 1" descr="Description: cid:image001.png@01D03949.49457930">
          <a:extLst>
            <a:ext uri="{FF2B5EF4-FFF2-40B4-BE49-F238E27FC236}">
              <a16:creationId xmlns:a16="http://schemas.microsoft.com/office/drawing/2014/main" id="{14FD9185-BA41-4AE5-A9E9-370D5759E9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369</xdr:row>
      <xdr:rowOff>0</xdr:rowOff>
    </xdr:from>
    <xdr:ext cx="279605" cy="315045"/>
    <xdr:sp macro="" textlink="">
      <xdr:nvSpPr>
        <xdr:cNvPr id="52" name="x_Picture 1" descr="Description: cid:image001.png@01D03949.49457930">
          <a:extLst>
            <a:ext uri="{FF2B5EF4-FFF2-40B4-BE49-F238E27FC236}">
              <a16:creationId xmlns:a16="http://schemas.microsoft.com/office/drawing/2014/main" id="{C43D891C-6252-429C-B464-829EC0FF36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5467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640713</xdr:colOff>
      <xdr:row>370</xdr:row>
      <xdr:rowOff>0</xdr:rowOff>
    </xdr:from>
    <xdr:ext cx="279605" cy="315045"/>
    <xdr:sp macro="" textlink="">
      <xdr:nvSpPr>
        <xdr:cNvPr id="113" name="x_Picture 1" descr="Description: cid:image001.png@01D03949.49457930">
          <a:extLst>
            <a:ext uri="{FF2B5EF4-FFF2-40B4-BE49-F238E27FC236}">
              <a16:creationId xmlns:a16="http://schemas.microsoft.com/office/drawing/2014/main" id="{0E89D143-A895-45A7-A929-9FD5E5A978E0}"/>
            </a:ext>
          </a:extLst>
        </xdr:cNvPr>
        <xdr:cNvSpPr>
          <a:spLocks noChangeAspect="1" noChangeArrowheads="1"/>
        </xdr:cNvSpPr>
      </xdr:nvSpPr>
      <xdr:spPr bwMode="auto">
        <a:xfrm>
          <a:off x="1807992" y="12728014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" name="x_Picture 1" descr="Description: cid:image001.png@01D03949.49457930">
          <a:extLst>
            <a:ext uri="{FF2B5EF4-FFF2-40B4-BE49-F238E27FC236}">
              <a16:creationId xmlns:a16="http://schemas.microsoft.com/office/drawing/2014/main" id="{36D2C9A6-043A-4C1D-A0DB-44AC7FBA679D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4" name="x_Picture 1" descr="Description: cid:image001.png@01D03949.49457930">
          <a:extLst>
            <a:ext uri="{FF2B5EF4-FFF2-40B4-BE49-F238E27FC236}">
              <a16:creationId xmlns:a16="http://schemas.microsoft.com/office/drawing/2014/main" id="{AFC851F9-A75C-440E-956A-A6CDDD23F41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" name="x_Picture 1" descr="Description: cid:image001.png@01D03949.49457930">
          <a:extLst>
            <a:ext uri="{FF2B5EF4-FFF2-40B4-BE49-F238E27FC236}">
              <a16:creationId xmlns:a16="http://schemas.microsoft.com/office/drawing/2014/main" id="{DA3E8C24-CBE6-42D3-8B76-EEC1741163A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" name="x_Picture 1" descr="Description: cid:image001.png@01D03949.49457930">
          <a:extLst>
            <a:ext uri="{FF2B5EF4-FFF2-40B4-BE49-F238E27FC236}">
              <a16:creationId xmlns:a16="http://schemas.microsoft.com/office/drawing/2014/main" id="{95030997-EE94-4527-99BD-4F22BD24302D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" name="x_Picture 1" descr="Description: cid:image001.png@01D03949.49457930">
          <a:extLst>
            <a:ext uri="{FF2B5EF4-FFF2-40B4-BE49-F238E27FC236}">
              <a16:creationId xmlns:a16="http://schemas.microsoft.com/office/drawing/2014/main" id="{BB4C5A46-772C-428D-A0A2-BF3DEEE6C2E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" name="x_Picture 1" descr="Description: cid:image001.png@01D03949.49457930">
          <a:extLst>
            <a:ext uri="{FF2B5EF4-FFF2-40B4-BE49-F238E27FC236}">
              <a16:creationId xmlns:a16="http://schemas.microsoft.com/office/drawing/2014/main" id="{055DC491-1A62-4A4D-B615-F25D93A0086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" name="x_Picture 1" descr="Description: cid:image001.png@01D03949.49457930">
          <a:extLst>
            <a:ext uri="{FF2B5EF4-FFF2-40B4-BE49-F238E27FC236}">
              <a16:creationId xmlns:a16="http://schemas.microsoft.com/office/drawing/2014/main" id="{BEA448CA-8A38-4590-8F5C-0A5B928662D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" name="x_Picture 1" descr="Description: cid:image001.png@01D03949.49457930">
          <a:extLst>
            <a:ext uri="{FF2B5EF4-FFF2-40B4-BE49-F238E27FC236}">
              <a16:creationId xmlns:a16="http://schemas.microsoft.com/office/drawing/2014/main" id="{EDD892BD-C577-4093-B2AA-C80AD2DB8AA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" name="x_Picture 1" descr="Description: cid:image001.png@01D03949.49457930">
          <a:extLst>
            <a:ext uri="{FF2B5EF4-FFF2-40B4-BE49-F238E27FC236}">
              <a16:creationId xmlns:a16="http://schemas.microsoft.com/office/drawing/2014/main" id="{4C8D5764-21C3-44A7-9C99-FDFE6EB0D18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" name="x_Picture 1" descr="Description: cid:image001.png@01D03949.49457930">
          <a:extLst>
            <a:ext uri="{FF2B5EF4-FFF2-40B4-BE49-F238E27FC236}">
              <a16:creationId xmlns:a16="http://schemas.microsoft.com/office/drawing/2014/main" id="{2E09B75E-313A-4AA9-8FB1-BB024FF99AA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" name="x_Picture 1" descr="Description: cid:image001.png@01D03949.49457930">
          <a:extLst>
            <a:ext uri="{FF2B5EF4-FFF2-40B4-BE49-F238E27FC236}">
              <a16:creationId xmlns:a16="http://schemas.microsoft.com/office/drawing/2014/main" id="{A73A3BDF-0A29-40CC-996B-D71289F62DD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" name="x_Picture 1" descr="Description: cid:image001.png@01D03949.49457930">
          <a:extLst>
            <a:ext uri="{FF2B5EF4-FFF2-40B4-BE49-F238E27FC236}">
              <a16:creationId xmlns:a16="http://schemas.microsoft.com/office/drawing/2014/main" id="{72F18713-1673-45B1-B43B-8E24A6F1019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" name="x_Picture 1" descr="Description: cid:image001.png@01D03949.49457930">
          <a:extLst>
            <a:ext uri="{FF2B5EF4-FFF2-40B4-BE49-F238E27FC236}">
              <a16:creationId xmlns:a16="http://schemas.microsoft.com/office/drawing/2014/main" id="{E052AF7A-7E6E-47D7-A4D2-16F19B109A5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" name="x_Picture 1" descr="Description: cid:image001.png@01D03949.49457930">
          <a:extLst>
            <a:ext uri="{FF2B5EF4-FFF2-40B4-BE49-F238E27FC236}">
              <a16:creationId xmlns:a16="http://schemas.microsoft.com/office/drawing/2014/main" id="{9F7D9FE6-C9D3-4F52-806E-B527B57CDC9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1" name="x_Picture 1" descr="Description: cid:image001.png@01D03949.49457930">
          <a:extLst>
            <a:ext uri="{FF2B5EF4-FFF2-40B4-BE49-F238E27FC236}">
              <a16:creationId xmlns:a16="http://schemas.microsoft.com/office/drawing/2014/main" id="{3C8E6C33-6DD2-4921-85FD-867C8A04CD0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2" name="x_Picture 1" descr="Description: cid:image001.png@01D03949.49457930">
          <a:extLst>
            <a:ext uri="{FF2B5EF4-FFF2-40B4-BE49-F238E27FC236}">
              <a16:creationId xmlns:a16="http://schemas.microsoft.com/office/drawing/2014/main" id="{00500902-EDF9-496E-87BE-CDCFB7604CB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3" name="x_Picture 1" descr="Description: cid:image001.png@01D03949.49457930">
          <a:extLst>
            <a:ext uri="{FF2B5EF4-FFF2-40B4-BE49-F238E27FC236}">
              <a16:creationId xmlns:a16="http://schemas.microsoft.com/office/drawing/2014/main" id="{4B68DE3C-F7B6-444B-8B4A-4004123016E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4" name="x_Picture 1" descr="Description: cid:image001.png@01D03949.49457930">
          <a:extLst>
            <a:ext uri="{FF2B5EF4-FFF2-40B4-BE49-F238E27FC236}">
              <a16:creationId xmlns:a16="http://schemas.microsoft.com/office/drawing/2014/main" id="{B85C4FDF-7C64-4022-A392-FCE1A081DFC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5" name="x_Picture 1" descr="Description: cid:image001.png@01D03949.49457930">
          <a:extLst>
            <a:ext uri="{FF2B5EF4-FFF2-40B4-BE49-F238E27FC236}">
              <a16:creationId xmlns:a16="http://schemas.microsoft.com/office/drawing/2014/main" id="{CE868C08-0291-466F-9E0A-313F6E1E7D9F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6" name="x_Picture 1" descr="Description: cid:image001.png@01D03949.49457930">
          <a:extLst>
            <a:ext uri="{FF2B5EF4-FFF2-40B4-BE49-F238E27FC236}">
              <a16:creationId xmlns:a16="http://schemas.microsoft.com/office/drawing/2014/main" id="{584C25A5-34D8-4D5E-97F2-A2A14665501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7" name="x_Picture 1" descr="Description: cid:image001.png@01D03949.49457930">
          <a:extLst>
            <a:ext uri="{FF2B5EF4-FFF2-40B4-BE49-F238E27FC236}">
              <a16:creationId xmlns:a16="http://schemas.microsoft.com/office/drawing/2014/main" id="{BD50C1F6-9977-4B60-B2DF-4B7240E3802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8" name="x_Picture 1" descr="Description: cid:image001.png@01D03949.49457930">
          <a:extLst>
            <a:ext uri="{FF2B5EF4-FFF2-40B4-BE49-F238E27FC236}">
              <a16:creationId xmlns:a16="http://schemas.microsoft.com/office/drawing/2014/main" id="{B020D726-2000-4E47-B279-846A95D02241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9" name="x_Picture 1" descr="Description: cid:image001.png@01D03949.49457930">
          <a:extLst>
            <a:ext uri="{FF2B5EF4-FFF2-40B4-BE49-F238E27FC236}">
              <a16:creationId xmlns:a16="http://schemas.microsoft.com/office/drawing/2014/main" id="{23681499-02B0-45A1-8F28-1B57E9F0B64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0" name="x_Picture 1" descr="Description: cid:image001.png@01D03949.49457930">
          <a:extLst>
            <a:ext uri="{FF2B5EF4-FFF2-40B4-BE49-F238E27FC236}">
              <a16:creationId xmlns:a16="http://schemas.microsoft.com/office/drawing/2014/main" id="{43E698FD-3107-4DC1-B918-E338FD604B5D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1" name="x_Picture 1" descr="Description: cid:image001.png@01D03949.49457930">
          <a:extLst>
            <a:ext uri="{FF2B5EF4-FFF2-40B4-BE49-F238E27FC236}">
              <a16:creationId xmlns:a16="http://schemas.microsoft.com/office/drawing/2014/main" id="{C9CB89DF-69EA-4212-A89A-97F1FE8A091E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2" name="x_Picture 1" descr="Description: cid:image001.png@01D03949.49457930">
          <a:extLst>
            <a:ext uri="{FF2B5EF4-FFF2-40B4-BE49-F238E27FC236}">
              <a16:creationId xmlns:a16="http://schemas.microsoft.com/office/drawing/2014/main" id="{36F8B2D0-45A9-4D2A-B142-9648CD68A11D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3" name="x_Picture 1" descr="Description: cid:image001.png@01D03949.49457930">
          <a:extLst>
            <a:ext uri="{FF2B5EF4-FFF2-40B4-BE49-F238E27FC236}">
              <a16:creationId xmlns:a16="http://schemas.microsoft.com/office/drawing/2014/main" id="{212775C6-0739-466D-9804-894E0A42DE3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4" name="x_Picture 1" descr="Description: cid:image001.png@01D03949.49457930">
          <a:extLst>
            <a:ext uri="{FF2B5EF4-FFF2-40B4-BE49-F238E27FC236}">
              <a16:creationId xmlns:a16="http://schemas.microsoft.com/office/drawing/2014/main" id="{7C6C4BD7-9DFD-439C-ABAB-F2C4408B969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5" name="x_Picture 1" descr="Description: cid:image001.png@01D03949.49457930">
          <a:extLst>
            <a:ext uri="{FF2B5EF4-FFF2-40B4-BE49-F238E27FC236}">
              <a16:creationId xmlns:a16="http://schemas.microsoft.com/office/drawing/2014/main" id="{276A7C17-64F4-4B63-BF43-A410CC93816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6" name="x_Picture 1" descr="Description: cid:image001.png@01D03949.49457930">
          <a:extLst>
            <a:ext uri="{FF2B5EF4-FFF2-40B4-BE49-F238E27FC236}">
              <a16:creationId xmlns:a16="http://schemas.microsoft.com/office/drawing/2014/main" id="{57D32F53-2009-480E-9B31-4CE026072E3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7" name="x_Picture 1" descr="Description: cid:image001.png@01D03949.49457930">
          <a:extLst>
            <a:ext uri="{FF2B5EF4-FFF2-40B4-BE49-F238E27FC236}">
              <a16:creationId xmlns:a16="http://schemas.microsoft.com/office/drawing/2014/main" id="{7A2C8EC8-8FD7-4171-A21D-8A3AF6947AF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8" name="x_Picture 1" descr="Description: cid:image001.png@01D03949.49457930">
          <a:extLst>
            <a:ext uri="{FF2B5EF4-FFF2-40B4-BE49-F238E27FC236}">
              <a16:creationId xmlns:a16="http://schemas.microsoft.com/office/drawing/2014/main" id="{5FDC3E1C-FA0C-49EC-8E3F-40074A70561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39" name="x_Picture 1" descr="Description: cid:image001.png@01D03949.49457930">
          <a:extLst>
            <a:ext uri="{FF2B5EF4-FFF2-40B4-BE49-F238E27FC236}">
              <a16:creationId xmlns:a16="http://schemas.microsoft.com/office/drawing/2014/main" id="{2DF8267B-AB46-4C5B-B839-28CFD7BC6AF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40" name="x_Picture 1" descr="Description: cid:image001.png@01D03949.49457930">
          <a:extLst>
            <a:ext uri="{FF2B5EF4-FFF2-40B4-BE49-F238E27FC236}">
              <a16:creationId xmlns:a16="http://schemas.microsoft.com/office/drawing/2014/main" id="{A2C1D845-3F09-4D9E-9219-0E1F496C4D2F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41" name="x_Picture 1" descr="Description: cid:image001.png@01D03949.49457930">
          <a:extLst>
            <a:ext uri="{FF2B5EF4-FFF2-40B4-BE49-F238E27FC236}">
              <a16:creationId xmlns:a16="http://schemas.microsoft.com/office/drawing/2014/main" id="{D5AAC7B7-1FA1-40DA-8A7A-329B4ABEC09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0" name="x_Picture 1" descr="Description: cid:image001.png@01D03949.49457930">
          <a:extLst>
            <a:ext uri="{FF2B5EF4-FFF2-40B4-BE49-F238E27FC236}">
              <a16:creationId xmlns:a16="http://schemas.microsoft.com/office/drawing/2014/main" id="{E521E15F-D4C9-4041-B359-CD3310EF2D2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1" name="x_Picture 1" descr="Description: cid:image001.png@01D03949.49457930">
          <a:extLst>
            <a:ext uri="{FF2B5EF4-FFF2-40B4-BE49-F238E27FC236}">
              <a16:creationId xmlns:a16="http://schemas.microsoft.com/office/drawing/2014/main" id="{C6D8B81D-F862-47B9-8C97-F110A52055B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3" name="x_Picture 1" descr="Description: cid:image001.png@01D03949.49457930">
          <a:extLst>
            <a:ext uri="{FF2B5EF4-FFF2-40B4-BE49-F238E27FC236}">
              <a16:creationId xmlns:a16="http://schemas.microsoft.com/office/drawing/2014/main" id="{5F82CC4E-1690-4FA2-B0B9-CB197E4CAF5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4" name="x_Picture 1" descr="Description: cid:image001.png@01D03949.49457930">
          <a:extLst>
            <a:ext uri="{FF2B5EF4-FFF2-40B4-BE49-F238E27FC236}">
              <a16:creationId xmlns:a16="http://schemas.microsoft.com/office/drawing/2014/main" id="{75AC7D27-6EF6-4E9D-9A41-307E6AF4985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5" name="x_Picture 1" descr="Description: cid:image001.png@01D03949.49457930">
          <a:extLst>
            <a:ext uri="{FF2B5EF4-FFF2-40B4-BE49-F238E27FC236}">
              <a16:creationId xmlns:a16="http://schemas.microsoft.com/office/drawing/2014/main" id="{894B729D-3981-4EC4-87AC-56B790A3F33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6" name="x_Picture 1" descr="Description: cid:image001.png@01D03949.49457930">
          <a:extLst>
            <a:ext uri="{FF2B5EF4-FFF2-40B4-BE49-F238E27FC236}">
              <a16:creationId xmlns:a16="http://schemas.microsoft.com/office/drawing/2014/main" id="{17E323F3-0F7B-4D1D-93D4-7B6BE3052A7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7" name="x_Picture 1" descr="Description: cid:image001.png@01D03949.49457930">
          <a:extLst>
            <a:ext uri="{FF2B5EF4-FFF2-40B4-BE49-F238E27FC236}">
              <a16:creationId xmlns:a16="http://schemas.microsoft.com/office/drawing/2014/main" id="{BFCB7D30-1FB9-4094-AEBB-E4995E18548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8" name="x_Picture 1" descr="Description: cid:image001.png@01D03949.49457930">
          <a:extLst>
            <a:ext uri="{FF2B5EF4-FFF2-40B4-BE49-F238E27FC236}">
              <a16:creationId xmlns:a16="http://schemas.microsoft.com/office/drawing/2014/main" id="{93837E9B-04E3-4721-A931-EECCEDF785B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59" name="x_Picture 1" descr="Description: cid:image001.png@01D03949.49457930">
          <a:extLst>
            <a:ext uri="{FF2B5EF4-FFF2-40B4-BE49-F238E27FC236}">
              <a16:creationId xmlns:a16="http://schemas.microsoft.com/office/drawing/2014/main" id="{42B77E1B-B04F-4AC6-AEF3-129B010DFA5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0" name="x_Picture 1" descr="Description: cid:image001.png@01D03949.49457930">
          <a:extLst>
            <a:ext uri="{FF2B5EF4-FFF2-40B4-BE49-F238E27FC236}">
              <a16:creationId xmlns:a16="http://schemas.microsoft.com/office/drawing/2014/main" id="{0AB1E4FD-B835-4A31-B5D6-B9C49144BF2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1" name="x_Picture 1" descr="Description: cid:image001.png@01D03949.49457930">
          <a:extLst>
            <a:ext uri="{FF2B5EF4-FFF2-40B4-BE49-F238E27FC236}">
              <a16:creationId xmlns:a16="http://schemas.microsoft.com/office/drawing/2014/main" id="{780662D1-B2E5-44E5-87F9-5356D4754AF1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2" name="x_Picture 1" descr="Description: cid:image001.png@01D03949.49457930">
          <a:extLst>
            <a:ext uri="{FF2B5EF4-FFF2-40B4-BE49-F238E27FC236}">
              <a16:creationId xmlns:a16="http://schemas.microsoft.com/office/drawing/2014/main" id="{B2678F43-3D52-4FC7-9927-80E746A80C0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3" name="x_Picture 1" descr="Description: cid:image001.png@01D03949.49457930">
          <a:extLst>
            <a:ext uri="{FF2B5EF4-FFF2-40B4-BE49-F238E27FC236}">
              <a16:creationId xmlns:a16="http://schemas.microsoft.com/office/drawing/2014/main" id="{3FBD0975-9BCC-4338-AF28-2B4C34DF947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4" name="x_Picture 1" descr="Description: cid:image001.png@01D03949.49457930">
          <a:extLst>
            <a:ext uri="{FF2B5EF4-FFF2-40B4-BE49-F238E27FC236}">
              <a16:creationId xmlns:a16="http://schemas.microsoft.com/office/drawing/2014/main" id="{FC3E6DF9-E4A8-44E7-9350-32180C01B59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5" name="x_Picture 1" descr="Description: cid:image001.png@01D03949.49457930">
          <a:extLst>
            <a:ext uri="{FF2B5EF4-FFF2-40B4-BE49-F238E27FC236}">
              <a16:creationId xmlns:a16="http://schemas.microsoft.com/office/drawing/2014/main" id="{D7EC831F-DCCE-4286-8181-6BE9CB0D0E2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6" name="x_Picture 1" descr="Description: cid:image001.png@01D03949.49457930">
          <a:extLst>
            <a:ext uri="{FF2B5EF4-FFF2-40B4-BE49-F238E27FC236}">
              <a16:creationId xmlns:a16="http://schemas.microsoft.com/office/drawing/2014/main" id="{277602A1-4F78-42BB-BF53-EA3ABCAACF6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7" name="x_Picture 1" descr="Description: cid:image001.png@01D03949.49457930">
          <a:extLst>
            <a:ext uri="{FF2B5EF4-FFF2-40B4-BE49-F238E27FC236}">
              <a16:creationId xmlns:a16="http://schemas.microsoft.com/office/drawing/2014/main" id="{50059118-B5A3-4BDF-8130-8DEC839EB82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8" name="x_Picture 1" descr="Description: cid:image001.png@01D03949.49457930">
          <a:extLst>
            <a:ext uri="{FF2B5EF4-FFF2-40B4-BE49-F238E27FC236}">
              <a16:creationId xmlns:a16="http://schemas.microsoft.com/office/drawing/2014/main" id="{9ECE55BF-ADEF-40E7-9C99-7C4660EEF9B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69" name="x_Picture 1" descr="Description: cid:image001.png@01D03949.49457930">
          <a:extLst>
            <a:ext uri="{FF2B5EF4-FFF2-40B4-BE49-F238E27FC236}">
              <a16:creationId xmlns:a16="http://schemas.microsoft.com/office/drawing/2014/main" id="{1AD2E8BD-5626-49EA-B110-7291A69BADD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0" name="x_Picture 1" descr="Description: cid:image001.png@01D03949.49457930">
          <a:extLst>
            <a:ext uri="{FF2B5EF4-FFF2-40B4-BE49-F238E27FC236}">
              <a16:creationId xmlns:a16="http://schemas.microsoft.com/office/drawing/2014/main" id="{6B95D692-D142-4185-B31B-6C47B57CFD3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1" name="x_Picture 1" descr="Description: cid:image001.png@01D03949.49457930">
          <a:extLst>
            <a:ext uri="{FF2B5EF4-FFF2-40B4-BE49-F238E27FC236}">
              <a16:creationId xmlns:a16="http://schemas.microsoft.com/office/drawing/2014/main" id="{1F482DE4-922D-4FD5-8C92-F4702D4ECA1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2" name="x_Picture 1" descr="Description: cid:image001.png@01D03949.49457930">
          <a:extLst>
            <a:ext uri="{FF2B5EF4-FFF2-40B4-BE49-F238E27FC236}">
              <a16:creationId xmlns:a16="http://schemas.microsoft.com/office/drawing/2014/main" id="{EC627FF9-E530-4C80-B38C-99D8D58F888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3" name="x_Picture 1" descr="Description: cid:image001.png@01D03949.49457930">
          <a:extLst>
            <a:ext uri="{FF2B5EF4-FFF2-40B4-BE49-F238E27FC236}">
              <a16:creationId xmlns:a16="http://schemas.microsoft.com/office/drawing/2014/main" id="{47837F2A-EDDE-440E-A17B-704477AA375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4" name="x_Picture 1" descr="Description: cid:image001.png@01D03949.49457930">
          <a:extLst>
            <a:ext uri="{FF2B5EF4-FFF2-40B4-BE49-F238E27FC236}">
              <a16:creationId xmlns:a16="http://schemas.microsoft.com/office/drawing/2014/main" id="{755DB3ED-A049-41A8-910C-6CF800FFB09E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5" name="x_Picture 1" descr="Description: cid:image001.png@01D03949.49457930">
          <a:extLst>
            <a:ext uri="{FF2B5EF4-FFF2-40B4-BE49-F238E27FC236}">
              <a16:creationId xmlns:a16="http://schemas.microsoft.com/office/drawing/2014/main" id="{F41FB2A0-744A-4E91-9492-47B9E54D6F2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6" name="x_Picture 1" descr="Description: cid:image001.png@01D03949.49457930">
          <a:extLst>
            <a:ext uri="{FF2B5EF4-FFF2-40B4-BE49-F238E27FC236}">
              <a16:creationId xmlns:a16="http://schemas.microsoft.com/office/drawing/2014/main" id="{255E61A6-B7FD-4263-B3D4-49162B6D347D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7" name="x_Picture 1" descr="Description: cid:image001.png@01D03949.49457930">
          <a:extLst>
            <a:ext uri="{FF2B5EF4-FFF2-40B4-BE49-F238E27FC236}">
              <a16:creationId xmlns:a16="http://schemas.microsoft.com/office/drawing/2014/main" id="{FAD3CA63-FB6F-4FBA-AE35-DEEEF5197CA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8" name="x_Picture 1" descr="Description: cid:image001.png@01D03949.49457930">
          <a:extLst>
            <a:ext uri="{FF2B5EF4-FFF2-40B4-BE49-F238E27FC236}">
              <a16:creationId xmlns:a16="http://schemas.microsoft.com/office/drawing/2014/main" id="{9EDDC2C4-4EB7-426B-9745-F2189133E0B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79" name="x_Picture 1" descr="Description: cid:image001.png@01D03949.49457930">
          <a:extLst>
            <a:ext uri="{FF2B5EF4-FFF2-40B4-BE49-F238E27FC236}">
              <a16:creationId xmlns:a16="http://schemas.microsoft.com/office/drawing/2014/main" id="{762B6610-7918-4686-9857-C643ED7458D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0" name="x_Picture 1" descr="Description: cid:image001.png@01D03949.49457930">
          <a:extLst>
            <a:ext uri="{FF2B5EF4-FFF2-40B4-BE49-F238E27FC236}">
              <a16:creationId xmlns:a16="http://schemas.microsoft.com/office/drawing/2014/main" id="{6CE561FC-1552-4326-9148-31AC738211B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1" name="x_Picture 1" descr="Description: cid:image001.png@01D03949.49457930">
          <a:extLst>
            <a:ext uri="{FF2B5EF4-FFF2-40B4-BE49-F238E27FC236}">
              <a16:creationId xmlns:a16="http://schemas.microsoft.com/office/drawing/2014/main" id="{F141FAFA-DCBD-4FD6-B6A2-F1E7C643D81F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2" name="x_Picture 1" descr="Description: cid:image001.png@01D03949.49457930">
          <a:extLst>
            <a:ext uri="{FF2B5EF4-FFF2-40B4-BE49-F238E27FC236}">
              <a16:creationId xmlns:a16="http://schemas.microsoft.com/office/drawing/2014/main" id="{481564AC-48CA-4897-867B-0D987C267F6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3" name="x_Picture 1" descr="Description: cid:image001.png@01D03949.49457930">
          <a:extLst>
            <a:ext uri="{FF2B5EF4-FFF2-40B4-BE49-F238E27FC236}">
              <a16:creationId xmlns:a16="http://schemas.microsoft.com/office/drawing/2014/main" id="{C3312BE5-640F-46FE-9BBA-6A1F99B89A6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4" name="x_Picture 1" descr="Description: cid:image001.png@01D03949.49457930">
          <a:extLst>
            <a:ext uri="{FF2B5EF4-FFF2-40B4-BE49-F238E27FC236}">
              <a16:creationId xmlns:a16="http://schemas.microsoft.com/office/drawing/2014/main" id="{5047ED9E-A932-47D1-8518-7E37DC92DFB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5" name="x_Picture 1" descr="Description: cid:image001.png@01D03949.49457930">
          <a:extLst>
            <a:ext uri="{FF2B5EF4-FFF2-40B4-BE49-F238E27FC236}">
              <a16:creationId xmlns:a16="http://schemas.microsoft.com/office/drawing/2014/main" id="{FF5F06C1-31AB-4B8A-8F74-4B50703932E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6" name="x_Picture 1" descr="Description: cid:image001.png@01D03949.49457930">
          <a:extLst>
            <a:ext uri="{FF2B5EF4-FFF2-40B4-BE49-F238E27FC236}">
              <a16:creationId xmlns:a16="http://schemas.microsoft.com/office/drawing/2014/main" id="{9D8FB45D-DCBB-4A11-A35F-5389E99213A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7" name="x_Picture 1" descr="Description: cid:image001.png@01D03949.49457930">
          <a:extLst>
            <a:ext uri="{FF2B5EF4-FFF2-40B4-BE49-F238E27FC236}">
              <a16:creationId xmlns:a16="http://schemas.microsoft.com/office/drawing/2014/main" id="{68B14475-7C22-4F11-A8D7-C569091BDCA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8" name="x_Picture 1" descr="Description: cid:image001.png@01D03949.49457930">
          <a:extLst>
            <a:ext uri="{FF2B5EF4-FFF2-40B4-BE49-F238E27FC236}">
              <a16:creationId xmlns:a16="http://schemas.microsoft.com/office/drawing/2014/main" id="{001721A7-64F2-48DA-AC19-9689AB31ADD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89" name="x_Picture 1" descr="Description: cid:image001.png@01D03949.49457930">
          <a:extLst>
            <a:ext uri="{FF2B5EF4-FFF2-40B4-BE49-F238E27FC236}">
              <a16:creationId xmlns:a16="http://schemas.microsoft.com/office/drawing/2014/main" id="{CC2BC20F-BFC3-4F03-9CDB-E01D812C52A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0" name="x_Picture 1" descr="Description: cid:image001.png@01D03949.49457930">
          <a:extLst>
            <a:ext uri="{FF2B5EF4-FFF2-40B4-BE49-F238E27FC236}">
              <a16:creationId xmlns:a16="http://schemas.microsoft.com/office/drawing/2014/main" id="{B58DAB7C-25E8-4519-B12B-25B36BCD2D8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1" name="x_Picture 1" descr="Description: cid:image001.png@01D03949.49457930">
          <a:extLst>
            <a:ext uri="{FF2B5EF4-FFF2-40B4-BE49-F238E27FC236}">
              <a16:creationId xmlns:a16="http://schemas.microsoft.com/office/drawing/2014/main" id="{06135549-8E90-4E91-9C6D-C032216E20A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2" name="x_Picture 1" descr="Description: cid:image001.png@01D03949.49457930">
          <a:extLst>
            <a:ext uri="{FF2B5EF4-FFF2-40B4-BE49-F238E27FC236}">
              <a16:creationId xmlns:a16="http://schemas.microsoft.com/office/drawing/2014/main" id="{785DCAE8-2564-4042-AA2E-BE0E79325BE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3" name="x_Picture 1" descr="Description: cid:image001.png@01D03949.49457930">
          <a:extLst>
            <a:ext uri="{FF2B5EF4-FFF2-40B4-BE49-F238E27FC236}">
              <a16:creationId xmlns:a16="http://schemas.microsoft.com/office/drawing/2014/main" id="{03C5AB70-1153-4939-A31B-127261F18B4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4" name="x_Picture 1" descr="Description: cid:image001.png@01D03949.49457930">
          <a:extLst>
            <a:ext uri="{FF2B5EF4-FFF2-40B4-BE49-F238E27FC236}">
              <a16:creationId xmlns:a16="http://schemas.microsoft.com/office/drawing/2014/main" id="{4B07EEEE-E1F5-41A8-A0A7-A2FAE35241F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5" name="x_Picture 1" descr="Description: cid:image001.png@01D03949.49457930">
          <a:extLst>
            <a:ext uri="{FF2B5EF4-FFF2-40B4-BE49-F238E27FC236}">
              <a16:creationId xmlns:a16="http://schemas.microsoft.com/office/drawing/2014/main" id="{9F7B273E-A861-40C9-8F7B-3D971C45748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6" name="x_Picture 1" descr="Description: cid:image001.png@01D03949.49457930">
          <a:extLst>
            <a:ext uri="{FF2B5EF4-FFF2-40B4-BE49-F238E27FC236}">
              <a16:creationId xmlns:a16="http://schemas.microsoft.com/office/drawing/2014/main" id="{7334E78A-1131-4CEF-82DC-D8144ED8404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7" name="x_Picture 1" descr="Description: cid:image001.png@01D03949.49457930">
          <a:extLst>
            <a:ext uri="{FF2B5EF4-FFF2-40B4-BE49-F238E27FC236}">
              <a16:creationId xmlns:a16="http://schemas.microsoft.com/office/drawing/2014/main" id="{CEE48D64-21D4-4E19-8894-A545F78D67E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8" name="x_Picture 1" descr="Description: cid:image001.png@01D03949.49457930">
          <a:extLst>
            <a:ext uri="{FF2B5EF4-FFF2-40B4-BE49-F238E27FC236}">
              <a16:creationId xmlns:a16="http://schemas.microsoft.com/office/drawing/2014/main" id="{CBF11100-3C51-4F66-BC0B-89412FF6835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99" name="x_Picture 1" descr="Description: cid:image001.png@01D03949.49457930">
          <a:extLst>
            <a:ext uri="{FF2B5EF4-FFF2-40B4-BE49-F238E27FC236}">
              <a16:creationId xmlns:a16="http://schemas.microsoft.com/office/drawing/2014/main" id="{5421B59D-258F-4AAC-8296-AF126C3C6F1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0" name="x_Picture 1" descr="Description: cid:image001.png@01D03949.49457930">
          <a:extLst>
            <a:ext uri="{FF2B5EF4-FFF2-40B4-BE49-F238E27FC236}">
              <a16:creationId xmlns:a16="http://schemas.microsoft.com/office/drawing/2014/main" id="{22187DF2-F4D8-4F1C-B2E7-EBABC55D4E5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1" name="x_Picture 1" descr="Description: cid:image001.png@01D03949.49457930">
          <a:extLst>
            <a:ext uri="{FF2B5EF4-FFF2-40B4-BE49-F238E27FC236}">
              <a16:creationId xmlns:a16="http://schemas.microsoft.com/office/drawing/2014/main" id="{1D29FCFD-6BDE-4F5A-ABDD-DA405EDF14E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2" name="x_Picture 1" descr="Description: cid:image001.png@01D03949.49457930">
          <a:extLst>
            <a:ext uri="{FF2B5EF4-FFF2-40B4-BE49-F238E27FC236}">
              <a16:creationId xmlns:a16="http://schemas.microsoft.com/office/drawing/2014/main" id="{B0B1B8C7-67EF-43FB-8C85-C90EC031718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3" name="x_Picture 1" descr="Description: cid:image001.png@01D03949.49457930">
          <a:extLst>
            <a:ext uri="{FF2B5EF4-FFF2-40B4-BE49-F238E27FC236}">
              <a16:creationId xmlns:a16="http://schemas.microsoft.com/office/drawing/2014/main" id="{18BFD242-50FC-442F-BE6A-E3F689AC294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4" name="x_Picture 1" descr="Description: cid:image001.png@01D03949.49457930">
          <a:extLst>
            <a:ext uri="{FF2B5EF4-FFF2-40B4-BE49-F238E27FC236}">
              <a16:creationId xmlns:a16="http://schemas.microsoft.com/office/drawing/2014/main" id="{8580F32F-F68B-4C1F-808D-57003C9C101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5" name="x_Picture 1" descr="Description: cid:image001.png@01D03949.49457930">
          <a:extLst>
            <a:ext uri="{FF2B5EF4-FFF2-40B4-BE49-F238E27FC236}">
              <a16:creationId xmlns:a16="http://schemas.microsoft.com/office/drawing/2014/main" id="{1474B7DF-413E-4AD5-9357-D859292376F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6" name="x_Picture 1" descr="Description: cid:image001.png@01D03949.49457930">
          <a:extLst>
            <a:ext uri="{FF2B5EF4-FFF2-40B4-BE49-F238E27FC236}">
              <a16:creationId xmlns:a16="http://schemas.microsoft.com/office/drawing/2014/main" id="{B3B69F27-BFF9-48C9-854D-BF0BE7F1E94E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7" name="x_Picture 1" descr="Description: cid:image001.png@01D03949.49457930">
          <a:extLst>
            <a:ext uri="{FF2B5EF4-FFF2-40B4-BE49-F238E27FC236}">
              <a16:creationId xmlns:a16="http://schemas.microsoft.com/office/drawing/2014/main" id="{F009BA53-9570-4892-BC99-0455EF90FC8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8" name="x_Picture 1" descr="Description: cid:image001.png@01D03949.49457930">
          <a:extLst>
            <a:ext uri="{FF2B5EF4-FFF2-40B4-BE49-F238E27FC236}">
              <a16:creationId xmlns:a16="http://schemas.microsoft.com/office/drawing/2014/main" id="{B64EFCBB-4A6E-4AA2-A872-A58C29175EF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09" name="x_Picture 1" descr="Description: cid:image001.png@01D03949.49457930">
          <a:extLst>
            <a:ext uri="{FF2B5EF4-FFF2-40B4-BE49-F238E27FC236}">
              <a16:creationId xmlns:a16="http://schemas.microsoft.com/office/drawing/2014/main" id="{CC670517-A6BF-49F3-B3E7-A0B9CA8FB19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10" name="x_Picture 1" descr="Description: cid:image001.png@01D03949.49457930">
          <a:extLst>
            <a:ext uri="{FF2B5EF4-FFF2-40B4-BE49-F238E27FC236}">
              <a16:creationId xmlns:a16="http://schemas.microsoft.com/office/drawing/2014/main" id="{C1993020-82B5-4588-AD87-43751C0B5F2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11" name="x_Picture 1" descr="Description: cid:image001.png@01D03949.49457930">
          <a:extLst>
            <a:ext uri="{FF2B5EF4-FFF2-40B4-BE49-F238E27FC236}">
              <a16:creationId xmlns:a16="http://schemas.microsoft.com/office/drawing/2014/main" id="{C0BB9BD1-A811-4FD6-936A-D6E2363A342E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12" name="x_Picture 1" descr="Description: cid:image001.png@01D03949.49457930">
          <a:extLst>
            <a:ext uri="{FF2B5EF4-FFF2-40B4-BE49-F238E27FC236}">
              <a16:creationId xmlns:a16="http://schemas.microsoft.com/office/drawing/2014/main" id="{8329CB25-7B1D-45BD-BB2A-01FF2997A15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14" name="x_Picture 1" descr="Description: cid:image001.png@01D03949.49457930">
          <a:extLst>
            <a:ext uri="{FF2B5EF4-FFF2-40B4-BE49-F238E27FC236}">
              <a16:creationId xmlns:a16="http://schemas.microsoft.com/office/drawing/2014/main" id="{481827A1-F820-467E-AA5E-EE46BCA46E6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15" name="x_Picture 1" descr="Description: cid:image001.png@01D03949.49457930">
          <a:extLst>
            <a:ext uri="{FF2B5EF4-FFF2-40B4-BE49-F238E27FC236}">
              <a16:creationId xmlns:a16="http://schemas.microsoft.com/office/drawing/2014/main" id="{CD3F7AF7-FC8E-4C3E-8C35-0285D0E3D08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16" name="x_Picture 1" descr="Description: cid:image001.png@01D03949.49457930">
          <a:extLst>
            <a:ext uri="{FF2B5EF4-FFF2-40B4-BE49-F238E27FC236}">
              <a16:creationId xmlns:a16="http://schemas.microsoft.com/office/drawing/2014/main" id="{EA86D0C3-FEE0-4742-9B25-D1328918EF9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17" name="x_Picture 1" descr="Description: cid:image001.png@01D03949.49457930">
          <a:extLst>
            <a:ext uri="{FF2B5EF4-FFF2-40B4-BE49-F238E27FC236}">
              <a16:creationId xmlns:a16="http://schemas.microsoft.com/office/drawing/2014/main" id="{F27E7BCA-E410-4DAB-84D0-4949436B6FAF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18" name="x_Picture 1" descr="Description: cid:image001.png@01D03949.49457930">
          <a:extLst>
            <a:ext uri="{FF2B5EF4-FFF2-40B4-BE49-F238E27FC236}">
              <a16:creationId xmlns:a16="http://schemas.microsoft.com/office/drawing/2014/main" id="{A3B6384B-ECC5-4153-9EAE-D7A2767E141F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19" name="x_Picture 1" descr="Description: cid:image001.png@01D03949.49457930">
          <a:extLst>
            <a:ext uri="{FF2B5EF4-FFF2-40B4-BE49-F238E27FC236}">
              <a16:creationId xmlns:a16="http://schemas.microsoft.com/office/drawing/2014/main" id="{8EFCC4A2-4021-4FB6-9F9A-AFBC71C2581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0" name="x_Picture 1" descr="Description: cid:image001.png@01D03949.49457930">
          <a:extLst>
            <a:ext uri="{FF2B5EF4-FFF2-40B4-BE49-F238E27FC236}">
              <a16:creationId xmlns:a16="http://schemas.microsoft.com/office/drawing/2014/main" id="{E1AABF63-439E-4BA9-B8A3-C7907A3EC78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1" name="x_Picture 1" descr="Description: cid:image001.png@01D03949.49457930">
          <a:extLst>
            <a:ext uri="{FF2B5EF4-FFF2-40B4-BE49-F238E27FC236}">
              <a16:creationId xmlns:a16="http://schemas.microsoft.com/office/drawing/2014/main" id="{D895F4E7-9527-40E5-8D86-5A3D6B5DA07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2" name="x_Picture 1" descr="Description: cid:image001.png@01D03949.49457930">
          <a:extLst>
            <a:ext uri="{FF2B5EF4-FFF2-40B4-BE49-F238E27FC236}">
              <a16:creationId xmlns:a16="http://schemas.microsoft.com/office/drawing/2014/main" id="{AB51B5A5-C913-416C-8860-C6C533EC1C1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3" name="x_Picture 1" descr="Description: cid:image001.png@01D03949.49457930">
          <a:extLst>
            <a:ext uri="{FF2B5EF4-FFF2-40B4-BE49-F238E27FC236}">
              <a16:creationId xmlns:a16="http://schemas.microsoft.com/office/drawing/2014/main" id="{3EC4EFCC-41F2-41C2-95AC-E8FB7B5F5B6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4" name="x_Picture 1" descr="Description: cid:image001.png@01D03949.49457930">
          <a:extLst>
            <a:ext uri="{FF2B5EF4-FFF2-40B4-BE49-F238E27FC236}">
              <a16:creationId xmlns:a16="http://schemas.microsoft.com/office/drawing/2014/main" id="{FD9062E1-93E9-48A9-AF00-CE5A079C6E2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5" name="x_Picture 1" descr="Description: cid:image001.png@01D03949.49457930">
          <a:extLst>
            <a:ext uri="{FF2B5EF4-FFF2-40B4-BE49-F238E27FC236}">
              <a16:creationId xmlns:a16="http://schemas.microsoft.com/office/drawing/2014/main" id="{FFD037A0-35A1-42C2-A5B1-E5204A3FC52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6" name="x_Picture 1" descr="Description: cid:image001.png@01D03949.49457930">
          <a:extLst>
            <a:ext uri="{FF2B5EF4-FFF2-40B4-BE49-F238E27FC236}">
              <a16:creationId xmlns:a16="http://schemas.microsoft.com/office/drawing/2014/main" id="{4FFAD86F-856E-4537-97E3-12B367CD64D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7" name="x_Picture 1" descr="Description: cid:image001.png@01D03949.49457930">
          <a:extLst>
            <a:ext uri="{FF2B5EF4-FFF2-40B4-BE49-F238E27FC236}">
              <a16:creationId xmlns:a16="http://schemas.microsoft.com/office/drawing/2014/main" id="{B03B0993-A308-4596-9193-B42D0027A77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8" name="x_Picture 1" descr="Description: cid:image001.png@01D03949.49457930">
          <a:extLst>
            <a:ext uri="{FF2B5EF4-FFF2-40B4-BE49-F238E27FC236}">
              <a16:creationId xmlns:a16="http://schemas.microsoft.com/office/drawing/2014/main" id="{6A60EA85-2110-4B8A-9F84-D16C2B9DDDC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29" name="x_Picture 1" descr="Description: cid:image001.png@01D03949.49457930">
          <a:extLst>
            <a:ext uri="{FF2B5EF4-FFF2-40B4-BE49-F238E27FC236}">
              <a16:creationId xmlns:a16="http://schemas.microsoft.com/office/drawing/2014/main" id="{019D4D5F-BC58-4B33-AD7F-FD387FD2ADD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0" name="x_Picture 1" descr="Description: cid:image001.png@01D03949.49457930">
          <a:extLst>
            <a:ext uri="{FF2B5EF4-FFF2-40B4-BE49-F238E27FC236}">
              <a16:creationId xmlns:a16="http://schemas.microsoft.com/office/drawing/2014/main" id="{74E791BF-7883-4D80-A965-76696FEEDB9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1" name="x_Picture 1" descr="Description: cid:image001.png@01D03949.49457930">
          <a:extLst>
            <a:ext uri="{FF2B5EF4-FFF2-40B4-BE49-F238E27FC236}">
              <a16:creationId xmlns:a16="http://schemas.microsoft.com/office/drawing/2014/main" id="{13BE894E-5475-4536-B05C-DE9968E59D5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2" name="x_Picture 1" descr="Description: cid:image001.png@01D03949.49457930">
          <a:extLst>
            <a:ext uri="{FF2B5EF4-FFF2-40B4-BE49-F238E27FC236}">
              <a16:creationId xmlns:a16="http://schemas.microsoft.com/office/drawing/2014/main" id="{6735C603-8010-41A2-A4A5-9318AE86F18F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3" name="x_Picture 1" descr="Description: cid:image001.png@01D03949.49457930">
          <a:extLst>
            <a:ext uri="{FF2B5EF4-FFF2-40B4-BE49-F238E27FC236}">
              <a16:creationId xmlns:a16="http://schemas.microsoft.com/office/drawing/2014/main" id="{13110D45-B263-4334-B8E2-0DD2F85BB6A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4" name="x_Picture 1" descr="Description: cid:image001.png@01D03949.49457930">
          <a:extLst>
            <a:ext uri="{FF2B5EF4-FFF2-40B4-BE49-F238E27FC236}">
              <a16:creationId xmlns:a16="http://schemas.microsoft.com/office/drawing/2014/main" id="{B40D3E22-790D-44C3-826B-E358A55E30A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5" name="x_Picture 1" descr="Description: cid:image001.png@01D03949.49457930">
          <a:extLst>
            <a:ext uri="{FF2B5EF4-FFF2-40B4-BE49-F238E27FC236}">
              <a16:creationId xmlns:a16="http://schemas.microsoft.com/office/drawing/2014/main" id="{62F97F93-74F8-407D-81CD-9216412A6E3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6" name="x_Picture 1" descr="Description: cid:image001.png@01D03949.49457930">
          <a:extLst>
            <a:ext uri="{FF2B5EF4-FFF2-40B4-BE49-F238E27FC236}">
              <a16:creationId xmlns:a16="http://schemas.microsoft.com/office/drawing/2014/main" id="{CE0D662A-7661-48E2-97F7-8DE40237B03E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7" name="x_Picture 1" descr="Description: cid:image001.png@01D03949.49457930">
          <a:extLst>
            <a:ext uri="{FF2B5EF4-FFF2-40B4-BE49-F238E27FC236}">
              <a16:creationId xmlns:a16="http://schemas.microsoft.com/office/drawing/2014/main" id="{164CD6A9-AE61-4141-B116-6424FE3DD2A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8" name="x_Picture 1" descr="Description: cid:image001.png@01D03949.49457930">
          <a:extLst>
            <a:ext uri="{FF2B5EF4-FFF2-40B4-BE49-F238E27FC236}">
              <a16:creationId xmlns:a16="http://schemas.microsoft.com/office/drawing/2014/main" id="{9E192EC1-6376-4CED-93BE-9666F40050F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39" name="x_Picture 1" descr="Description: cid:image001.png@01D03949.49457930">
          <a:extLst>
            <a:ext uri="{FF2B5EF4-FFF2-40B4-BE49-F238E27FC236}">
              <a16:creationId xmlns:a16="http://schemas.microsoft.com/office/drawing/2014/main" id="{6C9166CC-7551-4AC1-A455-214C7AC2F59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0" name="x_Picture 1" descr="Description: cid:image001.png@01D03949.49457930">
          <a:extLst>
            <a:ext uri="{FF2B5EF4-FFF2-40B4-BE49-F238E27FC236}">
              <a16:creationId xmlns:a16="http://schemas.microsoft.com/office/drawing/2014/main" id="{E8114429-D869-45A2-A2AF-C04B53D6B8A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1" name="x_Picture 1" descr="Description: cid:image001.png@01D03949.49457930">
          <a:extLst>
            <a:ext uri="{FF2B5EF4-FFF2-40B4-BE49-F238E27FC236}">
              <a16:creationId xmlns:a16="http://schemas.microsoft.com/office/drawing/2014/main" id="{84C87C74-C88B-4ED1-A230-2728A2B625B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2" name="x_Picture 1" descr="Description: cid:image001.png@01D03949.49457930">
          <a:extLst>
            <a:ext uri="{FF2B5EF4-FFF2-40B4-BE49-F238E27FC236}">
              <a16:creationId xmlns:a16="http://schemas.microsoft.com/office/drawing/2014/main" id="{4CF782A0-7153-4432-8064-A821CFF5E7D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3" name="x_Picture 1" descr="Description: cid:image001.png@01D03949.49457930">
          <a:extLst>
            <a:ext uri="{FF2B5EF4-FFF2-40B4-BE49-F238E27FC236}">
              <a16:creationId xmlns:a16="http://schemas.microsoft.com/office/drawing/2014/main" id="{BF044C3B-AC7B-41F9-955A-6D103DA4CDE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4" name="x_Picture 1" descr="Description: cid:image001.png@01D03949.49457930">
          <a:extLst>
            <a:ext uri="{FF2B5EF4-FFF2-40B4-BE49-F238E27FC236}">
              <a16:creationId xmlns:a16="http://schemas.microsoft.com/office/drawing/2014/main" id="{03DC0CB3-5C0A-41EA-B5F9-984ECD93C2A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5" name="x_Picture 1" descr="Description: cid:image001.png@01D03949.49457930">
          <a:extLst>
            <a:ext uri="{FF2B5EF4-FFF2-40B4-BE49-F238E27FC236}">
              <a16:creationId xmlns:a16="http://schemas.microsoft.com/office/drawing/2014/main" id="{F4003087-E725-4D16-80E6-2277BAA8781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6" name="x_Picture 1" descr="Description: cid:image001.png@01D03949.49457930">
          <a:extLst>
            <a:ext uri="{FF2B5EF4-FFF2-40B4-BE49-F238E27FC236}">
              <a16:creationId xmlns:a16="http://schemas.microsoft.com/office/drawing/2014/main" id="{01713688-5E9D-441F-9881-636154FA3CD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7" name="x_Picture 1" descr="Description: cid:image001.png@01D03949.49457930">
          <a:extLst>
            <a:ext uri="{FF2B5EF4-FFF2-40B4-BE49-F238E27FC236}">
              <a16:creationId xmlns:a16="http://schemas.microsoft.com/office/drawing/2014/main" id="{B408FA9B-F94C-4345-A005-0C77A7D38F3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8" name="x_Picture 1" descr="Description: cid:image001.png@01D03949.49457930">
          <a:extLst>
            <a:ext uri="{FF2B5EF4-FFF2-40B4-BE49-F238E27FC236}">
              <a16:creationId xmlns:a16="http://schemas.microsoft.com/office/drawing/2014/main" id="{D7502B34-F17F-47CF-B8D6-C02764676FE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49" name="x_Picture 1" descr="Description: cid:image001.png@01D03949.49457930">
          <a:extLst>
            <a:ext uri="{FF2B5EF4-FFF2-40B4-BE49-F238E27FC236}">
              <a16:creationId xmlns:a16="http://schemas.microsoft.com/office/drawing/2014/main" id="{0FD60C40-8902-4049-B32D-66F2D00590F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0" name="x_Picture 1" descr="Description: cid:image001.png@01D03949.49457930">
          <a:extLst>
            <a:ext uri="{FF2B5EF4-FFF2-40B4-BE49-F238E27FC236}">
              <a16:creationId xmlns:a16="http://schemas.microsoft.com/office/drawing/2014/main" id="{88776000-7962-4546-BA95-CDD1D9129DC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1" name="x_Picture 1" descr="Description: cid:image001.png@01D03949.49457930">
          <a:extLst>
            <a:ext uri="{FF2B5EF4-FFF2-40B4-BE49-F238E27FC236}">
              <a16:creationId xmlns:a16="http://schemas.microsoft.com/office/drawing/2014/main" id="{4554414A-6642-49DC-8DE6-81F08A5F84A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2" name="x_Picture 1" descr="Description: cid:image001.png@01D03949.49457930">
          <a:extLst>
            <a:ext uri="{FF2B5EF4-FFF2-40B4-BE49-F238E27FC236}">
              <a16:creationId xmlns:a16="http://schemas.microsoft.com/office/drawing/2014/main" id="{89DE4B71-5371-458C-8664-D60BAC4F0AF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3" name="x_Picture 1" descr="Description: cid:image001.png@01D03949.49457930">
          <a:extLst>
            <a:ext uri="{FF2B5EF4-FFF2-40B4-BE49-F238E27FC236}">
              <a16:creationId xmlns:a16="http://schemas.microsoft.com/office/drawing/2014/main" id="{6093F8E9-64E2-4E52-9E59-DA7269DC484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4" name="x_Picture 1" descr="Description: cid:image001.png@01D03949.49457930">
          <a:extLst>
            <a:ext uri="{FF2B5EF4-FFF2-40B4-BE49-F238E27FC236}">
              <a16:creationId xmlns:a16="http://schemas.microsoft.com/office/drawing/2014/main" id="{1670F8E1-1CBD-4DBA-827D-3E0BFB13CA4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5" name="x_Picture 1" descr="Description: cid:image001.png@01D03949.49457930">
          <a:extLst>
            <a:ext uri="{FF2B5EF4-FFF2-40B4-BE49-F238E27FC236}">
              <a16:creationId xmlns:a16="http://schemas.microsoft.com/office/drawing/2014/main" id="{A5E438D8-5640-43A0-B73D-89A8066311A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6" name="x_Picture 1" descr="Description: cid:image001.png@01D03949.49457930">
          <a:extLst>
            <a:ext uri="{FF2B5EF4-FFF2-40B4-BE49-F238E27FC236}">
              <a16:creationId xmlns:a16="http://schemas.microsoft.com/office/drawing/2014/main" id="{A0FD267B-4BFB-4616-93B4-1C2497EEC43E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7" name="x_Picture 1" descr="Description: cid:image001.png@01D03949.49457930">
          <a:extLst>
            <a:ext uri="{FF2B5EF4-FFF2-40B4-BE49-F238E27FC236}">
              <a16:creationId xmlns:a16="http://schemas.microsoft.com/office/drawing/2014/main" id="{C6B65F21-F68F-4C73-880D-821402E5AE7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8" name="x_Picture 1" descr="Description: cid:image001.png@01D03949.49457930">
          <a:extLst>
            <a:ext uri="{FF2B5EF4-FFF2-40B4-BE49-F238E27FC236}">
              <a16:creationId xmlns:a16="http://schemas.microsoft.com/office/drawing/2014/main" id="{8400E1BC-8D0E-4A27-AA95-67EB2BE59B7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59" name="x_Picture 1" descr="Description: cid:image001.png@01D03949.49457930">
          <a:extLst>
            <a:ext uri="{FF2B5EF4-FFF2-40B4-BE49-F238E27FC236}">
              <a16:creationId xmlns:a16="http://schemas.microsoft.com/office/drawing/2014/main" id="{05018695-C885-49F3-A8BD-DF399E585AD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0" name="x_Picture 1" descr="Description: cid:image001.png@01D03949.49457930">
          <a:extLst>
            <a:ext uri="{FF2B5EF4-FFF2-40B4-BE49-F238E27FC236}">
              <a16:creationId xmlns:a16="http://schemas.microsoft.com/office/drawing/2014/main" id="{30BA866B-3136-47EE-9121-7CEB34207C11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1" name="x_Picture 1" descr="Description: cid:image001.png@01D03949.49457930">
          <a:extLst>
            <a:ext uri="{FF2B5EF4-FFF2-40B4-BE49-F238E27FC236}">
              <a16:creationId xmlns:a16="http://schemas.microsoft.com/office/drawing/2014/main" id="{D8682F2C-CC51-4909-B740-1AB6B92AE14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2" name="x_Picture 1" descr="Description: cid:image001.png@01D03949.49457930">
          <a:extLst>
            <a:ext uri="{FF2B5EF4-FFF2-40B4-BE49-F238E27FC236}">
              <a16:creationId xmlns:a16="http://schemas.microsoft.com/office/drawing/2014/main" id="{5CFC2490-F784-4AE9-8012-A48A39A8529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3" name="x_Picture 1" descr="Description: cid:image001.png@01D03949.49457930">
          <a:extLst>
            <a:ext uri="{FF2B5EF4-FFF2-40B4-BE49-F238E27FC236}">
              <a16:creationId xmlns:a16="http://schemas.microsoft.com/office/drawing/2014/main" id="{B0953CB4-DE74-473B-95ED-F24DE6F0EA5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4" name="x_Picture 1" descr="Description: cid:image001.png@01D03949.49457930">
          <a:extLst>
            <a:ext uri="{FF2B5EF4-FFF2-40B4-BE49-F238E27FC236}">
              <a16:creationId xmlns:a16="http://schemas.microsoft.com/office/drawing/2014/main" id="{3873740A-C0F7-4B5E-A7DE-D72C75810CD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5" name="x_Picture 1" descr="Description: cid:image001.png@01D03949.49457930">
          <a:extLst>
            <a:ext uri="{FF2B5EF4-FFF2-40B4-BE49-F238E27FC236}">
              <a16:creationId xmlns:a16="http://schemas.microsoft.com/office/drawing/2014/main" id="{700C6F28-83DB-4208-BACF-3917A386FF8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6" name="x_Picture 1" descr="Description: cid:image001.png@01D03949.49457930">
          <a:extLst>
            <a:ext uri="{FF2B5EF4-FFF2-40B4-BE49-F238E27FC236}">
              <a16:creationId xmlns:a16="http://schemas.microsoft.com/office/drawing/2014/main" id="{40606887-7FB4-40E3-A579-5665C171BB8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7" name="x_Picture 1" descr="Description: cid:image001.png@01D03949.49457930">
          <a:extLst>
            <a:ext uri="{FF2B5EF4-FFF2-40B4-BE49-F238E27FC236}">
              <a16:creationId xmlns:a16="http://schemas.microsoft.com/office/drawing/2014/main" id="{DEDA2FF2-AD90-413C-AEB1-1C8C50EE1951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8" name="x_Picture 1" descr="Description: cid:image001.png@01D03949.49457930">
          <a:extLst>
            <a:ext uri="{FF2B5EF4-FFF2-40B4-BE49-F238E27FC236}">
              <a16:creationId xmlns:a16="http://schemas.microsoft.com/office/drawing/2014/main" id="{3D8589FF-0131-4A1A-9144-C64A5B0E8D9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69" name="x_Picture 1" descr="Description: cid:image001.png@01D03949.49457930">
          <a:extLst>
            <a:ext uri="{FF2B5EF4-FFF2-40B4-BE49-F238E27FC236}">
              <a16:creationId xmlns:a16="http://schemas.microsoft.com/office/drawing/2014/main" id="{D2A2C4B4-1D5C-4F8C-ABD8-C7DC9BCBCD01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0" name="x_Picture 1" descr="Description: cid:image001.png@01D03949.49457930">
          <a:extLst>
            <a:ext uri="{FF2B5EF4-FFF2-40B4-BE49-F238E27FC236}">
              <a16:creationId xmlns:a16="http://schemas.microsoft.com/office/drawing/2014/main" id="{60D44DDA-C213-4EF5-A028-B840A02BF2D1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1" name="x_Picture 1" descr="Description: cid:image001.png@01D03949.49457930">
          <a:extLst>
            <a:ext uri="{FF2B5EF4-FFF2-40B4-BE49-F238E27FC236}">
              <a16:creationId xmlns:a16="http://schemas.microsoft.com/office/drawing/2014/main" id="{B66D610B-8A9C-4444-AF48-E2F6947180A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2" name="x_Picture 1" descr="Description: cid:image001.png@01D03949.49457930">
          <a:extLst>
            <a:ext uri="{FF2B5EF4-FFF2-40B4-BE49-F238E27FC236}">
              <a16:creationId xmlns:a16="http://schemas.microsoft.com/office/drawing/2014/main" id="{E4DD17DB-1C66-4192-952E-DA3EF48B91D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3" name="x_Picture 1" descr="Description: cid:image001.png@01D03949.49457930">
          <a:extLst>
            <a:ext uri="{FF2B5EF4-FFF2-40B4-BE49-F238E27FC236}">
              <a16:creationId xmlns:a16="http://schemas.microsoft.com/office/drawing/2014/main" id="{003D7950-8B0B-49BA-B6C9-EC9D0D6D46A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4" name="x_Picture 1" descr="Description: cid:image001.png@01D03949.49457930">
          <a:extLst>
            <a:ext uri="{FF2B5EF4-FFF2-40B4-BE49-F238E27FC236}">
              <a16:creationId xmlns:a16="http://schemas.microsoft.com/office/drawing/2014/main" id="{2D0EFBBF-EA06-46E0-B12A-5BBC30F9B19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5" name="x_Picture 1" descr="Description: cid:image001.png@01D03949.49457930">
          <a:extLst>
            <a:ext uri="{FF2B5EF4-FFF2-40B4-BE49-F238E27FC236}">
              <a16:creationId xmlns:a16="http://schemas.microsoft.com/office/drawing/2014/main" id="{3C2B162B-7222-4AEB-983E-450355AEAD3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6" name="x_Picture 1" descr="Description: cid:image001.png@01D03949.49457930">
          <a:extLst>
            <a:ext uri="{FF2B5EF4-FFF2-40B4-BE49-F238E27FC236}">
              <a16:creationId xmlns:a16="http://schemas.microsoft.com/office/drawing/2014/main" id="{6EAF29D5-AE8C-43E9-A625-6D3DCE672A5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7" name="x_Picture 1" descr="Description: cid:image001.png@01D03949.49457930">
          <a:extLst>
            <a:ext uri="{FF2B5EF4-FFF2-40B4-BE49-F238E27FC236}">
              <a16:creationId xmlns:a16="http://schemas.microsoft.com/office/drawing/2014/main" id="{6B0EE2F6-9508-4752-9F3D-59CCA0035FA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8" name="x_Picture 1" descr="Description: cid:image001.png@01D03949.49457930">
          <a:extLst>
            <a:ext uri="{FF2B5EF4-FFF2-40B4-BE49-F238E27FC236}">
              <a16:creationId xmlns:a16="http://schemas.microsoft.com/office/drawing/2014/main" id="{7F96C77A-737B-4032-846B-72984A9DE0A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79" name="x_Picture 1" descr="Description: cid:image001.png@01D03949.49457930">
          <a:extLst>
            <a:ext uri="{FF2B5EF4-FFF2-40B4-BE49-F238E27FC236}">
              <a16:creationId xmlns:a16="http://schemas.microsoft.com/office/drawing/2014/main" id="{F92BF9FC-2A5F-4567-A7D5-137A3778290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0" name="x_Picture 1" descr="Description: cid:image001.png@01D03949.49457930">
          <a:extLst>
            <a:ext uri="{FF2B5EF4-FFF2-40B4-BE49-F238E27FC236}">
              <a16:creationId xmlns:a16="http://schemas.microsoft.com/office/drawing/2014/main" id="{B8535B1E-73CB-495C-B6E9-D54B1E8D43E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1" name="x_Picture 1" descr="Description: cid:image001.png@01D03949.49457930">
          <a:extLst>
            <a:ext uri="{FF2B5EF4-FFF2-40B4-BE49-F238E27FC236}">
              <a16:creationId xmlns:a16="http://schemas.microsoft.com/office/drawing/2014/main" id="{6B110316-1A3C-4796-8D84-C352B757FC4D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2" name="x_Picture 1" descr="Description: cid:image001.png@01D03949.49457930">
          <a:extLst>
            <a:ext uri="{FF2B5EF4-FFF2-40B4-BE49-F238E27FC236}">
              <a16:creationId xmlns:a16="http://schemas.microsoft.com/office/drawing/2014/main" id="{F61127DC-614D-41E6-AB4A-0FC77836804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3" name="x_Picture 1" descr="Description: cid:image001.png@01D03949.49457930">
          <a:extLst>
            <a:ext uri="{FF2B5EF4-FFF2-40B4-BE49-F238E27FC236}">
              <a16:creationId xmlns:a16="http://schemas.microsoft.com/office/drawing/2014/main" id="{9DE67E67-B9B6-4516-966E-8430BCC9204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4" name="x_Picture 1" descr="Description: cid:image001.png@01D03949.49457930">
          <a:extLst>
            <a:ext uri="{FF2B5EF4-FFF2-40B4-BE49-F238E27FC236}">
              <a16:creationId xmlns:a16="http://schemas.microsoft.com/office/drawing/2014/main" id="{47631EAA-55BA-4176-9634-6D30409A169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5" name="x_Picture 1" descr="Description: cid:image001.png@01D03949.49457930">
          <a:extLst>
            <a:ext uri="{FF2B5EF4-FFF2-40B4-BE49-F238E27FC236}">
              <a16:creationId xmlns:a16="http://schemas.microsoft.com/office/drawing/2014/main" id="{EF14CEC1-63C0-4DB2-A5F2-9D536E93AB99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6" name="x_Picture 1" descr="Description: cid:image001.png@01D03949.49457930">
          <a:extLst>
            <a:ext uri="{FF2B5EF4-FFF2-40B4-BE49-F238E27FC236}">
              <a16:creationId xmlns:a16="http://schemas.microsoft.com/office/drawing/2014/main" id="{8A5C1221-F005-4872-8C79-551912ABFF4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7" name="x_Picture 1" descr="Description: cid:image001.png@01D03949.49457930">
          <a:extLst>
            <a:ext uri="{FF2B5EF4-FFF2-40B4-BE49-F238E27FC236}">
              <a16:creationId xmlns:a16="http://schemas.microsoft.com/office/drawing/2014/main" id="{5C98B09F-5F9E-4788-ABA1-C2C0D63E1A8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8" name="x_Picture 1" descr="Description: cid:image001.png@01D03949.49457930">
          <a:extLst>
            <a:ext uri="{FF2B5EF4-FFF2-40B4-BE49-F238E27FC236}">
              <a16:creationId xmlns:a16="http://schemas.microsoft.com/office/drawing/2014/main" id="{28574D88-9654-4125-9D68-E82335FB6FD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89" name="x_Picture 1" descr="Description: cid:image001.png@01D03949.49457930">
          <a:extLst>
            <a:ext uri="{FF2B5EF4-FFF2-40B4-BE49-F238E27FC236}">
              <a16:creationId xmlns:a16="http://schemas.microsoft.com/office/drawing/2014/main" id="{B94E017D-9944-4A77-A8E2-F0CCC4C63CC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0" name="x_Picture 1" descr="Description: cid:image001.png@01D03949.49457930">
          <a:extLst>
            <a:ext uri="{FF2B5EF4-FFF2-40B4-BE49-F238E27FC236}">
              <a16:creationId xmlns:a16="http://schemas.microsoft.com/office/drawing/2014/main" id="{CC6E0CC0-4CA7-4C12-93F8-2ED52DF71A0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1" name="x_Picture 1" descr="Description: cid:image001.png@01D03949.49457930">
          <a:extLst>
            <a:ext uri="{FF2B5EF4-FFF2-40B4-BE49-F238E27FC236}">
              <a16:creationId xmlns:a16="http://schemas.microsoft.com/office/drawing/2014/main" id="{EFA06EF4-7A8B-4F4E-9B06-EB98E760258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2" name="x_Picture 1" descr="Description: cid:image001.png@01D03949.49457930">
          <a:extLst>
            <a:ext uri="{FF2B5EF4-FFF2-40B4-BE49-F238E27FC236}">
              <a16:creationId xmlns:a16="http://schemas.microsoft.com/office/drawing/2014/main" id="{E08A4D20-2F5D-4E96-B493-B456A88AC56C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3" name="x_Picture 1" descr="Description: cid:image001.png@01D03949.49457930">
          <a:extLst>
            <a:ext uri="{FF2B5EF4-FFF2-40B4-BE49-F238E27FC236}">
              <a16:creationId xmlns:a16="http://schemas.microsoft.com/office/drawing/2014/main" id="{675BD0D7-6943-43FE-8CEC-6C8DF2C5AC8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4" name="x_Picture 1" descr="Description: cid:image001.png@01D03949.49457930">
          <a:extLst>
            <a:ext uri="{FF2B5EF4-FFF2-40B4-BE49-F238E27FC236}">
              <a16:creationId xmlns:a16="http://schemas.microsoft.com/office/drawing/2014/main" id="{78BE0A88-13E8-47C2-B0AD-DEF7BE3F0A77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5" name="x_Picture 1" descr="Description: cid:image001.png@01D03949.49457930">
          <a:extLst>
            <a:ext uri="{FF2B5EF4-FFF2-40B4-BE49-F238E27FC236}">
              <a16:creationId xmlns:a16="http://schemas.microsoft.com/office/drawing/2014/main" id="{8C4B227B-7ECA-4209-A1F2-FB9797465338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6" name="x_Picture 1" descr="Description: cid:image001.png@01D03949.49457930">
          <a:extLst>
            <a:ext uri="{FF2B5EF4-FFF2-40B4-BE49-F238E27FC236}">
              <a16:creationId xmlns:a16="http://schemas.microsoft.com/office/drawing/2014/main" id="{330D6A47-E0EF-4152-A562-2DE908BC6D7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7" name="x_Picture 1" descr="Description: cid:image001.png@01D03949.49457930">
          <a:extLst>
            <a:ext uri="{FF2B5EF4-FFF2-40B4-BE49-F238E27FC236}">
              <a16:creationId xmlns:a16="http://schemas.microsoft.com/office/drawing/2014/main" id="{CC06423D-FDC8-4A88-821B-E2D31C36F7EF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8" name="x_Picture 1" descr="Description: cid:image001.png@01D03949.49457930">
          <a:extLst>
            <a:ext uri="{FF2B5EF4-FFF2-40B4-BE49-F238E27FC236}">
              <a16:creationId xmlns:a16="http://schemas.microsoft.com/office/drawing/2014/main" id="{2DEE0346-4136-48FD-91C7-F3FEC19B0D34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199" name="x_Picture 1" descr="Description: cid:image001.png@01D03949.49457930">
          <a:extLst>
            <a:ext uri="{FF2B5EF4-FFF2-40B4-BE49-F238E27FC236}">
              <a16:creationId xmlns:a16="http://schemas.microsoft.com/office/drawing/2014/main" id="{B7783220-6314-458B-AB84-3AC8369FD353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0" name="x_Picture 1" descr="Description: cid:image001.png@01D03949.49457930">
          <a:extLst>
            <a:ext uri="{FF2B5EF4-FFF2-40B4-BE49-F238E27FC236}">
              <a16:creationId xmlns:a16="http://schemas.microsoft.com/office/drawing/2014/main" id="{371AC922-22C4-4856-BABA-5959F6EB3FC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1" name="x_Picture 1" descr="Description: cid:image001.png@01D03949.49457930">
          <a:extLst>
            <a:ext uri="{FF2B5EF4-FFF2-40B4-BE49-F238E27FC236}">
              <a16:creationId xmlns:a16="http://schemas.microsoft.com/office/drawing/2014/main" id="{31EA74A6-FAB5-469E-ACE3-0DF2FB25EA46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2" name="x_Picture 1" descr="Description: cid:image001.png@01D03949.49457930">
          <a:extLst>
            <a:ext uri="{FF2B5EF4-FFF2-40B4-BE49-F238E27FC236}">
              <a16:creationId xmlns:a16="http://schemas.microsoft.com/office/drawing/2014/main" id="{B48930F6-C27A-45D6-9C3E-8CBB3F355670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3" name="x_Picture 1" descr="Description: cid:image001.png@01D03949.49457930">
          <a:extLst>
            <a:ext uri="{FF2B5EF4-FFF2-40B4-BE49-F238E27FC236}">
              <a16:creationId xmlns:a16="http://schemas.microsoft.com/office/drawing/2014/main" id="{ABEA0F06-FF73-4422-979A-D998D8E3D60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4" name="x_Picture 1" descr="Description: cid:image001.png@01D03949.49457930">
          <a:extLst>
            <a:ext uri="{FF2B5EF4-FFF2-40B4-BE49-F238E27FC236}">
              <a16:creationId xmlns:a16="http://schemas.microsoft.com/office/drawing/2014/main" id="{7EDEB102-FB00-4B7D-91E0-EF23F870B76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5" name="x_Picture 1" descr="Description: cid:image001.png@01D03949.49457930">
          <a:extLst>
            <a:ext uri="{FF2B5EF4-FFF2-40B4-BE49-F238E27FC236}">
              <a16:creationId xmlns:a16="http://schemas.microsoft.com/office/drawing/2014/main" id="{AD498EC1-920A-4F8B-AD52-36CB9913FC52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6" name="x_Picture 1" descr="Description: cid:image001.png@01D03949.49457930">
          <a:extLst>
            <a:ext uri="{FF2B5EF4-FFF2-40B4-BE49-F238E27FC236}">
              <a16:creationId xmlns:a16="http://schemas.microsoft.com/office/drawing/2014/main" id="{C0648852-C154-4292-BFD0-911E3434C7C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7" name="x_Picture 1" descr="Description: cid:image001.png@01D03949.49457930">
          <a:extLst>
            <a:ext uri="{FF2B5EF4-FFF2-40B4-BE49-F238E27FC236}">
              <a16:creationId xmlns:a16="http://schemas.microsoft.com/office/drawing/2014/main" id="{0F2B813E-145A-4E30-824A-7448B2A1162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8" name="x_Picture 1" descr="Description: cid:image001.png@01D03949.49457930">
          <a:extLst>
            <a:ext uri="{FF2B5EF4-FFF2-40B4-BE49-F238E27FC236}">
              <a16:creationId xmlns:a16="http://schemas.microsoft.com/office/drawing/2014/main" id="{D4E2879E-AD0C-4F40-B58A-5F037A37554E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09" name="x_Picture 1" descr="Description: cid:image001.png@01D03949.49457930">
          <a:extLst>
            <a:ext uri="{FF2B5EF4-FFF2-40B4-BE49-F238E27FC236}">
              <a16:creationId xmlns:a16="http://schemas.microsoft.com/office/drawing/2014/main" id="{AE61E178-3B64-4552-8EBA-19F61C69F20A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463286</xdr:colOff>
      <xdr:row>370</xdr:row>
      <xdr:rowOff>0</xdr:rowOff>
    </xdr:from>
    <xdr:ext cx="279605" cy="315045"/>
    <xdr:sp macro="" textlink="">
      <xdr:nvSpPr>
        <xdr:cNvPr id="210" name="x_Picture 1" descr="Description: cid:image001.png@01D03949.49457930">
          <a:extLst>
            <a:ext uri="{FF2B5EF4-FFF2-40B4-BE49-F238E27FC236}">
              <a16:creationId xmlns:a16="http://schemas.microsoft.com/office/drawing/2014/main" id="{BFB6082E-F1B6-4089-88D4-F280C46FD91F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0237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2" name="x_Picture 1" descr="Description: cid:image001.png@01D03949.49457930">
          <a:extLst>
            <a:ext uri="{FF2B5EF4-FFF2-40B4-BE49-F238E27FC236}">
              <a16:creationId xmlns:a16="http://schemas.microsoft.com/office/drawing/2014/main" id="{65BD7DA7-5AFF-4F6C-BF9C-DE6F4A2A4CBB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11516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3" name="x_Picture 1" descr="Description: cid:image001.png@01D03949.49457930">
          <a:extLst>
            <a:ext uri="{FF2B5EF4-FFF2-40B4-BE49-F238E27FC236}">
              <a16:creationId xmlns:a16="http://schemas.microsoft.com/office/drawing/2014/main" id="{564647A4-ACC7-4D34-9073-686F879E3C95}"/>
            </a:ext>
          </a:extLst>
        </xdr:cNvPr>
        <xdr:cNvSpPr>
          <a:spLocks noChangeAspect="1" noChangeArrowheads="1"/>
        </xdr:cNvSpPr>
      </xdr:nvSpPr>
      <xdr:spPr bwMode="auto">
        <a:xfrm>
          <a:off x="463286" y="1216088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4" name="x_Picture 1" descr="Description: cid:image001.png@01D03949.49457930">
          <a:extLst>
            <a:ext uri="{FF2B5EF4-FFF2-40B4-BE49-F238E27FC236}">
              <a16:creationId xmlns:a16="http://schemas.microsoft.com/office/drawing/2014/main" id="{018E003A-B847-4FB5-9523-972F07A326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5" name="x_Picture 1" descr="Description: cid:image001.png@01D03949.49457930">
          <a:extLst>
            <a:ext uri="{FF2B5EF4-FFF2-40B4-BE49-F238E27FC236}">
              <a16:creationId xmlns:a16="http://schemas.microsoft.com/office/drawing/2014/main" id="{7591FDCD-D0CD-4F14-A060-1B6BDDA5A4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6" name="x_Picture 1" descr="Description: cid:image001.png@01D03949.49457930">
          <a:extLst>
            <a:ext uri="{FF2B5EF4-FFF2-40B4-BE49-F238E27FC236}">
              <a16:creationId xmlns:a16="http://schemas.microsoft.com/office/drawing/2014/main" id="{4A068928-2572-4E44-8792-5AD4C1C9B4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7" name="x_Picture 1" descr="Description: cid:image001.png@01D03949.49457930">
          <a:extLst>
            <a:ext uri="{FF2B5EF4-FFF2-40B4-BE49-F238E27FC236}">
              <a16:creationId xmlns:a16="http://schemas.microsoft.com/office/drawing/2014/main" id="{D780F3F3-27FB-4157-ACAB-DD9EAE5533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8" name="x_Picture 1" descr="Description: cid:image001.png@01D03949.49457930">
          <a:extLst>
            <a:ext uri="{FF2B5EF4-FFF2-40B4-BE49-F238E27FC236}">
              <a16:creationId xmlns:a16="http://schemas.microsoft.com/office/drawing/2014/main" id="{E1062CE1-7202-4DC5-9DBB-3C611CC8D4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" name="x_Picture 1" descr="Description: cid:image001.png@01D03949.49457930">
          <a:extLst>
            <a:ext uri="{FF2B5EF4-FFF2-40B4-BE49-F238E27FC236}">
              <a16:creationId xmlns:a16="http://schemas.microsoft.com/office/drawing/2014/main" id="{456B349E-E38A-4C16-B84E-F0A88689DA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" name="x_Picture 1" descr="Description: cid:image001.png@01D03949.49457930">
          <a:extLst>
            <a:ext uri="{FF2B5EF4-FFF2-40B4-BE49-F238E27FC236}">
              <a16:creationId xmlns:a16="http://schemas.microsoft.com/office/drawing/2014/main" id="{95FA8AD8-E9EE-4B74-BF37-0AD17F3E8C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" name="x_Picture 1" descr="Description: cid:image001.png@01D03949.49457930">
          <a:extLst>
            <a:ext uri="{FF2B5EF4-FFF2-40B4-BE49-F238E27FC236}">
              <a16:creationId xmlns:a16="http://schemas.microsoft.com/office/drawing/2014/main" id="{37B2B29D-FEF3-4DE7-9673-59658E1606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" name="x_Picture 1" descr="Description: cid:image001.png@01D03949.49457930">
          <a:extLst>
            <a:ext uri="{FF2B5EF4-FFF2-40B4-BE49-F238E27FC236}">
              <a16:creationId xmlns:a16="http://schemas.microsoft.com/office/drawing/2014/main" id="{7EDB3820-65DA-4096-AC5C-D809160879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" name="x_Picture 1" descr="Description: cid:image001.png@01D03949.49457930">
          <a:extLst>
            <a:ext uri="{FF2B5EF4-FFF2-40B4-BE49-F238E27FC236}">
              <a16:creationId xmlns:a16="http://schemas.microsoft.com/office/drawing/2014/main" id="{2A6E5D96-6922-431B-A98F-C448A9B4FF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" name="x_Picture 1" descr="Description: cid:image001.png@01D03949.49457930">
          <a:extLst>
            <a:ext uri="{FF2B5EF4-FFF2-40B4-BE49-F238E27FC236}">
              <a16:creationId xmlns:a16="http://schemas.microsoft.com/office/drawing/2014/main" id="{CE47352D-BC16-4527-B763-27309D594E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" name="x_Picture 1" descr="Description: cid:image001.png@01D03949.49457930">
          <a:extLst>
            <a:ext uri="{FF2B5EF4-FFF2-40B4-BE49-F238E27FC236}">
              <a16:creationId xmlns:a16="http://schemas.microsoft.com/office/drawing/2014/main" id="{741D5787-B99A-4ADD-9C04-24E2685D3C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" name="x_Picture 1" descr="Description: cid:image001.png@01D03949.49457930">
          <a:extLst>
            <a:ext uri="{FF2B5EF4-FFF2-40B4-BE49-F238E27FC236}">
              <a16:creationId xmlns:a16="http://schemas.microsoft.com/office/drawing/2014/main" id="{36A21188-F2A5-4EE3-B430-AC934378FE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7" name="x_Picture 1" descr="Description: cid:image001.png@01D03949.49457930">
          <a:extLst>
            <a:ext uri="{FF2B5EF4-FFF2-40B4-BE49-F238E27FC236}">
              <a16:creationId xmlns:a16="http://schemas.microsoft.com/office/drawing/2014/main" id="{93275372-A3E4-48A2-BD6C-25DEDF2FB2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8" name="x_Picture 1" descr="Description: cid:image001.png@01D03949.49457930">
          <a:extLst>
            <a:ext uri="{FF2B5EF4-FFF2-40B4-BE49-F238E27FC236}">
              <a16:creationId xmlns:a16="http://schemas.microsoft.com/office/drawing/2014/main" id="{62FF8002-7992-45A3-BBA4-ABF3DAC692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9" name="x_Picture 1" descr="Description: cid:image001.png@01D03949.49457930">
          <a:extLst>
            <a:ext uri="{FF2B5EF4-FFF2-40B4-BE49-F238E27FC236}">
              <a16:creationId xmlns:a16="http://schemas.microsoft.com/office/drawing/2014/main" id="{E2EF62FD-E85B-41F0-BA23-FCC7BD37DF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20" name="x_Picture 1" descr="Description: cid:image001.png@01D03949.49457930">
          <a:extLst>
            <a:ext uri="{FF2B5EF4-FFF2-40B4-BE49-F238E27FC236}">
              <a16:creationId xmlns:a16="http://schemas.microsoft.com/office/drawing/2014/main" id="{9ADD2A8C-2091-4EE2-835F-7E54548240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21" name="x_Picture 1" descr="Description: cid:image001.png@01D03949.49457930">
          <a:extLst>
            <a:ext uri="{FF2B5EF4-FFF2-40B4-BE49-F238E27FC236}">
              <a16:creationId xmlns:a16="http://schemas.microsoft.com/office/drawing/2014/main" id="{591FFAF2-1D83-4933-9311-22897E5434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22" name="x_Picture 1" descr="Description: cid:image001.png@01D03949.49457930">
          <a:extLst>
            <a:ext uri="{FF2B5EF4-FFF2-40B4-BE49-F238E27FC236}">
              <a16:creationId xmlns:a16="http://schemas.microsoft.com/office/drawing/2014/main" id="{F917D1EB-F0EF-4C92-AC34-F580FB0880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23" name="x_Picture 1" descr="Description: cid:image001.png@01D03949.49457930">
          <a:extLst>
            <a:ext uri="{FF2B5EF4-FFF2-40B4-BE49-F238E27FC236}">
              <a16:creationId xmlns:a16="http://schemas.microsoft.com/office/drawing/2014/main" id="{82D6BA84-4D0E-4186-9793-8856CD4B85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24" name="x_Picture 1" descr="Description: cid:image001.png@01D03949.49457930">
          <a:extLst>
            <a:ext uri="{FF2B5EF4-FFF2-40B4-BE49-F238E27FC236}">
              <a16:creationId xmlns:a16="http://schemas.microsoft.com/office/drawing/2014/main" id="{AF4097B4-2BE4-4443-B057-92B409B04D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25" name="x_Picture 1" descr="Description: cid:image001.png@01D03949.49457930">
          <a:extLst>
            <a:ext uri="{FF2B5EF4-FFF2-40B4-BE49-F238E27FC236}">
              <a16:creationId xmlns:a16="http://schemas.microsoft.com/office/drawing/2014/main" id="{DC377B58-2511-48B9-8970-82E5E69145F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26" name="x_Picture 1" descr="Description: cid:image001.png@01D03949.49457930">
          <a:extLst>
            <a:ext uri="{FF2B5EF4-FFF2-40B4-BE49-F238E27FC236}">
              <a16:creationId xmlns:a16="http://schemas.microsoft.com/office/drawing/2014/main" id="{D8AC0F95-8054-42C6-875F-672B0ACDFC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27" name="x_Picture 1" descr="Description: cid:image001.png@01D03949.49457930">
          <a:extLst>
            <a:ext uri="{FF2B5EF4-FFF2-40B4-BE49-F238E27FC236}">
              <a16:creationId xmlns:a16="http://schemas.microsoft.com/office/drawing/2014/main" id="{71525F3D-DB75-4BAD-9DF1-A77F8B4C943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28" name="x_Picture 1" descr="Description: cid:image001.png@01D03949.49457930">
          <a:extLst>
            <a:ext uri="{FF2B5EF4-FFF2-40B4-BE49-F238E27FC236}">
              <a16:creationId xmlns:a16="http://schemas.microsoft.com/office/drawing/2014/main" id="{BB74E266-D209-43A4-8E2D-233AFF1A12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29" name="x_Picture 1" descr="Description: cid:image001.png@01D03949.49457930">
          <a:extLst>
            <a:ext uri="{FF2B5EF4-FFF2-40B4-BE49-F238E27FC236}">
              <a16:creationId xmlns:a16="http://schemas.microsoft.com/office/drawing/2014/main" id="{95518311-B39A-4284-9A7A-1FC0A9A6C5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30" name="x_Picture 1" descr="Description: cid:image001.png@01D03949.49457930">
          <a:extLst>
            <a:ext uri="{FF2B5EF4-FFF2-40B4-BE49-F238E27FC236}">
              <a16:creationId xmlns:a16="http://schemas.microsoft.com/office/drawing/2014/main" id="{0A287963-BF77-4C51-B4A8-F55BF2819F3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31" name="x_Picture 1" descr="Description: cid:image001.png@01D03949.49457930">
          <a:extLst>
            <a:ext uri="{FF2B5EF4-FFF2-40B4-BE49-F238E27FC236}">
              <a16:creationId xmlns:a16="http://schemas.microsoft.com/office/drawing/2014/main" id="{7B4A0B95-F092-4625-BD59-AAB95B1969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32" name="x_Picture 1" descr="Description: cid:image001.png@01D03949.49457930">
          <a:extLst>
            <a:ext uri="{FF2B5EF4-FFF2-40B4-BE49-F238E27FC236}">
              <a16:creationId xmlns:a16="http://schemas.microsoft.com/office/drawing/2014/main" id="{FE59C20D-2857-492D-A069-29BBA2BD8F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33" name="x_Picture 1" descr="Description: cid:image001.png@01D03949.49457930">
          <a:extLst>
            <a:ext uri="{FF2B5EF4-FFF2-40B4-BE49-F238E27FC236}">
              <a16:creationId xmlns:a16="http://schemas.microsoft.com/office/drawing/2014/main" id="{5547815F-C350-44D0-AA1C-D58C3E52C5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34" name="x_Picture 1" descr="Description: cid:image001.png@01D03949.49457930">
          <a:extLst>
            <a:ext uri="{FF2B5EF4-FFF2-40B4-BE49-F238E27FC236}">
              <a16:creationId xmlns:a16="http://schemas.microsoft.com/office/drawing/2014/main" id="{2C9C23EB-0064-4749-86BC-1027B9F686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35" name="x_Picture 1" descr="Description: cid:image001.png@01D03949.49457930">
          <a:extLst>
            <a:ext uri="{FF2B5EF4-FFF2-40B4-BE49-F238E27FC236}">
              <a16:creationId xmlns:a16="http://schemas.microsoft.com/office/drawing/2014/main" id="{60050890-40C4-44B0-8AA3-FB7E702DAF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36" name="x_Picture 1" descr="Description: cid:image001.png@01D03949.49457930">
          <a:extLst>
            <a:ext uri="{FF2B5EF4-FFF2-40B4-BE49-F238E27FC236}">
              <a16:creationId xmlns:a16="http://schemas.microsoft.com/office/drawing/2014/main" id="{57CA534A-5BFC-4393-B936-640F215E39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37" name="x_Picture 1" descr="Description: cid:image001.png@01D03949.49457930">
          <a:extLst>
            <a:ext uri="{FF2B5EF4-FFF2-40B4-BE49-F238E27FC236}">
              <a16:creationId xmlns:a16="http://schemas.microsoft.com/office/drawing/2014/main" id="{C73B60F0-2E02-4DD1-BC3D-9E124ECE2B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38" name="x_Picture 1" descr="Description: cid:image001.png@01D03949.49457930">
          <a:extLst>
            <a:ext uri="{FF2B5EF4-FFF2-40B4-BE49-F238E27FC236}">
              <a16:creationId xmlns:a16="http://schemas.microsoft.com/office/drawing/2014/main" id="{BFC653FC-9BFB-4D73-AADD-D24663DB16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39" name="x_Picture 1" descr="Description: cid:image001.png@01D03949.49457930">
          <a:extLst>
            <a:ext uri="{FF2B5EF4-FFF2-40B4-BE49-F238E27FC236}">
              <a16:creationId xmlns:a16="http://schemas.microsoft.com/office/drawing/2014/main" id="{0A99E948-94AF-43BA-98B7-DB032DC753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40" name="x_Picture 1" descr="Description: cid:image001.png@01D03949.49457930">
          <a:extLst>
            <a:ext uri="{FF2B5EF4-FFF2-40B4-BE49-F238E27FC236}">
              <a16:creationId xmlns:a16="http://schemas.microsoft.com/office/drawing/2014/main" id="{9E747FE0-3FCC-48F1-A0A5-F016BBB518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41" name="x_Picture 1" descr="Description: cid:image001.png@01D03949.49457930">
          <a:extLst>
            <a:ext uri="{FF2B5EF4-FFF2-40B4-BE49-F238E27FC236}">
              <a16:creationId xmlns:a16="http://schemas.microsoft.com/office/drawing/2014/main" id="{583F5FB4-E265-4C0E-9F26-BBB371092BB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42" name="x_Picture 1" descr="Description: cid:image001.png@01D03949.49457930">
          <a:extLst>
            <a:ext uri="{FF2B5EF4-FFF2-40B4-BE49-F238E27FC236}">
              <a16:creationId xmlns:a16="http://schemas.microsoft.com/office/drawing/2014/main" id="{2547DC9A-758F-49EF-8DE2-7459ADB5E8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43" name="x_Picture 1" descr="Description: cid:image001.png@01D03949.49457930">
          <a:extLst>
            <a:ext uri="{FF2B5EF4-FFF2-40B4-BE49-F238E27FC236}">
              <a16:creationId xmlns:a16="http://schemas.microsoft.com/office/drawing/2014/main" id="{EB7546FC-FA5B-4AC8-AED4-04952F7052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44" name="x_Picture 1" descr="Description: cid:image001.png@01D03949.49457930">
          <a:extLst>
            <a:ext uri="{FF2B5EF4-FFF2-40B4-BE49-F238E27FC236}">
              <a16:creationId xmlns:a16="http://schemas.microsoft.com/office/drawing/2014/main" id="{6A9ACFA7-4A49-40A6-AEF4-A9FF5497DC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45" name="x_Picture 1" descr="Description: cid:image001.png@01D03949.49457930">
          <a:extLst>
            <a:ext uri="{FF2B5EF4-FFF2-40B4-BE49-F238E27FC236}">
              <a16:creationId xmlns:a16="http://schemas.microsoft.com/office/drawing/2014/main" id="{E98B1D1C-397E-492E-AB85-C49E367D71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46" name="x_Picture 1" descr="Description: cid:image001.png@01D03949.49457930">
          <a:extLst>
            <a:ext uri="{FF2B5EF4-FFF2-40B4-BE49-F238E27FC236}">
              <a16:creationId xmlns:a16="http://schemas.microsoft.com/office/drawing/2014/main" id="{2CF410AC-6818-4D7D-88B4-24A11A3E09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47" name="x_Picture 1" descr="Description: cid:image001.png@01D03949.49457930">
          <a:extLst>
            <a:ext uri="{FF2B5EF4-FFF2-40B4-BE49-F238E27FC236}">
              <a16:creationId xmlns:a16="http://schemas.microsoft.com/office/drawing/2014/main" id="{77D5AE72-18E2-496D-B4A2-188D1E2466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48" name="x_Picture 1" descr="Description: cid:image001.png@01D03949.49457930">
          <a:extLst>
            <a:ext uri="{FF2B5EF4-FFF2-40B4-BE49-F238E27FC236}">
              <a16:creationId xmlns:a16="http://schemas.microsoft.com/office/drawing/2014/main" id="{92B10732-016F-4B3F-9EB6-1362769D91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49" name="x_Picture 1" descr="Description: cid:image001.png@01D03949.49457930">
          <a:extLst>
            <a:ext uri="{FF2B5EF4-FFF2-40B4-BE49-F238E27FC236}">
              <a16:creationId xmlns:a16="http://schemas.microsoft.com/office/drawing/2014/main" id="{5F62B577-1DD8-418F-8BF8-C31DEE81AC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50" name="x_Picture 1" descr="Description: cid:image001.png@01D03949.49457930">
          <a:extLst>
            <a:ext uri="{FF2B5EF4-FFF2-40B4-BE49-F238E27FC236}">
              <a16:creationId xmlns:a16="http://schemas.microsoft.com/office/drawing/2014/main" id="{8F3B276D-2791-4FFF-AEE9-41846872DC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51" name="x_Picture 1" descr="Description: cid:image001.png@01D03949.49457930">
          <a:extLst>
            <a:ext uri="{FF2B5EF4-FFF2-40B4-BE49-F238E27FC236}">
              <a16:creationId xmlns:a16="http://schemas.microsoft.com/office/drawing/2014/main" id="{B2D53A35-F90E-4216-8EFB-C85ED8E8F5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52" name="x_Picture 1" descr="Description: cid:image001.png@01D03949.49457930">
          <a:extLst>
            <a:ext uri="{FF2B5EF4-FFF2-40B4-BE49-F238E27FC236}">
              <a16:creationId xmlns:a16="http://schemas.microsoft.com/office/drawing/2014/main" id="{D832E3F7-964D-43C4-BA2D-CBE1507C8B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53" name="x_Picture 1" descr="Description: cid:image001.png@01D03949.49457930">
          <a:extLst>
            <a:ext uri="{FF2B5EF4-FFF2-40B4-BE49-F238E27FC236}">
              <a16:creationId xmlns:a16="http://schemas.microsoft.com/office/drawing/2014/main" id="{C45CE291-C017-46CE-A3D2-0A6C392A7C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54" name="x_Picture 1" descr="Description: cid:image001.png@01D03949.49457930">
          <a:extLst>
            <a:ext uri="{FF2B5EF4-FFF2-40B4-BE49-F238E27FC236}">
              <a16:creationId xmlns:a16="http://schemas.microsoft.com/office/drawing/2014/main" id="{EC191AE3-3C14-461D-BA00-AE5F411BEF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55" name="x_Picture 1" descr="Description: cid:image001.png@01D03949.49457930">
          <a:extLst>
            <a:ext uri="{FF2B5EF4-FFF2-40B4-BE49-F238E27FC236}">
              <a16:creationId xmlns:a16="http://schemas.microsoft.com/office/drawing/2014/main" id="{D89B22CF-B3B8-4846-8CA9-F4DBF5255D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56" name="x_Picture 1" descr="Description: cid:image001.png@01D03949.49457930">
          <a:extLst>
            <a:ext uri="{FF2B5EF4-FFF2-40B4-BE49-F238E27FC236}">
              <a16:creationId xmlns:a16="http://schemas.microsoft.com/office/drawing/2014/main" id="{9C7A35E7-49BC-48C8-92FA-D2CEC7E1BA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57" name="x_Picture 1" descr="Description: cid:image001.png@01D03949.49457930">
          <a:extLst>
            <a:ext uri="{FF2B5EF4-FFF2-40B4-BE49-F238E27FC236}">
              <a16:creationId xmlns:a16="http://schemas.microsoft.com/office/drawing/2014/main" id="{BEBF05AE-3C04-4513-A840-98C726706C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58" name="x_Picture 1" descr="Description: cid:image001.png@01D03949.49457930">
          <a:extLst>
            <a:ext uri="{FF2B5EF4-FFF2-40B4-BE49-F238E27FC236}">
              <a16:creationId xmlns:a16="http://schemas.microsoft.com/office/drawing/2014/main" id="{0746748D-46EC-47AC-A51F-35461929F3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59" name="x_Picture 1" descr="Description: cid:image001.png@01D03949.49457930">
          <a:extLst>
            <a:ext uri="{FF2B5EF4-FFF2-40B4-BE49-F238E27FC236}">
              <a16:creationId xmlns:a16="http://schemas.microsoft.com/office/drawing/2014/main" id="{3DFBED7B-4947-4987-ADE6-5A829DB2A3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0" name="x_Picture 1" descr="Description: cid:image001.png@01D03949.49457930">
          <a:extLst>
            <a:ext uri="{FF2B5EF4-FFF2-40B4-BE49-F238E27FC236}">
              <a16:creationId xmlns:a16="http://schemas.microsoft.com/office/drawing/2014/main" id="{B19729BA-2C8F-44C2-9937-CF1B6C9663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1" name="x_Picture 1" descr="Description: cid:image001.png@01D03949.49457930">
          <a:extLst>
            <a:ext uri="{FF2B5EF4-FFF2-40B4-BE49-F238E27FC236}">
              <a16:creationId xmlns:a16="http://schemas.microsoft.com/office/drawing/2014/main" id="{174F5953-EB1A-42AE-9F13-EDF02F736A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2" name="x_Picture 1" descr="Description: cid:image001.png@01D03949.49457930">
          <a:extLst>
            <a:ext uri="{FF2B5EF4-FFF2-40B4-BE49-F238E27FC236}">
              <a16:creationId xmlns:a16="http://schemas.microsoft.com/office/drawing/2014/main" id="{F8EC75F8-8C85-4ACC-AABF-01FA042DC2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3" name="x_Picture 1" descr="Description: cid:image001.png@01D03949.49457930">
          <a:extLst>
            <a:ext uri="{FF2B5EF4-FFF2-40B4-BE49-F238E27FC236}">
              <a16:creationId xmlns:a16="http://schemas.microsoft.com/office/drawing/2014/main" id="{736F558D-8F98-468C-908F-F742D19C4F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4" name="x_Picture 1" descr="Description: cid:image001.png@01D03949.49457930">
          <a:extLst>
            <a:ext uri="{FF2B5EF4-FFF2-40B4-BE49-F238E27FC236}">
              <a16:creationId xmlns:a16="http://schemas.microsoft.com/office/drawing/2014/main" id="{07489529-0B6B-4D25-B7B3-4AC8F5A2C6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5" name="x_Picture 1" descr="Description: cid:image001.png@01D03949.49457930">
          <a:extLst>
            <a:ext uri="{FF2B5EF4-FFF2-40B4-BE49-F238E27FC236}">
              <a16:creationId xmlns:a16="http://schemas.microsoft.com/office/drawing/2014/main" id="{B9A373D5-DED2-4C63-91E9-F55214B4A5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6" name="x_Picture 1" descr="Description: cid:image001.png@01D03949.49457930">
          <a:extLst>
            <a:ext uri="{FF2B5EF4-FFF2-40B4-BE49-F238E27FC236}">
              <a16:creationId xmlns:a16="http://schemas.microsoft.com/office/drawing/2014/main" id="{A5451603-EB57-4289-9A44-F55A950393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7" name="x_Picture 1" descr="Description: cid:image001.png@01D03949.49457930">
          <a:extLst>
            <a:ext uri="{FF2B5EF4-FFF2-40B4-BE49-F238E27FC236}">
              <a16:creationId xmlns:a16="http://schemas.microsoft.com/office/drawing/2014/main" id="{C4920375-C82D-4FE4-96E2-7FE8212A059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8" name="x_Picture 1" descr="Description: cid:image001.png@01D03949.49457930">
          <a:extLst>
            <a:ext uri="{FF2B5EF4-FFF2-40B4-BE49-F238E27FC236}">
              <a16:creationId xmlns:a16="http://schemas.microsoft.com/office/drawing/2014/main" id="{38DEED38-60BD-4B45-8394-3FF01C75DF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69" name="x_Picture 1" descr="Description: cid:image001.png@01D03949.49457930">
          <a:extLst>
            <a:ext uri="{FF2B5EF4-FFF2-40B4-BE49-F238E27FC236}">
              <a16:creationId xmlns:a16="http://schemas.microsoft.com/office/drawing/2014/main" id="{13702A8F-777F-41B8-BEA7-C816C2B38C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0" name="x_Picture 1" descr="Description: cid:image001.png@01D03949.49457930">
          <a:extLst>
            <a:ext uri="{FF2B5EF4-FFF2-40B4-BE49-F238E27FC236}">
              <a16:creationId xmlns:a16="http://schemas.microsoft.com/office/drawing/2014/main" id="{B5EB326B-3E65-4BF7-B5C7-2A25FDEE08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1" name="x_Picture 1" descr="Description: cid:image001.png@01D03949.49457930">
          <a:extLst>
            <a:ext uri="{FF2B5EF4-FFF2-40B4-BE49-F238E27FC236}">
              <a16:creationId xmlns:a16="http://schemas.microsoft.com/office/drawing/2014/main" id="{4FB52B35-4544-4AAA-860D-A36B2447ECA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2" name="x_Picture 1" descr="Description: cid:image001.png@01D03949.49457930">
          <a:extLst>
            <a:ext uri="{FF2B5EF4-FFF2-40B4-BE49-F238E27FC236}">
              <a16:creationId xmlns:a16="http://schemas.microsoft.com/office/drawing/2014/main" id="{F92D12FC-DCC1-4805-9AF4-4977572BF9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3" name="x_Picture 1" descr="Description: cid:image001.png@01D03949.49457930">
          <a:extLst>
            <a:ext uri="{FF2B5EF4-FFF2-40B4-BE49-F238E27FC236}">
              <a16:creationId xmlns:a16="http://schemas.microsoft.com/office/drawing/2014/main" id="{B42C147D-3A80-4940-AE28-5B5B75BB6E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4" name="x_Picture 1" descr="Description: cid:image001.png@01D03949.49457930">
          <a:extLst>
            <a:ext uri="{FF2B5EF4-FFF2-40B4-BE49-F238E27FC236}">
              <a16:creationId xmlns:a16="http://schemas.microsoft.com/office/drawing/2014/main" id="{DD4F1046-C921-47B4-8414-16CFF7DCA9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5" name="x_Picture 1" descr="Description: cid:image001.png@01D03949.49457930">
          <a:extLst>
            <a:ext uri="{FF2B5EF4-FFF2-40B4-BE49-F238E27FC236}">
              <a16:creationId xmlns:a16="http://schemas.microsoft.com/office/drawing/2014/main" id="{49DA567F-D85D-4FA6-9177-60E32C88C0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6" name="x_Picture 1" descr="Description: cid:image001.png@01D03949.49457930">
          <a:extLst>
            <a:ext uri="{FF2B5EF4-FFF2-40B4-BE49-F238E27FC236}">
              <a16:creationId xmlns:a16="http://schemas.microsoft.com/office/drawing/2014/main" id="{73CED379-CB94-46AE-BD0B-4A69256E11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7" name="x_Picture 1" descr="Description: cid:image001.png@01D03949.49457930">
          <a:extLst>
            <a:ext uri="{FF2B5EF4-FFF2-40B4-BE49-F238E27FC236}">
              <a16:creationId xmlns:a16="http://schemas.microsoft.com/office/drawing/2014/main" id="{33A0139C-962C-4330-81F6-CE29D12C2C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8" name="x_Picture 1" descr="Description: cid:image001.png@01D03949.49457930">
          <a:extLst>
            <a:ext uri="{FF2B5EF4-FFF2-40B4-BE49-F238E27FC236}">
              <a16:creationId xmlns:a16="http://schemas.microsoft.com/office/drawing/2014/main" id="{73C04DAE-F7FA-4470-81BA-0B6EE5075F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79" name="x_Picture 1" descr="Description: cid:image001.png@01D03949.49457930">
          <a:extLst>
            <a:ext uri="{FF2B5EF4-FFF2-40B4-BE49-F238E27FC236}">
              <a16:creationId xmlns:a16="http://schemas.microsoft.com/office/drawing/2014/main" id="{92F5BF71-49FD-4ADC-BB79-C122C10E68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80" name="x_Picture 1" descr="Description: cid:image001.png@01D03949.49457930">
          <a:extLst>
            <a:ext uri="{FF2B5EF4-FFF2-40B4-BE49-F238E27FC236}">
              <a16:creationId xmlns:a16="http://schemas.microsoft.com/office/drawing/2014/main" id="{F9B21633-4CD4-4F65-8145-5BD40610DE5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81" name="x_Picture 1" descr="Description: cid:image001.png@01D03949.49457930">
          <a:extLst>
            <a:ext uri="{FF2B5EF4-FFF2-40B4-BE49-F238E27FC236}">
              <a16:creationId xmlns:a16="http://schemas.microsoft.com/office/drawing/2014/main" id="{5BEB876A-AD58-4463-8FFC-A07D0EC77C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82" name="x_Picture 1" descr="Description: cid:image001.png@01D03949.49457930">
          <a:extLst>
            <a:ext uri="{FF2B5EF4-FFF2-40B4-BE49-F238E27FC236}">
              <a16:creationId xmlns:a16="http://schemas.microsoft.com/office/drawing/2014/main" id="{D328A626-44A9-4FE4-A038-C94CA40D2B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83" name="x_Picture 1" descr="Description: cid:image001.png@01D03949.49457930">
          <a:extLst>
            <a:ext uri="{FF2B5EF4-FFF2-40B4-BE49-F238E27FC236}">
              <a16:creationId xmlns:a16="http://schemas.microsoft.com/office/drawing/2014/main" id="{B0020A40-A102-4C8A-B312-A04B850F40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84" name="x_Picture 1" descr="Description: cid:image001.png@01D03949.49457930">
          <a:extLst>
            <a:ext uri="{FF2B5EF4-FFF2-40B4-BE49-F238E27FC236}">
              <a16:creationId xmlns:a16="http://schemas.microsoft.com/office/drawing/2014/main" id="{49AE4124-7D58-4173-ABFA-EDD9E3C093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85" name="x_Picture 1" descr="Description: cid:image001.png@01D03949.49457930">
          <a:extLst>
            <a:ext uri="{FF2B5EF4-FFF2-40B4-BE49-F238E27FC236}">
              <a16:creationId xmlns:a16="http://schemas.microsoft.com/office/drawing/2014/main" id="{22A0187B-0576-42A1-99BA-A04F874E2B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86" name="x_Picture 1" descr="Description: cid:image001.png@01D03949.49457930">
          <a:extLst>
            <a:ext uri="{FF2B5EF4-FFF2-40B4-BE49-F238E27FC236}">
              <a16:creationId xmlns:a16="http://schemas.microsoft.com/office/drawing/2014/main" id="{3096605C-CE60-4717-83AD-1AA426C81D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87" name="x_Picture 1" descr="Description: cid:image001.png@01D03949.49457930">
          <a:extLst>
            <a:ext uri="{FF2B5EF4-FFF2-40B4-BE49-F238E27FC236}">
              <a16:creationId xmlns:a16="http://schemas.microsoft.com/office/drawing/2014/main" id="{E240CA5F-1C87-4606-8A86-337FC528F8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0</xdr:row>
      <xdr:rowOff>0</xdr:rowOff>
    </xdr:from>
    <xdr:ext cx="279605" cy="315045"/>
    <xdr:sp macro="" textlink="">
      <xdr:nvSpPr>
        <xdr:cNvPr id="88" name="x_Picture 1" descr="Description: cid:image001.png@01D03949.49457930">
          <a:extLst>
            <a:ext uri="{FF2B5EF4-FFF2-40B4-BE49-F238E27FC236}">
              <a16:creationId xmlns:a16="http://schemas.microsoft.com/office/drawing/2014/main" id="{ED7616DE-CE33-4302-9587-3376E79D6A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89" name="x_Picture 1" descr="Description: cid:image001.png@01D03949.49457930">
          <a:extLst>
            <a:ext uri="{FF2B5EF4-FFF2-40B4-BE49-F238E27FC236}">
              <a16:creationId xmlns:a16="http://schemas.microsoft.com/office/drawing/2014/main" id="{34216DCA-F546-418A-B0CF-5832D33EB4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0" name="x_Picture 1" descr="Description: cid:image001.png@01D03949.49457930">
          <a:extLst>
            <a:ext uri="{FF2B5EF4-FFF2-40B4-BE49-F238E27FC236}">
              <a16:creationId xmlns:a16="http://schemas.microsoft.com/office/drawing/2014/main" id="{CFF0B603-A1E6-4F68-94C0-F501A934B1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1" name="x_Picture 1" descr="Description: cid:image001.png@01D03949.49457930">
          <a:extLst>
            <a:ext uri="{FF2B5EF4-FFF2-40B4-BE49-F238E27FC236}">
              <a16:creationId xmlns:a16="http://schemas.microsoft.com/office/drawing/2014/main" id="{87701E86-0EBA-4EBB-A2D5-5D64AC79EC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2" name="x_Picture 1" descr="Description: cid:image001.png@01D03949.49457930">
          <a:extLst>
            <a:ext uri="{FF2B5EF4-FFF2-40B4-BE49-F238E27FC236}">
              <a16:creationId xmlns:a16="http://schemas.microsoft.com/office/drawing/2014/main" id="{17B0F65A-0A54-4B13-BC00-6B8BFB6915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3" name="x_Picture 1" descr="Description: cid:image001.png@01D03949.49457930">
          <a:extLst>
            <a:ext uri="{FF2B5EF4-FFF2-40B4-BE49-F238E27FC236}">
              <a16:creationId xmlns:a16="http://schemas.microsoft.com/office/drawing/2014/main" id="{93C689F3-0EEC-471A-82FE-30AC9D73A7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4" name="x_Picture 1" descr="Description: cid:image001.png@01D03949.49457930">
          <a:extLst>
            <a:ext uri="{FF2B5EF4-FFF2-40B4-BE49-F238E27FC236}">
              <a16:creationId xmlns:a16="http://schemas.microsoft.com/office/drawing/2014/main" id="{7CB80CF2-CBEE-47A7-A79D-58F11FFF53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5" name="x_Picture 1" descr="Description: cid:image001.png@01D03949.49457930">
          <a:extLst>
            <a:ext uri="{FF2B5EF4-FFF2-40B4-BE49-F238E27FC236}">
              <a16:creationId xmlns:a16="http://schemas.microsoft.com/office/drawing/2014/main" id="{D9CD778C-19C5-4135-80BA-7B56951681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6" name="x_Picture 1" descr="Description: cid:image001.png@01D03949.49457930">
          <a:extLst>
            <a:ext uri="{FF2B5EF4-FFF2-40B4-BE49-F238E27FC236}">
              <a16:creationId xmlns:a16="http://schemas.microsoft.com/office/drawing/2014/main" id="{1CF9FAA8-D61A-4E45-AA71-CAA131534D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7" name="x_Picture 1" descr="Description: cid:image001.png@01D03949.49457930">
          <a:extLst>
            <a:ext uri="{FF2B5EF4-FFF2-40B4-BE49-F238E27FC236}">
              <a16:creationId xmlns:a16="http://schemas.microsoft.com/office/drawing/2014/main" id="{00957D7C-550F-4568-B13D-8DC68D8588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8" name="x_Picture 1" descr="Description: cid:image001.png@01D03949.49457930">
          <a:extLst>
            <a:ext uri="{FF2B5EF4-FFF2-40B4-BE49-F238E27FC236}">
              <a16:creationId xmlns:a16="http://schemas.microsoft.com/office/drawing/2014/main" id="{9E07CA04-35F1-427C-8E7C-B4F7BD6EBB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99" name="x_Picture 1" descr="Description: cid:image001.png@01D03949.49457930">
          <a:extLst>
            <a:ext uri="{FF2B5EF4-FFF2-40B4-BE49-F238E27FC236}">
              <a16:creationId xmlns:a16="http://schemas.microsoft.com/office/drawing/2014/main" id="{3D5CF59F-2793-4AD0-8744-54210CC42A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0" name="x_Picture 1" descr="Description: cid:image001.png@01D03949.49457930">
          <a:extLst>
            <a:ext uri="{FF2B5EF4-FFF2-40B4-BE49-F238E27FC236}">
              <a16:creationId xmlns:a16="http://schemas.microsoft.com/office/drawing/2014/main" id="{9547662A-8A6C-4877-9E0E-AAE2603293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1" name="x_Picture 1" descr="Description: cid:image001.png@01D03949.49457930">
          <a:extLst>
            <a:ext uri="{FF2B5EF4-FFF2-40B4-BE49-F238E27FC236}">
              <a16:creationId xmlns:a16="http://schemas.microsoft.com/office/drawing/2014/main" id="{80AB5E72-74CF-485B-98FE-7E691109F0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2" name="x_Picture 1" descr="Description: cid:image001.png@01D03949.49457930">
          <a:extLst>
            <a:ext uri="{FF2B5EF4-FFF2-40B4-BE49-F238E27FC236}">
              <a16:creationId xmlns:a16="http://schemas.microsoft.com/office/drawing/2014/main" id="{1F47CECC-DD64-4A3F-8125-4241652333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3" name="x_Picture 1" descr="Description: cid:image001.png@01D03949.49457930">
          <a:extLst>
            <a:ext uri="{FF2B5EF4-FFF2-40B4-BE49-F238E27FC236}">
              <a16:creationId xmlns:a16="http://schemas.microsoft.com/office/drawing/2014/main" id="{006B46F9-C6C7-4F0F-86FF-2DE326125A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4" name="x_Picture 1" descr="Description: cid:image001.png@01D03949.49457930">
          <a:extLst>
            <a:ext uri="{FF2B5EF4-FFF2-40B4-BE49-F238E27FC236}">
              <a16:creationId xmlns:a16="http://schemas.microsoft.com/office/drawing/2014/main" id="{C5699E92-B237-4CDB-94FF-966071C7FE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5" name="x_Picture 1" descr="Description: cid:image001.png@01D03949.49457930">
          <a:extLst>
            <a:ext uri="{FF2B5EF4-FFF2-40B4-BE49-F238E27FC236}">
              <a16:creationId xmlns:a16="http://schemas.microsoft.com/office/drawing/2014/main" id="{A9C5CC9A-2B6E-4454-9C19-0167CE900E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7" name="x_Picture 1" descr="Description: cid:image001.png@01D03949.49457930">
          <a:extLst>
            <a:ext uri="{FF2B5EF4-FFF2-40B4-BE49-F238E27FC236}">
              <a16:creationId xmlns:a16="http://schemas.microsoft.com/office/drawing/2014/main" id="{EE30987D-BF27-4E6D-BECC-C20147C247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8" name="x_Picture 1" descr="Description: cid:image001.png@01D03949.49457930">
          <a:extLst>
            <a:ext uri="{FF2B5EF4-FFF2-40B4-BE49-F238E27FC236}">
              <a16:creationId xmlns:a16="http://schemas.microsoft.com/office/drawing/2014/main" id="{DD6D1605-FF68-4DEA-A91A-1D73FE2965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09" name="x_Picture 1" descr="Description: cid:image001.png@01D03949.49457930">
          <a:extLst>
            <a:ext uri="{FF2B5EF4-FFF2-40B4-BE49-F238E27FC236}">
              <a16:creationId xmlns:a16="http://schemas.microsoft.com/office/drawing/2014/main" id="{C74FF331-BA3A-4789-A8AE-D4C18CE117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0" name="x_Picture 1" descr="Description: cid:image001.png@01D03949.49457930">
          <a:extLst>
            <a:ext uri="{FF2B5EF4-FFF2-40B4-BE49-F238E27FC236}">
              <a16:creationId xmlns:a16="http://schemas.microsoft.com/office/drawing/2014/main" id="{6A6839DD-A74A-49DE-BAA8-CF642C04B1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1" name="x_Picture 1" descr="Description: cid:image001.png@01D03949.49457930">
          <a:extLst>
            <a:ext uri="{FF2B5EF4-FFF2-40B4-BE49-F238E27FC236}">
              <a16:creationId xmlns:a16="http://schemas.microsoft.com/office/drawing/2014/main" id="{E1D6B6EA-8E71-48F6-8F7E-983322BD69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2" name="x_Picture 1" descr="Description: cid:image001.png@01D03949.49457930">
          <a:extLst>
            <a:ext uri="{FF2B5EF4-FFF2-40B4-BE49-F238E27FC236}">
              <a16:creationId xmlns:a16="http://schemas.microsoft.com/office/drawing/2014/main" id="{FC70AAE8-A36A-4932-809F-9FD5F1AE66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3" name="x_Picture 1" descr="Description: cid:image001.png@01D03949.49457930">
          <a:extLst>
            <a:ext uri="{FF2B5EF4-FFF2-40B4-BE49-F238E27FC236}">
              <a16:creationId xmlns:a16="http://schemas.microsoft.com/office/drawing/2014/main" id="{C804E1E8-89D7-4A5E-BF5F-BA673BF10C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4" name="x_Picture 1" descr="Description: cid:image001.png@01D03949.49457930">
          <a:extLst>
            <a:ext uri="{FF2B5EF4-FFF2-40B4-BE49-F238E27FC236}">
              <a16:creationId xmlns:a16="http://schemas.microsoft.com/office/drawing/2014/main" id="{E6D0F9CE-DFF9-4D4C-B9DB-3D6C4E4F52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5" name="x_Picture 1" descr="Description: cid:image001.png@01D03949.49457930">
          <a:extLst>
            <a:ext uri="{FF2B5EF4-FFF2-40B4-BE49-F238E27FC236}">
              <a16:creationId xmlns:a16="http://schemas.microsoft.com/office/drawing/2014/main" id="{EEECFEB8-9978-4163-9A58-14C73EA6F7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6" name="x_Picture 1" descr="Description: cid:image001.png@01D03949.49457930">
          <a:extLst>
            <a:ext uri="{FF2B5EF4-FFF2-40B4-BE49-F238E27FC236}">
              <a16:creationId xmlns:a16="http://schemas.microsoft.com/office/drawing/2014/main" id="{58073AA3-8331-489E-B535-6B53C37E87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7" name="x_Picture 1" descr="Description: cid:image001.png@01D03949.49457930">
          <a:extLst>
            <a:ext uri="{FF2B5EF4-FFF2-40B4-BE49-F238E27FC236}">
              <a16:creationId xmlns:a16="http://schemas.microsoft.com/office/drawing/2014/main" id="{85980D50-9FE1-450D-BCD8-A7B4F72C4C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8" name="x_Picture 1" descr="Description: cid:image001.png@01D03949.49457930">
          <a:extLst>
            <a:ext uri="{FF2B5EF4-FFF2-40B4-BE49-F238E27FC236}">
              <a16:creationId xmlns:a16="http://schemas.microsoft.com/office/drawing/2014/main" id="{A71A1CEA-62F5-4B88-BDCF-0A007F12F6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19" name="x_Picture 1" descr="Description: cid:image001.png@01D03949.49457930">
          <a:extLst>
            <a:ext uri="{FF2B5EF4-FFF2-40B4-BE49-F238E27FC236}">
              <a16:creationId xmlns:a16="http://schemas.microsoft.com/office/drawing/2014/main" id="{5453A467-9DFB-45B4-82F0-3073B46839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0" name="x_Picture 1" descr="Description: cid:image001.png@01D03949.49457930">
          <a:extLst>
            <a:ext uri="{FF2B5EF4-FFF2-40B4-BE49-F238E27FC236}">
              <a16:creationId xmlns:a16="http://schemas.microsoft.com/office/drawing/2014/main" id="{59361883-DAE9-4E02-ACFD-2A4F89B89F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1" name="x_Picture 1" descr="Description: cid:image001.png@01D03949.49457930">
          <a:extLst>
            <a:ext uri="{FF2B5EF4-FFF2-40B4-BE49-F238E27FC236}">
              <a16:creationId xmlns:a16="http://schemas.microsoft.com/office/drawing/2014/main" id="{934814EE-12A8-436A-8C99-E4B87E1C8F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2" name="x_Picture 1" descr="Description: cid:image001.png@01D03949.49457930">
          <a:extLst>
            <a:ext uri="{FF2B5EF4-FFF2-40B4-BE49-F238E27FC236}">
              <a16:creationId xmlns:a16="http://schemas.microsoft.com/office/drawing/2014/main" id="{2D853F87-CBAA-4B56-BEAA-73FFB8FF9C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3" name="x_Picture 1" descr="Description: cid:image001.png@01D03949.49457930">
          <a:extLst>
            <a:ext uri="{FF2B5EF4-FFF2-40B4-BE49-F238E27FC236}">
              <a16:creationId xmlns:a16="http://schemas.microsoft.com/office/drawing/2014/main" id="{3E6BEC39-6BCA-44DF-BFCA-DAD72AF33B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4" name="x_Picture 1" descr="Description: cid:image001.png@01D03949.49457930">
          <a:extLst>
            <a:ext uri="{FF2B5EF4-FFF2-40B4-BE49-F238E27FC236}">
              <a16:creationId xmlns:a16="http://schemas.microsoft.com/office/drawing/2014/main" id="{2C6FB258-54CF-491B-BBBF-63E6AE8A2F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5" name="x_Picture 1" descr="Description: cid:image001.png@01D03949.49457930">
          <a:extLst>
            <a:ext uri="{FF2B5EF4-FFF2-40B4-BE49-F238E27FC236}">
              <a16:creationId xmlns:a16="http://schemas.microsoft.com/office/drawing/2014/main" id="{CF7AC71A-FB47-47FD-8819-14094CD091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6" name="x_Picture 1" descr="Description: cid:image001.png@01D03949.49457930">
          <a:extLst>
            <a:ext uri="{FF2B5EF4-FFF2-40B4-BE49-F238E27FC236}">
              <a16:creationId xmlns:a16="http://schemas.microsoft.com/office/drawing/2014/main" id="{674D1C9D-D444-4F1C-AAE8-077E6A6253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7" name="x_Picture 1" descr="Description: cid:image001.png@01D03949.49457930">
          <a:extLst>
            <a:ext uri="{FF2B5EF4-FFF2-40B4-BE49-F238E27FC236}">
              <a16:creationId xmlns:a16="http://schemas.microsoft.com/office/drawing/2014/main" id="{6C6C3D3A-9D97-4C4A-9F8A-2E8A2C8BAF4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8" name="x_Picture 1" descr="Description: cid:image001.png@01D03949.49457930">
          <a:extLst>
            <a:ext uri="{FF2B5EF4-FFF2-40B4-BE49-F238E27FC236}">
              <a16:creationId xmlns:a16="http://schemas.microsoft.com/office/drawing/2014/main" id="{7B02E10C-A18A-473F-8799-A7F4905034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29" name="x_Picture 1" descr="Description: cid:image001.png@01D03949.49457930">
          <a:extLst>
            <a:ext uri="{FF2B5EF4-FFF2-40B4-BE49-F238E27FC236}">
              <a16:creationId xmlns:a16="http://schemas.microsoft.com/office/drawing/2014/main" id="{4C6FF652-C234-4678-8104-AE5679D25F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0" name="x_Picture 1" descr="Description: cid:image001.png@01D03949.49457930">
          <a:extLst>
            <a:ext uri="{FF2B5EF4-FFF2-40B4-BE49-F238E27FC236}">
              <a16:creationId xmlns:a16="http://schemas.microsoft.com/office/drawing/2014/main" id="{63FF445D-1456-46EF-8802-93B3215F3B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1" name="x_Picture 1" descr="Description: cid:image001.png@01D03949.49457930">
          <a:extLst>
            <a:ext uri="{FF2B5EF4-FFF2-40B4-BE49-F238E27FC236}">
              <a16:creationId xmlns:a16="http://schemas.microsoft.com/office/drawing/2014/main" id="{5738ABC7-F4A6-43E7-A266-DFCCD8F3ED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2" name="x_Picture 1" descr="Description: cid:image001.png@01D03949.49457930">
          <a:extLst>
            <a:ext uri="{FF2B5EF4-FFF2-40B4-BE49-F238E27FC236}">
              <a16:creationId xmlns:a16="http://schemas.microsoft.com/office/drawing/2014/main" id="{C909AD3D-902F-4F17-934D-6868F9D91E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3" name="x_Picture 1" descr="Description: cid:image001.png@01D03949.49457930">
          <a:extLst>
            <a:ext uri="{FF2B5EF4-FFF2-40B4-BE49-F238E27FC236}">
              <a16:creationId xmlns:a16="http://schemas.microsoft.com/office/drawing/2014/main" id="{FFD4841A-BF4C-43A1-A5F1-1B8ED29593A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4" name="x_Picture 1" descr="Description: cid:image001.png@01D03949.49457930">
          <a:extLst>
            <a:ext uri="{FF2B5EF4-FFF2-40B4-BE49-F238E27FC236}">
              <a16:creationId xmlns:a16="http://schemas.microsoft.com/office/drawing/2014/main" id="{982EEF94-7B45-4418-AD0C-92E03F5420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5" name="x_Picture 1" descr="Description: cid:image001.png@01D03949.49457930">
          <a:extLst>
            <a:ext uri="{FF2B5EF4-FFF2-40B4-BE49-F238E27FC236}">
              <a16:creationId xmlns:a16="http://schemas.microsoft.com/office/drawing/2014/main" id="{C95DB71E-F57A-4079-ABB8-FF3B738E49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6" name="x_Picture 1" descr="Description: cid:image001.png@01D03949.49457930">
          <a:extLst>
            <a:ext uri="{FF2B5EF4-FFF2-40B4-BE49-F238E27FC236}">
              <a16:creationId xmlns:a16="http://schemas.microsoft.com/office/drawing/2014/main" id="{688A17E0-BD11-4EE2-8718-68538AE902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" name="x_Picture 1" descr="Description: cid:image001.png@01D03949.49457930">
          <a:extLst>
            <a:ext uri="{FF2B5EF4-FFF2-40B4-BE49-F238E27FC236}">
              <a16:creationId xmlns:a16="http://schemas.microsoft.com/office/drawing/2014/main" id="{5153185E-9407-41D3-8BC9-10787A88EE9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8" name="x_Picture 1" descr="Description: cid:image001.png@01D03949.49457930">
          <a:extLst>
            <a:ext uri="{FF2B5EF4-FFF2-40B4-BE49-F238E27FC236}">
              <a16:creationId xmlns:a16="http://schemas.microsoft.com/office/drawing/2014/main" id="{BADAC2B7-3E9E-4EE1-9D68-AAF972D85E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9" name="x_Picture 1" descr="Description: cid:image001.png@01D03949.49457930">
          <a:extLst>
            <a:ext uri="{FF2B5EF4-FFF2-40B4-BE49-F238E27FC236}">
              <a16:creationId xmlns:a16="http://schemas.microsoft.com/office/drawing/2014/main" id="{7AA4199F-BCD6-4FD3-BD79-D742D23030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0" name="x_Picture 1" descr="Description: cid:image001.png@01D03949.49457930">
          <a:extLst>
            <a:ext uri="{FF2B5EF4-FFF2-40B4-BE49-F238E27FC236}">
              <a16:creationId xmlns:a16="http://schemas.microsoft.com/office/drawing/2014/main" id="{281AA1A3-AABC-4EBF-8A7D-2DA1BDC4D7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1" name="x_Picture 1" descr="Description: cid:image001.png@01D03949.49457930">
          <a:extLst>
            <a:ext uri="{FF2B5EF4-FFF2-40B4-BE49-F238E27FC236}">
              <a16:creationId xmlns:a16="http://schemas.microsoft.com/office/drawing/2014/main" id="{29C2AF5C-E289-4054-A376-0D64E30C39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2" name="x_Picture 1" descr="Description: cid:image001.png@01D03949.49457930">
          <a:extLst>
            <a:ext uri="{FF2B5EF4-FFF2-40B4-BE49-F238E27FC236}">
              <a16:creationId xmlns:a16="http://schemas.microsoft.com/office/drawing/2014/main" id="{7A6D4210-79D3-417C-9761-1BAECB0EAE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3" name="x_Picture 1" descr="Description: cid:image001.png@01D03949.49457930">
          <a:extLst>
            <a:ext uri="{FF2B5EF4-FFF2-40B4-BE49-F238E27FC236}">
              <a16:creationId xmlns:a16="http://schemas.microsoft.com/office/drawing/2014/main" id="{57B7DB4C-44D2-4546-BC56-25D4A72A6E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4" name="x_Picture 1" descr="Description: cid:image001.png@01D03949.49457930">
          <a:extLst>
            <a:ext uri="{FF2B5EF4-FFF2-40B4-BE49-F238E27FC236}">
              <a16:creationId xmlns:a16="http://schemas.microsoft.com/office/drawing/2014/main" id="{C05C87DE-C7FE-4352-BFAE-FDA850C39E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5" name="x_Picture 1" descr="Description: cid:image001.png@01D03949.49457930">
          <a:extLst>
            <a:ext uri="{FF2B5EF4-FFF2-40B4-BE49-F238E27FC236}">
              <a16:creationId xmlns:a16="http://schemas.microsoft.com/office/drawing/2014/main" id="{F785C151-0B7F-4238-9F5C-00B902D032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6" name="x_Picture 1" descr="Description: cid:image001.png@01D03949.49457930">
          <a:extLst>
            <a:ext uri="{FF2B5EF4-FFF2-40B4-BE49-F238E27FC236}">
              <a16:creationId xmlns:a16="http://schemas.microsoft.com/office/drawing/2014/main" id="{D3E9A392-D82C-4761-9F94-04E13696ED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7" name="x_Picture 1" descr="Description: cid:image001.png@01D03949.49457930">
          <a:extLst>
            <a:ext uri="{FF2B5EF4-FFF2-40B4-BE49-F238E27FC236}">
              <a16:creationId xmlns:a16="http://schemas.microsoft.com/office/drawing/2014/main" id="{1632BAD8-A3DF-45E9-B8D1-0010E43F9A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8" name="x_Picture 1" descr="Description: cid:image001.png@01D03949.49457930">
          <a:extLst>
            <a:ext uri="{FF2B5EF4-FFF2-40B4-BE49-F238E27FC236}">
              <a16:creationId xmlns:a16="http://schemas.microsoft.com/office/drawing/2014/main" id="{4DC8160D-EC3B-434A-B328-8492BA9E64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49" name="x_Picture 1" descr="Description: cid:image001.png@01D03949.49457930">
          <a:extLst>
            <a:ext uri="{FF2B5EF4-FFF2-40B4-BE49-F238E27FC236}">
              <a16:creationId xmlns:a16="http://schemas.microsoft.com/office/drawing/2014/main" id="{9FA3B488-22FF-4A55-BC50-FCB00EA950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0" name="x_Picture 1" descr="Description: cid:image001.png@01D03949.49457930">
          <a:extLst>
            <a:ext uri="{FF2B5EF4-FFF2-40B4-BE49-F238E27FC236}">
              <a16:creationId xmlns:a16="http://schemas.microsoft.com/office/drawing/2014/main" id="{D1804053-9653-466F-ADD7-F814D0918E5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51" name="x_Picture 1" descr="Description: cid:image001.png@01D03949.49457930">
          <a:extLst>
            <a:ext uri="{FF2B5EF4-FFF2-40B4-BE49-F238E27FC236}">
              <a16:creationId xmlns:a16="http://schemas.microsoft.com/office/drawing/2014/main" id="{C16F2C0A-6C50-4369-B7A5-9B2BDA128F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52" name="x_Picture 1" descr="Description: cid:image001.png@01D03949.49457930">
          <a:extLst>
            <a:ext uri="{FF2B5EF4-FFF2-40B4-BE49-F238E27FC236}">
              <a16:creationId xmlns:a16="http://schemas.microsoft.com/office/drawing/2014/main" id="{461B3DF5-288E-44AB-8327-0D93EFA136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53" name="x_Picture 1" descr="Description: cid:image001.png@01D03949.49457930">
          <a:extLst>
            <a:ext uri="{FF2B5EF4-FFF2-40B4-BE49-F238E27FC236}">
              <a16:creationId xmlns:a16="http://schemas.microsoft.com/office/drawing/2014/main" id="{F688C364-100D-4FFA-8FA5-C8D4B150F5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54" name="x_Picture 1" descr="Description: cid:image001.png@01D03949.49457930">
          <a:extLst>
            <a:ext uri="{FF2B5EF4-FFF2-40B4-BE49-F238E27FC236}">
              <a16:creationId xmlns:a16="http://schemas.microsoft.com/office/drawing/2014/main" id="{F36B4261-76A7-419C-9201-559D70A847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55" name="x_Picture 1" descr="Description: cid:image001.png@01D03949.49457930">
          <a:extLst>
            <a:ext uri="{FF2B5EF4-FFF2-40B4-BE49-F238E27FC236}">
              <a16:creationId xmlns:a16="http://schemas.microsoft.com/office/drawing/2014/main" id="{304D6A36-6D79-4E5B-A0CF-89E9713D78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56" name="x_Picture 1" descr="Description: cid:image001.png@01D03949.49457930">
          <a:extLst>
            <a:ext uri="{FF2B5EF4-FFF2-40B4-BE49-F238E27FC236}">
              <a16:creationId xmlns:a16="http://schemas.microsoft.com/office/drawing/2014/main" id="{5A124625-7643-43E0-94E4-2CECD46220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57" name="x_Picture 1" descr="Description: cid:image001.png@01D03949.49457930">
          <a:extLst>
            <a:ext uri="{FF2B5EF4-FFF2-40B4-BE49-F238E27FC236}">
              <a16:creationId xmlns:a16="http://schemas.microsoft.com/office/drawing/2014/main" id="{B05344EE-2009-4E13-A74F-F11370FEB8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58" name="x_Picture 1" descr="Description: cid:image001.png@01D03949.49457930">
          <a:extLst>
            <a:ext uri="{FF2B5EF4-FFF2-40B4-BE49-F238E27FC236}">
              <a16:creationId xmlns:a16="http://schemas.microsoft.com/office/drawing/2014/main" id="{D829A355-84AD-454C-941A-FAA1D339E5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59" name="x_Picture 1" descr="Description: cid:image001.png@01D03949.49457930">
          <a:extLst>
            <a:ext uri="{FF2B5EF4-FFF2-40B4-BE49-F238E27FC236}">
              <a16:creationId xmlns:a16="http://schemas.microsoft.com/office/drawing/2014/main" id="{7EBE2809-4BB7-47CB-B308-FF4C122A98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60" name="x_Picture 1" descr="Description: cid:image001.png@01D03949.49457930">
          <a:extLst>
            <a:ext uri="{FF2B5EF4-FFF2-40B4-BE49-F238E27FC236}">
              <a16:creationId xmlns:a16="http://schemas.microsoft.com/office/drawing/2014/main" id="{64DF3739-B005-4B4E-B25B-9BACCB4998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61" name="x_Picture 1" descr="Description: cid:image001.png@01D03949.49457930">
          <a:extLst>
            <a:ext uri="{FF2B5EF4-FFF2-40B4-BE49-F238E27FC236}">
              <a16:creationId xmlns:a16="http://schemas.microsoft.com/office/drawing/2014/main" id="{6D182B6D-6AE9-407C-9728-D934B1609C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62" name="x_Picture 1" descr="Description: cid:image001.png@01D03949.49457930">
          <a:extLst>
            <a:ext uri="{FF2B5EF4-FFF2-40B4-BE49-F238E27FC236}">
              <a16:creationId xmlns:a16="http://schemas.microsoft.com/office/drawing/2014/main" id="{CD0F7A2C-091F-4D40-8641-D48B3BEA54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63" name="x_Picture 1" descr="Description: cid:image001.png@01D03949.49457930">
          <a:extLst>
            <a:ext uri="{FF2B5EF4-FFF2-40B4-BE49-F238E27FC236}">
              <a16:creationId xmlns:a16="http://schemas.microsoft.com/office/drawing/2014/main" id="{3D5824C7-6582-420D-B5A0-696573EB0C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64" name="x_Picture 1" descr="Description: cid:image001.png@01D03949.49457930">
          <a:extLst>
            <a:ext uri="{FF2B5EF4-FFF2-40B4-BE49-F238E27FC236}">
              <a16:creationId xmlns:a16="http://schemas.microsoft.com/office/drawing/2014/main" id="{9A262314-3A50-4C80-B6D9-A64FCA93C40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65" name="x_Picture 1" descr="Description: cid:image001.png@01D03949.49457930">
          <a:extLst>
            <a:ext uri="{FF2B5EF4-FFF2-40B4-BE49-F238E27FC236}">
              <a16:creationId xmlns:a16="http://schemas.microsoft.com/office/drawing/2014/main" id="{CA66398B-288D-463E-9427-3FEAFB3D38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66" name="x_Picture 1" descr="Description: cid:image001.png@01D03949.49457930">
          <a:extLst>
            <a:ext uri="{FF2B5EF4-FFF2-40B4-BE49-F238E27FC236}">
              <a16:creationId xmlns:a16="http://schemas.microsoft.com/office/drawing/2014/main" id="{41D82DDA-27AF-4514-B918-90EA7E769C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67" name="x_Picture 1" descr="Description: cid:image001.png@01D03949.49457930">
          <a:extLst>
            <a:ext uri="{FF2B5EF4-FFF2-40B4-BE49-F238E27FC236}">
              <a16:creationId xmlns:a16="http://schemas.microsoft.com/office/drawing/2014/main" id="{57B620FA-A0D1-4FEF-BA13-0780A11202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68" name="x_Picture 1" descr="Description: cid:image001.png@01D03949.49457930">
          <a:extLst>
            <a:ext uri="{FF2B5EF4-FFF2-40B4-BE49-F238E27FC236}">
              <a16:creationId xmlns:a16="http://schemas.microsoft.com/office/drawing/2014/main" id="{942D37A0-6F37-47CA-BFF6-F632FA83DB3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69" name="x_Picture 1" descr="Description: cid:image001.png@01D03949.49457930">
          <a:extLst>
            <a:ext uri="{FF2B5EF4-FFF2-40B4-BE49-F238E27FC236}">
              <a16:creationId xmlns:a16="http://schemas.microsoft.com/office/drawing/2014/main" id="{20168695-106E-4DE6-B15C-46A8B5047C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0" name="x_Picture 1" descr="Description: cid:image001.png@01D03949.49457930">
          <a:extLst>
            <a:ext uri="{FF2B5EF4-FFF2-40B4-BE49-F238E27FC236}">
              <a16:creationId xmlns:a16="http://schemas.microsoft.com/office/drawing/2014/main" id="{6E435AD0-1514-498C-A40A-B68A337230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1" name="x_Picture 1" descr="Description: cid:image001.png@01D03949.49457930">
          <a:extLst>
            <a:ext uri="{FF2B5EF4-FFF2-40B4-BE49-F238E27FC236}">
              <a16:creationId xmlns:a16="http://schemas.microsoft.com/office/drawing/2014/main" id="{552852EE-6456-49E0-8B19-340FBD682B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2" name="x_Picture 1" descr="Description: cid:image001.png@01D03949.49457930">
          <a:extLst>
            <a:ext uri="{FF2B5EF4-FFF2-40B4-BE49-F238E27FC236}">
              <a16:creationId xmlns:a16="http://schemas.microsoft.com/office/drawing/2014/main" id="{506388EA-ECB0-49CF-9D81-E83CE3B400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3" name="x_Picture 1" descr="Description: cid:image001.png@01D03949.49457930">
          <a:extLst>
            <a:ext uri="{FF2B5EF4-FFF2-40B4-BE49-F238E27FC236}">
              <a16:creationId xmlns:a16="http://schemas.microsoft.com/office/drawing/2014/main" id="{C698FD8F-A960-46B2-8EBD-C492D3F63B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4" name="x_Picture 1" descr="Description: cid:image001.png@01D03949.49457930">
          <a:extLst>
            <a:ext uri="{FF2B5EF4-FFF2-40B4-BE49-F238E27FC236}">
              <a16:creationId xmlns:a16="http://schemas.microsoft.com/office/drawing/2014/main" id="{DF30B210-5C5E-4064-8B3E-FC3104ADF0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5" name="x_Picture 1" descr="Description: cid:image001.png@01D03949.49457930">
          <a:extLst>
            <a:ext uri="{FF2B5EF4-FFF2-40B4-BE49-F238E27FC236}">
              <a16:creationId xmlns:a16="http://schemas.microsoft.com/office/drawing/2014/main" id="{A39A0E66-BD96-4C6C-AFF9-AD6E025209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6" name="x_Picture 1" descr="Description: cid:image001.png@01D03949.49457930">
          <a:extLst>
            <a:ext uri="{FF2B5EF4-FFF2-40B4-BE49-F238E27FC236}">
              <a16:creationId xmlns:a16="http://schemas.microsoft.com/office/drawing/2014/main" id="{1596FA0A-21D9-4705-89E8-1D17014BC0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77" name="x_Picture 1" descr="Description: cid:image001.png@01D03949.49457930">
          <a:extLst>
            <a:ext uri="{FF2B5EF4-FFF2-40B4-BE49-F238E27FC236}">
              <a16:creationId xmlns:a16="http://schemas.microsoft.com/office/drawing/2014/main" id="{18ABCB4D-EEBE-42E1-A9B5-0B5E425316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8" name="x_Picture 1" descr="Description: cid:image001.png@01D03949.49457930">
          <a:extLst>
            <a:ext uri="{FF2B5EF4-FFF2-40B4-BE49-F238E27FC236}">
              <a16:creationId xmlns:a16="http://schemas.microsoft.com/office/drawing/2014/main" id="{5BFFDE57-26D9-4E95-8F54-6F08613009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79" name="x_Picture 1" descr="Description: cid:image001.png@01D03949.49457930">
          <a:extLst>
            <a:ext uri="{FF2B5EF4-FFF2-40B4-BE49-F238E27FC236}">
              <a16:creationId xmlns:a16="http://schemas.microsoft.com/office/drawing/2014/main" id="{D72A3F5F-3EE4-4B52-AF40-2E6E7BD310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0" name="x_Picture 1" descr="Description: cid:image001.png@01D03949.49457930">
          <a:extLst>
            <a:ext uri="{FF2B5EF4-FFF2-40B4-BE49-F238E27FC236}">
              <a16:creationId xmlns:a16="http://schemas.microsoft.com/office/drawing/2014/main" id="{E3FBD1DC-DFB5-4C50-A48A-5E0FE8693E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1" name="x_Picture 1" descr="Description: cid:image001.png@01D03949.49457930">
          <a:extLst>
            <a:ext uri="{FF2B5EF4-FFF2-40B4-BE49-F238E27FC236}">
              <a16:creationId xmlns:a16="http://schemas.microsoft.com/office/drawing/2014/main" id="{62D11E96-CB51-4DFD-9827-63833022EE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2" name="x_Picture 1" descr="Description: cid:image001.png@01D03949.49457930">
          <a:extLst>
            <a:ext uri="{FF2B5EF4-FFF2-40B4-BE49-F238E27FC236}">
              <a16:creationId xmlns:a16="http://schemas.microsoft.com/office/drawing/2014/main" id="{17C1B9C3-353D-47A5-8B33-43A0747A65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3" name="x_Picture 1" descr="Description: cid:image001.png@01D03949.49457930">
          <a:extLst>
            <a:ext uri="{FF2B5EF4-FFF2-40B4-BE49-F238E27FC236}">
              <a16:creationId xmlns:a16="http://schemas.microsoft.com/office/drawing/2014/main" id="{1C675C25-4214-40BE-B929-92A7121BD8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4" name="x_Picture 1" descr="Description: cid:image001.png@01D03949.49457930">
          <a:extLst>
            <a:ext uri="{FF2B5EF4-FFF2-40B4-BE49-F238E27FC236}">
              <a16:creationId xmlns:a16="http://schemas.microsoft.com/office/drawing/2014/main" id="{1913191F-4157-47A9-B871-75C5785C26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5" name="x_Picture 1" descr="Description: cid:image001.png@01D03949.49457930">
          <a:extLst>
            <a:ext uri="{FF2B5EF4-FFF2-40B4-BE49-F238E27FC236}">
              <a16:creationId xmlns:a16="http://schemas.microsoft.com/office/drawing/2014/main" id="{D881B544-0C21-471D-85AF-D001D45CBB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6" name="x_Picture 1" descr="Description: cid:image001.png@01D03949.49457930">
          <a:extLst>
            <a:ext uri="{FF2B5EF4-FFF2-40B4-BE49-F238E27FC236}">
              <a16:creationId xmlns:a16="http://schemas.microsoft.com/office/drawing/2014/main" id="{C54F2CA1-3199-4106-A2A4-59EF4E064C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7" name="x_Picture 1" descr="Description: cid:image001.png@01D03949.49457930">
          <a:extLst>
            <a:ext uri="{FF2B5EF4-FFF2-40B4-BE49-F238E27FC236}">
              <a16:creationId xmlns:a16="http://schemas.microsoft.com/office/drawing/2014/main" id="{DA647F6D-2605-459B-AF20-6FD1EFFF40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8" name="x_Picture 1" descr="Description: cid:image001.png@01D03949.49457930">
          <a:extLst>
            <a:ext uri="{FF2B5EF4-FFF2-40B4-BE49-F238E27FC236}">
              <a16:creationId xmlns:a16="http://schemas.microsoft.com/office/drawing/2014/main" id="{EE7941AC-6576-4E66-AB99-5B52F0DCCF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89" name="x_Picture 1" descr="Description: cid:image001.png@01D03949.49457930">
          <a:extLst>
            <a:ext uri="{FF2B5EF4-FFF2-40B4-BE49-F238E27FC236}">
              <a16:creationId xmlns:a16="http://schemas.microsoft.com/office/drawing/2014/main" id="{9D8312D7-92BD-48E2-A3D4-DDDEED3C85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90" name="x_Picture 1" descr="Description: cid:image001.png@01D03949.49457930">
          <a:extLst>
            <a:ext uri="{FF2B5EF4-FFF2-40B4-BE49-F238E27FC236}">
              <a16:creationId xmlns:a16="http://schemas.microsoft.com/office/drawing/2014/main" id="{2C71C13C-487E-4EB1-BB42-11B6EC7485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91" name="x_Picture 1" descr="Description: cid:image001.png@01D03949.49457930">
          <a:extLst>
            <a:ext uri="{FF2B5EF4-FFF2-40B4-BE49-F238E27FC236}">
              <a16:creationId xmlns:a16="http://schemas.microsoft.com/office/drawing/2014/main" id="{F1D4C666-316B-41B1-8E99-220DAE9A95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92" name="x_Picture 1" descr="Description: cid:image001.png@01D03949.49457930">
          <a:extLst>
            <a:ext uri="{FF2B5EF4-FFF2-40B4-BE49-F238E27FC236}">
              <a16:creationId xmlns:a16="http://schemas.microsoft.com/office/drawing/2014/main" id="{E42E662B-62F8-442C-BC78-CF8A2007F4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3" name="x_Picture 1" descr="Description: cid:image001.png@01D03949.49457930">
          <a:extLst>
            <a:ext uri="{FF2B5EF4-FFF2-40B4-BE49-F238E27FC236}">
              <a16:creationId xmlns:a16="http://schemas.microsoft.com/office/drawing/2014/main" id="{1A67F3D1-C531-4CBE-8B70-74C55F1EA4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94" name="x_Picture 1" descr="Description: cid:image001.png@01D03949.49457930">
          <a:extLst>
            <a:ext uri="{FF2B5EF4-FFF2-40B4-BE49-F238E27FC236}">
              <a16:creationId xmlns:a16="http://schemas.microsoft.com/office/drawing/2014/main" id="{2344482D-A28A-49FB-8520-2203C7612D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5" name="x_Picture 1" descr="Description: cid:image001.png@01D03949.49457930">
          <a:extLst>
            <a:ext uri="{FF2B5EF4-FFF2-40B4-BE49-F238E27FC236}">
              <a16:creationId xmlns:a16="http://schemas.microsoft.com/office/drawing/2014/main" id="{4E3A3B06-5CD9-41C6-8FD1-414E80DF08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6" name="x_Picture 1" descr="Description: cid:image001.png@01D03949.49457930">
          <a:extLst>
            <a:ext uri="{FF2B5EF4-FFF2-40B4-BE49-F238E27FC236}">
              <a16:creationId xmlns:a16="http://schemas.microsoft.com/office/drawing/2014/main" id="{32BB11EC-FCB0-416A-9D31-CB116FFEDB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7" name="x_Picture 1" descr="Description: cid:image001.png@01D03949.49457930">
          <a:extLst>
            <a:ext uri="{FF2B5EF4-FFF2-40B4-BE49-F238E27FC236}">
              <a16:creationId xmlns:a16="http://schemas.microsoft.com/office/drawing/2014/main" id="{06E52739-73F5-4B2E-B2E5-6EFEC59F92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8" name="x_Picture 1" descr="Description: cid:image001.png@01D03949.49457930">
          <a:extLst>
            <a:ext uri="{FF2B5EF4-FFF2-40B4-BE49-F238E27FC236}">
              <a16:creationId xmlns:a16="http://schemas.microsoft.com/office/drawing/2014/main" id="{00216190-0FCB-461D-836F-2B7615B49A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9" name="x_Picture 1" descr="Description: cid:image001.png@01D03949.49457930">
          <a:extLst>
            <a:ext uri="{FF2B5EF4-FFF2-40B4-BE49-F238E27FC236}">
              <a16:creationId xmlns:a16="http://schemas.microsoft.com/office/drawing/2014/main" id="{C5A66255-D4CC-4380-8229-4B406EE818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200" name="x_Picture 1" descr="Description: cid:image001.png@01D03949.49457930">
          <a:extLst>
            <a:ext uri="{FF2B5EF4-FFF2-40B4-BE49-F238E27FC236}">
              <a16:creationId xmlns:a16="http://schemas.microsoft.com/office/drawing/2014/main" id="{03FE646B-7AD7-4651-B107-C190965639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201" name="x_Picture 1" descr="Description: cid:image001.png@01D03949.49457930">
          <a:extLst>
            <a:ext uri="{FF2B5EF4-FFF2-40B4-BE49-F238E27FC236}">
              <a16:creationId xmlns:a16="http://schemas.microsoft.com/office/drawing/2014/main" id="{76477550-7CA1-4DC2-A3F5-D34CB97D2C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202" name="x_Picture 1" descr="Description: cid:image001.png@01D03949.49457930">
          <a:extLst>
            <a:ext uri="{FF2B5EF4-FFF2-40B4-BE49-F238E27FC236}">
              <a16:creationId xmlns:a16="http://schemas.microsoft.com/office/drawing/2014/main" id="{A3255FCE-E112-49E0-A0F7-6F05832074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203" name="x_Picture 1" descr="Description: cid:image001.png@01D03949.49457930">
          <a:extLst>
            <a:ext uri="{FF2B5EF4-FFF2-40B4-BE49-F238E27FC236}">
              <a16:creationId xmlns:a16="http://schemas.microsoft.com/office/drawing/2014/main" id="{BA530275-D5D3-4918-B248-769BF052B0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204" name="x_Picture 1" descr="Description: cid:image001.png@01D03949.49457930">
          <a:extLst>
            <a:ext uri="{FF2B5EF4-FFF2-40B4-BE49-F238E27FC236}">
              <a16:creationId xmlns:a16="http://schemas.microsoft.com/office/drawing/2014/main" id="{CD1FF1A1-8FD7-41CC-8CEC-72765DA668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205" name="x_Picture 1" descr="Description: cid:image001.png@01D03949.49457930">
          <a:extLst>
            <a:ext uri="{FF2B5EF4-FFF2-40B4-BE49-F238E27FC236}">
              <a16:creationId xmlns:a16="http://schemas.microsoft.com/office/drawing/2014/main" id="{6834D170-3CC8-49C6-AD90-E1F3E6EECD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206" name="x_Picture 1" descr="Description: cid:image001.png@01D03949.49457930">
          <a:extLst>
            <a:ext uri="{FF2B5EF4-FFF2-40B4-BE49-F238E27FC236}">
              <a16:creationId xmlns:a16="http://schemas.microsoft.com/office/drawing/2014/main" id="{73DFF813-6A75-4C49-9265-C6901FE6F3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207" name="x_Picture 1" descr="Description: cid:image001.png@01D03949.49457930">
          <a:extLst>
            <a:ext uri="{FF2B5EF4-FFF2-40B4-BE49-F238E27FC236}">
              <a16:creationId xmlns:a16="http://schemas.microsoft.com/office/drawing/2014/main" id="{75287091-202A-4A3A-AD94-0FA706D5F0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208" name="x_Picture 1" descr="Description: cid:image001.png@01D03949.49457930">
          <a:extLst>
            <a:ext uri="{FF2B5EF4-FFF2-40B4-BE49-F238E27FC236}">
              <a16:creationId xmlns:a16="http://schemas.microsoft.com/office/drawing/2014/main" id="{0479EA43-76F7-47F2-B2F8-E388E804705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209" name="x_Picture 1" descr="Description: cid:image001.png@01D03949.49457930">
          <a:extLst>
            <a:ext uri="{FF2B5EF4-FFF2-40B4-BE49-F238E27FC236}">
              <a16:creationId xmlns:a16="http://schemas.microsoft.com/office/drawing/2014/main" id="{3EA2926F-284A-40F9-874C-E20A5E98CF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210" name="x_Picture 1" descr="Description: cid:image001.png@01D03949.49457930">
          <a:extLst>
            <a:ext uri="{FF2B5EF4-FFF2-40B4-BE49-F238E27FC236}">
              <a16:creationId xmlns:a16="http://schemas.microsoft.com/office/drawing/2014/main" id="{AB9E68B2-B553-444E-859A-2F7ED3EA7C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211" name="x_Picture 1" descr="Description: cid:image001.png@01D03949.49457930">
          <a:extLst>
            <a:ext uri="{FF2B5EF4-FFF2-40B4-BE49-F238E27FC236}">
              <a16:creationId xmlns:a16="http://schemas.microsoft.com/office/drawing/2014/main" id="{62947B7D-060B-41EB-B129-284913B170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212" name="x_Picture 1" descr="Description: cid:image001.png@01D03949.49457930">
          <a:extLst>
            <a:ext uri="{FF2B5EF4-FFF2-40B4-BE49-F238E27FC236}">
              <a16:creationId xmlns:a16="http://schemas.microsoft.com/office/drawing/2014/main" id="{BA69508E-DAC8-4E7D-971C-82C3B03D4B0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13" name="x_Picture 1" descr="Description: cid:image001.png@01D03949.49457930">
          <a:extLst>
            <a:ext uri="{FF2B5EF4-FFF2-40B4-BE49-F238E27FC236}">
              <a16:creationId xmlns:a16="http://schemas.microsoft.com/office/drawing/2014/main" id="{54F9442F-8C5A-457F-9B4F-A21239F1BA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214" name="x_Picture 1" descr="Description: cid:image001.png@01D03949.49457930">
          <a:extLst>
            <a:ext uri="{FF2B5EF4-FFF2-40B4-BE49-F238E27FC236}">
              <a16:creationId xmlns:a16="http://schemas.microsoft.com/office/drawing/2014/main" id="{2A4C0944-754C-47D3-B066-7101F13491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15" name="x_Picture 1" descr="Description: cid:image001.png@01D03949.49457930">
          <a:extLst>
            <a:ext uri="{FF2B5EF4-FFF2-40B4-BE49-F238E27FC236}">
              <a16:creationId xmlns:a16="http://schemas.microsoft.com/office/drawing/2014/main" id="{93104185-652D-4A9C-9E8A-DC49B15B85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16" name="x_Picture 1" descr="Description: cid:image001.png@01D03949.49457930">
          <a:extLst>
            <a:ext uri="{FF2B5EF4-FFF2-40B4-BE49-F238E27FC236}">
              <a16:creationId xmlns:a16="http://schemas.microsoft.com/office/drawing/2014/main" id="{63C08ECC-CA39-4C88-BFB7-7FDA6DBB56A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17" name="x_Picture 1" descr="Description: cid:image001.png@01D03949.49457930">
          <a:extLst>
            <a:ext uri="{FF2B5EF4-FFF2-40B4-BE49-F238E27FC236}">
              <a16:creationId xmlns:a16="http://schemas.microsoft.com/office/drawing/2014/main" id="{3E49303E-9BD2-4C21-BF39-383D764A2F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18" name="x_Picture 1" descr="Description: cid:image001.png@01D03949.49457930">
          <a:extLst>
            <a:ext uri="{FF2B5EF4-FFF2-40B4-BE49-F238E27FC236}">
              <a16:creationId xmlns:a16="http://schemas.microsoft.com/office/drawing/2014/main" id="{DBB3914F-6EC0-40D6-BD26-40C6B94480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19" name="x_Picture 1" descr="Description: cid:image001.png@01D03949.49457930">
          <a:extLst>
            <a:ext uri="{FF2B5EF4-FFF2-40B4-BE49-F238E27FC236}">
              <a16:creationId xmlns:a16="http://schemas.microsoft.com/office/drawing/2014/main" id="{B733F486-0697-400D-B1D2-DAD00F6BEB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20" name="x_Picture 1" descr="Description: cid:image001.png@01D03949.49457930">
          <a:extLst>
            <a:ext uri="{FF2B5EF4-FFF2-40B4-BE49-F238E27FC236}">
              <a16:creationId xmlns:a16="http://schemas.microsoft.com/office/drawing/2014/main" id="{2EA9EB91-E74C-4A75-9F3A-3669A8429C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21" name="x_Picture 1" descr="Description: cid:image001.png@01D03949.49457930">
          <a:extLst>
            <a:ext uri="{FF2B5EF4-FFF2-40B4-BE49-F238E27FC236}">
              <a16:creationId xmlns:a16="http://schemas.microsoft.com/office/drawing/2014/main" id="{1CDEFE57-5D22-4DF4-9D15-04945A9B16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22" name="x_Picture 1" descr="Description: cid:image001.png@01D03949.49457930">
          <a:extLst>
            <a:ext uri="{FF2B5EF4-FFF2-40B4-BE49-F238E27FC236}">
              <a16:creationId xmlns:a16="http://schemas.microsoft.com/office/drawing/2014/main" id="{7E8E4A31-43FE-4821-9657-65E913FDA8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23" name="x_Picture 1" descr="Description: cid:image001.png@01D03949.49457930">
          <a:extLst>
            <a:ext uri="{FF2B5EF4-FFF2-40B4-BE49-F238E27FC236}">
              <a16:creationId xmlns:a16="http://schemas.microsoft.com/office/drawing/2014/main" id="{BD5D8D4B-9F5F-437F-87BA-3D2DF58135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24" name="x_Picture 1" descr="Description: cid:image001.png@01D03949.49457930">
          <a:extLst>
            <a:ext uri="{FF2B5EF4-FFF2-40B4-BE49-F238E27FC236}">
              <a16:creationId xmlns:a16="http://schemas.microsoft.com/office/drawing/2014/main" id="{4B15598E-390A-4174-A4A2-A3C2BF2822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25" name="x_Picture 1" descr="Description: cid:image001.png@01D03949.49457930">
          <a:extLst>
            <a:ext uri="{FF2B5EF4-FFF2-40B4-BE49-F238E27FC236}">
              <a16:creationId xmlns:a16="http://schemas.microsoft.com/office/drawing/2014/main" id="{80B5C5E9-F392-4FEB-BD7C-5F1A60B8DB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26" name="x_Picture 1" descr="Description: cid:image001.png@01D03949.49457930">
          <a:extLst>
            <a:ext uri="{FF2B5EF4-FFF2-40B4-BE49-F238E27FC236}">
              <a16:creationId xmlns:a16="http://schemas.microsoft.com/office/drawing/2014/main" id="{EC399148-0105-4E30-99F6-7B534B1BB4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27" name="x_Picture 1" descr="Description: cid:image001.png@01D03949.49457930">
          <a:extLst>
            <a:ext uri="{FF2B5EF4-FFF2-40B4-BE49-F238E27FC236}">
              <a16:creationId xmlns:a16="http://schemas.microsoft.com/office/drawing/2014/main" id="{7B11AA19-CA73-4A31-BB8F-2005B7A879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28" name="x_Picture 1" descr="Description: cid:image001.png@01D03949.49457930">
          <a:extLst>
            <a:ext uri="{FF2B5EF4-FFF2-40B4-BE49-F238E27FC236}">
              <a16:creationId xmlns:a16="http://schemas.microsoft.com/office/drawing/2014/main" id="{D9A903ED-1C2E-4C90-987B-9C047D8FFF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29" name="x_Picture 1" descr="Description: cid:image001.png@01D03949.49457930">
          <a:extLst>
            <a:ext uri="{FF2B5EF4-FFF2-40B4-BE49-F238E27FC236}">
              <a16:creationId xmlns:a16="http://schemas.microsoft.com/office/drawing/2014/main" id="{95786388-8C6F-4B34-936A-7E707AF167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30" name="x_Picture 1" descr="Description: cid:image001.png@01D03949.49457930">
          <a:extLst>
            <a:ext uri="{FF2B5EF4-FFF2-40B4-BE49-F238E27FC236}">
              <a16:creationId xmlns:a16="http://schemas.microsoft.com/office/drawing/2014/main" id="{175F3A1C-0C49-48D0-8CDB-EFA7866711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31" name="x_Picture 1" descr="Description: cid:image001.png@01D03949.49457930">
          <a:extLst>
            <a:ext uri="{FF2B5EF4-FFF2-40B4-BE49-F238E27FC236}">
              <a16:creationId xmlns:a16="http://schemas.microsoft.com/office/drawing/2014/main" id="{DE31EC2A-7329-4798-9902-45B872DE1E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32" name="x_Picture 1" descr="Description: cid:image001.png@01D03949.49457930">
          <a:extLst>
            <a:ext uri="{FF2B5EF4-FFF2-40B4-BE49-F238E27FC236}">
              <a16:creationId xmlns:a16="http://schemas.microsoft.com/office/drawing/2014/main" id="{C70BCADE-7A82-4743-A676-64F9C95F21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33" name="x_Picture 1" descr="Description: cid:image001.png@01D03949.49457930">
          <a:extLst>
            <a:ext uri="{FF2B5EF4-FFF2-40B4-BE49-F238E27FC236}">
              <a16:creationId xmlns:a16="http://schemas.microsoft.com/office/drawing/2014/main" id="{DB1CC113-33E0-45B1-BC6C-1D0D8C57B0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34" name="x_Picture 1" descr="Description: cid:image001.png@01D03949.49457930">
          <a:extLst>
            <a:ext uri="{FF2B5EF4-FFF2-40B4-BE49-F238E27FC236}">
              <a16:creationId xmlns:a16="http://schemas.microsoft.com/office/drawing/2014/main" id="{C11AB766-37C8-40EB-978E-D420C282E7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35" name="x_Picture 1" descr="Description: cid:image001.png@01D03949.49457930">
          <a:extLst>
            <a:ext uri="{FF2B5EF4-FFF2-40B4-BE49-F238E27FC236}">
              <a16:creationId xmlns:a16="http://schemas.microsoft.com/office/drawing/2014/main" id="{80319101-7964-4950-9470-437CFE6CD5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36" name="x_Picture 1" descr="Description: cid:image001.png@01D03949.49457930">
          <a:extLst>
            <a:ext uri="{FF2B5EF4-FFF2-40B4-BE49-F238E27FC236}">
              <a16:creationId xmlns:a16="http://schemas.microsoft.com/office/drawing/2014/main" id="{2F70A276-84CA-4E7C-8E6A-E6755CFF88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37" name="x_Picture 1" descr="Description: cid:image001.png@01D03949.49457930">
          <a:extLst>
            <a:ext uri="{FF2B5EF4-FFF2-40B4-BE49-F238E27FC236}">
              <a16:creationId xmlns:a16="http://schemas.microsoft.com/office/drawing/2014/main" id="{4C0CAFDD-1D7E-4908-AC49-67651A76B1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38" name="x_Picture 1" descr="Description: cid:image001.png@01D03949.49457930">
          <a:extLst>
            <a:ext uri="{FF2B5EF4-FFF2-40B4-BE49-F238E27FC236}">
              <a16:creationId xmlns:a16="http://schemas.microsoft.com/office/drawing/2014/main" id="{2B5EC719-AB9C-4CBC-8356-91EC4D6C66B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39" name="x_Picture 1" descr="Description: cid:image001.png@01D03949.49457930">
          <a:extLst>
            <a:ext uri="{FF2B5EF4-FFF2-40B4-BE49-F238E27FC236}">
              <a16:creationId xmlns:a16="http://schemas.microsoft.com/office/drawing/2014/main" id="{CD232AE8-1277-4733-BE81-973297C671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40" name="x_Picture 1" descr="Description: cid:image001.png@01D03949.49457930">
          <a:extLst>
            <a:ext uri="{FF2B5EF4-FFF2-40B4-BE49-F238E27FC236}">
              <a16:creationId xmlns:a16="http://schemas.microsoft.com/office/drawing/2014/main" id="{695A3259-BE7F-40F2-AF21-E64AF2CBA7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41" name="x_Picture 1" descr="Description: cid:image001.png@01D03949.49457930">
          <a:extLst>
            <a:ext uri="{FF2B5EF4-FFF2-40B4-BE49-F238E27FC236}">
              <a16:creationId xmlns:a16="http://schemas.microsoft.com/office/drawing/2014/main" id="{754D1278-84F9-481D-8451-FDFD84DCD7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42" name="x_Picture 1" descr="Description: cid:image001.png@01D03949.49457930">
          <a:extLst>
            <a:ext uri="{FF2B5EF4-FFF2-40B4-BE49-F238E27FC236}">
              <a16:creationId xmlns:a16="http://schemas.microsoft.com/office/drawing/2014/main" id="{7C8E853F-9DA1-4DD4-8ED2-34A33A0D99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43" name="x_Picture 1" descr="Description: cid:image001.png@01D03949.49457930">
          <a:extLst>
            <a:ext uri="{FF2B5EF4-FFF2-40B4-BE49-F238E27FC236}">
              <a16:creationId xmlns:a16="http://schemas.microsoft.com/office/drawing/2014/main" id="{27791E0E-15DB-4638-91DC-CB3549B359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44" name="x_Picture 1" descr="Description: cid:image001.png@01D03949.49457930">
          <a:extLst>
            <a:ext uri="{FF2B5EF4-FFF2-40B4-BE49-F238E27FC236}">
              <a16:creationId xmlns:a16="http://schemas.microsoft.com/office/drawing/2014/main" id="{34E413C4-4189-4612-BD9C-B45BFADEBD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45" name="x_Picture 1" descr="Description: cid:image001.png@01D03949.49457930">
          <a:extLst>
            <a:ext uri="{FF2B5EF4-FFF2-40B4-BE49-F238E27FC236}">
              <a16:creationId xmlns:a16="http://schemas.microsoft.com/office/drawing/2014/main" id="{3C8DA2D8-0CE0-4989-8501-3BF0C2E344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46" name="x_Picture 1" descr="Description: cid:image001.png@01D03949.49457930">
          <a:extLst>
            <a:ext uri="{FF2B5EF4-FFF2-40B4-BE49-F238E27FC236}">
              <a16:creationId xmlns:a16="http://schemas.microsoft.com/office/drawing/2014/main" id="{155D2381-E78A-4C98-A5D5-2996B15E71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47" name="x_Picture 1" descr="Description: cid:image001.png@01D03949.49457930">
          <a:extLst>
            <a:ext uri="{FF2B5EF4-FFF2-40B4-BE49-F238E27FC236}">
              <a16:creationId xmlns:a16="http://schemas.microsoft.com/office/drawing/2014/main" id="{83304D2C-FF95-4C85-ACA1-D2C264C91B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48" name="x_Picture 1" descr="Description: cid:image001.png@01D03949.49457930">
          <a:extLst>
            <a:ext uri="{FF2B5EF4-FFF2-40B4-BE49-F238E27FC236}">
              <a16:creationId xmlns:a16="http://schemas.microsoft.com/office/drawing/2014/main" id="{D5AC2905-14C0-48FA-A865-3C9EA8C37B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49" name="x_Picture 1" descr="Description: cid:image001.png@01D03949.49457930">
          <a:extLst>
            <a:ext uri="{FF2B5EF4-FFF2-40B4-BE49-F238E27FC236}">
              <a16:creationId xmlns:a16="http://schemas.microsoft.com/office/drawing/2014/main" id="{1E121BC6-02E1-4697-98BC-6B33B4E9BA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50" name="x_Picture 1" descr="Description: cid:image001.png@01D03949.49457930">
          <a:extLst>
            <a:ext uri="{FF2B5EF4-FFF2-40B4-BE49-F238E27FC236}">
              <a16:creationId xmlns:a16="http://schemas.microsoft.com/office/drawing/2014/main" id="{9CA7972C-B3E2-4434-9BF7-50C531BA87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51" name="x_Picture 1" descr="Description: cid:image001.png@01D03949.49457930">
          <a:extLst>
            <a:ext uri="{FF2B5EF4-FFF2-40B4-BE49-F238E27FC236}">
              <a16:creationId xmlns:a16="http://schemas.microsoft.com/office/drawing/2014/main" id="{3BF454DE-A126-4E0C-A4FF-10F54C3839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52" name="x_Picture 1" descr="Description: cid:image001.png@01D03949.49457930">
          <a:extLst>
            <a:ext uri="{FF2B5EF4-FFF2-40B4-BE49-F238E27FC236}">
              <a16:creationId xmlns:a16="http://schemas.microsoft.com/office/drawing/2014/main" id="{D22D59C5-AAE5-4C73-9622-8951071FD2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53" name="x_Picture 1" descr="Description: cid:image001.png@01D03949.49457930">
          <a:extLst>
            <a:ext uri="{FF2B5EF4-FFF2-40B4-BE49-F238E27FC236}">
              <a16:creationId xmlns:a16="http://schemas.microsoft.com/office/drawing/2014/main" id="{1D40F4CC-1CB6-4E6B-9B98-AC1E7E8DC4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54" name="x_Picture 1" descr="Description: cid:image001.png@01D03949.49457930">
          <a:extLst>
            <a:ext uri="{FF2B5EF4-FFF2-40B4-BE49-F238E27FC236}">
              <a16:creationId xmlns:a16="http://schemas.microsoft.com/office/drawing/2014/main" id="{E5290439-826E-45FC-B163-52F5DC41402A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55" name="x_Picture 1" descr="Description: cid:image001.png@01D03949.49457930">
          <a:extLst>
            <a:ext uri="{FF2B5EF4-FFF2-40B4-BE49-F238E27FC236}">
              <a16:creationId xmlns:a16="http://schemas.microsoft.com/office/drawing/2014/main" id="{3550B7D4-6DD1-446C-A4F2-76F829014D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56" name="x_Picture 1" descr="Description: cid:image001.png@01D03949.49457930">
          <a:extLst>
            <a:ext uri="{FF2B5EF4-FFF2-40B4-BE49-F238E27FC236}">
              <a16:creationId xmlns:a16="http://schemas.microsoft.com/office/drawing/2014/main" id="{7E751F02-6A18-4A18-BBA3-0C0344333E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57" name="x_Picture 1" descr="Description: cid:image001.png@01D03949.49457930">
          <a:extLst>
            <a:ext uri="{FF2B5EF4-FFF2-40B4-BE49-F238E27FC236}">
              <a16:creationId xmlns:a16="http://schemas.microsoft.com/office/drawing/2014/main" id="{B14D67CF-088F-45B4-A5C7-8F477AF3F04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58" name="x_Picture 1" descr="Description: cid:image001.png@01D03949.49457930">
          <a:extLst>
            <a:ext uri="{FF2B5EF4-FFF2-40B4-BE49-F238E27FC236}">
              <a16:creationId xmlns:a16="http://schemas.microsoft.com/office/drawing/2014/main" id="{CF78AC5E-D4EF-4D78-833C-9F84803788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59" name="x_Picture 1" descr="Description: cid:image001.png@01D03949.49457930">
          <a:extLst>
            <a:ext uri="{FF2B5EF4-FFF2-40B4-BE49-F238E27FC236}">
              <a16:creationId xmlns:a16="http://schemas.microsoft.com/office/drawing/2014/main" id="{CA3CBCEE-7D49-47F9-803A-8A429C1761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60" name="x_Picture 1" descr="Description: cid:image001.png@01D03949.49457930">
          <a:extLst>
            <a:ext uri="{FF2B5EF4-FFF2-40B4-BE49-F238E27FC236}">
              <a16:creationId xmlns:a16="http://schemas.microsoft.com/office/drawing/2014/main" id="{A39EBC29-D246-4D6F-A328-09009B3AF8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61" name="x_Picture 1" descr="Description: cid:image001.png@01D03949.49457930">
          <a:extLst>
            <a:ext uri="{FF2B5EF4-FFF2-40B4-BE49-F238E27FC236}">
              <a16:creationId xmlns:a16="http://schemas.microsoft.com/office/drawing/2014/main" id="{0583AD25-367A-4F17-830B-09E5672624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62" name="x_Picture 1" descr="Description: cid:image001.png@01D03949.49457930">
          <a:extLst>
            <a:ext uri="{FF2B5EF4-FFF2-40B4-BE49-F238E27FC236}">
              <a16:creationId xmlns:a16="http://schemas.microsoft.com/office/drawing/2014/main" id="{C020743E-1A77-40A7-8008-7BB12EEE90A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63" name="x_Picture 1" descr="Description: cid:image001.png@01D03949.49457930">
          <a:extLst>
            <a:ext uri="{FF2B5EF4-FFF2-40B4-BE49-F238E27FC236}">
              <a16:creationId xmlns:a16="http://schemas.microsoft.com/office/drawing/2014/main" id="{55F20C7D-5F57-4E68-B876-89EF3FF7D8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64" name="x_Picture 1" descr="Description: cid:image001.png@01D03949.49457930">
          <a:extLst>
            <a:ext uri="{FF2B5EF4-FFF2-40B4-BE49-F238E27FC236}">
              <a16:creationId xmlns:a16="http://schemas.microsoft.com/office/drawing/2014/main" id="{419742CC-C2E3-48A3-9BB5-7AB819B68A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65" name="x_Picture 1" descr="Description: cid:image001.png@01D03949.49457930">
          <a:extLst>
            <a:ext uri="{FF2B5EF4-FFF2-40B4-BE49-F238E27FC236}">
              <a16:creationId xmlns:a16="http://schemas.microsoft.com/office/drawing/2014/main" id="{6789ED8A-A59A-4F6A-BD7A-D7C01FF2C4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66" name="x_Picture 1" descr="Description: cid:image001.png@01D03949.49457930">
          <a:extLst>
            <a:ext uri="{FF2B5EF4-FFF2-40B4-BE49-F238E27FC236}">
              <a16:creationId xmlns:a16="http://schemas.microsoft.com/office/drawing/2014/main" id="{4BD75BE9-0FCA-4073-ACF6-E32FE8F754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67" name="x_Picture 1" descr="Description: cid:image001.png@01D03949.49457930">
          <a:extLst>
            <a:ext uri="{FF2B5EF4-FFF2-40B4-BE49-F238E27FC236}">
              <a16:creationId xmlns:a16="http://schemas.microsoft.com/office/drawing/2014/main" id="{D1975413-FFAF-4D2B-A667-8CBB7A1332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68" name="x_Picture 1" descr="Description: cid:image001.png@01D03949.49457930">
          <a:extLst>
            <a:ext uri="{FF2B5EF4-FFF2-40B4-BE49-F238E27FC236}">
              <a16:creationId xmlns:a16="http://schemas.microsoft.com/office/drawing/2014/main" id="{2BDA9797-56C2-4221-9387-5E95988AA5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69" name="x_Picture 1" descr="Description: cid:image001.png@01D03949.49457930">
          <a:extLst>
            <a:ext uri="{FF2B5EF4-FFF2-40B4-BE49-F238E27FC236}">
              <a16:creationId xmlns:a16="http://schemas.microsoft.com/office/drawing/2014/main" id="{E3F0296E-3A23-48F3-83C2-E07D3D86F4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70" name="x_Picture 1" descr="Description: cid:image001.png@01D03949.49457930">
          <a:extLst>
            <a:ext uri="{FF2B5EF4-FFF2-40B4-BE49-F238E27FC236}">
              <a16:creationId xmlns:a16="http://schemas.microsoft.com/office/drawing/2014/main" id="{FB5E280D-CFE0-4EBF-B91B-25EDD9B041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71" name="x_Picture 1" descr="Description: cid:image001.png@01D03949.49457930">
          <a:extLst>
            <a:ext uri="{FF2B5EF4-FFF2-40B4-BE49-F238E27FC236}">
              <a16:creationId xmlns:a16="http://schemas.microsoft.com/office/drawing/2014/main" id="{D2AF1E3E-37C5-4633-B118-C561F3F2F9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72" name="x_Picture 1" descr="Description: cid:image001.png@01D03949.49457930">
          <a:extLst>
            <a:ext uri="{FF2B5EF4-FFF2-40B4-BE49-F238E27FC236}">
              <a16:creationId xmlns:a16="http://schemas.microsoft.com/office/drawing/2014/main" id="{2BF82960-135E-4F8F-BCCF-6CB16DE705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73" name="x_Picture 1" descr="Description: cid:image001.png@01D03949.49457930">
          <a:extLst>
            <a:ext uri="{FF2B5EF4-FFF2-40B4-BE49-F238E27FC236}">
              <a16:creationId xmlns:a16="http://schemas.microsoft.com/office/drawing/2014/main" id="{F162D9E4-F27F-49CF-B064-CBABEB11B84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74" name="x_Picture 1" descr="Description: cid:image001.png@01D03949.49457930">
          <a:extLst>
            <a:ext uri="{FF2B5EF4-FFF2-40B4-BE49-F238E27FC236}">
              <a16:creationId xmlns:a16="http://schemas.microsoft.com/office/drawing/2014/main" id="{C796CE0C-7F9E-4686-81DC-617A49BBA1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75" name="x_Picture 1" descr="Description: cid:image001.png@01D03949.49457930">
          <a:extLst>
            <a:ext uri="{FF2B5EF4-FFF2-40B4-BE49-F238E27FC236}">
              <a16:creationId xmlns:a16="http://schemas.microsoft.com/office/drawing/2014/main" id="{85C18E1C-5C78-41FC-9647-83B6DD32DF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76" name="x_Picture 1" descr="Description: cid:image001.png@01D03949.49457930">
          <a:extLst>
            <a:ext uri="{FF2B5EF4-FFF2-40B4-BE49-F238E27FC236}">
              <a16:creationId xmlns:a16="http://schemas.microsoft.com/office/drawing/2014/main" id="{7A47E09B-CBF4-4B98-B68B-7C2329B07E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77" name="x_Picture 1" descr="Description: cid:image001.png@01D03949.49457930">
          <a:extLst>
            <a:ext uri="{FF2B5EF4-FFF2-40B4-BE49-F238E27FC236}">
              <a16:creationId xmlns:a16="http://schemas.microsoft.com/office/drawing/2014/main" id="{E7C6D703-9F41-45E3-9199-6051DBF247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78" name="x_Picture 1" descr="Description: cid:image001.png@01D03949.49457930">
          <a:extLst>
            <a:ext uri="{FF2B5EF4-FFF2-40B4-BE49-F238E27FC236}">
              <a16:creationId xmlns:a16="http://schemas.microsoft.com/office/drawing/2014/main" id="{1606A22B-177B-42F0-A972-08543D3ED4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79" name="x_Picture 1" descr="Description: cid:image001.png@01D03949.49457930">
          <a:extLst>
            <a:ext uri="{FF2B5EF4-FFF2-40B4-BE49-F238E27FC236}">
              <a16:creationId xmlns:a16="http://schemas.microsoft.com/office/drawing/2014/main" id="{9C201E93-01E9-410B-9B6C-CA26C93BA1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80" name="x_Picture 1" descr="Description: cid:image001.png@01D03949.49457930">
          <a:extLst>
            <a:ext uri="{FF2B5EF4-FFF2-40B4-BE49-F238E27FC236}">
              <a16:creationId xmlns:a16="http://schemas.microsoft.com/office/drawing/2014/main" id="{EBABE3AE-E82E-4254-BA3D-D08C22BC17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81" name="x_Picture 1" descr="Description: cid:image001.png@01D03949.49457930">
          <a:extLst>
            <a:ext uri="{FF2B5EF4-FFF2-40B4-BE49-F238E27FC236}">
              <a16:creationId xmlns:a16="http://schemas.microsoft.com/office/drawing/2014/main" id="{3D780E9F-EA63-4BBF-895B-05E211DD4A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82" name="x_Picture 1" descr="Description: cid:image001.png@01D03949.49457930">
          <a:extLst>
            <a:ext uri="{FF2B5EF4-FFF2-40B4-BE49-F238E27FC236}">
              <a16:creationId xmlns:a16="http://schemas.microsoft.com/office/drawing/2014/main" id="{7A569D4F-BC4D-44E7-8846-971F41ACE7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83" name="x_Picture 1" descr="Description: cid:image001.png@01D03949.49457930">
          <a:extLst>
            <a:ext uri="{FF2B5EF4-FFF2-40B4-BE49-F238E27FC236}">
              <a16:creationId xmlns:a16="http://schemas.microsoft.com/office/drawing/2014/main" id="{C252CE21-21FE-4CB2-BF08-81B54C9193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84" name="x_Picture 1" descr="Description: cid:image001.png@01D03949.49457930">
          <a:extLst>
            <a:ext uri="{FF2B5EF4-FFF2-40B4-BE49-F238E27FC236}">
              <a16:creationId xmlns:a16="http://schemas.microsoft.com/office/drawing/2014/main" id="{506D8605-BB6F-4764-8AFC-B826363E51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85" name="x_Picture 1" descr="Description: cid:image001.png@01D03949.49457930">
          <a:extLst>
            <a:ext uri="{FF2B5EF4-FFF2-40B4-BE49-F238E27FC236}">
              <a16:creationId xmlns:a16="http://schemas.microsoft.com/office/drawing/2014/main" id="{CA8733C2-1E26-4FF7-804E-53E880258C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86" name="x_Picture 1" descr="Description: cid:image001.png@01D03949.49457930">
          <a:extLst>
            <a:ext uri="{FF2B5EF4-FFF2-40B4-BE49-F238E27FC236}">
              <a16:creationId xmlns:a16="http://schemas.microsoft.com/office/drawing/2014/main" id="{52088A15-884E-4029-B80D-C3A233123C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87" name="x_Picture 1" descr="Description: cid:image001.png@01D03949.49457930">
          <a:extLst>
            <a:ext uri="{FF2B5EF4-FFF2-40B4-BE49-F238E27FC236}">
              <a16:creationId xmlns:a16="http://schemas.microsoft.com/office/drawing/2014/main" id="{15679719-9536-42F4-88B2-BC893A9B0B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88" name="x_Picture 1" descr="Description: cid:image001.png@01D03949.49457930">
          <a:extLst>
            <a:ext uri="{FF2B5EF4-FFF2-40B4-BE49-F238E27FC236}">
              <a16:creationId xmlns:a16="http://schemas.microsoft.com/office/drawing/2014/main" id="{A749CBAD-D7F7-4D18-BB5B-078CCBF184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9" name="x_Picture 1" descr="Description: cid:image001.png@01D03949.49457930">
          <a:extLst>
            <a:ext uri="{FF2B5EF4-FFF2-40B4-BE49-F238E27FC236}">
              <a16:creationId xmlns:a16="http://schemas.microsoft.com/office/drawing/2014/main" id="{B7625D43-CF03-481C-B3BF-819686133A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90" name="x_Picture 1" descr="Description: cid:image001.png@01D03949.49457930">
          <a:extLst>
            <a:ext uri="{FF2B5EF4-FFF2-40B4-BE49-F238E27FC236}">
              <a16:creationId xmlns:a16="http://schemas.microsoft.com/office/drawing/2014/main" id="{5EFECDDB-F115-4EE6-B46D-373C640160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1" name="x_Picture 1" descr="Description: cid:image001.png@01D03949.49457930">
          <a:extLst>
            <a:ext uri="{FF2B5EF4-FFF2-40B4-BE49-F238E27FC236}">
              <a16:creationId xmlns:a16="http://schemas.microsoft.com/office/drawing/2014/main" id="{1B86A43A-0A08-4EB1-9135-AB9EC5F8DDF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2" name="x_Picture 1" descr="Description: cid:image001.png@01D03949.49457930">
          <a:extLst>
            <a:ext uri="{FF2B5EF4-FFF2-40B4-BE49-F238E27FC236}">
              <a16:creationId xmlns:a16="http://schemas.microsoft.com/office/drawing/2014/main" id="{D1A8A471-003A-4339-80F0-A7EA86E14E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3" name="x_Picture 1" descr="Description: cid:image001.png@01D03949.49457930">
          <a:extLst>
            <a:ext uri="{FF2B5EF4-FFF2-40B4-BE49-F238E27FC236}">
              <a16:creationId xmlns:a16="http://schemas.microsoft.com/office/drawing/2014/main" id="{85027DB8-EFE9-4DEC-8A41-5FF5D4C4F4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4" name="x_Picture 1" descr="Description: cid:image001.png@01D03949.49457930">
          <a:extLst>
            <a:ext uri="{FF2B5EF4-FFF2-40B4-BE49-F238E27FC236}">
              <a16:creationId xmlns:a16="http://schemas.microsoft.com/office/drawing/2014/main" id="{469C53F3-A47B-4179-BDAC-0B10E9E0DB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5" name="x_Picture 1" descr="Description: cid:image001.png@01D03949.49457930">
          <a:extLst>
            <a:ext uri="{FF2B5EF4-FFF2-40B4-BE49-F238E27FC236}">
              <a16:creationId xmlns:a16="http://schemas.microsoft.com/office/drawing/2014/main" id="{954A1E0F-5278-4155-B14F-8A127BE699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6" name="x_Picture 1" descr="Description: cid:image001.png@01D03949.49457930">
          <a:extLst>
            <a:ext uri="{FF2B5EF4-FFF2-40B4-BE49-F238E27FC236}">
              <a16:creationId xmlns:a16="http://schemas.microsoft.com/office/drawing/2014/main" id="{831FDDD3-D36D-46DC-A5DE-AFBDE08A40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7" name="x_Picture 1" descr="Description: cid:image001.png@01D03949.49457930">
          <a:extLst>
            <a:ext uri="{FF2B5EF4-FFF2-40B4-BE49-F238E27FC236}">
              <a16:creationId xmlns:a16="http://schemas.microsoft.com/office/drawing/2014/main" id="{9B96185B-A500-4238-8564-3A83933D10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8" name="x_Picture 1" descr="Description: cid:image001.png@01D03949.49457930">
          <a:extLst>
            <a:ext uri="{FF2B5EF4-FFF2-40B4-BE49-F238E27FC236}">
              <a16:creationId xmlns:a16="http://schemas.microsoft.com/office/drawing/2014/main" id="{CB590B62-0189-4CF6-8E62-2C7D06AF8A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9" name="x_Picture 1" descr="Description: cid:image001.png@01D03949.49457930">
          <a:extLst>
            <a:ext uri="{FF2B5EF4-FFF2-40B4-BE49-F238E27FC236}">
              <a16:creationId xmlns:a16="http://schemas.microsoft.com/office/drawing/2014/main" id="{9EF06D30-2FFB-415E-830F-DB62F220AB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0" name="x_Picture 1" descr="Description: cid:image001.png@01D03949.49457930">
          <a:extLst>
            <a:ext uri="{FF2B5EF4-FFF2-40B4-BE49-F238E27FC236}">
              <a16:creationId xmlns:a16="http://schemas.microsoft.com/office/drawing/2014/main" id="{BABF1EDD-97C6-494E-ADF2-4F370C33E5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1" name="x_Picture 1" descr="Description: cid:image001.png@01D03949.49457930">
          <a:extLst>
            <a:ext uri="{FF2B5EF4-FFF2-40B4-BE49-F238E27FC236}">
              <a16:creationId xmlns:a16="http://schemas.microsoft.com/office/drawing/2014/main" id="{9BD952E8-4CC2-4944-B1EB-B72C65978E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2" name="x_Picture 1" descr="Description: cid:image001.png@01D03949.49457930">
          <a:extLst>
            <a:ext uri="{FF2B5EF4-FFF2-40B4-BE49-F238E27FC236}">
              <a16:creationId xmlns:a16="http://schemas.microsoft.com/office/drawing/2014/main" id="{1C274615-E812-492E-9BD8-F5DD97701A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3" name="x_Picture 1" descr="Description: cid:image001.png@01D03949.49457930">
          <a:extLst>
            <a:ext uri="{FF2B5EF4-FFF2-40B4-BE49-F238E27FC236}">
              <a16:creationId xmlns:a16="http://schemas.microsoft.com/office/drawing/2014/main" id="{C53C410B-1E69-4999-BBF3-5BD0DCBC7B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4" name="x_Picture 1" descr="Description: cid:image001.png@01D03949.49457930">
          <a:extLst>
            <a:ext uri="{FF2B5EF4-FFF2-40B4-BE49-F238E27FC236}">
              <a16:creationId xmlns:a16="http://schemas.microsoft.com/office/drawing/2014/main" id="{F1955325-D8FD-47B5-9962-FBB81E4002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5" name="x_Picture 1" descr="Description: cid:image001.png@01D03949.49457930">
          <a:extLst>
            <a:ext uri="{FF2B5EF4-FFF2-40B4-BE49-F238E27FC236}">
              <a16:creationId xmlns:a16="http://schemas.microsoft.com/office/drawing/2014/main" id="{80C58B60-EB31-4F3B-9B66-6E2505163B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6" name="x_Picture 1" descr="Description: cid:image001.png@01D03949.49457930">
          <a:extLst>
            <a:ext uri="{FF2B5EF4-FFF2-40B4-BE49-F238E27FC236}">
              <a16:creationId xmlns:a16="http://schemas.microsoft.com/office/drawing/2014/main" id="{BFDF6E15-E934-4F50-B603-20AFCD8543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7" name="x_Picture 1" descr="Description: cid:image001.png@01D03949.49457930">
          <a:extLst>
            <a:ext uri="{FF2B5EF4-FFF2-40B4-BE49-F238E27FC236}">
              <a16:creationId xmlns:a16="http://schemas.microsoft.com/office/drawing/2014/main" id="{04936751-5399-4DF1-B1BC-BFB1D93F96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8" name="x_Picture 1" descr="Description: cid:image001.png@01D03949.49457930">
          <a:extLst>
            <a:ext uri="{FF2B5EF4-FFF2-40B4-BE49-F238E27FC236}">
              <a16:creationId xmlns:a16="http://schemas.microsoft.com/office/drawing/2014/main" id="{AADBF02D-138C-40CF-A0EA-FD9A049831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9" name="x_Picture 1" descr="Description: cid:image001.png@01D03949.49457930">
          <a:extLst>
            <a:ext uri="{FF2B5EF4-FFF2-40B4-BE49-F238E27FC236}">
              <a16:creationId xmlns:a16="http://schemas.microsoft.com/office/drawing/2014/main" id="{9338105B-6907-4C44-B39E-EDDD3B2584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0" name="x_Picture 1" descr="Description: cid:image001.png@01D03949.49457930">
          <a:extLst>
            <a:ext uri="{FF2B5EF4-FFF2-40B4-BE49-F238E27FC236}">
              <a16:creationId xmlns:a16="http://schemas.microsoft.com/office/drawing/2014/main" id="{2894EF05-7297-47CC-BB48-527AC64DA2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1" name="x_Picture 1" descr="Description: cid:image001.png@01D03949.49457930">
          <a:extLst>
            <a:ext uri="{FF2B5EF4-FFF2-40B4-BE49-F238E27FC236}">
              <a16:creationId xmlns:a16="http://schemas.microsoft.com/office/drawing/2014/main" id="{A684E3ED-D366-4B35-80DF-AB969F744C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2" name="x_Picture 1" descr="Description: cid:image001.png@01D03949.49457930">
          <a:extLst>
            <a:ext uri="{FF2B5EF4-FFF2-40B4-BE49-F238E27FC236}">
              <a16:creationId xmlns:a16="http://schemas.microsoft.com/office/drawing/2014/main" id="{F4096C61-EAAB-4647-A37E-3CA917F4DD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3" name="x_Picture 1" descr="Description: cid:image001.png@01D03949.49457930">
          <a:extLst>
            <a:ext uri="{FF2B5EF4-FFF2-40B4-BE49-F238E27FC236}">
              <a16:creationId xmlns:a16="http://schemas.microsoft.com/office/drawing/2014/main" id="{F94A904C-077B-44A8-AAE9-AFBF68A27B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4" name="x_Picture 1" descr="Description: cid:image001.png@01D03949.49457930">
          <a:extLst>
            <a:ext uri="{FF2B5EF4-FFF2-40B4-BE49-F238E27FC236}">
              <a16:creationId xmlns:a16="http://schemas.microsoft.com/office/drawing/2014/main" id="{96788C52-8835-460A-88DC-D043633E28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5" name="x_Picture 1" descr="Description: cid:image001.png@01D03949.49457930">
          <a:extLst>
            <a:ext uri="{FF2B5EF4-FFF2-40B4-BE49-F238E27FC236}">
              <a16:creationId xmlns:a16="http://schemas.microsoft.com/office/drawing/2014/main" id="{5B668C42-4516-44F9-A56D-31EBE77ED7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6" name="x_Picture 1" descr="Description: cid:image001.png@01D03949.49457930">
          <a:extLst>
            <a:ext uri="{FF2B5EF4-FFF2-40B4-BE49-F238E27FC236}">
              <a16:creationId xmlns:a16="http://schemas.microsoft.com/office/drawing/2014/main" id="{05FADF52-4F8F-4BEC-8EB3-8B21FC3B52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7" name="x_Picture 1" descr="Description: cid:image001.png@01D03949.49457930">
          <a:extLst>
            <a:ext uri="{FF2B5EF4-FFF2-40B4-BE49-F238E27FC236}">
              <a16:creationId xmlns:a16="http://schemas.microsoft.com/office/drawing/2014/main" id="{AC952CA4-5F36-4DE4-BCA4-E3648FAB89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8" name="x_Picture 1" descr="Description: cid:image001.png@01D03949.49457930">
          <a:extLst>
            <a:ext uri="{FF2B5EF4-FFF2-40B4-BE49-F238E27FC236}">
              <a16:creationId xmlns:a16="http://schemas.microsoft.com/office/drawing/2014/main" id="{776E8240-C473-48FE-AAA9-7688059BB5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9" name="x_Picture 1" descr="Description: cid:image001.png@01D03949.49457930">
          <a:extLst>
            <a:ext uri="{FF2B5EF4-FFF2-40B4-BE49-F238E27FC236}">
              <a16:creationId xmlns:a16="http://schemas.microsoft.com/office/drawing/2014/main" id="{E0E1A788-E96D-43B0-A1BA-79A174412B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0" name="x_Picture 1" descr="Description: cid:image001.png@01D03949.49457930">
          <a:extLst>
            <a:ext uri="{FF2B5EF4-FFF2-40B4-BE49-F238E27FC236}">
              <a16:creationId xmlns:a16="http://schemas.microsoft.com/office/drawing/2014/main" id="{628A9E1D-C4AF-4374-9E12-8638473CFC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1" name="x_Picture 1" descr="Description: cid:image001.png@01D03949.49457930">
          <a:extLst>
            <a:ext uri="{FF2B5EF4-FFF2-40B4-BE49-F238E27FC236}">
              <a16:creationId xmlns:a16="http://schemas.microsoft.com/office/drawing/2014/main" id="{3E80B3DA-3AD0-4FE8-9655-1EE53277DF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2" name="x_Picture 1" descr="Description: cid:image001.png@01D03949.49457930">
          <a:extLst>
            <a:ext uri="{FF2B5EF4-FFF2-40B4-BE49-F238E27FC236}">
              <a16:creationId xmlns:a16="http://schemas.microsoft.com/office/drawing/2014/main" id="{74E9EBAD-E28C-4B30-80B3-CDD749BFC1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3" name="x_Picture 1" descr="Description: cid:image001.png@01D03949.49457930">
          <a:extLst>
            <a:ext uri="{FF2B5EF4-FFF2-40B4-BE49-F238E27FC236}">
              <a16:creationId xmlns:a16="http://schemas.microsoft.com/office/drawing/2014/main" id="{06561AC7-BCA7-463D-9F9A-75A02064C2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4" name="x_Picture 1" descr="Description: cid:image001.png@01D03949.49457930">
          <a:extLst>
            <a:ext uri="{FF2B5EF4-FFF2-40B4-BE49-F238E27FC236}">
              <a16:creationId xmlns:a16="http://schemas.microsoft.com/office/drawing/2014/main" id="{134EFF2E-8A07-4D37-9720-4FB7421608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5" name="x_Picture 1" descr="Description: cid:image001.png@01D03949.49457930">
          <a:extLst>
            <a:ext uri="{FF2B5EF4-FFF2-40B4-BE49-F238E27FC236}">
              <a16:creationId xmlns:a16="http://schemas.microsoft.com/office/drawing/2014/main" id="{C721B4ED-CB75-475A-A6D6-F69BDC96A5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6" name="x_Picture 1" descr="Description: cid:image001.png@01D03949.49457930">
          <a:extLst>
            <a:ext uri="{FF2B5EF4-FFF2-40B4-BE49-F238E27FC236}">
              <a16:creationId xmlns:a16="http://schemas.microsoft.com/office/drawing/2014/main" id="{A17A194C-EB7F-45DC-BEA2-2236B18D71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7" name="x_Picture 1" descr="Description: cid:image001.png@01D03949.49457930">
          <a:extLst>
            <a:ext uri="{FF2B5EF4-FFF2-40B4-BE49-F238E27FC236}">
              <a16:creationId xmlns:a16="http://schemas.microsoft.com/office/drawing/2014/main" id="{7BA85899-F80E-4C4C-9442-70A0339A48B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8" name="x_Picture 1" descr="Description: cid:image001.png@01D03949.49457930">
          <a:extLst>
            <a:ext uri="{FF2B5EF4-FFF2-40B4-BE49-F238E27FC236}">
              <a16:creationId xmlns:a16="http://schemas.microsoft.com/office/drawing/2014/main" id="{939EDD93-6FCE-4DC2-81D1-AE1B473320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29" name="x_Picture 1" descr="Description: cid:image001.png@01D03949.49457930">
          <a:extLst>
            <a:ext uri="{FF2B5EF4-FFF2-40B4-BE49-F238E27FC236}">
              <a16:creationId xmlns:a16="http://schemas.microsoft.com/office/drawing/2014/main" id="{F250537A-3884-4FD1-98C9-09A3DCCDC0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0" name="x_Picture 1" descr="Description: cid:image001.png@01D03949.49457930">
          <a:extLst>
            <a:ext uri="{FF2B5EF4-FFF2-40B4-BE49-F238E27FC236}">
              <a16:creationId xmlns:a16="http://schemas.microsoft.com/office/drawing/2014/main" id="{2138EE69-4115-4AAB-B576-82616B8DB9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1" name="x_Picture 1" descr="Description: cid:image001.png@01D03949.49457930">
          <a:extLst>
            <a:ext uri="{FF2B5EF4-FFF2-40B4-BE49-F238E27FC236}">
              <a16:creationId xmlns:a16="http://schemas.microsoft.com/office/drawing/2014/main" id="{130C2CC2-902B-4DDC-B51B-D40D830BB2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2" name="x_Picture 1" descr="Description: cid:image001.png@01D03949.49457930">
          <a:extLst>
            <a:ext uri="{FF2B5EF4-FFF2-40B4-BE49-F238E27FC236}">
              <a16:creationId xmlns:a16="http://schemas.microsoft.com/office/drawing/2014/main" id="{2500CE5B-B678-46F3-8725-F769622D4F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3" name="x_Picture 1" descr="Description: cid:image001.png@01D03949.49457930">
          <a:extLst>
            <a:ext uri="{FF2B5EF4-FFF2-40B4-BE49-F238E27FC236}">
              <a16:creationId xmlns:a16="http://schemas.microsoft.com/office/drawing/2014/main" id="{D3175629-5FED-49D1-A067-C773E305CF3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4" name="x_Picture 1" descr="Description: cid:image001.png@01D03949.49457930">
          <a:extLst>
            <a:ext uri="{FF2B5EF4-FFF2-40B4-BE49-F238E27FC236}">
              <a16:creationId xmlns:a16="http://schemas.microsoft.com/office/drawing/2014/main" id="{40EB21D0-B9CC-4A90-A398-15A16E19BC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5" name="x_Picture 1" descr="Description: cid:image001.png@01D03949.49457930">
          <a:extLst>
            <a:ext uri="{FF2B5EF4-FFF2-40B4-BE49-F238E27FC236}">
              <a16:creationId xmlns:a16="http://schemas.microsoft.com/office/drawing/2014/main" id="{2302A7A7-342B-43A0-B08A-C49A5C2502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6" name="x_Picture 1" descr="Description: cid:image001.png@01D03949.49457930">
          <a:extLst>
            <a:ext uri="{FF2B5EF4-FFF2-40B4-BE49-F238E27FC236}">
              <a16:creationId xmlns:a16="http://schemas.microsoft.com/office/drawing/2014/main" id="{3441EE74-7BCB-4CF1-BFF0-999D90A34B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7" name="x_Picture 1" descr="Description: cid:image001.png@01D03949.49457930">
          <a:extLst>
            <a:ext uri="{FF2B5EF4-FFF2-40B4-BE49-F238E27FC236}">
              <a16:creationId xmlns:a16="http://schemas.microsoft.com/office/drawing/2014/main" id="{E6D5948F-F790-4C5C-B011-2E349263BE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8" name="x_Picture 1" descr="Description: cid:image001.png@01D03949.49457930">
          <a:extLst>
            <a:ext uri="{FF2B5EF4-FFF2-40B4-BE49-F238E27FC236}">
              <a16:creationId xmlns:a16="http://schemas.microsoft.com/office/drawing/2014/main" id="{D3AF63D9-FF4C-4CDA-A2DD-E480E2F0FA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39" name="x_Picture 1" descr="Description: cid:image001.png@01D03949.49457930">
          <a:extLst>
            <a:ext uri="{FF2B5EF4-FFF2-40B4-BE49-F238E27FC236}">
              <a16:creationId xmlns:a16="http://schemas.microsoft.com/office/drawing/2014/main" id="{F644CAAA-FA12-4836-A983-860BFA712C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0" name="x_Picture 1" descr="Description: cid:image001.png@01D03949.49457930">
          <a:extLst>
            <a:ext uri="{FF2B5EF4-FFF2-40B4-BE49-F238E27FC236}">
              <a16:creationId xmlns:a16="http://schemas.microsoft.com/office/drawing/2014/main" id="{68B2923E-D700-4464-98AE-4EA82DC360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1" name="x_Picture 1" descr="Description: cid:image001.png@01D03949.49457930">
          <a:extLst>
            <a:ext uri="{FF2B5EF4-FFF2-40B4-BE49-F238E27FC236}">
              <a16:creationId xmlns:a16="http://schemas.microsoft.com/office/drawing/2014/main" id="{C89746C3-9984-4941-A525-93995D9314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2" name="x_Picture 1" descr="Description: cid:image001.png@01D03949.49457930">
          <a:extLst>
            <a:ext uri="{FF2B5EF4-FFF2-40B4-BE49-F238E27FC236}">
              <a16:creationId xmlns:a16="http://schemas.microsoft.com/office/drawing/2014/main" id="{1C05EB91-C915-4C5F-B35A-500376A74F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3" name="x_Picture 1" descr="Description: cid:image001.png@01D03949.49457930">
          <a:extLst>
            <a:ext uri="{FF2B5EF4-FFF2-40B4-BE49-F238E27FC236}">
              <a16:creationId xmlns:a16="http://schemas.microsoft.com/office/drawing/2014/main" id="{4F4559F9-FC55-4ADD-9624-F80FB1BCB7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4" name="x_Picture 1" descr="Description: cid:image001.png@01D03949.49457930">
          <a:extLst>
            <a:ext uri="{FF2B5EF4-FFF2-40B4-BE49-F238E27FC236}">
              <a16:creationId xmlns:a16="http://schemas.microsoft.com/office/drawing/2014/main" id="{D19DE4D6-1A4F-4397-AAFC-98CAE0B55A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5" name="x_Picture 1" descr="Description: cid:image001.png@01D03949.49457930">
          <a:extLst>
            <a:ext uri="{FF2B5EF4-FFF2-40B4-BE49-F238E27FC236}">
              <a16:creationId xmlns:a16="http://schemas.microsoft.com/office/drawing/2014/main" id="{C1C02AA5-F25D-4165-93BF-751CE198C1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6" name="x_Picture 1" descr="Description: cid:image001.png@01D03949.49457930">
          <a:extLst>
            <a:ext uri="{FF2B5EF4-FFF2-40B4-BE49-F238E27FC236}">
              <a16:creationId xmlns:a16="http://schemas.microsoft.com/office/drawing/2014/main" id="{7C6C5F54-D3D4-4164-BF1F-CB25AFEC2F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7" name="x_Picture 1" descr="Description: cid:image001.png@01D03949.49457930">
          <a:extLst>
            <a:ext uri="{FF2B5EF4-FFF2-40B4-BE49-F238E27FC236}">
              <a16:creationId xmlns:a16="http://schemas.microsoft.com/office/drawing/2014/main" id="{AA2AD658-3BC7-4A89-80E9-BE82F8A338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8" name="x_Picture 1" descr="Description: cid:image001.png@01D03949.49457930">
          <a:extLst>
            <a:ext uri="{FF2B5EF4-FFF2-40B4-BE49-F238E27FC236}">
              <a16:creationId xmlns:a16="http://schemas.microsoft.com/office/drawing/2014/main" id="{6CD6DB8D-9941-4AA7-8D62-62ADF55B8E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49" name="x_Picture 1" descr="Description: cid:image001.png@01D03949.49457930">
          <a:extLst>
            <a:ext uri="{FF2B5EF4-FFF2-40B4-BE49-F238E27FC236}">
              <a16:creationId xmlns:a16="http://schemas.microsoft.com/office/drawing/2014/main" id="{A4056C1F-D29A-4FB4-87C3-FDF5B0162F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0" name="x_Picture 1" descr="Description: cid:image001.png@01D03949.49457930">
          <a:extLst>
            <a:ext uri="{FF2B5EF4-FFF2-40B4-BE49-F238E27FC236}">
              <a16:creationId xmlns:a16="http://schemas.microsoft.com/office/drawing/2014/main" id="{C89244C5-FA05-4430-8A79-A6A3A9ECF4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1" name="x_Picture 1" descr="Description: cid:image001.png@01D03949.49457930">
          <a:extLst>
            <a:ext uri="{FF2B5EF4-FFF2-40B4-BE49-F238E27FC236}">
              <a16:creationId xmlns:a16="http://schemas.microsoft.com/office/drawing/2014/main" id="{ECB55086-E036-4908-8346-0BD53C5FFA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2" name="x_Picture 1" descr="Description: cid:image001.png@01D03949.49457930">
          <a:extLst>
            <a:ext uri="{FF2B5EF4-FFF2-40B4-BE49-F238E27FC236}">
              <a16:creationId xmlns:a16="http://schemas.microsoft.com/office/drawing/2014/main" id="{9A8E6617-9C9A-442D-B1D4-1F22A0C666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3" name="x_Picture 1" descr="Description: cid:image001.png@01D03949.49457930">
          <a:extLst>
            <a:ext uri="{FF2B5EF4-FFF2-40B4-BE49-F238E27FC236}">
              <a16:creationId xmlns:a16="http://schemas.microsoft.com/office/drawing/2014/main" id="{8B3C4525-7B17-4401-82E2-637C4F59C8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4" name="x_Picture 1" descr="Description: cid:image001.png@01D03949.49457930">
          <a:extLst>
            <a:ext uri="{FF2B5EF4-FFF2-40B4-BE49-F238E27FC236}">
              <a16:creationId xmlns:a16="http://schemas.microsoft.com/office/drawing/2014/main" id="{EFCAF02B-FA5F-4276-8504-118B69C1B9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5" name="x_Picture 1" descr="Description: cid:image001.png@01D03949.49457930">
          <a:extLst>
            <a:ext uri="{FF2B5EF4-FFF2-40B4-BE49-F238E27FC236}">
              <a16:creationId xmlns:a16="http://schemas.microsoft.com/office/drawing/2014/main" id="{A00DF93C-50FE-46EF-846D-EE54AC3F48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6" name="x_Picture 1" descr="Description: cid:image001.png@01D03949.49457930">
          <a:extLst>
            <a:ext uri="{FF2B5EF4-FFF2-40B4-BE49-F238E27FC236}">
              <a16:creationId xmlns:a16="http://schemas.microsoft.com/office/drawing/2014/main" id="{67F42311-3D70-4FB5-B5EE-12D7241DBC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7" name="x_Picture 1" descr="Description: cid:image001.png@01D03949.49457930">
          <a:extLst>
            <a:ext uri="{FF2B5EF4-FFF2-40B4-BE49-F238E27FC236}">
              <a16:creationId xmlns:a16="http://schemas.microsoft.com/office/drawing/2014/main" id="{82B8055B-524A-41E3-B186-E8D84430F5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8" name="x_Picture 1" descr="Description: cid:image001.png@01D03949.49457930">
          <a:extLst>
            <a:ext uri="{FF2B5EF4-FFF2-40B4-BE49-F238E27FC236}">
              <a16:creationId xmlns:a16="http://schemas.microsoft.com/office/drawing/2014/main" id="{D081D300-917B-46C3-B6DD-510CD69446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59" name="x_Picture 1" descr="Description: cid:image001.png@01D03949.49457930">
          <a:extLst>
            <a:ext uri="{FF2B5EF4-FFF2-40B4-BE49-F238E27FC236}">
              <a16:creationId xmlns:a16="http://schemas.microsoft.com/office/drawing/2014/main" id="{BA25E12F-A264-419A-8991-14A9BEE878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0" name="x_Picture 1" descr="Description: cid:image001.png@01D03949.49457930">
          <a:extLst>
            <a:ext uri="{FF2B5EF4-FFF2-40B4-BE49-F238E27FC236}">
              <a16:creationId xmlns:a16="http://schemas.microsoft.com/office/drawing/2014/main" id="{D7C9F3CD-FD54-4FCB-918D-278E1946B0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1" name="x_Picture 1" descr="Description: cid:image001.png@01D03949.49457930">
          <a:extLst>
            <a:ext uri="{FF2B5EF4-FFF2-40B4-BE49-F238E27FC236}">
              <a16:creationId xmlns:a16="http://schemas.microsoft.com/office/drawing/2014/main" id="{0C9D1ADD-47C8-431C-B6AB-8D9B1928C3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2" name="x_Picture 1" descr="Description: cid:image001.png@01D03949.49457930">
          <a:extLst>
            <a:ext uri="{FF2B5EF4-FFF2-40B4-BE49-F238E27FC236}">
              <a16:creationId xmlns:a16="http://schemas.microsoft.com/office/drawing/2014/main" id="{4BFD29A8-A56B-40EA-8FB1-75F37586EF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3" name="x_Picture 1" descr="Description: cid:image001.png@01D03949.49457930">
          <a:extLst>
            <a:ext uri="{FF2B5EF4-FFF2-40B4-BE49-F238E27FC236}">
              <a16:creationId xmlns:a16="http://schemas.microsoft.com/office/drawing/2014/main" id="{9655F888-FEC3-4D6B-A048-13CBDF41D5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4" name="x_Picture 1" descr="Description: cid:image001.png@01D03949.49457930">
          <a:extLst>
            <a:ext uri="{FF2B5EF4-FFF2-40B4-BE49-F238E27FC236}">
              <a16:creationId xmlns:a16="http://schemas.microsoft.com/office/drawing/2014/main" id="{FC9C8062-339F-47EB-8DB2-7000078618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5" name="x_Picture 1" descr="Description: cid:image001.png@01D03949.49457930">
          <a:extLst>
            <a:ext uri="{FF2B5EF4-FFF2-40B4-BE49-F238E27FC236}">
              <a16:creationId xmlns:a16="http://schemas.microsoft.com/office/drawing/2014/main" id="{71EB51B5-4306-494C-AA34-98AF0F4922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6" name="x_Picture 1" descr="Description: cid:image001.png@01D03949.49457930">
          <a:extLst>
            <a:ext uri="{FF2B5EF4-FFF2-40B4-BE49-F238E27FC236}">
              <a16:creationId xmlns:a16="http://schemas.microsoft.com/office/drawing/2014/main" id="{FDF265C3-1C81-4FFB-BF22-4AB93EC6BE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7" name="x_Picture 1" descr="Description: cid:image001.png@01D03949.49457930">
          <a:extLst>
            <a:ext uri="{FF2B5EF4-FFF2-40B4-BE49-F238E27FC236}">
              <a16:creationId xmlns:a16="http://schemas.microsoft.com/office/drawing/2014/main" id="{7F7A3B50-7FD4-4EEB-A8F0-BCA2EB8FA2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8" name="x_Picture 1" descr="Description: cid:image001.png@01D03949.49457930">
          <a:extLst>
            <a:ext uri="{FF2B5EF4-FFF2-40B4-BE49-F238E27FC236}">
              <a16:creationId xmlns:a16="http://schemas.microsoft.com/office/drawing/2014/main" id="{676525F8-3FF4-4BED-967F-C2F0FAEE4F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69" name="x_Picture 1" descr="Description: cid:image001.png@01D03949.49457930">
          <a:extLst>
            <a:ext uri="{FF2B5EF4-FFF2-40B4-BE49-F238E27FC236}">
              <a16:creationId xmlns:a16="http://schemas.microsoft.com/office/drawing/2014/main" id="{1D7BF0EE-C7E2-44B2-B29C-E0F821F3821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0" name="x_Picture 1" descr="Description: cid:image001.png@01D03949.49457930">
          <a:extLst>
            <a:ext uri="{FF2B5EF4-FFF2-40B4-BE49-F238E27FC236}">
              <a16:creationId xmlns:a16="http://schemas.microsoft.com/office/drawing/2014/main" id="{FDCFB43E-C5C2-4FD6-900E-C065BFCECF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1" name="x_Picture 1" descr="Description: cid:image001.png@01D03949.49457930">
          <a:extLst>
            <a:ext uri="{FF2B5EF4-FFF2-40B4-BE49-F238E27FC236}">
              <a16:creationId xmlns:a16="http://schemas.microsoft.com/office/drawing/2014/main" id="{83CF93B4-C031-4174-82FE-E118B7025F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2" name="x_Picture 1" descr="Description: cid:image001.png@01D03949.49457930">
          <a:extLst>
            <a:ext uri="{FF2B5EF4-FFF2-40B4-BE49-F238E27FC236}">
              <a16:creationId xmlns:a16="http://schemas.microsoft.com/office/drawing/2014/main" id="{0864B95C-140C-445A-AA4C-4C6F07C9B8F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3" name="x_Picture 1" descr="Description: cid:image001.png@01D03949.49457930">
          <a:extLst>
            <a:ext uri="{FF2B5EF4-FFF2-40B4-BE49-F238E27FC236}">
              <a16:creationId xmlns:a16="http://schemas.microsoft.com/office/drawing/2014/main" id="{AE3A044F-E861-45CB-B2A0-D80DB33596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4" name="x_Picture 1" descr="Description: cid:image001.png@01D03949.49457930">
          <a:extLst>
            <a:ext uri="{FF2B5EF4-FFF2-40B4-BE49-F238E27FC236}">
              <a16:creationId xmlns:a16="http://schemas.microsoft.com/office/drawing/2014/main" id="{FD99A9EC-3C12-454C-8554-E1570CF3D6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5" name="x_Picture 1" descr="Description: cid:image001.png@01D03949.49457930">
          <a:extLst>
            <a:ext uri="{FF2B5EF4-FFF2-40B4-BE49-F238E27FC236}">
              <a16:creationId xmlns:a16="http://schemas.microsoft.com/office/drawing/2014/main" id="{1166F0F8-40BA-4755-9238-23C274DA72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6" name="x_Picture 1" descr="Description: cid:image001.png@01D03949.49457930">
          <a:extLst>
            <a:ext uri="{FF2B5EF4-FFF2-40B4-BE49-F238E27FC236}">
              <a16:creationId xmlns:a16="http://schemas.microsoft.com/office/drawing/2014/main" id="{504FBED1-1C28-439E-9D67-F6485B2693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7" name="x_Picture 1" descr="Description: cid:image001.png@01D03949.49457930">
          <a:extLst>
            <a:ext uri="{FF2B5EF4-FFF2-40B4-BE49-F238E27FC236}">
              <a16:creationId xmlns:a16="http://schemas.microsoft.com/office/drawing/2014/main" id="{CE422F0B-673B-4F8E-A2E5-CA835E920DB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8" name="x_Picture 1" descr="Description: cid:image001.png@01D03949.49457930">
          <a:extLst>
            <a:ext uri="{FF2B5EF4-FFF2-40B4-BE49-F238E27FC236}">
              <a16:creationId xmlns:a16="http://schemas.microsoft.com/office/drawing/2014/main" id="{E929CD90-88E0-43F1-A969-AFAB6D13E8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79" name="x_Picture 1" descr="Description: cid:image001.png@01D03949.49457930">
          <a:extLst>
            <a:ext uri="{FF2B5EF4-FFF2-40B4-BE49-F238E27FC236}">
              <a16:creationId xmlns:a16="http://schemas.microsoft.com/office/drawing/2014/main" id="{11DC2ED4-2238-4E97-B688-A4AF8F77AB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0" name="x_Picture 1" descr="Description: cid:image001.png@01D03949.49457930">
          <a:extLst>
            <a:ext uri="{FF2B5EF4-FFF2-40B4-BE49-F238E27FC236}">
              <a16:creationId xmlns:a16="http://schemas.microsoft.com/office/drawing/2014/main" id="{2DE625E4-4B51-46EE-88BF-A157527C35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1" name="x_Picture 1" descr="Description: cid:image001.png@01D03949.49457930">
          <a:extLst>
            <a:ext uri="{FF2B5EF4-FFF2-40B4-BE49-F238E27FC236}">
              <a16:creationId xmlns:a16="http://schemas.microsoft.com/office/drawing/2014/main" id="{F781C83D-7656-42C1-ADA4-AAD10849C1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2" name="x_Picture 1" descr="Description: cid:image001.png@01D03949.49457930">
          <a:extLst>
            <a:ext uri="{FF2B5EF4-FFF2-40B4-BE49-F238E27FC236}">
              <a16:creationId xmlns:a16="http://schemas.microsoft.com/office/drawing/2014/main" id="{7F6119C9-27A4-47E0-8546-300F3830E2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3" name="x_Picture 1" descr="Description: cid:image001.png@01D03949.49457930">
          <a:extLst>
            <a:ext uri="{FF2B5EF4-FFF2-40B4-BE49-F238E27FC236}">
              <a16:creationId xmlns:a16="http://schemas.microsoft.com/office/drawing/2014/main" id="{FCFAD87D-9708-4C89-86FE-BB201CDBFC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4" name="x_Picture 1" descr="Description: cid:image001.png@01D03949.49457930">
          <a:extLst>
            <a:ext uri="{FF2B5EF4-FFF2-40B4-BE49-F238E27FC236}">
              <a16:creationId xmlns:a16="http://schemas.microsoft.com/office/drawing/2014/main" id="{468E458D-749D-4879-B04F-6C78C40C082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5" name="x_Picture 1" descr="Description: cid:image001.png@01D03949.49457930">
          <a:extLst>
            <a:ext uri="{FF2B5EF4-FFF2-40B4-BE49-F238E27FC236}">
              <a16:creationId xmlns:a16="http://schemas.microsoft.com/office/drawing/2014/main" id="{F1AE3279-F95B-49F5-97A5-DAAFF1363E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6" name="x_Picture 1" descr="Description: cid:image001.png@01D03949.49457930">
          <a:extLst>
            <a:ext uri="{FF2B5EF4-FFF2-40B4-BE49-F238E27FC236}">
              <a16:creationId xmlns:a16="http://schemas.microsoft.com/office/drawing/2014/main" id="{2C44F7FC-E918-478E-8F8A-E3C35A2673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7" name="x_Picture 1" descr="Description: cid:image001.png@01D03949.49457930">
          <a:extLst>
            <a:ext uri="{FF2B5EF4-FFF2-40B4-BE49-F238E27FC236}">
              <a16:creationId xmlns:a16="http://schemas.microsoft.com/office/drawing/2014/main" id="{91477798-C062-47EF-B58A-41A4A645F0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8" name="x_Picture 1" descr="Description: cid:image001.png@01D03949.49457930">
          <a:extLst>
            <a:ext uri="{FF2B5EF4-FFF2-40B4-BE49-F238E27FC236}">
              <a16:creationId xmlns:a16="http://schemas.microsoft.com/office/drawing/2014/main" id="{B4138A0B-1204-41C2-BF5D-BAD6191716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9" name="x_Picture 1" descr="Description: cid:image001.png@01D03949.49457930">
          <a:extLst>
            <a:ext uri="{FF2B5EF4-FFF2-40B4-BE49-F238E27FC236}">
              <a16:creationId xmlns:a16="http://schemas.microsoft.com/office/drawing/2014/main" id="{AF626AEA-D57F-4355-92A0-2CC3EA6CC4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0" name="x_Picture 1" descr="Description: cid:image001.png@01D03949.49457930">
          <a:extLst>
            <a:ext uri="{FF2B5EF4-FFF2-40B4-BE49-F238E27FC236}">
              <a16:creationId xmlns:a16="http://schemas.microsoft.com/office/drawing/2014/main" id="{32C099ED-EBD1-4475-BA89-114D89CCAC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1" name="x_Picture 1" descr="Description: cid:image001.png@01D03949.49457930">
          <a:extLst>
            <a:ext uri="{FF2B5EF4-FFF2-40B4-BE49-F238E27FC236}">
              <a16:creationId xmlns:a16="http://schemas.microsoft.com/office/drawing/2014/main" id="{DEBEABED-54D3-4CE7-8E97-E34FD79E13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2" name="x_Picture 1" descr="Description: cid:image001.png@01D03949.49457930">
          <a:extLst>
            <a:ext uri="{FF2B5EF4-FFF2-40B4-BE49-F238E27FC236}">
              <a16:creationId xmlns:a16="http://schemas.microsoft.com/office/drawing/2014/main" id="{C6E16D94-7010-4F2F-8865-763736B9B0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3" name="x_Picture 1" descr="Description: cid:image001.png@01D03949.49457930">
          <a:extLst>
            <a:ext uri="{FF2B5EF4-FFF2-40B4-BE49-F238E27FC236}">
              <a16:creationId xmlns:a16="http://schemas.microsoft.com/office/drawing/2014/main" id="{B7F6EA97-3261-4494-A8DA-D49904623F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4" name="x_Picture 1" descr="Description: cid:image001.png@01D03949.49457930">
          <a:extLst>
            <a:ext uri="{FF2B5EF4-FFF2-40B4-BE49-F238E27FC236}">
              <a16:creationId xmlns:a16="http://schemas.microsoft.com/office/drawing/2014/main" id="{53C502EA-89CF-437D-A28E-020EF3287F96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5" name="x_Picture 1" descr="Description: cid:image001.png@01D03949.49457930">
          <a:extLst>
            <a:ext uri="{FF2B5EF4-FFF2-40B4-BE49-F238E27FC236}">
              <a16:creationId xmlns:a16="http://schemas.microsoft.com/office/drawing/2014/main" id="{7F38EECE-51A2-452D-BC7D-F996312CAD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6" name="x_Picture 1" descr="Description: cid:image001.png@01D03949.49457930">
          <a:extLst>
            <a:ext uri="{FF2B5EF4-FFF2-40B4-BE49-F238E27FC236}">
              <a16:creationId xmlns:a16="http://schemas.microsoft.com/office/drawing/2014/main" id="{816CB107-1C1C-42EF-91B6-BCF75F67EF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7" name="x_Picture 1" descr="Description: cid:image001.png@01D03949.49457930">
          <a:extLst>
            <a:ext uri="{FF2B5EF4-FFF2-40B4-BE49-F238E27FC236}">
              <a16:creationId xmlns:a16="http://schemas.microsoft.com/office/drawing/2014/main" id="{4BECAB45-AD6A-4062-90A4-6BD4E46A09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8" name="x_Picture 1" descr="Description: cid:image001.png@01D03949.49457930">
          <a:extLst>
            <a:ext uri="{FF2B5EF4-FFF2-40B4-BE49-F238E27FC236}">
              <a16:creationId xmlns:a16="http://schemas.microsoft.com/office/drawing/2014/main" id="{EA9BFF1E-210D-451A-8725-548B39E421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9" name="x_Picture 1" descr="Description: cid:image001.png@01D03949.49457930">
          <a:extLst>
            <a:ext uri="{FF2B5EF4-FFF2-40B4-BE49-F238E27FC236}">
              <a16:creationId xmlns:a16="http://schemas.microsoft.com/office/drawing/2014/main" id="{54C8A46C-E48C-44F1-96B7-435514DC50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0" name="x_Picture 1" descr="Description: cid:image001.png@01D03949.49457930">
          <a:extLst>
            <a:ext uri="{FF2B5EF4-FFF2-40B4-BE49-F238E27FC236}">
              <a16:creationId xmlns:a16="http://schemas.microsoft.com/office/drawing/2014/main" id="{C100C02B-8DAA-418B-883C-2068A1F763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1" name="x_Picture 1" descr="Description: cid:image001.png@01D03949.49457930">
          <a:extLst>
            <a:ext uri="{FF2B5EF4-FFF2-40B4-BE49-F238E27FC236}">
              <a16:creationId xmlns:a16="http://schemas.microsoft.com/office/drawing/2014/main" id="{1D092A29-A4D7-48CD-B64D-D37796B577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2" name="x_Picture 1" descr="Description: cid:image001.png@01D03949.49457930">
          <a:extLst>
            <a:ext uri="{FF2B5EF4-FFF2-40B4-BE49-F238E27FC236}">
              <a16:creationId xmlns:a16="http://schemas.microsoft.com/office/drawing/2014/main" id="{604B457B-A11D-4F07-9C60-7498C3E5E2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3" name="x_Picture 1" descr="Description: cid:image001.png@01D03949.49457930">
          <a:extLst>
            <a:ext uri="{FF2B5EF4-FFF2-40B4-BE49-F238E27FC236}">
              <a16:creationId xmlns:a16="http://schemas.microsoft.com/office/drawing/2014/main" id="{9176845D-AE9E-4455-86EB-2015C0D26B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4" name="x_Picture 1" descr="Description: cid:image001.png@01D03949.49457930">
          <a:extLst>
            <a:ext uri="{FF2B5EF4-FFF2-40B4-BE49-F238E27FC236}">
              <a16:creationId xmlns:a16="http://schemas.microsoft.com/office/drawing/2014/main" id="{92A0A8BB-4F91-421A-86F3-5ECF8A382A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5" name="x_Picture 1" descr="Description: cid:image001.png@01D03949.49457930">
          <a:extLst>
            <a:ext uri="{FF2B5EF4-FFF2-40B4-BE49-F238E27FC236}">
              <a16:creationId xmlns:a16="http://schemas.microsoft.com/office/drawing/2014/main" id="{30214171-4029-4080-879B-690688C6BE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6" name="x_Picture 1" descr="Description: cid:image001.png@01D03949.49457930">
          <a:extLst>
            <a:ext uri="{FF2B5EF4-FFF2-40B4-BE49-F238E27FC236}">
              <a16:creationId xmlns:a16="http://schemas.microsoft.com/office/drawing/2014/main" id="{01BCBD0B-4122-4C4B-AFE4-5B8D34CEF0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7" name="x_Picture 1" descr="Description: cid:image001.png@01D03949.49457930">
          <a:extLst>
            <a:ext uri="{FF2B5EF4-FFF2-40B4-BE49-F238E27FC236}">
              <a16:creationId xmlns:a16="http://schemas.microsoft.com/office/drawing/2014/main" id="{F1899D1F-0CC6-4789-9F11-A315F46AA8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8" name="x_Picture 1" descr="Description: cid:image001.png@01D03949.49457930">
          <a:extLst>
            <a:ext uri="{FF2B5EF4-FFF2-40B4-BE49-F238E27FC236}">
              <a16:creationId xmlns:a16="http://schemas.microsoft.com/office/drawing/2014/main" id="{0ED37A36-5939-490F-B6C6-70F7B712FA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09" name="x_Picture 1" descr="Description: cid:image001.png@01D03949.49457930">
          <a:extLst>
            <a:ext uri="{FF2B5EF4-FFF2-40B4-BE49-F238E27FC236}">
              <a16:creationId xmlns:a16="http://schemas.microsoft.com/office/drawing/2014/main" id="{57699A7F-48FE-4117-8FF4-B3FA2D344F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0" name="x_Picture 1" descr="Description: cid:image001.png@01D03949.49457930">
          <a:extLst>
            <a:ext uri="{FF2B5EF4-FFF2-40B4-BE49-F238E27FC236}">
              <a16:creationId xmlns:a16="http://schemas.microsoft.com/office/drawing/2014/main" id="{74F37B6E-BD8D-44F5-8ABD-2558B716ED1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1" name="x_Picture 1" descr="Description: cid:image001.png@01D03949.49457930">
          <a:extLst>
            <a:ext uri="{FF2B5EF4-FFF2-40B4-BE49-F238E27FC236}">
              <a16:creationId xmlns:a16="http://schemas.microsoft.com/office/drawing/2014/main" id="{EAE39B5C-E0A5-4209-A37D-48E3F58DFF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2" name="x_Picture 1" descr="Description: cid:image001.png@01D03949.49457930">
          <a:extLst>
            <a:ext uri="{FF2B5EF4-FFF2-40B4-BE49-F238E27FC236}">
              <a16:creationId xmlns:a16="http://schemas.microsoft.com/office/drawing/2014/main" id="{D8DB913D-FBE5-45B3-871A-22EFD26009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3" name="x_Picture 1" descr="Description: cid:image001.png@01D03949.49457930">
          <a:extLst>
            <a:ext uri="{FF2B5EF4-FFF2-40B4-BE49-F238E27FC236}">
              <a16:creationId xmlns:a16="http://schemas.microsoft.com/office/drawing/2014/main" id="{4C1B7A30-68B9-420E-8674-DFF8938FCD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4" name="x_Picture 1" descr="Description: cid:image001.png@01D03949.49457930">
          <a:extLst>
            <a:ext uri="{FF2B5EF4-FFF2-40B4-BE49-F238E27FC236}">
              <a16:creationId xmlns:a16="http://schemas.microsoft.com/office/drawing/2014/main" id="{CB047E37-6129-48F6-9A8B-FC22970403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5" name="x_Picture 1" descr="Description: cid:image001.png@01D03949.49457930">
          <a:extLst>
            <a:ext uri="{FF2B5EF4-FFF2-40B4-BE49-F238E27FC236}">
              <a16:creationId xmlns:a16="http://schemas.microsoft.com/office/drawing/2014/main" id="{A80318DA-0A17-4D97-BEB2-B39E4DB7E9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6" name="x_Picture 1" descr="Description: cid:image001.png@01D03949.49457930">
          <a:extLst>
            <a:ext uri="{FF2B5EF4-FFF2-40B4-BE49-F238E27FC236}">
              <a16:creationId xmlns:a16="http://schemas.microsoft.com/office/drawing/2014/main" id="{DC423AE7-A584-425E-840B-3EBE0809B5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7" name="x_Picture 1" descr="Description: cid:image001.png@01D03949.49457930">
          <a:extLst>
            <a:ext uri="{FF2B5EF4-FFF2-40B4-BE49-F238E27FC236}">
              <a16:creationId xmlns:a16="http://schemas.microsoft.com/office/drawing/2014/main" id="{DEF10A4C-C47C-46A9-B0B0-8EEB2D3BB2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8" name="x_Picture 1" descr="Description: cid:image001.png@01D03949.49457930">
          <a:extLst>
            <a:ext uri="{FF2B5EF4-FFF2-40B4-BE49-F238E27FC236}">
              <a16:creationId xmlns:a16="http://schemas.microsoft.com/office/drawing/2014/main" id="{CAE828A0-DEFC-481E-B1D3-766A18664256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19" name="x_Picture 1" descr="Description: cid:image001.png@01D03949.49457930">
          <a:extLst>
            <a:ext uri="{FF2B5EF4-FFF2-40B4-BE49-F238E27FC236}">
              <a16:creationId xmlns:a16="http://schemas.microsoft.com/office/drawing/2014/main" id="{59FAED44-D327-4827-89CE-EFC6D5BC34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20" name="x_Picture 1" descr="Description: cid:image001.png@01D03949.49457930">
          <a:extLst>
            <a:ext uri="{FF2B5EF4-FFF2-40B4-BE49-F238E27FC236}">
              <a16:creationId xmlns:a16="http://schemas.microsoft.com/office/drawing/2014/main" id="{E3F93470-955B-4CAF-A45D-264BB8A33F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21" name="x_Picture 1" descr="Description: cid:image001.png@01D03949.49457930">
          <a:extLst>
            <a:ext uri="{FF2B5EF4-FFF2-40B4-BE49-F238E27FC236}">
              <a16:creationId xmlns:a16="http://schemas.microsoft.com/office/drawing/2014/main" id="{63B6158A-C78B-477B-A925-86EE1960E4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22" name="x_Picture 1" descr="Description: cid:image001.png@01D03949.49457930">
          <a:extLst>
            <a:ext uri="{FF2B5EF4-FFF2-40B4-BE49-F238E27FC236}">
              <a16:creationId xmlns:a16="http://schemas.microsoft.com/office/drawing/2014/main" id="{6BE10244-E235-4FF7-9DAC-5CCABE2757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23" name="x_Picture 1" descr="Description: cid:image001.png@01D03949.49457930">
          <a:extLst>
            <a:ext uri="{FF2B5EF4-FFF2-40B4-BE49-F238E27FC236}">
              <a16:creationId xmlns:a16="http://schemas.microsoft.com/office/drawing/2014/main" id="{3085F34B-BD66-4899-87F5-08007B1DF92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24" name="x_Picture 1" descr="Description: cid:image001.png@01D03949.49457930">
          <a:extLst>
            <a:ext uri="{FF2B5EF4-FFF2-40B4-BE49-F238E27FC236}">
              <a16:creationId xmlns:a16="http://schemas.microsoft.com/office/drawing/2014/main" id="{6E0BD9DA-C1DC-4D1C-A688-F25A9C0B21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25" name="x_Picture 1" descr="Description: cid:image001.png@01D03949.49457930">
          <a:extLst>
            <a:ext uri="{FF2B5EF4-FFF2-40B4-BE49-F238E27FC236}">
              <a16:creationId xmlns:a16="http://schemas.microsoft.com/office/drawing/2014/main" id="{F2441F1F-D889-43FE-B275-DDEDA8A206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0</xdr:row>
      <xdr:rowOff>0</xdr:rowOff>
    </xdr:from>
    <xdr:ext cx="279605" cy="315045"/>
    <xdr:sp macro="" textlink="">
      <xdr:nvSpPr>
        <xdr:cNvPr id="426" name="x_Picture 1" descr="Description: cid:image001.png@01D03949.49457930">
          <a:extLst>
            <a:ext uri="{FF2B5EF4-FFF2-40B4-BE49-F238E27FC236}">
              <a16:creationId xmlns:a16="http://schemas.microsoft.com/office/drawing/2014/main" id="{51C138D9-D29B-4E1F-8198-C5FF6ACD2A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27" name="x_Picture 1" descr="Description: cid:image001.png@01D03949.49457930">
          <a:extLst>
            <a:ext uri="{FF2B5EF4-FFF2-40B4-BE49-F238E27FC236}">
              <a16:creationId xmlns:a16="http://schemas.microsoft.com/office/drawing/2014/main" id="{0DC06856-750C-49E5-A8E8-0CA50AB4ED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28" name="x_Picture 1" descr="Description: cid:image001.png@01D03949.49457930">
          <a:extLst>
            <a:ext uri="{FF2B5EF4-FFF2-40B4-BE49-F238E27FC236}">
              <a16:creationId xmlns:a16="http://schemas.microsoft.com/office/drawing/2014/main" id="{6F992EAA-1560-4122-B7CD-C6757FD4AD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0" name="x_Picture 1" descr="Description: cid:image001.png@01D03949.49457930">
          <a:extLst>
            <a:ext uri="{FF2B5EF4-FFF2-40B4-BE49-F238E27FC236}">
              <a16:creationId xmlns:a16="http://schemas.microsoft.com/office/drawing/2014/main" id="{409F8211-530D-400C-AB45-65DCD62EABA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1" name="x_Picture 1" descr="Description: cid:image001.png@01D03949.49457930">
          <a:extLst>
            <a:ext uri="{FF2B5EF4-FFF2-40B4-BE49-F238E27FC236}">
              <a16:creationId xmlns:a16="http://schemas.microsoft.com/office/drawing/2014/main" id="{6EEF3ED2-4004-422A-A8A6-070F3FE782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2" name="x_Picture 1" descr="Description: cid:image001.png@01D03949.49457930">
          <a:extLst>
            <a:ext uri="{FF2B5EF4-FFF2-40B4-BE49-F238E27FC236}">
              <a16:creationId xmlns:a16="http://schemas.microsoft.com/office/drawing/2014/main" id="{9E6A4451-EF30-4EAB-9097-8F649E08DA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3" name="x_Picture 1" descr="Description: cid:image001.png@01D03949.49457930">
          <a:extLst>
            <a:ext uri="{FF2B5EF4-FFF2-40B4-BE49-F238E27FC236}">
              <a16:creationId xmlns:a16="http://schemas.microsoft.com/office/drawing/2014/main" id="{7D362A9B-A420-4655-B7B6-4E07E78C75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4" name="x_Picture 1" descr="Description: cid:image001.png@01D03949.49457930">
          <a:extLst>
            <a:ext uri="{FF2B5EF4-FFF2-40B4-BE49-F238E27FC236}">
              <a16:creationId xmlns:a16="http://schemas.microsoft.com/office/drawing/2014/main" id="{D289BC03-B4F9-4238-8E22-0C260174AC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5" name="x_Picture 1" descr="Description: cid:image001.png@01D03949.49457930">
          <a:extLst>
            <a:ext uri="{FF2B5EF4-FFF2-40B4-BE49-F238E27FC236}">
              <a16:creationId xmlns:a16="http://schemas.microsoft.com/office/drawing/2014/main" id="{983AFEAE-3A9E-4518-B330-B7A1F851F2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6" name="x_Picture 1" descr="Description: cid:image001.png@01D03949.49457930">
          <a:extLst>
            <a:ext uri="{FF2B5EF4-FFF2-40B4-BE49-F238E27FC236}">
              <a16:creationId xmlns:a16="http://schemas.microsoft.com/office/drawing/2014/main" id="{EB9523DB-4F64-49F0-A26D-9D3660B46A2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7" name="x_Picture 1" descr="Description: cid:image001.png@01D03949.49457930">
          <a:extLst>
            <a:ext uri="{FF2B5EF4-FFF2-40B4-BE49-F238E27FC236}">
              <a16:creationId xmlns:a16="http://schemas.microsoft.com/office/drawing/2014/main" id="{97333E31-5E55-48AB-92B2-08292A5346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8" name="x_Picture 1" descr="Description: cid:image001.png@01D03949.49457930">
          <a:extLst>
            <a:ext uri="{FF2B5EF4-FFF2-40B4-BE49-F238E27FC236}">
              <a16:creationId xmlns:a16="http://schemas.microsoft.com/office/drawing/2014/main" id="{4D31C4BA-D1D3-4F72-AE4D-2C5A290D5C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49" name="x_Picture 1" descr="Description: cid:image001.png@01D03949.49457930">
          <a:extLst>
            <a:ext uri="{FF2B5EF4-FFF2-40B4-BE49-F238E27FC236}">
              <a16:creationId xmlns:a16="http://schemas.microsoft.com/office/drawing/2014/main" id="{727E5A6C-061D-4BD3-A9DA-9ABB9FD3DE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0" name="x_Picture 1" descr="Description: cid:image001.png@01D03949.49457930">
          <a:extLst>
            <a:ext uri="{FF2B5EF4-FFF2-40B4-BE49-F238E27FC236}">
              <a16:creationId xmlns:a16="http://schemas.microsoft.com/office/drawing/2014/main" id="{DC25F96A-A364-4DF9-871E-A38C951219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1" name="x_Picture 1" descr="Description: cid:image001.png@01D03949.49457930">
          <a:extLst>
            <a:ext uri="{FF2B5EF4-FFF2-40B4-BE49-F238E27FC236}">
              <a16:creationId xmlns:a16="http://schemas.microsoft.com/office/drawing/2014/main" id="{C94B0A5C-135D-4782-937E-89E3D16740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2" name="x_Picture 1" descr="Description: cid:image001.png@01D03949.49457930">
          <a:extLst>
            <a:ext uri="{FF2B5EF4-FFF2-40B4-BE49-F238E27FC236}">
              <a16:creationId xmlns:a16="http://schemas.microsoft.com/office/drawing/2014/main" id="{1A7E5055-FCB4-45DE-9B64-E86F868CB1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3" name="x_Picture 1" descr="Description: cid:image001.png@01D03949.49457930">
          <a:extLst>
            <a:ext uri="{FF2B5EF4-FFF2-40B4-BE49-F238E27FC236}">
              <a16:creationId xmlns:a16="http://schemas.microsoft.com/office/drawing/2014/main" id="{22064D3F-9922-46F1-9443-7F85B79207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4" name="x_Picture 1" descr="Description: cid:image001.png@01D03949.49457930">
          <a:extLst>
            <a:ext uri="{FF2B5EF4-FFF2-40B4-BE49-F238E27FC236}">
              <a16:creationId xmlns:a16="http://schemas.microsoft.com/office/drawing/2014/main" id="{85A89B26-5AF3-4313-B87E-14D1A15ED9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5" name="x_Picture 1" descr="Description: cid:image001.png@01D03949.49457930">
          <a:extLst>
            <a:ext uri="{FF2B5EF4-FFF2-40B4-BE49-F238E27FC236}">
              <a16:creationId xmlns:a16="http://schemas.microsoft.com/office/drawing/2014/main" id="{CD93942C-91EC-45A7-BBAA-D48AA1AF93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6" name="x_Picture 1" descr="Description: cid:image001.png@01D03949.49457930">
          <a:extLst>
            <a:ext uri="{FF2B5EF4-FFF2-40B4-BE49-F238E27FC236}">
              <a16:creationId xmlns:a16="http://schemas.microsoft.com/office/drawing/2014/main" id="{A08280D1-8258-4DB8-9F2F-73BAF27C5C4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7" name="x_Picture 1" descr="Description: cid:image001.png@01D03949.49457930">
          <a:extLst>
            <a:ext uri="{FF2B5EF4-FFF2-40B4-BE49-F238E27FC236}">
              <a16:creationId xmlns:a16="http://schemas.microsoft.com/office/drawing/2014/main" id="{94D8E5B3-52C8-42EF-ADDA-9773259086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8" name="x_Picture 1" descr="Description: cid:image001.png@01D03949.49457930">
          <a:extLst>
            <a:ext uri="{FF2B5EF4-FFF2-40B4-BE49-F238E27FC236}">
              <a16:creationId xmlns:a16="http://schemas.microsoft.com/office/drawing/2014/main" id="{8E0C833F-63B8-4CF3-AA2C-5E467A17C1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59" name="x_Picture 1" descr="Description: cid:image001.png@01D03949.49457930">
          <a:extLst>
            <a:ext uri="{FF2B5EF4-FFF2-40B4-BE49-F238E27FC236}">
              <a16:creationId xmlns:a16="http://schemas.microsoft.com/office/drawing/2014/main" id="{373F8A15-ECF1-4CC4-BD50-33B56D6C03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0" name="x_Picture 1" descr="Description: cid:image001.png@01D03949.49457930">
          <a:extLst>
            <a:ext uri="{FF2B5EF4-FFF2-40B4-BE49-F238E27FC236}">
              <a16:creationId xmlns:a16="http://schemas.microsoft.com/office/drawing/2014/main" id="{F12812F6-8637-476A-A266-76DFB2D09E0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1" name="x_Picture 1" descr="Description: cid:image001.png@01D03949.49457930">
          <a:extLst>
            <a:ext uri="{FF2B5EF4-FFF2-40B4-BE49-F238E27FC236}">
              <a16:creationId xmlns:a16="http://schemas.microsoft.com/office/drawing/2014/main" id="{D1657355-729E-4391-8D9E-6B37EA37565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2" name="x_Picture 1" descr="Description: cid:image001.png@01D03949.49457930">
          <a:extLst>
            <a:ext uri="{FF2B5EF4-FFF2-40B4-BE49-F238E27FC236}">
              <a16:creationId xmlns:a16="http://schemas.microsoft.com/office/drawing/2014/main" id="{FD83FE37-455C-403E-997B-41DD796153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3" name="x_Picture 1" descr="Description: cid:image001.png@01D03949.49457930">
          <a:extLst>
            <a:ext uri="{FF2B5EF4-FFF2-40B4-BE49-F238E27FC236}">
              <a16:creationId xmlns:a16="http://schemas.microsoft.com/office/drawing/2014/main" id="{BA188699-EE5C-466E-9E95-59812B6A0BB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4" name="x_Picture 1" descr="Description: cid:image001.png@01D03949.49457930">
          <a:extLst>
            <a:ext uri="{FF2B5EF4-FFF2-40B4-BE49-F238E27FC236}">
              <a16:creationId xmlns:a16="http://schemas.microsoft.com/office/drawing/2014/main" id="{66E54C0B-9EE2-4B77-8320-E74D8D03BE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5" name="x_Picture 1" descr="Description: cid:image001.png@01D03949.49457930">
          <a:extLst>
            <a:ext uri="{FF2B5EF4-FFF2-40B4-BE49-F238E27FC236}">
              <a16:creationId xmlns:a16="http://schemas.microsoft.com/office/drawing/2014/main" id="{A22D021B-6AEC-4BB3-9F9D-B7161FF991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6" name="x_Picture 1" descr="Description: cid:image001.png@01D03949.49457930">
          <a:extLst>
            <a:ext uri="{FF2B5EF4-FFF2-40B4-BE49-F238E27FC236}">
              <a16:creationId xmlns:a16="http://schemas.microsoft.com/office/drawing/2014/main" id="{5D18E61B-BC45-468D-8B78-D8B46AAD5C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7" name="x_Picture 1" descr="Description: cid:image001.png@01D03949.49457930">
          <a:extLst>
            <a:ext uri="{FF2B5EF4-FFF2-40B4-BE49-F238E27FC236}">
              <a16:creationId xmlns:a16="http://schemas.microsoft.com/office/drawing/2014/main" id="{67CD333A-F89C-4E16-8DD2-B76672DFD9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8" name="x_Picture 1" descr="Description: cid:image001.png@01D03949.49457930">
          <a:extLst>
            <a:ext uri="{FF2B5EF4-FFF2-40B4-BE49-F238E27FC236}">
              <a16:creationId xmlns:a16="http://schemas.microsoft.com/office/drawing/2014/main" id="{56FDD8BE-1751-4742-958D-90BEDF2715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69" name="x_Picture 1" descr="Description: cid:image001.png@01D03949.49457930">
          <a:extLst>
            <a:ext uri="{FF2B5EF4-FFF2-40B4-BE49-F238E27FC236}">
              <a16:creationId xmlns:a16="http://schemas.microsoft.com/office/drawing/2014/main" id="{21A26EE8-585D-4724-BD21-F645F58557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0" name="x_Picture 1" descr="Description: cid:image001.png@01D03949.49457930">
          <a:extLst>
            <a:ext uri="{FF2B5EF4-FFF2-40B4-BE49-F238E27FC236}">
              <a16:creationId xmlns:a16="http://schemas.microsoft.com/office/drawing/2014/main" id="{8F8D0ECF-C627-4107-A889-B7DF4871C1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1" name="x_Picture 1" descr="Description: cid:image001.png@01D03949.49457930">
          <a:extLst>
            <a:ext uri="{FF2B5EF4-FFF2-40B4-BE49-F238E27FC236}">
              <a16:creationId xmlns:a16="http://schemas.microsoft.com/office/drawing/2014/main" id="{D5BE60C7-FE42-4B9B-B2BD-E08B83498D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2" name="x_Picture 1" descr="Description: cid:image001.png@01D03949.49457930">
          <a:extLst>
            <a:ext uri="{FF2B5EF4-FFF2-40B4-BE49-F238E27FC236}">
              <a16:creationId xmlns:a16="http://schemas.microsoft.com/office/drawing/2014/main" id="{C32C8432-A130-4651-9537-05963E797E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3" name="x_Picture 1" descr="Description: cid:image001.png@01D03949.49457930">
          <a:extLst>
            <a:ext uri="{FF2B5EF4-FFF2-40B4-BE49-F238E27FC236}">
              <a16:creationId xmlns:a16="http://schemas.microsoft.com/office/drawing/2014/main" id="{D4DD6DA0-BA02-4BC1-BBE6-7B7F3E030BD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4" name="x_Picture 1" descr="Description: cid:image001.png@01D03949.49457930">
          <a:extLst>
            <a:ext uri="{FF2B5EF4-FFF2-40B4-BE49-F238E27FC236}">
              <a16:creationId xmlns:a16="http://schemas.microsoft.com/office/drawing/2014/main" id="{AA19394E-41CA-4ABF-8918-30B0B6DF4A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5" name="x_Picture 1" descr="Description: cid:image001.png@01D03949.49457930">
          <a:extLst>
            <a:ext uri="{FF2B5EF4-FFF2-40B4-BE49-F238E27FC236}">
              <a16:creationId xmlns:a16="http://schemas.microsoft.com/office/drawing/2014/main" id="{C09D516D-B258-4486-89DE-1054AFA1EC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6" name="x_Picture 1" descr="Description: cid:image001.png@01D03949.49457930">
          <a:extLst>
            <a:ext uri="{FF2B5EF4-FFF2-40B4-BE49-F238E27FC236}">
              <a16:creationId xmlns:a16="http://schemas.microsoft.com/office/drawing/2014/main" id="{DC3141C9-76DB-4EC4-83C4-CADB294F08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7" name="x_Picture 1" descr="Description: cid:image001.png@01D03949.49457930">
          <a:extLst>
            <a:ext uri="{FF2B5EF4-FFF2-40B4-BE49-F238E27FC236}">
              <a16:creationId xmlns:a16="http://schemas.microsoft.com/office/drawing/2014/main" id="{6204EB91-D877-438E-8540-E507987C4F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8" name="x_Picture 1" descr="Description: cid:image001.png@01D03949.49457930">
          <a:extLst>
            <a:ext uri="{FF2B5EF4-FFF2-40B4-BE49-F238E27FC236}">
              <a16:creationId xmlns:a16="http://schemas.microsoft.com/office/drawing/2014/main" id="{FFCE7CA8-1970-4837-8E59-3FBD285F13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79" name="x_Picture 1" descr="Description: cid:image001.png@01D03949.49457930">
          <a:extLst>
            <a:ext uri="{FF2B5EF4-FFF2-40B4-BE49-F238E27FC236}">
              <a16:creationId xmlns:a16="http://schemas.microsoft.com/office/drawing/2014/main" id="{2BF2F566-46FB-4D8A-815F-63591F7C97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0" name="x_Picture 1" descr="Description: cid:image001.png@01D03949.49457930">
          <a:extLst>
            <a:ext uri="{FF2B5EF4-FFF2-40B4-BE49-F238E27FC236}">
              <a16:creationId xmlns:a16="http://schemas.microsoft.com/office/drawing/2014/main" id="{372DC06F-285D-4F62-9B66-055DF26C851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1" name="x_Picture 1" descr="Description: cid:image001.png@01D03949.49457930">
          <a:extLst>
            <a:ext uri="{FF2B5EF4-FFF2-40B4-BE49-F238E27FC236}">
              <a16:creationId xmlns:a16="http://schemas.microsoft.com/office/drawing/2014/main" id="{CAB8F4F5-6251-4E0B-9363-2FD37486C2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2" name="x_Picture 1" descr="Description: cid:image001.png@01D03949.49457930">
          <a:extLst>
            <a:ext uri="{FF2B5EF4-FFF2-40B4-BE49-F238E27FC236}">
              <a16:creationId xmlns:a16="http://schemas.microsoft.com/office/drawing/2014/main" id="{1A6C8F62-0C33-4F6D-8EC5-5545686AC36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3" name="x_Picture 1" descr="Description: cid:image001.png@01D03949.49457930">
          <a:extLst>
            <a:ext uri="{FF2B5EF4-FFF2-40B4-BE49-F238E27FC236}">
              <a16:creationId xmlns:a16="http://schemas.microsoft.com/office/drawing/2014/main" id="{D7122D7A-B262-4FB7-9CF7-49568FA30A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4" name="x_Picture 1" descr="Description: cid:image001.png@01D03949.49457930">
          <a:extLst>
            <a:ext uri="{FF2B5EF4-FFF2-40B4-BE49-F238E27FC236}">
              <a16:creationId xmlns:a16="http://schemas.microsoft.com/office/drawing/2014/main" id="{E4DC571D-6B14-4558-9954-58196D26B9B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5" name="x_Picture 1" descr="Description: cid:image001.png@01D03949.49457930">
          <a:extLst>
            <a:ext uri="{FF2B5EF4-FFF2-40B4-BE49-F238E27FC236}">
              <a16:creationId xmlns:a16="http://schemas.microsoft.com/office/drawing/2014/main" id="{4D89CAAA-9353-4869-A718-6D49757F13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6" name="x_Picture 1" descr="Description: cid:image001.png@01D03949.49457930">
          <a:extLst>
            <a:ext uri="{FF2B5EF4-FFF2-40B4-BE49-F238E27FC236}">
              <a16:creationId xmlns:a16="http://schemas.microsoft.com/office/drawing/2014/main" id="{FA377FE6-0270-4633-B847-A9F741705D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7" name="x_Picture 1" descr="Description: cid:image001.png@01D03949.49457930">
          <a:extLst>
            <a:ext uri="{FF2B5EF4-FFF2-40B4-BE49-F238E27FC236}">
              <a16:creationId xmlns:a16="http://schemas.microsoft.com/office/drawing/2014/main" id="{486ABCE9-556F-4A9D-BA88-CDDAF31F6E0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8" name="x_Picture 1" descr="Description: cid:image001.png@01D03949.49457930">
          <a:extLst>
            <a:ext uri="{FF2B5EF4-FFF2-40B4-BE49-F238E27FC236}">
              <a16:creationId xmlns:a16="http://schemas.microsoft.com/office/drawing/2014/main" id="{B444765E-6B99-4C00-B29A-5DB5A3CE63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89" name="x_Picture 1" descr="Description: cid:image001.png@01D03949.49457930">
          <a:extLst>
            <a:ext uri="{FF2B5EF4-FFF2-40B4-BE49-F238E27FC236}">
              <a16:creationId xmlns:a16="http://schemas.microsoft.com/office/drawing/2014/main" id="{91C20E01-796C-40E3-87FE-4A9BBA8A3D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0" name="x_Picture 1" descr="Description: cid:image001.png@01D03949.49457930">
          <a:extLst>
            <a:ext uri="{FF2B5EF4-FFF2-40B4-BE49-F238E27FC236}">
              <a16:creationId xmlns:a16="http://schemas.microsoft.com/office/drawing/2014/main" id="{DC96CD2F-3C79-45A2-B170-E399945DA2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1" name="x_Picture 1" descr="Description: cid:image001.png@01D03949.49457930">
          <a:extLst>
            <a:ext uri="{FF2B5EF4-FFF2-40B4-BE49-F238E27FC236}">
              <a16:creationId xmlns:a16="http://schemas.microsoft.com/office/drawing/2014/main" id="{4B94E870-F773-48A6-B99C-E6A07B2C6C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2" name="x_Picture 1" descr="Description: cid:image001.png@01D03949.49457930">
          <a:extLst>
            <a:ext uri="{FF2B5EF4-FFF2-40B4-BE49-F238E27FC236}">
              <a16:creationId xmlns:a16="http://schemas.microsoft.com/office/drawing/2014/main" id="{48CE8C32-F3A8-4E00-9C78-25FCEA1B4E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3" name="x_Picture 1" descr="Description: cid:image001.png@01D03949.49457930">
          <a:extLst>
            <a:ext uri="{FF2B5EF4-FFF2-40B4-BE49-F238E27FC236}">
              <a16:creationId xmlns:a16="http://schemas.microsoft.com/office/drawing/2014/main" id="{8602636D-D486-4310-AB1A-B52A64CE32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4" name="x_Picture 1" descr="Description: cid:image001.png@01D03949.49457930">
          <a:extLst>
            <a:ext uri="{FF2B5EF4-FFF2-40B4-BE49-F238E27FC236}">
              <a16:creationId xmlns:a16="http://schemas.microsoft.com/office/drawing/2014/main" id="{E36DBF67-DA66-4E0F-BF63-AB7CDBFAD7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5" name="x_Picture 1" descr="Description: cid:image001.png@01D03949.49457930">
          <a:extLst>
            <a:ext uri="{FF2B5EF4-FFF2-40B4-BE49-F238E27FC236}">
              <a16:creationId xmlns:a16="http://schemas.microsoft.com/office/drawing/2014/main" id="{114B2C69-8CCE-41B6-8B77-7F317B436C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6" name="x_Picture 1" descr="Description: cid:image001.png@01D03949.49457930">
          <a:extLst>
            <a:ext uri="{FF2B5EF4-FFF2-40B4-BE49-F238E27FC236}">
              <a16:creationId xmlns:a16="http://schemas.microsoft.com/office/drawing/2014/main" id="{4E1D8685-1AF1-47ED-A336-2C04C55B74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7" name="x_Picture 1" descr="Description: cid:image001.png@01D03949.49457930">
          <a:extLst>
            <a:ext uri="{FF2B5EF4-FFF2-40B4-BE49-F238E27FC236}">
              <a16:creationId xmlns:a16="http://schemas.microsoft.com/office/drawing/2014/main" id="{2F481ADE-0EFB-4AA3-909D-DA9478DA8BF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8" name="x_Picture 1" descr="Description: cid:image001.png@01D03949.49457930">
          <a:extLst>
            <a:ext uri="{FF2B5EF4-FFF2-40B4-BE49-F238E27FC236}">
              <a16:creationId xmlns:a16="http://schemas.microsoft.com/office/drawing/2014/main" id="{C0CCB7DD-76B4-4B20-9D83-9DF6579A46C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499" name="x_Picture 1" descr="Description: cid:image001.png@01D03949.49457930">
          <a:extLst>
            <a:ext uri="{FF2B5EF4-FFF2-40B4-BE49-F238E27FC236}">
              <a16:creationId xmlns:a16="http://schemas.microsoft.com/office/drawing/2014/main" id="{C2D72CBE-073D-4606-8132-33ED92DCA4B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0" name="x_Picture 1" descr="Description: cid:image001.png@01D03949.49457930">
          <a:extLst>
            <a:ext uri="{FF2B5EF4-FFF2-40B4-BE49-F238E27FC236}">
              <a16:creationId xmlns:a16="http://schemas.microsoft.com/office/drawing/2014/main" id="{F3280C1E-5CDF-4F90-822D-CE75E3D367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1" name="x_Picture 1" descr="Description: cid:image001.png@01D03949.49457930">
          <a:extLst>
            <a:ext uri="{FF2B5EF4-FFF2-40B4-BE49-F238E27FC236}">
              <a16:creationId xmlns:a16="http://schemas.microsoft.com/office/drawing/2014/main" id="{0967A09E-D3C1-4D74-8706-2FF47C4B9A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2" name="x_Picture 1" descr="Description: cid:image001.png@01D03949.49457930">
          <a:extLst>
            <a:ext uri="{FF2B5EF4-FFF2-40B4-BE49-F238E27FC236}">
              <a16:creationId xmlns:a16="http://schemas.microsoft.com/office/drawing/2014/main" id="{BDC4FFF5-B0A6-4A79-8FCF-3BBCC5EA394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3" name="x_Picture 1" descr="Description: cid:image001.png@01D03949.49457930">
          <a:extLst>
            <a:ext uri="{FF2B5EF4-FFF2-40B4-BE49-F238E27FC236}">
              <a16:creationId xmlns:a16="http://schemas.microsoft.com/office/drawing/2014/main" id="{B6B7B36F-A593-4ED3-A0E1-111B18C4984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4" name="x_Picture 1" descr="Description: cid:image001.png@01D03949.49457930">
          <a:extLst>
            <a:ext uri="{FF2B5EF4-FFF2-40B4-BE49-F238E27FC236}">
              <a16:creationId xmlns:a16="http://schemas.microsoft.com/office/drawing/2014/main" id="{E217DE34-35E7-4000-9785-EF9BD8B6EF7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5" name="x_Picture 1" descr="Description: cid:image001.png@01D03949.49457930">
          <a:extLst>
            <a:ext uri="{FF2B5EF4-FFF2-40B4-BE49-F238E27FC236}">
              <a16:creationId xmlns:a16="http://schemas.microsoft.com/office/drawing/2014/main" id="{5ECF5315-8D2A-44EF-BFE1-9350C513AF6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6" name="x_Picture 1" descr="Description: cid:image001.png@01D03949.49457930">
          <a:extLst>
            <a:ext uri="{FF2B5EF4-FFF2-40B4-BE49-F238E27FC236}">
              <a16:creationId xmlns:a16="http://schemas.microsoft.com/office/drawing/2014/main" id="{37800DBF-5338-4CEE-BFD8-22FCCA7A0B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7" name="x_Picture 1" descr="Description: cid:image001.png@01D03949.49457930">
          <a:extLst>
            <a:ext uri="{FF2B5EF4-FFF2-40B4-BE49-F238E27FC236}">
              <a16:creationId xmlns:a16="http://schemas.microsoft.com/office/drawing/2014/main" id="{FAB70F52-7B6B-41ED-BFF6-1003C41D57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8" name="x_Picture 1" descr="Description: cid:image001.png@01D03949.49457930">
          <a:extLst>
            <a:ext uri="{FF2B5EF4-FFF2-40B4-BE49-F238E27FC236}">
              <a16:creationId xmlns:a16="http://schemas.microsoft.com/office/drawing/2014/main" id="{14439E77-2A44-4F70-B377-6C59505CFDB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09" name="x_Picture 1" descr="Description: cid:image001.png@01D03949.49457930">
          <a:extLst>
            <a:ext uri="{FF2B5EF4-FFF2-40B4-BE49-F238E27FC236}">
              <a16:creationId xmlns:a16="http://schemas.microsoft.com/office/drawing/2014/main" id="{F8464285-02E2-4809-9542-11A76EAABD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0" name="x_Picture 1" descr="Description: cid:image001.png@01D03949.49457930">
          <a:extLst>
            <a:ext uri="{FF2B5EF4-FFF2-40B4-BE49-F238E27FC236}">
              <a16:creationId xmlns:a16="http://schemas.microsoft.com/office/drawing/2014/main" id="{B1F688D2-055F-4001-A896-B799011D36F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1" name="x_Picture 1" descr="Description: cid:image001.png@01D03949.49457930">
          <a:extLst>
            <a:ext uri="{FF2B5EF4-FFF2-40B4-BE49-F238E27FC236}">
              <a16:creationId xmlns:a16="http://schemas.microsoft.com/office/drawing/2014/main" id="{D2DDBF14-B55E-4BC3-A11C-37FA04A875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2" name="x_Picture 1" descr="Description: cid:image001.png@01D03949.49457930">
          <a:extLst>
            <a:ext uri="{FF2B5EF4-FFF2-40B4-BE49-F238E27FC236}">
              <a16:creationId xmlns:a16="http://schemas.microsoft.com/office/drawing/2014/main" id="{98B9E30D-DC46-497B-8611-AD5EA53ECA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3" name="x_Picture 1" descr="Description: cid:image001.png@01D03949.49457930">
          <a:extLst>
            <a:ext uri="{FF2B5EF4-FFF2-40B4-BE49-F238E27FC236}">
              <a16:creationId xmlns:a16="http://schemas.microsoft.com/office/drawing/2014/main" id="{2BE7BE66-A977-44B9-B583-7BD3D72B00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4" name="x_Picture 1" descr="Description: cid:image001.png@01D03949.49457930">
          <a:extLst>
            <a:ext uri="{FF2B5EF4-FFF2-40B4-BE49-F238E27FC236}">
              <a16:creationId xmlns:a16="http://schemas.microsoft.com/office/drawing/2014/main" id="{E2C74647-974A-43B3-ADDB-57B2A1D5F5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5" name="x_Picture 1" descr="Description: cid:image001.png@01D03949.49457930">
          <a:extLst>
            <a:ext uri="{FF2B5EF4-FFF2-40B4-BE49-F238E27FC236}">
              <a16:creationId xmlns:a16="http://schemas.microsoft.com/office/drawing/2014/main" id="{A6B1F50F-5516-4DD0-8CC6-438A2B6F270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6" name="x_Picture 1" descr="Description: cid:image001.png@01D03949.49457930">
          <a:extLst>
            <a:ext uri="{FF2B5EF4-FFF2-40B4-BE49-F238E27FC236}">
              <a16:creationId xmlns:a16="http://schemas.microsoft.com/office/drawing/2014/main" id="{14B1430C-227F-4F3D-A62B-61C2079ED1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7" name="x_Picture 1" descr="Description: cid:image001.png@01D03949.49457930">
          <a:extLst>
            <a:ext uri="{FF2B5EF4-FFF2-40B4-BE49-F238E27FC236}">
              <a16:creationId xmlns:a16="http://schemas.microsoft.com/office/drawing/2014/main" id="{5EB6E3AA-8A43-437D-B94C-F15858446B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8" name="x_Picture 1" descr="Description: cid:image001.png@01D03949.49457930">
          <a:extLst>
            <a:ext uri="{FF2B5EF4-FFF2-40B4-BE49-F238E27FC236}">
              <a16:creationId xmlns:a16="http://schemas.microsoft.com/office/drawing/2014/main" id="{4D4A03E7-1A56-4869-A50B-C8B58E6F24E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19" name="x_Picture 1" descr="Description: cid:image001.png@01D03949.49457930">
          <a:extLst>
            <a:ext uri="{FF2B5EF4-FFF2-40B4-BE49-F238E27FC236}">
              <a16:creationId xmlns:a16="http://schemas.microsoft.com/office/drawing/2014/main" id="{C00D97B2-C0F1-41DD-BA08-BCF4B786BAB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20" name="x_Picture 1" descr="Description: cid:image001.png@01D03949.49457930">
          <a:extLst>
            <a:ext uri="{FF2B5EF4-FFF2-40B4-BE49-F238E27FC236}">
              <a16:creationId xmlns:a16="http://schemas.microsoft.com/office/drawing/2014/main" id="{A4CEA3B1-42C7-4DBE-81F1-2C715019F8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21" name="x_Picture 1" descr="Description: cid:image001.png@01D03949.49457930">
          <a:extLst>
            <a:ext uri="{FF2B5EF4-FFF2-40B4-BE49-F238E27FC236}">
              <a16:creationId xmlns:a16="http://schemas.microsoft.com/office/drawing/2014/main" id="{43825769-60DD-44C6-8488-CE7C07A5E30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22" name="x_Picture 1" descr="Description: cid:image001.png@01D03949.49457930">
          <a:extLst>
            <a:ext uri="{FF2B5EF4-FFF2-40B4-BE49-F238E27FC236}">
              <a16:creationId xmlns:a16="http://schemas.microsoft.com/office/drawing/2014/main" id="{3AB60693-F18E-438B-877F-E6782EAD31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523" name="x_Picture 1" descr="Description: cid:image001.png@01D03949.49457930">
          <a:extLst>
            <a:ext uri="{FF2B5EF4-FFF2-40B4-BE49-F238E27FC236}">
              <a16:creationId xmlns:a16="http://schemas.microsoft.com/office/drawing/2014/main" id="{EEEA0BD9-9EEA-45F9-B0EA-727EAA4CB1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524" name="x_Picture 1" descr="Description: cid:image001.png@01D03949.49457930">
          <a:extLst>
            <a:ext uri="{FF2B5EF4-FFF2-40B4-BE49-F238E27FC236}">
              <a16:creationId xmlns:a16="http://schemas.microsoft.com/office/drawing/2014/main" id="{8C427A13-399B-441B-BBFA-72A5D80B2C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525" name="x_Picture 1" descr="Description: cid:image001.png@01D03949.49457930">
          <a:extLst>
            <a:ext uri="{FF2B5EF4-FFF2-40B4-BE49-F238E27FC236}">
              <a16:creationId xmlns:a16="http://schemas.microsoft.com/office/drawing/2014/main" id="{EB005DF8-2A6C-4217-8820-0E63FD8CAF1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526" name="x_Picture 1" descr="Description: cid:image001.png@01D03949.49457930">
          <a:extLst>
            <a:ext uri="{FF2B5EF4-FFF2-40B4-BE49-F238E27FC236}">
              <a16:creationId xmlns:a16="http://schemas.microsoft.com/office/drawing/2014/main" id="{9622E69C-6519-4FE4-BA2B-8FF90C12289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527" name="x_Picture 1" descr="Description: cid:image001.png@01D03949.49457930">
          <a:extLst>
            <a:ext uri="{FF2B5EF4-FFF2-40B4-BE49-F238E27FC236}">
              <a16:creationId xmlns:a16="http://schemas.microsoft.com/office/drawing/2014/main" id="{23A98998-C60A-47C7-905D-9C3E1FB3F6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528" name="x_Picture 1" descr="Description: cid:image001.png@01D03949.49457930">
          <a:extLst>
            <a:ext uri="{FF2B5EF4-FFF2-40B4-BE49-F238E27FC236}">
              <a16:creationId xmlns:a16="http://schemas.microsoft.com/office/drawing/2014/main" id="{DABC6FF8-94A6-4AB2-8B0C-F51398E25F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529" name="x_Picture 1" descr="Description: cid:image001.png@01D03949.49457930">
          <a:extLst>
            <a:ext uri="{FF2B5EF4-FFF2-40B4-BE49-F238E27FC236}">
              <a16:creationId xmlns:a16="http://schemas.microsoft.com/office/drawing/2014/main" id="{D570BFCA-A91E-47DE-A02B-DF60F24162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530" name="x_Picture 1" descr="Description: cid:image001.png@01D03949.49457930">
          <a:extLst>
            <a:ext uri="{FF2B5EF4-FFF2-40B4-BE49-F238E27FC236}">
              <a16:creationId xmlns:a16="http://schemas.microsoft.com/office/drawing/2014/main" id="{BDEF8CC8-ED78-4B98-A72A-1DFDE50F64D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531" name="x_Picture 1" descr="Description: cid:image001.png@01D03949.49457930">
          <a:extLst>
            <a:ext uri="{FF2B5EF4-FFF2-40B4-BE49-F238E27FC236}">
              <a16:creationId xmlns:a16="http://schemas.microsoft.com/office/drawing/2014/main" id="{38D2702B-5C03-4B7A-82B2-285DDFCE567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532" name="x_Picture 1" descr="Description: cid:image001.png@01D03949.49457930">
          <a:extLst>
            <a:ext uri="{FF2B5EF4-FFF2-40B4-BE49-F238E27FC236}">
              <a16:creationId xmlns:a16="http://schemas.microsoft.com/office/drawing/2014/main" id="{0D91DD18-D05E-45D6-A26C-892668FF07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533" name="x_Picture 1" descr="Description: cid:image001.png@01D03949.49457930">
          <a:extLst>
            <a:ext uri="{FF2B5EF4-FFF2-40B4-BE49-F238E27FC236}">
              <a16:creationId xmlns:a16="http://schemas.microsoft.com/office/drawing/2014/main" id="{B9CEC000-DA30-4959-A0B8-EB5D304DD8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534" name="x_Picture 1" descr="Description: cid:image001.png@01D03949.49457930">
          <a:extLst>
            <a:ext uri="{FF2B5EF4-FFF2-40B4-BE49-F238E27FC236}">
              <a16:creationId xmlns:a16="http://schemas.microsoft.com/office/drawing/2014/main" id="{41404C63-7A78-4A25-A293-7C51F4C8E8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535" name="x_Picture 1" descr="Description: cid:image001.png@01D03949.49457930">
          <a:extLst>
            <a:ext uri="{FF2B5EF4-FFF2-40B4-BE49-F238E27FC236}">
              <a16:creationId xmlns:a16="http://schemas.microsoft.com/office/drawing/2014/main" id="{10D0217C-F439-47A9-8EE0-A7F6BA0410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536" name="x_Picture 1" descr="Description: cid:image001.png@01D03949.49457930">
          <a:extLst>
            <a:ext uri="{FF2B5EF4-FFF2-40B4-BE49-F238E27FC236}">
              <a16:creationId xmlns:a16="http://schemas.microsoft.com/office/drawing/2014/main" id="{9DF09696-5F70-4137-ABCA-BA44B09FCF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537" name="x_Picture 1" descr="Description: cid:image001.png@01D03949.49457930">
          <a:extLst>
            <a:ext uri="{FF2B5EF4-FFF2-40B4-BE49-F238E27FC236}">
              <a16:creationId xmlns:a16="http://schemas.microsoft.com/office/drawing/2014/main" id="{55854DC4-B1F9-4326-B679-097CDB08197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538" name="x_Picture 1" descr="Description: cid:image001.png@01D03949.49457930">
          <a:extLst>
            <a:ext uri="{FF2B5EF4-FFF2-40B4-BE49-F238E27FC236}">
              <a16:creationId xmlns:a16="http://schemas.microsoft.com/office/drawing/2014/main" id="{72A64DDC-895E-46F7-B0B3-0CE43FEDD5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539" name="x_Picture 1" descr="Description: cid:image001.png@01D03949.49457930">
          <a:extLst>
            <a:ext uri="{FF2B5EF4-FFF2-40B4-BE49-F238E27FC236}">
              <a16:creationId xmlns:a16="http://schemas.microsoft.com/office/drawing/2014/main" id="{CB36249C-C753-4C67-BD18-E125310A7A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540" name="x_Picture 1" descr="Description: cid:image001.png@01D03949.49457930">
          <a:extLst>
            <a:ext uri="{FF2B5EF4-FFF2-40B4-BE49-F238E27FC236}">
              <a16:creationId xmlns:a16="http://schemas.microsoft.com/office/drawing/2014/main" id="{9A253250-5B8F-49FA-9A74-5571C9F8D3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541" name="x_Picture 1" descr="Description: cid:image001.png@01D03949.49457930">
          <a:extLst>
            <a:ext uri="{FF2B5EF4-FFF2-40B4-BE49-F238E27FC236}">
              <a16:creationId xmlns:a16="http://schemas.microsoft.com/office/drawing/2014/main" id="{B541FAB5-57A0-4E5F-9F89-72C6F28DCF1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542" name="x_Picture 1" descr="Description: cid:image001.png@01D03949.49457930">
          <a:extLst>
            <a:ext uri="{FF2B5EF4-FFF2-40B4-BE49-F238E27FC236}">
              <a16:creationId xmlns:a16="http://schemas.microsoft.com/office/drawing/2014/main" id="{658D52C6-190C-445D-89BA-A775D7666F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543" name="x_Picture 1" descr="Description: cid:image001.png@01D03949.49457930">
          <a:extLst>
            <a:ext uri="{FF2B5EF4-FFF2-40B4-BE49-F238E27FC236}">
              <a16:creationId xmlns:a16="http://schemas.microsoft.com/office/drawing/2014/main" id="{42B76583-7C8E-4D42-AC18-82B8A3D0D1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544" name="x_Picture 1" descr="Description: cid:image001.png@01D03949.49457930">
          <a:extLst>
            <a:ext uri="{FF2B5EF4-FFF2-40B4-BE49-F238E27FC236}">
              <a16:creationId xmlns:a16="http://schemas.microsoft.com/office/drawing/2014/main" id="{36D703DB-AD95-4FBC-ACCB-6251EC5D48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545" name="x_Picture 1" descr="Description: cid:image001.png@01D03949.49457930">
          <a:extLst>
            <a:ext uri="{FF2B5EF4-FFF2-40B4-BE49-F238E27FC236}">
              <a16:creationId xmlns:a16="http://schemas.microsoft.com/office/drawing/2014/main" id="{CB13DD93-7387-4054-9091-E3872BF761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546" name="x_Picture 1" descr="Description: cid:image001.png@01D03949.49457930">
          <a:extLst>
            <a:ext uri="{FF2B5EF4-FFF2-40B4-BE49-F238E27FC236}">
              <a16:creationId xmlns:a16="http://schemas.microsoft.com/office/drawing/2014/main" id="{8443E32F-88D8-46D8-9492-F5AD9F40182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547" name="x_Picture 1" descr="Description: cid:image001.png@01D03949.49457930">
          <a:extLst>
            <a:ext uri="{FF2B5EF4-FFF2-40B4-BE49-F238E27FC236}">
              <a16:creationId xmlns:a16="http://schemas.microsoft.com/office/drawing/2014/main" id="{A30FD98E-160F-46EA-819A-A1B9D79A5B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548" name="x_Picture 1" descr="Description: cid:image001.png@01D03949.49457930">
          <a:extLst>
            <a:ext uri="{FF2B5EF4-FFF2-40B4-BE49-F238E27FC236}">
              <a16:creationId xmlns:a16="http://schemas.microsoft.com/office/drawing/2014/main" id="{3D859294-451D-4C1A-9B0D-29C1ADE28D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549" name="x_Picture 1" descr="Description: cid:image001.png@01D03949.49457930">
          <a:extLst>
            <a:ext uri="{FF2B5EF4-FFF2-40B4-BE49-F238E27FC236}">
              <a16:creationId xmlns:a16="http://schemas.microsoft.com/office/drawing/2014/main" id="{1761F5B5-11ED-4B27-A16C-A93E76971A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550" name="x_Picture 1" descr="Description: cid:image001.png@01D03949.49457930">
          <a:extLst>
            <a:ext uri="{FF2B5EF4-FFF2-40B4-BE49-F238E27FC236}">
              <a16:creationId xmlns:a16="http://schemas.microsoft.com/office/drawing/2014/main" id="{828CFEFD-DD24-4F9C-AF8C-516696C8A0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551" name="x_Picture 1" descr="Description: cid:image001.png@01D03949.49457930">
          <a:extLst>
            <a:ext uri="{FF2B5EF4-FFF2-40B4-BE49-F238E27FC236}">
              <a16:creationId xmlns:a16="http://schemas.microsoft.com/office/drawing/2014/main" id="{4138398D-477C-4BD5-8722-85AD83FBD3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552" name="x_Picture 1" descr="Description: cid:image001.png@01D03949.49457930">
          <a:extLst>
            <a:ext uri="{FF2B5EF4-FFF2-40B4-BE49-F238E27FC236}">
              <a16:creationId xmlns:a16="http://schemas.microsoft.com/office/drawing/2014/main" id="{5403AEE8-DBCE-4C06-9C5C-97D584A8BA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553" name="x_Picture 1" descr="Description: cid:image001.png@01D03949.49457930">
          <a:extLst>
            <a:ext uri="{FF2B5EF4-FFF2-40B4-BE49-F238E27FC236}">
              <a16:creationId xmlns:a16="http://schemas.microsoft.com/office/drawing/2014/main" id="{751FFDFD-93C1-461A-9358-868C0F5B160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554" name="x_Picture 1" descr="Description: cid:image001.png@01D03949.49457930">
          <a:extLst>
            <a:ext uri="{FF2B5EF4-FFF2-40B4-BE49-F238E27FC236}">
              <a16:creationId xmlns:a16="http://schemas.microsoft.com/office/drawing/2014/main" id="{A77F9C39-20D4-4A31-861C-B885BA78E2C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555" name="x_Picture 1" descr="Description: cid:image001.png@01D03949.49457930">
          <a:extLst>
            <a:ext uri="{FF2B5EF4-FFF2-40B4-BE49-F238E27FC236}">
              <a16:creationId xmlns:a16="http://schemas.microsoft.com/office/drawing/2014/main" id="{D8C35369-B1C0-4454-90F9-87D316273B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556" name="x_Picture 1" descr="Description: cid:image001.png@01D03949.49457930">
          <a:extLst>
            <a:ext uri="{FF2B5EF4-FFF2-40B4-BE49-F238E27FC236}">
              <a16:creationId xmlns:a16="http://schemas.microsoft.com/office/drawing/2014/main" id="{2D31EEF7-142B-4504-AEAE-3F016AC351E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557" name="x_Picture 1" descr="Description: cid:image001.png@01D03949.49457930">
          <a:extLst>
            <a:ext uri="{FF2B5EF4-FFF2-40B4-BE49-F238E27FC236}">
              <a16:creationId xmlns:a16="http://schemas.microsoft.com/office/drawing/2014/main" id="{F9FDB5DE-74E2-4867-85A4-22326E62874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558" name="x_Picture 1" descr="Description: cid:image001.png@01D03949.49457930">
          <a:extLst>
            <a:ext uri="{FF2B5EF4-FFF2-40B4-BE49-F238E27FC236}">
              <a16:creationId xmlns:a16="http://schemas.microsoft.com/office/drawing/2014/main" id="{D18590C4-7FF2-4A02-9F09-05DB0ACAB33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559" name="x_Picture 1" descr="Description: cid:image001.png@01D03949.49457930">
          <a:extLst>
            <a:ext uri="{FF2B5EF4-FFF2-40B4-BE49-F238E27FC236}">
              <a16:creationId xmlns:a16="http://schemas.microsoft.com/office/drawing/2014/main" id="{80F8DD25-C81E-4328-8D6E-B657CB8A46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560" name="x_Picture 1" descr="Description: cid:image001.png@01D03949.49457930">
          <a:extLst>
            <a:ext uri="{FF2B5EF4-FFF2-40B4-BE49-F238E27FC236}">
              <a16:creationId xmlns:a16="http://schemas.microsoft.com/office/drawing/2014/main" id="{42E9D7E7-9137-439B-9B90-4AE88B2FB1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561" name="x_Picture 1" descr="Description: cid:image001.png@01D03949.49457930">
          <a:extLst>
            <a:ext uri="{FF2B5EF4-FFF2-40B4-BE49-F238E27FC236}">
              <a16:creationId xmlns:a16="http://schemas.microsoft.com/office/drawing/2014/main" id="{68202806-4F80-45F5-BE94-181E54F953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562" name="x_Picture 1" descr="Description: cid:image001.png@01D03949.49457930">
          <a:extLst>
            <a:ext uri="{FF2B5EF4-FFF2-40B4-BE49-F238E27FC236}">
              <a16:creationId xmlns:a16="http://schemas.microsoft.com/office/drawing/2014/main" id="{E93953F6-81DB-4904-8C08-165BEF68BA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563" name="x_Picture 1" descr="Description: cid:image001.png@01D03949.49457930">
          <a:extLst>
            <a:ext uri="{FF2B5EF4-FFF2-40B4-BE49-F238E27FC236}">
              <a16:creationId xmlns:a16="http://schemas.microsoft.com/office/drawing/2014/main" id="{22A7C04F-2CFF-462B-AFF7-B618C70CE6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564" name="x_Picture 1" descr="Description: cid:image001.png@01D03949.49457930">
          <a:extLst>
            <a:ext uri="{FF2B5EF4-FFF2-40B4-BE49-F238E27FC236}">
              <a16:creationId xmlns:a16="http://schemas.microsoft.com/office/drawing/2014/main" id="{779BA3D3-D157-44EE-83E3-B03F2791B6C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565" name="x_Picture 1" descr="Description: cid:image001.png@01D03949.49457930">
          <a:extLst>
            <a:ext uri="{FF2B5EF4-FFF2-40B4-BE49-F238E27FC236}">
              <a16:creationId xmlns:a16="http://schemas.microsoft.com/office/drawing/2014/main" id="{A008E53F-C12F-47EA-A089-A55E196A05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566" name="x_Picture 1" descr="Description: cid:image001.png@01D03949.49457930">
          <a:extLst>
            <a:ext uri="{FF2B5EF4-FFF2-40B4-BE49-F238E27FC236}">
              <a16:creationId xmlns:a16="http://schemas.microsoft.com/office/drawing/2014/main" id="{2E381EFE-D807-442E-9552-3FFA24EFF1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567" name="x_Picture 1" descr="Description: cid:image001.png@01D03949.49457930">
          <a:extLst>
            <a:ext uri="{FF2B5EF4-FFF2-40B4-BE49-F238E27FC236}">
              <a16:creationId xmlns:a16="http://schemas.microsoft.com/office/drawing/2014/main" id="{261A433F-991E-49E4-A34C-57DFDFFF79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568" name="x_Picture 1" descr="Description: cid:image001.png@01D03949.49457930">
          <a:extLst>
            <a:ext uri="{FF2B5EF4-FFF2-40B4-BE49-F238E27FC236}">
              <a16:creationId xmlns:a16="http://schemas.microsoft.com/office/drawing/2014/main" id="{F6662517-A8C8-4A59-AF2B-2B15E96447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569" name="x_Picture 1" descr="Description: cid:image001.png@01D03949.49457930">
          <a:extLst>
            <a:ext uri="{FF2B5EF4-FFF2-40B4-BE49-F238E27FC236}">
              <a16:creationId xmlns:a16="http://schemas.microsoft.com/office/drawing/2014/main" id="{FE5BE04F-2317-4059-BBAF-A055419E24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570" name="x_Picture 1" descr="Description: cid:image001.png@01D03949.49457930">
          <a:extLst>
            <a:ext uri="{FF2B5EF4-FFF2-40B4-BE49-F238E27FC236}">
              <a16:creationId xmlns:a16="http://schemas.microsoft.com/office/drawing/2014/main" id="{DAF81BFA-E226-4DDC-828D-4DB88E36C09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571" name="x_Picture 1" descr="Description: cid:image001.png@01D03949.49457930">
          <a:extLst>
            <a:ext uri="{FF2B5EF4-FFF2-40B4-BE49-F238E27FC236}">
              <a16:creationId xmlns:a16="http://schemas.microsoft.com/office/drawing/2014/main" id="{1BD46C62-FE86-4B1C-B38B-3241C0040F5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572" name="x_Picture 1" descr="Description: cid:image001.png@01D03949.49457930">
          <a:extLst>
            <a:ext uri="{FF2B5EF4-FFF2-40B4-BE49-F238E27FC236}">
              <a16:creationId xmlns:a16="http://schemas.microsoft.com/office/drawing/2014/main" id="{A393A028-0311-49A3-B5D5-CAB1855B38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573" name="x_Picture 1" descr="Description: cid:image001.png@01D03949.49457930">
          <a:extLst>
            <a:ext uri="{FF2B5EF4-FFF2-40B4-BE49-F238E27FC236}">
              <a16:creationId xmlns:a16="http://schemas.microsoft.com/office/drawing/2014/main" id="{94EE0CCE-5E91-4247-94D2-627B902189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574" name="x_Picture 1" descr="Description: cid:image001.png@01D03949.49457930">
          <a:extLst>
            <a:ext uri="{FF2B5EF4-FFF2-40B4-BE49-F238E27FC236}">
              <a16:creationId xmlns:a16="http://schemas.microsoft.com/office/drawing/2014/main" id="{727AB909-3207-4A5B-B3FF-11587A28DA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575" name="x_Picture 1" descr="Description: cid:image001.png@01D03949.49457930">
          <a:extLst>
            <a:ext uri="{FF2B5EF4-FFF2-40B4-BE49-F238E27FC236}">
              <a16:creationId xmlns:a16="http://schemas.microsoft.com/office/drawing/2014/main" id="{47BB2B25-020D-4A0F-93B1-FA5E40B19B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576" name="x_Picture 1" descr="Description: cid:image001.png@01D03949.49457930">
          <a:extLst>
            <a:ext uri="{FF2B5EF4-FFF2-40B4-BE49-F238E27FC236}">
              <a16:creationId xmlns:a16="http://schemas.microsoft.com/office/drawing/2014/main" id="{F8024F38-2903-4E70-BFE4-1862DE9AC5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577" name="x_Picture 1" descr="Description: cid:image001.png@01D03949.49457930">
          <a:extLst>
            <a:ext uri="{FF2B5EF4-FFF2-40B4-BE49-F238E27FC236}">
              <a16:creationId xmlns:a16="http://schemas.microsoft.com/office/drawing/2014/main" id="{422B61BA-E996-42DD-89D1-48B7030870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578" name="x_Picture 1" descr="Description: cid:image001.png@01D03949.49457930">
          <a:extLst>
            <a:ext uri="{FF2B5EF4-FFF2-40B4-BE49-F238E27FC236}">
              <a16:creationId xmlns:a16="http://schemas.microsoft.com/office/drawing/2014/main" id="{D5B44D52-642D-4F63-9CE0-95F8C31094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579" name="x_Picture 1" descr="Description: cid:image001.png@01D03949.49457930">
          <a:extLst>
            <a:ext uri="{FF2B5EF4-FFF2-40B4-BE49-F238E27FC236}">
              <a16:creationId xmlns:a16="http://schemas.microsoft.com/office/drawing/2014/main" id="{3966CEA8-B9E9-4F71-8943-D2D7BE7768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580" name="x_Picture 1" descr="Description: cid:image001.png@01D03949.49457930">
          <a:extLst>
            <a:ext uri="{FF2B5EF4-FFF2-40B4-BE49-F238E27FC236}">
              <a16:creationId xmlns:a16="http://schemas.microsoft.com/office/drawing/2014/main" id="{71905B35-DAE3-495D-AAD0-67A65A7E18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581" name="x_Picture 1" descr="Description: cid:image001.png@01D03949.49457930">
          <a:extLst>
            <a:ext uri="{FF2B5EF4-FFF2-40B4-BE49-F238E27FC236}">
              <a16:creationId xmlns:a16="http://schemas.microsoft.com/office/drawing/2014/main" id="{A53AA7CD-E87D-4945-A3F8-732C5728754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582" name="x_Picture 1" descr="Description: cid:image001.png@01D03949.49457930">
          <a:extLst>
            <a:ext uri="{FF2B5EF4-FFF2-40B4-BE49-F238E27FC236}">
              <a16:creationId xmlns:a16="http://schemas.microsoft.com/office/drawing/2014/main" id="{41ABB3BA-305E-4653-8CEA-9D78E6CC90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583" name="x_Picture 1" descr="Description: cid:image001.png@01D03949.49457930">
          <a:extLst>
            <a:ext uri="{FF2B5EF4-FFF2-40B4-BE49-F238E27FC236}">
              <a16:creationId xmlns:a16="http://schemas.microsoft.com/office/drawing/2014/main" id="{18633389-A854-4352-9D33-312109EBAF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584" name="x_Picture 1" descr="Description: cid:image001.png@01D03949.49457930">
          <a:extLst>
            <a:ext uri="{FF2B5EF4-FFF2-40B4-BE49-F238E27FC236}">
              <a16:creationId xmlns:a16="http://schemas.microsoft.com/office/drawing/2014/main" id="{4C40255D-0664-4D50-B8FD-B317B90A0E4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585" name="x_Picture 1" descr="Description: cid:image001.png@01D03949.49457930">
          <a:extLst>
            <a:ext uri="{FF2B5EF4-FFF2-40B4-BE49-F238E27FC236}">
              <a16:creationId xmlns:a16="http://schemas.microsoft.com/office/drawing/2014/main" id="{F6C19606-5997-47C2-8770-914439C69D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586" name="x_Picture 1" descr="Description: cid:image001.png@01D03949.49457930">
          <a:extLst>
            <a:ext uri="{FF2B5EF4-FFF2-40B4-BE49-F238E27FC236}">
              <a16:creationId xmlns:a16="http://schemas.microsoft.com/office/drawing/2014/main" id="{9FE608FA-E8EC-4B04-81FA-BD46F51703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587" name="x_Picture 1" descr="Description: cid:image001.png@01D03949.49457930">
          <a:extLst>
            <a:ext uri="{FF2B5EF4-FFF2-40B4-BE49-F238E27FC236}">
              <a16:creationId xmlns:a16="http://schemas.microsoft.com/office/drawing/2014/main" id="{B329A79D-D0F1-4337-B37D-8DE4AAF7E47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588" name="x_Picture 1" descr="Description: cid:image001.png@01D03949.49457930">
          <a:extLst>
            <a:ext uri="{FF2B5EF4-FFF2-40B4-BE49-F238E27FC236}">
              <a16:creationId xmlns:a16="http://schemas.microsoft.com/office/drawing/2014/main" id="{185D924E-A629-4511-8E76-B6EB1F6AA0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589" name="x_Picture 1" descr="Description: cid:image001.png@01D03949.49457930">
          <a:extLst>
            <a:ext uri="{FF2B5EF4-FFF2-40B4-BE49-F238E27FC236}">
              <a16:creationId xmlns:a16="http://schemas.microsoft.com/office/drawing/2014/main" id="{E4389489-5A10-4CD2-8EC6-A2FF077171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590" name="x_Picture 1" descr="Description: cid:image001.png@01D03949.49457930">
          <a:extLst>
            <a:ext uri="{FF2B5EF4-FFF2-40B4-BE49-F238E27FC236}">
              <a16:creationId xmlns:a16="http://schemas.microsoft.com/office/drawing/2014/main" id="{878F320C-973F-41E0-996C-83BDB4E5E7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591" name="x_Picture 1" descr="Description: cid:image001.png@01D03949.49457930">
          <a:extLst>
            <a:ext uri="{FF2B5EF4-FFF2-40B4-BE49-F238E27FC236}">
              <a16:creationId xmlns:a16="http://schemas.microsoft.com/office/drawing/2014/main" id="{2000E2C5-511A-4B31-886C-AB5A79DD2A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592" name="x_Picture 1" descr="Description: cid:image001.png@01D03949.49457930">
          <a:extLst>
            <a:ext uri="{FF2B5EF4-FFF2-40B4-BE49-F238E27FC236}">
              <a16:creationId xmlns:a16="http://schemas.microsoft.com/office/drawing/2014/main" id="{03CF61FF-7EDE-46B1-89F9-4BF01A1B42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593" name="x_Picture 1" descr="Description: cid:image001.png@01D03949.49457930">
          <a:extLst>
            <a:ext uri="{FF2B5EF4-FFF2-40B4-BE49-F238E27FC236}">
              <a16:creationId xmlns:a16="http://schemas.microsoft.com/office/drawing/2014/main" id="{05194B14-01F7-4853-93F6-AC13F18E357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594" name="x_Picture 1" descr="Description: cid:image001.png@01D03949.49457930">
          <a:extLst>
            <a:ext uri="{FF2B5EF4-FFF2-40B4-BE49-F238E27FC236}">
              <a16:creationId xmlns:a16="http://schemas.microsoft.com/office/drawing/2014/main" id="{9EBC6679-5E7B-433D-B206-ED28D9F5877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595" name="x_Picture 1" descr="Description: cid:image001.png@01D03949.49457930">
          <a:extLst>
            <a:ext uri="{FF2B5EF4-FFF2-40B4-BE49-F238E27FC236}">
              <a16:creationId xmlns:a16="http://schemas.microsoft.com/office/drawing/2014/main" id="{0E2A8578-C199-4A11-97C8-ECCA8FF4EC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596" name="x_Picture 1" descr="Description: cid:image001.png@01D03949.49457930">
          <a:extLst>
            <a:ext uri="{FF2B5EF4-FFF2-40B4-BE49-F238E27FC236}">
              <a16:creationId xmlns:a16="http://schemas.microsoft.com/office/drawing/2014/main" id="{13D8C5E6-7A3A-44B6-841F-223B35E211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597" name="x_Picture 1" descr="Description: cid:image001.png@01D03949.49457930">
          <a:extLst>
            <a:ext uri="{FF2B5EF4-FFF2-40B4-BE49-F238E27FC236}">
              <a16:creationId xmlns:a16="http://schemas.microsoft.com/office/drawing/2014/main" id="{2F63C48B-FD87-4EFF-9EE0-F2907A73FE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598" name="x_Picture 1" descr="Description: cid:image001.png@01D03949.49457930">
          <a:extLst>
            <a:ext uri="{FF2B5EF4-FFF2-40B4-BE49-F238E27FC236}">
              <a16:creationId xmlns:a16="http://schemas.microsoft.com/office/drawing/2014/main" id="{ACE31D6A-72CB-453C-B789-14D946794A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599" name="x_Picture 1" descr="Description: cid:image001.png@01D03949.49457930">
          <a:extLst>
            <a:ext uri="{FF2B5EF4-FFF2-40B4-BE49-F238E27FC236}">
              <a16:creationId xmlns:a16="http://schemas.microsoft.com/office/drawing/2014/main" id="{6A9F0119-3618-4AA4-B2D4-A0FD720F47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600" name="x_Picture 1" descr="Description: cid:image001.png@01D03949.49457930">
          <a:extLst>
            <a:ext uri="{FF2B5EF4-FFF2-40B4-BE49-F238E27FC236}">
              <a16:creationId xmlns:a16="http://schemas.microsoft.com/office/drawing/2014/main" id="{AE82FE7F-2EAD-4ED4-9EF8-CE141177C9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601" name="x_Picture 1" descr="Description: cid:image001.png@01D03949.49457930">
          <a:extLst>
            <a:ext uri="{FF2B5EF4-FFF2-40B4-BE49-F238E27FC236}">
              <a16:creationId xmlns:a16="http://schemas.microsoft.com/office/drawing/2014/main" id="{D2D1AF70-AA47-438A-9A02-8EBF26EA0F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602" name="x_Picture 1" descr="Description: cid:image001.png@01D03949.49457930">
          <a:extLst>
            <a:ext uri="{FF2B5EF4-FFF2-40B4-BE49-F238E27FC236}">
              <a16:creationId xmlns:a16="http://schemas.microsoft.com/office/drawing/2014/main" id="{86A9A1AD-B80F-40FA-B8D5-2071328F9A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603" name="x_Picture 1" descr="Description: cid:image001.png@01D03949.49457930">
          <a:extLst>
            <a:ext uri="{FF2B5EF4-FFF2-40B4-BE49-F238E27FC236}">
              <a16:creationId xmlns:a16="http://schemas.microsoft.com/office/drawing/2014/main" id="{3436BA75-9DCE-4086-A8D6-5F5808A2B77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604" name="x_Picture 1" descr="Description: cid:image001.png@01D03949.49457930">
          <a:extLst>
            <a:ext uri="{FF2B5EF4-FFF2-40B4-BE49-F238E27FC236}">
              <a16:creationId xmlns:a16="http://schemas.microsoft.com/office/drawing/2014/main" id="{2222CA9C-9565-413B-BBCD-51618641E9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605" name="x_Picture 1" descr="Description: cid:image001.png@01D03949.49457930">
          <a:extLst>
            <a:ext uri="{FF2B5EF4-FFF2-40B4-BE49-F238E27FC236}">
              <a16:creationId xmlns:a16="http://schemas.microsoft.com/office/drawing/2014/main" id="{16712230-2C7A-4E8F-A8BC-D6F95AC7C2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606" name="x_Picture 1" descr="Description: cid:image001.png@01D03949.49457930">
          <a:extLst>
            <a:ext uri="{FF2B5EF4-FFF2-40B4-BE49-F238E27FC236}">
              <a16:creationId xmlns:a16="http://schemas.microsoft.com/office/drawing/2014/main" id="{CF0D177E-F6A3-42FE-9BE6-066A0693A2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607" name="x_Picture 1" descr="Description: cid:image001.png@01D03949.49457930">
          <a:extLst>
            <a:ext uri="{FF2B5EF4-FFF2-40B4-BE49-F238E27FC236}">
              <a16:creationId xmlns:a16="http://schemas.microsoft.com/office/drawing/2014/main" id="{0BD80A20-E1F4-48BF-B60B-D7BABC977C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608" name="x_Picture 1" descr="Description: cid:image001.png@01D03949.49457930">
          <a:extLst>
            <a:ext uri="{FF2B5EF4-FFF2-40B4-BE49-F238E27FC236}">
              <a16:creationId xmlns:a16="http://schemas.microsoft.com/office/drawing/2014/main" id="{A80FA6D9-3E0F-4A63-BCE2-5DC154565E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609" name="x_Picture 1" descr="Description: cid:image001.png@01D03949.49457930">
          <a:extLst>
            <a:ext uri="{FF2B5EF4-FFF2-40B4-BE49-F238E27FC236}">
              <a16:creationId xmlns:a16="http://schemas.microsoft.com/office/drawing/2014/main" id="{AD9F687F-2CA6-4ADF-9317-EF7117FC353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610" name="x_Picture 1" descr="Description: cid:image001.png@01D03949.49457930">
          <a:extLst>
            <a:ext uri="{FF2B5EF4-FFF2-40B4-BE49-F238E27FC236}">
              <a16:creationId xmlns:a16="http://schemas.microsoft.com/office/drawing/2014/main" id="{CACA6EB2-8B98-47B3-830E-1E4B11F3E0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611" name="x_Picture 1" descr="Description: cid:image001.png@01D03949.49457930">
          <a:extLst>
            <a:ext uri="{FF2B5EF4-FFF2-40B4-BE49-F238E27FC236}">
              <a16:creationId xmlns:a16="http://schemas.microsoft.com/office/drawing/2014/main" id="{3EB5CA24-8690-4B60-B51B-1C7E137578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612" name="x_Picture 1" descr="Description: cid:image001.png@01D03949.49457930">
          <a:extLst>
            <a:ext uri="{FF2B5EF4-FFF2-40B4-BE49-F238E27FC236}">
              <a16:creationId xmlns:a16="http://schemas.microsoft.com/office/drawing/2014/main" id="{767B4754-F403-4995-90DA-2DBB3FD3DC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613" name="x_Picture 1" descr="Description: cid:image001.png@01D03949.49457930">
          <a:extLst>
            <a:ext uri="{FF2B5EF4-FFF2-40B4-BE49-F238E27FC236}">
              <a16:creationId xmlns:a16="http://schemas.microsoft.com/office/drawing/2014/main" id="{C8CC2B44-5597-4A76-8DF2-A3DBC6F193D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614" name="x_Picture 1" descr="Description: cid:image001.png@01D03949.49457930">
          <a:extLst>
            <a:ext uri="{FF2B5EF4-FFF2-40B4-BE49-F238E27FC236}">
              <a16:creationId xmlns:a16="http://schemas.microsoft.com/office/drawing/2014/main" id="{326587D4-5113-47D8-8041-640C76339A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615" name="x_Picture 1" descr="Description: cid:image001.png@01D03949.49457930">
          <a:extLst>
            <a:ext uri="{FF2B5EF4-FFF2-40B4-BE49-F238E27FC236}">
              <a16:creationId xmlns:a16="http://schemas.microsoft.com/office/drawing/2014/main" id="{F7A3BEEE-2401-4290-A8B7-9BB1964ADA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616" name="x_Picture 1" descr="Description: cid:image001.png@01D03949.49457930">
          <a:extLst>
            <a:ext uri="{FF2B5EF4-FFF2-40B4-BE49-F238E27FC236}">
              <a16:creationId xmlns:a16="http://schemas.microsoft.com/office/drawing/2014/main" id="{EA075D0B-E17B-4109-98C8-B1A4A622D9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617" name="x_Picture 1" descr="Description: cid:image001.png@01D03949.49457930">
          <a:extLst>
            <a:ext uri="{FF2B5EF4-FFF2-40B4-BE49-F238E27FC236}">
              <a16:creationId xmlns:a16="http://schemas.microsoft.com/office/drawing/2014/main" id="{98B1BE87-4C73-43D4-9300-FF522038E6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618" name="x_Picture 1" descr="Description: cid:image001.png@01D03949.49457930">
          <a:extLst>
            <a:ext uri="{FF2B5EF4-FFF2-40B4-BE49-F238E27FC236}">
              <a16:creationId xmlns:a16="http://schemas.microsoft.com/office/drawing/2014/main" id="{C5162122-BFE9-4CFC-8DAF-4FE6465367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619" name="x_Picture 1" descr="Description: cid:image001.png@01D03949.49457930">
          <a:extLst>
            <a:ext uri="{FF2B5EF4-FFF2-40B4-BE49-F238E27FC236}">
              <a16:creationId xmlns:a16="http://schemas.microsoft.com/office/drawing/2014/main" id="{3B30FAE1-034D-457E-BA6A-04DF2F91E3B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620" name="x_Picture 1" descr="Description: cid:image001.png@01D03949.49457930">
          <a:extLst>
            <a:ext uri="{FF2B5EF4-FFF2-40B4-BE49-F238E27FC236}">
              <a16:creationId xmlns:a16="http://schemas.microsoft.com/office/drawing/2014/main" id="{8F1B228C-716B-4E81-8FC3-4413720C21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621" name="x_Picture 1" descr="Description: cid:image001.png@01D03949.49457930">
          <a:extLst>
            <a:ext uri="{FF2B5EF4-FFF2-40B4-BE49-F238E27FC236}">
              <a16:creationId xmlns:a16="http://schemas.microsoft.com/office/drawing/2014/main" id="{A77814AE-97AE-40F9-AFDB-31FCA6661F2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622" name="x_Picture 1" descr="Description: cid:image001.png@01D03949.49457930">
          <a:extLst>
            <a:ext uri="{FF2B5EF4-FFF2-40B4-BE49-F238E27FC236}">
              <a16:creationId xmlns:a16="http://schemas.microsoft.com/office/drawing/2014/main" id="{548AF4AF-1B3E-4DDB-82A5-969C1336C5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623" name="x_Picture 1" descr="Description: cid:image001.png@01D03949.49457930">
          <a:extLst>
            <a:ext uri="{FF2B5EF4-FFF2-40B4-BE49-F238E27FC236}">
              <a16:creationId xmlns:a16="http://schemas.microsoft.com/office/drawing/2014/main" id="{C17BE60B-0E4F-46BD-A5DE-CE4990D83C6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624" name="x_Picture 1" descr="Description: cid:image001.png@01D03949.49457930">
          <a:extLst>
            <a:ext uri="{FF2B5EF4-FFF2-40B4-BE49-F238E27FC236}">
              <a16:creationId xmlns:a16="http://schemas.microsoft.com/office/drawing/2014/main" id="{1B7EB9F1-6FCC-453B-B3E9-5C02E5A27B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625" name="x_Picture 1" descr="Description: cid:image001.png@01D03949.49457930">
          <a:extLst>
            <a:ext uri="{FF2B5EF4-FFF2-40B4-BE49-F238E27FC236}">
              <a16:creationId xmlns:a16="http://schemas.microsoft.com/office/drawing/2014/main" id="{E4BCD327-FA1C-4B55-B6C8-C880447B8C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626" name="x_Picture 1" descr="Description: cid:image001.png@01D03949.49457930">
          <a:extLst>
            <a:ext uri="{FF2B5EF4-FFF2-40B4-BE49-F238E27FC236}">
              <a16:creationId xmlns:a16="http://schemas.microsoft.com/office/drawing/2014/main" id="{093B81B0-28CC-49FB-B3F4-09DE18C7A3E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627" name="x_Picture 1" descr="Description: cid:image001.png@01D03949.49457930">
          <a:extLst>
            <a:ext uri="{FF2B5EF4-FFF2-40B4-BE49-F238E27FC236}">
              <a16:creationId xmlns:a16="http://schemas.microsoft.com/office/drawing/2014/main" id="{FFDEE060-A6F1-4FE8-B994-9FF14A766C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628" name="x_Picture 1" descr="Description: cid:image001.png@01D03949.49457930">
          <a:extLst>
            <a:ext uri="{FF2B5EF4-FFF2-40B4-BE49-F238E27FC236}">
              <a16:creationId xmlns:a16="http://schemas.microsoft.com/office/drawing/2014/main" id="{36FA6F94-03D9-4DD8-A07D-B7FA404242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629" name="x_Picture 1" descr="Description: cid:image001.png@01D03949.49457930">
          <a:extLst>
            <a:ext uri="{FF2B5EF4-FFF2-40B4-BE49-F238E27FC236}">
              <a16:creationId xmlns:a16="http://schemas.microsoft.com/office/drawing/2014/main" id="{EC99EBBA-CBE7-466F-949A-268C1AAD63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630" name="x_Picture 1" descr="Description: cid:image001.png@01D03949.49457930">
          <a:extLst>
            <a:ext uri="{FF2B5EF4-FFF2-40B4-BE49-F238E27FC236}">
              <a16:creationId xmlns:a16="http://schemas.microsoft.com/office/drawing/2014/main" id="{7CFEE17B-A0E1-4BC0-AA26-74BE21428E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631" name="x_Picture 1" descr="Description: cid:image001.png@01D03949.49457930">
          <a:extLst>
            <a:ext uri="{FF2B5EF4-FFF2-40B4-BE49-F238E27FC236}">
              <a16:creationId xmlns:a16="http://schemas.microsoft.com/office/drawing/2014/main" id="{B094DAAC-6D68-44F7-94CD-EF711E373B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632" name="x_Picture 1" descr="Description: cid:image001.png@01D03949.49457930">
          <a:extLst>
            <a:ext uri="{FF2B5EF4-FFF2-40B4-BE49-F238E27FC236}">
              <a16:creationId xmlns:a16="http://schemas.microsoft.com/office/drawing/2014/main" id="{C57BC61F-8027-4484-BF21-D2816D1A2A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633" name="x_Picture 1" descr="Description: cid:image001.png@01D03949.49457930">
          <a:extLst>
            <a:ext uri="{FF2B5EF4-FFF2-40B4-BE49-F238E27FC236}">
              <a16:creationId xmlns:a16="http://schemas.microsoft.com/office/drawing/2014/main" id="{18C1F017-3B13-4EDF-848F-AD862D0119F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634" name="x_Picture 1" descr="Description: cid:image001.png@01D03949.49457930">
          <a:extLst>
            <a:ext uri="{FF2B5EF4-FFF2-40B4-BE49-F238E27FC236}">
              <a16:creationId xmlns:a16="http://schemas.microsoft.com/office/drawing/2014/main" id="{DC7E5C39-8892-4B34-BDF3-AE07E613DA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635" name="x_Picture 1" descr="Description: cid:image001.png@01D03949.49457930">
          <a:extLst>
            <a:ext uri="{FF2B5EF4-FFF2-40B4-BE49-F238E27FC236}">
              <a16:creationId xmlns:a16="http://schemas.microsoft.com/office/drawing/2014/main" id="{DC9C4756-2034-4D15-AD95-776A9B4378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636" name="x_Picture 1" descr="Description: cid:image001.png@01D03949.49457930">
          <a:extLst>
            <a:ext uri="{FF2B5EF4-FFF2-40B4-BE49-F238E27FC236}">
              <a16:creationId xmlns:a16="http://schemas.microsoft.com/office/drawing/2014/main" id="{CA6E59FB-E383-4960-808F-709CEAE309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637" name="x_Picture 1" descr="Description: cid:image001.png@01D03949.49457930">
          <a:extLst>
            <a:ext uri="{FF2B5EF4-FFF2-40B4-BE49-F238E27FC236}">
              <a16:creationId xmlns:a16="http://schemas.microsoft.com/office/drawing/2014/main" id="{1789BF8B-E3B6-4DF5-8437-9C1F6695AF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638" name="x_Picture 1" descr="Description: cid:image001.png@01D03949.49457930">
          <a:extLst>
            <a:ext uri="{FF2B5EF4-FFF2-40B4-BE49-F238E27FC236}">
              <a16:creationId xmlns:a16="http://schemas.microsoft.com/office/drawing/2014/main" id="{DC71FEF2-E6C4-48FA-ABB8-5EF2112192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639" name="x_Picture 1" descr="Description: cid:image001.png@01D03949.49457930">
          <a:extLst>
            <a:ext uri="{FF2B5EF4-FFF2-40B4-BE49-F238E27FC236}">
              <a16:creationId xmlns:a16="http://schemas.microsoft.com/office/drawing/2014/main" id="{0559AAF4-1664-4971-8F9C-6219F74B3B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640" name="x_Picture 1" descr="Description: cid:image001.png@01D03949.49457930">
          <a:extLst>
            <a:ext uri="{FF2B5EF4-FFF2-40B4-BE49-F238E27FC236}">
              <a16:creationId xmlns:a16="http://schemas.microsoft.com/office/drawing/2014/main" id="{6EA34DCC-005C-4173-B386-D598B5EBE9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641" name="x_Picture 1" descr="Description: cid:image001.png@01D03949.49457930">
          <a:extLst>
            <a:ext uri="{FF2B5EF4-FFF2-40B4-BE49-F238E27FC236}">
              <a16:creationId xmlns:a16="http://schemas.microsoft.com/office/drawing/2014/main" id="{61B8EB97-DB7B-4783-803E-1BEB2E5DD8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642" name="x_Picture 1" descr="Description: cid:image001.png@01D03949.49457930">
          <a:extLst>
            <a:ext uri="{FF2B5EF4-FFF2-40B4-BE49-F238E27FC236}">
              <a16:creationId xmlns:a16="http://schemas.microsoft.com/office/drawing/2014/main" id="{9F2F4A2E-ED6D-41A0-A029-EC77A2BD8D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643" name="x_Picture 1" descr="Description: cid:image001.png@01D03949.49457930">
          <a:extLst>
            <a:ext uri="{FF2B5EF4-FFF2-40B4-BE49-F238E27FC236}">
              <a16:creationId xmlns:a16="http://schemas.microsoft.com/office/drawing/2014/main" id="{D27036A1-5C4B-4FCA-B3E8-B5C5758D3F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644" name="x_Picture 1" descr="Description: cid:image001.png@01D03949.49457930">
          <a:extLst>
            <a:ext uri="{FF2B5EF4-FFF2-40B4-BE49-F238E27FC236}">
              <a16:creationId xmlns:a16="http://schemas.microsoft.com/office/drawing/2014/main" id="{8239B8C8-51F1-4D62-A524-E6063B31075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645" name="x_Picture 1" descr="Description: cid:image001.png@01D03949.49457930">
          <a:extLst>
            <a:ext uri="{FF2B5EF4-FFF2-40B4-BE49-F238E27FC236}">
              <a16:creationId xmlns:a16="http://schemas.microsoft.com/office/drawing/2014/main" id="{22FBC4A2-C7CA-4021-9847-BA2C0AC23C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646" name="x_Picture 1" descr="Description: cid:image001.png@01D03949.49457930">
          <a:extLst>
            <a:ext uri="{FF2B5EF4-FFF2-40B4-BE49-F238E27FC236}">
              <a16:creationId xmlns:a16="http://schemas.microsoft.com/office/drawing/2014/main" id="{473389F1-8092-49B3-89D9-E916294414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647" name="x_Picture 1" descr="Description: cid:image001.png@01D03949.49457930">
          <a:extLst>
            <a:ext uri="{FF2B5EF4-FFF2-40B4-BE49-F238E27FC236}">
              <a16:creationId xmlns:a16="http://schemas.microsoft.com/office/drawing/2014/main" id="{C0D3C640-C1D3-4831-AEB3-CB65C44F3C2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648" name="x_Picture 1" descr="Description: cid:image001.png@01D03949.49457930">
          <a:extLst>
            <a:ext uri="{FF2B5EF4-FFF2-40B4-BE49-F238E27FC236}">
              <a16:creationId xmlns:a16="http://schemas.microsoft.com/office/drawing/2014/main" id="{47D18BDA-59BB-4403-BD84-89830DC08DB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649" name="x_Picture 1" descr="Description: cid:image001.png@01D03949.49457930">
          <a:extLst>
            <a:ext uri="{FF2B5EF4-FFF2-40B4-BE49-F238E27FC236}">
              <a16:creationId xmlns:a16="http://schemas.microsoft.com/office/drawing/2014/main" id="{98D79663-F1DD-4C30-B804-2C641AEC59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650" name="x_Picture 1" descr="Description: cid:image001.png@01D03949.49457930">
          <a:extLst>
            <a:ext uri="{FF2B5EF4-FFF2-40B4-BE49-F238E27FC236}">
              <a16:creationId xmlns:a16="http://schemas.microsoft.com/office/drawing/2014/main" id="{B535B79D-2B5B-4CBD-B5D3-E5453CBA8F1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651" name="x_Picture 1" descr="Description: cid:image001.png@01D03949.49457930">
          <a:extLst>
            <a:ext uri="{FF2B5EF4-FFF2-40B4-BE49-F238E27FC236}">
              <a16:creationId xmlns:a16="http://schemas.microsoft.com/office/drawing/2014/main" id="{7984CEF1-CA35-469B-B83B-F5A06BF12F9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652" name="x_Picture 1" descr="Description: cid:image001.png@01D03949.49457930">
          <a:extLst>
            <a:ext uri="{FF2B5EF4-FFF2-40B4-BE49-F238E27FC236}">
              <a16:creationId xmlns:a16="http://schemas.microsoft.com/office/drawing/2014/main" id="{8112E021-E490-4615-84E7-2D41ACDBBEB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653" name="x_Picture 1" descr="Description: cid:image001.png@01D03949.49457930">
          <a:extLst>
            <a:ext uri="{FF2B5EF4-FFF2-40B4-BE49-F238E27FC236}">
              <a16:creationId xmlns:a16="http://schemas.microsoft.com/office/drawing/2014/main" id="{6F59A210-49AF-47D7-A4CC-AB6A750127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654" name="x_Picture 1" descr="Description: cid:image001.png@01D03949.49457930">
          <a:extLst>
            <a:ext uri="{FF2B5EF4-FFF2-40B4-BE49-F238E27FC236}">
              <a16:creationId xmlns:a16="http://schemas.microsoft.com/office/drawing/2014/main" id="{1F311183-89E6-421C-B2DC-9B5FCBBA4C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655" name="x_Picture 1" descr="Description: cid:image001.png@01D03949.49457930">
          <a:extLst>
            <a:ext uri="{FF2B5EF4-FFF2-40B4-BE49-F238E27FC236}">
              <a16:creationId xmlns:a16="http://schemas.microsoft.com/office/drawing/2014/main" id="{F28E1B0F-1111-49FE-9E42-8BAC60CFC2D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656" name="x_Picture 1" descr="Description: cid:image001.png@01D03949.49457930">
          <a:extLst>
            <a:ext uri="{FF2B5EF4-FFF2-40B4-BE49-F238E27FC236}">
              <a16:creationId xmlns:a16="http://schemas.microsoft.com/office/drawing/2014/main" id="{7A044023-C59C-4422-AECB-48729C86F5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657" name="x_Picture 1" descr="Description: cid:image001.png@01D03949.49457930">
          <a:extLst>
            <a:ext uri="{FF2B5EF4-FFF2-40B4-BE49-F238E27FC236}">
              <a16:creationId xmlns:a16="http://schemas.microsoft.com/office/drawing/2014/main" id="{87549F1D-0674-4404-8A8F-1DA38A4657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658" name="x_Picture 1" descr="Description: cid:image001.png@01D03949.49457930">
          <a:extLst>
            <a:ext uri="{FF2B5EF4-FFF2-40B4-BE49-F238E27FC236}">
              <a16:creationId xmlns:a16="http://schemas.microsoft.com/office/drawing/2014/main" id="{57F420DC-70FF-441F-9D0C-78BDEB2273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659" name="x_Picture 1" descr="Description: cid:image001.png@01D03949.49457930">
          <a:extLst>
            <a:ext uri="{FF2B5EF4-FFF2-40B4-BE49-F238E27FC236}">
              <a16:creationId xmlns:a16="http://schemas.microsoft.com/office/drawing/2014/main" id="{3DDA2F7A-4223-4345-9716-8C9D8FDF76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660" name="x_Picture 1" descr="Description: cid:image001.png@01D03949.49457930">
          <a:extLst>
            <a:ext uri="{FF2B5EF4-FFF2-40B4-BE49-F238E27FC236}">
              <a16:creationId xmlns:a16="http://schemas.microsoft.com/office/drawing/2014/main" id="{36BB4B09-F731-454B-8EF5-644BFF13A02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661" name="x_Picture 1" descr="Description: cid:image001.png@01D03949.49457930">
          <a:extLst>
            <a:ext uri="{FF2B5EF4-FFF2-40B4-BE49-F238E27FC236}">
              <a16:creationId xmlns:a16="http://schemas.microsoft.com/office/drawing/2014/main" id="{F1C9DC92-CBB3-4CB2-92E4-6E9E3794C6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662" name="x_Picture 1" descr="Description: cid:image001.png@01D03949.49457930">
          <a:extLst>
            <a:ext uri="{FF2B5EF4-FFF2-40B4-BE49-F238E27FC236}">
              <a16:creationId xmlns:a16="http://schemas.microsoft.com/office/drawing/2014/main" id="{EE02C3BC-DC1A-4B42-9C09-CD6EE631D4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663" name="x_Picture 1" descr="Description: cid:image001.png@01D03949.49457930">
          <a:extLst>
            <a:ext uri="{FF2B5EF4-FFF2-40B4-BE49-F238E27FC236}">
              <a16:creationId xmlns:a16="http://schemas.microsoft.com/office/drawing/2014/main" id="{4B94F04C-64B7-41E2-8601-ED90AC0E83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664" name="x_Picture 1" descr="Description: cid:image001.png@01D03949.49457930">
          <a:extLst>
            <a:ext uri="{FF2B5EF4-FFF2-40B4-BE49-F238E27FC236}">
              <a16:creationId xmlns:a16="http://schemas.microsoft.com/office/drawing/2014/main" id="{DDD14FEB-1F63-4367-91FA-78DAB73804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665" name="x_Picture 1" descr="Description: cid:image001.png@01D03949.49457930">
          <a:extLst>
            <a:ext uri="{FF2B5EF4-FFF2-40B4-BE49-F238E27FC236}">
              <a16:creationId xmlns:a16="http://schemas.microsoft.com/office/drawing/2014/main" id="{B52DEE4D-FDBD-4B9B-904E-ACF554ED4B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666" name="x_Picture 1" descr="Description: cid:image001.png@01D03949.49457930">
          <a:extLst>
            <a:ext uri="{FF2B5EF4-FFF2-40B4-BE49-F238E27FC236}">
              <a16:creationId xmlns:a16="http://schemas.microsoft.com/office/drawing/2014/main" id="{877AC003-8F92-4C93-A599-BDA97E9B57A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667" name="x_Picture 1" descr="Description: cid:image001.png@01D03949.49457930">
          <a:extLst>
            <a:ext uri="{FF2B5EF4-FFF2-40B4-BE49-F238E27FC236}">
              <a16:creationId xmlns:a16="http://schemas.microsoft.com/office/drawing/2014/main" id="{7144683F-0D1E-4D4D-9B47-D833A91888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668" name="x_Picture 1" descr="Description: cid:image001.png@01D03949.49457930">
          <a:extLst>
            <a:ext uri="{FF2B5EF4-FFF2-40B4-BE49-F238E27FC236}">
              <a16:creationId xmlns:a16="http://schemas.microsoft.com/office/drawing/2014/main" id="{BB61906C-2E98-470A-9E08-6EC9DE0F4D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669" name="x_Picture 1" descr="Description: cid:image001.png@01D03949.49457930">
          <a:extLst>
            <a:ext uri="{FF2B5EF4-FFF2-40B4-BE49-F238E27FC236}">
              <a16:creationId xmlns:a16="http://schemas.microsoft.com/office/drawing/2014/main" id="{2E445FD4-DA71-4FBD-B866-EAB0C8F501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670" name="x_Picture 1" descr="Description: cid:image001.png@01D03949.49457930">
          <a:extLst>
            <a:ext uri="{FF2B5EF4-FFF2-40B4-BE49-F238E27FC236}">
              <a16:creationId xmlns:a16="http://schemas.microsoft.com/office/drawing/2014/main" id="{ADFE1F28-24C6-4B94-8F46-503EBFDDB8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671" name="x_Picture 1" descr="Description: cid:image001.png@01D03949.49457930">
          <a:extLst>
            <a:ext uri="{FF2B5EF4-FFF2-40B4-BE49-F238E27FC236}">
              <a16:creationId xmlns:a16="http://schemas.microsoft.com/office/drawing/2014/main" id="{61C9F4EB-EEF0-4C50-A2D2-B3ADBE97B93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672" name="x_Picture 1" descr="Description: cid:image001.png@01D03949.49457930">
          <a:extLst>
            <a:ext uri="{FF2B5EF4-FFF2-40B4-BE49-F238E27FC236}">
              <a16:creationId xmlns:a16="http://schemas.microsoft.com/office/drawing/2014/main" id="{3B229C86-FD3F-425A-BEED-8E0C4292AA7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673" name="x_Picture 1" descr="Description: cid:image001.png@01D03949.49457930">
          <a:extLst>
            <a:ext uri="{FF2B5EF4-FFF2-40B4-BE49-F238E27FC236}">
              <a16:creationId xmlns:a16="http://schemas.microsoft.com/office/drawing/2014/main" id="{CF5EDC82-825E-4FB1-B38B-9DC15F974DE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674" name="x_Picture 1" descr="Description: cid:image001.png@01D03949.49457930">
          <a:extLst>
            <a:ext uri="{FF2B5EF4-FFF2-40B4-BE49-F238E27FC236}">
              <a16:creationId xmlns:a16="http://schemas.microsoft.com/office/drawing/2014/main" id="{F061F72B-96C5-4EBB-8544-5A0968B239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675" name="x_Picture 1" descr="Description: cid:image001.png@01D03949.49457930">
          <a:extLst>
            <a:ext uri="{FF2B5EF4-FFF2-40B4-BE49-F238E27FC236}">
              <a16:creationId xmlns:a16="http://schemas.microsoft.com/office/drawing/2014/main" id="{916DF430-AF06-4387-A3D1-4EE176293A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676" name="x_Picture 1" descr="Description: cid:image001.png@01D03949.49457930">
          <a:extLst>
            <a:ext uri="{FF2B5EF4-FFF2-40B4-BE49-F238E27FC236}">
              <a16:creationId xmlns:a16="http://schemas.microsoft.com/office/drawing/2014/main" id="{07763B44-AEBB-4426-9627-0E5A4E0FA9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677" name="x_Picture 1" descr="Description: cid:image001.png@01D03949.49457930">
          <a:extLst>
            <a:ext uri="{FF2B5EF4-FFF2-40B4-BE49-F238E27FC236}">
              <a16:creationId xmlns:a16="http://schemas.microsoft.com/office/drawing/2014/main" id="{7718CD87-A945-4581-B95F-BAE162689F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678" name="x_Picture 1" descr="Description: cid:image001.png@01D03949.49457930">
          <a:extLst>
            <a:ext uri="{FF2B5EF4-FFF2-40B4-BE49-F238E27FC236}">
              <a16:creationId xmlns:a16="http://schemas.microsoft.com/office/drawing/2014/main" id="{478C92F3-A1C6-46AF-9860-8EEC542824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679" name="x_Picture 1" descr="Description: cid:image001.png@01D03949.49457930">
          <a:extLst>
            <a:ext uri="{FF2B5EF4-FFF2-40B4-BE49-F238E27FC236}">
              <a16:creationId xmlns:a16="http://schemas.microsoft.com/office/drawing/2014/main" id="{939BC599-A17C-4426-88D3-724AA91BE4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680" name="x_Picture 1" descr="Description: cid:image001.png@01D03949.49457930">
          <a:extLst>
            <a:ext uri="{FF2B5EF4-FFF2-40B4-BE49-F238E27FC236}">
              <a16:creationId xmlns:a16="http://schemas.microsoft.com/office/drawing/2014/main" id="{CC08BA70-A413-43FF-A688-D39CA7701E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681" name="x_Picture 1" descr="Description: cid:image001.png@01D03949.49457930">
          <a:extLst>
            <a:ext uri="{FF2B5EF4-FFF2-40B4-BE49-F238E27FC236}">
              <a16:creationId xmlns:a16="http://schemas.microsoft.com/office/drawing/2014/main" id="{5C9B1CB1-371A-4185-8C45-EC57FC8C77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682" name="x_Picture 1" descr="Description: cid:image001.png@01D03949.49457930">
          <a:extLst>
            <a:ext uri="{FF2B5EF4-FFF2-40B4-BE49-F238E27FC236}">
              <a16:creationId xmlns:a16="http://schemas.microsoft.com/office/drawing/2014/main" id="{2D965ACE-7735-46CF-8BAC-B92213F631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683" name="x_Picture 1" descr="Description: cid:image001.png@01D03949.49457930">
          <a:extLst>
            <a:ext uri="{FF2B5EF4-FFF2-40B4-BE49-F238E27FC236}">
              <a16:creationId xmlns:a16="http://schemas.microsoft.com/office/drawing/2014/main" id="{607B28B9-FB3D-4548-BB2C-1884165DE05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684" name="x_Picture 1" descr="Description: cid:image001.png@01D03949.49457930">
          <a:extLst>
            <a:ext uri="{FF2B5EF4-FFF2-40B4-BE49-F238E27FC236}">
              <a16:creationId xmlns:a16="http://schemas.microsoft.com/office/drawing/2014/main" id="{01CE5BA0-C490-49A0-819D-0A3EB41D5E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685" name="x_Picture 1" descr="Description: cid:image001.png@01D03949.49457930">
          <a:extLst>
            <a:ext uri="{FF2B5EF4-FFF2-40B4-BE49-F238E27FC236}">
              <a16:creationId xmlns:a16="http://schemas.microsoft.com/office/drawing/2014/main" id="{E8F75BD3-2FF8-4278-8786-403CD05EAAA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686" name="x_Picture 1" descr="Description: cid:image001.png@01D03949.49457930">
          <a:extLst>
            <a:ext uri="{FF2B5EF4-FFF2-40B4-BE49-F238E27FC236}">
              <a16:creationId xmlns:a16="http://schemas.microsoft.com/office/drawing/2014/main" id="{3DA4B81D-3B64-4FD5-B4A7-BFAA3734CD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687" name="x_Picture 1" descr="Description: cid:image001.png@01D03949.49457930">
          <a:extLst>
            <a:ext uri="{FF2B5EF4-FFF2-40B4-BE49-F238E27FC236}">
              <a16:creationId xmlns:a16="http://schemas.microsoft.com/office/drawing/2014/main" id="{5BE6FEA9-B286-46AE-8206-64EF137390D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688" name="x_Picture 1" descr="Description: cid:image001.png@01D03949.49457930">
          <a:extLst>
            <a:ext uri="{FF2B5EF4-FFF2-40B4-BE49-F238E27FC236}">
              <a16:creationId xmlns:a16="http://schemas.microsoft.com/office/drawing/2014/main" id="{947CA2EE-38D6-4AB9-8F1E-A9590AC233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689" name="x_Picture 1" descr="Description: cid:image001.png@01D03949.49457930">
          <a:extLst>
            <a:ext uri="{FF2B5EF4-FFF2-40B4-BE49-F238E27FC236}">
              <a16:creationId xmlns:a16="http://schemas.microsoft.com/office/drawing/2014/main" id="{9086E9D2-C566-4E7D-AA72-D2B23B760E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690" name="x_Picture 1" descr="Description: cid:image001.png@01D03949.49457930">
          <a:extLst>
            <a:ext uri="{FF2B5EF4-FFF2-40B4-BE49-F238E27FC236}">
              <a16:creationId xmlns:a16="http://schemas.microsoft.com/office/drawing/2014/main" id="{93B56ABC-BACA-43E6-B46F-672D6D9210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691" name="x_Picture 1" descr="Description: cid:image001.png@01D03949.49457930">
          <a:extLst>
            <a:ext uri="{FF2B5EF4-FFF2-40B4-BE49-F238E27FC236}">
              <a16:creationId xmlns:a16="http://schemas.microsoft.com/office/drawing/2014/main" id="{5C5F63A0-0C28-44F2-AD38-CFB07FCB93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692" name="x_Picture 1" descr="Description: cid:image001.png@01D03949.49457930">
          <a:extLst>
            <a:ext uri="{FF2B5EF4-FFF2-40B4-BE49-F238E27FC236}">
              <a16:creationId xmlns:a16="http://schemas.microsoft.com/office/drawing/2014/main" id="{8570DF8D-B65D-4329-9D33-FDCB035CC3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693" name="x_Picture 1" descr="Description: cid:image001.png@01D03949.49457930">
          <a:extLst>
            <a:ext uri="{FF2B5EF4-FFF2-40B4-BE49-F238E27FC236}">
              <a16:creationId xmlns:a16="http://schemas.microsoft.com/office/drawing/2014/main" id="{43B21646-7FEF-4A02-8685-447FCEB959F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694" name="x_Picture 1" descr="Description: cid:image001.png@01D03949.49457930">
          <a:extLst>
            <a:ext uri="{FF2B5EF4-FFF2-40B4-BE49-F238E27FC236}">
              <a16:creationId xmlns:a16="http://schemas.microsoft.com/office/drawing/2014/main" id="{176612A9-3A1C-4027-91AD-E192B152AFF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695" name="x_Picture 1" descr="Description: cid:image001.png@01D03949.49457930">
          <a:extLst>
            <a:ext uri="{FF2B5EF4-FFF2-40B4-BE49-F238E27FC236}">
              <a16:creationId xmlns:a16="http://schemas.microsoft.com/office/drawing/2014/main" id="{0A4717CB-CDA6-46C8-9FB5-1F43C66E74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696" name="x_Picture 1" descr="Description: cid:image001.png@01D03949.49457930">
          <a:extLst>
            <a:ext uri="{FF2B5EF4-FFF2-40B4-BE49-F238E27FC236}">
              <a16:creationId xmlns:a16="http://schemas.microsoft.com/office/drawing/2014/main" id="{B04295E1-F09F-4561-91BC-A436E8598D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697" name="x_Picture 1" descr="Description: cid:image001.png@01D03949.49457930">
          <a:extLst>
            <a:ext uri="{FF2B5EF4-FFF2-40B4-BE49-F238E27FC236}">
              <a16:creationId xmlns:a16="http://schemas.microsoft.com/office/drawing/2014/main" id="{8C6EC283-0CD3-4727-B0A9-64D5CD52E25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698" name="x_Picture 1" descr="Description: cid:image001.png@01D03949.49457930">
          <a:extLst>
            <a:ext uri="{FF2B5EF4-FFF2-40B4-BE49-F238E27FC236}">
              <a16:creationId xmlns:a16="http://schemas.microsoft.com/office/drawing/2014/main" id="{A92CAF39-529B-423A-AABA-B968EB4C22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699" name="x_Picture 1" descr="Description: cid:image001.png@01D03949.49457930">
          <a:extLst>
            <a:ext uri="{FF2B5EF4-FFF2-40B4-BE49-F238E27FC236}">
              <a16:creationId xmlns:a16="http://schemas.microsoft.com/office/drawing/2014/main" id="{8CAF1624-7F51-48EA-A67E-516BA296D4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700" name="x_Picture 1" descr="Description: cid:image001.png@01D03949.49457930">
          <a:extLst>
            <a:ext uri="{FF2B5EF4-FFF2-40B4-BE49-F238E27FC236}">
              <a16:creationId xmlns:a16="http://schemas.microsoft.com/office/drawing/2014/main" id="{866F039D-0927-4939-AB73-9D66476386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701" name="x_Picture 1" descr="Description: cid:image001.png@01D03949.49457930">
          <a:extLst>
            <a:ext uri="{FF2B5EF4-FFF2-40B4-BE49-F238E27FC236}">
              <a16:creationId xmlns:a16="http://schemas.microsoft.com/office/drawing/2014/main" id="{61480DF9-8B13-44B4-B6A8-A8F6ED0F88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702" name="x_Picture 1" descr="Description: cid:image001.png@01D03949.49457930">
          <a:extLst>
            <a:ext uri="{FF2B5EF4-FFF2-40B4-BE49-F238E27FC236}">
              <a16:creationId xmlns:a16="http://schemas.microsoft.com/office/drawing/2014/main" id="{D93F04DD-8F96-4B7E-B620-3BF31E2081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703" name="x_Picture 1" descr="Description: cid:image001.png@01D03949.49457930">
          <a:extLst>
            <a:ext uri="{FF2B5EF4-FFF2-40B4-BE49-F238E27FC236}">
              <a16:creationId xmlns:a16="http://schemas.microsoft.com/office/drawing/2014/main" id="{4F53A01D-1246-4D37-A803-643F1EE0BEF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704" name="x_Picture 1" descr="Description: cid:image001.png@01D03949.49457930">
          <a:extLst>
            <a:ext uri="{FF2B5EF4-FFF2-40B4-BE49-F238E27FC236}">
              <a16:creationId xmlns:a16="http://schemas.microsoft.com/office/drawing/2014/main" id="{D20C6F95-3A90-45F0-B1BE-7BCAD1CEEC2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705" name="x_Picture 1" descr="Description: cid:image001.png@01D03949.49457930">
          <a:extLst>
            <a:ext uri="{FF2B5EF4-FFF2-40B4-BE49-F238E27FC236}">
              <a16:creationId xmlns:a16="http://schemas.microsoft.com/office/drawing/2014/main" id="{BD5A545E-CA3E-4D52-945F-C325A92F0DD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706" name="x_Picture 1" descr="Description: cid:image001.png@01D03949.49457930">
          <a:extLst>
            <a:ext uri="{FF2B5EF4-FFF2-40B4-BE49-F238E27FC236}">
              <a16:creationId xmlns:a16="http://schemas.microsoft.com/office/drawing/2014/main" id="{452B429A-2F41-4722-A676-7E7F7DE3805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707" name="x_Picture 1" descr="Description: cid:image001.png@01D03949.49457930">
          <a:extLst>
            <a:ext uri="{FF2B5EF4-FFF2-40B4-BE49-F238E27FC236}">
              <a16:creationId xmlns:a16="http://schemas.microsoft.com/office/drawing/2014/main" id="{476A39FD-869D-4962-B43C-202DD985157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708" name="x_Picture 1" descr="Description: cid:image001.png@01D03949.49457930">
          <a:extLst>
            <a:ext uri="{FF2B5EF4-FFF2-40B4-BE49-F238E27FC236}">
              <a16:creationId xmlns:a16="http://schemas.microsoft.com/office/drawing/2014/main" id="{BAB7798C-EC39-4870-88D2-FE8D7BCF17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709" name="x_Picture 1" descr="Description: cid:image001.png@01D03949.49457930">
          <a:extLst>
            <a:ext uri="{FF2B5EF4-FFF2-40B4-BE49-F238E27FC236}">
              <a16:creationId xmlns:a16="http://schemas.microsoft.com/office/drawing/2014/main" id="{09D94181-117A-4FED-8B2A-B497175142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710" name="x_Picture 1" descr="Description: cid:image001.png@01D03949.49457930">
          <a:extLst>
            <a:ext uri="{FF2B5EF4-FFF2-40B4-BE49-F238E27FC236}">
              <a16:creationId xmlns:a16="http://schemas.microsoft.com/office/drawing/2014/main" id="{0D9BA123-6C55-4C15-A6C7-761FBD72EE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711" name="x_Picture 1" descr="Description: cid:image001.png@01D03949.49457930">
          <a:extLst>
            <a:ext uri="{FF2B5EF4-FFF2-40B4-BE49-F238E27FC236}">
              <a16:creationId xmlns:a16="http://schemas.microsoft.com/office/drawing/2014/main" id="{C7B9DD2A-E7C5-4AED-82DB-C2DAECCB837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712" name="x_Picture 1" descr="Description: cid:image001.png@01D03949.49457930">
          <a:extLst>
            <a:ext uri="{FF2B5EF4-FFF2-40B4-BE49-F238E27FC236}">
              <a16:creationId xmlns:a16="http://schemas.microsoft.com/office/drawing/2014/main" id="{451D2132-5167-4718-A86C-2E5128C175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713" name="x_Picture 1" descr="Description: cid:image001.png@01D03949.49457930">
          <a:extLst>
            <a:ext uri="{FF2B5EF4-FFF2-40B4-BE49-F238E27FC236}">
              <a16:creationId xmlns:a16="http://schemas.microsoft.com/office/drawing/2014/main" id="{3088EFBB-E4C3-4422-A927-31304641DC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714" name="x_Picture 1" descr="Description: cid:image001.png@01D03949.49457930">
          <a:extLst>
            <a:ext uri="{FF2B5EF4-FFF2-40B4-BE49-F238E27FC236}">
              <a16:creationId xmlns:a16="http://schemas.microsoft.com/office/drawing/2014/main" id="{9E4B6A5C-DCB4-4DBB-8805-EBA2CA05C2D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715" name="x_Picture 1" descr="Description: cid:image001.png@01D03949.49457930">
          <a:extLst>
            <a:ext uri="{FF2B5EF4-FFF2-40B4-BE49-F238E27FC236}">
              <a16:creationId xmlns:a16="http://schemas.microsoft.com/office/drawing/2014/main" id="{EBEAAC7D-FFB0-4DFB-AAB9-C5D2E5445D5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716" name="x_Picture 1" descr="Description: cid:image001.png@01D03949.49457930">
          <a:extLst>
            <a:ext uri="{FF2B5EF4-FFF2-40B4-BE49-F238E27FC236}">
              <a16:creationId xmlns:a16="http://schemas.microsoft.com/office/drawing/2014/main" id="{94D82853-906D-4117-8725-05E784BC4E7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717" name="x_Picture 1" descr="Description: cid:image001.png@01D03949.49457930">
          <a:extLst>
            <a:ext uri="{FF2B5EF4-FFF2-40B4-BE49-F238E27FC236}">
              <a16:creationId xmlns:a16="http://schemas.microsoft.com/office/drawing/2014/main" id="{FA4E0AC5-4162-447A-9E51-E2ECB7CF7B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718" name="x_Picture 1" descr="Description: cid:image001.png@01D03949.49457930">
          <a:extLst>
            <a:ext uri="{FF2B5EF4-FFF2-40B4-BE49-F238E27FC236}">
              <a16:creationId xmlns:a16="http://schemas.microsoft.com/office/drawing/2014/main" id="{F5C9E484-976A-4810-AD01-0CD59AB83C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719" name="x_Picture 1" descr="Description: cid:image001.png@01D03949.49457930">
          <a:extLst>
            <a:ext uri="{FF2B5EF4-FFF2-40B4-BE49-F238E27FC236}">
              <a16:creationId xmlns:a16="http://schemas.microsoft.com/office/drawing/2014/main" id="{18AE28FA-CF1A-4737-BD59-04BBEB83C6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720" name="x_Picture 1" descr="Description: cid:image001.png@01D03949.49457930">
          <a:extLst>
            <a:ext uri="{FF2B5EF4-FFF2-40B4-BE49-F238E27FC236}">
              <a16:creationId xmlns:a16="http://schemas.microsoft.com/office/drawing/2014/main" id="{71FFF330-7166-484C-A732-653E54F2B8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721" name="x_Picture 1" descr="Description: cid:image001.png@01D03949.49457930">
          <a:extLst>
            <a:ext uri="{FF2B5EF4-FFF2-40B4-BE49-F238E27FC236}">
              <a16:creationId xmlns:a16="http://schemas.microsoft.com/office/drawing/2014/main" id="{5D89DB71-EAC8-449F-94C3-F1162D5F09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722" name="x_Picture 1" descr="Description: cid:image001.png@01D03949.49457930">
          <a:extLst>
            <a:ext uri="{FF2B5EF4-FFF2-40B4-BE49-F238E27FC236}">
              <a16:creationId xmlns:a16="http://schemas.microsoft.com/office/drawing/2014/main" id="{312A39BA-61D0-417C-9591-E363CC30899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723" name="x_Picture 1" descr="Description: cid:image001.png@01D03949.49457930">
          <a:extLst>
            <a:ext uri="{FF2B5EF4-FFF2-40B4-BE49-F238E27FC236}">
              <a16:creationId xmlns:a16="http://schemas.microsoft.com/office/drawing/2014/main" id="{A85A0ADD-2515-42A5-A097-3808A038D69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724" name="x_Picture 1" descr="Description: cid:image001.png@01D03949.49457930">
          <a:extLst>
            <a:ext uri="{FF2B5EF4-FFF2-40B4-BE49-F238E27FC236}">
              <a16:creationId xmlns:a16="http://schemas.microsoft.com/office/drawing/2014/main" id="{1FCF1DB7-4299-44AC-B174-23610E42CC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725" name="x_Picture 1" descr="Description: cid:image001.png@01D03949.49457930">
          <a:extLst>
            <a:ext uri="{FF2B5EF4-FFF2-40B4-BE49-F238E27FC236}">
              <a16:creationId xmlns:a16="http://schemas.microsoft.com/office/drawing/2014/main" id="{54348B78-68B5-4D29-B417-3A74A4B4FC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726" name="x_Picture 1" descr="Description: cid:image001.png@01D03949.49457930">
          <a:extLst>
            <a:ext uri="{FF2B5EF4-FFF2-40B4-BE49-F238E27FC236}">
              <a16:creationId xmlns:a16="http://schemas.microsoft.com/office/drawing/2014/main" id="{DDDD5FFE-CBCD-4B98-8716-DF4848508A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727" name="x_Picture 1" descr="Description: cid:image001.png@01D03949.49457930">
          <a:extLst>
            <a:ext uri="{FF2B5EF4-FFF2-40B4-BE49-F238E27FC236}">
              <a16:creationId xmlns:a16="http://schemas.microsoft.com/office/drawing/2014/main" id="{2AB924E1-8518-4FF8-AC46-2628566B2B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728" name="x_Picture 1" descr="Description: cid:image001.png@01D03949.49457930">
          <a:extLst>
            <a:ext uri="{FF2B5EF4-FFF2-40B4-BE49-F238E27FC236}">
              <a16:creationId xmlns:a16="http://schemas.microsoft.com/office/drawing/2014/main" id="{9AD19C49-E082-4B6F-8B80-F1A6F18205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729" name="x_Picture 1" descr="Description: cid:image001.png@01D03949.49457930">
          <a:extLst>
            <a:ext uri="{FF2B5EF4-FFF2-40B4-BE49-F238E27FC236}">
              <a16:creationId xmlns:a16="http://schemas.microsoft.com/office/drawing/2014/main" id="{0DC973A4-CA85-4A3F-84CF-857102E609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730" name="x_Picture 1" descr="Description: cid:image001.png@01D03949.49457930">
          <a:extLst>
            <a:ext uri="{FF2B5EF4-FFF2-40B4-BE49-F238E27FC236}">
              <a16:creationId xmlns:a16="http://schemas.microsoft.com/office/drawing/2014/main" id="{908C85FB-9EA1-4FAA-9C9A-84C0CD5F55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731" name="x_Picture 1" descr="Description: cid:image001.png@01D03949.49457930">
          <a:extLst>
            <a:ext uri="{FF2B5EF4-FFF2-40B4-BE49-F238E27FC236}">
              <a16:creationId xmlns:a16="http://schemas.microsoft.com/office/drawing/2014/main" id="{756AA7E2-4ECD-4692-A30D-6FCF2B0A8E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732" name="x_Picture 1" descr="Description: cid:image001.png@01D03949.49457930">
          <a:extLst>
            <a:ext uri="{FF2B5EF4-FFF2-40B4-BE49-F238E27FC236}">
              <a16:creationId xmlns:a16="http://schemas.microsoft.com/office/drawing/2014/main" id="{E086BD2C-423B-4B6D-A409-A9DBC2CC3E4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733" name="x_Picture 1" descr="Description: cid:image001.png@01D03949.49457930">
          <a:extLst>
            <a:ext uri="{FF2B5EF4-FFF2-40B4-BE49-F238E27FC236}">
              <a16:creationId xmlns:a16="http://schemas.microsoft.com/office/drawing/2014/main" id="{F1FF97C3-49E3-4146-BE48-A83CFCD6F9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34" name="x_Picture 1" descr="Description: cid:image001.png@01D03949.49457930">
          <a:extLst>
            <a:ext uri="{FF2B5EF4-FFF2-40B4-BE49-F238E27FC236}">
              <a16:creationId xmlns:a16="http://schemas.microsoft.com/office/drawing/2014/main" id="{11D34892-D59C-451E-B5F4-2C1DAB2A3E1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35" name="x_Picture 1" descr="Description: cid:image001.png@01D03949.49457930">
          <a:extLst>
            <a:ext uri="{FF2B5EF4-FFF2-40B4-BE49-F238E27FC236}">
              <a16:creationId xmlns:a16="http://schemas.microsoft.com/office/drawing/2014/main" id="{6CCBAE73-F60B-44E3-BE57-EC6982B8251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36" name="x_Picture 1" descr="Description: cid:image001.png@01D03949.49457930">
          <a:extLst>
            <a:ext uri="{FF2B5EF4-FFF2-40B4-BE49-F238E27FC236}">
              <a16:creationId xmlns:a16="http://schemas.microsoft.com/office/drawing/2014/main" id="{C14B476B-9B46-4106-A57F-D51BFB623AA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37" name="x_Picture 1" descr="Description: cid:image001.png@01D03949.49457930">
          <a:extLst>
            <a:ext uri="{FF2B5EF4-FFF2-40B4-BE49-F238E27FC236}">
              <a16:creationId xmlns:a16="http://schemas.microsoft.com/office/drawing/2014/main" id="{E6C9A7AB-DE8D-434C-BDF3-D3C38021F92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38" name="x_Picture 1" descr="Description: cid:image001.png@01D03949.49457930">
          <a:extLst>
            <a:ext uri="{FF2B5EF4-FFF2-40B4-BE49-F238E27FC236}">
              <a16:creationId xmlns:a16="http://schemas.microsoft.com/office/drawing/2014/main" id="{8726AF3C-AE81-41A4-AEE3-92AC23C59C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39" name="x_Picture 1" descr="Description: cid:image001.png@01D03949.49457930">
          <a:extLst>
            <a:ext uri="{FF2B5EF4-FFF2-40B4-BE49-F238E27FC236}">
              <a16:creationId xmlns:a16="http://schemas.microsoft.com/office/drawing/2014/main" id="{C982F37B-5025-4F7C-AD82-607B373168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0" name="x_Picture 1" descr="Description: cid:image001.png@01D03949.49457930">
          <a:extLst>
            <a:ext uri="{FF2B5EF4-FFF2-40B4-BE49-F238E27FC236}">
              <a16:creationId xmlns:a16="http://schemas.microsoft.com/office/drawing/2014/main" id="{F2F4E236-2F4D-4358-B30F-C03EEA2960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1" name="x_Picture 1" descr="Description: cid:image001.png@01D03949.49457930">
          <a:extLst>
            <a:ext uri="{FF2B5EF4-FFF2-40B4-BE49-F238E27FC236}">
              <a16:creationId xmlns:a16="http://schemas.microsoft.com/office/drawing/2014/main" id="{F16C1A2C-0683-4E48-A5DD-59D1CF87945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2" name="x_Picture 1" descr="Description: cid:image001.png@01D03949.49457930">
          <a:extLst>
            <a:ext uri="{FF2B5EF4-FFF2-40B4-BE49-F238E27FC236}">
              <a16:creationId xmlns:a16="http://schemas.microsoft.com/office/drawing/2014/main" id="{E6FAE6F5-EA93-47AE-A127-6D28E28D88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3" name="x_Picture 1" descr="Description: cid:image001.png@01D03949.49457930">
          <a:extLst>
            <a:ext uri="{FF2B5EF4-FFF2-40B4-BE49-F238E27FC236}">
              <a16:creationId xmlns:a16="http://schemas.microsoft.com/office/drawing/2014/main" id="{8D88D057-7E65-4D80-B7FB-00C3CBDC51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4" name="x_Picture 1" descr="Description: cid:image001.png@01D03949.49457930">
          <a:extLst>
            <a:ext uri="{FF2B5EF4-FFF2-40B4-BE49-F238E27FC236}">
              <a16:creationId xmlns:a16="http://schemas.microsoft.com/office/drawing/2014/main" id="{831A0EAE-8CF2-42F8-9993-B73291DAFC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5" name="x_Picture 1" descr="Description: cid:image001.png@01D03949.49457930">
          <a:extLst>
            <a:ext uri="{FF2B5EF4-FFF2-40B4-BE49-F238E27FC236}">
              <a16:creationId xmlns:a16="http://schemas.microsoft.com/office/drawing/2014/main" id="{874F1D62-2898-4B1C-8E44-A514B84135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6" name="x_Picture 1" descr="Description: cid:image001.png@01D03949.49457930">
          <a:extLst>
            <a:ext uri="{FF2B5EF4-FFF2-40B4-BE49-F238E27FC236}">
              <a16:creationId xmlns:a16="http://schemas.microsoft.com/office/drawing/2014/main" id="{7EB26597-4D61-42F2-B37A-5C04321D20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7" name="x_Picture 1" descr="Description: cid:image001.png@01D03949.49457930">
          <a:extLst>
            <a:ext uri="{FF2B5EF4-FFF2-40B4-BE49-F238E27FC236}">
              <a16:creationId xmlns:a16="http://schemas.microsoft.com/office/drawing/2014/main" id="{ED5A1761-9DF0-49D3-B8AD-35C319E47E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8" name="x_Picture 1" descr="Description: cid:image001.png@01D03949.49457930">
          <a:extLst>
            <a:ext uri="{FF2B5EF4-FFF2-40B4-BE49-F238E27FC236}">
              <a16:creationId xmlns:a16="http://schemas.microsoft.com/office/drawing/2014/main" id="{4DAC48C6-DF3E-4BFB-865D-639493AA29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49" name="x_Picture 1" descr="Description: cid:image001.png@01D03949.49457930">
          <a:extLst>
            <a:ext uri="{FF2B5EF4-FFF2-40B4-BE49-F238E27FC236}">
              <a16:creationId xmlns:a16="http://schemas.microsoft.com/office/drawing/2014/main" id="{BDFADC58-1633-45B3-BC51-523179E086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0" name="x_Picture 1" descr="Description: cid:image001.png@01D03949.49457930">
          <a:extLst>
            <a:ext uri="{FF2B5EF4-FFF2-40B4-BE49-F238E27FC236}">
              <a16:creationId xmlns:a16="http://schemas.microsoft.com/office/drawing/2014/main" id="{AB2F8A51-69F3-40BE-91DF-110D68BD92B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1" name="x_Picture 1" descr="Description: cid:image001.png@01D03949.49457930">
          <a:extLst>
            <a:ext uri="{FF2B5EF4-FFF2-40B4-BE49-F238E27FC236}">
              <a16:creationId xmlns:a16="http://schemas.microsoft.com/office/drawing/2014/main" id="{B5962B6B-BD5C-42F3-819F-4F092FEC86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2" name="x_Picture 1" descr="Description: cid:image001.png@01D03949.49457930">
          <a:extLst>
            <a:ext uri="{FF2B5EF4-FFF2-40B4-BE49-F238E27FC236}">
              <a16:creationId xmlns:a16="http://schemas.microsoft.com/office/drawing/2014/main" id="{1C6DC6DF-9C5D-41E1-92AA-0AAD49E92A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3" name="x_Picture 1" descr="Description: cid:image001.png@01D03949.49457930">
          <a:extLst>
            <a:ext uri="{FF2B5EF4-FFF2-40B4-BE49-F238E27FC236}">
              <a16:creationId xmlns:a16="http://schemas.microsoft.com/office/drawing/2014/main" id="{F972F0AF-3A63-44B0-8894-29BFB18B67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4" name="x_Picture 1" descr="Description: cid:image001.png@01D03949.49457930">
          <a:extLst>
            <a:ext uri="{FF2B5EF4-FFF2-40B4-BE49-F238E27FC236}">
              <a16:creationId xmlns:a16="http://schemas.microsoft.com/office/drawing/2014/main" id="{E43B5BEB-6F7B-4986-ADAA-5AB026793D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5" name="x_Picture 1" descr="Description: cid:image001.png@01D03949.49457930">
          <a:extLst>
            <a:ext uri="{FF2B5EF4-FFF2-40B4-BE49-F238E27FC236}">
              <a16:creationId xmlns:a16="http://schemas.microsoft.com/office/drawing/2014/main" id="{368F0171-4958-4EAE-8ED9-E651D074850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6" name="x_Picture 1" descr="Description: cid:image001.png@01D03949.49457930">
          <a:extLst>
            <a:ext uri="{FF2B5EF4-FFF2-40B4-BE49-F238E27FC236}">
              <a16:creationId xmlns:a16="http://schemas.microsoft.com/office/drawing/2014/main" id="{3FF3667B-AB64-4837-930C-D218614300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7" name="x_Picture 1" descr="Description: cid:image001.png@01D03949.49457930">
          <a:extLst>
            <a:ext uri="{FF2B5EF4-FFF2-40B4-BE49-F238E27FC236}">
              <a16:creationId xmlns:a16="http://schemas.microsoft.com/office/drawing/2014/main" id="{CE314154-DD32-4807-849E-0C90FFF1A9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8" name="x_Picture 1" descr="Description: cid:image001.png@01D03949.49457930">
          <a:extLst>
            <a:ext uri="{FF2B5EF4-FFF2-40B4-BE49-F238E27FC236}">
              <a16:creationId xmlns:a16="http://schemas.microsoft.com/office/drawing/2014/main" id="{4116AECF-059F-489E-BC8D-8A278BF4B4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59" name="x_Picture 1" descr="Description: cid:image001.png@01D03949.49457930">
          <a:extLst>
            <a:ext uri="{FF2B5EF4-FFF2-40B4-BE49-F238E27FC236}">
              <a16:creationId xmlns:a16="http://schemas.microsoft.com/office/drawing/2014/main" id="{CE047C02-FC82-4BAE-97D6-9F260CAF40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0" name="x_Picture 1" descr="Description: cid:image001.png@01D03949.49457930">
          <a:extLst>
            <a:ext uri="{FF2B5EF4-FFF2-40B4-BE49-F238E27FC236}">
              <a16:creationId xmlns:a16="http://schemas.microsoft.com/office/drawing/2014/main" id="{8473809B-CCE7-4B6D-9F1C-1BE8BD08F5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1" name="x_Picture 1" descr="Description: cid:image001.png@01D03949.49457930">
          <a:extLst>
            <a:ext uri="{FF2B5EF4-FFF2-40B4-BE49-F238E27FC236}">
              <a16:creationId xmlns:a16="http://schemas.microsoft.com/office/drawing/2014/main" id="{E7D24781-5B75-493B-81AB-47ECC5C90E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2" name="x_Picture 1" descr="Description: cid:image001.png@01D03949.49457930">
          <a:extLst>
            <a:ext uri="{FF2B5EF4-FFF2-40B4-BE49-F238E27FC236}">
              <a16:creationId xmlns:a16="http://schemas.microsoft.com/office/drawing/2014/main" id="{25BE5132-78BD-4063-8EED-5A0D91D552D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3" name="x_Picture 1" descr="Description: cid:image001.png@01D03949.49457930">
          <a:extLst>
            <a:ext uri="{FF2B5EF4-FFF2-40B4-BE49-F238E27FC236}">
              <a16:creationId xmlns:a16="http://schemas.microsoft.com/office/drawing/2014/main" id="{1D7A0A83-3122-41C3-BF33-B1483E65CD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4" name="x_Picture 1" descr="Description: cid:image001.png@01D03949.49457930">
          <a:extLst>
            <a:ext uri="{FF2B5EF4-FFF2-40B4-BE49-F238E27FC236}">
              <a16:creationId xmlns:a16="http://schemas.microsoft.com/office/drawing/2014/main" id="{00B4D778-5513-487E-91D1-FE00A21E0E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5" name="x_Picture 1" descr="Description: cid:image001.png@01D03949.49457930">
          <a:extLst>
            <a:ext uri="{FF2B5EF4-FFF2-40B4-BE49-F238E27FC236}">
              <a16:creationId xmlns:a16="http://schemas.microsoft.com/office/drawing/2014/main" id="{8EB20FED-A30C-4ECD-AD88-C65CDD431A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6" name="x_Picture 1" descr="Description: cid:image001.png@01D03949.49457930">
          <a:extLst>
            <a:ext uri="{FF2B5EF4-FFF2-40B4-BE49-F238E27FC236}">
              <a16:creationId xmlns:a16="http://schemas.microsoft.com/office/drawing/2014/main" id="{623BA569-5B50-493A-BD92-FFE5A751F0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7" name="x_Picture 1" descr="Description: cid:image001.png@01D03949.49457930">
          <a:extLst>
            <a:ext uri="{FF2B5EF4-FFF2-40B4-BE49-F238E27FC236}">
              <a16:creationId xmlns:a16="http://schemas.microsoft.com/office/drawing/2014/main" id="{A777CD05-3A62-44BE-B3B3-BCC6BB187A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8" name="x_Picture 1" descr="Description: cid:image001.png@01D03949.49457930">
          <a:extLst>
            <a:ext uri="{FF2B5EF4-FFF2-40B4-BE49-F238E27FC236}">
              <a16:creationId xmlns:a16="http://schemas.microsoft.com/office/drawing/2014/main" id="{5F44C712-5416-44FB-9B06-3A977E98A6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69" name="x_Picture 1" descr="Description: cid:image001.png@01D03949.49457930">
          <a:extLst>
            <a:ext uri="{FF2B5EF4-FFF2-40B4-BE49-F238E27FC236}">
              <a16:creationId xmlns:a16="http://schemas.microsoft.com/office/drawing/2014/main" id="{C595D3AF-4F3F-4802-87CF-19616FD834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0" name="x_Picture 1" descr="Description: cid:image001.png@01D03949.49457930">
          <a:extLst>
            <a:ext uri="{FF2B5EF4-FFF2-40B4-BE49-F238E27FC236}">
              <a16:creationId xmlns:a16="http://schemas.microsoft.com/office/drawing/2014/main" id="{BB14A174-6B6B-4C8D-94A9-2B2E119166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1" name="x_Picture 1" descr="Description: cid:image001.png@01D03949.49457930">
          <a:extLst>
            <a:ext uri="{FF2B5EF4-FFF2-40B4-BE49-F238E27FC236}">
              <a16:creationId xmlns:a16="http://schemas.microsoft.com/office/drawing/2014/main" id="{D4D67651-22C6-4424-98C9-40028C41C2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2" name="x_Picture 1" descr="Description: cid:image001.png@01D03949.49457930">
          <a:extLst>
            <a:ext uri="{FF2B5EF4-FFF2-40B4-BE49-F238E27FC236}">
              <a16:creationId xmlns:a16="http://schemas.microsoft.com/office/drawing/2014/main" id="{D6B5A23F-679E-454A-B849-EAA6BA2BE6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3" name="x_Picture 1" descr="Description: cid:image001.png@01D03949.49457930">
          <a:extLst>
            <a:ext uri="{FF2B5EF4-FFF2-40B4-BE49-F238E27FC236}">
              <a16:creationId xmlns:a16="http://schemas.microsoft.com/office/drawing/2014/main" id="{29BE1E3B-AECB-4524-B5C2-6CC6356F64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4" name="x_Picture 1" descr="Description: cid:image001.png@01D03949.49457930">
          <a:extLst>
            <a:ext uri="{FF2B5EF4-FFF2-40B4-BE49-F238E27FC236}">
              <a16:creationId xmlns:a16="http://schemas.microsoft.com/office/drawing/2014/main" id="{FA388F06-0062-40A6-84B5-F8BF34323E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5" name="x_Picture 1" descr="Description: cid:image001.png@01D03949.49457930">
          <a:extLst>
            <a:ext uri="{FF2B5EF4-FFF2-40B4-BE49-F238E27FC236}">
              <a16:creationId xmlns:a16="http://schemas.microsoft.com/office/drawing/2014/main" id="{A37F8CC1-7C21-4CDC-8A2F-75F2C761C51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6" name="x_Picture 1" descr="Description: cid:image001.png@01D03949.49457930">
          <a:extLst>
            <a:ext uri="{FF2B5EF4-FFF2-40B4-BE49-F238E27FC236}">
              <a16:creationId xmlns:a16="http://schemas.microsoft.com/office/drawing/2014/main" id="{E7E8F088-810B-4748-BD26-3FB9E06FDB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7" name="x_Picture 1" descr="Description: cid:image001.png@01D03949.49457930">
          <a:extLst>
            <a:ext uri="{FF2B5EF4-FFF2-40B4-BE49-F238E27FC236}">
              <a16:creationId xmlns:a16="http://schemas.microsoft.com/office/drawing/2014/main" id="{5ED58CB1-30C0-4089-A3C4-3622792DBA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8" name="x_Picture 1" descr="Description: cid:image001.png@01D03949.49457930">
          <a:extLst>
            <a:ext uri="{FF2B5EF4-FFF2-40B4-BE49-F238E27FC236}">
              <a16:creationId xmlns:a16="http://schemas.microsoft.com/office/drawing/2014/main" id="{CD9926B3-3C02-4149-B457-32EE1C4D43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79" name="x_Picture 1" descr="Description: cid:image001.png@01D03949.49457930">
          <a:extLst>
            <a:ext uri="{FF2B5EF4-FFF2-40B4-BE49-F238E27FC236}">
              <a16:creationId xmlns:a16="http://schemas.microsoft.com/office/drawing/2014/main" id="{95A33A38-E412-44AA-B11C-FCCDC5525B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0" name="x_Picture 1" descr="Description: cid:image001.png@01D03949.49457930">
          <a:extLst>
            <a:ext uri="{FF2B5EF4-FFF2-40B4-BE49-F238E27FC236}">
              <a16:creationId xmlns:a16="http://schemas.microsoft.com/office/drawing/2014/main" id="{1BA7815B-1533-40A0-9582-9AFAA26E63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1" name="x_Picture 1" descr="Description: cid:image001.png@01D03949.49457930">
          <a:extLst>
            <a:ext uri="{FF2B5EF4-FFF2-40B4-BE49-F238E27FC236}">
              <a16:creationId xmlns:a16="http://schemas.microsoft.com/office/drawing/2014/main" id="{AD92AFC6-EE53-4EE3-AA87-A10356343F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2" name="x_Picture 1" descr="Description: cid:image001.png@01D03949.49457930">
          <a:extLst>
            <a:ext uri="{FF2B5EF4-FFF2-40B4-BE49-F238E27FC236}">
              <a16:creationId xmlns:a16="http://schemas.microsoft.com/office/drawing/2014/main" id="{AB276D68-2616-4796-97F5-D10A66F6CE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3" name="x_Picture 1" descr="Description: cid:image001.png@01D03949.49457930">
          <a:extLst>
            <a:ext uri="{FF2B5EF4-FFF2-40B4-BE49-F238E27FC236}">
              <a16:creationId xmlns:a16="http://schemas.microsoft.com/office/drawing/2014/main" id="{CE3DFC01-D70C-4E6E-BA86-5A8DE5C9F9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4" name="x_Picture 1" descr="Description: cid:image001.png@01D03949.49457930">
          <a:extLst>
            <a:ext uri="{FF2B5EF4-FFF2-40B4-BE49-F238E27FC236}">
              <a16:creationId xmlns:a16="http://schemas.microsoft.com/office/drawing/2014/main" id="{3402FF68-BC71-45F4-856F-E7996435B30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5" name="x_Picture 1" descr="Description: cid:image001.png@01D03949.49457930">
          <a:extLst>
            <a:ext uri="{FF2B5EF4-FFF2-40B4-BE49-F238E27FC236}">
              <a16:creationId xmlns:a16="http://schemas.microsoft.com/office/drawing/2014/main" id="{0A734C60-E2F7-4AF5-86E7-EF1405BAD5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6" name="x_Picture 1" descr="Description: cid:image001.png@01D03949.49457930">
          <a:extLst>
            <a:ext uri="{FF2B5EF4-FFF2-40B4-BE49-F238E27FC236}">
              <a16:creationId xmlns:a16="http://schemas.microsoft.com/office/drawing/2014/main" id="{88C2824C-7099-4B25-9D0C-5E5D850EF9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7" name="x_Picture 1" descr="Description: cid:image001.png@01D03949.49457930">
          <a:extLst>
            <a:ext uri="{FF2B5EF4-FFF2-40B4-BE49-F238E27FC236}">
              <a16:creationId xmlns:a16="http://schemas.microsoft.com/office/drawing/2014/main" id="{5797EC6F-2FB6-49FF-938D-AC6CB980A8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8" name="x_Picture 1" descr="Description: cid:image001.png@01D03949.49457930">
          <a:extLst>
            <a:ext uri="{FF2B5EF4-FFF2-40B4-BE49-F238E27FC236}">
              <a16:creationId xmlns:a16="http://schemas.microsoft.com/office/drawing/2014/main" id="{3C37CE7D-ECE4-479E-986C-5902E6058F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89" name="x_Picture 1" descr="Description: cid:image001.png@01D03949.49457930">
          <a:extLst>
            <a:ext uri="{FF2B5EF4-FFF2-40B4-BE49-F238E27FC236}">
              <a16:creationId xmlns:a16="http://schemas.microsoft.com/office/drawing/2014/main" id="{9D59A372-B75B-408A-B1A9-AAD670CBDA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0" name="x_Picture 1" descr="Description: cid:image001.png@01D03949.49457930">
          <a:extLst>
            <a:ext uri="{FF2B5EF4-FFF2-40B4-BE49-F238E27FC236}">
              <a16:creationId xmlns:a16="http://schemas.microsoft.com/office/drawing/2014/main" id="{E632EB20-1114-4F20-813E-4A276C261EE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1" name="x_Picture 1" descr="Description: cid:image001.png@01D03949.49457930">
          <a:extLst>
            <a:ext uri="{FF2B5EF4-FFF2-40B4-BE49-F238E27FC236}">
              <a16:creationId xmlns:a16="http://schemas.microsoft.com/office/drawing/2014/main" id="{B2CAD06D-5830-4912-AD79-8C7CA610CC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2" name="x_Picture 1" descr="Description: cid:image001.png@01D03949.49457930">
          <a:extLst>
            <a:ext uri="{FF2B5EF4-FFF2-40B4-BE49-F238E27FC236}">
              <a16:creationId xmlns:a16="http://schemas.microsoft.com/office/drawing/2014/main" id="{E4A5F636-4A57-4337-A9F0-2D9F7DE06CC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3" name="x_Picture 1" descr="Description: cid:image001.png@01D03949.49457930">
          <a:extLst>
            <a:ext uri="{FF2B5EF4-FFF2-40B4-BE49-F238E27FC236}">
              <a16:creationId xmlns:a16="http://schemas.microsoft.com/office/drawing/2014/main" id="{2B4B8302-0704-4F8F-9E56-E9F0B223DC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4" name="x_Picture 1" descr="Description: cid:image001.png@01D03949.49457930">
          <a:extLst>
            <a:ext uri="{FF2B5EF4-FFF2-40B4-BE49-F238E27FC236}">
              <a16:creationId xmlns:a16="http://schemas.microsoft.com/office/drawing/2014/main" id="{989344DD-00FE-46CA-9940-9BBD815CA3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5" name="x_Picture 1" descr="Description: cid:image001.png@01D03949.49457930">
          <a:extLst>
            <a:ext uri="{FF2B5EF4-FFF2-40B4-BE49-F238E27FC236}">
              <a16:creationId xmlns:a16="http://schemas.microsoft.com/office/drawing/2014/main" id="{F6CC8B59-FE40-4322-B7B9-159378C595F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6" name="x_Picture 1" descr="Description: cid:image001.png@01D03949.49457930">
          <a:extLst>
            <a:ext uri="{FF2B5EF4-FFF2-40B4-BE49-F238E27FC236}">
              <a16:creationId xmlns:a16="http://schemas.microsoft.com/office/drawing/2014/main" id="{03E8E5B9-74FF-40EA-BF91-9C6145239CB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7" name="x_Picture 1" descr="Description: cid:image001.png@01D03949.49457930">
          <a:extLst>
            <a:ext uri="{FF2B5EF4-FFF2-40B4-BE49-F238E27FC236}">
              <a16:creationId xmlns:a16="http://schemas.microsoft.com/office/drawing/2014/main" id="{D2F4B4D3-8E7B-4E5D-A39B-8725EC31680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8" name="x_Picture 1" descr="Description: cid:image001.png@01D03949.49457930">
          <a:extLst>
            <a:ext uri="{FF2B5EF4-FFF2-40B4-BE49-F238E27FC236}">
              <a16:creationId xmlns:a16="http://schemas.microsoft.com/office/drawing/2014/main" id="{E2D3D57B-A92E-4536-A695-BC97CFF57C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799" name="x_Picture 1" descr="Description: cid:image001.png@01D03949.49457930">
          <a:extLst>
            <a:ext uri="{FF2B5EF4-FFF2-40B4-BE49-F238E27FC236}">
              <a16:creationId xmlns:a16="http://schemas.microsoft.com/office/drawing/2014/main" id="{D842BEC7-314D-4E66-9E26-247C807620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0" name="x_Picture 1" descr="Description: cid:image001.png@01D03949.49457930">
          <a:extLst>
            <a:ext uri="{FF2B5EF4-FFF2-40B4-BE49-F238E27FC236}">
              <a16:creationId xmlns:a16="http://schemas.microsoft.com/office/drawing/2014/main" id="{15AF0BE7-2678-4B13-A2DF-4BC6D302C9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1" name="x_Picture 1" descr="Description: cid:image001.png@01D03949.49457930">
          <a:extLst>
            <a:ext uri="{FF2B5EF4-FFF2-40B4-BE49-F238E27FC236}">
              <a16:creationId xmlns:a16="http://schemas.microsoft.com/office/drawing/2014/main" id="{30B1C21F-CAB6-4BEA-875C-3630191056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2" name="x_Picture 1" descr="Description: cid:image001.png@01D03949.49457930">
          <a:extLst>
            <a:ext uri="{FF2B5EF4-FFF2-40B4-BE49-F238E27FC236}">
              <a16:creationId xmlns:a16="http://schemas.microsoft.com/office/drawing/2014/main" id="{35264C64-AE49-4BB0-9507-3B6BF2FB22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3" name="x_Picture 1" descr="Description: cid:image001.png@01D03949.49457930">
          <a:extLst>
            <a:ext uri="{FF2B5EF4-FFF2-40B4-BE49-F238E27FC236}">
              <a16:creationId xmlns:a16="http://schemas.microsoft.com/office/drawing/2014/main" id="{6AF020AE-D0E3-48CC-9189-09826CCA09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4" name="x_Picture 1" descr="Description: cid:image001.png@01D03949.49457930">
          <a:extLst>
            <a:ext uri="{FF2B5EF4-FFF2-40B4-BE49-F238E27FC236}">
              <a16:creationId xmlns:a16="http://schemas.microsoft.com/office/drawing/2014/main" id="{29795548-FC7A-41B5-A5F3-EF514B7740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5" name="x_Picture 1" descr="Description: cid:image001.png@01D03949.49457930">
          <a:extLst>
            <a:ext uri="{FF2B5EF4-FFF2-40B4-BE49-F238E27FC236}">
              <a16:creationId xmlns:a16="http://schemas.microsoft.com/office/drawing/2014/main" id="{CC289D9B-8E60-4316-B592-105ADF21C7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6" name="x_Picture 1" descr="Description: cid:image001.png@01D03949.49457930">
          <a:extLst>
            <a:ext uri="{FF2B5EF4-FFF2-40B4-BE49-F238E27FC236}">
              <a16:creationId xmlns:a16="http://schemas.microsoft.com/office/drawing/2014/main" id="{BF38E7DE-CE7D-45A3-A84C-58A11E33AD4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7" name="x_Picture 1" descr="Description: cid:image001.png@01D03949.49457930">
          <a:extLst>
            <a:ext uri="{FF2B5EF4-FFF2-40B4-BE49-F238E27FC236}">
              <a16:creationId xmlns:a16="http://schemas.microsoft.com/office/drawing/2014/main" id="{5CC836A0-1806-4B2C-B850-2F884BB5E3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8" name="x_Picture 1" descr="Description: cid:image001.png@01D03949.49457930">
          <a:extLst>
            <a:ext uri="{FF2B5EF4-FFF2-40B4-BE49-F238E27FC236}">
              <a16:creationId xmlns:a16="http://schemas.microsoft.com/office/drawing/2014/main" id="{1A63EFC1-FDA5-446C-83A3-F10A73879A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09" name="x_Picture 1" descr="Description: cid:image001.png@01D03949.49457930">
          <a:extLst>
            <a:ext uri="{FF2B5EF4-FFF2-40B4-BE49-F238E27FC236}">
              <a16:creationId xmlns:a16="http://schemas.microsoft.com/office/drawing/2014/main" id="{D6B31E10-9C32-4EE2-A58D-3C3E2E1190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0" name="x_Picture 1" descr="Description: cid:image001.png@01D03949.49457930">
          <a:extLst>
            <a:ext uri="{FF2B5EF4-FFF2-40B4-BE49-F238E27FC236}">
              <a16:creationId xmlns:a16="http://schemas.microsoft.com/office/drawing/2014/main" id="{BCD209BD-9AAB-4E91-815D-40B63BFF7B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1" name="x_Picture 1" descr="Description: cid:image001.png@01D03949.49457930">
          <a:extLst>
            <a:ext uri="{FF2B5EF4-FFF2-40B4-BE49-F238E27FC236}">
              <a16:creationId xmlns:a16="http://schemas.microsoft.com/office/drawing/2014/main" id="{8578B59C-38D5-42F2-8AAB-5F90AF702D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2" name="x_Picture 1" descr="Description: cid:image001.png@01D03949.49457930">
          <a:extLst>
            <a:ext uri="{FF2B5EF4-FFF2-40B4-BE49-F238E27FC236}">
              <a16:creationId xmlns:a16="http://schemas.microsoft.com/office/drawing/2014/main" id="{3A934354-D88C-469A-9FB5-1924AD8303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3" name="x_Picture 1" descr="Description: cid:image001.png@01D03949.49457930">
          <a:extLst>
            <a:ext uri="{FF2B5EF4-FFF2-40B4-BE49-F238E27FC236}">
              <a16:creationId xmlns:a16="http://schemas.microsoft.com/office/drawing/2014/main" id="{0E75AB3C-1905-4B58-B342-9BAA026C216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4" name="x_Picture 1" descr="Description: cid:image001.png@01D03949.49457930">
          <a:extLst>
            <a:ext uri="{FF2B5EF4-FFF2-40B4-BE49-F238E27FC236}">
              <a16:creationId xmlns:a16="http://schemas.microsoft.com/office/drawing/2014/main" id="{1306A1CC-5BAE-4D5C-A311-7E82DFFFC4A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5" name="x_Picture 1" descr="Description: cid:image001.png@01D03949.49457930">
          <a:extLst>
            <a:ext uri="{FF2B5EF4-FFF2-40B4-BE49-F238E27FC236}">
              <a16:creationId xmlns:a16="http://schemas.microsoft.com/office/drawing/2014/main" id="{8E68FDB7-1912-4DE3-9BE7-081D85E4BF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6" name="x_Picture 1" descr="Description: cid:image001.png@01D03949.49457930">
          <a:extLst>
            <a:ext uri="{FF2B5EF4-FFF2-40B4-BE49-F238E27FC236}">
              <a16:creationId xmlns:a16="http://schemas.microsoft.com/office/drawing/2014/main" id="{BB3A38FB-5418-4918-947D-6D913E4597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7" name="x_Picture 1" descr="Description: cid:image001.png@01D03949.49457930">
          <a:extLst>
            <a:ext uri="{FF2B5EF4-FFF2-40B4-BE49-F238E27FC236}">
              <a16:creationId xmlns:a16="http://schemas.microsoft.com/office/drawing/2014/main" id="{454E4921-6359-4768-857F-E0213E1B0C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8" name="x_Picture 1" descr="Description: cid:image001.png@01D03949.49457930">
          <a:extLst>
            <a:ext uri="{FF2B5EF4-FFF2-40B4-BE49-F238E27FC236}">
              <a16:creationId xmlns:a16="http://schemas.microsoft.com/office/drawing/2014/main" id="{3976F66C-6933-44A1-91B8-28DC2E579B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19" name="x_Picture 1" descr="Description: cid:image001.png@01D03949.49457930">
          <a:extLst>
            <a:ext uri="{FF2B5EF4-FFF2-40B4-BE49-F238E27FC236}">
              <a16:creationId xmlns:a16="http://schemas.microsoft.com/office/drawing/2014/main" id="{0586E222-DA06-49DC-A480-C33E0918C83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0" name="x_Picture 1" descr="Description: cid:image001.png@01D03949.49457930">
          <a:extLst>
            <a:ext uri="{FF2B5EF4-FFF2-40B4-BE49-F238E27FC236}">
              <a16:creationId xmlns:a16="http://schemas.microsoft.com/office/drawing/2014/main" id="{FE01C124-F490-4BA8-BB04-1037B0BDAB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1" name="x_Picture 1" descr="Description: cid:image001.png@01D03949.49457930">
          <a:extLst>
            <a:ext uri="{FF2B5EF4-FFF2-40B4-BE49-F238E27FC236}">
              <a16:creationId xmlns:a16="http://schemas.microsoft.com/office/drawing/2014/main" id="{C29319A3-A19D-482C-88EB-6CC026C5FA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2" name="x_Picture 1" descr="Description: cid:image001.png@01D03949.49457930">
          <a:extLst>
            <a:ext uri="{FF2B5EF4-FFF2-40B4-BE49-F238E27FC236}">
              <a16:creationId xmlns:a16="http://schemas.microsoft.com/office/drawing/2014/main" id="{F8C9E90C-A6F9-471E-A446-52CF3121DE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3" name="x_Picture 1" descr="Description: cid:image001.png@01D03949.49457930">
          <a:extLst>
            <a:ext uri="{FF2B5EF4-FFF2-40B4-BE49-F238E27FC236}">
              <a16:creationId xmlns:a16="http://schemas.microsoft.com/office/drawing/2014/main" id="{5CF6F123-CF53-4E19-BE6F-70A854AA163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4" name="x_Picture 1" descr="Description: cid:image001.png@01D03949.49457930">
          <a:extLst>
            <a:ext uri="{FF2B5EF4-FFF2-40B4-BE49-F238E27FC236}">
              <a16:creationId xmlns:a16="http://schemas.microsoft.com/office/drawing/2014/main" id="{E98E00C6-56B0-4111-8D62-F19758509A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5" name="x_Picture 1" descr="Description: cid:image001.png@01D03949.49457930">
          <a:extLst>
            <a:ext uri="{FF2B5EF4-FFF2-40B4-BE49-F238E27FC236}">
              <a16:creationId xmlns:a16="http://schemas.microsoft.com/office/drawing/2014/main" id="{1FE249AF-7293-40F1-9B5D-7C164A4E4B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6" name="x_Picture 1" descr="Description: cid:image001.png@01D03949.49457930">
          <a:extLst>
            <a:ext uri="{FF2B5EF4-FFF2-40B4-BE49-F238E27FC236}">
              <a16:creationId xmlns:a16="http://schemas.microsoft.com/office/drawing/2014/main" id="{3DBEE1E9-2604-467A-87AD-2CE2591E048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7" name="x_Picture 1" descr="Description: cid:image001.png@01D03949.49457930">
          <a:extLst>
            <a:ext uri="{FF2B5EF4-FFF2-40B4-BE49-F238E27FC236}">
              <a16:creationId xmlns:a16="http://schemas.microsoft.com/office/drawing/2014/main" id="{771F9CD5-4C58-4547-BFDB-9B446CC8BC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8" name="x_Picture 1" descr="Description: cid:image001.png@01D03949.49457930">
          <a:extLst>
            <a:ext uri="{FF2B5EF4-FFF2-40B4-BE49-F238E27FC236}">
              <a16:creationId xmlns:a16="http://schemas.microsoft.com/office/drawing/2014/main" id="{2B1C8A7C-9562-442F-A138-18D78A4FBB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29" name="x_Picture 1" descr="Description: cid:image001.png@01D03949.49457930">
          <a:extLst>
            <a:ext uri="{FF2B5EF4-FFF2-40B4-BE49-F238E27FC236}">
              <a16:creationId xmlns:a16="http://schemas.microsoft.com/office/drawing/2014/main" id="{CE8196E9-A7E6-4DAE-AD84-F6579C7199E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0" name="x_Picture 1" descr="Description: cid:image001.png@01D03949.49457930">
          <a:extLst>
            <a:ext uri="{FF2B5EF4-FFF2-40B4-BE49-F238E27FC236}">
              <a16:creationId xmlns:a16="http://schemas.microsoft.com/office/drawing/2014/main" id="{18807EFF-920B-4925-A854-A8CDF4ED44B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1" name="x_Picture 1" descr="Description: cid:image001.png@01D03949.49457930">
          <a:extLst>
            <a:ext uri="{FF2B5EF4-FFF2-40B4-BE49-F238E27FC236}">
              <a16:creationId xmlns:a16="http://schemas.microsoft.com/office/drawing/2014/main" id="{46B59DE7-2C12-4972-BE3E-5728E1AC5C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2" name="x_Picture 1" descr="Description: cid:image001.png@01D03949.49457930">
          <a:extLst>
            <a:ext uri="{FF2B5EF4-FFF2-40B4-BE49-F238E27FC236}">
              <a16:creationId xmlns:a16="http://schemas.microsoft.com/office/drawing/2014/main" id="{C9B0747C-37CA-45E1-B447-A98232E381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3" name="x_Picture 1" descr="Description: cid:image001.png@01D03949.49457930">
          <a:extLst>
            <a:ext uri="{FF2B5EF4-FFF2-40B4-BE49-F238E27FC236}">
              <a16:creationId xmlns:a16="http://schemas.microsoft.com/office/drawing/2014/main" id="{85DCC558-2C79-481E-B09A-5D099BA0B35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4" name="x_Picture 1" descr="Description: cid:image001.png@01D03949.49457930">
          <a:extLst>
            <a:ext uri="{FF2B5EF4-FFF2-40B4-BE49-F238E27FC236}">
              <a16:creationId xmlns:a16="http://schemas.microsoft.com/office/drawing/2014/main" id="{22384B91-6A32-4EC8-A4DD-D5A404F22A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5" name="x_Picture 1" descr="Description: cid:image001.png@01D03949.49457930">
          <a:extLst>
            <a:ext uri="{FF2B5EF4-FFF2-40B4-BE49-F238E27FC236}">
              <a16:creationId xmlns:a16="http://schemas.microsoft.com/office/drawing/2014/main" id="{5EC4C929-A5C3-4954-90A7-BB03E1BD8E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6" name="x_Picture 1" descr="Description: cid:image001.png@01D03949.49457930">
          <a:extLst>
            <a:ext uri="{FF2B5EF4-FFF2-40B4-BE49-F238E27FC236}">
              <a16:creationId xmlns:a16="http://schemas.microsoft.com/office/drawing/2014/main" id="{8F1DCF53-4348-4B7B-BB82-8E69CC6FE6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7" name="x_Picture 1" descr="Description: cid:image001.png@01D03949.49457930">
          <a:extLst>
            <a:ext uri="{FF2B5EF4-FFF2-40B4-BE49-F238E27FC236}">
              <a16:creationId xmlns:a16="http://schemas.microsoft.com/office/drawing/2014/main" id="{0CC2C3F5-E984-42DA-AFFD-42EAC4C380B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8" name="x_Picture 1" descr="Description: cid:image001.png@01D03949.49457930">
          <a:extLst>
            <a:ext uri="{FF2B5EF4-FFF2-40B4-BE49-F238E27FC236}">
              <a16:creationId xmlns:a16="http://schemas.microsoft.com/office/drawing/2014/main" id="{09CA0920-E3BA-48A7-BCE6-9A2C76847B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39" name="x_Picture 1" descr="Description: cid:image001.png@01D03949.49457930">
          <a:extLst>
            <a:ext uri="{FF2B5EF4-FFF2-40B4-BE49-F238E27FC236}">
              <a16:creationId xmlns:a16="http://schemas.microsoft.com/office/drawing/2014/main" id="{34D39B1A-3777-49D4-AB87-838B030A7C0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0" name="x_Picture 1" descr="Description: cid:image001.png@01D03949.49457930">
          <a:extLst>
            <a:ext uri="{FF2B5EF4-FFF2-40B4-BE49-F238E27FC236}">
              <a16:creationId xmlns:a16="http://schemas.microsoft.com/office/drawing/2014/main" id="{0B5D8647-C15D-4A16-BCB5-30FCDF2EE3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1" name="x_Picture 1" descr="Description: cid:image001.png@01D03949.49457930">
          <a:extLst>
            <a:ext uri="{FF2B5EF4-FFF2-40B4-BE49-F238E27FC236}">
              <a16:creationId xmlns:a16="http://schemas.microsoft.com/office/drawing/2014/main" id="{C2D89B57-884F-4D59-8727-BA52B4A222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2" name="x_Picture 1" descr="Description: cid:image001.png@01D03949.49457930">
          <a:extLst>
            <a:ext uri="{FF2B5EF4-FFF2-40B4-BE49-F238E27FC236}">
              <a16:creationId xmlns:a16="http://schemas.microsoft.com/office/drawing/2014/main" id="{EE1CB982-3C5A-4725-84E1-AE930D1BA4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3" name="x_Picture 1" descr="Description: cid:image001.png@01D03949.49457930">
          <a:extLst>
            <a:ext uri="{FF2B5EF4-FFF2-40B4-BE49-F238E27FC236}">
              <a16:creationId xmlns:a16="http://schemas.microsoft.com/office/drawing/2014/main" id="{F544A437-6881-4284-A51F-811D5CA7CE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4" name="x_Picture 1" descr="Description: cid:image001.png@01D03949.49457930">
          <a:extLst>
            <a:ext uri="{FF2B5EF4-FFF2-40B4-BE49-F238E27FC236}">
              <a16:creationId xmlns:a16="http://schemas.microsoft.com/office/drawing/2014/main" id="{5FE3D198-4D5D-4B77-84FC-3181216E2C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5" name="x_Picture 1" descr="Description: cid:image001.png@01D03949.49457930">
          <a:extLst>
            <a:ext uri="{FF2B5EF4-FFF2-40B4-BE49-F238E27FC236}">
              <a16:creationId xmlns:a16="http://schemas.microsoft.com/office/drawing/2014/main" id="{665E7686-5882-4983-B253-B69369616B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6" name="x_Picture 1" descr="Description: cid:image001.png@01D03949.49457930">
          <a:extLst>
            <a:ext uri="{FF2B5EF4-FFF2-40B4-BE49-F238E27FC236}">
              <a16:creationId xmlns:a16="http://schemas.microsoft.com/office/drawing/2014/main" id="{ACECBED6-FB97-4533-A381-14E9F6E7C63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7" name="x_Picture 1" descr="Description: cid:image001.png@01D03949.49457930">
          <a:extLst>
            <a:ext uri="{FF2B5EF4-FFF2-40B4-BE49-F238E27FC236}">
              <a16:creationId xmlns:a16="http://schemas.microsoft.com/office/drawing/2014/main" id="{AE0DB3AC-CF98-47D8-B555-F88E7963B2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8" name="x_Picture 1" descr="Description: cid:image001.png@01D03949.49457930">
          <a:extLst>
            <a:ext uri="{FF2B5EF4-FFF2-40B4-BE49-F238E27FC236}">
              <a16:creationId xmlns:a16="http://schemas.microsoft.com/office/drawing/2014/main" id="{5E94F3DC-BF61-47E7-A023-CE32FF14FD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49" name="x_Picture 1" descr="Description: cid:image001.png@01D03949.49457930">
          <a:extLst>
            <a:ext uri="{FF2B5EF4-FFF2-40B4-BE49-F238E27FC236}">
              <a16:creationId xmlns:a16="http://schemas.microsoft.com/office/drawing/2014/main" id="{030FE293-261F-4BBA-9BA6-4B632485133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0" name="x_Picture 1" descr="Description: cid:image001.png@01D03949.49457930">
          <a:extLst>
            <a:ext uri="{FF2B5EF4-FFF2-40B4-BE49-F238E27FC236}">
              <a16:creationId xmlns:a16="http://schemas.microsoft.com/office/drawing/2014/main" id="{34048B3A-431D-4270-AC27-8A810A29E6C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1" name="x_Picture 1" descr="Description: cid:image001.png@01D03949.49457930">
          <a:extLst>
            <a:ext uri="{FF2B5EF4-FFF2-40B4-BE49-F238E27FC236}">
              <a16:creationId xmlns:a16="http://schemas.microsoft.com/office/drawing/2014/main" id="{E327D9B2-B325-4045-9668-5798538DCD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2" name="x_Picture 1" descr="Description: cid:image001.png@01D03949.49457930">
          <a:extLst>
            <a:ext uri="{FF2B5EF4-FFF2-40B4-BE49-F238E27FC236}">
              <a16:creationId xmlns:a16="http://schemas.microsoft.com/office/drawing/2014/main" id="{FB2E12E1-AD0D-4A52-8926-65ACB11B75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3" name="x_Picture 1" descr="Description: cid:image001.png@01D03949.49457930">
          <a:extLst>
            <a:ext uri="{FF2B5EF4-FFF2-40B4-BE49-F238E27FC236}">
              <a16:creationId xmlns:a16="http://schemas.microsoft.com/office/drawing/2014/main" id="{81CCE206-901A-4B62-A0E9-593CC29E13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4" name="x_Picture 1" descr="Description: cid:image001.png@01D03949.49457930">
          <a:extLst>
            <a:ext uri="{FF2B5EF4-FFF2-40B4-BE49-F238E27FC236}">
              <a16:creationId xmlns:a16="http://schemas.microsoft.com/office/drawing/2014/main" id="{3D039E1F-BA8E-44CC-B850-3E055526858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5" name="x_Picture 1" descr="Description: cid:image001.png@01D03949.49457930">
          <a:extLst>
            <a:ext uri="{FF2B5EF4-FFF2-40B4-BE49-F238E27FC236}">
              <a16:creationId xmlns:a16="http://schemas.microsoft.com/office/drawing/2014/main" id="{CEE42209-8ECE-4347-87A5-05220470171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6" name="x_Picture 1" descr="Description: cid:image001.png@01D03949.49457930">
          <a:extLst>
            <a:ext uri="{FF2B5EF4-FFF2-40B4-BE49-F238E27FC236}">
              <a16:creationId xmlns:a16="http://schemas.microsoft.com/office/drawing/2014/main" id="{1C30197C-A15F-46C3-A62D-2503D132D4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7" name="x_Picture 1" descr="Description: cid:image001.png@01D03949.49457930">
          <a:extLst>
            <a:ext uri="{FF2B5EF4-FFF2-40B4-BE49-F238E27FC236}">
              <a16:creationId xmlns:a16="http://schemas.microsoft.com/office/drawing/2014/main" id="{2C045440-2FA8-469A-81F4-92618C171DD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8" name="x_Picture 1" descr="Description: cid:image001.png@01D03949.49457930">
          <a:extLst>
            <a:ext uri="{FF2B5EF4-FFF2-40B4-BE49-F238E27FC236}">
              <a16:creationId xmlns:a16="http://schemas.microsoft.com/office/drawing/2014/main" id="{AC5696CB-1DDD-4D6C-8207-F8509D1E53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59" name="x_Picture 1" descr="Description: cid:image001.png@01D03949.49457930">
          <a:extLst>
            <a:ext uri="{FF2B5EF4-FFF2-40B4-BE49-F238E27FC236}">
              <a16:creationId xmlns:a16="http://schemas.microsoft.com/office/drawing/2014/main" id="{69AA6680-3C70-4E8D-80F3-2C8FDE90FF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0" name="x_Picture 1" descr="Description: cid:image001.png@01D03949.49457930">
          <a:extLst>
            <a:ext uri="{FF2B5EF4-FFF2-40B4-BE49-F238E27FC236}">
              <a16:creationId xmlns:a16="http://schemas.microsoft.com/office/drawing/2014/main" id="{3C11D02B-CF26-43AB-8CFC-210B846A80F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1" name="x_Picture 1" descr="Description: cid:image001.png@01D03949.49457930">
          <a:extLst>
            <a:ext uri="{FF2B5EF4-FFF2-40B4-BE49-F238E27FC236}">
              <a16:creationId xmlns:a16="http://schemas.microsoft.com/office/drawing/2014/main" id="{B5022A2F-2B58-4376-AF4E-C0E4D72F7D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2" name="x_Picture 1" descr="Description: cid:image001.png@01D03949.49457930">
          <a:extLst>
            <a:ext uri="{FF2B5EF4-FFF2-40B4-BE49-F238E27FC236}">
              <a16:creationId xmlns:a16="http://schemas.microsoft.com/office/drawing/2014/main" id="{2DF71D6D-D0B2-42BD-8E0F-AC87A7EF93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3" name="x_Picture 1" descr="Description: cid:image001.png@01D03949.49457930">
          <a:extLst>
            <a:ext uri="{FF2B5EF4-FFF2-40B4-BE49-F238E27FC236}">
              <a16:creationId xmlns:a16="http://schemas.microsoft.com/office/drawing/2014/main" id="{48959B8B-5687-411E-BCA4-82E7D278D5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4" name="x_Picture 1" descr="Description: cid:image001.png@01D03949.49457930">
          <a:extLst>
            <a:ext uri="{FF2B5EF4-FFF2-40B4-BE49-F238E27FC236}">
              <a16:creationId xmlns:a16="http://schemas.microsoft.com/office/drawing/2014/main" id="{22AB3FC5-BAB7-4B90-B4F2-BDB68AF9C8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5" name="x_Picture 1" descr="Description: cid:image001.png@01D03949.49457930">
          <a:extLst>
            <a:ext uri="{FF2B5EF4-FFF2-40B4-BE49-F238E27FC236}">
              <a16:creationId xmlns:a16="http://schemas.microsoft.com/office/drawing/2014/main" id="{519ECF20-FBB4-40FB-A60E-A5F9802911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6" name="x_Picture 1" descr="Description: cid:image001.png@01D03949.49457930">
          <a:extLst>
            <a:ext uri="{FF2B5EF4-FFF2-40B4-BE49-F238E27FC236}">
              <a16:creationId xmlns:a16="http://schemas.microsoft.com/office/drawing/2014/main" id="{851B9BF5-A395-4FCC-A967-046B8725F4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7" name="x_Picture 1" descr="Description: cid:image001.png@01D03949.49457930">
          <a:extLst>
            <a:ext uri="{FF2B5EF4-FFF2-40B4-BE49-F238E27FC236}">
              <a16:creationId xmlns:a16="http://schemas.microsoft.com/office/drawing/2014/main" id="{B1C5C6C4-1D89-4609-9A7A-04D3447A4A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8" name="x_Picture 1" descr="Description: cid:image001.png@01D03949.49457930">
          <a:extLst>
            <a:ext uri="{FF2B5EF4-FFF2-40B4-BE49-F238E27FC236}">
              <a16:creationId xmlns:a16="http://schemas.microsoft.com/office/drawing/2014/main" id="{B48B069B-2999-479B-A665-8474E179BE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69" name="x_Picture 1" descr="Description: cid:image001.png@01D03949.49457930">
          <a:extLst>
            <a:ext uri="{FF2B5EF4-FFF2-40B4-BE49-F238E27FC236}">
              <a16:creationId xmlns:a16="http://schemas.microsoft.com/office/drawing/2014/main" id="{23DD5974-0810-4BFF-810D-1BD0AE7F6C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0" name="x_Picture 1" descr="Description: cid:image001.png@01D03949.49457930">
          <a:extLst>
            <a:ext uri="{FF2B5EF4-FFF2-40B4-BE49-F238E27FC236}">
              <a16:creationId xmlns:a16="http://schemas.microsoft.com/office/drawing/2014/main" id="{87EB8A2C-D70A-44AD-AF7F-790EC4300E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1" name="x_Picture 1" descr="Description: cid:image001.png@01D03949.49457930">
          <a:extLst>
            <a:ext uri="{FF2B5EF4-FFF2-40B4-BE49-F238E27FC236}">
              <a16:creationId xmlns:a16="http://schemas.microsoft.com/office/drawing/2014/main" id="{8DE6996E-DB1D-4E4D-97DF-24D38609992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2" name="x_Picture 1" descr="Description: cid:image001.png@01D03949.49457930">
          <a:extLst>
            <a:ext uri="{FF2B5EF4-FFF2-40B4-BE49-F238E27FC236}">
              <a16:creationId xmlns:a16="http://schemas.microsoft.com/office/drawing/2014/main" id="{4215E31F-DD94-43D0-B987-4728EB0072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3" name="x_Picture 1" descr="Description: cid:image001.png@01D03949.49457930">
          <a:extLst>
            <a:ext uri="{FF2B5EF4-FFF2-40B4-BE49-F238E27FC236}">
              <a16:creationId xmlns:a16="http://schemas.microsoft.com/office/drawing/2014/main" id="{5D7C9E60-F50D-4AC0-9F5B-232D3125A4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4" name="x_Picture 1" descr="Description: cid:image001.png@01D03949.49457930">
          <a:extLst>
            <a:ext uri="{FF2B5EF4-FFF2-40B4-BE49-F238E27FC236}">
              <a16:creationId xmlns:a16="http://schemas.microsoft.com/office/drawing/2014/main" id="{8A0F61E9-6459-42C2-97EB-31A64F124A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5" name="x_Picture 1" descr="Description: cid:image001.png@01D03949.49457930">
          <a:extLst>
            <a:ext uri="{FF2B5EF4-FFF2-40B4-BE49-F238E27FC236}">
              <a16:creationId xmlns:a16="http://schemas.microsoft.com/office/drawing/2014/main" id="{4C10D71E-37B2-40B2-896D-263839FF10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6" name="x_Picture 1" descr="Description: cid:image001.png@01D03949.49457930">
          <a:extLst>
            <a:ext uri="{FF2B5EF4-FFF2-40B4-BE49-F238E27FC236}">
              <a16:creationId xmlns:a16="http://schemas.microsoft.com/office/drawing/2014/main" id="{B717731A-69ED-4393-A4C4-72B519480AA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7" name="x_Picture 1" descr="Description: cid:image001.png@01D03949.49457930">
          <a:extLst>
            <a:ext uri="{FF2B5EF4-FFF2-40B4-BE49-F238E27FC236}">
              <a16:creationId xmlns:a16="http://schemas.microsoft.com/office/drawing/2014/main" id="{0CD8B630-549D-430C-B6DE-DB57D2F220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8" name="x_Picture 1" descr="Description: cid:image001.png@01D03949.49457930">
          <a:extLst>
            <a:ext uri="{FF2B5EF4-FFF2-40B4-BE49-F238E27FC236}">
              <a16:creationId xmlns:a16="http://schemas.microsoft.com/office/drawing/2014/main" id="{84BC2581-2468-4263-87A4-7E9E3F116C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79" name="x_Picture 1" descr="Description: cid:image001.png@01D03949.49457930">
          <a:extLst>
            <a:ext uri="{FF2B5EF4-FFF2-40B4-BE49-F238E27FC236}">
              <a16:creationId xmlns:a16="http://schemas.microsoft.com/office/drawing/2014/main" id="{DCB6BD8F-8866-41B0-A6A2-45553CC9B4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0" name="x_Picture 1" descr="Description: cid:image001.png@01D03949.49457930">
          <a:extLst>
            <a:ext uri="{FF2B5EF4-FFF2-40B4-BE49-F238E27FC236}">
              <a16:creationId xmlns:a16="http://schemas.microsoft.com/office/drawing/2014/main" id="{C15C8E3E-EBEB-40B9-8CA2-4818FC1E82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1" name="x_Picture 1" descr="Description: cid:image001.png@01D03949.49457930">
          <a:extLst>
            <a:ext uri="{FF2B5EF4-FFF2-40B4-BE49-F238E27FC236}">
              <a16:creationId xmlns:a16="http://schemas.microsoft.com/office/drawing/2014/main" id="{D942957D-7CC1-473A-9361-58CE819C2D9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2" name="x_Picture 1" descr="Description: cid:image001.png@01D03949.49457930">
          <a:extLst>
            <a:ext uri="{FF2B5EF4-FFF2-40B4-BE49-F238E27FC236}">
              <a16:creationId xmlns:a16="http://schemas.microsoft.com/office/drawing/2014/main" id="{6A2D9CBB-A1F2-4B59-B593-A35E9C4C2B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3" name="x_Picture 1" descr="Description: cid:image001.png@01D03949.49457930">
          <a:extLst>
            <a:ext uri="{FF2B5EF4-FFF2-40B4-BE49-F238E27FC236}">
              <a16:creationId xmlns:a16="http://schemas.microsoft.com/office/drawing/2014/main" id="{498728E5-A42B-446E-AE6D-89A5CB23B3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4" name="x_Picture 1" descr="Description: cid:image001.png@01D03949.49457930">
          <a:extLst>
            <a:ext uri="{FF2B5EF4-FFF2-40B4-BE49-F238E27FC236}">
              <a16:creationId xmlns:a16="http://schemas.microsoft.com/office/drawing/2014/main" id="{C5516AF4-400A-4CC6-88CF-B872195787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5" name="x_Picture 1" descr="Description: cid:image001.png@01D03949.49457930">
          <a:extLst>
            <a:ext uri="{FF2B5EF4-FFF2-40B4-BE49-F238E27FC236}">
              <a16:creationId xmlns:a16="http://schemas.microsoft.com/office/drawing/2014/main" id="{8329E999-0A2C-40CB-B1F5-A01ED8F2CF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6" name="x_Picture 1" descr="Description: cid:image001.png@01D03949.49457930">
          <a:extLst>
            <a:ext uri="{FF2B5EF4-FFF2-40B4-BE49-F238E27FC236}">
              <a16:creationId xmlns:a16="http://schemas.microsoft.com/office/drawing/2014/main" id="{15B5AE2C-6071-4599-888F-F6C8A75DD2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7" name="x_Picture 1" descr="Description: cid:image001.png@01D03949.49457930">
          <a:extLst>
            <a:ext uri="{FF2B5EF4-FFF2-40B4-BE49-F238E27FC236}">
              <a16:creationId xmlns:a16="http://schemas.microsoft.com/office/drawing/2014/main" id="{481D8AC0-F6F9-4FEC-A68E-D37D68A32F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8" name="x_Picture 1" descr="Description: cid:image001.png@01D03949.49457930">
          <a:extLst>
            <a:ext uri="{FF2B5EF4-FFF2-40B4-BE49-F238E27FC236}">
              <a16:creationId xmlns:a16="http://schemas.microsoft.com/office/drawing/2014/main" id="{9CDC11AC-6E1D-4924-A2FB-7134B7FFBA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89" name="x_Picture 1" descr="Description: cid:image001.png@01D03949.49457930">
          <a:extLst>
            <a:ext uri="{FF2B5EF4-FFF2-40B4-BE49-F238E27FC236}">
              <a16:creationId xmlns:a16="http://schemas.microsoft.com/office/drawing/2014/main" id="{FEDDBD47-B65F-4041-9FE6-76DFF4E10D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0" name="x_Picture 1" descr="Description: cid:image001.png@01D03949.49457930">
          <a:extLst>
            <a:ext uri="{FF2B5EF4-FFF2-40B4-BE49-F238E27FC236}">
              <a16:creationId xmlns:a16="http://schemas.microsoft.com/office/drawing/2014/main" id="{E179E295-F290-4367-A5AE-C463D54E38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1" name="x_Picture 1" descr="Description: cid:image001.png@01D03949.49457930">
          <a:extLst>
            <a:ext uri="{FF2B5EF4-FFF2-40B4-BE49-F238E27FC236}">
              <a16:creationId xmlns:a16="http://schemas.microsoft.com/office/drawing/2014/main" id="{C7DF9DAC-7F9D-43F7-8BB4-1326F7507E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2" name="x_Picture 1" descr="Description: cid:image001.png@01D03949.49457930">
          <a:extLst>
            <a:ext uri="{FF2B5EF4-FFF2-40B4-BE49-F238E27FC236}">
              <a16:creationId xmlns:a16="http://schemas.microsoft.com/office/drawing/2014/main" id="{37A76302-1673-4274-A8CE-C68149AF99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3" name="x_Picture 1" descr="Description: cid:image001.png@01D03949.49457930">
          <a:extLst>
            <a:ext uri="{FF2B5EF4-FFF2-40B4-BE49-F238E27FC236}">
              <a16:creationId xmlns:a16="http://schemas.microsoft.com/office/drawing/2014/main" id="{C1E3D94A-8CBC-4BE1-8CC4-5AAB7E9DC1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4" name="x_Picture 1" descr="Description: cid:image001.png@01D03949.49457930">
          <a:extLst>
            <a:ext uri="{FF2B5EF4-FFF2-40B4-BE49-F238E27FC236}">
              <a16:creationId xmlns:a16="http://schemas.microsoft.com/office/drawing/2014/main" id="{F0FA0D1B-3492-48B8-B2AE-BE545096D05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5" name="x_Picture 1" descr="Description: cid:image001.png@01D03949.49457930">
          <a:extLst>
            <a:ext uri="{FF2B5EF4-FFF2-40B4-BE49-F238E27FC236}">
              <a16:creationId xmlns:a16="http://schemas.microsoft.com/office/drawing/2014/main" id="{A7CF99DE-B280-49FF-A57E-D98796F417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6" name="x_Picture 1" descr="Description: cid:image001.png@01D03949.49457930">
          <a:extLst>
            <a:ext uri="{FF2B5EF4-FFF2-40B4-BE49-F238E27FC236}">
              <a16:creationId xmlns:a16="http://schemas.microsoft.com/office/drawing/2014/main" id="{7539F541-2B01-48EB-B48B-FED5D61B3D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7" name="x_Picture 1" descr="Description: cid:image001.png@01D03949.49457930">
          <a:extLst>
            <a:ext uri="{FF2B5EF4-FFF2-40B4-BE49-F238E27FC236}">
              <a16:creationId xmlns:a16="http://schemas.microsoft.com/office/drawing/2014/main" id="{8BCC9967-9874-450D-9EFD-F4CC610633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8" name="x_Picture 1" descr="Description: cid:image001.png@01D03949.49457930">
          <a:extLst>
            <a:ext uri="{FF2B5EF4-FFF2-40B4-BE49-F238E27FC236}">
              <a16:creationId xmlns:a16="http://schemas.microsoft.com/office/drawing/2014/main" id="{C9F0FF56-7D88-4BD5-BF4B-F0599995447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899" name="x_Picture 1" descr="Description: cid:image001.png@01D03949.49457930">
          <a:extLst>
            <a:ext uri="{FF2B5EF4-FFF2-40B4-BE49-F238E27FC236}">
              <a16:creationId xmlns:a16="http://schemas.microsoft.com/office/drawing/2014/main" id="{59DD2942-3C66-4698-9ADB-2FF2780C00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0" name="x_Picture 1" descr="Description: cid:image001.png@01D03949.49457930">
          <a:extLst>
            <a:ext uri="{FF2B5EF4-FFF2-40B4-BE49-F238E27FC236}">
              <a16:creationId xmlns:a16="http://schemas.microsoft.com/office/drawing/2014/main" id="{C57748DD-4AC5-4B4D-B101-D2E19272EE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1" name="x_Picture 1" descr="Description: cid:image001.png@01D03949.49457930">
          <a:extLst>
            <a:ext uri="{FF2B5EF4-FFF2-40B4-BE49-F238E27FC236}">
              <a16:creationId xmlns:a16="http://schemas.microsoft.com/office/drawing/2014/main" id="{88B312FE-4231-4686-B2C6-E3EA29B6847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2" name="x_Picture 1" descr="Description: cid:image001.png@01D03949.49457930">
          <a:extLst>
            <a:ext uri="{FF2B5EF4-FFF2-40B4-BE49-F238E27FC236}">
              <a16:creationId xmlns:a16="http://schemas.microsoft.com/office/drawing/2014/main" id="{ED6FCA4E-9DE5-48B0-BA8C-2C453B6F46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3" name="x_Picture 1" descr="Description: cid:image001.png@01D03949.49457930">
          <a:extLst>
            <a:ext uri="{FF2B5EF4-FFF2-40B4-BE49-F238E27FC236}">
              <a16:creationId xmlns:a16="http://schemas.microsoft.com/office/drawing/2014/main" id="{09670A66-FE6E-4B73-8D79-D8316D9DDD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4" name="x_Picture 1" descr="Description: cid:image001.png@01D03949.49457930">
          <a:extLst>
            <a:ext uri="{FF2B5EF4-FFF2-40B4-BE49-F238E27FC236}">
              <a16:creationId xmlns:a16="http://schemas.microsoft.com/office/drawing/2014/main" id="{E28186FB-8A24-4C5A-8B9C-AF25F150A0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5" name="x_Picture 1" descr="Description: cid:image001.png@01D03949.49457930">
          <a:extLst>
            <a:ext uri="{FF2B5EF4-FFF2-40B4-BE49-F238E27FC236}">
              <a16:creationId xmlns:a16="http://schemas.microsoft.com/office/drawing/2014/main" id="{EF52A02F-09F2-4822-949C-222CE23338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6" name="x_Picture 1" descr="Description: cid:image001.png@01D03949.49457930">
          <a:extLst>
            <a:ext uri="{FF2B5EF4-FFF2-40B4-BE49-F238E27FC236}">
              <a16:creationId xmlns:a16="http://schemas.microsoft.com/office/drawing/2014/main" id="{BB378F9C-9F42-432A-82A7-47FE148F0B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7" name="x_Picture 1" descr="Description: cid:image001.png@01D03949.49457930">
          <a:extLst>
            <a:ext uri="{FF2B5EF4-FFF2-40B4-BE49-F238E27FC236}">
              <a16:creationId xmlns:a16="http://schemas.microsoft.com/office/drawing/2014/main" id="{92B3EF97-12C6-4368-B1D3-94AB480149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8" name="x_Picture 1" descr="Description: cid:image001.png@01D03949.49457930">
          <a:extLst>
            <a:ext uri="{FF2B5EF4-FFF2-40B4-BE49-F238E27FC236}">
              <a16:creationId xmlns:a16="http://schemas.microsoft.com/office/drawing/2014/main" id="{06571C6F-6D1A-4D30-B8DB-896363051D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09" name="x_Picture 1" descr="Description: cid:image001.png@01D03949.49457930">
          <a:extLst>
            <a:ext uri="{FF2B5EF4-FFF2-40B4-BE49-F238E27FC236}">
              <a16:creationId xmlns:a16="http://schemas.microsoft.com/office/drawing/2014/main" id="{F27891DD-DE9C-4DE6-98BD-FBC61463C0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0" name="x_Picture 1" descr="Description: cid:image001.png@01D03949.49457930">
          <a:extLst>
            <a:ext uri="{FF2B5EF4-FFF2-40B4-BE49-F238E27FC236}">
              <a16:creationId xmlns:a16="http://schemas.microsoft.com/office/drawing/2014/main" id="{C8578775-AEB1-45CF-8AF0-B1BC2CAFBA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1" name="x_Picture 1" descr="Description: cid:image001.png@01D03949.49457930">
          <a:extLst>
            <a:ext uri="{FF2B5EF4-FFF2-40B4-BE49-F238E27FC236}">
              <a16:creationId xmlns:a16="http://schemas.microsoft.com/office/drawing/2014/main" id="{D56CC390-7203-4387-B49A-6DD5A65A5FC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2" name="x_Picture 1" descr="Description: cid:image001.png@01D03949.49457930">
          <a:extLst>
            <a:ext uri="{FF2B5EF4-FFF2-40B4-BE49-F238E27FC236}">
              <a16:creationId xmlns:a16="http://schemas.microsoft.com/office/drawing/2014/main" id="{B8A155F0-2EAC-4571-8A2A-8A3AF25073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3" name="x_Picture 1" descr="Description: cid:image001.png@01D03949.49457930">
          <a:extLst>
            <a:ext uri="{FF2B5EF4-FFF2-40B4-BE49-F238E27FC236}">
              <a16:creationId xmlns:a16="http://schemas.microsoft.com/office/drawing/2014/main" id="{18C14A8B-4F01-4BE5-84DA-DDA70207326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4" name="x_Picture 1" descr="Description: cid:image001.png@01D03949.49457930">
          <a:extLst>
            <a:ext uri="{FF2B5EF4-FFF2-40B4-BE49-F238E27FC236}">
              <a16:creationId xmlns:a16="http://schemas.microsoft.com/office/drawing/2014/main" id="{9868DF8B-81ED-4F3A-8D20-7F58BF92BA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5" name="x_Picture 1" descr="Description: cid:image001.png@01D03949.49457930">
          <a:extLst>
            <a:ext uri="{FF2B5EF4-FFF2-40B4-BE49-F238E27FC236}">
              <a16:creationId xmlns:a16="http://schemas.microsoft.com/office/drawing/2014/main" id="{40878487-973B-4F27-9F00-52C216A0FF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6" name="x_Picture 1" descr="Description: cid:image001.png@01D03949.49457930">
          <a:extLst>
            <a:ext uri="{FF2B5EF4-FFF2-40B4-BE49-F238E27FC236}">
              <a16:creationId xmlns:a16="http://schemas.microsoft.com/office/drawing/2014/main" id="{B7265CA6-54FF-4F39-AD06-35E5AACA90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7" name="x_Picture 1" descr="Description: cid:image001.png@01D03949.49457930">
          <a:extLst>
            <a:ext uri="{FF2B5EF4-FFF2-40B4-BE49-F238E27FC236}">
              <a16:creationId xmlns:a16="http://schemas.microsoft.com/office/drawing/2014/main" id="{E7FE7014-5AEC-4445-A6F6-A69FB53F40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8" name="x_Picture 1" descr="Description: cid:image001.png@01D03949.49457930">
          <a:extLst>
            <a:ext uri="{FF2B5EF4-FFF2-40B4-BE49-F238E27FC236}">
              <a16:creationId xmlns:a16="http://schemas.microsoft.com/office/drawing/2014/main" id="{F9F97AB3-DA96-47A0-BDD8-397292D9BA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19" name="x_Picture 1" descr="Description: cid:image001.png@01D03949.49457930">
          <a:extLst>
            <a:ext uri="{FF2B5EF4-FFF2-40B4-BE49-F238E27FC236}">
              <a16:creationId xmlns:a16="http://schemas.microsoft.com/office/drawing/2014/main" id="{F6FACEE0-A0E7-49B7-82ED-7493DBDDA0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0" name="x_Picture 1" descr="Description: cid:image001.png@01D03949.49457930">
          <a:extLst>
            <a:ext uri="{FF2B5EF4-FFF2-40B4-BE49-F238E27FC236}">
              <a16:creationId xmlns:a16="http://schemas.microsoft.com/office/drawing/2014/main" id="{3D64DBA1-6C85-4109-B14E-D5B06819FE1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1" name="x_Picture 1" descr="Description: cid:image001.png@01D03949.49457930">
          <a:extLst>
            <a:ext uri="{FF2B5EF4-FFF2-40B4-BE49-F238E27FC236}">
              <a16:creationId xmlns:a16="http://schemas.microsoft.com/office/drawing/2014/main" id="{3CF8CB0F-1836-4982-8A27-31545B1B7B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2" name="x_Picture 1" descr="Description: cid:image001.png@01D03949.49457930">
          <a:extLst>
            <a:ext uri="{FF2B5EF4-FFF2-40B4-BE49-F238E27FC236}">
              <a16:creationId xmlns:a16="http://schemas.microsoft.com/office/drawing/2014/main" id="{4227E346-E716-4422-89DC-E01C343F58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3" name="x_Picture 1" descr="Description: cid:image001.png@01D03949.49457930">
          <a:extLst>
            <a:ext uri="{FF2B5EF4-FFF2-40B4-BE49-F238E27FC236}">
              <a16:creationId xmlns:a16="http://schemas.microsoft.com/office/drawing/2014/main" id="{BE1CA1C9-42CC-40C7-8F5A-9EC813215D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4" name="x_Picture 1" descr="Description: cid:image001.png@01D03949.49457930">
          <a:extLst>
            <a:ext uri="{FF2B5EF4-FFF2-40B4-BE49-F238E27FC236}">
              <a16:creationId xmlns:a16="http://schemas.microsoft.com/office/drawing/2014/main" id="{4F084809-3905-4B6B-A15D-5CD8BB0BE16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5" name="x_Picture 1" descr="Description: cid:image001.png@01D03949.49457930">
          <a:extLst>
            <a:ext uri="{FF2B5EF4-FFF2-40B4-BE49-F238E27FC236}">
              <a16:creationId xmlns:a16="http://schemas.microsoft.com/office/drawing/2014/main" id="{B1C7D2E0-0E94-4F74-A911-E73A03A4B2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6" name="x_Picture 1" descr="Description: cid:image001.png@01D03949.49457930">
          <a:extLst>
            <a:ext uri="{FF2B5EF4-FFF2-40B4-BE49-F238E27FC236}">
              <a16:creationId xmlns:a16="http://schemas.microsoft.com/office/drawing/2014/main" id="{03A132DD-10FC-429C-BD29-BB21276C8F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7" name="x_Picture 1" descr="Description: cid:image001.png@01D03949.49457930">
          <a:extLst>
            <a:ext uri="{FF2B5EF4-FFF2-40B4-BE49-F238E27FC236}">
              <a16:creationId xmlns:a16="http://schemas.microsoft.com/office/drawing/2014/main" id="{BFD05474-1416-459A-AB1A-6331A604BE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8" name="x_Picture 1" descr="Description: cid:image001.png@01D03949.49457930">
          <a:extLst>
            <a:ext uri="{FF2B5EF4-FFF2-40B4-BE49-F238E27FC236}">
              <a16:creationId xmlns:a16="http://schemas.microsoft.com/office/drawing/2014/main" id="{0BAA8A52-8E1C-4D18-B143-AD3EC977F6D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29" name="x_Picture 1" descr="Description: cid:image001.png@01D03949.49457930">
          <a:extLst>
            <a:ext uri="{FF2B5EF4-FFF2-40B4-BE49-F238E27FC236}">
              <a16:creationId xmlns:a16="http://schemas.microsoft.com/office/drawing/2014/main" id="{F2EF4572-C47F-4D27-8D48-26B274FCC6E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30" name="x_Picture 1" descr="Description: cid:image001.png@01D03949.49457930">
          <a:extLst>
            <a:ext uri="{FF2B5EF4-FFF2-40B4-BE49-F238E27FC236}">
              <a16:creationId xmlns:a16="http://schemas.microsoft.com/office/drawing/2014/main" id="{DD6B47EB-C5ED-447D-AD38-FB1BC636E3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31" name="x_Picture 1" descr="Description: cid:image001.png@01D03949.49457930">
          <a:extLst>
            <a:ext uri="{FF2B5EF4-FFF2-40B4-BE49-F238E27FC236}">
              <a16:creationId xmlns:a16="http://schemas.microsoft.com/office/drawing/2014/main" id="{8E056687-DA1C-4F92-A1D8-3405D1DF96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32" name="x_Picture 1" descr="Description: cid:image001.png@01D03949.49457930">
          <a:extLst>
            <a:ext uri="{FF2B5EF4-FFF2-40B4-BE49-F238E27FC236}">
              <a16:creationId xmlns:a16="http://schemas.microsoft.com/office/drawing/2014/main" id="{CC5C6705-ADBA-4959-B90D-93677F5DFA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33" name="x_Picture 1" descr="Description: cid:image001.png@01D03949.49457930">
          <a:extLst>
            <a:ext uri="{FF2B5EF4-FFF2-40B4-BE49-F238E27FC236}">
              <a16:creationId xmlns:a16="http://schemas.microsoft.com/office/drawing/2014/main" id="{4C51249B-8DEB-4ADF-BD64-16F00560CA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934" name="x_Picture 1" descr="Description: cid:image001.png@01D03949.49457930">
          <a:extLst>
            <a:ext uri="{FF2B5EF4-FFF2-40B4-BE49-F238E27FC236}">
              <a16:creationId xmlns:a16="http://schemas.microsoft.com/office/drawing/2014/main" id="{88931ADC-8FB4-4CEC-8BBA-E1B572A2BB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3683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35" name="x_Picture 1" descr="Description: cid:image001.png@01D03949.49457930">
          <a:extLst>
            <a:ext uri="{FF2B5EF4-FFF2-40B4-BE49-F238E27FC236}">
              <a16:creationId xmlns:a16="http://schemas.microsoft.com/office/drawing/2014/main" id="{E49E134C-19DB-459C-823E-E364A42ACC7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36" name="x_Picture 1" descr="Description: cid:image001.png@01D03949.49457930">
          <a:extLst>
            <a:ext uri="{FF2B5EF4-FFF2-40B4-BE49-F238E27FC236}">
              <a16:creationId xmlns:a16="http://schemas.microsoft.com/office/drawing/2014/main" id="{0B8785D4-DE50-4DF5-A360-F7C8C8163B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37" name="x_Picture 1" descr="Description: cid:image001.png@01D03949.49457930">
          <a:extLst>
            <a:ext uri="{FF2B5EF4-FFF2-40B4-BE49-F238E27FC236}">
              <a16:creationId xmlns:a16="http://schemas.microsoft.com/office/drawing/2014/main" id="{D351B172-8E07-482D-8DED-B444138ECE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38" name="x_Picture 1" descr="Description: cid:image001.png@01D03949.49457930">
          <a:extLst>
            <a:ext uri="{FF2B5EF4-FFF2-40B4-BE49-F238E27FC236}">
              <a16:creationId xmlns:a16="http://schemas.microsoft.com/office/drawing/2014/main" id="{01C675DC-D027-468E-941F-4F0B2C0F83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39" name="x_Picture 1" descr="Description: cid:image001.png@01D03949.49457930">
          <a:extLst>
            <a:ext uri="{FF2B5EF4-FFF2-40B4-BE49-F238E27FC236}">
              <a16:creationId xmlns:a16="http://schemas.microsoft.com/office/drawing/2014/main" id="{5FCA2AA4-4B91-47AD-9E12-49FC9F6D88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0" name="x_Picture 1" descr="Description: cid:image001.png@01D03949.49457930">
          <a:extLst>
            <a:ext uri="{FF2B5EF4-FFF2-40B4-BE49-F238E27FC236}">
              <a16:creationId xmlns:a16="http://schemas.microsoft.com/office/drawing/2014/main" id="{A66C4986-FF38-41A2-897E-CF2A15E1D9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1" name="x_Picture 1" descr="Description: cid:image001.png@01D03949.49457930">
          <a:extLst>
            <a:ext uri="{FF2B5EF4-FFF2-40B4-BE49-F238E27FC236}">
              <a16:creationId xmlns:a16="http://schemas.microsoft.com/office/drawing/2014/main" id="{39908119-C827-451B-B91C-C037FF10E1F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2" name="x_Picture 1" descr="Description: cid:image001.png@01D03949.49457930">
          <a:extLst>
            <a:ext uri="{FF2B5EF4-FFF2-40B4-BE49-F238E27FC236}">
              <a16:creationId xmlns:a16="http://schemas.microsoft.com/office/drawing/2014/main" id="{52BC26F2-8901-4FDE-92E7-04A45F82CF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3" name="x_Picture 1" descr="Description: cid:image001.png@01D03949.49457930">
          <a:extLst>
            <a:ext uri="{FF2B5EF4-FFF2-40B4-BE49-F238E27FC236}">
              <a16:creationId xmlns:a16="http://schemas.microsoft.com/office/drawing/2014/main" id="{74D2170E-F7EB-47EA-85D2-E76A6E1E3C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4" name="x_Picture 1" descr="Description: cid:image001.png@01D03949.49457930">
          <a:extLst>
            <a:ext uri="{FF2B5EF4-FFF2-40B4-BE49-F238E27FC236}">
              <a16:creationId xmlns:a16="http://schemas.microsoft.com/office/drawing/2014/main" id="{5AF825C4-C26C-4AE4-AF97-279D348911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5" name="x_Picture 1" descr="Description: cid:image001.png@01D03949.49457930">
          <a:extLst>
            <a:ext uri="{FF2B5EF4-FFF2-40B4-BE49-F238E27FC236}">
              <a16:creationId xmlns:a16="http://schemas.microsoft.com/office/drawing/2014/main" id="{EE1D329F-1363-4C9B-81F8-B20EF12885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6" name="x_Picture 1" descr="Description: cid:image001.png@01D03949.49457930">
          <a:extLst>
            <a:ext uri="{FF2B5EF4-FFF2-40B4-BE49-F238E27FC236}">
              <a16:creationId xmlns:a16="http://schemas.microsoft.com/office/drawing/2014/main" id="{68F99352-1097-4437-A814-5FFBE323D6F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7" name="x_Picture 1" descr="Description: cid:image001.png@01D03949.49457930">
          <a:extLst>
            <a:ext uri="{FF2B5EF4-FFF2-40B4-BE49-F238E27FC236}">
              <a16:creationId xmlns:a16="http://schemas.microsoft.com/office/drawing/2014/main" id="{F3BC5326-9CD0-4A9F-808E-918007FD49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8" name="x_Picture 1" descr="Description: cid:image001.png@01D03949.49457930">
          <a:extLst>
            <a:ext uri="{FF2B5EF4-FFF2-40B4-BE49-F238E27FC236}">
              <a16:creationId xmlns:a16="http://schemas.microsoft.com/office/drawing/2014/main" id="{2FB06D13-4F4E-48D6-A7E4-C2E600FE8F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49" name="x_Picture 1" descr="Description: cid:image001.png@01D03949.49457930">
          <a:extLst>
            <a:ext uri="{FF2B5EF4-FFF2-40B4-BE49-F238E27FC236}">
              <a16:creationId xmlns:a16="http://schemas.microsoft.com/office/drawing/2014/main" id="{D557E306-6DF1-4034-A766-8F858DDA3A7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0" name="x_Picture 1" descr="Description: cid:image001.png@01D03949.49457930">
          <a:extLst>
            <a:ext uri="{FF2B5EF4-FFF2-40B4-BE49-F238E27FC236}">
              <a16:creationId xmlns:a16="http://schemas.microsoft.com/office/drawing/2014/main" id="{FF5EFBFB-1821-4DF1-9ED3-FDA51F0382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1" name="x_Picture 1" descr="Description: cid:image001.png@01D03949.49457930">
          <a:extLst>
            <a:ext uri="{FF2B5EF4-FFF2-40B4-BE49-F238E27FC236}">
              <a16:creationId xmlns:a16="http://schemas.microsoft.com/office/drawing/2014/main" id="{3E19D0D3-0E58-4E8F-88C0-6B7782EB856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2" name="x_Picture 1" descr="Description: cid:image001.png@01D03949.49457930">
          <a:extLst>
            <a:ext uri="{FF2B5EF4-FFF2-40B4-BE49-F238E27FC236}">
              <a16:creationId xmlns:a16="http://schemas.microsoft.com/office/drawing/2014/main" id="{C146B478-1AFE-4839-9266-D5F57689B1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3" name="x_Picture 1" descr="Description: cid:image001.png@01D03949.49457930">
          <a:extLst>
            <a:ext uri="{FF2B5EF4-FFF2-40B4-BE49-F238E27FC236}">
              <a16:creationId xmlns:a16="http://schemas.microsoft.com/office/drawing/2014/main" id="{B234DE4A-CF26-48AA-8328-3C7A23C5BE8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4" name="x_Picture 1" descr="Description: cid:image001.png@01D03949.49457930">
          <a:extLst>
            <a:ext uri="{FF2B5EF4-FFF2-40B4-BE49-F238E27FC236}">
              <a16:creationId xmlns:a16="http://schemas.microsoft.com/office/drawing/2014/main" id="{8E285AE4-30B0-4D75-94C7-0B27300725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5" name="x_Picture 1" descr="Description: cid:image001.png@01D03949.49457930">
          <a:extLst>
            <a:ext uri="{FF2B5EF4-FFF2-40B4-BE49-F238E27FC236}">
              <a16:creationId xmlns:a16="http://schemas.microsoft.com/office/drawing/2014/main" id="{212D188D-F5DA-4E23-A0DB-A6C4C1D81C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6" name="x_Picture 1" descr="Description: cid:image001.png@01D03949.49457930">
          <a:extLst>
            <a:ext uri="{FF2B5EF4-FFF2-40B4-BE49-F238E27FC236}">
              <a16:creationId xmlns:a16="http://schemas.microsoft.com/office/drawing/2014/main" id="{D536A8A0-3F6F-464F-AF04-6809023A2B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7" name="x_Picture 1" descr="Description: cid:image001.png@01D03949.49457930">
          <a:extLst>
            <a:ext uri="{FF2B5EF4-FFF2-40B4-BE49-F238E27FC236}">
              <a16:creationId xmlns:a16="http://schemas.microsoft.com/office/drawing/2014/main" id="{FD8958E0-F533-4390-8138-081C5DF1D60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8" name="x_Picture 1" descr="Description: cid:image001.png@01D03949.49457930">
          <a:extLst>
            <a:ext uri="{FF2B5EF4-FFF2-40B4-BE49-F238E27FC236}">
              <a16:creationId xmlns:a16="http://schemas.microsoft.com/office/drawing/2014/main" id="{CEE43C17-2637-49C9-8DA8-E18027AE2F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59" name="x_Picture 1" descr="Description: cid:image001.png@01D03949.49457930">
          <a:extLst>
            <a:ext uri="{FF2B5EF4-FFF2-40B4-BE49-F238E27FC236}">
              <a16:creationId xmlns:a16="http://schemas.microsoft.com/office/drawing/2014/main" id="{95DC719D-5664-4836-AA3D-E8C5D80F5FF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0" name="x_Picture 1" descr="Description: cid:image001.png@01D03949.49457930">
          <a:extLst>
            <a:ext uri="{FF2B5EF4-FFF2-40B4-BE49-F238E27FC236}">
              <a16:creationId xmlns:a16="http://schemas.microsoft.com/office/drawing/2014/main" id="{81858E35-3D91-4BCE-8666-46821FAC3C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1" name="x_Picture 1" descr="Description: cid:image001.png@01D03949.49457930">
          <a:extLst>
            <a:ext uri="{FF2B5EF4-FFF2-40B4-BE49-F238E27FC236}">
              <a16:creationId xmlns:a16="http://schemas.microsoft.com/office/drawing/2014/main" id="{F8E5085D-846C-4EAF-BFD0-981817AE2A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2" name="x_Picture 1" descr="Description: cid:image001.png@01D03949.49457930">
          <a:extLst>
            <a:ext uri="{FF2B5EF4-FFF2-40B4-BE49-F238E27FC236}">
              <a16:creationId xmlns:a16="http://schemas.microsoft.com/office/drawing/2014/main" id="{8B044D2E-3EFB-4C9E-A26D-B659BC036C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3" name="x_Picture 1" descr="Description: cid:image001.png@01D03949.49457930">
          <a:extLst>
            <a:ext uri="{FF2B5EF4-FFF2-40B4-BE49-F238E27FC236}">
              <a16:creationId xmlns:a16="http://schemas.microsoft.com/office/drawing/2014/main" id="{5D6BE1BF-22C7-4187-8E1B-97A8485A4E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4" name="x_Picture 1" descr="Description: cid:image001.png@01D03949.49457930">
          <a:extLst>
            <a:ext uri="{FF2B5EF4-FFF2-40B4-BE49-F238E27FC236}">
              <a16:creationId xmlns:a16="http://schemas.microsoft.com/office/drawing/2014/main" id="{69E1F659-21B6-421E-9702-1C93FFB46E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5" name="x_Picture 1" descr="Description: cid:image001.png@01D03949.49457930">
          <a:extLst>
            <a:ext uri="{FF2B5EF4-FFF2-40B4-BE49-F238E27FC236}">
              <a16:creationId xmlns:a16="http://schemas.microsoft.com/office/drawing/2014/main" id="{E72237C3-885C-43F8-AD8B-01E357F19B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6" name="x_Picture 1" descr="Description: cid:image001.png@01D03949.49457930">
          <a:extLst>
            <a:ext uri="{FF2B5EF4-FFF2-40B4-BE49-F238E27FC236}">
              <a16:creationId xmlns:a16="http://schemas.microsoft.com/office/drawing/2014/main" id="{A32B9BCE-BA39-4DEE-8F3D-CF652A61B3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7" name="x_Picture 1" descr="Description: cid:image001.png@01D03949.49457930">
          <a:extLst>
            <a:ext uri="{FF2B5EF4-FFF2-40B4-BE49-F238E27FC236}">
              <a16:creationId xmlns:a16="http://schemas.microsoft.com/office/drawing/2014/main" id="{7BDFF998-D2FB-4FFB-B6DD-C4365B9F22D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8" name="x_Picture 1" descr="Description: cid:image001.png@01D03949.49457930">
          <a:extLst>
            <a:ext uri="{FF2B5EF4-FFF2-40B4-BE49-F238E27FC236}">
              <a16:creationId xmlns:a16="http://schemas.microsoft.com/office/drawing/2014/main" id="{9E0ED54A-ECFD-4810-A7F8-61B3FB44CB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69" name="x_Picture 1" descr="Description: cid:image001.png@01D03949.49457930">
          <a:extLst>
            <a:ext uri="{FF2B5EF4-FFF2-40B4-BE49-F238E27FC236}">
              <a16:creationId xmlns:a16="http://schemas.microsoft.com/office/drawing/2014/main" id="{7C7223E4-D8CB-4540-8822-D8D2D92CC7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0" name="x_Picture 1" descr="Description: cid:image001.png@01D03949.49457930">
          <a:extLst>
            <a:ext uri="{FF2B5EF4-FFF2-40B4-BE49-F238E27FC236}">
              <a16:creationId xmlns:a16="http://schemas.microsoft.com/office/drawing/2014/main" id="{6CAB2FFD-58A8-4D01-9573-CDC9C0EDFD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1" name="x_Picture 1" descr="Description: cid:image001.png@01D03949.49457930">
          <a:extLst>
            <a:ext uri="{FF2B5EF4-FFF2-40B4-BE49-F238E27FC236}">
              <a16:creationId xmlns:a16="http://schemas.microsoft.com/office/drawing/2014/main" id="{DAAE28BD-2D16-4915-821E-CD51C5A7AA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2" name="x_Picture 1" descr="Description: cid:image001.png@01D03949.49457930">
          <a:extLst>
            <a:ext uri="{FF2B5EF4-FFF2-40B4-BE49-F238E27FC236}">
              <a16:creationId xmlns:a16="http://schemas.microsoft.com/office/drawing/2014/main" id="{8684CD18-9D6D-47A0-8129-83C17E6FEB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3" name="x_Picture 1" descr="Description: cid:image001.png@01D03949.49457930">
          <a:extLst>
            <a:ext uri="{FF2B5EF4-FFF2-40B4-BE49-F238E27FC236}">
              <a16:creationId xmlns:a16="http://schemas.microsoft.com/office/drawing/2014/main" id="{0718E021-FA75-4210-8700-43004253D8F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4" name="x_Picture 1" descr="Description: cid:image001.png@01D03949.49457930">
          <a:extLst>
            <a:ext uri="{FF2B5EF4-FFF2-40B4-BE49-F238E27FC236}">
              <a16:creationId xmlns:a16="http://schemas.microsoft.com/office/drawing/2014/main" id="{F83A4EA0-FF10-4FFC-A557-808F88D0A3A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5" name="x_Picture 1" descr="Description: cid:image001.png@01D03949.49457930">
          <a:extLst>
            <a:ext uri="{FF2B5EF4-FFF2-40B4-BE49-F238E27FC236}">
              <a16:creationId xmlns:a16="http://schemas.microsoft.com/office/drawing/2014/main" id="{E0C709EC-1802-42C2-8144-1DA3409DA9A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6" name="x_Picture 1" descr="Description: cid:image001.png@01D03949.49457930">
          <a:extLst>
            <a:ext uri="{FF2B5EF4-FFF2-40B4-BE49-F238E27FC236}">
              <a16:creationId xmlns:a16="http://schemas.microsoft.com/office/drawing/2014/main" id="{1AF9AF1F-80F9-4AD8-84D9-620D43B9E9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7" name="x_Picture 1" descr="Description: cid:image001.png@01D03949.49457930">
          <a:extLst>
            <a:ext uri="{FF2B5EF4-FFF2-40B4-BE49-F238E27FC236}">
              <a16:creationId xmlns:a16="http://schemas.microsoft.com/office/drawing/2014/main" id="{C170794B-2AC6-44E7-9E9F-9AB4AFB219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8" name="x_Picture 1" descr="Description: cid:image001.png@01D03949.49457930">
          <a:extLst>
            <a:ext uri="{FF2B5EF4-FFF2-40B4-BE49-F238E27FC236}">
              <a16:creationId xmlns:a16="http://schemas.microsoft.com/office/drawing/2014/main" id="{1B402609-C072-468A-B7BE-EC4235E24EB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79" name="x_Picture 1" descr="Description: cid:image001.png@01D03949.49457930">
          <a:extLst>
            <a:ext uri="{FF2B5EF4-FFF2-40B4-BE49-F238E27FC236}">
              <a16:creationId xmlns:a16="http://schemas.microsoft.com/office/drawing/2014/main" id="{BE9CC15D-E65D-4872-B6CA-9E3C3A978B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0" name="x_Picture 1" descr="Description: cid:image001.png@01D03949.49457930">
          <a:extLst>
            <a:ext uri="{FF2B5EF4-FFF2-40B4-BE49-F238E27FC236}">
              <a16:creationId xmlns:a16="http://schemas.microsoft.com/office/drawing/2014/main" id="{4245E09E-B9BD-48C2-992F-26FE1BEA65E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1" name="x_Picture 1" descr="Description: cid:image001.png@01D03949.49457930">
          <a:extLst>
            <a:ext uri="{FF2B5EF4-FFF2-40B4-BE49-F238E27FC236}">
              <a16:creationId xmlns:a16="http://schemas.microsoft.com/office/drawing/2014/main" id="{3F46C7EB-1E93-4D90-BCF6-9633E86EC6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2" name="x_Picture 1" descr="Description: cid:image001.png@01D03949.49457930">
          <a:extLst>
            <a:ext uri="{FF2B5EF4-FFF2-40B4-BE49-F238E27FC236}">
              <a16:creationId xmlns:a16="http://schemas.microsoft.com/office/drawing/2014/main" id="{BEA5D662-4E86-4277-B27E-CF8AB1D0A7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3" name="x_Picture 1" descr="Description: cid:image001.png@01D03949.49457930">
          <a:extLst>
            <a:ext uri="{FF2B5EF4-FFF2-40B4-BE49-F238E27FC236}">
              <a16:creationId xmlns:a16="http://schemas.microsoft.com/office/drawing/2014/main" id="{DDCC4A0C-8998-4FCC-8805-B0AEA30C7A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4" name="x_Picture 1" descr="Description: cid:image001.png@01D03949.49457930">
          <a:extLst>
            <a:ext uri="{FF2B5EF4-FFF2-40B4-BE49-F238E27FC236}">
              <a16:creationId xmlns:a16="http://schemas.microsoft.com/office/drawing/2014/main" id="{6AA43317-84A3-4C33-951E-B50F7EAEB8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5" name="x_Picture 1" descr="Description: cid:image001.png@01D03949.49457930">
          <a:extLst>
            <a:ext uri="{FF2B5EF4-FFF2-40B4-BE49-F238E27FC236}">
              <a16:creationId xmlns:a16="http://schemas.microsoft.com/office/drawing/2014/main" id="{A072FE78-421D-45A6-A91C-215C2D6BEC1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6" name="x_Picture 1" descr="Description: cid:image001.png@01D03949.49457930">
          <a:extLst>
            <a:ext uri="{FF2B5EF4-FFF2-40B4-BE49-F238E27FC236}">
              <a16:creationId xmlns:a16="http://schemas.microsoft.com/office/drawing/2014/main" id="{EADBFD8C-7F3F-4B6E-8514-4553C2E9FD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7" name="x_Picture 1" descr="Description: cid:image001.png@01D03949.49457930">
          <a:extLst>
            <a:ext uri="{FF2B5EF4-FFF2-40B4-BE49-F238E27FC236}">
              <a16:creationId xmlns:a16="http://schemas.microsoft.com/office/drawing/2014/main" id="{42777A0E-75F1-4480-9BEC-09ED081C31C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8" name="x_Picture 1" descr="Description: cid:image001.png@01D03949.49457930">
          <a:extLst>
            <a:ext uri="{FF2B5EF4-FFF2-40B4-BE49-F238E27FC236}">
              <a16:creationId xmlns:a16="http://schemas.microsoft.com/office/drawing/2014/main" id="{9F7EA661-B259-4616-85C1-2D66E6256A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89" name="x_Picture 1" descr="Description: cid:image001.png@01D03949.49457930">
          <a:extLst>
            <a:ext uri="{FF2B5EF4-FFF2-40B4-BE49-F238E27FC236}">
              <a16:creationId xmlns:a16="http://schemas.microsoft.com/office/drawing/2014/main" id="{0D45F3A7-2F9F-4F92-BFC7-E260F8A9DB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0" name="x_Picture 1" descr="Description: cid:image001.png@01D03949.49457930">
          <a:extLst>
            <a:ext uri="{FF2B5EF4-FFF2-40B4-BE49-F238E27FC236}">
              <a16:creationId xmlns:a16="http://schemas.microsoft.com/office/drawing/2014/main" id="{C8E28021-200D-436D-974A-84B7A9F461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1" name="x_Picture 1" descr="Description: cid:image001.png@01D03949.49457930">
          <a:extLst>
            <a:ext uri="{FF2B5EF4-FFF2-40B4-BE49-F238E27FC236}">
              <a16:creationId xmlns:a16="http://schemas.microsoft.com/office/drawing/2014/main" id="{80B43F09-E690-4577-BE7C-FB5B6FB470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2" name="x_Picture 1" descr="Description: cid:image001.png@01D03949.49457930">
          <a:extLst>
            <a:ext uri="{FF2B5EF4-FFF2-40B4-BE49-F238E27FC236}">
              <a16:creationId xmlns:a16="http://schemas.microsoft.com/office/drawing/2014/main" id="{CF43A3BC-EDB2-4E87-953A-F894807F3D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3" name="x_Picture 1" descr="Description: cid:image001.png@01D03949.49457930">
          <a:extLst>
            <a:ext uri="{FF2B5EF4-FFF2-40B4-BE49-F238E27FC236}">
              <a16:creationId xmlns:a16="http://schemas.microsoft.com/office/drawing/2014/main" id="{D78E13B5-61BA-411D-BA09-A0FDAA9EB7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4" name="x_Picture 1" descr="Description: cid:image001.png@01D03949.49457930">
          <a:extLst>
            <a:ext uri="{FF2B5EF4-FFF2-40B4-BE49-F238E27FC236}">
              <a16:creationId xmlns:a16="http://schemas.microsoft.com/office/drawing/2014/main" id="{9770D4E9-A703-4467-89B8-8858F9F7983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5" name="x_Picture 1" descr="Description: cid:image001.png@01D03949.49457930">
          <a:extLst>
            <a:ext uri="{FF2B5EF4-FFF2-40B4-BE49-F238E27FC236}">
              <a16:creationId xmlns:a16="http://schemas.microsoft.com/office/drawing/2014/main" id="{E5CDAEF1-58E7-483A-9AE1-C7B3E190BE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6" name="x_Picture 1" descr="Description: cid:image001.png@01D03949.49457930">
          <a:extLst>
            <a:ext uri="{FF2B5EF4-FFF2-40B4-BE49-F238E27FC236}">
              <a16:creationId xmlns:a16="http://schemas.microsoft.com/office/drawing/2014/main" id="{BBAE9806-B548-478D-A902-C7141441EC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7" name="x_Picture 1" descr="Description: cid:image001.png@01D03949.49457930">
          <a:extLst>
            <a:ext uri="{FF2B5EF4-FFF2-40B4-BE49-F238E27FC236}">
              <a16:creationId xmlns:a16="http://schemas.microsoft.com/office/drawing/2014/main" id="{5AB16B05-CE20-4756-BCE2-292A46DA5A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8" name="x_Picture 1" descr="Description: cid:image001.png@01D03949.49457930">
          <a:extLst>
            <a:ext uri="{FF2B5EF4-FFF2-40B4-BE49-F238E27FC236}">
              <a16:creationId xmlns:a16="http://schemas.microsoft.com/office/drawing/2014/main" id="{F8C164C5-9865-4668-8904-D9B5F97540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999" name="x_Picture 1" descr="Description: cid:image001.png@01D03949.49457930">
          <a:extLst>
            <a:ext uri="{FF2B5EF4-FFF2-40B4-BE49-F238E27FC236}">
              <a16:creationId xmlns:a16="http://schemas.microsoft.com/office/drawing/2014/main" id="{17B99A3C-A9CB-46F1-9332-A3515CD68C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00" name="x_Picture 1" descr="Description: cid:image001.png@01D03949.49457930">
          <a:extLst>
            <a:ext uri="{FF2B5EF4-FFF2-40B4-BE49-F238E27FC236}">
              <a16:creationId xmlns:a16="http://schemas.microsoft.com/office/drawing/2014/main" id="{B17518B8-49E1-4262-8F44-6D0268B6D7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01" name="x_Picture 1" descr="Description: cid:image001.png@01D03949.49457930">
          <a:extLst>
            <a:ext uri="{FF2B5EF4-FFF2-40B4-BE49-F238E27FC236}">
              <a16:creationId xmlns:a16="http://schemas.microsoft.com/office/drawing/2014/main" id="{DFD6A8E0-5D90-4120-A0E2-532DED7093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02" name="x_Picture 1" descr="Description: cid:image001.png@01D03949.49457930">
          <a:extLst>
            <a:ext uri="{FF2B5EF4-FFF2-40B4-BE49-F238E27FC236}">
              <a16:creationId xmlns:a16="http://schemas.microsoft.com/office/drawing/2014/main" id="{103B8AE5-2308-432B-992E-620FA4B8EF9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03" name="x_Picture 1" descr="Description: cid:image001.png@01D03949.49457930">
          <a:extLst>
            <a:ext uri="{FF2B5EF4-FFF2-40B4-BE49-F238E27FC236}">
              <a16:creationId xmlns:a16="http://schemas.microsoft.com/office/drawing/2014/main" id="{9D555864-AB04-4FDF-867F-DE08F30289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04" name="x_Picture 1" descr="Description: cid:image001.png@01D03949.49457930">
          <a:extLst>
            <a:ext uri="{FF2B5EF4-FFF2-40B4-BE49-F238E27FC236}">
              <a16:creationId xmlns:a16="http://schemas.microsoft.com/office/drawing/2014/main" id="{73DC8C78-E43D-487B-833C-1FBDCF86B6A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05" name="x_Picture 1" descr="Description: cid:image001.png@01D03949.49457930">
          <a:extLst>
            <a:ext uri="{FF2B5EF4-FFF2-40B4-BE49-F238E27FC236}">
              <a16:creationId xmlns:a16="http://schemas.microsoft.com/office/drawing/2014/main" id="{20FFC8F6-31AC-4E1C-BA21-610B15E3E6B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06" name="x_Picture 1" descr="Description: cid:image001.png@01D03949.49457930">
          <a:extLst>
            <a:ext uri="{FF2B5EF4-FFF2-40B4-BE49-F238E27FC236}">
              <a16:creationId xmlns:a16="http://schemas.microsoft.com/office/drawing/2014/main" id="{E37D9974-F2FC-48FD-A471-0C0763528F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07" name="x_Picture 1" descr="Description: cid:image001.png@01D03949.49457930">
          <a:extLst>
            <a:ext uri="{FF2B5EF4-FFF2-40B4-BE49-F238E27FC236}">
              <a16:creationId xmlns:a16="http://schemas.microsoft.com/office/drawing/2014/main" id="{9C569E87-E134-48C2-8F1B-15CE40DF3E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08" name="x_Picture 1" descr="Description: cid:image001.png@01D03949.49457930">
          <a:extLst>
            <a:ext uri="{FF2B5EF4-FFF2-40B4-BE49-F238E27FC236}">
              <a16:creationId xmlns:a16="http://schemas.microsoft.com/office/drawing/2014/main" id="{F0FABE04-C3AF-4C4A-862A-35FDD5A717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009" name="x_Picture 1" descr="Description: cid:image001.png@01D03949.49457930">
          <a:extLst>
            <a:ext uri="{FF2B5EF4-FFF2-40B4-BE49-F238E27FC236}">
              <a16:creationId xmlns:a16="http://schemas.microsoft.com/office/drawing/2014/main" id="{857B42F3-37F7-4999-87F9-16C561DB4B9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010" name="x_Picture 1" descr="Description: cid:image001.png@01D03949.49457930">
          <a:extLst>
            <a:ext uri="{FF2B5EF4-FFF2-40B4-BE49-F238E27FC236}">
              <a16:creationId xmlns:a16="http://schemas.microsoft.com/office/drawing/2014/main" id="{2DE17BE5-E725-4B70-A1D5-96C5C41E43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011" name="x_Picture 1" descr="Description: cid:image001.png@01D03949.49457930">
          <a:extLst>
            <a:ext uri="{FF2B5EF4-FFF2-40B4-BE49-F238E27FC236}">
              <a16:creationId xmlns:a16="http://schemas.microsoft.com/office/drawing/2014/main" id="{EAE640E4-5C5E-4573-99E8-255B0228F2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012" name="x_Picture 1" descr="Description: cid:image001.png@01D03949.49457930">
          <a:extLst>
            <a:ext uri="{FF2B5EF4-FFF2-40B4-BE49-F238E27FC236}">
              <a16:creationId xmlns:a16="http://schemas.microsoft.com/office/drawing/2014/main" id="{D7E8E8B0-E21B-473E-9E52-E553EBC4ECB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013" name="x_Picture 1" descr="Description: cid:image001.png@01D03949.49457930">
          <a:extLst>
            <a:ext uri="{FF2B5EF4-FFF2-40B4-BE49-F238E27FC236}">
              <a16:creationId xmlns:a16="http://schemas.microsoft.com/office/drawing/2014/main" id="{944112C6-8F14-4FAE-8B26-861C50D3FE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014" name="x_Picture 1" descr="Description: cid:image001.png@01D03949.49457930">
          <a:extLst>
            <a:ext uri="{FF2B5EF4-FFF2-40B4-BE49-F238E27FC236}">
              <a16:creationId xmlns:a16="http://schemas.microsoft.com/office/drawing/2014/main" id="{6405E9DE-585C-4E60-B7ED-72FF752712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015" name="x_Picture 1" descr="Description: cid:image001.png@01D03949.49457930">
          <a:extLst>
            <a:ext uri="{FF2B5EF4-FFF2-40B4-BE49-F238E27FC236}">
              <a16:creationId xmlns:a16="http://schemas.microsoft.com/office/drawing/2014/main" id="{0B410EAC-0A80-4FB4-A3D9-806B354CED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016" name="x_Picture 1" descr="Description: cid:image001.png@01D03949.49457930">
          <a:extLst>
            <a:ext uri="{FF2B5EF4-FFF2-40B4-BE49-F238E27FC236}">
              <a16:creationId xmlns:a16="http://schemas.microsoft.com/office/drawing/2014/main" id="{038A0C8C-7A32-4077-A2BA-F69F571EC6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017" name="x_Picture 1" descr="Description: cid:image001.png@01D03949.49457930">
          <a:extLst>
            <a:ext uri="{FF2B5EF4-FFF2-40B4-BE49-F238E27FC236}">
              <a16:creationId xmlns:a16="http://schemas.microsoft.com/office/drawing/2014/main" id="{748F3E4F-AF56-40DE-BC6C-2ADF09334C7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018" name="x_Picture 1" descr="Description: cid:image001.png@01D03949.49457930">
          <a:extLst>
            <a:ext uri="{FF2B5EF4-FFF2-40B4-BE49-F238E27FC236}">
              <a16:creationId xmlns:a16="http://schemas.microsoft.com/office/drawing/2014/main" id="{1A78AD2B-564F-4B86-BA16-08D0626D74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019" name="x_Picture 1" descr="Description: cid:image001.png@01D03949.49457930">
          <a:extLst>
            <a:ext uri="{FF2B5EF4-FFF2-40B4-BE49-F238E27FC236}">
              <a16:creationId xmlns:a16="http://schemas.microsoft.com/office/drawing/2014/main" id="{1623BB3B-73D8-4F17-B4A1-9F131AF6BD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020" name="x_Picture 1" descr="Description: cid:image001.png@01D03949.49457930">
          <a:extLst>
            <a:ext uri="{FF2B5EF4-FFF2-40B4-BE49-F238E27FC236}">
              <a16:creationId xmlns:a16="http://schemas.microsoft.com/office/drawing/2014/main" id="{8A0F987E-936E-498A-85F7-65BA5D2186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021" name="x_Picture 1" descr="Description: cid:image001.png@01D03949.49457930">
          <a:extLst>
            <a:ext uri="{FF2B5EF4-FFF2-40B4-BE49-F238E27FC236}">
              <a16:creationId xmlns:a16="http://schemas.microsoft.com/office/drawing/2014/main" id="{A77AD573-932E-43EA-81CF-0ED39FA8E76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022" name="x_Picture 1" descr="Description: cid:image001.png@01D03949.49457930">
          <a:extLst>
            <a:ext uri="{FF2B5EF4-FFF2-40B4-BE49-F238E27FC236}">
              <a16:creationId xmlns:a16="http://schemas.microsoft.com/office/drawing/2014/main" id="{75B59BE6-7D2D-4ADB-A568-3D45A3A80C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023" name="x_Picture 1" descr="Description: cid:image001.png@01D03949.49457930">
          <a:extLst>
            <a:ext uri="{FF2B5EF4-FFF2-40B4-BE49-F238E27FC236}">
              <a16:creationId xmlns:a16="http://schemas.microsoft.com/office/drawing/2014/main" id="{038E5C23-23E8-4A4A-9557-026968F945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024" name="x_Picture 1" descr="Description: cid:image001.png@01D03949.49457930">
          <a:extLst>
            <a:ext uri="{FF2B5EF4-FFF2-40B4-BE49-F238E27FC236}">
              <a16:creationId xmlns:a16="http://schemas.microsoft.com/office/drawing/2014/main" id="{A8C959BA-E4F9-42FC-AADC-A7E0FB2314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025" name="x_Picture 1" descr="Description: cid:image001.png@01D03949.49457930">
          <a:extLst>
            <a:ext uri="{FF2B5EF4-FFF2-40B4-BE49-F238E27FC236}">
              <a16:creationId xmlns:a16="http://schemas.microsoft.com/office/drawing/2014/main" id="{22F9AB4D-2583-4B0A-8D01-4D56228B6A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026" name="x_Picture 1" descr="Description: cid:image001.png@01D03949.49457930">
          <a:extLst>
            <a:ext uri="{FF2B5EF4-FFF2-40B4-BE49-F238E27FC236}">
              <a16:creationId xmlns:a16="http://schemas.microsoft.com/office/drawing/2014/main" id="{798BB843-DDFA-4534-8336-CADC92ECBF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027" name="x_Picture 1" descr="Description: cid:image001.png@01D03949.49457930">
          <a:extLst>
            <a:ext uri="{FF2B5EF4-FFF2-40B4-BE49-F238E27FC236}">
              <a16:creationId xmlns:a16="http://schemas.microsoft.com/office/drawing/2014/main" id="{1A0AB36A-3C14-4F9B-B96F-B62767E07B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028" name="x_Picture 1" descr="Description: cid:image001.png@01D03949.49457930">
          <a:extLst>
            <a:ext uri="{FF2B5EF4-FFF2-40B4-BE49-F238E27FC236}">
              <a16:creationId xmlns:a16="http://schemas.microsoft.com/office/drawing/2014/main" id="{4EF0820C-BCAB-4B91-B5B8-7A2EC7D1B1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029" name="x_Picture 1" descr="Description: cid:image001.png@01D03949.49457930">
          <a:extLst>
            <a:ext uri="{FF2B5EF4-FFF2-40B4-BE49-F238E27FC236}">
              <a16:creationId xmlns:a16="http://schemas.microsoft.com/office/drawing/2014/main" id="{7068009C-30C7-4204-AEC8-E40C9129E3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030" name="x_Picture 1" descr="Description: cid:image001.png@01D03949.49457930">
          <a:extLst>
            <a:ext uri="{FF2B5EF4-FFF2-40B4-BE49-F238E27FC236}">
              <a16:creationId xmlns:a16="http://schemas.microsoft.com/office/drawing/2014/main" id="{2E762AD3-7837-4487-B764-B8E90A5280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031" name="x_Picture 1" descr="Description: cid:image001.png@01D03949.49457930">
          <a:extLst>
            <a:ext uri="{FF2B5EF4-FFF2-40B4-BE49-F238E27FC236}">
              <a16:creationId xmlns:a16="http://schemas.microsoft.com/office/drawing/2014/main" id="{FD10EB68-9A23-4350-B0A7-005FEDFC92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032" name="x_Picture 1" descr="Description: cid:image001.png@01D03949.49457930">
          <a:extLst>
            <a:ext uri="{FF2B5EF4-FFF2-40B4-BE49-F238E27FC236}">
              <a16:creationId xmlns:a16="http://schemas.microsoft.com/office/drawing/2014/main" id="{3EA49B27-1CAE-44CE-9ED4-F96AF13AEE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033" name="x_Picture 1" descr="Description: cid:image001.png@01D03949.49457930">
          <a:extLst>
            <a:ext uri="{FF2B5EF4-FFF2-40B4-BE49-F238E27FC236}">
              <a16:creationId xmlns:a16="http://schemas.microsoft.com/office/drawing/2014/main" id="{2B98C9D7-E505-4D58-B6F3-6EAEDE29C7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034" name="x_Picture 1" descr="Description: cid:image001.png@01D03949.49457930">
          <a:extLst>
            <a:ext uri="{FF2B5EF4-FFF2-40B4-BE49-F238E27FC236}">
              <a16:creationId xmlns:a16="http://schemas.microsoft.com/office/drawing/2014/main" id="{8E2E2F11-F1E2-42CC-80F8-2583CAB9D1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035" name="x_Picture 1" descr="Description: cid:image001.png@01D03949.49457930">
          <a:extLst>
            <a:ext uri="{FF2B5EF4-FFF2-40B4-BE49-F238E27FC236}">
              <a16:creationId xmlns:a16="http://schemas.microsoft.com/office/drawing/2014/main" id="{F3D36E5B-0995-4323-B8CE-364B4F4EF0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036" name="x_Picture 1" descr="Description: cid:image001.png@01D03949.49457930">
          <a:extLst>
            <a:ext uri="{FF2B5EF4-FFF2-40B4-BE49-F238E27FC236}">
              <a16:creationId xmlns:a16="http://schemas.microsoft.com/office/drawing/2014/main" id="{0435C3F5-F119-49FE-9C28-C79690AFFE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037" name="x_Picture 1" descr="Description: cid:image001.png@01D03949.49457930">
          <a:extLst>
            <a:ext uri="{FF2B5EF4-FFF2-40B4-BE49-F238E27FC236}">
              <a16:creationId xmlns:a16="http://schemas.microsoft.com/office/drawing/2014/main" id="{E1270231-22AA-455C-A6CE-EDEB9F0A45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038" name="x_Picture 1" descr="Description: cid:image001.png@01D03949.49457930">
          <a:extLst>
            <a:ext uri="{FF2B5EF4-FFF2-40B4-BE49-F238E27FC236}">
              <a16:creationId xmlns:a16="http://schemas.microsoft.com/office/drawing/2014/main" id="{0A9B5DA5-474D-4B22-A03D-18FD7CB8678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039" name="x_Picture 1" descr="Description: cid:image001.png@01D03949.49457930">
          <a:extLst>
            <a:ext uri="{FF2B5EF4-FFF2-40B4-BE49-F238E27FC236}">
              <a16:creationId xmlns:a16="http://schemas.microsoft.com/office/drawing/2014/main" id="{32035D5F-B783-49CE-8DE0-6B473BCD36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040" name="x_Picture 1" descr="Description: cid:image001.png@01D03949.49457930">
          <a:extLst>
            <a:ext uri="{FF2B5EF4-FFF2-40B4-BE49-F238E27FC236}">
              <a16:creationId xmlns:a16="http://schemas.microsoft.com/office/drawing/2014/main" id="{1B5F001A-900E-4A53-8887-F9016337E6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041" name="x_Picture 1" descr="Description: cid:image001.png@01D03949.49457930">
          <a:extLst>
            <a:ext uri="{FF2B5EF4-FFF2-40B4-BE49-F238E27FC236}">
              <a16:creationId xmlns:a16="http://schemas.microsoft.com/office/drawing/2014/main" id="{36E8CB7A-F872-4086-A0FB-ECE200E0047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042" name="x_Picture 1" descr="Description: cid:image001.png@01D03949.49457930">
          <a:extLst>
            <a:ext uri="{FF2B5EF4-FFF2-40B4-BE49-F238E27FC236}">
              <a16:creationId xmlns:a16="http://schemas.microsoft.com/office/drawing/2014/main" id="{65BCD6D8-4EED-4BE1-A2BE-1067668C25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043" name="x_Picture 1" descr="Description: cid:image001.png@01D03949.49457930">
          <a:extLst>
            <a:ext uri="{FF2B5EF4-FFF2-40B4-BE49-F238E27FC236}">
              <a16:creationId xmlns:a16="http://schemas.microsoft.com/office/drawing/2014/main" id="{AB4B298F-AAE4-4BE2-9ECE-2B153397079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044" name="x_Picture 1" descr="Description: cid:image001.png@01D03949.49457930">
          <a:extLst>
            <a:ext uri="{FF2B5EF4-FFF2-40B4-BE49-F238E27FC236}">
              <a16:creationId xmlns:a16="http://schemas.microsoft.com/office/drawing/2014/main" id="{1B5FCA2B-9A82-43D7-97F2-9EA1A3018A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045" name="x_Picture 1" descr="Description: cid:image001.png@01D03949.49457930">
          <a:extLst>
            <a:ext uri="{FF2B5EF4-FFF2-40B4-BE49-F238E27FC236}">
              <a16:creationId xmlns:a16="http://schemas.microsoft.com/office/drawing/2014/main" id="{EB8A5E08-E946-4E48-A485-90305138647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046" name="x_Picture 1" descr="Description: cid:image001.png@01D03949.49457930">
          <a:extLst>
            <a:ext uri="{FF2B5EF4-FFF2-40B4-BE49-F238E27FC236}">
              <a16:creationId xmlns:a16="http://schemas.microsoft.com/office/drawing/2014/main" id="{47599BF0-D200-4D8D-BEC0-6FEE5C08EE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047" name="x_Picture 1" descr="Description: cid:image001.png@01D03949.49457930">
          <a:extLst>
            <a:ext uri="{FF2B5EF4-FFF2-40B4-BE49-F238E27FC236}">
              <a16:creationId xmlns:a16="http://schemas.microsoft.com/office/drawing/2014/main" id="{CBAA7D8E-1056-4B59-BFC1-32A01DE93D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048" name="x_Picture 1" descr="Description: cid:image001.png@01D03949.49457930">
          <a:extLst>
            <a:ext uri="{FF2B5EF4-FFF2-40B4-BE49-F238E27FC236}">
              <a16:creationId xmlns:a16="http://schemas.microsoft.com/office/drawing/2014/main" id="{34E3C94F-C4BF-4AE5-BC2F-7995FBD8D9C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049" name="x_Picture 1" descr="Description: cid:image001.png@01D03949.49457930">
          <a:extLst>
            <a:ext uri="{FF2B5EF4-FFF2-40B4-BE49-F238E27FC236}">
              <a16:creationId xmlns:a16="http://schemas.microsoft.com/office/drawing/2014/main" id="{65F18253-74BD-4B3C-874E-77D574BA1A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050" name="x_Picture 1" descr="Description: cid:image001.png@01D03949.49457930">
          <a:extLst>
            <a:ext uri="{FF2B5EF4-FFF2-40B4-BE49-F238E27FC236}">
              <a16:creationId xmlns:a16="http://schemas.microsoft.com/office/drawing/2014/main" id="{542D2FB6-232A-417C-987C-104DC7E311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051" name="x_Picture 1" descr="Description: cid:image001.png@01D03949.49457930">
          <a:extLst>
            <a:ext uri="{FF2B5EF4-FFF2-40B4-BE49-F238E27FC236}">
              <a16:creationId xmlns:a16="http://schemas.microsoft.com/office/drawing/2014/main" id="{476587FA-8A6C-405B-9B18-C80B26972F0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052" name="x_Picture 1" descr="Description: cid:image001.png@01D03949.49457930">
          <a:extLst>
            <a:ext uri="{FF2B5EF4-FFF2-40B4-BE49-F238E27FC236}">
              <a16:creationId xmlns:a16="http://schemas.microsoft.com/office/drawing/2014/main" id="{B46EEE72-7794-418E-B0BE-85BC7F5AD7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053" name="x_Picture 1" descr="Description: cid:image001.png@01D03949.49457930">
          <a:extLst>
            <a:ext uri="{FF2B5EF4-FFF2-40B4-BE49-F238E27FC236}">
              <a16:creationId xmlns:a16="http://schemas.microsoft.com/office/drawing/2014/main" id="{B7B46188-315E-49AC-AF84-DD98A5B7499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054" name="x_Picture 1" descr="Description: cid:image001.png@01D03949.49457930">
          <a:extLst>
            <a:ext uri="{FF2B5EF4-FFF2-40B4-BE49-F238E27FC236}">
              <a16:creationId xmlns:a16="http://schemas.microsoft.com/office/drawing/2014/main" id="{2D568004-92D0-427A-88CA-6CB6C42678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055" name="x_Picture 1" descr="Description: cid:image001.png@01D03949.49457930">
          <a:extLst>
            <a:ext uri="{FF2B5EF4-FFF2-40B4-BE49-F238E27FC236}">
              <a16:creationId xmlns:a16="http://schemas.microsoft.com/office/drawing/2014/main" id="{DB3AD49F-64F2-42F3-9238-ED7F2F0EE3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056" name="x_Picture 1" descr="Description: cid:image001.png@01D03949.49457930">
          <a:extLst>
            <a:ext uri="{FF2B5EF4-FFF2-40B4-BE49-F238E27FC236}">
              <a16:creationId xmlns:a16="http://schemas.microsoft.com/office/drawing/2014/main" id="{C8467981-4988-4652-A287-F8557F6665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057" name="x_Picture 1" descr="Description: cid:image001.png@01D03949.49457930">
          <a:extLst>
            <a:ext uri="{FF2B5EF4-FFF2-40B4-BE49-F238E27FC236}">
              <a16:creationId xmlns:a16="http://schemas.microsoft.com/office/drawing/2014/main" id="{3363FAB8-060F-4E1F-97B2-F2F59D8EABB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058" name="x_Picture 1" descr="Description: cid:image001.png@01D03949.49457930">
          <a:extLst>
            <a:ext uri="{FF2B5EF4-FFF2-40B4-BE49-F238E27FC236}">
              <a16:creationId xmlns:a16="http://schemas.microsoft.com/office/drawing/2014/main" id="{AE4A430B-DE85-4E62-91FD-B72BE0760A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059" name="x_Picture 1" descr="Description: cid:image001.png@01D03949.49457930">
          <a:extLst>
            <a:ext uri="{FF2B5EF4-FFF2-40B4-BE49-F238E27FC236}">
              <a16:creationId xmlns:a16="http://schemas.microsoft.com/office/drawing/2014/main" id="{20E5CD7E-74C9-4232-B7A3-9F21CC12A1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060" name="x_Picture 1" descr="Description: cid:image001.png@01D03949.49457930">
          <a:extLst>
            <a:ext uri="{FF2B5EF4-FFF2-40B4-BE49-F238E27FC236}">
              <a16:creationId xmlns:a16="http://schemas.microsoft.com/office/drawing/2014/main" id="{D43588E5-637F-406C-9217-04040723B0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061" name="x_Picture 1" descr="Description: cid:image001.png@01D03949.49457930">
          <a:extLst>
            <a:ext uri="{FF2B5EF4-FFF2-40B4-BE49-F238E27FC236}">
              <a16:creationId xmlns:a16="http://schemas.microsoft.com/office/drawing/2014/main" id="{03B927AA-E8AC-4E15-895D-5F8C418CBA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062" name="x_Picture 1" descr="Description: cid:image001.png@01D03949.49457930">
          <a:extLst>
            <a:ext uri="{FF2B5EF4-FFF2-40B4-BE49-F238E27FC236}">
              <a16:creationId xmlns:a16="http://schemas.microsoft.com/office/drawing/2014/main" id="{0F84EFBD-6F7E-43D6-AA52-B16A62F8937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063" name="x_Picture 1" descr="Description: cid:image001.png@01D03949.49457930">
          <a:extLst>
            <a:ext uri="{FF2B5EF4-FFF2-40B4-BE49-F238E27FC236}">
              <a16:creationId xmlns:a16="http://schemas.microsoft.com/office/drawing/2014/main" id="{E49160A8-E438-48DE-8077-BD840117E9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064" name="x_Picture 1" descr="Description: cid:image001.png@01D03949.49457930">
          <a:extLst>
            <a:ext uri="{FF2B5EF4-FFF2-40B4-BE49-F238E27FC236}">
              <a16:creationId xmlns:a16="http://schemas.microsoft.com/office/drawing/2014/main" id="{2460D5E5-11EA-4023-81E0-D3B244AB78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065" name="x_Picture 1" descr="Description: cid:image001.png@01D03949.49457930">
          <a:extLst>
            <a:ext uri="{FF2B5EF4-FFF2-40B4-BE49-F238E27FC236}">
              <a16:creationId xmlns:a16="http://schemas.microsoft.com/office/drawing/2014/main" id="{DDBCCBDB-B9D3-4ED8-BA79-E283CD59B5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066" name="x_Picture 1" descr="Description: cid:image001.png@01D03949.49457930">
          <a:extLst>
            <a:ext uri="{FF2B5EF4-FFF2-40B4-BE49-F238E27FC236}">
              <a16:creationId xmlns:a16="http://schemas.microsoft.com/office/drawing/2014/main" id="{4C798766-D9FD-49FE-A16A-ACF298B419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067" name="x_Picture 1" descr="Description: cid:image001.png@01D03949.49457930">
          <a:extLst>
            <a:ext uri="{FF2B5EF4-FFF2-40B4-BE49-F238E27FC236}">
              <a16:creationId xmlns:a16="http://schemas.microsoft.com/office/drawing/2014/main" id="{BD89A7A6-437B-47F5-9424-6DBA943A23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068" name="x_Picture 1" descr="Description: cid:image001.png@01D03949.49457930">
          <a:extLst>
            <a:ext uri="{FF2B5EF4-FFF2-40B4-BE49-F238E27FC236}">
              <a16:creationId xmlns:a16="http://schemas.microsoft.com/office/drawing/2014/main" id="{458F6F29-A909-4A37-A3B1-792A9D626DB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069" name="x_Picture 1" descr="Description: cid:image001.png@01D03949.49457930">
          <a:extLst>
            <a:ext uri="{FF2B5EF4-FFF2-40B4-BE49-F238E27FC236}">
              <a16:creationId xmlns:a16="http://schemas.microsoft.com/office/drawing/2014/main" id="{8E417144-63ED-4D2C-AB38-EEB4C930C4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070" name="x_Picture 1" descr="Description: cid:image001.png@01D03949.49457930">
          <a:extLst>
            <a:ext uri="{FF2B5EF4-FFF2-40B4-BE49-F238E27FC236}">
              <a16:creationId xmlns:a16="http://schemas.microsoft.com/office/drawing/2014/main" id="{0D032F29-8FBB-4E32-9B37-369DD1054E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071" name="x_Picture 1" descr="Description: cid:image001.png@01D03949.49457930">
          <a:extLst>
            <a:ext uri="{FF2B5EF4-FFF2-40B4-BE49-F238E27FC236}">
              <a16:creationId xmlns:a16="http://schemas.microsoft.com/office/drawing/2014/main" id="{38CD0355-128F-4BA9-A279-6DEEDB2153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072" name="x_Picture 1" descr="Description: cid:image001.png@01D03949.49457930">
          <a:extLst>
            <a:ext uri="{FF2B5EF4-FFF2-40B4-BE49-F238E27FC236}">
              <a16:creationId xmlns:a16="http://schemas.microsoft.com/office/drawing/2014/main" id="{621DF5F7-0FD7-4EF0-B170-400F5F4B60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073" name="x_Picture 1" descr="Description: cid:image001.png@01D03949.49457930">
          <a:extLst>
            <a:ext uri="{FF2B5EF4-FFF2-40B4-BE49-F238E27FC236}">
              <a16:creationId xmlns:a16="http://schemas.microsoft.com/office/drawing/2014/main" id="{E378A3A7-0E0E-4029-8664-C9074F8670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074" name="x_Picture 1" descr="Description: cid:image001.png@01D03949.49457930">
          <a:extLst>
            <a:ext uri="{FF2B5EF4-FFF2-40B4-BE49-F238E27FC236}">
              <a16:creationId xmlns:a16="http://schemas.microsoft.com/office/drawing/2014/main" id="{987D6F69-20B8-4FBE-A4F8-CA83E8D1593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075" name="x_Picture 1" descr="Description: cid:image001.png@01D03949.49457930">
          <a:extLst>
            <a:ext uri="{FF2B5EF4-FFF2-40B4-BE49-F238E27FC236}">
              <a16:creationId xmlns:a16="http://schemas.microsoft.com/office/drawing/2014/main" id="{14AB9F06-963D-496A-AE5E-7C21CEBEB74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076" name="x_Picture 1" descr="Description: cid:image001.png@01D03949.49457930">
          <a:extLst>
            <a:ext uri="{FF2B5EF4-FFF2-40B4-BE49-F238E27FC236}">
              <a16:creationId xmlns:a16="http://schemas.microsoft.com/office/drawing/2014/main" id="{EAF52469-050A-4698-94CA-A84DDD6617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077" name="x_Picture 1" descr="Description: cid:image001.png@01D03949.49457930">
          <a:extLst>
            <a:ext uri="{FF2B5EF4-FFF2-40B4-BE49-F238E27FC236}">
              <a16:creationId xmlns:a16="http://schemas.microsoft.com/office/drawing/2014/main" id="{B14AAC06-530A-48E3-88D3-1F5CF7436E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078" name="x_Picture 1" descr="Description: cid:image001.png@01D03949.49457930">
          <a:extLst>
            <a:ext uri="{FF2B5EF4-FFF2-40B4-BE49-F238E27FC236}">
              <a16:creationId xmlns:a16="http://schemas.microsoft.com/office/drawing/2014/main" id="{DF6ED686-5ED0-4324-85F7-B6C167452C7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079" name="x_Picture 1" descr="Description: cid:image001.png@01D03949.49457930">
          <a:extLst>
            <a:ext uri="{FF2B5EF4-FFF2-40B4-BE49-F238E27FC236}">
              <a16:creationId xmlns:a16="http://schemas.microsoft.com/office/drawing/2014/main" id="{0E8A0BD2-AA07-40F9-8F19-DF302136959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080" name="x_Picture 1" descr="Description: cid:image001.png@01D03949.49457930">
          <a:extLst>
            <a:ext uri="{FF2B5EF4-FFF2-40B4-BE49-F238E27FC236}">
              <a16:creationId xmlns:a16="http://schemas.microsoft.com/office/drawing/2014/main" id="{17146CA9-CA0D-481B-8CFD-064F580F8E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081" name="x_Picture 1" descr="Description: cid:image001.png@01D03949.49457930">
          <a:extLst>
            <a:ext uri="{FF2B5EF4-FFF2-40B4-BE49-F238E27FC236}">
              <a16:creationId xmlns:a16="http://schemas.microsoft.com/office/drawing/2014/main" id="{1EE1E9B2-F573-42F0-AA03-1C9B9023C4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082" name="x_Picture 1" descr="Description: cid:image001.png@01D03949.49457930">
          <a:extLst>
            <a:ext uri="{FF2B5EF4-FFF2-40B4-BE49-F238E27FC236}">
              <a16:creationId xmlns:a16="http://schemas.microsoft.com/office/drawing/2014/main" id="{965581F5-EF9A-4320-881C-C3A29196770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083" name="x_Picture 1" descr="Description: cid:image001.png@01D03949.49457930">
          <a:extLst>
            <a:ext uri="{FF2B5EF4-FFF2-40B4-BE49-F238E27FC236}">
              <a16:creationId xmlns:a16="http://schemas.microsoft.com/office/drawing/2014/main" id="{67A4E299-9252-4659-94E4-281F7E9DE23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1084" name="x_Picture 1" descr="Description: cid:image001.png@01D03949.49457930">
          <a:extLst>
            <a:ext uri="{FF2B5EF4-FFF2-40B4-BE49-F238E27FC236}">
              <a16:creationId xmlns:a16="http://schemas.microsoft.com/office/drawing/2014/main" id="{E04B329D-C3CB-4FAD-A1DB-73EA0A4A6B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085" name="x_Picture 1" descr="Description: cid:image001.png@01D03949.49457930">
          <a:extLst>
            <a:ext uri="{FF2B5EF4-FFF2-40B4-BE49-F238E27FC236}">
              <a16:creationId xmlns:a16="http://schemas.microsoft.com/office/drawing/2014/main" id="{73515CA1-B022-469B-B803-811C84F3B8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1086" name="x_Picture 1" descr="Description: cid:image001.png@01D03949.49457930">
          <a:extLst>
            <a:ext uri="{FF2B5EF4-FFF2-40B4-BE49-F238E27FC236}">
              <a16:creationId xmlns:a16="http://schemas.microsoft.com/office/drawing/2014/main" id="{1F31472A-0A1F-4B06-A45F-54E549CAB3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1087" name="x_Picture 1" descr="Description: cid:image001.png@01D03949.49457930">
          <a:extLst>
            <a:ext uri="{FF2B5EF4-FFF2-40B4-BE49-F238E27FC236}">
              <a16:creationId xmlns:a16="http://schemas.microsoft.com/office/drawing/2014/main" id="{573E117D-13F0-4B0C-B181-CF8D264B03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1088" name="x_Picture 1" descr="Description: cid:image001.png@01D03949.49457930">
          <a:extLst>
            <a:ext uri="{FF2B5EF4-FFF2-40B4-BE49-F238E27FC236}">
              <a16:creationId xmlns:a16="http://schemas.microsoft.com/office/drawing/2014/main" id="{DB302889-8254-4095-9C0F-D7D3C1E360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1089" name="x_Picture 1" descr="Description: cid:image001.png@01D03949.49457930">
          <a:extLst>
            <a:ext uri="{FF2B5EF4-FFF2-40B4-BE49-F238E27FC236}">
              <a16:creationId xmlns:a16="http://schemas.microsoft.com/office/drawing/2014/main" id="{7D49CB1B-B5C2-4793-A163-5696FA7C52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1090" name="x_Picture 1" descr="Description: cid:image001.png@01D03949.49457930">
          <a:extLst>
            <a:ext uri="{FF2B5EF4-FFF2-40B4-BE49-F238E27FC236}">
              <a16:creationId xmlns:a16="http://schemas.microsoft.com/office/drawing/2014/main" id="{DD9712F4-E0D9-45D9-B2D3-BC571080D9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1091" name="x_Picture 1" descr="Description: cid:image001.png@01D03949.49457930">
          <a:extLst>
            <a:ext uri="{FF2B5EF4-FFF2-40B4-BE49-F238E27FC236}">
              <a16:creationId xmlns:a16="http://schemas.microsoft.com/office/drawing/2014/main" id="{3914B358-B74A-45DE-8911-192F74FE6B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1092" name="x_Picture 1" descr="Description: cid:image001.png@01D03949.49457930">
          <a:extLst>
            <a:ext uri="{FF2B5EF4-FFF2-40B4-BE49-F238E27FC236}">
              <a16:creationId xmlns:a16="http://schemas.microsoft.com/office/drawing/2014/main" id="{2332A5E6-DBD6-4681-B53D-1E9AA39ABB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1093" name="x_Picture 1" descr="Description: cid:image001.png@01D03949.49457930">
          <a:extLst>
            <a:ext uri="{FF2B5EF4-FFF2-40B4-BE49-F238E27FC236}">
              <a16:creationId xmlns:a16="http://schemas.microsoft.com/office/drawing/2014/main" id="{6B93DE1B-9429-42AC-84B4-1AE45531FAB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1094" name="x_Picture 1" descr="Description: cid:image001.png@01D03949.49457930">
          <a:extLst>
            <a:ext uri="{FF2B5EF4-FFF2-40B4-BE49-F238E27FC236}">
              <a16:creationId xmlns:a16="http://schemas.microsoft.com/office/drawing/2014/main" id="{47F2C689-6AED-46AB-9AD5-0C9B89B15A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1095" name="x_Picture 1" descr="Description: cid:image001.png@01D03949.49457930">
          <a:extLst>
            <a:ext uri="{FF2B5EF4-FFF2-40B4-BE49-F238E27FC236}">
              <a16:creationId xmlns:a16="http://schemas.microsoft.com/office/drawing/2014/main" id="{2910249E-EE4F-4D15-B6C1-9FF53F61404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1096" name="x_Picture 1" descr="Description: cid:image001.png@01D03949.49457930">
          <a:extLst>
            <a:ext uri="{FF2B5EF4-FFF2-40B4-BE49-F238E27FC236}">
              <a16:creationId xmlns:a16="http://schemas.microsoft.com/office/drawing/2014/main" id="{3C3AC960-2B01-4B43-8399-E0AE23EF07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1097" name="x_Picture 1" descr="Description: cid:image001.png@01D03949.49457930">
          <a:extLst>
            <a:ext uri="{FF2B5EF4-FFF2-40B4-BE49-F238E27FC236}">
              <a16:creationId xmlns:a16="http://schemas.microsoft.com/office/drawing/2014/main" id="{594A5548-87BC-4725-920A-61EF28D480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1098" name="x_Picture 1" descr="Description: cid:image001.png@01D03949.49457930">
          <a:extLst>
            <a:ext uri="{FF2B5EF4-FFF2-40B4-BE49-F238E27FC236}">
              <a16:creationId xmlns:a16="http://schemas.microsoft.com/office/drawing/2014/main" id="{E9C5C17C-7321-431B-A113-B461CF4928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1099" name="x_Picture 1" descr="Description: cid:image001.png@01D03949.49457930">
          <a:extLst>
            <a:ext uri="{FF2B5EF4-FFF2-40B4-BE49-F238E27FC236}">
              <a16:creationId xmlns:a16="http://schemas.microsoft.com/office/drawing/2014/main" id="{F1D83757-F00C-468B-B447-24449473FB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1100" name="x_Picture 1" descr="Description: cid:image001.png@01D03949.49457930">
          <a:extLst>
            <a:ext uri="{FF2B5EF4-FFF2-40B4-BE49-F238E27FC236}">
              <a16:creationId xmlns:a16="http://schemas.microsoft.com/office/drawing/2014/main" id="{28CB3D6F-967E-4C5D-96A8-F46940E28B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1101" name="x_Picture 1" descr="Description: cid:image001.png@01D03949.49457930">
          <a:extLst>
            <a:ext uri="{FF2B5EF4-FFF2-40B4-BE49-F238E27FC236}">
              <a16:creationId xmlns:a16="http://schemas.microsoft.com/office/drawing/2014/main" id="{171621F4-EE64-4DF7-A693-EA9E28CDEF5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1102" name="x_Picture 1" descr="Description: cid:image001.png@01D03949.49457930">
          <a:extLst>
            <a:ext uri="{FF2B5EF4-FFF2-40B4-BE49-F238E27FC236}">
              <a16:creationId xmlns:a16="http://schemas.microsoft.com/office/drawing/2014/main" id="{DFD8AD5A-F76C-452D-AC02-5B5DFD0E0F4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1103" name="x_Picture 1" descr="Description: cid:image001.png@01D03949.49457930">
          <a:extLst>
            <a:ext uri="{FF2B5EF4-FFF2-40B4-BE49-F238E27FC236}">
              <a16:creationId xmlns:a16="http://schemas.microsoft.com/office/drawing/2014/main" id="{0C814ADD-2C32-4514-A731-641DD4BF4D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1104" name="x_Picture 1" descr="Description: cid:image001.png@01D03949.49457930">
          <a:extLst>
            <a:ext uri="{FF2B5EF4-FFF2-40B4-BE49-F238E27FC236}">
              <a16:creationId xmlns:a16="http://schemas.microsoft.com/office/drawing/2014/main" id="{F4E803E4-6646-40AB-9BCF-FB5AA74195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1105" name="x_Picture 1" descr="Description: cid:image001.png@01D03949.49457930">
          <a:extLst>
            <a:ext uri="{FF2B5EF4-FFF2-40B4-BE49-F238E27FC236}">
              <a16:creationId xmlns:a16="http://schemas.microsoft.com/office/drawing/2014/main" id="{FA9106C3-6D6C-4638-836B-F7C9E01348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1106" name="x_Picture 1" descr="Description: cid:image001.png@01D03949.49457930">
          <a:extLst>
            <a:ext uri="{FF2B5EF4-FFF2-40B4-BE49-F238E27FC236}">
              <a16:creationId xmlns:a16="http://schemas.microsoft.com/office/drawing/2014/main" id="{550764E0-2E0E-4839-A14F-CD7365DBCA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1107" name="x_Picture 1" descr="Description: cid:image001.png@01D03949.49457930">
          <a:extLst>
            <a:ext uri="{FF2B5EF4-FFF2-40B4-BE49-F238E27FC236}">
              <a16:creationId xmlns:a16="http://schemas.microsoft.com/office/drawing/2014/main" id="{AD7F3EEC-7579-478D-8097-1F357CD7E0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1108" name="x_Picture 1" descr="Description: cid:image001.png@01D03949.49457930">
          <a:extLst>
            <a:ext uri="{FF2B5EF4-FFF2-40B4-BE49-F238E27FC236}">
              <a16:creationId xmlns:a16="http://schemas.microsoft.com/office/drawing/2014/main" id="{BE9A4F5C-84C7-4B28-B37F-7FBD0A2770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1109" name="x_Picture 1" descr="Description: cid:image001.png@01D03949.49457930">
          <a:extLst>
            <a:ext uri="{FF2B5EF4-FFF2-40B4-BE49-F238E27FC236}">
              <a16:creationId xmlns:a16="http://schemas.microsoft.com/office/drawing/2014/main" id="{E6D23100-C64C-41DB-ACBF-5650F06B6D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1110" name="x_Picture 1" descr="Description: cid:image001.png@01D03949.49457930">
          <a:extLst>
            <a:ext uri="{FF2B5EF4-FFF2-40B4-BE49-F238E27FC236}">
              <a16:creationId xmlns:a16="http://schemas.microsoft.com/office/drawing/2014/main" id="{8AF93DD7-F4C8-4D35-B114-DED395E8D8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1111" name="x_Picture 1" descr="Description: cid:image001.png@01D03949.49457930">
          <a:extLst>
            <a:ext uri="{FF2B5EF4-FFF2-40B4-BE49-F238E27FC236}">
              <a16:creationId xmlns:a16="http://schemas.microsoft.com/office/drawing/2014/main" id="{DF72FF81-6F84-4DAF-89B8-B102F24B12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1112" name="x_Picture 1" descr="Description: cid:image001.png@01D03949.49457930">
          <a:extLst>
            <a:ext uri="{FF2B5EF4-FFF2-40B4-BE49-F238E27FC236}">
              <a16:creationId xmlns:a16="http://schemas.microsoft.com/office/drawing/2014/main" id="{0FAEE929-F2B0-4D9D-8922-D686A6AF1D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1113" name="x_Picture 1" descr="Description: cid:image001.png@01D03949.49457930">
          <a:extLst>
            <a:ext uri="{FF2B5EF4-FFF2-40B4-BE49-F238E27FC236}">
              <a16:creationId xmlns:a16="http://schemas.microsoft.com/office/drawing/2014/main" id="{923EB1A4-DD07-4467-95AC-3DED0A1697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1114" name="x_Picture 1" descr="Description: cid:image001.png@01D03949.49457930">
          <a:extLst>
            <a:ext uri="{FF2B5EF4-FFF2-40B4-BE49-F238E27FC236}">
              <a16:creationId xmlns:a16="http://schemas.microsoft.com/office/drawing/2014/main" id="{92EFC4F4-BF5F-4DDE-A141-26BE05FEA3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1115" name="x_Picture 1" descr="Description: cid:image001.png@01D03949.49457930">
          <a:extLst>
            <a:ext uri="{FF2B5EF4-FFF2-40B4-BE49-F238E27FC236}">
              <a16:creationId xmlns:a16="http://schemas.microsoft.com/office/drawing/2014/main" id="{47844ED9-0E0D-475D-8C2B-140724747C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1116" name="x_Picture 1" descr="Description: cid:image001.png@01D03949.49457930">
          <a:extLst>
            <a:ext uri="{FF2B5EF4-FFF2-40B4-BE49-F238E27FC236}">
              <a16:creationId xmlns:a16="http://schemas.microsoft.com/office/drawing/2014/main" id="{9B720974-E03E-4243-B4D7-F08D535DC15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1117" name="x_Picture 1" descr="Description: cid:image001.png@01D03949.49457930">
          <a:extLst>
            <a:ext uri="{FF2B5EF4-FFF2-40B4-BE49-F238E27FC236}">
              <a16:creationId xmlns:a16="http://schemas.microsoft.com/office/drawing/2014/main" id="{DF31C5D4-68D0-4ACC-846C-158BA44CC8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1118" name="x_Picture 1" descr="Description: cid:image001.png@01D03949.49457930">
          <a:extLst>
            <a:ext uri="{FF2B5EF4-FFF2-40B4-BE49-F238E27FC236}">
              <a16:creationId xmlns:a16="http://schemas.microsoft.com/office/drawing/2014/main" id="{F7456060-B4C7-45F6-8136-0A552E30F6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1119" name="x_Picture 1" descr="Description: cid:image001.png@01D03949.49457930">
          <a:extLst>
            <a:ext uri="{FF2B5EF4-FFF2-40B4-BE49-F238E27FC236}">
              <a16:creationId xmlns:a16="http://schemas.microsoft.com/office/drawing/2014/main" id="{037BADE2-3E13-496E-BECE-024AED6B83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1120" name="x_Picture 1" descr="Description: cid:image001.png@01D03949.49457930">
          <a:extLst>
            <a:ext uri="{FF2B5EF4-FFF2-40B4-BE49-F238E27FC236}">
              <a16:creationId xmlns:a16="http://schemas.microsoft.com/office/drawing/2014/main" id="{7DEDB676-FC4C-43C4-A02B-00DBA23DB3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1121" name="x_Picture 1" descr="Description: cid:image001.png@01D03949.49457930">
          <a:extLst>
            <a:ext uri="{FF2B5EF4-FFF2-40B4-BE49-F238E27FC236}">
              <a16:creationId xmlns:a16="http://schemas.microsoft.com/office/drawing/2014/main" id="{6DAF1F16-9547-43CB-BCE6-C2D1CF5A3E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1122" name="x_Picture 1" descr="Description: cid:image001.png@01D03949.49457930">
          <a:extLst>
            <a:ext uri="{FF2B5EF4-FFF2-40B4-BE49-F238E27FC236}">
              <a16:creationId xmlns:a16="http://schemas.microsoft.com/office/drawing/2014/main" id="{ACD6CC4E-781B-4FB0-892B-A7A588A31D6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1123" name="x_Picture 1" descr="Description: cid:image001.png@01D03949.49457930">
          <a:extLst>
            <a:ext uri="{FF2B5EF4-FFF2-40B4-BE49-F238E27FC236}">
              <a16:creationId xmlns:a16="http://schemas.microsoft.com/office/drawing/2014/main" id="{09EC7033-147E-4B87-885A-4E84D8CD81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1124" name="x_Picture 1" descr="Description: cid:image001.png@01D03949.49457930">
          <a:extLst>
            <a:ext uri="{FF2B5EF4-FFF2-40B4-BE49-F238E27FC236}">
              <a16:creationId xmlns:a16="http://schemas.microsoft.com/office/drawing/2014/main" id="{DF461E1A-39B2-4EB3-8CC6-6D82906AA2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1125" name="x_Picture 1" descr="Description: cid:image001.png@01D03949.49457930">
          <a:extLst>
            <a:ext uri="{FF2B5EF4-FFF2-40B4-BE49-F238E27FC236}">
              <a16:creationId xmlns:a16="http://schemas.microsoft.com/office/drawing/2014/main" id="{D5E470D5-5804-40A1-A538-7CF5B3F880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1126" name="x_Picture 1" descr="Description: cid:image001.png@01D03949.49457930">
          <a:extLst>
            <a:ext uri="{FF2B5EF4-FFF2-40B4-BE49-F238E27FC236}">
              <a16:creationId xmlns:a16="http://schemas.microsoft.com/office/drawing/2014/main" id="{D143C077-3C6B-4FE1-8176-4B9D87D54B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1127" name="x_Picture 1" descr="Description: cid:image001.png@01D03949.49457930">
          <a:extLst>
            <a:ext uri="{FF2B5EF4-FFF2-40B4-BE49-F238E27FC236}">
              <a16:creationId xmlns:a16="http://schemas.microsoft.com/office/drawing/2014/main" id="{E52BE472-8B28-4803-A4AA-148A07CAC1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1128" name="x_Picture 1" descr="Description: cid:image001.png@01D03949.49457930">
          <a:extLst>
            <a:ext uri="{FF2B5EF4-FFF2-40B4-BE49-F238E27FC236}">
              <a16:creationId xmlns:a16="http://schemas.microsoft.com/office/drawing/2014/main" id="{61DE8934-FE89-4D3E-9BCF-24439783EEB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1129" name="x_Picture 1" descr="Description: cid:image001.png@01D03949.49457930">
          <a:extLst>
            <a:ext uri="{FF2B5EF4-FFF2-40B4-BE49-F238E27FC236}">
              <a16:creationId xmlns:a16="http://schemas.microsoft.com/office/drawing/2014/main" id="{2A917F44-3393-4733-8055-8E8E42B65D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1130" name="x_Picture 1" descr="Description: cid:image001.png@01D03949.49457930">
          <a:extLst>
            <a:ext uri="{FF2B5EF4-FFF2-40B4-BE49-F238E27FC236}">
              <a16:creationId xmlns:a16="http://schemas.microsoft.com/office/drawing/2014/main" id="{27029BE3-A5CC-4693-9239-34C181D909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1131" name="x_Picture 1" descr="Description: cid:image001.png@01D03949.49457930">
          <a:extLst>
            <a:ext uri="{FF2B5EF4-FFF2-40B4-BE49-F238E27FC236}">
              <a16:creationId xmlns:a16="http://schemas.microsoft.com/office/drawing/2014/main" id="{412FBBCD-3CD2-4760-89EF-80C65EDDE0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1132" name="x_Picture 1" descr="Description: cid:image001.png@01D03949.49457930">
          <a:extLst>
            <a:ext uri="{FF2B5EF4-FFF2-40B4-BE49-F238E27FC236}">
              <a16:creationId xmlns:a16="http://schemas.microsoft.com/office/drawing/2014/main" id="{09276FED-A380-4286-A361-78399F383F2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1133" name="x_Picture 1" descr="Description: cid:image001.png@01D03949.49457930">
          <a:extLst>
            <a:ext uri="{FF2B5EF4-FFF2-40B4-BE49-F238E27FC236}">
              <a16:creationId xmlns:a16="http://schemas.microsoft.com/office/drawing/2014/main" id="{132B4CED-ACDB-40AC-9109-8CAD13F619D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1134" name="x_Picture 1" descr="Description: cid:image001.png@01D03949.49457930">
          <a:extLst>
            <a:ext uri="{FF2B5EF4-FFF2-40B4-BE49-F238E27FC236}">
              <a16:creationId xmlns:a16="http://schemas.microsoft.com/office/drawing/2014/main" id="{89F78BE9-7925-4EB3-935B-CD7CE62BCA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1135" name="x_Picture 1" descr="Description: cid:image001.png@01D03949.49457930">
          <a:extLst>
            <a:ext uri="{FF2B5EF4-FFF2-40B4-BE49-F238E27FC236}">
              <a16:creationId xmlns:a16="http://schemas.microsoft.com/office/drawing/2014/main" id="{4A19A7E9-6F6D-4CC6-9150-9EFBFEE3366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1136" name="x_Picture 1" descr="Description: cid:image001.png@01D03949.49457930">
          <a:extLst>
            <a:ext uri="{FF2B5EF4-FFF2-40B4-BE49-F238E27FC236}">
              <a16:creationId xmlns:a16="http://schemas.microsoft.com/office/drawing/2014/main" id="{F2EB3D11-B959-4F86-8897-901EFD60A0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1137" name="x_Picture 1" descr="Description: cid:image001.png@01D03949.49457930">
          <a:extLst>
            <a:ext uri="{FF2B5EF4-FFF2-40B4-BE49-F238E27FC236}">
              <a16:creationId xmlns:a16="http://schemas.microsoft.com/office/drawing/2014/main" id="{4819548A-FC32-48BB-A7F5-926D0306ED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1138" name="x_Picture 1" descr="Description: cid:image001.png@01D03949.49457930">
          <a:extLst>
            <a:ext uri="{FF2B5EF4-FFF2-40B4-BE49-F238E27FC236}">
              <a16:creationId xmlns:a16="http://schemas.microsoft.com/office/drawing/2014/main" id="{772B7D6E-7A15-4D0B-B184-3BF7877604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1139" name="x_Picture 1" descr="Description: cid:image001.png@01D03949.49457930">
          <a:extLst>
            <a:ext uri="{FF2B5EF4-FFF2-40B4-BE49-F238E27FC236}">
              <a16:creationId xmlns:a16="http://schemas.microsoft.com/office/drawing/2014/main" id="{99192C73-82AD-4905-8C82-671A2F9696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1140" name="x_Picture 1" descr="Description: cid:image001.png@01D03949.49457930">
          <a:extLst>
            <a:ext uri="{FF2B5EF4-FFF2-40B4-BE49-F238E27FC236}">
              <a16:creationId xmlns:a16="http://schemas.microsoft.com/office/drawing/2014/main" id="{29E3F7DA-E911-48C0-AEE5-4BE1D47148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1141" name="x_Picture 1" descr="Description: cid:image001.png@01D03949.49457930">
          <a:extLst>
            <a:ext uri="{FF2B5EF4-FFF2-40B4-BE49-F238E27FC236}">
              <a16:creationId xmlns:a16="http://schemas.microsoft.com/office/drawing/2014/main" id="{1128FEAB-980E-431A-90CC-87765335CA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1142" name="x_Picture 1" descr="Description: cid:image001.png@01D03949.49457930">
          <a:extLst>
            <a:ext uri="{FF2B5EF4-FFF2-40B4-BE49-F238E27FC236}">
              <a16:creationId xmlns:a16="http://schemas.microsoft.com/office/drawing/2014/main" id="{317A36DE-C3AF-4D45-827D-C332EEC4989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1143" name="x_Picture 1" descr="Description: cid:image001.png@01D03949.49457930">
          <a:extLst>
            <a:ext uri="{FF2B5EF4-FFF2-40B4-BE49-F238E27FC236}">
              <a16:creationId xmlns:a16="http://schemas.microsoft.com/office/drawing/2014/main" id="{3A218E63-2D2F-4039-A75D-CF4ED95B5C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1144" name="x_Picture 1" descr="Description: cid:image001.png@01D03949.49457930">
          <a:extLst>
            <a:ext uri="{FF2B5EF4-FFF2-40B4-BE49-F238E27FC236}">
              <a16:creationId xmlns:a16="http://schemas.microsoft.com/office/drawing/2014/main" id="{744367AD-A6A8-42D7-9150-66392292E4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1145" name="x_Picture 1" descr="Description: cid:image001.png@01D03949.49457930">
          <a:extLst>
            <a:ext uri="{FF2B5EF4-FFF2-40B4-BE49-F238E27FC236}">
              <a16:creationId xmlns:a16="http://schemas.microsoft.com/office/drawing/2014/main" id="{7A91F7CE-8FF2-4C6A-888E-9419C510BA2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1146" name="x_Picture 1" descr="Description: cid:image001.png@01D03949.49457930">
          <a:extLst>
            <a:ext uri="{FF2B5EF4-FFF2-40B4-BE49-F238E27FC236}">
              <a16:creationId xmlns:a16="http://schemas.microsoft.com/office/drawing/2014/main" id="{AE5615F8-CD3C-4946-B1BC-44CE0180B5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1147" name="x_Picture 1" descr="Description: cid:image001.png@01D03949.49457930">
          <a:extLst>
            <a:ext uri="{FF2B5EF4-FFF2-40B4-BE49-F238E27FC236}">
              <a16:creationId xmlns:a16="http://schemas.microsoft.com/office/drawing/2014/main" id="{B43147D8-C5ED-4145-9A3A-DA82B44CBC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1148" name="x_Picture 1" descr="Description: cid:image001.png@01D03949.49457930">
          <a:extLst>
            <a:ext uri="{FF2B5EF4-FFF2-40B4-BE49-F238E27FC236}">
              <a16:creationId xmlns:a16="http://schemas.microsoft.com/office/drawing/2014/main" id="{7AD0191E-E6CF-4F78-8A2F-2130DB1309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1149" name="x_Picture 1" descr="Description: cid:image001.png@01D03949.49457930">
          <a:extLst>
            <a:ext uri="{FF2B5EF4-FFF2-40B4-BE49-F238E27FC236}">
              <a16:creationId xmlns:a16="http://schemas.microsoft.com/office/drawing/2014/main" id="{DE038B09-4AE1-4F76-8C6C-04F257DCAF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1150" name="x_Picture 1" descr="Description: cid:image001.png@01D03949.49457930">
          <a:extLst>
            <a:ext uri="{FF2B5EF4-FFF2-40B4-BE49-F238E27FC236}">
              <a16:creationId xmlns:a16="http://schemas.microsoft.com/office/drawing/2014/main" id="{AE72F554-610A-4556-A581-95D7710AC6F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1151" name="x_Picture 1" descr="Description: cid:image001.png@01D03949.49457930">
          <a:extLst>
            <a:ext uri="{FF2B5EF4-FFF2-40B4-BE49-F238E27FC236}">
              <a16:creationId xmlns:a16="http://schemas.microsoft.com/office/drawing/2014/main" id="{9A8A1CFF-C296-400E-9FAD-6F2724EC6F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1152" name="x_Picture 1" descr="Description: cid:image001.png@01D03949.49457930">
          <a:extLst>
            <a:ext uri="{FF2B5EF4-FFF2-40B4-BE49-F238E27FC236}">
              <a16:creationId xmlns:a16="http://schemas.microsoft.com/office/drawing/2014/main" id="{54C0AD5D-B359-4752-81F2-8924030F1C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1153" name="x_Picture 1" descr="Description: cid:image001.png@01D03949.49457930">
          <a:extLst>
            <a:ext uri="{FF2B5EF4-FFF2-40B4-BE49-F238E27FC236}">
              <a16:creationId xmlns:a16="http://schemas.microsoft.com/office/drawing/2014/main" id="{57E059EE-A7BB-4584-A46B-B0CDC65A9E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1154" name="x_Picture 1" descr="Description: cid:image001.png@01D03949.49457930">
          <a:extLst>
            <a:ext uri="{FF2B5EF4-FFF2-40B4-BE49-F238E27FC236}">
              <a16:creationId xmlns:a16="http://schemas.microsoft.com/office/drawing/2014/main" id="{74006BC8-8D75-4B20-8564-385B6A5A64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1155" name="x_Picture 1" descr="Description: cid:image001.png@01D03949.49457930">
          <a:extLst>
            <a:ext uri="{FF2B5EF4-FFF2-40B4-BE49-F238E27FC236}">
              <a16:creationId xmlns:a16="http://schemas.microsoft.com/office/drawing/2014/main" id="{94A75134-3CC3-499F-BD20-8016026496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1156" name="x_Picture 1" descr="Description: cid:image001.png@01D03949.49457930">
          <a:extLst>
            <a:ext uri="{FF2B5EF4-FFF2-40B4-BE49-F238E27FC236}">
              <a16:creationId xmlns:a16="http://schemas.microsoft.com/office/drawing/2014/main" id="{CFDDD51B-28D7-40F8-943E-E21815E4962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1157" name="x_Picture 1" descr="Description: cid:image001.png@01D03949.49457930">
          <a:extLst>
            <a:ext uri="{FF2B5EF4-FFF2-40B4-BE49-F238E27FC236}">
              <a16:creationId xmlns:a16="http://schemas.microsoft.com/office/drawing/2014/main" id="{D041131C-6877-427A-A958-FF5D3ABD39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1158" name="x_Picture 1" descr="Description: cid:image001.png@01D03949.49457930">
          <a:extLst>
            <a:ext uri="{FF2B5EF4-FFF2-40B4-BE49-F238E27FC236}">
              <a16:creationId xmlns:a16="http://schemas.microsoft.com/office/drawing/2014/main" id="{F5198FBC-1250-4AB9-8CA0-58E421DBED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1159" name="x_Picture 1" descr="Description: cid:image001.png@01D03949.49457930">
          <a:extLst>
            <a:ext uri="{FF2B5EF4-FFF2-40B4-BE49-F238E27FC236}">
              <a16:creationId xmlns:a16="http://schemas.microsoft.com/office/drawing/2014/main" id="{A173F19E-8775-4E9B-A983-0F5FCE9514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1160" name="x_Picture 1" descr="Description: cid:image001.png@01D03949.49457930">
          <a:extLst>
            <a:ext uri="{FF2B5EF4-FFF2-40B4-BE49-F238E27FC236}">
              <a16:creationId xmlns:a16="http://schemas.microsoft.com/office/drawing/2014/main" id="{DDEF3FBA-644C-476C-B1E8-C84DFD7883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1161" name="x_Picture 1" descr="Description: cid:image001.png@01D03949.49457930">
          <a:extLst>
            <a:ext uri="{FF2B5EF4-FFF2-40B4-BE49-F238E27FC236}">
              <a16:creationId xmlns:a16="http://schemas.microsoft.com/office/drawing/2014/main" id="{B491CCAB-B7CE-42A0-BDBF-B3E5EC48F9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1162" name="x_Picture 1" descr="Description: cid:image001.png@01D03949.49457930">
          <a:extLst>
            <a:ext uri="{FF2B5EF4-FFF2-40B4-BE49-F238E27FC236}">
              <a16:creationId xmlns:a16="http://schemas.microsoft.com/office/drawing/2014/main" id="{2F0C5957-5699-4616-A275-42B6B1FA0E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1163" name="x_Picture 1" descr="Description: cid:image001.png@01D03949.49457930">
          <a:extLst>
            <a:ext uri="{FF2B5EF4-FFF2-40B4-BE49-F238E27FC236}">
              <a16:creationId xmlns:a16="http://schemas.microsoft.com/office/drawing/2014/main" id="{239DB302-5F9B-4475-8B24-DE6EC8352C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1164" name="x_Picture 1" descr="Description: cid:image001.png@01D03949.49457930">
          <a:extLst>
            <a:ext uri="{FF2B5EF4-FFF2-40B4-BE49-F238E27FC236}">
              <a16:creationId xmlns:a16="http://schemas.microsoft.com/office/drawing/2014/main" id="{9AF0D06E-AF33-4BCB-A79D-4C7832FD054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1165" name="x_Picture 1" descr="Description: cid:image001.png@01D03949.49457930">
          <a:extLst>
            <a:ext uri="{FF2B5EF4-FFF2-40B4-BE49-F238E27FC236}">
              <a16:creationId xmlns:a16="http://schemas.microsoft.com/office/drawing/2014/main" id="{DF49C74B-49C3-4E58-9770-18D6B65189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1166" name="x_Picture 1" descr="Description: cid:image001.png@01D03949.49457930">
          <a:extLst>
            <a:ext uri="{FF2B5EF4-FFF2-40B4-BE49-F238E27FC236}">
              <a16:creationId xmlns:a16="http://schemas.microsoft.com/office/drawing/2014/main" id="{521D2E57-919E-46BD-B769-DF7E97AF927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1167" name="x_Picture 1" descr="Description: cid:image001.png@01D03949.49457930">
          <a:extLst>
            <a:ext uri="{FF2B5EF4-FFF2-40B4-BE49-F238E27FC236}">
              <a16:creationId xmlns:a16="http://schemas.microsoft.com/office/drawing/2014/main" id="{5885579C-4BD6-4E64-8D07-CF6FDAB06C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1168" name="x_Picture 1" descr="Description: cid:image001.png@01D03949.49457930">
          <a:extLst>
            <a:ext uri="{FF2B5EF4-FFF2-40B4-BE49-F238E27FC236}">
              <a16:creationId xmlns:a16="http://schemas.microsoft.com/office/drawing/2014/main" id="{93EF98AA-E048-49DA-819B-0B55CBAD65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1169" name="x_Picture 1" descr="Description: cid:image001.png@01D03949.49457930">
          <a:extLst>
            <a:ext uri="{FF2B5EF4-FFF2-40B4-BE49-F238E27FC236}">
              <a16:creationId xmlns:a16="http://schemas.microsoft.com/office/drawing/2014/main" id="{AE3FB495-3EEE-4DE6-84BB-462EBDF714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1170" name="x_Picture 1" descr="Description: cid:image001.png@01D03949.49457930">
          <a:extLst>
            <a:ext uri="{FF2B5EF4-FFF2-40B4-BE49-F238E27FC236}">
              <a16:creationId xmlns:a16="http://schemas.microsoft.com/office/drawing/2014/main" id="{D38E72FD-99C7-4F4A-894F-5820759BC3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1171" name="x_Picture 1" descr="Description: cid:image001.png@01D03949.49457930">
          <a:extLst>
            <a:ext uri="{FF2B5EF4-FFF2-40B4-BE49-F238E27FC236}">
              <a16:creationId xmlns:a16="http://schemas.microsoft.com/office/drawing/2014/main" id="{D0BC7A8D-3D7D-4F39-A3D2-25B4D7541E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1172" name="x_Picture 1" descr="Description: cid:image001.png@01D03949.49457930">
          <a:extLst>
            <a:ext uri="{FF2B5EF4-FFF2-40B4-BE49-F238E27FC236}">
              <a16:creationId xmlns:a16="http://schemas.microsoft.com/office/drawing/2014/main" id="{44665570-2818-4FF0-87C9-CE60BA45DB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1173" name="x_Picture 1" descr="Description: cid:image001.png@01D03949.49457930">
          <a:extLst>
            <a:ext uri="{FF2B5EF4-FFF2-40B4-BE49-F238E27FC236}">
              <a16:creationId xmlns:a16="http://schemas.microsoft.com/office/drawing/2014/main" id="{AE46BA25-D1A8-4BA0-A4F1-EB82ACDBF0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1174" name="x_Picture 1" descr="Description: cid:image001.png@01D03949.49457930">
          <a:extLst>
            <a:ext uri="{FF2B5EF4-FFF2-40B4-BE49-F238E27FC236}">
              <a16:creationId xmlns:a16="http://schemas.microsoft.com/office/drawing/2014/main" id="{9B394902-6A00-4318-A391-5B6815D07F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1175" name="x_Picture 1" descr="Description: cid:image001.png@01D03949.49457930">
          <a:extLst>
            <a:ext uri="{FF2B5EF4-FFF2-40B4-BE49-F238E27FC236}">
              <a16:creationId xmlns:a16="http://schemas.microsoft.com/office/drawing/2014/main" id="{19B69EF0-90D0-4424-8C3A-CE90365231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1176" name="x_Picture 1" descr="Description: cid:image001.png@01D03949.49457930">
          <a:extLst>
            <a:ext uri="{FF2B5EF4-FFF2-40B4-BE49-F238E27FC236}">
              <a16:creationId xmlns:a16="http://schemas.microsoft.com/office/drawing/2014/main" id="{3EB2DC4D-4D04-4BE6-A1FD-3C38857BB3D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1177" name="x_Picture 1" descr="Description: cid:image001.png@01D03949.49457930">
          <a:extLst>
            <a:ext uri="{FF2B5EF4-FFF2-40B4-BE49-F238E27FC236}">
              <a16:creationId xmlns:a16="http://schemas.microsoft.com/office/drawing/2014/main" id="{062C81C5-FD0D-40CB-8D90-E667F219EC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1178" name="x_Picture 1" descr="Description: cid:image001.png@01D03949.49457930">
          <a:extLst>
            <a:ext uri="{FF2B5EF4-FFF2-40B4-BE49-F238E27FC236}">
              <a16:creationId xmlns:a16="http://schemas.microsoft.com/office/drawing/2014/main" id="{546DDEFA-249E-4828-8E56-4247EE7669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1179" name="x_Picture 1" descr="Description: cid:image001.png@01D03949.49457930">
          <a:extLst>
            <a:ext uri="{FF2B5EF4-FFF2-40B4-BE49-F238E27FC236}">
              <a16:creationId xmlns:a16="http://schemas.microsoft.com/office/drawing/2014/main" id="{AE048632-7E06-44ED-B35E-8233F90FCF5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1180" name="x_Picture 1" descr="Description: cid:image001.png@01D03949.49457930">
          <a:extLst>
            <a:ext uri="{FF2B5EF4-FFF2-40B4-BE49-F238E27FC236}">
              <a16:creationId xmlns:a16="http://schemas.microsoft.com/office/drawing/2014/main" id="{1B747356-2097-45C9-A61E-868E25D969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1181" name="x_Picture 1" descr="Description: cid:image001.png@01D03949.49457930">
          <a:extLst>
            <a:ext uri="{FF2B5EF4-FFF2-40B4-BE49-F238E27FC236}">
              <a16:creationId xmlns:a16="http://schemas.microsoft.com/office/drawing/2014/main" id="{AA333B98-CAD1-4CFB-9155-20A36E969EB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1182" name="x_Picture 1" descr="Description: cid:image001.png@01D03949.49457930">
          <a:extLst>
            <a:ext uri="{FF2B5EF4-FFF2-40B4-BE49-F238E27FC236}">
              <a16:creationId xmlns:a16="http://schemas.microsoft.com/office/drawing/2014/main" id="{526BFE2B-99EA-454B-AE83-E3106AA60C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1183" name="x_Picture 1" descr="Description: cid:image001.png@01D03949.49457930">
          <a:extLst>
            <a:ext uri="{FF2B5EF4-FFF2-40B4-BE49-F238E27FC236}">
              <a16:creationId xmlns:a16="http://schemas.microsoft.com/office/drawing/2014/main" id="{49F7A1A4-AA08-4B51-8082-A013D665B15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84" name="x_Picture 1" descr="Description: cid:image001.png@01D03949.49457930">
          <a:extLst>
            <a:ext uri="{FF2B5EF4-FFF2-40B4-BE49-F238E27FC236}">
              <a16:creationId xmlns:a16="http://schemas.microsoft.com/office/drawing/2014/main" id="{459BF468-3222-4376-843B-4ED8EBBD1C2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1185" name="x_Picture 1" descr="Description: cid:image001.png@01D03949.49457930">
          <a:extLst>
            <a:ext uri="{FF2B5EF4-FFF2-40B4-BE49-F238E27FC236}">
              <a16:creationId xmlns:a16="http://schemas.microsoft.com/office/drawing/2014/main" id="{ED6056F0-236D-4FC0-B19D-5E162B3C7E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86" name="x_Picture 1" descr="Description: cid:image001.png@01D03949.49457930">
          <a:extLst>
            <a:ext uri="{FF2B5EF4-FFF2-40B4-BE49-F238E27FC236}">
              <a16:creationId xmlns:a16="http://schemas.microsoft.com/office/drawing/2014/main" id="{4DA449FB-4291-453E-B495-9649EFA7B4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87" name="x_Picture 1" descr="Description: cid:image001.png@01D03949.49457930">
          <a:extLst>
            <a:ext uri="{FF2B5EF4-FFF2-40B4-BE49-F238E27FC236}">
              <a16:creationId xmlns:a16="http://schemas.microsoft.com/office/drawing/2014/main" id="{83781C20-ACAD-4557-8EED-B1249AE505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88" name="x_Picture 1" descr="Description: cid:image001.png@01D03949.49457930">
          <a:extLst>
            <a:ext uri="{FF2B5EF4-FFF2-40B4-BE49-F238E27FC236}">
              <a16:creationId xmlns:a16="http://schemas.microsoft.com/office/drawing/2014/main" id="{C8C3C792-9824-474E-B99B-AA5D6AE5E6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89" name="x_Picture 1" descr="Description: cid:image001.png@01D03949.49457930">
          <a:extLst>
            <a:ext uri="{FF2B5EF4-FFF2-40B4-BE49-F238E27FC236}">
              <a16:creationId xmlns:a16="http://schemas.microsoft.com/office/drawing/2014/main" id="{25A331B0-AF35-49DF-844B-A480749637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0" name="x_Picture 1" descr="Description: cid:image001.png@01D03949.49457930">
          <a:extLst>
            <a:ext uri="{FF2B5EF4-FFF2-40B4-BE49-F238E27FC236}">
              <a16:creationId xmlns:a16="http://schemas.microsoft.com/office/drawing/2014/main" id="{FD4491C0-B1A2-4AF3-9C73-D9865B2DE46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1" name="x_Picture 1" descr="Description: cid:image001.png@01D03949.49457930">
          <a:extLst>
            <a:ext uri="{FF2B5EF4-FFF2-40B4-BE49-F238E27FC236}">
              <a16:creationId xmlns:a16="http://schemas.microsoft.com/office/drawing/2014/main" id="{4244620C-3FF4-4B47-B463-5E6A5E67CA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2" name="x_Picture 1" descr="Description: cid:image001.png@01D03949.49457930">
          <a:extLst>
            <a:ext uri="{FF2B5EF4-FFF2-40B4-BE49-F238E27FC236}">
              <a16:creationId xmlns:a16="http://schemas.microsoft.com/office/drawing/2014/main" id="{B6D3A7B4-5DB8-48EC-A58F-76579EEA1D1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3" name="x_Picture 1" descr="Description: cid:image001.png@01D03949.49457930">
          <a:extLst>
            <a:ext uri="{FF2B5EF4-FFF2-40B4-BE49-F238E27FC236}">
              <a16:creationId xmlns:a16="http://schemas.microsoft.com/office/drawing/2014/main" id="{292BA529-ADA4-4B16-B721-21C21D6580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4" name="x_Picture 1" descr="Description: cid:image001.png@01D03949.49457930">
          <a:extLst>
            <a:ext uri="{FF2B5EF4-FFF2-40B4-BE49-F238E27FC236}">
              <a16:creationId xmlns:a16="http://schemas.microsoft.com/office/drawing/2014/main" id="{34C1C19C-6A81-4DEE-B28D-C3A9F06ED7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5" name="x_Picture 1" descr="Description: cid:image001.png@01D03949.49457930">
          <a:extLst>
            <a:ext uri="{FF2B5EF4-FFF2-40B4-BE49-F238E27FC236}">
              <a16:creationId xmlns:a16="http://schemas.microsoft.com/office/drawing/2014/main" id="{E2582D39-9AFB-4E91-B70D-7FAFFD219B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6" name="x_Picture 1" descr="Description: cid:image001.png@01D03949.49457930">
          <a:extLst>
            <a:ext uri="{FF2B5EF4-FFF2-40B4-BE49-F238E27FC236}">
              <a16:creationId xmlns:a16="http://schemas.microsoft.com/office/drawing/2014/main" id="{216ED4FD-4D92-4542-AD94-81E3CF514E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7" name="x_Picture 1" descr="Description: cid:image001.png@01D03949.49457930">
          <a:extLst>
            <a:ext uri="{FF2B5EF4-FFF2-40B4-BE49-F238E27FC236}">
              <a16:creationId xmlns:a16="http://schemas.microsoft.com/office/drawing/2014/main" id="{2EE43A41-C8EE-4EA3-92D0-2BE2B4EB4D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8" name="x_Picture 1" descr="Description: cid:image001.png@01D03949.49457930">
          <a:extLst>
            <a:ext uri="{FF2B5EF4-FFF2-40B4-BE49-F238E27FC236}">
              <a16:creationId xmlns:a16="http://schemas.microsoft.com/office/drawing/2014/main" id="{97C4B263-23AD-4F1C-8965-B16A5A1E3F1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199" name="x_Picture 1" descr="Description: cid:image001.png@01D03949.49457930">
          <a:extLst>
            <a:ext uri="{FF2B5EF4-FFF2-40B4-BE49-F238E27FC236}">
              <a16:creationId xmlns:a16="http://schemas.microsoft.com/office/drawing/2014/main" id="{89BFBF36-F295-43B2-83AC-8F86CF355A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0" name="x_Picture 1" descr="Description: cid:image001.png@01D03949.49457930">
          <a:extLst>
            <a:ext uri="{FF2B5EF4-FFF2-40B4-BE49-F238E27FC236}">
              <a16:creationId xmlns:a16="http://schemas.microsoft.com/office/drawing/2014/main" id="{8129817F-0FE7-47BB-914A-7D3476A20D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1" name="x_Picture 1" descr="Description: cid:image001.png@01D03949.49457930">
          <a:extLst>
            <a:ext uri="{FF2B5EF4-FFF2-40B4-BE49-F238E27FC236}">
              <a16:creationId xmlns:a16="http://schemas.microsoft.com/office/drawing/2014/main" id="{D61E03B0-2A4C-4B1D-A909-9086004065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2" name="x_Picture 1" descr="Description: cid:image001.png@01D03949.49457930">
          <a:extLst>
            <a:ext uri="{FF2B5EF4-FFF2-40B4-BE49-F238E27FC236}">
              <a16:creationId xmlns:a16="http://schemas.microsoft.com/office/drawing/2014/main" id="{5F6BB497-FEA2-495A-A682-DA0CD74EB9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3" name="x_Picture 1" descr="Description: cid:image001.png@01D03949.49457930">
          <a:extLst>
            <a:ext uri="{FF2B5EF4-FFF2-40B4-BE49-F238E27FC236}">
              <a16:creationId xmlns:a16="http://schemas.microsoft.com/office/drawing/2014/main" id="{D091F7F2-B0A8-44DD-AF23-95E75B1227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4" name="x_Picture 1" descr="Description: cid:image001.png@01D03949.49457930">
          <a:extLst>
            <a:ext uri="{FF2B5EF4-FFF2-40B4-BE49-F238E27FC236}">
              <a16:creationId xmlns:a16="http://schemas.microsoft.com/office/drawing/2014/main" id="{6F585B32-3144-4A0F-A6DE-C8C66013A4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5" name="x_Picture 1" descr="Description: cid:image001.png@01D03949.49457930">
          <a:extLst>
            <a:ext uri="{FF2B5EF4-FFF2-40B4-BE49-F238E27FC236}">
              <a16:creationId xmlns:a16="http://schemas.microsoft.com/office/drawing/2014/main" id="{71139728-A2ED-41B3-8B56-023CA6CAB9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6" name="x_Picture 1" descr="Description: cid:image001.png@01D03949.49457930">
          <a:extLst>
            <a:ext uri="{FF2B5EF4-FFF2-40B4-BE49-F238E27FC236}">
              <a16:creationId xmlns:a16="http://schemas.microsoft.com/office/drawing/2014/main" id="{8BF93F1B-5CD7-49BA-8AF0-A1A6E75F10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7" name="x_Picture 1" descr="Description: cid:image001.png@01D03949.49457930">
          <a:extLst>
            <a:ext uri="{FF2B5EF4-FFF2-40B4-BE49-F238E27FC236}">
              <a16:creationId xmlns:a16="http://schemas.microsoft.com/office/drawing/2014/main" id="{24C487EC-FC1D-43AA-8F44-39C27FD80E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8" name="x_Picture 1" descr="Description: cid:image001.png@01D03949.49457930">
          <a:extLst>
            <a:ext uri="{FF2B5EF4-FFF2-40B4-BE49-F238E27FC236}">
              <a16:creationId xmlns:a16="http://schemas.microsoft.com/office/drawing/2014/main" id="{82DD0AC8-A50D-435B-A514-FAF153DDBA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09" name="x_Picture 1" descr="Description: cid:image001.png@01D03949.49457930">
          <a:extLst>
            <a:ext uri="{FF2B5EF4-FFF2-40B4-BE49-F238E27FC236}">
              <a16:creationId xmlns:a16="http://schemas.microsoft.com/office/drawing/2014/main" id="{5840313A-AD08-447A-81E4-994178087D1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0" name="x_Picture 1" descr="Description: cid:image001.png@01D03949.49457930">
          <a:extLst>
            <a:ext uri="{FF2B5EF4-FFF2-40B4-BE49-F238E27FC236}">
              <a16:creationId xmlns:a16="http://schemas.microsoft.com/office/drawing/2014/main" id="{26278625-C39E-4279-AB2C-3975101414B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1" name="x_Picture 1" descr="Description: cid:image001.png@01D03949.49457930">
          <a:extLst>
            <a:ext uri="{FF2B5EF4-FFF2-40B4-BE49-F238E27FC236}">
              <a16:creationId xmlns:a16="http://schemas.microsoft.com/office/drawing/2014/main" id="{D3E8120B-C3DA-4E77-8361-E22C971606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2" name="x_Picture 1" descr="Description: cid:image001.png@01D03949.49457930">
          <a:extLst>
            <a:ext uri="{FF2B5EF4-FFF2-40B4-BE49-F238E27FC236}">
              <a16:creationId xmlns:a16="http://schemas.microsoft.com/office/drawing/2014/main" id="{BADFA37F-7383-4C91-97DA-EE2AC406556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3" name="x_Picture 1" descr="Description: cid:image001.png@01D03949.49457930">
          <a:extLst>
            <a:ext uri="{FF2B5EF4-FFF2-40B4-BE49-F238E27FC236}">
              <a16:creationId xmlns:a16="http://schemas.microsoft.com/office/drawing/2014/main" id="{1D0CA596-2AC1-4652-8F11-0124BF4C9F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4" name="x_Picture 1" descr="Description: cid:image001.png@01D03949.49457930">
          <a:extLst>
            <a:ext uri="{FF2B5EF4-FFF2-40B4-BE49-F238E27FC236}">
              <a16:creationId xmlns:a16="http://schemas.microsoft.com/office/drawing/2014/main" id="{514338EC-0B8F-4DC1-A4EB-941F3C99B22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5" name="x_Picture 1" descr="Description: cid:image001.png@01D03949.49457930">
          <a:extLst>
            <a:ext uri="{FF2B5EF4-FFF2-40B4-BE49-F238E27FC236}">
              <a16:creationId xmlns:a16="http://schemas.microsoft.com/office/drawing/2014/main" id="{BEF809D9-0654-4463-951D-3B0FE4F5CC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6" name="x_Picture 1" descr="Description: cid:image001.png@01D03949.49457930">
          <a:extLst>
            <a:ext uri="{FF2B5EF4-FFF2-40B4-BE49-F238E27FC236}">
              <a16:creationId xmlns:a16="http://schemas.microsoft.com/office/drawing/2014/main" id="{E74FED3D-8F32-403E-A9A3-A49E5BD5FF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7" name="x_Picture 1" descr="Description: cid:image001.png@01D03949.49457930">
          <a:extLst>
            <a:ext uri="{FF2B5EF4-FFF2-40B4-BE49-F238E27FC236}">
              <a16:creationId xmlns:a16="http://schemas.microsoft.com/office/drawing/2014/main" id="{4CDCDD1E-461E-418D-B74A-39B4859C922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8" name="x_Picture 1" descr="Description: cid:image001.png@01D03949.49457930">
          <a:extLst>
            <a:ext uri="{FF2B5EF4-FFF2-40B4-BE49-F238E27FC236}">
              <a16:creationId xmlns:a16="http://schemas.microsoft.com/office/drawing/2014/main" id="{0B20FC05-5AD7-4823-9B30-1A24294DC7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19" name="x_Picture 1" descr="Description: cid:image001.png@01D03949.49457930">
          <a:extLst>
            <a:ext uri="{FF2B5EF4-FFF2-40B4-BE49-F238E27FC236}">
              <a16:creationId xmlns:a16="http://schemas.microsoft.com/office/drawing/2014/main" id="{D579CB6F-1F9D-4425-94A7-EC6BD1D6730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0" name="x_Picture 1" descr="Description: cid:image001.png@01D03949.49457930">
          <a:extLst>
            <a:ext uri="{FF2B5EF4-FFF2-40B4-BE49-F238E27FC236}">
              <a16:creationId xmlns:a16="http://schemas.microsoft.com/office/drawing/2014/main" id="{1EE826C9-A064-4A81-903C-383E1FE847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1" name="x_Picture 1" descr="Description: cid:image001.png@01D03949.49457930">
          <a:extLst>
            <a:ext uri="{FF2B5EF4-FFF2-40B4-BE49-F238E27FC236}">
              <a16:creationId xmlns:a16="http://schemas.microsoft.com/office/drawing/2014/main" id="{B97607CA-AC23-4059-B942-EA14BC103A5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2" name="x_Picture 1" descr="Description: cid:image001.png@01D03949.49457930">
          <a:extLst>
            <a:ext uri="{FF2B5EF4-FFF2-40B4-BE49-F238E27FC236}">
              <a16:creationId xmlns:a16="http://schemas.microsoft.com/office/drawing/2014/main" id="{987824D9-8DDF-4160-A0EA-4E9A3B20E92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3" name="x_Picture 1" descr="Description: cid:image001.png@01D03949.49457930">
          <a:extLst>
            <a:ext uri="{FF2B5EF4-FFF2-40B4-BE49-F238E27FC236}">
              <a16:creationId xmlns:a16="http://schemas.microsoft.com/office/drawing/2014/main" id="{7704C865-8B20-4B24-976E-154AAED49A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4" name="x_Picture 1" descr="Description: cid:image001.png@01D03949.49457930">
          <a:extLst>
            <a:ext uri="{FF2B5EF4-FFF2-40B4-BE49-F238E27FC236}">
              <a16:creationId xmlns:a16="http://schemas.microsoft.com/office/drawing/2014/main" id="{5627572F-DE88-4133-B28D-91F3E568E6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5" name="x_Picture 1" descr="Description: cid:image001.png@01D03949.49457930">
          <a:extLst>
            <a:ext uri="{FF2B5EF4-FFF2-40B4-BE49-F238E27FC236}">
              <a16:creationId xmlns:a16="http://schemas.microsoft.com/office/drawing/2014/main" id="{930C7689-6DBC-4BEC-9A95-F0B6DB2A52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6" name="x_Picture 1" descr="Description: cid:image001.png@01D03949.49457930">
          <a:extLst>
            <a:ext uri="{FF2B5EF4-FFF2-40B4-BE49-F238E27FC236}">
              <a16:creationId xmlns:a16="http://schemas.microsoft.com/office/drawing/2014/main" id="{E8FCB31F-253D-4A72-B01D-B4632975F8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7" name="x_Picture 1" descr="Description: cid:image001.png@01D03949.49457930">
          <a:extLst>
            <a:ext uri="{FF2B5EF4-FFF2-40B4-BE49-F238E27FC236}">
              <a16:creationId xmlns:a16="http://schemas.microsoft.com/office/drawing/2014/main" id="{0BCA9426-B0E5-4E1C-B735-B99CC0F8A0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8" name="x_Picture 1" descr="Description: cid:image001.png@01D03949.49457930">
          <a:extLst>
            <a:ext uri="{FF2B5EF4-FFF2-40B4-BE49-F238E27FC236}">
              <a16:creationId xmlns:a16="http://schemas.microsoft.com/office/drawing/2014/main" id="{1C2BF570-A2DF-4F91-9D87-8968C0425F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29" name="x_Picture 1" descr="Description: cid:image001.png@01D03949.49457930">
          <a:extLst>
            <a:ext uri="{FF2B5EF4-FFF2-40B4-BE49-F238E27FC236}">
              <a16:creationId xmlns:a16="http://schemas.microsoft.com/office/drawing/2014/main" id="{E8A72489-63C6-491B-8DE0-E440265C33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0" name="x_Picture 1" descr="Description: cid:image001.png@01D03949.49457930">
          <a:extLst>
            <a:ext uri="{FF2B5EF4-FFF2-40B4-BE49-F238E27FC236}">
              <a16:creationId xmlns:a16="http://schemas.microsoft.com/office/drawing/2014/main" id="{0D5B071B-9538-4DD6-8A9B-F4015F37ED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1" name="x_Picture 1" descr="Description: cid:image001.png@01D03949.49457930">
          <a:extLst>
            <a:ext uri="{FF2B5EF4-FFF2-40B4-BE49-F238E27FC236}">
              <a16:creationId xmlns:a16="http://schemas.microsoft.com/office/drawing/2014/main" id="{03589A35-1805-4005-B3A3-2A3679A8C0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2" name="x_Picture 1" descr="Description: cid:image001.png@01D03949.49457930">
          <a:extLst>
            <a:ext uri="{FF2B5EF4-FFF2-40B4-BE49-F238E27FC236}">
              <a16:creationId xmlns:a16="http://schemas.microsoft.com/office/drawing/2014/main" id="{A41F1514-537F-42C2-9EAB-F69944AF89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3" name="x_Picture 1" descr="Description: cid:image001.png@01D03949.49457930">
          <a:extLst>
            <a:ext uri="{FF2B5EF4-FFF2-40B4-BE49-F238E27FC236}">
              <a16:creationId xmlns:a16="http://schemas.microsoft.com/office/drawing/2014/main" id="{9F8B09C5-B58E-4AB5-A7BF-2CB5D8AD7C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4" name="x_Picture 1" descr="Description: cid:image001.png@01D03949.49457930">
          <a:extLst>
            <a:ext uri="{FF2B5EF4-FFF2-40B4-BE49-F238E27FC236}">
              <a16:creationId xmlns:a16="http://schemas.microsoft.com/office/drawing/2014/main" id="{748D4476-3EED-454E-84AA-2ABCB46360A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5" name="x_Picture 1" descr="Description: cid:image001.png@01D03949.49457930">
          <a:extLst>
            <a:ext uri="{FF2B5EF4-FFF2-40B4-BE49-F238E27FC236}">
              <a16:creationId xmlns:a16="http://schemas.microsoft.com/office/drawing/2014/main" id="{A4BB08DA-92FC-47ED-8015-D693B76310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6" name="x_Picture 1" descr="Description: cid:image001.png@01D03949.49457930">
          <a:extLst>
            <a:ext uri="{FF2B5EF4-FFF2-40B4-BE49-F238E27FC236}">
              <a16:creationId xmlns:a16="http://schemas.microsoft.com/office/drawing/2014/main" id="{DF00CA1F-E729-43F6-80CC-0D2CDCAB5A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7" name="x_Picture 1" descr="Description: cid:image001.png@01D03949.49457930">
          <a:extLst>
            <a:ext uri="{FF2B5EF4-FFF2-40B4-BE49-F238E27FC236}">
              <a16:creationId xmlns:a16="http://schemas.microsoft.com/office/drawing/2014/main" id="{2B837C38-832B-4439-ADBA-B110B20BEC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8" name="x_Picture 1" descr="Description: cid:image001.png@01D03949.49457930">
          <a:extLst>
            <a:ext uri="{FF2B5EF4-FFF2-40B4-BE49-F238E27FC236}">
              <a16:creationId xmlns:a16="http://schemas.microsoft.com/office/drawing/2014/main" id="{8986B8EE-BE28-4866-B626-C69A07F5BD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39" name="x_Picture 1" descr="Description: cid:image001.png@01D03949.49457930">
          <a:extLst>
            <a:ext uri="{FF2B5EF4-FFF2-40B4-BE49-F238E27FC236}">
              <a16:creationId xmlns:a16="http://schemas.microsoft.com/office/drawing/2014/main" id="{00369912-B457-439D-8A16-87DDC046A5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0" name="x_Picture 1" descr="Description: cid:image001.png@01D03949.49457930">
          <a:extLst>
            <a:ext uri="{FF2B5EF4-FFF2-40B4-BE49-F238E27FC236}">
              <a16:creationId xmlns:a16="http://schemas.microsoft.com/office/drawing/2014/main" id="{DB55CF05-7914-4124-9329-8E724A8E36D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1" name="x_Picture 1" descr="Description: cid:image001.png@01D03949.49457930">
          <a:extLst>
            <a:ext uri="{FF2B5EF4-FFF2-40B4-BE49-F238E27FC236}">
              <a16:creationId xmlns:a16="http://schemas.microsoft.com/office/drawing/2014/main" id="{0630C3D7-6AC8-4B80-9049-33060E0A80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2" name="x_Picture 1" descr="Description: cid:image001.png@01D03949.49457930">
          <a:extLst>
            <a:ext uri="{FF2B5EF4-FFF2-40B4-BE49-F238E27FC236}">
              <a16:creationId xmlns:a16="http://schemas.microsoft.com/office/drawing/2014/main" id="{7BF6988B-CF96-44B5-9CAA-701266F12CB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3" name="x_Picture 1" descr="Description: cid:image001.png@01D03949.49457930">
          <a:extLst>
            <a:ext uri="{FF2B5EF4-FFF2-40B4-BE49-F238E27FC236}">
              <a16:creationId xmlns:a16="http://schemas.microsoft.com/office/drawing/2014/main" id="{8F404B36-D06E-4E57-BCA0-46E39CD4634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4" name="x_Picture 1" descr="Description: cid:image001.png@01D03949.49457930">
          <a:extLst>
            <a:ext uri="{FF2B5EF4-FFF2-40B4-BE49-F238E27FC236}">
              <a16:creationId xmlns:a16="http://schemas.microsoft.com/office/drawing/2014/main" id="{97389A4F-1F36-4B20-B133-21F8615555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5" name="x_Picture 1" descr="Description: cid:image001.png@01D03949.49457930">
          <a:extLst>
            <a:ext uri="{FF2B5EF4-FFF2-40B4-BE49-F238E27FC236}">
              <a16:creationId xmlns:a16="http://schemas.microsoft.com/office/drawing/2014/main" id="{AD82F3E7-1979-4F3C-9E85-7F69C437D6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6" name="x_Picture 1" descr="Description: cid:image001.png@01D03949.49457930">
          <a:extLst>
            <a:ext uri="{FF2B5EF4-FFF2-40B4-BE49-F238E27FC236}">
              <a16:creationId xmlns:a16="http://schemas.microsoft.com/office/drawing/2014/main" id="{E15120A0-DA2A-4908-8AD1-B9C236F440B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7" name="x_Picture 1" descr="Description: cid:image001.png@01D03949.49457930">
          <a:extLst>
            <a:ext uri="{FF2B5EF4-FFF2-40B4-BE49-F238E27FC236}">
              <a16:creationId xmlns:a16="http://schemas.microsoft.com/office/drawing/2014/main" id="{5AFD7095-0EEE-440D-9650-D418609EAE4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8" name="x_Picture 1" descr="Description: cid:image001.png@01D03949.49457930">
          <a:extLst>
            <a:ext uri="{FF2B5EF4-FFF2-40B4-BE49-F238E27FC236}">
              <a16:creationId xmlns:a16="http://schemas.microsoft.com/office/drawing/2014/main" id="{2068F4A7-0A56-45BC-B546-A2AA103628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49" name="x_Picture 1" descr="Description: cid:image001.png@01D03949.49457930">
          <a:extLst>
            <a:ext uri="{FF2B5EF4-FFF2-40B4-BE49-F238E27FC236}">
              <a16:creationId xmlns:a16="http://schemas.microsoft.com/office/drawing/2014/main" id="{6D22AC5F-E2F7-415D-83F4-7D173339F1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0" name="x_Picture 1" descr="Description: cid:image001.png@01D03949.49457930">
          <a:extLst>
            <a:ext uri="{FF2B5EF4-FFF2-40B4-BE49-F238E27FC236}">
              <a16:creationId xmlns:a16="http://schemas.microsoft.com/office/drawing/2014/main" id="{CC5AF72C-F432-4A4E-BA65-A021D1956B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1" name="x_Picture 1" descr="Description: cid:image001.png@01D03949.49457930">
          <a:extLst>
            <a:ext uri="{FF2B5EF4-FFF2-40B4-BE49-F238E27FC236}">
              <a16:creationId xmlns:a16="http://schemas.microsoft.com/office/drawing/2014/main" id="{BFF8CA45-5213-4929-97F9-8A41159F32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2" name="x_Picture 1" descr="Description: cid:image001.png@01D03949.49457930">
          <a:extLst>
            <a:ext uri="{FF2B5EF4-FFF2-40B4-BE49-F238E27FC236}">
              <a16:creationId xmlns:a16="http://schemas.microsoft.com/office/drawing/2014/main" id="{E5874436-CC0E-42BF-968C-2E9C8B85F4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3" name="x_Picture 1" descr="Description: cid:image001.png@01D03949.49457930">
          <a:extLst>
            <a:ext uri="{FF2B5EF4-FFF2-40B4-BE49-F238E27FC236}">
              <a16:creationId xmlns:a16="http://schemas.microsoft.com/office/drawing/2014/main" id="{E4DB00A1-1DCB-4E1F-A857-D7BBE9B750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4" name="x_Picture 1" descr="Description: cid:image001.png@01D03949.49457930">
          <a:extLst>
            <a:ext uri="{FF2B5EF4-FFF2-40B4-BE49-F238E27FC236}">
              <a16:creationId xmlns:a16="http://schemas.microsoft.com/office/drawing/2014/main" id="{EDFF6C95-E74A-48D2-BEBA-747F3CDC4E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5" name="x_Picture 1" descr="Description: cid:image001.png@01D03949.49457930">
          <a:extLst>
            <a:ext uri="{FF2B5EF4-FFF2-40B4-BE49-F238E27FC236}">
              <a16:creationId xmlns:a16="http://schemas.microsoft.com/office/drawing/2014/main" id="{6CD83FB1-42DE-44FC-81D0-663F7E0B0D6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6" name="x_Picture 1" descr="Description: cid:image001.png@01D03949.49457930">
          <a:extLst>
            <a:ext uri="{FF2B5EF4-FFF2-40B4-BE49-F238E27FC236}">
              <a16:creationId xmlns:a16="http://schemas.microsoft.com/office/drawing/2014/main" id="{EF9D1CF9-9FF2-49D4-A4E2-17A29BA54F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7" name="x_Picture 1" descr="Description: cid:image001.png@01D03949.49457930">
          <a:extLst>
            <a:ext uri="{FF2B5EF4-FFF2-40B4-BE49-F238E27FC236}">
              <a16:creationId xmlns:a16="http://schemas.microsoft.com/office/drawing/2014/main" id="{59D1CBEC-C14C-456C-BF55-24ED3EE258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8" name="x_Picture 1" descr="Description: cid:image001.png@01D03949.49457930">
          <a:extLst>
            <a:ext uri="{FF2B5EF4-FFF2-40B4-BE49-F238E27FC236}">
              <a16:creationId xmlns:a16="http://schemas.microsoft.com/office/drawing/2014/main" id="{64998F10-DE7B-4B58-BC28-7BBCF392631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59" name="x_Picture 1" descr="Description: cid:image001.png@01D03949.49457930">
          <a:extLst>
            <a:ext uri="{FF2B5EF4-FFF2-40B4-BE49-F238E27FC236}">
              <a16:creationId xmlns:a16="http://schemas.microsoft.com/office/drawing/2014/main" id="{3A7EF314-24C7-46A6-9BC7-F284D65F57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0" name="x_Picture 1" descr="Description: cid:image001.png@01D03949.49457930">
          <a:extLst>
            <a:ext uri="{FF2B5EF4-FFF2-40B4-BE49-F238E27FC236}">
              <a16:creationId xmlns:a16="http://schemas.microsoft.com/office/drawing/2014/main" id="{7E046028-E4A8-4A70-8F45-2627232931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1" name="x_Picture 1" descr="Description: cid:image001.png@01D03949.49457930">
          <a:extLst>
            <a:ext uri="{FF2B5EF4-FFF2-40B4-BE49-F238E27FC236}">
              <a16:creationId xmlns:a16="http://schemas.microsoft.com/office/drawing/2014/main" id="{C84E1061-0436-4110-83E8-028BE83D08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2" name="x_Picture 1" descr="Description: cid:image001.png@01D03949.49457930">
          <a:extLst>
            <a:ext uri="{FF2B5EF4-FFF2-40B4-BE49-F238E27FC236}">
              <a16:creationId xmlns:a16="http://schemas.microsoft.com/office/drawing/2014/main" id="{F909A74C-5152-4992-8C87-EE35AAA80D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3" name="x_Picture 1" descr="Description: cid:image001.png@01D03949.49457930">
          <a:extLst>
            <a:ext uri="{FF2B5EF4-FFF2-40B4-BE49-F238E27FC236}">
              <a16:creationId xmlns:a16="http://schemas.microsoft.com/office/drawing/2014/main" id="{37FE30FE-8024-4C55-9B28-E662225411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4" name="x_Picture 1" descr="Description: cid:image001.png@01D03949.49457930">
          <a:extLst>
            <a:ext uri="{FF2B5EF4-FFF2-40B4-BE49-F238E27FC236}">
              <a16:creationId xmlns:a16="http://schemas.microsoft.com/office/drawing/2014/main" id="{831CBCEB-8F1C-4B06-8AED-E010AA445C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5" name="x_Picture 1" descr="Description: cid:image001.png@01D03949.49457930">
          <a:extLst>
            <a:ext uri="{FF2B5EF4-FFF2-40B4-BE49-F238E27FC236}">
              <a16:creationId xmlns:a16="http://schemas.microsoft.com/office/drawing/2014/main" id="{D413EBF6-D15C-40B0-BA6A-CEDC000835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6" name="x_Picture 1" descr="Description: cid:image001.png@01D03949.49457930">
          <a:extLst>
            <a:ext uri="{FF2B5EF4-FFF2-40B4-BE49-F238E27FC236}">
              <a16:creationId xmlns:a16="http://schemas.microsoft.com/office/drawing/2014/main" id="{6A4D55EE-F3FD-4D74-9249-E36599F0A3B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7" name="x_Picture 1" descr="Description: cid:image001.png@01D03949.49457930">
          <a:extLst>
            <a:ext uri="{FF2B5EF4-FFF2-40B4-BE49-F238E27FC236}">
              <a16:creationId xmlns:a16="http://schemas.microsoft.com/office/drawing/2014/main" id="{FBBED365-E883-4C62-8485-C22951D96C7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8" name="x_Picture 1" descr="Description: cid:image001.png@01D03949.49457930">
          <a:extLst>
            <a:ext uri="{FF2B5EF4-FFF2-40B4-BE49-F238E27FC236}">
              <a16:creationId xmlns:a16="http://schemas.microsoft.com/office/drawing/2014/main" id="{009C462A-A197-433D-83A0-2470644667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69" name="x_Picture 1" descr="Description: cid:image001.png@01D03949.49457930">
          <a:extLst>
            <a:ext uri="{FF2B5EF4-FFF2-40B4-BE49-F238E27FC236}">
              <a16:creationId xmlns:a16="http://schemas.microsoft.com/office/drawing/2014/main" id="{A0213991-194A-4B4B-BA4E-B202DF8B61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0" name="x_Picture 1" descr="Description: cid:image001.png@01D03949.49457930">
          <a:extLst>
            <a:ext uri="{FF2B5EF4-FFF2-40B4-BE49-F238E27FC236}">
              <a16:creationId xmlns:a16="http://schemas.microsoft.com/office/drawing/2014/main" id="{A08A0349-A9AE-4948-B80B-D5D771C84D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1" name="x_Picture 1" descr="Description: cid:image001.png@01D03949.49457930">
          <a:extLst>
            <a:ext uri="{FF2B5EF4-FFF2-40B4-BE49-F238E27FC236}">
              <a16:creationId xmlns:a16="http://schemas.microsoft.com/office/drawing/2014/main" id="{DA3FC87A-7FA8-4824-BDA7-FE9C442B7F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2" name="x_Picture 1" descr="Description: cid:image001.png@01D03949.49457930">
          <a:extLst>
            <a:ext uri="{FF2B5EF4-FFF2-40B4-BE49-F238E27FC236}">
              <a16:creationId xmlns:a16="http://schemas.microsoft.com/office/drawing/2014/main" id="{9CA9587E-E5FF-40AE-9B5E-FE9F508EB6A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3" name="x_Picture 1" descr="Description: cid:image001.png@01D03949.49457930">
          <a:extLst>
            <a:ext uri="{FF2B5EF4-FFF2-40B4-BE49-F238E27FC236}">
              <a16:creationId xmlns:a16="http://schemas.microsoft.com/office/drawing/2014/main" id="{81F50020-4148-4FFA-978E-BEF0FBEA83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4" name="x_Picture 1" descr="Description: cid:image001.png@01D03949.49457930">
          <a:extLst>
            <a:ext uri="{FF2B5EF4-FFF2-40B4-BE49-F238E27FC236}">
              <a16:creationId xmlns:a16="http://schemas.microsoft.com/office/drawing/2014/main" id="{E086386B-491A-413D-B2B6-725C6436B6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5" name="x_Picture 1" descr="Description: cid:image001.png@01D03949.49457930">
          <a:extLst>
            <a:ext uri="{FF2B5EF4-FFF2-40B4-BE49-F238E27FC236}">
              <a16:creationId xmlns:a16="http://schemas.microsoft.com/office/drawing/2014/main" id="{C61A118D-DD59-41E0-870B-0FF4532C4F0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6" name="x_Picture 1" descr="Description: cid:image001.png@01D03949.49457930">
          <a:extLst>
            <a:ext uri="{FF2B5EF4-FFF2-40B4-BE49-F238E27FC236}">
              <a16:creationId xmlns:a16="http://schemas.microsoft.com/office/drawing/2014/main" id="{74DB13C9-9010-4C34-89CC-B82E4409E1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7" name="x_Picture 1" descr="Description: cid:image001.png@01D03949.49457930">
          <a:extLst>
            <a:ext uri="{FF2B5EF4-FFF2-40B4-BE49-F238E27FC236}">
              <a16:creationId xmlns:a16="http://schemas.microsoft.com/office/drawing/2014/main" id="{7D4D0F98-3B57-47ED-8F3F-C01D72BAC8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8" name="x_Picture 1" descr="Description: cid:image001.png@01D03949.49457930">
          <a:extLst>
            <a:ext uri="{FF2B5EF4-FFF2-40B4-BE49-F238E27FC236}">
              <a16:creationId xmlns:a16="http://schemas.microsoft.com/office/drawing/2014/main" id="{0C398B59-D00B-459E-87FD-423E700BAC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79" name="x_Picture 1" descr="Description: cid:image001.png@01D03949.49457930">
          <a:extLst>
            <a:ext uri="{FF2B5EF4-FFF2-40B4-BE49-F238E27FC236}">
              <a16:creationId xmlns:a16="http://schemas.microsoft.com/office/drawing/2014/main" id="{1CE7EFBA-4425-4DB5-BFE5-9BBFA69CEC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0" name="x_Picture 1" descr="Description: cid:image001.png@01D03949.49457930">
          <a:extLst>
            <a:ext uri="{FF2B5EF4-FFF2-40B4-BE49-F238E27FC236}">
              <a16:creationId xmlns:a16="http://schemas.microsoft.com/office/drawing/2014/main" id="{B8254F07-8F61-4523-AA00-DD47377780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1" name="x_Picture 1" descr="Description: cid:image001.png@01D03949.49457930">
          <a:extLst>
            <a:ext uri="{FF2B5EF4-FFF2-40B4-BE49-F238E27FC236}">
              <a16:creationId xmlns:a16="http://schemas.microsoft.com/office/drawing/2014/main" id="{F1EF1764-1A29-4362-AF03-15C1D9BB0B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2" name="x_Picture 1" descr="Description: cid:image001.png@01D03949.49457930">
          <a:extLst>
            <a:ext uri="{FF2B5EF4-FFF2-40B4-BE49-F238E27FC236}">
              <a16:creationId xmlns:a16="http://schemas.microsoft.com/office/drawing/2014/main" id="{64E75F4D-7527-4EA6-864B-800851DA57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3" name="x_Picture 1" descr="Description: cid:image001.png@01D03949.49457930">
          <a:extLst>
            <a:ext uri="{FF2B5EF4-FFF2-40B4-BE49-F238E27FC236}">
              <a16:creationId xmlns:a16="http://schemas.microsoft.com/office/drawing/2014/main" id="{0BF5A4E6-0B43-41E5-83FF-1C2966B546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4" name="x_Picture 1" descr="Description: cid:image001.png@01D03949.49457930">
          <a:extLst>
            <a:ext uri="{FF2B5EF4-FFF2-40B4-BE49-F238E27FC236}">
              <a16:creationId xmlns:a16="http://schemas.microsoft.com/office/drawing/2014/main" id="{5D03B6F7-FC00-413D-A63C-3B54082D9A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5" name="x_Picture 1" descr="Description: cid:image001.png@01D03949.49457930">
          <a:extLst>
            <a:ext uri="{FF2B5EF4-FFF2-40B4-BE49-F238E27FC236}">
              <a16:creationId xmlns:a16="http://schemas.microsoft.com/office/drawing/2014/main" id="{0EDB01A0-1F33-4756-8E5B-06CBB2F761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6" name="x_Picture 1" descr="Description: cid:image001.png@01D03949.49457930">
          <a:extLst>
            <a:ext uri="{FF2B5EF4-FFF2-40B4-BE49-F238E27FC236}">
              <a16:creationId xmlns:a16="http://schemas.microsoft.com/office/drawing/2014/main" id="{08D61901-CA21-498F-9F0B-C226AC1FD27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7" name="x_Picture 1" descr="Description: cid:image001.png@01D03949.49457930">
          <a:extLst>
            <a:ext uri="{FF2B5EF4-FFF2-40B4-BE49-F238E27FC236}">
              <a16:creationId xmlns:a16="http://schemas.microsoft.com/office/drawing/2014/main" id="{EF1185CB-1486-46AE-BE1B-DE391E5CF3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8" name="x_Picture 1" descr="Description: cid:image001.png@01D03949.49457930">
          <a:extLst>
            <a:ext uri="{FF2B5EF4-FFF2-40B4-BE49-F238E27FC236}">
              <a16:creationId xmlns:a16="http://schemas.microsoft.com/office/drawing/2014/main" id="{EA49AA90-0094-4150-8FDC-66ED9C6698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89" name="x_Picture 1" descr="Description: cid:image001.png@01D03949.49457930">
          <a:extLst>
            <a:ext uri="{FF2B5EF4-FFF2-40B4-BE49-F238E27FC236}">
              <a16:creationId xmlns:a16="http://schemas.microsoft.com/office/drawing/2014/main" id="{F71CA720-8A15-48EF-84A3-82C3EC65A7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0" name="x_Picture 1" descr="Description: cid:image001.png@01D03949.49457930">
          <a:extLst>
            <a:ext uri="{FF2B5EF4-FFF2-40B4-BE49-F238E27FC236}">
              <a16:creationId xmlns:a16="http://schemas.microsoft.com/office/drawing/2014/main" id="{FC268440-5658-48A7-8BCB-C078ADC720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1" name="x_Picture 1" descr="Description: cid:image001.png@01D03949.49457930">
          <a:extLst>
            <a:ext uri="{FF2B5EF4-FFF2-40B4-BE49-F238E27FC236}">
              <a16:creationId xmlns:a16="http://schemas.microsoft.com/office/drawing/2014/main" id="{124D42A2-72AC-452D-A695-388427D171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2" name="x_Picture 1" descr="Description: cid:image001.png@01D03949.49457930">
          <a:extLst>
            <a:ext uri="{FF2B5EF4-FFF2-40B4-BE49-F238E27FC236}">
              <a16:creationId xmlns:a16="http://schemas.microsoft.com/office/drawing/2014/main" id="{2F6EC7AC-5186-436E-93A9-91138EAFA32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3" name="x_Picture 1" descr="Description: cid:image001.png@01D03949.49457930">
          <a:extLst>
            <a:ext uri="{FF2B5EF4-FFF2-40B4-BE49-F238E27FC236}">
              <a16:creationId xmlns:a16="http://schemas.microsoft.com/office/drawing/2014/main" id="{60906C4C-5374-415F-804E-F0B3051CF7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4" name="x_Picture 1" descr="Description: cid:image001.png@01D03949.49457930">
          <a:extLst>
            <a:ext uri="{FF2B5EF4-FFF2-40B4-BE49-F238E27FC236}">
              <a16:creationId xmlns:a16="http://schemas.microsoft.com/office/drawing/2014/main" id="{2AA91B09-7C36-4F94-BD33-1FED8803157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5" name="x_Picture 1" descr="Description: cid:image001.png@01D03949.49457930">
          <a:extLst>
            <a:ext uri="{FF2B5EF4-FFF2-40B4-BE49-F238E27FC236}">
              <a16:creationId xmlns:a16="http://schemas.microsoft.com/office/drawing/2014/main" id="{19EDBA01-DA8F-459E-8D60-32C65FF55A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6" name="x_Picture 1" descr="Description: cid:image001.png@01D03949.49457930">
          <a:extLst>
            <a:ext uri="{FF2B5EF4-FFF2-40B4-BE49-F238E27FC236}">
              <a16:creationId xmlns:a16="http://schemas.microsoft.com/office/drawing/2014/main" id="{E2DE2D5C-404E-4162-8327-BA60D57D1C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7" name="x_Picture 1" descr="Description: cid:image001.png@01D03949.49457930">
          <a:extLst>
            <a:ext uri="{FF2B5EF4-FFF2-40B4-BE49-F238E27FC236}">
              <a16:creationId xmlns:a16="http://schemas.microsoft.com/office/drawing/2014/main" id="{A70890F5-1F01-4952-992B-451819B91D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8" name="x_Picture 1" descr="Description: cid:image001.png@01D03949.49457930">
          <a:extLst>
            <a:ext uri="{FF2B5EF4-FFF2-40B4-BE49-F238E27FC236}">
              <a16:creationId xmlns:a16="http://schemas.microsoft.com/office/drawing/2014/main" id="{2F7F6AEF-A0B1-432A-A715-12EA05B37B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299" name="x_Picture 1" descr="Description: cid:image001.png@01D03949.49457930">
          <a:extLst>
            <a:ext uri="{FF2B5EF4-FFF2-40B4-BE49-F238E27FC236}">
              <a16:creationId xmlns:a16="http://schemas.microsoft.com/office/drawing/2014/main" id="{3FB26BE9-6322-4618-BC38-9EBA9BF665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0" name="x_Picture 1" descr="Description: cid:image001.png@01D03949.49457930">
          <a:extLst>
            <a:ext uri="{FF2B5EF4-FFF2-40B4-BE49-F238E27FC236}">
              <a16:creationId xmlns:a16="http://schemas.microsoft.com/office/drawing/2014/main" id="{4B3859BB-22D9-48C4-AC1B-EE446B4CF09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1" name="x_Picture 1" descr="Description: cid:image001.png@01D03949.49457930">
          <a:extLst>
            <a:ext uri="{FF2B5EF4-FFF2-40B4-BE49-F238E27FC236}">
              <a16:creationId xmlns:a16="http://schemas.microsoft.com/office/drawing/2014/main" id="{C293ED2D-00C2-4BAD-8F5A-9060D23C76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2" name="x_Picture 1" descr="Description: cid:image001.png@01D03949.49457930">
          <a:extLst>
            <a:ext uri="{FF2B5EF4-FFF2-40B4-BE49-F238E27FC236}">
              <a16:creationId xmlns:a16="http://schemas.microsoft.com/office/drawing/2014/main" id="{54285AD6-9E63-4BDF-9949-2A11FA3F08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3" name="x_Picture 1" descr="Description: cid:image001.png@01D03949.49457930">
          <a:extLst>
            <a:ext uri="{FF2B5EF4-FFF2-40B4-BE49-F238E27FC236}">
              <a16:creationId xmlns:a16="http://schemas.microsoft.com/office/drawing/2014/main" id="{7513A6C7-DA27-4306-A5D5-D133996B81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4" name="x_Picture 1" descr="Description: cid:image001.png@01D03949.49457930">
          <a:extLst>
            <a:ext uri="{FF2B5EF4-FFF2-40B4-BE49-F238E27FC236}">
              <a16:creationId xmlns:a16="http://schemas.microsoft.com/office/drawing/2014/main" id="{A7FE2EDF-5A09-4D7F-8F4B-0059AE326A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5" name="x_Picture 1" descr="Description: cid:image001.png@01D03949.49457930">
          <a:extLst>
            <a:ext uri="{FF2B5EF4-FFF2-40B4-BE49-F238E27FC236}">
              <a16:creationId xmlns:a16="http://schemas.microsoft.com/office/drawing/2014/main" id="{A20ADE50-1367-4ED8-92CB-A8D5E61DD4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6" name="x_Picture 1" descr="Description: cid:image001.png@01D03949.49457930">
          <a:extLst>
            <a:ext uri="{FF2B5EF4-FFF2-40B4-BE49-F238E27FC236}">
              <a16:creationId xmlns:a16="http://schemas.microsoft.com/office/drawing/2014/main" id="{549CD92E-2494-4B03-BCA6-138148890B2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7" name="x_Picture 1" descr="Description: cid:image001.png@01D03949.49457930">
          <a:extLst>
            <a:ext uri="{FF2B5EF4-FFF2-40B4-BE49-F238E27FC236}">
              <a16:creationId xmlns:a16="http://schemas.microsoft.com/office/drawing/2014/main" id="{8E4E426A-4E87-4B83-913B-6B2AC028B6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8" name="x_Picture 1" descr="Description: cid:image001.png@01D03949.49457930">
          <a:extLst>
            <a:ext uri="{FF2B5EF4-FFF2-40B4-BE49-F238E27FC236}">
              <a16:creationId xmlns:a16="http://schemas.microsoft.com/office/drawing/2014/main" id="{3DFA969F-E038-4ED2-B29E-46376F23773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09" name="x_Picture 1" descr="Description: cid:image001.png@01D03949.49457930">
          <a:extLst>
            <a:ext uri="{FF2B5EF4-FFF2-40B4-BE49-F238E27FC236}">
              <a16:creationId xmlns:a16="http://schemas.microsoft.com/office/drawing/2014/main" id="{8F9D7F59-63A3-4903-B413-7BF0A3F1E8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0" name="x_Picture 1" descr="Description: cid:image001.png@01D03949.49457930">
          <a:extLst>
            <a:ext uri="{FF2B5EF4-FFF2-40B4-BE49-F238E27FC236}">
              <a16:creationId xmlns:a16="http://schemas.microsoft.com/office/drawing/2014/main" id="{FB3AB919-EE19-41B5-AC22-1D5DDFFA81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1" name="x_Picture 1" descr="Description: cid:image001.png@01D03949.49457930">
          <a:extLst>
            <a:ext uri="{FF2B5EF4-FFF2-40B4-BE49-F238E27FC236}">
              <a16:creationId xmlns:a16="http://schemas.microsoft.com/office/drawing/2014/main" id="{B2555422-026A-41F1-A4BA-6A8CA59542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2" name="x_Picture 1" descr="Description: cid:image001.png@01D03949.49457930">
          <a:extLst>
            <a:ext uri="{FF2B5EF4-FFF2-40B4-BE49-F238E27FC236}">
              <a16:creationId xmlns:a16="http://schemas.microsoft.com/office/drawing/2014/main" id="{E8888045-1B38-432D-A8E4-06A39E010B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3" name="x_Picture 1" descr="Description: cid:image001.png@01D03949.49457930">
          <a:extLst>
            <a:ext uri="{FF2B5EF4-FFF2-40B4-BE49-F238E27FC236}">
              <a16:creationId xmlns:a16="http://schemas.microsoft.com/office/drawing/2014/main" id="{DD73F13F-036B-4CEB-AAE0-41D1A2BE5A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4" name="x_Picture 1" descr="Description: cid:image001.png@01D03949.49457930">
          <a:extLst>
            <a:ext uri="{FF2B5EF4-FFF2-40B4-BE49-F238E27FC236}">
              <a16:creationId xmlns:a16="http://schemas.microsoft.com/office/drawing/2014/main" id="{BDBABBE1-2D58-43BF-A6B2-AF017FC217B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5" name="x_Picture 1" descr="Description: cid:image001.png@01D03949.49457930">
          <a:extLst>
            <a:ext uri="{FF2B5EF4-FFF2-40B4-BE49-F238E27FC236}">
              <a16:creationId xmlns:a16="http://schemas.microsoft.com/office/drawing/2014/main" id="{217B6047-27B9-4657-A4C9-0CF449CF20B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6" name="x_Picture 1" descr="Description: cid:image001.png@01D03949.49457930">
          <a:extLst>
            <a:ext uri="{FF2B5EF4-FFF2-40B4-BE49-F238E27FC236}">
              <a16:creationId xmlns:a16="http://schemas.microsoft.com/office/drawing/2014/main" id="{F896B390-2162-4D95-A92D-7291DDB8AE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7" name="x_Picture 1" descr="Description: cid:image001.png@01D03949.49457930">
          <a:extLst>
            <a:ext uri="{FF2B5EF4-FFF2-40B4-BE49-F238E27FC236}">
              <a16:creationId xmlns:a16="http://schemas.microsoft.com/office/drawing/2014/main" id="{EA7B7DD1-CC9F-4C93-93A9-8FB80980CC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8" name="x_Picture 1" descr="Description: cid:image001.png@01D03949.49457930">
          <a:extLst>
            <a:ext uri="{FF2B5EF4-FFF2-40B4-BE49-F238E27FC236}">
              <a16:creationId xmlns:a16="http://schemas.microsoft.com/office/drawing/2014/main" id="{9F7E63A8-20F5-4E01-BCB1-DC86BAD7B3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19" name="x_Picture 1" descr="Description: cid:image001.png@01D03949.49457930">
          <a:extLst>
            <a:ext uri="{FF2B5EF4-FFF2-40B4-BE49-F238E27FC236}">
              <a16:creationId xmlns:a16="http://schemas.microsoft.com/office/drawing/2014/main" id="{BB873D0A-ED67-4C7D-A627-56E17C04CA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0" name="x_Picture 1" descr="Description: cid:image001.png@01D03949.49457930">
          <a:extLst>
            <a:ext uri="{FF2B5EF4-FFF2-40B4-BE49-F238E27FC236}">
              <a16:creationId xmlns:a16="http://schemas.microsoft.com/office/drawing/2014/main" id="{D54C798B-EA73-4581-97CE-8ABE2F7B9F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1" name="x_Picture 1" descr="Description: cid:image001.png@01D03949.49457930">
          <a:extLst>
            <a:ext uri="{FF2B5EF4-FFF2-40B4-BE49-F238E27FC236}">
              <a16:creationId xmlns:a16="http://schemas.microsoft.com/office/drawing/2014/main" id="{C038C82B-D84C-4EBA-8A2C-D9674111C2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2" name="x_Picture 1" descr="Description: cid:image001.png@01D03949.49457930">
          <a:extLst>
            <a:ext uri="{FF2B5EF4-FFF2-40B4-BE49-F238E27FC236}">
              <a16:creationId xmlns:a16="http://schemas.microsoft.com/office/drawing/2014/main" id="{6E2A21F2-CE54-453F-88C4-E5E4FCDBE6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3" name="x_Picture 1" descr="Description: cid:image001.png@01D03949.49457930">
          <a:extLst>
            <a:ext uri="{FF2B5EF4-FFF2-40B4-BE49-F238E27FC236}">
              <a16:creationId xmlns:a16="http://schemas.microsoft.com/office/drawing/2014/main" id="{C78700CA-24FD-409B-A9E2-E81609C44C3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4" name="x_Picture 1" descr="Description: cid:image001.png@01D03949.49457930">
          <a:extLst>
            <a:ext uri="{FF2B5EF4-FFF2-40B4-BE49-F238E27FC236}">
              <a16:creationId xmlns:a16="http://schemas.microsoft.com/office/drawing/2014/main" id="{30AB1890-3157-4515-AD81-9E541FB240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5" name="x_Picture 1" descr="Description: cid:image001.png@01D03949.49457930">
          <a:extLst>
            <a:ext uri="{FF2B5EF4-FFF2-40B4-BE49-F238E27FC236}">
              <a16:creationId xmlns:a16="http://schemas.microsoft.com/office/drawing/2014/main" id="{6E431201-3944-443C-A8BE-A2443FEE50E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6" name="x_Picture 1" descr="Description: cid:image001.png@01D03949.49457930">
          <a:extLst>
            <a:ext uri="{FF2B5EF4-FFF2-40B4-BE49-F238E27FC236}">
              <a16:creationId xmlns:a16="http://schemas.microsoft.com/office/drawing/2014/main" id="{FFA170D9-C7EC-45B9-9832-760C37308F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7" name="x_Picture 1" descr="Description: cid:image001.png@01D03949.49457930">
          <a:extLst>
            <a:ext uri="{FF2B5EF4-FFF2-40B4-BE49-F238E27FC236}">
              <a16:creationId xmlns:a16="http://schemas.microsoft.com/office/drawing/2014/main" id="{D20C38A4-7C81-4EE5-8369-5F9B08F7E0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8" name="x_Picture 1" descr="Description: cid:image001.png@01D03949.49457930">
          <a:extLst>
            <a:ext uri="{FF2B5EF4-FFF2-40B4-BE49-F238E27FC236}">
              <a16:creationId xmlns:a16="http://schemas.microsoft.com/office/drawing/2014/main" id="{B52979B1-CFB6-41B6-B4F9-1021DD0CE01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29" name="x_Picture 1" descr="Description: cid:image001.png@01D03949.49457930">
          <a:extLst>
            <a:ext uri="{FF2B5EF4-FFF2-40B4-BE49-F238E27FC236}">
              <a16:creationId xmlns:a16="http://schemas.microsoft.com/office/drawing/2014/main" id="{976E463B-7D7A-4AEA-8CD1-581DDF9B73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0" name="x_Picture 1" descr="Description: cid:image001.png@01D03949.49457930">
          <a:extLst>
            <a:ext uri="{FF2B5EF4-FFF2-40B4-BE49-F238E27FC236}">
              <a16:creationId xmlns:a16="http://schemas.microsoft.com/office/drawing/2014/main" id="{247DF827-4029-4627-9246-B6D45673BC7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1" name="x_Picture 1" descr="Description: cid:image001.png@01D03949.49457930">
          <a:extLst>
            <a:ext uri="{FF2B5EF4-FFF2-40B4-BE49-F238E27FC236}">
              <a16:creationId xmlns:a16="http://schemas.microsoft.com/office/drawing/2014/main" id="{0779A81D-DCDB-4C36-815F-CFA0EC9B5D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2" name="x_Picture 1" descr="Description: cid:image001.png@01D03949.49457930">
          <a:extLst>
            <a:ext uri="{FF2B5EF4-FFF2-40B4-BE49-F238E27FC236}">
              <a16:creationId xmlns:a16="http://schemas.microsoft.com/office/drawing/2014/main" id="{88F45397-CB53-4B68-81AC-2DBC67A835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3" name="x_Picture 1" descr="Description: cid:image001.png@01D03949.49457930">
          <a:extLst>
            <a:ext uri="{FF2B5EF4-FFF2-40B4-BE49-F238E27FC236}">
              <a16:creationId xmlns:a16="http://schemas.microsoft.com/office/drawing/2014/main" id="{CAD442AE-CB26-478A-9582-76C3B5C39C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4" name="x_Picture 1" descr="Description: cid:image001.png@01D03949.49457930">
          <a:extLst>
            <a:ext uri="{FF2B5EF4-FFF2-40B4-BE49-F238E27FC236}">
              <a16:creationId xmlns:a16="http://schemas.microsoft.com/office/drawing/2014/main" id="{18C8F2E1-6419-4DFA-9297-FD2390FF9DA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5" name="x_Picture 1" descr="Description: cid:image001.png@01D03949.49457930">
          <a:extLst>
            <a:ext uri="{FF2B5EF4-FFF2-40B4-BE49-F238E27FC236}">
              <a16:creationId xmlns:a16="http://schemas.microsoft.com/office/drawing/2014/main" id="{D4F4E8C7-A0E1-43DD-821C-CCE16B56E5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6" name="x_Picture 1" descr="Description: cid:image001.png@01D03949.49457930">
          <a:extLst>
            <a:ext uri="{FF2B5EF4-FFF2-40B4-BE49-F238E27FC236}">
              <a16:creationId xmlns:a16="http://schemas.microsoft.com/office/drawing/2014/main" id="{0D2EEA78-2689-4ED6-A330-DAB72197EC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7" name="x_Picture 1" descr="Description: cid:image001.png@01D03949.49457930">
          <a:extLst>
            <a:ext uri="{FF2B5EF4-FFF2-40B4-BE49-F238E27FC236}">
              <a16:creationId xmlns:a16="http://schemas.microsoft.com/office/drawing/2014/main" id="{7D319084-42D1-443A-92EF-2D1D09C4D0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8" name="x_Picture 1" descr="Description: cid:image001.png@01D03949.49457930">
          <a:extLst>
            <a:ext uri="{FF2B5EF4-FFF2-40B4-BE49-F238E27FC236}">
              <a16:creationId xmlns:a16="http://schemas.microsoft.com/office/drawing/2014/main" id="{6BC29C81-DC2E-4AA4-B507-E9B055BCEA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39" name="x_Picture 1" descr="Description: cid:image001.png@01D03949.49457930">
          <a:extLst>
            <a:ext uri="{FF2B5EF4-FFF2-40B4-BE49-F238E27FC236}">
              <a16:creationId xmlns:a16="http://schemas.microsoft.com/office/drawing/2014/main" id="{7379D1D9-1001-4FA0-A608-71F33D7349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0" name="x_Picture 1" descr="Description: cid:image001.png@01D03949.49457930">
          <a:extLst>
            <a:ext uri="{FF2B5EF4-FFF2-40B4-BE49-F238E27FC236}">
              <a16:creationId xmlns:a16="http://schemas.microsoft.com/office/drawing/2014/main" id="{C348950C-AAD8-4C1E-BAD4-AEA5BFC956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1" name="x_Picture 1" descr="Description: cid:image001.png@01D03949.49457930">
          <a:extLst>
            <a:ext uri="{FF2B5EF4-FFF2-40B4-BE49-F238E27FC236}">
              <a16:creationId xmlns:a16="http://schemas.microsoft.com/office/drawing/2014/main" id="{96A4367E-1E8D-4665-8E3D-09715E54E2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2" name="x_Picture 1" descr="Description: cid:image001.png@01D03949.49457930">
          <a:extLst>
            <a:ext uri="{FF2B5EF4-FFF2-40B4-BE49-F238E27FC236}">
              <a16:creationId xmlns:a16="http://schemas.microsoft.com/office/drawing/2014/main" id="{C9275118-A012-4ACD-A908-17F684880B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3" name="x_Picture 1" descr="Description: cid:image001.png@01D03949.49457930">
          <a:extLst>
            <a:ext uri="{FF2B5EF4-FFF2-40B4-BE49-F238E27FC236}">
              <a16:creationId xmlns:a16="http://schemas.microsoft.com/office/drawing/2014/main" id="{07F71B12-12B8-46DE-983E-2D3DC769D7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4" name="x_Picture 1" descr="Description: cid:image001.png@01D03949.49457930">
          <a:extLst>
            <a:ext uri="{FF2B5EF4-FFF2-40B4-BE49-F238E27FC236}">
              <a16:creationId xmlns:a16="http://schemas.microsoft.com/office/drawing/2014/main" id="{2417027F-3CC4-4072-A5E2-1330256E6F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5" name="x_Picture 1" descr="Description: cid:image001.png@01D03949.49457930">
          <a:extLst>
            <a:ext uri="{FF2B5EF4-FFF2-40B4-BE49-F238E27FC236}">
              <a16:creationId xmlns:a16="http://schemas.microsoft.com/office/drawing/2014/main" id="{6ADBB4C2-DD7F-460F-9456-BA4FC2F519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6" name="x_Picture 1" descr="Description: cid:image001.png@01D03949.49457930">
          <a:extLst>
            <a:ext uri="{FF2B5EF4-FFF2-40B4-BE49-F238E27FC236}">
              <a16:creationId xmlns:a16="http://schemas.microsoft.com/office/drawing/2014/main" id="{BDF839E0-61D3-4F65-A0D4-406E8783B3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7" name="x_Picture 1" descr="Description: cid:image001.png@01D03949.49457930">
          <a:extLst>
            <a:ext uri="{FF2B5EF4-FFF2-40B4-BE49-F238E27FC236}">
              <a16:creationId xmlns:a16="http://schemas.microsoft.com/office/drawing/2014/main" id="{9825DB84-AC3F-42CA-BA74-63ABE0EA8B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8" name="x_Picture 1" descr="Description: cid:image001.png@01D03949.49457930">
          <a:extLst>
            <a:ext uri="{FF2B5EF4-FFF2-40B4-BE49-F238E27FC236}">
              <a16:creationId xmlns:a16="http://schemas.microsoft.com/office/drawing/2014/main" id="{19CDD677-8340-4BEB-827B-2F96AD4F35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49" name="x_Picture 1" descr="Description: cid:image001.png@01D03949.49457930">
          <a:extLst>
            <a:ext uri="{FF2B5EF4-FFF2-40B4-BE49-F238E27FC236}">
              <a16:creationId xmlns:a16="http://schemas.microsoft.com/office/drawing/2014/main" id="{1BBF40CD-4E32-40D1-9A8D-891DA8DD96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50" name="x_Picture 1" descr="Description: cid:image001.png@01D03949.49457930">
          <a:extLst>
            <a:ext uri="{FF2B5EF4-FFF2-40B4-BE49-F238E27FC236}">
              <a16:creationId xmlns:a16="http://schemas.microsoft.com/office/drawing/2014/main" id="{8DC33959-F4F5-46F3-86BE-4006D79776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51" name="x_Picture 1" descr="Description: cid:image001.png@01D03949.49457930">
          <a:extLst>
            <a:ext uri="{FF2B5EF4-FFF2-40B4-BE49-F238E27FC236}">
              <a16:creationId xmlns:a16="http://schemas.microsoft.com/office/drawing/2014/main" id="{70C867C3-FB9B-4388-939B-D66DB1A555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52" name="x_Picture 1" descr="Description: cid:image001.png@01D03949.49457930">
          <a:extLst>
            <a:ext uri="{FF2B5EF4-FFF2-40B4-BE49-F238E27FC236}">
              <a16:creationId xmlns:a16="http://schemas.microsoft.com/office/drawing/2014/main" id="{42E33147-CF61-42F3-952D-E979E6EF4D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53" name="x_Picture 1" descr="Description: cid:image001.png@01D03949.49457930">
          <a:extLst>
            <a:ext uri="{FF2B5EF4-FFF2-40B4-BE49-F238E27FC236}">
              <a16:creationId xmlns:a16="http://schemas.microsoft.com/office/drawing/2014/main" id="{4DFC263E-D30E-4BC7-A669-FE9912C883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54" name="x_Picture 1" descr="Description: cid:image001.png@01D03949.49457930">
          <a:extLst>
            <a:ext uri="{FF2B5EF4-FFF2-40B4-BE49-F238E27FC236}">
              <a16:creationId xmlns:a16="http://schemas.microsoft.com/office/drawing/2014/main" id="{B4FFCF74-67E5-4C1B-A483-EA92CF7779F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413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55" name="x_Picture 1" descr="Description: cid:image001.png@01D03949.49457930">
          <a:extLst>
            <a:ext uri="{FF2B5EF4-FFF2-40B4-BE49-F238E27FC236}">
              <a16:creationId xmlns:a16="http://schemas.microsoft.com/office/drawing/2014/main" id="{88FF2D9A-A827-42AE-91C8-EB1CA93BC2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5524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56" name="x_Picture 1" descr="Description: cid:image001.png@01D03949.49457930">
          <a:extLst>
            <a:ext uri="{FF2B5EF4-FFF2-40B4-BE49-F238E27FC236}">
              <a16:creationId xmlns:a16="http://schemas.microsoft.com/office/drawing/2014/main" id="{6B55FA06-3858-4B50-97F5-D1E471E6FC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736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57" name="x_Picture 1" descr="Description: cid:image001.png@01D03949.49457930">
          <a:extLst>
            <a:ext uri="{FF2B5EF4-FFF2-40B4-BE49-F238E27FC236}">
              <a16:creationId xmlns:a16="http://schemas.microsoft.com/office/drawing/2014/main" id="{25114C53-FC24-4C37-8464-C32DE7F544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5524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58" name="x_Picture 1" descr="Description: cid:image001.png@01D03949.49457930">
          <a:extLst>
            <a:ext uri="{FF2B5EF4-FFF2-40B4-BE49-F238E27FC236}">
              <a16:creationId xmlns:a16="http://schemas.microsoft.com/office/drawing/2014/main" id="{A90DDC41-ED49-4782-A467-C00ABFAF55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5524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59" name="x_Picture 1" descr="Description: cid:image001.png@01D03949.49457930">
          <a:extLst>
            <a:ext uri="{FF2B5EF4-FFF2-40B4-BE49-F238E27FC236}">
              <a16:creationId xmlns:a16="http://schemas.microsoft.com/office/drawing/2014/main" id="{172307A7-73EB-4D75-B26D-8F9CCC7E4A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5524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60" name="x_Picture 1" descr="Description: cid:image001.png@01D03949.49457930">
          <a:extLst>
            <a:ext uri="{FF2B5EF4-FFF2-40B4-BE49-F238E27FC236}">
              <a16:creationId xmlns:a16="http://schemas.microsoft.com/office/drawing/2014/main" id="{2DE01354-67CF-4A16-87E1-B941C26F93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736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61" name="x_Picture 1" descr="Description: cid:image001.png@01D03949.49457930">
          <a:extLst>
            <a:ext uri="{FF2B5EF4-FFF2-40B4-BE49-F238E27FC236}">
              <a16:creationId xmlns:a16="http://schemas.microsoft.com/office/drawing/2014/main" id="{F1C6B252-177A-49E4-9603-11D3090F33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5524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62" name="x_Picture 1" descr="Description: cid:image001.png@01D03949.49457930">
          <a:extLst>
            <a:ext uri="{FF2B5EF4-FFF2-40B4-BE49-F238E27FC236}">
              <a16:creationId xmlns:a16="http://schemas.microsoft.com/office/drawing/2014/main" id="{C8E7F5EC-5632-492F-9B04-ECE089F5F343}"/>
            </a:ext>
          </a:extLst>
        </xdr:cNvPr>
        <xdr:cNvSpPr>
          <a:spLocks noChangeAspect="1" noChangeArrowheads="1"/>
        </xdr:cNvSpPr>
      </xdr:nvSpPr>
      <xdr:spPr bwMode="auto">
        <a:xfrm>
          <a:off x="742686" y="736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63" name="x_Picture 1" descr="Description: cid:image001.png@01D03949.49457930">
          <a:extLst>
            <a:ext uri="{FF2B5EF4-FFF2-40B4-BE49-F238E27FC236}">
              <a16:creationId xmlns:a16="http://schemas.microsoft.com/office/drawing/2014/main" id="{E8BEAF7A-9E03-4A19-BBF5-774342B173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736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64" name="x_Picture 1" descr="Description: cid:image001.png@01D03949.49457930">
          <a:extLst>
            <a:ext uri="{FF2B5EF4-FFF2-40B4-BE49-F238E27FC236}">
              <a16:creationId xmlns:a16="http://schemas.microsoft.com/office/drawing/2014/main" id="{C88F2252-4196-430F-88F6-017E6550B5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736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69" name="x_Picture 1" descr="Description: cid:image001.png@01D03949.49457930">
          <a:extLst>
            <a:ext uri="{FF2B5EF4-FFF2-40B4-BE49-F238E27FC236}">
              <a16:creationId xmlns:a16="http://schemas.microsoft.com/office/drawing/2014/main" id="{E101EEFE-C3D7-46C6-8166-60E44CFA29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0" name="x_Picture 1" descr="Description: cid:image001.png@01D03949.49457930">
          <a:extLst>
            <a:ext uri="{FF2B5EF4-FFF2-40B4-BE49-F238E27FC236}">
              <a16:creationId xmlns:a16="http://schemas.microsoft.com/office/drawing/2014/main" id="{61DFA825-04C6-473C-9AAC-EEA1397FAE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1" name="x_Picture 1" descr="Description: cid:image001.png@01D03949.49457930">
          <a:extLst>
            <a:ext uri="{FF2B5EF4-FFF2-40B4-BE49-F238E27FC236}">
              <a16:creationId xmlns:a16="http://schemas.microsoft.com/office/drawing/2014/main" id="{7144FC95-7304-44FE-9E3C-E59449DDDA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3" name="x_Picture 1" descr="Description: cid:image001.png@01D03949.49457930">
          <a:extLst>
            <a:ext uri="{FF2B5EF4-FFF2-40B4-BE49-F238E27FC236}">
              <a16:creationId xmlns:a16="http://schemas.microsoft.com/office/drawing/2014/main" id="{3F9C8D5C-9DCF-4469-B358-81CC478908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4" name="x_Picture 1" descr="Description: cid:image001.png@01D03949.49457930">
          <a:extLst>
            <a:ext uri="{FF2B5EF4-FFF2-40B4-BE49-F238E27FC236}">
              <a16:creationId xmlns:a16="http://schemas.microsoft.com/office/drawing/2014/main" id="{FEBE4639-BD45-4C58-8D14-6882C3CD62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5" name="x_Picture 1" descr="Description: cid:image001.png@01D03949.49457930">
          <a:extLst>
            <a:ext uri="{FF2B5EF4-FFF2-40B4-BE49-F238E27FC236}">
              <a16:creationId xmlns:a16="http://schemas.microsoft.com/office/drawing/2014/main" id="{FACD9112-9777-41C6-83F4-0AB674D7FE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6" name="x_Picture 1" descr="Description: cid:image001.png@01D03949.49457930">
          <a:extLst>
            <a:ext uri="{FF2B5EF4-FFF2-40B4-BE49-F238E27FC236}">
              <a16:creationId xmlns:a16="http://schemas.microsoft.com/office/drawing/2014/main" id="{6AEE3B55-8F2F-43BF-A58A-8D66C59F76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7" name="x_Picture 1" descr="Description: cid:image001.png@01D03949.49457930">
          <a:extLst>
            <a:ext uri="{FF2B5EF4-FFF2-40B4-BE49-F238E27FC236}">
              <a16:creationId xmlns:a16="http://schemas.microsoft.com/office/drawing/2014/main" id="{957A47BD-0135-4D2B-8D54-2BD0085857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8" name="x_Picture 1" descr="Description: cid:image001.png@01D03949.49457930">
          <a:extLst>
            <a:ext uri="{FF2B5EF4-FFF2-40B4-BE49-F238E27FC236}">
              <a16:creationId xmlns:a16="http://schemas.microsoft.com/office/drawing/2014/main" id="{6B46968A-12F6-49D2-931D-F9E2F8BA82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79" name="x_Picture 1" descr="Description: cid:image001.png@01D03949.49457930">
          <a:extLst>
            <a:ext uri="{FF2B5EF4-FFF2-40B4-BE49-F238E27FC236}">
              <a16:creationId xmlns:a16="http://schemas.microsoft.com/office/drawing/2014/main" id="{9507F8A3-E37B-4BF7-B32A-1004122265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80" name="x_Picture 1" descr="Description: cid:image001.png@01D03949.49457930">
          <a:extLst>
            <a:ext uri="{FF2B5EF4-FFF2-40B4-BE49-F238E27FC236}">
              <a16:creationId xmlns:a16="http://schemas.microsoft.com/office/drawing/2014/main" id="{83BE496B-8859-4EB8-9B94-1CFD9BA397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81" name="x_Picture 1" descr="Description: cid:image001.png@01D03949.49457930">
          <a:extLst>
            <a:ext uri="{FF2B5EF4-FFF2-40B4-BE49-F238E27FC236}">
              <a16:creationId xmlns:a16="http://schemas.microsoft.com/office/drawing/2014/main" id="{925F604C-7B57-43A6-87E7-A8BDCC78389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82" name="x_Picture 1" descr="Description: cid:image001.png@01D03949.49457930">
          <a:extLst>
            <a:ext uri="{FF2B5EF4-FFF2-40B4-BE49-F238E27FC236}">
              <a16:creationId xmlns:a16="http://schemas.microsoft.com/office/drawing/2014/main" id="{C4A7D2D1-C2DD-4ED4-893C-9C32495F8E5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83" name="x_Picture 1" descr="Description: cid:image001.png@01D03949.49457930">
          <a:extLst>
            <a:ext uri="{FF2B5EF4-FFF2-40B4-BE49-F238E27FC236}">
              <a16:creationId xmlns:a16="http://schemas.microsoft.com/office/drawing/2014/main" id="{1290E5BF-A860-4B0F-8F18-EEDB585404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84" name="x_Picture 1" descr="Description: cid:image001.png@01D03949.49457930">
          <a:extLst>
            <a:ext uri="{FF2B5EF4-FFF2-40B4-BE49-F238E27FC236}">
              <a16:creationId xmlns:a16="http://schemas.microsoft.com/office/drawing/2014/main" id="{F0C1B081-9DEE-4B4E-9938-12F8F53616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85" name="x_Picture 1" descr="Description: cid:image001.png@01D03949.49457930">
          <a:extLst>
            <a:ext uri="{FF2B5EF4-FFF2-40B4-BE49-F238E27FC236}">
              <a16:creationId xmlns:a16="http://schemas.microsoft.com/office/drawing/2014/main" id="{5C820C32-7668-4DC5-AB1D-80057331C11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86" name="x_Picture 1" descr="Description: cid:image001.png@01D03949.49457930">
          <a:extLst>
            <a:ext uri="{FF2B5EF4-FFF2-40B4-BE49-F238E27FC236}">
              <a16:creationId xmlns:a16="http://schemas.microsoft.com/office/drawing/2014/main" id="{7DB0416F-D6E4-4394-A809-1B3FCF0E54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87" name="x_Picture 1" descr="Description: cid:image001.png@01D03949.49457930">
          <a:extLst>
            <a:ext uri="{FF2B5EF4-FFF2-40B4-BE49-F238E27FC236}">
              <a16:creationId xmlns:a16="http://schemas.microsoft.com/office/drawing/2014/main" id="{218ED2C4-C728-44C4-9AC2-9DB6AD1098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88" name="x_Picture 1" descr="Description: cid:image001.png@01D03949.49457930">
          <a:extLst>
            <a:ext uri="{FF2B5EF4-FFF2-40B4-BE49-F238E27FC236}">
              <a16:creationId xmlns:a16="http://schemas.microsoft.com/office/drawing/2014/main" id="{A40A19FE-A384-4C06-88CD-255A4E49F42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89" name="x_Picture 1" descr="Description: cid:image001.png@01D03949.49457930">
          <a:extLst>
            <a:ext uri="{FF2B5EF4-FFF2-40B4-BE49-F238E27FC236}">
              <a16:creationId xmlns:a16="http://schemas.microsoft.com/office/drawing/2014/main" id="{BB046948-2E15-4249-87DC-4F16FCAB972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90" name="x_Picture 1" descr="Description: cid:image001.png@01D03949.49457930">
          <a:extLst>
            <a:ext uri="{FF2B5EF4-FFF2-40B4-BE49-F238E27FC236}">
              <a16:creationId xmlns:a16="http://schemas.microsoft.com/office/drawing/2014/main" id="{F01E14FF-395D-4BCA-A0FA-7C797D35D34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91" name="x_Picture 1" descr="Description: cid:image001.png@01D03949.49457930">
          <a:extLst>
            <a:ext uri="{FF2B5EF4-FFF2-40B4-BE49-F238E27FC236}">
              <a16:creationId xmlns:a16="http://schemas.microsoft.com/office/drawing/2014/main" id="{3A66ED88-3D56-47D7-BDD9-3012FB5EE0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392" name="x_Picture 1" descr="Description: cid:image001.png@01D03949.49457930">
          <a:extLst>
            <a:ext uri="{FF2B5EF4-FFF2-40B4-BE49-F238E27FC236}">
              <a16:creationId xmlns:a16="http://schemas.microsoft.com/office/drawing/2014/main" id="{4FCE9DD4-9BF9-49EE-B78E-ABBF749AB5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93" name="x_Picture 1" descr="Description: cid:image001.png@01D03949.49457930">
          <a:extLst>
            <a:ext uri="{FF2B5EF4-FFF2-40B4-BE49-F238E27FC236}">
              <a16:creationId xmlns:a16="http://schemas.microsoft.com/office/drawing/2014/main" id="{851FB274-D684-4864-B418-5C1BDC6AD6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94" name="x_Picture 1" descr="Description: cid:image001.png@01D03949.49457930">
          <a:extLst>
            <a:ext uri="{FF2B5EF4-FFF2-40B4-BE49-F238E27FC236}">
              <a16:creationId xmlns:a16="http://schemas.microsoft.com/office/drawing/2014/main" id="{6A18A760-E0A0-421F-ACB5-288BC83502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95" name="x_Picture 1" descr="Description: cid:image001.png@01D03949.49457930">
          <a:extLst>
            <a:ext uri="{FF2B5EF4-FFF2-40B4-BE49-F238E27FC236}">
              <a16:creationId xmlns:a16="http://schemas.microsoft.com/office/drawing/2014/main" id="{3327DAFA-45AC-42E6-BF9A-A90D966662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96" name="x_Picture 1" descr="Description: cid:image001.png@01D03949.49457930">
          <a:extLst>
            <a:ext uri="{FF2B5EF4-FFF2-40B4-BE49-F238E27FC236}">
              <a16:creationId xmlns:a16="http://schemas.microsoft.com/office/drawing/2014/main" id="{CF337452-5867-416D-9B04-6111B8AA11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97" name="x_Picture 1" descr="Description: cid:image001.png@01D03949.49457930">
          <a:extLst>
            <a:ext uri="{FF2B5EF4-FFF2-40B4-BE49-F238E27FC236}">
              <a16:creationId xmlns:a16="http://schemas.microsoft.com/office/drawing/2014/main" id="{69830E16-548F-44B5-8208-6AC72CEA7A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98" name="x_Picture 1" descr="Description: cid:image001.png@01D03949.49457930">
          <a:extLst>
            <a:ext uri="{FF2B5EF4-FFF2-40B4-BE49-F238E27FC236}">
              <a16:creationId xmlns:a16="http://schemas.microsoft.com/office/drawing/2014/main" id="{0012CFDB-6D95-4AAE-A23C-880A2D1875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399" name="x_Picture 1" descr="Description: cid:image001.png@01D03949.49457930">
          <a:extLst>
            <a:ext uri="{FF2B5EF4-FFF2-40B4-BE49-F238E27FC236}">
              <a16:creationId xmlns:a16="http://schemas.microsoft.com/office/drawing/2014/main" id="{945408F9-AD78-493F-B17A-F6AD1DD6C4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00" name="x_Picture 1" descr="Description: cid:image001.png@01D03949.49457930">
          <a:extLst>
            <a:ext uri="{FF2B5EF4-FFF2-40B4-BE49-F238E27FC236}">
              <a16:creationId xmlns:a16="http://schemas.microsoft.com/office/drawing/2014/main" id="{DFBE2E07-107A-4E48-A3BC-3FC2553667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01" name="x_Picture 1" descr="Description: cid:image001.png@01D03949.49457930">
          <a:extLst>
            <a:ext uri="{FF2B5EF4-FFF2-40B4-BE49-F238E27FC236}">
              <a16:creationId xmlns:a16="http://schemas.microsoft.com/office/drawing/2014/main" id="{23763F56-8AB6-4C6E-9A89-90FF7911CA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02" name="x_Picture 1" descr="Description: cid:image001.png@01D03949.49457930">
          <a:extLst>
            <a:ext uri="{FF2B5EF4-FFF2-40B4-BE49-F238E27FC236}">
              <a16:creationId xmlns:a16="http://schemas.microsoft.com/office/drawing/2014/main" id="{0CFD77E9-DD84-4B0F-A8F4-E8B2F4BF68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03" name="x_Picture 1" descr="Description: cid:image001.png@01D03949.49457930">
          <a:extLst>
            <a:ext uri="{FF2B5EF4-FFF2-40B4-BE49-F238E27FC236}">
              <a16:creationId xmlns:a16="http://schemas.microsoft.com/office/drawing/2014/main" id="{12EDEF30-EB02-46E6-8E88-6867C2DA51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04" name="x_Picture 1" descr="Description: cid:image001.png@01D03949.49457930">
          <a:extLst>
            <a:ext uri="{FF2B5EF4-FFF2-40B4-BE49-F238E27FC236}">
              <a16:creationId xmlns:a16="http://schemas.microsoft.com/office/drawing/2014/main" id="{A0EB3A0D-01E7-4B89-8E0C-CDC4345227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05" name="x_Picture 1" descr="Description: cid:image001.png@01D03949.49457930">
          <a:extLst>
            <a:ext uri="{FF2B5EF4-FFF2-40B4-BE49-F238E27FC236}">
              <a16:creationId xmlns:a16="http://schemas.microsoft.com/office/drawing/2014/main" id="{19C964C0-4D41-4C5E-AADF-8AA231DCA26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06" name="x_Picture 1" descr="Description: cid:image001.png@01D03949.49457930">
          <a:extLst>
            <a:ext uri="{FF2B5EF4-FFF2-40B4-BE49-F238E27FC236}">
              <a16:creationId xmlns:a16="http://schemas.microsoft.com/office/drawing/2014/main" id="{2FE93E29-95D4-4073-85D4-872475A1E6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07" name="x_Picture 1" descr="Description: cid:image001.png@01D03949.49457930">
          <a:extLst>
            <a:ext uri="{FF2B5EF4-FFF2-40B4-BE49-F238E27FC236}">
              <a16:creationId xmlns:a16="http://schemas.microsoft.com/office/drawing/2014/main" id="{AED8C3BD-409F-46CE-BA86-4051EBB45E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08" name="x_Picture 1" descr="Description: cid:image001.png@01D03949.49457930">
          <a:extLst>
            <a:ext uri="{FF2B5EF4-FFF2-40B4-BE49-F238E27FC236}">
              <a16:creationId xmlns:a16="http://schemas.microsoft.com/office/drawing/2014/main" id="{01C685F6-055E-4152-9A6B-309F5402EC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09" name="x_Picture 1" descr="Description: cid:image001.png@01D03949.49457930">
          <a:extLst>
            <a:ext uri="{FF2B5EF4-FFF2-40B4-BE49-F238E27FC236}">
              <a16:creationId xmlns:a16="http://schemas.microsoft.com/office/drawing/2014/main" id="{DDF10E65-21F4-46B9-9C7E-960EE34CDB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10" name="x_Picture 1" descr="Description: cid:image001.png@01D03949.49457930">
          <a:extLst>
            <a:ext uri="{FF2B5EF4-FFF2-40B4-BE49-F238E27FC236}">
              <a16:creationId xmlns:a16="http://schemas.microsoft.com/office/drawing/2014/main" id="{83A0D49D-8758-4279-9258-986872C961B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11" name="x_Picture 1" descr="Description: cid:image001.png@01D03949.49457930">
          <a:extLst>
            <a:ext uri="{FF2B5EF4-FFF2-40B4-BE49-F238E27FC236}">
              <a16:creationId xmlns:a16="http://schemas.microsoft.com/office/drawing/2014/main" id="{DC78DFBB-6020-4EFB-B2F5-B12F4C1AF1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12" name="x_Picture 1" descr="Description: cid:image001.png@01D03949.49457930">
          <a:extLst>
            <a:ext uri="{FF2B5EF4-FFF2-40B4-BE49-F238E27FC236}">
              <a16:creationId xmlns:a16="http://schemas.microsoft.com/office/drawing/2014/main" id="{C721B9C0-A54F-4575-B956-EA9BB8B4D4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13" name="x_Picture 1" descr="Description: cid:image001.png@01D03949.49457930">
          <a:extLst>
            <a:ext uri="{FF2B5EF4-FFF2-40B4-BE49-F238E27FC236}">
              <a16:creationId xmlns:a16="http://schemas.microsoft.com/office/drawing/2014/main" id="{76DFD226-7AF0-42E4-8EAB-3A35182B39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14" name="x_Picture 1" descr="Description: cid:image001.png@01D03949.49457930">
          <a:extLst>
            <a:ext uri="{FF2B5EF4-FFF2-40B4-BE49-F238E27FC236}">
              <a16:creationId xmlns:a16="http://schemas.microsoft.com/office/drawing/2014/main" id="{601D4CF8-95C5-4F78-8E13-1DD66AF43A4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15" name="x_Picture 1" descr="Description: cid:image001.png@01D03949.49457930">
          <a:extLst>
            <a:ext uri="{FF2B5EF4-FFF2-40B4-BE49-F238E27FC236}">
              <a16:creationId xmlns:a16="http://schemas.microsoft.com/office/drawing/2014/main" id="{0DBEF31D-9D66-403C-B55A-97883BB182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16" name="x_Picture 1" descr="Description: cid:image001.png@01D03949.49457930">
          <a:extLst>
            <a:ext uri="{FF2B5EF4-FFF2-40B4-BE49-F238E27FC236}">
              <a16:creationId xmlns:a16="http://schemas.microsoft.com/office/drawing/2014/main" id="{3B234472-B93C-4803-8192-51339DEE4D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17" name="x_Picture 1" descr="Description: cid:image001.png@01D03949.49457930">
          <a:extLst>
            <a:ext uri="{FF2B5EF4-FFF2-40B4-BE49-F238E27FC236}">
              <a16:creationId xmlns:a16="http://schemas.microsoft.com/office/drawing/2014/main" id="{CD031A5B-C428-46EB-9462-5D53C66745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18" name="x_Picture 1" descr="Description: cid:image001.png@01D03949.49457930">
          <a:extLst>
            <a:ext uri="{FF2B5EF4-FFF2-40B4-BE49-F238E27FC236}">
              <a16:creationId xmlns:a16="http://schemas.microsoft.com/office/drawing/2014/main" id="{5BE469D2-F110-4D90-9975-3328941F85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19" name="x_Picture 1" descr="Description: cid:image001.png@01D03949.49457930">
          <a:extLst>
            <a:ext uri="{FF2B5EF4-FFF2-40B4-BE49-F238E27FC236}">
              <a16:creationId xmlns:a16="http://schemas.microsoft.com/office/drawing/2014/main" id="{6702B592-D32A-4E8A-AF9B-1B17F3183C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20" name="x_Picture 1" descr="Description: cid:image001.png@01D03949.49457930">
          <a:extLst>
            <a:ext uri="{FF2B5EF4-FFF2-40B4-BE49-F238E27FC236}">
              <a16:creationId xmlns:a16="http://schemas.microsoft.com/office/drawing/2014/main" id="{DBE42A4B-B6AC-4113-A0D2-0AB3FC3C93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21" name="x_Picture 1" descr="Description: cid:image001.png@01D03949.49457930">
          <a:extLst>
            <a:ext uri="{FF2B5EF4-FFF2-40B4-BE49-F238E27FC236}">
              <a16:creationId xmlns:a16="http://schemas.microsoft.com/office/drawing/2014/main" id="{0D645FBE-0461-470B-8F02-63FCC584AE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22" name="x_Picture 1" descr="Description: cid:image001.png@01D03949.49457930">
          <a:extLst>
            <a:ext uri="{FF2B5EF4-FFF2-40B4-BE49-F238E27FC236}">
              <a16:creationId xmlns:a16="http://schemas.microsoft.com/office/drawing/2014/main" id="{777A6F21-FEEA-4404-B738-B3FCE8F0C5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23" name="x_Picture 1" descr="Description: cid:image001.png@01D03949.49457930">
          <a:extLst>
            <a:ext uri="{FF2B5EF4-FFF2-40B4-BE49-F238E27FC236}">
              <a16:creationId xmlns:a16="http://schemas.microsoft.com/office/drawing/2014/main" id="{8B90D476-549E-4481-87E6-EE79ACE78F6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24" name="x_Picture 1" descr="Description: cid:image001.png@01D03949.49457930">
          <a:extLst>
            <a:ext uri="{FF2B5EF4-FFF2-40B4-BE49-F238E27FC236}">
              <a16:creationId xmlns:a16="http://schemas.microsoft.com/office/drawing/2014/main" id="{8505B51C-53A7-463D-B10F-EC8D2C9694D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25" name="x_Picture 1" descr="Description: cid:image001.png@01D03949.49457930">
          <a:extLst>
            <a:ext uri="{FF2B5EF4-FFF2-40B4-BE49-F238E27FC236}">
              <a16:creationId xmlns:a16="http://schemas.microsoft.com/office/drawing/2014/main" id="{5F2D0DAF-2D5A-49FD-B05E-B2EEE0E73D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26" name="x_Picture 1" descr="Description: cid:image001.png@01D03949.49457930">
          <a:extLst>
            <a:ext uri="{FF2B5EF4-FFF2-40B4-BE49-F238E27FC236}">
              <a16:creationId xmlns:a16="http://schemas.microsoft.com/office/drawing/2014/main" id="{65170522-DD32-44D7-941C-4A2445C792C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27" name="x_Picture 1" descr="Description: cid:image001.png@01D03949.49457930">
          <a:extLst>
            <a:ext uri="{FF2B5EF4-FFF2-40B4-BE49-F238E27FC236}">
              <a16:creationId xmlns:a16="http://schemas.microsoft.com/office/drawing/2014/main" id="{2FE98928-6D1C-4823-A69B-872F6AE448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28" name="x_Picture 1" descr="Description: cid:image001.png@01D03949.49457930">
          <a:extLst>
            <a:ext uri="{FF2B5EF4-FFF2-40B4-BE49-F238E27FC236}">
              <a16:creationId xmlns:a16="http://schemas.microsoft.com/office/drawing/2014/main" id="{29E16D5D-ADF1-4205-A558-2A16CF563B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29" name="x_Picture 1" descr="Description: cid:image001.png@01D03949.49457930">
          <a:extLst>
            <a:ext uri="{FF2B5EF4-FFF2-40B4-BE49-F238E27FC236}">
              <a16:creationId xmlns:a16="http://schemas.microsoft.com/office/drawing/2014/main" id="{5AC03EC4-490B-49E2-8CC4-C9EF53F715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30" name="x_Picture 1" descr="Description: cid:image001.png@01D03949.49457930">
          <a:extLst>
            <a:ext uri="{FF2B5EF4-FFF2-40B4-BE49-F238E27FC236}">
              <a16:creationId xmlns:a16="http://schemas.microsoft.com/office/drawing/2014/main" id="{1FC963F2-4F79-4B53-B6AF-9709B0B5470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31" name="x_Picture 1" descr="Description: cid:image001.png@01D03949.49457930">
          <a:extLst>
            <a:ext uri="{FF2B5EF4-FFF2-40B4-BE49-F238E27FC236}">
              <a16:creationId xmlns:a16="http://schemas.microsoft.com/office/drawing/2014/main" id="{7FB398D4-B75B-4316-A789-805E635946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32" name="x_Picture 1" descr="Description: cid:image001.png@01D03949.49457930">
          <a:extLst>
            <a:ext uri="{FF2B5EF4-FFF2-40B4-BE49-F238E27FC236}">
              <a16:creationId xmlns:a16="http://schemas.microsoft.com/office/drawing/2014/main" id="{9E2B1969-777C-451C-98A3-03C3EECF66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33" name="x_Picture 1" descr="Description: cid:image001.png@01D03949.49457930">
          <a:extLst>
            <a:ext uri="{FF2B5EF4-FFF2-40B4-BE49-F238E27FC236}">
              <a16:creationId xmlns:a16="http://schemas.microsoft.com/office/drawing/2014/main" id="{B73C4AAA-A2A4-4417-8445-305DC3BAC17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34" name="x_Picture 1" descr="Description: cid:image001.png@01D03949.49457930">
          <a:extLst>
            <a:ext uri="{FF2B5EF4-FFF2-40B4-BE49-F238E27FC236}">
              <a16:creationId xmlns:a16="http://schemas.microsoft.com/office/drawing/2014/main" id="{D1932B94-CCA0-4C44-A3CE-6BAA67BE66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35" name="x_Picture 1" descr="Description: cid:image001.png@01D03949.49457930">
          <a:extLst>
            <a:ext uri="{FF2B5EF4-FFF2-40B4-BE49-F238E27FC236}">
              <a16:creationId xmlns:a16="http://schemas.microsoft.com/office/drawing/2014/main" id="{596F3AFB-F4DA-4968-A4E5-873B98A5B0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36" name="x_Picture 1" descr="Description: cid:image001.png@01D03949.49457930">
          <a:extLst>
            <a:ext uri="{FF2B5EF4-FFF2-40B4-BE49-F238E27FC236}">
              <a16:creationId xmlns:a16="http://schemas.microsoft.com/office/drawing/2014/main" id="{FCB96D85-7523-4BE0-B38E-104FBD6700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37" name="x_Picture 1" descr="Description: cid:image001.png@01D03949.49457930">
          <a:extLst>
            <a:ext uri="{FF2B5EF4-FFF2-40B4-BE49-F238E27FC236}">
              <a16:creationId xmlns:a16="http://schemas.microsoft.com/office/drawing/2014/main" id="{C0946355-76D9-4828-99A9-48ED97A853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38" name="x_Picture 1" descr="Description: cid:image001.png@01D03949.49457930">
          <a:extLst>
            <a:ext uri="{FF2B5EF4-FFF2-40B4-BE49-F238E27FC236}">
              <a16:creationId xmlns:a16="http://schemas.microsoft.com/office/drawing/2014/main" id="{D69268EA-F492-4186-B0C7-0A30F1CE5F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39" name="x_Picture 1" descr="Description: cid:image001.png@01D03949.49457930">
          <a:extLst>
            <a:ext uri="{FF2B5EF4-FFF2-40B4-BE49-F238E27FC236}">
              <a16:creationId xmlns:a16="http://schemas.microsoft.com/office/drawing/2014/main" id="{E13FB75B-F986-471C-A20E-C25D43AA4B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40" name="x_Picture 1" descr="Description: cid:image001.png@01D03949.49457930">
          <a:extLst>
            <a:ext uri="{FF2B5EF4-FFF2-40B4-BE49-F238E27FC236}">
              <a16:creationId xmlns:a16="http://schemas.microsoft.com/office/drawing/2014/main" id="{414B6797-3063-4BD8-8B85-9ECF967FD7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41" name="x_Picture 1" descr="Description: cid:image001.png@01D03949.49457930">
          <a:extLst>
            <a:ext uri="{FF2B5EF4-FFF2-40B4-BE49-F238E27FC236}">
              <a16:creationId xmlns:a16="http://schemas.microsoft.com/office/drawing/2014/main" id="{F2F2B06F-21F7-490A-B6AE-A9DEDC7121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42" name="x_Picture 1" descr="Description: cid:image001.png@01D03949.49457930">
          <a:extLst>
            <a:ext uri="{FF2B5EF4-FFF2-40B4-BE49-F238E27FC236}">
              <a16:creationId xmlns:a16="http://schemas.microsoft.com/office/drawing/2014/main" id="{C3A2FE86-A0CB-4FF6-89D5-46E76BCB15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43" name="x_Picture 1" descr="Description: cid:image001.png@01D03949.49457930">
          <a:extLst>
            <a:ext uri="{FF2B5EF4-FFF2-40B4-BE49-F238E27FC236}">
              <a16:creationId xmlns:a16="http://schemas.microsoft.com/office/drawing/2014/main" id="{ED8ADAC6-B59A-4579-9766-D333FE355F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44" name="x_Picture 1" descr="Description: cid:image001.png@01D03949.49457930">
          <a:extLst>
            <a:ext uri="{FF2B5EF4-FFF2-40B4-BE49-F238E27FC236}">
              <a16:creationId xmlns:a16="http://schemas.microsoft.com/office/drawing/2014/main" id="{81F0E1DC-7461-43AC-A742-E7AE4FA5CA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45" name="x_Picture 1" descr="Description: cid:image001.png@01D03949.49457930">
          <a:extLst>
            <a:ext uri="{FF2B5EF4-FFF2-40B4-BE49-F238E27FC236}">
              <a16:creationId xmlns:a16="http://schemas.microsoft.com/office/drawing/2014/main" id="{CC68CF26-246F-4BC3-9A19-8C36D8C8FE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46" name="x_Picture 1" descr="Description: cid:image001.png@01D03949.49457930">
          <a:extLst>
            <a:ext uri="{FF2B5EF4-FFF2-40B4-BE49-F238E27FC236}">
              <a16:creationId xmlns:a16="http://schemas.microsoft.com/office/drawing/2014/main" id="{6564EB67-0130-4800-9BEC-7AB583F090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47" name="x_Picture 1" descr="Description: cid:image001.png@01D03949.49457930">
          <a:extLst>
            <a:ext uri="{FF2B5EF4-FFF2-40B4-BE49-F238E27FC236}">
              <a16:creationId xmlns:a16="http://schemas.microsoft.com/office/drawing/2014/main" id="{21D8E20A-D8F6-46A7-8FEA-459D3E91D9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48" name="x_Picture 1" descr="Description: cid:image001.png@01D03949.49457930">
          <a:extLst>
            <a:ext uri="{FF2B5EF4-FFF2-40B4-BE49-F238E27FC236}">
              <a16:creationId xmlns:a16="http://schemas.microsoft.com/office/drawing/2014/main" id="{41EF4BE9-87FC-49FE-8F6B-53E374CCF5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49" name="x_Picture 1" descr="Description: cid:image001.png@01D03949.49457930">
          <a:extLst>
            <a:ext uri="{FF2B5EF4-FFF2-40B4-BE49-F238E27FC236}">
              <a16:creationId xmlns:a16="http://schemas.microsoft.com/office/drawing/2014/main" id="{85F5441F-C770-45B2-A120-06DAFB67B5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50" name="x_Picture 1" descr="Description: cid:image001.png@01D03949.49457930">
          <a:extLst>
            <a:ext uri="{FF2B5EF4-FFF2-40B4-BE49-F238E27FC236}">
              <a16:creationId xmlns:a16="http://schemas.microsoft.com/office/drawing/2014/main" id="{CFED068D-0878-4789-9040-E68EA924803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51" name="x_Picture 1" descr="Description: cid:image001.png@01D03949.49457930">
          <a:extLst>
            <a:ext uri="{FF2B5EF4-FFF2-40B4-BE49-F238E27FC236}">
              <a16:creationId xmlns:a16="http://schemas.microsoft.com/office/drawing/2014/main" id="{BB348810-49C2-4281-BF75-B0B29F21E6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52" name="x_Picture 1" descr="Description: cid:image001.png@01D03949.49457930">
          <a:extLst>
            <a:ext uri="{FF2B5EF4-FFF2-40B4-BE49-F238E27FC236}">
              <a16:creationId xmlns:a16="http://schemas.microsoft.com/office/drawing/2014/main" id="{3DAFBFE2-4C76-4835-8711-FAD87677537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53" name="x_Picture 1" descr="Description: cid:image001.png@01D03949.49457930">
          <a:extLst>
            <a:ext uri="{FF2B5EF4-FFF2-40B4-BE49-F238E27FC236}">
              <a16:creationId xmlns:a16="http://schemas.microsoft.com/office/drawing/2014/main" id="{A4F86599-E91B-4CE6-80F5-77D4746C91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54" name="x_Picture 1" descr="Description: cid:image001.png@01D03949.49457930">
          <a:extLst>
            <a:ext uri="{FF2B5EF4-FFF2-40B4-BE49-F238E27FC236}">
              <a16:creationId xmlns:a16="http://schemas.microsoft.com/office/drawing/2014/main" id="{84354462-360C-4A79-A72B-BA6E405F51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55" name="x_Picture 1" descr="Description: cid:image001.png@01D03949.49457930">
          <a:extLst>
            <a:ext uri="{FF2B5EF4-FFF2-40B4-BE49-F238E27FC236}">
              <a16:creationId xmlns:a16="http://schemas.microsoft.com/office/drawing/2014/main" id="{8501C4D9-8568-4610-8FB0-476E7E0BE0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56" name="x_Picture 1" descr="Description: cid:image001.png@01D03949.49457930">
          <a:extLst>
            <a:ext uri="{FF2B5EF4-FFF2-40B4-BE49-F238E27FC236}">
              <a16:creationId xmlns:a16="http://schemas.microsoft.com/office/drawing/2014/main" id="{238B03DE-BD6C-4C6F-B90D-DE5A589D39F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57" name="x_Picture 1" descr="Description: cid:image001.png@01D03949.49457930">
          <a:extLst>
            <a:ext uri="{FF2B5EF4-FFF2-40B4-BE49-F238E27FC236}">
              <a16:creationId xmlns:a16="http://schemas.microsoft.com/office/drawing/2014/main" id="{5821188C-79D1-4D51-B9DE-25B82ADA0B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58" name="x_Picture 1" descr="Description: cid:image001.png@01D03949.49457930">
          <a:extLst>
            <a:ext uri="{FF2B5EF4-FFF2-40B4-BE49-F238E27FC236}">
              <a16:creationId xmlns:a16="http://schemas.microsoft.com/office/drawing/2014/main" id="{13B95229-8782-4916-9F97-125428EEDB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59" name="x_Picture 1" descr="Description: cid:image001.png@01D03949.49457930">
          <a:extLst>
            <a:ext uri="{FF2B5EF4-FFF2-40B4-BE49-F238E27FC236}">
              <a16:creationId xmlns:a16="http://schemas.microsoft.com/office/drawing/2014/main" id="{FB83D614-F5CD-4B0F-849B-BC5382369C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60" name="x_Picture 1" descr="Description: cid:image001.png@01D03949.49457930">
          <a:extLst>
            <a:ext uri="{FF2B5EF4-FFF2-40B4-BE49-F238E27FC236}">
              <a16:creationId xmlns:a16="http://schemas.microsoft.com/office/drawing/2014/main" id="{F3ADADEC-689F-4BDA-8E0A-A0D3760630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61" name="x_Picture 1" descr="Description: cid:image001.png@01D03949.49457930">
          <a:extLst>
            <a:ext uri="{FF2B5EF4-FFF2-40B4-BE49-F238E27FC236}">
              <a16:creationId xmlns:a16="http://schemas.microsoft.com/office/drawing/2014/main" id="{64EB0E14-F8E3-47A8-8DC5-6EFCCD18B5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62" name="x_Picture 1" descr="Description: cid:image001.png@01D03949.49457930">
          <a:extLst>
            <a:ext uri="{FF2B5EF4-FFF2-40B4-BE49-F238E27FC236}">
              <a16:creationId xmlns:a16="http://schemas.microsoft.com/office/drawing/2014/main" id="{8078708E-0EE2-4FDF-A310-9282E809D3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63" name="x_Picture 1" descr="Description: cid:image001.png@01D03949.49457930">
          <a:extLst>
            <a:ext uri="{FF2B5EF4-FFF2-40B4-BE49-F238E27FC236}">
              <a16:creationId xmlns:a16="http://schemas.microsoft.com/office/drawing/2014/main" id="{23659978-02C2-417D-850B-DF9B6478CB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64" name="x_Picture 1" descr="Description: cid:image001.png@01D03949.49457930">
          <a:extLst>
            <a:ext uri="{FF2B5EF4-FFF2-40B4-BE49-F238E27FC236}">
              <a16:creationId xmlns:a16="http://schemas.microsoft.com/office/drawing/2014/main" id="{3206D32C-4FD8-4797-B635-E65AEC4CC4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65" name="x_Picture 1" descr="Description: cid:image001.png@01D03949.49457930">
          <a:extLst>
            <a:ext uri="{FF2B5EF4-FFF2-40B4-BE49-F238E27FC236}">
              <a16:creationId xmlns:a16="http://schemas.microsoft.com/office/drawing/2014/main" id="{4D4FD904-10B4-40F5-9641-4D42406F83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66" name="x_Picture 1" descr="Description: cid:image001.png@01D03949.49457930">
          <a:extLst>
            <a:ext uri="{FF2B5EF4-FFF2-40B4-BE49-F238E27FC236}">
              <a16:creationId xmlns:a16="http://schemas.microsoft.com/office/drawing/2014/main" id="{988B6606-A127-4874-AFA9-38E268C309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67" name="x_Picture 1" descr="Description: cid:image001.png@01D03949.49457930">
          <a:extLst>
            <a:ext uri="{FF2B5EF4-FFF2-40B4-BE49-F238E27FC236}">
              <a16:creationId xmlns:a16="http://schemas.microsoft.com/office/drawing/2014/main" id="{29988BF9-0EB0-4357-8443-27EEC68D51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68" name="x_Picture 1" descr="Description: cid:image001.png@01D03949.49457930">
          <a:extLst>
            <a:ext uri="{FF2B5EF4-FFF2-40B4-BE49-F238E27FC236}">
              <a16:creationId xmlns:a16="http://schemas.microsoft.com/office/drawing/2014/main" id="{11652FB9-239D-478E-80DD-0360485F6BE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69" name="x_Picture 1" descr="Description: cid:image001.png@01D03949.49457930">
          <a:extLst>
            <a:ext uri="{FF2B5EF4-FFF2-40B4-BE49-F238E27FC236}">
              <a16:creationId xmlns:a16="http://schemas.microsoft.com/office/drawing/2014/main" id="{FE6F5C99-52FC-43E6-9C93-B388DA1CB4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70" name="x_Picture 1" descr="Description: cid:image001.png@01D03949.49457930">
          <a:extLst>
            <a:ext uri="{FF2B5EF4-FFF2-40B4-BE49-F238E27FC236}">
              <a16:creationId xmlns:a16="http://schemas.microsoft.com/office/drawing/2014/main" id="{CA9AB9EB-007E-4902-9214-46D2D9EC98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71" name="x_Picture 1" descr="Description: cid:image001.png@01D03949.49457930">
          <a:extLst>
            <a:ext uri="{FF2B5EF4-FFF2-40B4-BE49-F238E27FC236}">
              <a16:creationId xmlns:a16="http://schemas.microsoft.com/office/drawing/2014/main" id="{902AA179-8510-46FF-A647-FFBB8158E9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72" name="x_Picture 1" descr="Description: cid:image001.png@01D03949.49457930">
          <a:extLst>
            <a:ext uri="{FF2B5EF4-FFF2-40B4-BE49-F238E27FC236}">
              <a16:creationId xmlns:a16="http://schemas.microsoft.com/office/drawing/2014/main" id="{D5D93BC3-B57E-469A-AC98-41C9DE8B23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73" name="x_Picture 1" descr="Description: cid:image001.png@01D03949.49457930">
          <a:extLst>
            <a:ext uri="{FF2B5EF4-FFF2-40B4-BE49-F238E27FC236}">
              <a16:creationId xmlns:a16="http://schemas.microsoft.com/office/drawing/2014/main" id="{0D35A701-234A-4315-B6F1-627A2008C6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74" name="x_Picture 1" descr="Description: cid:image001.png@01D03949.49457930">
          <a:extLst>
            <a:ext uri="{FF2B5EF4-FFF2-40B4-BE49-F238E27FC236}">
              <a16:creationId xmlns:a16="http://schemas.microsoft.com/office/drawing/2014/main" id="{E4F648E3-F65E-4B85-9417-90D6BCF0366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75" name="x_Picture 1" descr="Description: cid:image001.png@01D03949.49457930">
          <a:extLst>
            <a:ext uri="{FF2B5EF4-FFF2-40B4-BE49-F238E27FC236}">
              <a16:creationId xmlns:a16="http://schemas.microsoft.com/office/drawing/2014/main" id="{5C114DCA-9034-43F3-9A74-D5C6307E17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76" name="x_Picture 1" descr="Description: cid:image001.png@01D03949.49457930">
          <a:extLst>
            <a:ext uri="{FF2B5EF4-FFF2-40B4-BE49-F238E27FC236}">
              <a16:creationId xmlns:a16="http://schemas.microsoft.com/office/drawing/2014/main" id="{EE6BE998-B776-4273-B10F-3D5FE33301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77" name="x_Picture 1" descr="Description: cid:image001.png@01D03949.49457930">
          <a:extLst>
            <a:ext uri="{FF2B5EF4-FFF2-40B4-BE49-F238E27FC236}">
              <a16:creationId xmlns:a16="http://schemas.microsoft.com/office/drawing/2014/main" id="{A66F3B20-2D10-42C1-8B19-FAB6504603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78" name="x_Picture 1" descr="Description: cid:image001.png@01D03949.49457930">
          <a:extLst>
            <a:ext uri="{FF2B5EF4-FFF2-40B4-BE49-F238E27FC236}">
              <a16:creationId xmlns:a16="http://schemas.microsoft.com/office/drawing/2014/main" id="{7804F2EF-FD17-4FFD-BC41-70EA850F051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79" name="x_Picture 1" descr="Description: cid:image001.png@01D03949.49457930">
          <a:extLst>
            <a:ext uri="{FF2B5EF4-FFF2-40B4-BE49-F238E27FC236}">
              <a16:creationId xmlns:a16="http://schemas.microsoft.com/office/drawing/2014/main" id="{9302E13C-D6DF-48C2-9076-B73A49F85D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80" name="x_Picture 1" descr="Description: cid:image001.png@01D03949.49457930">
          <a:extLst>
            <a:ext uri="{FF2B5EF4-FFF2-40B4-BE49-F238E27FC236}">
              <a16:creationId xmlns:a16="http://schemas.microsoft.com/office/drawing/2014/main" id="{B23E9720-6EF5-40EC-8F6E-FEC32B20BA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81" name="x_Picture 1" descr="Description: cid:image001.png@01D03949.49457930">
          <a:extLst>
            <a:ext uri="{FF2B5EF4-FFF2-40B4-BE49-F238E27FC236}">
              <a16:creationId xmlns:a16="http://schemas.microsoft.com/office/drawing/2014/main" id="{E9C93803-0EE9-4D88-A9EF-C774CB042E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82" name="x_Picture 1" descr="Description: cid:image001.png@01D03949.49457930">
          <a:extLst>
            <a:ext uri="{FF2B5EF4-FFF2-40B4-BE49-F238E27FC236}">
              <a16:creationId xmlns:a16="http://schemas.microsoft.com/office/drawing/2014/main" id="{878906D4-8E98-482E-BBD0-95BEC6AA0C5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83" name="x_Picture 1" descr="Description: cid:image001.png@01D03949.49457930">
          <a:extLst>
            <a:ext uri="{FF2B5EF4-FFF2-40B4-BE49-F238E27FC236}">
              <a16:creationId xmlns:a16="http://schemas.microsoft.com/office/drawing/2014/main" id="{4398F4DC-9E1C-479D-96B2-8AC3715793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84" name="x_Picture 1" descr="Description: cid:image001.png@01D03949.49457930">
          <a:extLst>
            <a:ext uri="{FF2B5EF4-FFF2-40B4-BE49-F238E27FC236}">
              <a16:creationId xmlns:a16="http://schemas.microsoft.com/office/drawing/2014/main" id="{5E0DCA76-05C7-4FF2-B824-189CBDCAEF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85" name="x_Picture 1" descr="Description: cid:image001.png@01D03949.49457930">
          <a:extLst>
            <a:ext uri="{FF2B5EF4-FFF2-40B4-BE49-F238E27FC236}">
              <a16:creationId xmlns:a16="http://schemas.microsoft.com/office/drawing/2014/main" id="{6CE0D3E1-986D-40F1-B7D6-221B76C9C9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86" name="x_Picture 1" descr="Description: cid:image001.png@01D03949.49457930">
          <a:extLst>
            <a:ext uri="{FF2B5EF4-FFF2-40B4-BE49-F238E27FC236}">
              <a16:creationId xmlns:a16="http://schemas.microsoft.com/office/drawing/2014/main" id="{D0B2BC83-4216-4D4B-A31E-817341D53C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87" name="x_Picture 1" descr="Description: cid:image001.png@01D03949.49457930">
          <a:extLst>
            <a:ext uri="{FF2B5EF4-FFF2-40B4-BE49-F238E27FC236}">
              <a16:creationId xmlns:a16="http://schemas.microsoft.com/office/drawing/2014/main" id="{4A2BB11F-61C0-49D1-B313-DA222B08F8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488" name="x_Picture 1" descr="Description: cid:image001.png@01D03949.49457930">
          <a:extLst>
            <a:ext uri="{FF2B5EF4-FFF2-40B4-BE49-F238E27FC236}">
              <a16:creationId xmlns:a16="http://schemas.microsoft.com/office/drawing/2014/main" id="{F31E9FFB-9FA9-4D43-89ED-98FA0538A8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89" name="x_Picture 1" descr="Description: cid:image001.png@01D03949.49457930">
          <a:extLst>
            <a:ext uri="{FF2B5EF4-FFF2-40B4-BE49-F238E27FC236}">
              <a16:creationId xmlns:a16="http://schemas.microsoft.com/office/drawing/2014/main" id="{8ACCFF24-3C79-4E57-881A-BA8ABB244C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0" name="x_Picture 1" descr="Description: cid:image001.png@01D03949.49457930">
          <a:extLst>
            <a:ext uri="{FF2B5EF4-FFF2-40B4-BE49-F238E27FC236}">
              <a16:creationId xmlns:a16="http://schemas.microsoft.com/office/drawing/2014/main" id="{DA75CCE9-C6DD-4BEE-8FC3-39DB5723BA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1" name="x_Picture 1" descr="Description: cid:image001.png@01D03949.49457930">
          <a:extLst>
            <a:ext uri="{FF2B5EF4-FFF2-40B4-BE49-F238E27FC236}">
              <a16:creationId xmlns:a16="http://schemas.microsoft.com/office/drawing/2014/main" id="{A0F7A0CD-715E-4862-BE63-CD99A339D42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2" name="x_Picture 1" descr="Description: cid:image001.png@01D03949.49457930">
          <a:extLst>
            <a:ext uri="{FF2B5EF4-FFF2-40B4-BE49-F238E27FC236}">
              <a16:creationId xmlns:a16="http://schemas.microsoft.com/office/drawing/2014/main" id="{C151CC4E-FDA6-4F8B-91ED-109EC2FB05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3" name="x_Picture 1" descr="Description: cid:image001.png@01D03949.49457930">
          <a:extLst>
            <a:ext uri="{FF2B5EF4-FFF2-40B4-BE49-F238E27FC236}">
              <a16:creationId xmlns:a16="http://schemas.microsoft.com/office/drawing/2014/main" id="{3666B871-D5F6-4621-A27D-53378DEFC33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4" name="x_Picture 1" descr="Description: cid:image001.png@01D03949.49457930">
          <a:extLst>
            <a:ext uri="{FF2B5EF4-FFF2-40B4-BE49-F238E27FC236}">
              <a16:creationId xmlns:a16="http://schemas.microsoft.com/office/drawing/2014/main" id="{5B5BB8D6-F15C-49E9-AC4D-C662507B0A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5" name="x_Picture 1" descr="Description: cid:image001.png@01D03949.49457930">
          <a:extLst>
            <a:ext uri="{FF2B5EF4-FFF2-40B4-BE49-F238E27FC236}">
              <a16:creationId xmlns:a16="http://schemas.microsoft.com/office/drawing/2014/main" id="{BA48C720-FB44-461C-9F3A-D1C81A89071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6" name="x_Picture 1" descr="Description: cid:image001.png@01D03949.49457930">
          <a:extLst>
            <a:ext uri="{FF2B5EF4-FFF2-40B4-BE49-F238E27FC236}">
              <a16:creationId xmlns:a16="http://schemas.microsoft.com/office/drawing/2014/main" id="{267BEC22-EEE0-4EA6-AF22-C948571EDA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7" name="x_Picture 1" descr="Description: cid:image001.png@01D03949.49457930">
          <a:extLst>
            <a:ext uri="{FF2B5EF4-FFF2-40B4-BE49-F238E27FC236}">
              <a16:creationId xmlns:a16="http://schemas.microsoft.com/office/drawing/2014/main" id="{456DCE6D-E16A-4862-BE65-9F115B5215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8" name="x_Picture 1" descr="Description: cid:image001.png@01D03949.49457930">
          <a:extLst>
            <a:ext uri="{FF2B5EF4-FFF2-40B4-BE49-F238E27FC236}">
              <a16:creationId xmlns:a16="http://schemas.microsoft.com/office/drawing/2014/main" id="{B2CAA15B-1453-4445-90F6-5D17A674BE4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499" name="x_Picture 1" descr="Description: cid:image001.png@01D03949.49457930">
          <a:extLst>
            <a:ext uri="{FF2B5EF4-FFF2-40B4-BE49-F238E27FC236}">
              <a16:creationId xmlns:a16="http://schemas.microsoft.com/office/drawing/2014/main" id="{2A383662-BD6D-4401-B3E2-C384D2047F1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00" name="x_Picture 1" descr="Description: cid:image001.png@01D03949.49457930">
          <a:extLst>
            <a:ext uri="{FF2B5EF4-FFF2-40B4-BE49-F238E27FC236}">
              <a16:creationId xmlns:a16="http://schemas.microsoft.com/office/drawing/2014/main" id="{F40D2147-CF3D-47AF-84C1-BF501AD71F3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01" name="x_Picture 1" descr="Description: cid:image001.png@01D03949.49457930">
          <a:extLst>
            <a:ext uri="{FF2B5EF4-FFF2-40B4-BE49-F238E27FC236}">
              <a16:creationId xmlns:a16="http://schemas.microsoft.com/office/drawing/2014/main" id="{92319D55-A050-46B4-9F04-2F01B34C10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02" name="x_Picture 1" descr="Description: cid:image001.png@01D03949.49457930">
          <a:extLst>
            <a:ext uri="{FF2B5EF4-FFF2-40B4-BE49-F238E27FC236}">
              <a16:creationId xmlns:a16="http://schemas.microsoft.com/office/drawing/2014/main" id="{3D9C142C-29D2-490E-AE37-92569278D8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03" name="x_Picture 1" descr="Description: cid:image001.png@01D03949.49457930">
          <a:extLst>
            <a:ext uri="{FF2B5EF4-FFF2-40B4-BE49-F238E27FC236}">
              <a16:creationId xmlns:a16="http://schemas.microsoft.com/office/drawing/2014/main" id="{C701EE1F-871A-473E-963B-6D3AA73A1E4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04" name="x_Picture 1" descr="Description: cid:image001.png@01D03949.49457930">
          <a:extLst>
            <a:ext uri="{FF2B5EF4-FFF2-40B4-BE49-F238E27FC236}">
              <a16:creationId xmlns:a16="http://schemas.microsoft.com/office/drawing/2014/main" id="{1DEC396B-DFF5-4AF2-AB6F-5E1A6F88C7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05" name="x_Picture 1" descr="Description: cid:image001.png@01D03949.49457930">
          <a:extLst>
            <a:ext uri="{FF2B5EF4-FFF2-40B4-BE49-F238E27FC236}">
              <a16:creationId xmlns:a16="http://schemas.microsoft.com/office/drawing/2014/main" id="{6415A79D-F7D3-453E-9337-7071280FD6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06" name="x_Picture 1" descr="Description: cid:image001.png@01D03949.49457930">
          <a:extLst>
            <a:ext uri="{FF2B5EF4-FFF2-40B4-BE49-F238E27FC236}">
              <a16:creationId xmlns:a16="http://schemas.microsoft.com/office/drawing/2014/main" id="{CDDF0B30-F379-45BA-8FF8-5D336898F0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07" name="x_Picture 1" descr="Description: cid:image001.png@01D03949.49457930">
          <a:extLst>
            <a:ext uri="{FF2B5EF4-FFF2-40B4-BE49-F238E27FC236}">
              <a16:creationId xmlns:a16="http://schemas.microsoft.com/office/drawing/2014/main" id="{7F7BEB1D-64E1-440B-B680-C6B4814F9C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08" name="x_Picture 1" descr="Description: cid:image001.png@01D03949.49457930">
          <a:extLst>
            <a:ext uri="{FF2B5EF4-FFF2-40B4-BE49-F238E27FC236}">
              <a16:creationId xmlns:a16="http://schemas.microsoft.com/office/drawing/2014/main" id="{C1815C44-DC7A-452C-AB06-791D6268A6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09" name="x_Picture 1" descr="Description: cid:image001.png@01D03949.49457930">
          <a:extLst>
            <a:ext uri="{FF2B5EF4-FFF2-40B4-BE49-F238E27FC236}">
              <a16:creationId xmlns:a16="http://schemas.microsoft.com/office/drawing/2014/main" id="{D1153C8F-DE70-416F-94AA-A9C1292E2A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10" name="x_Picture 1" descr="Description: cid:image001.png@01D03949.49457930">
          <a:extLst>
            <a:ext uri="{FF2B5EF4-FFF2-40B4-BE49-F238E27FC236}">
              <a16:creationId xmlns:a16="http://schemas.microsoft.com/office/drawing/2014/main" id="{4F5771D0-0C9D-46AD-9643-681BEB3164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11" name="x_Picture 1" descr="Description: cid:image001.png@01D03949.49457930">
          <a:extLst>
            <a:ext uri="{FF2B5EF4-FFF2-40B4-BE49-F238E27FC236}">
              <a16:creationId xmlns:a16="http://schemas.microsoft.com/office/drawing/2014/main" id="{3D4B7EB8-E6EB-4248-874E-6EA9D0018D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12" name="x_Picture 1" descr="Description: cid:image001.png@01D03949.49457930">
          <a:extLst>
            <a:ext uri="{FF2B5EF4-FFF2-40B4-BE49-F238E27FC236}">
              <a16:creationId xmlns:a16="http://schemas.microsoft.com/office/drawing/2014/main" id="{FB327C32-71A3-478C-AF04-C4D157514B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13" name="x_Picture 1" descr="Description: cid:image001.png@01D03949.49457930">
          <a:extLst>
            <a:ext uri="{FF2B5EF4-FFF2-40B4-BE49-F238E27FC236}">
              <a16:creationId xmlns:a16="http://schemas.microsoft.com/office/drawing/2014/main" id="{1DC6B208-0A38-435D-9AEA-A3B473D888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14" name="x_Picture 1" descr="Description: cid:image001.png@01D03949.49457930">
          <a:extLst>
            <a:ext uri="{FF2B5EF4-FFF2-40B4-BE49-F238E27FC236}">
              <a16:creationId xmlns:a16="http://schemas.microsoft.com/office/drawing/2014/main" id="{3CA768E9-1DE5-4D5B-A54F-3138D345C5B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15" name="x_Picture 1" descr="Description: cid:image001.png@01D03949.49457930">
          <a:extLst>
            <a:ext uri="{FF2B5EF4-FFF2-40B4-BE49-F238E27FC236}">
              <a16:creationId xmlns:a16="http://schemas.microsoft.com/office/drawing/2014/main" id="{4B94E847-697D-4F96-96B9-CBEC103612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16" name="x_Picture 1" descr="Description: cid:image001.png@01D03949.49457930">
          <a:extLst>
            <a:ext uri="{FF2B5EF4-FFF2-40B4-BE49-F238E27FC236}">
              <a16:creationId xmlns:a16="http://schemas.microsoft.com/office/drawing/2014/main" id="{C7F1F416-422A-4B3F-A44A-78EF51C09E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17" name="x_Picture 1" descr="Description: cid:image001.png@01D03949.49457930">
          <a:extLst>
            <a:ext uri="{FF2B5EF4-FFF2-40B4-BE49-F238E27FC236}">
              <a16:creationId xmlns:a16="http://schemas.microsoft.com/office/drawing/2014/main" id="{50AD9DFF-4B5D-47AD-B2AB-3F5898C5C4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18" name="x_Picture 1" descr="Description: cid:image001.png@01D03949.49457930">
          <a:extLst>
            <a:ext uri="{FF2B5EF4-FFF2-40B4-BE49-F238E27FC236}">
              <a16:creationId xmlns:a16="http://schemas.microsoft.com/office/drawing/2014/main" id="{3053A087-EB1B-4B25-857D-452EA4BB6D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19" name="x_Picture 1" descr="Description: cid:image001.png@01D03949.49457930">
          <a:extLst>
            <a:ext uri="{FF2B5EF4-FFF2-40B4-BE49-F238E27FC236}">
              <a16:creationId xmlns:a16="http://schemas.microsoft.com/office/drawing/2014/main" id="{8229EDC0-3576-4CB7-90C8-A5013AAE51A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20" name="x_Picture 1" descr="Description: cid:image001.png@01D03949.49457930">
          <a:extLst>
            <a:ext uri="{FF2B5EF4-FFF2-40B4-BE49-F238E27FC236}">
              <a16:creationId xmlns:a16="http://schemas.microsoft.com/office/drawing/2014/main" id="{0242FFEF-8B37-42A4-B0C4-55104CCBF7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21" name="x_Picture 1" descr="Description: cid:image001.png@01D03949.49457930">
          <a:extLst>
            <a:ext uri="{FF2B5EF4-FFF2-40B4-BE49-F238E27FC236}">
              <a16:creationId xmlns:a16="http://schemas.microsoft.com/office/drawing/2014/main" id="{53DBC5AC-DBD8-4F5D-8716-EB6BF131C9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22" name="x_Picture 1" descr="Description: cid:image001.png@01D03949.49457930">
          <a:extLst>
            <a:ext uri="{FF2B5EF4-FFF2-40B4-BE49-F238E27FC236}">
              <a16:creationId xmlns:a16="http://schemas.microsoft.com/office/drawing/2014/main" id="{B7E012C1-0E4E-4A20-98B5-2BA7E44EED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23" name="x_Picture 1" descr="Description: cid:image001.png@01D03949.49457930">
          <a:extLst>
            <a:ext uri="{FF2B5EF4-FFF2-40B4-BE49-F238E27FC236}">
              <a16:creationId xmlns:a16="http://schemas.microsoft.com/office/drawing/2014/main" id="{9D681EEC-B913-4302-8898-6826650F47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24" name="x_Picture 1" descr="Description: cid:image001.png@01D03949.49457930">
          <a:extLst>
            <a:ext uri="{FF2B5EF4-FFF2-40B4-BE49-F238E27FC236}">
              <a16:creationId xmlns:a16="http://schemas.microsoft.com/office/drawing/2014/main" id="{515C5D90-0F02-4DB9-B8BA-1569FDE069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25" name="x_Picture 1" descr="Description: cid:image001.png@01D03949.49457930">
          <a:extLst>
            <a:ext uri="{FF2B5EF4-FFF2-40B4-BE49-F238E27FC236}">
              <a16:creationId xmlns:a16="http://schemas.microsoft.com/office/drawing/2014/main" id="{110938C4-C0C9-406B-AA56-39F505B8FA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26" name="x_Picture 1" descr="Description: cid:image001.png@01D03949.49457930">
          <a:extLst>
            <a:ext uri="{FF2B5EF4-FFF2-40B4-BE49-F238E27FC236}">
              <a16:creationId xmlns:a16="http://schemas.microsoft.com/office/drawing/2014/main" id="{0AF93AAE-0DDA-4A39-B0E3-B67601174A5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27" name="x_Picture 1" descr="Description: cid:image001.png@01D03949.49457930">
          <a:extLst>
            <a:ext uri="{FF2B5EF4-FFF2-40B4-BE49-F238E27FC236}">
              <a16:creationId xmlns:a16="http://schemas.microsoft.com/office/drawing/2014/main" id="{309EBFBD-673D-4938-93B1-22D5FA198D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28" name="x_Picture 1" descr="Description: cid:image001.png@01D03949.49457930">
          <a:extLst>
            <a:ext uri="{FF2B5EF4-FFF2-40B4-BE49-F238E27FC236}">
              <a16:creationId xmlns:a16="http://schemas.microsoft.com/office/drawing/2014/main" id="{7ADDC330-86B6-40FF-93D2-9BDE3FB663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29" name="x_Picture 1" descr="Description: cid:image001.png@01D03949.49457930">
          <a:extLst>
            <a:ext uri="{FF2B5EF4-FFF2-40B4-BE49-F238E27FC236}">
              <a16:creationId xmlns:a16="http://schemas.microsoft.com/office/drawing/2014/main" id="{533727A5-10C8-49BB-AD40-6A582DE5CB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30" name="x_Picture 1" descr="Description: cid:image001.png@01D03949.49457930">
          <a:extLst>
            <a:ext uri="{FF2B5EF4-FFF2-40B4-BE49-F238E27FC236}">
              <a16:creationId xmlns:a16="http://schemas.microsoft.com/office/drawing/2014/main" id="{42BEE71D-C914-4CDB-A4F9-F9DB28A29C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31" name="x_Picture 1" descr="Description: cid:image001.png@01D03949.49457930">
          <a:extLst>
            <a:ext uri="{FF2B5EF4-FFF2-40B4-BE49-F238E27FC236}">
              <a16:creationId xmlns:a16="http://schemas.microsoft.com/office/drawing/2014/main" id="{B757E995-BB34-4B31-BC1C-96B7A29AD59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32" name="x_Picture 1" descr="Description: cid:image001.png@01D03949.49457930">
          <a:extLst>
            <a:ext uri="{FF2B5EF4-FFF2-40B4-BE49-F238E27FC236}">
              <a16:creationId xmlns:a16="http://schemas.microsoft.com/office/drawing/2014/main" id="{C0776709-9EAD-48C2-8D38-8A3D3DA68B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33" name="x_Picture 1" descr="Description: cid:image001.png@01D03949.49457930">
          <a:extLst>
            <a:ext uri="{FF2B5EF4-FFF2-40B4-BE49-F238E27FC236}">
              <a16:creationId xmlns:a16="http://schemas.microsoft.com/office/drawing/2014/main" id="{7F6DBF7E-AC8F-41D8-BA76-8F7A63EE87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34" name="x_Picture 1" descr="Description: cid:image001.png@01D03949.49457930">
          <a:extLst>
            <a:ext uri="{FF2B5EF4-FFF2-40B4-BE49-F238E27FC236}">
              <a16:creationId xmlns:a16="http://schemas.microsoft.com/office/drawing/2014/main" id="{0022ABE1-2DF4-4178-92B6-866BB7C536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35" name="x_Picture 1" descr="Description: cid:image001.png@01D03949.49457930">
          <a:extLst>
            <a:ext uri="{FF2B5EF4-FFF2-40B4-BE49-F238E27FC236}">
              <a16:creationId xmlns:a16="http://schemas.microsoft.com/office/drawing/2014/main" id="{E58C2F49-6650-4925-98EE-3630E3863F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36" name="x_Picture 1" descr="Description: cid:image001.png@01D03949.49457930">
          <a:extLst>
            <a:ext uri="{FF2B5EF4-FFF2-40B4-BE49-F238E27FC236}">
              <a16:creationId xmlns:a16="http://schemas.microsoft.com/office/drawing/2014/main" id="{2FBB9089-B838-439C-B039-D8F84CD208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37" name="x_Picture 1" descr="Description: cid:image001.png@01D03949.49457930">
          <a:extLst>
            <a:ext uri="{FF2B5EF4-FFF2-40B4-BE49-F238E27FC236}">
              <a16:creationId xmlns:a16="http://schemas.microsoft.com/office/drawing/2014/main" id="{B751E890-A860-4F2B-8906-A74A7D37B4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38" name="x_Picture 1" descr="Description: cid:image001.png@01D03949.49457930">
          <a:extLst>
            <a:ext uri="{FF2B5EF4-FFF2-40B4-BE49-F238E27FC236}">
              <a16:creationId xmlns:a16="http://schemas.microsoft.com/office/drawing/2014/main" id="{5395B18D-EC32-4553-948D-5AAC5114A89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39" name="x_Picture 1" descr="Description: cid:image001.png@01D03949.49457930">
          <a:extLst>
            <a:ext uri="{FF2B5EF4-FFF2-40B4-BE49-F238E27FC236}">
              <a16:creationId xmlns:a16="http://schemas.microsoft.com/office/drawing/2014/main" id="{AADFA916-1839-4797-BA54-1E86D630AC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40" name="x_Picture 1" descr="Description: cid:image001.png@01D03949.49457930">
          <a:extLst>
            <a:ext uri="{FF2B5EF4-FFF2-40B4-BE49-F238E27FC236}">
              <a16:creationId xmlns:a16="http://schemas.microsoft.com/office/drawing/2014/main" id="{73C363C0-F74D-4747-85BD-BA7A8B0801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41" name="x_Picture 1" descr="Description: cid:image001.png@01D03949.49457930">
          <a:extLst>
            <a:ext uri="{FF2B5EF4-FFF2-40B4-BE49-F238E27FC236}">
              <a16:creationId xmlns:a16="http://schemas.microsoft.com/office/drawing/2014/main" id="{8CABEC36-01DB-4271-937D-1FDC93DF54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42" name="x_Picture 1" descr="Description: cid:image001.png@01D03949.49457930">
          <a:extLst>
            <a:ext uri="{FF2B5EF4-FFF2-40B4-BE49-F238E27FC236}">
              <a16:creationId xmlns:a16="http://schemas.microsoft.com/office/drawing/2014/main" id="{E45B21DE-6BD2-4217-9F47-687D46A2FE7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43" name="x_Picture 1" descr="Description: cid:image001.png@01D03949.49457930">
          <a:extLst>
            <a:ext uri="{FF2B5EF4-FFF2-40B4-BE49-F238E27FC236}">
              <a16:creationId xmlns:a16="http://schemas.microsoft.com/office/drawing/2014/main" id="{22D9ED61-F068-4001-A750-AF10365798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44" name="x_Picture 1" descr="Description: cid:image001.png@01D03949.49457930">
          <a:extLst>
            <a:ext uri="{FF2B5EF4-FFF2-40B4-BE49-F238E27FC236}">
              <a16:creationId xmlns:a16="http://schemas.microsoft.com/office/drawing/2014/main" id="{ADADF80A-C31E-4C0E-B87A-D4C65EB8E0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45" name="x_Picture 1" descr="Description: cid:image001.png@01D03949.49457930">
          <a:extLst>
            <a:ext uri="{FF2B5EF4-FFF2-40B4-BE49-F238E27FC236}">
              <a16:creationId xmlns:a16="http://schemas.microsoft.com/office/drawing/2014/main" id="{3D43AD93-341D-45CC-BCE3-5CF33CEF05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46" name="x_Picture 1" descr="Description: cid:image001.png@01D03949.49457930">
          <a:extLst>
            <a:ext uri="{FF2B5EF4-FFF2-40B4-BE49-F238E27FC236}">
              <a16:creationId xmlns:a16="http://schemas.microsoft.com/office/drawing/2014/main" id="{C9199E08-A53F-42B5-BFD7-48FFF4DBC5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47" name="x_Picture 1" descr="Description: cid:image001.png@01D03949.49457930">
          <a:extLst>
            <a:ext uri="{FF2B5EF4-FFF2-40B4-BE49-F238E27FC236}">
              <a16:creationId xmlns:a16="http://schemas.microsoft.com/office/drawing/2014/main" id="{2BE4751F-873D-4F7D-80A3-73B80F3199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48" name="x_Picture 1" descr="Description: cid:image001.png@01D03949.49457930">
          <a:extLst>
            <a:ext uri="{FF2B5EF4-FFF2-40B4-BE49-F238E27FC236}">
              <a16:creationId xmlns:a16="http://schemas.microsoft.com/office/drawing/2014/main" id="{FE13DB26-C128-4165-9811-83D428DED7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49" name="x_Picture 1" descr="Description: cid:image001.png@01D03949.49457930">
          <a:extLst>
            <a:ext uri="{FF2B5EF4-FFF2-40B4-BE49-F238E27FC236}">
              <a16:creationId xmlns:a16="http://schemas.microsoft.com/office/drawing/2014/main" id="{9F9D986C-C35F-4E70-9268-32DEDD4F13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50" name="x_Picture 1" descr="Description: cid:image001.png@01D03949.49457930">
          <a:extLst>
            <a:ext uri="{FF2B5EF4-FFF2-40B4-BE49-F238E27FC236}">
              <a16:creationId xmlns:a16="http://schemas.microsoft.com/office/drawing/2014/main" id="{A64A4F43-3EB0-4262-BA0A-A4F98D402B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51" name="x_Picture 1" descr="Description: cid:image001.png@01D03949.49457930">
          <a:extLst>
            <a:ext uri="{FF2B5EF4-FFF2-40B4-BE49-F238E27FC236}">
              <a16:creationId xmlns:a16="http://schemas.microsoft.com/office/drawing/2014/main" id="{2616ADE1-7AC5-46E6-829A-810258A2F6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52" name="x_Picture 1" descr="Description: cid:image001.png@01D03949.49457930">
          <a:extLst>
            <a:ext uri="{FF2B5EF4-FFF2-40B4-BE49-F238E27FC236}">
              <a16:creationId xmlns:a16="http://schemas.microsoft.com/office/drawing/2014/main" id="{050D7DAB-B896-4E9F-B211-3C553B6F59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53" name="x_Picture 1" descr="Description: cid:image001.png@01D03949.49457930">
          <a:extLst>
            <a:ext uri="{FF2B5EF4-FFF2-40B4-BE49-F238E27FC236}">
              <a16:creationId xmlns:a16="http://schemas.microsoft.com/office/drawing/2014/main" id="{24754268-0390-4EF6-AE88-DF4B192603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54" name="x_Picture 1" descr="Description: cid:image001.png@01D03949.49457930">
          <a:extLst>
            <a:ext uri="{FF2B5EF4-FFF2-40B4-BE49-F238E27FC236}">
              <a16:creationId xmlns:a16="http://schemas.microsoft.com/office/drawing/2014/main" id="{43F2A8B9-6818-4796-BD16-62AA411638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55" name="x_Picture 1" descr="Description: cid:image001.png@01D03949.49457930">
          <a:extLst>
            <a:ext uri="{FF2B5EF4-FFF2-40B4-BE49-F238E27FC236}">
              <a16:creationId xmlns:a16="http://schemas.microsoft.com/office/drawing/2014/main" id="{16D13D40-7B0F-4A5E-BB77-8D8A3440C1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56" name="x_Picture 1" descr="Description: cid:image001.png@01D03949.49457930">
          <a:extLst>
            <a:ext uri="{FF2B5EF4-FFF2-40B4-BE49-F238E27FC236}">
              <a16:creationId xmlns:a16="http://schemas.microsoft.com/office/drawing/2014/main" id="{908ABC6F-DC53-4BFD-86C0-8127EF6871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57" name="x_Picture 1" descr="Description: cid:image001.png@01D03949.49457930">
          <a:extLst>
            <a:ext uri="{FF2B5EF4-FFF2-40B4-BE49-F238E27FC236}">
              <a16:creationId xmlns:a16="http://schemas.microsoft.com/office/drawing/2014/main" id="{1D88BED1-F77B-4B0B-B0E6-15F7C5E769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58" name="x_Picture 1" descr="Description: cid:image001.png@01D03949.49457930">
          <a:extLst>
            <a:ext uri="{FF2B5EF4-FFF2-40B4-BE49-F238E27FC236}">
              <a16:creationId xmlns:a16="http://schemas.microsoft.com/office/drawing/2014/main" id="{26618D3E-8FC8-4D6E-BC91-B9AC1ABDA8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59" name="x_Picture 1" descr="Description: cid:image001.png@01D03949.49457930">
          <a:extLst>
            <a:ext uri="{FF2B5EF4-FFF2-40B4-BE49-F238E27FC236}">
              <a16:creationId xmlns:a16="http://schemas.microsoft.com/office/drawing/2014/main" id="{185647A8-698D-4093-B99F-A9518A8722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60" name="x_Picture 1" descr="Description: cid:image001.png@01D03949.49457930">
          <a:extLst>
            <a:ext uri="{FF2B5EF4-FFF2-40B4-BE49-F238E27FC236}">
              <a16:creationId xmlns:a16="http://schemas.microsoft.com/office/drawing/2014/main" id="{3E335AE1-ED4E-4F55-B92B-2596FB5015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61" name="x_Picture 1" descr="Description: cid:image001.png@01D03949.49457930">
          <a:extLst>
            <a:ext uri="{FF2B5EF4-FFF2-40B4-BE49-F238E27FC236}">
              <a16:creationId xmlns:a16="http://schemas.microsoft.com/office/drawing/2014/main" id="{932F8F37-C6AC-4574-8968-34EC2DD9CF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62" name="x_Picture 1" descr="Description: cid:image001.png@01D03949.49457930">
          <a:extLst>
            <a:ext uri="{FF2B5EF4-FFF2-40B4-BE49-F238E27FC236}">
              <a16:creationId xmlns:a16="http://schemas.microsoft.com/office/drawing/2014/main" id="{9FD4BF12-0EA4-46E1-B792-85B7687FBC3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63" name="x_Picture 1" descr="Description: cid:image001.png@01D03949.49457930">
          <a:extLst>
            <a:ext uri="{FF2B5EF4-FFF2-40B4-BE49-F238E27FC236}">
              <a16:creationId xmlns:a16="http://schemas.microsoft.com/office/drawing/2014/main" id="{379FF57A-479E-4B1E-9C8C-F47780D2C17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64" name="x_Picture 1" descr="Description: cid:image001.png@01D03949.49457930">
          <a:extLst>
            <a:ext uri="{FF2B5EF4-FFF2-40B4-BE49-F238E27FC236}">
              <a16:creationId xmlns:a16="http://schemas.microsoft.com/office/drawing/2014/main" id="{F718191E-95D1-4EDB-A67C-BC5B4C9E01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65" name="x_Picture 1" descr="Description: cid:image001.png@01D03949.49457930">
          <a:extLst>
            <a:ext uri="{FF2B5EF4-FFF2-40B4-BE49-F238E27FC236}">
              <a16:creationId xmlns:a16="http://schemas.microsoft.com/office/drawing/2014/main" id="{4D0C30AE-E821-4F79-944A-D194D655F6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66" name="x_Picture 1" descr="Description: cid:image001.png@01D03949.49457930">
          <a:extLst>
            <a:ext uri="{FF2B5EF4-FFF2-40B4-BE49-F238E27FC236}">
              <a16:creationId xmlns:a16="http://schemas.microsoft.com/office/drawing/2014/main" id="{5CBF8CBC-3B1B-4F63-9ED8-F42B001FEE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67" name="x_Picture 1" descr="Description: cid:image001.png@01D03949.49457930">
          <a:extLst>
            <a:ext uri="{FF2B5EF4-FFF2-40B4-BE49-F238E27FC236}">
              <a16:creationId xmlns:a16="http://schemas.microsoft.com/office/drawing/2014/main" id="{D8CB5F25-B018-4629-A9ED-A2277B6FD6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68" name="x_Picture 1" descr="Description: cid:image001.png@01D03949.49457930">
          <a:extLst>
            <a:ext uri="{FF2B5EF4-FFF2-40B4-BE49-F238E27FC236}">
              <a16:creationId xmlns:a16="http://schemas.microsoft.com/office/drawing/2014/main" id="{C7124462-2450-4E0C-A16E-32008A74D6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69" name="x_Picture 1" descr="Description: cid:image001.png@01D03949.49457930">
          <a:extLst>
            <a:ext uri="{FF2B5EF4-FFF2-40B4-BE49-F238E27FC236}">
              <a16:creationId xmlns:a16="http://schemas.microsoft.com/office/drawing/2014/main" id="{20232B73-4EBA-46D1-914D-AB90430B19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70" name="x_Picture 1" descr="Description: cid:image001.png@01D03949.49457930">
          <a:extLst>
            <a:ext uri="{FF2B5EF4-FFF2-40B4-BE49-F238E27FC236}">
              <a16:creationId xmlns:a16="http://schemas.microsoft.com/office/drawing/2014/main" id="{B4E5DB76-EAA8-4DD9-B2E8-17798B3B9E7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71" name="x_Picture 1" descr="Description: cid:image001.png@01D03949.49457930">
          <a:extLst>
            <a:ext uri="{FF2B5EF4-FFF2-40B4-BE49-F238E27FC236}">
              <a16:creationId xmlns:a16="http://schemas.microsoft.com/office/drawing/2014/main" id="{F359B157-66F4-4B21-ACFD-C1FF96F522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72" name="x_Picture 1" descr="Description: cid:image001.png@01D03949.49457930">
          <a:extLst>
            <a:ext uri="{FF2B5EF4-FFF2-40B4-BE49-F238E27FC236}">
              <a16:creationId xmlns:a16="http://schemas.microsoft.com/office/drawing/2014/main" id="{FB88B9BC-D5AD-423A-8035-630E6FE312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73" name="x_Picture 1" descr="Description: cid:image001.png@01D03949.49457930">
          <a:extLst>
            <a:ext uri="{FF2B5EF4-FFF2-40B4-BE49-F238E27FC236}">
              <a16:creationId xmlns:a16="http://schemas.microsoft.com/office/drawing/2014/main" id="{9B3386B4-068A-43E7-BC57-4623D6540D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74" name="x_Picture 1" descr="Description: cid:image001.png@01D03949.49457930">
          <a:extLst>
            <a:ext uri="{FF2B5EF4-FFF2-40B4-BE49-F238E27FC236}">
              <a16:creationId xmlns:a16="http://schemas.microsoft.com/office/drawing/2014/main" id="{654DDF6A-DB51-4E82-84EE-0AF1E163CD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75" name="x_Picture 1" descr="Description: cid:image001.png@01D03949.49457930">
          <a:extLst>
            <a:ext uri="{FF2B5EF4-FFF2-40B4-BE49-F238E27FC236}">
              <a16:creationId xmlns:a16="http://schemas.microsoft.com/office/drawing/2014/main" id="{A842C76B-2830-4ABB-8868-15814265C2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76" name="x_Picture 1" descr="Description: cid:image001.png@01D03949.49457930">
          <a:extLst>
            <a:ext uri="{FF2B5EF4-FFF2-40B4-BE49-F238E27FC236}">
              <a16:creationId xmlns:a16="http://schemas.microsoft.com/office/drawing/2014/main" id="{8EDFF515-7F7B-495C-8837-E2A49F701C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77" name="x_Picture 1" descr="Description: cid:image001.png@01D03949.49457930">
          <a:extLst>
            <a:ext uri="{FF2B5EF4-FFF2-40B4-BE49-F238E27FC236}">
              <a16:creationId xmlns:a16="http://schemas.microsoft.com/office/drawing/2014/main" id="{7B2E6CFF-6D8C-417A-B389-B754D84E1E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78" name="x_Picture 1" descr="Description: cid:image001.png@01D03949.49457930">
          <a:extLst>
            <a:ext uri="{FF2B5EF4-FFF2-40B4-BE49-F238E27FC236}">
              <a16:creationId xmlns:a16="http://schemas.microsoft.com/office/drawing/2014/main" id="{B63003A3-0F95-4EBE-AC66-C41CFFDA64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79" name="x_Picture 1" descr="Description: cid:image001.png@01D03949.49457930">
          <a:extLst>
            <a:ext uri="{FF2B5EF4-FFF2-40B4-BE49-F238E27FC236}">
              <a16:creationId xmlns:a16="http://schemas.microsoft.com/office/drawing/2014/main" id="{35C4140F-A5B0-4CF2-8C21-23A45026FE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80" name="x_Picture 1" descr="Description: cid:image001.png@01D03949.49457930">
          <a:extLst>
            <a:ext uri="{FF2B5EF4-FFF2-40B4-BE49-F238E27FC236}">
              <a16:creationId xmlns:a16="http://schemas.microsoft.com/office/drawing/2014/main" id="{35C400B8-1FD2-43C9-A2DD-51ACF9C0D8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81" name="x_Picture 1" descr="Description: cid:image001.png@01D03949.49457930">
          <a:extLst>
            <a:ext uri="{FF2B5EF4-FFF2-40B4-BE49-F238E27FC236}">
              <a16:creationId xmlns:a16="http://schemas.microsoft.com/office/drawing/2014/main" id="{EBA53C59-F217-4A9E-820D-1291C677862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82" name="x_Picture 1" descr="Description: cid:image001.png@01D03949.49457930">
          <a:extLst>
            <a:ext uri="{FF2B5EF4-FFF2-40B4-BE49-F238E27FC236}">
              <a16:creationId xmlns:a16="http://schemas.microsoft.com/office/drawing/2014/main" id="{94D1FBDC-2B8E-46A7-AA7E-D07D048776B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83" name="x_Picture 1" descr="Description: cid:image001.png@01D03949.49457930">
          <a:extLst>
            <a:ext uri="{FF2B5EF4-FFF2-40B4-BE49-F238E27FC236}">
              <a16:creationId xmlns:a16="http://schemas.microsoft.com/office/drawing/2014/main" id="{6E0CFB29-28DA-4283-B198-8FFB7A1669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84" name="x_Picture 1" descr="Description: cid:image001.png@01D03949.49457930">
          <a:extLst>
            <a:ext uri="{FF2B5EF4-FFF2-40B4-BE49-F238E27FC236}">
              <a16:creationId xmlns:a16="http://schemas.microsoft.com/office/drawing/2014/main" id="{C660710A-2148-42F7-84B4-FA4F810232A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85" name="x_Picture 1" descr="Description: cid:image001.png@01D03949.49457930">
          <a:extLst>
            <a:ext uri="{FF2B5EF4-FFF2-40B4-BE49-F238E27FC236}">
              <a16:creationId xmlns:a16="http://schemas.microsoft.com/office/drawing/2014/main" id="{9A99BE80-1AC9-45BF-9F4D-18D465A3C2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86" name="x_Picture 1" descr="Description: cid:image001.png@01D03949.49457930">
          <a:extLst>
            <a:ext uri="{FF2B5EF4-FFF2-40B4-BE49-F238E27FC236}">
              <a16:creationId xmlns:a16="http://schemas.microsoft.com/office/drawing/2014/main" id="{386E43EF-2768-4CC9-97B6-983B7A2ABB0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87" name="x_Picture 1" descr="Description: cid:image001.png@01D03949.49457930">
          <a:extLst>
            <a:ext uri="{FF2B5EF4-FFF2-40B4-BE49-F238E27FC236}">
              <a16:creationId xmlns:a16="http://schemas.microsoft.com/office/drawing/2014/main" id="{8D6D480F-E09A-403A-94D1-35C799E7FCD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88" name="x_Picture 1" descr="Description: cid:image001.png@01D03949.49457930">
          <a:extLst>
            <a:ext uri="{FF2B5EF4-FFF2-40B4-BE49-F238E27FC236}">
              <a16:creationId xmlns:a16="http://schemas.microsoft.com/office/drawing/2014/main" id="{50CC39A2-64AB-4560-8408-28382D3E53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89" name="x_Picture 1" descr="Description: cid:image001.png@01D03949.49457930">
          <a:extLst>
            <a:ext uri="{FF2B5EF4-FFF2-40B4-BE49-F238E27FC236}">
              <a16:creationId xmlns:a16="http://schemas.microsoft.com/office/drawing/2014/main" id="{32A65A1C-C5BF-427A-9AF4-9DACC15598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90" name="x_Picture 1" descr="Description: cid:image001.png@01D03949.49457930">
          <a:extLst>
            <a:ext uri="{FF2B5EF4-FFF2-40B4-BE49-F238E27FC236}">
              <a16:creationId xmlns:a16="http://schemas.microsoft.com/office/drawing/2014/main" id="{3124FA20-49E7-4583-9946-7420A2EBA4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91" name="x_Picture 1" descr="Description: cid:image001.png@01D03949.49457930">
          <a:extLst>
            <a:ext uri="{FF2B5EF4-FFF2-40B4-BE49-F238E27FC236}">
              <a16:creationId xmlns:a16="http://schemas.microsoft.com/office/drawing/2014/main" id="{143DFB21-ECC5-4F06-9F01-20F50B49E2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92" name="x_Picture 1" descr="Description: cid:image001.png@01D03949.49457930">
          <a:extLst>
            <a:ext uri="{FF2B5EF4-FFF2-40B4-BE49-F238E27FC236}">
              <a16:creationId xmlns:a16="http://schemas.microsoft.com/office/drawing/2014/main" id="{E6282769-5FA5-4E34-AF3B-9BA6663198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93" name="x_Picture 1" descr="Description: cid:image001.png@01D03949.49457930">
          <a:extLst>
            <a:ext uri="{FF2B5EF4-FFF2-40B4-BE49-F238E27FC236}">
              <a16:creationId xmlns:a16="http://schemas.microsoft.com/office/drawing/2014/main" id="{99FDAB8C-8424-4289-B2A9-C6078EF661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94" name="x_Picture 1" descr="Description: cid:image001.png@01D03949.49457930">
          <a:extLst>
            <a:ext uri="{FF2B5EF4-FFF2-40B4-BE49-F238E27FC236}">
              <a16:creationId xmlns:a16="http://schemas.microsoft.com/office/drawing/2014/main" id="{E4325288-1275-4B78-B818-FB3B8E2710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95" name="x_Picture 1" descr="Description: cid:image001.png@01D03949.49457930">
          <a:extLst>
            <a:ext uri="{FF2B5EF4-FFF2-40B4-BE49-F238E27FC236}">
              <a16:creationId xmlns:a16="http://schemas.microsoft.com/office/drawing/2014/main" id="{6D0A7337-504F-433E-8B6A-6A2CBBA7C0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96" name="x_Picture 1" descr="Description: cid:image001.png@01D03949.49457930">
          <a:extLst>
            <a:ext uri="{FF2B5EF4-FFF2-40B4-BE49-F238E27FC236}">
              <a16:creationId xmlns:a16="http://schemas.microsoft.com/office/drawing/2014/main" id="{93D66764-2E4A-4C53-9429-01D2D6A271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97" name="x_Picture 1" descr="Description: cid:image001.png@01D03949.49457930">
          <a:extLst>
            <a:ext uri="{FF2B5EF4-FFF2-40B4-BE49-F238E27FC236}">
              <a16:creationId xmlns:a16="http://schemas.microsoft.com/office/drawing/2014/main" id="{190A81F2-933D-4D68-9E7E-74149A87E7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598" name="x_Picture 1" descr="Description: cid:image001.png@01D03949.49457930">
          <a:extLst>
            <a:ext uri="{FF2B5EF4-FFF2-40B4-BE49-F238E27FC236}">
              <a16:creationId xmlns:a16="http://schemas.microsoft.com/office/drawing/2014/main" id="{D91E4A8E-B875-48CE-99F0-97124172B7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599" name="x_Picture 1" descr="Description: cid:image001.png@01D03949.49457930">
          <a:extLst>
            <a:ext uri="{FF2B5EF4-FFF2-40B4-BE49-F238E27FC236}">
              <a16:creationId xmlns:a16="http://schemas.microsoft.com/office/drawing/2014/main" id="{E5D1FE18-DBA7-43A1-8CC4-DE75B41531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0" name="x_Picture 1" descr="Description: cid:image001.png@01D03949.49457930">
          <a:extLst>
            <a:ext uri="{FF2B5EF4-FFF2-40B4-BE49-F238E27FC236}">
              <a16:creationId xmlns:a16="http://schemas.microsoft.com/office/drawing/2014/main" id="{6E5C1AB9-BD0A-4690-BE3D-BD5E5E2809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1" name="x_Picture 1" descr="Description: cid:image001.png@01D03949.49457930">
          <a:extLst>
            <a:ext uri="{FF2B5EF4-FFF2-40B4-BE49-F238E27FC236}">
              <a16:creationId xmlns:a16="http://schemas.microsoft.com/office/drawing/2014/main" id="{15D49D26-3196-437D-ACCA-E64A4006A2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2" name="x_Picture 1" descr="Description: cid:image001.png@01D03949.49457930">
          <a:extLst>
            <a:ext uri="{FF2B5EF4-FFF2-40B4-BE49-F238E27FC236}">
              <a16:creationId xmlns:a16="http://schemas.microsoft.com/office/drawing/2014/main" id="{B857ABFC-E523-45FA-B7D3-AB1DB06031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3" name="x_Picture 1" descr="Description: cid:image001.png@01D03949.49457930">
          <a:extLst>
            <a:ext uri="{FF2B5EF4-FFF2-40B4-BE49-F238E27FC236}">
              <a16:creationId xmlns:a16="http://schemas.microsoft.com/office/drawing/2014/main" id="{A2206637-1DC3-42E3-9A22-70AEFAFFF8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4" name="x_Picture 1" descr="Description: cid:image001.png@01D03949.49457930">
          <a:extLst>
            <a:ext uri="{FF2B5EF4-FFF2-40B4-BE49-F238E27FC236}">
              <a16:creationId xmlns:a16="http://schemas.microsoft.com/office/drawing/2014/main" id="{CA72057D-9F4D-43B3-A85D-FC3F83ADD1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5" name="x_Picture 1" descr="Description: cid:image001.png@01D03949.49457930">
          <a:extLst>
            <a:ext uri="{FF2B5EF4-FFF2-40B4-BE49-F238E27FC236}">
              <a16:creationId xmlns:a16="http://schemas.microsoft.com/office/drawing/2014/main" id="{5633D34B-E54B-47AE-A6CC-F9FB757B8E5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6" name="x_Picture 1" descr="Description: cid:image001.png@01D03949.49457930">
          <a:extLst>
            <a:ext uri="{FF2B5EF4-FFF2-40B4-BE49-F238E27FC236}">
              <a16:creationId xmlns:a16="http://schemas.microsoft.com/office/drawing/2014/main" id="{92A6FA0C-65BD-428D-9119-80017658A0D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7" name="x_Picture 1" descr="Description: cid:image001.png@01D03949.49457930">
          <a:extLst>
            <a:ext uri="{FF2B5EF4-FFF2-40B4-BE49-F238E27FC236}">
              <a16:creationId xmlns:a16="http://schemas.microsoft.com/office/drawing/2014/main" id="{791A3C8D-5D8F-41B8-8B49-4475F6D75AA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8" name="x_Picture 1" descr="Description: cid:image001.png@01D03949.49457930">
          <a:extLst>
            <a:ext uri="{FF2B5EF4-FFF2-40B4-BE49-F238E27FC236}">
              <a16:creationId xmlns:a16="http://schemas.microsoft.com/office/drawing/2014/main" id="{1158A65C-DDA4-41C5-946E-3C995F9BDE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09" name="x_Picture 1" descr="Description: cid:image001.png@01D03949.49457930">
          <a:extLst>
            <a:ext uri="{FF2B5EF4-FFF2-40B4-BE49-F238E27FC236}">
              <a16:creationId xmlns:a16="http://schemas.microsoft.com/office/drawing/2014/main" id="{0C4B8B9E-5C2F-4337-9725-0CD873A1D1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10" name="x_Picture 1" descr="Description: cid:image001.png@01D03949.49457930">
          <a:extLst>
            <a:ext uri="{FF2B5EF4-FFF2-40B4-BE49-F238E27FC236}">
              <a16:creationId xmlns:a16="http://schemas.microsoft.com/office/drawing/2014/main" id="{A2DA3C1D-B6BB-4962-BBCE-ED335B13A1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11" name="x_Picture 1" descr="Description: cid:image001.png@01D03949.49457930">
          <a:extLst>
            <a:ext uri="{FF2B5EF4-FFF2-40B4-BE49-F238E27FC236}">
              <a16:creationId xmlns:a16="http://schemas.microsoft.com/office/drawing/2014/main" id="{0681B7EF-4C24-43CE-91A5-76BA304DE2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12" name="x_Picture 1" descr="Description: cid:image001.png@01D03949.49457930">
          <a:extLst>
            <a:ext uri="{FF2B5EF4-FFF2-40B4-BE49-F238E27FC236}">
              <a16:creationId xmlns:a16="http://schemas.microsoft.com/office/drawing/2014/main" id="{AD53DCA8-DD3F-4150-93F9-8EA06E3945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13" name="x_Picture 1" descr="Description: cid:image001.png@01D03949.49457930">
          <a:extLst>
            <a:ext uri="{FF2B5EF4-FFF2-40B4-BE49-F238E27FC236}">
              <a16:creationId xmlns:a16="http://schemas.microsoft.com/office/drawing/2014/main" id="{04BE2C6F-2DA4-4401-8ABE-D27624E41B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14" name="x_Picture 1" descr="Description: cid:image001.png@01D03949.49457930">
          <a:extLst>
            <a:ext uri="{FF2B5EF4-FFF2-40B4-BE49-F238E27FC236}">
              <a16:creationId xmlns:a16="http://schemas.microsoft.com/office/drawing/2014/main" id="{2EC1677B-92B7-415B-AFBD-98C272E805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15" name="x_Picture 1" descr="Description: cid:image001.png@01D03949.49457930">
          <a:extLst>
            <a:ext uri="{FF2B5EF4-FFF2-40B4-BE49-F238E27FC236}">
              <a16:creationId xmlns:a16="http://schemas.microsoft.com/office/drawing/2014/main" id="{36B16D1F-C83B-4689-8D77-E66900489C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16" name="x_Picture 1" descr="Description: cid:image001.png@01D03949.49457930">
          <a:extLst>
            <a:ext uri="{FF2B5EF4-FFF2-40B4-BE49-F238E27FC236}">
              <a16:creationId xmlns:a16="http://schemas.microsoft.com/office/drawing/2014/main" id="{8A9C4008-B7FF-42A6-8D69-E114019F85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17" name="x_Picture 1" descr="Description: cid:image001.png@01D03949.49457930">
          <a:extLst>
            <a:ext uri="{FF2B5EF4-FFF2-40B4-BE49-F238E27FC236}">
              <a16:creationId xmlns:a16="http://schemas.microsoft.com/office/drawing/2014/main" id="{BD408AA0-210C-4777-B36B-5C0657E1751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18" name="x_Picture 1" descr="Description: cid:image001.png@01D03949.49457930">
          <a:extLst>
            <a:ext uri="{FF2B5EF4-FFF2-40B4-BE49-F238E27FC236}">
              <a16:creationId xmlns:a16="http://schemas.microsoft.com/office/drawing/2014/main" id="{84359907-6BFA-4F5A-B7C5-FAB0CECE90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19" name="x_Picture 1" descr="Description: cid:image001.png@01D03949.49457930">
          <a:extLst>
            <a:ext uri="{FF2B5EF4-FFF2-40B4-BE49-F238E27FC236}">
              <a16:creationId xmlns:a16="http://schemas.microsoft.com/office/drawing/2014/main" id="{3C7E3FA9-927C-463B-B8A2-C136537FE9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20" name="x_Picture 1" descr="Description: cid:image001.png@01D03949.49457930">
          <a:extLst>
            <a:ext uri="{FF2B5EF4-FFF2-40B4-BE49-F238E27FC236}">
              <a16:creationId xmlns:a16="http://schemas.microsoft.com/office/drawing/2014/main" id="{D705CA75-8B42-4E90-8C7A-EC62FD1E64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21" name="x_Picture 1" descr="Description: cid:image001.png@01D03949.49457930">
          <a:extLst>
            <a:ext uri="{FF2B5EF4-FFF2-40B4-BE49-F238E27FC236}">
              <a16:creationId xmlns:a16="http://schemas.microsoft.com/office/drawing/2014/main" id="{E00E1108-606D-4AE6-9E84-16697133A3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22" name="x_Picture 1" descr="Description: cid:image001.png@01D03949.49457930">
          <a:extLst>
            <a:ext uri="{FF2B5EF4-FFF2-40B4-BE49-F238E27FC236}">
              <a16:creationId xmlns:a16="http://schemas.microsoft.com/office/drawing/2014/main" id="{FCFBF8C7-9D29-486F-9847-7F3CA71689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23" name="x_Picture 1" descr="Description: cid:image001.png@01D03949.49457930">
          <a:extLst>
            <a:ext uri="{FF2B5EF4-FFF2-40B4-BE49-F238E27FC236}">
              <a16:creationId xmlns:a16="http://schemas.microsoft.com/office/drawing/2014/main" id="{5D953AD2-7DA6-4848-9D1B-68B4C14A83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24" name="x_Picture 1" descr="Description: cid:image001.png@01D03949.49457930">
          <a:extLst>
            <a:ext uri="{FF2B5EF4-FFF2-40B4-BE49-F238E27FC236}">
              <a16:creationId xmlns:a16="http://schemas.microsoft.com/office/drawing/2014/main" id="{C79A4EE6-1A27-4507-91A9-4A0EBD8880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25" name="x_Picture 1" descr="Description: cid:image001.png@01D03949.49457930">
          <a:extLst>
            <a:ext uri="{FF2B5EF4-FFF2-40B4-BE49-F238E27FC236}">
              <a16:creationId xmlns:a16="http://schemas.microsoft.com/office/drawing/2014/main" id="{069438B5-9712-401F-BF51-7281CB1E2D9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26" name="x_Picture 1" descr="Description: cid:image001.png@01D03949.49457930">
          <a:extLst>
            <a:ext uri="{FF2B5EF4-FFF2-40B4-BE49-F238E27FC236}">
              <a16:creationId xmlns:a16="http://schemas.microsoft.com/office/drawing/2014/main" id="{7678F0ED-3CBC-483D-B3F4-DFEA1AD540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27" name="x_Picture 1" descr="Description: cid:image001.png@01D03949.49457930">
          <a:extLst>
            <a:ext uri="{FF2B5EF4-FFF2-40B4-BE49-F238E27FC236}">
              <a16:creationId xmlns:a16="http://schemas.microsoft.com/office/drawing/2014/main" id="{CEA1AA38-AF96-4682-848E-656BF3A0A0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28" name="x_Picture 1" descr="Description: cid:image001.png@01D03949.49457930">
          <a:extLst>
            <a:ext uri="{FF2B5EF4-FFF2-40B4-BE49-F238E27FC236}">
              <a16:creationId xmlns:a16="http://schemas.microsoft.com/office/drawing/2014/main" id="{FB0C4D48-08EF-4D5D-B999-55D0D48896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29" name="x_Picture 1" descr="Description: cid:image001.png@01D03949.49457930">
          <a:extLst>
            <a:ext uri="{FF2B5EF4-FFF2-40B4-BE49-F238E27FC236}">
              <a16:creationId xmlns:a16="http://schemas.microsoft.com/office/drawing/2014/main" id="{4464CD20-D2F9-41A9-A2D6-65C806CAB8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30" name="x_Picture 1" descr="Description: cid:image001.png@01D03949.49457930">
          <a:extLst>
            <a:ext uri="{FF2B5EF4-FFF2-40B4-BE49-F238E27FC236}">
              <a16:creationId xmlns:a16="http://schemas.microsoft.com/office/drawing/2014/main" id="{B21ADC32-9D51-48E7-B7E3-C34AD890117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31" name="x_Picture 1" descr="Description: cid:image001.png@01D03949.49457930">
          <a:extLst>
            <a:ext uri="{FF2B5EF4-FFF2-40B4-BE49-F238E27FC236}">
              <a16:creationId xmlns:a16="http://schemas.microsoft.com/office/drawing/2014/main" id="{FAE1FD34-D645-46ED-B128-4883F7CBC9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32" name="x_Picture 1" descr="Description: cid:image001.png@01D03949.49457930">
          <a:extLst>
            <a:ext uri="{FF2B5EF4-FFF2-40B4-BE49-F238E27FC236}">
              <a16:creationId xmlns:a16="http://schemas.microsoft.com/office/drawing/2014/main" id="{AB1A816B-48BD-44E1-BB98-ED42085021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33" name="x_Picture 1" descr="Description: cid:image001.png@01D03949.49457930">
          <a:extLst>
            <a:ext uri="{FF2B5EF4-FFF2-40B4-BE49-F238E27FC236}">
              <a16:creationId xmlns:a16="http://schemas.microsoft.com/office/drawing/2014/main" id="{B74B3045-8A97-48F7-A12B-9C22B0C0AF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34" name="x_Picture 1" descr="Description: cid:image001.png@01D03949.49457930">
          <a:extLst>
            <a:ext uri="{FF2B5EF4-FFF2-40B4-BE49-F238E27FC236}">
              <a16:creationId xmlns:a16="http://schemas.microsoft.com/office/drawing/2014/main" id="{C2D562D2-FB56-49EC-A7F8-4429B2D694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35" name="x_Picture 1" descr="Description: cid:image001.png@01D03949.49457930">
          <a:extLst>
            <a:ext uri="{FF2B5EF4-FFF2-40B4-BE49-F238E27FC236}">
              <a16:creationId xmlns:a16="http://schemas.microsoft.com/office/drawing/2014/main" id="{FC5FC122-2160-4816-AB5C-0C7F4D5BF8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36" name="x_Picture 1" descr="Description: cid:image001.png@01D03949.49457930">
          <a:extLst>
            <a:ext uri="{FF2B5EF4-FFF2-40B4-BE49-F238E27FC236}">
              <a16:creationId xmlns:a16="http://schemas.microsoft.com/office/drawing/2014/main" id="{D06E908F-46CE-4079-887B-09E53EE8BC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37" name="x_Picture 1" descr="Description: cid:image001.png@01D03949.49457930">
          <a:extLst>
            <a:ext uri="{FF2B5EF4-FFF2-40B4-BE49-F238E27FC236}">
              <a16:creationId xmlns:a16="http://schemas.microsoft.com/office/drawing/2014/main" id="{18342C8F-40D5-4EFB-BB14-46332AC684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38" name="x_Picture 1" descr="Description: cid:image001.png@01D03949.49457930">
          <a:extLst>
            <a:ext uri="{FF2B5EF4-FFF2-40B4-BE49-F238E27FC236}">
              <a16:creationId xmlns:a16="http://schemas.microsoft.com/office/drawing/2014/main" id="{47914B00-8D6B-4B4A-ADED-6B9D6EDFF7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39" name="x_Picture 1" descr="Description: cid:image001.png@01D03949.49457930">
          <a:extLst>
            <a:ext uri="{FF2B5EF4-FFF2-40B4-BE49-F238E27FC236}">
              <a16:creationId xmlns:a16="http://schemas.microsoft.com/office/drawing/2014/main" id="{BD83B9C9-58D2-4C41-9F67-2A3C40B23F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40" name="x_Picture 1" descr="Description: cid:image001.png@01D03949.49457930">
          <a:extLst>
            <a:ext uri="{FF2B5EF4-FFF2-40B4-BE49-F238E27FC236}">
              <a16:creationId xmlns:a16="http://schemas.microsoft.com/office/drawing/2014/main" id="{49421DC4-5DF2-443C-88A6-001F170C56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41" name="x_Picture 1" descr="Description: cid:image001.png@01D03949.49457930">
          <a:extLst>
            <a:ext uri="{FF2B5EF4-FFF2-40B4-BE49-F238E27FC236}">
              <a16:creationId xmlns:a16="http://schemas.microsoft.com/office/drawing/2014/main" id="{E01B06AB-A438-4AEF-ADEB-66493346DE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42" name="x_Picture 1" descr="Description: cid:image001.png@01D03949.49457930">
          <a:extLst>
            <a:ext uri="{FF2B5EF4-FFF2-40B4-BE49-F238E27FC236}">
              <a16:creationId xmlns:a16="http://schemas.microsoft.com/office/drawing/2014/main" id="{7B4AC618-FE32-463A-97E6-3C808A375D2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43" name="x_Picture 1" descr="Description: cid:image001.png@01D03949.49457930">
          <a:extLst>
            <a:ext uri="{FF2B5EF4-FFF2-40B4-BE49-F238E27FC236}">
              <a16:creationId xmlns:a16="http://schemas.microsoft.com/office/drawing/2014/main" id="{4E30A3C9-121D-43F0-A2E5-FBFE0CF9D2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44" name="x_Picture 1" descr="Description: cid:image001.png@01D03949.49457930">
          <a:extLst>
            <a:ext uri="{FF2B5EF4-FFF2-40B4-BE49-F238E27FC236}">
              <a16:creationId xmlns:a16="http://schemas.microsoft.com/office/drawing/2014/main" id="{D84DD05E-2992-4345-9982-66971F65EE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45" name="x_Picture 1" descr="Description: cid:image001.png@01D03949.49457930">
          <a:extLst>
            <a:ext uri="{FF2B5EF4-FFF2-40B4-BE49-F238E27FC236}">
              <a16:creationId xmlns:a16="http://schemas.microsoft.com/office/drawing/2014/main" id="{DE783C74-8A12-48D5-814B-C559711E9E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46" name="x_Picture 1" descr="Description: cid:image001.png@01D03949.49457930">
          <a:extLst>
            <a:ext uri="{FF2B5EF4-FFF2-40B4-BE49-F238E27FC236}">
              <a16:creationId xmlns:a16="http://schemas.microsoft.com/office/drawing/2014/main" id="{1599F7C2-9E8E-4A66-A9C7-95D9A7C122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47" name="x_Picture 1" descr="Description: cid:image001.png@01D03949.49457930">
          <a:extLst>
            <a:ext uri="{FF2B5EF4-FFF2-40B4-BE49-F238E27FC236}">
              <a16:creationId xmlns:a16="http://schemas.microsoft.com/office/drawing/2014/main" id="{C8D26EF2-02EA-44C6-AA27-279E37D140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48" name="x_Picture 1" descr="Description: cid:image001.png@01D03949.49457930">
          <a:extLst>
            <a:ext uri="{FF2B5EF4-FFF2-40B4-BE49-F238E27FC236}">
              <a16:creationId xmlns:a16="http://schemas.microsoft.com/office/drawing/2014/main" id="{33FAE767-A645-465C-A017-C53B51C2AA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49" name="x_Picture 1" descr="Description: cid:image001.png@01D03949.49457930">
          <a:extLst>
            <a:ext uri="{FF2B5EF4-FFF2-40B4-BE49-F238E27FC236}">
              <a16:creationId xmlns:a16="http://schemas.microsoft.com/office/drawing/2014/main" id="{F5AA0029-847C-4029-8B5F-66AC5859AC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50" name="x_Picture 1" descr="Description: cid:image001.png@01D03949.49457930">
          <a:extLst>
            <a:ext uri="{FF2B5EF4-FFF2-40B4-BE49-F238E27FC236}">
              <a16:creationId xmlns:a16="http://schemas.microsoft.com/office/drawing/2014/main" id="{85B28D58-A786-426C-A843-34B6C36508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51" name="x_Picture 1" descr="Description: cid:image001.png@01D03949.49457930">
          <a:extLst>
            <a:ext uri="{FF2B5EF4-FFF2-40B4-BE49-F238E27FC236}">
              <a16:creationId xmlns:a16="http://schemas.microsoft.com/office/drawing/2014/main" id="{B68A76FD-AC12-43B2-B61B-DBC8BEAB8E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52" name="x_Picture 1" descr="Description: cid:image001.png@01D03949.49457930">
          <a:extLst>
            <a:ext uri="{FF2B5EF4-FFF2-40B4-BE49-F238E27FC236}">
              <a16:creationId xmlns:a16="http://schemas.microsoft.com/office/drawing/2014/main" id="{EB6D7562-AB73-4F70-8803-0C32DCB1A9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53" name="x_Picture 1" descr="Description: cid:image001.png@01D03949.49457930">
          <a:extLst>
            <a:ext uri="{FF2B5EF4-FFF2-40B4-BE49-F238E27FC236}">
              <a16:creationId xmlns:a16="http://schemas.microsoft.com/office/drawing/2014/main" id="{3630BBC4-E2E6-4FA4-A4CC-E6437138C8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54" name="x_Picture 1" descr="Description: cid:image001.png@01D03949.49457930">
          <a:extLst>
            <a:ext uri="{FF2B5EF4-FFF2-40B4-BE49-F238E27FC236}">
              <a16:creationId xmlns:a16="http://schemas.microsoft.com/office/drawing/2014/main" id="{7ADE3DFB-BCFB-407B-9A02-E054C068781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55" name="x_Picture 1" descr="Description: cid:image001.png@01D03949.49457930">
          <a:extLst>
            <a:ext uri="{FF2B5EF4-FFF2-40B4-BE49-F238E27FC236}">
              <a16:creationId xmlns:a16="http://schemas.microsoft.com/office/drawing/2014/main" id="{E52D14F3-3A5A-4072-891B-736CE52232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56" name="x_Picture 1" descr="Description: cid:image001.png@01D03949.49457930">
          <a:extLst>
            <a:ext uri="{FF2B5EF4-FFF2-40B4-BE49-F238E27FC236}">
              <a16:creationId xmlns:a16="http://schemas.microsoft.com/office/drawing/2014/main" id="{8B4B991A-F27D-400D-92E7-15C62AF27F6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657" name="x_Picture 1" descr="Description: cid:image001.png@01D03949.49457930">
          <a:extLst>
            <a:ext uri="{FF2B5EF4-FFF2-40B4-BE49-F238E27FC236}">
              <a16:creationId xmlns:a16="http://schemas.microsoft.com/office/drawing/2014/main" id="{C6BF184D-9914-481D-B628-795A310842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658" name="x_Picture 1" descr="Description: cid:image001.png@01D03949.49457930">
          <a:extLst>
            <a:ext uri="{FF2B5EF4-FFF2-40B4-BE49-F238E27FC236}">
              <a16:creationId xmlns:a16="http://schemas.microsoft.com/office/drawing/2014/main" id="{BF6B0371-B571-4012-938D-8665FCABB8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</xdr:row>
      <xdr:rowOff>0</xdr:rowOff>
    </xdr:from>
    <xdr:ext cx="279605" cy="315045"/>
    <xdr:sp macro="" textlink="">
      <xdr:nvSpPr>
        <xdr:cNvPr id="1659" name="x_Picture 1" descr="Description: cid:image001.png@01D03949.49457930">
          <a:extLst>
            <a:ext uri="{FF2B5EF4-FFF2-40B4-BE49-F238E27FC236}">
              <a16:creationId xmlns:a16="http://schemas.microsoft.com/office/drawing/2014/main" id="{0A0BBA3D-F882-473F-A2E0-E357A80A1C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660" name="x_Picture 1" descr="Description: cid:image001.png@01D03949.49457930">
          <a:extLst>
            <a:ext uri="{FF2B5EF4-FFF2-40B4-BE49-F238E27FC236}">
              <a16:creationId xmlns:a16="http://schemas.microsoft.com/office/drawing/2014/main" id="{059190B3-81D0-4B0D-B7F0-5CB87EF0E1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661" name="x_Picture 1" descr="Description: cid:image001.png@01D03949.49457930">
          <a:extLst>
            <a:ext uri="{FF2B5EF4-FFF2-40B4-BE49-F238E27FC236}">
              <a16:creationId xmlns:a16="http://schemas.microsoft.com/office/drawing/2014/main" id="{428965B9-F526-4959-BAC3-B6A359299A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662" name="x_Picture 1" descr="Description: cid:image001.png@01D03949.49457930">
          <a:extLst>
            <a:ext uri="{FF2B5EF4-FFF2-40B4-BE49-F238E27FC236}">
              <a16:creationId xmlns:a16="http://schemas.microsoft.com/office/drawing/2014/main" id="{26848D70-AE8E-4C90-A52B-5BDE1C4C0F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663" name="x_Picture 1" descr="Description: cid:image001.png@01D03949.49457930">
          <a:extLst>
            <a:ext uri="{FF2B5EF4-FFF2-40B4-BE49-F238E27FC236}">
              <a16:creationId xmlns:a16="http://schemas.microsoft.com/office/drawing/2014/main" id="{F4BEEE61-3765-4376-BB80-3938DC5FB4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664" name="x_Picture 1" descr="Description: cid:image001.png@01D03949.49457930">
          <a:extLst>
            <a:ext uri="{FF2B5EF4-FFF2-40B4-BE49-F238E27FC236}">
              <a16:creationId xmlns:a16="http://schemas.microsoft.com/office/drawing/2014/main" id="{0E9366A6-F25D-42BC-BCBA-020A88FC08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65" name="x_Picture 1" descr="Description: cid:image001.png@01D03949.49457930">
          <a:extLst>
            <a:ext uri="{FF2B5EF4-FFF2-40B4-BE49-F238E27FC236}">
              <a16:creationId xmlns:a16="http://schemas.microsoft.com/office/drawing/2014/main" id="{BD10772E-508D-490B-990F-1E73B891CC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</xdr:row>
      <xdr:rowOff>0</xdr:rowOff>
    </xdr:from>
    <xdr:ext cx="279605" cy="315045"/>
    <xdr:sp macro="" textlink="">
      <xdr:nvSpPr>
        <xdr:cNvPr id="1666" name="x_Picture 1" descr="Description: cid:image001.png@01D03949.49457930">
          <a:extLst>
            <a:ext uri="{FF2B5EF4-FFF2-40B4-BE49-F238E27FC236}">
              <a16:creationId xmlns:a16="http://schemas.microsoft.com/office/drawing/2014/main" id="{A65B2934-8137-4E2F-8902-A85F347D397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67" name="x_Picture 1" descr="Description: cid:image001.png@01D03949.49457930">
          <a:extLst>
            <a:ext uri="{FF2B5EF4-FFF2-40B4-BE49-F238E27FC236}">
              <a16:creationId xmlns:a16="http://schemas.microsoft.com/office/drawing/2014/main" id="{E33B4C3D-54B9-4580-8224-8120423199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68" name="x_Picture 1" descr="Description: cid:image001.png@01D03949.49457930">
          <a:extLst>
            <a:ext uri="{FF2B5EF4-FFF2-40B4-BE49-F238E27FC236}">
              <a16:creationId xmlns:a16="http://schemas.microsoft.com/office/drawing/2014/main" id="{EA5DD9F5-F9AE-489D-BEF3-7F809E771D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69" name="x_Picture 1" descr="Description: cid:image001.png@01D03949.49457930">
          <a:extLst>
            <a:ext uri="{FF2B5EF4-FFF2-40B4-BE49-F238E27FC236}">
              <a16:creationId xmlns:a16="http://schemas.microsoft.com/office/drawing/2014/main" id="{3D046C2E-8368-4712-9AC7-AB2D5141B3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70" name="x_Picture 1" descr="Description: cid:image001.png@01D03949.49457930">
          <a:extLst>
            <a:ext uri="{FF2B5EF4-FFF2-40B4-BE49-F238E27FC236}">
              <a16:creationId xmlns:a16="http://schemas.microsoft.com/office/drawing/2014/main" id="{D0861F2A-82DC-4D0D-8C8D-E83F454AF6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71" name="x_Picture 1" descr="Description: cid:image001.png@01D03949.49457930">
          <a:extLst>
            <a:ext uri="{FF2B5EF4-FFF2-40B4-BE49-F238E27FC236}">
              <a16:creationId xmlns:a16="http://schemas.microsoft.com/office/drawing/2014/main" id="{33C90F98-42E5-4E5B-AB20-D491DB157BC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72" name="x_Picture 1" descr="Description: cid:image001.png@01D03949.49457930">
          <a:extLst>
            <a:ext uri="{FF2B5EF4-FFF2-40B4-BE49-F238E27FC236}">
              <a16:creationId xmlns:a16="http://schemas.microsoft.com/office/drawing/2014/main" id="{C4DF3862-0163-403D-A3FC-CCE3EACF14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73" name="x_Picture 1" descr="Description: cid:image001.png@01D03949.49457930">
          <a:extLst>
            <a:ext uri="{FF2B5EF4-FFF2-40B4-BE49-F238E27FC236}">
              <a16:creationId xmlns:a16="http://schemas.microsoft.com/office/drawing/2014/main" id="{96D94104-2E03-4269-842C-C89A69AC78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74" name="x_Picture 1" descr="Description: cid:image001.png@01D03949.49457930">
          <a:extLst>
            <a:ext uri="{FF2B5EF4-FFF2-40B4-BE49-F238E27FC236}">
              <a16:creationId xmlns:a16="http://schemas.microsoft.com/office/drawing/2014/main" id="{EA625245-127E-45D6-AD52-C28CD8052E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75" name="x_Picture 1" descr="Description: cid:image001.png@01D03949.49457930">
          <a:extLst>
            <a:ext uri="{FF2B5EF4-FFF2-40B4-BE49-F238E27FC236}">
              <a16:creationId xmlns:a16="http://schemas.microsoft.com/office/drawing/2014/main" id="{D2EB3F4D-C48D-4E93-8DAE-C7D05A9E67E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76" name="x_Picture 1" descr="Description: cid:image001.png@01D03949.49457930">
          <a:extLst>
            <a:ext uri="{FF2B5EF4-FFF2-40B4-BE49-F238E27FC236}">
              <a16:creationId xmlns:a16="http://schemas.microsoft.com/office/drawing/2014/main" id="{FE03CBF6-03E9-4B30-9329-93758D9948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677" name="x_Picture 1" descr="Description: cid:image001.png@01D03949.49457930">
          <a:extLst>
            <a:ext uri="{FF2B5EF4-FFF2-40B4-BE49-F238E27FC236}">
              <a16:creationId xmlns:a16="http://schemas.microsoft.com/office/drawing/2014/main" id="{FE82D901-E90A-4967-BD87-56704273A5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78" name="x_Picture 1" descr="Description: cid:image001.png@01D03949.49457930">
          <a:extLst>
            <a:ext uri="{FF2B5EF4-FFF2-40B4-BE49-F238E27FC236}">
              <a16:creationId xmlns:a16="http://schemas.microsoft.com/office/drawing/2014/main" id="{269C6F33-B518-4335-8FF2-25E198DE48D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679" name="x_Picture 1" descr="Description: cid:image001.png@01D03949.49457930">
          <a:extLst>
            <a:ext uri="{FF2B5EF4-FFF2-40B4-BE49-F238E27FC236}">
              <a16:creationId xmlns:a16="http://schemas.microsoft.com/office/drawing/2014/main" id="{7BF8F9D2-0DCA-47B8-8412-5EEAFBC22F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680" name="x_Picture 1" descr="Description: cid:image001.png@01D03949.49457930">
          <a:extLst>
            <a:ext uri="{FF2B5EF4-FFF2-40B4-BE49-F238E27FC236}">
              <a16:creationId xmlns:a16="http://schemas.microsoft.com/office/drawing/2014/main" id="{5A65FEB4-2225-41E4-8016-7FC83BDC66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</xdr:row>
      <xdr:rowOff>0</xdr:rowOff>
    </xdr:from>
    <xdr:ext cx="279605" cy="315045"/>
    <xdr:sp macro="" textlink="">
      <xdr:nvSpPr>
        <xdr:cNvPr id="1681" name="x_Picture 1" descr="Description: cid:image001.png@01D03949.49457930">
          <a:extLst>
            <a:ext uri="{FF2B5EF4-FFF2-40B4-BE49-F238E27FC236}">
              <a16:creationId xmlns:a16="http://schemas.microsoft.com/office/drawing/2014/main" id="{3E7CE334-387E-4F61-BD5D-A9084EA293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682" name="x_Picture 1" descr="Description: cid:image001.png@01D03949.49457930">
          <a:extLst>
            <a:ext uri="{FF2B5EF4-FFF2-40B4-BE49-F238E27FC236}">
              <a16:creationId xmlns:a16="http://schemas.microsoft.com/office/drawing/2014/main" id="{CE314681-3105-4FEB-95EB-6B0EBAEC11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683" name="x_Picture 1" descr="Description: cid:image001.png@01D03949.49457930">
          <a:extLst>
            <a:ext uri="{FF2B5EF4-FFF2-40B4-BE49-F238E27FC236}">
              <a16:creationId xmlns:a16="http://schemas.microsoft.com/office/drawing/2014/main" id="{6DD07A52-A6E2-46FE-A70C-7B65A768E4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684" name="x_Picture 1" descr="Description: cid:image001.png@01D03949.49457930">
          <a:extLst>
            <a:ext uri="{FF2B5EF4-FFF2-40B4-BE49-F238E27FC236}">
              <a16:creationId xmlns:a16="http://schemas.microsoft.com/office/drawing/2014/main" id="{D448B96C-2BD4-4A2C-A272-175B4240A3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685" name="x_Picture 1" descr="Description: cid:image001.png@01D03949.49457930">
          <a:extLst>
            <a:ext uri="{FF2B5EF4-FFF2-40B4-BE49-F238E27FC236}">
              <a16:creationId xmlns:a16="http://schemas.microsoft.com/office/drawing/2014/main" id="{855FCCE5-C420-4717-AD59-7C2233A4CB3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686" name="x_Picture 1" descr="Description: cid:image001.png@01D03949.49457930">
          <a:extLst>
            <a:ext uri="{FF2B5EF4-FFF2-40B4-BE49-F238E27FC236}">
              <a16:creationId xmlns:a16="http://schemas.microsoft.com/office/drawing/2014/main" id="{58AB76B7-0C3B-4220-88CF-97394A0CEE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87" name="x_Picture 1" descr="Description: cid:image001.png@01D03949.49457930">
          <a:extLst>
            <a:ext uri="{FF2B5EF4-FFF2-40B4-BE49-F238E27FC236}">
              <a16:creationId xmlns:a16="http://schemas.microsoft.com/office/drawing/2014/main" id="{DD74AD70-50C6-4218-B576-19811EFF4D5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</xdr:row>
      <xdr:rowOff>0</xdr:rowOff>
    </xdr:from>
    <xdr:ext cx="279605" cy="315045"/>
    <xdr:sp macro="" textlink="">
      <xdr:nvSpPr>
        <xdr:cNvPr id="1688" name="x_Picture 1" descr="Description: cid:image001.png@01D03949.49457930">
          <a:extLst>
            <a:ext uri="{FF2B5EF4-FFF2-40B4-BE49-F238E27FC236}">
              <a16:creationId xmlns:a16="http://schemas.microsoft.com/office/drawing/2014/main" id="{4D754B35-E8BB-4C5C-A488-D47CDD4F63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89" name="x_Picture 1" descr="Description: cid:image001.png@01D03949.49457930">
          <a:extLst>
            <a:ext uri="{FF2B5EF4-FFF2-40B4-BE49-F238E27FC236}">
              <a16:creationId xmlns:a16="http://schemas.microsoft.com/office/drawing/2014/main" id="{04A527F6-0DDA-4E0B-8262-0067A99298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90" name="x_Picture 1" descr="Description: cid:image001.png@01D03949.49457930">
          <a:extLst>
            <a:ext uri="{FF2B5EF4-FFF2-40B4-BE49-F238E27FC236}">
              <a16:creationId xmlns:a16="http://schemas.microsoft.com/office/drawing/2014/main" id="{5C6C9064-0E88-40A2-8DE8-3D7CF57064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91" name="x_Picture 1" descr="Description: cid:image001.png@01D03949.49457930">
          <a:extLst>
            <a:ext uri="{FF2B5EF4-FFF2-40B4-BE49-F238E27FC236}">
              <a16:creationId xmlns:a16="http://schemas.microsoft.com/office/drawing/2014/main" id="{2D34FC70-0EBE-4D7A-A4B3-099F7B701D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92" name="x_Picture 1" descr="Description: cid:image001.png@01D03949.49457930">
          <a:extLst>
            <a:ext uri="{FF2B5EF4-FFF2-40B4-BE49-F238E27FC236}">
              <a16:creationId xmlns:a16="http://schemas.microsoft.com/office/drawing/2014/main" id="{72A90A8E-DE83-4A46-928A-5E10A8383A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93" name="x_Picture 1" descr="Description: cid:image001.png@01D03949.49457930">
          <a:extLst>
            <a:ext uri="{FF2B5EF4-FFF2-40B4-BE49-F238E27FC236}">
              <a16:creationId xmlns:a16="http://schemas.microsoft.com/office/drawing/2014/main" id="{EAF0CA0F-ED4E-405B-A301-66E9566290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94" name="x_Picture 1" descr="Description: cid:image001.png@01D03949.49457930">
          <a:extLst>
            <a:ext uri="{FF2B5EF4-FFF2-40B4-BE49-F238E27FC236}">
              <a16:creationId xmlns:a16="http://schemas.microsoft.com/office/drawing/2014/main" id="{E3F5A86D-6690-4E10-ABE6-55A4F7BF10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95" name="x_Picture 1" descr="Description: cid:image001.png@01D03949.49457930">
          <a:extLst>
            <a:ext uri="{FF2B5EF4-FFF2-40B4-BE49-F238E27FC236}">
              <a16:creationId xmlns:a16="http://schemas.microsoft.com/office/drawing/2014/main" id="{4E104BCB-B1C8-4907-9D35-BFED6D5559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96" name="x_Picture 1" descr="Description: cid:image001.png@01D03949.49457930">
          <a:extLst>
            <a:ext uri="{FF2B5EF4-FFF2-40B4-BE49-F238E27FC236}">
              <a16:creationId xmlns:a16="http://schemas.microsoft.com/office/drawing/2014/main" id="{CAF97B6C-459F-4D5E-BD27-0728A22407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97" name="x_Picture 1" descr="Description: cid:image001.png@01D03949.49457930">
          <a:extLst>
            <a:ext uri="{FF2B5EF4-FFF2-40B4-BE49-F238E27FC236}">
              <a16:creationId xmlns:a16="http://schemas.microsoft.com/office/drawing/2014/main" id="{1FC0D1DB-6A03-442F-8098-0597C7216F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698" name="x_Picture 1" descr="Description: cid:image001.png@01D03949.49457930">
          <a:extLst>
            <a:ext uri="{FF2B5EF4-FFF2-40B4-BE49-F238E27FC236}">
              <a16:creationId xmlns:a16="http://schemas.microsoft.com/office/drawing/2014/main" id="{3E6D7EA0-6FD7-4DE8-9D40-A23EC6E4C7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699" name="x_Picture 1" descr="Description: cid:image001.png@01D03949.49457930">
          <a:extLst>
            <a:ext uri="{FF2B5EF4-FFF2-40B4-BE49-F238E27FC236}">
              <a16:creationId xmlns:a16="http://schemas.microsoft.com/office/drawing/2014/main" id="{215AC6CC-3A87-4478-8060-ED9B286F75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700" name="x_Picture 1" descr="Description: cid:image001.png@01D03949.49457930">
          <a:extLst>
            <a:ext uri="{FF2B5EF4-FFF2-40B4-BE49-F238E27FC236}">
              <a16:creationId xmlns:a16="http://schemas.microsoft.com/office/drawing/2014/main" id="{9F074202-376E-4CE7-BEF1-6DEA6A2FD95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701" name="x_Picture 1" descr="Description: cid:image001.png@01D03949.49457930">
          <a:extLst>
            <a:ext uri="{FF2B5EF4-FFF2-40B4-BE49-F238E27FC236}">
              <a16:creationId xmlns:a16="http://schemas.microsoft.com/office/drawing/2014/main" id="{0A7350AB-B048-4D08-9138-3F26073947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702" name="x_Picture 1" descr="Description: cid:image001.png@01D03949.49457930">
          <a:extLst>
            <a:ext uri="{FF2B5EF4-FFF2-40B4-BE49-F238E27FC236}">
              <a16:creationId xmlns:a16="http://schemas.microsoft.com/office/drawing/2014/main" id="{E4E56E8B-9D06-40B7-A740-6BC40A2D84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</xdr:row>
      <xdr:rowOff>0</xdr:rowOff>
    </xdr:from>
    <xdr:ext cx="279605" cy="315045"/>
    <xdr:sp macro="" textlink="">
      <xdr:nvSpPr>
        <xdr:cNvPr id="1703" name="x_Picture 1" descr="Description: cid:image001.png@01D03949.49457930">
          <a:extLst>
            <a:ext uri="{FF2B5EF4-FFF2-40B4-BE49-F238E27FC236}">
              <a16:creationId xmlns:a16="http://schemas.microsoft.com/office/drawing/2014/main" id="{CE8F63FF-FB7B-42F2-8170-11C334F79BC6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704" name="x_Picture 1" descr="Description: cid:image001.png@01D03949.49457930">
          <a:extLst>
            <a:ext uri="{FF2B5EF4-FFF2-40B4-BE49-F238E27FC236}">
              <a16:creationId xmlns:a16="http://schemas.microsoft.com/office/drawing/2014/main" id="{538DA566-76DF-4C06-AD6A-91E3F9077A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705" name="x_Picture 1" descr="Description: cid:image001.png@01D03949.49457930">
          <a:extLst>
            <a:ext uri="{FF2B5EF4-FFF2-40B4-BE49-F238E27FC236}">
              <a16:creationId xmlns:a16="http://schemas.microsoft.com/office/drawing/2014/main" id="{202B18C6-9767-40FB-8EED-9D6D9248C5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706" name="x_Picture 1" descr="Description: cid:image001.png@01D03949.49457930">
          <a:extLst>
            <a:ext uri="{FF2B5EF4-FFF2-40B4-BE49-F238E27FC236}">
              <a16:creationId xmlns:a16="http://schemas.microsoft.com/office/drawing/2014/main" id="{2E895C62-9F00-4A5D-B72F-22FF4CDB05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707" name="x_Picture 1" descr="Description: cid:image001.png@01D03949.49457930">
          <a:extLst>
            <a:ext uri="{FF2B5EF4-FFF2-40B4-BE49-F238E27FC236}">
              <a16:creationId xmlns:a16="http://schemas.microsoft.com/office/drawing/2014/main" id="{C8A70BF9-CDF3-4E1C-B1D3-BA4CF959AD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708" name="x_Picture 1" descr="Description: cid:image001.png@01D03949.49457930">
          <a:extLst>
            <a:ext uri="{FF2B5EF4-FFF2-40B4-BE49-F238E27FC236}">
              <a16:creationId xmlns:a16="http://schemas.microsoft.com/office/drawing/2014/main" id="{BCA3B8E4-A7CF-42FA-964E-3DD6EA12DF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09" name="x_Picture 1" descr="Description: cid:image001.png@01D03949.49457930">
          <a:extLst>
            <a:ext uri="{FF2B5EF4-FFF2-40B4-BE49-F238E27FC236}">
              <a16:creationId xmlns:a16="http://schemas.microsoft.com/office/drawing/2014/main" id="{7502A15D-D62D-4007-8D28-6240C07ED9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</xdr:row>
      <xdr:rowOff>0</xdr:rowOff>
    </xdr:from>
    <xdr:ext cx="279605" cy="315045"/>
    <xdr:sp macro="" textlink="">
      <xdr:nvSpPr>
        <xdr:cNvPr id="1710" name="x_Picture 1" descr="Description: cid:image001.png@01D03949.49457930">
          <a:extLst>
            <a:ext uri="{FF2B5EF4-FFF2-40B4-BE49-F238E27FC236}">
              <a16:creationId xmlns:a16="http://schemas.microsoft.com/office/drawing/2014/main" id="{EB200FA4-BB7B-4ABD-9CE3-6BFCD9E3C5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11" name="x_Picture 1" descr="Description: cid:image001.png@01D03949.49457930">
          <a:extLst>
            <a:ext uri="{FF2B5EF4-FFF2-40B4-BE49-F238E27FC236}">
              <a16:creationId xmlns:a16="http://schemas.microsoft.com/office/drawing/2014/main" id="{4B553468-C702-47FE-B4C3-4D629DEC02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12" name="x_Picture 1" descr="Description: cid:image001.png@01D03949.49457930">
          <a:extLst>
            <a:ext uri="{FF2B5EF4-FFF2-40B4-BE49-F238E27FC236}">
              <a16:creationId xmlns:a16="http://schemas.microsoft.com/office/drawing/2014/main" id="{07C4AA6F-5F77-420C-878A-71D6CD7BFF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13" name="x_Picture 1" descr="Description: cid:image001.png@01D03949.49457930">
          <a:extLst>
            <a:ext uri="{FF2B5EF4-FFF2-40B4-BE49-F238E27FC236}">
              <a16:creationId xmlns:a16="http://schemas.microsoft.com/office/drawing/2014/main" id="{3916C9A7-E996-4B4A-A361-7E317ED089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14" name="x_Picture 1" descr="Description: cid:image001.png@01D03949.49457930">
          <a:extLst>
            <a:ext uri="{FF2B5EF4-FFF2-40B4-BE49-F238E27FC236}">
              <a16:creationId xmlns:a16="http://schemas.microsoft.com/office/drawing/2014/main" id="{E036AD3D-032E-4BF1-AB70-039CF484FBA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15" name="x_Picture 1" descr="Description: cid:image001.png@01D03949.49457930">
          <a:extLst>
            <a:ext uri="{FF2B5EF4-FFF2-40B4-BE49-F238E27FC236}">
              <a16:creationId xmlns:a16="http://schemas.microsoft.com/office/drawing/2014/main" id="{A09B9FD6-686D-4BEA-BBF5-9990FEEA25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16" name="x_Picture 1" descr="Description: cid:image001.png@01D03949.49457930">
          <a:extLst>
            <a:ext uri="{FF2B5EF4-FFF2-40B4-BE49-F238E27FC236}">
              <a16:creationId xmlns:a16="http://schemas.microsoft.com/office/drawing/2014/main" id="{42855CFB-8D07-4A1F-911E-40AB328B2C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17" name="x_Picture 1" descr="Description: cid:image001.png@01D03949.49457930">
          <a:extLst>
            <a:ext uri="{FF2B5EF4-FFF2-40B4-BE49-F238E27FC236}">
              <a16:creationId xmlns:a16="http://schemas.microsoft.com/office/drawing/2014/main" id="{EE97AF75-D3DA-4414-8457-0000612D73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18" name="x_Picture 1" descr="Description: cid:image001.png@01D03949.49457930">
          <a:extLst>
            <a:ext uri="{FF2B5EF4-FFF2-40B4-BE49-F238E27FC236}">
              <a16:creationId xmlns:a16="http://schemas.microsoft.com/office/drawing/2014/main" id="{423E1738-F27D-4744-84F0-B96983B69A2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19" name="x_Picture 1" descr="Description: cid:image001.png@01D03949.49457930">
          <a:extLst>
            <a:ext uri="{FF2B5EF4-FFF2-40B4-BE49-F238E27FC236}">
              <a16:creationId xmlns:a16="http://schemas.microsoft.com/office/drawing/2014/main" id="{86B39221-D0AB-4EA4-9519-49DD1D191A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20" name="x_Picture 1" descr="Description: cid:image001.png@01D03949.49457930">
          <a:extLst>
            <a:ext uri="{FF2B5EF4-FFF2-40B4-BE49-F238E27FC236}">
              <a16:creationId xmlns:a16="http://schemas.microsoft.com/office/drawing/2014/main" id="{57BE4144-AA7F-4873-B1F0-4BF6B55CE5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</xdr:row>
      <xdr:rowOff>0</xdr:rowOff>
    </xdr:from>
    <xdr:ext cx="279605" cy="315045"/>
    <xdr:sp macro="" textlink="">
      <xdr:nvSpPr>
        <xdr:cNvPr id="1721" name="x_Picture 1" descr="Description: cid:image001.png@01D03949.49457930">
          <a:extLst>
            <a:ext uri="{FF2B5EF4-FFF2-40B4-BE49-F238E27FC236}">
              <a16:creationId xmlns:a16="http://schemas.microsoft.com/office/drawing/2014/main" id="{8BF7871B-65D8-48F5-9756-F0C910B1CB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22" name="x_Picture 1" descr="Description: cid:image001.png@01D03949.49457930">
          <a:extLst>
            <a:ext uri="{FF2B5EF4-FFF2-40B4-BE49-F238E27FC236}">
              <a16:creationId xmlns:a16="http://schemas.microsoft.com/office/drawing/2014/main" id="{87B42FD8-D83E-4BEB-B0C5-D57A373E10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723" name="x_Picture 1" descr="Description: cid:image001.png@01D03949.49457930">
          <a:extLst>
            <a:ext uri="{FF2B5EF4-FFF2-40B4-BE49-F238E27FC236}">
              <a16:creationId xmlns:a16="http://schemas.microsoft.com/office/drawing/2014/main" id="{967E05B7-F673-43FB-96B8-53B77360A3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724" name="x_Picture 1" descr="Description: cid:image001.png@01D03949.49457930">
          <a:extLst>
            <a:ext uri="{FF2B5EF4-FFF2-40B4-BE49-F238E27FC236}">
              <a16:creationId xmlns:a16="http://schemas.microsoft.com/office/drawing/2014/main" id="{0CF5B6FB-60CD-4FD8-979F-147B5F80C2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482336</xdr:colOff>
      <xdr:row>5</xdr:row>
      <xdr:rowOff>146050</xdr:rowOff>
    </xdr:from>
    <xdr:ext cx="279605" cy="315045"/>
    <xdr:sp macro="" textlink="">
      <xdr:nvSpPr>
        <xdr:cNvPr id="1725" name="x_Picture 1" descr="Description: cid:image001.png@01D03949.49457930">
          <a:extLst>
            <a:ext uri="{FF2B5EF4-FFF2-40B4-BE49-F238E27FC236}">
              <a16:creationId xmlns:a16="http://schemas.microsoft.com/office/drawing/2014/main" id="{8BC44C17-9344-4B27-98BF-96C72B870C91}"/>
            </a:ext>
          </a:extLst>
        </xdr:cNvPr>
        <xdr:cNvSpPr>
          <a:spLocks noChangeAspect="1" noChangeArrowheads="1"/>
        </xdr:cNvSpPr>
      </xdr:nvSpPr>
      <xdr:spPr bwMode="auto">
        <a:xfrm>
          <a:off x="761736" y="272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726" name="x_Picture 1" descr="Description: cid:image001.png@01D03949.49457930">
          <a:extLst>
            <a:ext uri="{FF2B5EF4-FFF2-40B4-BE49-F238E27FC236}">
              <a16:creationId xmlns:a16="http://schemas.microsoft.com/office/drawing/2014/main" id="{553621E3-84B1-47F9-8A9E-2C44469957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727" name="x_Picture 1" descr="Description: cid:image001.png@01D03949.49457930">
          <a:extLst>
            <a:ext uri="{FF2B5EF4-FFF2-40B4-BE49-F238E27FC236}">
              <a16:creationId xmlns:a16="http://schemas.microsoft.com/office/drawing/2014/main" id="{E35256EB-23DD-4CE6-85EA-2DB8B350AB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728" name="x_Picture 1" descr="Description: cid:image001.png@01D03949.49457930">
          <a:extLst>
            <a:ext uri="{FF2B5EF4-FFF2-40B4-BE49-F238E27FC236}">
              <a16:creationId xmlns:a16="http://schemas.microsoft.com/office/drawing/2014/main" id="{2BE122E3-C5E6-486D-B3BD-16B8647541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729" name="x_Picture 1" descr="Description: cid:image001.png@01D03949.49457930">
          <a:extLst>
            <a:ext uri="{FF2B5EF4-FFF2-40B4-BE49-F238E27FC236}">
              <a16:creationId xmlns:a16="http://schemas.microsoft.com/office/drawing/2014/main" id="{BA0FB3BA-44B8-4E61-ABF4-06A2AD0940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730" name="x_Picture 1" descr="Description: cid:image001.png@01D03949.49457930">
          <a:extLst>
            <a:ext uri="{FF2B5EF4-FFF2-40B4-BE49-F238E27FC236}">
              <a16:creationId xmlns:a16="http://schemas.microsoft.com/office/drawing/2014/main" id="{0E2A9E4B-D873-4105-AF71-216CBBB9EC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31" name="x_Picture 1" descr="Description: cid:image001.png@01D03949.49457930">
          <a:extLst>
            <a:ext uri="{FF2B5EF4-FFF2-40B4-BE49-F238E27FC236}">
              <a16:creationId xmlns:a16="http://schemas.microsoft.com/office/drawing/2014/main" id="{936F743B-6761-4B21-8D15-4862BE252C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</xdr:row>
      <xdr:rowOff>0</xdr:rowOff>
    </xdr:from>
    <xdr:ext cx="279605" cy="315045"/>
    <xdr:sp macro="" textlink="">
      <xdr:nvSpPr>
        <xdr:cNvPr id="1732" name="x_Picture 1" descr="Description: cid:image001.png@01D03949.49457930">
          <a:extLst>
            <a:ext uri="{FF2B5EF4-FFF2-40B4-BE49-F238E27FC236}">
              <a16:creationId xmlns:a16="http://schemas.microsoft.com/office/drawing/2014/main" id="{D22CB726-41BF-4765-A8E1-2FDE4A921E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33" name="x_Picture 1" descr="Description: cid:image001.png@01D03949.49457930">
          <a:extLst>
            <a:ext uri="{FF2B5EF4-FFF2-40B4-BE49-F238E27FC236}">
              <a16:creationId xmlns:a16="http://schemas.microsoft.com/office/drawing/2014/main" id="{E7CED313-973F-438C-9EA2-84A8881430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34" name="x_Picture 1" descr="Description: cid:image001.png@01D03949.49457930">
          <a:extLst>
            <a:ext uri="{FF2B5EF4-FFF2-40B4-BE49-F238E27FC236}">
              <a16:creationId xmlns:a16="http://schemas.microsoft.com/office/drawing/2014/main" id="{99621DD1-6922-4994-A7C8-4069968FB6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35" name="x_Picture 1" descr="Description: cid:image001.png@01D03949.49457930">
          <a:extLst>
            <a:ext uri="{FF2B5EF4-FFF2-40B4-BE49-F238E27FC236}">
              <a16:creationId xmlns:a16="http://schemas.microsoft.com/office/drawing/2014/main" id="{EB375F82-0712-46C6-9FCC-AC37653555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36" name="x_Picture 1" descr="Description: cid:image001.png@01D03949.49457930">
          <a:extLst>
            <a:ext uri="{FF2B5EF4-FFF2-40B4-BE49-F238E27FC236}">
              <a16:creationId xmlns:a16="http://schemas.microsoft.com/office/drawing/2014/main" id="{22E26DCB-684E-44EB-90E7-F372EF99F1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37" name="x_Picture 1" descr="Description: cid:image001.png@01D03949.49457930">
          <a:extLst>
            <a:ext uri="{FF2B5EF4-FFF2-40B4-BE49-F238E27FC236}">
              <a16:creationId xmlns:a16="http://schemas.microsoft.com/office/drawing/2014/main" id="{6CFA4F48-2696-4A1E-9D16-7EBB277889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38" name="x_Picture 1" descr="Description: cid:image001.png@01D03949.49457930">
          <a:extLst>
            <a:ext uri="{FF2B5EF4-FFF2-40B4-BE49-F238E27FC236}">
              <a16:creationId xmlns:a16="http://schemas.microsoft.com/office/drawing/2014/main" id="{6DAC2105-2195-40A3-9A36-6B46F237AA7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39" name="x_Picture 1" descr="Description: cid:image001.png@01D03949.49457930">
          <a:extLst>
            <a:ext uri="{FF2B5EF4-FFF2-40B4-BE49-F238E27FC236}">
              <a16:creationId xmlns:a16="http://schemas.microsoft.com/office/drawing/2014/main" id="{127F7A53-2C2F-46CD-89ED-0D9824214A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40" name="x_Picture 1" descr="Description: cid:image001.png@01D03949.49457930">
          <a:extLst>
            <a:ext uri="{FF2B5EF4-FFF2-40B4-BE49-F238E27FC236}">
              <a16:creationId xmlns:a16="http://schemas.microsoft.com/office/drawing/2014/main" id="{4B6500DA-0B2A-417D-AB00-254F16077A6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41" name="x_Picture 1" descr="Description: cid:image001.png@01D03949.49457930">
          <a:extLst>
            <a:ext uri="{FF2B5EF4-FFF2-40B4-BE49-F238E27FC236}">
              <a16:creationId xmlns:a16="http://schemas.microsoft.com/office/drawing/2014/main" id="{FBE43B2F-3B5E-4D8E-8FE2-4827CE792F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42" name="x_Picture 1" descr="Description: cid:image001.png@01D03949.49457930">
          <a:extLst>
            <a:ext uri="{FF2B5EF4-FFF2-40B4-BE49-F238E27FC236}">
              <a16:creationId xmlns:a16="http://schemas.microsoft.com/office/drawing/2014/main" id="{F3243369-B4B8-4F7C-8CEA-49C2C8D968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743" name="x_Picture 1" descr="Description: cid:image001.png@01D03949.49457930">
          <a:extLst>
            <a:ext uri="{FF2B5EF4-FFF2-40B4-BE49-F238E27FC236}">
              <a16:creationId xmlns:a16="http://schemas.microsoft.com/office/drawing/2014/main" id="{C783B694-7BA7-45D1-93A6-91D214D832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44" name="x_Picture 1" descr="Description: cid:image001.png@01D03949.49457930">
          <a:extLst>
            <a:ext uri="{FF2B5EF4-FFF2-40B4-BE49-F238E27FC236}">
              <a16:creationId xmlns:a16="http://schemas.microsoft.com/office/drawing/2014/main" id="{F52C1FDB-804B-4D75-A4CD-E27558926F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45" name="x_Picture 1" descr="Description: cid:image001.png@01D03949.49457930">
          <a:extLst>
            <a:ext uri="{FF2B5EF4-FFF2-40B4-BE49-F238E27FC236}">
              <a16:creationId xmlns:a16="http://schemas.microsoft.com/office/drawing/2014/main" id="{259EC990-28F1-4F3E-9A04-B1C9D4B09AF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46" name="x_Picture 1" descr="Description: cid:image001.png@01D03949.49457930">
          <a:extLst>
            <a:ext uri="{FF2B5EF4-FFF2-40B4-BE49-F238E27FC236}">
              <a16:creationId xmlns:a16="http://schemas.microsoft.com/office/drawing/2014/main" id="{2B072131-CC17-4D8C-A27A-B51040BB74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5</xdr:row>
      <xdr:rowOff>0</xdr:rowOff>
    </xdr:from>
    <xdr:ext cx="279605" cy="315045"/>
    <xdr:sp macro="" textlink="">
      <xdr:nvSpPr>
        <xdr:cNvPr id="1747" name="x_Picture 1" descr="Description: cid:image001.png@01D03949.49457930">
          <a:extLst>
            <a:ext uri="{FF2B5EF4-FFF2-40B4-BE49-F238E27FC236}">
              <a16:creationId xmlns:a16="http://schemas.microsoft.com/office/drawing/2014/main" id="{36FA873E-1846-4A21-9BC5-79EF8E9A87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48" name="x_Picture 1" descr="Description: cid:image001.png@01D03949.49457930">
          <a:extLst>
            <a:ext uri="{FF2B5EF4-FFF2-40B4-BE49-F238E27FC236}">
              <a16:creationId xmlns:a16="http://schemas.microsoft.com/office/drawing/2014/main" id="{0052F532-8B99-4C2A-A903-B9D53343B5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49" name="x_Picture 1" descr="Description: cid:image001.png@01D03949.49457930">
          <a:extLst>
            <a:ext uri="{FF2B5EF4-FFF2-40B4-BE49-F238E27FC236}">
              <a16:creationId xmlns:a16="http://schemas.microsoft.com/office/drawing/2014/main" id="{15AA0E69-DE6F-4CC5-A9EF-AB60141744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50" name="x_Picture 1" descr="Description: cid:image001.png@01D03949.49457930">
          <a:extLst>
            <a:ext uri="{FF2B5EF4-FFF2-40B4-BE49-F238E27FC236}">
              <a16:creationId xmlns:a16="http://schemas.microsoft.com/office/drawing/2014/main" id="{066402F4-2325-43D0-AB90-3ED8B70211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51" name="x_Picture 1" descr="Description: cid:image001.png@01D03949.49457930">
          <a:extLst>
            <a:ext uri="{FF2B5EF4-FFF2-40B4-BE49-F238E27FC236}">
              <a16:creationId xmlns:a16="http://schemas.microsoft.com/office/drawing/2014/main" id="{73D76F55-AEF5-4DA6-AF77-1B73C1D22E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52" name="x_Picture 1" descr="Description: cid:image001.png@01D03949.49457930">
          <a:extLst>
            <a:ext uri="{FF2B5EF4-FFF2-40B4-BE49-F238E27FC236}">
              <a16:creationId xmlns:a16="http://schemas.microsoft.com/office/drawing/2014/main" id="{A9154A06-B5BA-4D3B-8712-2CDD043BA3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53" name="x_Picture 1" descr="Description: cid:image001.png@01D03949.49457930">
          <a:extLst>
            <a:ext uri="{FF2B5EF4-FFF2-40B4-BE49-F238E27FC236}">
              <a16:creationId xmlns:a16="http://schemas.microsoft.com/office/drawing/2014/main" id="{9F1FAAD2-D2BC-4B04-B18E-F7978BD447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5</xdr:row>
      <xdr:rowOff>0</xdr:rowOff>
    </xdr:from>
    <xdr:ext cx="279605" cy="315045"/>
    <xdr:sp macro="" textlink="">
      <xdr:nvSpPr>
        <xdr:cNvPr id="1754" name="x_Picture 1" descr="Description: cid:image001.png@01D03949.49457930">
          <a:extLst>
            <a:ext uri="{FF2B5EF4-FFF2-40B4-BE49-F238E27FC236}">
              <a16:creationId xmlns:a16="http://schemas.microsoft.com/office/drawing/2014/main" id="{5EADDE67-2EB9-42BC-A7FD-B1023CA6FD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55" name="x_Picture 1" descr="Description: cid:image001.png@01D03949.49457930">
          <a:extLst>
            <a:ext uri="{FF2B5EF4-FFF2-40B4-BE49-F238E27FC236}">
              <a16:creationId xmlns:a16="http://schemas.microsoft.com/office/drawing/2014/main" id="{6D169311-2144-47C9-9FD2-BA6DF8A133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56" name="x_Picture 1" descr="Description: cid:image001.png@01D03949.49457930">
          <a:extLst>
            <a:ext uri="{FF2B5EF4-FFF2-40B4-BE49-F238E27FC236}">
              <a16:creationId xmlns:a16="http://schemas.microsoft.com/office/drawing/2014/main" id="{F0A6C8C0-E907-41DA-A445-86AE58B856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57" name="x_Picture 1" descr="Description: cid:image001.png@01D03949.49457930">
          <a:extLst>
            <a:ext uri="{FF2B5EF4-FFF2-40B4-BE49-F238E27FC236}">
              <a16:creationId xmlns:a16="http://schemas.microsoft.com/office/drawing/2014/main" id="{240843D7-9FB9-4F4D-B80D-C0C334F2BE1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58" name="x_Picture 1" descr="Description: cid:image001.png@01D03949.49457930">
          <a:extLst>
            <a:ext uri="{FF2B5EF4-FFF2-40B4-BE49-F238E27FC236}">
              <a16:creationId xmlns:a16="http://schemas.microsoft.com/office/drawing/2014/main" id="{39A51773-3E24-4980-8AF2-B6C08B988F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59" name="x_Picture 1" descr="Description: cid:image001.png@01D03949.49457930">
          <a:extLst>
            <a:ext uri="{FF2B5EF4-FFF2-40B4-BE49-F238E27FC236}">
              <a16:creationId xmlns:a16="http://schemas.microsoft.com/office/drawing/2014/main" id="{D715FF15-D5B1-4B4A-A970-F8D1B6FC26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60" name="x_Picture 1" descr="Description: cid:image001.png@01D03949.49457930">
          <a:extLst>
            <a:ext uri="{FF2B5EF4-FFF2-40B4-BE49-F238E27FC236}">
              <a16:creationId xmlns:a16="http://schemas.microsoft.com/office/drawing/2014/main" id="{F62D1CD5-C112-4777-BDD9-F4D2B1FF73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61" name="x_Picture 1" descr="Description: cid:image001.png@01D03949.49457930">
          <a:extLst>
            <a:ext uri="{FF2B5EF4-FFF2-40B4-BE49-F238E27FC236}">
              <a16:creationId xmlns:a16="http://schemas.microsoft.com/office/drawing/2014/main" id="{907B9207-CED0-4235-A312-645AD58CA7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62" name="x_Picture 1" descr="Description: cid:image001.png@01D03949.49457930">
          <a:extLst>
            <a:ext uri="{FF2B5EF4-FFF2-40B4-BE49-F238E27FC236}">
              <a16:creationId xmlns:a16="http://schemas.microsoft.com/office/drawing/2014/main" id="{4631DA76-2BE3-4E13-89CF-3CE06C7495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63" name="x_Picture 1" descr="Description: cid:image001.png@01D03949.49457930">
          <a:extLst>
            <a:ext uri="{FF2B5EF4-FFF2-40B4-BE49-F238E27FC236}">
              <a16:creationId xmlns:a16="http://schemas.microsoft.com/office/drawing/2014/main" id="{EAEB00D8-B55F-4F84-A2F9-7169EE94E9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64" name="x_Picture 1" descr="Description: cid:image001.png@01D03949.49457930">
          <a:extLst>
            <a:ext uri="{FF2B5EF4-FFF2-40B4-BE49-F238E27FC236}">
              <a16:creationId xmlns:a16="http://schemas.microsoft.com/office/drawing/2014/main" id="{FDE3D973-2B37-484E-A776-23A89D90B9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65" name="x_Picture 1" descr="Description: cid:image001.png@01D03949.49457930">
          <a:extLst>
            <a:ext uri="{FF2B5EF4-FFF2-40B4-BE49-F238E27FC236}">
              <a16:creationId xmlns:a16="http://schemas.microsoft.com/office/drawing/2014/main" id="{1E6774AA-8C0C-4FE1-A828-6A36B529373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66" name="x_Picture 1" descr="Description: cid:image001.png@01D03949.49457930">
          <a:extLst>
            <a:ext uri="{FF2B5EF4-FFF2-40B4-BE49-F238E27FC236}">
              <a16:creationId xmlns:a16="http://schemas.microsoft.com/office/drawing/2014/main" id="{68185FD0-0C0F-47FB-9A99-26E82A5C43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67" name="x_Picture 1" descr="Description: cid:image001.png@01D03949.49457930">
          <a:extLst>
            <a:ext uri="{FF2B5EF4-FFF2-40B4-BE49-F238E27FC236}">
              <a16:creationId xmlns:a16="http://schemas.microsoft.com/office/drawing/2014/main" id="{05852DD1-7357-4171-9692-63EDC26A77F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68" name="x_Picture 1" descr="Description: cid:image001.png@01D03949.49457930">
          <a:extLst>
            <a:ext uri="{FF2B5EF4-FFF2-40B4-BE49-F238E27FC236}">
              <a16:creationId xmlns:a16="http://schemas.microsoft.com/office/drawing/2014/main" id="{EE6EDBD2-85A5-409B-9945-E8420F1266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6</xdr:row>
      <xdr:rowOff>0</xdr:rowOff>
    </xdr:from>
    <xdr:ext cx="279605" cy="315045"/>
    <xdr:sp macro="" textlink="">
      <xdr:nvSpPr>
        <xdr:cNvPr id="1769" name="x_Picture 1" descr="Description: cid:image001.png@01D03949.49457930">
          <a:extLst>
            <a:ext uri="{FF2B5EF4-FFF2-40B4-BE49-F238E27FC236}">
              <a16:creationId xmlns:a16="http://schemas.microsoft.com/office/drawing/2014/main" id="{7D50E42A-B7EC-46BA-AE1A-64A07F08C5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70" name="x_Picture 1" descr="Description: cid:image001.png@01D03949.49457930">
          <a:extLst>
            <a:ext uri="{FF2B5EF4-FFF2-40B4-BE49-F238E27FC236}">
              <a16:creationId xmlns:a16="http://schemas.microsoft.com/office/drawing/2014/main" id="{70246DD1-6885-4A50-A764-3FD684B2B8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71" name="x_Picture 1" descr="Description: cid:image001.png@01D03949.49457930">
          <a:extLst>
            <a:ext uri="{FF2B5EF4-FFF2-40B4-BE49-F238E27FC236}">
              <a16:creationId xmlns:a16="http://schemas.microsoft.com/office/drawing/2014/main" id="{424BD860-10C4-40BA-9A6C-A4B2BC5FD4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72" name="x_Picture 1" descr="Description: cid:image001.png@01D03949.49457930">
          <a:extLst>
            <a:ext uri="{FF2B5EF4-FFF2-40B4-BE49-F238E27FC236}">
              <a16:creationId xmlns:a16="http://schemas.microsoft.com/office/drawing/2014/main" id="{C0C59C40-8522-4FB6-B296-682B07403B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73" name="x_Picture 1" descr="Description: cid:image001.png@01D03949.49457930">
          <a:extLst>
            <a:ext uri="{FF2B5EF4-FFF2-40B4-BE49-F238E27FC236}">
              <a16:creationId xmlns:a16="http://schemas.microsoft.com/office/drawing/2014/main" id="{1D9FB56E-099A-4828-9360-FCA992812B3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74" name="x_Picture 1" descr="Description: cid:image001.png@01D03949.49457930">
          <a:extLst>
            <a:ext uri="{FF2B5EF4-FFF2-40B4-BE49-F238E27FC236}">
              <a16:creationId xmlns:a16="http://schemas.microsoft.com/office/drawing/2014/main" id="{7BF204A5-B69B-4481-89A7-E49EE0A12B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75" name="x_Picture 1" descr="Description: cid:image001.png@01D03949.49457930">
          <a:extLst>
            <a:ext uri="{FF2B5EF4-FFF2-40B4-BE49-F238E27FC236}">
              <a16:creationId xmlns:a16="http://schemas.microsoft.com/office/drawing/2014/main" id="{8B173762-D86B-43E3-B986-0A36B04BDC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6</xdr:row>
      <xdr:rowOff>0</xdr:rowOff>
    </xdr:from>
    <xdr:ext cx="279605" cy="315045"/>
    <xdr:sp macro="" textlink="">
      <xdr:nvSpPr>
        <xdr:cNvPr id="1776" name="x_Picture 1" descr="Description: cid:image001.png@01D03949.49457930">
          <a:extLst>
            <a:ext uri="{FF2B5EF4-FFF2-40B4-BE49-F238E27FC236}">
              <a16:creationId xmlns:a16="http://schemas.microsoft.com/office/drawing/2014/main" id="{37B2F335-F32C-4EB9-A9F5-3DC6294C76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77" name="x_Picture 1" descr="Description: cid:image001.png@01D03949.49457930">
          <a:extLst>
            <a:ext uri="{FF2B5EF4-FFF2-40B4-BE49-F238E27FC236}">
              <a16:creationId xmlns:a16="http://schemas.microsoft.com/office/drawing/2014/main" id="{32EC2100-CEA5-4F60-8E4A-156ADDC95C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78" name="x_Picture 1" descr="Description: cid:image001.png@01D03949.49457930">
          <a:extLst>
            <a:ext uri="{FF2B5EF4-FFF2-40B4-BE49-F238E27FC236}">
              <a16:creationId xmlns:a16="http://schemas.microsoft.com/office/drawing/2014/main" id="{6E5092EF-4A7D-4363-93B9-1B039D64CD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79" name="x_Picture 1" descr="Description: cid:image001.png@01D03949.49457930">
          <a:extLst>
            <a:ext uri="{FF2B5EF4-FFF2-40B4-BE49-F238E27FC236}">
              <a16:creationId xmlns:a16="http://schemas.microsoft.com/office/drawing/2014/main" id="{09A0C5E5-D8EC-4125-BE4F-F90135DACC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80" name="x_Picture 1" descr="Description: cid:image001.png@01D03949.49457930">
          <a:extLst>
            <a:ext uri="{FF2B5EF4-FFF2-40B4-BE49-F238E27FC236}">
              <a16:creationId xmlns:a16="http://schemas.microsoft.com/office/drawing/2014/main" id="{A2DA84AF-C2BE-4C51-8B82-A36CA645785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81" name="x_Picture 1" descr="Description: cid:image001.png@01D03949.49457930">
          <a:extLst>
            <a:ext uri="{FF2B5EF4-FFF2-40B4-BE49-F238E27FC236}">
              <a16:creationId xmlns:a16="http://schemas.microsoft.com/office/drawing/2014/main" id="{3F780FCF-8063-400E-B530-0FB9F8C3965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82" name="x_Picture 1" descr="Description: cid:image001.png@01D03949.49457930">
          <a:extLst>
            <a:ext uri="{FF2B5EF4-FFF2-40B4-BE49-F238E27FC236}">
              <a16:creationId xmlns:a16="http://schemas.microsoft.com/office/drawing/2014/main" id="{47141DB2-B7C0-43F0-A3F7-7D73BB1932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83" name="x_Picture 1" descr="Description: cid:image001.png@01D03949.49457930">
          <a:extLst>
            <a:ext uri="{FF2B5EF4-FFF2-40B4-BE49-F238E27FC236}">
              <a16:creationId xmlns:a16="http://schemas.microsoft.com/office/drawing/2014/main" id="{7EA3AC93-DBB1-4D2E-A7C2-964DFA4EAC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84" name="x_Picture 1" descr="Description: cid:image001.png@01D03949.49457930">
          <a:extLst>
            <a:ext uri="{FF2B5EF4-FFF2-40B4-BE49-F238E27FC236}">
              <a16:creationId xmlns:a16="http://schemas.microsoft.com/office/drawing/2014/main" id="{BAE85CE8-2EAA-4D1B-B42D-5D7F108045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85" name="x_Picture 1" descr="Description: cid:image001.png@01D03949.49457930">
          <a:extLst>
            <a:ext uri="{FF2B5EF4-FFF2-40B4-BE49-F238E27FC236}">
              <a16:creationId xmlns:a16="http://schemas.microsoft.com/office/drawing/2014/main" id="{585C07F6-B2E9-42DB-AE42-A8151BB492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86" name="x_Picture 1" descr="Description: cid:image001.png@01D03949.49457930">
          <a:extLst>
            <a:ext uri="{FF2B5EF4-FFF2-40B4-BE49-F238E27FC236}">
              <a16:creationId xmlns:a16="http://schemas.microsoft.com/office/drawing/2014/main" id="{BA22CE43-CD5C-499C-8956-C70CC880E2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87" name="x_Picture 1" descr="Description: cid:image001.png@01D03949.49457930">
          <a:extLst>
            <a:ext uri="{FF2B5EF4-FFF2-40B4-BE49-F238E27FC236}">
              <a16:creationId xmlns:a16="http://schemas.microsoft.com/office/drawing/2014/main" id="{D0B79689-1238-489A-97A5-87C32350B0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88" name="x_Picture 1" descr="Description: cid:image001.png@01D03949.49457930">
          <a:extLst>
            <a:ext uri="{FF2B5EF4-FFF2-40B4-BE49-F238E27FC236}">
              <a16:creationId xmlns:a16="http://schemas.microsoft.com/office/drawing/2014/main" id="{A8301A7F-7025-43BF-8990-157BC55A614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89" name="x_Picture 1" descr="Description: cid:image001.png@01D03949.49457930">
          <a:extLst>
            <a:ext uri="{FF2B5EF4-FFF2-40B4-BE49-F238E27FC236}">
              <a16:creationId xmlns:a16="http://schemas.microsoft.com/office/drawing/2014/main" id="{17861D41-2F8C-47C9-8FBA-F1DB90D3FE5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90" name="x_Picture 1" descr="Description: cid:image001.png@01D03949.49457930">
          <a:extLst>
            <a:ext uri="{FF2B5EF4-FFF2-40B4-BE49-F238E27FC236}">
              <a16:creationId xmlns:a16="http://schemas.microsoft.com/office/drawing/2014/main" id="{35840E66-E17B-4734-8A60-AD53C38427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7</xdr:row>
      <xdr:rowOff>0</xdr:rowOff>
    </xdr:from>
    <xdr:ext cx="279605" cy="315045"/>
    <xdr:sp macro="" textlink="">
      <xdr:nvSpPr>
        <xdr:cNvPr id="1791" name="x_Picture 1" descr="Description: cid:image001.png@01D03949.49457930">
          <a:extLst>
            <a:ext uri="{FF2B5EF4-FFF2-40B4-BE49-F238E27FC236}">
              <a16:creationId xmlns:a16="http://schemas.microsoft.com/office/drawing/2014/main" id="{CF482226-1396-4974-8006-EFF667F1EB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92" name="x_Picture 1" descr="Description: cid:image001.png@01D03949.49457930">
          <a:extLst>
            <a:ext uri="{FF2B5EF4-FFF2-40B4-BE49-F238E27FC236}">
              <a16:creationId xmlns:a16="http://schemas.microsoft.com/office/drawing/2014/main" id="{67F9660C-B40F-45D5-905A-4A4DFBC0A3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93" name="x_Picture 1" descr="Description: cid:image001.png@01D03949.49457930">
          <a:extLst>
            <a:ext uri="{FF2B5EF4-FFF2-40B4-BE49-F238E27FC236}">
              <a16:creationId xmlns:a16="http://schemas.microsoft.com/office/drawing/2014/main" id="{3B3E91B1-AF0A-4C52-9CB4-A59BE889D3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94" name="x_Picture 1" descr="Description: cid:image001.png@01D03949.49457930">
          <a:extLst>
            <a:ext uri="{FF2B5EF4-FFF2-40B4-BE49-F238E27FC236}">
              <a16:creationId xmlns:a16="http://schemas.microsoft.com/office/drawing/2014/main" id="{543C1489-9A31-42B9-81FA-1A0C0A145A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95" name="x_Picture 1" descr="Description: cid:image001.png@01D03949.49457930">
          <a:extLst>
            <a:ext uri="{FF2B5EF4-FFF2-40B4-BE49-F238E27FC236}">
              <a16:creationId xmlns:a16="http://schemas.microsoft.com/office/drawing/2014/main" id="{A6501051-DA52-4C32-A5A0-E11F18FDEB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796" name="x_Picture 1" descr="Description: cid:image001.png@01D03949.49457930">
          <a:extLst>
            <a:ext uri="{FF2B5EF4-FFF2-40B4-BE49-F238E27FC236}">
              <a16:creationId xmlns:a16="http://schemas.microsoft.com/office/drawing/2014/main" id="{05530C08-8502-4410-A808-6F648A48DF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797" name="x_Picture 1" descr="Description: cid:image001.png@01D03949.49457930">
          <a:extLst>
            <a:ext uri="{FF2B5EF4-FFF2-40B4-BE49-F238E27FC236}">
              <a16:creationId xmlns:a16="http://schemas.microsoft.com/office/drawing/2014/main" id="{82B56487-7DF2-4665-BFC6-746575A85DD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7</xdr:row>
      <xdr:rowOff>0</xdr:rowOff>
    </xdr:from>
    <xdr:ext cx="279605" cy="315045"/>
    <xdr:sp macro="" textlink="">
      <xdr:nvSpPr>
        <xdr:cNvPr id="1798" name="x_Picture 1" descr="Description: cid:image001.png@01D03949.49457930">
          <a:extLst>
            <a:ext uri="{FF2B5EF4-FFF2-40B4-BE49-F238E27FC236}">
              <a16:creationId xmlns:a16="http://schemas.microsoft.com/office/drawing/2014/main" id="{3AEAE40F-D5A7-46EF-AA9A-8B94A747574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799" name="x_Picture 1" descr="Description: cid:image001.png@01D03949.49457930">
          <a:extLst>
            <a:ext uri="{FF2B5EF4-FFF2-40B4-BE49-F238E27FC236}">
              <a16:creationId xmlns:a16="http://schemas.microsoft.com/office/drawing/2014/main" id="{55EC452A-96AA-47F0-89E3-D4A98DBDA37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00" name="x_Picture 1" descr="Description: cid:image001.png@01D03949.49457930">
          <a:extLst>
            <a:ext uri="{FF2B5EF4-FFF2-40B4-BE49-F238E27FC236}">
              <a16:creationId xmlns:a16="http://schemas.microsoft.com/office/drawing/2014/main" id="{42A49899-7FE1-4AF0-AB54-B2EA707E23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01" name="x_Picture 1" descr="Description: cid:image001.png@01D03949.49457930">
          <a:extLst>
            <a:ext uri="{FF2B5EF4-FFF2-40B4-BE49-F238E27FC236}">
              <a16:creationId xmlns:a16="http://schemas.microsoft.com/office/drawing/2014/main" id="{8F6A9270-65D0-4B87-BAEB-1238522C8B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02" name="x_Picture 1" descr="Description: cid:image001.png@01D03949.49457930">
          <a:extLst>
            <a:ext uri="{FF2B5EF4-FFF2-40B4-BE49-F238E27FC236}">
              <a16:creationId xmlns:a16="http://schemas.microsoft.com/office/drawing/2014/main" id="{4F089394-9C36-4C80-878A-AE4BDC7986C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03" name="x_Picture 1" descr="Description: cid:image001.png@01D03949.49457930">
          <a:extLst>
            <a:ext uri="{FF2B5EF4-FFF2-40B4-BE49-F238E27FC236}">
              <a16:creationId xmlns:a16="http://schemas.microsoft.com/office/drawing/2014/main" id="{54DF514F-C559-4A76-BE85-9159CB643F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04" name="x_Picture 1" descr="Description: cid:image001.png@01D03949.49457930">
          <a:extLst>
            <a:ext uri="{FF2B5EF4-FFF2-40B4-BE49-F238E27FC236}">
              <a16:creationId xmlns:a16="http://schemas.microsoft.com/office/drawing/2014/main" id="{ED364EDA-295F-49C0-B9DE-8C65ED460EC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05" name="x_Picture 1" descr="Description: cid:image001.png@01D03949.49457930">
          <a:extLst>
            <a:ext uri="{FF2B5EF4-FFF2-40B4-BE49-F238E27FC236}">
              <a16:creationId xmlns:a16="http://schemas.microsoft.com/office/drawing/2014/main" id="{3CE08D96-0CAC-4F5E-A9E8-10781CB3D3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06" name="x_Picture 1" descr="Description: cid:image001.png@01D03949.49457930">
          <a:extLst>
            <a:ext uri="{FF2B5EF4-FFF2-40B4-BE49-F238E27FC236}">
              <a16:creationId xmlns:a16="http://schemas.microsoft.com/office/drawing/2014/main" id="{B983878E-5EB8-4B85-A7A5-478BE9FA0F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07" name="x_Picture 1" descr="Description: cid:image001.png@01D03949.49457930">
          <a:extLst>
            <a:ext uri="{FF2B5EF4-FFF2-40B4-BE49-F238E27FC236}">
              <a16:creationId xmlns:a16="http://schemas.microsoft.com/office/drawing/2014/main" id="{6CCE4EA8-86AD-4C74-9CB3-8828D9683B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08" name="x_Picture 1" descr="Description: cid:image001.png@01D03949.49457930">
          <a:extLst>
            <a:ext uri="{FF2B5EF4-FFF2-40B4-BE49-F238E27FC236}">
              <a16:creationId xmlns:a16="http://schemas.microsoft.com/office/drawing/2014/main" id="{199096A9-36D1-49FE-BFCC-41EC7FFEB8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809" name="x_Picture 1" descr="Description: cid:image001.png@01D03949.49457930">
          <a:extLst>
            <a:ext uri="{FF2B5EF4-FFF2-40B4-BE49-F238E27FC236}">
              <a16:creationId xmlns:a16="http://schemas.microsoft.com/office/drawing/2014/main" id="{8EC96F70-B141-4F10-B97B-C4CE739722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10" name="x_Picture 1" descr="Description: cid:image001.png@01D03949.49457930">
          <a:extLst>
            <a:ext uri="{FF2B5EF4-FFF2-40B4-BE49-F238E27FC236}">
              <a16:creationId xmlns:a16="http://schemas.microsoft.com/office/drawing/2014/main" id="{EAFAB8D9-8FFE-449D-AD3B-F1A780C738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11" name="x_Picture 1" descr="Description: cid:image001.png@01D03949.49457930">
          <a:extLst>
            <a:ext uri="{FF2B5EF4-FFF2-40B4-BE49-F238E27FC236}">
              <a16:creationId xmlns:a16="http://schemas.microsoft.com/office/drawing/2014/main" id="{570B2B92-DB7C-496F-A6AD-7B2276704F2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12" name="x_Picture 1" descr="Description: cid:image001.png@01D03949.49457930">
          <a:extLst>
            <a:ext uri="{FF2B5EF4-FFF2-40B4-BE49-F238E27FC236}">
              <a16:creationId xmlns:a16="http://schemas.microsoft.com/office/drawing/2014/main" id="{CA465575-1B08-4D5E-BAEA-3A4094415C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8</xdr:row>
      <xdr:rowOff>0</xdr:rowOff>
    </xdr:from>
    <xdr:ext cx="279605" cy="315045"/>
    <xdr:sp macro="" textlink="">
      <xdr:nvSpPr>
        <xdr:cNvPr id="1813" name="x_Picture 1" descr="Description: cid:image001.png@01D03949.49457930">
          <a:extLst>
            <a:ext uri="{FF2B5EF4-FFF2-40B4-BE49-F238E27FC236}">
              <a16:creationId xmlns:a16="http://schemas.microsoft.com/office/drawing/2014/main" id="{6BB63548-2802-454B-B0D7-A9B36B351F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14" name="x_Picture 1" descr="Description: cid:image001.png@01D03949.49457930">
          <a:extLst>
            <a:ext uri="{FF2B5EF4-FFF2-40B4-BE49-F238E27FC236}">
              <a16:creationId xmlns:a16="http://schemas.microsoft.com/office/drawing/2014/main" id="{5514510D-D74B-4DC4-9CEF-FEE45AB757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15" name="x_Picture 1" descr="Description: cid:image001.png@01D03949.49457930">
          <a:extLst>
            <a:ext uri="{FF2B5EF4-FFF2-40B4-BE49-F238E27FC236}">
              <a16:creationId xmlns:a16="http://schemas.microsoft.com/office/drawing/2014/main" id="{BC18A407-3DC4-4DA6-8349-84E7F4CE58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16" name="x_Picture 1" descr="Description: cid:image001.png@01D03949.49457930">
          <a:extLst>
            <a:ext uri="{FF2B5EF4-FFF2-40B4-BE49-F238E27FC236}">
              <a16:creationId xmlns:a16="http://schemas.microsoft.com/office/drawing/2014/main" id="{6CF8E477-0C50-4AF9-B33B-23B42903863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17" name="x_Picture 1" descr="Description: cid:image001.png@01D03949.49457930">
          <a:extLst>
            <a:ext uri="{FF2B5EF4-FFF2-40B4-BE49-F238E27FC236}">
              <a16:creationId xmlns:a16="http://schemas.microsoft.com/office/drawing/2014/main" id="{2EE93CF0-3C05-4AB1-97EF-8219723C5D7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18" name="x_Picture 1" descr="Description: cid:image001.png@01D03949.49457930">
          <a:extLst>
            <a:ext uri="{FF2B5EF4-FFF2-40B4-BE49-F238E27FC236}">
              <a16:creationId xmlns:a16="http://schemas.microsoft.com/office/drawing/2014/main" id="{CF66AE36-F524-4877-A6F9-889A164E26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19" name="x_Picture 1" descr="Description: cid:image001.png@01D03949.49457930">
          <a:extLst>
            <a:ext uri="{FF2B5EF4-FFF2-40B4-BE49-F238E27FC236}">
              <a16:creationId xmlns:a16="http://schemas.microsoft.com/office/drawing/2014/main" id="{4AC33974-2FFC-4E2D-87C0-D6305B828F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8</xdr:row>
      <xdr:rowOff>0</xdr:rowOff>
    </xdr:from>
    <xdr:ext cx="279605" cy="315045"/>
    <xdr:sp macro="" textlink="">
      <xdr:nvSpPr>
        <xdr:cNvPr id="1820" name="x_Picture 1" descr="Description: cid:image001.png@01D03949.49457930">
          <a:extLst>
            <a:ext uri="{FF2B5EF4-FFF2-40B4-BE49-F238E27FC236}">
              <a16:creationId xmlns:a16="http://schemas.microsoft.com/office/drawing/2014/main" id="{60EFDCBC-3CD0-4CF8-8176-928BC1C11F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21" name="x_Picture 1" descr="Description: cid:image001.png@01D03949.49457930">
          <a:extLst>
            <a:ext uri="{FF2B5EF4-FFF2-40B4-BE49-F238E27FC236}">
              <a16:creationId xmlns:a16="http://schemas.microsoft.com/office/drawing/2014/main" id="{B393EFC5-B33C-4CCC-B1BA-5C579A29BA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22" name="x_Picture 1" descr="Description: cid:image001.png@01D03949.49457930">
          <a:extLst>
            <a:ext uri="{FF2B5EF4-FFF2-40B4-BE49-F238E27FC236}">
              <a16:creationId xmlns:a16="http://schemas.microsoft.com/office/drawing/2014/main" id="{55B49DB6-E432-483C-8DA4-F617003E66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23" name="x_Picture 1" descr="Description: cid:image001.png@01D03949.49457930">
          <a:extLst>
            <a:ext uri="{FF2B5EF4-FFF2-40B4-BE49-F238E27FC236}">
              <a16:creationId xmlns:a16="http://schemas.microsoft.com/office/drawing/2014/main" id="{718AA778-E4DF-456C-8807-954C57169D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24" name="x_Picture 1" descr="Description: cid:image001.png@01D03949.49457930">
          <a:extLst>
            <a:ext uri="{FF2B5EF4-FFF2-40B4-BE49-F238E27FC236}">
              <a16:creationId xmlns:a16="http://schemas.microsoft.com/office/drawing/2014/main" id="{DB71CF1D-3DFA-44BB-88A2-5129C8CC31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25" name="x_Picture 1" descr="Description: cid:image001.png@01D03949.49457930">
          <a:extLst>
            <a:ext uri="{FF2B5EF4-FFF2-40B4-BE49-F238E27FC236}">
              <a16:creationId xmlns:a16="http://schemas.microsoft.com/office/drawing/2014/main" id="{B763124B-F2BF-48B0-842A-F45C660F3B0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26" name="x_Picture 1" descr="Description: cid:image001.png@01D03949.49457930">
          <a:extLst>
            <a:ext uri="{FF2B5EF4-FFF2-40B4-BE49-F238E27FC236}">
              <a16:creationId xmlns:a16="http://schemas.microsoft.com/office/drawing/2014/main" id="{F6C68D7B-9B63-4401-9D7A-4DD3B821DD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27" name="x_Picture 1" descr="Description: cid:image001.png@01D03949.49457930">
          <a:extLst>
            <a:ext uri="{FF2B5EF4-FFF2-40B4-BE49-F238E27FC236}">
              <a16:creationId xmlns:a16="http://schemas.microsoft.com/office/drawing/2014/main" id="{9B751D2A-F3DE-4883-9189-A6178BEA3D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28" name="x_Picture 1" descr="Description: cid:image001.png@01D03949.49457930">
          <a:extLst>
            <a:ext uri="{FF2B5EF4-FFF2-40B4-BE49-F238E27FC236}">
              <a16:creationId xmlns:a16="http://schemas.microsoft.com/office/drawing/2014/main" id="{0F0511D9-9D5C-45C0-87B9-86DA92FBCE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29" name="x_Picture 1" descr="Description: cid:image001.png@01D03949.49457930">
          <a:extLst>
            <a:ext uri="{FF2B5EF4-FFF2-40B4-BE49-F238E27FC236}">
              <a16:creationId xmlns:a16="http://schemas.microsoft.com/office/drawing/2014/main" id="{0EC5F01E-33A5-4FE9-A03B-BE0AE77508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30" name="x_Picture 1" descr="Description: cid:image001.png@01D03949.49457930">
          <a:extLst>
            <a:ext uri="{FF2B5EF4-FFF2-40B4-BE49-F238E27FC236}">
              <a16:creationId xmlns:a16="http://schemas.microsoft.com/office/drawing/2014/main" id="{A38299EE-4E1E-492A-AFA9-F7AF35FA9B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31" name="x_Picture 1" descr="Description: cid:image001.png@01D03949.49457930">
          <a:extLst>
            <a:ext uri="{FF2B5EF4-FFF2-40B4-BE49-F238E27FC236}">
              <a16:creationId xmlns:a16="http://schemas.microsoft.com/office/drawing/2014/main" id="{E2C82AEE-6B37-4D26-BC8A-6527A74D19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32" name="x_Picture 1" descr="Description: cid:image001.png@01D03949.49457930">
          <a:extLst>
            <a:ext uri="{FF2B5EF4-FFF2-40B4-BE49-F238E27FC236}">
              <a16:creationId xmlns:a16="http://schemas.microsoft.com/office/drawing/2014/main" id="{B58AA91E-CA2A-49E4-9DBC-B0D401D0CF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33" name="x_Picture 1" descr="Description: cid:image001.png@01D03949.49457930">
          <a:extLst>
            <a:ext uri="{FF2B5EF4-FFF2-40B4-BE49-F238E27FC236}">
              <a16:creationId xmlns:a16="http://schemas.microsoft.com/office/drawing/2014/main" id="{BF367CB0-7D6A-466E-83D0-641CCDAC49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34" name="x_Picture 1" descr="Description: cid:image001.png@01D03949.49457930">
          <a:extLst>
            <a:ext uri="{FF2B5EF4-FFF2-40B4-BE49-F238E27FC236}">
              <a16:creationId xmlns:a16="http://schemas.microsoft.com/office/drawing/2014/main" id="{5B953486-9C10-4230-B181-5BD15CEFEC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9</xdr:row>
      <xdr:rowOff>0</xdr:rowOff>
    </xdr:from>
    <xdr:ext cx="279605" cy="315045"/>
    <xdr:sp macro="" textlink="">
      <xdr:nvSpPr>
        <xdr:cNvPr id="1835" name="x_Picture 1" descr="Description: cid:image001.png@01D03949.49457930">
          <a:extLst>
            <a:ext uri="{FF2B5EF4-FFF2-40B4-BE49-F238E27FC236}">
              <a16:creationId xmlns:a16="http://schemas.microsoft.com/office/drawing/2014/main" id="{F571D254-25B6-4D2E-8E52-A3454D78AC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36" name="x_Picture 1" descr="Description: cid:image001.png@01D03949.49457930">
          <a:extLst>
            <a:ext uri="{FF2B5EF4-FFF2-40B4-BE49-F238E27FC236}">
              <a16:creationId xmlns:a16="http://schemas.microsoft.com/office/drawing/2014/main" id="{111EA794-CE37-4B89-B356-80CA81D3E2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37" name="x_Picture 1" descr="Description: cid:image001.png@01D03949.49457930">
          <a:extLst>
            <a:ext uri="{FF2B5EF4-FFF2-40B4-BE49-F238E27FC236}">
              <a16:creationId xmlns:a16="http://schemas.microsoft.com/office/drawing/2014/main" id="{F0EB95B6-3B8C-4631-B6CB-7594860B37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38" name="x_Picture 1" descr="Description: cid:image001.png@01D03949.49457930">
          <a:extLst>
            <a:ext uri="{FF2B5EF4-FFF2-40B4-BE49-F238E27FC236}">
              <a16:creationId xmlns:a16="http://schemas.microsoft.com/office/drawing/2014/main" id="{D41C375E-3B5D-4971-AF3E-91DB02DB2F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39" name="x_Picture 1" descr="Description: cid:image001.png@01D03949.49457930">
          <a:extLst>
            <a:ext uri="{FF2B5EF4-FFF2-40B4-BE49-F238E27FC236}">
              <a16:creationId xmlns:a16="http://schemas.microsoft.com/office/drawing/2014/main" id="{7B1768B4-F17C-451B-80E6-402F652DEB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40" name="x_Picture 1" descr="Description: cid:image001.png@01D03949.49457930">
          <a:extLst>
            <a:ext uri="{FF2B5EF4-FFF2-40B4-BE49-F238E27FC236}">
              <a16:creationId xmlns:a16="http://schemas.microsoft.com/office/drawing/2014/main" id="{0FF1264D-AD43-4217-BC01-7E41DE5507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41" name="x_Picture 1" descr="Description: cid:image001.png@01D03949.49457930">
          <a:extLst>
            <a:ext uri="{FF2B5EF4-FFF2-40B4-BE49-F238E27FC236}">
              <a16:creationId xmlns:a16="http://schemas.microsoft.com/office/drawing/2014/main" id="{FE1E9D74-1145-4A6B-B877-74FEE24C26F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9</xdr:row>
      <xdr:rowOff>0</xdr:rowOff>
    </xdr:from>
    <xdr:ext cx="279605" cy="315045"/>
    <xdr:sp macro="" textlink="">
      <xdr:nvSpPr>
        <xdr:cNvPr id="1842" name="x_Picture 1" descr="Description: cid:image001.png@01D03949.49457930">
          <a:extLst>
            <a:ext uri="{FF2B5EF4-FFF2-40B4-BE49-F238E27FC236}">
              <a16:creationId xmlns:a16="http://schemas.microsoft.com/office/drawing/2014/main" id="{D6527187-FC36-45AA-8221-0A596BEE55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43" name="x_Picture 1" descr="Description: cid:image001.png@01D03949.49457930">
          <a:extLst>
            <a:ext uri="{FF2B5EF4-FFF2-40B4-BE49-F238E27FC236}">
              <a16:creationId xmlns:a16="http://schemas.microsoft.com/office/drawing/2014/main" id="{2E7C2EB2-265C-4328-9FD4-53B572F322F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44" name="x_Picture 1" descr="Description: cid:image001.png@01D03949.49457930">
          <a:extLst>
            <a:ext uri="{FF2B5EF4-FFF2-40B4-BE49-F238E27FC236}">
              <a16:creationId xmlns:a16="http://schemas.microsoft.com/office/drawing/2014/main" id="{785DBFC4-F9BD-4279-88A1-EBC5D4FA65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45" name="x_Picture 1" descr="Description: cid:image001.png@01D03949.49457930">
          <a:extLst>
            <a:ext uri="{FF2B5EF4-FFF2-40B4-BE49-F238E27FC236}">
              <a16:creationId xmlns:a16="http://schemas.microsoft.com/office/drawing/2014/main" id="{887360A6-A64E-4C40-9418-A17DDC91D4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46" name="x_Picture 1" descr="Description: cid:image001.png@01D03949.49457930">
          <a:extLst>
            <a:ext uri="{FF2B5EF4-FFF2-40B4-BE49-F238E27FC236}">
              <a16:creationId xmlns:a16="http://schemas.microsoft.com/office/drawing/2014/main" id="{4789857A-1DC1-4A3D-A590-CE34E842C1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47" name="x_Picture 1" descr="Description: cid:image001.png@01D03949.49457930">
          <a:extLst>
            <a:ext uri="{FF2B5EF4-FFF2-40B4-BE49-F238E27FC236}">
              <a16:creationId xmlns:a16="http://schemas.microsoft.com/office/drawing/2014/main" id="{110A8247-BC14-44B5-B9B6-B47A43BBB7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48" name="x_Picture 1" descr="Description: cid:image001.png@01D03949.49457930">
          <a:extLst>
            <a:ext uri="{FF2B5EF4-FFF2-40B4-BE49-F238E27FC236}">
              <a16:creationId xmlns:a16="http://schemas.microsoft.com/office/drawing/2014/main" id="{28F3103E-AF83-4B46-A34F-2A7F981E986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49" name="x_Picture 1" descr="Description: cid:image001.png@01D03949.49457930">
          <a:extLst>
            <a:ext uri="{FF2B5EF4-FFF2-40B4-BE49-F238E27FC236}">
              <a16:creationId xmlns:a16="http://schemas.microsoft.com/office/drawing/2014/main" id="{43109EF6-43D5-4D52-B6D3-5E0F0E09A20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50" name="x_Picture 1" descr="Description: cid:image001.png@01D03949.49457930">
          <a:extLst>
            <a:ext uri="{FF2B5EF4-FFF2-40B4-BE49-F238E27FC236}">
              <a16:creationId xmlns:a16="http://schemas.microsoft.com/office/drawing/2014/main" id="{846457C9-47E4-4BFE-A8B9-7F9E079BE36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51" name="x_Picture 1" descr="Description: cid:image001.png@01D03949.49457930">
          <a:extLst>
            <a:ext uri="{FF2B5EF4-FFF2-40B4-BE49-F238E27FC236}">
              <a16:creationId xmlns:a16="http://schemas.microsoft.com/office/drawing/2014/main" id="{5F2A5840-8D0C-495D-B4BC-9DBA21C695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52" name="x_Picture 1" descr="Description: cid:image001.png@01D03949.49457930">
          <a:extLst>
            <a:ext uri="{FF2B5EF4-FFF2-40B4-BE49-F238E27FC236}">
              <a16:creationId xmlns:a16="http://schemas.microsoft.com/office/drawing/2014/main" id="{A9E8F0AB-0914-4783-B62B-175035254B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53" name="x_Picture 1" descr="Description: cid:image001.png@01D03949.49457930">
          <a:extLst>
            <a:ext uri="{FF2B5EF4-FFF2-40B4-BE49-F238E27FC236}">
              <a16:creationId xmlns:a16="http://schemas.microsoft.com/office/drawing/2014/main" id="{64F074D3-15BE-4588-8EC4-72A6524252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54" name="x_Picture 1" descr="Description: cid:image001.png@01D03949.49457930">
          <a:extLst>
            <a:ext uri="{FF2B5EF4-FFF2-40B4-BE49-F238E27FC236}">
              <a16:creationId xmlns:a16="http://schemas.microsoft.com/office/drawing/2014/main" id="{CD1309C8-5D60-4A36-94B8-9BD0BA3D3F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55" name="x_Picture 1" descr="Description: cid:image001.png@01D03949.49457930">
          <a:extLst>
            <a:ext uri="{FF2B5EF4-FFF2-40B4-BE49-F238E27FC236}">
              <a16:creationId xmlns:a16="http://schemas.microsoft.com/office/drawing/2014/main" id="{9F8A8D03-FBB1-45B6-A299-1B314347C4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56" name="x_Picture 1" descr="Description: cid:image001.png@01D03949.49457930">
          <a:extLst>
            <a:ext uri="{FF2B5EF4-FFF2-40B4-BE49-F238E27FC236}">
              <a16:creationId xmlns:a16="http://schemas.microsoft.com/office/drawing/2014/main" id="{79BCACA2-2777-45F0-9EFE-E43717AA93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10</xdr:row>
      <xdr:rowOff>0</xdr:rowOff>
    </xdr:from>
    <xdr:ext cx="279605" cy="315045"/>
    <xdr:sp macro="" textlink="">
      <xdr:nvSpPr>
        <xdr:cNvPr id="1857" name="x_Picture 1" descr="Description: cid:image001.png@01D03949.49457930">
          <a:extLst>
            <a:ext uri="{FF2B5EF4-FFF2-40B4-BE49-F238E27FC236}">
              <a16:creationId xmlns:a16="http://schemas.microsoft.com/office/drawing/2014/main" id="{81FD0395-EFC9-419E-9128-F1507428B7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58" name="x_Picture 1" descr="Description: cid:image001.png@01D03949.49457930">
          <a:extLst>
            <a:ext uri="{FF2B5EF4-FFF2-40B4-BE49-F238E27FC236}">
              <a16:creationId xmlns:a16="http://schemas.microsoft.com/office/drawing/2014/main" id="{0AA1D0EA-6862-4789-B62F-1539CA0071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59" name="x_Picture 1" descr="Description: cid:image001.png@01D03949.49457930">
          <a:extLst>
            <a:ext uri="{FF2B5EF4-FFF2-40B4-BE49-F238E27FC236}">
              <a16:creationId xmlns:a16="http://schemas.microsoft.com/office/drawing/2014/main" id="{0A3B4CCB-B3A5-400E-BCBA-7A8886CC9F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60" name="x_Picture 1" descr="Description: cid:image001.png@01D03949.49457930">
          <a:extLst>
            <a:ext uri="{FF2B5EF4-FFF2-40B4-BE49-F238E27FC236}">
              <a16:creationId xmlns:a16="http://schemas.microsoft.com/office/drawing/2014/main" id="{2705E584-E0B2-4AE4-92D4-E92945DE66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61" name="x_Picture 1" descr="Description: cid:image001.png@01D03949.49457930">
          <a:extLst>
            <a:ext uri="{FF2B5EF4-FFF2-40B4-BE49-F238E27FC236}">
              <a16:creationId xmlns:a16="http://schemas.microsoft.com/office/drawing/2014/main" id="{E23D62E3-802E-46FF-8320-6581C54ECC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62" name="x_Picture 1" descr="Description: cid:image001.png@01D03949.49457930">
          <a:extLst>
            <a:ext uri="{FF2B5EF4-FFF2-40B4-BE49-F238E27FC236}">
              <a16:creationId xmlns:a16="http://schemas.microsoft.com/office/drawing/2014/main" id="{4BC06939-C145-4A7A-83E4-AC4E176A4B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63" name="x_Picture 1" descr="Description: cid:image001.png@01D03949.49457930">
          <a:extLst>
            <a:ext uri="{FF2B5EF4-FFF2-40B4-BE49-F238E27FC236}">
              <a16:creationId xmlns:a16="http://schemas.microsoft.com/office/drawing/2014/main" id="{043FA020-7DBE-43A7-8D3E-E9181F1BF0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10</xdr:row>
      <xdr:rowOff>0</xdr:rowOff>
    </xdr:from>
    <xdr:ext cx="279605" cy="315045"/>
    <xdr:sp macro="" textlink="">
      <xdr:nvSpPr>
        <xdr:cNvPr id="1864" name="x_Picture 1" descr="Description: cid:image001.png@01D03949.49457930">
          <a:extLst>
            <a:ext uri="{FF2B5EF4-FFF2-40B4-BE49-F238E27FC236}">
              <a16:creationId xmlns:a16="http://schemas.microsoft.com/office/drawing/2014/main" id="{401A883A-1F07-48CD-9D45-8E74CC5B802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65" name="x_Picture 1" descr="Description: cid:image001.png@01D03949.49457930">
          <a:extLst>
            <a:ext uri="{FF2B5EF4-FFF2-40B4-BE49-F238E27FC236}">
              <a16:creationId xmlns:a16="http://schemas.microsoft.com/office/drawing/2014/main" id="{7F16DE37-E5D9-441E-88BE-72891CB7AB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66" name="x_Picture 1" descr="Description: cid:image001.png@01D03949.49457930">
          <a:extLst>
            <a:ext uri="{FF2B5EF4-FFF2-40B4-BE49-F238E27FC236}">
              <a16:creationId xmlns:a16="http://schemas.microsoft.com/office/drawing/2014/main" id="{0B82DF48-410A-459C-9293-AEE9BC1DB6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67" name="x_Picture 1" descr="Description: cid:image001.png@01D03949.49457930">
          <a:extLst>
            <a:ext uri="{FF2B5EF4-FFF2-40B4-BE49-F238E27FC236}">
              <a16:creationId xmlns:a16="http://schemas.microsoft.com/office/drawing/2014/main" id="{A7C15777-DF8A-488F-B3CB-ABB45609D42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68" name="x_Picture 1" descr="Description: cid:image001.png@01D03949.49457930">
          <a:extLst>
            <a:ext uri="{FF2B5EF4-FFF2-40B4-BE49-F238E27FC236}">
              <a16:creationId xmlns:a16="http://schemas.microsoft.com/office/drawing/2014/main" id="{EDC10384-1DFF-4078-B59F-21979FE5F8C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69" name="x_Picture 1" descr="Description: cid:image001.png@01D03949.49457930">
          <a:extLst>
            <a:ext uri="{FF2B5EF4-FFF2-40B4-BE49-F238E27FC236}">
              <a16:creationId xmlns:a16="http://schemas.microsoft.com/office/drawing/2014/main" id="{28D0AB23-8643-4E7D-8153-8528F07A01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70" name="x_Picture 1" descr="Description: cid:image001.png@01D03949.49457930">
          <a:extLst>
            <a:ext uri="{FF2B5EF4-FFF2-40B4-BE49-F238E27FC236}">
              <a16:creationId xmlns:a16="http://schemas.microsoft.com/office/drawing/2014/main" id="{8D7D6555-40A9-4D34-BE8C-6BC70A0AF5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71" name="x_Picture 1" descr="Description: cid:image001.png@01D03949.49457930">
          <a:extLst>
            <a:ext uri="{FF2B5EF4-FFF2-40B4-BE49-F238E27FC236}">
              <a16:creationId xmlns:a16="http://schemas.microsoft.com/office/drawing/2014/main" id="{EA46F506-25E4-4646-B160-E400302F28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72" name="x_Picture 1" descr="Description: cid:image001.png@01D03949.49457930">
          <a:extLst>
            <a:ext uri="{FF2B5EF4-FFF2-40B4-BE49-F238E27FC236}">
              <a16:creationId xmlns:a16="http://schemas.microsoft.com/office/drawing/2014/main" id="{60277312-3E65-4CB8-8D52-F04529CC8A6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73" name="x_Picture 1" descr="Description: cid:image001.png@01D03949.49457930">
          <a:extLst>
            <a:ext uri="{FF2B5EF4-FFF2-40B4-BE49-F238E27FC236}">
              <a16:creationId xmlns:a16="http://schemas.microsoft.com/office/drawing/2014/main" id="{A8284DF2-FE76-4B26-8A3C-638044CA44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74" name="x_Picture 1" descr="Description: cid:image001.png@01D03949.49457930">
          <a:extLst>
            <a:ext uri="{FF2B5EF4-FFF2-40B4-BE49-F238E27FC236}">
              <a16:creationId xmlns:a16="http://schemas.microsoft.com/office/drawing/2014/main" id="{5EBA4B7F-D270-4217-A9C4-04227F302A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75" name="x_Picture 1" descr="Description: cid:image001.png@01D03949.49457930">
          <a:extLst>
            <a:ext uri="{FF2B5EF4-FFF2-40B4-BE49-F238E27FC236}">
              <a16:creationId xmlns:a16="http://schemas.microsoft.com/office/drawing/2014/main" id="{28CCE570-9EAD-4398-BC92-DF63EC2143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76" name="x_Picture 1" descr="Description: cid:image001.png@01D03949.49457930">
          <a:extLst>
            <a:ext uri="{FF2B5EF4-FFF2-40B4-BE49-F238E27FC236}">
              <a16:creationId xmlns:a16="http://schemas.microsoft.com/office/drawing/2014/main" id="{B066C5FD-F7A6-4B4F-B7FA-ACE13DA932A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877" name="x_Picture 1" descr="Description: cid:image001.png@01D03949.49457930">
          <a:extLst>
            <a:ext uri="{FF2B5EF4-FFF2-40B4-BE49-F238E27FC236}">
              <a16:creationId xmlns:a16="http://schemas.microsoft.com/office/drawing/2014/main" id="{42D2E866-0D64-4949-B67E-029905F4F4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878" name="x_Picture 1" descr="Description: cid:image001.png@01D03949.49457930">
          <a:extLst>
            <a:ext uri="{FF2B5EF4-FFF2-40B4-BE49-F238E27FC236}">
              <a16:creationId xmlns:a16="http://schemas.microsoft.com/office/drawing/2014/main" id="{2B71F4CE-44A0-4E6B-9859-86AFA706F4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11</xdr:row>
      <xdr:rowOff>0</xdr:rowOff>
    </xdr:from>
    <xdr:ext cx="279605" cy="315045"/>
    <xdr:sp macro="" textlink="">
      <xdr:nvSpPr>
        <xdr:cNvPr id="1879" name="x_Picture 1" descr="Description: cid:image001.png@01D03949.49457930">
          <a:extLst>
            <a:ext uri="{FF2B5EF4-FFF2-40B4-BE49-F238E27FC236}">
              <a16:creationId xmlns:a16="http://schemas.microsoft.com/office/drawing/2014/main" id="{9766C7D1-08B4-43BF-B594-D68E1A8834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880" name="x_Picture 1" descr="Description: cid:image001.png@01D03949.49457930">
          <a:extLst>
            <a:ext uri="{FF2B5EF4-FFF2-40B4-BE49-F238E27FC236}">
              <a16:creationId xmlns:a16="http://schemas.microsoft.com/office/drawing/2014/main" id="{02ACC008-479B-4B6A-B5F9-FCAA879AE1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881" name="x_Picture 1" descr="Description: cid:image001.png@01D03949.49457930">
          <a:extLst>
            <a:ext uri="{FF2B5EF4-FFF2-40B4-BE49-F238E27FC236}">
              <a16:creationId xmlns:a16="http://schemas.microsoft.com/office/drawing/2014/main" id="{12662E38-1BA8-46EA-905C-4C30EF4293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882" name="x_Picture 1" descr="Description: cid:image001.png@01D03949.49457930">
          <a:extLst>
            <a:ext uri="{FF2B5EF4-FFF2-40B4-BE49-F238E27FC236}">
              <a16:creationId xmlns:a16="http://schemas.microsoft.com/office/drawing/2014/main" id="{4634CF64-C99F-4235-8D57-292D1856923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883" name="x_Picture 1" descr="Description: cid:image001.png@01D03949.49457930">
          <a:extLst>
            <a:ext uri="{FF2B5EF4-FFF2-40B4-BE49-F238E27FC236}">
              <a16:creationId xmlns:a16="http://schemas.microsoft.com/office/drawing/2014/main" id="{2B97B354-76A2-41DF-8B28-E3C4101F24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884" name="x_Picture 1" descr="Description: cid:image001.png@01D03949.49457930">
          <a:extLst>
            <a:ext uri="{FF2B5EF4-FFF2-40B4-BE49-F238E27FC236}">
              <a16:creationId xmlns:a16="http://schemas.microsoft.com/office/drawing/2014/main" id="{9544C075-C8AF-4429-AB45-BFEA6BADA2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85" name="x_Picture 1" descr="Description: cid:image001.png@01D03949.49457930">
          <a:extLst>
            <a:ext uri="{FF2B5EF4-FFF2-40B4-BE49-F238E27FC236}">
              <a16:creationId xmlns:a16="http://schemas.microsoft.com/office/drawing/2014/main" id="{8AE070DE-ADE1-483B-AB22-81A2A3748F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11</xdr:row>
      <xdr:rowOff>0</xdr:rowOff>
    </xdr:from>
    <xdr:ext cx="279605" cy="315045"/>
    <xdr:sp macro="" textlink="">
      <xdr:nvSpPr>
        <xdr:cNvPr id="1886" name="x_Picture 1" descr="Description: cid:image001.png@01D03949.49457930">
          <a:extLst>
            <a:ext uri="{FF2B5EF4-FFF2-40B4-BE49-F238E27FC236}">
              <a16:creationId xmlns:a16="http://schemas.microsoft.com/office/drawing/2014/main" id="{02704762-9BFB-4F10-B18D-815BB3CEB1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87" name="x_Picture 1" descr="Description: cid:image001.png@01D03949.49457930">
          <a:extLst>
            <a:ext uri="{FF2B5EF4-FFF2-40B4-BE49-F238E27FC236}">
              <a16:creationId xmlns:a16="http://schemas.microsoft.com/office/drawing/2014/main" id="{A42E8ED9-DB08-4428-BB8D-64EC162AA4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88" name="x_Picture 1" descr="Description: cid:image001.png@01D03949.49457930">
          <a:extLst>
            <a:ext uri="{FF2B5EF4-FFF2-40B4-BE49-F238E27FC236}">
              <a16:creationId xmlns:a16="http://schemas.microsoft.com/office/drawing/2014/main" id="{0C1E8E36-E9CF-45E3-9D2C-80249B98BE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89" name="x_Picture 1" descr="Description: cid:image001.png@01D03949.49457930">
          <a:extLst>
            <a:ext uri="{FF2B5EF4-FFF2-40B4-BE49-F238E27FC236}">
              <a16:creationId xmlns:a16="http://schemas.microsoft.com/office/drawing/2014/main" id="{413A1B36-1B5E-4EAD-8301-836998BF44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90" name="x_Picture 1" descr="Description: cid:image001.png@01D03949.49457930">
          <a:extLst>
            <a:ext uri="{FF2B5EF4-FFF2-40B4-BE49-F238E27FC236}">
              <a16:creationId xmlns:a16="http://schemas.microsoft.com/office/drawing/2014/main" id="{B405713C-85AD-4E86-BD30-9B24EA50DF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91" name="x_Picture 1" descr="Description: cid:image001.png@01D03949.49457930">
          <a:extLst>
            <a:ext uri="{FF2B5EF4-FFF2-40B4-BE49-F238E27FC236}">
              <a16:creationId xmlns:a16="http://schemas.microsoft.com/office/drawing/2014/main" id="{0079F457-31EA-40DD-B1E0-C25E4EEB8C3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92" name="x_Picture 1" descr="Description: cid:image001.png@01D03949.49457930">
          <a:extLst>
            <a:ext uri="{FF2B5EF4-FFF2-40B4-BE49-F238E27FC236}">
              <a16:creationId xmlns:a16="http://schemas.microsoft.com/office/drawing/2014/main" id="{01F71D6E-A72E-4FF1-85C9-E49B5C7CF8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93" name="x_Picture 1" descr="Description: cid:image001.png@01D03949.49457930">
          <a:extLst>
            <a:ext uri="{FF2B5EF4-FFF2-40B4-BE49-F238E27FC236}">
              <a16:creationId xmlns:a16="http://schemas.microsoft.com/office/drawing/2014/main" id="{C55B76A9-DDC9-4FEF-BF96-9A54E45DFB0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94" name="x_Picture 1" descr="Description: cid:image001.png@01D03949.49457930">
          <a:extLst>
            <a:ext uri="{FF2B5EF4-FFF2-40B4-BE49-F238E27FC236}">
              <a16:creationId xmlns:a16="http://schemas.microsoft.com/office/drawing/2014/main" id="{5ACCBDD3-0E52-4B65-83C1-824D48D691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95" name="x_Picture 1" descr="Description: cid:image001.png@01D03949.49457930">
          <a:extLst>
            <a:ext uri="{FF2B5EF4-FFF2-40B4-BE49-F238E27FC236}">
              <a16:creationId xmlns:a16="http://schemas.microsoft.com/office/drawing/2014/main" id="{5D89BEC8-0818-4631-A47F-4DDF412AA1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96" name="x_Picture 1" descr="Description: cid:image001.png@01D03949.49457930">
          <a:extLst>
            <a:ext uri="{FF2B5EF4-FFF2-40B4-BE49-F238E27FC236}">
              <a16:creationId xmlns:a16="http://schemas.microsoft.com/office/drawing/2014/main" id="{98C2C923-CC22-4645-85AB-7FA0C028BEF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897" name="x_Picture 1" descr="Description: cid:image001.png@01D03949.49457930">
          <a:extLst>
            <a:ext uri="{FF2B5EF4-FFF2-40B4-BE49-F238E27FC236}">
              <a16:creationId xmlns:a16="http://schemas.microsoft.com/office/drawing/2014/main" id="{EFF64999-A16F-45FD-B672-1F890CEBC0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898" name="x_Picture 1" descr="Description: cid:image001.png@01D03949.49457930">
          <a:extLst>
            <a:ext uri="{FF2B5EF4-FFF2-40B4-BE49-F238E27FC236}">
              <a16:creationId xmlns:a16="http://schemas.microsoft.com/office/drawing/2014/main" id="{8E8D06C5-FD7F-45D7-A687-99A03FA7A7D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899" name="x_Picture 1" descr="Description: cid:image001.png@01D03949.49457930">
          <a:extLst>
            <a:ext uri="{FF2B5EF4-FFF2-40B4-BE49-F238E27FC236}">
              <a16:creationId xmlns:a16="http://schemas.microsoft.com/office/drawing/2014/main" id="{BD2F47AC-33BD-4742-A9C0-87CAA3DAFD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00" name="x_Picture 1" descr="Description: cid:image001.png@01D03949.49457930">
          <a:extLst>
            <a:ext uri="{FF2B5EF4-FFF2-40B4-BE49-F238E27FC236}">
              <a16:creationId xmlns:a16="http://schemas.microsoft.com/office/drawing/2014/main" id="{0399B47B-9419-46D1-88DE-23712E305D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12</xdr:row>
      <xdr:rowOff>0</xdr:rowOff>
    </xdr:from>
    <xdr:ext cx="279605" cy="315045"/>
    <xdr:sp macro="" textlink="">
      <xdr:nvSpPr>
        <xdr:cNvPr id="1901" name="x_Picture 1" descr="Description: cid:image001.png@01D03949.49457930">
          <a:extLst>
            <a:ext uri="{FF2B5EF4-FFF2-40B4-BE49-F238E27FC236}">
              <a16:creationId xmlns:a16="http://schemas.microsoft.com/office/drawing/2014/main" id="{2E1D8F98-054E-4C85-82F1-7EC06CDD2CB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02" name="x_Picture 1" descr="Description: cid:image001.png@01D03949.49457930">
          <a:extLst>
            <a:ext uri="{FF2B5EF4-FFF2-40B4-BE49-F238E27FC236}">
              <a16:creationId xmlns:a16="http://schemas.microsoft.com/office/drawing/2014/main" id="{266FEFE3-45A5-4684-92C9-702E5740CA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03" name="x_Picture 1" descr="Description: cid:image001.png@01D03949.49457930">
          <a:extLst>
            <a:ext uri="{FF2B5EF4-FFF2-40B4-BE49-F238E27FC236}">
              <a16:creationId xmlns:a16="http://schemas.microsoft.com/office/drawing/2014/main" id="{651679F7-F2F5-4C2D-AA81-E451FE0730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04" name="x_Picture 1" descr="Description: cid:image001.png@01D03949.49457930">
          <a:extLst>
            <a:ext uri="{FF2B5EF4-FFF2-40B4-BE49-F238E27FC236}">
              <a16:creationId xmlns:a16="http://schemas.microsoft.com/office/drawing/2014/main" id="{8C252AB4-E975-48F9-B1D6-724F5B9898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05" name="x_Picture 1" descr="Description: cid:image001.png@01D03949.49457930">
          <a:extLst>
            <a:ext uri="{FF2B5EF4-FFF2-40B4-BE49-F238E27FC236}">
              <a16:creationId xmlns:a16="http://schemas.microsoft.com/office/drawing/2014/main" id="{93F6F36E-D8AB-447A-854B-D3BEF3DE6B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06" name="x_Picture 1" descr="Description: cid:image001.png@01D03949.49457930">
          <a:extLst>
            <a:ext uri="{FF2B5EF4-FFF2-40B4-BE49-F238E27FC236}">
              <a16:creationId xmlns:a16="http://schemas.microsoft.com/office/drawing/2014/main" id="{B878C8D0-BA96-411F-81BD-E3956B55A1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07" name="x_Picture 1" descr="Description: cid:image001.png@01D03949.49457930">
          <a:extLst>
            <a:ext uri="{FF2B5EF4-FFF2-40B4-BE49-F238E27FC236}">
              <a16:creationId xmlns:a16="http://schemas.microsoft.com/office/drawing/2014/main" id="{B0E85757-16C1-4A68-B2BF-8AFF5C52D1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12</xdr:row>
      <xdr:rowOff>0</xdr:rowOff>
    </xdr:from>
    <xdr:ext cx="279605" cy="315045"/>
    <xdr:sp macro="" textlink="">
      <xdr:nvSpPr>
        <xdr:cNvPr id="1908" name="x_Picture 1" descr="Description: cid:image001.png@01D03949.49457930">
          <a:extLst>
            <a:ext uri="{FF2B5EF4-FFF2-40B4-BE49-F238E27FC236}">
              <a16:creationId xmlns:a16="http://schemas.microsoft.com/office/drawing/2014/main" id="{4681811C-6C8F-4BA3-B807-1AC600DF29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09" name="x_Picture 1" descr="Description: cid:image001.png@01D03949.49457930">
          <a:extLst>
            <a:ext uri="{FF2B5EF4-FFF2-40B4-BE49-F238E27FC236}">
              <a16:creationId xmlns:a16="http://schemas.microsoft.com/office/drawing/2014/main" id="{2B8FDA8B-B3C7-4E08-BB81-5B23283F58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10" name="x_Picture 1" descr="Description: cid:image001.png@01D03949.49457930">
          <a:extLst>
            <a:ext uri="{FF2B5EF4-FFF2-40B4-BE49-F238E27FC236}">
              <a16:creationId xmlns:a16="http://schemas.microsoft.com/office/drawing/2014/main" id="{D41A786D-30CF-40B7-86C2-92FC28631EF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11" name="x_Picture 1" descr="Description: cid:image001.png@01D03949.49457930">
          <a:extLst>
            <a:ext uri="{FF2B5EF4-FFF2-40B4-BE49-F238E27FC236}">
              <a16:creationId xmlns:a16="http://schemas.microsoft.com/office/drawing/2014/main" id="{7213F39B-6E44-46CA-B7F1-4F66B36CA09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12" name="x_Picture 1" descr="Description: cid:image001.png@01D03949.49457930">
          <a:extLst>
            <a:ext uri="{FF2B5EF4-FFF2-40B4-BE49-F238E27FC236}">
              <a16:creationId xmlns:a16="http://schemas.microsoft.com/office/drawing/2014/main" id="{3494899C-B79E-4047-94CD-1D446B7204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13" name="x_Picture 1" descr="Description: cid:image001.png@01D03949.49457930">
          <a:extLst>
            <a:ext uri="{FF2B5EF4-FFF2-40B4-BE49-F238E27FC236}">
              <a16:creationId xmlns:a16="http://schemas.microsoft.com/office/drawing/2014/main" id="{2AF83122-A0F3-4BDF-82B6-719D23D1D2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14" name="x_Picture 1" descr="Description: cid:image001.png@01D03949.49457930">
          <a:extLst>
            <a:ext uri="{FF2B5EF4-FFF2-40B4-BE49-F238E27FC236}">
              <a16:creationId xmlns:a16="http://schemas.microsoft.com/office/drawing/2014/main" id="{60841CB0-F45A-4193-9A99-9CE75CC405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15" name="x_Picture 1" descr="Description: cid:image001.png@01D03949.49457930">
          <a:extLst>
            <a:ext uri="{FF2B5EF4-FFF2-40B4-BE49-F238E27FC236}">
              <a16:creationId xmlns:a16="http://schemas.microsoft.com/office/drawing/2014/main" id="{195A19A5-69EF-4C04-9DB3-B2C13A81819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16" name="x_Picture 1" descr="Description: cid:image001.png@01D03949.49457930">
          <a:extLst>
            <a:ext uri="{FF2B5EF4-FFF2-40B4-BE49-F238E27FC236}">
              <a16:creationId xmlns:a16="http://schemas.microsoft.com/office/drawing/2014/main" id="{824DA398-C147-4415-8CEB-BF99D6391B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17" name="x_Picture 1" descr="Description: cid:image001.png@01D03949.49457930">
          <a:extLst>
            <a:ext uri="{FF2B5EF4-FFF2-40B4-BE49-F238E27FC236}">
              <a16:creationId xmlns:a16="http://schemas.microsoft.com/office/drawing/2014/main" id="{3B68306A-DA49-465A-BCE2-FB0D5F23F5B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18" name="x_Picture 1" descr="Description: cid:image001.png@01D03949.49457930">
          <a:extLst>
            <a:ext uri="{FF2B5EF4-FFF2-40B4-BE49-F238E27FC236}">
              <a16:creationId xmlns:a16="http://schemas.microsoft.com/office/drawing/2014/main" id="{F2526918-DC4E-4DCE-8DAE-720172B5B3F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19" name="x_Picture 1" descr="Description: cid:image001.png@01D03949.49457930">
          <a:extLst>
            <a:ext uri="{FF2B5EF4-FFF2-40B4-BE49-F238E27FC236}">
              <a16:creationId xmlns:a16="http://schemas.microsoft.com/office/drawing/2014/main" id="{D695F084-9FFB-47AF-B6C9-27C35B20AB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20" name="x_Picture 1" descr="Description: cid:image001.png@01D03949.49457930">
          <a:extLst>
            <a:ext uri="{FF2B5EF4-FFF2-40B4-BE49-F238E27FC236}">
              <a16:creationId xmlns:a16="http://schemas.microsoft.com/office/drawing/2014/main" id="{B7CEDD32-FAB6-4AA4-96A3-327784BFFF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21" name="x_Picture 1" descr="Description: cid:image001.png@01D03949.49457930">
          <a:extLst>
            <a:ext uri="{FF2B5EF4-FFF2-40B4-BE49-F238E27FC236}">
              <a16:creationId xmlns:a16="http://schemas.microsoft.com/office/drawing/2014/main" id="{D26F9E83-A0E4-418E-B190-9385472B39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22" name="x_Picture 1" descr="Description: cid:image001.png@01D03949.49457930">
          <a:extLst>
            <a:ext uri="{FF2B5EF4-FFF2-40B4-BE49-F238E27FC236}">
              <a16:creationId xmlns:a16="http://schemas.microsoft.com/office/drawing/2014/main" id="{D56F5D5B-0903-4B10-AD30-E9D9D64E4C6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13</xdr:row>
      <xdr:rowOff>0</xdr:rowOff>
    </xdr:from>
    <xdr:ext cx="279605" cy="315045"/>
    <xdr:sp macro="" textlink="">
      <xdr:nvSpPr>
        <xdr:cNvPr id="1923" name="x_Picture 1" descr="Description: cid:image001.png@01D03949.49457930">
          <a:extLst>
            <a:ext uri="{FF2B5EF4-FFF2-40B4-BE49-F238E27FC236}">
              <a16:creationId xmlns:a16="http://schemas.microsoft.com/office/drawing/2014/main" id="{ABFB3D38-9161-4500-AB25-CC5DCAAC66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24" name="x_Picture 1" descr="Description: cid:image001.png@01D03949.49457930">
          <a:extLst>
            <a:ext uri="{FF2B5EF4-FFF2-40B4-BE49-F238E27FC236}">
              <a16:creationId xmlns:a16="http://schemas.microsoft.com/office/drawing/2014/main" id="{131E1781-C13B-40DB-9D16-EB5C7BC57F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25" name="x_Picture 1" descr="Description: cid:image001.png@01D03949.49457930">
          <a:extLst>
            <a:ext uri="{FF2B5EF4-FFF2-40B4-BE49-F238E27FC236}">
              <a16:creationId xmlns:a16="http://schemas.microsoft.com/office/drawing/2014/main" id="{99D7B845-2C52-427A-BD10-7EA85F4C0A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26" name="x_Picture 1" descr="Description: cid:image001.png@01D03949.49457930">
          <a:extLst>
            <a:ext uri="{FF2B5EF4-FFF2-40B4-BE49-F238E27FC236}">
              <a16:creationId xmlns:a16="http://schemas.microsoft.com/office/drawing/2014/main" id="{16D3F887-D6E1-4915-8985-8E29AA9528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27" name="x_Picture 1" descr="Description: cid:image001.png@01D03949.49457930">
          <a:extLst>
            <a:ext uri="{FF2B5EF4-FFF2-40B4-BE49-F238E27FC236}">
              <a16:creationId xmlns:a16="http://schemas.microsoft.com/office/drawing/2014/main" id="{40813C60-6F2E-48EF-A5E8-F9E8F12C3B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28" name="x_Picture 1" descr="Description: cid:image001.png@01D03949.49457930">
          <a:extLst>
            <a:ext uri="{FF2B5EF4-FFF2-40B4-BE49-F238E27FC236}">
              <a16:creationId xmlns:a16="http://schemas.microsoft.com/office/drawing/2014/main" id="{477CFECA-F316-4003-BA42-8B1A6EFC08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29" name="x_Picture 1" descr="Description: cid:image001.png@01D03949.49457930">
          <a:extLst>
            <a:ext uri="{FF2B5EF4-FFF2-40B4-BE49-F238E27FC236}">
              <a16:creationId xmlns:a16="http://schemas.microsoft.com/office/drawing/2014/main" id="{667F622C-F0AE-4017-AC96-251CD993A8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13</xdr:row>
      <xdr:rowOff>0</xdr:rowOff>
    </xdr:from>
    <xdr:ext cx="279605" cy="315045"/>
    <xdr:sp macro="" textlink="">
      <xdr:nvSpPr>
        <xdr:cNvPr id="1930" name="x_Picture 1" descr="Description: cid:image001.png@01D03949.49457930">
          <a:extLst>
            <a:ext uri="{FF2B5EF4-FFF2-40B4-BE49-F238E27FC236}">
              <a16:creationId xmlns:a16="http://schemas.microsoft.com/office/drawing/2014/main" id="{335A5A2C-2870-4C52-8C2E-E59F099A3B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31" name="x_Picture 1" descr="Description: cid:image001.png@01D03949.49457930">
          <a:extLst>
            <a:ext uri="{FF2B5EF4-FFF2-40B4-BE49-F238E27FC236}">
              <a16:creationId xmlns:a16="http://schemas.microsoft.com/office/drawing/2014/main" id="{5EF5F371-FF76-4CEE-BDD0-785A43D7C7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32" name="x_Picture 1" descr="Description: cid:image001.png@01D03949.49457930">
          <a:extLst>
            <a:ext uri="{FF2B5EF4-FFF2-40B4-BE49-F238E27FC236}">
              <a16:creationId xmlns:a16="http://schemas.microsoft.com/office/drawing/2014/main" id="{AE50F2B7-A24A-461D-9305-0651511ED4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33" name="x_Picture 1" descr="Description: cid:image001.png@01D03949.49457930">
          <a:extLst>
            <a:ext uri="{FF2B5EF4-FFF2-40B4-BE49-F238E27FC236}">
              <a16:creationId xmlns:a16="http://schemas.microsoft.com/office/drawing/2014/main" id="{EF953CB3-E93B-48F9-8145-DB7CC75350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34" name="x_Picture 1" descr="Description: cid:image001.png@01D03949.49457930">
          <a:extLst>
            <a:ext uri="{FF2B5EF4-FFF2-40B4-BE49-F238E27FC236}">
              <a16:creationId xmlns:a16="http://schemas.microsoft.com/office/drawing/2014/main" id="{F7E0583C-9854-4435-90B5-256A14222A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35" name="x_Picture 1" descr="Description: cid:image001.png@01D03949.49457930">
          <a:extLst>
            <a:ext uri="{FF2B5EF4-FFF2-40B4-BE49-F238E27FC236}">
              <a16:creationId xmlns:a16="http://schemas.microsoft.com/office/drawing/2014/main" id="{DB94534F-EF90-40F3-8DD6-F5149DC2EE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36" name="x_Picture 1" descr="Description: cid:image001.png@01D03949.49457930">
          <a:extLst>
            <a:ext uri="{FF2B5EF4-FFF2-40B4-BE49-F238E27FC236}">
              <a16:creationId xmlns:a16="http://schemas.microsoft.com/office/drawing/2014/main" id="{FAFCA811-CFBE-4DD6-97A8-B3ED83F8B6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37" name="x_Picture 1" descr="Description: cid:image001.png@01D03949.49457930">
          <a:extLst>
            <a:ext uri="{FF2B5EF4-FFF2-40B4-BE49-F238E27FC236}">
              <a16:creationId xmlns:a16="http://schemas.microsoft.com/office/drawing/2014/main" id="{E7B22F21-50E2-402E-A81E-A7CCDB0BAC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38" name="x_Picture 1" descr="Description: cid:image001.png@01D03949.49457930">
          <a:extLst>
            <a:ext uri="{FF2B5EF4-FFF2-40B4-BE49-F238E27FC236}">
              <a16:creationId xmlns:a16="http://schemas.microsoft.com/office/drawing/2014/main" id="{044E4835-EA0A-4B06-AA6B-880FA1142D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39" name="x_Picture 1" descr="Description: cid:image001.png@01D03949.49457930">
          <a:extLst>
            <a:ext uri="{FF2B5EF4-FFF2-40B4-BE49-F238E27FC236}">
              <a16:creationId xmlns:a16="http://schemas.microsoft.com/office/drawing/2014/main" id="{FFAB0B17-11F3-4502-BAFA-DEC671608C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40" name="x_Picture 1" descr="Description: cid:image001.png@01D03949.49457930">
          <a:extLst>
            <a:ext uri="{FF2B5EF4-FFF2-40B4-BE49-F238E27FC236}">
              <a16:creationId xmlns:a16="http://schemas.microsoft.com/office/drawing/2014/main" id="{C49302E5-D593-4BBB-B0A6-32E675EC5C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41" name="x_Picture 1" descr="Description: cid:image001.png@01D03949.49457930">
          <a:extLst>
            <a:ext uri="{FF2B5EF4-FFF2-40B4-BE49-F238E27FC236}">
              <a16:creationId xmlns:a16="http://schemas.microsoft.com/office/drawing/2014/main" id="{DDEEAF6A-108A-4274-BFB5-157852C80E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42" name="x_Picture 1" descr="Description: cid:image001.png@01D03949.49457930">
          <a:extLst>
            <a:ext uri="{FF2B5EF4-FFF2-40B4-BE49-F238E27FC236}">
              <a16:creationId xmlns:a16="http://schemas.microsoft.com/office/drawing/2014/main" id="{BA5E4685-CEE3-44F2-920A-366E346EC41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1943" name="x_Picture 1" descr="Description: cid:image001.png@01D03949.49457930">
          <a:extLst>
            <a:ext uri="{FF2B5EF4-FFF2-40B4-BE49-F238E27FC236}">
              <a16:creationId xmlns:a16="http://schemas.microsoft.com/office/drawing/2014/main" id="{1DD83BE4-729B-4FA5-B5EE-06E7264FAF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1944" name="x_Picture 1" descr="Description: cid:image001.png@01D03949.49457930">
          <a:extLst>
            <a:ext uri="{FF2B5EF4-FFF2-40B4-BE49-F238E27FC236}">
              <a16:creationId xmlns:a16="http://schemas.microsoft.com/office/drawing/2014/main" id="{248A2A71-ABCF-4450-B0A3-96E3D7DB9C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14</xdr:row>
      <xdr:rowOff>0</xdr:rowOff>
    </xdr:from>
    <xdr:ext cx="279605" cy="315045"/>
    <xdr:sp macro="" textlink="">
      <xdr:nvSpPr>
        <xdr:cNvPr id="1945" name="x_Picture 1" descr="Description: cid:image001.png@01D03949.49457930">
          <a:extLst>
            <a:ext uri="{FF2B5EF4-FFF2-40B4-BE49-F238E27FC236}">
              <a16:creationId xmlns:a16="http://schemas.microsoft.com/office/drawing/2014/main" id="{E70D772D-6226-448D-B558-81BDE13198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1946" name="x_Picture 1" descr="Description: cid:image001.png@01D03949.49457930">
          <a:extLst>
            <a:ext uri="{FF2B5EF4-FFF2-40B4-BE49-F238E27FC236}">
              <a16:creationId xmlns:a16="http://schemas.microsoft.com/office/drawing/2014/main" id="{03835664-A362-4E6E-A9B3-80FFAFC325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1947" name="x_Picture 1" descr="Description: cid:image001.png@01D03949.49457930">
          <a:extLst>
            <a:ext uri="{FF2B5EF4-FFF2-40B4-BE49-F238E27FC236}">
              <a16:creationId xmlns:a16="http://schemas.microsoft.com/office/drawing/2014/main" id="{F941F5B3-E5CC-4983-8DA7-854A58C173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1948" name="x_Picture 1" descr="Description: cid:image001.png@01D03949.49457930">
          <a:extLst>
            <a:ext uri="{FF2B5EF4-FFF2-40B4-BE49-F238E27FC236}">
              <a16:creationId xmlns:a16="http://schemas.microsoft.com/office/drawing/2014/main" id="{8C69975B-D397-48E6-AD21-9CB78D0BFF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1949" name="x_Picture 1" descr="Description: cid:image001.png@01D03949.49457930">
          <a:extLst>
            <a:ext uri="{FF2B5EF4-FFF2-40B4-BE49-F238E27FC236}">
              <a16:creationId xmlns:a16="http://schemas.microsoft.com/office/drawing/2014/main" id="{CB9B53E4-F72B-41F5-ADD0-0D6D153F22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1950" name="x_Picture 1" descr="Description: cid:image001.png@01D03949.49457930">
          <a:extLst>
            <a:ext uri="{FF2B5EF4-FFF2-40B4-BE49-F238E27FC236}">
              <a16:creationId xmlns:a16="http://schemas.microsoft.com/office/drawing/2014/main" id="{889F7CE3-E42F-406B-A19F-4740A3B532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51" name="x_Picture 1" descr="Description: cid:image001.png@01D03949.49457930">
          <a:extLst>
            <a:ext uri="{FF2B5EF4-FFF2-40B4-BE49-F238E27FC236}">
              <a16:creationId xmlns:a16="http://schemas.microsoft.com/office/drawing/2014/main" id="{EECDB2F9-4FB7-469A-BC44-C87D46A2ADF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14</xdr:row>
      <xdr:rowOff>0</xdr:rowOff>
    </xdr:from>
    <xdr:ext cx="279605" cy="315045"/>
    <xdr:sp macro="" textlink="">
      <xdr:nvSpPr>
        <xdr:cNvPr id="1952" name="x_Picture 1" descr="Description: cid:image001.png@01D03949.49457930">
          <a:extLst>
            <a:ext uri="{FF2B5EF4-FFF2-40B4-BE49-F238E27FC236}">
              <a16:creationId xmlns:a16="http://schemas.microsoft.com/office/drawing/2014/main" id="{1000C942-0098-479E-9D4C-FF4D94B20B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53" name="x_Picture 1" descr="Description: cid:image001.png@01D03949.49457930">
          <a:extLst>
            <a:ext uri="{FF2B5EF4-FFF2-40B4-BE49-F238E27FC236}">
              <a16:creationId xmlns:a16="http://schemas.microsoft.com/office/drawing/2014/main" id="{3E7FC88C-6510-40BC-97E5-1BC2DEA822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54" name="x_Picture 1" descr="Description: cid:image001.png@01D03949.49457930">
          <a:extLst>
            <a:ext uri="{FF2B5EF4-FFF2-40B4-BE49-F238E27FC236}">
              <a16:creationId xmlns:a16="http://schemas.microsoft.com/office/drawing/2014/main" id="{DC1D3B02-227A-42AF-B760-94989190FAC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55" name="x_Picture 1" descr="Description: cid:image001.png@01D03949.49457930">
          <a:extLst>
            <a:ext uri="{FF2B5EF4-FFF2-40B4-BE49-F238E27FC236}">
              <a16:creationId xmlns:a16="http://schemas.microsoft.com/office/drawing/2014/main" id="{5D49BF3B-9679-46EE-8849-74DE2A806C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56" name="x_Picture 1" descr="Description: cid:image001.png@01D03949.49457930">
          <a:extLst>
            <a:ext uri="{FF2B5EF4-FFF2-40B4-BE49-F238E27FC236}">
              <a16:creationId xmlns:a16="http://schemas.microsoft.com/office/drawing/2014/main" id="{556D6F02-E641-43F7-963F-F60ECCB599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57" name="x_Picture 1" descr="Description: cid:image001.png@01D03949.49457930">
          <a:extLst>
            <a:ext uri="{FF2B5EF4-FFF2-40B4-BE49-F238E27FC236}">
              <a16:creationId xmlns:a16="http://schemas.microsoft.com/office/drawing/2014/main" id="{1A719A05-3B0D-40BE-B9C3-80C801B777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58" name="x_Picture 1" descr="Description: cid:image001.png@01D03949.49457930">
          <a:extLst>
            <a:ext uri="{FF2B5EF4-FFF2-40B4-BE49-F238E27FC236}">
              <a16:creationId xmlns:a16="http://schemas.microsoft.com/office/drawing/2014/main" id="{77381338-8576-495C-B7CB-05F773E4015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59" name="x_Picture 1" descr="Description: cid:image001.png@01D03949.49457930">
          <a:extLst>
            <a:ext uri="{FF2B5EF4-FFF2-40B4-BE49-F238E27FC236}">
              <a16:creationId xmlns:a16="http://schemas.microsoft.com/office/drawing/2014/main" id="{F8C8A2C3-E037-47C4-ABBA-3F91A9D87A7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60" name="x_Picture 1" descr="Description: cid:image001.png@01D03949.49457930">
          <a:extLst>
            <a:ext uri="{FF2B5EF4-FFF2-40B4-BE49-F238E27FC236}">
              <a16:creationId xmlns:a16="http://schemas.microsoft.com/office/drawing/2014/main" id="{3C505C54-A9AA-4489-B9C3-BE22BE57DD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61" name="x_Picture 1" descr="Description: cid:image001.png@01D03949.49457930">
          <a:extLst>
            <a:ext uri="{FF2B5EF4-FFF2-40B4-BE49-F238E27FC236}">
              <a16:creationId xmlns:a16="http://schemas.microsoft.com/office/drawing/2014/main" id="{30C2C0BF-5966-43F5-919C-E964F87364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62" name="x_Picture 1" descr="Description: cid:image001.png@01D03949.49457930">
          <a:extLst>
            <a:ext uri="{FF2B5EF4-FFF2-40B4-BE49-F238E27FC236}">
              <a16:creationId xmlns:a16="http://schemas.microsoft.com/office/drawing/2014/main" id="{E666C41B-1DCC-4421-A713-A27C3291F9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1963" name="x_Picture 1" descr="Description: cid:image001.png@01D03949.49457930">
          <a:extLst>
            <a:ext uri="{FF2B5EF4-FFF2-40B4-BE49-F238E27FC236}">
              <a16:creationId xmlns:a16="http://schemas.microsoft.com/office/drawing/2014/main" id="{C70D8095-07C1-40B0-BC63-0685F10791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64" name="x_Picture 1" descr="Description: cid:image001.png@01D03949.49457930">
          <a:extLst>
            <a:ext uri="{FF2B5EF4-FFF2-40B4-BE49-F238E27FC236}">
              <a16:creationId xmlns:a16="http://schemas.microsoft.com/office/drawing/2014/main" id="{84799D61-B9EF-46E3-A4FD-B9BFC6D572D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1965" name="x_Picture 1" descr="Description: cid:image001.png@01D03949.49457930">
          <a:extLst>
            <a:ext uri="{FF2B5EF4-FFF2-40B4-BE49-F238E27FC236}">
              <a16:creationId xmlns:a16="http://schemas.microsoft.com/office/drawing/2014/main" id="{3E0A95C6-EAAE-4D21-8D9E-E61C43D798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1966" name="x_Picture 1" descr="Description: cid:image001.png@01D03949.49457930">
          <a:extLst>
            <a:ext uri="{FF2B5EF4-FFF2-40B4-BE49-F238E27FC236}">
              <a16:creationId xmlns:a16="http://schemas.microsoft.com/office/drawing/2014/main" id="{B5A3A2E8-1062-4B49-BB93-5D41664E37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15</xdr:row>
      <xdr:rowOff>0</xdr:rowOff>
    </xdr:from>
    <xdr:ext cx="279605" cy="315045"/>
    <xdr:sp macro="" textlink="">
      <xdr:nvSpPr>
        <xdr:cNvPr id="1967" name="x_Picture 1" descr="Description: cid:image001.png@01D03949.49457930">
          <a:extLst>
            <a:ext uri="{FF2B5EF4-FFF2-40B4-BE49-F238E27FC236}">
              <a16:creationId xmlns:a16="http://schemas.microsoft.com/office/drawing/2014/main" id="{CE1B3180-3FF6-4ED8-B661-9FDEA94AEE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1968" name="x_Picture 1" descr="Description: cid:image001.png@01D03949.49457930">
          <a:extLst>
            <a:ext uri="{FF2B5EF4-FFF2-40B4-BE49-F238E27FC236}">
              <a16:creationId xmlns:a16="http://schemas.microsoft.com/office/drawing/2014/main" id="{66B67928-915A-4E75-A5BD-5FA885CC44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1969" name="x_Picture 1" descr="Description: cid:image001.png@01D03949.49457930">
          <a:extLst>
            <a:ext uri="{FF2B5EF4-FFF2-40B4-BE49-F238E27FC236}">
              <a16:creationId xmlns:a16="http://schemas.microsoft.com/office/drawing/2014/main" id="{4F44831F-ED64-4FA1-8AC7-F094F36EA2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1970" name="x_Picture 1" descr="Description: cid:image001.png@01D03949.49457930">
          <a:extLst>
            <a:ext uri="{FF2B5EF4-FFF2-40B4-BE49-F238E27FC236}">
              <a16:creationId xmlns:a16="http://schemas.microsoft.com/office/drawing/2014/main" id="{9CE938F1-4425-4290-AEEF-2C48763B83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1971" name="x_Picture 1" descr="Description: cid:image001.png@01D03949.49457930">
          <a:extLst>
            <a:ext uri="{FF2B5EF4-FFF2-40B4-BE49-F238E27FC236}">
              <a16:creationId xmlns:a16="http://schemas.microsoft.com/office/drawing/2014/main" id="{3BBDD3E8-8E6C-4EE9-93F3-A261D4361D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1972" name="x_Picture 1" descr="Description: cid:image001.png@01D03949.49457930">
          <a:extLst>
            <a:ext uri="{FF2B5EF4-FFF2-40B4-BE49-F238E27FC236}">
              <a16:creationId xmlns:a16="http://schemas.microsoft.com/office/drawing/2014/main" id="{2B0C36A8-F65B-478A-95BA-2B505C9100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73" name="x_Picture 1" descr="Description: cid:image001.png@01D03949.49457930">
          <a:extLst>
            <a:ext uri="{FF2B5EF4-FFF2-40B4-BE49-F238E27FC236}">
              <a16:creationId xmlns:a16="http://schemas.microsoft.com/office/drawing/2014/main" id="{39BE82AF-B052-4FF3-B8CF-F4485C3821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15</xdr:row>
      <xdr:rowOff>0</xdr:rowOff>
    </xdr:from>
    <xdr:ext cx="279605" cy="315045"/>
    <xdr:sp macro="" textlink="">
      <xdr:nvSpPr>
        <xdr:cNvPr id="1974" name="x_Picture 1" descr="Description: cid:image001.png@01D03949.49457930">
          <a:extLst>
            <a:ext uri="{FF2B5EF4-FFF2-40B4-BE49-F238E27FC236}">
              <a16:creationId xmlns:a16="http://schemas.microsoft.com/office/drawing/2014/main" id="{9C2D3867-9C85-4DEB-B28A-37118B35DF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75" name="x_Picture 1" descr="Description: cid:image001.png@01D03949.49457930">
          <a:extLst>
            <a:ext uri="{FF2B5EF4-FFF2-40B4-BE49-F238E27FC236}">
              <a16:creationId xmlns:a16="http://schemas.microsoft.com/office/drawing/2014/main" id="{CC2525EC-BC03-4D53-BC79-0DBCE42BCC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76" name="x_Picture 1" descr="Description: cid:image001.png@01D03949.49457930">
          <a:extLst>
            <a:ext uri="{FF2B5EF4-FFF2-40B4-BE49-F238E27FC236}">
              <a16:creationId xmlns:a16="http://schemas.microsoft.com/office/drawing/2014/main" id="{0F3DA3A5-C55A-4B12-B3DB-A2C086DE1B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77" name="x_Picture 1" descr="Description: cid:image001.png@01D03949.49457930">
          <a:extLst>
            <a:ext uri="{FF2B5EF4-FFF2-40B4-BE49-F238E27FC236}">
              <a16:creationId xmlns:a16="http://schemas.microsoft.com/office/drawing/2014/main" id="{05B7ED95-A0AA-4E52-8E45-D30011E22E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78" name="x_Picture 1" descr="Description: cid:image001.png@01D03949.49457930">
          <a:extLst>
            <a:ext uri="{FF2B5EF4-FFF2-40B4-BE49-F238E27FC236}">
              <a16:creationId xmlns:a16="http://schemas.microsoft.com/office/drawing/2014/main" id="{61610F7A-D551-4009-A57D-5C4126AF2C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79" name="x_Picture 1" descr="Description: cid:image001.png@01D03949.49457930">
          <a:extLst>
            <a:ext uri="{FF2B5EF4-FFF2-40B4-BE49-F238E27FC236}">
              <a16:creationId xmlns:a16="http://schemas.microsoft.com/office/drawing/2014/main" id="{25A7C630-56A5-4B14-8D11-99ACB2652F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80" name="x_Picture 1" descr="Description: cid:image001.png@01D03949.49457930">
          <a:extLst>
            <a:ext uri="{FF2B5EF4-FFF2-40B4-BE49-F238E27FC236}">
              <a16:creationId xmlns:a16="http://schemas.microsoft.com/office/drawing/2014/main" id="{594CE142-526A-49AC-BB3B-134F21A7DC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81" name="x_Picture 1" descr="Description: cid:image001.png@01D03949.49457930">
          <a:extLst>
            <a:ext uri="{FF2B5EF4-FFF2-40B4-BE49-F238E27FC236}">
              <a16:creationId xmlns:a16="http://schemas.microsoft.com/office/drawing/2014/main" id="{546450D1-FCB5-45FD-A9AF-2E47252FB2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82" name="x_Picture 1" descr="Description: cid:image001.png@01D03949.49457930">
          <a:extLst>
            <a:ext uri="{FF2B5EF4-FFF2-40B4-BE49-F238E27FC236}">
              <a16:creationId xmlns:a16="http://schemas.microsoft.com/office/drawing/2014/main" id="{15613B48-E55B-400A-A4CA-732F7FCDB7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83" name="x_Picture 1" descr="Description: cid:image001.png@01D03949.49457930">
          <a:extLst>
            <a:ext uri="{FF2B5EF4-FFF2-40B4-BE49-F238E27FC236}">
              <a16:creationId xmlns:a16="http://schemas.microsoft.com/office/drawing/2014/main" id="{9B625680-4D47-43F9-BB50-2B8CBE620B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84" name="x_Picture 1" descr="Description: cid:image001.png@01D03949.49457930">
          <a:extLst>
            <a:ext uri="{FF2B5EF4-FFF2-40B4-BE49-F238E27FC236}">
              <a16:creationId xmlns:a16="http://schemas.microsoft.com/office/drawing/2014/main" id="{AF80B181-7713-4CAA-ABDB-B46E8A6D5B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1985" name="x_Picture 1" descr="Description: cid:image001.png@01D03949.49457930">
          <a:extLst>
            <a:ext uri="{FF2B5EF4-FFF2-40B4-BE49-F238E27FC236}">
              <a16:creationId xmlns:a16="http://schemas.microsoft.com/office/drawing/2014/main" id="{B1CE9BF1-6405-4B13-A52A-0952291454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86" name="x_Picture 1" descr="Description: cid:image001.png@01D03949.49457930">
          <a:extLst>
            <a:ext uri="{FF2B5EF4-FFF2-40B4-BE49-F238E27FC236}">
              <a16:creationId xmlns:a16="http://schemas.microsoft.com/office/drawing/2014/main" id="{5191716C-FAC9-446D-B82A-15121DDA357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1987" name="x_Picture 1" descr="Description: cid:image001.png@01D03949.49457930">
          <a:extLst>
            <a:ext uri="{FF2B5EF4-FFF2-40B4-BE49-F238E27FC236}">
              <a16:creationId xmlns:a16="http://schemas.microsoft.com/office/drawing/2014/main" id="{020772B5-8C4F-4FD6-BA80-25D4900C6B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1988" name="x_Picture 1" descr="Description: cid:image001.png@01D03949.49457930">
          <a:extLst>
            <a:ext uri="{FF2B5EF4-FFF2-40B4-BE49-F238E27FC236}">
              <a16:creationId xmlns:a16="http://schemas.microsoft.com/office/drawing/2014/main" id="{F2F5A1A8-1E65-4529-BBFF-F34C0EDFE6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16</xdr:row>
      <xdr:rowOff>0</xdr:rowOff>
    </xdr:from>
    <xdr:ext cx="279605" cy="315045"/>
    <xdr:sp macro="" textlink="">
      <xdr:nvSpPr>
        <xdr:cNvPr id="1989" name="x_Picture 1" descr="Description: cid:image001.png@01D03949.49457930">
          <a:extLst>
            <a:ext uri="{FF2B5EF4-FFF2-40B4-BE49-F238E27FC236}">
              <a16:creationId xmlns:a16="http://schemas.microsoft.com/office/drawing/2014/main" id="{5FE2BDBA-D4A4-43F9-943E-E521C94A31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1990" name="x_Picture 1" descr="Description: cid:image001.png@01D03949.49457930">
          <a:extLst>
            <a:ext uri="{FF2B5EF4-FFF2-40B4-BE49-F238E27FC236}">
              <a16:creationId xmlns:a16="http://schemas.microsoft.com/office/drawing/2014/main" id="{BF502D84-6F56-4239-BC29-548DB805403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1991" name="x_Picture 1" descr="Description: cid:image001.png@01D03949.49457930">
          <a:extLst>
            <a:ext uri="{FF2B5EF4-FFF2-40B4-BE49-F238E27FC236}">
              <a16:creationId xmlns:a16="http://schemas.microsoft.com/office/drawing/2014/main" id="{D78A8A08-B361-4F8D-BE35-145365C864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1992" name="x_Picture 1" descr="Description: cid:image001.png@01D03949.49457930">
          <a:extLst>
            <a:ext uri="{FF2B5EF4-FFF2-40B4-BE49-F238E27FC236}">
              <a16:creationId xmlns:a16="http://schemas.microsoft.com/office/drawing/2014/main" id="{0A6BDB6D-98DF-4CF5-A53F-70C3F588B1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1993" name="x_Picture 1" descr="Description: cid:image001.png@01D03949.49457930">
          <a:extLst>
            <a:ext uri="{FF2B5EF4-FFF2-40B4-BE49-F238E27FC236}">
              <a16:creationId xmlns:a16="http://schemas.microsoft.com/office/drawing/2014/main" id="{713C2C8F-0FD2-4C6F-A112-E8C3C6D6E8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1994" name="x_Picture 1" descr="Description: cid:image001.png@01D03949.49457930">
          <a:extLst>
            <a:ext uri="{FF2B5EF4-FFF2-40B4-BE49-F238E27FC236}">
              <a16:creationId xmlns:a16="http://schemas.microsoft.com/office/drawing/2014/main" id="{AEC17747-D191-4FA3-B461-8D38C35A1F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1995" name="x_Picture 1" descr="Description: cid:image001.png@01D03949.49457930">
          <a:extLst>
            <a:ext uri="{FF2B5EF4-FFF2-40B4-BE49-F238E27FC236}">
              <a16:creationId xmlns:a16="http://schemas.microsoft.com/office/drawing/2014/main" id="{39C6224D-0986-449E-8060-104E02BF2C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16</xdr:row>
      <xdr:rowOff>0</xdr:rowOff>
    </xdr:from>
    <xdr:ext cx="279605" cy="315045"/>
    <xdr:sp macro="" textlink="">
      <xdr:nvSpPr>
        <xdr:cNvPr id="1996" name="x_Picture 1" descr="Description: cid:image001.png@01D03949.49457930">
          <a:extLst>
            <a:ext uri="{FF2B5EF4-FFF2-40B4-BE49-F238E27FC236}">
              <a16:creationId xmlns:a16="http://schemas.microsoft.com/office/drawing/2014/main" id="{BD0DED01-2278-4D62-8AB0-56E29A136FE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1997" name="x_Picture 1" descr="Description: cid:image001.png@01D03949.49457930">
          <a:extLst>
            <a:ext uri="{FF2B5EF4-FFF2-40B4-BE49-F238E27FC236}">
              <a16:creationId xmlns:a16="http://schemas.microsoft.com/office/drawing/2014/main" id="{EE0D736F-25B1-4FAE-8604-5E7C377B7A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1998" name="x_Picture 1" descr="Description: cid:image001.png@01D03949.49457930">
          <a:extLst>
            <a:ext uri="{FF2B5EF4-FFF2-40B4-BE49-F238E27FC236}">
              <a16:creationId xmlns:a16="http://schemas.microsoft.com/office/drawing/2014/main" id="{B51D1320-D115-4388-9FF3-F5A16ACEEF2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1999" name="x_Picture 1" descr="Description: cid:image001.png@01D03949.49457930">
          <a:extLst>
            <a:ext uri="{FF2B5EF4-FFF2-40B4-BE49-F238E27FC236}">
              <a16:creationId xmlns:a16="http://schemas.microsoft.com/office/drawing/2014/main" id="{24E1B6EA-5EC8-4D9D-806D-2662D1DA5B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2000" name="x_Picture 1" descr="Description: cid:image001.png@01D03949.49457930">
          <a:extLst>
            <a:ext uri="{FF2B5EF4-FFF2-40B4-BE49-F238E27FC236}">
              <a16:creationId xmlns:a16="http://schemas.microsoft.com/office/drawing/2014/main" id="{ACA27CED-64CD-44E5-AC94-B0C14F56048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2001" name="x_Picture 1" descr="Description: cid:image001.png@01D03949.49457930">
          <a:extLst>
            <a:ext uri="{FF2B5EF4-FFF2-40B4-BE49-F238E27FC236}">
              <a16:creationId xmlns:a16="http://schemas.microsoft.com/office/drawing/2014/main" id="{F9029C24-31CD-4273-92E3-C00C47451A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2002" name="x_Picture 1" descr="Description: cid:image001.png@01D03949.49457930">
          <a:extLst>
            <a:ext uri="{FF2B5EF4-FFF2-40B4-BE49-F238E27FC236}">
              <a16:creationId xmlns:a16="http://schemas.microsoft.com/office/drawing/2014/main" id="{0C5AC411-0CEC-4A31-81E0-6DB69E10FBD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2003" name="x_Picture 1" descr="Description: cid:image001.png@01D03949.49457930">
          <a:extLst>
            <a:ext uri="{FF2B5EF4-FFF2-40B4-BE49-F238E27FC236}">
              <a16:creationId xmlns:a16="http://schemas.microsoft.com/office/drawing/2014/main" id="{CA2672A2-67FC-4A3E-BD26-3183288E02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2004" name="x_Picture 1" descr="Description: cid:image001.png@01D03949.49457930">
          <a:extLst>
            <a:ext uri="{FF2B5EF4-FFF2-40B4-BE49-F238E27FC236}">
              <a16:creationId xmlns:a16="http://schemas.microsoft.com/office/drawing/2014/main" id="{7B8A97D5-42A4-46D9-81BB-523282F179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2005" name="x_Picture 1" descr="Description: cid:image001.png@01D03949.49457930">
          <a:extLst>
            <a:ext uri="{FF2B5EF4-FFF2-40B4-BE49-F238E27FC236}">
              <a16:creationId xmlns:a16="http://schemas.microsoft.com/office/drawing/2014/main" id="{8C95B803-1E47-4ED9-8002-F383190389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2006" name="x_Picture 1" descr="Description: cid:image001.png@01D03949.49457930">
          <a:extLst>
            <a:ext uri="{FF2B5EF4-FFF2-40B4-BE49-F238E27FC236}">
              <a16:creationId xmlns:a16="http://schemas.microsoft.com/office/drawing/2014/main" id="{051EE349-2FB4-4F39-9218-C2C888A003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2007" name="x_Picture 1" descr="Description: cid:image001.png@01D03949.49457930">
          <a:extLst>
            <a:ext uri="{FF2B5EF4-FFF2-40B4-BE49-F238E27FC236}">
              <a16:creationId xmlns:a16="http://schemas.microsoft.com/office/drawing/2014/main" id="{DE784517-57B0-4C27-BB4C-72E3E4E8A9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2008" name="x_Picture 1" descr="Description: cid:image001.png@01D03949.49457930">
          <a:extLst>
            <a:ext uri="{FF2B5EF4-FFF2-40B4-BE49-F238E27FC236}">
              <a16:creationId xmlns:a16="http://schemas.microsoft.com/office/drawing/2014/main" id="{9E9F8E78-12BE-462B-92D6-7E1E7F60EA9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009" name="x_Picture 1" descr="Description: cid:image001.png@01D03949.49457930">
          <a:extLst>
            <a:ext uri="{FF2B5EF4-FFF2-40B4-BE49-F238E27FC236}">
              <a16:creationId xmlns:a16="http://schemas.microsoft.com/office/drawing/2014/main" id="{5EAD1C61-FEE3-4491-AB26-AE9F548645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010" name="x_Picture 1" descr="Description: cid:image001.png@01D03949.49457930">
          <a:extLst>
            <a:ext uri="{FF2B5EF4-FFF2-40B4-BE49-F238E27FC236}">
              <a16:creationId xmlns:a16="http://schemas.microsoft.com/office/drawing/2014/main" id="{AEE682B0-44B9-4684-95F0-FD1192C4A3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17</xdr:row>
      <xdr:rowOff>0</xdr:rowOff>
    </xdr:from>
    <xdr:ext cx="279605" cy="315045"/>
    <xdr:sp macro="" textlink="">
      <xdr:nvSpPr>
        <xdr:cNvPr id="2011" name="x_Picture 1" descr="Description: cid:image001.png@01D03949.49457930">
          <a:extLst>
            <a:ext uri="{FF2B5EF4-FFF2-40B4-BE49-F238E27FC236}">
              <a16:creationId xmlns:a16="http://schemas.microsoft.com/office/drawing/2014/main" id="{99CCB983-6E60-4787-AD73-1B0D0122BE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012" name="x_Picture 1" descr="Description: cid:image001.png@01D03949.49457930">
          <a:extLst>
            <a:ext uri="{FF2B5EF4-FFF2-40B4-BE49-F238E27FC236}">
              <a16:creationId xmlns:a16="http://schemas.microsoft.com/office/drawing/2014/main" id="{BC3CDA72-496A-40BF-A7A2-82A8C19BC5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013" name="x_Picture 1" descr="Description: cid:image001.png@01D03949.49457930">
          <a:extLst>
            <a:ext uri="{FF2B5EF4-FFF2-40B4-BE49-F238E27FC236}">
              <a16:creationId xmlns:a16="http://schemas.microsoft.com/office/drawing/2014/main" id="{7D145FD0-1E00-4BE9-AB0A-032C22983C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014" name="x_Picture 1" descr="Description: cid:image001.png@01D03949.49457930">
          <a:extLst>
            <a:ext uri="{FF2B5EF4-FFF2-40B4-BE49-F238E27FC236}">
              <a16:creationId xmlns:a16="http://schemas.microsoft.com/office/drawing/2014/main" id="{7BC9C968-9004-458D-8AC1-407662D24C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015" name="x_Picture 1" descr="Description: cid:image001.png@01D03949.49457930">
          <a:extLst>
            <a:ext uri="{FF2B5EF4-FFF2-40B4-BE49-F238E27FC236}">
              <a16:creationId xmlns:a16="http://schemas.microsoft.com/office/drawing/2014/main" id="{D1BD96A2-9925-4956-B607-71CDAE225E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016" name="x_Picture 1" descr="Description: cid:image001.png@01D03949.49457930">
          <a:extLst>
            <a:ext uri="{FF2B5EF4-FFF2-40B4-BE49-F238E27FC236}">
              <a16:creationId xmlns:a16="http://schemas.microsoft.com/office/drawing/2014/main" id="{7C16ECC3-3F7C-4532-97FD-87169E361A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17" name="x_Picture 1" descr="Description: cid:image001.png@01D03949.49457930">
          <a:extLst>
            <a:ext uri="{FF2B5EF4-FFF2-40B4-BE49-F238E27FC236}">
              <a16:creationId xmlns:a16="http://schemas.microsoft.com/office/drawing/2014/main" id="{99B3A5D8-5CD4-4E7A-9981-54BCB64979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17</xdr:row>
      <xdr:rowOff>0</xdr:rowOff>
    </xdr:from>
    <xdr:ext cx="279605" cy="315045"/>
    <xdr:sp macro="" textlink="">
      <xdr:nvSpPr>
        <xdr:cNvPr id="2018" name="x_Picture 1" descr="Description: cid:image001.png@01D03949.49457930">
          <a:extLst>
            <a:ext uri="{FF2B5EF4-FFF2-40B4-BE49-F238E27FC236}">
              <a16:creationId xmlns:a16="http://schemas.microsoft.com/office/drawing/2014/main" id="{FBF919CF-1176-4382-A07F-D2B2D3E1CA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19" name="x_Picture 1" descr="Description: cid:image001.png@01D03949.49457930">
          <a:extLst>
            <a:ext uri="{FF2B5EF4-FFF2-40B4-BE49-F238E27FC236}">
              <a16:creationId xmlns:a16="http://schemas.microsoft.com/office/drawing/2014/main" id="{2A787C3A-CCE2-4095-9511-8B28DC657C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20" name="x_Picture 1" descr="Description: cid:image001.png@01D03949.49457930">
          <a:extLst>
            <a:ext uri="{FF2B5EF4-FFF2-40B4-BE49-F238E27FC236}">
              <a16:creationId xmlns:a16="http://schemas.microsoft.com/office/drawing/2014/main" id="{2242CF7D-0AC0-420E-BA56-52E9474F4B8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21" name="x_Picture 1" descr="Description: cid:image001.png@01D03949.49457930">
          <a:extLst>
            <a:ext uri="{FF2B5EF4-FFF2-40B4-BE49-F238E27FC236}">
              <a16:creationId xmlns:a16="http://schemas.microsoft.com/office/drawing/2014/main" id="{9C339D7A-3D76-41CA-8944-4FE4284930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22" name="x_Picture 1" descr="Description: cid:image001.png@01D03949.49457930">
          <a:extLst>
            <a:ext uri="{FF2B5EF4-FFF2-40B4-BE49-F238E27FC236}">
              <a16:creationId xmlns:a16="http://schemas.microsoft.com/office/drawing/2014/main" id="{43959622-6245-4920-BCCD-F08FC85BBC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23" name="x_Picture 1" descr="Description: cid:image001.png@01D03949.49457930">
          <a:extLst>
            <a:ext uri="{FF2B5EF4-FFF2-40B4-BE49-F238E27FC236}">
              <a16:creationId xmlns:a16="http://schemas.microsoft.com/office/drawing/2014/main" id="{4519B16B-E375-4495-BD75-2BCD8334E7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24" name="x_Picture 1" descr="Description: cid:image001.png@01D03949.49457930">
          <a:extLst>
            <a:ext uri="{FF2B5EF4-FFF2-40B4-BE49-F238E27FC236}">
              <a16:creationId xmlns:a16="http://schemas.microsoft.com/office/drawing/2014/main" id="{B64DEF36-492E-4A54-9A70-359B7A4146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25" name="x_Picture 1" descr="Description: cid:image001.png@01D03949.49457930">
          <a:extLst>
            <a:ext uri="{FF2B5EF4-FFF2-40B4-BE49-F238E27FC236}">
              <a16:creationId xmlns:a16="http://schemas.microsoft.com/office/drawing/2014/main" id="{283DB964-8253-457E-863B-56B52D1A09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26" name="x_Picture 1" descr="Description: cid:image001.png@01D03949.49457930">
          <a:extLst>
            <a:ext uri="{FF2B5EF4-FFF2-40B4-BE49-F238E27FC236}">
              <a16:creationId xmlns:a16="http://schemas.microsoft.com/office/drawing/2014/main" id="{6F429FF2-B5CA-4F30-9082-C1E01D9BF4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27" name="x_Picture 1" descr="Description: cid:image001.png@01D03949.49457930">
          <a:extLst>
            <a:ext uri="{FF2B5EF4-FFF2-40B4-BE49-F238E27FC236}">
              <a16:creationId xmlns:a16="http://schemas.microsoft.com/office/drawing/2014/main" id="{1912BF8A-71AD-405C-B612-0F03D82E815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28" name="x_Picture 1" descr="Description: cid:image001.png@01D03949.49457930">
          <a:extLst>
            <a:ext uri="{FF2B5EF4-FFF2-40B4-BE49-F238E27FC236}">
              <a16:creationId xmlns:a16="http://schemas.microsoft.com/office/drawing/2014/main" id="{BFDD2F3B-C319-4B53-A6F2-0846984794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029" name="x_Picture 1" descr="Description: cid:image001.png@01D03949.49457930">
          <a:extLst>
            <a:ext uri="{FF2B5EF4-FFF2-40B4-BE49-F238E27FC236}">
              <a16:creationId xmlns:a16="http://schemas.microsoft.com/office/drawing/2014/main" id="{56F45826-747F-468B-82B0-B00156CC62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30" name="x_Picture 1" descr="Description: cid:image001.png@01D03949.49457930">
          <a:extLst>
            <a:ext uri="{FF2B5EF4-FFF2-40B4-BE49-F238E27FC236}">
              <a16:creationId xmlns:a16="http://schemas.microsoft.com/office/drawing/2014/main" id="{CEAFDA57-94DA-415E-8FBB-129872CD72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031" name="x_Picture 1" descr="Description: cid:image001.png@01D03949.49457930">
          <a:extLst>
            <a:ext uri="{FF2B5EF4-FFF2-40B4-BE49-F238E27FC236}">
              <a16:creationId xmlns:a16="http://schemas.microsoft.com/office/drawing/2014/main" id="{0E068A47-2D86-4908-B1EC-C91A4EA146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032" name="x_Picture 1" descr="Description: cid:image001.png@01D03949.49457930">
          <a:extLst>
            <a:ext uri="{FF2B5EF4-FFF2-40B4-BE49-F238E27FC236}">
              <a16:creationId xmlns:a16="http://schemas.microsoft.com/office/drawing/2014/main" id="{14FAE203-CE09-496F-BF27-1CB207B66B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18</xdr:row>
      <xdr:rowOff>0</xdr:rowOff>
    </xdr:from>
    <xdr:ext cx="279605" cy="315045"/>
    <xdr:sp macro="" textlink="">
      <xdr:nvSpPr>
        <xdr:cNvPr id="2033" name="x_Picture 1" descr="Description: cid:image001.png@01D03949.49457930">
          <a:extLst>
            <a:ext uri="{FF2B5EF4-FFF2-40B4-BE49-F238E27FC236}">
              <a16:creationId xmlns:a16="http://schemas.microsoft.com/office/drawing/2014/main" id="{1E8DAD2F-999B-4146-B963-4D0A763D59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034" name="x_Picture 1" descr="Description: cid:image001.png@01D03949.49457930">
          <a:extLst>
            <a:ext uri="{FF2B5EF4-FFF2-40B4-BE49-F238E27FC236}">
              <a16:creationId xmlns:a16="http://schemas.microsoft.com/office/drawing/2014/main" id="{086A9650-0B92-499D-84C9-12F9D31D90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035" name="x_Picture 1" descr="Description: cid:image001.png@01D03949.49457930">
          <a:extLst>
            <a:ext uri="{FF2B5EF4-FFF2-40B4-BE49-F238E27FC236}">
              <a16:creationId xmlns:a16="http://schemas.microsoft.com/office/drawing/2014/main" id="{4682F537-6268-4B85-8C6B-7677C9E25C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036" name="x_Picture 1" descr="Description: cid:image001.png@01D03949.49457930">
          <a:extLst>
            <a:ext uri="{FF2B5EF4-FFF2-40B4-BE49-F238E27FC236}">
              <a16:creationId xmlns:a16="http://schemas.microsoft.com/office/drawing/2014/main" id="{D492DE82-6037-463A-9D43-62BE48F482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037" name="x_Picture 1" descr="Description: cid:image001.png@01D03949.49457930">
          <a:extLst>
            <a:ext uri="{FF2B5EF4-FFF2-40B4-BE49-F238E27FC236}">
              <a16:creationId xmlns:a16="http://schemas.microsoft.com/office/drawing/2014/main" id="{0C124105-7DCD-4E2B-ADE4-3F5CDCCE5E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038" name="x_Picture 1" descr="Description: cid:image001.png@01D03949.49457930">
          <a:extLst>
            <a:ext uri="{FF2B5EF4-FFF2-40B4-BE49-F238E27FC236}">
              <a16:creationId xmlns:a16="http://schemas.microsoft.com/office/drawing/2014/main" id="{06DA20FF-3FD0-4519-A775-B1D76A6FFF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39" name="x_Picture 1" descr="Description: cid:image001.png@01D03949.49457930">
          <a:extLst>
            <a:ext uri="{FF2B5EF4-FFF2-40B4-BE49-F238E27FC236}">
              <a16:creationId xmlns:a16="http://schemas.microsoft.com/office/drawing/2014/main" id="{5A0829C9-8360-4BA5-80CE-72AF64BA7B6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18</xdr:row>
      <xdr:rowOff>0</xdr:rowOff>
    </xdr:from>
    <xdr:ext cx="279605" cy="315045"/>
    <xdr:sp macro="" textlink="">
      <xdr:nvSpPr>
        <xdr:cNvPr id="2040" name="x_Picture 1" descr="Description: cid:image001.png@01D03949.49457930">
          <a:extLst>
            <a:ext uri="{FF2B5EF4-FFF2-40B4-BE49-F238E27FC236}">
              <a16:creationId xmlns:a16="http://schemas.microsoft.com/office/drawing/2014/main" id="{D4C38D95-CDC3-413E-A540-8FDC9633D2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41" name="x_Picture 1" descr="Description: cid:image001.png@01D03949.49457930">
          <a:extLst>
            <a:ext uri="{FF2B5EF4-FFF2-40B4-BE49-F238E27FC236}">
              <a16:creationId xmlns:a16="http://schemas.microsoft.com/office/drawing/2014/main" id="{88B93ECB-A0D4-420E-B22C-5442EBDC4D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42" name="x_Picture 1" descr="Description: cid:image001.png@01D03949.49457930">
          <a:extLst>
            <a:ext uri="{FF2B5EF4-FFF2-40B4-BE49-F238E27FC236}">
              <a16:creationId xmlns:a16="http://schemas.microsoft.com/office/drawing/2014/main" id="{B2FE35CA-8B65-4D27-8A25-50A3E9A54A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43" name="x_Picture 1" descr="Description: cid:image001.png@01D03949.49457930">
          <a:extLst>
            <a:ext uri="{FF2B5EF4-FFF2-40B4-BE49-F238E27FC236}">
              <a16:creationId xmlns:a16="http://schemas.microsoft.com/office/drawing/2014/main" id="{69707B97-471C-400B-A4C7-84038524B7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44" name="x_Picture 1" descr="Description: cid:image001.png@01D03949.49457930">
          <a:extLst>
            <a:ext uri="{FF2B5EF4-FFF2-40B4-BE49-F238E27FC236}">
              <a16:creationId xmlns:a16="http://schemas.microsoft.com/office/drawing/2014/main" id="{243C6CDF-B488-4E68-AC77-784067FBD5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45" name="x_Picture 1" descr="Description: cid:image001.png@01D03949.49457930">
          <a:extLst>
            <a:ext uri="{FF2B5EF4-FFF2-40B4-BE49-F238E27FC236}">
              <a16:creationId xmlns:a16="http://schemas.microsoft.com/office/drawing/2014/main" id="{D45AC008-B1CF-4D91-BCC5-0D90107AD5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46" name="x_Picture 1" descr="Description: cid:image001.png@01D03949.49457930">
          <a:extLst>
            <a:ext uri="{FF2B5EF4-FFF2-40B4-BE49-F238E27FC236}">
              <a16:creationId xmlns:a16="http://schemas.microsoft.com/office/drawing/2014/main" id="{5CDF29A4-F3CB-4EB7-8F20-CC565EB757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47" name="x_Picture 1" descr="Description: cid:image001.png@01D03949.49457930">
          <a:extLst>
            <a:ext uri="{FF2B5EF4-FFF2-40B4-BE49-F238E27FC236}">
              <a16:creationId xmlns:a16="http://schemas.microsoft.com/office/drawing/2014/main" id="{BC743D83-407E-48E9-B424-FD1B29E444C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48" name="x_Picture 1" descr="Description: cid:image001.png@01D03949.49457930">
          <a:extLst>
            <a:ext uri="{FF2B5EF4-FFF2-40B4-BE49-F238E27FC236}">
              <a16:creationId xmlns:a16="http://schemas.microsoft.com/office/drawing/2014/main" id="{314D531C-6FE8-48D8-B562-D9C1CC9929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49" name="x_Picture 1" descr="Description: cid:image001.png@01D03949.49457930">
          <a:extLst>
            <a:ext uri="{FF2B5EF4-FFF2-40B4-BE49-F238E27FC236}">
              <a16:creationId xmlns:a16="http://schemas.microsoft.com/office/drawing/2014/main" id="{C101B9E7-958E-464F-BD06-D9ADCB1C07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50" name="x_Picture 1" descr="Description: cid:image001.png@01D03949.49457930">
          <a:extLst>
            <a:ext uri="{FF2B5EF4-FFF2-40B4-BE49-F238E27FC236}">
              <a16:creationId xmlns:a16="http://schemas.microsoft.com/office/drawing/2014/main" id="{7E18665B-2548-44EB-85C2-05C6E3A0B4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051" name="x_Picture 1" descr="Description: cid:image001.png@01D03949.49457930">
          <a:extLst>
            <a:ext uri="{FF2B5EF4-FFF2-40B4-BE49-F238E27FC236}">
              <a16:creationId xmlns:a16="http://schemas.microsoft.com/office/drawing/2014/main" id="{24C5F1BA-F63C-436C-9919-C116EBE078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52" name="x_Picture 1" descr="Description: cid:image001.png@01D03949.49457930">
          <a:extLst>
            <a:ext uri="{FF2B5EF4-FFF2-40B4-BE49-F238E27FC236}">
              <a16:creationId xmlns:a16="http://schemas.microsoft.com/office/drawing/2014/main" id="{B72956A3-2078-4C68-BF83-30435E0C05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053" name="x_Picture 1" descr="Description: cid:image001.png@01D03949.49457930">
          <a:extLst>
            <a:ext uri="{FF2B5EF4-FFF2-40B4-BE49-F238E27FC236}">
              <a16:creationId xmlns:a16="http://schemas.microsoft.com/office/drawing/2014/main" id="{640314B5-5964-4C6A-B064-976255CFF0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054" name="x_Picture 1" descr="Description: cid:image001.png@01D03949.49457930">
          <a:extLst>
            <a:ext uri="{FF2B5EF4-FFF2-40B4-BE49-F238E27FC236}">
              <a16:creationId xmlns:a16="http://schemas.microsoft.com/office/drawing/2014/main" id="{20156BD4-3137-4EF2-B99D-AB41B69FDA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19</xdr:row>
      <xdr:rowOff>0</xdr:rowOff>
    </xdr:from>
    <xdr:ext cx="279605" cy="315045"/>
    <xdr:sp macro="" textlink="">
      <xdr:nvSpPr>
        <xdr:cNvPr id="2055" name="x_Picture 1" descr="Description: cid:image001.png@01D03949.49457930">
          <a:extLst>
            <a:ext uri="{FF2B5EF4-FFF2-40B4-BE49-F238E27FC236}">
              <a16:creationId xmlns:a16="http://schemas.microsoft.com/office/drawing/2014/main" id="{A962E3DA-35E3-47EF-929F-5C96BE1DBB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056" name="x_Picture 1" descr="Description: cid:image001.png@01D03949.49457930">
          <a:extLst>
            <a:ext uri="{FF2B5EF4-FFF2-40B4-BE49-F238E27FC236}">
              <a16:creationId xmlns:a16="http://schemas.microsoft.com/office/drawing/2014/main" id="{46A8279A-E645-4444-8B43-AB99E2F8DC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057" name="x_Picture 1" descr="Description: cid:image001.png@01D03949.49457930">
          <a:extLst>
            <a:ext uri="{FF2B5EF4-FFF2-40B4-BE49-F238E27FC236}">
              <a16:creationId xmlns:a16="http://schemas.microsoft.com/office/drawing/2014/main" id="{83CE395A-6853-46B0-8021-F87AA04F66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058" name="x_Picture 1" descr="Description: cid:image001.png@01D03949.49457930">
          <a:extLst>
            <a:ext uri="{FF2B5EF4-FFF2-40B4-BE49-F238E27FC236}">
              <a16:creationId xmlns:a16="http://schemas.microsoft.com/office/drawing/2014/main" id="{B73DAFA5-2790-4AB2-8198-B098A1C734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059" name="x_Picture 1" descr="Description: cid:image001.png@01D03949.49457930">
          <a:extLst>
            <a:ext uri="{FF2B5EF4-FFF2-40B4-BE49-F238E27FC236}">
              <a16:creationId xmlns:a16="http://schemas.microsoft.com/office/drawing/2014/main" id="{53BA0043-B504-4683-9835-6DACB521F7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060" name="x_Picture 1" descr="Description: cid:image001.png@01D03949.49457930">
          <a:extLst>
            <a:ext uri="{FF2B5EF4-FFF2-40B4-BE49-F238E27FC236}">
              <a16:creationId xmlns:a16="http://schemas.microsoft.com/office/drawing/2014/main" id="{DA51A950-17A3-4A4A-A51E-3265597B75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61" name="x_Picture 1" descr="Description: cid:image001.png@01D03949.49457930">
          <a:extLst>
            <a:ext uri="{FF2B5EF4-FFF2-40B4-BE49-F238E27FC236}">
              <a16:creationId xmlns:a16="http://schemas.microsoft.com/office/drawing/2014/main" id="{0B2AE2B5-4697-4660-ABAC-95975F9D62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19</xdr:row>
      <xdr:rowOff>0</xdr:rowOff>
    </xdr:from>
    <xdr:ext cx="279605" cy="315045"/>
    <xdr:sp macro="" textlink="">
      <xdr:nvSpPr>
        <xdr:cNvPr id="2062" name="x_Picture 1" descr="Description: cid:image001.png@01D03949.49457930">
          <a:extLst>
            <a:ext uri="{FF2B5EF4-FFF2-40B4-BE49-F238E27FC236}">
              <a16:creationId xmlns:a16="http://schemas.microsoft.com/office/drawing/2014/main" id="{7FBA8C2F-4AF9-4930-B572-C45CD285A9E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63" name="x_Picture 1" descr="Description: cid:image001.png@01D03949.49457930">
          <a:extLst>
            <a:ext uri="{FF2B5EF4-FFF2-40B4-BE49-F238E27FC236}">
              <a16:creationId xmlns:a16="http://schemas.microsoft.com/office/drawing/2014/main" id="{2C7472A6-E24A-4BEC-8756-18DDE961F55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64" name="x_Picture 1" descr="Description: cid:image001.png@01D03949.49457930">
          <a:extLst>
            <a:ext uri="{FF2B5EF4-FFF2-40B4-BE49-F238E27FC236}">
              <a16:creationId xmlns:a16="http://schemas.microsoft.com/office/drawing/2014/main" id="{CE328F8A-2D66-4ADF-813F-7F1FE5AC66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65" name="x_Picture 1" descr="Description: cid:image001.png@01D03949.49457930">
          <a:extLst>
            <a:ext uri="{FF2B5EF4-FFF2-40B4-BE49-F238E27FC236}">
              <a16:creationId xmlns:a16="http://schemas.microsoft.com/office/drawing/2014/main" id="{9CC94C04-2B48-4930-A14E-949C1B327A8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66" name="x_Picture 1" descr="Description: cid:image001.png@01D03949.49457930">
          <a:extLst>
            <a:ext uri="{FF2B5EF4-FFF2-40B4-BE49-F238E27FC236}">
              <a16:creationId xmlns:a16="http://schemas.microsoft.com/office/drawing/2014/main" id="{25EBAC20-E9EF-4D55-8C9D-A987A8933B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67" name="x_Picture 1" descr="Description: cid:image001.png@01D03949.49457930">
          <a:extLst>
            <a:ext uri="{FF2B5EF4-FFF2-40B4-BE49-F238E27FC236}">
              <a16:creationId xmlns:a16="http://schemas.microsoft.com/office/drawing/2014/main" id="{3FF11BA8-6C02-4CF6-837C-289A551A8A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68" name="x_Picture 1" descr="Description: cid:image001.png@01D03949.49457930">
          <a:extLst>
            <a:ext uri="{FF2B5EF4-FFF2-40B4-BE49-F238E27FC236}">
              <a16:creationId xmlns:a16="http://schemas.microsoft.com/office/drawing/2014/main" id="{BE120986-15A8-4F07-96DF-5BFDA2CF98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69" name="x_Picture 1" descr="Description: cid:image001.png@01D03949.49457930">
          <a:extLst>
            <a:ext uri="{FF2B5EF4-FFF2-40B4-BE49-F238E27FC236}">
              <a16:creationId xmlns:a16="http://schemas.microsoft.com/office/drawing/2014/main" id="{B07535FC-CFEC-46DB-A7FE-48DB1F3F40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70" name="x_Picture 1" descr="Description: cid:image001.png@01D03949.49457930">
          <a:extLst>
            <a:ext uri="{FF2B5EF4-FFF2-40B4-BE49-F238E27FC236}">
              <a16:creationId xmlns:a16="http://schemas.microsoft.com/office/drawing/2014/main" id="{45CEFF3C-2B0B-405B-8A82-B3E1FB091B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71" name="x_Picture 1" descr="Description: cid:image001.png@01D03949.49457930">
          <a:extLst>
            <a:ext uri="{FF2B5EF4-FFF2-40B4-BE49-F238E27FC236}">
              <a16:creationId xmlns:a16="http://schemas.microsoft.com/office/drawing/2014/main" id="{FDE4397D-9BE3-40F1-ACF7-0A486ACBCF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72" name="x_Picture 1" descr="Description: cid:image001.png@01D03949.49457930">
          <a:extLst>
            <a:ext uri="{FF2B5EF4-FFF2-40B4-BE49-F238E27FC236}">
              <a16:creationId xmlns:a16="http://schemas.microsoft.com/office/drawing/2014/main" id="{477F90B4-6642-4A13-89FB-1F2F0990BD4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073" name="x_Picture 1" descr="Description: cid:image001.png@01D03949.49457930">
          <a:extLst>
            <a:ext uri="{FF2B5EF4-FFF2-40B4-BE49-F238E27FC236}">
              <a16:creationId xmlns:a16="http://schemas.microsoft.com/office/drawing/2014/main" id="{0135FB47-D671-4264-9102-6B8D7F76C6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74" name="x_Picture 1" descr="Description: cid:image001.png@01D03949.49457930">
          <a:extLst>
            <a:ext uri="{FF2B5EF4-FFF2-40B4-BE49-F238E27FC236}">
              <a16:creationId xmlns:a16="http://schemas.microsoft.com/office/drawing/2014/main" id="{2A7C6D1C-ECD0-4DEE-9793-A15E9D6799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075" name="x_Picture 1" descr="Description: cid:image001.png@01D03949.49457930">
          <a:extLst>
            <a:ext uri="{FF2B5EF4-FFF2-40B4-BE49-F238E27FC236}">
              <a16:creationId xmlns:a16="http://schemas.microsoft.com/office/drawing/2014/main" id="{E5C33243-BB63-4997-8647-AA39FEF891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076" name="x_Picture 1" descr="Description: cid:image001.png@01D03949.49457930">
          <a:extLst>
            <a:ext uri="{FF2B5EF4-FFF2-40B4-BE49-F238E27FC236}">
              <a16:creationId xmlns:a16="http://schemas.microsoft.com/office/drawing/2014/main" id="{4F4AEBD8-C100-49FF-8A6C-592A0E768B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20</xdr:row>
      <xdr:rowOff>0</xdr:rowOff>
    </xdr:from>
    <xdr:ext cx="279605" cy="315045"/>
    <xdr:sp macro="" textlink="">
      <xdr:nvSpPr>
        <xdr:cNvPr id="2077" name="x_Picture 1" descr="Description: cid:image001.png@01D03949.49457930">
          <a:extLst>
            <a:ext uri="{FF2B5EF4-FFF2-40B4-BE49-F238E27FC236}">
              <a16:creationId xmlns:a16="http://schemas.microsoft.com/office/drawing/2014/main" id="{6E4838E8-AD9D-4E64-9DE7-0913D9062F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078" name="x_Picture 1" descr="Description: cid:image001.png@01D03949.49457930">
          <a:extLst>
            <a:ext uri="{FF2B5EF4-FFF2-40B4-BE49-F238E27FC236}">
              <a16:creationId xmlns:a16="http://schemas.microsoft.com/office/drawing/2014/main" id="{283E3CCB-AD92-4902-A12B-9F2513581C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079" name="x_Picture 1" descr="Description: cid:image001.png@01D03949.49457930">
          <a:extLst>
            <a:ext uri="{FF2B5EF4-FFF2-40B4-BE49-F238E27FC236}">
              <a16:creationId xmlns:a16="http://schemas.microsoft.com/office/drawing/2014/main" id="{8759D5A4-04FE-4865-A023-DB87E32E85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080" name="x_Picture 1" descr="Description: cid:image001.png@01D03949.49457930">
          <a:extLst>
            <a:ext uri="{FF2B5EF4-FFF2-40B4-BE49-F238E27FC236}">
              <a16:creationId xmlns:a16="http://schemas.microsoft.com/office/drawing/2014/main" id="{86137348-7279-4935-9CC3-5E092883AD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081" name="x_Picture 1" descr="Description: cid:image001.png@01D03949.49457930">
          <a:extLst>
            <a:ext uri="{FF2B5EF4-FFF2-40B4-BE49-F238E27FC236}">
              <a16:creationId xmlns:a16="http://schemas.microsoft.com/office/drawing/2014/main" id="{F9475194-341E-4D63-BBD5-0591A304A1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082" name="x_Picture 1" descr="Description: cid:image001.png@01D03949.49457930">
          <a:extLst>
            <a:ext uri="{FF2B5EF4-FFF2-40B4-BE49-F238E27FC236}">
              <a16:creationId xmlns:a16="http://schemas.microsoft.com/office/drawing/2014/main" id="{45C79D5A-033F-4799-9984-2D8D43569E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83" name="x_Picture 1" descr="Description: cid:image001.png@01D03949.49457930">
          <a:extLst>
            <a:ext uri="{FF2B5EF4-FFF2-40B4-BE49-F238E27FC236}">
              <a16:creationId xmlns:a16="http://schemas.microsoft.com/office/drawing/2014/main" id="{7B5D0D0E-4235-4D18-A188-8A6888DDDB5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20</xdr:row>
      <xdr:rowOff>0</xdr:rowOff>
    </xdr:from>
    <xdr:ext cx="279605" cy="315045"/>
    <xdr:sp macro="" textlink="">
      <xdr:nvSpPr>
        <xdr:cNvPr id="2084" name="x_Picture 1" descr="Description: cid:image001.png@01D03949.49457930">
          <a:extLst>
            <a:ext uri="{FF2B5EF4-FFF2-40B4-BE49-F238E27FC236}">
              <a16:creationId xmlns:a16="http://schemas.microsoft.com/office/drawing/2014/main" id="{4818567A-96FF-4B91-AEAA-656440B832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85" name="x_Picture 1" descr="Description: cid:image001.png@01D03949.49457930">
          <a:extLst>
            <a:ext uri="{FF2B5EF4-FFF2-40B4-BE49-F238E27FC236}">
              <a16:creationId xmlns:a16="http://schemas.microsoft.com/office/drawing/2014/main" id="{1969489F-6AFB-44DC-A407-4AE1E6C652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86" name="x_Picture 1" descr="Description: cid:image001.png@01D03949.49457930">
          <a:extLst>
            <a:ext uri="{FF2B5EF4-FFF2-40B4-BE49-F238E27FC236}">
              <a16:creationId xmlns:a16="http://schemas.microsoft.com/office/drawing/2014/main" id="{EDDB47E4-2D80-4E10-87D4-622469D651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87" name="x_Picture 1" descr="Description: cid:image001.png@01D03949.49457930">
          <a:extLst>
            <a:ext uri="{FF2B5EF4-FFF2-40B4-BE49-F238E27FC236}">
              <a16:creationId xmlns:a16="http://schemas.microsoft.com/office/drawing/2014/main" id="{0A216EB6-3AE3-4344-AF49-C73470397F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88" name="x_Picture 1" descr="Description: cid:image001.png@01D03949.49457930">
          <a:extLst>
            <a:ext uri="{FF2B5EF4-FFF2-40B4-BE49-F238E27FC236}">
              <a16:creationId xmlns:a16="http://schemas.microsoft.com/office/drawing/2014/main" id="{7EBB3D05-1904-4AFD-BD4A-48632D8669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89" name="x_Picture 1" descr="Description: cid:image001.png@01D03949.49457930">
          <a:extLst>
            <a:ext uri="{FF2B5EF4-FFF2-40B4-BE49-F238E27FC236}">
              <a16:creationId xmlns:a16="http://schemas.microsoft.com/office/drawing/2014/main" id="{0CA08793-F5BA-408E-9C54-C4B96F8C72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90" name="x_Picture 1" descr="Description: cid:image001.png@01D03949.49457930">
          <a:extLst>
            <a:ext uri="{FF2B5EF4-FFF2-40B4-BE49-F238E27FC236}">
              <a16:creationId xmlns:a16="http://schemas.microsoft.com/office/drawing/2014/main" id="{CDDED596-8EE9-436F-B1A9-8E118BFD040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91" name="x_Picture 1" descr="Description: cid:image001.png@01D03949.49457930">
          <a:extLst>
            <a:ext uri="{FF2B5EF4-FFF2-40B4-BE49-F238E27FC236}">
              <a16:creationId xmlns:a16="http://schemas.microsoft.com/office/drawing/2014/main" id="{F0DD5C82-55F1-4771-A3F6-C0B3EB64F5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92" name="x_Picture 1" descr="Description: cid:image001.png@01D03949.49457930">
          <a:extLst>
            <a:ext uri="{FF2B5EF4-FFF2-40B4-BE49-F238E27FC236}">
              <a16:creationId xmlns:a16="http://schemas.microsoft.com/office/drawing/2014/main" id="{1924E98C-7169-4EC7-8F87-509A83363C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93" name="x_Picture 1" descr="Description: cid:image001.png@01D03949.49457930">
          <a:extLst>
            <a:ext uri="{FF2B5EF4-FFF2-40B4-BE49-F238E27FC236}">
              <a16:creationId xmlns:a16="http://schemas.microsoft.com/office/drawing/2014/main" id="{6C3840A7-CF9D-4691-B947-A4A86CD84A6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94" name="x_Picture 1" descr="Description: cid:image001.png@01D03949.49457930">
          <a:extLst>
            <a:ext uri="{FF2B5EF4-FFF2-40B4-BE49-F238E27FC236}">
              <a16:creationId xmlns:a16="http://schemas.microsoft.com/office/drawing/2014/main" id="{B62CBB81-39BF-4374-9509-9EA90701351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095" name="x_Picture 1" descr="Description: cid:image001.png@01D03949.49457930">
          <a:extLst>
            <a:ext uri="{FF2B5EF4-FFF2-40B4-BE49-F238E27FC236}">
              <a16:creationId xmlns:a16="http://schemas.microsoft.com/office/drawing/2014/main" id="{200FE68F-3509-4380-B0A2-64CF19B299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096" name="x_Picture 1" descr="Description: cid:image001.png@01D03949.49457930">
          <a:extLst>
            <a:ext uri="{FF2B5EF4-FFF2-40B4-BE49-F238E27FC236}">
              <a16:creationId xmlns:a16="http://schemas.microsoft.com/office/drawing/2014/main" id="{2CF1D05A-42AF-4831-9D5A-F19FFE21BD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097" name="x_Picture 1" descr="Description: cid:image001.png@01D03949.49457930">
          <a:extLst>
            <a:ext uri="{FF2B5EF4-FFF2-40B4-BE49-F238E27FC236}">
              <a16:creationId xmlns:a16="http://schemas.microsoft.com/office/drawing/2014/main" id="{1CD6AD21-6581-4E68-9FD5-6D5DEB6FEE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098" name="x_Picture 1" descr="Description: cid:image001.png@01D03949.49457930">
          <a:extLst>
            <a:ext uri="{FF2B5EF4-FFF2-40B4-BE49-F238E27FC236}">
              <a16:creationId xmlns:a16="http://schemas.microsoft.com/office/drawing/2014/main" id="{A20E1B0F-3859-4DF0-846B-31749959D3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21</xdr:row>
      <xdr:rowOff>0</xdr:rowOff>
    </xdr:from>
    <xdr:ext cx="279605" cy="315045"/>
    <xdr:sp macro="" textlink="">
      <xdr:nvSpPr>
        <xdr:cNvPr id="2099" name="x_Picture 1" descr="Description: cid:image001.png@01D03949.49457930">
          <a:extLst>
            <a:ext uri="{FF2B5EF4-FFF2-40B4-BE49-F238E27FC236}">
              <a16:creationId xmlns:a16="http://schemas.microsoft.com/office/drawing/2014/main" id="{7236C767-FF9D-4911-BDFD-1868B2AFBA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100" name="x_Picture 1" descr="Description: cid:image001.png@01D03949.49457930">
          <a:extLst>
            <a:ext uri="{FF2B5EF4-FFF2-40B4-BE49-F238E27FC236}">
              <a16:creationId xmlns:a16="http://schemas.microsoft.com/office/drawing/2014/main" id="{D2D4A3F2-E34E-4E58-B62E-A1111DD23A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101" name="x_Picture 1" descr="Description: cid:image001.png@01D03949.49457930">
          <a:extLst>
            <a:ext uri="{FF2B5EF4-FFF2-40B4-BE49-F238E27FC236}">
              <a16:creationId xmlns:a16="http://schemas.microsoft.com/office/drawing/2014/main" id="{A880D71C-382A-4BA2-8686-067FD9E057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102" name="x_Picture 1" descr="Description: cid:image001.png@01D03949.49457930">
          <a:extLst>
            <a:ext uri="{FF2B5EF4-FFF2-40B4-BE49-F238E27FC236}">
              <a16:creationId xmlns:a16="http://schemas.microsoft.com/office/drawing/2014/main" id="{ECC5BFF5-7918-4B40-A9D3-33C3577F82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103" name="x_Picture 1" descr="Description: cid:image001.png@01D03949.49457930">
          <a:extLst>
            <a:ext uri="{FF2B5EF4-FFF2-40B4-BE49-F238E27FC236}">
              <a16:creationId xmlns:a16="http://schemas.microsoft.com/office/drawing/2014/main" id="{412CFEA2-D43A-48F8-8511-BF842E37C5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104" name="x_Picture 1" descr="Description: cid:image001.png@01D03949.49457930">
          <a:extLst>
            <a:ext uri="{FF2B5EF4-FFF2-40B4-BE49-F238E27FC236}">
              <a16:creationId xmlns:a16="http://schemas.microsoft.com/office/drawing/2014/main" id="{63836E65-5B8D-4BA8-BBD6-FF9BCD4CA1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05" name="x_Picture 1" descr="Description: cid:image001.png@01D03949.49457930">
          <a:extLst>
            <a:ext uri="{FF2B5EF4-FFF2-40B4-BE49-F238E27FC236}">
              <a16:creationId xmlns:a16="http://schemas.microsoft.com/office/drawing/2014/main" id="{B7296848-803B-4AF8-A842-4B69B374E0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21</xdr:row>
      <xdr:rowOff>0</xdr:rowOff>
    </xdr:from>
    <xdr:ext cx="279605" cy="315045"/>
    <xdr:sp macro="" textlink="">
      <xdr:nvSpPr>
        <xdr:cNvPr id="2106" name="x_Picture 1" descr="Description: cid:image001.png@01D03949.49457930">
          <a:extLst>
            <a:ext uri="{FF2B5EF4-FFF2-40B4-BE49-F238E27FC236}">
              <a16:creationId xmlns:a16="http://schemas.microsoft.com/office/drawing/2014/main" id="{4E91C34D-8D72-4BDC-86B1-FA06879054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07" name="x_Picture 1" descr="Description: cid:image001.png@01D03949.49457930">
          <a:extLst>
            <a:ext uri="{FF2B5EF4-FFF2-40B4-BE49-F238E27FC236}">
              <a16:creationId xmlns:a16="http://schemas.microsoft.com/office/drawing/2014/main" id="{E9C7F0E3-BEE2-42FF-A93F-4D14A368696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08" name="x_Picture 1" descr="Description: cid:image001.png@01D03949.49457930">
          <a:extLst>
            <a:ext uri="{FF2B5EF4-FFF2-40B4-BE49-F238E27FC236}">
              <a16:creationId xmlns:a16="http://schemas.microsoft.com/office/drawing/2014/main" id="{AF9E710D-22A8-4943-812C-3FF99196B7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09" name="x_Picture 1" descr="Description: cid:image001.png@01D03949.49457930">
          <a:extLst>
            <a:ext uri="{FF2B5EF4-FFF2-40B4-BE49-F238E27FC236}">
              <a16:creationId xmlns:a16="http://schemas.microsoft.com/office/drawing/2014/main" id="{F5D93D2B-4C88-4985-8A42-0136A68D70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10" name="x_Picture 1" descr="Description: cid:image001.png@01D03949.49457930">
          <a:extLst>
            <a:ext uri="{FF2B5EF4-FFF2-40B4-BE49-F238E27FC236}">
              <a16:creationId xmlns:a16="http://schemas.microsoft.com/office/drawing/2014/main" id="{6D600F8D-95E3-4B31-81BD-C72FB54797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11" name="x_Picture 1" descr="Description: cid:image001.png@01D03949.49457930">
          <a:extLst>
            <a:ext uri="{FF2B5EF4-FFF2-40B4-BE49-F238E27FC236}">
              <a16:creationId xmlns:a16="http://schemas.microsoft.com/office/drawing/2014/main" id="{4192F084-FCB6-4B09-9397-D4D916727C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12" name="x_Picture 1" descr="Description: cid:image001.png@01D03949.49457930">
          <a:extLst>
            <a:ext uri="{FF2B5EF4-FFF2-40B4-BE49-F238E27FC236}">
              <a16:creationId xmlns:a16="http://schemas.microsoft.com/office/drawing/2014/main" id="{DA5656B3-0B23-4561-A4A0-1D3A5722E4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13" name="x_Picture 1" descr="Description: cid:image001.png@01D03949.49457930">
          <a:extLst>
            <a:ext uri="{FF2B5EF4-FFF2-40B4-BE49-F238E27FC236}">
              <a16:creationId xmlns:a16="http://schemas.microsoft.com/office/drawing/2014/main" id="{3AB8CED3-F1D4-4AC9-8648-AE2325857C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14" name="x_Picture 1" descr="Description: cid:image001.png@01D03949.49457930">
          <a:extLst>
            <a:ext uri="{FF2B5EF4-FFF2-40B4-BE49-F238E27FC236}">
              <a16:creationId xmlns:a16="http://schemas.microsoft.com/office/drawing/2014/main" id="{EFA0ADA2-5C50-4670-853A-976630F207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15" name="x_Picture 1" descr="Description: cid:image001.png@01D03949.49457930">
          <a:extLst>
            <a:ext uri="{FF2B5EF4-FFF2-40B4-BE49-F238E27FC236}">
              <a16:creationId xmlns:a16="http://schemas.microsoft.com/office/drawing/2014/main" id="{2E663873-BB7F-413A-86AB-45F1F23514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16" name="x_Picture 1" descr="Description: cid:image001.png@01D03949.49457930">
          <a:extLst>
            <a:ext uri="{FF2B5EF4-FFF2-40B4-BE49-F238E27FC236}">
              <a16:creationId xmlns:a16="http://schemas.microsoft.com/office/drawing/2014/main" id="{AD24AC5B-BE61-4FB4-9BE3-40EFC3A6C2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117" name="x_Picture 1" descr="Description: cid:image001.png@01D03949.49457930">
          <a:extLst>
            <a:ext uri="{FF2B5EF4-FFF2-40B4-BE49-F238E27FC236}">
              <a16:creationId xmlns:a16="http://schemas.microsoft.com/office/drawing/2014/main" id="{B9DA1DF6-00DB-4B5C-95FB-C0E6EDD76A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18" name="x_Picture 1" descr="Description: cid:image001.png@01D03949.49457930">
          <a:extLst>
            <a:ext uri="{FF2B5EF4-FFF2-40B4-BE49-F238E27FC236}">
              <a16:creationId xmlns:a16="http://schemas.microsoft.com/office/drawing/2014/main" id="{088EF5D2-7566-48AD-9947-EA9641FFBD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119" name="x_Picture 1" descr="Description: cid:image001.png@01D03949.49457930">
          <a:extLst>
            <a:ext uri="{FF2B5EF4-FFF2-40B4-BE49-F238E27FC236}">
              <a16:creationId xmlns:a16="http://schemas.microsoft.com/office/drawing/2014/main" id="{C5A40AE1-875F-4E41-9B95-D857CF378A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120" name="x_Picture 1" descr="Description: cid:image001.png@01D03949.49457930">
          <a:extLst>
            <a:ext uri="{FF2B5EF4-FFF2-40B4-BE49-F238E27FC236}">
              <a16:creationId xmlns:a16="http://schemas.microsoft.com/office/drawing/2014/main" id="{B8B63EE3-B5FA-4887-97D3-207C8007A3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22</xdr:row>
      <xdr:rowOff>0</xdr:rowOff>
    </xdr:from>
    <xdr:ext cx="279605" cy="315045"/>
    <xdr:sp macro="" textlink="">
      <xdr:nvSpPr>
        <xdr:cNvPr id="2121" name="x_Picture 1" descr="Description: cid:image001.png@01D03949.49457930">
          <a:extLst>
            <a:ext uri="{FF2B5EF4-FFF2-40B4-BE49-F238E27FC236}">
              <a16:creationId xmlns:a16="http://schemas.microsoft.com/office/drawing/2014/main" id="{4F226F43-5EE6-492B-A088-4D5F8B3AA7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122" name="x_Picture 1" descr="Description: cid:image001.png@01D03949.49457930">
          <a:extLst>
            <a:ext uri="{FF2B5EF4-FFF2-40B4-BE49-F238E27FC236}">
              <a16:creationId xmlns:a16="http://schemas.microsoft.com/office/drawing/2014/main" id="{8162C588-426B-49D9-803E-050DE46CA9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123" name="x_Picture 1" descr="Description: cid:image001.png@01D03949.49457930">
          <a:extLst>
            <a:ext uri="{FF2B5EF4-FFF2-40B4-BE49-F238E27FC236}">
              <a16:creationId xmlns:a16="http://schemas.microsoft.com/office/drawing/2014/main" id="{FEB7A6F8-B577-4998-AD76-1CEC369030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124" name="x_Picture 1" descr="Description: cid:image001.png@01D03949.49457930">
          <a:extLst>
            <a:ext uri="{FF2B5EF4-FFF2-40B4-BE49-F238E27FC236}">
              <a16:creationId xmlns:a16="http://schemas.microsoft.com/office/drawing/2014/main" id="{EC801E79-8052-47A2-BB45-DFAE9F347D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125" name="x_Picture 1" descr="Description: cid:image001.png@01D03949.49457930">
          <a:extLst>
            <a:ext uri="{FF2B5EF4-FFF2-40B4-BE49-F238E27FC236}">
              <a16:creationId xmlns:a16="http://schemas.microsoft.com/office/drawing/2014/main" id="{4F0BB234-EF78-496B-B1FE-C851786B43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126" name="x_Picture 1" descr="Description: cid:image001.png@01D03949.49457930">
          <a:extLst>
            <a:ext uri="{FF2B5EF4-FFF2-40B4-BE49-F238E27FC236}">
              <a16:creationId xmlns:a16="http://schemas.microsoft.com/office/drawing/2014/main" id="{12CE7CCA-43F1-43DD-B593-950BC24213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27" name="x_Picture 1" descr="Description: cid:image001.png@01D03949.49457930">
          <a:extLst>
            <a:ext uri="{FF2B5EF4-FFF2-40B4-BE49-F238E27FC236}">
              <a16:creationId xmlns:a16="http://schemas.microsoft.com/office/drawing/2014/main" id="{0B55434D-B6B3-407F-84C6-AAB5C12232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22</xdr:row>
      <xdr:rowOff>0</xdr:rowOff>
    </xdr:from>
    <xdr:ext cx="279605" cy="315045"/>
    <xdr:sp macro="" textlink="">
      <xdr:nvSpPr>
        <xdr:cNvPr id="2128" name="x_Picture 1" descr="Description: cid:image001.png@01D03949.49457930">
          <a:extLst>
            <a:ext uri="{FF2B5EF4-FFF2-40B4-BE49-F238E27FC236}">
              <a16:creationId xmlns:a16="http://schemas.microsoft.com/office/drawing/2014/main" id="{A13F5619-5572-4DED-849B-4DD82627DD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29" name="x_Picture 1" descr="Description: cid:image001.png@01D03949.49457930">
          <a:extLst>
            <a:ext uri="{FF2B5EF4-FFF2-40B4-BE49-F238E27FC236}">
              <a16:creationId xmlns:a16="http://schemas.microsoft.com/office/drawing/2014/main" id="{321FCF5E-63C3-421E-AEEA-81685BD784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30" name="x_Picture 1" descr="Description: cid:image001.png@01D03949.49457930">
          <a:extLst>
            <a:ext uri="{FF2B5EF4-FFF2-40B4-BE49-F238E27FC236}">
              <a16:creationId xmlns:a16="http://schemas.microsoft.com/office/drawing/2014/main" id="{A2AC536B-C674-4411-A3D2-F9BC2AF328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31" name="x_Picture 1" descr="Description: cid:image001.png@01D03949.49457930">
          <a:extLst>
            <a:ext uri="{FF2B5EF4-FFF2-40B4-BE49-F238E27FC236}">
              <a16:creationId xmlns:a16="http://schemas.microsoft.com/office/drawing/2014/main" id="{92A0AFAC-A64E-43A4-BB4A-FF55BDA8C5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32" name="x_Picture 1" descr="Description: cid:image001.png@01D03949.49457930">
          <a:extLst>
            <a:ext uri="{FF2B5EF4-FFF2-40B4-BE49-F238E27FC236}">
              <a16:creationId xmlns:a16="http://schemas.microsoft.com/office/drawing/2014/main" id="{619EDDAF-CAA9-4781-9170-00D9CCCFEC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33" name="x_Picture 1" descr="Description: cid:image001.png@01D03949.49457930">
          <a:extLst>
            <a:ext uri="{FF2B5EF4-FFF2-40B4-BE49-F238E27FC236}">
              <a16:creationId xmlns:a16="http://schemas.microsoft.com/office/drawing/2014/main" id="{D8FFADD5-7043-4ACA-84F3-D4F6765B76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34" name="x_Picture 1" descr="Description: cid:image001.png@01D03949.49457930">
          <a:extLst>
            <a:ext uri="{FF2B5EF4-FFF2-40B4-BE49-F238E27FC236}">
              <a16:creationId xmlns:a16="http://schemas.microsoft.com/office/drawing/2014/main" id="{34B90050-069B-434C-906C-100BC6EF03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35" name="x_Picture 1" descr="Description: cid:image001.png@01D03949.49457930">
          <a:extLst>
            <a:ext uri="{FF2B5EF4-FFF2-40B4-BE49-F238E27FC236}">
              <a16:creationId xmlns:a16="http://schemas.microsoft.com/office/drawing/2014/main" id="{E5C2CE43-7D1B-4467-8768-073F2D68395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36" name="x_Picture 1" descr="Description: cid:image001.png@01D03949.49457930">
          <a:extLst>
            <a:ext uri="{FF2B5EF4-FFF2-40B4-BE49-F238E27FC236}">
              <a16:creationId xmlns:a16="http://schemas.microsoft.com/office/drawing/2014/main" id="{636CC922-9AAB-4422-A39A-0B8D3F1760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37" name="x_Picture 1" descr="Description: cid:image001.png@01D03949.49457930">
          <a:extLst>
            <a:ext uri="{FF2B5EF4-FFF2-40B4-BE49-F238E27FC236}">
              <a16:creationId xmlns:a16="http://schemas.microsoft.com/office/drawing/2014/main" id="{DA7E7A13-D6BC-4F42-AC68-2EFB9718AFC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38" name="x_Picture 1" descr="Description: cid:image001.png@01D03949.49457930">
          <a:extLst>
            <a:ext uri="{FF2B5EF4-FFF2-40B4-BE49-F238E27FC236}">
              <a16:creationId xmlns:a16="http://schemas.microsoft.com/office/drawing/2014/main" id="{8BCB32B5-9DFA-4702-A18E-E875500724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139" name="x_Picture 1" descr="Description: cid:image001.png@01D03949.49457930">
          <a:extLst>
            <a:ext uri="{FF2B5EF4-FFF2-40B4-BE49-F238E27FC236}">
              <a16:creationId xmlns:a16="http://schemas.microsoft.com/office/drawing/2014/main" id="{6C864332-4EC0-488D-A4D3-3EEC57427E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40" name="x_Picture 1" descr="Description: cid:image001.png@01D03949.49457930">
          <a:extLst>
            <a:ext uri="{FF2B5EF4-FFF2-40B4-BE49-F238E27FC236}">
              <a16:creationId xmlns:a16="http://schemas.microsoft.com/office/drawing/2014/main" id="{B26BB910-1679-43FB-B0EE-DCF2842871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141" name="x_Picture 1" descr="Description: cid:image001.png@01D03949.49457930">
          <a:extLst>
            <a:ext uri="{FF2B5EF4-FFF2-40B4-BE49-F238E27FC236}">
              <a16:creationId xmlns:a16="http://schemas.microsoft.com/office/drawing/2014/main" id="{EEAA1406-D486-4CA1-8EF3-B804858982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142" name="x_Picture 1" descr="Description: cid:image001.png@01D03949.49457930">
          <a:extLst>
            <a:ext uri="{FF2B5EF4-FFF2-40B4-BE49-F238E27FC236}">
              <a16:creationId xmlns:a16="http://schemas.microsoft.com/office/drawing/2014/main" id="{6D183FD6-B3FD-462B-A831-B10B48E7BA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23</xdr:row>
      <xdr:rowOff>0</xdr:rowOff>
    </xdr:from>
    <xdr:ext cx="279605" cy="315045"/>
    <xdr:sp macro="" textlink="">
      <xdr:nvSpPr>
        <xdr:cNvPr id="2143" name="x_Picture 1" descr="Description: cid:image001.png@01D03949.49457930">
          <a:extLst>
            <a:ext uri="{FF2B5EF4-FFF2-40B4-BE49-F238E27FC236}">
              <a16:creationId xmlns:a16="http://schemas.microsoft.com/office/drawing/2014/main" id="{1BEED48C-6149-4D81-A518-F645630994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144" name="x_Picture 1" descr="Description: cid:image001.png@01D03949.49457930">
          <a:extLst>
            <a:ext uri="{FF2B5EF4-FFF2-40B4-BE49-F238E27FC236}">
              <a16:creationId xmlns:a16="http://schemas.microsoft.com/office/drawing/2014/main" id="{3EF58790-9770-429D-9824-3690055E5E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145" name="x_Picture 1" descr="Description: cid:image001.png@01D03949.49457930">
          <a:extLst>
            <a:ext uri="{FF2B5EF4-FFF2-40B4-BE49-F238E27FC236}">
              <a16:creationId xmlns:a16="http://schemas.microsoft.com/office/drawing/2014/main" id="{3D77C246-5564-4E36-8E97-AA7EA4E285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146" name="x_Picture 1" descr="Description: cid:image001.png@01D03949.49457930">
          <a:extLst>
            <a:ext uri="{FF2B5EF4-FFF2-40B4-BE49-F238E27FC236}">
              <a16:creationId xmlns:a16="http://schemas.microsoft.com/office/drawing/2014/main" id="{B6C95163-7006-4A6D-9355-E7B2CB701E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147" name="x_Picture 1" descr="Description: cid:image001.png@01D03949.49457930">
          <a:extLst>
            <a:ext uri="{FF2B5EF4-FFF2-40B4-BE49-F238E27FC236}">
              <a16:creationId xmlns:a16="http://schemas.microsoft.com/office/drawing/2014/main" id="{6119B62F-91A8-4359-AB96-E7E4CE4A27F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148" name="x_Picture 1" descr="Description: cid:image001.png@01D03949.49457930">
          <a:extLst>
            <a:ext uri="{FF2B5EF4-FFF2-40B4-BE49-F238E27FC236}">
              <a16:creationId xmlns:a16="http://schemas.microsoft.com/office/drawing/2014/main" id="{F21013BF-B896-4BB0-A7F7-A52C0F8D84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49" name="x_Picture 1" descr="Description: cid:image001.png@01D03949.49457930">
          <a:extLst>
            <a:ext uri="{FF2B5EF4-FFF2-40B4-BE49-F238E27FC236}">
              <a16:creationId xmlns:a16="http://schemas.microsoft.com/office/drawing/2014/main" id="{27A436BA-53C1-49E9-B008-591413752A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23</xdr:row>
      <xdr:rowOff>0</xdr:rowOff>
    </xdr:from>
    <xdr:ext cx="279605" cy="315045"/>
    <xdr:sp macro="" textlink="">
      <xdr:nvSpPr>
        <xdr:cNvPr id="2150" name="x_Picture 1" descr="Description: cid:image001.png@01D03949.49457930">
          <a:extLst>
            <a:ext uri="{FF2B5EF4-FFF2-40B4-BE49-F238E27FC236}">
              <a16:creationId xmlns:a16="http://schemas.microsoft.com/office/drawing/2014/main" id="{E3D61395-5F8D-4D88-8D8F-8CCA77B0A2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51" name="x_Picture 1" descr="Description: cid:image001.png@01D03949.49457930">
          <a:extLst>
            <a:ext uri="{FF2B5EF4-FFF2-40B4-BE49-F238E27FC236}">
              <a16:creationId xmlns:a16="http://schemas.microsoft.com/office/drawing/2014/main" id="{9FD1A34C-CDF0-460F-BA96-20FC4DB6F2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52" name="x_Picture 1" descr="Description: cid:image001.png@01D03949.49457930">
          <a:extLst>
            <a:ext uri="{FF2B5EF4-FFF2-40B4-BE49-F238E27FC236}">
              <a16:creationId xmlns:a16="http://schemas.microsoft.com/office/drawing/2014/main" id="{1551E371-3E20-4896-8B7D-08D93C7A19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53" name="x_Picture 1" descr="Description: cid:image001.png@01D03949.49457930">
          <a:extLst>
            <a:ext uri="{FF2B5EF4-FFF2-40B4-BE49-F238E27FC236}">
              <a16:creationId xmlns:a16="http://schemas.microsoft.com/office/drawing/2014/main" id="{7BB04F1F-3839-4249-8DE4-3B9545C720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54" name="x_Picture 1" descr="Description: cid:image001.png@01D03949.49457930">
          <a:extLst>
            <a:ext uri="{FF2B5EF4-FFF2-40B4-BE49-F238E27FC236}">
              <a16:creationId xmlns:a16="http://schemas.microsoft.com/office/drawing/2014/main" id="{46DB48FE-5748-494F-BB63-49B9CF6D7A3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55" name="x_Picture 1" descr="Description: cid:image001.png@01D03949.49457930">
          <a:extLst>
            <a:ext uri="{FF2B5EF4-FFF2-40B4-BE49-F238E27FC236}">
              <a16:creationId xmlns:a16="http://schemas.microsoft.com/office/drawing/2014/main" id="{01AE7F5B-64FA-4427-BF8E-3E51DD1525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56" name="x_Picture 1" descr="Description: cid:image001.png@01D03949.49457930">
          <a:extLst>
            <a:ext uri="{FF2B5EF4-FFF2-40B4-BE49-F238E27FC236}">
              <a16:creationId xmlns:a16="http://schemas.microsoft.com/office/drawing/2014/main" id="{CD1A4B58-FF58-416F-B425-B54D4B7961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57" name="x_Picture 1" descr="Description: cid:image001.png@01D03949.49457930">
          <a:extLst>
            <a:ext uri="{FF2B5EF4-FFF2-40B4-BE49-F238E27FC236}">
              <a16:creationId xmlns:a16="http://schemas.microsoft.com/office/drawing/2014/main" id="{5589B58B-EDB4-4284-9ECC-5F1D039C35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58" name="x_Picture 1" descr="Description: cid:image001.png@01D03949.49457930">
          <a:extLst>
            <a:ext uri="{FF2B5EF4-FFF2-40B4-BE49-F238E27FC236}">
              <a16:creationId xmlns:a16="http://schemas.microsoft.com/office/drawing/2014/main" id="{EE4F08D6-49B7-4BBD-83E5-14734461FF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59" name="x_Picture 1" descr="Description: cid:image001.png@01D03949.49457930">
          <a:extLst>
            <a:ext uri="{FF2B5EF4-FFF2-40B4-BE49-F238E27FC236}">
              <a16:creationId xmlns:a16="http://schemas.microsoft.com/office/drawing/2014/main" id="{03FC7306-DFCD-49A8-94AB-E1C528AFC7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60" name="x_Picture 1" descr="Description: cid:image001.png@01D03949.49457930">
          <a:extLst>
            <a:ext uri="{FF2B5EF4-FFF2-40B4-BE49-F238E27FC236}">
              <a16:creationId xmlns:a16="http://schemas.microsoft.com/office/drawing/2014/main" id="{E3445984-9E56-4423-8F8F-AE4136C975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161" name="x_Picture 1" descr="Description: cid:image001.png@01D03949.49457930">
          <a:extLst>
            <a:ext uri="{FF2B5EF4-FFF2-40B4-BE49-F238E27FC236}">
              <a16:creationId xmlns:a16="http://schemas.microsoft.com/office/drawing/2014/main" id="{6BB3D829-017B-40EA-AFA1-B7BA13D0A7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62" name="x_Picture 1" descr="Description: cid:image001.png@01D03949.49457930">
          <a:extLst>
            <a:ext uri="{FF2B5EF4-FFF2-40B4-BE49-F238E27FC236}">
              <a16:creationId xmlns:a16="http://schemas.microsoft.com/office/drawing/2014/main" id="{FD61152B-0629-4E3D-AA5B-09559DB3CA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163" name="x_Picture 1" descr="Description: cid:image001.png@01D03949.49457930">
          <a:extLst>
            <a:ext uri="{FF2B5EF4-FFF2-40B4-BE49-F238E27FC236}">
              <a16:creationId xmlns:a16="http://schemas.microsoft.com/office/drawing/2014/main" id="{A599EA0C-5D8B-457B-B0F8-A85576A8FDB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164" name="x_Picture 1" descr="Description: cid:image001.png@01D03949.49457930">
          <a:extLst>
            <a:ext uri="{FF2B5EF4-FFF2-40B4-BE49-F238E27FC236}">
              <a16:creationId xmlns:a16="http://schemas.microsoft.com/office/drawing/2014/main" id="{553C68A0-BD29-4C1F-977C-00796ACDCB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24</xdr:row>
      <xdr:rowOff>0</xdr:rowOff>
    </xdr:from>
    <xdr:ext cx="279605" cy="315045"/>
    <xdr:sp macro="" textlink="">
      <xdr:nvSpPr>
        <xdr:cNvPr id="2165" name="x_Picture 1" descr="Description: cid:image001.png@01D03949.49457930">
          <a:extLst>
            <a:ext uri="{FF2B5EF4-FFF2-40B4-BE49-F238E27FC236}">
              <a16:creationId xmlns:a16="http://schemas.microsoft.com/office/drawing/2014/main" id="{4BD06D95-E91C-4892-A2FD-A880AB517A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166" name="x_Picture 1" descr="Description: cid:image001.png@01D03949.49457930">
          <a:extLst>
            <a:ext uri="{FF2B5EF4-FFF2-40B4-BE49-F238E27FC236}">
              <a16:creationId xmlns:a16="http://schemas.microsoft.com/office/drawing/2014/main" id="{E8661402-45C9-4C94-9C35-B26BE18CCC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167" name="x_Picture 1" descr="Description: cid:image001.png@01D03949.49457930">
          <a:extLst>
            <a:ext uri="{FF2B5EF4-FFF2-40B4-BE49-F238E27FC236}">
              <a16:creationId xmlns:a16="http://schemas.microsoft.com/office/drawing/2014/main" id="{C9056270-0D5A-4044-A35A-739565B1B5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168" name="x_Picture 1" descr="Description: cid:image001.png@01D03949.49457930">
          <a:extLst>
            <a:ext uri="{FF2B5EF4-FFF2-40B4-BE49-F238E27FC236}">
              <a16:creationId xmlns:a16="http://schemas.microsoft.com/office/drawing/2014/main" id="{6B553097-1EB4-4FFF-87EE-16F02ADC6B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169" name="x_Picture 1" descr="Description: cid:image001.png@01D03949.49457930">
          <a:extLst>
            <a:ext uri="{FF2B5EF4-FFF2-40B4-BE49-F238E27FC236}">
              <a16:creationId xmlns:a16="http://schemas.microsoft.com/office/drawing/2014/main" id="{11C967F5-2670-4837-8560-5D48746BA1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170" name="x_Picture 1" descr="Description: cid:image001.png@01D03949.49457930">
          <a:extLst>
            <a:ext uri="{FF2B5EF4-FFF2-40B4-BE49-F238E27FC236}">
              <a16:creationId xmlns:a16="http://schemas.microsoft.com/office/drawing/2014/main" id="{7C24E0AD-42A5-4068-A59A-A06E926394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71" name="x_Picture 1" descr="Description: cid:image001.png@01D03949.49457930">
          <a:extLst>
            <a:ext uri="{FF2B5EF4-FFF2-40B4-BE49-F238E27FC236}">
              <a16:creationId xmlns:a16="http://schemas.microsoft.com/office/drawing/2014/main" id="{30E76CD9-0F26-4C58-9D94-5B94EC40683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24</xdr:row>
      <xdr:rowOff>0</xdr:rowOff>
    </xdr:from>
    <xdr:ext cx="279605" cy="315045"/>
    <xdr:sp macro="" textlink="">
      <xdr:nvSpPr>
        <xdr:cNvPr id="2172" name="x_Picture 1" descr="Description: cid:image001.png@01D03949.49457930">
          <a:extLst>
            <a:ext uri="{FF2B5EF4-FFF2-40B4-BE49-F238E27FC236}">
              <a16:creationId xmlns:a16="http://schemas.microsoft.com/office/drawing/2014/main" id="{CF1430C1-12B9-4224-AD6F-84488694244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73" name="x_Picture 1" descr="Description: cid:image001.png@01D03949.49457930">
          <a:extLst>
            <a:ext uri="{FF2B5EF4-FFF2-40B4-BE49-F238E27FC236}">
              <a16:creationId xmlns:a16="http://schemas.microsoft.com/office/drawing/2014/main" id="{BCCBFFAA-0361-4C8F-8F81-605247A165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74" name="x_Picture 1" descr="Description: cid:image001.png@01D03949.49457930">
          <a:extLst>
            <a:ext uri="{FF2B5EF4-FFF2-40B4-BE49-F238E27FC236}">
              <a16:creationId xmlns:a16="http://schemas.microsoft.com/office/drawing/2014/main" id="{FBA7412B-6E24-4BF4-AE8F-113AA69C8F0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75" name="x_Picture 1" descr="Description: cid:image001.png@01D03949.49457930">
          <a:extLst>
            <a:ext uri="{FF2B5EF4-FFF2-40B4-BE49-F238E27FC236}">
              <a16:creationId xmlns:a16="http://schemas.microsoft.com/office/drawing/2014/main" id="{9883B63A-13EC-4E21-A6A7-FBFF2288054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76" name="x_Picture 1" descr="Description: cid:image001.png@01D03949.49457930">
          <a:extLst>
            <a:ext uri="{FF2B5EF4-FFF2-40B4-BE49-F238E27FC236}">
              <a16:creationId xmlns:a16="http://schemas.microsoft.com/office/drawing/2014/main" id="{27F0B433-094F-4EFC-97A1-DF5E91086B0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77" name="x_Picture 1" descr="Description: cid:image001.png@01D03949.49457930">
          <a:extLst>
            <a:ext uri="{FF2B5EF4-FFF2-40B4-BE49-F238E27FC236}">
              <a16:creationId xmlns:a16="http://schemas.microsoft.com/office/drawing/2014/main" id="{1E981523-E593-4E1F-90C9-71BC7A2022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78" name="x_Picture 1" descr="Description: cid:image001.png@01D03949.49457930">
          <a:extLst>
            <a:ext uri="{FF2B5EF4-FFF2-40B4-BE49-F238E27FC236}">
              <a16:creationId xmlns:a16="http://schemas.microsoft.com/office/drawing/2014/main" id="{252F1708-0EFF-48BF-ADD7-0429548C53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79" name="x_Picture 1" descr="Description: cid:image001.png@01D03949.49457930">
          <a:extLst>
            <a:ext uri="{FF2B5EF4-FFF2-40B4-BE49-F238E27FC236}">
              <a16:creationId xmlns:a16="http://schemas.microsoft.com/office/drawing/2014/main" id="{6AFC2459-4E33-4B86-81B7-525BCC4CEC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80" name="x_Picture 1" descr="Description: cid:image001.png@01D03949.49457930">
          <a:extLst>
            <a:ext uri="{FF2B5EF4-FFF2-40B4-BE49-F238E27FC236}">
              <a16:creationId xmlns:a16="http://schemas.microsoft.com/office/drawing/2014/main" id="{2B213362-7A79-440B-8D47-CC196680A1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81" name="x_Picture 1" descr="Description: cid:image001.png@01D03949.49457930">
          <a:extLst>
            <a:ext uri="{FF2B5EF4-FFF2-40B4-BE49-F238E27FC236}">
              <a16:creationId xmlns:a16="http://schemas.microsoft.com/office/drawing/2014/main" id="{2F88274C-4C13-4508-8E3E-FD4D5BF460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82" name="x_Picture 1" descr="Description: cid:image001.png@01D03949.49457930">
          <a:extLst>
            <a:ext uri="{FF2B5EF4-FFF2-40B4-BE49-F238E27FC236}">
              <a16:creationId xmlns:a16="http://schemas.microsoft.com/office/drawing/2014/main" id="{17607840-0DAD-48B2-878B-245CE50033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183" name="x_Picture 1" descr="Description: cid:image001.png@01D03949.49457930">
          <a:extLst>
            <a:ext uri="{FF2B5EF4-FFF2-40B4-BE49-F238E27FC236}">
              <a16:creationId xmlns:a16="http://schemas.microsoft.com/office/drawing/2014/main" id="{C0093890-37F3-4BE0-A7A6-A89EFD76EB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84" name="x_Picture 1" descr="Description: cid:image001.png@01D03949.49457930">
          <a:extLst>
            <a:ext uri="{FF2B5EF4-FFF2-40B4-BE49-F238E27FC236}">
              <a16:creationId xmlns:a16="http://schemas.microsoft.com/office/drawing/2014/main" id="{F1C6251D-9BB2-41D6-9E13-FEA2F9C66C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185" name="x_Picture 1" descr="Description: cid:image001.png@01D03949.49457930">
          <a:extLst>
            <a:ext uri="{FF2B5EF4-FFF2-40B4-BE49-F238E27FC236}">
              <a16:creationId xmlns:a16="http://schemas.microsoft.com/office/drawing/2014/main" id="{FF5F8074-52D6-4BFD-876F-01B039C5D1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186" name="x_Picture 1" descr="Description: cid:image001.png@01D03949.49457930">
          <a:extLst>
            <a:ext uri="{FF2B5EF4-FFF2-40B4-BE49-F238E27FC236}">
              <a16:creationId xmlns:a16="http://schemas.microsoft.com/office/drawing/2014/main" id="{2F27EC25-DC46-41BE-993F-67BEF7B283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25</xdr:row>
      <xdr:rowOff>0</xdr:rowOff>
    </xdr:from>
    <xdr:ext cx="279605" cy="315045"/>
    <xdr:sp macro="" textlink="">
      <xdr:nvSpPr>
        <xdr:cNvPr id="2187" name="x_Picture 1" descr="Description: cid:image001.png@01D03949.49457930">
          <a:extLst>
            <a:ext uri="{FF2B5EF4-FFF2-40B4-BE49-F238E27FC236}">
              <a16:creationId xmlns:a16="http://schemas.microsoft.com/office/drawing/2014/main" id="{D09FDF6A-B444-4710-B2F9-7DC89DE96D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188" name="x_Picture 1" descr="Description: cid:image001.png@01D03949.49457930">
          <a:extLst>
            <a:ext uri="{FF2B5EF4-FFF2-40B4-BE49-F238E27FC236}">
              <a16:creationId xmlns:a16="http://schemas.microsoft.com/office/drawing/2014/main" id="{677C8E72-7CF6-4F62-8F45-AB78FEBE87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189" name="x_Picture 1" descr="Description: cid:image001.png@01D03949.49457930">
          <a:extLst>
            <a:ext uri="{FF2B5EF4-FFF2-40B4-BE49-F238E27FC236}">
              <a16:creationId xmlns:a16="http://schemas.microsoft.com/office/drawing/2014/main" id="{2368298B-9929-4D79-9E71-FC757C20F9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190" name="x_Picture 1" descr="Description: cid:image001.png@01D03949.49457930">
          <a:extLst>
            <a:ext uri="{FF2B5EF4-FFF2-40B4-BE49-F238E27FC236}">
              <a16:creationId xmlns:a16="http://schemas.microsoft.com/office/drawing/2014/main" id="{4291AC89-2C81-4B3D-96F9-95115724EF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191" name="x_Picture 1" descr="Description: cid:image001.png@01D03949.49457930">
          <a:extLst>
            <a:ext uri="{FF2B5EF4-FFF2-40B4-BE49-F238E27FC236}">
              <a16:creationId xmlns:a16="http://schemas.microsoft.com/office/drawing/2014/main" id="{406651FD-6567-4FDC-B6DA-36474B679F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192" name="x_Picture 1" descr="Description: cid:image001.png@01D03949.49457930">
          <a:extLst>
            <a:ext uri="{FF2B5EF4-FFF2-40B4-BE49-F238E27FC236}">
              <a16:creationId xmlns:a16="http://schemas.microsoft.com/office/drawing/2014/main" id="{3CABF807-C914-473D-8664-1E047376BD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193" name="x_Picture 1" descr="Description: cid:image001.png@01D03949.49457930">
          <a:extLst>
            <a:ext uri="{FF2B5EF4-FFF2-40B4-BE49-F238E27FC236}">
              <a16:creationId xmlns:a16="http://schemas.microsoft.com/office/drawing/2014/main" id="{208E608F-E8B7-4496-978E-A4ACF83A52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25</xdr:row>
      <xdr:rowOff>0</xdr:rowOff>
    </xdr:from>
    <xdr:ext cx="279605" cy="315045"/>
    <xdr:sp macro="" textlink="">
      <xdr:nvSpPr>
        <xdr:cNvPr id="2194" name="x_Picture 1" descr="Description: cid:image001.png@01D03949.49457930">
          <a:extLst>
            <a:ext uri="{FF2B5EF4-FFF2-40B4-BE49-F238E27FC236}">
              <a16:creationId xmlns:a16="http://schemas.microsoft.com/office/drawing/2014/main" id="{806452FC-471A-4B23-A5E1-67B6EBEED4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195" name="x_Picture 1" descr="Description: cid:image001.png@01D03949.49457930">
          <a:extLst>
            <a:ext uri="{FF2B5EF4-FFF2-40B4-BE49-F238E27FC236}">
              <a16:creationId xmlns:a16="http://schemas.microsoft.com/office/drawing/2014/main" id="{B9705809-ED9B-4651-9C31-0650B585454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196" name="x_Picture 1" descr="Description: cid:image001.png@01D03949.49457930">
          <a:extLst>
            <a:ext uri="{FF2B5EF4-FFF2-40B4-BE49-F238E27FC236}">
              <a16:creationId xmlns:a16="http://schemas.microsoft.com/office/drawing/2014/main" id="{FA7DEDB5-3305-40B4-8D76-EAC3C83B28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197" name="x_Picture 1" descr="Description: cid:image001.png@01D03949.49457930">
          <a:extLst>
            <a:ext uri="{FF2B5EF4-FFF2-40B4-BE49-F238E27FC236}">
              <a16:creationId xmlns:a16="http://schemas.microsoft.com/office/drawing/2014/main" id="{74560EF1-072B-4954-955F-D3A935C2C9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198" name="x_Picture 1" descr="Description: cid:image001.png@01D03949.49457930">
          <a:extLst>
            <a:ext uri="{FF2B5EF4-FFF2-40B4-BE49-F238E27FC236}">
              <a16:creationId xmlns:a16="http://schemas.microsoft.com/office/drawing/2014/main" id="{2978EF00-6462-4CAD-B4F6-2C9C785A94B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199" name="x_Picture 1" descr="Description: cid:image001.png@01D03949.49457930">
          <a:extLst>
            <a:ext uri="{FF2B5EF4-FFF2-40B4-BE49-F238E27FC236}">
              <a16:creationId xmlns:a16="http://schemas.microsoft.com/office/drawing/2014/main" id="{75A5B861-9A82-4FD2-B33F-5C442DA5C9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200" name="x_Picture 1" descr="Description: cid:image001.png@01D03949.49457930">
          <a:extLst>
            <a:ext uri="{FF2B5EF4-FFF2-40B4-BE49-F238E27FC236}">
              <a16:creationId xmlns:a16="http://schemas.microsoft.com/office/drawing/2014/main" id="{292E3452-52E3-4FED-8DA5-DFFC8EDC28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201" name="x_Picture 1" descr="Description: cid:image001.png@01D03949.49457930">
          <a:extLst>
            <a:ext uri="{FF2B5EF4-FFF2-40B4-BE49-F238E27FC236}">
              <a16:creationId xmlns:a16="http://schemas.microsoft.com/office/drawing/2014/main" id="{BB4DDD5E-1C1F-40CF-91E6-C9EB5426CA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202" name="x_Picture 1" descr="Description: cid:image001.png@01D03949.49457930">
          <a:extLst>
            <a:ext uri="{FF2B5EF4-FFF2-40B4-BE49-F238E27FC236}">
              <a16:creationId xmlns:a16="http://schemas.microsoft.com/office/drawing/2014/main" id="{99C63494-5A8D-4D41-87D1-29A09059D8B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203" name="x_Picture 1" descr="Description: cid:image001.png@01D03949.49457930">
          <a:extLst>
            <a:ext uri="{FF2B5EF4-FFF2-40B4-BE49-F238E27FC236}">
              <a16:creationId xmlns:a16="http://schemas.microsoft.com/office/drawing/2014/main" id="{84DA4B63-CC86-45C8-A7BE-687DC3FFD6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204" name="x_Picture 1" descr="Description: cid:image001.png@01D03949.49457930">
          <a:extLst>
            <a:ext uri="{FF2B5EF4-FFF2-40B4-BE49-F238E27FC236}">
              <a16:creationId xmlns:a16="http://schemas.microsoft.com/office/drawing/2014/main" id="{482F3BE2-9690-473B-BF19-6A50A7466C3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205" name="x_Picture 1" descr="Description: cid:image001.png@01D03949.49457930">
          <a:extLst>
            <a:ext uri="{FF2B5EF4-FFF2-40B4-BE49-F238E27FC236}">
              <a16:creationId xmlns:a16="http://schemas.microsoft.com/office/drawing/2014/main" id="{8D5BEAA9-2314-4D52-A771-D5BD5AFB02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206" name="x_Picture 1" descr="Description: cid:image001.png@01D03949.49457930">
          <a:extLst>
            <a:ext uri="{FF2B5EF4-FFF2-40B4-BE49-F238E27FC236}">
              <a16:creationId xmlns:a16="http://schemas.microsoft.com/office/drawing/2014/main" id="{A1F5679B-BB0E-4359-A540-40CE0D876E5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207" name="x_Picture 1" descr="Description: cid:image001.png@01D03949.49457930">
          <a:extLst>
            <a:ext uri="{FF2B5EF4-FFF2-40B4-BE49-F238E27FC236}">
              <a16:creationId xmlns:a16="http://schemas.microsoft.com/office/drawing/2014/main" id="{8C603F7F-09B9-4509-8804-4138F9D501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208" name="x_Picture 1" descr="Description: cid:image001.png@01D03949.49457930">
          <a:extLst>
            <a:ext uri="{FF2B5EF4-FFF2-40B4-BE49-F238E27FC236}">
              <a16:creationId xmlns:a16="http://schemas.microsoft.com/office/drawing/2014/main" id="{90B776B7-7929-4DB1-B983-264902A039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26</xdr:row>
      <xdr:rowOff>0</xdr:rowOff>
    </xdr:from>
    <xdr:ext cx="279605" cy="315045"/>
    <xdr:sp macro="" textlink="">
      <xdr:nvSpPr>
        <xdr:cNvPr id="2209" name="x_Picture 1" descr="Description: cid:image001.png@01D03949.49457930">
          <a:extLst>
            <a:ext uri="{FF2B5EF4-FFF2-40B4-BE49-F238E27FC236}">
              <a16:creationId xmlns:a16="http://schemas.microsoft.com/office/drawing/2014/main" id="{DD56E963-F1D0-4F66-9B6C-62564A5D6A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210" name="x_Picture 1" descr="Description: cid:image001.png@01D03949.49457930">
          <a:extLst>
            <a:ext uri="{FF2B5EF4-FFF2-40B4-BE49-F238E27FC236}">
              <a16:creationId xmlns:a16="http://schemas.microsoft.com/office/drawing/2014/main" id="{F501719B-3982-495B-9E5D-3075F8D2E8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211" name="x_Picture 1" descr="Description: cid:image001.png@01D03949.49457930">
          <a:extLst>
            <a:ext uri="{FF2B5EF4-FFF2-40B4-BE49-F238E27FC236}">
              <a16:creationId xmlns:a16="http://schemas.microsoft.com/office/drawing/2014/main" id="{10C3812C-630C-49C2-8872-2002CB49D5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212" name="x_Picture 1" descr="Description: cid:image001.png@01D03949.49457930">
          <a:extLst>
            <a:ext uri="{FF2B5EF4-FFF2-40B4-BE49-F238E27FC236}">
              <a16:creationId xmlns:a16="http://schemas.microsoft.com/office/drawing/2014/main" id="{842C6CC8-EEFB-40F6-B720-89FC505ED8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213" name="x_Picture 1" descr="Description: cid:image001.png@01D03949.49457930">
          <a:extLst>
            <a:ext uri="{FF2B5EF4-FFF2-40B4-BE49-F238E27FC236}">
              <a16:creationId xmlns:a16="http://schemas.microsoft.com/office/drawing/2014/main" id="{64621A37-B6C4-4D1E-8F9F-E56A1B192B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214" name="x_Picture 1" descr="Description: cid:image001.png@01D03949.49457930">
          <a:extLst>
            <a:ext uri="{FF2B5EF4-FFF2-40B4-BE49-F238E27FC236}">
              <a16:creationId xmlns:a16="http://schemas.microsoft.com/office/drawing/2014/main" id="{4C8EB034-1227-4A9F-9336-9BF34A909D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15" name="x_Picture 1" descr="Description: cid:image001.png@01D03949.49457930">
          <a:extLst>
            <a:ext uri="{FF2B5EF4-FFF2-40B4-BE49-F238E27FC236}">
              <a16:creationId xmlns:a16="http://schemas.microsoft.com/office/drawing/2014/main" id="{D4555EDF-5A13-4A2A-A57B-7E89BFA14E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26</xdr:row>
      <xdr:rowOff>0</xdr:rowOff>
    </xdr:from>
    <xdr:ext cx="279605" cy="315045"/>
    <xdr:sp macro="" textlink="">
      <xdr:nvSpPr>
        <xdr:cNvPr id="2216" name="x_Picture 1" descr="Description: cid:image001.png@01D03949.49457930">
          <a:extLst>
            <a:ext uri="{FF2B5EF4-FFF2-40B4-BE49-F238E27FC236}">
              <a16:creationId xmlns:a16="http://schemas.microsoft.com/office/drawing/2014/main" id="{E8E17B21-070C-449E-ABBB-CB89981142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17" name="x_Picture 1" descr="Description: cid:image001.png@01D03949.49457930">
          <a:extLst>
            <a:ext uri="{FF2B5EF4-FFF2-40B4-BE49-F238E27FC236}">
              <a16:creationId xmlns:a16="http://schemas.microsoft.com/office/drawing/2014/main" id="{A46EF727-D19F-4086-9E93-ABAECD1229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18" name="x_Picture 1" descr="Description: cid:image001.png@01D03949.49457930">
          <a:extLst>
            <a:ext uri="{FF2B5EF4-FFF2-40B4-BE49-F238E27FC236}">
              <a16:creationId xmlns:a16="http://schemas.microsoft.com/office/drawing/2014/main" id="{76D9A563-E82B-4EC1-960F-656B8B7F21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19" name="x_Picture 1" descr="Description: cid:image001.png@01D03949.49457930">
          <a:extLst>
            <a:ext uri="{FF2B5EF4-FFF2-40B4-BE49-F238E27FC236}">
              <a16:creationId xmlns:a16="http://schemas.microsoft.com/office/drawing/2014/main" id="{186AEABB-09C9-4C89-BE14-516CADA137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20" name="x_Picture 1" descr="Description: cid:image001.png@01D03949.49457930">
          <a:extLst>
            <a:ext uri="{FF2B5EF4-FFF2-40B4-BE49-F238E27FC236}">
              <a16:creationId xmlns:a16="http://schemas.microsoft.com/office/drawing/2014/main" id="{8E73D1AC-86C1-4F0F-948F-A168C7F5F9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21" name="x_Picture 1" descr="Description: cid:image001.png@01D03949.49457930">
          <a:extLst>
            <a:ext uri="{FF2B5EF4-FFF2-40B4-BE49-F238E27FC236}">
              <a16:creationId xmlns:a16="http://schemas.microsoft.com/office/drawing/2014/main" id="{0E7EA9B4-C259-4BD2-80C2-CC70A045EC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22" name="x_Picture 1" descr="Description: cid:image001.png@01D03949.49457930">
          <a:extLst>
            <a:ext uri="{FF2B5EF4-FFF2-40B4-BE49-F238E27FC236}">
              <a16:creationId xmlns:a16="http://schemas.microsoft.com/office/drawing/2014/main" id="{C1D3991D-A7C0-49AE-AADD-40A660E4A3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23" name="x_Picture 1" descr="Description: cid:image001.png@01D03949.49457930">
          <a:extLst>
            <a:ext uri="{FF2B5EF4-FFF2-40B4-BE49-F238E27FC236}">
              <a16:creationId xmlns:a16="http://schemas.microsoft.com/office/drawing/2014/main" id="{67DAF664-A908-46A6-9CC8-9CA6C1E178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24" name="x_Picture 1" descr="Description: cid:image001.png@01D03949.49457930">
          <a:extLst>
            <a:ext uri="{FF2B5EF4-FFF2-40B4-BE49-F238E27FC236}">
              <a16:creationId xmlns:a16="http://schemas.microsoft.com/office/drawing/2014/main" id="{D3B37D79-8314-4A47-B080-6E1C4633A7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25" name="x_Picture 1" descr="Description: cid:image001.png@01D03949.49457930">
          <a:extLst>
            <a:ext uri="{FF2B5EF4-FFF2-40B4-BE49-F238E27FC236}">
              <a16:creationId xmlns:a16="http://schemas.microsoft.com/office/drawing/2014/main" id="{26139F3B-8835-45CF-9DB2-A87510FF48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26" name="x_Picture 1" descr="Description: cid:image001.png@01D03949.49457930">
          <a:extLst>
            <a:ext uri="{FF2B5EF4-FFF2-40B4-BE49-F238E27FC236}">
              <a16:creationId xmlns:a16="http://schemas.microsoft.com/office/drawing/2014/main" id="{2C68473A-912B-4A8B-926F-E337D59CA7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227" name="x_Picture 1" descr="Description: cid:image001.png@01D03949.49457930">
          <a:extLst>
            <a:ext uri="{FF2B5EF4-FFF2-40B4-BE49-F238E27FC236}">
              <a16:creationId xmlns:a16="http://schemas.microsoft.com/office/drawing/2014/main" id="{3EAE501C-F6C8-4310-BA49-63A3EE5943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28" name="x_Picture 1" descr="Description: cid:image001.png@01D03949.49457930">
          <a:extLst>
            <a:ext uri="{FF2B5EF4-FFF2-40B4-BE49-F238E27FC236}">
              <a16:creationId xmlns:a16="http://schemas.microsoft.com/office/drawing/2014/main" id="{81625417-5B08-4360-9FE7-7F87FAA7AE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229" name="x_Picture 1" descr="Description: cid:image001.png@01D03949.49457930">
          <a:extLst>
            <a:ext uri="{FF2B5EF4-FFF2-40B4-BE49-F238E27FC236}">
              <a16:creationId xmlns:a16="http://schemas.microsoft.com/office/drawing/2014/main" id="{B97E6097-8EB9-4BE2-B022-9D20637532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230" name="x_Picture 1" descr="Description: cid:image001.png@01D03949.49457930">
          <a:extLst>
            <a:ext uri="{FF2B5EF4-FFF2-40B4-BE49-F238E27FC236}">
              <a16:creationId xmlns:a16="http://schemas.microsoft.com/office/drawing/2014/main" id="{32091204-9DEC-4F85-A598-5B41B801C0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27</xdr:row>
      <xdr:rowOff>0</xdr:rowOff>
    </xdr:from>
    <xdr:ext cx="279605" cy="315045"/>
    <xdr:sp macro="" textlink="">
      <xdr:nvSpPr>
        <xdr:cNvPr id="2231" name="x_Picture 1" descr="Description: cid:image001.png@01D03949.49457930">
          <a:extLst>
            <a:ext uri="{FF2B5EF4-FFF2-40B4-BE49-F238E27FC236}">
              <a16:creationId xmlns:a16="http://schemas.microsoft.com/office/drawing/2014/main" id="{8AEC59B2-9E31-4C79-AE31-A78DD92D34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232" name="x_Picture 1" descr="Description: cid:image001.png@01D03949.49457930">
          <a:extLst>
            <a:ext uri="{FF2B5EF4-FFF2-40B4-BE49-F238E27FC236}">
              <a16:creationId xmlns:a16="http://schemas.microsoft.com/office/drawing/2014/main" id="{C4A10238-BD11-495A-A479-4CF9F26D1E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233" name="x_Picture 1" descr="Description: cid:image001.png@01D03949.49457930">
          <a:extLst>
            <a:ext uri="{FF2B5EF4-FFF2-40B4-BE49-F238E27FC236}">
              <a16:creationId xmlns:a16="http://schemas.microsoft.com/office/drawing/2014/main" id="{5CEC277E-86F6-445B-A6BE-DCBBBAC13B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234" name="x_Picture 1" descr="Description: cid:image001.png@01D03949.49457930">
          <a:extLst>
            <a:ext uri="{FF2B5EF4-FFF2-40B4-BE49-F238E27FC236}">
              <a16:creationId xmlns:a16="http://schemas.microsoft.com/office/drawing/2014/main" id="{9D9F3BE7-C1FE-476B-B717-15CAEDC9E6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235" name="x_Picture 1" descr="Description: cid:image001.png@01D03949.49457930">
          <a:extLst>
            <a:ext uri="{FF2B5EF4-FFF2-40B4-BE49-F238E27FC236}">
              <a16:creationId xmlns:a16="http://schemas.microsoft.com/office/drawing/2014/main" id="{2B324BA8-2554-45CA-B5EB-13DDC02FDF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236" name="x_Picture 1" descr="Description: cid:image001.png@01D03949.49457930">
          <a:extLst>
            <a:ext uri="{FF2B5EF4-FFF2-40B4-BE49-F238E27FC236}">
              <a16:creationId xmlns:a16="http://schemas.microsoft.com/office/drawing/2014/main" id="{96F17A16-C64C-4AED-A0C7-44EE700C9E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37" name="x_Picture 1" descr="Description: cid:image001.png@01D03949.49457930">
          <a:extLst>
            <a:ext uri="{FF2B5EF4-FFF2-40B4-BE49-F238E27FC236}">
              <a16:creationId xmlns:a16="http://schemas.microsoft.com/office/drawing/2014/main" id="{CD98275A-5E9D-4594-8F51-14DFEC9523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27</xdr:row>
      <xdr:rowOff>0</xdr:rowOff>
    </xdr:from>
    <xdr:ext cx="279605" cy="315045"/>
    <xdr:sp macro="" textlink="">
      <xdr:nvSpPr>
        <xdr:cNvPr id="2238" name="x_Picture 1" descr="Description: cid:image001.png@01D03949.49457930">
          <a:extLst>
            <a:ext uri="{FF2B5EF4-FFF2-40B4-BE49-F238E27FC236}">
              <a16:creationId xmlns:a16="http://schemas.microsoft.com/office/drawing/2014/main" id="{AC868212-6289-49A8-9BB5-1001C624DE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39" name="x_Picture 1" descr="Description: cid:image001.png@01D03949.49457930">
          <a:extLst>
            <a:ext uri="{FF2B5EF4-FFF2-40B4-BE49-F238E27FC236}">
              <a16:creationId xmlns:a16="http://schemas.microsoft.com/office/drawing/2014/main" id="{2F5739C3-C860-475A-B494-FC098CCA1C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40" name="x_Picture 1" descr="Description: cid:image001.png@01D03949.49457930">
          <a:extLst>
            <a:ext uri="{FF2B5EF4-FFF2-40B4-BE49-F238E27FC236}">
              <a16:creationId xmlns:a16="http://schemas.microsoft.com/office/drawing/2014/main" id="{A35144FD-D348-4105-AF31-0AD334EC5FB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41" name="x_Picture 1" descr="Description: cid:image001.png@01D03949.49457930">
          <a:extLst>
            <a:ext uri="{FF2B5EF4-FFF2-40B4-BE49-F238E27FC236}">
              <a16:creationId xmlns:a16="http://schemas.microsoft.com/office/drawing/2014/main" id="{4593311D-15BF-456D-9101-A22759AC75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42" name="x_Picture 1" descr="Description: cid:image001.png@01D03949.49457930">
          <a:extLst>
            <a:ext uri="{FF2B5EF4-FFF2-40B4-BE49-F238E27FC236}">
              <a16:creationId xmlns:a16="http://schemas.microsoft.com/office/drawing/2014/main" id="{2D3D4B22-413C-4626-A49A-CABAF7F1AF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43" name="x_Picture 1" descr="Description: cid:image001.png@01D03949.49457930">
          <a:extLst>
            <a:ext uri="{FF2B5EF4-FFF2-40B4-BE49-F238E27FC236}">
              <a16:creationId xmlns:a16="http://schemas.microsoft.com/office/drawing/2014/main" id="{809FE0AF-7748-4DD0-A0B4-B39E1A9B0D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44" name="x_Picture 1" descr="Description: cid:image001.png@01D03949.49457930">
          <a:extLst>
            <a:ext uri="{FF2B5EF4-FFF2-40B4-BE49-F238E27FC236}">
              <a16:creationId xmlns:a16="http://schemas.microsoft.com/office/drawing/2014/main" id="{9A3A5444-C6D2-4AE5-A3A0-283DB55584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45" name="x_Picture 1" descr="Description: cid:image001.png@01D03949.49457930">
          <a:extLst>
            <a:ext uri="{FF2B5EF4-FFF2-40B4-BE49-F238E27FC236}">
              <a16:creationId xmlns:a16="http://schemas.microsoft.com/office/drawing/2014/main" id="{7B2B3DA9-8574-40A7-A19F-1572AEC1C4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46" name="x_Picture 1" descr="Description: cid:image001.png@01D03949.49457930">
          <a:extLst>
            <a:ext uri="{FF2B5EF4-FFF2-40B4-BE49-F238E27FC236}">
              <a16:creationId xmlns:a16="http://schemas.microsoft.com/office/drawing/2014/main" id="{5EAD3575-87FC-4A6F-8B90-D8C35F3959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47" name="x_Picture 1" descr="Description: cid:image001.png@01D03949.49457930">
          <a:extLst>
            <a:ext uri="{FF2B5EF4-FFF2-40B4-BE49-F238E27FC236}">
              <a16:creationId xmlns:a16="http://schemas.microsoft.com/office/drawing/2014/main" id="{0F40F849-FD5C-4473-82A9-38BF2BBDEC1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48" name="x_Picture 1" descr="Description: cid:image001.png@01D03949.49457930">
          <a:extLst>
            <a:ext uri="{FF2B5EF4-FFF2-40B4-BE49-F238E27FC236}">
              <a16:creationId xmlns:a16="http://schemas.microsoft.com/office/drawing/2014/main" id="{039DDEA4-BDCA-4B28-9406-0154648574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249" name="x_Picture 1" descr="Description: cid:image001.png@01D03949.49457930">
          <a:extLst>
            <a:ext uri="{FF2B5EF4-FFF2-40B4-BE49-F238E27FC236}">
              <a16:creationId xmlns:a16="http://schemas.microsoft.com/office/drawing/2014/main" id="{FDAA2B61-0797-40CC-911B-BDD9AB4B54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50" name="x_Picture 1" descr="Description: cid:image001.png@01D03949.49457930">
          <a:extLst>
            <a:ext uri="{FF2B5EF4-FFF2-40B4-BE49-F238E27FC236}">
              <a16:creationId xmlns:a16="http://schemas.microsoft.com/office/drawing/2014/main" id="{BF9D3974-9CB7-40AE-8F82-E42102FAC4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251" name="x_Picture 1" descr="Description: cid:image001.png@01D03949.49457930">
          <a:extLst>
            <a:ext uri="{FF2B5EF4-FFF2-40B4-BE49-F238E27FC236}">
              <a16:creationId xmlns:a16="http://schemas.microsoft.com/office/drawing/2014/main" id="{61F7FD48-F1E2-4BF7-BB41-E0D01A7BBB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252" name="x_Picture 1" descr="Description: cid:image001.png@01D03949.49457930">
          <a:extLst>
            <a:ext uri="{FF2B5EF4-FFF2-40B4-BE49-F238E27FC236}">
              <a16:creationId xmlns:a16="http://schemas.microsoft.com/office/drawing/2014/main" id="{716A3325-7056-496F-9204-3D95F73D30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28</xdr:row>
      <xdr:rowOff>0</xdr:rowOff>
    </xdr:from>
    <xdr:ext cx="279605" cy="315045"/>
    <xdr:sp macro="" textlink="">
      <xdr:nvSpPr>
        <xdr:cNvPr id="2253" name="x_Picture 1" descr="Description: cid:image001.png@01D03949.49457930">
          <a:extLst>
            <a:ext uri="{FF2B5EF4-FFF2-40B4-BE49-F238E27FC236}">
              <a16:creationId xmlns:a16="http://schemas.microsoft.com/office/drawing/2014/main" id="{5A878B44-FDBD-41A2-879F-9AAA28A62A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254" name="x_Picture 1" descr="Description: cid:image001.png@01D03949.49457930">
          <a:extLst>
            <a:ext uri="{FF2B5EF4-FFF2-40B4-BE49-F238E27FC236}">
              <a16:creationId xmlns:a16="http://schemas.microsoft.com/office/drawing/2014/main" id="{49F226D7-571E-4515-968E-E10978BFC3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255" name="x_Picture 1" descr="Description: cid:image001.png@01D03949.49457930">
          <a:extLst>
            <a:ext uri="{FF2B5EF4-FFF2-40B4-BE49-F238E27FC236}">
              <a16:creationId xmlns:a16="http://schemas.microsoft.com/office/drawing/2014/main" id="{66E16004-206D-4241-A578-506495D2E1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256" name="x_Picture 1" descr="Description: cid:image001.png@01D03949.49457930">
          <a:extLst>
            <a:ext uri="{FF2B5EF4-FFF2-40B4-BE49-F238E27FC236}">
              <a16:creationId xmlns:a16="http://schemas.microsoft.com/office/drawing/2014/main" id="{87763049-04E4-4452-A594-4AEBE2BA5B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257" name="x_Picture 1" descr="Description: cid:image001.png@01D03949.49457930">
          <a:extLst>
            <a:ext uri="{FF2B5EF4-FFF2-40B4-BE49-F238E27FC236}">
              <a16:creationId xmlns:a16="http://schemas.microsoft.com/office/drawing/2014/main" id="{3F497CF2-CE3A-4F41-BDE5-27F7333EF7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258" name="x_Picture 1" descr="Description: cid:image001.png@01D03949.49457930">
          <a:extLst>
            <a:ext uri="{FF2B5EF4-FFF2-40B4-BE49-F238E27FC236}">
              <a16:creationId xmlns:a16="http://schemas.microsoft.com/office/drawing/2014/main" id="{0570A9F8-A0FA-4DAE-9761-58B32C98A1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59" name="x_Picture 1" descr="Description: cid:image001.png@01D03949.49457930">
          <a:extLst>
            <a:ext uri="{FF2B5EF4-FFF2-40B4-BE49-F238E27FC236}">
              <a16:creationId xmlns:a16="http://schemas.microsoft.com/office/drawing/2014/main" id="{4D949E84-F9F9-4691-9058-C382FA4EEB9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28</xdr:row>
      <xdr:rowOff>0</xdr:rowOff>
    </xdr:from>
    <xdr:ext cx="279605" cy="315045"/>
    <xdr:sp macro="" textlink="">
      <xdr:nvSpPr>
        <xdr:cNvPr id="2260" name="x_Picture 1" descr="Description: cid:image001.png@01D03949.49457930">
          <a:extLst>
            <a:ext uri="{FF2B5EF4-FFF2-40B4-BE49-F238E27FC236}">
              <a16:creationId xmlns:a16="http://schemas.microsoft.com/office/drawing/2014/main" id="{2E7F8404-A9C2-422D-830D-B1DBCF20F4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61" name="x_Picture 1" descr="Description: cid:image001.png@01D03949.49457930">
          <a:extLst>
            <a:ext uri="{FF2B5EF4-FFF2-40B4-BE49-F238E27FC236}">
              <a16:creationId xmlns:a16="http://schemas.microsoft.com/office/drawing/2014/main" id="{4E33EDF6-9D47-4318-B037-2F9F8F6E59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62" name="x_Picture 1" descr="Description: cid:image001.png@01D03949.49457930">
          <a:extLst>
            <a:ext uri="{FF2B5EF4-FFF2-40B4-BE49-F238E27FC236}">
              <a16:creationId xmlns:a16="http://schemas.microsoft.com/office/drawing/2014/main" id="{E8AADEB8-0486-4983-824C-128B8E6F9B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63" name="x_Picture 1" descr="Description: cid:image001.png@01D03949.49457930">
          <a:extLst>
            <a:ext uri="{FF2B5EF4-FFF2-40B4-BE49-F238E27FC236}">
              <a16:creationId xmlns:a16="http://schemas.microsoft.com/office/drawing/2014/main" id="{58B4BC67-F603-4A45-829B-54789D0175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64" name="x_Picture 1" descr="Description: cid:image001.png@01D03949.49457930">
          <a:extLst>
            <a:ext uri="{FF2B5EF4-FFF2-40B4-BE49-F238E27FC236}">
              <a16:creationId xmlns:a16="http://schemas.microsoft.com/office/drawing/2014/main" id="{9B29CE61-15D1-43D0-AA34-13A9C72CEA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65" name="x_Picture 1" descr="Description: cid:image001.png@01D03949.49457930">
          <a:extLst>
            <a:ext uri="{FF2B5EF4-FFF2-40B4-BE49-F238E27FC236}">
              <a16:creationId xmlns:a16="http://schemas.microsoft.com/office/drawing/2014/main" id="{8DFE8C7C-ABA0-4545-8CED-5831DFBA49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66" name="x_Picture 1" descr="Description: cid:image001.png@01D03949.49457930">
          <a:extLst>
            <a:ext uri="{FF2B5EF4-FFF2-40B4-BE49-F238E27FC236}">
              <a16:creationId xmlns:a16="http://schemas.microsoft.com/office/drawing/2014/main" id="{DFC00540-FFB9-4517-A6D0-8D81ED0A69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67" name="x_Picture 1" descr="Description: cid:image001.png@01D03949.49457930">
          <a:extLst>
            <a:ext uri="{FF2B5EF4-FFF2-40B4-BE49-F238E27FC236}">
              <a16:creationId xmlns:a16="http://schemas.microsoft.com/office/drawing/2014/main" id="{479635AD-C783-44D1-8F9F-0A2A9D72B2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68" name="x_Picture 1" descr="Description: cid:image001.png@01D03949.49457930">
          <a:extLst>
            <a:ext uri="{FF2B5EF4-FFF2-40B4-BE49-F238E27FC236}">
              <a16:creationId xmlns:a16="http://schemas.microsoft.com/office/drawing/2014/main" id="{AC2210F8-5531-47F0-A65B-FB563A66DA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69" name="x_Picture 1" descr="Description: cid:image001.png@01D03949.49457930">
          <a:extLst>
            <a:ext uri="{FF2B5EF4-FFF2-40B4-BE49-F238E27FC236}">
              <a16:creationId xmlns:a16="http://schemas.microsoft.com/office/drawing/2014/main" id="{D3F701B3-83C3-4052-BE15-B0E1F9A9C9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70" name="x_Picture 1" descr="Description: cid:image001.png@01D03949.49457930">
          <a:extLst>
            <a:ext uri="{FF2B5EF4-FFF2-40B4-BE49-F238E27FC236}">
              <a16:creationId xmlns:a16="http://schemas.microsoft.com/office/drawing/2014/main" id="{C9B4CEBC-CF3A-4ED7-B38E-41D2A6231A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271" name="x_Picture 1" descr="Description: cid:image001.png@01D03949.49457930">
          <a:extLst>
            <a:ext uri="{FF2B5EF4-FFF2-40B4-BE49-F238E27FC236}">
              <a16:creationId xmlns:a16="http://schemas.microsoft.com/office/drawing/2014/main" id="{422EEF2C-A978-4748-8E9A-7D08853E4A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72" name="x_Picture 1" descr="Description: cid:image001.png@01D03949.49457930">
          <a:extLst>
            <a:ext uri="{FF2B5EF4-FFF2-40B4-BE49-F238E27FC236}">
              <a16:creationId xmlns:a16="http://schemas.microsoft.com/office/drawing/2014/main" id="{16A599F7-AD41-45FE-BDF4-367817DA2D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273" name="x_Picture 1" descr="Description: cid:image001.png@01D03949.49457930">
          <a:extLst>
            <a:ext uri="{FF2B5EF4-FFF2-40B4-BE49-F238E27FC236}">
              <a16:creationId xmlns:a16="http://schemas.microsoft.com/office/drawing/2014/main" id="{10D74016-2A3E-4687-BFA1-921BD7B83D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274" name="x_Picture 1" descr="Description: cid:image001.png@01D03949.49457930">
          <a:extLst>
            <a:ext uri="{FF2B5EF4-FFF2-40B4-BE49-F238E27FC236}">
              <a16:creationId xmlns:a16="http://schemas.microsoft.com/office/drawing/2014/main" id="{2F8204C6-5EC5-4BBB-AE50-AA03568D11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29</xdr:row>
      <xdr:rowOff>0</xdr:rowOff>
    </xdr:from>
    <xdr:ext cx="279605" cy="315045"/>
    <xdr:sp macro="" textlink="">
      <xdr:nvSpPr>
        <xdr:cNvPr id="2275" name="x_Picture 1" descr="Description: cid:image001.png@01D03949.49457930">
          <a:extLst>
            <a:ext uri="{FF2B5EF4-FFF2-40B4-BE49-F238E27FC236}">
              <a16:creationId xmlns:a16="http://schemas.microsoft.com/office/drawing/2014/main" id="{08329FD4-53F8-49A1-9CC7-6F5E57ABFB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276" name="x_Picture 1" descr="Description: cid:image001.png@01D03949.49457930">
          <a:extLst>
            <a:ext uri="{FF2B5EF4-FFF2-40B4-BE49-F238E27FC236}">
              <a16:creationId xmlns:a16="http://schemas.microsoft.com/office/drawing/2014/main" id="{620B5AE9-4D9C-4E9C-84D7-574ECFCC14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277" name="x_Picture 1" descr="Description: cid:image001.png@01D03949.49457930">
          <a:extLst>
            <a:ext uri="{FF2B5EF4-FFF2-40B4-BE49-F238E27FC236}">
              <a16:creationId xmlns:a16="http://schemas.microsoft.com/office/drawing/2014/main" id="{9AF6BD25-1CA2-4873-9E2A-D6BC2B885A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278" name="x_Picture 1" descr="Description: cid:image001.png@01D03949.49457930">
          <a:extLst>
            <a:ext uri="{FF2B5EF4-FFF2-40B4-BE49-F238E27FC236}">
              <a16:creationId xmlns:a16="http://schemas.microsoft.com/office/drawing/2014/main" id="{6FC046DD-DDD0-4605-8C0F-D3D97AB82F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279" name="x_Picture 1" descr="Description: cid:image001.png@01D03949.49457930">
          <a:extLst>
            <a:ext uri="{FF2B5EF4-FFF2-40B4-BE49-F238E27FC236}">
              <a16:creationId xmlns:a16="http://schemas.microsoft.com/office/drawing/2014/main" id="{13908FA4-E496-4AA3-89EF-E6246BFDEF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280" name="x_Picture 1" descr="Description: cid:image001.png@01D03949.49457930">
          <a:extLst>
            <a:ext uri="{FF2B5EF4-FFF2-40B4-BE49-F238E27FC236}">
              <a16:creationId xmlns:a16="http://schemas.microsoft.com/office/drawing/2014/main" id="{1711AE7D-61A7-42BE-A13B-15B7B7B277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81" name="x_Picture 1" descr="Description: cid:image001.png@01D03949.49457930">
          <a:extLst>
            <a:ext uri="{FF2B5EF4-FFF2-40B4-BE49-F238E27FC236}">
              <a16:creationId xmlns:a16="http://schemas.microsoft.com/office/drawing/2014/main" id="{F8A0648E-42A5-42E6-87A1-53183E7ADBF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29</xdr:row>
      <xdr:rowOff>0</xdr:rowOff>
    </xdr:from>
    <xdr:ext cx="279605" cy="315045"/>
    <xdr:sp macro="" textlink="">
      <xdr:nvSpPr>
        <xdr:cNvPr id="2282" name="x_Picture 1" descr="Description: cid:image001.png@01D03949.49457930">
          <a:extLst>
            <a:ext uri="{FF2B5EF4-FFF2-40B4-BE49-F238E27FC236}">
              <a16:creationId xmlns:a16="http://schemas.microsoft.com/office/drawing/2014/main" id="{3CF8C4C6-C011-4056-BDFA-0D2F456F0A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83" name="x_Picture 1" descr="Description: cid:image001.png@01D03949.49457930">
          <a:extLst>
            <a:ext uri="{FF2B5EF4-FFF2-40B4-BE49-F238E27FC236}">
              <a16:creationId xmlns:a16="http://schemas.microsoft.com/office/drawing/2014/main" id="{BFC27256-9012-4EEF-873A-8BFA046329B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84" name="x_Picture 1" descr="Description: cid:image001.png@01D03949.49457930">
          <a:extLst>
            <a:ext uri="{FF2B5EF4-FFF2-40B4-BE49-F238E27FC236}">
              <a16:creationId xmlns:a16="http://schemas.microsoft.com/office/drawing/2014/main" id="{75355753-7640-432A-8CED-9D1D96B106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85" name="x_Picture 1" descr="Description: cid:image001.png@01D03949.49457930">
          <a:extLst>
            <a:ext uri="{FF2B5EF4-FFF2-40B4-BE49-F238E27FC236}">
              <a16:creationId xmlns:a16="http://schemas.microsoft.com/office/drawing/2014/main" id="{A8C56E26-5231-4012-BDEE-B6C1DA037B6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86" name="x_Picture 1" descr="Description: cid:image001.png@01D03949.49457930">
          <a:extLst>
            <a:ext uri="{FF2B5EF4-FFF2-40B4-BE49-F238E27FC236}">
              <a16:creationId xmlns:a16="http://schemas.microsoft.com/office/drawing/2014/main" id="{DE55197C-8D3B-4AE7-97F0-CB53EA1D8B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87" name="x_Picture 1" descr="Description: cid:image001.png@01D03949.49457930">
          <a:extLst>
            <a:ext uri="{FF2B5EF4-FFF2-40B4-BE49-F238E27FC236}">
              <a16:creationId xmlns:a16="http://schemas.microsoft.com/office/drawing/2014/main" id="{7F7DBE21-02E3-48BD-BC17-2E083F031D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88" name="x_Picture 1" descr="Description: cid:image001.png@01D03949.49457930">
          <a:extLst>
            <a:ext uri="{FF2B5EF4-FFF2-40B4-BE49-F238E27FC236}">
              <a16:creationId xmlns:a16="http://schemas.microsoft.com/office/drawing/2014/main" id="{46494677-3194-4948-8862-5A195DB3B8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89" name="x_Picture 1" descr="Description: cid:image001.png@01D03949.49457930">
          <a:extLst>
            <a:ext uri="{FF2B5EF4-FFF2-40B4-BE49-F238E27FC236}">
              <a16:creationId xmlns:a16="http://schemas.microsoft.com/office/drawing/2014/main" id="{798B6B82-0CA2-4DFA-B255-CCA786DE6F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90" name="x_Picture 1" descr="Description: cid:image001.png@01D03949.49457930">
          <a:extLst>
            <a:ext uri="{FF2B5EF4-FFF2-40B4-BE49-F238E27FC236}">
              <a16:creationId xmlns:a16="http://schemas.microsoft.com/office/drawing/2014/main" id="{5A48C286-8AEE-46FC-A33F-5252073285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91" name="x_Picture 1" descr="Description: cid:image001.png@01D03949.49457930">
          <a:extLst>
            <a:ext uri="{FF2B5EF4-FFF2-40B4-BE49-F238E27FC236}">
              <a16:creationId xmlns:a16="http://schemas.microsoft.com/office/drawing/2014/main" id="{8743B7AF-C223-4270-9CCB-ECA85BBC15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92" name="x_Picture 1" descr="Description: cid:image001.png@01D03949.49457930">
          <a:extLst>
            <a:ext uri="{FF2B5EF4-FFF2-40B4-BE49-F238E27FC236}">
              <a16:creationId xmlns:a16="http://schemas.microsoft.com/office/drawing/2014/main" id="{E22393DB-2B35-42DD-B760-D15A0DF6A1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293" name="x_Picture 1" descr="Description: cid:image001.png@01D03949.49457930">
          <a:extLst>
            <a:ext uri="{FF2B5EF4-FFF2-40B4-BE49-F238E27FC236}">
              <a16:creationId xmlns:a16="http://schemas.microsoft.com/office/drawing/2014/main" id="{16E3A1E1-2BBB-448F-8FBA-D64737DC64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294" name="x_Picture 1" descr="Description: cid:image001.png@01D03949.49457930">
          <a:extLst>
            <a:ext uri="{FF2B5EF4-FFF2-40B4-BE49-F238E27FC236}">
              <a16:creationId xmlns:a16="http://schemas.microsoft.com/office/drawing/2014/main" id="{4AFDE88F-2F5D-41B0-A48C-B70DDDBE373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295" name="x_Picture 1" descr="Description: cid:image001.png@01D03949.49457930">
          <a:extLst>
            <a:ext uri="{FF2B5EF4-FFF2-40B4-BE49-F238E27FC236}">
              <a16:creationId xmlns:a16="http://schemas.microsoft.com/office/drawing/2014/main" id="{3F236CF2-A878-48AF-B9B6-22B6E9B144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296" name="x_Picture 1" descr="Description: cid:image001.png@01D03949.49457930">
          <a:extLst>
            <a:ext uri="{FF2B5EF4-FFF2-40B4-BE49-F238E27FC236}">
              <a16:creationId xmlns:a16="http://schemas.microsoft.com/office/drawing/2014/main" id="{08EAD6F8-A56E-4D71-AAFE-B8F2FE76A5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30</xdr:row>
      <xdr:rowOff>0</xdr:rowOff>
    </xdr:from>
    <xdr:ext cx="279605" cy="315045"/>
    <xdr:sp macro="" textlink="">
      <xdr:nvSpPr>
        <xdr:cNvPr id="2297" name="x_Picture 1" descr="Description: cid:image001.png@01D03949.49457930">
          <a:extLst>
            <a:ext uri="{FF2B5EF4-FFF2-40B4-BE49-F238E27FC236}">
              <a16:creationId xmlns:a16="http://schemas.microsoft.com/office/drawing/2014/main" id="{82CDDCDC-945F-4DA2-A5C7-43DD53195F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298" name="x_Picture 1" descr="Description: cid:image001.png@01D03949.49457930">
          <a:extLst>
            <a:ext uri="{FF2B5EF4-FFF2-40B4-BE49-F238E27FC236}">
              <a16:creationId xmlns:a16="http://schemas.microsoft.com/office/drawing/2014/main" id="{3AFD2BFE-B380-48B6-A63B-236420EB4F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299" name="x_Picture 1" descr="Description: cid:image001.png@01D03949.49457930">
          <a:extLst>
            <a:ext uri="{FF2B5EF4-FFF2-40B4-BE49-F238E27FC236}">
              <a16:creationId xmlns:a16="http://schemas.microsoft.com/office/drawing/2014/main" id="{3DBB5C65-A8EB-416C-B78F-249859C270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300" name="x_Picture 1" descr="Description: cid:image001.png@01D03949.49457930">
          <a:extLst>
            <a:ext uri="{FF2B5EF4-FFF2-40B4-BE49-F238E27FC236}">
              <a16:creationId xmlns:a16="http://schemas.microsoft.com/office/drawing/2014/main" id="{5FF1FD7D-8B05-46A6-8590-EA9E9BB65A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301" name="x_Picture 1" descr="Description: cid:image001.png@01D03949.49457930">
          <a:extLst>
            <a:ext uri="{FF2B5EF4-FFF2-40B4-BE49-F238E27FC236}">
              <a16:creationId xmlns:a16="http://schemas.microsoft.com/office/drawing/2014/main" id="{2C2FE404-7914-44B1-BB37-D3650B231DB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302" name="x_Picture 1" descr="Description: cid:image001.png@01D03949.49457930">
          <a:extLst>
            <a:ext uri="{FF2B5EF4-FFF2-40B4-BE49-F238E27FC236}">
              <a16:creationId xmlns:a16="http://schemas.microsoft.com/office/drawing/2014/main" id="{73694417-F86A-404E-B6B2-46A4643794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03" name="x_Picture 1" descr="Description: cid:image001.png@01D03949.49457930">
          <a:extLst>
            <a:ext uri="{FF2B5EF4-FFF2-40B4-BE49-F238E27FC236}">
              <a16:creationId xmlns:a16="http://schemas.microsoft.com/office/drawing/2014/main" id="{BEF482FE-4C17-41A9-8B15-9B21E035F4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30</xdr:row>
      <xdr:rowOff>0</xdr:rowOff>
    </xdr:from>
    <xdr:ext cx="279605" cy="315045"/>
    <xdr:sp macro="" textlink="">
      <xdr:nvSpPr>
        <xdr:cNvPr id="2304" name="x_Picture 1" descr="Description: cid:image001.png@01D03949.49457930">
          <a:extLst>
            <a:ext uri="{FF2B5EF4-FFF2-40B4-BE49-F238E27FC236}">
              <a16:creationId xmlns:a16="http://schemas.microsoft.com/office/drawing/2014/main" id="{89A0F745-9D0B-4969-AD19-6A41B24BBE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05" name="x_Picture 1" descr="Description: cid:image001.png@01D03949.49457930">
          <a:extLst>
            <a:ext uri="{FF2B5EF4-FFF2-40B4-BE49-F238E27FC236}">
              <a16:creationId xmlns:a16="http://schemas.microsoft.com/office/drawing/2014/main" id="{9EA2584E-24E5-48EF-BFC6-F5555F4D381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06" name="x_Picture 1" descr="Description: cid:image001.png@01D03949.49457930">
          <a:extLst>
            <a:ext uri="{FF2B5EF4-FFF2-40B4-BE49-F238E27FC236}">
              <a16:creationId xmlns:a16="http://schemas.microsoft.com/office/drawing/2014/main" id="{1A7FA8B6-D1DA-4CF7-8353-C1EB75FC64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07" name="x_Picture 1" descr="Description: cid:image001.png@01D03949.49457930">
          <a:extLst>
            <a:ext uri="{FF2B5EF4-FFF2-40B4-BE49-F238E27FC236}">
              <a16:creationId xmlns:a16="http://schemas.microsoft.com/office/drawing/2014/main" id="{B0172187-8AB0-4CE1-8CB7-0C6B34803D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08" name="x_Picture 1" descr="Description: cid:image001.png@01D03949.49457930">
          <a:extLst>
            <a:ext uri="{FF2B5EF4-FFF2-40B4-BE49-F238E27FC236}">
              <a16:creationId xmlns:a16="http://schemas.microsoft.com/office/drawing/2014/main" id="{4CC5E96B-B43D-4891-A6D1-54A6069E339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09" name="x_Picture 1" descr="Description: cid:image001.png@01D03949.49457930">
          <a:extLst>
            <a:ext uri="{FF2B5EF4-FFF2-40B4-BE49-F238E27FC236}">
              <a16:creationId xmlns:a16="http://schemas.microsoft.com/office/drawing/2014/main" id="{4D462B9E-6A36-4934-B0EE-F27DD38C7A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10" name="x_Picture 1" descr="Description: cid:image001.png@01D03949.49457930">
          <a:extLst>
            <a:ext uri="{FF2B5EF4-FFF2-40B4-BE49-F238E27FC236}">
              <a16:creationId xmlns:a16="http://schemas.microsoft.com/office/drawing/2014/main" id="{6924089A-551D-4026-870E-F6426B0F29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11" name="x_Picture 1" descr="Description: cid:image001.png@01D03949.49457930">
          <a:extLst>
            <a:ext uri="{FF2B5EF4-FFF2-40B4-BE49-F238E27FC236}">
              <a16:creationId xmlns:a16="http://schemas.microsoft.com/office/drawing/2014/main" id="{FE2BC813-9591-4223-8AA7-6DA11BBC628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12" name="x_Picture 1" descr="Description: cid:image001.png@01D03949.49457930">
          <a:extLst>
            <a:ext uri="{FF2B5EF4-FFF2-40B4-BE49-F238E27FC236}">
              <a16:creationId xmlns:a16="http://schemas.microsoft.com/office/drawing/2014/main" id="{07B2BD32-5697-4709-92C6-17AB3FDBBAC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13" name="x_Picture 1" descr="Description: cid:image001.png@01D03949.49457930">
          <a:extLst>
            <a:ext uri="{FF2B5EF4-FFF2-40B4-BE49-F238E27FC236}">
              <a16:creationId xmlns:a16="http://schemas.microsoft.com/office/drawing/2014/main" id="{C33D2562-FF47-47E0-B950-72660D3258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14" name="x_Picture 1" descr="Description: cid:image001.png@01D03949.49457930">
          <a:extLst>
            <a:ext uri="{FF2B5EF4-FFF2-40B4-BE49-F238E27FC236}">
              <a16:creationId xmlns:a16="http://schemas.microsoft.com/office/drawing/2014/main" id="{0DD63885-AC77-4123-A729-0FBA2A76FD8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315" name="x_Picture 1" descr="Description: cid:image001.png@01D03949.49457930">
          <a:extLst>
            <a:ext uri="{FF2B5EF4-FFF2-40B4-BE49-F238E27FC236}">
              <a16:creationId xmlns:a16="http://schemas.microsoft.com/office/drawing/2014/main" id="{E6731C2F-354C-4EB0-86D4-494CB8FC5D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16" name="x_Picture 1" descr="Description: cid:image001.png@01D03949.49457930">
          <a:extLst>
            <a:ext uri="{FF2B5EF4-FFF2-40B4-BE49-F238E27FC236}">
              <a16:creationId xmlns:a16="http://schemas.microsoft.com/office/drawing/2014/main" id="{8043E418-626B-4F83-83E2-AD9A5EA357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317" name="x_Picture 1" descr="Description: cid:image001.png@01D03949.49457930">
          <a:extLst>
            <a:ext uri="{FF2B5EF4-FFF2-40B4-BE49-F238E27FC236}">
              <a16:creationId xmlns:a16="http://schemas.microsoft.com/office/drawing/2014/main" id="{B1271F56-CEA2-426E-94E5-E505624A44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318" name="x_Picture 1" descr="Description: cid:image001.png@01D03949.49457930">
          <a:extLst>
            <a:ext uri="{FF2B5EF4-FFF2-40B4-BE49-F238E27FC236}">
              <a16:creationId xmlns:a16="http://schemas.microsoft.com/office/drawing/2014/main" id="{3825EB06-814C-4BA6-906E-4113139D4B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31</xdr:row>
      <xdr:rowOff>0</xdr:rowOff>
    </xdr:from>
    <xdr:ext cx="279605" cy="315045"/>
    <xdr:sp macro="" textlink="">
      <xdr:nvSpPr>
        <xdr:cNvPr id="2319" name="x_Picture 1" descr="Description: cid:image001.png@01D03949.49457930">
          <a:extLst>
            <a:ext uri="{FF2B5EF4-FFF2-40B4-BE49-F238E27FC236}">
              <a16:creationId xmlns:a16="http://schemas.microsoft.com/office/drawing/2014/main" id="{3DD42A6F-5181-4D99-9F0C-F0ADCE43DA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320" name="x_Picture 1" descr="Description: cid:image001.png@01D03949.49457930">
          <a:extLst>
            <a:ext uri="{FF2B5EF4-FFF2-40B4-BE49-F238E27FC236}">
              <a16:creationId xmlns:a16="http://schemas.microsoft.com/office/drawing/2014/main" id="{B75115A8-8569-4B23-BFEA-AB47DE5673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321" name="x_Picture 1" descr="Description: cid:image001.png@01D03949.49457930">
          <a:extLst>
            <a:ext uri="{FF2B5EF4-FFF2-40B4-BE49-F238E27FC236}">
              <a16:creationId xmlns:a16="http://schemas.microsoft.com/office/drawing/2014/main" id="{CFD136E7-B2A5-44D7-9E45-27C027AAF2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322" name="x_Picture 1" descr="Description: cid:image001.png@01D03949.49457930">
          <a:extLst>
            <a:ext uri="{FF2B5EF4-FFF2-40B4-BE49-F238E27FC236}">
              <a16:creationId xmlns:a16="http://schemas.microsoft.com/office/drawing/2014/main" id="{F685C158-E081-4EF9-A91A-E667E11F5DF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323" name="x_Picture 1" descr="Description: cid:image001.png@01D03949.49457930">
          <a:extLst>
            <a:ext uri="{FF2B5EF4-FFF2-40B4-BE49-F238E27FC236}">
              <a16:creationId xmlns:a16="http://schemas.microsoft.com/office/drawing/2014/main" id="{5BE06462-F6FA-43DD-886E-91AF323312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324" name="x_Picture 1" descr="Description: cid:image001.png@01D03949.49457930">
          <a:extLst>
            <a:ext uri="{FF2B5EF4-FFF2-40B4-BE49-F238E27FC236}">
              <a16:creationId xmlns:a16="http://schemas.microsoft.com/office/drawing/2014/main" id="{6A591E20-6C42-461A-BC10-C966C89E2A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25" name="x_Picture 1" descr="Description: cid:image001.png@01D03949.49457930">
          <a:extLst>
            <a:ext uri="{FF2B5EF4-FFF2-40B4-BE49-F238E27FC236}">
              <a16:creationId xmlns:a16="http://schemas.microsoft.com/office/drawing/2014/main" id="{A62D9D60-291D-41B1-804B-E96E58FA60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31</xdr:row>
      <xdr:rowOff>0</xdr:rowOff>
    </xdr:from>
    <xdr:ext cx="279605" cy="315045"/>
    <xdr:sp macro="" textlink="">
      <xdr:nvSpPr>
        <xdr:cNvPr id="2326" name="x_Picture 1" descr="Description: cid:image001.png@01D03949.49457930">
          <a:extLst>
            <a:ext uri="{FF2B5EF4-FFF2-40B4-BE49-F238E27FC236}">
              <a16:creationId xmlns:a16="http://schemas.microsoft.com/office/drawing/2014/main" id="{85B953D1-4529-43FA-80E2-AE98336ACF8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27" name="x_Picture 1" descr="Description: cid:image001.png@01D03949.49457930">
          <a:extLst>
            <a:ext uri="{FF2B5EF4-FFF2-40B4-BE49-F238E27FC236}">
              <a16:creationId xmlns:a16="http://schemas.microsoft.com/office/drawing/2014/main" id="{379C32F3-DA7A-45D8-A03B-3A471A0EAC2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28" name="x_Picture 1" descr="Description: cid:image001.png@01D03949.49457930">
          <a:extLst>
            <a:ext uri="{FF2B5EF4-FFF2-40B4-BE49-F238E27FC236}">
              <a16:creationId xmlns:a16="http://schemas.microsoft.com/office/drawing/2014/main" id="{25E3E39E-B55A-48BE-BB6B-D4A33716F0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29" name="x_Picture 1" descr="Description: cid:image001.png@01D03949.49457930">
          <a:extLst>
            <a:ext uri="{FF2B5EF4-FFF2-40B4-BE49-F238E27FC236}">
              <a16:creationId xmlns:a16="http://schemas.microsoft.com/office/drawing/2014/main" id="{3A0C9F6C-80CC-4D85-9213-940C014348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30" name="x_Picture 1" descr="Description: cid:image001.png@01D03949.49457930">
          <a:extLst>
            <a:ext uri="{FF2B5EF4-FFF2-40B4-BE49-F238E27FC236}">
              <a16:creationId xmlns:a16="http://schemas.microsoft.com/office/drawing/2014/main" id="{B6F10C4A-50B3-4915-B18D-8E931568E7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31" name="x_Picture 1" descr="Description: cid:image001.png@01D03949.49457930">
          <a:extLst>
            <a:ext uri="{FF2B5EF4-FFF2-40B4-BE49-F238E27FC236}">
              <a16:creationId xmlns:a16="http://schemas.microsoft.com/office/drawing/2014/main" id="{9C3E0D2F-A936-4841-96D8-4BE6B7F7443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32" name="x_Picture 1" descr="Description: cid:image001.png@01D03949.49457930">
          <a:extLst>
            <a:ext uri="{FF2B5EF4-FFF2-40B4-BE49-F238E27FC236}">
              <a16:creationId xmlns:a16="http://schemas.microsoft.com/office/drawing/2014/main" id="{DB2A8024-BDA8-44E0-9896-EF4415CEA9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33" name="x_Picture 1" descr="Description: cid:image001.png@01D03949.49457930">
          <a:extLst>
            <a:ext uri="{FF2B5EF4-FFF2-40B4-BE49-F238E27FC236}">
              <a16:creationId xmlns:a16="http://schemas.microsoft.com/office/drawing/2014/main" id="{D4D87FFF-BF20-49EE-B94C-F1D5B8E186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34" name="x_Picture 1" descr="Description: cid:image001.png@01D03949.49457930">
          <a:extLst>
            <a:ext uri="{FF2B5EF4-FFF2-40B4-BE49-F238E27FC236}">
              <a16:creationId xmlns:a16="http://schemas.microsoft.com/office/drawing/2014/main" id="{3ADA8080-FF56-4208-8AF2-E98EF7D179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35" name="x_Picture 1" descr="Description: cid:image001.png@01D03949.49457930">
          <a:extLst>
            <a:ext uri="{FF2B5EF4-FFF2-40B4-BE49-F238E27FC236}">
              <a16:creationId xmlns:a16="http://schemas.microsoft.com/office/drawing/2014/main" id="{C5F7A708-1D5F-4449-AA6E-C40857563C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36" name="x_Picture 1" descr="Description: cid:image001.png@01D03949.49457930">
          <a:extLst>
            <a:ext uri="{FF2B5EF4-FFF2-40B4-BE49-F238E27FC236}">
              <a16:creationId xmlns:a16="http://schemas.microsoft.com/office/drawing/2014/main" id="{520747A5-2A63-4899-8E31-7FCA66FB91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337" name="x_Picture 1" descr="Description: cid:image001.png@01D03949.49457930">
          <a:extLst>
            <a:ext uri="{FF2B5EF4-FFF2-40B4-BE49-F238E27FC236}">
              <a16:creationId xmlns:a16="http://schemas.microsoft.com/office/drawing/2014/main" id="{C1E1CFA6-21E7-4148-BEDF-7542DD9DC3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38" name="x_Picture 1" descr="Description: cid:image001.png@01D03949.49457930">
          <a:extLst>
            <a:ext uri="{FF2B5EF4-FFF2-40B4-BE49-F238E27FC236}">
              <a16:creationId xmlns:a16="http://schemas.microsoft.com/office/drawing/2014/main" id="{513F34D5-4381-446D-980D-917C64BE10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339" name="x_Picture 1" descr="Description: cid:image001.png@01D03949.49457930">
          <a:extLst>
            <a:ext uri="{FF2B5EF4-FFF2-40B4-BE49-F238E27FC236}">
              <a16:creationId xmlns:a16="http://schemas.microsoft.com/office/drawing/2014/main" id="{1E578BEC-B8A1-48BC-8BD6-EA9BD1BCDE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340" name="x_Picture 1" descr="Description: cid:image001.png@01D03949.49457930">
          <a:extLst>
            <a:ext uri="{FF2B5EF4-FFF2-40B4-BE49-F238E27FC236}">
              <a16:creationId xmlns:a16="http://schemas.microsoft.com/office/drawing/2014/main" id="{2FC4CB51-099C-4F57-A56F-81A742D859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32</xdr:row>
      <xdr:rowOff>0</xdr:rowOff>
    </xdr:from>
    <xdr:ext cx="279605" cy="315045"/>
    <xdr:sp macro="" textlink="">
      <xdr:nvSpPr>
        <xdr:cNvPr id="2341" name="x_Picture 1" descr="Description: cid:image001.png@01D03949.49457930">
          <a:extLst>
            <a:ext uri="{FF2B5EF4-FFF2-40B4-BE49-F238E27FC236}">
              <a16:creationId xmlns:a16="http://schemas.microsoft.com/office/drawing/2014/main" id="{01090B51-270D-4662-95D9-C3E565AAD2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342" name="x_Picture 1" descr="Description: cid:image001.png@01D03949.49457930">
          <a:extLst>
            <a:ext uri="{FF2B5EF4-FFF2-40B4-BE49-F238E27FC236}">
              <a16:creationId xmlns:a16="http://schemas.microsoft.com/office/drawing/2014/main" id="{C46F7BEB-4BA7-4862-BBE7-C50B2B57CD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343" name="x_Picture 1" descr="Description: cid:image001.png@01D03949.49457930">
          <a:extLst>
            <a:ext uri="{FF2B5EF4-FFF2-40B4-BE49-F238E27FC236}">
              <a16:creationId xmlns:a16="http://schemas.microsoft.com/office/drawing/2014/main" id="{FC2C856F-73E5-432C-A381-6AAE94BD35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344" name="x_Picture 1" descr="Description: cid:image001.png@01D03949.49457930">
          <a:extLst>
            <a:ext uri="{FF2B5EF4-FFF2-40B4-BE49-F238E27FC236}">
              <a16:creationId xmlns:a16="http://schemas.microsoft.com/office/drawing/2014/main" id="{A470FA65-D76C-4A53-8217-8B55A7A236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345" name="x_Picture 1" descr="Description: cid:image001.png@01D03949.49457930">
          <a:extLst>
            <a:ext uri="{FF2B5EF4-FFF2-40B4-BE49-F238E27FC236}">
              <a16:creationId xmlns:a16="http://schemas.microsoft.com/office/drawing/2014/main" id="{CB0B1082-4657-42B0-B3E4-7A1712871F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346" name="x_Picture 1" descr="Description: cid:image001.png@01D03949.49457930">
          <a:extLst>
            <a:ext uri="{FF2B5EF4-FFF2-40B4-BE49-F238E27FC236}">
              <a16:creationId xmlns:a16="http://schemas.microsoft.com/office/drawing/2014/main" id="{CAD18B4F-ECA2-4DB1-BD7B-9F7F89EB27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47" name="x_Picture 1" descr="Description: cid:image001.png@01D03949.49457930">
          <a:extLst>
            <a:ext uri="{FF2B5EF4-FFF2-40B4-BE49-F238E27FC236}">
              <a16:creationId xmlns:a16="http://schemas.microsoft.com/office/drawing/2014/main" id="{B36F4D66-4CB6-4AEE-86D0-8506DFE13C4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32</xdr:row>
      <xdr:rowOff>0</xdr:rowOff>
    </xdr:from>
    <xdr:ext cx="279605" cy="315045"/>
    <xdr:sp macro="" textlink="">
      <xdr:nvSpPr>
        <xdr:cNvPr id="2348" name="x_Picture 1" descr="Description: cid:image001.png@01D03949.49457930">
          <a:extLst>
            <a:ext uri="{FF2B5EF4-FFF2-40B4-BE49-F238E27FC236}">
              <a16:creationId xmlns:a16="http://schemas.microsoft.com/office/drawing/2014/main" id="{C0952C85-C043-4646-840B-BAFD7E946E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49" name="x_Picture 1" descr="Description: cid:image001.png@01D03949.49457930">
          <a:extLst>
            <a:ext uri="{FF2B5EF4-FFF2-40B4-BE49-F238E27FC236}">
              <a16:creationId xmlns:a16="http://schemas.microsoft.com/office/drawing/2014/main" id="{000E8C3C-A995-4B89-95A0-BD336D5AFC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50" name="x_Picture 1" descr="Description: cid:image001.png@01D03949.49457930">
          <a:extLst>
            <a:ext uri="{FF2B5EF4-FFF2-40B4-BE49-F238E27FC236}">
              <a16:creationId xmlns:a16="http://schemas.microsoft.com/office/drawing/2014/main" id="{5E4E7FAC-9848-444B-B90D-247F6641A8A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51" name="x_Picture 1" descr="Description: cid:image001.png@01D03949.49457930">
          <a:extLst>
            <a:ext uri="{FF2B5EF4-FFF2-40B4-BE49-F238E27FC236}">
              <a16:creationId xmlns:a16="http://schemas.microsoft.com/office/drawing/2014/main" id="{7B0DFFCA-7416-4502-8B51-19FE19B64E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52" name="x_Picture 1" descr="Description: cid:image001.png@01D03949.49457930">
          <a:extLst>
            <a:ext uri="{FF2B5EF4-FFF2-40B4-BE49-F238E27FC236}">
              <a16:creationId xmlns:a16="http://schemas.microsoft.com/office/drawing/2014/main" id="{E68683DF-4C7F-447E-BAAA-72DA60C732F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53" name="x_Picture 1" descr="Description: cid:image001.png@01D03949.49457930">
          <a:extLst>
            <a:ext uri="{FF2B5EF4-FFF2-40B4-BE49-F238E27FC236}">
              <a16:creationId xmlns:a16="http://schemas.microsoft.com/office/drawing/2014/main" id="{49EE6D22-DAEE-4EF8-98F1-A7433EC137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54" name="x_Picture 1" descr="Description: cid:image001.png@01D03949.49457930">
          <a:extLst>
            <a:ext uri="{FF2B5EF4-FFF2-40B4-BE49-F238E27FC236}">
              <a16:creationId xmlns:a16="http://schemas.microsoft.com/office/drawing/2014/main" id="{951B7E74-F051-4697-985C-EDBF133E85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55" name="x_Picture 1" descr="Description: cid:image001.png@01D03949.49457930">
          <a:extLst>
            <a:ext uri="{FF2B5EF4-FFF2-40B4-BE49-F238E27FC236}">
              <a16:creationId xmlns:a16="http://schemas.microsoft.com/office/drawing/2014/main" id="{66EF930A-8047-42A0-B894-0C21C19F30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56" name="x_Picture 1" descr="Description: cid:image001.png@01D03949.49457930">
          <a:extLst>
            <a:ext uri="{FF2B5EF4-FFF2-40B4-BE49-F238E27FC236}">
              <a16:creationId xmlns:a16="http://schemas.microsoft.com/office/drawing/2014/main" id="{45087EB8-EBDF-48A9-A0B5-66B98F7F3D2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57" name="x_Picture 1" descr="Description: cid:image001.png@01D03949.49457930">
          <a:extLst>
            <a:ext uri="{FF2B5EF4-FFF2-40B4-BE49-F238E27FC236}">
              <a16:creationId xmlns:a16="http://schemas.microsoft.com/office/drawing/2014/main" id="{625C0042-5691-4429-8968-AD5C00200C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58" name="x_Picture 1" descr="Description: cid:image001.png@01D03949.49457930">
          <a:extLst>
            <a:ext uri="{FF2B5EF4-FFF2-40B4-BE49-F238E27FC236}">
              <a16:creationId xmlns:a16="http://schemas.microsoft.com/office/drawing/2014/main" id="{49E2B685-5308-467F-B600-ABA9F632E8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359" name="x_Picture 1" descr="Description: cid:image001.png@01D03949.49457930">
          <a:extLst>
            <a:ext uri="{FF2B5EF4-FFF2-40B4-BE49-F238E27FC236}">
              <a16:creationId xmlns:a16="http://schemas.microsoft.com/office/drawing/2014/main" id="{FCD71C8C-30DA-432F-8DE6-386CE73D9B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60" name="x_Picture 1" descr="Description: cid:image001.png@01D03949.49457930">
          <a:extLst>
            <a:ext uri="{FF2B5EF4-FFF2-40B4-BE49-F238E27FC236}">
              <a16:creationId xmlns:a16="http://schemas.microsoft.com/office/drawing/2014/main" id="{5B995069-E54B-4C92-96B0-EA43E058305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361" name="x_Picture 1" descr="Description: cid:image001.png@01D03949.49457930">
          <a:extLst>
            <a:ext uri="{FF2B5EF4-FFF2-40B4-BE49-F238E27FC236}">
              <a16:creationId xmlns:a16="http://schemas.microsoft.com/office/drawing/2014/main" id="{CA4A18F5-ADED-4204-AF74-451C0D1690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362" name="x_Picture 1" descr="Description: cid:image001.png@01D03949.49457930">
          <a:extLst>
            <a:ext uri="{FF2B5EF4-FFF2-40B4-BE49-F238E27FC236}">
              <a16:creationId xmlns:a16="http://schemas.microsoft.com/office/drawing/2014/main" id="{06D2001F-E6AC-457D-8363-9C73B7D501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33</xdr:row>
      <xdr:rowOff>0</xdr:rowOff>
    </xdr:from>
    <xdr:ext cx="279605" cy="315045"/>
    <xdr:sp macro="" textlink="">
      <xdr:nvSpPr>
        <xdr:cNvPr id="2363" name="x_Picture 1" descr="Description: cid:image001.png@01D03949.49457930">
          <a:extLst>
            <a:ext uri="{FF2B5EF4-FFF2-40B4-BE49-F238E27FC236}">
              <a16:creationId xmlns:a16="http://schemas.microsoft.com/office/drawing/2014/main" id="{4BDC15F3-5421-449D-90F1-14EF14A03D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364" name="x_Picture 1" descr="Description: cid:image001.png@01D03949.49457930">
          <a:extLst>
            <a:ext uri="{FF2B5EF4-FFF2-40B4-BE49-F238E27FC236}">
              <a16:creationId xmlns:a16="http://schemas.microsoft.com/office/drawing/2014/main" id="{1BD43576-2BA0-4A90-82E3-C94D25FC06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365" name="x_Picture 1" descr="Description: cid:image001.png@01D03949.49457930">
          <a:extLst>
            <a:ext uri="{FF2B5EF4-FFF2-40B4-BE49-F238E27FC236}">
              <a16:creationId xmlns:a16="http://schemas.microsoft.com/office/drawing/2014/main" id="{9F7CD489-DB1F-49B6-BA68-89EBAFC4D73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366" name="x_Picture 1" descr="Description: cid:image001.png@01D03949.49457930">
          <a:extLst>
            <a:ext uri="{FF2B5EF4-FFF2-40B4-BE49-F238E27FC236}">
              <a16:creationId xmlns:a16="http://schemas.microsoft.com/office/drawing/2014/main" id="{B70AFFE8-DBCB-4697-AB16-789298DADB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367" name="x_Picture 1" descr="Description: cid:image001.png@01D03949.49457930">
          <a:extLst>
            <a:ext uri="{FF2B5EF4-FFF2-40B4-BE49-F238E27FC236}">
              <a16:creationId xmlns:a16="http://schemas.microsoft.com/office/drawing/2014/main" id="{1CDAC8D4-9FC1-488E-BE74-5F7FE6A788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368" name="x_Picture 1" descr="Description: cid:image001.png@01D03949.49457930">
          <a:extLst>
            <a:ext uri="{FF2B5EF4-FFF2-40B4-BE49-F238E27FC236}">
              <a16:creationId xmlns:a16="http://schemas.microsoft.com/office/drawing/2014/main" id="{D095A02F-DA0F-4B01-890C-1FE6CB0DD0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69" name="x_Picture 1" descr="Description: cid:image001.png@01D03949.49457930">
          <a:extLst>
            <a:ext uri="{FF2B5EF4-FFF2-40B4-BE49-F238E27FC236}">
              <a16:creationId xmlns:a16="http://schemas.microsoft.com/office/drawing/2014/main" id="{1E958431-CD78-409E-AAC3-CC9A4E7D2C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33</xdr:row>
      <xdr:rowOff>0</xdr:rowOff>
    </xdr:from>
    <xdr:ext cx="279605" cy="315045"/>
    <xdr:sp macro="" textlink="">
      <xdr:nvSpPr>
        <xdr:cNvPr id="2370" name="x_Picture 1" descr="Description: cid:image001.png@01D03949.49457930">
          <a:extLst>
            <a:ext uri="{FF2B5EF4-FFF2-40B4-BE49-F238E27FC236}">
              <a16:creationId xmlns:a16="http://schemas.microsoft.com/office/drawing/2014/main" id="{D5E4762E-597E-4470-BC6B-08B9282A6F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71" name="x_Picture 1" descr="Description: cid:image001.png@01D03949.49457930">
          <a:extLst>
            <a:ext uri="{FF2B5EF4-FFF2-40B4-BE49-F238E27FC236}">
              <a16:creationId xmlns:a16="http://schemas.microsoft.com/office/drawing/2014/main" id="{9042466D-1EEE-4BF4-A375-D8F8F857A9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72" name="x_Picture 1" descr="Description: cid:image001.png@01D03949.49457930">
          <a:extLst>
            <a:ext uri="{FF2B5EF4-FFF2-40B4-BE49-F238E27FC236}">
              <a16:creationId xmlns:a16="http://schemas.microsoft.com/office/drawing/2014/main" id="{1D63B145-2A0B-4800-967B-818B1089D6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73" name="x_Picture 1" descr="Description: cid:image001.png@01D03949.49457930">
          <a:extLst>
            <a:ext uri="{FF2B5EF4-FFF2-40B4-BE49-F238E27FC236}">
              <a16:creationId xmlns:a16="http://schemas.microsoft.com/office/drawing/2014/main" id="{0EF592F2-8385-4CF2-8AA8-F3CD1C6CD5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74" name="x_Picture 1" descr="Description: cid:image001.png@01D03949.49457930">
          <a:extLst>
            <a:ext uri="{FF2B5EF4-FFF2-40B4-BE49-F238E27FC236}">
              <a16:creationId xmlns:a16="http://schemas.microsoft.com/office/drawing/2014/main" id="{3A2758B2-03DE-42B2-AA58-3C4951E1B4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75" name="x_Picture 1" descr="Description: cid:image001.png@01D03949.49457930">
          <a:extLst>
            <a:ext uri="{FF2B5EF4-FFF2-40B4-BE49-F238E27FC236}">
              <a16:creationId xmlns:a16="http://schemas.microsoft.com/office/drawing/2014/main" id="{6D5F2841-06B2-4ACF-800B-88ABB9B6F43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76" name="x_Picture 1" descr="Description: cid:image001.png@01D03949.49457930">
          <a:extLst>
            <a:ext uri="{FF2B5EF4-FFF2-40B4-BE49-F238E27FC236}">
              <a16:creationId xmlns:a16="http://schemas.microsoft.com/office/drawing/2014/main" id="{CAA9A460-6E65-43A7-AA88-A5B22D5C71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77" name="x_Picture 1" descr="Description: cid:image001.png@01D03949.49457930">
          <a:extLst>
            <a:ext uri="{FF2B5EF4-FFF2-40B4-BE49-F238E27FC236}">
              <a16:creationId xmlns:a16="http://schemas.microsoft.com/office/drawing/2014/main" id="{B2F2F601-595B-449A-83F6-112B98D1767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78" name="x_Picture 1" descr="Description: cid:image001.png@01D03949.49457930">
          <a:extLst>
            <a:ext uri="{FF2B5EF4-FFF2-40B4-BE49-F238E27FC236}">
              <a16:creationId xmlns:a16="http://schemas.microsoft.com/office/drawing/2014/main" id="{8BEF248B-3710-4F1F-A9C2-F54B681CE8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79" name="x_Picture 1" descr="Description: cid:image001.png@01D03949.49457930">
          <a:extLst>
            <a:ext uri="{FF2B5EF4-FFF2-40B4-BE49-F238E27FC236}">
              <a16:creationId xmlns:a16="http://schemas.microsoft.com/office/drawing/2014/main" id="{1E0F2511-6539-4DA4-9085-D439801960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80" name="x_Picture 1" descr="Description: cid:image001.png@01D03949.49457930">
          <a:extLst>
            <a:ext uri="{FF2B5EF4-FFF2-40B4-BE49-F238E27FC236}">
              <a16:creationId xmlns:a16="http://schemas.microsoft.com/office/drawing/2014/main" id="{F34DD742-1024-4965-98F3-4196E0AAD7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381" name="x_Picture 1" descr="Description: cid:image001.png@01D03949.49457930">
          <a:extLst>
            <a:ext uri="{FF2B5EF4-FFF2-40B4-BE49-F238E27FC236}">
              <a16:creationId xmlns:a16="http://schemas.microsoft.com/office/drawing/2014/main" id="{03296F6F-A0FB-40BE-BE1B-1AA3F615F1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82" name="x_Picture 1" descr="Description: cid:image001.png@01D03949.49457930">
          <a:extLst>
            <a:ext uri="{FF2B5EF4-FFF2-40B4-BE49-F238E27FC236}">
              <a16:creationId xmlns:a16="http://schemas.microsoft.com/office/drawing/2014/main" id="{AABB6135-0534-47BE-95F3-5953EA696BB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383" name="x_Picture 1" descr="Description: cid:image001.png@01D03949.49457930">
          <a:extLst>
            <a:ext uri="{FF2B5EF4-FFF2-40B4-BE49-F238E27FC236}">
              <a16:creationId xmlns:a16="http://schemas.microsoft.com/office/drawing/2014/main" id="{53B91BC5-02DF-4177-8492-B0E9AB7D34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384" name="x_Picture 1" descr="Description: cid:image001.png@01D03949.49457930">
          <a:extLst>
            <a:ext uri="{FF2B5EF4-FFF2-40B4-BE49-F238E27FC236}">
              <a16:creationId xmlns:a16="http://schemas.microsoft.com/office/drawing/2014/main" id="{24F2109B-B2A4-433E-BA98-FC724EF732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34</xdr:row>
      <xdr:rowOff>0</xdr:rowOff>
    </xdr:from>
    <xdr:ext cx="279605" cy="315045"/>
    <xdr:sp macro="" textlink="">
      <xdr:nvSpPr>
        <xdr:cNvPr id="2385" name="x_Picture 1" descr="Description: cid:image001.png@01D03949.49457930">
          <a:extLst>
            <a:ext uri="{FF2B5EF4-FFF2-40B4-BE49-F238E27FC236}">
              <a16:creationId xmlns:a16="http://schemas.microsoft.com/office/drawing/2014/main" id="{BD0E9DDE-F52F-4C81-96EC-BB08521222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386" name="x_Picture 1" descr="Description: cid:image001.png@01D03949.49457930">
          <a:extLst>
            <a:ext uri="{FF2B5EF4-FFF2-40B4-BE49-F238E27FC236}">
              <a16:creationId xmlns:a16="http://schemas.microsoft.com/office/drawing/2014/main" id="{B3CB5C5A-7864-4CE8-A0E8-FAE1A0A189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387" name="x_Picture 1" descr="Description: cid:image001.png@01D03949.49457930">
          <a:extLst>
            <a:ext uri="{FF2B5EF4-FFF2-40B4-BE49-F238E27FC236}">
              <a16:creationId xmlns:a16="http://schemas.microsoft.com/office/drawing/2014/main" id="{B837BAD3-24ED-41BC-AC05-FC9E9178CA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388" name="x_Picture 1" descr="Description: cid:image001.png@01D03949.49457930">
          <a:extLst>
            <a:ext uri="{FF2B5EF4-FFF2-40B4-BE49-F238E27FC236}">
              <a16:creationId xmlns:a16="http://schemas.microsoft.com/office/drawing/2014/main" id="{1A2F45E2-1901-4C36-A1CC-95AD0EBAAB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389" name="x_Picture 1" descr="Description: cid:image001.png@01D03949.49457930">
          <a:extLst>
            <a:ext uri="{FF2B5EF4-FFF2-40B4-BE49-F238E27FC236}">
              <a16:creationId xmlns:a16="http://schemas.microsoft.com/office/drawing/2014/main" id="{AD84D25D-33D6-4988-9FD9-72ADF6BB42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390" name="x_Picture 1" descr="Description: cid:image001.png@01D03949.49457930">
          <a:extLst>
            <a:ext uri="{FF2B5EF4-FFF2-40B4-BE49-F238E27FC236}">
              <a16:creationId xmlns:a16="http://schemas.microsoft.com/office/drawing/2014/main" id="{D454EEA7-CF1B-4587-A592-260FA525AE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391" name="x_Picture 1" descr="Description: cid:image001.png@01D03949.49457930">
          <a:extLst>
            <a:ext uri="{FF2B5EF4-FFF2-40B4-BE49-F238E27FC236}">
              <a16:creationId xmlns:a16="http://schemas.microsoft.com/office/drawing/2014/main" id="{2AAE415F-AFCA-47AC-9154-A033BEADB0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34</xdr:row>
      <xdr:rowOff>0</xdr:rowOff>
    </xdr:from>
    <xdr:ext cx="279605" cy="315045"/>
    <xdr:sp macro="" textlink="">
      <xdr:nvSpPr>
        <xdr:cNvPr id="2392" name="x_Picture 1" descr="Description: cid:image001.png@01D03949.49457930">
          <a:extLst>
            <a:ext uri="{FF2B5EF4-FFF2-40B4-BE49-F238E27FC236}">
              <a16:creationId xmlns:a16="http://schemas.microsoft.com/office/drawing/2014/main" id="{BD47442B-88B4-4057-BBBF-E1E5692479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393" name="x_Picture 1" descr="Description: cid:image001.png@01D03949.49457930">
          <a:extLst>
            <a:ext uri="{FF2B5EF4-FFF2-40B4-BE49-F238E27FC236}">
              <a16:creationId xmlns:a16="http://schemas.microsoft.com/office/drawing/2014/main" id="{A0B4F7AD-B0EC-4118-B5D4-2CF8259C02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394" name="x_Picture 1" descr="Description: cid:image001.png@01D03949.49457930">
          <a:extLst>
            <a:ext uri="{FF2B5EF4-FFF2-40B4-BE49-F238E27FC236}">
              <a16:creationId xmlns:a16="http://schemas.microsoft.com/office/drawing/2014/main" id="{E16405C4-14E1-48AC-8180-A9C40F0FCB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395" name="x_Picture 1" descr="Description: cid:image001.png@01D03949.49457930">
          <a:extLst>
            <a:ext uri="{FF2B5EF4-FFF2-40B4-BE49-F238E27FC236}">
              <a16:creationId xmlns:a16="http://schemas.microsoft.com/office/drawing/2014/main" id="{072DE5F7-E0A5-424F-A911-8704E38CEE9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396" name="x_Picture 1" descr="Description: cid:image001.png@01D03949.49457930">
          <a:extLst>
            <a:ext uri="{FF2B5EF4-FFF2-40B4-BE49-F238E27FC236}">
              <a16:creationId xmlns:a16="http://schemas.microsoft.com/office/drawing/2014/main" id="{088E6DA7-8113-46B7-813E-D74D21291D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397" name="x_Picture 1" descr="Description: cid:image001.png@01D03949.49457930">
          <a:extLst>
            <a:ext uri="{FF2B5EF4-FFF2-40B4-BE49-F238E27FC236}">
              <a16:creationId xmlns:a16="http://schemas.microsoft.com/office/drawing/2014/main" id="{033B0CA1-5557-4C4C-B04F-61A570DAC1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398" name="x_Picture 1" descr="Description: cid:image001.png@01D03949.49457930">
          <a:extLst>
            <a:ext uri="{FF2B5EF4-FFF2-40B4-BE49-F238E27FC236}">
              <a16:creationId xmlns:a16="http://schemas.microsoft.com/office/drawing/2014/main" id="{C38DB469-8278-4FB7-8AD3-9C15BBA1AD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399" name="x_Picture 1" descr="Description: cid:image001.png@01D03949.49457930">
          <a:extLst>
            <a:ext uri="{FF2B5EF4-FFF2-40B4-BE49-F238E27FC236}">
              <a16:creationId xmlns:a16="http://schemas.microsoft.com/office/drawing/2014/main" id="{B195B406-00FD-49D8-9C64-0CFDE2984F1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400" name="x_Picture 1" descr="Description: cid:image001.png@01D03949.49457930">
          <a:extLst>
            <a:ext uri="{FF2B5EF4-FFF2-40B4-BE49-F238E27FC236}">
              <a16:creationId xmlns:a16="http://schemas.microsoft.com/office/drawing/2014/main" id="{3BC1A054-2B56-4774-A385-0EBE10C99E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401" name="x_Picture 1" descr="Description: cid:image001.png@01D03949.49457930">
          <a:extLst>
            <a:ext uri="{FF2B5EF4-FFF2-40B4-BE49-F238E27FC236}">
              <a16:creationId xmlns:a16="http://schemas.microsoft.com/office/drawing/2014/main" id="{8DEE5875-3222-4B9B-A459-64C5637429B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402" name="x_Picture 1" descr="Description: cid:image001.png@01D03949.49457930">
          <a:extLst>
            <a:ext uri="{FF2B5EF4-FFF2-40B4-BE49-F238E27FC236}">
              <a16:creationId xmlns:a16="http://schemas.microsoft.com/office/drawing/2014/main" id="{59CC27F0-EF4B-4A73-B502-31AE89F9F0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35</xdr:row>
      <xdr:rowOff>0</xdr:rowOff>
    </xdr:from>
    <xdr:ext cx="279605" cy="315045"/>
    <xdr:sp macro="" textlink="">
      <xdr:nvSpPr>
        <xdr:cNvPr id="2403" name="x_Picture 1" descr="Description: cid:image001.png@01D03949.49457930">
          <a:extLst>
            <a:ext uri="{FF2B5EF4-FFF2-40B4-BE49-F238E27FC236}">
              <a16:creationId xmlns:a16="http://schemas.microsoft.com/office/drawing/2014/main" id="{93FE19A9-42AB-4DD4-B6C3-FA880F6DFD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404" name="x_Picture 1" descr="Description: cid:image001.png@01D03949.49457930">
          <a:extLst>
            <a:ext uri="{FF2B5EF4-FFF2-40B4-BE49-F238E27FC236}">
              <a16:creationId xmlns:a16="http://schemas.microsoft.com/office/drawing/2014/main" id="{8B08443C-09C1-4104-9C24-A86BB423A18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405" name="x_Picture 1" descr="Description: cid:image001.png@01D03949.49457930">
          <a:extLst>
            <a:ext uri="{FF2B5EF4-FFF2-40B4-BE49-F238E27FC236}">
              <a16:creationId xmlns:a16="http://schemas.microsoft.com/office/drawing/2014/main" id="{3D6543C1-FDDA-471D-9203-C6D34F6E28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406" name="x_Picture 1" descr="Description: cid:image001.png@01D03949.49457930">
          <a:extLst>
            <a:ext uri="{FF2B5EF4-FFF2-40B4-BE49-F238E27FC236}">
              <a16:creationId xmlns:a16="http://schemas.microsoft.com/office/drawing/2014/main" id="{1E849E52-7F06-4B21-AE6B-C961CE0002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408" name="x_Picture 1" descr="Description: cid:image001.png@01D03949.49457930">
          <a:extLst>
            <a:ext uri="{FF2B5EF4-FFF2-40B4-BE49-F238E27FC236}">
              <a16:creationId xmlns:a16="http://schemas.microsoft.com/office/drawing/2014/main" id="{DFD19BD0-E0F5-43CD-BD39-2369909F1F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409" name="x_Picture 1" descr="Description: cid:image001.png@01D03949.49457930">
          <a:extLst>
            <a:ext uri="{FF2B5EF4-FFF2-40B4-BE49-F238E27FC236}">
              <a16:creationId xmlns:a16="http://schemas.microsoft.com/office/drawing/2014/main" id="{30640277-6485-4228-B184-55591AB82D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410" name="x_Picture 1" descr="Description: cid:image001.png@01D03949.49457930">
          <a:extLst>
            <a:ext uri="{FF2B5EF4-FFF2-40B4-BE49-F238E27FC236}">
              <a16:creationId xmlns:a16="http://schemas.microsoft.com/office/drawing/2014/main" id="{61338310-FC2B-41ED-B5CB-832D8AFD49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411" name="x_Picture 1" descr="Description: cid:image001.png@01D03949.49457930">
          <a:extLst>
            <a:ext uri="{FF2B5EF4-FFF2-40B4-BE49-F238E27FC236}">
              <a16:creationId xmlns:a16="http://schemas.microsoft.com/office/drawing/2014/main" id="{3F1328D8-CFC6-4B29-9CAB-2A6D0AD0243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2412" name="x_Picture 1" descr="Description: cid:image001.png@01D03949.49457930">
          <a:extLst>
            <a:ext uri="{FF2B5EF4-FFF2-40B4-BE49-F238E27FC236}">
              <a16:creationId xmlns:a16="http://schemas.microsoft.com/office/drawing/2014/main" id="{415ED915-872C-4A54-9EB8-66DA077B1F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13" name="x_Picture 1" descr="Description: cid:image001.png@01D03949.49457930">
          <a:extLst>
            <a:ext uri="{FF2B5EF4-FFF2-40B4-BE49-F238E27FC236}">
              <a16:creationId xmlns:a16="http://schemas.microsoft.com/office/drawing/2014/main" id="{9EF8F2D0-5E57-4D7A-AA25-E6C1097CC7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35</xdr:row>
      <xdr:rowOff>0</xdr:rowOff>
    </xdr:from>
    <xdr:ext cx="279605" cy="315045"/>
    <xdr:sp macro="" textlink="">
      <xdr:nvSpPr>
        <xdr:cNvPr id="2414" name="x_Picture 1" descr="Description: cid:image001.png@01D03949.49457930">
          <a:extLst>
            <a:ext uri="{FF2B5EF4-FFF2-40B4-BE49-F238E27FC236}">
              <a16:creationId xmlns:a16="http://schemas.microsoft.com/office/drawing/2014/main" id="{03E91519-B2D8-4726-BF7C-12E154BA41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15" name="x_Picture 1" descr="Description: cid:image001.png@01D03949.49457930">
          <a:extLst>
            <a:ext uri="{FF2B5EF4-FFF2-40B4-BE49-F238E27FC236}">
              <a16:creationId xmlns:a16="http://schemas.microsoft.com/office/drawing/2014/main" id="{0A1CC461-AA73-40CF-BD58-44921FC157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16" name="x_Picture 1" descr="Description: cid:image001.png@01D03949.49457930">
          <a:extLst>
            <a:ext uri="{FF2B5EF4-FFF2-40B4-BE49-F238E27FC236}">
              <a16:creationId xmlns:a16="http://schemas.microsoft.com/office/drawing/2014/main" id="{D0EDB63D-1CCA-4ED2-A25F-6649622764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17" name="x_Picture 1" descr="Description: cid:image001.png@01D03949.49457930">
          <a:extLst>
            <a:ext uri="{FF2B5EF4-FFF2-40B4-BE49-F238E27FC236}">
              <a16:creationId xmlns:a16="http://schemas.microsoft.com/office/drawing/2014/main" id="{0B8AAFF6-6295-4E13-9F74-292A7CE153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18" name="x_Picture 1" descr="Description: cid:image001.png@01D03949.49457930">
          <a:extLst>
            <a:ext uri="{FF2B5EF4-FFF2-40B4-BE49-F238E27FC236}">
              <a16:creationId xmlns:a16="http://schemas.microsoft.com/office/drawing/2014/main" id="{B0304211-82D5-40EC-A4DE-24AA388D09F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19" name="x_Picture 1" descr="Description: cid:image001.png@01D03949.49457930">
          <a:extLst>
            <a:ext uri="{FF2B5EF4-FFF2-40B4-BE49-F238E27FC236}">
              <a16:creationId xmlns:a16="http://schemas.microsoft.com/office/drawing/2014/main" id="{87F8D058-8453-425E-8404-027DC21F44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20" name="x_Picture 1" descr="Description: cid:image001.png@01D03949.49457930">
          <a:extLst>
            <a:ext uri="{FF2B5EF4-FFF2-40B4-BE49-F238E27FC236}">
              <a16:creationId xmlns:a16="http://schemas.microsoft.com/office/drawing/2014/main" id="{F0E2712B-7E27-44DA-84A8-A0038A6178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21" name="x_Picture 1" descr="Description: cid:image001.png@01D03949.49457930">
          <a:extLst>
            <a:ext uri="{FF2B5EF4-FFF2-40B4-BE49-F238E27FC236}">
              <a16:creationId xmlns:a16="http://schemas.microsoft.com/office/drawing/2014/main" id="{4C9E2D0A-6E88-459D-AE17-D5A33F9F3A4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22" name="x_Picture 1" descr="Description: cid:image001.png@01D03949.49457930">
          <a:extLst>
            <a:ext uri="{FF2B5EF4-FFF2-40B4-BE49-F238E27FC236}">
              <a16:creationId xmlns:a16="http://schemas.microsoft.com/office/drawing/2014/main" id="{B83149E8-1742-4257-9A7F-8133CCEF6D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23" name="x_Picture 1" descr="Description: cid:image001.png@01D03949.49457930">
          <a:extLst>
            <a:ext uri="{FF2B5EF4-FFF2-40B4-BE49-F238E27FC236}">
              <a16:creationId xmlns:a16="http://schemas.microsoft.com/office/drawing/2014/main" id="{71B80180-488A-4606-BCC9-E220C401CA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24" name="x_Picture 1" descr="Description: cid:image001.png@01D03949.49457930">
          <a:extLst>
            <a:ext uri="{FF2B5EF4-FFF2-40B4-BE49-F238E27FC236}">
              <a16:creationId xmlns:a16="http://schemas.microsoft.com/office/drawing/2014/main" id="{E5A1B3AD-7F89-48A3-959A-B9A08584BA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26" name="x_Picture 1" descr="Description: cid:image001.png@01D03949.49457930">
          <a:extLst>
            <a:ext uri="{FF2B5EF4-FFF2-40B4-BE49-F238E27FC236}">
              <a16:creationId xmlns:a16="http://schemas.microsoft.com/office/drawing/2014/main" id="{89EA03DA-D9AC-4348-8908-F19A2C3924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27" name="x_Picture 1" descr="Description: cid:image001.png@01D03949.49457930">
          <a:extLst>
            <a:ext uri="{FF2B5EF4-FFF2-40B4-BE49-F238E27FC236}">
              <a16:creationId xmlns:a16="http://schemas.microsoft.com/office/drawing/2014/main" id="{6675A1FF-7A66-4B1F-A64E-D5A67D822C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28" name="x_Picture 1" descr="Description: cid:image001.png@01D03949.49457930">
          <a:extLst>
            <a:ext uri="{FF2B5EF4-FFF2-40B4-BE49-F238E27FC236}">
              <a16:creationId xmlns:a16="http://schemas.microsoft.com/office/drawing/2014/main" id="{48A0D575-A915-4816-916F-A3BEEFB251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30" name="x_Picture 1" descr="Description: cid:image001.png@01D03949.49457930">
          <a:extLst>
            <a:ext uri="{FF2B5EF4-FFF2-40B4-BE49-F238E27FC236}">
              <a16:creationId xmlns:a16="http://schemas.microsoft.com/office/drawing/2014/main" id="{C7EE97B5-7A05-45AB-A127-94025AC626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31" name="x_Picture 1" descr="Description: cid:image001.png@01D03949.49457930">
          <a:extLst>
            <a:ext uri="{FF2B5EF4-FFF2-40B4-BE49-F238E27FC236}">
              <a16:creationId xmlns:a16="http://schemas.microsoft.com/office/drawing/2014/main" id="{71FE56CA-0354-4838-B5CF-C3A65344D6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32" name="x_Picture 1" descr="Description: cid:image001.png@01D03949.49457930">
          <a:extLst>
            <a:ext uri="{FF2B5EF4-FFF2-40B4-BE49-F238E27FC236}">
              <a16:creationId xmlns:a16="http://schemas.microsoft.com/office/drawing/2014/main" id="{3E70C537-E8C1-4959-892F-5CD3E95812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33" name="x_Picture 1" descr="Description: cid:image001.png@01D03949.49457930">
          <a:extLst>
            <a:ext uri="{FF2B5EF4-FFF2-40B4-BE49-F238E27FC236}">
              <a16:creationId xmlns:a16="http://schemas.microsoft.com/office/drawing/2014/main" id="{B89D42D5-1B79-4629-810D-92B8B43D0F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34" name="x_Picture 1" descr="Description: cid:image001.png@01D03949.49457930">
          <a:extLst>
            <a:ext uri="{FF2B5EF4-FFF2-40B4-BE49-F238E27FC236}">
              <a16:creationId xmlns:a16="http://schemas.microsoft.com/office/drawing/2014/main" id="{C42E6A0B-AE73-4ADB-9FD3-98EDDAD6DC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35" name="x_Picture 1" descr="Description: cid:image001.png@01D03949.49457930">
          <a:extLst>
            <a:ext uri="{FF2B5EF4-FFF2-40B4-BE49-F238E27FC236}">
              <a16:creationId xmlns:a16="http://schemas.microsoft.com/office/drawing/2014/main" id="{A29F2E09-62E4-4E1B-B60F-F2D71CB17A0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2436" name="x_Picture 1" descr="Description: cid:image001.png@01D03949.49457930">
          <a:extLst>
            <a:ext uri="{FF2B5EF4-FFF2-40B4-BE49-F238E27FC236}">
              <a16:creationId xmlns:a16="http://schemas.microsoft.com/office/drawing/2014/main" id="{64650A93-BBFD-45A7-9A9C-FABA7A10803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37" name="x_Picture 1" descr="Description: cid:image001.png@01D03949.49457930">
          <a:extLst>
            <a:ext uri="{FF2B5EF4-FFF2-40B4-BE49-F238E27FC236}">
              <a16:creationId xmlns:a16="http://schemas.microsoft.com/office/drawing/2014/main" id="{DA721233-C647-409B-8782-903495619E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38" name="x_Picture 1" descr="Description: cid:image001.png@01D03949.49457930">
          <a:extLst>
            <a:ext uri="{FF2B5EF4-FFF2-40B4-BE49-F238E27FC236}">
              <a16:creationId xmlns:a16="http://schemas.microsoft.com/office/drawing/2014/main" id="{E5C968A4-7E1D-4EB4-93DA-9A7695A6C6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39" name="x_Picture 1" descr="Description: cid:image001.png@01D03949.49457930">
          <a:extLst>
            <a:ext uri="{FF2B5EF4-FFF2-40B4-BE49-F238E27FC236}">
              <a16:creationId xmlns:a16="http://schemas.microsoft.com/office/drawing/2014/main" id="{CA8DDB95-9077-4CE3-B00C-38F4B17756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40" name="x_Picture 1" descr="Description: cid:image001.png@01D03949.49457930">
          <a:extLst>
            <a:ext uri="{FF2B5EF4-FFF2-40B4-BE49-F238E27FC236}">
              <a16:creationId xmlns:a16="http://schemas.microsoft.com/office/drawing/2014/main" id="{F19C822E-5E89-412D-9351-92C60E8814D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41" name="x_Picture 1" descr="Description: cid:image001.png@01D03949.49457930">
          <a:extLst>
            <a:ext uri="{FF2B5EF4-FFF2-40B4-BE49-F238E27FC236}">
              <a16:creationId xmlns:a16="http://schemas.microsoft.com/office/drawing/2014/main" id="{4B327B3E-1B41-4451-A24D-B0BF487EAC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42" name="x_Picture 1" descr="Description: cid:image001.png@01D03949.49457930">
          <a:extLst>
            <a:ext uri="{FF2B5EF4-FFF2-40B4-BE49-F238E27FC236}">
              <a16:creationId xmlns:a16="http://schemas.microsoft.com/office/drawing/2014/main" id="{CAA9CAF1-D233-4BAA-AD7A-03989199A2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43" name="x_Picture 1" descr="Description: cid:image001.png@01D03949.49457930">
          <a:extLst>
            <a:ext uri="{FF2B5EF4-FFF2-40B4-BE49-F238E27FC236}">
              <a16:creationId xmlns:a16="http://schemas.microsoft.com/office/drawing/2014/main" id="{E90CCCDC-4AFC-41C1-B5DE-8F22DBD3C7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44" name="x_Picture 1" descr="Description: cid:image001.png@01D03949.49457930">
          <a:extLst>
            <a:ext uri="{FF2B5EF4-FFF2-40B4-BE49-F238E27FC236}">
              <a16:creationId xmlns:a16="http://schemas.microsoft.com/office/drawing/2014/main" id="{ED8B6D6C-4EA1-401C-8EFA-DCC669532F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45" name="x_Picture 1" descr="Description: cid:image001.png@01D03949.49457930">
          <a:extLst>
            <a:ext uri="{FF2B5EF4-FFF2-40B4-BE49-F238E27FC236}">
              <a16:creationId xmlns:a16="http://schemas.microsoft.com/office/drawing/2014/main" id="{45140E2B-CDFD-42A1-B20B-45BEE0753B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46" name="x_Picture 1" descr="Description: cid:image001.png@01D03949.49457930">
          <a:extLst>
            <a:ext uri="{FF2B5EF4-FFF2-40B4-BE49-F238E27FC236}">
              <a16:creationId xmlns:a16="http://schemas.microsoft.com/office/drawing/2014/main" id="{D127221D-B943-4B16-ABB6-BD205FED4A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47" name="x_Picture 1" descr="Description: cid:image001.png@01D03949.49457930">
          <a:extLst>
            <a:ext uri="{FF2B5EF4-FFF2-40B4-BE49-F238E27FC236}">
              <a16:creationId xmlns:a16="http://schemas.microsoft.com/office/drawing/2014/main" id="{4C45D612-FCBC-4077-B399-0AED2C5551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48" name="x_Picture 1" descr="Description: cid:image001.png@01D03949.49457930">
          <a:extLst>
            <a:ext uri="{FF2B5EF4-FFF2-40B4-BE49-F238E27FC236}">
              <a16:creationId xmlns:a16="http://schemas.microsoft.com/office/drawing/2014/main" id="{3141A872-BF09-4200-87E6-48CA96ACE2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49" name="x_Picture 1" descr="Description: cid:image001.png@01D03949.49457930">
          <a:extLst>
            <a:ext uri="{FF2B5EF4-FFF2-40B4-BE49-F238E27FC236}">
              <a16:creationId xmlns:a16="http://schemas.microsoft.com/office/drawing/2014/main" id="{0456878F-611F-4C80-B17A-9E95476142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50" name="x_Picture 1" descr="Description: cid:image001.png@01D03949.49457930">
          <a:extLst>
            <a:ext uri="{FF2B5EF4-FFF2-40B4-BE49-F238E27FC236}">
              <a16:creationId xmlns:a16="http://schemas.microsoft.com/office/drawing/2014/main" id="{67AE97A9-7F9D-46F5-A749-88DCA0F88C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51" name="x_Picture 1" descr="Description: cid:image001.png@01D03949.49457930">
          <a:extLst>
            <a:ext uri="{FF2B5EF4-FFF2-40B4-BE49-F238E27FC236}">
              <a16:creationId xmlns:a16="http://schemas.microsoft.com/office/drawing/2014/main" id="{2D9A2126-DBD4-4BD5-B503-1A040B10DD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52" name="x_Picture 1" descr="Description: cid:image001.png@01D03949.49457930">
          <a:extLst>
            <a:ext uri="{FF2B5EF4-FFF2-40B4-BE49-F238E27FC236}">
              <a16:creationId xmlns:a16="http://schemas.microsoft.com/office/drawing/2014/main" id="{5FB9A7CD-806E-461A-B5D5-7973DB38EF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53" name="x_Picture 1" descr="Description: cid:image001.png@01D03949.49457930">
          <a:extLst>
            <a:ext uri="{FF2B5EF4-FFF2-40B4-BE49-F238E27FC236}">
              <a16:creationId xmlns:a16="http://schemas.microsoft.com/office/drawing/2014/main" id="{FED33D0F-AAC8-4C67-BEEF-7AE5C227D4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54" name="x_Picture 1" descr="Description: cid:image001.png@01D03949.49457930">
          <a:extLst>
            <a:ext uri="{FF2B5EF4-FFF2-40B4-BE49-F238E27FC236}">
              <a16:creationId xmlns:a16="http://schemas.microsoft.com/office/drawing/2014/main" id="{116BE6C4-25F2-47AB-8A7A-DCC5A8326B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55" name="x_Picture 1" descr="Description: cid:image001.png@01D03949.49457930">
          <a:extLst>
            <a:ext uri="{FF2B5EF4-FFF2-40B4-BE49-F238E27FC236}">
              <a16:creationId xmlns:a16="http://schemas.microsoft.com/office/drawing/2014/main" id="{129B81A2-D9F0-4938-B4E4-6076A8308C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56" name="x_Picture 1" descr="Description: cid:image001.png@01D03949.49457930">
          <a:extLst>
            <a:ext uri="{FF2B5EF4-FFF2-40B4-BE49-F238E27FC236}">
              <a16:creationId xmlns:a16="http://schemas.microsoft.com/office/drawing/2014/main" id="{E3D028CF-8230-48BB-A222-51D30891AA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57" name="x_Picture 1" descr="Description: cid:image001.png@01D03949.49457930">
          <a:extLst>
            <a:ext uri="{FF2B5EF4-FFF2-40B4-BE49-F238E27FC236}">
              <a16:creationId xmlns:a16="http://schemas.microsoft.com/office/drawing/2014/main" id="{3E7968B7-7608-42CC-B12E-9EEE76F6D6C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58" name="x_Picture 1" descr="Description: cid:image001.png@01D03949.49457930">
          <a:extLst>
            <a:ext uri="{FF2B5EF4-FFF2-40B4-BE49-F238E27FC236}">
              <a16:creationId xmlns:a16="http://schemas.microsoft.com/office/drawing/2014/main" id="{B13ED163-8935-4852-80EC-0F57480594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59" name="x_Picture 1" descr="Description: cid:image001.png@01D03949.49457930">
          <a:extLst>
            <a:ext uri="{FF2B5EF4-FFF2-40B4-BE49-F238E27FC236}">
              <a16:creationId xmlns:a16="http://schemas.microsoft.com/office/drawing/2014/main" id="{8911B864-CC8E-488A-814F-BEF369CA82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60" name="x_Picture 1" descr="Description: cid:image001.png@01D03949.49457930">
          <a:extLst>
            <a:ext uri="{FF2B5EF4-FFF2-40B4-BE49-F238E27FC236}">
              <a16:creationId xmlns:a16="http://schemas.microsoft.com/office/drawing/2014/main" id="{5160AE63-2259-47DF-A377-40C609B62B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61" name="x_Picture 1" descr="Description: cid:image001.png@01D03949.49457930">
          <a:extLst>
            <a:ext uri="{FF2B5EF4-FFF2-40B4-BE49-F238E27FC236}">
              <a16:creationId xmlns:a16="http://schemas.microsoft.com/office/drawing/2014/main" id="{5602D52B-2748-4FF8-883D-704E8C6728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62" name="x_Picture 1" descr="Description: cid:image001.png@01D03949.49457930">
          <a:extLst>
            <a:ext uri="{FF2B5EF4-FFF2-40B4-BE49-F238E27FC236}">
              <a16:creationId xmlns:a16="http://schemas.microsoft.com/office/drawing/2014/main" id="{A874783B-DD5B-4010-8FBB-B2F0FF7CFC7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63" name="x_Picture 1" descr="Description: cid:image001.png@01D03949.49457930">
          <a:extLst>
            <a:ext uri="{FF2B5EF4-FFF2-40B4-BE49-F238E27FC236}">
              <a16:creationId xmlns:a16="http://schemas.microsoft.com/office/drawing/2014/main" id="{6F278002-1914-4377-A638-4DFAAA6D92A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64" name="x_Picture 1" descr="Description: cid:image001.png@01D03949.49457930">
          <a:extLst>
            <a:ext uri="{FF2B5EF4-FFF2-40B4-BE49-F238E27FC236}">
              <a16:creationId xmlns:a16="http://schemas.microsoft.com/office/drawing/2014/main" id="{2AFA0064-12BC-4701-9219-DF6C7BF2BF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65" name="x_Picture 1" descr="Description: cid:image001.png@01D03949.49457930">
          <a:extLst>
            <a:ext uri="{FF2B5EF4-FFF2-40B4-BE49-F238E27FC236}">
              <a16:creationId xmlns:a16="http://schemas.microsoft.com/office/drawing/2014/main" id="{C6BC1EFD-79FF-4A32-9A83-CE6C646B05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66" name="x_Picture 1" descr="Description: cid:image001.png@01D03949.49457930">
          <a:extLst>
            <a:ext uri="{FF2B5EF4-FFF2-40B4-BE49-F238E27FC236}">
              <a16:creationId xmlns:a16="http://schemas.microsoft.com/office/drawing/2014/main" id="{51F8C548-DF91-4C31-8AD2-6B0FD07519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67" name="x_Picture 1" descr="Description: cid:image001.png@01D03949.49457930">
          <a:extLst>
            <a:ext uri="{FF2B5EF4-FFF2-40B4-BE49-F238E27FC236}">
              <a16:creationId xmlns:a16="http://schemas.microsoft.com/office/drawing/2014/main" id="{BCC31B81-0F8C-47F8-ABBD-668100C850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68" name="x_Picture 1" descr="Description: cid:image001.png@01D03949.49457930">
          <a:extLst>
            <a:ext uri="{FF2B5EF4-FFF2-40B4-BE49-F238E27FC236}">
              <a16:creationId xmlns:a16="http://schemas.microsoft.com/office/drawing/2014/main" id="{F859B189-51C5-4115-BE67-F681A86674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69" name="x_Picture 1" descr="Description: cid:image001.png@01D03949.49457930">
          <a:extLst>
            <a:ext uri="{FF2B5EF4-FFF2-40B4-BE49-F238E27FC236}">
              <a16:creationId xmlns:a16="http://schemas.microsoft.com/office/drawing/2014/main" id="{A22E2CE8-2189-4E57-B3E6-C13DB694AF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70" name="x_Picture 1" descr="Description: cid:image001.png@01D03949.49457930">
          <a:extLst>
            <a:ext uri="{FF2B5EF4-FFF2-40B4-BE49-F238E27FC236}">
              <a16:creationId xmlns:a16="http://schemas.microsoft.com/office/drawing/2014/main" id="{6012EE8F-C13D-42B4-8A5E-B97E2BE43A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71" name="x_Picture 1" descr="Description: cid:image001.png@01D03949.49457930">
          <a:extLst>
            <a:ext uri="{FF2B5EF4-FFF2-40B4-BE49-F238E27FC236}">
              <a16:creationId xmlns:a16="http://schemas.microsoft.com/office/drawing/2014/main" id="{C511C766-9FA5-4361-9645-2FE076F502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72" name="x_Picture 1" descr="Description: cid:image001.png@01D03949.49457930">
          <a:extLst>
            <a:ext uri="{FF2B5EF4-FFF2-40B4-BE49-F238E27FC236}">
              <a16:creationId xmlns:a16="http://schemas.microsoft.com/office/drawing/2014/main" id="{FACCC28C-46EC-4FB0-81F2-EE11D9DFD3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73" name="x_Picture 1" descr="Description: cid:image001.png@01D03949.49457930">
          <a:extLst>
            <a:ext uri="{FF2B5EF4-FFF2-40B4-BE49-F238E27FC236}">
              <a16:creationId xmlns:a16="http://schemas.microsoft.com/office/drawing/2014/main" id="{B10B9125-AB5E-418C-85F4-7EBA211F45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74" name="x_Picture 1" descr="Description: cid:image001.png@01D03949.49457930">
          <a:extLst>
            <a:ext uri="{FF2B5EF4-FFF2-40B4-BE49-F238E27FC236}">
              <a16:creationId xmlns:a16="http://schemas.microsoft.com/office/drawing/2014/main" id="{24798E53-9BF9-4B72-B914-AB50AED1E6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75" name="x_Picture 1" descr="Description: cid:image001.png@01D03949.49457930">
          <a:extLst>
            <a:ext uri="{FF2B5EF4-FFF2-40B4-BE49-F238E27FC236}">
              <a16:creationId xmlns:a16="http://schemas.microsoft.com/office/drawing/2014/main" id="{4BC2BCF9-4C33-4F2E-9282-1E2D3C0CFE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76" name="x_Picture 1" descr="Description: cid:image001.png@01D03949.49457930">
          <a:extLst>
            <a:ext uri="{FF2B5EF4-FFF2-40B4-BE49-F238E27FC236}">
              <a16:creationId xmlns:a16="http://schemas.microsoft.com/office/drawing/2014/main" id="{D3D431CE-2220-492D-8481-E0E97A43F6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77" name="x_Picture 1" descr="Description: cid:image001.png@01D03949.49457930">
          <a:extLst>
            <a:ext uri="{FF2B5EF4-FFF2-40B4-BE49-F238E27FC236}">
              <a16:creationId xmlns:a16="http://schemas.microsoft.com/office/drawing/2014/main" id="{8B55F922-93F5-458C-B406-1336E2DF89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78" name="x_Picture 1" descr="Description: cid:image001.png@01D03949.49457930">
          <a:extLst>
            <a:ext uri="{FF2B5EF4-FFF2-40B4-BE49-F238E27FC236}">
              <a16:creationId xmlns:a16="http://schemas.microsoft.com/office/drawing/2014/main" id="{24D2028C-7820-4D4B-B690-4760996736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79" name="x_Picture 1" descr="Description: cid:image001.png@01D03949.49457930">
          <a:extLst>
            <a:ext uri="{FF2B5EF4-FFF2-40B4-BE49-F238E27FC236}">
              <a16:creationId xmlns:a16="http://schemas.microsoft.com/office/drawing/2014/main" id="{54A2B42D-5FA0-4E3E-8DC9-CE2F12F137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0" name="x_Picture 1" descr="Description: cid:image001.png@01D03949.49457930">
          <a:extLst>
            <a:ext uri="{FF2B5EF4-FFF2-40B4-BE49-F238E27FC236}">
              <a16:creationId xmlns:a16="http://schemas.microsoft.com/office/drawing/2014/main" id="{3470801D-367D-42F6-901B-D77C3658A1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1" name="x_Picture 1" descr="Description: cid:image001.png@01D03949.49457930">
          <a:extLst>
            <a:ext uri="{FF2B5EF4-FFF2-40B4-BE49-F238E27FC236}">
              <a16:creationId xmlns:a16="http://schemas.microsoft.com/office/drawing/2014/main" id="{2C2807E0-4F45-4CCB-8EE4-EB0A5B48A9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2" name="x_Picture 1" descr="Description: cid:image001.png@01D03949.49457930">
          <a:extLst>
            <a:ext uri="{FF2B5EF4-FFF2-40B4-BE49-F238E27FC236}">
              <a16:creationId xmlns:a16="http://schemas.microsoft.com/office/drawing/2014/main" id="{7D422272-347B-4AC1-BF92-3BE889BC27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3" name="x_Picture 1" descr="Description: cid:image001.png@01D03949.49457930">
          <a:extLst>
            <a:ext uri="{FF2B5EF4-FFF2-40B4-BE49-F238E27FC236}">
              <a16:creationId xmlns:a16="http://schemas.microsoft.com/office/drawing/2014/main" id="{6A91E5F7-1665-4EF5-AF43-ECFD1FBFD2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4" name="x_Picture 1" descr="Description: cid:image001.png@01D03949.49457930">
          <a:extLst>
            <a:ext uri="{FF2B5EF4-FFF2-40B4-BE49-F238E27FC236}">
              <a16:creationId xmlns:a16="http://schemas.microsoft.com/office/drawing/2014/main" id="{AA7E89F6-6A56-4EF6-8B99-11F22A90D8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5" name="x_Picture 1" descr="Description: cid:image001.png@01D03949.49457930">
          <a:extLst>
            <a:ext uri="{FF2B5EF4-FFF2-40B4-BE49-F238E27FC236}">
              <a16:creationId xmlns:a16="http://schemas.microsoft.com/office/drawing/2014/main" id="{9680D39C-7A73-4962-A766-8F28873AC1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6" name="x_Picture 1" descr="Description: cid:image001.png@01D03949.49457930">
          <a:extLst>
            <a:ext uri="{FF2B5EF4-FFF2-40B4-BE49-F238E27FC236}">
              <a16:creationId xmlns:a16="http://schemas.microsoft.com/office/drawing/2014/main" id="{2E635796-A285-4D28-BAA5-9A51B218C0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7" name="x_Picture 1" descr="Description: cid:image001.png@01D03949.49457930">
          <a:extLst>
            <a:ext uri="{FF2B5EF4-FFF2-40B4-BE49-F238E27FC236}">
              <a16:creationId xmlns:a16="http://schemas.microsoft.com/office/drawing/2014/main" id="{E4C459E5-47F9-45DB-87E1-46412AFFB3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8" name="x_Picture 1" descr="Description: cid:image001.png@01D03949.49457930">
          <a:extLst>
            <a:ext uri="{FF2B5EF4-FFF2-40B4-BE49-F238E27FC236}">
              <a16:creationId xmlns:a16="http://schemas.microsoft.com/office/drawing/2014/main" id="{477C182A-9648-4A21-85ED-59A204BC39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89" name="x_Picture 1" descr="Description: cid:image001.png@01D03949.49457930">
          <a:extLst>
            <a:ext uri="{FF2B5EF4-FFF2-40B4-BE49-F238E27FC236}">
              <a16:creationId xmlns:a16="http://schemas.microsoft.com/office/drawing/2014/main" id="{ABA56E1C-C53B-4482-9F3B-2C963BEEDBC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90" name="x_Picture 1" descr="Description: cid:image001.png@01D03949.49457930">
          <a:extLst>
            <a:ext uri="{FF2B5EF4-FFF2-40B4-BE49-F238E27FC236}">
              <a16:creationId xmlns:a16="http://schemas.microsoft.com/office/drawing/2014/main" id="{5D73CFA5-8603-4C8F-8A93-12E0379520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91" name="x_Picture 1" descr="Description: cid:image001.png@01D03949.49457930">
          <a:extLst>
            <a:ext uri="{FF2B5EF4-FFF2-40B4-BE49-F238E27FC236}">
              <a16:creationId xmlns:a16="http://schemas.microsoft.com/office/drawing/2014/main" id="{CF922D0C-976A-4A98-922D-2E83F517C5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492" name="x_Picture 1" descr="Description: cid:image001.png@01D03949.49457930">
          <a:extLst>
            <a:ext uri="{FF2B5EF4-FFF2-40B4-BE49-F238E27FC236}">
              <a16:creationId xmlns:a16="http://schemas.microsoft.com/office/drawing/2014/main" id="{4FF1E3CF-3285-4170-9FB2-A2B423A86F5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93" name="x_Picture 1" descr="Description: cid:image001.png@01D03949.49457930">
          <a:extLst>
            <a:ext uri="{FF2B5EF4-FFF2-40B4-BE49-F238E27FC236}">
              <a16:creationId xmlns:a16="http://schemas.microsoft.com/office/drawing/2014/main" id="{2BC60E83-A659-432B-A660-03FDE7A24E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94" name="x_Picture 1" descr="Description: cid:image001.png@01D03949.49457930">
          <a:extLst>
            <a:ext uri="{FF2B5EF4-FFF2-40B4-BE49-F238E27FC236}">
              <a16:creationId xmlns:a16="http://schemas.microsoft.com/office/drawing/2014/main" id="{027F46CD-721A-4D17-98BF-14870BE3F3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95" name="x_Picture 1" descr="Description: cid:image001.png@01D03949.49457930">
          <a:extLst>
            <a:ext uri="{FF2B5EF4-FFF2-40B4-BE49-F238E27FC236}">
              <a16:creationId xmlns:a16="http://schemas.microsoft.com/office/drawing/2014/main" id="{4628F279-93CD-4497-8BE3-0D4AF6C161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96" name="x_Picture 1" descr="Description: cid:image001.png@01D03949.49457930">
          <a:extLst>
            <a:ext uri="{FF2B5EF4-FFF2-40B4-BE49-F238E27FC236}">
              <a16:creationId xmlns:a16="http://schemas.microsoft.com/office/drawing/2014/main" id="{6E551665-4D30-4C21-B208-9F459772AA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97" name="x_Picture 1" descr="Description: cid:image001.png@01D03949.49457930">
          <a:extLst>
            <a:ext uri="{FF2B5EF4-FFF2-40B4-BE49-F238E27FC236}">
              <a16:creationId xmlns:a16="http://schemas.microsoft.com/office/drawing/2014/main" id="{D20B60D8-BEEA-4BFB-8014-A9E5812C67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98" name="x_Picture 1" descr="Description: cid:image001.png@01D03949.49457930">
          <a:extLst>
            <a:ext uri="{FF2B5EF4-FFF2-40B4-BE49-F238E27FC236}">
              <a16:creationId xmlns:a16="http://schemas.microsoft.com/office/drawing/2014/main" id="{8FFE9488-78DB-49BF-8796-4B7D243D2D9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499" name="x_Picture 1" descr="Description: cid:image001.png@01D03949.49457930">
          <a:extLst>
            <a:ext uri="{FF2B5EF4-FFF2-40B4-BE49-F238E27FC236}">
              <a16:creationId xmlns:a16="http://schemas.microsoft.com/office/drawing/2014/main" id="{1100A818-15DB-422A-AEAA-9FB5787597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00" name="x_Picture 1" descr="Description: cid:image001.png@01D03949.49457930">
          <a:extLst>
            <a:ext uri="{FF2B5EF4-FFF2-40B4-BE49-F238E27FC236}">
              <a16:creationId xmlns:a16="http://schemas.microsoft.com/office/drawing/2014/main" id="{491519CE-3DAA-43A5-B41D-124285CF8E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01" name="x_Picture 1" descr="Description: cid:image001.png@01D03949.49457930">
          <a:extLst>
            <a:ext uri="{FF2B5EF4-FFF2-40B4-BE49-F238E27FC236}">
              <a16:creationId xmlns:a16="http://schemas.microsoft.com/office/drawing/2014/main" id="{51540D8B-DB28-451B-9372-78BEFFEE51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02" name="x_Picture 1" descr="Description: cid:image001.png@01D03949.49457930">
          <a:extLst>
            <a:ext uri="{FF2B5EF4-FFF2-40B4-BE49-F238E27FC236}">
              <a16:creationId xmlns:a16="http://schemas.microsoft.com/office/drawing/2014/main" id="{BEBB03A1-B297-4B6B-834D-FDF0BCB035C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03" name="x_Picture 1" descr="Description: cid:image001.png@01D03949.49457930">
          <a:extLst>
            <a:ext uri="{FF2B5EF4-FFF2-40B4-BE49-F238E27FC236}">
              <a16:creationId xmlns:a16="http://schemas.microsoft.com/office/drawing/2014/main" id="{5137DE46-8C16-4CE9-BE95-B15490506E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04" name="x_Picture 1" descr="Description: cid:image001.png@01D03949.49457930">
          <a:extLst>
            <a:ext uri="{FF2B5EF4-FFF2-40B4-BE49-F238E27FC236}">
              <a16:creationId xmlns:a16="http://schemas.microsoft.com/office/drawing/2014/main" id="{0B4FF353-8DB7-4189-A6D8-D750C2D31A5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05" name="x_Picture 1" descr="Description: cid:image001.png@01D03949.49457930">
          <a:extLst>
            <a:ext uri="{FF2B5EF4-FFF2-40B4-BE49-F238E27FC236}">
              <a16:creationId xmlns:a16="http://schemas.microsoft.com/office/drawing/2014/main" id="{5F32AA97-66A1-4963-8563-5006D6C7C7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06" name="x_Picture 1" descr="Description: cid:image001.png@01D03949.49457930">
          <a:extLst>
            <a:ext uri="{FF2B5EF4-FFF2-40B4-BE49-F238E27FC236}">
              <a16:creationId xmlns:a16="http://schemas.microsoft.com/office/drawing/2014/main" id="{636D39CC-49DD-474C-AE64-7569E297663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07" name="x_Picture 1" descr="Description: cid:image001.png@01D03949.49457930">
          <a:extLst>
            <a:ext uri="{FF2B5EF4-FFF2-40B4-BE49-F238E27FC236}">
              <a16:creationId xmlns:a16="http://schemas.microsoft.com/office/drawing/2014/main" id="{391762BB-2FD0-4846-B24B-0A1A7DD80A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08" name="x_Picture 1" descr="Description: cid:image001.png@01D03949.49457930">
          <a:extLst>
            <a:ext uri="{FF2B5EF4-FFF2-40B4-BE49-F238E27FC236}">
              <a16:creationId xmlns:a16="http://schemas.microsoft.com/office/drawing/2014/main" id="{8E98EDA5-5CA5-4497-8DF2-1B58924037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09" name="x_Picture 1" descr="Description: cid:image001.png@01D03949.49457930">
          <a:extLst>
            <a:ext uri="{FF2B5EF4-FFF2-40B4-BE49-F238E27FC236}">
              <a16:creationId xmlns:a16="http://schemas.microsoft.com/office/drawing/2014/main" id="{6ECEB1F3-30D5-4477-B6EC-B7D3527920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10" name="x_Picture 1" descr="Description: cid:image001.png@01D03949.49457930">
          <a:extLst>
            <a:ext uri="{FF2B5EF4-FFF2-40B4-BE49-F238E27FC236}">
              <a16:creationId xmlns:a16="http://schemas.microsoft.com/office/drawing/2014/main" id="{8270552A-BBD4-479A-BCC6-794640566C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11" name="x_Picture 1" descr="Description: cid:image001.png@01D03949.49457930">
          <a:extLst>
            <a:ext uri="{FF2B5EF4-FFF2-40B4-BE49-F238E27FC236}">
              <a16:creationId xmlns:a16="http://schemas.microsoft.com/office/drawing/2014/main" id="{F9E6768B-E928-4B92-8084-A0A94FCDF21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12" name="x_Picture 1" descr="Description: cid:image001.png@01D03949.49457930">
          <a:extLst>
            <a:ext uri="{FF2B5EF4-FFF2-40B4-BE49-F238E27FC236}">
              <a16:creationId xmlns:a16="http://schemas.microsoft.com/office/drawing/2014/main" id="{425CBE2E-C1C7-4AE6-AAFD-136E7D5254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13" name="x_Picture 1" descr="Description: cid:image001.png@01D03949.49457930">
          <a:extLst>
            <a:ext uri="{FF2B5EF4-FFF2-40B4-BE49-F238E27FC236}">
              <a16:creationId xmlns:a16="http://schemas.microsoft.com/office/drawing/2014/main" id="{E91D6E29-3E30-407C-B668-987EA85CDA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14" name="x_Picture 1" descr="Description: cid:image001.png@01D03949.49457930">
          <a:extLst>
            <a:ext uri="{FF2B5EF4-FFF2-40B4-BE49-F238E27FC236}">
              <a16:creationId xmlns:a16="http://schemas.microsoft.com/office/drawing/2014/main" id="{C603A58F-73F6-4F44-906C-0C121A1D6A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15" name="x_Picture 1" descr="Description: cid:image001.png@01D03949.49457930">
          <a:extLst>
            <a:ext uri="{FF2B5EF4-FFF2-40B4-BE49-F238E27FC236}">
              <a16:creationId xmlns:a16="http://schemas.microsoft.com/office/drawing/2014/main" id="{714535E6-DDB7-431E-BA0A-3D6B90951E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16" name="x_Picture 1" descr="Description: cid:image001.png@01D03949.49457930">
          <a:extLst>
            <a:ext uri="{FF2B5EF4-FFF2-40B4-BE49-F238E27FC236}">
              <a16:creationId xmlns:a16="http://schemas.microsoft.com/office/drawing/2014/main" id="{758F90A9-DA77-4BC7-A3EC-AA55442049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17" name="x_Picture 1" descr="Description: cid:image001.png@01D03949.49457930">
          <a:extLst>
            <a:ext uri="{FF2B5EF4-FFF2-40B4-BE49-F238E27FC236}">
              <a16:creationId xmlns:a16="http://schemas.microsoft.com/office/drawing/2014/main" id="{68966695-AD96-4242-A2B5-32D780F18E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18" name="x_Picture 1" descr="Description: cid:image001.png@01D03949.49457930">
          <a:extLst>
            <a:ext uri="{FF2B5EF4-FFF2-40B4-BE49-F238E27FC236}">
              <a16:creationId xmlns:a16="http://schemas.microsoft.com/office/drawing/2014/main" id="{7A9F4A35-81C5-41AD-BC96-0D0A99BE2A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19" name="x_Picture 1" descr="Description: cid:image001.png@01D03949.49457930">
          <a:extLst>
            <a:ext uri="{FF2B5EF4-FFF2-40B4-BE49-F238E27FC236}">
              <a16:creationId xmlns:a16="http://schemas.microsoft.com/office/drawing/2014/main" id="{8E423FC8-B977-4871-A2AB-2ABA09A419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20" name="x_Picture 1" descr="Description: cid:image001.png@01D03949.49457930">
          <a:extLst>
            <a:ext uri="{FF2B5EF4-FFF2-40B4-BE49-F238E27FC236}">
              <a16:creationId xmlns:a16="http://schemas.microsoft.com/office/drawing/2014/main" id="{6EA517DA-6D82-482A-8771-5802F8AF91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21" name="x_Picture 1" descr="Description: cid:image001.png@01D03949.49457930">
          <a:extLst>
            <a:ext uri="{FF2B5EF4-FFF2-40B4-BE49-F238E27FC236}">
              <a16:creationId xmlns:a16="http://schemas.microsoft.com/office/drawing/2014/main" id="{7235FEBA-9CB0-44BA-8016-D354010108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22" name="x_Picture 1" descr="Description: cid:image001.png@01D03949.49457930">
          <a:extLst>
            <a:ext uri="{FF2B5EF4-FFF2-40B4-BE49-F238E27FC236}">
              <a16:creationId xmlns:a16="http://schemas.microsoft.com/office/drawing/2014/main" id="{38A86C0E-E149-4236-9836-CAE00313B6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23" name="x_Picture 1" descr="Description: cid:image001.png@01D03949.49457930">
          <a:extLst>
            <a:ext uri="{FF2B5EF4-FFF2-40B4-BE49-F238E27FC236}">
              <a16:creationId xmlns:a16="http://schemas.microsoft.com/office/drawing/2014/main" id="{353386E1-2F31-47F8-A3DC-8F324602B0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24" name="x_Picture 1" descr="Description: cid:image001.png@01D03949.49457930">
          <a:extLst>
            <a:ext uri="{FF2B5EF4-FFF2-40B4-BE49-F238E27FC236}">
              <a16:creationId xmlns:a16="http://schemas.microsoft.com/office/drawing/2014/main" id="{E624B920-41A4-46D2-B6E0-B5E8432AD3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25" name="x_Picture 1" descr="Description: cid:image001.png@01D03949.49457930">
          <a:extLst>
            <a:ext uri="{FF2B5EF4-FFF2-40B4-BE49-F238E27FC236}">
              <a16:creationId xmlns:a16="http://schemas.microsoft.com/office/drawing/2014/main" id="{7EE8AED5-08E0-437E-BB22-FAE83D5D39B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26" name="x_Picture 1" descr="Description: cid:image001.png@01D03949.49457930">
          <a:extLst>
            <a:ext uri="{FF2B5EF4-FFF2-40B4-BE49-F238E27FC236}">
              <a16:creationId xmlns:a16="http://schemas.microsoft.com/office/drawing/2014/main" id="{153FBE51-F8C4-4428-BC2C-9798913486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27" name="x_Picture 1" descr="Description: cid:image001.png@01D03949.49457930">
          <a:extLst>
            <a:ext uri="{FF2B5EF4-FFF2-40B4-BE49-F238E27FC236}">
              <a16:creationId xmlns:a16="http://schemas.microsoft.com/office/drawing/2014/main" id="{603DC46E-6476-4D3B-8BAD-3C7F0056AAD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28" name="x_Picture 1" descr="Description: cid:image001.png@01D03949.49457930">
          <a:extLst>
            <a:ext uri="{FF2B5EF4-FFF2-40B4-BE49-F238E27FC236}">
              <a16:creationId xmlns:a16="http://schemas.microsoft.com/office/drawing/2014/main" id="{06CB59D7-C6D9-4884-A1A9-093FAAA9DD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29" name="x_Picture 1" descr="Description: cid:image001.png@01D03949.49457930">
          <a:extLst>
            <a:ext uri="{FF2B5EF4-FFF2-40B4-BE49-F238E27FC236}">
              <a16:creationId xmlns:a16="http://schemas.microsoft.com/office/drawing/2014/main" id="{DD2D401B-C3C7-4DDA-9659-B3AEF32F3A4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30" name="x_Picture 1" descr="Description: cid:image001.png@01D03949.49457930">
          <a:extLst>
            <a:ext uri="{FF2B5EF4-FFF2-40B4-BE49-F238E27FC236}">
              <a16:creationId xmlns:a16="http://schemas.microsoft.com/office/drawing/2014/main" id="{EFDC7C37-1A57-4698-8ECA-A7FC32BF3B3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31" name="x_Picture 1" descr="Description: cid:image001.png@01D03949.49457930">
          <a:extLst>
            <a:ext uri="{FF2B5EF4-FFF2-40B4-BE49-F238E27FC236}">
              <a16:creationId xmlns:a16="http://schemas.microsoft.com/office/drawing/2014/main" id="{58F0CA6F-1A98-4DBC-8614-E7F96D1CC2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32" name="x_Picture 1" descr="Description: cid:image001.png@01D03949.49457930">
          <a:extLst>
            <a:ext uri="{FF2B5EF4-FFF2-40B4-BE49-F238E27FC236}">
              <a16:creationId xmlns:a16="http://schemas.microsoft.com/office/drawing/2014/main" id="{39D1AACA-1DAB-4268-8A5F-E826D06C17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33" name="x_Picture 1" descr="Description: cid:image001.png@01D03949.49457930">
          <a:extLst>
            <a:ext uri="{FF2B5EF4-FFF2-40B4-BE49-F238E27FC236}">
              <a16:creationId xmlns:a16="http://schemas.microsoft.com/office/drawing/2014/main" id="{35B577A6-9598-45B8-A5A3-80E2B1F14B7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34" name="x_Picture 1" descr="Description: cid:image001.png@01D03949.49457930">
          <a:extLst>
            <a:ext uri="{FF2B5EF4-FFF2-40B4-BE49-F238E27FC236}">
              <a16:creationId xmlns:a16="http://schemas.microsoft.com/office/drawing/2014/main" id="{A1B71FC7-FC1C-4E81-9BAB-64EF0CD894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35" name="x_Picture 1" descr="Description: cid:image001.png@01D03949.49457930">
          <a:extLst>
            <a:ext uri="{FF2B5EF4-FFF2-40B4-BE49-F238E27FC236}">
              <a16:creationId xmlns:a16="http://schemas.microsoft.com/office/drawing/2014/main" id="{2B95EB7C-66B0-4941-8D11-8E87E72A87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36" name="x_Picture 1" descr="Description: cid:image001.png@01D03949.49457930">
          <a:extLst>
            <a:ext uri="{FF2B5EF4-FFF2-40B4-BE49-F238E27FC236}">
              <a16:creationId xmlns:a16="http://schemas.microsoft.com/office/drawing/2014/main" id="{C6CB3713-55FD-41BF-ABDF-A1791F4938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37" name="x_Picture 1" descr="Description: cid:image001.png@01D03949.49457930">
          <a:extLst>
            <a:ext uri="{FF2B5EF4-FFF2-40B4-BE49-F238E27FC236}">
              <a16:creationId xmlns:a16="http://schemas.microsoft.com/office/drawing/2014/main" id="{DC39902F-2478-485B-AE61-945A4FB981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38" name="x_Picture 1" descr="Description: cid:image001.png@01D03949.49457930">
          <a:extLst>
            <a:ext uri="{FF2B5EF4-FFF2-40B4-BE49-F238E27FC236}">
              <a16:creationId xmlns:a16="http://schemas.microsoft.com/office/drawing/2014/main" id="{A41F926F-0D87-4812-95FF-4C53634A1E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39" name="x_Picture 1" descr="Description: cid:image001.png@01D03949.49457930">
          <a:extLst>
            <a:ext uri="{FF2B5EF4-FFF2-40B4-BE49-F238E27FC236}">
              <a16:creationId xmlns:a16="http://schemas.microsoft.com/office/drawing/2014/main" id="{D51B5904-5031-4A2D-8A60-B2B8C0B9B9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40" name="x_Picture 1" descr="Description: cid:image001.png@01D03949.49457930">
          <a:extLst>
            <a:ext uri="{FF2B5EF4-FFF2-40B4-BE49-F238E27FC236}">
              <a16:creationId xmlns:a16="http://schemas.microsoft.com/office/drawing/2014/main" id="{AABB1958-9403-4295-B2BF-12109F9D27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41" name="x_Picture 1" descr="Description: cid:image001.png@01D03949.49457930">
          <a:extLst>
            <a:ext uri="{FF2B5EF4-FFF2-40B4-BE49-F238E27FC236}">
              <a16:creationId xmlns:a16="http://schemas.microsoft.com/office/drawing/2014/main" id="{6C85FA20-8749-485E-9F47-48164EC26F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42" name="x_Picture 1" descr="Description: cid:image001.png@01D03949.49457930">
          <a:extLst>
            <a:ext uri="{FF2B5EF4-FFF2-40B4-BE49-F238E27FC236}">
              <a16:creationId xmlns:a16="http://schemas.microsoft.com/office/drawing/2014/main" id="{5BCBC059-0358-4CE0-BECF-6C432767CD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43" name="x_Picture 1" descr="Description: cid:image001.png@01D03949.49457930">
          <a:extLst>
            <a:ext uri="{FF2B5EF4-FFF2-40B4-BE49-F238E27FC236}">
              <a16:creationId xmlns:a16="http://schemas.microsoft.com/office/drawing/2014/main" id="{6014A9A8-3307-4E22-91F0-83B3765334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44" name="x_Picture 1" descr="Description: cid:image001.png@01D03949.49457930">
          <a:extLst>
            <a:ext uri="{FF2B5EF4-FFF2-40B4-BE49-F238E27FC236}">
              <a16:creationId xmlns:a16="http://schemas.microsoft.com/office/drawing/2014/main" id="{2D0CB29B-A7AE-483E-8D6F-464B96506D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45" name="x_Picture 1" descr="Description: cid:image001.png@01D03949.49457930">
          <a:extLst>
            <a:ext uri="{FF2B5EF4-FFF2-40B4-BE49-F238E27FC236}">
              <a16:creationId xmlns:a16="http://schemas.microsoft.com/office/drawing/2014/main" id="{BC7F804E-E4FB-47E6-8444-E0DC033FC6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46" name="x_Picture 1" descr="Description: cid:image001.png@01D03949.49457930">
          <a:extLst>
            <a:ext uri="{FF2B5EF4-FFF2-40B4-BE49-F238E27FC236}">
              <a16:creationId xmlns:a16="http://schemas.microsoft.com/office/drawing/2014/main" id="{EDB74449-5562-44E7-A54D-C58E5794E5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47" name="x_Picture 1" descr="Description: cid:image001.png@01D03949.49457930">
          <a:extLst>
            <a:ext uri="{FF2B5EF4-FFF2-40B4-BE49-F238E27FC236}">
              <a16:creationId xmlns:a16="http://schemas.microsoft.com/office/drawing/2014/main" id="{DB1DC6E0-5CB8-4865-94E6-BBB264870E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48" name="x_Picture 1" descr="Description: cid:image001.png@01D03949.49457930">
          <a:extLst>
            <a:ext uri="{FF2B5EF4-FFF2-40B4-BE49-F238E27FC236}">
              <a16:creationId xmlns:a16="http://schemas.microsoft.com/office/drawing/2014/main" id="{CA4B97D8-8912-4B97-AB12-18B5003C93C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49" name="x_Picture 1" descr="Description: cid:image001.png@01D03949.49457930">
          <a:extLst>
            <a:ext uri="{FF2B5EF4-FFF2-40B4-BE49-F238E27FC236}">
              <a16:creationId xmlns:a16="http://schemas.microsoft.com/office/drawing/2014/main" id="{DC5E21DC-6B27-4E0B-AB31-5C984285E4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50" name="x_Picture 1" descr="Description: cid:image001.png@01D03949.49457930">
          <a:extLst>
            <a:ext uri="{FF2B5EF4-FFF2-40B4-BE49-F238E27FC236}">
              <a16:creationId xmlns:a16="http://schemas.microsoft.com/office/drawing/2014/main" id="{84E9B8FF-7345-4C23-9DE6-AF91EC7EF6C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51" name="x_Picture 1" descr="Description: cid:image001.png@01D03949.49457930">
          <a:extLst>
            <a:ext uri="{FF2B5EF4-FFF2-40B4-BE49-F238E27FC236}">
              <a16:creationId xmlns:a16="http://schemas.microsoft.com/office/drawing/2014/main" id="{15DC7832-8789-4FFD-8AFD-F47B1A7B13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52" name="x_Picture 1" descr="Description: cid:image001.png@01D03949.49457930">
          <a:extLst>
            <a:ext uri="{FF2B5EF4-FFF2-40B4-BE49-F238E27FC236}">
              <a16:creationId xmlns:a16="http://schemas.microsoft.com/office/drawing/2014/main" id="{23062F78-88BF-4241-93CA-C3D9AFA179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53" name="x_Picture 1" descr="Description: cid:image001.png@01D03949.49457930">
          <a:extLst>
            <a:ext uri="{FF2B5EF4-FFF2-40B4-BE49-F238E27FC236}">
              <a16:creationId xmlns:a16="http://schemas.microsoft.com/office/drawing/2014/main" id="{183781A1-986C-47E1-B0A5-CB9F704618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54" name="x_Picture 1" descr="Description: cid:image001.png@01D03949.49457930">
          <a:extLst>
            <a:ext uri="{FF2B5EF4-FFF2-40B4-BE49-F238E27FC236}">
              <a16:creationId xmlns:a16="http://schemas.microsoft.com/office/drawing/2014/main" id="{44582640-95F6-4CDB-816C-B93BAC41C9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55" name="x_Picture 1" descr="Description: cid:image001.png@01D03949.49457930">
          <a:extLst>
            <a:ext uri="{FF2B5EF4-FFF2-40B4-BE49-F238E27FC236}">
              <a16:creationId xmlns:a16="http://schemas.microsoft.com/office/drawing/2014/main" id="{E9CDA287-8631-4637-AA05-C3F5A31D7CE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56" name="x_Picture 1" descr="Description: cid:image001.png@01D03949.49457930">
          <a:extLst>
            <a:ext uri="{FF2B5EF4-FFF2-40B4-BE49-F238E27FC236}">
              <a16:creationId xmlns:a16="http://schemas.microsoft.com/office/drawing/2014/main" id="{0069C13C-C413-4E7E-8810-E7A816237E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57" name="x_Picture 1" descr="Description: cid:image001.png@01D03949.49457930">
          <a:extLst>
            <a:ext uri="{FF2B5EF4-FFF2-40B4-BE49-F238E27FC236}">
              <a16:creationId xmlns:a16="http://schemas.microsoft.com/office/drawing/2014/main" id="{4602015D-3D9A-4888-8939-D16A65C7A4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58" name="x_Picture 1" descr="Description: cid:image001.png@01D03949.49457930">
          <a:extLst>
            <a:ext uri="{FF2B5EF4-FFF2-40B4-BE49-F238E27FC236}">
              <a16:creationId xmlns:a16="http://schemas.microsoft.com/office/drawing/2014/main" id="{415967BD-7B30-4A32-8DAD-01BA7478B5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59" name="x_Picture 1" descr="Description: cid:image001.png@01D03949.49457930">
          <a:extLst>
            <a:ext uri="{FF2B5EF4-FFF2-40B4-BE49-F238E27FC236}">
              <a16:creationId xmlns:a16="http://schemas.microsoft.com/office/drawing/2014/main" id="{A419DF17-2A58-4DD1-A7B7-B62FE47330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60" name="x_Picture 1" descr="Description: cid:image001.png@01D03949.49457930">
          <a:extLst>
            <a:ext uri="{FF2B5EF4-FFF2-40B4-BE49-F238E27FC236}">
              <a16:creationId xmlns:a16="http://schemas.microsoft.com/office/drawing/2014/main" id="{628B5505-F1E3-4D19-A531-0FC5E1A0C6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61" name="x_Picture 1" descr="Description: cid:image001.png@01D03949.49457930">
          <a:extLst>
            <a:ext uri="{FF2B5EF4-FFF2-40B4-BE49-F238E27FC236}">
              <a16:creationId xmlns:a16="http://schemas.microsoft.com/office/drawing/2014/main" id="{4A844411-9370-4DD7-900A-C7359046B0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62" name="x_Picture 1" descr="Description: cid:image001.png@01D03949.49457930">
          <a:extLst>
            <a:ext uri="{FF2B5EF4-FFF2-40B4-BE49-F238E27FC236}">
              <a16:creationId xmlns:a16="http://schemas.microsoft.com/office/drawing/2014/main" id="{ACFC2636-1704-41DB-89F8-A0110D2E1D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63" name="x_Picture 1" descr="Description: cid:image001.png@01D03949.49457930">
          <a:extLst>
            <a:ext uri="{FF2B5EF4-FFF2-40B4-BE49-F238E27FC236}">
              <a16:creationId xmlns:a16="http://schemas.microsoft.com/office/drawing/2014/main" id="{CD43432F-1702-4247-B6EB-5C675112C3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64" name="x_Picture 1" descr="Description: cid:image001.png@01D03949.49457930">
          <a:extLst>
            <a:ext uri="{FF2B5EF4-FFF2-40B4-BE49-F238E27FC236}">
              <a16:creationId xmlns:a16="http://schemas.microsoft.com/office/drawing/2014/main" id="{116E8F11-73C0-490B-A17F-2B41305D30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65" name="x_Picture 1" descr="Description: cid:image001.png@01D03949.49457930">
          <a:extLst>
            <a:ext uri="{FF2B5EF4-FFF2-40B4-BE49-F238E27FC236}">
              <a16:creationId xmlns:a16="http://schemas.microsoft.com/office/drawing/2014/main" id="{395CE62D-0EE0-4927-862C-AE0212E1E7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66" name="x_Picture 1" descr="Description: cid:image001.png@01D03949.49457930">
          <a:extLst>
            <a:ext uri="{FF2B5EF4-FFF2-40B4-BE49-F238E27FC236}">
              <a16:creationId xmlns:a16="http://schemas.microsoft.com/office/drawing/2014/main" id="{D4280BB1-E9C8-48B6-87C0-C5B5C5A5C9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67" name="x_Picture 1" descr="Description: cid:image001.png@01D03949.49457930">
          <a:extLst>
            <a:ext uri="{FF2B5EF4-FFF2-40B4-BE49-F238E27FC236}">
              <a16:creationId xmlns:a16="http://schemas.microsoft.com/office/drawing/2014/main" id="{65586B49-B1B9-4B2A-9DAE-83EBFBA2B5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68" name="x_Picture 1" descr="Description: cid:image001.png@01D03949.49457930">
          <a:extLst>
            <a:ext uri="{FF2B5EF4-FFF2-40B4-BE49-F238E27FC236}">
              <a16:creationId xmlns:a16="http://schemas.microsoft.com/office/drawing/2014/main" id="{8524B0E6-EB57-4F01-B645-E5F0C719F9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69" name="x_Picture 1" descr="Description: cid:image001.png@01D03949.49457930">
          <a:extLst>
            <a:ext uri="{FF2B5EF4-FFF2-40B4-BE49-F238E27FC236}">
              <a16:creationId xmlns:a16="http://schemas.microsoft.com/office/drawing/2014/main" id="{6AFD0645-DF3D-46E2-8EB2-56710A3441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70" name="x_Picture 1" descr="Description: cid:image001.png@01D03949.49457930">
          <a:extLst>
            <a:ext uri="{FF2B5EF4-FFF2-40B4-BE49-F238E27FC236}">
              <a16:creationId xmlns:a16="http://schemas.microsoft.com/office/drawing/2014/main" id="{BE819DB0-9CF7-4266-B51D-5991368357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71" name="x_Picture 1" descr="Description: cid:image001.png@01D03949.49457930">
          <a:extLst>
            <a:ext uri="{FF2B5EF4-FFF2-40B4-BE49-F238E27FC236}">
              <a16:creationId xmlns:a16="http://schemas.microsoft.com/office/drawing/2014/main" id="{4C5F5703-9433-4B9A-A688-EE0E606E6F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72" name="x_Picture 1" descr="Description: cid:image001.png@01D03949.49457930">
          <a:extLst>
            <a:ext uri="{FF2B5EF4-FFF2-40B4-BE49-F238E27FC236}">
              <a16:creationId xmlns:a16="http://schemas.microsoft.com/office/drawing/2014/main" id="{D35B0F91-9555-4446-8758-BBC6D84E16C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73" name="x_Picture 1" descr="Description: cid:image001.png@01D03949.49457930">
          <a:extLst>
            <a:ext uri="{FF2B5EF4-FFF2-40B4-BE49-F238E27FC236}">
              <a16:creationId xmlns:a16="http://schemas.microsoft.com/office/drawing/2014/main" id="{D8DDB104-6344-4D08-9973-3455A84CE5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74" name="x_Picture 1" descr="Description: cid:image001.png@01D03949.49457930">
          <a:extLst>
            <a:ext uri="{FF2B5EF4-FFF2-40B4-BE49-F238E27FC236}">
              <a16:creationId xmlns:a16="http://schemas.microsoft.com/office/drawing/2014/main" id="{9416DF3B-95E5-4EA7-BB38-03D6CCD37E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75" name="x_Picture 1" descr="Description: cid:image001.png@01D03949.49457930">
          <a:extLst>
            <a:ext uri="{FF2B5EF4-FFF2-40B4-BE49-F238E27FC236}">
              <a16:creationId xmlns:a16="http://schemas.microsoft.com/office/drawing/2014/main" id="{DC368AA8-C420-4ACB-B0E9-FD8EF58E1D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76" name="x_Picture 1" descr="Description: cid:image001.png@01D03949.49457930">
          <a:extLst>
            <a:ext uri="{FF2B5EF4-FFF2-40B4-BE49-F238E27FC236}">
              <a16:creationId xmlns:a16="http://schemas.microsoft.com/office/drawing/2014/main" id="{B951291B-4F2A-4C5E-BFFC-779AC4A8CED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77" name="x_Picture 1" descr="Description: cid:image001.png@01D03949.49457930">
          <a:extLst>
            <a:ext uri="{FF2B5EF4-FFF2-40B4-BE49-F238E27FC236}">
              <a16:creationId xmlns:a16="http://schemas.microsoft.com/office/drawing/2014/main" id="{16DFD5CA-6354-4075-8FB2-ADC08B5CBF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78" name="x_Picture 1" descr="Description: cid:image001.png@01D03949.49457930">
          <a:extLst>
            <a:ext uri="{FF2B5EF4-FFF2-40B4-BE49-F238E27FC236}">
              <a16:creationId xmlns:a16="http://schemas.microsoft.com/office/drawing/2014/main" id="{D741E63A-D203-4D04-9565-488C15CF7C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79" name="x_Picture 1" descr="Description: cid:image001.png@01D03949.49457930">
          <a:extLst>
            <a:ext uri="{FF2B5EF4-FFF2-40B4-BE49-F238E27FC236}">
              <a16:creationId xmlns:a16="http://schemas.microsoft.com/office/drawing/2014/main" id="{10961859-7084-4B2C-8650-B046F89E47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80" name="x_Picture 1" descr="Description: cid:image001.png@01D03949.49457930">
          <a:extLst>
            <a:ext uri="{FF2B5EF4-FFF2-40B4-BE49-F238E27FC236}">
              <a16:creationId xmlns:a16="http://schemas.microsoft.com/office/drawing/2014/main" id="{603C629E-3400-44F4-93BE-45FC3F582D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81" name="x_Picture 1" descr="Description: cid:image001.png@01D03949.49457930">
          <a:extLst>
            <a:ext uri="{FF2B5EF4-FFF2-40B4-BE49-F238E27FC236}">
              <a16:creationId xmlns:a16="http://schemas.microsoft.com/office/drawing/2014/main" id="{F9CB4324-AB7D-40CE-94B0-CCDD5D37BB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82" name="x_Picture 1" descr="Description: cid:image001.png@01D03949.49457930">
          <a:extLst>
            <a:ext uri="{FF2B5EF4-FFF2-40B4-BE49-F238E27FC236}">
              <a16:creationId xmlns:a16="http://schemas.microsoft.com/office/drawing/2014/main" id="{F03576BE-3D23-4186-8144-61090F2590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83" name="x_Picture 1" descr="Description: cid:image001.png@01D03949.49457930">
          <a:extLst>
            <a:ext uri="{FF2B5EF4-FFF2-40B4-BE49-F238E27FC236}">
              <a16:creationId xmlns:a16="http://schemas.microsoft.com/office/drawing/2014/main" id="{4EFB71AE-80D4-49AE-B48C-930B38F98D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84" name="x_Picture 1" descr="Description: cid:image001.png@01D03949.49457930">
          <a:extLst>
            <a:ext uri="{FF2B5EF4-FFF2-40B4-BE49-F238E27FC236}">
              <a16:creationId xmlns:a16="http://schemas.microsoft.com/office/drawing/2014/main" id="{31881902-E1B7-44B6-AAEE-F128FD241E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85" name="x_Picture 1" descr="Description: cid:image001.png@01D03949.49457930">
          <a:extLst>
            <a:ext uri="{FF2B5EF4-FFF2-40B4-BE49-F238E27FC236}">
              <a16:creationId xmlns:a16="http://schemas.microsoft.com/office/drawing/2014/main" id="{64D01330-0449-40CF-82A7-DF0471521E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86" name="x_Picture 1" descr="Description: cid:image001.png@01D03949.49457930">
          <a:extLst>
            <a:ext uri="{FF2B5EF4-FFF2-40B4-BE49-F238E27FC236}">
              <a16:creationId xmlns:a16="http://schemas.microsoft.com/office/drawing/2014/main" id="{FCFE735B-9478-4903-8B1E-2523C3D551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87" name="x_Picture 1" descr="Description: cid:image001.png@01D03949.49457930">
          <a:extLst>
            <a:ext uri="{FF2B5EF4-FFF2-40B4-BE49-F238E27FC236}">
              <a16:creationId xmlns:a16="http://schemas.microsoft.com/office/drawing/2014/main" id="{08D5B41D-87FB-44E6-9A30-1431AB1024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588" name="x_Picture 1" descr="Description: cid:image001.png@01D03949.49457930">
          <a:extLst>
            <a:ext uri="{FF2B5EF4-FFF2-40B4-BE49-F238E27FC236}">
              <a16:creationId xmlns:a16="http://schemas.microsoft.com/office/drawing/2014/main" id="{EE547309-E711-46B7-9E3C-2B0354B79A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89" name="x_Picture 1" descr="Description: cid:image001.png@01D03949.49457930">
          <a:extLst>
            <a:ext uri="{FF2B5EF4-FFF2-40B4-BE49-F238E27FC236}">
              <a16:creationId xmlns:a16="http://schemas.microsoft.com/office/drawing/2014/main" id="{A0E96F84-B664-4A10-87FA-C83D9A0B3E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0" name="x_Picture 1" descr="Description: cid:image001.png@01D03949.49457930">
          <a:extLst>
            <a:ext uri="{FF2B5EF4-FFF2-40B4-BE49-F238E27FC236}">
              <a16:creationId xmlns:a16="http://schemas.microsoft.com/office/drawing/2014/main" id="{4E8060B9-3F30-4A89-928F-E538078A98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1" name="x_Picture 1" descr="Description: cid:image001.png@01D03949.49457930">
          <a:extLst>
            <a:ext uri="{FF2B5EF4-FFF2-40B4-BE49-F238E27FC236}">
              <a16:creationId xmlns:a16="http://schemas.microsoft.com/office/drawing/2014/main" id="{DE42265C-7B2E-483E-9722-FB3FE9A5A3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2" name="x_Picture 1" descr="Description: cid:image001.png@01D03949.49457930">
          <a:extLst>
            <a:ext uri="{FF2B5EF4-FFF2-40B4-BE49-F238E27FC236}">
              <a16:creationId xmlns:a16="http://schemas.microsoft.com/office/drawing/2014/main" id="{A95A1730-DC80-4352-9A10-AC4606DD2B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3" name="x_Picture 1" descr="Description: cid:image001.png@01D03949.49457930">
          <a:extLst>
            <a:ext uri="{FF2B5EF4-FFF2-40B4-BE49-F238E27FC236}">
              <a16:creationId xmlns:a16="http://schemas.microsoft.com/office/drawing/2014/main" id="{C7542E6B-ADEA-433F-A0D0-511E9EF6A9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4" name="x_Picture 1" descr="Description: cid:image001.png@01D03949.49457930">
          <a:extLst>
            <a:ext uri="{FF2B5EF4-FFF2-40B4-BE49-F238E27FC236}">
              <a16:creationId xmlns:a16="http://schemas.microsoft.com/office/drawing/2014/main" id="{1D005737-3D09-4BCF-8E01-03E057BE0C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5" name="x_Picture 1" descr="Description: cid:image001.png@01D03949.49457930">
          <a:extLst>
            <a:ext uri="{FF2B5EF4-FFF2-40B4-BE49-F238E27FC236}">
              <a16:creationId xmlns:a16="http://schemas.microsoft.com/office/drawing/2014/main" id="{70701D1E-20D9-47A2-A169-CEB4D899A67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6" name="x_Picture 1" descr="Description: cid:image001.png@01D03949.49457930">
          <a:extLst>
            <a:ext uri="{FF2B5EF4-FFF2-40B4-BE49-F238E27FC236}">
              <a16:creationId xmlns:a16="http://schemas.microsoft.com/office/drawing/2014/main" id="{98967493-A646-4097-94D2-2E104BFF61F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7" name="x_Picture 1" descr="Description: cid:image001.png@01D03949.49457930">
          <a:extLst>
            <a:ext uri="{FF2B5EF4-FFF2-40B4-BE49-F238E27FC236}">
              <a16:creationId xmlns:a16="http://schemas.microsoft.com/office/drawing/2014/main" id="{F6696C3D-03C4-4E5F-B52A-3D3A8AA0D1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8" name="x_Picture 1" descr="Description: cid:image001.png@01D03949.49457930">
          <a:extLst>
            <a:ext uri="{FF2B5EF4-FFF2-40B4-BE49-F238E27FC236}">
              <a16:creationId xmlns:a16="http://schemas.microsoft.com/office/drawing/2014/main" id="{A4EDB30B-A4AE-4B89-94B6-BB3F55C6D0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599" name="x_Picture 1" descr="Description: cid:image001.png@01D03949.49457930">
          <a:extLst>
            <a:ext uri="{FF2B5EF4-FFF2-40B4-BE49-F238E27FC236}">
              <a16:creationId xmlns:a16="http://schemas.microsoft.com/office/drawing/2014/main" id="{1A770744-2D22-432F-B5E1-EE714BE9563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00" name="x_Picture 1" descr="Description: cid:image001.png@01D03949.49457930">
          <a:extLst>
            <a:ext uri="{FF2B5EF4-FFF2-40B4-BE49-F238E27FC236}">
              <a16:creationId xmlns:a16="http://schemas.microsoft.com/office/drawing/2014/main" id="{D7BCC695-4DFB-44B7-895F-FBFBF1CC51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01" name="x_Picture 1" descr="Description: cid:image001.png@01D03949.49457930">
          <a:extLst>
            <a:ext uri="{FF2B5EF4-FFF2-40B4-BE49-F238E27FC236}">
              <a16:creationId xmlns:a16="http://schemas.microsoft.com/office/drawing/2014/main" id="{612D20DF-8FC6-4E57-920F-1F448338F1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02" name="x_Picture 1" descr="Description: cid:image001.png@01D03949.49457930">
          <a:extLst>
            <a:ext uri="{FF2B5EF4-FFF2-40B4-BE49-F238E27FC236}">
              <a16:creationId xmlns:a16="http://schemas.microsoft.com/office/drawing/2014/main" id="{AC0F3F72-46E9-4FF5-8A81-B68CD21840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03" name="x_Picture 1" descr="Description: cid:image001.png@01D03949.49457930">
          <a:extLst>
            <a:ext uri="{FF2B5EF4-FFF2-40B4-BE49-F238E27FC236}">
              <a16:creationId xmlns:a16="http://schemas.microsoft.com/office/drawing/2014/main" id="{4ED699B1-8DD2-402E-8370-3C7485BDC4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04" name="x_Picture 1" descr="Description: cid:image001.png@01D03949.49457930">
          <a:extLst>
            <a:ext uri="{FF2B5EF4-FFF2-40B4-BE49-F238E27FC236}">
              <a16:creationId xmlns:a16="http://schemas.microsoft.com/office/drawing/2014/main" id="{849F1A3C-7E83-4699-B545-3F7AE72556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05" name="x_Picture 1" descr="Description: cid:image001.png@01D03949.49457930">
          <a:extLst>
            <a:ext uri="{FF2B5EF4-FFF2-40B4-BE49-F238E27FC236}">
              <a16:creationId xmlns:a16="http://schemas.microsoft.com/office/drawing/2014/main" id="{0E2EB624-8439-4137-98AF-8B329EE586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06" name="x_Picture 1" descr="Description: cid:image001.png@01D03949.49457930">
          <a:extLst>
            <a:ext uri="{FF2B5EF4-FFF2-40B4-BE49-F238E27FC236}">
              <a16:creationId xmlns:a16="http://schemas.microsoft.com/office/drawing/2014/main" id="{9299DC55-C114-4CED-8FF9-5E86D74608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07" name="x_Picture 1" descr="Description: cid:image001.png@01D03949.49457930">
          <a:extLst>
            <a:ext uri="{FF2B5EF4-FFF2-40B4-BE49-F238E27FC236}">
              <a16:creationId xmlns:a16="http://schemas.microsoft.com/office/drawing/2014/main" id="{54D0F0A8-7DD5-4383-A2D2-AD0A72F5EA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08" name="x_Picture 1" descr="Description: cid:image001.png@01D03949.49457930">
          <a:extLst>
            <a:ext uri="{FF2B5EF4-FFF2-40B4-BE49-F238E27FC236}">
              <a16:creationId xmlns:a16="http://schemas.microsoft.com/office/drawing/2014/main" id="{99299EB1-C09E-4DDC-9725-EE02FFA807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09" name="x_Picture 1" descr="Description: cid:image001.png@01D03949.49457930">
          <a:extLst>
            <a:ext uri="{FF2B5EF4-FFF2-40B4-BE49-F238E27FC236}">
              <a16:creationId xmlns:a16="http://schemas.microsoft.com/office/drawing/2014/main" id="{6857BEB3-AF2D-4A38-A44A-2C8C883516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10" name="x_Picture 1" descr="Description: cid:image001.png@01D03949.49457930">
          <a:extLst>
            <a:ext uri="{FF2B5EF4-FFF2-40B4-BE49-F238E27FC236}">
              <a16:creationId xmlns:a16="http://schemas.microsoft.com/office/drawing/2014/main" id="{7765509D-25E8-40A7-95A5-A774BFD596C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11" name="x_Picture 1" descr="Description: cid:image001.png@01D03949.49457930">
          <a:extLst>
            <a:ext uri="{FF2B5EF4-FFF2-40B4-BE49-F238E27FC236}">
              <a16:creationId xmlns:a16="http://schemas.microsoft.com/office/drawing/2014/main" id="{EACBCB14-8CEE-4256-8AC6-D79A806667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12" name="x_Picture 1" descr="Description: cid:image001.png@01D03949.49457930">
          <a:extLst>
            <a:ext uri="{FF2B5EF4-FFF2-40B4-BE49-F238E27FC236}">
              <a16:creationId xmlns:a16="http://schemas.microsoft.com/office/drawing/2014/main" id="{9CAB6550-87B5-4749-BD35-220B948423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13" name="x_Picture 1" descr="Description: cid:image001.png@01D03949.49457930">
          <a:extLst>
            <a:ext uri="{FF2B5EF4-FFF2-40B4-BE49-F238E27FC236}">
              <a16:creationId xmlns:a16="http://schemas.microsoft.com/office/drawing/2014/main" id="{102939B6-9EC2-4A7F-9A1D-63CE67B4C6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14" name="x_Picture 1" descr="Description: cid:image001.png@01D03949.49457930">
          <a:extLst>
            <a:ext uri="{FF2B5EF4-FFF2-40B4-BE49-F238E27FC236}">
              <a16:creationId xmlns:a16="http://schemas.microsoft.com/office/drawing/2014/main" id="{88D2387F-66E7-448A-9265-16C09F15C8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15" name="x_Picture 1" descr="Description: cid:image001.png@01D03949.49457930">
          <a:extLst>
            <a:ext uri="{FF2B5EF4-FFF2-40B4-BE49-F238E27FC236}">
              <a16:creationId xmlns:a16="http://schemas.microsoft.com/office/drawing/2014/main" id="{ADC3D2A0-F6E6-459B-99EE-D928D626A4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16" name="x_Picture 1" descr="Description: cid:image001.png@01D03949.49457930">
          <a:extLst>
            <a:ext uri="{FF2B5EF4-FFF2-40B4-BE49-F238E27FC236}">
              <a16:creationId xmlns:a16="http://schemas.microsoft.com/office/drawing/2014/main" id="{60D2F68C-9729-4B05-B6B2-26BC9432D33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17" name="x_Picture 1" descr="Description: cid:image001.png@01D03949.49457930">
          <a:extLst>
            <a:ext uri="{FF2B5EF4-FFF2-40B4-BE49-F238E27FC236}">
              <a16:creationId xmlns:a16="http://schemas.microsoft.com/office/drawing/2014/main" id="{28A9FF19-6735-4C38-AA90-46152ACA53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18" name="x_Picture 1" descr="Description: cid:image001.png@01D03949.49457930">
          <a:extLst>
            <a:ext uri="{FF2B5EF4-FFF2-40B4-BE49-F238E27FC236}">
              <a16:creationId xmlns:a16="http://schemas.microsoft.com/office/drawing/2014/main" id="{85A26BA4-3D08-499F-A93F-71790012B4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19" name="x_Picture 1" descr="Description: cid:image001.png@01D03949.49457930">
          <a:extLst>
            <a:ext uri="{FF2B5EF4-FFF2-40B4-BE49-F238E27FC236}">
              <a16:creationId xmlns:a16="http://schemas.microsoft.com/office/drawing/2014/main" id="{7C00DA9B-24FC-4A8D-9E90-84E6545D00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20" name="x_Picture 1" descr="Description: cid:image001.png@01D03949.49457930">
          <a:extLst>
            <a:ext uri="{FF2B5EF4-FFF2-40B4-BE49-F238E27FC236}">
              <a16:creationId xmlns:a16="http://schemas.microsoft.com/office/drawing/2014/main" id="{96582752-3B7D-4B06-91E4-E37E8B5C9D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21" name="x_Picture 1" descr="Description: cid:image001.png@01D03949.49457930">
          <a:extLst>
            <a:ext uri="{FF2B5EF4-FFF2-40B4-BE49-F238E27FC236}">
              <a16:creationId xmlns:a16="http://schemas.microsoft.com/office/drawing/2014/main" id="{0F333DE5-CCD2-4923-B83E-20BDB56CBE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22" name="x_Picture 1" descr="Description: cid:image001.png@01D03949.49457930">
          <a:extLst>
            <a:ext uri="{FF2B5EF4-FFF2-40B4-BE49-F238E27FC236}">
              <a16:creationId xmlns:a16="http://schemas.microsoft.com/office/drawing/2014/main" id="{D342C89D-118F-412A-B930-5FA400452C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23" name="x_Picture 1" descr="Description: cid:image001.png@01D03949.49457930">
          <a:extLst>
            <a:ext uri="{FF2B5EF4-FFF2-40B4-BE49-F238E27FC236}">
              <a16:creationId xmlns:a16="http://schemas.microsoft.com/office/drawing/2014/main" id="{62B96287-556A-40EB-9627-3A6D5AF0A0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24" name="x_Picture 1" descr="Description: cid:image001.png@01D03949.49457930">
          <a:extLst>
            <a:ext uri="{FF2B5EF4-FFF2-40B4-BE49-F238E27FC236}">
              <a16:creationId xmlns:a16="http://schemas.microsoft.com/office/drawing/2014/main" id="{56AC73A1-E805-4323-A9B6-6E395C546F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25" name="x_Picture 1" descr="Description: cid:image001.png@01D03949.49457930">
          <a:extLst>
            <a:ext uri="{FF2B5EF4-FFF2-40B4-BE49-F238E27FC236}">
              <a16:creationId xmlns:a16="http://schemas.microsoft.com/office/drawing/2014/main" id="{9556AEAB-9CFE-494B-950D-72335BC8B9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26" name="x_Picture 1" descr="Description: cid:image001.png@01D03949.49457930">
          <a:extLst>
            <a:ext uri="{FF2B5EF4-FFF2-40B4-BE49-F238E27FC236}">
              <a16:creationId xmlns:a16="http://schemas.microsoft.com/office/drawing/2014/main" id="{7E9C7B1D-C8D6-462C-BC37-1F80AF77BA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27" name="x_Picture 1" descr="Description: cid:image001.png@01D03949.49457930">
          <a:extLst>
            <a:ext uri="{FF2B5EF4-FFF2-40B4-BE49-F238E27FC236}">
              <a16:creationId xmlns:a16="http://schemas.microsoft.com/office/drawing/2014/main" id="{DA831F67-F25A-4F97-BE6A-E5E90B8F53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28" name="x_Picture 1" descr="Description: cid:image001.png@01D03949.49457930">
          <a:extLst>
            <a:ext uri="{FF2B5EF4-FFF2-40B4-BE49-F238E27FC236}">
              <a16:creationId xmlns:a16="http://schemas.microsoft.com/office/drawing/2014/main" id="{47534FE2-6131-4A36-A61D-A88AF5CEA5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29" name="x_Picture 1" descr="Description: cid:image001.png@01D03949.49457930">
          <a:extLst>
            <a:ext uri="{FF2B5EF4-FFF2-40B4-BE49-F238E27FC236}">
              <a16:creationId xmlns:a16="http://schemas.microsoft.com/office/drawing/2014/main" id="{CB2355C6-8AB1-4F30-8FC2-B3FAD0444D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30" name="x_Picture 1" descr="Description: cid:image001.png@01D03949.49457930">
          <a:extLst>
            <a:ext uri="{FF2B5EF4-FFF2-40B4-BE49-F238E27FC236}">
              <a16:creationId xmlns:a16="http://schemas.microsoft.com/office/drawing/2014/main" id="{252989C5-B9F1-4733-B8EA-CFCBB3D7A9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31" name="x_Picture 1" descr="Description: cid:image001.png@01D03949.49457930">
          <a:extLst>
            <a:ext uri="{FF2B5EF4-FFF2-40B4-BE49-F238E27FC236}">
              <a16:creationId xmlns:a16="http://schemas.microsoft.com/office/drawing/2014/main" id="{EE9DB622-783B-46FA-8129-B0AAED791A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32" name="x_Picture 1" descr="Description: cid:image001.png@01D03949.49457930">
          <a:extLst>
            <a:ext uri="{FF2B5EF4-FFF2-40B4-BE49-F238E27FC236}">
              <a16:creationId xmlns:a16="http://schemas.microsoft.com/office/drawing/2014/main" id="{9F955584-1DF7-4C44-BFA0-D2B427C0A0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33" name="x_Picture 1" descr="Description: cid:image001.png@01D03949.49457930">
          <a:extLst>
            <a:ext uri="{FF2B5EF4-FFF2-40B4-BE49-F238E27FC236}">
              <a16:creationId xmlns:a16="http://schemas.microsoft.com/office/drawing/2014/main" id="{B6575BE5-40C3-458D-B936-2BB528C0F17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34" name="x_Picture 1" descr="Description: cid:image001.png@01D03949.49457930">
          <a:extLst>
            <a:ext uri="{FF2B5EF4-FFF2-40B4-BE49-F238E27FC236}">
              <a16:creationId xmlns:a16="http://schemas.microsoft.com/office/drawing/2014/main" id="{BD2A6B14-2D2B-405E-A872-B84109D2BA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35" name="x_Picture 1" descr="Description: cid:image001.png@01D03949.49457930">
          <a:extLst>
            <a:ext uri="{FF2B5EF4-FFF2-40B4-BE49-F238E27FC236}">
              <a16:creationId xmlns:a16="http://schemas.microsoft.com/office/drawing/2014/main" id="{B82ABE4D-3240-40F6-BB5F-02D34E0845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36" name="x_Picture 1" descr="Description: cid:image001.png@01D03949.49457930">
          <a:extLst>
            <a:ext uri="{FF2B5EF4-FFF2-40B4-BE49-F238E27FC236}">
              <a16:creationId xmlns:a16="http://schemas.microsoft.com/office/drawing/2014/main" id="{C1EEE727-A815-475D-AF15-D862048D2E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37" name="x_Picture 1" descr="Description: cid:image001.png@01D03949.49457930">
          <a:extLst>
            <a:ext uri="{FF2B5EF4-FFF2-40B4-BE49-F238E27FC236}">
              <a16:creationId xmlns:a16="http://schemas.microsoft.com/office/drawing/2014/main" id="{E0278E9A-74E3-474A-9722-093F77DEEA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38" name="x_Picture 1" descr="Description: cid:image001.png@01D03949.49457930">
          <a:extLst>
            <a:ext uri="{FF2B5EF4-FFF2-40B4-BE49-F238E27FC236}">
              <a16:creationId xmlns:a16="http://schemas.microsoft.com/office/drawing/2014/main" id="{5AC90534-0F8A-454C-BF87-6293296631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39" name="x_Picture 1" descr="Description: cid:image001.png@01D03949.49457930">
          <a:extLst>
            <a:ext uri="{FF2B5EF4-FFF2-40B4-BE49-F238E27FC236}">
              <a16:creationId xmlns:a16="http://schemas.microsoft.com/office/drawing/2014/main" id="{1707CFCF-298E-4F9F-A5A2-E2F08D4236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40" name="x_Picture 1" descr="Description: cid:image001.png@01D03949.49457930">
          <a:extLst>
            <a:ext uri="{FF2B5EF4-FFF2-40B4-BE49-F238E27FC236}">
              <a16:creationId xmlns:a16="http://schemas.microsoft.com/office/drawing/2014/main" id="{E2598697-23B4-483F-AFB0-75DCEAD1AD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41" name="x_Picture 1" descr="Description: cid:image001.png@01D03949.49457930">
          <a:extLst>
            <a:ext uri="{FF2B5EF4-FFF2-40B4-BE49-F238E27FC236}">
              <a16:creationId xmlns:a16="http://schemas.microsoft.com/office/drawing/2014/main" id="{79A85EDD-2054-498E-9161-EB52159CE4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42" name="x_Picture 1" descr="Description: cid:image001.png@01D03949.49457930">
          <a:extLst>
            <a:ext uri="{FF2B5EF4-FFF2-40B4-BE49-F238E27FC236}">
              <a16:creationId xmlns:a16="http://schemas.microsoft.com/office/drawing/2014/main" id="{136AA330-0461-485E-946D-F2B7B7AF7B3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43" name="x_Picture 1" descr="Description: cid:image001.png@01D03949.49457930">
          <a:extLst>
            <a:ext uri="{FF2B5EF4-FFF2-40B4-BE49-F238E27FC236}">
              <a16:creationId xmlns:a16="http://schemas.microsoft.com/office/drawing/2014/main" id="{0EB64628-E25F-4733-B58D-8694AEB970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44" name="x_Picture 1" descr="Description: cid:image001.png@01D03949.49457930">
          <a:extLst>
            <a:ext uri="{FF2B5EF4-FFF2-40B4-BE49-F238E27FC236}">
              <a16:creationId xmlns:a16="http://schemas.microsoft.com/office/drawing/2014/main" id="{A38AF1DF-53D7-42B2-8154-637873711A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45" name="x_Picture 1" descr="Description: cid:image001.png@01D03949.49457930">
          <a:extLst>
            <a:ext uri="{FF2B5EF4-FFF2-40B4-BE49-F238E27FC236}">
              <a16:creationId xmlns:a16="http://schemas.microsoft.com/office/drawing/2014/main" id="{91AE66A1-8B1D-46F9-990C-014F65B469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46" name="x_Picture 1" descr="Description: cid:image001.png@01D03949.49457930">
          <a:extLst>
            <a:ext uri="{FF2B5EF4-FFF2-40B4-BE49-F238E27FC236}">
              <a16:creationId xmlns:a16="http://schemas.microsoft.com/office/drawing/2014/main" id="{BBDF3E11-80D0-411A-B8C5-8D35C9EE08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47" name="x_Picture 1" descr="Description: cid:image001.png@01D03949.49457930">
          <a:extLst>
            <a:ext uri="{FF2B5EF4-FFF2-40B4-BE49-F238E27FC236}">
              <a16:creationId xmlns:a16="http://schemas.microsoft.com/office/drawing/2014/main" id="{0751C835-A9CC-4514-A29A-C3C6A67E80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48" name="x_Picture 1" descr="Description: cid:image001.png@01D03949.49457930">
          <a:extLst>
            <a:ext uri="{FF2B5EF4-FFF2-40B4-BE49-F238E27FC236}">
              <a16:creationId xmlns:a16="http://schemas.microsoft.com/office/drawing/2014/main" id="{4155F28D-2CDE-48F1-B2E4-B1546C4755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49" name="x_Picture 1" descr="Description: cid:image001.png@01D03949.49457930">
          <a:extLst>
            <a:ext uri="{FF2B5EF4-FFF2-40B4-BE49-F238E27FC236}">
              <a16:creationId xmlns:a16="http://schemas.microsoft.com/office/drawing/2014/main" id="{666598A6-D28C-4B62-A4DA-3DE5C27AB0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50" name="x_Picture 1" descr="Description: cid:image001.png@01D03949.49457930">
          <a:extLst>
            <a:ext uri="{FF2B5EF4-FFF2-40B4-BE49-F238E27FC236}">
              <a16:creationId xmlns:a16="http://schemas.microsoft.com/office/drawing/2014/main" id="{2C5541A6-33E1-449C-90F7-0CEEF2230A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51" name="x_Picture 1" descr="Description: cid:image001.png@01D03949.49457930">
          <a:extLst>
            <a:ext uri="{FF2B5EF4-FFF2-40B4-BE49-F238E27FC236}">
              <a16:creationId xmlns:a16="http://schemas.microsoft.com/office/drawing/2014/main" id="{2B8E574A-725A-4142-B210-87120301CC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52" name="x_Picture 1" descr="Description: cid:image001.png@01D03949.49457930">
          <a:extLst>
            <a:ext uri="{FF2B5EF4-FFF2-40B4-BE49-F238E27FC236}">
              <a16:creationId xmlns:a16="http://schemas.microsoft.com/office/drawing/2014/main" id="{3AC671C5-79B4-424D-BDB1-47018116C2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53" name="x_Picture 1" descr="Description: cid:image001.png@01D03949.49457930">
          <a:extLst>
            <a:ext uri="{FF2B5EF4-FFF2-40B4-BE49-F238E27FC236}">
              <a16:creationId xmlns:a16="http://schemas.microsoft.com/office/drawing/2014/main" id="{4B34DF68-FBBC-44F4-B9E5-0B76BE3C98B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54" name="x_Picture 1" descr="Description: cid:image001.png@01D03949.49457930">
          <a:extLst>
            <a:ext uri="{FF2B5EF4-FFF2-40B4-BE49-F238E27FC236}">
              <a16:creationId xmlns:a16="http://schemas.microsoft.com/office/drawing/2014/main" id="{D5A57D64-7ED5-47D7-BD09-4B52E6ADF1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55" name="x_Picture 1" descr="Description: cid:image001.png@01D03949.49457930">
          <a:extLst>
            <a:ext uri="{FF2B5EF4-FFF2-40B4-BE49-F238E27FC236}">
              <a16:creationId xmlns:a16="http://schemas.microsoft.com/office/drawing/2014/main" id="{B345F74F-F0F2-45E0-B4F7-A3D50D42114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56" name="x_Picture 1" descr="Description: cid:image001.png@01D03949.49457930">
          <a:extLst>
            <a:ext uri="{FF2B5EF4-FFF2-40B4-BE49-F238E27FC236}">
              <a16:creationId xmlns:a16="http://schemas.microsoft.com/office/drawing/2014/main" id="{AB34E428-CE8A-45F8-8768-CD8A64846E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57" name="x_Picture 1" descr="Description: cid:image001.png@01D03949.49457930">
          <a:extLst>
            <a:ext uri="{FF2B5EF4-FFF2-40B4-BE49-F238E27FC236}">
              <a16:creationId xmlns:a16="http://schemas.microsoft.com/office/drawing/2014/main" id="{68E45B2A-D30A-45E4-9403-9A77B09558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58" name="x_Picture 1" descr="Description: cid:image001.png@01D03949.49457930">
          <a:extLst>
            <a:ext uri="{FF2B5EF4-FFF2-40B4-BE49-F238E27FC236}">
              <a16:creationId xmlns:a16="http://schemas.microsoft.com/office/drawing/2014/main" id="{D762FC8A-5DF1-48A8-A987-F429C58A53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59" name="x_Picture 1" descr="Description: cid:image001.png@01D03949.49457930">
          <a:extLst>
            <a:ext uri="{FF2B5EF4-FFF2-40B4-BE49-F238E27FC236}">
              <a16:creationId xmlns:a16="http://schemas.microsoft.com/office/drawing/2014/main" id="{98CA1FA3-A54E-4A6A-BA69-2EA0B2FEB5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60" name="x_Picture 1" descr="Description: cid:image001.png@01D03949.49457930">
          <a:extLst>
            <a:ext uri="{FF2B5EF4-FFF2-40B4-BE49-F238E27FC236}">
              <a16:creationId xmlns:a16="http://schemas.microsoft.com/office/drawing/2014/main" id="{22AF1CAD-E174-4D61-84C3-70D63C17F5C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61" name="x_Picture 1" descr="Description: cid:image001.png@01D03949.49457930">
          <a:extLst>
            <a:ext uri="{FF2B5EF4-FFF2-40B4-BE49-F238E27FC236}">
              <a16:creationId xmlns:a16="http://schemas.microsoft.com/office/drawing/2014/main" id="{A754885A-9FD3-46AB-99D9-3121CD866C3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62" name="x_Picture 1" descr="Description: cid:image001.png@01D03949.49457930">
          <a:extLst>
            <a:ext uri="{FF2B5EF4-FFF2-40B4-BE49-F238E27FC236}">
              <a16:creationId xmlns:a16="http://schemas.microsoft.com/office/drawing/2014/main" id="{112E5E74-EAD9-4FEB-876E-7F059B3CB1E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63" name="x_Picture 1" descr="Description: cid:image001.png@01D03949.49457930">
          <a:extLst>
            <a:ext uri="{FF2B5EF4-FFF2-40B4-BE49-F238E27FC236}">
              <a16:creationId xmlns:a16="http://schemas.microsoft.com/office/drawing/2014/main" id="{26A27AEE-B8B6-4478-AE93-5A952A1A6E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64" name="x_Picture 1" descr="Description: cid:image001.png@01D03949.49457930">
          <a:extLst>
            <a:ext uri="{FF2B5EF4-FFF2-40B4-BE49-F238E27FC236}">
              <a16:creationId xmlns:a16="http://schemas.microsoft.com/office/drawing/2014/main" id="{28A33740-1EA4-495B-8BF7-6555E74054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65" name="x_Picture 1" descr="Description: cid:image001.png@01D03949.49457930">
          <a:extLst>
            <a:ext uri="{FF2B5EF4-FFF2-40B4-BE49-F238E27FC236}">
              <a16:creationId xmlns:a16="http://schemas.microsoft.com/office/drawing/2014/main" id="{D98A29B1-74E1-471D-8226-DBCDEC481B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66" name="x_Picture 1" descr="Description: cid:image001.png@01D03949.49457930">
          <a:extLst>
            <a:ext uri="{FF2B5EF4-FFF2-40B4-BE49-F238E27FC236}">
              <a16:creationId xmlns:a16="http://schemas.microsoft.com/office/drawing/2014/main" id="{2814806B-0855-4869-A98B-97165F277B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67" name="x_Picture 1" descr="Description: cid:image001.png@01D03949.49457930">
          <a:extLst>
            <a:ext uri="{FF2B5EF4-FFF2-40B4-BE49-F238E27FC236}">
              <a16:creationId xmlns:a16="http://schemas.microsoft.com/office/drawing/2014/main" id="{25D9044A-77B0-4609-937C-5F3937FD80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68" name="x_Picture 1" descr="Description: cid:image001.png@01D03949.49457930">
          <a:extLst>
            <a:ext uri="{FF2B5EF4-FFF2-40B4-BE49-F238E27FC236}">
              <a16:creationId xmlns:a16="http://schemas.microsoft.com/office/drawing/2014/main" id="{5A3D9DA3-A82B-4BB2-8433-030283E23B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69" name="x_Picture 1" descr="Description: cid:image001.png@01D03949.49457930">
          <a:extLst>
            <a:ext uri="{FF2B5EF4-FFF2-40B4-BE49-F238E27FC236}">
              <a16:creationId xmlns:a16="http://schemas.microsoft.com/office/drawing/2014/main" id="{E0B0713C-0250-41D1-835A-85E2749ED8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70" name="x_Picture 1" descr="Description: cid:image001.png@01D03949.49457930">
          <a:extLst>
            <a:ext uri="{FF2B5EF4-FFF2-40B4-BE49-F238E27FC236}">
              <a16:creationId xmlns:a16="http://schemas.microsoft.com/office/drawing/2014/main" id="{33EC253D-4592-4066-9A44-E9CE2C8E89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71" name="x_Picture 1" descr="Description: cid:image001.png@01D03949.49457930">
          <a:extLst>
            <a:ext uri="{FF2B5EF4-FFF2-40B4-BE49-F238E27FC236}">
              <a16:creationId xmlns:a16="http://schemas.microsoft.com/office/drawing/2014/main" id="{0D17053F-861A-4B03-B273-C09520C6C36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72" name="x_Picture 1" descr="Description: cid:image001.png@01D03949.49457930">
          <a:extLst>
            <a:ext uri="{FF2B5EF4-FFF2-40B4-BE49-F238E27FC236}">
              <a16:creationId xmlns:a16="http://schemas.microsoft.com/office/drawing/2014/main" id="{0BC9E884-9B0F-448B-85AC-E221A5E625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73" name="x_Picture 1" descr="Description: cid:image001.png@01D03949.49457930">
          <a:extLst>
            <a:ext uri="{FF2B5EF4-FFF2-40B4-BE49-F238E27FC236}">
              <a16:creationId xmlns:a16="http://schemas.microsoft.com/office/drawing/2014/main" id="{6136E8C7-B043-4BF2-8EA2-D2101C93426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74" name="x_Picture 1" descr="Description: cid:image001.png@01D03949.49457930">
          <a:extLst>
            <a:ext uri="{FF2B5EF4-FFF2-40B4-BE49-F238E27FC236}">
              <a16:creationId xmlns:a16="http://schemas.microsoft.com/office/drawing/2014/main" id="{2E186CF6-B3BF-4F8C-820C-0C4F7F47FF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75" name="x_Picture 1" descr="Description: cid:image001.png@01D03949.49457930">
          <a:extLst>
            <a:ext uri="{FF2B5EF4-FFF2-40B4-BE49-F238E27FC236}">
              <a16:creationId xmlns:a16="http://schemas.microsoft.com/office/drawing/2014/main" id="{B7F0B07D-EEDE-4982-A72D-912AE2FA89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76" name="x_Picture 1" descr="Description: cid:image001.png@01D03949.49457930">
          <a:extLst>
            <a:ext uri="{FF2B5EF4-FFF2-40B4-BE49-F238E27FC236}">
              <a16:creationId xmlns:a16="http://schemas.microsoft.com/office/drawing/2014/main" id="{259D12E1-5E1A-4651-8B81-B1C3A01F9F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77" name="x_Picture 1" descr="Description: cid:image001.png@01D03949.49457930">
          <a:extLst>
            <a:ext uri="{FF2B5EF4-FFF2-40B4-BE49-F238E27FC236}">
              <a16:creationId xmlns:a16="http://schemas.microsoft.com/office/drawing/2014/main" id="{B33C643D-580F-4551-B1B9-236B34020BF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78" name="x_Picture 1" descr="Description: cid:image001.png@01D03949.49457930">
          <a:extLst>
            <a:ext uri="{FF2B5EF4-FFF2-40B4-BE49-F238E27FC236}">
              <a16:creationId xmlns:a16="http://schemas.microsoft.com/office/drawing/2014/main" id="{D8017E98-9939-4FE3-B131-16A9144B93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79" name="x_Picture 1" descr="Description: cid:image001.png@01D03949.49457930">
          <a:extLst>
            <a:ext uri="{FF2B5EF4-FFF2-40B4-BE49-F238E27FC236}">
              <a16:creationId xmlns:a16="http://schemas.microsoft.com/office/drawing/2014/main" id="{456745EA-BF28-4091-9B95-B4E5508B4E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80" name="x_Picture 1" descr="Description: cid:image001.png@01D03949.49457930">
          <a:extLst>
            <a:ext uri="{FF2B5EF4-FFF2-40B4-BE49-F238E27FC236}">
              <a16:creationId xmlns:a16="http://schemas.microsoft.com/office/drawing/2014/main" id="{7F67E7E9-59C5-4D02-B718-55DBDAE3F2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81" name="x_Picture 1" descr="Description: cid:image001.png@01D03949.49457930">
          <a:extLst>
            <a:ext uri="{FF2B5EF4-FFF2-40B4-BE49-F238E27FC236}">
              <a16:creationId xmlns:a16="http://schemas.microsoft.com/office/drawing/2014/main" id="{8E823CE3-F705-4558-8B9D-241F14BAC3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82" name="x_Picture 1" descr="Description: cid:image001.png@01D03949.49457930">
          <a:extLst>
            <a:ext uri="{FF2B5EF4-FFF2-40B4-BE49-F238E27FC236}">
              <a16:creationId xmlns:a16="http://schemas.microsoft.com/office/drawing/2014/main" id="{B761D79B-8A68-4AAA-AAD9-8B1418C6FA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83" name="x_Picture 1" descr="Description: cid:image001.png@01D03949.49457930">
          <a:extLst>
            <a:ext uri="{FF2B5EF4-FFF2-40B4-BE49-F238E27FC236}">
              <a16:creationId xmlns:a16="http://schemas.microsoft.com/office/drawing/2014/main" id="{DC2ABA67-D9F6-4EB0-831E-D492CB05A6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84" name="x_Picture 1" descr="Description: cid:image001.png@01D03949.49457930">
          <a:extLst>
            <a:ext uri="{FF2B5EF4-FFF2-40B4-BE49-F238E27FC236}">
              <a16:creationId xmlns:a16="http://schemas.microsoft.com/office/drawing/2014/main" id="{54A928C5-963B-487D-BFFE-40D4F18BD7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85" name="x_Picture 1" descr="Description: cid:image001.png@01D03949.49457930">
          <a:extLst>
            <a:ext uri="{FF2B5EF4-FFF2-40B4-BE49-F238E27FC236}">
              <a16:creationId xmlns:a16="http://schemas.microsoft.com/office/drawing/2014/main" id="{2F7F5ED9-CC38-49A9-9896-FFA116EC40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86" name="x_Picture 1" descr="Description: cid:image001.png@01D03949.49457930">
          <a:extLst>
            <a:ext uri="{FF2B5EF4-FFF2-40B4-BE49-F238E27FC236}">
              <a16:creationId xmlns:a16="http://schemas.microsoft.com/office/drawing/2014/main" id="{B35CE3B1-AA32-43BD-A2F6-DB88BED20D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87" name="x_Picture 1" descr="Description: cid:image001.png@01D03949.49457930">
          <a:extLst>
            <a:ext uri="{FF2B5EF4-FFF2-40B4-BE49-F238E27FC236}">
              <a16:creationId xmlns:a16="http://schemas.microsoft.com/office/drawing/2014/main" id="{D77B8CF9-83DD-4372-8C2A-C3AB7D7837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88" name="x_Picture 1" descr="Description: cid:image001.png@01D03949.49457930">
          <a:extLst>
            <a:ext uri="{FF2B5EF4-FFF2-40B4-BE49-F238E27FC236}">
              <a16:creationId xmlns:a16="http://schemas.microsoft.com/office/drawing/2014/main" id="{10D6B979-81A9-4675-8E3E-E79D529739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89" name="x_Picture 1" descr="Description: cid:image001.png@01D03949.49457930">
          <a:extLst>
            <a:ext uri="{FF2B5EF4-FFF2-40B4-BE49-F238E27FC236}">
              <a16:creationId xmlns:a16="http://schemas.microsoft.com/office/drawing/2014/main" id="{7F54D76E-5E96-4FE8-9F4E-FD32AF1BB2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90" name="x_Picture 1" descr="Description: cid:image001.png@01D03949.49457930">
          <a:extLst>
            <a:ext uri="{FF2B5EF4-FFF2-40B4-BE49-F238E27FC236}">
              <a16:creationId xmlns:a16="http://schemas.microsoft.com/office/drawing/2014/main" id="{94A5E539-EA65-46DB-8376-89E81D65D0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91" name="x_Picture 1" descr="Description: cid:image001.png@01D03949.49457930">
          <a:extLst>
            <a:ext uri="{FF2B5EF4-FFF2-40B4-BE49-F238E27FC236}">
              <a16:creationId xmlns:a16="http://schemas.microsoft.com/office/drawing/2014/main" id="{93E1F592-5A2C-4B03-8A9E-0553F6B447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92" name="x_Picture 1" descr="Description: cid:image001.png@01D03949.49457930">
          <a:extLst>
            <a:ext uri="{FF2B5EF4-FFF2-40B4-BE49-F238E27FC236}">
              <a16:creationId xmlns:a16="http://schemas.microsoft.com/office/drawing/2014/main" id="{FFE64499-6131-424E-9D6E-EC7FA4694C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93" name="x_Picture 1" descr="Description: cid:image001.png@01D03949.49457930">
          <a:extLst>
            <a:ext uri="{FF2B5EF4-FFF2-40B4-BE49-F238E27FC236}">
              <a16:creationId xmlns:a16="http://schemas.microsoft.com/office/drawing/2014/main" id="{6624C11F-D7C9-46A7-9013-A234BC1C5C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94" name="x_Picture 1" descr="Description: cid:image001.png@01D03949.49457930">
          <a:extLst>
            <a:ext uri="{FF2B5EF4-FFF2-40B4-BE49-F238E27FC236}">
              <a16:creationId xmlns:a16="http://schemas.microsoft.com/office/drawing/2014/main" id="{B173B9AD-429D-4293-93CA-6FBFC7519F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95" name="x_Picture 1" descr="Description: cid:image001.png@01D03949.49457930">
          <a:extLst>
            <a:ext uri="{FF2B5EF4-FFF2-40B4-BE49-F238E27FC236}">
              <a16:creationId xmlns:a16="http://schemas.microsoft.com/office/drawing/2014/main" id="{E3DA320A-8800-48DB-804E-3B0EFF6DE1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96" name="x_Picture 1" descr="Description: cid:image001.png@01D03949.49457930">
          <a:extLst>
            <a:ext uri="{FF2B5EF4-FFF2-40B4-BE49-F238E27FC236}">
              <a16:creationId xmlns:a16="http://schemas.microsoft.com/office/drawing/2014/main" id="{63440065-3FF3-4EB2-A108-4E54D6CCF4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97" name="x_Picture 1" descr="Description: cid:image001.png@01D03949.49457930">
          <a:extLst>
            <a:ext uri="{FF2B5EF4-FFF2-40B4-BE49-F238E27FC236}">
              <a16:creationId xmlns:a16="http://schemas.microsoft.com/office/drawing/2014/main" id="{77FF8BC9-4F27-4806-A5AE-77ABA514FB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698" name="x_Picture 1" descr="Description: cid:image001.png@01D03949.49457930">
          <a:extLst>
            <a:ext uri="{FF2B5EF4-FFF2-40B4-BE49-F238E27FC236}">
              <a16:creationId xmlns:a16="http://schemas.microsoft.com/office/drawing/2014/main" id="{D136201E-8ED8-4656-BD34-AF8D458748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699" name="x_Picture 1" descr="Description: cid:image001.png@01D03949.49457930">
          <a:extLst>
            <a:ext uri="{FF2B5EF4-FFF2-40B4-BE49-F238E27FC236}">
              <a16:creationId xmlns:a16="http://schemas.microsoft.com/office/drawing/2014/main" id="{A3986D82-FB8E-4DB7-8BA2-F7D3AF4299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0" name="x_Picture 1" descr="Description: cid:image001.png@01D03949.49457930">
          <a:extLst>
            <a:ext uri="{FF2B5EF4-FFF2-40B4-BE49-F238E27FC236}">
              <a16:creationId xmlns:a16="http://schemas.microsoft.com/office/drawing/2014/main" id="{FEF4411B-9760-47AD-8F13-7C0689FAE1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1" name="x_Picture 1" descr="Description: cid:image001.png@01D03949.49457930">
          <a:extLst>
            <a:ext uri="{FF2B5EF4-FFF2-40B4-BE49-F238E27FC236}">
              <a16:creationId xmlns:a16="http://schemas.microsoft.com/office/drawing/2014/main" id="{C392AB9D-B1AA-494D-BF91-7A2F8E917A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2" name="x_Picture 1" descr="Description: cid:image001.png@01D03949.49457930">
          <a:extLst>
            <a:ext uri="{FF2B5EF4-FFF2-40B4-BE49-F238E27FC236}">
              <a16:creationId xmlns:a16="http://schemas.microsoft.com/office/drawing/2014/main" id="{B38A4046-84B9-4E58-88BA-7C7C2D5042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3" name="x_Picture 1" descr="Description: cid:image001.png@01D03949.49457930">
          <a:extLst>
            <a:ext uri="{FF2B5EF4-FFF2-40B4-BE49-F238E27FC236}">
              <a16:creationId xmlns:a16="http://schemas.microsoft.com/office/drawing/2014/main" id="{0853FC04-C708-44B7-854E-845036EA56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4" name="x_Picture 1" descr="Description: cid:image001.png@01D03949.49457930">
          <a:extLst>
            <a:ext uri="{FF2B5EF4-FFF2-40B4-BE49-F238E27FC236}">
              <a16:creationId xmlns:a16="http://schemas.microsoft.com/office/drawing/2014/main" id="{1C74CEC4-4767-4B67-8F56-8B521257C5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5" name="x_Picture 1" descr="Description: cid:image001.png@01D03949.49457930">
          <a:extLst>
            <a:ext uri="{FF2B5EF4-FFF2-40B4-BE49-F238E27FC236}">
              <a16:creationId xmlns:a16="http://schemas.microsoft.com/office/drawing/2014/main" id="{C3513E47-A86A-4892-8D3B-001D054E04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6" name="x_Picture 1" descr="Description: cid:image001.png@01D03949.49457930">
          <a:extLst>
            <a:ext uri="{FF2B5EF4-FFF2-40B4-BE49-F238E27FC236}">
              <a16:creationId xmlns:a16="http://schemas.microsoft.com/office/drawing/2014/main" id="{DB322792-CBEE-4FA4-ABC0-31E8404DCE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7" name="x_Picture 1" descr="Description: cid:image001.png@01D03949.49457930">
          <a:extLst>
            <a:ext uri="{FF2B5EF4-FFF2-40B4-BE49-F238E27FC236}">
              <a16:creationId xmlns:a16="http://schemas.microsoft.com/office/drawing/2014/main" id="{33AC6C8C-306D-4C3A-9D85-9F2E03CCF8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8" name="x_Picture 1" descr="Description: cid:image001.png@01D03949.49457930">
          <a:extLst>
            <a:ext uri="{FF2B5EF4-FFF2-40B4-BE49-F238E27FC236}">
              <a16:creationId xmlns:a16="http://schemas.microsoft.com/office/drawing/2014/main" id="{9F49D465-97B6-4D52-A1E8-5E779C8477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09" name="x_Picture 1" descr="Description: cid:image001.png@01D03949.49457930">
          <a:extLst>
            <a:ext uri="{FF2B5EF4-FFF2-40B4-BE49-F238E27FC236}">
              <a16:creationId xmlns:a16="http://schemas.microsoft.com/office/drawing/2014/main" id="{740D8053-3630-4CE5-B2FC-C3A5C412DD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10" name="x_Picture 1" descr="Description: cid:image001.png@01D03949.49457930">
          <a:extLst>
            <a:ext uri="{FF2B5EF4-FFF2-40B4-BE49-F238E27FC236}">
              <a16:creationId xmlns:a16="http://schemas.microsoft.com/office/drawing/2014/main" id="{DE1D134E-0805-4FB2-885C-A2E540E8C7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11" name="x_Picture 1" descr="Description: cid:image001.png@01D03949.49457930">
          <a:extLst>
            <a:ext uri="{FF2B5EF4-FFF2-40B4-BE49-F238E27FC236}">
              <a16:creationId xmlns:a16="http://schemas.microsoft.com/office/drawing/2014/main" id="{616F9CA5-AD0F-48EA-AB6C-5F73451AB5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12" name="x_Picture 1" descr="Description: cid:image001.png@01D03949.49457930">
          <a:extLst>
            <a:ext uri="{FF2B5EF4-FFF2-40B4-BE49-F238E27FC236}">
              <a16:creationId xmlns:a16="http://schemas.microsoft.com/office/drawing/2014/main" id="{AF6DAE2E-7A95-45F6-B7FE-E4902AE322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13" name="x_Picture 1" descr="Description: cid:image001.png@01D03949.49457930">
          <a:extLst>
            <a:ext uri="{FF2B5EF4-FFF2-40B4-BE49-F238E27FC236}">
              <a16:creationId xmlns:a16="http://schemas.microsoft.com/office/drawing/2014/main" id="{758A9F24-C008-4143-888B-6CD0572237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14" name="x_Picture 1" descr="Description: cid:image001.png@01D03949.49457930">
          <a:extLst>
            <a:ext uri="{FF2B5EF4-FFF2-40B4-BE49-F238E27FC236}">
              <a16:creationId xmlns:a16="http://schemas.microsoft.com/office/drawing/2014/main" id="{810606DF-C96E-458F-AD51-E2C2AAD9D5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15" name="x_Picture 1" descr="Description: cid:image001.png@01D03949.49457930">
          <a:extLst>
            <a:ext uri="{FF2B5EF4-FFF2-40B4-BE49-F238E27FC236}">
              <a16:creationId xmlns:a16="http://schemas.microsoft.com/office/drawing/2014/main" id="{554C5FA2-8A9C-454C-963A-6421033C67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16" name="x_Picture 1" descr="Description: cid:image001.png@01D03949.49457930">
          <a:extLst>
            <a:ext uri="{FF2B5EF4-FFF2-40B4-BE49-F238E27FC236}">
              <a16:creationId xmlns:a16="http://schemas.microsoft.com/office/drawing/2014/main" id="{DAC07A8F-6C86-44F9-A5FA-0AA799FE82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17" name="x_Picture 1" descr="Description: cid:image001.png@01D03949.49457930">
          <a:extLst>
            <a:ext uri="{FF2B5EF4-FFF2-40B4-BE49-F238E27FC236}">
              <a16:creationId xmlns:a16="http://schemas.microsoft.com/office/drawing/2014/main" id="{FD1C2928-C20B-402B-AA73-43E09D6759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18" name="x_Picture 1" descr="Description: cid:image001.png@01D03949.49457930">
          <a:extLst>
            <a:ext uri="{FF2B5EF4-FFF2-40B4-BE49-F238E27FC236}">
              <a16:creationId xmlns:a16="http://schemas.microsoft.com/office/drawing/2014/main" id="{D0607CAB-CB09-418B-9EE5-F5897A0C34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19" name="x_Picture 1" descr="Description: cid:image001.png@01D03949.49457930">
          <a:extLst>
            <a:ext uri="{FF2B5EF4-FFF2-40B4-BE49-F238E27FC236}">
              <a16:creationId xmlns:a16="http://schemas.microsoft.com/office/drawing/2014/main" id="{F82A6401-A002-4E85-AECB-D4C63D6E53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20" name="x_Picture 1" descr="Description: cid:image001.png@01D03949.49457930">
          <a:extLst>
            <a:ext uri="{FF2B5EF4-FFF2-40B4-BE49-F238E27FC236}">
              <a16:creationId xmlns:a16="http://schemas.microsoft.com/office/drawing/2014/main" id="{1C88A487-7478-4560-ADB2-B14273CEA0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21" name="x_Picture 1" descr="Description: cid:image001.png@01D03949.49457930">
          <a:extLst>
            <a:ext uri="{FF2B5EF4-FFF2-40B4-BE49-F238E27FC236}">
              <a16:creationId xmlns:a16="http://schemas.microsoft.com/office/drawing/2014/main" id="{3A376952-0CAD-4CFC-A7C7-147B524A8BB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22" name="x_Picture 1" descr="Description: cid:image001.png@01D03949.49457930">
          <a:extLst>
            <a:ext uri="{FF2B5EF4-FFF2-40B4-BE49-F238E27FC236}">
              <a16:creationId xmlns:a16="http://schemas.microsoft.com/office/drawing/2014/main" id="{D0332327-74FB-47E1-AE6D-C0F9ABA208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23" name="x_Picture 1" descr="Description: cid:image001.png@01D03949.49457930">
          <a:extLst>
            <a:ext uri="{FF2B5EF4-FFF2-40B4-BE49-F238E27FC236}">
              <a16:creationId xmlns:a16="http://schemas.microsoft.com/office/drawing/2014/main" id="{D54DE9E6-28A6-4526-B4C6-8088AD1B3D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24" name="x_Picture 1" descr="Description: cid:image001.png@01D03949.49457930">
          <a:extLst>
            <a:ext uri="{FF2B5EF4-FFF2-40B4-BE49-F238E27FC236}">
              <a16:creationId xmlns:a16="http://schemas.microsoft.com/office/drawing/2014/main" id="{BA64D423-31DA-4F58-875D-87806A0AE7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25" name="x_Picture 1" descr="Description: cid:image001.png@01D03949.49457930">
          <a:extLst>
            <a:ext uri="{FF2B5EF4-FFF2-40B4-BE49-F238E27FC236}">
              <a16:creationId xmlns:a16="http://schemas.microsoft.com/office/drawing/2014/main" id="{8B33F8EF-712E-479F-89C0-C91CE0B7398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26" name="x_Picture 1" descr="Description: cid:image001.png@01D03949.49457930">
          <a:extLst>
            <a:ext uri="{FF2B5EF4-FFF2-40B4-BE49-F238E27FC236}">
              <a16:creationId xmlns:a16="http://schemas.microsoft.com/office/drawing/2014/main" id="{5BD2FB51-33F7-4834-AF34-8D13288E15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27" name="x_Picture 1" descr="Description: cid:image001.png@01D03949.49457930">
          <a:extLst>
            <a:ext uri="{FF2B5EF4-FFF2-40B4-BE49-F238E27FC236}">
              <a16:creationId xmlns:a16="http://schemas.microsoft.com/office/drawing/2014/main" id="{E27DB5AE-0A25-4D15-9725-B9A9809570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28" name="x_Picture 1" descr="Description: cid:image001.png@01D03949.49457930">
          <a:extLst>
            <a:ext uri="{FF2B5EF4-FFF2-40B4-BE49-F238E27FC236}">
              <a16:creationId xmlns:a16="http://schemas.microsoft.com/office/drawing/2014/main" id="{E2EA047E-7B73-4DE1-A4B3-25079CA525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29" name="x_Picture 1" descr="Description: cid:image001.png@01D03949.49457930">
          <a:extLst>
            <a:ext uri="{FF2B5EF4-FFF2-40B4-BE49-F238E27FC236}">
              <a16:creationId xmlns:a16="http://schemas.microsoft.com/office/drawing/2014/main" id="{1C62E2BD-9CA3-4A9F-A8D4-DD52AE213B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30" name="x_Picture 1" descr="Description: cid:image001.png@01D03949.49457930">
          <a:extLst>
            <a:ext uri="{FF2B5EF4-FFF2-40B4-BE49-F238E27FC236}">
              <a16:creationId xmlns:a16="http://schemas.microsoft.com/office/drawing/2014/main" id="{C13B6808-AA5F-432F-B9E3-382BD7D3AD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31" name="x_Picture 1" descr="Description: cid:image001.png@01D03949.49457930">
          <a:extLst>
            <a:ext uri="{FF2B5EF4-FFF2-40B4-BE49-F238E27FC236}">
              <a16:creationId xmlns:a16="http://schemas.microsoft.com/office/drawing/2014/main" id="{8A96BBF9-0745-4C3A-B5BB-A4C6120800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32" name="x_Picture 1" descr="Description: cid:image001.png@01D03949.49457930">
          <a:extLst>
            <a:ext uri="{FF2B5EF4-FFF2-40B4-BE49-F238E27FC236}">
              <a16:creationId xmlns:a16="http://schemas.microsoft.com/office/drawing/2014/main" id="{FEA5E51D-D73D-42DB-B794-ABA9D49F0F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33" name="x_Picture 1" descr="Description: cid:image001.png@01D03949.49457930">
          <a:extLst>
            <a:ext uri="{FF2B5EF4-FFF2-40B4-BE49-F238E27FC236}">
              <a16:creationId xmlns:a16="http://schemas.microsoft.com/office/drawing/2014/main" id="{2C8152DB-3987-4023-B52C-6089CFD0B1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34" name="x_Picture 1" descr="Description: cid:image001.png@01D03949.49457930">
          <a:extLst>
            <a:ext uri="{FF2B5EF4-FFF2-40B4-BE49-F238E27FC236}">
              <a16:creationId xmlns:a16="http://schemas.microsoft.com/office/drawing/2014/main" id="{679894A8-813F-488D-AC33-55997DB2B4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35" name="x_Picture 1" descr="Description: cid:image001.png@01D03949.49457930">
          <a:extLst>
            <a:ext uri="{FF2B5EF4-FFF2-40B4-BE49-F238E27FC236}">
              <a16:creationId xmlns:a16="http://schemas.microsoft.com/office/drawing/2014/main" id="{C0217682-BE46-474F-ABEE-B1C71E0157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36" name="x_Picture 1" descr="Description: cid:image001.png@01D03949.49457930">
          <a:extLst>
            <a:ext uri="{FF2B5EF4-FFF2-40B4-BE49-F238E27FC236}">
              <a16:creationId xmlns:a16="http://schemas.microsoft.com/office/drawing/2014/main" id="{C0C7F1DF-2550-4751-8AF3-47BACBAAA8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37" name="x_Picture 1" descr="Description: cid:image001.png@01D03949.49457930">
          <a:extLst>
            <a:ext uri="{FF2B5EF4-FFF2-40B4-BE49-F238E27FC236}">
              <a16:creationId xmlns:a16="http://schemas.microsoft.com/office/drawing/2014/main" id="{56F3FA9B-B715-4D4A-9A37-F1ADD687A9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38" name="x_Picture 1" descr="Description: cid:image001.png@01D03949.49457930">
          <a:extLst>
            <a:ext uri="{FF2B5EF4-FFF2-40B4-BE49-F238E27FC236}">
              <a16:creationId xmlns:a16="http://schemas.microsoft.com/office/drawing/2014/main" id="{171BB0E9-25E4-4290-B4F4-E49D650856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39" name="x_Picture 1" descr="Description: cid:image001.png@01D03949.49457930">
          <a:extLst>
            <a:ext uri="{FF2B5EF4-FFF2-40B4-BE49-F238E27FC236}">
              <a16:creationId xmlns:a16="http://schemas.microsoft.com/office/drawing/2014/main" id="{5E6A3335-9B2F-42DE-ABD6-DA032BDAD0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40" name="x_Picture 1" descr="Description: cid:image001.png@01D03949.49457930">
          <a:extLst>
            <a:ext uri="{FF2B5EF4-FFF2-40B4-BE49-F238E27FC236}">
              <a16:creationId xmlns:a16="http://schemas.microsoft.com/office/drawing/2014/main" id="{7E2446EC-7C0E-472E-884B-4AB35A9B39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41" name="x_Picture 1" descr="Description: cid:image001.png@01D03949.49457930">
          <a:extLst>
            <a:ext uri="{FF2B5EF4-FFF2-40B4-BE49-F238E27FC236}">
              <a16:creationId xmlns:a16="http://schemas.microsoft.com/office/drawing/2014/main" id="{BB7B77B9-407E-44FA-91DA-B25390F550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42" name="x_Picture 1" descr="Description: cid:image001.png@01D03949.49457930">
          <a:extLst>
            <a:ext uri="{FF2B5EF4-FFF2-40B4-BE49-F238E27FC236}">
              <a16:creationId xmlns:a16="http://schemas.microsoft.com/office/drawing/2014/main" id="{CFC51301-75B5-4978-AAA7-310B0AFF7E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43" name="x_Picture 1" descr="Description: cid:image001.png@01D03949.49457930">
          <a:extLst>
            <a:ext uri="{FF2B5EF4-FFF2-40B4-BE49-F238E27FC236}">
              <a16:creationId xmlns:a16="http://schemas.microsoft.com/office/drawing/2014/main" id="{5A85EA57-7C83-4EB7-8A2A-CD290C1D06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44" name="x_Picture 1" descr="Description: cid:image001.png@01D03949.49457930">
          <a:extLst>
            <a:ext uri="{FF2B5EF4-FFF2-40B4-BE49-F238E27FC236}">
              <a16:creationId xmlns:a16="http://schemas.microsoft.com/office/drawing/2014/main" id="{B77E6E56-D245-4D03-B0DD-2935BC34C6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45" name="x_Picture 1" descr="Description: cid:image001.png@01D03949.49457930">
          <a:extLst>
            <a:ext uri="{FF2B5EF4-FFF2-40B4-BE49-F238E27FC236}">
              <a16:creationId xmlns:a16="http://schemas.microsoft.com/office/drawing/2014/main" id="{CF995AF1-01F1-4C51-B098-E19590B038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46" name="x_Picture 1" descr="Description: cid:image001.png@01D03949.49457930">
          <a:extLst>
            <a:ext uri="{FF2B5EF4-FFF2-40B4-BE49-F238E27FC236}">
              <a16:creationId xmlns:a16="http://schemas.microsoft.com/office/drawing/2014/main" id="{A5C8A981-C353-4BAF-840C-56E6B7A15F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47" name="x_Picture 1" descr="Description: cid:image001.png@01D03949.49457930">
          <a:extLst>
            <a:ext uri="{FF2B5EF4-FFF2-40B4-BE49-F238E27FC236}">
              <a16:creationId xmlns:a16="http://schemas.microsoft.com/office/drawing/2014/main" id="{95F21556-151E-44D9-8C26-5B29D59099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48" name="x_Picture 1" descr="Description: cid:image001.png@01D03949.49457930">
          <a:extLst>
            <a:ext uri="{FF2B5EF4-FFF2-40B4-BE49-F238E27FC236}">
              <a16:creationId xmlns:a16="http://schemas.microsoft.com/office/drawing/2014/main" id="{10FB5F99-02E5-46B1-A37B-13B99FD24C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49" name="x_Picture 1" descr="Description: cid:image001.png@01D03949.49457930">
          <a:extLst>
            <a:ext uri="{FF2B5EF4-FFF2-40B4-BE49-F238E27FC236}">
              <a16:creationId xmlns:a16="http://schemas.microsoft.com/office/drawing/2014/main" id="{4FC53964-BB6B-4F5B-AA98-DCEBFFDFC8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50" name="x_Picture 1" descr="Description: cid:image001.png@01D03949.49457930">
          <a:extLst>
            <a:ext uri="{FF2B5EF4-FFF2-40B4-BE49-F238E27FC236}">
              <a16:creationId xmlns:a16="http://schemas.microsoft.com/office/drawing/2014/main" id="{3316289F-EDB5-49F9-BB49-25BD3BA8CF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51" name="x_Picture 1" descr="Description: cid:image001.png@01D03949.49457930">
          <a:extLst>
            <a:ext uri="{FF2B5EF4-FFF2-40B4-BE49-F238E27FC236}">
              <a16:creationId xmlns:a16="http://schemas.microsoft.com/office/drawing/2014/main" id="{A2886197-FF00-455F-9EB6-3F4608C458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52" name="x_Picture 1" descr="Description: cid:image001.png@01D03949.49457930">
          <a:extLst>
            <a:ext uri="{FF2B5EF4-FFF2-40B4-BE49-F238E27FC236}">
              <a16:creationId xmlns:a16="http://schemas.microsoft.com/office/drawing/2014/main" id="{0D52605D-8F30-4418-B526-297D9A8ED7C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53" name="x_Picture 1" descr="Description: cid:image001.png@01D03949.49457930">
          <a:extLst>
            <a:ext uri="{FF2B5EF4-FFF2-40B4-BE49-F238E27FC236}">
              <a16:creationId xmlns:a16="http://schemas.microsoft.com/office/drawing/2014/main" id="{8444C352-3C70-4EC9-9A40-E4DD18ED89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54" name="x_Picture 1" descr="Description: cid:image001.png@01D03949.49457930">
          <a:extLst>
            <a:ext uri="{FF2B5EF4-FFF2-40B4-BE49-F238E27FC236}">
              <a16:creationId xmlns:a16="http://schemas.microsoft.com/office/drawing/2014/main" id="{DDDCC296-95FD-47C7-81E5-86FB155F414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55" name="x_Picture 1" descr="Description: cid:image001.png@01D03949.49457930">
          <a:extLst>
            <a:ext uri="{FF2B5EF4-FFF2-40B4-BE49-F238E27FC236}">
              <a16:creationId xmlns:a16="http://schemas.microsoft.com/office/drawing/2014/main" id="{4937BF21-391C-4A9A-9A68-7257BDE1BD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56" name="x_Picture 1" descr="Description: cid:image001.png@01D03949.49457930">
          <a:extLst>
            <a:ext uri="{FF2B5EF4-FFF2-40B4-BE49-F238E27FC236}">
              <a16:creationId xmlns:a16="http://schemas.microsoft.com/office/drawing/2014/main" id="{C63E306B-9AB1-4DAD-A2FD-46D5B0946E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57" name="x_Picture 1" descr="Description: cid:image001.png@01D03949.49457930">
          <a:extLst>
            <a:ext uri="{FF2B5EF4-FFF2-40B4-BE49-F238E27FC236}">
              <a16:creationId xmlns:a16="http://schemas.microsoft.com/office/drawing/2014/main" id="{048AA5F9-09C6-44B4-B5ED-C99449D024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58" name="x_Picture 1" descr="Description: cid:image001.png@01D03949.49457930">
          <a:extLst>
            <a:ext uri="{FF2B5EF4-FFF2-40B4-BE49-F238E27FC236}">
              <a16:creationId xmlns:a16="http://schemas.microsoft.com/office/drawing/2014/main" id="{1CC1E5E2-7E7F-4589-9EAD-A1B834052B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59" name="x_Picture 1" descr="Description: cid:image001.png@01D03949.49457930">
          <a:extLst>
            <a:ext uri="{FF2B5EF4-FFF2-40B4-BE49-F238E27FC236}">
              <a16:creationId xmlns:a16="http://schemas.microsoft.com/office/drawing/2014/main" id="{AA52870D-D714-475A-BA51-18432643EF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60" name="x_Picture 1" descr="Description: cid:image001.png@01D03949.49457930">
          <a:extLst>
            <a:ext uri="{FF2B5EF4-FFF2-40B4-BE49-F238E27FC236}">
              <a16:creationId xmlns:a16="http://schemas.microsoft.com/office/drawing/2014/main" id="{557E8DB3-63AA-46E1-B92C-E3E4210B53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61" name="x_Picture 1" descr="Description: cid:image001.png@01D03949.49457930">
          <a:extLst>
            <a:ext uri="{FF2B5EF4-FFF2-40B4-BE49-F238E27FC236}">
              <a16:creationId xmlns:a16="http://schemas.microsoft.com/office/drawing/2014/main" id="{3E9BEDBC-6A7B-45D5-A517-EF522A9FB9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62" name="x_Picture 1" descr="Description: cid:image001.png@01D03949.49457930">
          <a:extLst>
            <a:ext uri="{FF2B5EF4-FFF2-40B4-BE49-F238E27FC236}">
              <a16:creationId xmlns:a16="http://schemas.microsoft.com/office/drawing/2014/main" id="{9109E829-209C-4F86-A621-7DE33DE5BB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63" name="x_Picture 1" descr="Description: cid:image001.png@01D03949.49457930">
          <a:extLst>
            <a:ext uri="{FF2B5EF4-FFF2-40B4-BE49-F238E27FC236}">
              <a16:creationId xmlns:a16="http://schemas.microsoft.com/office/drawing/2014/main" id="{0ABF0901-6812-43C3-8EB6-EA061FCC58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64" name="x_Picture 1" descr="Description: cid:image001.png@01D03949.49457930">
          <a:extLst>
            <a:ext uri="{FF2B5EF4-FFF2-40B4-BE49-F238E27FC236}">
              <a16:creationId xmlns:a16="http://schemas.microsoft.com/office/drawing/2014/main" id="{62A8CD4C-112B-4DD5-9B8F-E064FE3D80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65" name="x_Picture 1" descr="Description: cid:image001.png@01D03949.49457930">
          <a:extLst>
            <a:ext uri="{FF2B5EF4-FFF2-40B4-BE49-F238E27FC236}">
              <a16:creationId xmlns:a16="http://schemas.microsoft.com/office/drawing/2014/main" id="{F7F6F3BC-CB3A-4E9F-99B7-6DDA780ECC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66" name="x_Picture 1" descr="Description: cid:image001.png@01D03949.49457930">
          <a:extLst>
            <a:ext uri="{FF2B5EF4-FFF2-40B4-BE49-F238E27FC236}">
              <a16:creationId xmlns:a16="http://schemas.microsoft.com/office/drawing/2014/main" id="{8150B0AD-0589-4023-BD7F-5C1D15FB09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67" name="x_Picture 1" descr="Description: cid:image001.png@01D03949.49457930">
          <a:extLst>
            <a:ext uri="{FF2B5EF4-FFF2-40B4-BE49-F238E27FC236}">
              <a16:creationId xmlns:a16="http://schemas.microsoft.com/office/drawing/2014/main" id="{59D9BBD0-9363-4C5D-B93D-4463C2D809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68" name="x_Picture 1" descr="Description: cid:image001.png@01D03949.49457930">
          <a:extLst>
            <a:ext uri="{FF2B5EF4-FFF2-40B4-BE49-F238E27FC236}">
              <a16:creationId xmlns:a16="http://schemas.microsoft.com/office/drawing/2014/main" id="{239774C8-77FC-4089-A625-3B2C378E44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69" name="x_Picture 1" descr="Description: cid:image001.png@01D03949.49457930">
          <a:extLst>
            <a:ext uri="{FF2B5EF4-FFF2-40B4-BE49-F238E27FC236}">
              <a16:creationId xmlns:a16="http://schemas.microsoft.com/office/drawing/2014/main" id="{D86238FB-9522-4FA6-B71F-E0BC86191C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70" name="x_Picture 1" descr="Description: cid:image001.png@01D03949.49457930">
          <a:extLst>
            <a:ext uri="{FF2B5EF4-FFF2-40B4-BE49-F238E27FC236}">
              <a16:creationId xmlns:a16="http://schemas.microsoft.com/office/drawing/2014/main" id="{92C02F34-7F31-44CE-B28E-738EC529FC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71" name="x_Picture 1" descr="Description: cid:image001.png@01D03949.49457930">
          <a:extLst>
            <a:ext uri="{FF2B5EF4-FFF2-40B4-BE49-F238E27FC236}">
              <a16:creationId xmlns:a16="http://schemas.microsoft.com/office/drawing/2014/main" id="{7D97218B-3990-4525-8F56-8FEFC3B865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72" name="x_Picture 1" descr="Description: cid:image001.png@01D03949.49457930">
          <a:extLst>
            <a:ext uri="{FF2B5EF4-FFF2-40B4-BE49-F238E27FC236}">
              <a16:creationId xmlns:a16="http://schemas.microsoft.com/office/drawing/2014/main" id="{1E3A153F-5FFB-4FE6-92A4-7762421F46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73" name="x_Picture 1" descr="Description: cid:image001.png@01D03949.49457930">
          <a:extLst>
            <a:ext uri="{FF2B5EF4-FFF2-40B4-BE49-F238E27FC236}">
              <a16:creationId xmlns:a16="http://schemas.microsoft.com/office/drawing/2014/main" id="{31607A14-D8B6-428F-A80A-69FB89A8597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74" name="x_Picture 1" descr="Description: cid:image001.png@01D03949.49457930">
          <a:extLst>
            <a:ext uri="{FF2B5EF4-FFF2-40B4-BE49-F238E27FC236}">
              <a16:creationId xmlns:a16="http://schemas.microsoft.com/office/drawing/2014/main" id="{07873D9D-D958-45CF-A9FA-5B46C1D0DE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75" name="x_Picture 1" descr="Description: cid:image001.png@01D03949.49457930">
          <a:extLst>
            <a:ext uri="{FF2B5EF4-FFF2-40B4-BE49-F238E27FC236}">
              <a16:creationId xmlns:a16="http://schemas.microsoft.com/office/drawing/2014/main" id="{135F5037-0F65-400C-ACEE-521A6CFA64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76" name="x_Picture 1" descr="Description: cid:image001.png@01D03949.49457930">
          <a:extLst>
            <a:ext uri="{FF2B5EF4-FFF2-40B4-BE49-F238E27FC236}">
              <a16:creationId xmlns:a16="http://schemas.microsoft.com/office/drawing/2014/main" id="{8C440C58-DF0D-47AA-802F-F513E19CF1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77" name="x_Picture 1" descr="Description: cid:image001.png@01D03949.49457930">
          <a:extLst>
            <a:ext uri="{FF2B5EF4-FFF2-40B4-BE49-F238E27FC236}">
              <a16:creationId xmlns:a16="http://schemas.microsoft.com/office/drawing/2014/main" id="{279B87F3-FC13-46DF-BF4C-6AE3FEFB8B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78" name="x_Picture 1" descr="Description: cid:image001.png@01D03949.49457930">
          <a:extLst>
            <a:ext uri="{FF2B5EF4-FFF2-40B4-BE49-F238E27FC236}">
              <a16:creationId xmlns:a16="http://schemas.microsoft.com/office/drawing/2014/main" id="{CF9E034B-0C69-4A0B-A090-D3A6304150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79" name="x_Picture 1" descr="Description: cid:image001.png@01D03949.49457930">
          <a:extLst>
            <a:ext uri="{FF2B5EF4-FFF2-40B4-BE49-F238E27FC236}">
              <a16:creationId xmlns:a16="http://schemas.microsoft.com/office/drawing/2014/main" id="{557D5DB1-99AE-440C-8219-6CA5B13F39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80" name="x_Picture 1" descr="Description: cid:image001.png@01D03949.49457930">
          <a:extLst>
            <a:ext uri="{FF2B5EF4-FFF2-40B4-BE49-F238E27FC236}">
              <a16:creationId xmlns:a16="http://schemas.microsoft.com/office/drawing/2014/main" id="{33BD4230-92E5-4185-9A1E-22DD761CFA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81" name="x_Picture 1" descr="Description: cid:image001.png@01D03949.49457930">
          <a:extLst>
            <a:ext uri="{FF2B5EF4-FFF2-40B4-BE49-F238E27FC236}">
              <a16:creationId xmlns:a16="http://schemas.microsoft.com/office/drawing/2014/main" id="{02C34D88-3FB3-4BD0-9C3B-16D8894588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82" name="x_Picture 1" descr="Description: cid:image001.png@01D03949.49457930">
          <a:extLst>
            <a:ext uri="{FF2B5EF4-FFF2-40B4-BE49-F238E27FC236}">
              <a16:creationId xmlns:a16="http://schemas.microsoft.com/office/drawing/2014/main" id="{76079819-01BB-4EF3-8955-423F3EDC6C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83" name="x_Picture 1" descr="Description: cid:image001.png@01D03949.49457930">
          <a:extLst>
            <a:ext uri="{FF2B5EF4-FFF2-40B4-BE49-F238E27FC236}">
              <a16:creationId xmlns:a16="http://schemas.microsoft.com/office/drawing/2014/main" id="{FE24F505-3DD3-4DBA-9F7F-5995BE5C2D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84" name="x_Picture 1" descr="Description: cid:image001.png@01D03949.49457930">
          <a:extLst>
            <a:ext uri="{FF2B5EF4-FFF2-40B4-BE49-F238E27FC236}">
              <a16:creationId xmlns:a16="http://schemas.microsoft.com/office/drawing/2014/main" id="{80A31FE9-E655-40AF-AC01-942261BD51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85" name="x_Picture 1" descr="Description: cid:image001.png@01D03949.49457930">
          <a:extLst>
            <a:ext uri="{FF2B5EF4-FFF2-40B4-BE49-F238E27FC236}">
              <a16:creationId xmlns:a16="http://schemas.microsoft.com/office/drawing/2014/main" id="{F95260E8-EE3E-4F50-9AEA-C320E83EE0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86" name="x_Picture 1" descr="Description: cid:image001.png@01D03949.49457930">
          <a:extLst>
            <a:ext uri="{FF2B5EF4-FFF2-40B4-BE49-F238E27FC236}">
              <a16:creationId xmlns:a16="http://schemas.microsoft.com/office/drawing/2014/main" id="{3F9C9C78-1F7E-4571-9122-3E1825322F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87" name="x_Picture 1" descr="Description: cid:image001.png@01D03949.49457930">
          <a:extLst>
            <a:ext uri="{FF2B5EF4-FFF2-40B4-BE49-F238E27FC236}">
              <a16:creationId xmlns:a16="http://schemas.microsoft.com/office/drawing/2014/main" id="{18982405-36D5-4D99-B847-52D416D1A4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88" name="x_Picture 1" descr="Description: cid:image001.png@01D03949.49457930">
          <a:extLst>
            <a:ext uri="{FF2B5EF4-FFF2-40B4-BE49-F238E27FC236}">
              <a16:creationId xmlns:a16="http://schemas.microsoft.com/office/drawing/2014/main" id="{A35B27A9-C167-48BF-AC07-F4C0E375688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89" name="x_Picture 1" descr="Description: cid:image001.png@01D03949.49457930">
          <a:extLst>
            <a:ext uri="{FF2B5EF4-FFF2-40B4-BE49-F238E27FC236}">
              <a16:creationId xmlns:a16="http://schemas.microsoft.com/office/drawing/2014/main" id="{301F1635-43D7-490B-8797-7BEA2194ED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90" name="x_Picture 1" descr="Description: cid:image001.png@01D03949.49457930">
          <a:extLst>
            <a:ext uri="{FF2B5EF4-FFF2-40B4-BE49-F238E27FC236}">
              <a16:creationId xmlns:a16="http://schemas.microsoft.com/office/drawing/2014/main" id="{38E2783E-000C-4455-980B-2E5ED77A3B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91" name="x_Picture 1" descr="Description: cid:image001.png@01D03949.49457930">
          <a:extLst>
            <a:ext uri="{FF2B5EF4-FFF2-40B4-BE49-F238E27FC236}">
              <a16:creationId xmlns:a16="http://schemas.microsoft.com/office/drawing/2014/main" id="{D03ECC8C-7C7B-4DB2-AFBD-D9896D31D1C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92" name="x_Picture 1" descr="Description: cid:image001.png@01D03949.49457930">
          <a:extLst>
            <a:ext uri="{FF2B5EF4-FFF2-40B4-BE49-F238E27FC236}">
              <a16:creationId xmlns:a16="http://schemas.microsoft.com/office/drawing/2014/main" id="{59F3C816-E59B-49C9-B08B-17F81EACB1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93" name="x_Picture 1" descr="Description: cid:image001.png@01D03949.49457930">
          <a:extLst>
            <a:ext uri="{FF2B5EF4-FFF2-40B4-BE49-F238E27FC236}">
              <a16:creationId xmlns:a16="http://schemas.microsoft.com/office/drawing/2014/main" id="{E17C43EA-9A32-46D7-B2BA-84EBA26CDA3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94" name="x_Picture 1" descr="Description: cid:image001.png@01D03949.49457930">
          <a:extLst>
            <a:ext uri="{FF2B5EF4-FFF2-40B4-BE49-F238E27FC236}">
              <a16:creationId xmlns:a16="http://schemas.microsoft.com/office/drawing/2014/main" id="{047E24BB-7C55-4149-ACA0-86CA5C62F99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95" name="x_Picture 1" descr="Description: cid:image001.png@01D03949.49457930">
          <a:extLst>
            <a:ext uri="{FF2B5EF4-FFF2-40B4-BE49-F238E27FC236}">
              <a16:creationId xmlns:a16="http://schemas.microsoft.com/office/drawing/2014/main" id="{552362C5-A78A-4D6B-8846-560978BE3D0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96" name="x_Picture 1" descr="Description: cid:image001.png@01D03949.49457930">
          <a:extLst>
            <a:ext uri="{FF2B5EF4-FFF2-40B4-BE49-F238E27FC236}">
              <a16:creationId xmlns:a16="http://schemas.microsoft.com/office/drawing/2014/main" id="{5380B3E3-0804-48AF-B1F1-28D4A8A099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97" name="x_Picture 1" descr="Description: cid:image001.png@01D03949.49457930">
          <a:extLst>
            <a:ext uri="{FF2B5EF4-FFF2-40B4-BE49-F238E27FC236}">
              <a16:creationId xmlns:a16="http://schemas.microsoft.com/office/drawing/2014/main" id="{6CDC07F9-A4F4-4B11-AA36-B111280B471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798" name="x_Picture 1" descr="Description: cid:image001.png@01D03949.49457930">
          <a:extLst>
            <a:ext uri="{FF2B5EF4-FFF2-40B4-BE49-F238E27FC236}">
              <a16:creationId xmlns:a16="http://schemas.microsoft.com/office/drawing/2014/main" id="{F9234833-F947-4858-919E-F7FFB9468AE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799" name="x_Picture 1" descr="Description: cid:image001.png@01D03949.49457930">
          <a:extLst>
            <a:ext uri="{FF2B5EF4-FFF2-40B4-BE49-F238E27FC236}">
              <a16:creationId xmlns:a16="http://schemas.microsoft.com/office/drawing/2014/main" id="{30A71A04-69E2-4C52-B78A-F26D438956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00" name="x_Picture 1" descr="Description: cid:image001.png@01D03949.49457930">
          <a:extLst>
            <a:ext uri="{FF2B5EF4-FFF2-40B4-BE49-F238E27FC236}">
              <a16:creationId xmlns:a16="http://schemas.microsoft.com/office/drawing/2014/main" id="{756E989F-38E3-4019-B7C0-467E97833D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01" name="x_Picture 1" descr="Description: cid:image001.png@01D03949.49457930">
          <a:extLst>
            <a:ext uri="{FF2B5EF4-FFF2-40B4-BE49-F238E27FC236}">
              <a16:creationId xmlns:a16="http://schemas.microsoft.com/office/drawing/2014/main" id="{B18121BA-404B-458C-91CE-3CB26A4A17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02" name="x_Picture 1" descr="Description: cid:image001.png@01D03949.49457930">
          <a:extLst>
            <a:ext uri="{FF2B5EF4-FFF2-40B4-BE49-F238E27FC236}">
              <a16:creationId xmlns:a16="http://schemas.microsoft.com/office/drawing/2014/main" id="{A31ACBBD-9AF5-4EC4-921D-F3DD861F54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03" name="x_Picture 1" descr="Description: cid:image001.png@01D03949.49457930">
          <a:extLst>
            <a:ext uri="{FF2B5EF4-FFF2-40B4-BE49-F238E27FC236}">
              <a16:creationId xmlns:a16="http://schemas.microsoft.com/office/drawing/2014/main" id="{7385C42C-A9C6-4745-88DC-1820A43801F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04" name="x_Picture 1" descr="Description: cid:image001.png@01D03949.49457930">
          <a:extLst>
            <a:ext uri="{FF2B5EF4-FFF2-40B4-BE49-F238E27FC236}">
              <a16:creationId xmlns:a16="http://schemas.microsoft.com/office/drawing/2014/main" id="{0E9C322F-BF41-46EF-ABBC-B93CD4ABE8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05" name="x_Picture 1" descr="Description: cid:image001.png@01D03949.49457930">
          <a:extLst>
            <a:ext uri="{FF2B5EF4-FFF2-40B4-BE49-F238E27FC236}">
              <a16:creationId xmlns:a16="http://schemas.microsoft.com/office/drawing/2014/main" id="{06BE86C7-ABCC-4B9C-A85A-A100B46EC6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06" name="x_Picture 1" descr="Description: cid:image001.png@01D03949.49457930">
          <a:extLst>
            <a:ext uri="{FF2B5EF4-FFF2-40B4-BE49-F238E27FC236}">
              <a16:creationId xmlns:a16="http://schemas.microsoft.com/office/drawing/2014/main" id="{9A8B7FF5-3E4B-49A2-A613-CFD4E14114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07" name="x_Picture 1" descr="Description: cid:image001.png@01D03949.49457930">
          <a:extLst>
            <a:ext uri="{FF2B5EF4-FFF2-40B4-BE49-F238E27FC236}">
              <a16:creationId xmlns:a16="http://schemas.microsoft.com/office/drawing/2014/main" id="{3495963A-27D3-4F57-BFBE-43AC9AF0EE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08" name="x_Picture 1" descr="Description: cid:image001.png@01D03949.49457930">
          <a:extLst>
            <a:ext uri="{FF2B5EF4-FFF2-40B4-BE49-F238E27FC236}">
              <a16:creationId xmlns:a16="http://schemas.microsoft.com/office/drawing/2014/main" id="{BBCC038D-63D5-4256-82BA-024F693AE27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09" name="x_Picture 1" descr="Description: cid:image001.png@01D03949.49457930">
          <a:extLst>
            <a:ext uri="{FF2B5EF4-FFF2-40B4-BE49-F238E27FC236}">
              <a16:creationId xmlns:a16="http://schemas.microsoft.com/office/drawing/2014/main" id="{5C6C7245-8B41-43A7-B1C8-7FB0CC68B1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0" name="x_Picture 1" descr="Description: cid:image001.png@01D03949.49457930">
          <a:extLst>
            <a:ext uri="{FF2B5EF4-FFF2-40B4-BE49-F238E27FC236}">
              <a16:creationId xmlns:a16="http://schemas.microsoft.com/office/drawing/2014/main" id="{80C1CF04-1BAE-4359-9D12-4086899541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1" name="x_Picture 1" descr="Description: cid:image001.png@01D03949.49457930">
          <a:extLst>
            <a:ext uri="{FF2B5EF4-FFF2-40B4-BE49-F238E27FC236}">
              <a16:creationId xmlns:a16="http://schemas.microsoft.com/office/drawing/2014/main" id="{330563E8-FD78-4429-B145-C937D1E43E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2" name="x_Picture 1" descr="Description: cid:image001.png@01D03949.49457930">
          <a:extLst>
            <a:ext uri="{FF2B5EF4-FFF2-40B4-BE49-F238E27FC236}">
              <a16:creationId xmlns:a16="http://schemas.microsoft.com/office/drawing/2014/main" id="{79DB5242-EEF8-4427-99AC-067B791997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3" name="x_Picture 1" descr="Description: cid:image001.png@01D03949.49457930">
          <a:extLst>
            <a:ext uri="{FF2B5EF4-FFF2-40B4-BE49-F238E27FC236}">
              <a16:creationId xmlns:a16="http://schemas.microsoft.com/office/drawing/2014/main" id="{AAAF3D5F-19CD-4384-8597-FE85CFED60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4" name="x_Picture 1" descr="Description: cid:image001.png@01D03949.49457930">
          <a:extLst>
            <a:ext uri="{FF2B5EF4-FFF2-40B4-BE49-F238E27FC236}">
              <a16:creationId xmlns:a16="http://schemas.microsoft.com/office/drawing/2014/main" id="{7B225260-15C4-40F4-B9C3-E61641A0220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5" name="x_Picture 1" descr="Description: cid:image001.png@01D03949.49457930">
          <a:extLst>
            <a:ext uri="{FF2B5EF4-FFF2-40B4-BE49-F238E27FC236}">
              <a16:creationId xmlns:a16="http://schemas.microsoft.com/office/drawing/2014/main" id="{16417E54-7D00-40BA-8272-69AED5F4E7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6" name="x_Picture 1" descr="Description: cid:image001.png@01D03949.49457930">
          <a:extLst>
            <a:ext uri="{FF2B5EF4-FFF2-40B4-BE49-F238E27FC236}">
              <a16:creationId xmlns:a16="http://schemas.microsoft.com/office/drawing/2014/main" id="{A1F44E88-D211-47CC-B43E-79BCB544B2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7" name="x_Picture 1" descr="Description: cid:image001.png@01D03949.49457930">
          <a:extLst>
            <a:ext uri="{FF2B5EF4-FFF2-40B4-BE49-F238E27FC236}">
              <a16:creationId xmlns:a16="http://schemas.microsoft.com/office/drawing/2014/main" id="{B1459FC3-900C-41C5-BB97-0AA4E86C6F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8" name="x_Picture 1" descr="Description: cid:image001.png@01D03949.49457930">
          <a:extLst>
            <a:ext uri="{FF2B5EF4-FFF2-40B4-BE49-F238E27FC236}">
              <a16:creationId xmlns:a16="http://schemas.microsoft.com/office/drawing/2014/main" id="{08D37FB2-F11C-4CEF-B9FF-C167761820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19" name="x_Picture 1" descr="Description: cid:image001.png@01D03949.49457930">
          <a:extLst>
            <a:ext uri="{FF2B5EF4-FFF2-40B4-BE49-F238E27FC236}">
              <a16:creationId xmlns:a16="http://schemas.microsoft.com/office/drawing/2014/main" id="{0585F7F9-E153-413E-9519-1E6F61003E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20" name="x_Picture 1" descr="Description: cid:image001.png@01D03949.49457930">
          <a:extLst>
            <a:ext uri="{FF2B5EF4-FFF2-40B4-BE49-F238E27FC236}">
              <a16:creationId xmlns:a16="http://schemas.microsoft.com/office/drawing/2014/main" id="{25493647-D9D6-4101-BDC2-62A7094B81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21" name="x_Picture 1" descr="Description: cid:image001.png@01D03949.49457930">
          <a:extLst>
            <a:ext uri="{FF2B5EF4-FFF2-40B4-BE49-F238E27FC236}">
              <a16:creationId xmlns:a16="http://schemas.microsoft.com/office/drawing/2014/main" id="{ABF3FA18-DC1C-4C82-9779-9E75662407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22" name="x_Picture 1" descr="Description: cid:image001.png@01D03949.49457930">
          <a:extLst>
            <a:ext uri="{FF2B5EF4-FFF2-40B4-BE49-F238E27FC236}">
              <a16:creationId xmlns:a16="http://schemas.microsoft.com/office/drawing/2014/main" id="{6CC30976-779E-4A8A-B181-E740786CA0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23" name="x_Picture 1" descr="Description: cid:image001.png@01D03949.49457930">
          <a:extLst>
            <a:ext uri="{FF2B5EF4-FFF2-40B4-BE49-F238E27FC236}">
              <a16:creationId xmlns:a16="http://schemas.microsoft.com/office/drawing/2014/main" id="{26E91FED-7B5D-452E-8051-C3B5BE909E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24" name="x_Picture 1" descr="Description: cid:image001.png@01D03949.49457930">
          <a:extLst>
            <a:ext uri="{FF2B5EF4-FFF2-40B4-BE49-F238E27FC236}">
              <a16:creationId xmlns:a16="http://schemas.microsoft.com/office/drawing/2014/main" id="{280D0E75-6EF0-4FA1-B68C-704EC40A94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25" name="x_Picture 1" descr="Description: cid:image001.png@01D03949.49457930">
          <a:extLst>
            <a:ext uri="{FF2B5EF4-FFF2-40B4-BE49-F238E27FC236}">
              <a16:creationId xmlns:a16="http://schemas.microsoft.com/office/drawing/2014/main" id="{258339CB-1B6C-4C96-8511-D8095D4653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26" name="x_Picture 1" descr="Description: cid:image001.png@01D03949.49457930">
          <a:extLst>
            <a:ext uri="{FF2B5EF4-FFF2-40B4-BE49-F238E27FC236}">
              <a16:creationId xmlns:a16="http://schemas.microsoft.com/office/drawing/2014/main" id="{F1A5E514-DCFB-448E-BE17-464537E61B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27" name="x_Picture 1" descr="Description: cid:image001.png@01D03949.49457930">
          <a:extLst>
            <a:ext uri="{FF2B5EF4-FFF2-40B4-BE49-F238E27FC236}">
              <a16:creationId xmlns:a16="http://schemas.microsoft.com/office/drawing/2014/main" id="{070E933A-531F-4770-8861-7E5EA5D721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28" name="x_Picture 1" descr="Description: cid:image001.png@01D03949.49457930">
          <a:extLst>
            <a:ext uri="{FF2B5EF4-FFF2-40B4-BE49-F238E27FC236}">
              <a16:creationId xmlns:a16="http://schemas.microsoft.com/office/drawing/2014/main" id="{368C484E-B819-4853-A104-4BFDFBB333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29" name="x_Picture 1" descr="Description: cid:image001.png@01D03949.49457930">
          <a:extLst>
            <a:ext uri="{FF2B5EF4-FFF2-40B4-BE49-F238E27FC236}">
              <a16:creationId xmlns:a16="http://schemas.microsoft.com/office/drawing/2014/main" id="{95A82A16-3575-41A6-A293-28A4D6E309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30" name="x_Picture 1" descr="Description: cid:image001.png@01D03949.49457930">
          <a:extLst>
            <a:ext uri="{FF2B5EF4-FFF2-40B4-BE49-F238E27FC236}">
              <a16:creationId xmlns:a16="http://schemas.microsoft.com/office/drawing/2014/main" id="{9A107E14-97D1-4364-8026-C5AE8312C26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31" name="x_Picture 1" descr="Description: cid:image001.png@01D03949.49457930">
          <a:extLst>
            <a:ext uri="{FF2B5EF4-FFF2-40B4-BE49-F238E27FC236}">
              <a16:creationId xmlns:a16="http://schemas.microsoft.com/office/drawing/2014/main" id="{895C493B-8F45-47FB-98BE-11ECC2A6EA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32" name="x_Picture 1" descr="Description: cid:image001.png@01D03949.49457930">
          <a:extLst>
            <a:ext uri="{FF2B5EF4-FFF2-40B4-BE49-F238E27FC236}">
              <a16:creationId xmlns:a16="http://schemas.microsoft.com/office/drawing/2014/main" id="{45819ABA-8F42-4235-A45A-B65EE4DD69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33" name="x_Picture 1" descr="Description: cid:image001.png@01D03949.49457930">
          <a:extLst>
            <a:ext uri="{FF2B5EF4-FFF2-40B4-BE49-F238E27FC236}">
              <a16:creationId xmlns:a16="http://schemas.microsoft.com/office/drawing/2014/main" id="{45F2320E-A4C4-421B-A8B9-D5B40CDFD7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34" name="x_Picture 1" descr="Description: cid:image001.png@01D03949.49457930">
          <a:extLst>
            <a:ext uri="{FF2B5EF4-FFF2-40B4-BE49-F238E27FC236}">
              <a16:creationId xmlns:a16="http://schemas.microsoft.com/office/drawing/2014/main" id="{CCD26468-834C-44FD-83AE-E4507768B97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35" name="x_Picture 1" descr="Description: cid:image001.png@01D03949.49457930">
          <a:extLst>
            <a:ext uri="{FF2B5EF4-FFF2-40B4-BE49-F238E27FC236}">
              <a16:creationId xmlns:a16="http://schemas.microsoft.com/office/drawing/2014/main" id="{61DF0514-A946-4BF4-97F5-1F983083FE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36" name="x_Picture 1" descr="Description: cid:image001.png@01D03949.49457930">
          <a:extLst>
            <a:ext uri="{FF2B5EF4-FFF2-40B4-BE49-F238E27FC236}">
              <a16:creationId xmlns:a16="http://schemas.microsoft.com/office/drawing/2014/main" id="{40D22CC5-7FD6-41E8-9B55-33F9FDF17A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37" name="x_Picture 1" descr="Description: cid:image001.png@01D03949.49457930">
          <a:extLst>
            <a:ext uri="{FF2B5EF4-FFF2-40B4-BE49-F238E27FC236}">
              <a16:creationId xmlns:a16="http://schemas.microsoft.com/office/drawing/2014/main" id="{C869DA5D-B789-456F-A252-00539D2E3F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38" name="x_Picture 1" descr="Description: cid:image001.png@01D03949.49457930">
          <a:extLst>
            <a:ext uri="{FF2B5EF4-FFF2-40B4-BE49-F238E27FC236}">
              <a16:creationId xmlns:a16="http://schemas.microsoft.com/office/drawing/2014/main" id="{E79F4EBD-678D-4B8A-8FB3-0541132ECF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39" name="x_Picture 1" descr="Description: cid:image001.png@01D03949.49457930">
          <a:extLst>
            <a:ext uri="{FF2B5EF4-FFF2-40B4-BE49-F238E27FC236}">
              <a16:creationId xmlns:a16="http://schemas.microsoft.com/office/drawing/2014/main" id="{A5802051-1FC0-47B9-9A65-9D2913E9E3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40" name="x_Picture 1" descr="Description: cid:image001.png@01D03949.49457930">
          <a:extLst>
            <a:ext uri="{FF2B5EF4-FFF2-40B4-BE49-F238E27FC236}">
              <a16:creationId xmlns:a16="http://schemas.microsoft.com/office/drawing/2014/main" id="{08C1C6E9-F97C-4BD9-A3F8-A305010992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41" name="x_Picture 1" descr="Description: cid:image001.png@01D03949.49457930">
          <a:extLst>
            <a:ext uri="{FF2B5EF4-FFF2-40B4-BE49-F238E27FC236}">
              <a16:creationId xmlns:a16="http://schemas.microsoft.com/office/drawing/2014/main" id="{4345217A-99BB-462E-891C-21809195A8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42" name="x_Picture 1" descr="Description: cid:image001.png@01D03949.49457930">
          <a:extLst>
            <a:ext uri="{FF2B5EF4-FFF2-40B4-BE49-F238E27FC236}">
              <a16:creationId xmlns:a16="http://schemas.microsoft.com/office/drawing/2014/main" id="{B79C69AF-57CD-4CF2-9D15-9A936A57FD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43" name="x_Picture 1" descr="Description: cid:image001.png@01D03949.49457930">
          <a:extLst>
            <a:ext uri="{FF2B5EF4-FFF2-40B4-BE49-F238E27FC236}">
              <a16:creationId xmlns:a16="http://schemas.microsoft.com/office/drawing/2014/main" id="{39514A92-40EB-4F47-B4F6-6EBBDE8BE8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44" name="x_Picture 1" descr="Description: cid:image001.png@01D03949.49457930">
          <a:extLst>
            <a:ext uri="{FF2B5EF4-FFF2-40B4-BE49-F238E27FC236}">
              <a16:creationId xmlns:a16="http://schemas.microsoft.com/office/drawing/2014/main" id="{EE997F57-E46D-4331-91C0-94CE4CA7ED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45" name="x_Picture 1" descr="Description: cid:image001.png@01D03949.49457930">
          <a:extLst>
            <a:ext uri="{FF2B5EF4-FFF2-40B4-BE49-F238E27FC236}">
              <a16:creationId xmlns:a16="http://schemas.microsoft.com/office/drawing/2014/main" id="{51E2E9C9-6316-4695-8059-F12BC8BA69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46" name="x_Picture 1" descr="Description: cid:image001.png@01D03949.49457930">
          <a:extLst>
            <a:ext uri="{FF2B5EF4-FFF2-40B4-BE49-F238E27FC236}">
              <a16:creationId xmlns:a16="http://schemas.microsoft.com/office/drawing/2014/main" id="{4670B8B5-007C-4159-AF01-CE6CCAD031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47" name="x_Picture 1" descr="Description: cid:image001.png@01D03949.49457930">
          <a:extLst>
            <a:ext uri="{FF2B5EF4-FFF2-40B4-BE49-F238E27FC236}">
              <a16:creationId xmlns:a16="http://schemas.microsoft.com/office/drawing/2014/main" id="{5A9DEF31-75BB-423F-93DA-2367927A0D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48" name="x_Picture 1" descr="Description: cid:image001.png@01D03949.49457930">
          <a:extLst>
            <a:ext uri="{FF2B5EF4-FFF2-40B4-BE49-F238E27FC236}">
              <a16:creationId xmlns:a16="http://schemas.microsoft.com/office/drawing/2014/main" id="{BA7BFDF4-B61C-4F6C-AE27-7AEE7AB695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49" name="x_Picture 1" descr="Description: cid:image001.png@01D03949.49457930">
          <a:extLst>
            <a:ext uri="{FF2B5EF4-FFF2-40B4-BE49-F238E27FC236}">
              <a16:creationId xmlns:a16="http://schemas.microsoft.com/office/drawing/2014/main" id="{994651F0-6D2D-4A50-AC12-6F760707E6B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50" name="x_Picture 1" descr="Description: cid:image001.png@01D03949.49457930">
          <a:extLst>
            <a:ext uri="{FF2B5EF4-FFF2-40B4-BE49-F238E27FC236}">
              <a16:creationId xmlns:a16="http://schemas.microsoft.com/office/drawing/2014/main" id="{B45100C6-4D52-4A6B-B73E-6456EF9E34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51" name="x_Picture 1" descr="Description: cid:image001.png@01D03949.49457930">
          <a:extLst>
            <a:ext uri="{FF2B5EF4-FFF2-40B4-BE49-F238E27FC236}">
              <a16:creationId xmlns:a16="http://schemas.microsoft.com/office/drawing/2014/main" id="{E463EAFD-6E6E-462D-ACBF-B4432875A1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52" name="x_Picture 1" descr="Description: cid:image001.png@01D03949.49457930">
          <a:extLst>
            <a:ext uri="{FF2B5EF4-FFF2-40B4-BE49-F238E27FC236}">
              <a16:creationId xmlns:a16="http://schemas.microsoft.com/office/drawing/2014/main" id="{06C9CE98-B6EB-41FE-815F-84A0D4D6F2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53" name="x_Picture 1" descr="Description: cid:image001.png@01D03949.49457930">
          <a:extLst>
            <a:ext uri="{FF2B5EF4-FFF2-40B4-BE49-F238E27FC236}">
              <a16:creationId xmlns:a16="http://schemas.microsoft.com/office/drawing/2014/main" id="{C60294B0-493F-4681-BBA1-CD0CF0D902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54" name="x_Picture 1" descr="Description: cid:image001.png@01D03949.49457930">
          <a:extLst>
            <a:ext uri="{FF2B5EF4-FFF2-40B4-BE49-F238E27FC236}">
              <a16:creationId xmlns:a16="http://schemas.microsoft.com/office/drawing/2014/main" id="{CFB05D19-3A3A-42B4-8D7C-1E93EF2B11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55" name="x_Picture 1" descr="Description: cid:image001.png@01D03949.49457930">
          <a:extLst>
            <a:ext uri="{FF2B5EF4-FFF2-40B4-BE49-F238E27FC236}">
              <a16:creationId xmlns:a16="http://schemas.microsoft.com/office/drawing/2014/main" id="{9BFDFDF0-7E2E-4A18-85FF-F9FD6DA3DB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56" name="x_Picture 1" descr="Description: cid:image001.png@01D03949.49457930">
          <a:extLst>
            <a:ext uri="{FF2B5EF4-FFF2-40B4-BE49-F238E27FC236}">
              <a16:creationId xmlns:a16="http://schemas.microsoft.com/office/drawing/2014/main" id="{621C3A60-E87B-4055-98F1-230EF775626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57" name="x_Picture 1" descr="Description: cid:image001.png@01D03949.49457930">
          <a:extLst>
            <a:ext uri="{FF2B5EF4-FFF2-40B4-BE49-F238E27FC236}">
              <a16:creationId xmlns:a16="http://schemas.microsoft.com/office/drawing/2014/main" id="{E448140D-363A-4F2B-8D5F-C17C93C8EB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58" name="x_Picture 1" descr="Description: cid:image001.png@01D03949.49457930">
          <a:extLst>
            <a:ext uri="{FF2B5EF4-FFF2-40B4-BE49-F238E27FC236}">
              <a16:creationId xmlns:a16="http://schemas.microsoft.com/office/drawing/2014/main" id="{B274DDC5-20BE-40DD-982E-7684E891751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59" name="x_Picture 1" descr="Description: cid:image001.png@01D03949.49457930">
          <a:extLst>
            <a:ext uri="{FF2B5EF4-FFF2-40B4-BE49-F238E27FC236}">
              <a16:creationId xmlns:a16="http://schemas.microsoft.com/office/drawing/2014/main" id="{CAD6C585-08DC-4D5B-8F76-F99F1EEA12D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60" name="x_Picture 1" descr="Description: cid:image001.png@01D03949.49457930">
          <a:extLst>
            <a:ext uri="{FF2B5EF4-FFF2-40B4-BE49-F238E27FC236}">
              <a16:creationId xmlns:a16="http://schemas.microsoft.com/office/drawing/2014/main" id="{53FC51BA-16ED-41E7-BB04-361657A40F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61" name="x_Picture 1" descr="Description: cid:image001.png@01D03949.49457930">
          <a:extLst>
            <a:ext uri="{FF2B5EF4-FFF2-40B4-BE49-F238E27FC236}">
              <a16:creationId xmlns:a16="http://schemas.microsoft.com/office/drawing/2014/main" id="{1A166AB0-C53F-451F-8E02-538785D840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62" name="x_Picture 1" descr="Description: cid:image001.png@01D03949.49457930">
          <a:extLst>
            <a:ext uri="{FF2B5EF4-FFF2-40B4-BE49-F238E27FC236}">
              <a16:creationId xmlns:a16="http://schemas.microsoft.com/office/drawing/2014/main" id="{8F032634-BFF4-4A0C-983D-C463311D22C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63" name="x_Picture 1" descr="Description: cid:image001.png@01D03949.49457930">
          <a:extLst>
            <a:ext uri="{FF2B5EF4-FFF2-40B4-BE49-F238E27FC236}">
              <a16:creationId xmlns:a16="http://schemas.microsoft.com/office/drawing/2014/main" id="{623E7991-0E5D-4C2F-93D5-2E4FA2915A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64" name="x_Picture 1" descr="Description: cid:image001.png@01D03949.49457930">
          <a:extLst>
            <a:ext uri="{FF2B5EF4-FFF2-40B4-BE49-F238E27FC236}">
              <a16:creationId xmlns:a16="http://schemas.microsoft.com/office/drawing/2014/main" id="{9262D77F-8EC5-4331-8555-B87832778B6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65" name="x_Picture 1" descr="Description: cid:image001.png@01D03949.49457930">
          <a:extLst>
            <a:ext uri="{FF2B5EF4-FFF2-40B4-BE49-F238E27FC236}">
              <a16:creationId xmlns:a16="http://schemas.microsoft.com/office/drawing/2014/main" id="{19CFB86F-0027-4146-8016-E1E18AFC9B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66" name="x_Picture 1" descr="Description: cid:image001.png@01D03949.49457930">
          <a:extLst>
            <a:ext uri="{FF2B5EF4-FFF2-40B4-BE49-F238E27FC236}">
              <a16:creationId xmlns:a16="http://schemas.microsoft.com/office/drawing/2014/main" id="{62493D5E-5D69-4672-9CF2-E60E6C8392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67" name="x_Picture 1" descr="Description: cid:image001.png@01D03949.49457930">
          <a:extLst>
            <a:ext uri="{FF2B5EF4-FFF2-40B4-BE49-F238E27FC236}">
              <a16:creationId xmlns:a16="http://schemas.microsoft.com/office/drawing/2014/main" id="{43F3964F-FA24-4A95-8CA3-981C647852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68" name="x_Picture 1" descr="Description: cid:image001.png@01D03949.49457930">
          <a:extLst>
            <a:ext uri="{FF2B5EF4-FFF2-40B4-BE49-F238E27FC236}">
              <a16:creationId xmlns:a16="http://schemas.microsoft.com/office/drawing/2014/main" id="{EA38105A-E128-4061-80C6-9F710A5751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69" name="x_Picture 1" descr="Description: cid:image001.png@01D03949.49457930">
          <a:extLst>
            <a:ext uri="{FF2B5EF4-FFF2-40B4-BE49-F238E27FC236}">
              <a16:creationId xmlns:a16="http://schemas.microsoft.com/office/drawing/2014/main" id="{84A1336A-A381-4047-A88C-6628952CE9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70" name="x_Picture 1" descr="Description: cid:image001.png@01D03949.49457930">
          <a:extLst>
            <a:ext uri="{FF2B5EF4-FFF2-40B4-BE49-F238E27FC236}">
              <a16:creationId xmlns:a16="http://schemas.microsoft.com/office/drawing/2014/main" id="{02CA5A0A-08B9-458B-B501-EA5203FD2A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71" name="x_Picture 1" descr="Description: cid:image001.png@01D03949.49457930">
          <a:extLst>
            <a:ext uri="{FF2B5EF4-FFF2-40B4-BE49-F238E27FC236}">
              <a16:creationId xmlns:a16="http://schemas.microsoft.com/office/drawing/2014/main" id="{6976552D-EAE3-4DC4-8B9B-CF76824F7F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72" name="x_Picture 1" descr="Description: cid:image001.png@01D03949.49457930">
          <a:extLst>
            <a:ext uri="{FF2B5EF4-FFF2-40B4-BE49-F238E27FC236}">
              <a16:creationId xmlns:a16="http://schemas.microsoft.com/office/drawing/2014/main" id="{77A469FA-845D-4F94-9F86-5D81E8D8DE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73" name="x_Picture 1" descr="Description: cid:image001.png@01D03949.49457930">
          <a:extLst>
            <a:ext uri="{FF2B5EF4-FFF2-40B4-BE49-F238E27FC236}">
              <a16:creationId xmlns:a16="http://schemas.microsoft.com/office/drawing/2014/main" id="{17C08DFE-CF04-4B02-B092-C9867BB351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74" name="x_Picture 1" descr="Description: cid:image001.png@01D03949.49457930">
          <a:extLst>
            <a:ext uri="{FF2B5EF4-FFF2-40B4-BE49-F238E27FC236}">
              <a16:creationId xmlns:a16="http://schemas.microsoft.com/office/drawing/2014/main" id="{4BE433C0-C288-48EB-9D75-35CE21D1F8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75" name="x_Picture 1" descr="Description: cid:image001.png@01D03949.49457930">
          <a:extLst>
            <a:ext uri="{FF2B5EF4-FFF2-40B4-BE49-F238E27FC236}">
              <a16:creationId xmlns:a16="http://schemas.microsoft.com/office/drawing/2014/main" id="{7326814A-917E-40ED-A943-5F0F3112695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76" name="x_Picture 1" descr="Description: cid:image001.png@01D03949.49457930">
          <a:extLst>
            <a:ext uri="{FF2B5EF4-FFF2-40B4-BE49-F238E27FC236}">
              <a16:creationId xmlns:a16="http://schemas.microsoft.com/office/drawing/2014/main" id="{CDE24CE0-B889-4AB0-AE6B-C01913EF715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77" name="x_Picture 1" descr="Description: cid:image001.png@01D03949.49457930">
          <a:extLst>
            <a:ext uri="{FF2B5EF4-FFF2-40B4-BE49-F238E27FC236}">
              <a16:creationId xmlns:a16="http://schemas.microsoft.com/office/drawing/2014/main" id="{28DE9542-0F2D-4DA2-A1BE-8D4C8405FF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78" name="x_Picture 1" descr="Description: cid:image001.png@01D03949.49457930">
          <a:extLst>
            <a:ext uri="{FF2B5EF4-FFF2-40B4-BE49-F238E27FC236}">
              <a16:creationId xmlns:a16="http://schemas.microsoft.com/office/drawing/2014/main" id="{2D212393-EBC5-4C61-8773-7D99B4AA4C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79" name="x_Picture 1" descr="Description: cid:image001.png@01D03949.49457930">
          <a:extLst>
            <a:ext uri="{FF2B5EF4-FFF2-40B4-BE49-F238E27FC236}">
              <a16:creationId xmlns:a16="http://schemas.microsoft.com/office/drawing/2014/main" id="{304A8362-937D-4DC8-B809-9A48FF0A75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80" name="x_Picture 1" descr="Description: cid:image001.png@01D03949.49457930">
          <a:extLst>
            <a:ext uri="{FF2B5EF4-FFF2-40B4-BE49-F238E27FC236}">
              <a16:creationId xmlns:a16="http://schemas.microsoft.com/office/drawing/2014/main" id="{136C9EE2-475B-47A4-BB9B-8D1D3CBF9B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81" name="x_Picture 1" descr="Description: cid:image001.png@01D03949.49457930">
          <a:extLst>
            <a:ext uri="{FF2B5EF4-FFF2-40B4-BE49-F238E27FC236}">
              <a16:creationId xmlns:a16="http://schemas.microsoft.com/office/drawing/2014/main" id="{0E2AD76E-04B3-4F75-A385-D5C0F0DD29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82" name="x_Picture 1" descr="Description: cid:image001.png@01D03949.49457930">
          <a:extLst>
            <a:ext uri="{FF2B5EF4-FFF2-40B4-BE49-F238E27FC236}">
              <a16:creationId xmlns:a16="http://schemas.microsoft.com/office/drawing/2014/main" id="{39AABAE9-4FD4-48AC-84ED-FAF1D2DC62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83" name="x_Picture 1" descr="Description: cid:image001.png@01D03949.49457930">
          <a:extLst>
            <a:ext uri="{FF2B5EF4-FFF2-40B4-BE49-F238E27FC236}">
              <a16:creationId xmlns:a16="http://schemas.microsoft.com/office/drawing/2014/main" id="{AF7AF479-AE05-4AC7-853B-27934DE808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84" name="x_Picture 1" descr="Description: cid:image001.png@01D03949.49457930">
          <a:extLst>
            <a:ext uri="{FF2B5EF4-FFF2-40B4-BE49-F238E27FC236}">
              <a16:creationId xmlns:a16="http://schemas.microsoft.com/office/drawing/2014/main" id="{987CCA6E-1525-41A0-823C-EBFE5ED67B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85" name="x_Picture 1" descr="Description: cid:image001.png@01D03949.49457930">
          <a:extLst>
            <a:ext uri="{FF2B5EF4-FFF2-40B4-BE49-F238E27FC236}">
              <a16:creationId xmlns:a16="http://schemas.microsoft.com/office/drawing/2014/main" id="{9AEA211B-BBD2-48CE-9FB3-5058719C636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86" name="x_Picture 1" descr="Description: cid:image001.png@01D03949.49457930">
          <a:extLst>
            <a:ext uri="{FF2B5EF4-FFF2-40B4-BE49-F238E27FC236}">
              <a16:creationId xmlns:a16="http://schemas.microsoft.com/office/drawing/2014/main" id="{F1EB5C68-E9F6-44A4-9396-004883DC89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87" name="x_Picture 1" descr="Description: cid:image001.png@01D03949.49457930">
          <a:extLst>
            <a:ext uri="{FF2B5EF4-FFF2-40B4-BE49-F238E27FC236}">
              <a16:creationId xmlns:a16="http://schemas.microsoft.com/office/drawing/2014/main" id="{5F03D47C-16DF-41C8-B3E9-3052A10F37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88" name="x_Picture 1" descr="Description: cid:image001.png@01D03949.49457930">
          <a:extLst>
            <a:ext uri="{FF2B5EF4-FFF2-40B4-BE49-F238E27FC236}">
              <a16:creationId xmlns:a16="http://schemas.microsoft.com/office/drawing/2014/main" id="{A661BDFB-CD1E-4761-82BA-12E8380A01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89" name="x_Picture 1" descr="Description: cid:image001.png@01D03949.49457930">
          <a:extLst>
            <a:ext uri="{FF2B5EF4-FFF2-40B4-BE49-F238E27FC236}">
              <a16:creationId xmlns:a16="http://schemas.microsoft.com/office/drawing/2014/main" id="{75FE2024-E2DB-4C40-9A8A-C3F07EECBB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90" name="x_Picture 1" descr="Description: cid:image001.png@01D03949.49457930">
          <a:extLst>
            <a:ext uri="{FF2B5EF4-FFF2-40B4-BE49-F238E27FC236}">
              <a16:creationId xmlns:a16="http://schemas.microsoft.com/office/drawing/2014/main" id="{9124C65F-577A-46F4-AC22-08192C342C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91" name="x_Picture 1" descr="Description: cid:image001.png@01D03949.49457930">
          <a:extLst>
            <a:ext uri="{FF2B5EF4-FFF2-40B4-BE49-F238E27FC236}">
              <a16:creationId xmlns:a16="http://schemas.microsoft.com/office/drawing/2014/main" id="{84585B68-9E94-4CEA-B60B-5392DBB837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92" name="x_Picture 1" descr="Description: cid:image001.png@01D03949.49457930">
          <a:extLst>
            <a:ext uri="{FF2B5EF4-FFF2-40B4-BE49-F238E27FC236}">
              <a16:creationId xmlns:a16="http://schemas.microsoft.com/office/drawing/2014/main" id="{5BD04D99-BCEF-47CE-8261-EA400D9F42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93" name="x_Picture 1" descr="Description: cid:image001.png@01D03949.49457930">
          <a:extLst>
            <a:ext uri="{FF2B5EF4-FFF2-40B4-BE49-F238E27FC236}">
              <a16:creationId xmlns:a16="http://schemas.microsoft.com/office/drawing/2014/main" id="{73AD052F-B21C-4F92-9E2C-38289AF4DD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94" name="x_Picture 1" descr="Description: cid:image001.png@01D03949.49457930">
          <a:extLst>
            <a:ext uri="{FF2B5EF4-FFF2-40B4-BE49-F238E27FC236}">
              <a16:creationId xmlns:a16="http://schemas.microsoft.com/office/drawing/2014/main" id="{0D83E1E8-9E0F-4A0C-9CD4-8B13B34FE1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95" name="x_Picture 1" descr="Description: cid:image001.png@01D03949.49457930">
          <a:extLst>
            <a:ext uri="{FF2B5EF4-FFF2-40B4-BE49-F238E27FC236}">
              <a16:creationId xmlns:a16="http://schemas.microsoft.com/office/drawing/2014/main" id="{0BA6A7C0-0F9E-4176-8A71-671C479344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896" name="x_Picture 1" descr="Description: cid:image001.png@01D03949.49457930">
          <a:extLst>
            <a:ext uri="{FF2B5EF4-FFF2-40B4-BE49-F238E27FC236}">
              <a16:creationId xmlns:a16="http://schemas.microsoft.com/office/drawing/2014/main" id="{49BB30E4-E766-43B1-9DE6-24AE3415FC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97" name="x_Picture 1" descr="Description: cid:image001.png@01D03949.49457930">
          <a:extLst>
            <a:ext uri="{FF2B5EF4-FFF2-40B4-BE49-F238E27FC236}">
              <a16:creationId xmlns:a16="http://schemas.microsoft.com/office/drawing/2014/main" id="{F24B5E17-1DDD-4D12-8512-551C1ED0BE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98" name="x_Picture 1" descr="Description: cid:image001.png@01D03949.49457930">
          <a:extLst>
            <a:ext uri="{FF2B5EF4-FFF2-40B4-BE49-F238E27FC236}">
              <a16:creationId xmlns:a16="http://schemas.microsoft.com/office/drawing/2014/main" id="{4BD55C95-7E2E-40AE-BD76-428DBA532A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899" name="x_Picture 1" descr="Description: cid:image001.png@01D03949.49457930">
          <a:extLst>
            <a:ext uri="{FF2B5EF4-FFF2-40B4-BE49-F238E27FC236}">
              <a16:creationId xmlns:a16="http://schemas.microsoft.com/office/drawing/2014/main" id="{2A9A31FF-C136-4370-9DF3-9BD0E7B2C0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00" name="x_Picture 1" descr="Description: cid:image001.png@01D03949.49457930">
          <a:extLst>
            <a:ext uri="{FF2B5EF4-FFF2-40B4-BE49-F238E27FC236}">
              <a16:creationId xmlns:a16="http://schemas.microsoft.com/office/drawing/2014/main" id="{710C01FB-8E0D-43F7-8F76-51B9A429C5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01" name="x_Picture 1" descr="Description: cid:image001.png@01D03949.49457930">
          <a:extLst>
            <a:ext uri="{FF2B5EF4-FFF2-40B4-BE49-F238E27FC236}">
              <a16:creationId xmlns:a16="http://schemas.microsoft.com/office/drawing/2014/main" id="{28A22738-5A98-4465-963F-E33A154AE7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02" name="x_Picture 1" descr="Description: cid:image001.png@01D03949.49457930">
          <a:extLst>
            <a:ext uri="{FF2B5EF4-FFF2-40B4-BE49-F238E27FC236}">
              <a16:creationId xmlns:a16="http://schemas.microsoft.com/office/drawing/2014/main" id="{C292AEBB-6810-4D3D-BF1F-E487325F40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03" name="x_Picture 1" descr="Description: cid:image001.png@01D03949.49457930">
          <a:extLst>
            <a:ext uri="{FF2B5EF4-FFF2-40B4-BE49-F238E27FC236}">
              <a16:creationId xmlns:a16="http://schemas.microsoft.com/office/drawing/2014/main" id="{C36FA011-31B6-4B37-A3E2-09B49EB381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04" name="x_Picture 1" descr="Description: cid:image001.png@01D03949.49457930">
          <a:extLst>
            <a:ext uri="{FF2B5EF4-FFF2-40B4-BE49-F238E27FC236}">
              <a16:creationId xmlns:a16="http://schemas.microsoft.com/office/drawing/2014/main" id="{A5ABEF52-1226-46C2-B419-F2307B8252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05" name="x_Picture 1" descr="Description: cid:image001.png@01D03949.49457930">
          <a:extLst>
            <a:ext uri="{FF2B5EF4-FFF2-40B4-BE49-F238E27FC236}">
              <a16:creationId xmlns:a16="http://schemas.microsoft.com/office/drawing/2014/main" id="{44589902-E8E6-4B0B-985C-46584CD679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06" name="x_Picture 1" descr="Description: cid:image001.png@01D03949.49457930">
          <a:extLst>
            <a:ext uri="{FF2B5EF4-FFF2-40B4-BE49-F238E27FC236}">
              <a16:creationId xmlns:a16="http://schemas.microsoft.com/office/drawing/2014/main" id="{6DA867D4-A168-438F-8DA3-43790733FE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07" name="x_Picture 1" descr="Description: cid:image001.png@01D03949.49457930">
          <a:extLst>
            <a:ext uri="{FF2B5EF4-FFF2-40B4-BE49-F238E27FC236}">
              <a16:creationId xmlns:a16="http://schemas.microsoft.com/office/drawing/2014/main" id="{0488C74C-3139-4294-852B-38143A64D7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08" name="x_Picture 1" descr="Description: cid:image001.png@01D03949.49457930">
          <a:extLst>
            <a:ext uri="{FF2B5EF4-FFF2-40B4-BE49-F238E27FC236}">
              <a16:creationId xmlns:a16="http://schemas.microsoft.com/office/drawing/2014/main" id="{A8EA0FB3-60C5-4CC5-98ED-59CB0CBFAB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09" name="x_Picture 1" descr="Description: cid:image001.png@01D03949.49457930">
          <a:extLst>
            <a:ext uri="{FF2B5EF4-FFF2-40B4-BE49-F238E27FC236}">
              <a16:creationId xmlns:a16="http://schemas.microsoft.com/office/drawing/2014/main" id="{1E65E34D-D980-40E6-B90C-DA39F7ABB2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10" name="x_Picture 1" descr="Description: cid:image001.png@01D03949.49457930">
          <a:extLst>
            <a:ext uri="{FF2B5EF4-FFF2-40B4-BE49-F238E27FC236}">
              <a16:creationId xmlns:a16="http://schemas.microsoft.com/office/drawing/2014/main" id="{04410FCC-F959-4F7D-8739-79FDAF700B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11" name="x_Picture 1" descr="Description: cid:image001.png@01D03949.49457930">
          <a:extLst>
            <a:ext uri="{FF2B5EF4-FFF2-40B4-BE49-F238E27FC236}">
              <a16:creationId xmlns:a16="http://schemas.microsoft.com/office/drawing/2014/main" id="{7AE677D6-C121-4E38-92B4-90C46D4EB2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12" name="x_Picture 1" descr="Description: cid:image001.png@01D03949.49457930">
          <a:extLst>
            <a:ext uri="{FF2B5EF4-FFF2-40B4-BE49-F238E27FC236}">
              <a16:creationId xmlns:a16="http://schemas.microsoft.com/office/drawing/2014/main" id="{F97DB82A-7010-49A8-AE33-E553A7C8A8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13" name="x_Picture 1" descr="Description: cid:image001.png@01D03949.49457930">
          <a:extLst>
            <a:ext uri="{FF2B5EF4-FFF2-40B4-BE49-F238E27FC236}">
              <a16:creationId xmlns:a16="http://schemas.microsoft.com/office/drawing/2014/main" id="{7C77E813-DF2A-4B05-BC30-7DFD5AED98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14" name="x_Picture 1" descr="Description: cid:image001.png@01D03949.49457930">
          <a:extLst>
            <a:ext uri="{FF2B5EF4-FFF2-40B4-BE49-F238E27FC236}">
              <a16:creationId xmlns:a16="http://schemas.microsoft.com/office/drawing/2014/main" id="{46C3A834-75CB-4536-BB29-D457A25DF5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15" name="x_Picture 1" descr="Description: cid:image001.png@01D03949.49457930">
          <a:extLst>
            <a:ext uri="{FF2B5EF4-FFF2-40B4-BE49-F238E27FC236}">
              <a16:creationId xmlns:a16="http://schemas.microsoft.com/office/drawing/2014/main" id="{1F126A23-B2F0-4215-9D48-E1196040AA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16" name="x_Picture 1" descr="Description: cid:image001.png@01D03949.49457930">
          <a:extLst>
            <a:ext uri="{FF2B5EF4-FFF2-40B4-BE49-F238E27FC236}">
              <a16:creationId xmlns:a16="http://schemas.microsoft.com/office/drawing/2014/main" id="{E945ED4D-678B-4A2C-A679-CE03CC30A5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17" name="x_Picture 1" descr="Description: cid:image001.png@01D03949.49457930">
          <a:extLst>
            <a:ext uri="{FF2B5EF4-FFF2-40B4-BE49-F238E27FC236}">
              <a16:creationId xmlns:a16="http://schemas.microsoft.com/office/drawing/2014/main" id="{160A5D41-5BED-4D84-96EA-303354213D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18" name="x_Picture 1" descr="Description: cid:image001.png@01D03949.49457930">
          <a:extLst>
            <a:ext uri="{FF2B5EF4-FFF2-40B4-BE49-F238E27FC236}">
              <a16:creationId xmlns:a16="http://schemas.microsoft.com/office/drawing/2014/main" id="{05D0B43F-0454-4E76-AE64-3D06DC0C64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19" name="x_Picture 1" descr="Description: cid:image001.png@01D03949.49457930">
          <a:extLst>
            <a:ext uri="{FF2B5EF4-FFF2-40B4-BE49-F238E27FC236}">
              <a16:creationId xmlns:a16="http://schemas.microsoft.com/office/drawing/2014/main" id="{1C0E4E43-5A7B-44BA-BC60-8F7425DB29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0" name="x_Picture 1" descr="Description: cid:image001.png@01D03949.49457930">
          <a:extLst>
            <a:ext uri="{FF2B5EF4-FFF2-40B4-BE49-F238E27FC236}">
              <a16:creationId xmlns:a16="http://schemas.microsoft.com/office/drawing/2014/main" id="{8A1EA604-D2DD-4909-8452-7C2506578C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1" name="x_Picture 1" descr="Description: cid:image001.png@01D03949.49457930">
          <a:extLst>
            <a:ext uri="{FF2B5EF4-FFF2-40B4-BE49-F238E27FC236}">
              <a16:creationId xmlns:a16="http://schemas.microsoft.com/office/drawing/2014/main" id="{2F6D4F8E-C8FC-4D0D-8EE8-51363927DB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2" name="x_Picture 1" descr="Description: cid:image001.png@01D03949.49457930">
          <a:extLst>
            <a:ext uri="{FF2B5EF4-FFF2-40B4-BE49-F238E27FC236}">
              <a16:creationId xmlns:a16="http://schemas.microsoft.com/office/drawing/2014/main" id="{77784039-67FF-4EC2-8693-80C73C0F6E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3" name="x_Picture 1" descr="Description: cid:image001.png@01D03949.49457930">
          <a:extLst>
            <a:ext uri="{FF2B5EF4-FFF2-40B4-BE49-F238E27FC236}">
              <a16:creationId xmlns:a16="http://schemas.microsoft.com/office/drawing/2014/main" id="{B87B1868-0555-49AE-B4AA-FECD8BF455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4" name="x_Picture 1" descr="Description: cid:image001.png@01D03949.49457930">
          <a:extLst>
            <a:ext uri="{FF2B5EF4-FFF2-40B4-BE49-F238E27FC236}">
              <a16:creationId xmlns:a16="http://schemas.microsoft.com/office/drawing/2014/main" id="{D1AF39AC-2419-41D8-9C62-7D9A46E265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5" name="x_Picture 1" descr="Description: cid:image001.png@01D03949.49457930">
          <a:extLst>
            <a:ext uri="{FF2B5EF4-FFF2-40B4-BE49-F238E27FC236}">
              <a16:creationId xmlns:a16="http://schemas.microsoft.com/office/drawing/2014/main" id="{7BB429F5-B214-4628-8D43-E6F5C35C2C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6" name="x_Picture 1" descr="Description: cid:image001.png@01D03949.49457930">
          <a:extLst>
            <a:ext uri="{FF2B5EF4-FFF2-40B4-BE49-F238E27FC236}">
              <a16:creationId xmlns:a16="http://schemas.microsoft.com/office/drawing/2014/main" id="{04EB8066-DC79-4C99-91C9-108F2A2D67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7" name="x_Picture 1" descr="Description: cid:image001.png@01D03949.49457930">
          <a:extLst>
            <a:ext uri="{FF2B5EF4-FFF2-40B4-BE49-F238E27FC236}">
              <a16:creationId xmlns:a16="http://schemas.microsoft.com/office/drawing/2014/main" id="{35F4E940-091C-4A07-A353-C782091C76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8" name="x_Picture 1" descr="Description: cid:image001.png@01D03949.49457930">
          <a:extLst>
            <a:ext uri="{FF2B5EF4-FFF2-40B4-BE49-F238E27FC236}">
              <a16:creationId xmlns:a16="http://schemas.microsoft.com/office/drawing/2014/main" id="{7C9D5C58-95E1-467C-90F2-198ED016CE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29" name="x_Picture 1" descr="Description: cid:image001.png@01D03949.49457930">
          <a:extLst>
            <a:ext uri="{FF2B5EF4-FFF2-40B4-BE49-F238E27FC236}">
              <a16:creationId xmlns:a16="http://schemas.microsoft.com/office/drawing/2014/main" id="{63F14184-644C-4CDF-A487-462E870FAF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30" name="x_Picture 1" descr="Description: cid:image001.png@01D03949.49457930">
          <a:extLst>
            <a:ext uri="{FF2B5EF4-FFF2-40B4-BE49-F238E27FC236}">
              <a16:creationId xmlns:a16="http://schemas.microsoft.com/office/drawing/2014/main" id="{0267624A-4EA7-4B7F-86EB-20547BB293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31" name="x_Picture 1" descr="Description: cid:image001.png@01D03949.49457930">
          <a:extLst>
            <a:ext uri="{FF2B5EF4-FFF2-40B4-BE49-F238E27FC236}">
              <a16:creationId xmlns:a16="http://schemas.microsoft.com/office/drawing/2014/main" id="{EFC20AF0-38CB-4CF1-8062-937EAFC81C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32" name="x_Picture 1" descr="Description: cid:image001.png@01D03949.49457930">
          <a:extLst>
            <a:ext uri="{FF2B5EF4-FFF2-40B4-BE49-F238E27FC236}">
              <a16:creationId xmlns:a16="http://schemas.microsoft.com/office/drawing/2014/main" id="{18D16EA7-6489-4994-9829-4BF2FA7EED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33" name="x_Picture 1" descr="Description: cid:image001.png@01D03949.49457930">
          <a:extLst>
            <a:ext uri="{FF2B5EF4-FFF2-40B4-BE49-F238E27FC236}">
              <a16:creationId xmlns:a16="http://schemas.microsoft.com/office/drawing/2014/main" id="{6A439D15-C003-4173-9059-CF580B0F01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34" name="x_Picture 1" descr="Description: cid:image001.png@01D03949.49457930">
          <a:extLst>
            <a:ext uri="{FF2B5EF4-FFF2-40B4-BE49-F238E27FC236}">
              <a16:creationId xmlns:a16="http://schemas.microsoft.com/office/drawing/2014/main" id="{4B6EC85B-50C8-4F31-A5C7-E24F8270DC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35" name="x_Picture 1" descr="Description: cid:image001.png@01D03949.49457930">
          <a:extLst>
            <a:ext uri="{FF2B5EF4-FFF2-40B4-BE49-F238E27FC236}">
              <a16:creationId xmlns:a16="http://schemas.microsoft.com/office/drawing/2014/main" id="{5CB8B4F6-7733-47ED-AB02-02CC5C2EF1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36" name="x_Picture 1" descr="Description: cid:image001.png@01D03949.49457930">
          <a:extLst>
            <a:ext uri="{FF2B5EF4-FFF2-40B4-BE49-F238E27FC236}">
              <a16:creationId xmlns:a16="http://schemas.microsoft.com/office/drawing/2014/main" id="{1EB3E61C-9475-423A-9BDC-B770C43FA25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37" name="x_Picture 1" descr="Description: cid:image001.png@01D03949.49457930">
          <a:extLst>
            <a:ext uri="{FF2B5EF4-FFF2-40B4-BE49-F238E27FC236}">
              <a16:creationId xmlns:a16="http://schemas.microsoft.com/office/drawing/2014/main" id="{5448EEB8-FFB5-4F99-A5C5-CACF37D4D0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38" name="x_Picture 1" descr="Description: cid:image001.png@01D03949.49457930">
          <a:extLst>
            <a:ext uri="{FF2B5EF4-FFF2-40B4-BE49-F238E27FC236}">
              <a16:creationId xmlns:a16="http://schemas.microsoft.com/office/drawing/2014/main" id="{2D737C05-0B9F-416F-BBAE-2520BB6F5C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39" name="x_Picture 1" descr="Description: cid:image001.png@01D03949.49457930">
          <a:extLst>
            <a:ext uri="{FF2B5EF4-FFF2-40B4-BE49-F238E27FC236}">
              <a16:creationId xmlns:a16="http://schemas.microsoft.com/office/drawing/2014/main" id="{9DC54A3A-6D4B-4B07-94F0-1C1B579C12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40" name="x_Picture 1" descr="Description: cid:image001.png@01D03949.49457930">
          <a:extLst>
            <a:ext uri="{FF2B5EF4-FFF2-40B4-BE49-F238E27FC236}">
              <a16:creationId xmlns:a16="http://schemas.microsoft.com/office/drawing/2014/main" id="{9415DFB1-54AF-4180-82F4-5096A3F5FD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41" name="x_Picture 1" descr="Description: cid:image001.png@01D03949.49457930">
          <a:extLst>
            <a:ext uri="{FF2B5EF4-FFF2-40B4-BE49-F238E27FC236}">
              <a16:creationId xmlns:a16="http://schemas.microsoft.com/office/drawing/2014/main" id="{F74FF3AB-F48E-48B2-9EFC-9F6196C693F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42" name="x_Picture 1" descr="Description: cid:image001.png@01D03949.49457930">
          <a:extLst>
            <a:ext uri="{FF2B5EF4-FFF2-40B4-BE49-F238E27FC236}">
              <a16:creationId xmlns:a16="http://schemas.microsoft.com/office/drawing/2014/main" id="{21BF5264-D23F-40BB-B1A9-17956280EE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43" name="x_Picture 1" descr="Description: cid:image001.png@01D03949.49457930">
          <a:extLst>
            <a:ext uri="{FF2B5EF4-FFF2-40B4-BE49-F238E27FC236}">
              <a16:creationId xmlns:a16="http://schemas.microsoft.com/office/drawing/2014/main" id="{35DB4308-9F01-4A1B-AF47-B29EC67CBB8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44" name="x_Picture 1" descr="Description: cid:image001.png@01D03949.49457930">
          <a:extLst>
            <a:ext uri="{FF2B5EF4-FFF2-40B4-BE49-F238E27FC236}">
              <a16:creationId xmlns:a16="http://schemas.microsoft.com/office/drawing/2014/main" id="{405BB817-D054-44CC-AE2B-938C88372E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45" name="x_Picture 1" descr="Description: cid:image001.png@01D03949.49457930">
          <a:extLst>
            <a:ext uri="{FF2B5EF4-FFF2-40B4-BE49-F238E27FC236}">
              <a16:creationId xmlns:a16="http://schemas.microsoft.com/office/drawing/2014/main" id="{1EA2F7D0-4C81-459D-8268-80821EC432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46" name="x_Picture 1" descr="Description: cid:image001.png@01D03949.49457930">
          <a:extLst>
            <a:ext uri="{FF2B5EF4-FFF2-40B4-BE49-F238E27FC236}">
              <a16:creationId xmlns:a16="http://schemas.microsoft.com/office/drawing/2014/main" id="{2F624C9F-3B8C-4F1E-B107-7BAF8C0A86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47" name="x_Picture 1" descr="Description: cid:image001.png@01D03949.49457930">
          <a:extLst>
            <a:ext uri="{FF2B5EF4-FFF2-40B4-BE49-F238E27FC236}">
              <a16:creationId xmlns:a16="http://schemas.microsoft.com/office/drawing/2014/main" id="{78B6641D-CA4A-434F-B40C-254F965BF7B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48" name="x_Picture 1" descr="Description: cid:image001.png@01D03949.49457930">
          <a:extLst>
            <a:ext uri="{FF2B5EF4-FFF2-40B4-BE49-F238E27FC236}">
              <a16:creationId xmlns:a16="http://schemas.microsoft.com/office/drawing/2014/main" id="{8C0A7B3F-1D21-481F-8C93-907ACA9738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49" name="x_Picture 1" descr="Description: cid:image001.png@01D03949.49457930">
          <a:extLst>
            <a:ext uri="{FF2B5EF4-FFF2-40B4-BE49-F238E27FC236}">
              <a16:creationId xmlns:a16="http://schemas.microsoft.com/office/drawing/2014/main" id="{B9F8E6A4-55A2-49D6-BF25-D129CFFDF2B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50" name="x_Picture 1" descr="Description: cid:image001.png@01D03949.49457930">
          <a:extLst>
            <a:ext uri="{FF2B5EF4-FFF2-40B4-BE49-F238E27FC236}">
              <a16:creationId xmlns:a16="http://schemas.microsoft.com/office/drawing/2014/main" id="{490AAAEF-7FCD-48B4-8FEA-7C4164436F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51" name="x_Picture 1" descr="Description: cid:image001.png@01D03949.49457930">
          <a:extLst>
            <a:ext uri="{FF2B5EF4-FFF2-40B4-BE49-F238E27FC236}">
              <a16:creationId xmlns:a16="http://schemas.microsoft.com/office/drawing/2014/main" id="{AF471981-DB83-4B45-AB33-E0590D42600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52" name="x_Picture 1" descr="Description: cid:image001.png@01D03949.49457930">
          <a:extLst>
            <a:ext uri="{FF2B5EF4-FFF2-40B4-BE49-F238E27FC236}">
              <a16:creationId xmlns:a16="http://schemas.microsoft.com/office/drawing/2014/main" id="{6BF1D4F0-7398-46EC-AD5F-0BC79C2C0FE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53" name="x_Picture 1" descr="Description: cid:image001.png@01D03949.49457930">
          <a:extLst>
            <a:ext uri="{FF2B5EF4-FFF2-40B4-BE49-F238E27FC236}">
              <a16:creationId xmlns:a16="http://schemas.microsoft.com/office/drawing/2014/main" id="{7889F0F2-33FA-4F17-B808-E4FC7617B5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54" name="x_Picture 1" descr="Description: cid:image001.png@01D03949.49457930">
          <a:extLst>
            <a:ext uri="{FF2B5EF4-FFF2-40B4-BE49-F238E27FC236}">
              <a16:creationId xmlns:a16="http://schemas.microsoft.com/office/drawing/2014/main" id="{2569E5C4-112D-49B3-B2CA-10320D1BB3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55" name="x_Picture 1" descr="Description: cid:image001.png@01D03949.49457930">
          <a:extLst>
            <a:ext uri="{FF2B5EF4-FFF2-40B4-BE49-F238E27FC236}">
              <a16:creationId xmlns:a16="http://schemas.microsoft.com/office/drawing/2014/main" id="{472F0232-35F9-419B-B6E2-C72BAE3EF0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56" name="x_Picture 1" descr="Description: cid:image001.png@01D03949.49457930">
          <a:extLst>
            <a:ext uri="{FF2B5EF4-FFF2-40B4-BE49-F238E27FC236}">
              <a16:creationId xmlns:a16="http://schemas.microsoft.com/office/drawing/2014/main" id="{0189341A-D0C2-4FFC-9E24-5B512FA563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57" name="x_Picture 1" descr="Description: cid:image001.png@01D03949.49457930">
          <a:extLst>
            <a:ext uri="{FF2B5EF4-FFF2-40B4-BE49-F238E27FC236}">
              <a16:creationId xmlns:a16="http://schemas.microsoft.com/office/drawing/2014/main" id="{94865BEF-C5A3-4D74-A80C-67476FF490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58" name="x_Picture 1" descr="Description: cid:image001.png@01D03949.49457930">
          <a:extLst>
            <a:ext uri="{FF2B5EF4-FFF2-40B4-BE49-F238E27FC236}">
              <a16:creationId xmlns:a16="http://schemas.microsoft.com/office/drawing/2014/main" id="{663225C3-2EEC-495B-948F-3734A68344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59" name="x_Picture 1" descr="Description: cid:image001.png@01D03949.49457930">
          <a:extLst>
            <a:ext uri="{FF2B5EF4-FFF2-40B4-BE49-F238E27FC236}">
              <a16:creationId xmlns:a16="http://schemas.microsoft.com/office/drawing/2014/main" id="{F59A5520-BE45-48E9-8286-3B4E07BB92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60" name="x_Picture 1" descr="Description: cid:image001.png@01D03949.49457930">
          <a:extLst>
            <a:ext uri="{FF2B5EF4-FFF2-40B4-BE49-F238E27FC236}">
              <a16:creationId xmlns:a16="http://schemas.microsoft.com/office/drawing/2014/main" id="{93E4340B-A61D-4C01-8DF6-85C2F20E5A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61" name="x_Picture 1" descr="Description: cid:image001.png@01D03949.49457930">
          <a:extLst>
            <a:ext uri="{FF2B5EF4-FFF2-40B4-BE49-F238E27FC236}">
              <a16:creationId xmlns:a16="http://schemas.microsoft.com/office/drawing/2014/main" id="{D534B54B-B252-48C1-A3C3-57C318E5EC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62" name="x_Picture 1" descr="Description: cid:image001.png@01D03949.49457930">
          <a:extLst>
            <a:ext uri="{FF2B5EF4-FFF2-40B4-BE49-F238E27FC236}">
              <a16:creationId xmlns:a16="http://schemas.microsoft.com/office/drawing/2014/main" id="{F6B880C2-841F-4E17-9A2D-D1DDE41B1D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63" name="x_Picture 1" descr="Description: cid:image001.png@01D03949.49457930">
          <a:extLst>
            <a:ext uri="{FF2B5EF4-FFF2-40B4-BE49-F238E27FC236}">
              <a16:creationId xmlns:a16="http://schemas.microsoft.com/office/drawing/2014/main" id="{38C5D9F1-E1C7-45E3-8127-99CE842031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64" name="x_Picture 1" descr="Description: cid:image001.png@01D03949.49457930">
          <a:extLst>
            <a:ext uri="{FF2B5EF4-FFF2-40B4-BE49-F238E27FC236}">
              <a16:creationId xmlns:a16="http://schemas.microsoft.com/office/drawing/2014/main" id="{4F7A1DE6-4679-4321-80D5-0CBA55212B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65" name="x_Picture 1" descr="Description: cid:image001.png@01D03949.49457930">
          <a:extLst>
            <a:ext uri="{FF2B5EF4-FFF2-40B4-BE49-F238E27FC236}">
              <a16:creationId xmlns:a16="http://schemas.microsoft.com/office/drawing/2014/main" id="{D573E354-D312-4CCC-AF38-F8176F8AD3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66" name="x_Picture 1" descr="Description: cid:image001.png@01D03949.49457930">
          <a:extLst>
            <a:ext uri="{FF2B5EF4-FFF2-40B4-BE49-F238E27FC236}">
              <a16:creationId xmlns:a16="http://schemas.microsoft.com/office/drawing/2014/main" id="{1E395A9F-0C16-4676-BC25-45A3180EDB5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67" name="x_Picture 1" descr="Description: cid:image001.png@01D03949.49457930">
          <a:extLst>
            <a:ext uri="{FF2B5EF4-FFF2-40B4-BE49-F238E27FC236}">
              <a16:creationId xmlns:a16="http://schemas.microsoft.com/office/drawing/2014/main" id="{050F429D-0458-488A-80D3-1711D4CCF4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68" name="x_Picture 1" descr="Description: cid:image001.png@01D03949.49457930">
          <a:extLst>
            <a:ext uri="{FF2B5EF4-FFF2-40B4-BE49-F238E27FC236}">
              <a16:creationId xmlns:a16="http://schemas.microsoft.com/office/drawing/2014/main" id="{79286AFA-A56F-4FAA-8B04-1732BD5C65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69" name="x_Picture 1" descr="Description: cid:image001.png@01D03949.49457930">
          <a:extLst>
            <a:ext uri="{FF2B5EF4-FFF2-40B4-BE49-F238E27FC236}">
              <a16:creationId xmlns:a16="http://schemas.microsoft.com/office/drawing/2014/main" id="{3E21E270-A9EE-47A9-9659-E7E13FD88E9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70" name="x_Picture 1" descr="Description: cid:image001.png@01D03949.49457930">
          <a:extLst>
            <a:ext uri="{FF2B5EF4-FFF2-40B4-BE49-F238E27FC236}">
              <a16:creationId xmlns:a16="http://schemas.microsoft.com/office/drawing/2014/main" id="{B9E17A03-E822-4980-905A-80C2D3722D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71" name="x_Picture 1" descr="Description: cid:image001.png@01D03949.49457930">
          <a:extLst>
            <a:ext uri="{FF2B5EF4-FFF2-40B4-BE49-F238E27FC236}">
              <a16:creationId xmlns:a16="http://schemas.microsoft.com/office/drawing/2014/main" id="{AF9E6DC4-C147-49C1-85B0-A95B794E1A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72" name="x_Picture 1" descr="Description: cid:image001.png@01D03949.49457930">
          <a:extLst>
            <a:ext uri="{FF2B5EF4-FFF2-40B4-BE49-F238E27FC236}">
              <a16:creationId xmlns:a16="http://schemas.microsoft.com/office/drawing/2014/main" id="{AAD10B05-E503-40F6-B2CD-05BEF0D8FD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73" name="x_Picture 1" descr="Description: cid:image001.png@01D03949.49457930">
          <a:extLst>
            <a:ext uri="{FF2B5EF4-FFF2-40B4-BE49-F238E27FC236}">
              <a16:creationId xmlns:a16="http://schemas.microsoft.com/office/drawing/2014/main" id="{15382F4D-FD70-4B06-94A4-F4BE6C3209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74" name="x_Picture 1" descr="Description: cid:image001.png@01D03949.49457930">
          <a:extLst>
            <a:ext uri="{FF2B5EF4-FFF2-40B4-BE49-F238E27FC236}">
              <a16:creationId xmlns:a16="http://schemas.microsoft.com/office/drawing/2014/main" id="{83265C12-463E-48BB-9F27-D85DEE7FA5B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75" name="x_Picture 1" descr="Description: cid:image001.png@01D03949.49457930">
          <a:extLst>
            <a:ext uri="{FF2B5EF4-FFF2-40B4-BE49-F238E27FC236}">
              <a16:creationId xmlns:a16="http://schemas.microsoft.com/office/drawing/2014/main" id="{8542AEB4-456E-4490-86B6-BA420D8428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76" name="x_Picture 1" descr="Description: cid:image001.png@01D03949.49457930">
          <a:extLst>
            <a:ext uri="{FF2B5EF4-FFF2-40B4-BE49-F238E27FC236}">
              <a16:creationId xmlns:a16="http://schemas.microsoft.com/office/drawing/2014/main" id="{FFEAC328-F5B2-43D6-B5CD-B27717131F7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77" name="x_Picture 1" descr="Description: cid:image001.png@01D03949.49457930">
          <a:extLst>
            <a:ext uri="{FF2B5EF4-FFF2-40B4-BE49-F238E27FC236}">
              <a16:creationId xmlns:a16="http://schemas.microsoft.com/office/drawing/2014/main" id="{9B946B1D-E739-4355-8F84-C79FF861DF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78" name="x_Picture 1" descr="Description: cid:image001.png@01D03949.49457930">
          <a:extLst>
            <a:ext uri="{FF2B5EF4-FFF2-40B4-BE49-F238E27FC236}">
              <a16:creationId xmlns:a16="http://schemas.microsoft.com/office/drawing/2014/main" id="{B8AE9313-9976-488D-AE1F-95AC721248F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79" name="x_Picture 1" descr="Description: cid:image001.png@01D03949.49457930">
          <a:extLst>
            <a:ext uri="{FF2B5EF4-FFF2-40B4-BE49-F238E27FC236}">
              <a16:creationId xmlns:a16="http://schemas.microsoft.com/office/drawing/2014/main" id="{2AE65E82-A4EA-4436-AAB6-C665889A98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80" name="x_Picture 1" descr="Description: cid:image001.png@01D03949.49457930">
          <a:extLst>
            <a:ext uri="{FF2B5EF4-FFF2-40B4-BE49-F238E27FC236}">
              <a16:creationId xmlns:a16="http://schemas.microsoft.com/office/drawing/2014/main" id="{77A41AB1-AD99-49E9-A9C3-289246699E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81" name="x_Picture 1" descr="Description: cid:image001.png@01D03949.49457930">
          <a:extLst>
            <a:ext uri="{FF2B5EF4-FFF2-40B4-BE49-F238E27FC236}">
              <a16:creationId xmlns:a16="http://schemas.microsoft.com/office/drawing/2014/main" id="{22722D7F-7B6D-4C62-9254-BEC6B8FE7B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82" name="x_Picture 1" descr="Description: cid:image001.png@01D03949.49457930">
          <a:extLst>
            <a:ext uri="{FF2B5EF4-FFF2-40B4-BE49-F238E27FC236}">
              <a16:creationId xmlns:a16="http://schemas.microsoft.com/office/drawing/2014/main" id="{394DD69C-47EA-4389-8BFB-3BBC043F8A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83" name="x_Picture 1" descr="Description: cid:image001.png@01D03949.49457930">
          <a:extLst>
            <a:ext uri="{FF2B5EF4-FFF2-40B4-BE49-F238E27FC236}">
              <a16:creationId xmlns:a16="http://schemas.microsoft.com/office/drawing/2014/main" id="{D6E7C724-9D11-44D7-AD0C-D626E555F05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84" name="x_Picture 1" descr="Description: cid:image001.png@01D03949.49457930">
          <a:extLst>
            <a:ext uri="{FF2B5EF4-FFF2-40B4-BE49-F238E27FC236}">
              <a16:creationId xmlns:a16="http://schemas.microsoft.com/office/drawing/2014/main" id="{0003C673-4BDA-414F-89F7-1A5B401A83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85" name="x_Picture 1" descr="Description: cid:image001.png@01D03949.49457930">
          <a:extLst>
            <a:ext uri="{FF2B5EF4-FFF2-40B4-BE49-F238E27FC236}">
              <a16:creationId xmlns:a16="http://schemas.microsoft.com/office/drawing/2014/main" id="{8E28BF45-2551-4A3E-9590-A55A4C4FE6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86" name="x_Picture 1" descr="Description: cid:image001.png@01D03949.49457930">
          <a:extLst>
            <a:ext uri="{FF2B5EF4-FFF2-40B4-BE49-F238E27FC236}">
              <a16:creationId xmlns:a16="http://schemas.microsoft.com/office/drawing/2014/main" id="{09657C65-391C-432F-B432-4E33D4B52D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87" name="x_Picture 1" descr="Description: cid:image001.png@01D03949.49457930">
          <a:extLst>
            <a:ext uri="{FF2B5EF4-FFF2-40B4-BE49-F238E27FC236}">
              <a16:creationId xmlns:a16="http://schemas.microsoft.com/office/drawing/2014/main" id="{6CAB5C5A-ED0E-4335-8FC8-133C03FA29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88" name="x_Picture 1" descr="Description: cid:image001.png@01D03949.49457930">
          <a:extLst>
            <a:ext uri="{FF2B5EF4-FFF2-40B4-BE49-F238E27FC236}">
              <a16:creationId xmlns:a16="http://schemas.microsoft.com/office/drawing/2014/main" id="{8467D7E0-BD6C-4EB0-8F21-8153BADB48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89" name="x_Picture 1" descr="Description: cid:image001.png@01D03949.49457930">
          <a:extLst>
            <a:ext uri="{FF2B5EF4-FFF2-40B4-BE49-F238E27FC236}">
              <a16:creationId xmlns:a16="http://schemas.microsoft.com/office/drawing/2014/main" id="{A26E25A4-F32B-482C-9338-1EFF00F739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90" name="x_Picture 1" descr="Description: cid:image001.png@01D03949.49457930">
          <a:extLst>
            <a:ext uri="{FF2B5EF4-FFF2-40B4-BE49-F238E27FC236}">
              <a16:creationId xmlns:a16="http://schemas.microsoft.com/office/drawing/2014/main" id="{AA210936-E40E-43AA-A248-03623FE50B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91" name="x_Picture 1" descr="Description: cid:image001.png@01D03949.49457930">
          <a:extLst>
            <a:ext uri="{FF2B5EF4-FFF2-40B4-BE49-F238E27FC236}">
              <a16:creationId xmlns:a16="http://schemas.microsoft.com/office/drawing/2014/main" id="{57737297-277E-43C1-8601-5416D89186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92" name="x_Picture 1" descr="Description: cid:image001.png@01D03949.49457930">
          <a:extLst>
            <a:ext uri="{FF2B5EF4-FFF2-40B4-BE49-F238E27FC236}">
              <a16:creationId xmlns:a16="http://schemas.microsoft.com/office/drawing/2014/main" id="{33AFC122-8BBD-4116-B880-7BEB633ACA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93" name="x_Picture 1" descr="Description: cid:image001.png@01D03949.49457930">
          <a:extLst>
            <a:ext uri="{FF2B5EF4-FFF2-40B4-BE49-F238E27FC236}">
              <a16:creationId xmlns:a16="http://schemas.microsoft.com/office/drawing/2014/main" id="{FE20AF66-430C-42BC-B9A2-5E70C008637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94" name="x_Picture 1" descr="Description: cid:image001.png@01D03949.49457930">
          <a:extLst>
            <a:ext uri="{FF2B5EF4-FFF2-40B4-BE49-F238E27FC236}">
              <a16:creationId xmlns:a16="http://schemas.microsoft.com/office/drawing/2014/main" id="{5D80AA48-FF0B-4157-A2A2-6E0335E7D8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95" name="x_Picture 1" descr="Description: cid:image001.png@01D03949.49457930">
          <a:extLst>
            <a:ext uri="{FF2B5EF4-FFF2-40B4-BE49-F238E27FC236}">
              <a16:creationId xmlns:a16="http://schemas.microsoft.com/office/drawing/2014/main" id="{57F52C96-3AD9-4C33-8133-AEC7CB8229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96" name="x_Picture 1" descr="Description: cid:image001.png@01D03949.49457930">
          <a:extLst>
            <a:ext uri="{FF2B5EF4-FFF2-40B4-BE49-F238E27FC236}">
              <a16:creationId xmlns:a16="http://schemas.microsoft.com/office/drawing/2014/main" id="{0781188A-AAD1-4E03-A718-C77B465027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97" name="x_Picture 1" descr="Description: cid:image001.png@01D03949.49457930">
          <a:extLst>
            <a:ext uri="{FF2B5EF4-FFF2-40B4-BE49-F238E27FC236}">
              <a16:creationId xmlns:a16="http://schemas.microsoft.com/office/drawing/2014/main" id="{4A00EA41-F988-4C4D-B37D-D95AB197C7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2998" name="x_Picture 1" descr="Description: cid:image001.png@01D03949.49457930">
          <a:extLst>
            <a:ext uri="{FF2B5EF4-FFF2-40B4-BE49-F238E27FC236}">
              <a16:creationId xmlns:a16="http://schemas.microsoft.com/office/drawing/2014/main" id="{EDE1F353-6F76-4698-A23F-5FFA43C7DB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2999" name="x_Picture 1" descr="Description: cid:image001.png@01D03949.49457930">
          <a:extLst>
            <a:ext uri="{FF2B5EF4-FFF2-40B4-BE49-F238E27FC236}">
              <a16:creationId xmlns:a16="http://schemas.microsoft.com/office/drawing/2014/main" id="{3EAF00F9-6264-422A-B412-17BBFD00F5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00" name="x_Picture 1" descr="Description: cid:image001.png@01D03949.49457930">
          <a:extLst>
            <a:ext uri="{FF2B5EF4-FFF2-40B4-BE49-F238E27FC236}">
              <a16:creationId xmlns:a16="http://schemas.microsoft.com/office/drawing/2014/main" id="{324B6293-0B3C-4438-BEBD-5C8BFC80F87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01" name="x_Picture 1" descr="Description: cid:image001.png@01D03949.49457930">
          <a:extLst>
            <a:ext uri="{FF2B5EF4-FFF2-40B4-BE49-F238E27FC236}">
              <a16:creationId xmlns:a16="http://schemas.microsoft.com/office/drawing/2014/main" id="{055858BE-D7DD-4539-885B-E9839F7D60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02" name="x_Picture 1" descr="Description: cid:image001.png@01D03949.49457930">
          <a:extLst>
            <a:ext uri="{FF2B5EF4-FFF2-40B4-BE49-F238E27FC236}">
              <a16:creationId xmlns:a16="http://schemas.microsoft.com/office/drawing/2014/main" id="{38581D99-0CA2-422F-BA86-B803BA889A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03" name="x_Picture 1" descr="Description: cid:image001.png@01D03949.49457930">
          <a:extLst>
            <a:ext uri="{FF2B5EF4-FFF2-40B4-BE49-F238E27FC236}">
              <a16:creationId xmlns:a16="http://schemas.microsoft.com/office/drawing/2014/main" id="{D53D85DE-50C8-4EC6-973F-F9C8C9CAF3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04" name="x_Picture 1" descr="Description: cid:image001.png@01D03949.49457930">
          <a:extLst>
            <a:ext uri="{FF2B5EF4-FFF2-40B4-BE49-F238E27FC236}">
              <a16:creationId xmlns:a16="http://schemas.microsoft.com/office/drawing/2014/main" id="{FDB5A0AB-D749-464A-8910-E2AF7FDE17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05" name="x_Picture 1" descr="Description: cid:image001.png@01D03949.49457930">
          <a:extLst>
            <a:ext uri="{FF2B5EF4-FFF2-40B4-BE49-F238E27FC236}">
              <a16:creationId xmlns:a16="http://schemas.microsoft.com/office/drawing/2014/main" id="{0CC2F5C3-5C4F-44A6-88FE-3E24C38BA8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06" name="x_Picture 1" descr="Description: cid:image001.png@01D03949.49457930">
          <a:extLst>
            <a:ext uri="{FF2B5EF4-FFF2-40B4-BE49-F238E27FC236}">
              <a16:creationId xmlns:a16="http://schemas.microsoft.com/office/drawing/2014/main" id="{28DA881D-1A56-451D-A5E5-5D3D789D82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07" name="x_Picture 1" descr="Description: cid:image001.png@01D03949.49457930">
          <a:extLst>
            <a:ext uri="{FF2B5EF4-FFF2-40B4-BE49-F238E27FC236}">
              <a16:creationId xmlns:a16="http://schemas.microsoft.com/office/drawing/2014/main" id="{3EB5B0E4-61BD-4F1A-871E-D71DB8343F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08" name="x_Picture 1" descr="Description: cid:image001.png@01D03949.49457930">
          <a:extLst>
            <a:ext uri="{FF2B5EF4-FFF2-40B4-BE49-F238E27FC236}">
              <a16:creationId xmlns:a16="http://schemas.microsoft.com/office/drawing/2014/main" id="{2ADDBF13-C5AB-4D66-95E4-8B4844C636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09" name="x_Picture 1" descr="Description: cid:image001.png@01D03949.49457930">
          <a:extLst>
            <a:ext uri="{FF2B5EF4-FFF2-40B4-BE49-F238E27FC236}">
              <a16:creationId xmlns:a16="http://schemas.microsoft.com/office/drawing/2014/main" id="{F7D0EF4F-489B-4035-AD94-94CFF71CC0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10" name="x_Picture 1" descr="Description: cid:image001.png@01D03949.49457930">
          <a:extLst>
            <a:ext uri="{FF2B5EF4-FFF2-40B4-BE49-F238E27FC236}">
              <a16:creationId xmlns:a16="http://schemas.microsoft.com/office/drawing/2014/main" id="{8951D46B-8B5A-4C3E-B9ED-3E8E4631B6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11" name="x_Picture 1" descr="Description: cid:image001.png@01D03949.49457930">
          <a:extLst>
            <a:ext uri="{FF2B5EF4-FFF2-40B4-BE49-F238E27FC236}">
              <a16:creationId xmlns:a16="http://schemas.microsoft.com/office/drawing/2014/main" id="{844161D7-2C24-4591-A613-AE7D748A0CF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12" name="x_Picture 1" descr="Description: cid:image001.png@01D03949.49457930">
          <a:extLst>
            <a:ext uri="{FF2B5EF4-FFF2-40B4-BE49-F238E27FC236}">
              <a16:creationId xmlns:a16="http://schemas.microsoft.com/office/drawing/2014/main" id="{5B392930-EF56-4F0B-B527-9FE1970F9A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13" name="x_Picture 1" descr="Description: cid:image001.png@01D03949.49457930">
          <a:extLst>
            <a:ext uri="{FF2B5EF4-FFF2-40B4-BE49-F238E27FC236}">
              <a16:creationId xmlns:a16="http://schemas.microsoft.com/office/drawing/2014/main" id="{38347113-CB52-41AF-A21C-8C5190776B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14" name="x_Picture 1" descr="Description: cid:image001.png@01D03949.49457930">
          <a:extLst>
            <a:ext uri="{FF2B5EF4-FFF2-40B4-BE49-F238E27FC236}">
              <a16:creationId xmlns:a16="http://schemas.microsoft.com/office/drawing/2014/main" id="{D1A80B55-35DE-46F7-9EB5-BB9E419974D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15" name="x_Picture 1" descr="Description: cid:image001.png@01D03949.49457930">
          <a:extLst>
            <a:ext uri="{FF2B5EF4-FFF2-40B4-BE49-F238E27FC236}">
              <a16:creationId xmlns:a16="http://schemas.microsoft.com/office/drawing/2014/main" id="{BBACFC1F-4878-479C-B2A2-99B59D7BEA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16" name="x_Picture 1" descr="Description: cid:image001.png@01D03949.49457930">
          <a:extLst>
            <a:ext uri="{FF2B5EF4-FFF2-40B4-BE49-F238E27FC236}">
              <a16:creationId xmlns:a16="http://schemas.microsoft.com/office/drawing/2014/main" id="{D6494A62-CEB1-4D0C-9346-A54C5D6F51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17" name="x_Picture 1" descr="Description: cid:image001.png@01D03949.49457930">
          <a:extLst>
            <a:ext uri="{FF2B5EF4-FFF2-40B4-BE49-F238E27FC236}">
              <a16:creationId xmlns:a16="http://schemas.microsoft.com/office/drawing/2014/main" id="{25B39892-1731-4871-BFC3-15620544673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18" name="x_Picture 1" descr="Description: cid:image001.png@01D03949.49457930">
          <a:extLst>
            <a:ext uri="{FF2B5EF4-FFF2-40B4-BE49-F238E27FC236}">
              <a16:creationId xmlns:a16="http://schemas.microsoft.com/office/drawing/2014/main" id="{B884D2C5-8CB5-476F-975E-09AD5E1D37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19" name="x_Picture 1" descr="Description: cid:image001.png@01D03949.49457930">
          <a:extLst>
            <a:ext uri="{FF2B5EF4-FFF2-40B4-BE49-F238E27FC236}">
              <a16:creationId xmlns:a16="http://schemas.microsoft.com/office/drawing/2014/main" id="{03B65930-F826-453F-976C-7172D884A0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20" name="x_Picture 1" descr="Description: cid:image001.png@01D03949.49457930">
          <a:extLst>
            <a:ext uri="{FF2B5EF4-FFF2-40B4-BE49-F238E27FC236}">
              <a16:creationId xmlns:a16="http://schemas.microsoft.com/office/drawing/2014/main" id="{FC9217F0-79B1-4931-AA30-C14E5DECC0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21" name="x_Picture 1" descr="Description: cid:image001.png@01D03949.49457930">
          <a:extLst>
            <a:ext uri="{FF2B5EF4-FFF2-40B4-BE49-F238E27FC236}">
              <a16:creationId xmlns:a16="http://schemas.microsoft.com/office/drawing/2014/main" id="{4326D659-06DA-4BA5-B97D-0E497FE360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22" name="x_Picture 1" descr="Description: cid:image001.png@01D03949.49457930">
          <a:extLst>
            <a:ext uri="{FF2B5EF4-FFF2-40B4-BE49-F238E27FC236}">
              <a16:creationId xmlns:a16="http://schemas.microsoft.com/office/drawing/2014/main" id="{EC201D45-C45C-4C11-B99D-F82AD7EB82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23" name="x_Picture 1" descr="Description: cid:image001.png@01D03949.49457930">
          <a:extLst>
            <a:ext uri="{FF2B5EF4-FFF2-40B4-BE49-F238E27FC236}">
              <a16:creationId xmlns:a16="http://schemas.microsoft.com/office/drawing/2014/main" id="{B6CDE290-0626-4CF5-A891-AEE6CF8927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24" name="x_Picture 1" descr="Description: cid:image001.png@01D03949.49457930">
          <a:extLst>
            <a:ext uri="{FF2B5EF4-FFF2-40B4-BE49-F238E27FC236}">
              <a16:creationId xmlns:a16="http://schemas.microsoft.com/office/drawing/2014/main" id="{A0BF9414-BE56-4F5A-B06F-61FB7A3F8F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25" name="x_Picture 1" descr="Description: cid:image001.png@01D03949.49457930">
          <a:extLst>
            <a:ext uri="{FF2B5EF4-FFF2-40B4-BE49-F238E27FC236}">
              <a16:creationId xmlns:a16="http://schemas.microsoft.com/office/drawing/2014/main" id="{41B984D8-DE07-43A9-92F7-AE92B5CE4A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26" name="x_Picture 1" descr="Description: cid:image001.png@01D03949.49457930">
          <a:extLst>
            <a:ext uri="{FF2B5EF4-FFF2-40B4-BE49-F238E27FC236}">
              <a16:creationId xmlns:a16="http://schemas.microsoft.com/office/drawing/2014/main" id="{32A67508-47CD-44BD-AFA7-C9D65B5774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27" name="x_Picture 1" descr="Description: cid:image001.png@01D03949.49457930">
          <a:extLst>
            <a:ext uri="{FF2B5EF4-FFF2-40B4-BE49-F238E27FC236}">
              <a16:creationId xmlns:a16="http://schemas.microsoft.com/office/drawing/2014/main" id="{D54CA2A3-4028-46E4-9AFD-60DCB84653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28" name="x_Picture 1" descr="Description: cid:image001.png@01D03949.49457930">
          <a:extLst>
            <a:ext uri="{FF2B5EF4-FFF2-40B4-BE49-F238E27FC236}">
              <a16:creationId xmlns:a16="http://schemas.microsoft.com/office/drawing/2014/main" id="{B81704C4-9EF9-4801-A64A-C5146B92C0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29" name="x_Picture 1" descr="Description: cid:image001.png@01D03949.49457930">
          <a:extLst>
            <a:ext uri="{FF2B5EF4-FFF2-40B4-BE49-F238E27FC236}">
              <a16:creationId xmlns:a16="http://schemas.microsoft.com/office/drawing/2014/main" id="{D8A254B2-2F3B-4521-A078-C7FFE34BA9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0" name="x_Picture 1" descr="Description: cid:image001.png@01D03949.49457930">
          <a:extLst>
            <a:ext uri="{FF2B5EF4-FFF2-40B4-BE49-F238E27FC236}">
              <a16:creationId xmlns:a16="http://schemas.microsoft.com/office/drawing/2014/main" id="{7A10E37C-FC47-4A9A-95D3-BF39590068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1" name="x_Picture 1" descr="Description: cid:image001.png@01D03949.49457930">
          <a:extLst>
            <a:ext uri="{FF2B5EF4-FFF2-40B4-BE49-F238E27FC236}">
              <a16:creationId xmlns:a16="http://schemas.microsoft.com/office/drawing/2014/main" id="{7F0017BE-7558-4584-913A-DBB6BECD04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2" name="x_Picture 1" descr="Description: cid:image001.png@01D03949.49457930">
          <a:extLst>
            <a:ext uri="{FF2B5EF4-FFF2-40B4-BE49-F238E27FC236}">
              <a16:creationId xmlns:a16="http://schemas.microsoft.com/office/drawing/2014/main" id="{D504BA96-D781-4BD9-B771-E914B5AF48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3" name="x_Picture 1" descr="Description: cid:image001.png@01D03949.49457930">
          <a:extLst>
            <a:ext uri="{FF2B5EF4-FFF2-40B4-BE49-F238E27FC236}">
              <a16:creationId xmlns:a16="http://schemas.microsoft.com/office/drawing/2014/main" id="{5A6975BD-2186-4357-9F2C-842EE0019A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4" name="x_Picture 1" descr="Description: cid:image001.png@01D03949.49457930">
          <a:extLst>
            <a:ext uri="{FF2B5EF4-FFF2-40B4-BE49-F238E27FC236}">
              <a16:creationId xmlns:a16="http://schemas.microsoft.com/office/drawing/2014/main" id="{03029C96-926B-4837-972F-675A8ADDAD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5" name="x_Picture 1" descr="Description: cid:image001.png@01D03949.49457930">
          <a:extLst>
            <a:ext uri="{FF2B5EF4-FFF2-40B4-BE49-F238E27FC236}">
              <a16:creationId xmlns:a16="http://schemas.microsoft.com/office/drawing/2014/main" id="{2A554B2E-C18A-4225-8756-7CE414CD31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6" name="x_Picture 1" descr="Description: cid:image001.png@01D03949.49457930">
          <a:extLst>
            <a:ext uri="{FF2B5EF4-FFF2-40B4-BE49-F238E27FC236}">
              <a16:creationId xmlns:a16="http://schemas.microsoft.com/office/drawing/2014/main" id="{55939A5B-DDB9-4C83-ACFC-C958C26964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7" name="x_Picture 1" descr="Description: cid:image001.png@01D03949.49457930">
          <a:extLst>
            <a:ext uri="{FF2B5EF4-FFF2-40B4-BE49-F238E27FC236}">
              <a16:creationId xmlns:a16="http://schemas.microsoft.com/office/drawing/2014/main" id="{27C43710-056D-45C0-BF9A-1432D51122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8" name="x_Picture 1" descr="Description: cid:image001.png@01D03949.49457930">
          <a:extLst>
            <a:ext uri="{FF2B5EF4-FFF2-40B4-BE49-F238E27FC236}">
              <a16:creationId xmlns:a16="http://schemas.microsoft.com/office/drawing/2014/main" id="{7F503FA3-8B7E-4D03-94E0-00101460212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39" name="x_Picture 1" descr="Description: cid:image001.png@01D03949.49457930">
          <a:extLst>
            <a:ext uri="{FF2B5EF4-FFF2-40B4-BE49-F238E27FC236}">
              <a16:creationId xmlns:a16="http://schemas.microsoft.com/office/drawing/2014/main" id="{FE6AAEF5-369E-4DCC-99B9-37BC025CE9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40" name="x_Picture 1" descr="Description: cid:image001.png@01D03949.49457930">
          <a:extLst>
            <a:ext uri="{FF2B5EF4-FFF2-40B4-BE49-F238E27FC236}">
              <a16:creationId xmlns:a16="http://schemas.microsoft.com/office/drawing/2014/main" id="{66DCFED8-90CB-49B4-B408-5E035B1B31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41" name="x_Picture 1" descr="Description: cid:image001.png@01D03949.49457930">
          <a:extLst>
            <a:ext uri="{FF2B5EF4-FFF2-40B4-BE49-F238E27FC236}">
              <a16:creationId xmlns:a16="http://schemas.microsoft.com/office/drawing/2014/main" id="{DE27D520-B350-4B68-A6CD-CAD95463FA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42" name="x_Picture 1" descr="Description: cid:image001.png@01D03949.49457930">
          <a:extLst>
            <a:ext uri="{FF2B5EF4-FFF2-40B4-BE49-F238E27FC236}">
              <a16:creationId xmlns:a16="http://schemas.microsoft.com/office/drawing/2014/main" id="{BE2D5F5A-3C07-4561-B059-E7CBF78817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43" name="x_Picture 1" descr="Description: cid:image001.png@01D03949.49457930">
          <a:extLst>
            <a:ext uri="{FF2B5EF4-FFF2-40B4-BE49-F238E27FC236}">
              <a16:creationId xmlns:a16="http://schemas.microsoft.com/office/drawing/2014/main" id="{11656A3B-30DF-42D8-8992-263B39D03D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44" name="x_Picture 1" descr="Description: cid:image001.png@01D03949.49457930">
          <a:extLst>
            <a:ext uri="{FF2B5EF4-FFF2-40B4-BE49-F238E27FC236}">
              <a16:creationId xmlns:a16="http://schemas.microsoft.com/office/drawing/2014/main" id="{8F143944-1B62-41F1-8F70-E7263E13AA2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45" name="x_Picture 1" descr="Description: cid:image001.png@01D03949.49457930">
          <a:extLst>
            <a:ext uri="{FF2B5EF4-FFF2-40B4-BE49-F238E27FC236}">
              <a16:creationId xmlns:a16="http://schemas.microsoft.com/office/drawing/2014/main" id="{7AE37EA6-C67F-448B-BDBE-DEC41BE92A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46" name="x_Picture 1" descr="Description: cid:image001.png@01D03949.49457930">
          <a:extLst>
            <a:ext uri="{FF2B5EF4-FFF2-40B4-BE49-F238E27FC236}">
              <a16:creationId xmlns:a16="http://schemas.microsoft.com/office/drawing/2014/main" id="{31709F4F-240C-4D3B-8439-93A66A9CD7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47" name="x_Picture 1" descr="Description: cid:image001.png@01D03949.49457930">
          <a:extLst>
            <a:ext uri="{FF2B5EF4-FFF2-40B4-BE49-F238E27FC236}">
              <a16:creationId xmlns:a16="http://schemas.microsoft.com/office/drawing/2014/main" id="{60FBACAE-0934-4270-95BF-BCFC65D1D56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48" name="x_Picture 1" descr="Description: cid:image001.png@01D03949.49457930">
          <a:extLst>
            <a:ext uri="{FF2B5EF4-FFF2-40B4-BE49-F238E27FC236}">
              <a16:creationId xmlns:a16="http://schemas.microsoft.com/office/drawing/2014/main" id="{9F364F91-4C9D-44B1-A63C-7153AF3271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49" name="x_Picture 1" descr="Description: cid:image001.png@01D03949.49457930">
          <a:extLst>
            <a:ext uri="{FF2B5EF4-FFF2-40B4-BE49-F238E27FC236}">
              <a16:creationId xmlns:a16="http://schemas.microsoft.com/office/drawing/2014/main" id="{B24DF1D0-E9F2-43B9-ACCA-2B620D952F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50" name="x_Picture 1" descr="Description: cid:image001.png@01D03949.49457930">
          <a:extLst>
            <a:ext uri="{FF2B5EF4-FFF2-40B4-BE49-F238E27FC236}">
              <a16:creationId xmlns:a16="http://schemas.microsoft.com/office/drawing/2014/main" id="{CBB3A010-2A39-46E8-A970-AA21E0E568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51" name="x_Picture 1" descr="Description: cid:image001.png@01D03949.49457930">
          <a:extLst>
            <a:ext uri="{FF2B5EF4-FFF2-40B4-BE49-F238E27FC236}">
              <a16:creationId xmlns:a16="http://schemas.microsoft.com/office/drawing/2014/main" id="{59C70993-CAC2-426B-8196-B2F84DE9255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52" name="x_Picture 1" descr="Description: cid:image001.png@01D03949.49457930">
          <a:extLst>
            <a:ext uri="{FF2B5EF4-FFF2-40B4-BE49-F238E27FC236}">
              <a16:creationId xmlns:a16="http://schemas.microsoft.com/office/drawing/2014/main" id="{5C01C3C9-FBD1-49F1-9923-49753460D4C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53" name="x_Picture 1" descr="Description: cid:image001.png@01D03949.49457930">
          <a:extLst>
            <a:ext uri="{FF2B5EF4-FFF2-40B4-BE49-F238E27FC236}">
              <a16:creationId xmlns:a16="http://schemas.microsoft.com/office/drawing/2014/main" id="{BFB66DBD-7CAB-4825-963A-FD25E0A065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54" name="x_Picture 1" descr="Description: cid:image001.png@01D03949.49457930">
          <a:extLst>
            <a:ext uri="{FF2B5EF4-FFF2-40B4-BE49-F238E27FC236}">
              <a16:creationId xmlns:a16="http://schemas.microsoft.com/office/drawing/2014/main" id="{4546EA0B-EBE0-48B6-8A7B-B41C348414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55" name="x_Picture 1" descr="Description: cid:image001.png@01D03949.49457930">
          <a:extLst>
            <a:ext uri="{FF2B5EF4-FFF2-40B4-BE49-F238E27FC236}">
              <a16:creationId xmlns:a16="http://schemas.microsoft.com/office/drawing/2014/main" id="{574528AA-DC55-4C0B-B31A-9F3AAEC913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56" name="x_Picture 1" descr="Description: cid:image001.png@01D03949.49457930">
          <a:extLst>
            <a:ext uri="{FF2B5EF4-FFF2-40B4-BE49-F238E27FC236}">
              <a16:creationId xmlns:a16="http://schemas.microsoft.com/office/drawing/2014/main" id="{33E5C83B-A296-47BA-ADF7-AA6E98BDFE3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57" name="x_Picture 1" descr="Description: cid:image001.png@01D03949.49457930">
          <a:extLst>
            <a:ext uri="{FF2B5EF4-FFF2-40B4-BE49-F238E27FC236}">
              <a16:creationId xmlns:a16="http://schemas.microsoft.com/office/drawing/2014/main" id="{6ED9671A-079E-46F7-A68C-7A946273B3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58" name="x_Picture 1" descr="Description: cid:image001.png@01D03949.49457930">
          <a:extLst>
            <a:ext uri="{FF2B5EF4-FFF2-40B4-BE49-F238E27FC236}">
              <a16:creationId xmlns:a16="http://schemas.microsoft.com/office/drawing/2014/main" id="{B03A24E6-4742-4965-A55A-769318311E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59" name="x_Picture 1" descr="Description: cid:image001.png@01D03949.49457930">
          <a:extLst>
            <a:ext uri="{FF2B5EF4-FFF2-40B4-BE49-F238E27FC236}">
              <a16:creationId xmlns:a16="http://schemas.microsoft.com/office/drawing/2014/main" id="{D3A38F91-E3FD-44EB-8A69-EC3D3DC0AE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60" name="x_Picture 1" descr="Description: cid:image001.png@01D03949.49457930">
          <a:extLst>
            <a:ext uri="{FF2B5EF4-FFF2-40B4-BE49-F238E27FC236}">
              <a16:creationId xmlns:a16="http://schemas.microsoft.com/office/drawing/2014/main" id="{E4AC79AA-FC59-4802-BF82-3152ADDDC9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61" name="x_Picture 1" descr="Description: cid:image001.png@01D03949.49457930">
          <a:extLst>
            <a:ext uri="{FF2B5EF4-FFF2-40B4-BE49-F238E27FC236}">
              <a16:creationId xmlns:a16="http://schemas.microsoft.com/office/drawing/2014/main" id="{C155794D-4F52-48B1-A3FF-98EEB78D1E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62" name="x_Picture 1" descr="Description: cid:image001.png@01D03949.49457930">
          <a:extLst>
            <a:ext uri="{FF2B5EF4-FFF2-40B4-BE49-F238E27FC236}">
              <a16:creationId xmlns:a16="http://schemas.microsoft.com/office/drawing/2014/main" id="{7B5E0EC6-015E-413D-87D0-E5A7E49FC79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63" name="x_Picture 1" descr="Description: cid:image001.png@01D03949.49457930">
          <a:extLst>
            <a:ext uri="{FF2B5EF4-FFF2-40B4-BE49-F238E27FC236}">
              <a16:creationId xmlns:a16="http://schemas.microsoft.com/office/drawing/2014/main" id="{6FCE5C4F-58CB-49F1-9186-352E89D016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64" name="x_Picture 1" descr="Description: cid:image001.png@01D03949.49457930">
          <a:extLst>
            <a:ext uri="{FF2B5EF4-FFF2-40B4-BE49-F238E27FC236}">
              <a16:creationId xmlns:a16="http://schemas.microsoft.com/office/drawing/2014/main" id="{640CCCF2-C5F7-422A-8B74-68F07ED079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65" name="x_Picture 1" descr="Description: cid:image001.png@01D03949.49457930">
          <a:extLst>
            <a:ext uri="{FF2B5EF4-FFF2-40B4-BE49-F238E27FC236}">
              <a16:creationId xmlns:a16="http://schemas.microsoft.com/office/drawing/2014/main" id="{64FDFD7A-7A04-4CD8-8D68-2CE5272CCA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66" name="x_Picture 1" descr="Description: cid:image001.png@01D03949.49457930">
          <a:extLst>
            <a:ext uri="{FF2B5EF4-FFF2-40B4-BE49-F238E27FC236}">
              <a16:creationId xmlns:a16="http://schemas.microsoft.com/office/drawing/2014/main" id="{D0DC535F-DE69-4C40-82D8-4CDA72CF05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67" name="x_Picture 1" descr="Description: cid:image001.png@01D03949.49457930">
          <a:extLst>
            <a:ext uri="{FF2B5EF4-FFF2-40B4-BE49-F238E27FC236}">
              <a16:creationId xmlns:a16="http://schemas.microsoft.com/office/drawing/2014/main" id="{E94F1B6C-ED13-4380-B469-B49EB8CD0526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68" name="x_Picture 1" descr="Description: cid:image001.png@01D03949.49457930">
          <a:extLst>
            <a:ext uri="{FF2B5EF4-FFF2-40B4-BE49-F238E27FC236}">
              <a16:creationId xmlns:a16="http://schemas.microsoft.com/office/drawing/2014/main" id="{257363F6-9297-4A07-A204-EF64E7434EB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69" name="x_Picture 1" descr="Description: cid:image001.png@01D03949.49457930">
          <a:extLst>
            <a:ext uri="{FF2B5EF4-FFF2-40B4-BE49-F238E27FC236}">
              <a16:creationId xmlns:a16="http://schemas.microsoft.com/office/drawing/2014/main" id="{5BE3A3C1-53D2-456F-8843-A645314DFB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70" name="x_Picture 1" descr="Description: cid:image001.png@01D03949.49457930">
          <a:extLst>
            <a:ext uri="{FF2B5EF4-FFF2-40B4-BE49-F238E27FC236}">
              <a16:creationId xmlns:a16="http://schemas.microsoft.com/office/drawing/2014/main" id="{85857287-D37B-4F1A-80E4-BCEA81AEF3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71" name="x_Picture 1" descr="Description: cid:image001.png@01D03949.49457930">
          <a:extLst>
            <a:ext uri="{FF2B5EF4-FFF2-40B4-BE49-F238E27FC236}">
              <a16:creationId xmlns:a16="http://schemas.microsoft.com/office/drawing/2014/main" id="{544EB020-5B19-46F0-BFA0-4C4C4DFCA9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72" name="x_Picture 1" descr="Description: cid:image001.png@01D03949.49457930">
          <a:extLst>
            <a:ext uri="{FF2B5EF4-FFF2-40B4-BE49-F238E27FC236}">
              <a16:creationId xmlns:a16="http://schemas.microsoft.com/office/drawing/2014/main" id="{67C3F129-E73A-4A19-825E-24FBA648C4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73" name="x_Picture 1" descr="Description: cid:image001.png@01D03949.49457930">
          <a:extLst>
            <a:ext uri="{FF2B5EF4-FFF2-40B4-BE49-F238E27FC236}">
              <a16:creationId xmlns:a16="http://schemas.microsoft.com/office/drawing/2014/main" id="{151A06EC-3BF2-4AD6-A84D-F1D3FAB77F8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74" name="x_Picture 1" descr="Description: cid:image001.png@01D03949.49457930">
          <a:extLst>
            <a:ext uri="{FF2B5EF4-FFF2-40B4-BE49-F238E27FC236}">
              <a16:creationId xmlns:a16="http://schemas.microsoft.com/office/drawing/2014/main" id="{D3F7DABA-82A6-4B4B-9226-54A98CC3DD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75" name="x_Picture 1" descr="Description: cid:image001.png@01D03949.49457930">
          <a:extLst>
            <a:ext uri="{FF2B5EF4-FFF2-40B4-BE49-F238E27FC236}">
              <a16:creationId xmlns:a16="http://schemas.microsoft.com/office/drawing/2014/main" id="{334336A5-D9F5-456E-80A8-C4D5862DB63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76" name="x_Picture 1" descr="Description: cid:image001.png@01D03949.49457930">
          <a:extLst>
            <a:ext uri="{FF2B5EF4-FFF2-40B4-BE49-F238E27FC236}">
              <a16:creationId xmlns:a16="http://schemas.microsoft.com/office/drawing/2014/main" id="{4CF951F7-9465-41AD-9265-6E84D35878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77" name="x_Picture 1" descr="Description: cid:image001.png@01D03949.49457930">
          <a:extLst>
            <a:ext uri="{FF2B5EF4-FFF2-40B4-BE49-F238E27FC236}">
              <a16:creationId xmlns:a16="http://schemas.microsoft.com/office/drawing/2014/main" id="{2C65633F-64B0-446B-8AEB-AC48D5DE6D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78" name="x_Picture 1" descr="Description: cid:image001.png@01D03949.49457930">
          <a:extLst>
            <a:ext uri="{FF2B5EF4-FFF2-40B4-BE49-F238E27FC236}">
              <a16:creationId xmlns:a16="http://schemas.microsoft.com/office/drawing/2014/main" id="{AAB68D2F-36C0-484B-9A6E-E0B29F99D4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79" name="x_Picture 1" descr="Description: cid:image001.png@01D03949.49457930">
          <a:extLst>
            <a:ext uri="{FF2B5EF4-FFF2-40B4-BE49-F238E27FC236}">
              <a16:creationId xmlns:a16="http://schemas.microsoft.com/office/drawing/2014/main" id="{08766442-077D-4607-9784-A6E8239E26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80" name="x_Picture 1" descr="Description: cid:image001.png@01D03949.49457930">
          <a:extLst>
            <a:ext uri="{FF2B5EF4-FFF2-40B4-BE49-F238E27FC236}">
              <a16:creationId xmlns:a16="http://schemas.microsoft.com/office/drawing/2014/main" id="{8BE50FB2-E592-49D7-8F0B-3B81EA92C1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81" name="x_Picture 1" descr="Description: cid:image001.png@01D03949.49457930">
          <a:extLst>
            <a:ext uri="{FF2B5EF4-FFF2-40B4-BE49-F238E27FC236}">
              <a16:creationId xmlns:a16="http://schemas.microsoft.com/office/drawing/2014/main" id="{1E7C3DCF-A06E-48A6-B8DD-1FC0E6E571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82" name="x_Picture 1" descr="Description: cid:image001.png@01D03949.49457930">
          <a:extLst>
            <a:ext uri="{FF2B5EF4-FFF2-40B4-BE49-F238E27FC236}">
              <a16:creationId xmlns:a16="http://schemas.microsoft.com/office/drawing/2014/main" id="{25D50D84-454A-4CFE-BBEE-BB4C246208F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83" name="x_Picture 1" descr="Description: cid:image001.png@01D03949.49457930">
          <a:extLst>
            <a:ext uri="{FF2B5EF4-FFF2-40B4-BE49-F238E27FC236}">
              <a16:creationId xmlns:a16="http://schemas.microsoft.com/office/drawing/2014/main" id="{4C5A783A-90D1-4ED4-9FEA-B8C66EACDA2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84" name="x_Picture 1" descr="Description: cid:image001.png@01D03949.49457930">
          <a:extLst>
            <a:ext uri="{FF2B5EF4-FFF2-40B4-BE49-F238E27FC236}">
              <a16:creationId xmlns:a16="http://schemas.microsoft.com/office/drawing/2014/main" id="{04E5098B-DAB3-4C38-8EED-A9D3D32799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85" name="x_Picture 1" descr="Description: cid:image001.png@01D03949.49457930">
          <a:extLst>
            <a:ext uri="{FF2B5EF4-FFF2-40B4-BE49-F238E27FC236}">
              <a16:creationId xmlns:a16="http://schemas.microsoft.com/office/drawing/2014/main" id="{EADDE2DF-95AB-4A72-8767-2CB1B2D2B2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86" name="x_Picture 1" descr="Description: cid:image001.png@01D03949.49457930">
          <a:extLst>
            <a:ext uri="{FF2B5EF4-FFF2-40B4-BE49-F238E27FC236}">
              <a16:creationId xmlns:a16="http://schemas.microsoft.com/office/drawing/2014/main" id="{320286EE-D0B6-4B42-A486-59CEB2849B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87" name="x_Picture 1" descr="Description: cid:image001.png@01D03949.49457930">
          <a:extLst>
            <a:ext uri="{FF2B5EF4-FFF2-40B4-BE49-F238E27FC236}">
              <a16:creationId xmlns:a16="http://schemas.microsoft.com/office/drawing/2014/main" id="{57C62667-46E1-46DE-AB73-8ACD02E6401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88" name="x_Picture 1" descr="Description: cid:image001.png@01D03949.49457930">
          <a:extLst>
            <a:ext uri="{FF2B5EF4-FFF2-40B4-BE49-F238E27FC236}">
              <a16:creationId xmlns:a16="http://schemas.microsoft.com/office/drawing/2014/main" id="{4810036E-C0B5-453C-BD34-471A6C6048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89" name="x_Picture 1" descr="Description: cid:image001.png@01D03949.49457930">
          <a:extLst>
            <a:ext uri="{FF2B5EF4-FFF2-40B4-BE49-F238E27FC236}">
              <a16:creationId xmlns:a16="http://schemas.microsoft.com/office/drawing/2014/main" id="{46A7BD15-3D5A-4D6B-BAB7-488C1B2826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90" name="x_Picture 1" descr="Description: cid:image001.png@01D03949.49457930">
          <a:extLst>
            <a:ext uri="{FF2B5EF4-FFF2-40B4-BE49-F238E27FC236}">
              <a16:creationId xmlns:a16="http://schemas.microsoft.com/office/drawing/2014/main" id="{4C3B167F-B124-43F2-9AE7-A43BB2B4EE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91" name="x_Picture 1" descr="Description: cid:image001.png@01D03949.49457930">
          <a:extLst>
            <a:ext uri="{FF2B5EF4-FFF2-40B4-BE49-F238E27FC236}">
              <a16:creationId xmlns:a16="http://schemas.microsoft.com/office/drawing/2014/main" id="{241F5018-4A4D-4A20-9D02-2CABDA570C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92" name="x_Picture 1" descr="Description: cid:image001.png@01D03949.49457930">
          <a:extLst>
            <a:ext uri="{FF2B5EF4-FFF2-40B4-BE49-F238E27FC236}">
              <a16:creationId xmlns:a16="http://schemas.microsoft.com/office/drawing/2014/main" id="{F8596D9D-0974-400F-8B32-0D57CE686A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93" name="x_Picture 1" descr="Description: cid:image001.png@01D03949.49457930">
          <a:extLst>
            <a:ext uri="{FF2B5EF4-FFF2-40B4-BE49-F238E27FC236}">
              <a16:creationId xmlns:a16="http://schemas.microsoft.com/office/drawing/2014/main" id="{313C6423-D874-46E7-9781-D31256AB9C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094" name="x_Picture 1" descr="Description: cid:image001.png@01D03949.49457930">
          <a:extLst>
            <a:ext uri="{FF2B5EF4-FFF2-40B4-BE49-F238E27FC236}">
              <a16:creationId xmlns:a16="http://schemas.microsoft.com/office/drawing/2014/main" id="{FC51E85B-E94F-4553-B33F-D1D06CCCFD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95" name="x_Picture 1" descr="Description: cid:image001.png@01D03949.49457930">
          <a:extLst>
            <a:ext uri="{FF2B5EF4-FFF2-40B4-BE49-F238E27FC236}">
              <a16:creationId xmlns:a16="http://schemas.microsoft.com/office/drawing/2014/main" id="{AAB355FC-717A-4096-AB6A-64E12D80FB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96" name="x_Picture 1" descr="Description: cid:image001.png@01D03949.49457930">
          <a:extLst>
            <a:ext uri="{FF2B5EF4-FFF2-40B4-BE49-F238E27FC236}">
              <a16:creationId xmlns:a16="http://schemas.microsoft.com/office/drawing/2014/main" id="{1D5BF88A-61E9-43B5-94AA-6734645B54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97" name="x_Picture 1" descr="Description: cid:image001.png@01D03949.49457930">
          <a:extLst>
            <a:ext uri="{FF2B5EF4-FFF2-40B4-BE49-F238E27FC236}">
              <a16:creationId xmlns:a16="http://schemas.microsoft.com/office/drawing/2014/main" id="{738011C4-676E-433F-B891-B0CE0491A97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98" name="x_Picture 1" descr="Description: cid:image001.png@01D03949.49457930">
          <a:extLst>
            <a:ext uri="{FF2B5EF4-FFF2-40B4-BE49-F238E27FC236}">
              <a16:creationId xmlns:a16="http://schemas.microsoft.com/office/drawing/2014/main" id="{092BE241-9B23-4D78-A2C0-16CE430777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099" name="x_Picture 1" descr="Description: cid:image001.png@01D03949.49457930">
          <a:extLst>
            <a:ext uri="{FF2B5EF4-FFF2-40B4-BE49-F238E27FC236}">
              <a16:creationId xmlns:a16="http://schemas.microsoft.com/office/drawing/2014/main" id="{93CA3A1E-F22D-4642-B73A-3511978951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00" name="x_Picture 1" descr="Description: cid:image001.png@01D03949.49457930">
          <a:extLst>
            <a:ext uri="{FF2B5EF4-FFF2-40B4-BE49-F238E27FC236}">
              <a16:creationId xmlns:a16="http://schemas.microsoft.com/office/drawing/2014/main" id="{48500DF5-AE61-4450-A715-DCD70D28BC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01" name="x_Picture 1" descr="Description: cid:image001.png@01D03949.49457930">
          <a:extLst>
            <a:ext uri="{FF2B5EF4-FFF2-40B4-BE49-F238E27FC236}">
              <a16:creationId xmlns:a16="http://schemas.microsoft.com/office/drawing/2014/main" id="{2CA5FA32-7CEB-4F2F-B59D-136EE56763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02" name="x_Picture 1" descr="Description: cid:image001.png@01D03949.49457930">
          <a:extLst>
            <a:ext uri="{FF2B5EF4-FFF2-40B4-BE49-F238E27FC236}">
              <a16:creationId xmlns:a16="http://schemas.microsoft.com/office/drawing/2014/main" id="{68AB1036-4838-4EFC-9881-FE905EBD6C9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03" name="x_Picture 1" descr="Description: cid:image001.png@01D03949.49457930">
          <a:extLst>
            <a:ext uri="{FF2B5EF4-FFF2-40B4-BE49-F238E27FC236}">
              <a16:creationId xmlns:a16="http://schemas.microsoft.com/office/drawing/2014/main" id="{0553D452-2BC3-4118-BC2F-B094C21207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04" name="x_Picture 1" descr="Description: cid:image001.png@01D03949.49457930">
          <a:extLst>
            <a:ext uri="{FF2B5EF4-FFF2-40B4-BE49-F238E27FC236}">
              <a16:creationId xmlns:a16="http://schemas.microsoft.com/office/drawing/2014/main" id="{2BA5E736-A3E2-469B-B3E3-01D754A15A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05" name="x_Picture 1" descr="Description: cid:image001.png@01D03949.49457930">
          <a:extLst>
            <a:ext uri="{FF2B5EF4-FFF2-40B4-BE49-F238E27FC236}">
              <a16:creationId xmlns:a16="http://schemas.microsoft.com/office/drawing/2014/main" id="{0729446B-39CF-4606-8F58-867C5D653AE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06" name="x_Picture 1" descr="Description: cid:image001.png@01D03949.49457930">
          <a:extLst>
            <a:ext uri="{FF2B5EF4-FFF2-40B4-BE49-F238E27FC236}">
              <a16:creationId xmlns:a16="http://schemas.microsoft.com/office/drawing/2014/main" id="{0F3F8324-4718-4D7D-800C-78EC086EBA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07" name="x_Picture 1" descr="Description: cid:image001.png@01D03949.49457930">
          <a:extLst>
            <a:ext uri="{FF2B5EF4-FFF2-40B4-BE49-F238E27FC236}">
              <a16:creationId xmlns:a16="http://schemas.microsoft.com/office/drawing/2014/main" id="{F0C528B8-EC75-455F-BA70-DA63112749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08" name="x_Picture 1" descr="Description: cid:image001.png@01D03949.49457930">
          <a:extLst>
            <a:ext uri="{FF2B5EF4-FFF2-40B4-BE49-F238E27FC236}">
              <a16:creationId xmlns:a16="http://schemas.microsoft.com/office/drawing/2014/main" id="{0E6CBE26-02EF-4D6F-9348-4747793C6DF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09" name="x_Picture 1" descr="Description: cid:image001.png@01D03949.49457930">
          <a:extLst>
            <a:ext uri="{FF2B5EF4-FFF2-40B4-BE49-F238E27FC236}">
              <a16:creationId xmlns:a16="http://schemas.microsoft.com/office/drawing/2014/main" id="{0D667F87-ACAA-4F53-BCAB-271EE2D65A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10" name="x_Picture 1" descr="Description: cid:image001.png@01D03949.49457930">
          <a:extLst>
            <a:ext uri="{FF2B5EF4-FFF2-40B4-BE49-F238E27FC236}">
              <a16:creationId xmlns:a16="http://schemas.microsoft.com/office/drawing/2014/main" id="{42AB2751-73AD-4CE1-8963-B8ECE44C69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11" name="x_Picture 1" descr="Description: cid:image001.png@01D03949.49457930">
          <a:extLst>
            <a:ext uri="{FF2B5EF4-FFF2-40B4-BE49-F238E27FC236}">
              <a16:creationId xmlns:a16="http://schemas.microsoft.com/office/drawing/2014/main" id="{ADABB507-4F57-4BA8-A8BE-D101FBA4E3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12" name="x_Picture 1" descr="Description: cid:image001.png@01D03949.49457930">
          <a:extLst>
            <a:ext uri="{FF2B5EF4-FFF2-40B4-BE49-F238E27FC236}">
              <a16:creationId xmlns:a16="http://schemas.microsoft.com/office/drawing/2014/main" id="{C6BB8519-7DAE-4438-859C-47EC31B733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13" name="x_Picture 1" descr="Description: cid:image001.png@01D03949.49457930">
          <a:extLst>
            <a:ext uri="{FF2B5EF4-FFF2-40B4-BE49-F238E27FC236}">
              <a16:creationId xmlns:a16="http://schemas.microsoft.com/office/drawing/2014/main" id="{20507EF9-36E7-41DD-9E8C-F308C9E422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14" name="x_Picture 1" descr="Description: cid:image001.png@01D03949.49457930">
          <a:extLst>
            <a:ext uri="{FF2B5EF4-FFF2-40B4-BE49-F238E27FC236}">
              <a16:creationId xmlns:a16="http://schemas.microsoft.com/office/drawing/2014/main" id="{88D8DC07-13EC-42FC-82B7-58928F6A2F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15" name="x_Picture 1" descr="Description: cid:image001.png@01D03949.49457930">
          <a:extLst>
            <a:ext uri="{FF2B5EF4-FFF2-40B4-BE49-F238E27FC236}">
              <a16:creationId xmlns:a16="http://schemas.microsoft.com/office/drawing/2014/main" id="{84355888-B950-4E30-848E-08855AB375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16" name="x_Picture 1" descr="Description: cid:image001.png@01D03949.49457930">
          <a:extLst>
            <a:ext uri="{FF2B5EF4-FFF2-40B4-BE49-F238E27FC236}">
              <a16:creationId xmlns:a16="http://schemas.microsoft.com/office/drawing/2014/main" id="{FA68E0F8-6AB1-4914-B660-2F5848A1C5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17" name="x_Picture 1" descr="Description: cid:image001.png@01D03949.49457930">
          <a:extLst>
            <a:ext uri="{FF2B5EF4-FFF2-40B4-BE49-F238E27FC236}">
              <a16:creationId xmlns:a16="http://schemas.microsoft.com/office/drawing/2014/main" id="{D521537F-2860-4050-9F5B-591FDB0CA8C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18" name="x_Picture 1" descr="Description: cid:image001.png@01D03949.49457930">
          <a:extLst>
            <a:ext uri="{FF2B5EF4-FFF2-40B4-BE49-F238E27FC236}">
              <a16:creationId xmlns:a16="http://schemas.microsoft.com/office/drawing/2014/main" id="{CBAE6214-26E8-43E8-9C78-7856566C09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19" name="x_Picture 1" descr="Description: cid:image001.png@01D03949.49457930">
          <a:extLst>
            <a:ext uri="{FF2B5EF4-FFF2-40B4-BE49-F238E27FC236}">
              <a16:creationId xmlns:a16="http://schemas.microsoft.com/office/drawing/2014/main" id="{CAED01DC-6B59-41B1-B219-DFE9D761A37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20" name="x_Picture 1" descr="Description: cid:image001.png@01D03949.49457930">
          <a:extLst>
            <a:ext uri="{FF2B5EF4-FFF2-40B4-BE49-F238E27FC236}">
              <a16:creationId xmlns:a16="http://schemas.microsoft.com/office/drawing/2014/main" id="{D1964DCE-265F-4FA9-91C3-569848E3D9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21" name="x_Picture 1" descr="Description: cid:image001.png@01D03949.49457930">
          <a:extLst>
            <a:ext uri="{FF2B5EF4-FFF2-40B4-BE49-F238E27FC236}">
              <a16:creationId xmlns:a16="http://schemas.microsoft.com/office/drawing/2014/main" id="{7A6896AA-0D6D-4E30-927A-1F1D307F116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22" name="x_Picture 1" descr="Description: cid:image001.png@01D03949.49457930">
          <a:extLst>
            <a:ext uri="{FF2B5EF4-FFF2-40B4-BE49-F238E27FC236}">
              <a16:creationId xmlns:a16="http://schemas.microsoft.com/office/drawing/2014/main" id="{2723217B-A15B-4A88-8A08-56FCD588DD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23" name="x_Picture 1" descr="Description: cid:image001.png@01D03949.49457930">
          <a:extLst>
            <a:ext uri="{FF2B5EF4-FFF2-40B4-BE49-F238E27FC236}">
              <a16:creationId xmlns:a16="http://schemas.microsoft.com/office/drawing/2014/main" id="{50F2C5DF-875E-4BEC-9B60-D06AAAECC97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24" name="x_Picture 1" descr="Description: cid:image001.png@01D03949.49457930">
          <a:extLst>
            <a:ext uri="{FF2B5EF4-FFF2-40B4-BE49-F238E27FC236}">
              <a16:creationId xmlns:a16="http://schemas.microsoft.com/office/drawing/2014/main" id="{5871CC78-CD8A-4AA8-B68F-03275C0315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25" name="x_Picture 1" descr="Description: cid:image001.png@01D03949.49457930">
          <a:extLst>
            <a:ext uri="{FF2B5EF4-FFF2-40B4-BE49-F238E27FC236}">
              <a16:creationId xmlns:a16="http://schemas.microsoft.com/office/drawing/2014/main" id="{20796E74-216B-40BC-81DB-A80BAB2567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26" name="x_Picture 1" descr="Description: cid:image001.png@01D03949.49457930">
          <a:extLst>
            <a:ext uri="{FF2B5EF4-FFF2-40B4-BE49-F238E27FC236}">
              <a16:creationId xmlns:a16="http://schemas.microsoft.com/office/drawing/2014/main" id="{3225175A-788F-4070-91D5-985395D12DC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27" name="x_Picture 1" descr="Description: cid:image001.png@01D03949.49457930">
          <a:extLst>
            <a:ext uri="{FF2B5EF4-FFF2-40B4-BE49-F238E27FC236}">
              <a16:creationId xmlns:a16="http://schemas.microsoft.com/office/drawing/2014/main" id="{B179E9C0-4A2F-4375-AB56-7D4C8903E4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28" name="x_Picture 1" descr="Description: cid:image001.png@01D03949.49457930">
          <a:extLst>
            <a:ext uri="{FF2B5EF4-FFF2-40B4-BE49-F238E27FC236}">
              <a16:creationId xmlns:a16="http://schemas.microsoft.com/office/drawing/2014/main" id="{06103802-9151-404E-ABE5-DC1C19F0D2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29" name="x_Picture 1" descr="Description: cid:image001.png@01D03949.49457930">
          <a:extLst>
            <a:ext uri="{FF2B5EF4-FFF2-40B4-BE49-F238E27FC236}">
              <a16:creationId xmlns:a16="http://schemas.microsoft.com/office/drawing/2014/main" id="{03D5B0B2-6E7B-46A7-A165-78D02B19DF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30" name="x_Picture 1" descr="Description: cid:image001.png@01D03949.49457930">
          <a:extLst>
            <a:ext uri="{FF2B5EF4-FFF2-40B4-BE49-F238E27FC236}">
              <a16:creationId xmlns:a16="http://schemas.microsoft.com/office/drawing/2014/main" id="{ECDF39B4-9108-41B2-9C68-68D309699E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31" name="x_Picture 1" descr="Description: cid:image001.png@01D03949.49457930">
          <a:extLst>
            <a:ext uri="{FF2B5EF4-FFF2-40B4-BE49-F238E27FC236}">
              <a16:creationId xmlns:a16="http://schemas.microsoft.com/office/drawing/2014/main" id="{B6EBDE0A-8856-4DD5-8FBB-77A590CC7E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32" name="x_Picture 1" descr="Description: cid:image001.png@01D03949.49457930">
          <a:extLst>
            <a:ext uri="{FF2B5EF4-FFF2-40B4-BE49-F238E27FC236}">
              <a16:creationId xmlns:a16="http://schemas.microsoft.com/office/drawing/2014/main" id="{120D69B1-E7BA-490E-B2A8-8412B5F9A9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33" name="x_Picture 1" descr="Description: cid:image001.png@01D03949.49457930">
          <a:extLst>
            <a:ext uri="{FF2B5EF4-FFF2-40B4-BE49-F238E27FC236}">
              <a16:creationId xmlns:a16="http://schemas.microsoft.com/office/drawing/2014/main" id="{5F0CD402-565A-4F9E-A4C9-05AD9ABDA2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34" name="x_Picture 1" descr="Description: cid:image001.png@01D03949.49457930">
          <a:extLst>
            <a:ext uri="{FF2B5EF4-FFF2-40B4-BE49-F238E27FC236}">
              <a16:creationId xmlns:a16="http://schemas.microsoft.com/office/drawing/2014/main" id="{1AC89666-3E39-4751-8D9E-8C7BFB7179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35" name="x_Picture 1" descr="Description: cid:image001.png@01D03949.49457930">
          <a:extLst>
            <a:ext uri="{FF2B5EF4-FFF2-40B4-BE49-F238E27FC236}">
              <a16:creationId xmlns:a16="http://schemas.microsoft.com/office/drawing/2014/main" id="{56C1E3AB-17B7-468C-A926-4E2A160155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36" name="x_Picture 1" descr="Description: cid:image001.png@01D03949.49457930">
          <a:extLst>
            <a:ext uri="{FF2B5EF4-FFF2-40B4-BE49-F238E27FC236}">
              <a16:creationId xmlns:a16="http://schemas.microsoft.com/office/drawing/2014/main" id="{D488B3C1-7681-49E5-82B4-EB3467839D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37" name="x_Picture 1" descr="Description: cid:image001.png@01D03949.49457930">
          <a:extLst>
            <a:ext uri="{FF2B5EF4-FFF2-40B4-BE49-F238E27FC236}">
              <a16:creationId xmlns:a16="http://schemas.microsoft.com/office/drawing/2014/main" id="{9F5732DB-6414-43D5-962E-3DA54CF63E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38" name="x_Picture 1" descr="Description: cid:image001.png@01D03949.49457930">
          <a:extLst>
            <a:ext uri="{FF2B5EF4-FFF2-40B4-BE49-F238E27FC236}">
              <a16:creationId xmlns:a16="http://schemas.microsoft.com/office/drawing/2014/main" id="{0DF7115E-14B9-4B34-A10B-AE99DF9829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39" name="x_Picture 1" descr="Description: cid:image001.png@01D03949.49457930">
          <a:extLst>
            <a:ext uri="{FF2B5EF4-FFF2-40B4-BE49-F238E27FC236}">
              <a16:creationId xmlns:a16="http://schemas.microsoft.com/office/drawing/2014/main" id="{F08B48AC-2D47-42B8-88FF-D6B8DC9C78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0" name="x_Picture 1" descr="Description: cid:image001.png@01D03949.49457930">
          <a:extLst>
            <a:ext uri="{FF2B5EF4-FFF2-40B4-BE49-F238E27FC236}">
              <a16:creationId xmlns:a16="http://schemas.microsoft.com/office/drawing/2014/main" id="{4AE0A44A-5320-44E0-B83C-480984D763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1" name="x_Picture 1" descr="Description: cid:image001.png@01D03949.49457930">
          <a:extLst>
            <a:ext uri="{FF2B5EF4-FFF2-40B4-BE49-F238E27FC236}">
              <a16:creationId xmlns:a16="http://schemas.microsoft.com/office/drawing/2014/main" id="{7497FE6E-12B6-41DD-8AA0-CCABEF5503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2" name="x_Picture 1" descr="Description: cid:image001.png@01D03949.49457930">
          <a:extLst>
            <a:ext uri="{FF2B5EF4-FFF2-40B4-BE49-F238E27FC236}">
              <a16:creationId xmlns:a16="http://schemas.microsoft.com/office/drawing/2014/main" id="{936552B0-2E65-4E50-B1B8-55749C55E9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3" name="x_Picture 1" descr="Description: cid:image001.png@01D03949.49457930">
          <a:extLst>
            <a:ext uri="{FF2B5EF4-FFF2-40B4-BE49-F238E27FC236}">
              <a16:creationId xmlns:a16="http://schemas.microsoft.com/office/drawing/2014/main" id="{D04DE0BA-7E31-42C0-852D-2DF15E4F72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4" name="x_Picture 1" descr="Description: cid:image001.png@01D03949.49457930">
          <a:extLst>
            <a:ext uri="{FF2B5EF4-FFF2-40B4-BE49-F238E27FC236}">
              <a16:creationId xmlns:a16="http://schemas.microsoft.com/office/drawing/2014/main" id="{C99325F7-5312-4161-A5C6-22AC255342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5" name="x_Picture 1" descr="Description: cid:image001.png@01D03949.49457930">
          <a:extLst>
            <a:ext uri="{FF2B5EF4-FFF2-40B4-BE49-F238E27FC236}">
              <a16:creationId xmlns:a16="http://schemas.microsoft.com/office/drawing/2014/main" id="{06447070-4334-434B-9708-D66BB52B45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6" name="x_Picture 1" descr="Description: cid:image001.png@01D03949.49457930">
          <a:extLst>
            <a:ext uri="{FF2B5EF4-FFF2-40B4-BE49-F238E27FC236}">
              <a16:creationId xmlns:a16="http://schemas.microsoft.com/office/drawing/2014/main" id="{0E6DE3C7-D899-4D39-B4D0-8B8DEE785D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7" name="x_Picture 1" descr="Description: cid:image001.png@01D03949.49457930">
          <a:extLst>
            <a:ext uri="{FF2B5EF4-FFF2-40B4-BE49-F238E27FC236}">
              <a16:creationId xmlns:a16="http://schemas.microsoft.com/office/drawing/2014/main" id="{240B6BD6-9657-46E9-B1B5-E4059E88B0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8" name="x_Picture 1" descr="Description: cid:image001.png@01D03949.49457930">
          <a:extLst>
            <a:ext uri="{FF2B5EF4-FFF2-40B4-BE49-F238E27FC236}">
              <a16:creationId xmlns:a16="http://schemas.microsoft.com/office/drawing/2014/main" id="{BABDAC43-BADF-49CC-8483-1C7B14CDD7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49" name="x_Picture 1" descr="Description: cid:image001.png@01D03949.49457930">
          <a:extLst>
            <a:ext uri="{FF2B5EF4-FFF2-40B4-BE49-F238E27FC236}">
              <a16:creationId xmlns:a16="http://schemas.microsoft.com/office/drawing/2014/main" id="{B2343537-C0D4-4542-AF50-AFD17B693B4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50" name="x_Picture 1" descr="Description: cid:image001.png@01D03949.49457930">
          <a:extLst>
            <a:ext uri="{FF2B5EF4-FFF2-40B4-BE49-F238E27FC236}">
              <a16:creationId xmlns:a16="http://schemas.microsoft.com/office/drawing/2014/main" id="{2CFA80A0-AD54-469E-AA88-37083C1BD7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51" name="x_Picture 1" descr="Description: cid:image001.png@01D03949.49457930">
          <a:extLst>
            <a:ext uri="{FF2B5EF4-FFF2-40B4-BE49-F238E27FC236}">
              <a16:creationId xmlns:a16="http://schemas.microsoft.com/office/drawing/2014/main" id="{6AAE37C3-C71E-4B00-B28A-648EDD0418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52" name="x_Picture 1" descr="Description: cid:image001.png@01D03949.49457930">
          <a:extLst>
            <a:ext uri="{FF2B5EF4-FFF2-40B4-BE49-F238E27FC236}">
              <a16:creationId xmlns:a16="http://schemas.microsoft.com/office/drawing/2014/main" id="{C19F0456-73BE-404C-9D17-E302F2082E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53" name="x_Picture 1" descr="Description: cid:image001.png@01D03949.49457930">
          <a:extLst>
            <a:ext uri="{FF2B5EF4-FFF2-40B4-BE49-F238E27FC236}">
              <a16:creationId xmlns:a16="http://schemas.microsoft.com/office/drawing/2014/main" id="{B57E3B7A-5768-4779-8BC4-C7E7C15486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54" name="x_Picture 1" descr="Description: cid:image001.png@01D03949.49457930">
          <a:extLst>
            <a:ext uri="{FF2B5EF4-FFF2-40B4-BE49-F238E27FC236}">
              <a16:creationId xmlns:a16="http://schemas.microsoft.com/office/drawing/2014/main" id="{4F6301E5-BF3B-4A7E-925E-F1AB636A7D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55" name="x_Picture 1" descr="Description: cid:image001.png@01D03949.49457930">
          <a:extLst>
            <a:ext uri="{FF2B5EF4-FFF2-40B4-BE49-F238E27FC236}">
              <a16:creationId xmlns:a16="http://schemas.microsoft.com/office/drawing/2014/main" id="{82C9BD83-9B6D-4A76-BC57-9D702C54F618}"/>
            </a:ext>
          </a:extLst>
        </xdr:cNvPr>
        <xdr:cNvSpPr>
          <a:spLocks noChangeAspect="1" noChangeArrowheads="1"/>
        </xdr:cNvSpPr>
      </xdr:nvSpPr>
      <xdr:spPr bwMode="auto">
        <a:xfrm>
          <a:off x="7426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56" name="x_Picture 1" descr="Description: cid:image001.png@01D03949.49457930">
          <a:extLst>
            <a:ext uri="{FF2B5EF4-FFF2-40B4-BE49-F238E27FC236}">
              <a16:creationId xmlns:a16="http://schemas.microsoft.com/office/drawing/2014/main" id="{7E42A536-C44D-4A34-A3D2-A4965E33A9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57" name="x_Picture 1" descr="Description: cid:image001.png@01D03949.49457930">
          <a:extLst>
            <a:ext uri="{FF2B5EF4-FFF2-40B4-BE49-F238E27FC236}">
              <a16:creationId xmlns:a16="http://schemas.microsoft.com/office/drawing/2014/main" id="{D290DD13-F5B7-48A0-B562-370FC094E0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58" name="x_Picture 1" descr="Description: cid:image001.png@01D03949.49457930">
          <a:extLst>
            <a:ext uri="{FF2B5EF4-FFF2-40B4-BE49-F238E27FC236}">
              <a16:creationId xmlns:a16="http://schemas.microsoft.com/office/drawing/2014/main" id="{C3F5C407-96AC-4DAD-8289-BC15525072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59" name="x_Picture 1" descr="Description: cid:image001.png@01D03949.49457930">
          <a:extLst>
            <a:ext uri="{FF2B5EF4-FFF2-40B4-BE49-F238E27FC236}">
              <a16:creationId xmlns:a16="http://schemas.microsoft.com/office/drawing/2014/main" id="{0A83FE4A-3A64-48BB-918F-9BAC0A9F4F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60" name="x_Picture 1" descr="Description: cid:image001.png@01D03949.49457930">
          <a:extLst>
            <a:ext uri="{FF2B5EF4-FFF2-40B4-BE49-F238E27FC236}">
              <a16:creationId xmlns:a16="http://schemas.microsoft.com/office/drawing/2014/main" id="{3D334175-2106-4C71-897A-5354A70811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61" name="x_Picture 1" descr="Description: cid:image001.png@01D03949.49457930">
          <a:extLst>
            <a:ext uri="{FF2B5EF4-FFF2-40B4-BE49-F238E27FC236}">
              <a16:creationId xmlns:a16="http://schemas.microsoft.com/office/drawing/2014/main" id="{7BF50F1E-E987-4B10-8D70-EB576AA966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62" name="x_Picture 1" descr="Description: cid:image001.png@01D03949.49457930">
          <a:extLst>
            <a:ext uri="{FF2B5EF4-FFF2-40B4-BE49-F238E27FC236}">
              <a16:creationId xmlns:a16="http://schemas.microsoft.com/office/drawing/2014/main" id="{5C3FF665-FF3B-48DF-A463-6DE3EAE8AF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63" name="x_Picture 1" descr="Description: cid:image001.png@01D03949.49457930">
          <a:extLst>
            <a:ext uri="{FF2B5EF4-FFF2-40B4-BE49-F238E27FC236}">
              <a16:creationId xmlns:a16="http://schemas.microsoft.com/office/drawing/2014/main" id="{E784AE3A-23F6-486D-A701-2676609D0C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64" name="x_Picture 1" descr="Description: cid:image001.png@01D03949.49457930">
          <a:extLst>
            <a:ext uri="{FF2B5EF4-FFF2-40B4-BE49-F238E27FC236}">
              <a16:creationId xmlns:a16="http://schemas.microsoft.com/office/drawing/2014/main" id="{4774435C-7E34-43C6-83D1-2745A1588E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65" name="x_Picture 1" descr="Description: cid:image001.png@01D03949.49457930">
          <a:extLst>
            <a:ext uri="{FF2B5EF4-FFF2-40B4-BE49-F238E27FC236}">
              <a16:creationId xmlns:a16="http://schemas.microsoft.com/office/drawing/2014/main" id="{4F2C4F5B-D897-42E4-93C1-D1DB98FAD1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66" name="x_Picture 1" descr="Description: cid:image001.png@01D03949.49457930">
          <a:extLst>
            <a:ext uri="{FF2B5EF4-FFF2-40B4-BE49-F238E27FC236}">
              <a16:creationId xmlns:a16="http://schemas.microsoft.com/office/drawing/2014/main" id="{012F1DA0-6154-4890-A6BD-8CED98AFA6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67" name="x_Picture 1" descr="Description: cid:image001.png@01D03949.49457930">
          <a:extLst>
            <a:ext uri="{FF2B5EF4-FFF2-40B4-BE49-F238E27FC236}">
              <a16:creationId xmlns:a16="http://schemas.microsoft.com/office/drawing/2014/main" id="{A1BAC63C-FCB4-4BCF-B165-6B8F447761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68" name="x_Picture 1" descr="Description: cid:image001.png@01D03949.49457930">
          <a:extLst>
            <a:ext uri="{FF2B5EF4-FFF2-40B4-BE49-F238E27FC236}">
              <a16:creationId xmlns:a16="http://schemas.microsoft.com/office/drawing/2014/main" id="{9E6DAA6F-55A4-42DC-8373-F2F98D0857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69" name="x_Picture 1" descr="Description: cid:image001.png@01D03949.49457930">
          <a:extLst>
            <a:ext uri="{FF2B5EF4-FFF2-40B4-BE49-F238E27FC236}">
              <a16:creationId xmlns:a16="http://schemas.microsoft.com/office/drawing/2014/main" id="{BAC712C7-C775-4E18-91CF-5018D87EDC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70" name="x_Picture 1" descr="Description: cid:image001.png@01D03949.49457930">
          <a:extLst>
            <a:ext uri="{FF2B5EF4-FFF2-40B4-BE49-F238E27FC236}">
              <a16:creationId xmlns:a16="http://schemas.microsoft.com/office/drawing/2014/main" id="{91CC35F3-B58C-4328-9D11-4BCEA4EDC58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71" name="x_Picture 1" descr="Description: cid:image001.png@01D03949.49457930">
          <a:extLst>
            <a:ext uri="{FF2B5EF4-FFF2-40B4-BE49-F238E27FC236}">
              <a16:creationId xmlns:a16="http://schemas.microsoft.com/office/drawing/2014/main" id="{94FA9A19-928B-4D31-85BD-8F964C8430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72" name="x_Picture 1" descr="Description: cid:image001.png@01D03949.49457930">
          <a:extLst>
            <a:ext uri="{FF2B5EF4-FFF2-40B4-BE49-F238E27FC236}">
              <a16:creationId xmlns:a16="http://schemas.microsoft.com/office/drawing/2014/main" id="{9A2D4CBB-10C5-4AAB-8483-5D54DAB392E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173" name="x_Picture 1" descr="Description: cid:image001.png@01D03949.49457930">
          <a:extLst>
            <a:ext uri="{FF2B5EF4-FFF2-40B4-BE49-F238E27FC236}">
              <a16:creationId xmlns:a16="http://schemas.microsoft.com/office/drawing/2014/main" id="{5CE93DE7-DBEE-4751-9A68-4F982A9A14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174" name="x_Picture 1" descr="Description: cid:image001.png@01D03949.49457930">
          <a:extLst>
            <a:ext uri="{FF2B5EF4-FFF2-40B4-BE49-F238E27FC236}">
              <a16:creationId xmlns:a16="http://schemas.microsoft.com/office/drawing/2014/main" id="{45BACD77-5908-48C4-B1B9-C5001A424D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1841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75" name="x_Picture 1" descr="Description: cid:image001.png@01D03949.49457930">
          <a:extLst>
            <a:ext uri="{FF2B5EF4-FFF2-40B4-BE49-F238E27FC236}">
              <a16:creationId xmlns:a16="http://schemas.microsoft.com/office/drawing/2014/main" id="{855086C2-6F40-4BBD-B61A-72E408E0D39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76" name="x_Picture 1" descr="Description: cid:image001.png@01D03949.49457930">
          <a:extLst>
            <a:ext uri="{FF2B5EF4-FFF2-40B4-BE49-F238E27FC236}">
              <a16:creationId xmlns:a16="http://schemas.microsoft.com/office/drawing/2014/main" id="{2ED80EFD-AB6A-4071-9F22-CE318646809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77" name="x_Picture 1" descr="Description: cid:image001.png@01D03949.49457930">
          <a:extLst>
            <a:ext uri="{FF2B5EF4-FFF2-40B4-BE49-F238E27FC236}">
              <a16:creationId xmlns:a16="http://schemas.microsoft.com/office/drawing/2014/main" id="{58B267AC-F8B4-44B6-9211-CF96371E314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78" name="x_Picture 1" descr="Description: cid:image001.png@01D03949.49457930">
          <a:extLst>
            <a:ext uri="{FF2B5EF4-FFF2-40B4-BE49-F238E27FC236}">
              <a16:creationId xmlns:a16="http://schemas.microsoft.com/office/drawing/2014/main" id="{399608D9-38E9-46D9-B0D2-B0C3029CF87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79" name="x_Picture 1" descr="Description: cid:image001.png@01D03949.49457930">
          <a:extLst>
            <a:ext uri="{FF2B5EF4-FFF2-40B4-BE49-F238E27FC236}">
              <a16:creationId xmlns:a16="http://schemas.microsoft.com/office/drawing/2014/main" id="{4724A0CC-7A3C-4491-B2A9-C5023AB0FA3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0" name="x_Picture 1" descr="Description: cid:image001.png@01D03949.49457930">
          <a:extLst>
            <a:ext uri="{FF2B5EF4-FFF2-40B4-BE49-F238E27FC236}">
              <a16:creationId xmlns:a16="http://schemas.microsoft.com/office/drawing/2014/main" id="{A8BDC07E-ABE4-4F51-B228-2A0302CA085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1" name="x_Picture 1" descr="Description: cid:image001.png@01D03949.49457930">
          <a:extLst>
            <a:ext uri="{FF2B5EF4-FFF2-40B4-BE49-F238E27FC236}">
              <a16:creationId xmlns:a16="http://schemas.microsoft.com/office/drawing/2014/main" id="{73704B71-A6D0-4E28-8FE0-8F719F9E6AB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2" name="x_Picture 1" descr="Description: cid:image001.png@01D03949.49457930">
          <a:extLst>
            <a:ext uri="{FF2B5EF4-FFF2-40B4-BE49-F238E27FC236}">
              <a16:creationId xmlns:a16="http://schemas.microsoft.com/office/drawing/2014/main" id="{913967B7-D1F3-4C00-B5B8-3C4442A689D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3" name="x_Picture 1" descr="Description: cid:image001.png@01D03949.49457930">
          <a:extLst>
            <a:ext uri="{FF2B5EF4-FFF2-40B4-BE49-F238E27FC236}">
              <a16:creationId xmlns:a16="http://schemas.microsoft.com/office/drawing/2014/main" id="{A04371A3-2884-4763-A667-9917C4136AC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4" name="x_Picture 1" descr="Description: cid:image001.png@01D03949.49457930">
          <a:extLst>
            <a:ext uri="{FF2B5EF4-FFF2-40B4-BE49-F238E27FC236}">
              <a16:creationId xmlns:a16="http://schemas.microsoft.com/office/drawing/2014/main" id="{2B331A40-9202-450B-9B36-4C43CCB28E3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5" name="x_Picture 1" descr="Description: cid:image001.png@01D03949.49457930">
          <a:extLst>
            <a:ext uri="{FF2B5EF4-FFF2-40B4-BE49-F238E27FC236}">
              <a16:creationId xmlns:a16="http://schemas.microsoft.com/office/drawing/2014/main" id="{E2F6F34A-D865-48E1-B73D-B07171F43CC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6" name="x_Picture 1" descr="Description: cid:image001.png@01D03949.49457930">
          <a:extLst>
            <a:ext uri="{FF2B5EF4-FFF2-40B4-BE49-F238E27FC236}">
              <a16:creationId xmlns:a16="http://schemas.microsoft.com/office/drawing/2014/main" id="{DF19F5EE-687B-479B-9CC8-7AE8378F1EB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7" name="x_Picture 1" descr="Description: cid:image001.png@01D03949.49457930">
          <a:extLst>
            <a:ext uri="{FF2B5EF4-FFF2-40B4-BE49-F238E27FC236}">
              <a16:creationId xmlns:a16="http://schemas.microsoft.com/office/drawing/2014/main" id="{D57504B7-BC4C-4AA5-85B8-3D171AD7368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8" name="x_Picture 1" descr="Description: cid:image001.png@01D03949.49457930">
          <a:extLst>
            <a:ext uri="{FF2B5EF4-FFF2-40B4-BE49-F238E27FC236}">
              <a16:creationId xmlns:a16="http://schemas.microsoft.com/office/drawing/2014/main" id="{AD83818C-56CE-46C7-A229-4EB41BC2069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89" name="x_Picture 1" descr="Description: cid:image001.png@01D03949.49457930">
          <a:extLst>
            <a:ext uri="{FF2B5EF4-FFF2-40B4-BE49-F238E27FC236}">
              <a16:creationId xmlns:a16="http://schemas.microsoft.com/office/drawing/2014/main" id="{37AA5CBB-98BA-49A9-BA94-7E4530F3DAA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0" name="x_Picture 1" descr="Description: cid:image001.png@01D03949.49457930">
          <a:extLst>
            <a:ext uri="{FF2B5EF4-FFF2-40B4-BE49-F238E27FC236}">
              <a16:creationId xmlns:a16="http://schemas.microsoft.com/office/drawing/2014/main" id="{3D3FE88F-5356-4972-841E-AF4D4FC6BB1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1" name="x_Picture 1" descr="Description: cid:image001.png@01D03949.49457930">
          <a:extLst>
            <a:ext uri="{FF2B5EF4-FFF2-40B4-BE49-F238E27FC236}">
              <a16:creationId xmlns:a16="http://schemas.microsoft.com/office/drawing/2014/main" id="{E0CAE809-0F5A-470A-934E-03DE428FDE3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2" name="x_Picture 1" descr="Description: cid:image001.png@01D03949.49457930">
          <a:extLst>
            <a:ext uri="{FF2B5EF4-FFF2-40B4-BE49-F238E27FC236}">
              <a16:creationId xmlns:a16="http://schemas.microsoft.com/office/drawing/2014/main" id="{DF989AA2-6A0A-4A61-A04C-BC3EBE75784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3" name="x_Picture 1" descr="Description: cid:image001.png@01D03949.49457930">
          <a:extLst>
            <a:ext uri="{FF2B5EF4-FFF2-40B4-BE49-F238E27FC236}">
              <a16:creationId xmlns:a16="http://schemas.microsoft.com/office/drawing/2014/main" id="{A15D108D-3870-4F61-AD12-D665B9703CC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4" name="x_Picture 1" descr="Description: cid:image001.png@01D03949.49457930">
          <a:extLst>
            <a:ext uri="{FF2B5EF4-FFF2-40B4-BE49-F238E27FC236}">
              <a16:creationId xmlns:a16="http://schemas.microsoft.com/office/drawing/2014/main" id="{6F7BCC48-EBD7-4DD1-97C4-0543365948A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5" name="x_Picture 1" descr="Description: cid:image001.png@01D03949.49457930">
          <a:extLst>
            <a:ext uri="{FF2B5EF4-FFF2-40B4-BE49-F238E27FC236}">
              <a16:creationId xmlns:a16="http://schemas.microsoft.com/office/drawing/2014/main" id="{F906CF94-10CE-4187-A3DD-CCF87028329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6" name="x_Picture 1" descr="Description: cid:image001.png@01D03949.49457930">
          <a:extLst>
            <a:ext uri="{FF2B5EF4-FFF2-40B4-BE49-F238E27FC236}">
              <a16:creationId xmlns:a16="http://schemas.microsoft.com/office/drawing/2014/main" id="{0F3552D4-37C2-4F06-A996-4B164457B3B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7" name="x_Picture 1" descr="Description: cid:image001.png@01D03949.49457930">
          <a:extLst>
            <a:ext uri="{FF2B5EF4-FFF2-40B4-BE49-F238E27FC236}">
              <a16:creationId xmlns:a16="http://schemas.microsoft.com/office/drawing/2014/main" id="{5B61333A-E58C-44E4-9126-BA2081CD28A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8" name="x_Picture 1" descr="Description: cid:image001.png@01D03949.49457930">
          <a:extLst>
            <a:ext uri="{FF2B5EF4-FFF2-40B4-BE49-F238E27FC236}">
              <a16:creationId xmlns:a16="http://schemas.microsoft.com/office/drawing/2014/main" id="{A16817A4-86B3-4574-86C9-94367A2F19E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199" name="x_Picture 1" descr="Description: cid:image001.png@01D03949.49457930">
          <a:extLst>
            <a:ext uri="{FF2B5EF4-FFF2-40B4-BE49-F238E27FC236}">
              <a16:creationId xmlns:a16="http://schemas.microsoft.com/office/drawing/2014/main" id="{2317CB46-56AF-4E3E-B973-099833ED313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200" name="x_Picture 1" descr="Description: cid:image001.png@01D03949.49457930">
          <a:extLst>
            <a:ext uri="{FF2B5EF4-FFF2-40B4-BE49-F238E27FC236}">
              <a16:creationId xmlns:a16="http://schemas.microsoft.com/office/drawing/2014/main" id="{0C97DE2C-4BA4-47E4-A272-8FF78639833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201" name="x_Picture 1" descr="Description: cid:image001.png@01D03949.49457930">
          <a:extLst>
            <a:ext uri="{FF2B5EF4-FFF2-40B4-BE49-F238E27FC236}">
              <a16:creationId xmlns:a16="http://schemas.microsoft.com/office/drawing/2014/main" id="{109262DC-E27E-4573-8D05-60C50932B85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202" name="x_Picture 1" descr="Description: cid:image001.png@01D03949.49457930">
          <a:extLst>
            <a:ext uri="{FF2B5EF4-FFF2-40B4-BE49-F238E27FC236}">
              <a16:creationId xmlns:a16="http://schemas.microsoft.com/office/drawing/2014/main" id="{60D5E29B-983D-4D76-A7D0-F159BA10634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203" name="x_Picture 1" descr="Description: cid:image001.png@01D03949.49457930">
          <a:extLst>
            <a:ext uri="{FF2B5EF4-FFF2-40B4-BE49-F238E27FC236}">
              <a16:creationId xmlns:a16="http://schemas.microsoft.com/office/drawing/2014/main" id="{F660549E-501B-41DF-8688-4A2EB982B5A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204" name="x_Picture 1" descr="Description: cid:image001.png@01D03949.49457930">
          <a:extLst>
            <a:ext uri="{FF2B5EF4-FFF2-40B4-BE49-F238E27FC236}">
              <a16:creationId xmlns:a16="http://schemas.microsoft.com/office/drawing/2014/main" id="{3D36E01F-5B37-4320-A2F0-DC76D0AA9E8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205" name="x_Picture 1" descr="Description: cid:image001.png@01D03949.49457930">
          <a:extLst>
            <a:ext uri="{FF2B5EF4-FFF2-40B4-BE49-F238E27FC236}">
              <a16:creationId xmlns:a16="http://schemas.microsoft.com/office/drawing/2014/main" id="{3380BA81-4196-41FC-B19F-B3DE602651B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206" name="x_Picture 1" descr="Description: cid:image001.png@01D03949.49457930">
          <a:extLst>
            <a:ext uri="{FF2B5EF4-FFF2-40B4-BE49-F238E27FC236}">
              <a16:creationId xmlns:a16="http://schemas.microsoft.com/office/drawing/2014/main" id="{8BD6EE7E-C959-4A3D-960E-644C4FBAFA5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207" name="x_Picture 1" descr="Description: cid:image001.png@01D03949.49457930">
          <a:extLst>
            <a:ext uri="{FF2B5EF4-FFF2-40B4-BE49-F238E27FC236}">
              <a16:creationId xmlns:a16="http://schemas.microsoft.com/office/drawing/2014/main" id="{50720E86-FDFE-4969-8FEE-1A1E85533C5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150292</xdr:rowOff>
    </xdr:to>
    <xdr:sp macro="" textlink="">
      <xdr:nvSpPr>
        <xdr:cNvPr id="3208" name="x_Picture 1" descr="Description: cid:image001.png@01D03949.49457930">
          <a:extLst>
            <a:ext uri="{FF2B5EF4-FFF2-40B4-BE49-F238E27FC236}">
              <a16:creationId xmlns:a16="http://schemas.microsoft.com/office/drawing/2014/main" id="{2CFC17B8-0F22-4AF0-A19E-E90E6966250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3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209" name="x_Picture 1" descr="Description: cid:image001.png@01D03949.49457930">
          <a:extLst>
            <a:ext uri="{FF2B5EF4-FFF2-40B4-BE49-F238E27FC236}">
              <a16:creationId xmlns:a16="http://schemas.microsoft.com/office/drawing/2014/main" id="{969D37AD-0D5B-4455-A9FD-36F87E35530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10" name="x_Picture 1" descr="Description: cid:image001.png@01D03949.49457930">
          <a:extLst>
            <a:ext uri="{FF2B5EF4-FFF2-40B4-BE49-F238E27FC236}">
              <a16:creationId xmlns:a16="http://schemas.microsoft.com/office/drawing/2014/main" id="{BB218974-4B54-400E-AE60-F0A147928BD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11" name="x_Picture 1" descr="Description: cid:image001.png@01D03949.49457930">
          <a:extLst>
            <a:ext uri="{FF2B5EF4-FFF2-40B4-BE49-F238E27FC236}">
              <a16:creationId xmlns:a16="http://schemas.microsoft.com/office/drawing/2014/main" id="{698FF347-704F-4429-A7E4-7EB54C1B165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12" name="x_Picture 1" descr="Description: cid:image001.png@01D03949.49457930">
          <a:extLst>
            <a:ext uri="{FF2B5EF4-FFF2-40B4-BE49-F238E27FC236}">
              <a16:creationId xmlns:a16="http://schemas.microsoft.com/office/drawing/2014/main" id="{726B52F5-EBAD-4E07-8B06-7099BFB7043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13" name="x_Picture 1" descr="Description: cid:image001.png@01D03949.49457930">
          <a:extLst>
            <a:ext uri="{FF2B5EF4-FFF2-40B4-BE49-F238E27FC236}">
              <a16:creationId xmlns:a16="http://schemas.microsoft.com/office/drawing/2014/main" id="{CF69B0AB-7564-4D06-87B6-BC4C11B968E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14" name="x_Picture 1" descr="Description: cid:image001.png@01D03949.49457930">
          <a:extLst>
            <a:ext uri="{FF2B5EF4-FFF2-40B4-BE49-F238E27FC236}">
              <a16:creationId xmlns:a16="http://schemas.microsoft.com/office/drawing/2014/main" id="{3204C14C-6F51-4707-A84F-4F109690F3E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15" name="x_Picture 1" descr="Description: cid:image001.png@01D03949.49457930">
          <a:extLst>
            <a:ext uri="{FF2B5EF4-FFF2-40B4-BE49-F238E27FC236}">
              <a16:creationId xmlns:a16="http://schemas.microsoft.com/office/drawing/2014/main" id="{71DB81C4-F70C-43A5-9F9F-BF50497AAC6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16" name="x_Picture 1" descr="Description: cid:image001.png@01D03949.49457930">
          <a:extLst>
            <a:ext uri="{FF2B5EF4-FFF2-40B4-BE49-F238E27FC236}">
              <a16:creationId xmlns:a16="http://schemas.microsoft.com/office/drawing/2014/main" id="{7C67DC79-579A-4E7F-8121-A6A69FFBC58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17" name="x_Picture 1" descr="Description: cid:image001.png@01D03949.49457930">
          <a:extLst>
            <a:ext uri="{FF2B5EF4-FFF2-40B4-BE49-F238E27FC236}">
              <a16:creationId xmlns:a16="http://schemas.microsoft.com/office/drawing/2014/main" id="{24FC974F-8FB7-4410-BCF8-6D4C0BAFB7F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18" name="x_Picture 1" descr="Description: cid:image001.png@01D03949.49457930">
          <a:extLst>
            <a:ext uri="{FF2B5EF4-FFF2-40B4-BE49-F238E27FC236}">
              <a16:creationId xmlns:a16="http://schemas.microsoft.com/office/drawing/2014/main" id="{431C7AC6-1AFC-48ED-A8FA-4ACBD449866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19" name="x_Picture 1" descr="Description: cid:image001.png@01D03949.49457930">
          <a:extLst>
            <a:ext uri="{FF2B5EF4-FFF2-40B4-BE49-F238E27FC236}">
              <a16:creationId xmlns:a16="http://schemas.microsoft.com/office/drawing/2014/main" id="{48779166-FFB5-4A5C-9C32-ABB7F850F0C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20" name="x_Picture 1" descr="Description: cid:image001.png@01D03949.49457930">
          <a:extLst>
            <a:ext uri="{FF2B5EF4-FFF2-40B4-BE49-F238E27FC236}">
              <a16:creationId xmlns:a16="http://schemas.microsoft.com/office/drawing/2014/main" id="{93AEFCB4-809E-4FEB-8DFE-BD3F8270DB9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21" name="x_Picture 1" descr="Description: cid:image001.png@01D03949.49457930">
          <a:extLst>
            <a:ext uri="{FF2B5EF4-FFF2-40B4-BE49-F238E27FC236}">
              <a16:creationId xmlns:a16="http://schemas.microsoft.com/office/drawing/2014/main" id="{916A02F5-72A9-46B2-94AD-C3B4F04A87E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22" name="x_Picture 1" descr="Description: cid:image001.png@01D03949.49457930">
          <a:extLst>
            <a:ext uri="{FF2B5EF4-FFF2-40B4-BE49-F238E27FC236}">
              <a16:creationId xmlns:a16="http://schemas.microsoft.com/office/drawing/2014/main" id="{7E2B8653-ECDD-476A-9E8F-4F426F3122E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23" name="x_Picture 1" descr="Description: cid:image001.png@01D03949.49457930">
          <a:extLst>
            <a:ext uri="{FF2B5EF4-FFF2-40B4-BE49-F238E27FC236}">
              <a16:creationId xmlns:a16="http://schemas.microsoft.com/office/drawing/2014/main" id="{7A2C7852-1BED-4213-B8D0-459D0391A79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24" name="x_Picture 1" descr="Description: cid:image001.png@01D03949.49457930">
          <a:extLst>
            <a:ext uri="{FF2B5EF4-FFF2-40B4-BE49-F238E27FC236}">
              <a16:creationId xmlns:a16="http://schemas.microsoft.com/office/drawing/2014/main" id="{E556E2AE-DC8F-4408-8348-BBB1F58AED7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25" name="x_Picture 1" descr="Description: cid:image001.png@01D03949.49457930">
          <a:extLst>
            <a:ext uri="{FF2B5EF4-FFF2-40B4-BE49-F238E27FC236}">
              <a16:creationId xmlns:a16="http://schemas.microsoft.com/office/drawing/2014/main" id="{2632FCA2-37CF-414F-9AFE-FF246D35727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26" name="x_Picture 1" descr="Description: cid:image001.png@01D03949.49457930">
          <a:extLst>
            <a:ext uri="{FF2B5EF4-FFF2-40B4-BE49-F238E27FC236}">
              <a16:creationId xmlns:a16="http://schemas.microsoft.com/office/drawing/2014/main" id="{1BA521B0-5DFF-4688-A11A-E77105D253D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27" name="x_Picture 1" descr="Description: cid:image001.png@01D03949.49457930">
          <a:extLst>
            <a:ext uri="{FF2B5EF4-FFF2-40B4-BE49-F238E27FC236}">
              <a16:creationId xmlns:a16="http://schemas.microsoft.com/office/drawing/2014/main" id="{D7DA650B-9ABB-4847-AC3A-5C89873EDC3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28" name="x_Picture 1" descr="Description: cid:image001.png@01D03949.49457930">
          <a:extLst>
            <a:ext uri="{FF2B5EF4-FFF2-40B4-BE49-F238E27FC236}">
              <a16:creationId xmlns:a16="http://schemas.microsoft.com/office/drawing/2014/main" id="{ACF7BD71-FEB6-4B59-A09A-1E31576D69B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29" name="x_Picture 1" descr="Description: cid:image001.png@01D03949.49457930">
          <a:extLst>
            <a:ext uri="{FF2B5EF4-FFF2-40B4-BE49-F238E27FC236}">
              <a16:creationId xmlns:a16="http://schemas.microsoft.com/office/drawing/2014/main" id="{4F60EE28-1C1F-406B-8559-D7C9078119D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30" name="x_Picture 1" descr="Description: cid:image001.png@01D03949.49457930">
          <a:extLst>
            <a:ext uri="{FF2B5EF4-FFF2-40B4-BE49-F238E27FC236}">
              <a16:creationId xmlns:a16="http://schemas.microsoft.com/office/drawing/2014/main" id="{9B0DBF01-57C1-429B-97C4-FC9C1B86659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31" name="x_Picture 1" descr="Description: cid:image001.png@01D03949.49457930">
          <a:extLst>
            <a:ext uri="{FF2B5EF4-FFF2-40B4-BE49-F238E27FC236}">
              <a16:creationId xmlns:a16="http://schemas.microsoft.com/office/drawing/2014/main" id="{BB987318-62F3-417B-A271-96EB695BEDF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32" name="x_Picture 1" descr="Description: cid:image001.png@01D03949.49457930">
          <a:extLst>
            <a:ext uri="{FF2B5EF4-FFF2-40B4-BE49-F238E27FC236}">
              <a16:creationId xmlns:a16="http://schemas.microsoft.com/office/drawing/2014/main" id="{1BDC1CB8-5098-497B-B45C-0C404138854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33" name="x_Picture 1" descr="Description: cid:image001.png@01D03949.49457930">
          <a:extLst>
            <a:ext uri="{FF2B5EF4-FFF2-40B4-BE49-F238E27FC236}">
              <a16:creationId xmlns:a16="http://schemas.microsoft.com/office/drawing/2014/main" id="{907B9167-4EA3-44FB-8732-98BD20DA7D0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34" name="x_Picture 1" descr="Description: cid:image001.png@01D03949.49457930">
          <a:extLst>
            <a:ext uri="{FF2B5EF4-FFF2-40B4-BE49-F238E27FC236}">
              <a16:creationId xmlns:a16="http://schemas.microsoft.com/office/drawing/2014/main" id="{25FA8822-4776-41EF-8D58-44C8276BD9A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35" name="x_Picture 1" descr="Description: cid:image001.png@01D03949.49457930">
          <a:extLst>
            <a:ext uri="{FF2B5EF4-FFF2-40B4-BE49-F238E27FC236}">
              <a16:creationId xmlns:a16="http://schemas.microsoft.com/office/drawing/2014/main" id="{319F3470-E3C4-4733-B04C-3ADCB74DA08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36" name="x_Picture 1" descr="Description: cid:image001.png@01D03949.49457930">
          <a:extLst>
            <a:ext uri="{FF2B5EF4-FFF2-40B4-BE49-F238E27FC236}">
              <a16:creationId xmlns:a16="http://schemas.microsoft.com/office/drawing/2014/main" id="{BB7C3AD6-C423-4DB6-9106-7D53331342F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37" name="x_Picture 1" descr="Description: cid:image001.png@01D03949.49457930">
          <a:extLst>
            <a:ext uri="{FF2B5EF4-FFF2-40B4-BE49-F238E27FC236}">
              <a16:creationId xmlns:a16="http://schemas.microsoft.com/office/drawing/2014/main" id="{581DE3D8-3179-457E-A55B-22149B417C3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38" name="x_Picture 1" descr="Description: cid:image001.png@01D03949.49457930">
          <a:extLst>
            <a:ext uri="{FF2B5EF4-FFF2-40B4-BE49-F238E27FC236}">
              <a16:creationId xmlns:a16="http://schemas.microsoft.com/office/drawing/2014/main" id="{37218720-724F-4FEA-B1CC-8E88E30033F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39" name="x_Picture 1" descr="Description: cid:image001.png@01D03949.49457930">
          <a:extLst>
            <a:ext uri="{FF2B5EF4-FFF2-40B4-BE49-F238E27FC236}">
              <a16:creationId xmlns:a16="http://schemas.microsoft.com/office/drawing/2014/main" id="{8D59E431-050E-4F94-9616-F1350D210D6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40" name="x_Picture 1" descr="Description: cid:image001.png@01D03949.49457930">
          <a:extLst>
            <a:ext uri="{FF2B5EF4-FFF2-40B4-BE49-F238E27FC236}">
              <a16:creationId xmlns:a16="http://schemas.microsoft.com/office/drawing/2014/main" id="{12C7DE3F-E5E4-4506-86EF-F4EEE55987A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41" name="x_Picture 1" descr="Description: cid:image001.png@01D03949.49457930">
          <a:extLst>
            <a:ext uri="{FF2B5EF4-FFF2-40B4-BE49-F238E27FC236}">
              <a16:creationId xmlns:a16="http://schemas.microsoft.com/office/drawing/2014/main" id="{6796DF17-A354-48F0-833B-DF5A7A7205F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42" name="x_Picture 1" descr="Description: cid:image001.png@01D03949.49457930">
          <a:extLst>
            <a:ext uri="{FF2B5EF4-FFF2-40B4-BE49-F238E27FC236}">
              <a16:creationId xmlns:a16="http://schemas.microsoft.com/office/drawing/2014/main" id="{20BFD568-16EE-4D63-B606-A09F191C11F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144569</xdr:rowOff>
    </xdr:to>
    <xdr:sp macro="" textlink="">
      <xdr:nvSpPr>
        <xdr:cNvPr id="3243" name="x_Picture 1" descr="Description: cid:image001.png@01D03949.49457930">
          <a:extLst>
            <a:ext uri="{FF2B5EF4-FFF2-40B4-BE49-F238E27FC236}">
              <a16:creationId xmlns:a16="http://schemas.microsoft.com/office/drawing/2014/main" id="{0E5F5E74-4533-4710-A3F2-CFB15596BBF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44" name="x_Picture 1" descr="Description: cid:image001.png@01D03949.49457930">
          <a:extLst>
            <a:ext uri="{FF2B5EF4-FFF2-40B4-BE49-F238E27FC236}">
              <a16:creationId xmlns:a16="http://schemas.microsoft.com/office/drawing/2014/main" id="{6D17DCD6-7806-43D1-8266-51766A12DA9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144568</xdr:rowOff>
    </xdr:to>
    <xdr:sp macro="" textlink="">
      <xdr:nvSpPr>
        <xdr:cNvPr id="3245" name="x_Picture 1" descr="Description: cid:image001.png@01D03949.49457930">
          <a:extLst>
            <a:ext uri="{FF2B5EF4-FFF2-40B4-BE49-F238E27FC236}">
              <a16:creationId xmlns:a16="http://schemas.microsoft.com/office/drawing/2014/main" id="{016F283A-D13F-47E6-981C-FCE334541E0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8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46" name="x_Picture 1" descr="Description: cid:image001.png@01D03949.49457930">
          <a:extLst>
            <a:ext uri="{FF2B5EF4-FFF2-40B4-BE49-F238E27FC236}">
              <a16:creationId xmlns:a16="http://schemas.microsoft.com/office/drawing/2014/main" id="{8AEB0BD5-37B0-467D-9995-86BA8C0DCAF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47" name="x_Picture 1" descr="Description: cid:image001.png@01D03949.49457930">
          <a:extLst>
            <a:ext uri="{FF2B5EF4-FFF2-40B4-BE49-F238E27FC236}">
              <a16:creationId xmlns:a16="http://schemas.microsoft.com/office/drawing/2014/main" id="{93206182-9903-4868-9359-492D36A124D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48" name="x_Picture 1" descr="Description: cid:image001.png@01D03949.49457930">
          <a:extLst>
            <a:ext uri="{FF2B5EF4-FFF2-40B4-BE49-F238E27FC236}">
              <a16:creationId xmlns:a16="http://schemas.microsoft.com/office/drawing/2014/main" id="{3416F854-81A0-4CA4-8205-3867464B034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49" name="x_Picture 1" descr="Description: cid:image001.png@01D03949.49457930">
          <a:extLst>
            <a:ext uri="{FF2B5EF4-FFF2-40B4-BE49-F238E27FC236}">
              <a16:creationId xmlns:a16="http://schemas.microsoft.com/office/drawing/2014/main" id="{EB961C64-B32A-4AD2-9A72-1971148DCDA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50" name="x_Picture 1" descr="Description: cid:image001.png@01D03949.49457930">
          <a:extLst>
            <a:ext uri="{FF2B5EF4-FFF2-40B4-BE49-F238E27FC236}">
              <a16:creationId xmlns:a16="http://schemas.microsoft.com/office/drawing/2014/main" id="{3AE8BAC6-ED1B-419C-A2F4-A168AEE19C0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51" name="x_Picture 1" descr="Description: cid:image001.png@01D03949.49457930">
          <a:extLst>
            <a:ext uri="{FF2B5EF4-FFF2-40B4-BE49-F238E27FC236}">
              <a16:creationId xmlns:a16="http://schemas.microsoft.com/office/drawing/2014/main" id="{708FAB78-875C-4946-9379-3764A081FB3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52" name="x_Picture 1" descr="Description: cid:image001.png@01D03949.49457930">
          <a:extLst>
            <a:ext uri="{FF2B5EF4-FFF2-40B4-BE49-F238E27FC236}">
              <a16:creationId xmlns:a16="http://schemas.microsoft.com/office/drawing/2014/main" id="{2584EF85-877F-46CF-A7C9-84D5DABF8C9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53" name="x_Picture 1" descr="Description: cid:image001.png@01D03949.49457930">
          <a:extLst>
            <a:ext uri="{FF2B5EF4-FFF2-40B4-BE49-F238E27FC236}">
              <a16:creationId xmlns:a16="http://schemas.microsoft.com/office/drawing/2014/main" id="{3AA8A82C-DE49-42F0-A3F9-268A7E54FE3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54" name="x_Picture 1" descr="Description: cid:image001.png@01D03949.49457930">
          <a:extLst>
            <a:ext uri="{FF2B5EF4-FFF2-40B4-BE49-F238E27FC236}">
              <a16:creationId xmlns:a16="http://schemas.microsoft.com/office/drawing/2014/main" id="{DFF42D56-9AE9-492A-B0AC-265B0AF51D5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55" name="x_Picture 1" descr="Description: cid:image001.png@01D03949.49457930">
          <a:extLst>
            <a:ext uri="{FF2B5EF4-FFF2-40B4-BE49-F238E27FC236}">
              <a16:creationId xmlns:a16="http://schemas.microsoft.com/office/drawing/2014/main" id="{2CDEFE70-1B57-419F-BBE2-438671CBC62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130897</xdr:rowOff>
    </xdr:to>
    <xdr:sp macro="" textlink="">
      <xdr:nvSpPr>
        <xdr:cNvPr id="3256" name="x_Picture 1" descr="Description: cid:image001.png@01D03949.49457930">
          <a:extLst>
            <a:ext uri="{FF2B5EF4-FFF2-40B4-BE49-F238E27FC236}">
              <a16:creationId xmlns:a16="http://schemas.microsoft.com/office/drawing/2014/main" id="{2DCF9D24-BD13-438E-96D7-E46B67F4F34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57" name="x_Picture 1" descr="Description: cid:image001.png@01D03949.49457930">
          <a:extLst>
            <a:ext uri="{FF2B5EF4-FFF2-40B4-BE49-F238E27FC236}">
              <a16:creationId xmlns:a16="http://schemas.microsoft.com/office/drawing/2014/main" id="{082EC9FB-FD60-44C6-8FBD-C2811E31433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58" name="x_Picture 1" descr="Description: cid:image001.png@01D03949.49457930">
          <a:extLst>
            <a:ext uri="{FF2B5EF4-FFF2-40B4-BE49-F238E27FC236}">
              <a16:creationId xmlns:a16="http://schemas.microsoft.com/office/drawing/2014/main" id="{C2136C71-2603-4CC0-96D4-C15E0C93CCF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59" name="x_Picture 1" descr="Description: cid:image001.png@01D03949.49457930">
          <a:extLst>
            <a:ext uri="{FF2B5EF4-FFF2-40B4-BE49-F238E27FC236}">
              <a16:creationId xmlns:a16="http://schemas.microsoft.com/office/drawing/2014/main" id="{C28EBFF9-5810-4616-9B81-B21C79B5892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60" name="x_Picture 1" descr="Description: cid:image001.png@01D03949.49457930">
          <a:extLst>
            <a:ext uri="{FF2B5EF4-FFF2-40B4-BE49-F238E27FC236}">
              <a16:creationId xmlns:a16="http://schemas.microsoft.com/office/drawing/2014/main" id="{B65187ED-CEF1-49D5-9B86-03A3E229A39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61" name="x_Picture 1" descr="Description: cid:image001.png@01D03949.49457930">
          <a:extLst>
            <a:ext uri="{FF2B5EF4-FFF2-40B4-BE49-F238E27FC236}">
              <a16:creationId xmlns:a16="http://schemas.microsoft.com/office/drawing/2014/main" id="{5A27147B-A7F1-408D-B03C-03F6234EF7C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62" name="x_Picture 1" descr="Description: cid:image001.png@01D03949.49457930">
          <a:extLst>
            <a:ext uri="{FF2B5EF4-FFF2-40B4-BE49-F238E27FC236}">
              <a16:creationId xmlns:a16="http://schemas.microsoft.com/office/drawing/2014/main" id="{9FF01869-C91D-4EF2-B1A2-80AFAB05259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63" name="x_Picture 1" descr="Description: cid:image001.png@01D03949.49457930">
          <a:extLst>
            <a:ext uri="{FF2B5EF4-FFF2-40B4-BE49-F238E27FC236}">
              <a16:creationId xmlns:a16="http://schemas.microsoft.com/office/drawing/2014/main" id="{7A1517AC-4729-4C0D-8BEF-B871B0A35E5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64" name="x_Picture 1" descr="Description: cid:image001.png@01D03949.49457930">
          <a:extLst>
            <a:ext uri="{FF2B5EF4-FFF2-40B4-BE49-F238E27FC236}">
              <a16:creationId xmlns:a16="http://schemas.microsoft.com/office/drawing/2014/main" id="{7FA43083-73B1-4562-A8C5-9AFA9C7E222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65" name="x_Picture 1" descr="Description: cid:image001.png@01D03949.49457930">
          <a:extLst>
            <a:ext uri="{FF2B5EF4-FFF2-40B4-BE49-F238E27FC236}">
              <a16:creationId xmlns:a16="http://schemas.microsoft.com/office/drawing/2014/main" id="{3E3785D5-049E-4A90-B612-B26DF6C4EA3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66" name="x_Picture 1" descr="Description: cid:image001.png@01D03949.49457930">
          <a:extLst>
            <a:ext uri="{FF2B5EF4-FFF2-40B4-BE49-F238E27FC236}">
              <a16:creationId xmlns:a16="http://schemas.microsoft.com/office/drawing/2014/main" id="{C54F93BF-C014-4C95-8347-C5AAA439C30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67" name="x_Picture 1" descr="Description: cid:image001.png@01D03949.49457930">
          <a:extLst>
            <a:ext uri="{FF2B5EF4-FFF2-40B4-BE49-F238E27FC236}">
              <a16:creationId xmlns:a16="http://schemas.microsoft.com/office/drawing/2014/main" id="{D88EC443-562C-4576-8E5B-377B55B01EB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138218</xdr:rowOff>
    </xdr:to>
    <xdr:sp macro="" textlink="">
      <xdr:nvSpPr>
        <xdr:cNvPr id="3268" name="x_Picture 1" descr="Description: cid:image001.png@01D03949.49457930">
          <a:extLst>
            <a:ext uri="{FF2B5EF4-FFF2-40B4-BE49-F238E27FC236}">
              <a16:creationId xmlns:a16="http://schemas.microsoft.com/office/drawing/2014/main" id="{39194885-CD1D-4448-BA47-C3FFA9FD6DF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69" name="x_Picture 1" descr="Description: cid:image001.png@01D03949.49457930">
          <a:extLst>
            <a:ext uri="{FF2B5EF4-FFF2-40B4-BE49-F238E27FC236}">
              <a16:creationId xmlns:a16="http://schemas.microsoft.com/office/drawing/2014/main" id="{B477D722-8685-4E4C-85C9-D900ED36089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70" name="x_Picture 1" descr="Description: cid:image001.png@01D03949.49457930">
          <a:extLst>
            <a:ext uri="{FF2B5EF4-FFF2-40B4-BE49-F238E27FC236}">
              <a16:creationId xmlns:a16="http://schemas.microsoft.com/office/drawing/2014/main" id="{15600A01-5AB6-4825-8870-7E07AB17341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71" name="x_Picture 1" descr="Description: cid:image001.png@01D03949.49457930">
          <a:extLst>
            <a:ext uri="{FF2B5EF4-FFF2-40B4-BE49-F238E27FC236}">
              <a16:creationId xmlns:a16="http://schemas.microsoft.com/office/drawing/2014/main" id="{C17EE6A0-3201-4A54-B4EB-63CE9054FDA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72" name="x_Picture 1" descr="Description: cid:image001.png@01D03949.49457930">
          <a:extLst>
            <a:ext uri="{FF2B5EF4-FFF2-40B4-BE49-F238E27FC236}">
              <a16:creationId xmlns:a16="http://schemas.microsoft.com/office/drawing/2014/main" id="{BF4194C6-6C4C-4C8D-89E3-7991433DA71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138215</xdr:rowOff>
    </xdr:to>
    <xdr:sp macro="" textlink="">
      <xdr:nvSpPr>
        <xdr:cNvPr id="3273" name="x_Picture 1" descr="Description: cid:image001.png@01D03949.49457930">
          <a:extLst>
            <a:ext uri="{FF2B5EF4-FFF2-40B4-BE49-F238E27FC236}">
              <a16:creationId xmlns:a16="http://schemas.microsoft.com/office/drawing/2014/main" id="{B0C7651A-7361-47C1-B953-335C61D505A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138215</xdr:rowOff>
    </xdr:to>
    <xdr:sp macro="" textlink="">
      <xdr:nvSpPr>
        <xdr:cNvPr id="3274" name="x_Picture 1" descr="Description: cid:image001.png@01D03949.49457930">
          <a:extLst>
            <a:ext uri="{FF2B5EF4-FFF2-40B4-BE49-F238E27FC236}">
              <a16:creationId xmlns:a16="http://schemas.microsoft.com/office/drawing/2014/main" id="{FBAEDE72-2AD1-4A40-BC8C-E89E3AE13E4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75" name="x_Picture 1" descr="Description: cid:image001.png@01D03949.49457930">
          <a:extLst>
            <a:ext uri="{FF2B5EF4-FFF2-40B4-BE49-F238E27FC236}">
              <a16:creationId xmlns:a16="http://schemas.microsoft.com/office/drawing/2014/main" id="{AABC2B37-5891-4E15-9393-BD3304684FE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76" name="x_Picture 1" descr="Description: cid:image001.png@01D03949.49457930">
          <a:extLst>
            <a:ext uri="{FF2B5EF4-FFF2-40B4-BE49-F238E27FC236}">
              <a16:creationId xmlns:a16="http://schemas.microsoft.com/office/drawing/2014/main" id="{7F941A10-5680-4FBB-A4E2-2056941990F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77" name="x_Picture 1" descr="Description: cid:image001.png@01D03949.49457930">
          <a:extLst>
            <a:ext uri="{FF2B5EF4-FFF2-40B4-BE49-F238E27FC236}">
              <a16:creationId xmlns:a16="http://schemas.microsoft.com/office/drawing/2014/main" id="{F2E5F521-AC68-4317-89AB-28DDD135CEA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78" name="x_Picture 1" descr="Description: cid:image001.png@01D03949.49457930">
          <a:extLst>
            <a:ext uri="{FF2B5EF4-FFF2-40B4-BE49-F238E27FC236}">
              <a16:creationId xmlns:a16="http://schemas.microsoft.com/office/drawing/2014/main" id="{145AC69E-9458-454E-A905-96722060196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138215</xdr:rowOff>
    </xdr:to>
    <xdr:sp macro="" textlink="">
      <xdr:nvSpPr>
        <xdr:cNvPr id="3279" name="x_Picture 1" descr="Description: cid:image001.png@01D03949.49457930">
          <a:extLst>
            <a:ext uri="{FF2B5EF4-FFF2-40B4-BE49-F238E27FC236}">
              <a16:creationId xmlns:a16="http://schemas.microsoft.com/office/drawing/2014/main" id="{49BABAA8-609B-4168-AE50-65ACE71A542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138215</xdr:rowOff>
    </xdr:to>
    <xdr:sp macro="" textlink="">
      <xdr:nvSpPr>
        <xdr:cNvPr id="3280" name="x_Picture 1" descr="Description: cid:image001.png@01D03949.49457930">
          <a:extLst>
            <a:ext uri="{FF2B5EF4-FFF2-40B4-BE49-F238E27FC236}">
              <a16:creationId xmlns:a16="http://schemas.microsoft.com/office/drawing/2014/main" id="{5E9AF183-93B8-49A0-9917-1283F128F08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81" name="x_Picture 1" descr="Description: cid:image001.png@01D03949.49457930">
          <a:extLst>
            <a:ext uri="{FF2B5EF4-FFF2-40B4-BE49-F238E27FC236}">
              <a16:creationId xmlns:a16="http://schemas.microsoft.com/office/drawing/2014/main" id="{724097AA-8D10-4154-840F-D9905B44E5F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82" name="x_Picture 1" descr="Description: cid:image001.png@01D03949.49457930">
          <a:extLst>
            <a:ext uri="{FF2B5EF4-FFF2-40B4-BE49-F238E27FC236}">
              <a16:creationId xmlns:a16="http://schemas.microsoft.com/office/drawing/2014/main" id="{F7F11949-5547-4342-A6C4-9E5645A1612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83" name="x_Picture 1" descr="Description: cid:image001.png@01D03949.49457930">
          <a:extLst>
            <a:ext uri="{FF2B5EF4-FFF2-40B4-BE49-F238E27FC236}">
              <a16:creationId xmlns:a16="http://schemas.microsoft.com/office/drawing/2014/main" id="{A6E68879-4F66-4760-BED2-4D052875FC5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84" name="x_Picture 1" descr="Description: cid:image001.png@01D03949.49457930">
          <a:extLst>
            <a:ext uri="{FF2B5EF4-FFF2-40B4-BE49-F238E27FC236}">
              <a16:creationId xmlns:a16="http://schemas.microsoft.com/office/drawing/2014/main" id="{A08B078D-5BA4-414D-A44E-70F1C8A2BE1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138215</xdr:rowOff>
    </xdr:to>
    <xdr:sp macro="" textlink="">
      <xdr:nvSpPr>
        <xdr:cNvPr id="3285" name="x_Picture 1" descr="Description: cid:image001.png@01D03949.49457930">
          <a:extLst>
            <a:ext uri="{FF2B5EF4-FFF2-40B4-BE49-F238E27FC236}">
              <a16:creationId xmlns:a16="http://schemas.microsoft.com/office/drawing/2014/main" id="{107CCD3E-A4DA-48F0-B057-5FB54C5AF48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138215</xdr:rowOff>
    </xdr:to>
    <xdr:sp macro="" textlink="">
      <xdr:nvSpPr>
        <xdr:cNvPr id="3286" name="x_Picture 1" descr="Description: cid:image001.png@01D03949.49457930">
          <a:extLst>
            <a:ext uri="{FF2B5EF4-FFF2-40B4-BE49-F238E27FC236}">
              <a16:creationId xmlns:a16="http://schemas.microsoft.com/office/drawing/2014/main" id="{645E661B-8884-42E1-B2B1-A80A42E9ED2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87" name="x_Picture 1" descr="Description: cid:image001.png@01D03949.49457930">
          <a:extLst>
            <a:ext uri="{FF2B5EF4-FFF2-40B4-BE49-F238E27FC236}">
              <a16:creationId xmlns:a16="http://schemas.microsoft.com/office/drawing/2014/main" id="{C633C37F-D2D1-4081-9B9D-48BBC68367E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88" name="x_Picture 1" descr="Description: cid:image001.png@01D03949.49457930">
          <a:extLst>
            <a:ext uri="{FF2B5EF4-FFF2-40B4-BE49-F238E27FC236}">
              <a16:creationId xmlns:a16="http://schemas.microsoft.com/office/drawing/2014/main" id="{27AE53FD-FB5C-408F-BECF-D017606C354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89" name="x_Picture 1" descr="Description: cid:image001.png@01D03949.49457930">
          <a:extLst>
            <a:ext uri="{FF2B5EF4-FFF2-40B4-BE49-F238E27FC236}">
              <a16:creationId xmlns:a16="http://schemas.microsoft.com/office/drawing/2014/main" id="{27D3C39D-6D89-4E1A-8A7A-832DC4A691E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138216</xdr:rowOff>
    </xdr:to>
    <xdr:sp macro="" textlink="">
      <xdr:nvSpPr>
        <xdr:cNvPr id="3290" name="x_Picture 1" descr="Description: cid:image001.png@01D03949.49457930">
          <a:extLst>
            <a:ext uri="{FF2B5EF4-FFF2-40B4-BE49-F238E27FC236}">
              <a16:creationId xmlns:a16="http://schemas.microsoft.com/office/drawing/2014/main" id="{9B812FDF-F3E1-4348-A425-80CE6CD3AE7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138215</xdr:rowOff>
    </xdr:to>
    <xdr:sp macro="" textlink="">
      <xdr:nvSpPr>
        <xdr:cNvPr id="3291" name="x_Picture 1" descr="Description: cid:image001.png@01D03949.49457930">
          <a:extLst>
            <a:ext uri="{FF2B5EF4-FFF2-40B4-BE49-F238E27FC236}">
              <a16:creationId xmlns:a16="http://schemas.microsoft.com/office/drawing/2014/main" id="{A2C32ADD-A6D7-4E57-B862-ED930B18454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138215</xdr:rowOff>
    </xdr:to>
    <xdr:sp macro="" textlink="">
      <xdr:nvSpPr>
        <xdr:cNvPr id="3292" name="x_Picture 1" descr="Description: cid:image001.png@01D03949.49457930">
          <a:extLst>
            <a:ext uri="{FF2B5EF4-FFF2-40B4-BE49-F238E27FC236}">
              <a16:creationId xmlns:a16="http://schemas.microsoft.com/office/drawing/2014/main" id="{A5A2FA94-189C-40C1-95A2-01CFC8D1075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469636</xdr:colOff>
      <xdr:row>37</xdr:row>
      <xdr:rowOff>0</xdr:rowOff>
    </xdr:from>
    <xdr:to>
      <xdr:col>2</xdr:col>
      <xdr:colOff>38100</xdr:colOff>
      <xdr:row>38</xdr:row>
      <xdr:rowOff>130894</xdr:rowOff>
    </xdr:to>
    <xdr:sp macro="" textlink="">
      <xdr:nvSpPr>
        <xdr:cNvPr id="3293" name="x_Picture 1" descr="Description: cid:image001.png@01D03949.49457930">
          <a:extLst>
            <a:ext uri="{FF2B5EF4-FFF2-40B4-BE49-F238E27FC236}">
              <a16:creationId xmlns:a16="http://schemas.microsoft.com/office/drawing/2014/main" id="{6FDB41B8-3D65-4F27-9B9F-23C26654522F}"/>
            </a:ext>
          </a:extLst>
        </xdr:cNvPr>
        <xdr:cNvSpPr>
          <a:spLocks noChangeAspect="1" noChangeArrowheads="1"/>
        </xdr:cNvSpPr>
      </xdr:nvSpPr>
      <xdr:spPr bwMode="auto">
        <a:xfrm>
          <a:off x="469636" y="368300"/>
          <a:ext cx="3050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294" name="x_Picture 1" descr="Description: cid:image001.png@01D03949.49457930">
          <a:extLst>
            <a:ext uri="{FF2B5EF4-FFF2-40B4-BE49-F238E27FC236}">
              <a16:creationId xmlns:a16="http://schemas.microsoft.com/office/drawing/2014/main" id="{6779F669-B6D8-4E62-957F-667484EF799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295" name="x_Picture 1" descr="Description: cid:image001.png@01D03949.49457930">
          <a:extLst>
            <a:ext uri="{FF2B5EF4-FFF2-40B4-BE49-F238E27FC236}">
              <a16:creationId xmlns:a16="http://schemas.microsoft.com/office/drawing/2014/main" id="{40EDE9A8-E79D-46AE-99B7-EE6ED527CDF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296" name="x_Picture 1" descr="Description: cid:image001.png@01D03949.49457930">
          <a:extLst>
            <a:ext uri="{FF2B5EF4-FFF2-40B4-BE49-F238E27FC236}">
              <a16:creationId xmlns:a16="http://schemas.microsoft.com/office/drawing/2014/main" id="{7F968D22-460F-4842-8E6F-A58384D53FB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297" name="x_Picture 1" descr="Description: cid:image001.png@01D03949.49457930">
          <a:extLst>
            <a:ext uri="{FF2B5EF4-FFF2-40B4-BE49-F238E27FC236}">
              <a16:creationId xmlns:a16="http://schemas.microsoft.com/office/drawing/2014/main" id="{F3939ADC-A8AD-4AA5-A77E-68E4AD61264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79"/>
    <xdr:sp macro="" textlink="">
      <xdr:nvSpPr>
        <xdr:cNvPr id="3298" name="x_Picture 1" descr="Description: cid:image001.png@01D03949.49457930">
          <a:extLst>
            <a:ext uri="{FF2B5EF4-FFF2-40B4-BE49-F238E27FC236}">
              <a16:creationId xmlns:a16="http://schemas.microsoft.com/office/drawing/2014/main" id="{3A668AB9-ADF4-4A37-8A9E-07CA463177B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79"/>
    <xdr:sp macro="" textlink="">
      <xdr:nvSpPr>
        <xdr:cNvPr id="3299" name="x_Picture 1" descr="Description: cid:image001.png@01D03949.49457930">
          <a:extLst>
            <a:ext uri="{FF2B5EF4-FFF2-40B4-BE49-F238E27FC236}">
              <a16:creationId xmlns:a16="http://schemas.microsoft.com/office/drawing/2014/main" id="{D34A2AD0-AB33-4246-A867-57CECB3B124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300" name="x_Picture 1" descr="Description: cid:image001.png@01D03949.49457930">
          <a:extLst>
            <a:ext uri="{FF2B5EF4-FFF2-40B4-BE49-F238E27FC236}">
              <a16:creationId xmlns:a16="http://schemas.microsoft.com/office/drawing/2014/main" id="{1DBCDDFA-F7BB-45D3-9795-BE737EF983D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301" name="x_Picture 1" descr="Description: cid:image001.png@01D03949.49457930">
          <a:extLst>
            <a:ext uri="{FF2B5EF4-FFF2-40B4-BE49-F238E27FC236}">
              <a16:creationId xmlns:a16="http://schemas.microsoft.com/office/drawing/2014/main" id="{298A998A-1475-4163-BC63-6065E6BD884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302" name="x_Picture 1" descr="Description: cid:image001.png@01D03949.49457930">
          <a:extLst>
            <a:ext uri="{FF2B5EF4-FFF2-40B4-BE49-F238E27FC236}">
              <a16:creationId xmlns:a16="http://schemas.microsoft.com/office/drawing/2014/main" id="{2DFA6E21-144A-46DC-B854-DD533880F03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303" name="x_Picture 1" descr="Description: cid:image001.png@01D03949.49457930">
          <a:extLst>
            <a:ext uri="{FF2B5EF4-FFF2-40B4-BE49-F238E27FC236}">
              <a16:creationId xmlns:a16="http://schemas.microsoft.com/office/drawing/2014/main" id="{34213530-9730-43F2-8D32-B5F71543B76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79"/>
    <xdr:sp macro="" textlink="">
      <xdr:nvSpPr>
        <xdr:cNvPr id="3304" name="x_Picture 1" descr="Description: cid:image001.png@01D03949.49457930">
          <a:extLst>
            <a:ext uri="{FF2B5EF4-FFF2-40B4-BE49-F238E27FC236}">
              <a16:creationId xmlns:a16="http://schemas.microsoft.com/office/drawing/2014/main" id="{81CE12C4-F439-4F2D-8A41-1AD68BB1496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05" name="x_Picture 1" descr="Description: cid:image001.png@01D03949.49457930">
          <a:extLst>
            <a:ext uri="{FF2B5EF4-FFF2-40B4-BE49-F238E27FC236}">
              <a16:creationId xmlns:a16="http://schemas.microsoft.com/office/drawing/2014/main" id="{C46FC533-A65D-4F95-B7B7-AC15567B3FD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06" name="x_Picture 1" descr="Description: cid:image001.png@01D03949.49457930">
          <a:extLst>
            <a:ext uri="{FF2B5EF4-FFF2-40B4-BE49-F238E27FC236}">
              <a16:creationId xmlns:a16="http://schemas.microsoft.com/office/drawing/2014/main" id="{130DB1BF-B2AB-44BD-A764-F30E9204779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07" name="x_Picture 1" descr="Description: cid:image001.png@01D03949.49457930">
          <a:extLst>
            <a:ext uri="{FF2B5EF4-FFF2-40B4-BE49-F238E27FC236}">
              <a16:creationId xmlns:a16="http://schemas.microsoft.com/office/drawing/2014/main" id="{621A37B8-1909-491B-AF16-7BE2797D861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08" name="x_Picture 1" descr="Description: cid:image001.png@01D03949.49457930">
          <a:extLst>
            <a:ext uri="{FF2B5EF4-FFF2-40B4-BE49-F238E27FC236}">
              <a16:creationId xmlns:a16="http://schemas.microsoft.com/office/drawing/2014/main" id="{20151DCB-6778-4ADD-877E-9225387483F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309" name="x_Picture 1" descr="Description: cid:image001.png@01D03949.49457930">
          <a:extLst>
            <a:ext uri="{FF2B5EF4-FFF2-40B4-BE49-F238E27FC236}">
              <a16:creationId xmlns:a16="http://schemas.microsoft.com/office/drawing/2014/main" id="{060FFE6F-70D9-441C-8C32-E2FE5F768DF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310" name="x_Picture 1" descr="Description: cid:image001.png@01D03949.49457930">
          <a:extLst>
            <a:ext uri="{FF2B5EF4-FFF2-40B4-BE49-F238E27FC236}">
              <a16:creationId xmlns:a16="http://schemas.microsoft.com/office/drawing/2014/main" id="{B7192983-3506-4B28-B806-ED0901105EB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11" name="x_Picture 1" descr="Description: cid:image001.png@01D03949.49457930">
          <a:extLst>
            <a:ext uri="{FF2B5EF4-FFF2-40B4-BE49-F238E27FC236}">
              <a16:creationId xmlns:a16="http://schemas.microsoft.com/office/drawing/2014/main" id="{3E39E568-A242-4FE8-A1B0-37307B42A18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12" name="x_Picture 1" descr="Description: cid:image001.png@01D03949.49457930">
          <a:extLst>
            <a:ext uri="{FF2B5EF4-FFF2-40B4-BE49-F238E27FC236}">
              <a16:creationId xmlns:a16="http://schemas.microsoft.com/office/drawing/2014/main" id="{0861FBD4-2DE5-48B6-88F2-C1CC0094DD4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13" name="x_Picture 1" descr="Description: cid:image001.png@01D03949.49457930">
          <a:extLst>
            <a:ext uri="{FF2B5EF4-FFF2-40B4-BE49-F238E27FC236}">
              <a16:creationId xmlns:a16="http://schemas.microsoft.com/office/drawing/2014/main" id="{7F378BE0-D676-46E1-B842-64FD135D147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14" name="x_Picture 1" descr="Description: cid:image001.png@01D03949.49457930">
          <a:extLst>
            <a:ext uri="{FF2B5EF4-FFF2-40B4-BE49-F238E27FC236}">
              <a16:creationId xmlns:a16="http://schemas.microsoft.com/office/drawing/2014/main" id="{6BE7443D-2E7F-47E7-9FA4-1C6930402A2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315" name="x_Picture 1" descr="Description: cid:image001.png@01D03949.49457930">
          <a:extLst>
            <a:ext uri="{FF2B5EF4-FFF2-40B4-BE49-F238E27FC236}">
              <a16:creationId xmlns:a16="http://schemas.microsoft.com/office/drawing/2014/main" id="{E3C371B4-889C-4247-9D5B-FC4C278B32C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316" name="x_Picture 1" descr="Description: cid:image001.png@01D03949.49457930">
          <a:extLst>
            <a:ext uri="{FF2B5EF4-FFF2-40B4-BE49-F238E27FC236}">
              <a16:creationId xmlns:a16="http://schemas.microsoft.com/office/drawing/2014/main" id="{E065EA5E-81C4-413E-BB47-83D57BDE220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17" name="x_Picture 1" descr="Description: cid:image001.png@01D03949.49457930">
          <a:extLst>
            <a:ext uri="{FF2B5EF4-FFF2-40B4-BE49-F238E27FC236}">
              <a16:creationId xmlns:a16="http://schemas.microsoft.com/office/drawing/2014/main" id="{251EE557-37C6-4C84-9C9D-B9A4091AA1B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18" name="x_Picture 1" descr="Description: cid:image001.png@01D03949.49457930">
          <a:extLst>
            <a:ext uri="{FF2B5EF4-FFF2-40B4-BE49-F238E27FC236}">
              <a16:creationId xmlns:a16="http://schemas.microsoft.com/office/drawing/2014/main" id="{F8BA6B30-D69D-45BB-8FAD-0606438BBFD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19" name="x_Picture 1" descr="Description: cid:image001.png@01D03949.49457930">
          <a:extLst>
            <a:ext uri="{FF2B5EF4-FFF2-40B4-BE49-F238E27FC236}">
              <a16:creationId xmlns:a16="http://schemas.microsoft.com/office/drawing/2014/main" id="{78C124E8-6675-44F6-B121-1AD9A12A2D3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20" name="x_Picture 1" descr="Description: cid:image001.png@01D03949.49457930">
          <a:extLst>
            <a:ext uri="{FF2B5EF4-FFF2-40B4-BE49-F238E27FC236}">
              <a16:creationId xmlns:a16="http://schemas.microsoft.com/office/drawing/2014/main" id="{AE63480C-FD04-475F-922E-77656BFB42D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321" name="x_Picture 1" descr="Description: cid:image001.png@01D03949.49457930">
          <a:extLst>
            <a:ext uri="{FF2B5EF4-FFF2-40B4-BE49-F238E27FC236}">
              <a16:creationId xmlns:a16="http://schemas.microsoft.com/office/drawing/2014/main" id="{291FCFDB-A812-48CB-B522-7BD249082A3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322" name="x_Picture 1" descr="Description: cid:image001.png@01D03949.49457930">
          <a:extLst>
            <a:ext uri="{FF2B5EF4-FFF2-40B4-BE49-F238E27FC236}">
              <a16:creationId xmlns:a16="http://schemas.microsoft.com/office/drawing/2014/main" id="{00DDD937-D023-4052-8EED-D37D3E1DDE0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23" name="x_Picture 1" descr="Description: cid:image001.png@01D03949.49457930">
          <a:extLst>
            <a:ext uri="{FF2B5EF4-FFF2-40B4-BE49-F238E27FC236}">
              <a16:creationId xmlns:a16="http://schemas.microsoft.com/office/drawing/2014/main" id="{E6E9F88A-AAE8-439D-AEA4-6382A042E08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24" name="x_Picture 1" descr="Description: cid:image001.png@01D03949.49457930">
          <a:extLst>
            <a:ext uri="{FF2B5EF4-FFF2-40B4-BE49-F238E27FC236}">
              <a16:creationId xmlns:a16="http://schemas.microsoft.com/office/drawing/2014/main" id="{831142FC-050E-4663-97A2-622B2C877C2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25" name="x_Picture 1" descr="Description: cid:image001.png@01D03949.49457930">
          <a:extLst>
            <a:ext uri="{FF2B5EF4-FFF2-40B4-BE49-F238E27FC236}">
              <a16:creationId xmlns:a16="http://schemas.microsoft.com/office/drawing/2014/main" id="{1B1BC06A-BE52-4F20-97D7-106B31EB3AA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326" name="x_Picture 1" descr="Description: cid:image001.png@01D03949.49457930">
          <a:extLst>
            <a:ext uri="{FF2B5EF4-FFF2-40B4-BE49-F238E27FC236}">
              <a16:creationId xmlns:a16="http://schemas.microsoft.com/office/drawing/2014/main" id="{8B2206F3-26A8-42AE-87B9-EEDC4828B78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327" name="x_Picture 1" descr="Description: cid:image001.png@01D03949.49457930">
          <a:extLst>
            <a:ext uri="{FF2B5EF4-FFF2-40B4-BE49-F238E27FC236}">
              <a16:creationId xmlns:a16="http://schemas.microsoft.com/office/drawing/2014/main" id="{8EAD0FAD-9ABC-4166-9104-8BA00B34F73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28" name="x_Picture 1" descr="Description: cid:image001.png@01D03949.49457930">
          <a:extLst>
            <a:ext uri="{FF2B5EF4-FFF2-40B4-BE49-F238E27FC236}">
              <a16:creationId xmlns:a16="http://schemas.microsoft.com/office/drawing/2014/main" id="{45E721D2-5AFB-4AA0-A392-D47886B2AA6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29" name="x_Picture 1" descr="Description: cid:image001.png@01D03949.49457930">
          <a:extLst>
            <a:ext uri="{FF2B5EF4-FFF2-40B4-BE49-F238E27FC236}">
              <a16:creationId xmlns:a16="http://schemas.microsoft.com/office/drawing/2014/main" id="{23C27E26-711D-42DD-818A-B92EDC5DB8F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30" name="x_Picture 1" descr="Description: cid:image001.png@01D03949.49457930">
          <a:extLst>
            <a:ext uri="{FF2B5EF4-FFF2-40B4-BE49-F238E27FC236}">
              <a16:creationId xmlns:a16="http://schemas.microsoft.com/office/drawing/2014/main" id="{BD28687D-E801-4D68-A666-C996FAD372F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31" name="x_Picture 1" descr="Description: cid:image001.png@01D03949.49457930">
          <a:extLst>
            <a:ext uri="{FF2B5EF4-FFF2-40B4-BE49-F238E27FC236}">
              <a16:creationId xmlns:a16="http://schemas.microsoft.com/office/drawing/2014/main" id="{26341C8F-2DF2-4509-BAAB-5961616A642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332" name="x_Picture 1" descr="Description: cid:image001.png@01D03949.49457930">
          <a:extLst>
            <a:ext uri="{FF2B5EF4-FFF2-40B4-BE49-F238E27FC236}">
              <a16:creationId xmlns:a16="http://schemas.microsoft.com/office/drawing/2014/main" id="{BA933305-EDC2-427E-9349-A7CCEC09F90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33" name="x_Picture 1" descr="Description: cid:image001.png@01D03949.49457930">
          <a:extLst>
            <a:ext uri="{FF2B5EF4-FFF2-40B4-BE49-F238E27FC236}">
              <a16:creationId xmlns:a16="http://schemas.microsoft.com/office/drawing/2014/main" id="{1762FEBC-C553-41BB-A1D2-7B2C4E3D750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34" name="x_Picture 1" descr="Description: cid:image001.png@01D03949.49457930">
          <a:extLst>
            <a:ext uri="{FF2B5EF4-FFF2-40B4-BE49-F238E27FC236}">
              <a16:creationId xmlns:a16="http://schemas.microsoft.com/office/drawing/2014/main" id="{EB0A6FCA-E210-4B7D-8F52-27727A2FFF5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35" name="x_Picture 1" descr="Description: cid:image001.png@01D03949.49457930">
          <a:extLst>
            <a:ext uri="{FF2B5EF4-FFF2-40B4-BE49-F238E27FC236}">
              <a16:creationId xmlns:a16="http://schemas.microsoft.com/office/drawing/2014/main" id="{C458455D-D7CD-43F7-80F3-0E05E05F679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36" name="x_Picture 1" descr="Description: cid:image001.png@01D03949.49457930">
          <a:extLst>
            <a:ext uri="{FF2B5EF4-FFF2-40B4-BE49-F238E27FC236}">
              <a16:creationId xmlns:a16="http://schemas.microsoft.com/office/drawing/2014/main" id="{23545B4A-0425-4CD1-920E-705D1613E3C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337" name="x_Picture 1" descr="Description: cid:image001.png@01D03949.49457930">
          <a:extLst>
            <a:ext uri="{FF2B5EF4-FFF2-40B4-BE49-F238E27FC236}">
              <a16:creationId xmlns:a16="http://schemas.microsoft.com/office/drawing/2014/main" id="{30743765-2CA5-40DA-810E-20D0466AE78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338" name="x_Picture 1" descr="Description: cid:image001.png@01D03949.49457930">
          <a:extLst>
            <a:ext uri="{FF2B5EF4-FFF2-40B4-BE49-F238E27FC236}">
              <a16:creationId xmlns:a16="http://schemas.microsoft.com/office/drawing/2014/main" id="{8BEC9383-80FB-401C-94EC-03ADA9A15B2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39" name="x_Picture 1" descr="Description: cid:image001.png@01D03949.49457930">
          <a:extLst>
            <a:ext uri="{FF2B5EF4-FFF2-40B4-BE49-F238E27FC236}">
              <a16:creationId xmlns:a16="http://schemas.microsoft.com/office/drawing/2014/main" id="{99CDE23B-E3E9-4969-9A78-A5964AB49B2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40" name="x_Picture 1" descr="Description: cid:image001.png@01D03949.49457930">
          <a:extLst>
            <a:ext uri="{FF2B5EF4-FFF2-40B4-BE49-F238E27FC236}">
              <a16:creationId xmlns:a16="http://schemas.microsoft.com/office/drawing/2014/main" id="{42A31C5B-8D47-42DC-9F7F-8A9ACA9DFA5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41" name="x_Picture 1" descr="Description: cid:image001.png@01D03949.49457930">
          <a:extLst>
            <a:ext uri="{FF2B5EF4-FFF2-40B4-BE49-F238E27FC236}">
              <a16:creationId xmlns:a16="http://schemas.microsoft.com/office/drawing/2014/main" id="{2C4C6DF8-7794-4E2F-8B14-E0E8A1794A5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42" name="x_Picture 1" descr="Description: cid:image001.png@01D03949.49457930">
          <a:extLst>
            <a:ext uri="{FF2B5EF4-FFF2-40B4-BE49-F238E27FC236}">
              <a16:creationId xmlns:a16="http://schemas.microsoft.com/office/drawing/2014/main" id="{E7512E84-653B-4CD7-89BF-B2CB03E47F1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43" name="x_Picture 1" descr="Description: cid:image001.png@01D03949.49457930">
          <a:extLst>
            <a:ext uri="{FF2B5EF4-FFF2-40B4-BE49-F238E27FC236}">
              <a16:creationId xmlns:a16="http://schemas.microsoft.com/office/drawing/2014/main" id="{3742624F-E91E-490B-9ADD-10A51F533CF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44" name="x_Picture 1" descr="Description: cid:image001.png@01D03949.49457930">
          <a:extLst>
            <a:ext uri="{FF2B5EF4-FFF2-40B4-BE49-F238E27FC236}">
              <a16:creationId xmlns:a16="http://schemas.microsoft.com/office/drawing/2014/main" id="{8490029B-EAA1-428A-B6EE-A786DBD4629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45" name="x_Picture 1" descr="Description: cid:image001.png@01D03949.49457930">
          <a:extLst>
            <a:ext uri="{FF2B5EF4-FFF2-40B4-BE49-F238E27FC236}">
              <a16:creationId xmlns:a16="http://schemas.microsoft.com/office/drawing/2014/main" id="{AC7CBA76-0201-4EE3-91DB-26636C98062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46" name="x_Picture 1" descr="Description: cid:image001.png@01D03949.49457930">
          <a:extLst>
            <a:ext uri="{FF2B5EF4-FFF2-40B4-BE49-F238E27FC236}">
              <a16:creationId xmlns:a16="http://schemas.microsoft.com/office/drawing/2014/main" id="{FDE2D5AF-9364-4088-B8B2-88D3F6F17A4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347" name="x_Picture 1" descr="Description: cid:image001.png@01D03949.49457930">
          <a:extLst>
            <a:ext uri="{FF2B5EF4-FFF2-40B4-BE49-F238E27FC236}">
              <a16:creationId xmlns:a16="http://schemas.microsoft.com/office/drawing/2014/main" id="{BF955F32-1A05-458D-82B7-3890195BAF9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348" name="x_Picture 1" descr="Description: cid:image001.png@01D03949.49457930">
          <a:extLst>
            <a:ext uri="{FF2B5EF4-FFF2-40B4-BE49-F238E27FC236}">
              <a16:creationId xmlns:a16="http://schemas.microsoft.com/office/drawing/2014/main" id="{382869F6-0EF1-4A3D-AF45-BF604BACFD3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49" name="x_Picture 1" descr="Description: cid:image001.png@01D03949.49457930">
          <a:extLst>
            <a:ext uri="{FF2B5EF4-FFF2-40B4-BE49-F238E27FC236}">
              <a16:creationId xmlns:a16="http://schemas.microsoft.com/office/drawing/2014/main" id="{23CA791B-993F-42D5-85E1-9EAD418BD46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50" name="x_Picture 1" descr="Description: cid:image001.png@01D03949.49457930">
          <a:extLst>
            <a:ext uri="{FF2B5EF4-FFF2-40B4-BE49-F238E27FC236}">
              <a16:creationId xmlns:a16="http://schemas.microsoft.com/office/drawing/2014/main" id="{430DA578-74D9-4C79-9FC4-1CE3FA73ED5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51" name="x_Picture 1" descr="Description: cid:image001.png@01D03949.49457930">
          <a:extLst>
            <a:ext uri="{FF2B5EF4-FFF2-40B4-BE49-F238E27FC236}">
              <a16:creationId xmlns:a16="http://schemas.microsoft.com/office/drawing/2014/main" id="{623165F5-21F0-490E-B299-F477298403D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52" name="x_Picture 1" descr="Description: cid:image001.png@01D03949.49457930">
          <a:extLst>
            <a:ext uri="{FF2B5EF4-FFF2-40B4-BE49-F238E27FC236}">
              <a16:creationId xmlns:a16="http://schemas.microsoft.com/office/drawing/2014/main" id="{23EAFE55-58EF-407D-9D80-C371A524D59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53" name="x_Picture 1" descr="Description: cid:image001.png@01D03949.49457930">
          <a:extLst>
            <a:ext uri="{FF2B5EF4-FFF2-40B4-BE49-F238E27FC236}">
              <a16:creationId xmlns:a16="http://schemas.microsoft.com/office/drawing/2014/main" id="{7DFE3AB7-D7EC-4F98-AC98-07B74729BC3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54" name="x_Picture 1" descr="Description: cid:image001.png@01D03949.49457930">
          <a:extLst>
            <a:ext uri="{FF2B5EF4-FFF2-40B4-BE49-F238E27FC236}">
              <a16:creationId xmlns:a16="http://schemas.microsoft.com/office/drawing/2014/main" id="{1903F2D1-1305-4515-86A5-EB4ABCCAEC6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55" name="x_Picture 1" descr="Description: cid:image001.png@01D03949.49457930">
          <a:extLst>
            <a:ext uri="{FF2B5EF4-FFF2-40B4-BE49-F238E27FC236}">
              <a16:creationId xmlns:a16="http://schemas.microsoft.com/office/drawing/2014/main" id="{3C73566E-4E41-413E-9E2B-7117C7D7F25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56" name="x_Picture 1" descr="Description: cid:image001.png@01D03949.49457930">
          <a:extLst>
            <a:ext uri="{FF2B5EF4-FFF2-40B4-BE49-F238E27FC236}">
              <a16:creationId xmlns:a16="http://schemas.microsoft.com/office/drawing/2014/main" id="{8D664F8B-B287-40C7-AF91-6B124329363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357" name="x_Picture 1" descr="Description: cid:image001.png@01D03949.49457930">
          <a:extLst>
            <a:ext uri="{FF2B5EF4-FFF2-40B4-BE49-F238E27FC236}">
              <a16:creationId xmlns:a16="http://schemas.microsoft.com/office/drawing/2014/main" id="{3DFEA1BF-C32B-483E-8CF1-D0D41C4490F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358" name="x_Picture 1" descr="Description: cid:image001.png@01D03949.49457930">
          <a:extLst>
            <a:ext uri="{FF2B5EF4-FFF2-40B4-BE49-F238E27FC236}">
              <a16:creationId xmlns:a16="http://schemas.microsoft.com/office/drawing/2014/main" id="{221E8A06-0EBB-41BE-8F77-88006F59C8B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59" name="x_Picture 1" descr="Description: cid:image001.png@01D03949.49457930">
          <a:extLst>
            <a:ext uri="{FF2B5EF4-FFF2-40B4-BE49-F238E27FC236}">
              <a16:creationId xmlns:a16="http://schemas.microsoft.com/office/drawing/2014/main" id="{B8C7B068-4612-474E-9A77-0CF781DC990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360" name="x_Picture 1" descr="Description: cid:image001.png@01D03949.49457930">
          <a:extLst>
            <a:ext uri="{FF2B5EF4-FFF2-40B4-BE49-F238E27FC236}">
              <a16:creationId xmlns:a16="http://schemas.microsoft.com/office/drawing/2014/main" id="{2E6BAD0C-E404-49D6-B3EF-682E651F692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61" name="x_Picture 1" descr="Description: cid:image001.png@01D03949.49457930">
          <a:extLst>
            <a:ext uri="{FF2B5EF4-FFF2-40B4-BE49-F238E27FC236}">
              <a16:creationId xmlns:a16="http://schemas.microsoft.com/office/drawing/2014/main" id="{FD43F3E8-684D-4EB0-BBF7-FFA872CF930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62" name="x_Picture 1" descr="Description: cid:image001.png@01D03949.49457930">
          <a:extLst>
            <a:ext uri="{FF2B5EF4-FFF2-40B4-BE49-F238E27FC236}">
              <a16:creationId xmlns:a16="http://schemas.microsoft.com/office/drawing/2014/main" id="{7A38170B-ECAA-499B-943C-3E034683471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63" name="x_Picture 1" descr="Description: cid:image001.png@01D03949.49457930">
          <a:extLst>
            <a:ext uri="{FF2B5EF4-FFF2-40B4-BE49-F238E27FC236}">
              <a16:creationId xmlns:a16="http://schemas.microsoft.com/office/drawing/2014/main" id="{AD9B447F-D47D-4694-BB70-5ABDB19A415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64" name="x_Picture 1" descr="Description: cid:image001.png@01D03949.49457930">
          <a:extLst>
            <a:ext uri="{FF2B5EF4-FFF2-40B4-BE49-F238E27FC236}">
              <a16:creationId xmlns:a16="http://schemas.microsoft.com/office/drawing/2014/main" id="{8CD94AA5-2EFB-4855-B952-B0A9196FCB7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163618</xdr:rowOff>
    </xdr:to>
    <xdr:sp macro="" textlink="">
      <xdr:nvSpPr>
        <xdr:cNvPr id="3365" name="x_Picture 1" descr="Description: cid:image001.png@01D03949.49457930">
          <a:extLst>
            <a:ext uri="{FF2B5EF4-FFF2-40B4-BE49-F238E27FC236}">
              <a16:creationId xmlns:a16="http://schemas.microsoft.com/office/drawing/2014/main" id="{6EE11A67-D69D-4996-B89C-1A4637766B6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163618</xdr:rowOff>
    </xdr:to>
    <xdr:sp macro="" textlink="">
      <xdr:nvSpPr>
        <xdr:cNvPr id="3366" name="x_Picture 1" descr="Description: cid:image001.png@01D03949.49457930">
          <a:extLst>
            <a:ext uri="{FF2B5EF4-FFF2-40B4-BE49-F238E27FC236}">
              <a16:creationId xmlns:a16="http://schemas.microsoft.com/office/drawing/2014/main" id="{2D2F3A3B-C2E0-4FBA-B408-EC5E7342A6C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67" name="x_Picture 1" descr="Description: cid:image001.png@01D03949.49457930">
          <a:extLst>
            <a:ext uri="{FF2B5EF4-FFF2-40B4-BE49-F238E27FC236}">
              <a16:creationId xmlns:a16="http://schemas.microsoft.com/office/drawing/2014/main" id="{342C3CC2-FA62-47F3-8F52-6345C372E70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68" name="x_Picture 1" descr="Description: cid:image001.png@01D03949.49457930">
          <a:extLst>
            <a:ext uri="{FF2B5EF4-FFF2-40B4-BE49-F238E27FC236}">
              <a16:creationId xmlns:a16="http://schemas.microsoft.com/office/drawing/2014/main" id="{A29808C8-AB31-452D-97BD-038453D3AC6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69" name="x_Picture 1" descr="Description: cid:image001.png@01D03949.49457930">
          <a:extLst>
            <a:ext uri="{FF2B5EF4-FFF2-40B4-BE49-F238E27FC236}">
              <a16:creationId xmlns:a16="http://schemas.microsoft.com/office/drawing/2014/main" id="{B9875A2C-7092-4CF8-B18D-3CFD56DF32E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70" name="x_Picture 1" descr="Description: cid:image001.png@01D03949.49457930">
          <a:extLst>
            <a:ext uri="{FF2B5EF4-FFF2-40B4-BE49-F238E27FC236}">
              <a16:creationId xmlns:a16="http://schemas.microsoft.com/office/drawing/2014/main" id="{CCDC9723-C67E-423C-BE45-49D8B0EB4B6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163618</xdr:rowOff>
    </xdr:to>
    <xdr:sp macro="" textlink="">
      <xdr:nvSpPr>
        <xdr:cNvPr id="3371" name="x_Picture 1" descr="Description: cid:image001.png@01D03949.49457930">
          <a:extLst>
            <a:ext uri="{FF2B5EF4-FFF2-40B4-BE49-F238E27FC236}">
              <a16:creationId xmlns:a16="http://schemas.microsoft.com/office/drawing/2014/main" id="{ED5AC7F5-132A-4479-AAA2-BA4908BBC72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163618</xdr:rowOff>
    </xdr:to>
    <xdr:sp macro="" textlink="">
      <xdr:nvSpPr>
        <xdr:cNvPr id="3372" name="x_Picture 1" descr="Description: cid:image001.png@01D03949.49457930">
          <a:extLst>
            <a:ext uri="{FF2B5EF4-FFF2-40B4-BE49-F238E27FC236}">
              <a16:creationId xmlns:a16="http://schemas.microsoft.com/office/drawing/2014/main" id="{E419C46C-3602-4473-86AF-FD4901D057F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73" name="x_Picture 1" descr="Description: cid:image001.png@01D03949.49457930">
          <a:extLst>
            <a:ext uri="{FF2B5EF4-FFF2-40B4-BE49-F238E27FC236}">
              <a16:creationId xmlns:a16="http://schemas.microsoft.com/office/drawing/2014/main" id="{88096FF8-707C-4747-B7B1-EE73378D113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74" name="x_Picture 1" descr="Description: cid:image001.png@01D03949.49457930">
          <a:extLst>
            <a:ext uri="{FF2B5EF4-FFF2-40B4-BE49-F238E27FC236}">
              <a16:creationId xmlns:a16="http://schemas.microsoft.com/office/drawing/2014/main" id="{232C47E2-C1E9-4F62-9D69-28101625A82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75" name="x_Picture 1" descr="Description: cid:image001.png@01D03949.49457930">
          <a:extLst>
            <a:ext uri="{FF2B5EF4-FFF2-40B4-BE49-F238E27FC236}">
              <a16:creationId xmlns:a16="http://schemas.microsoft.com/office/drawing/2014/main" id="{A257C305-2B69-4E85-9998-2172E75F507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76" name="x_Picture 1" descr="Description: cid:image001.png@01D03949.49457930">
          <a:extLst>
            <a:ext uri="{FF2B5EF4-FFF2-40B4-BE49-F238E27FC236}">
              <a16:creationId xmlns:a16="http://schemas.microsoft.com/office/drawing/2014/main" id="{9630F1D4-02BC-46FC-8DFD-B8972AB3FCF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163618</xdr:rowOff>
    </xdr:to>
    <xdr:sp macro="" textlink="">
      <xdr:nvSpPr>
        <xdr:cNvPr id="3377" name="x_Picture 1" descr="Description: cid:image001.png@01D03949.49457930">
          <a:extLst>
            <a:ext uri="{FF2B5EF4-FFF2-40B4-BE49-F238E27FC236}">
              <a16:creationId xmlns:a16="http://schemas.microsoft.com/office/drawing/2014/main" id="{61025D81-CCD9-4AC4-8B3A-C4E6DCAC0C4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163618</xdr:rowOff>
    </xdr:to>
    <xdr:sp macro="" textlink="">
      <xdr:nvSpPr>
        <xdr:cNvPr id="3378" name="x_Picture 1" descr="Description: cid:image001.png@01D03949.49457930">
          <a:extLst>
            <a:ext uri="{FF2B5EF4-FFF2-40B4-BE49-F238E27FC236}">
              <a16:creationId xmlns:a16="http://schemas.microsoft.com/office/drawing/2014/main" id="{58B932B3-AFF9-495B-83A4-091519323C0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79" name="x_Picture 1" descr="Description: cid:image001.png@01D03949.49457930">
          <a:extLst>
            <a:ext uri="{FF2B5EF4-FFF2-40B4-BE49-F238E27FC236}">
              <a16:creationId xmlns:a16="http://schemas.microsoft.com/office/drawing/2014/main" id="{D6609DE9-9470-47BC-9438-C916F8E2168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80" name="x_Picture 1" descr="Description: cid:image001.png@01D03949.49457930">
          <a:extLst>
            <a:ext uri="{FF2B5EF4-FFF2-40B4-BE49-F238E27FC236}">
              <a16:creationId xmlns:a16="http://schemas.microsoft.com/office/drawing/2014/main" id="{6B722DA1-1484-419D-B0F4-CCD5739F3E7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81" name="x_Picture 1" descr="Description: cid:image001.png@01D03949.49457930">
          <a:extLst>
            <a:ext uri="{FF2B5EF4-FFF2-40B4-BE49-F238E27FC236}">
              <a16:creationId xmlns:a16="http://schemas.microsoft.com/office/drawing/2014/main" id="{DC1B4F0F-2E06-4ECA-894A-00E3F360C6F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82" name="x_Picture 1" descr="Description: cid:image001.png@01D03949.49457930">
          <a:extLst>
            <a:ext uri="{FF2B5EF4-FFF2-40B4-BE49-F238E27FC236}">
              <a16:creationId xmlns:a16="http://schemas.microsoft.com/office/drawing/2014/main" id="{E2831DDF-05EB-4897-9CC6-A5468AD3B6C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163618</xdr:rowOff>
    </xdr:to>
    <xdr:sp macro="" textlink="">
      <xdr:nvSpPr>
        <xdr:cNvPr id="3383" name="x_Picture 1" descr="Description: cid:image001.png@01D03949.49457930">
          <a:extLst>
            <a:ext uri="{FF2B5EF4-FFF2-40B4-BE49-F238E27FC236}">
              <a16:creationId xmlns:a16="http://schemas.microsoft.com/office/drawing/2014/main" id="{FF76AFC2-6316-4B10-9033-9463D19C556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163618</xdr:rowOff>
    </xdr:to>
    <xdr:sp macro="" textlink="">
      <xdr:nvSpPr>
        <xdr:cNvPr id="3384" name="x_Picture 1" descr="Description: cid:image001.png@01D03949.49457930">
          <a:extLst>
            <a:ext uri="{FF2B5EF4-FFF2-40B4-BE49-F238E27FC236}">
              <a16:creationId xmlns:a16="http://schemas.microsoft.com/office/drawing/2014/main" id="{BFD4F92C-7CDA-497D-97EA-86622826796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160442</xdr:rowOff>
    </xdr:to>
    <xdr:sp macro="" textlink="">
      <xdr:nvSpPr>
        <xdr:cNvPr id="3385" name="x_Picture 1" descr="Description: cid:image001.png@01D03949.49457930">
          <a:extLst>
            <a:ext uri="{FF2B5EF4-FFF2-40B4-BE49-F238E27FC236}">
              <a16:creationId xmlns:a16="http://schemas.microsoft.com/office/drawing/2014/main" id="{7AA04542-C7F8-491B-8406-5AA7B1210C6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160442</xdr:rowOff>
    </xdr:to>
    <xdr:sp macro="" textlink="">
      <xdr:nvSpPr>
        <xdr:cNvPr id="3386" name="x_Picture 1" descr="Description: cid:image001.png@01D03949.49457930">
          <a:extLst>
            <a:ext uri="{FF2B5EF4-FFF2-40B4-BE49-F238E27FC236}">
              <a16:creationId xmlns:a16="http://schemas.microsoft.com/office/drawing/2014/main" id="{BE62DC18-393D-4D00-B396-F5CEA85E016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160442</xdr:rowOff>
    </xdr:to>
    <xdr:sp macro="" textlink="">
      <xdr:nvSpPr>
        <xdr:cNvPr id="3387" name="x_Picture 1" descr="Description: cid:image001.png@01D03949.49457930">
          <a:extLst>
            <a:ext uri="{FF2B5EF4-FFF2-40B4-BE49-F238E27FC236}">
              <a16:creationId xmlns:a16="http://schemas.microsoft.com/office/drawing/2014/main" id="{EF85AED1-EEAA-44F3-B1C7-AB2D3323469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160442</xdr:rowOff>
    </xdr:to>
    <xdr:sp macro="" textlink="">
      <xdr:nvSpPr>
        <xdr:cNvPr id="3388" name="x_Picture 1" descr="Description: cid:image001.png@01D03949.49457930">
          <a:extLst>
            <a:ext uri="{FF2B5EF4-FFF2-40B4-BE49-F238E27FC236}">
              <a16:creationId xmlns:a16="http://schemas.microsoft.com/office/drawing/2014/main" id="{F504EFAA-DE43-45E8-9406-3BE021C66FF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160441</xdr:rowOff>
    </xdr:to>
    <xdr:sp macro="" textlink="">
      <xdr:nvSpPr>
        <xdr:cNvPr id="3389" name="x_Picture 1" descr="Description: cid:image001.png@01D03949.49457930">
          <a:extLst>
            <a:ext uri="{FF2B5EF4-FFF2-40B4-BE49-F238E27FC236}">
              <a16:creationId xmlns:a16="http://schemas.microsoft.com/office/drawing/2014/main" id="{C90E02FC-C7FA-4996-B07C-A91EBFD6132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160441</xdr:rowOff>
    </xdr:to>
    <xdr:sp macro="" textlink="">
      <xdr:nvSpPr>
        <xdr:cNvPr id="3390" name="x_Picture 1" descr="Description: cid:image001.png@01D03949.49457930">
          <a:extLst>
            <a:ext uri="{FF2B5EF4-FFF2-40B4-BE49-F238E27FC236}">
              <a16:creationId xmlns:a16="http://schemas.microsoft.com/office/drawing/2014/main" id="{D90FA6AF-A6C7-46A1-A677-860F2979CB4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160442</xdr:rowOff>
    </xdr:to>
    <xdr:sp macro="" textlink="">
      <xdr:nvSpPr>
        <xdr:cNvPr id="3391" name="x_Picture 1" descr="Description: cid:image001.png@01D03949.49457930">
          <a:extLst>
            <a:ext uri="{FF2B5EF4-FFF2-40B4-BE49-F238E27FC236}">
              <a16:creationId xmlns:a16="http://schemas.microsoft.com/office/drawing/2014/main" id="{AC13C74C-5F1E-461A-BEA0-1FFFA7C0C44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160442</xdr:rowOff>
    </xdr:to>
    <xdr:sp macro="" textlink="">
      <xdr:nvSpPr>
        <xdr:cNvPr id="3392" name="x_Picture 1" descr="Description: cid:image001.png@01D03949.49457930">
          <a:extLst>
            <a:ext uri="{FF2B5EF4-FFF2-40B4-BE49-F238E27FC236}">
              <a16:creationId xmlns:a16="http://schemas.microsoft.com/office/drawing/2014/main" id="{B7C57A03-0035-4EBA-9FDE-3CF0800B35F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160442</xdr:rowOff>
    </xdr:to>
    <xdr:sp macro="" textlink="">
      <xdr:nvSpPr>
        <xdr:cNvPr id="3393" name="x_Picture 1" descr="Description: cid:image001.png@01D03949.49457930">
          <a:extLst>
            <a:ext uri="{FF2B5EF4-FFF2-40B4-BE49-F238E27FC236}">
              <a16:creationId xmlns:a16="http://schemas.microsoft.com/office/drawing/2014/main" id="{B8C03475-FEE3-44B3-976E-2CC4BEDD39A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160442</xdr:rowOff>
    </xdr:to>
    <xdr:sp macro="" textlink="">
      <xdr:nvSpPr>
        <xdr:cNvPr id="3394" name="x_Picture 1" descr="Description: cid:image001.png@01D03949.49457930">
          <a:extLst>
            <a:ext uri="{FF2B5EF4-FFF2-40B4-BE49-F238E27FC236}">
              <a16:creationId xmlns:a16="http://schemas.microsoft.com/office/drawing/2014/main" id="{396B1CFC-D3ED-45A6-86F8-E8B80EC0FC9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95" name="x_Picture 1" descr="Description: cid:image001.png@01D03949.49457930">
          <a:extLst>
            <a:ext uri="{FF2B5EF4-FFF2-40B4-BE49-F238E27FC236}">
              <a16:creationId xmlns:a16="http://schemas.microsoft.com/office/drawing/2014/main" id="{2CAEC1F2-4682-45A3-946E-042010985EA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96" name="x_Picture 1" descr="Description: cid:image001.png@01D03949.49457930">
          <a:extLst>
            <a:ext uri="{FF2B5EF4-FFF2-40B4-BE49-F238E27FC236}">
              <a16:creationId xmlns:a16="http://schemas.microsoft.com/office/drawing/2014/main" id="{009E732A-CBA9-4E28-BA67-98AFCD72E56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97" name="x_Picture 1" descr="Description: cid:image001.png@01D03949.49457930">
          <a:extLst>
            <a:ext uri="{FF2B5EF4-FFF2-40B4-BE49-F238E27FC236}">
              <a16:creationId xmlns:a16="http://schemas.microsoft.com/office/drawing/2014/main" id="{7915B0B2-DD8E-4E11-8DDC-B3D2E5216C1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98" name="x_Picture 1" descr="Description: cid:image001.png@01D03949.49457930">
          <a:extLst>
            <a:ext uri="{FF2B5EF4-FFF2-40B4-BE49-F238E27FC236}">
              <a16:creationId xmlns:a16="http://schemas.microsoft.com/office/drawing/2014/main" id="{48532D85-99CC-4E68-8612-E45E88C2621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399" name="x_Picture 1" descr="Description: cid:image001.png@01D03949.49457930">
          <a:extLst>
            <a:ext uri="{FF2B5EF4-FFF2-40B4-BE49-F238E27FC236}">
              <a16:creationId xmlns:a16="http://schemas.microsoft.com/office/drawing/2014/main" id="{E344CC1A-0317-4A45-B7A5-BF91CC9ED75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0" name="x_Picture 1" descr="Description: cid:image001.png@01D03949.49457930">
          <a:extLst>
            <a:ext uri="{FF2B5EF4-FFF2-40B4-BE49-F238E27FC236}">
              <a16:creationId xmlns:a16="http://schemas.microsoft.com/office/drawing/2014/main" id="{43DCC77F-94FA-4A32-9474-991488682C5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1" name="x_Picture 1" descr="Description: cid:image001.png@01D03949.49457930">
          <a:extLst>
            <a:ext uri="{FF2B5EF4-FFF2-40B4-BE49-F238E27FC236}">
              <a16:creationId xmlns:a16="http://schemas.microsoft.com/office/drawing/2014/main" id="{B426CB99-63DE-4CE8-B158-B698A58ECA1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2" name="x_Picture 1" descr="Description: cid:image001.png@01D03949.49457930">
          <a:extLst>
            <a:ext uri="{FF2B5EF4-FFF2-40B4-BE49-F238E27FC236}">
              <a16:creationId xmlns:a16="http://schemas.microsoft.com/office/drawing/2014/main" id="{F08C1960-7941-4D52-8226-1E224C8667F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3" name="x_Picture 1" descr="Description: cid:image001.png@01D03949.49457930">
          <a:extLst>
            <a:ext uri="{FF2B5EF4-FFF2-40B4-BE49-F238E27FC236}">
              <a16:creationId xmlns:a16="http://schemas.microsoft.com/office/drawing/2014/main" id="{F6D3477B-A7DF-4526-BC5D-5C5F888B3E6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4" name="x_Picture 1" descr="Description: cid:image001.png@01D03949.49457930">
          <a:extLst>
            <a:ext uri="{FF2B5EF4-FFF2-40B4-BE49-F238E27FC236}">
              <a16:creationId xmlns:a16="http://schemas.microsoft.com/office/drawing/2014/main" id="{166F3F8F-A59C-4876-8C69-3A0FEC05501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5" name="x_Picture 1" descr="Description: cid:image001.png@01D03949.49457930">
          <a:extLst>
            <a:ext uri="{FF2B5EF4-FFF2-40B4-BE49-F238E27FC236}">
              <a16:creationId xmlns:a16="http://schemas.microsoft.com/office/drawing/2014/main" id="{6A5D6F75-8046-4B79-8C2A-692AFBAF5DE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6" name="x_Picture 1" descr="Description: cid:image001.png@01D03949.49457930">
          <a:extLst>
            <a:ext uri="{FF2B5EF4-FFF2-40B4-BE49-F238E27FC236}">
              <a16:creationId xmlns:a16="http://schemas.microsoft.com/office/drawing/2014/main" id="{8F83BBA0-24DC-4063-8A2F-BC8E5ACF6CD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7" name="x_Picture 1" descr="Description: cid:image001.png@01D03949.49457930">
          <a:extLst>
            <a:ext uri="{FF2B5EF4-FFF2-40B4-BE49-F238E27FC236}">
              <a16:creationId xmlns:a16="http://schemas.microsoft.com/office/drawing/2014/main" id="{F6112B2C-4E16-4961-824C-44A04E973DD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8" name="x_Picture 1" descr="Description: cid:image001.png@01D03949.49457930">
          <a:extLst>
            <a:ext uri="{FF2B5EF4-FFF2-40B4-BE49-F238E27FC236}">
              <a16:creationId xmlns:a16="http://schemas.microsoft.com/office/drawing/2014/main" id="{9C820C6A-F5F5-461E-B5D7-075A1164CBB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09" name="x_Picture 1" descr="Description: cid:image001.png@01D03949.49457930">
          <a:extLst>
            <a:ext uri="{FF2B5EF4-FFF2-40B4-BE49-F238E27FC236}">
              <a16:creationId xmlns:a16="http://schemas.microsoft.com/office/drawing/2014/main" id="{5760DE83-4574-47EA-A2CD-B093B666505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10" name="x_Picture 1" descr="Description: cid:image001.png@01D03949.49457930">
          <a:extLst>
            <a:ext uri="{FF2B5EF4-FFF2-40B4-BE49-F238E27FC236}">
              <a16:creationId xmlns:a16="http://schemas.microsoft.com/office/drawing/2014/main" id="{57E1341A-819F-4FA6-A73B-5CABB7E16C4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11" name="x_Picture 1" descr="Description: cid:image001.png@01D03949.49457930">
          <a:extLst>
            <a:ext uri="{FF2B5EF4-FFF2-40B4-BE49-F238E27FC236}">
              <a16:creationId xmlns:a16="http://schemas.microsoft.com/office/drawing/2014/main" id="{674B3E57-ED89-49A7-A639-8B4B7372EE0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12" name="x_Picture 1" descr="Description: cid:image001.png@01D03949.49457930">
          <a:extLst>
            <a:ext uri="{FF2B5EF4-FFF2-40B4-BE49-F238E27FC236}">
              <a16:creationId xmlns:a16="http://schemas.microsoft.com/office/drawing/2014/main" id="{BFF541C8-FE3B-4250-8A91-C5E23BAE116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13" name="x_Picture 1" descr="Description: cid:image001.png@01D03949.49457930">
          <a:extLst>
            <a:ext uri="{FF2B5EF4-FFF2-40B4-BE49-F238E27FC236}">
              <a16:creationId xmlns:a16="http://schemas.microsoft.com/office/drawing/2014/main" id="{3F874369-0EF6-43B3-A0C3-758C738F62B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14" name="x_Picture 1" descr="Description: cid:image001.png@01D03949.49457930">
          <a:extLst>
            <a:ext uri="{FF2B5EF4-FFF2-40B4-BE49-F238E27FC236}">
              <a16:creationId xmlns:a16="http://schemas.microsoft.com/office/drawing/2014/main" id="{D4D67C60-ED9E-46C8-9899-CA5147696D3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15" name="x_Picture 1" descr="Description: cid:image001.png@01D03949.49457930">
          <a:extLst>
            <a:ext uri="{FF2B5EF4-FFF2-40B4-BE49-F238E27FC236}">
              <a16:creationId xmlns:a16="http://schemas.microsoft.com/office/drawing/2014/main" id="{9006762C-7AC3-42FC-8DCA-3DCAD18D1EE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16" name="x_Picture 1" descr="Description: cid:image001.png@01D03949.49457930">
          <a:extLst>
            <a:ext uri="{FF2B5EF4-FFF2-40B4-BE49-F238E27FC236}">
              <a16:creationId xmlns:a16="http://schemas.microsoft.com/office/drawing/2014/main" id="{C4213045-14F1-4D7A-B22F-DF50EAFE7D3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17" name="x_Picture 1" descr="Description: cid:image001.png@01D03949.49457930">
          <a:extLst>
            <a:ext uri="{FF2B5EF4-FFF2-40B4-BE49-F238E27FC236}">
              <a16:creationId xmlns:a16="http://schemas.microsoft.com/office/drawing/2014/main" id="{0A21D9C6-114A-47B9-AEDE-935FDF7DBC9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163619</xdr:rowOff>
    </xdr:to>
    <xdr:sp macro="" textlink="">
      <xdr:nvSpPr>
        <xdr:cNvPr id="3418" name="x_Picture 1" descr="Description: cid:image001.png@01D03949.49457930">
          <a:extLst>
            <a:ext uri="{FF2B5EF4-FFF2-40B4-BE49-F238E27FC236}">
              <a16:creationId xmlns:a16="http://schemas.microsoft.com/office/drawing/2014/main" id="{5D25E4E0-6D14-46F0-A757-DA2BC657D5C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20" name="x_Picture 1" descr="Description: cid:image001.png@01D03949.49457930">
          <a:extLst>
            <a:ext uri="{FF2B5EF4-FFF2-40B4-BE49-F238E27FC236}">
              <a16:creationId xmlns:a16="http://schemas.microsoft.com/office/drawing/2014/main" id="{3D557FDA-4BB9-41AA-A152-29B7EBA9C8D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21" name="x_Picture 1" descr="Description: cid:image001.png@01D03949.49457930">
          <a:extLst>
            <a:ext uri="{FF2B5EF4-FFF2-40B4-BE49-F238E27FC236}">
              <a16:creationId xmlns:a16="http://schemas.microsoft.com/office/drawing/2014/main" id="{1F937EF5-8D05-49F4-9D60-BC262343AD6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22" name="x_Picture 1" descr="Description: cid:image001.png@01D03949.49457930">
          <a:extLst>
            <a:ext uri="{FF2B5EF4-FFF2-40B4-BE49-F238E27FC236}">
              <a16:creationId xmlns:a16="http://schemas.microsoft.com/office/drawing/2014/main" id="{E66F8E70-49B0-49B2-8338-6F33658164C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23" name="x_Picture 1" descr="Description: cid:image001.png@01D03949.49457930">
          <a:extLst>
            <a:ext uri="{FF2B5EF4-FFF2-40B4-BE49-F238E27FC236}">
              <a16:creationId xmlns:a16="http://schemas.microsoft.com/office/drawing/2014/main" id="{C08ADCD7-BD28-4124-A4AB-791B594DED5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6"/>
    <xdr:sp macro="" textlink="">
      <xdr:nvSpPr>
        <xdr:cNvPr id="3424" name="x_Picture 1" descr="Description: cid:image001.png@01D03949.49457930">
          <a:extLst>
            <a:ext uri="{FF2B5EF4-FFF2-40B4-BE49-F238E27FC236}">
              <a16:creationId xmlns:a16="http://schemas.microsoft.com/office/drawing/2014/main" id="{717EEC56-E871-4568-B7FE-0202AD255A4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25" name="x_Picture 1" descr="Description: cid:image001.png@01D03949.49457930">
          <a:extLst>
            <a:ext uri="{FF2B5EF4-FFF2-40B4-BE49-F238E27FC236}">
              <a16:creationId xmlns:a16="http://schemas.microsoft.com/office/drawing/2014/main" id="{482612BD-9721-4BD5-BBA2-112C683EAC1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26" name="x_Picture 1" descr="Description: cid:image001.png@01D03949.49457930">
          <a:extLst>
            <a:ext uri="{FF2B5EF4-FFF2-40B4-BE49-F238E27FC236}">
              <a16:creationId xmlns:a16="http://schemas.microsoft.com/office/drawing/2014/main" id="{2142F007-1E3C-4ABE-9D8A-7D3C9C3043D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27" name="x_Picture 1" descr="Description: cid:image001.png@01D03949.49457930">
          <a:extLst>
            <a:ext uri="{FF2B5EF4-FFF2-40B4-BE49-F238E27FC236}">
              <a16:creationId xmlns:a16="http://schemas.microsoft.com/office/drawing/2014/main" id="{B75341B9-3960-4967-BAF2-1552F37DA32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28" name="x_Picture 1" descr="Description: cid:image001.png@01D03949.49457930">
          <a:extLst>
            <a:ext uri="{FF2B5EF4-FFF2-40B4-BE49-F238E27FC236}">
              <a16:creationId xmlns:a16="http://schemas.microsoft.com/office/drawing/2014/main" id="{C59B82C9-7BFA-4BF7-B553-EB249D7BA6B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6"/>
    <xdr:sp macro="" textlink="">
      <xdr:nvSpPr>
        <xdr:cNvPr id="3429" name="x_Picture 1" descr="Description: cid:image001.png@01D03949.49457930">
          <a:extLst>
            <a:ext uri="{FF2B5EF4-FFF2-40B4-BE49-F238E27FC236}">
              <a16:creationId xmlns:a16="http://schemas.microsoft.com/office/drawing/2014/main" id="{655B19B3-0554-4317-8BBB-E72B8DFB33F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6"/>
    <xdr:sp macro="" textlink="">
      <xdr:nvSpPr>
        <xdr:cNvPr id="3430" name="x_Picture 1" descr="Description: cid:image001.png@01D03949.49457930">
          <a:extLst>
            <a:ext uri="{FF2B5EF4-FFF2-40B4-BE49-F238E27FC236}">
              <a16:creationId xmlns:a16="http://schemas.microsoft.com/office/drawing/2014/main" id="{2C03F8A6-5280-4551-BBB4-9FADC42FE16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31" name="x_Picture 1" descr="Description: cid:image001.png@01D03949.49457930">
          <a:extLst>
            <a:ext uri="{FF2B5EF4-FFF2-40B4-BE49-F238E27FC236}">
              <a16:creationId xmlns:a16="http://schemas.microsoft.com/office/drawing/2014/main" id="{646CE975-9492-42FC-B616-07EEBEB6EF7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32" name="x_Picture 1" descr="Description: cid:image001.png@01D03949.49457930">
          <a:extLst>
            <a:ext uri="{FF2B5EF4-FFF2-40B4-BE49-F238E27FC236}">
              <a16:creationId xmlns:a16="http://schemas.microsoft.com/office/drawing/2014/main" id="{27FB6725-948C-4DEF-A5BE-F6B25D3B72D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33" name="x_Picture 1" descr="Description: cid:image001.png@01D03949.49457930">
          <a:extLst>
            <a:ext uri="{FF2B5EF4-FFF2-40B4-BE49-F238E27FC236}">
              <a16:creationId xmlns:a16="http://schemas.microsoft.com/office/drawing/2014/main" id="{9808B2C6-2869-4F98-8F12-8885FD66469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34" name="x_Picture 1" descr="Description: cid:image001.png@01D03949.49457930">
          <a:extLst>
            <a:ext uri="{FF2B5EF4-FFF2-40B4-BE49-F238E27FC236}">
              <a16:creationId xmlns:a16="http://schemas.microsoft.com/office/drawing/2014/main" id="{F41C2C7B-7A9D-4EDB-846A-E772A067662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35" name="x_Picture 1" descr="Description: cid:image001.png@01D03949.49457930">
          <a:extLst>
            <a:ext uri="{FF2B5EF4-FFF2-40B4-BE49-F238E27FC236}">
              <a16:creationId xmlns:a16="http://schemas.microsoft.com/office/drawing/2014/main" id="{2640C6A9-E733-4E46-8E72-6A0B329D782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36" name="x_Picture 1" descr="Description: cid:image001.png@01D03949.49457930">
          <a:extLst>
            <a:ext uri="{FF2B5EF4-FFF2-40B4-BE49-F238E27FC236}">
              <a16:creationId xmlns:a16="http://schemas.microsoft.com/office/drawing/2014/main" id="{47742974-4701-4126-B709-F025C441B6B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37" name="x_Picture 1" descr="Description: cid:image001.png@01D03949.49457930">
          <a:extLst>
            <a:ext uri="{FF2B5EF4-FFF2-40B4-BE49-F238E27FC236}">
              <a16:creationId xmlns:a16="http://schemas.microsoft.com/office/drawing/2014/main" id="{DF8182EC-8CBF-4A84-9BE8-A45EE96E330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38" name="x_Picture 1" descr="Description: cid:image001.png@01D03949.49457930">
          <a:extLst>
            <a:ext uri="{FF2B5EF4-FFF2-40B4-BE49-F238E27FC236}">
              <a16:creationId xmlns:a16="http://schemas.microsoft.com/office/drawing/2014/main" id="{228B88C8-4F4F-4C98-A8D2-AEFD5F84947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6"/>
    <xdr:sp macro="" textlink="">
      <xdr:nvSpPr>
        <xdr:cNvPr id="3439" name="x_Picture 1" descr="Description: cid:image001.png@01D03949.49457930">
          <a:extLst>
            <a:ext uri="{FF2B5EF4-FFF2-40B4-BE49-F238E27FC236}">
              <a16:creationId xmlns:a16="http://schemas.microsoft.com/office/drawing/2014/main" id="{830E28CD-198B-4879-B973-C4BFB8F6ECF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6"/>
    <xdr:sp macro="" textlink="">
      <xdr:nvSpPr>
        <xdr:cNvPr id="3440" name="x_Picture 1" descr="Description: cid:image001.png@01D03949.49457930">
          <a:extLst>
            <a:ext uri="{FF2B5EF4-FFF2-40B4-BE49-F238E27FC236}">
              <a16:creationId xmlns:a16="http://schemas.microsoft.com/office/drawing/2014/main" id="{0938EF52-3F0A-47F4-83FB-11C77A01F78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41" name="x_Picture 1" descr="Description: cid:image001.png@01D03949.49457930">
          <a:extLst>
            <a:ext uri="{FF2B5EF4-FFF2-40B4-BE49-F238E27FC236}">
              <a16:creationId xmlns:a16="http://schemas.microsoft.com/office/drawing/2014/main" id="{BFA891B6-9B7D-43A1-A176-2206E3A1B3B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42" name="x_Picture 1" descr="Description: cid:image001.png@01D03949.49457930">
          <a:extLst>
            <a:ext uri="{FF2B5EF4-FFF2-40B4-BE49-F238E27FC236}">
              <a16:creationId xmlns:a16="http://schemas.microsoft.com/office/drawing/2014/main" id="{16351DD7-13FE-4EA3-89B6-A2EB51A852A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43" name="x_Picture 1" descr="Description: cid:image001.png@01D03949.49457930">
          <a:extLst>
            <a:ext uri="{FF2B5EF4-FFF2-40B4-BE49-F238E27FC236}">
              <a16:creationId xmlns:a16="http://schemas.microsoft.com/office/drawing/2014/main" id="{3293B29E-E1E5-40AE-8D06-902DE186D4E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44" name="x_Picture 1" descr="Description: cid:image001.png@01D03949.49457930">
          <a:extLst>
            <a:ext uri="{FF2B5EF4-FFF2-40B4-BE49-F238E27FC236}">
              <a16:creationId xmlns:a16="http://schemas.microsoft.com/office/drawing/2014/main" id="{508649C1-2AE7-4691-938B-488763189BE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45" name="x_Picture 1" descr="Description: cid:image001.png@01D03949.49457930">
          <a:extLst>
            <a:ext uri="{FF2B5EF4-FFF2-40B4-BE49-F238E27FC236}">
              <a16:creationId xmlns:a16="http://schemas.microsoft.com/office/drawing/2014/main" id="{EA1B7316-7FC0-4450-ADC6-F3C416BE201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46" name="x_Picture 1" descr="Description: cid:image001.png@01D03949.49457930">
          <a:extLst>
            <a:ext uri="{FF2B5EF4-FFF2-40B4-BE49-F238E27FC236}">
              <a16:creationId xmlns:a16="http://schemas.microsoft.com/office/drawing/2014/main" id="{0D68D003-63E1-4846-9335-04F94B8260D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47" name="x_Picture 1" descr="Description: cid:image001.png@01D03949.49457930">
          <a:extLst>
            <a:ext uri="{FF2B5EF4-FFF2-40B4-BE49-F238E27FC236}">
              <a16:creationId xmlns:a16="http://schemas.microsoft.com/office/drawing/2014/main" id="{0E36158F-422F-41FF-A4C4-796AEA6AFE6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48" name="x_Picture 1" descr="Description: cid:image001.png@01D03949.49457930">
          <a:extLst>
            <a:ext uri="{FF2B5EF4-FFF2-40B4-BE49-F238E27FC236}">
              <a16:creationId xmlns:a16="http://schemas.microsoft.com/office/drawing/2014/main" id="{510EE042-0E60-4EED-9D92-5C0D68C4CD5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6"/>
    <xdr:sp macro="" textlink="">
      <xdr:nvSpPr>
        <xdr:cNvPr id="3449" name="x_Picture 1" descr="Description: cid:image001.png@01D03949.49457930">
          <a:extLst>
            <a:ext uri="{FF2B5EF4-FFF2-40B4-BE49-F238E27FC236}">
              <a16:creationId xmlns:a16="http://schemas.microsoft.com/office/drawing/2014/main" id="{EA62B816-74A6-4503-A335-415257F8B9F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6"/>
    <xdr:sp macro="" textlink="">
      <xdr:nvSpPr>
        <xdr:cNvPr id="3450" name="x_Picture 1" descr="Description: cid:image001.png@01D03949.49457930">
          <a:extLst>
            <a:ext uri="{FF2B5EF4-FFF2-40B4-BE49-F238E27FC236}">
              <a16:creationId xmlns:a16="http://schemas.microsoft.com/office/drawing/2014/main" id="{FA0D1911-17C6-49AC-8465-4653D039E63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51" name="x_Picture 1" descr="Description: cid:image001.png@01D03949.49457930">
          <a:extLst>
            <a:ext uri="{FF2B5EF4-FFF2-40B4-BE49-F238E27FC236}">
              <a16:creationId xmlns:a16="http://schemas.microsoft.com/office/drawing/2014/main" id="{142A3866-C91B-4278-81AF-4CEBF680BB8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0957"/>
    <xdr:sp macro="" textlink="">
      <xdr:nvSpPr>
        <xdr:cNvPr id="3452" name="x_Picture 1" descr="Description: cid:image001.png@01D03949.49457930">
          <a:extLst>
            <a:ext uri="{FF2B5EF4-FFF2-40B4-BE49-F238E27FC236}">
              <a16:creationId xmlns:a16="http://schemas.microsoft.com/office/drawing/2014/main" id="{C11AAD61-A033-4CFA-8D0A-8716AAA4551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0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135395</xdr:rowOff>
    </xdr:to>
    <xdr:sp macro="" textlink="">
      <xdr:nvSpPr>
        <xdr:cNvPr id="3453" name="x_Picture 1" descr="Description: cid:image001.png@01D03949.49457930">
          <a:extLst>
            <a:ext uri="{FF2B5EF4-FFF2-40B4-BE49-F238E27FC236}">
              <a16:creationId xmlns:a16="http://schemas.microsoft.com/office/drawing/2014/main" id="{B4F78963-D75B-4EA9-83D7-CF934F21EB5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135395</xdr:rowOff>
    </xdr:to>
    <xdr:sp macro="" textlink="">
      <xdr:nvSpPr>
        <xdr:cNvPr id="3454" name="x_Picture 1" descr="Description: cid:image001.png@01D03949.49457930">
          <a:extLst>
            <a:ext uri="{FF2B5EF4-FFF2-40B4-BE49-F238E27FC236}">
              <a16:creationId xmlns:a16="http://schemas.microsoft.com/office/drawing/2014/main" id="{5280E789-D0E1-439F-8CB3-CFFBEDF2A11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135395</xdr:rowOff>
    </xdr:to>
    <xdr:sp macro="" textlink="">
      <xdr:nvSpPr>
        <xdr:cNvPr id="3455" name="x_Picture 1" descr="Description: cid:image001.png@01D03949.49457930">
          <a:extLst>
            <a:ext uri="{FF2B5EF4-FFF2-40B4-BE49-F238E27FC236}">
              <a16:creationId xmlns:a16="http://schemas.microsoft.com/office/drawing/2014/main" id="{CAE4F65C-4603-427B-A4D6-E748B3FC41E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135395</xdr:rowOff>
    </xdr:to>
    <xdr:sp macro="" textlink="">
      <xdr:nvSpPr>
        <xdr:cNvPr id="3456" name="x_Picture 1" descr="Description: cid:image001.png@01D03949.49457930">
          <a:extLst>
            <a:ext uri="{FF2B5EF4-FFF2-40B4-BE49-F238E27FC236}">
              <a16:creationId xmlns:a16="http://schemas.microsoft.com/office/drawing/2014/main" id="{8A0AC31C-FDC7-4C05-8863-19E2C5CD5B6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135394</xdr:rowOff>
    </xdr:to>
    <xdr:sp macro="" textlink="">
      <xdr:nvSpPr>
        <xdr:cNvPr id="3457" name="x_Picture 1" descr="Description: cid:image001.png@01D03949.49457930">
          <a:extLst>
            <a:ext uri="{FF2B5EF4-FFF2-40B4-BE49-F238E27FC236}">
              <a16:creationId xmlns:a16="http://schemas.microsoft.com/office/drawing/2014/main" id="{878EA122-F794-4A92-ACE0-977335387E6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135394</xdr:rowOff>
    </xdr:to>
    <xdr:sp macro="" textlink="">
      <xdr:nvSpPr>
        <xdr:cNvPr id="3458" name="x_Picture 1" descr="Description: cid:image001.png@01D03949.49457930">
          <a:extLst>
            <a:ext uri="{FF2B5EF4-FFF2-40B4-BE49-F238E27FC236}">
              <a16:creationId xmlns:a16="http://schemas.microsoft.com/office/drawing/2014/main" id="{9C020349-6F65-4B42-81F5-7DD0323C851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135395</xdr:rowOff>
    </xdr:to>
    <xdr:sp macro="" textlink="">
      <xdr:nvSpPr>
        <xdr:cNvPr id="3459" name="x_Picture 1" descr="Description: cid:image001.png@01D03949.49457930">
          <a:extLst>
            <a:ext uri="{FF2B5EF4-FFF2-40B4-BE49-F238E27FC236}">
              <a16:creationId xmlns:a16="http://schemas.microsoft.com/office/drawing/2014/main" id="{25AB711E-A969-4503-AA39-AC836C5F540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135395</xdr:rowOff>
    </xdr:to>
    <xdr:sp macro="" textlink="">
      <xdr:nvSpPr>
        <xdr:cNvPr id="3460" name="x_Picture 1" descr="Description: cid:image001.png@01D03949.49457930">
          <a:extLst>
            <a:ext uri="{FF2B5EF4-FFF2-40B4-BE49-F238E27FC236}">
              <a16:creationId xmlns:a16="http://schemas.microsoft.com/office/drawing/2014/main" id="{1E3C3D31-4888-4A0A-9249-DE05D02B8B3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135395</xdr:rowOff>
    </xdr:to>
    <xdr:sp macro="" textlink="">
      <xdr:nvSpPr>
        <xdr:cNvPr id="3461" name="x_Picture 1" descr="Description: cid:image001.png@01D03949.49457930">
          <a:extLst>
            <a:ext uri="{FF2B5EF4-FFF2-40B4-BE49-F238E27FC236}">
              <a16:creationId xmlns:a16="http://schemas.microsoft.com/office/drawing/2014/main" id="{06C475B4-76AB-4600-B7A2-B97DB78ACE4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135395</xdr:rowOff>
    </xdr:to>
    <xdr:sp macro="" textlink="">
      <xdr:nvSpPr>
        <xdr:cNvPr id="3462" name="x_Picture 1" descr="Description: cid:image001.png@01D03949.49457930">
          <a:extLst>
            <a:ext uri="{FF2B5EF4-FFF2-40B4-BE49-F238E27FC236}">
              <a16:creationId xmlns:a16="http://schemas.microsoft.com/office/drawing/2014/main" id="{4C4A1137-825E-42A0-99CE-039EAEFDCDD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135394</xdr:rowOff>
    </xdr:to>
    <xdr:sp macro="" textlink="">
      <xdr:nvSpPr>
        <xdr:cNvPr id="3463" name="x_Picture 1" descr="Description: cid:image001.png@01D03949.49457930">
          <a:extLst>
            <a:ext uri="{FF2B5EF4-FFF2-40B4-BE49-F238E27FC236}">
              <a16:creationId xmlns:a16="http://schemas.microsoft.com/office/drawing/2014/main" id="{4A2CC43E-0203-41E2-8E9E-7714F899636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135394</xdr:rowOff>
    </xdr:to>
    <xdr:sp macro="" textlink="">
      <xdr:nvSpPr>
        <xdr:cNvPr id="3464" name="x_Picture 1" descr="Description: cid:image001.png@01D03949.49457930">
          <a:extLst>
            <a:ext uri="{FF2B5EF4-FFF2-40B4-BE49-F238E27FC236}">
              <a16:creationId xmlns:a16="http://schemas.microsoft.com/office/drawing/2014/main" id="{FF2CB19E-4BE3-4540-8854-37945B42FD5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9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65" name="x_Picture 1" descr="Description: cid:image001.png@01D03949.49457930">
          <a:extLst>
            <a:ext uri="{FF2B5EF4-FFF2-40B4-BE49-F238E27FC236}">
              <a16:creationId xmlns:a16="http://schemas.microsoft.com/office/drawing/2014/main" id="{6CFDA9E7-D93E-40E1-88EE-27F3210850B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66" name="x_Picture 1" descr="Description: cid:image001.png@01D03949.49457930">
          <a:extLst>
            <a:ext uri="{FF2B5EF4-FFF2-40B4-BE49-F238E27FC236}">
              <a16:creationId xmlns:a16="http://schemas.microsoft.com/office/drawing/2014/main" id="{5840C045-0196-4BBE-B83F-A2393934401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67" name="x_Picture 1" descr="Description: cid:image001.png@01D03949.49457930">
          <a:extLst>
            <a:ext uri="{FF2B5EF4-FFF2-40B4-BE49-F238E27FC236}">
              <a16:creationId xmlns:a16="http://schemas.microsoft.com/office/drawing/2014/main" id="{9F8F3D59-A09F-499D-8E15-A3C0B5AEADE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68" name="x_Picture 1" descr="Description: cid:image001.png@01D03949.49457930">
          <a:extLst>
            <a:ext uri="{FF2B5EF4-FFF2-40B4-BE49-F238E27FC236}">
              <a16:creationId xmlns:a16="http://schemas.microsoft.com/office/drawing/2014/main" id="{EF7BCF0D-D533-4CBC-8D76-CA76C06DBCB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69" name="x_Picture 1" descr="Description: cid:image001.png@01D03949.49457930">
          <a:extLst>
            <a:ext uri="{FF2B5EF4-FFF2-40B4-BE49-F238E27FC236}">
              <a16:creationId xmlns:a16="http://schemas.microsoft.com/office/drawing/2014/main" id="{80EA2307-CCFD-4775-A55A-D4FD8179554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0" name="x_Picture 1" descr="Description: cid:image001.png@01D03949.49457930">
          <a:extLst>
            <a:ext uri="{FF2B5EF4-FFF2-40B4-BE49-F238E27FC236}">
              <a16:creationId xmlns:a16="http://schemas.microsoft.com/office/drawing/2014/main" id="{BA2F66FE-189A-4DE9-8D8F-EEDE7449D5C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1" name="x_Picture 1" descr="Description: cid:image001.png@01D03949.49457930">
          <a:extLst>
            <a:ext uri="{FF2B5EF4-FFF2-40B4-BE49-F238E27FC236}">
              <a16:creationId xmlns:a16="http://schemas.microsoft.com/office/drawing/2014/main" id="{861266BA-6FDC-4822-9321-23E81BF2301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2" name="x_Picture 1" descr="Description: cid:image001.png@01D03949.49457930">
          <a:extLst>
            <a:ext uri="{FF2B5EF4-FFF2-40B4-BE49-F238E27FC236}">
              <a16:creationId xmlns:a16="http://schemas.microsoft.com/office/drawing/2014/main" id="{DA6D04EF-092C-4139-9498-F24D9F871BE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3" name="x_Picture 1" descr="Description: cid:image001.png@01D03949.49457930">
          <a:extLst>
            <a:ext uri="{FF2B5EF4-FFF2-40B4-BE49-F238E27FC236}">
              <a16:creationId xmlns:a16="http://schemas.microsoft.com/office/drawing/2014/main" id="{2E0C2806-82BB-4109-850D-6251FF658B1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4" name="x_Picture 1" descr="Description: cid:image001.png@01D03949.49457930">
          <a:extLst>
            <a:ext uri="{FF2B5EF4-FFF2-40B4-BE49-F238E27FC236}">
              <a16:creationId xmlns:a16="http://schemas.microsoft.com/office/drawing/2014/main" id="{E1C45FE9-CE5F-45FB-85A4-8B156FD5365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5" name="x_Picture 1" descr="Description: cid:image001.png@01D03949.49457930">
          <a:extLst>
            <a:ext uri="{FF2B5EF4-FFF2-40B4-BE49-F238E27FC236}">
              <a16:creationId xmlns:a16="http://schemas.microsoft.com/office/drawing/2014/main" id="{C6FCE5FB-DB9A-41EC-8238-F0829467354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6" name="x_Picture 1" descr="Description: cid:image001.png@01D03949.49457930">
          <a:extLst>
            <a:ext uri="{FF2B5EF4-FFF2-40B4-BE49-F238E27FC236}">
              <a16:creationId xmlns:a16="http://schemas.microsoft.com/office/drawing/2014/main" id="{6F806621-732A-49C8-84E2-7A85E916A85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7" name="x_Picture 1" descr="Description: cid:image001.png@01D03949.49457930">
          <a:extLst>
            <a:ext uri="{FF2B5EF4-FFF2-40B4-BE49-F238E27FC236}">
              <a16:creationId xmlns:a16="http://schemas.microsoft.com/office/drawing/2014/main" id="{1BDA8357-2EAA-4BCE-B5E7-7FAB2C8BBD1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8" name="x_Picture 1" descr="Description: cid:image001.png@01D03949.49457930">
          <a:extLst>
            <a:ext uri="{FF2B5EF4-FFF2-40B4-BE49-F238E27FC236}">
              <a16:creationId xmlns:a16="http://schemas.microsoft.com/office/drawing/2014/main" id="{F4857DFD-DB3F-4559-9339-D3018C41E34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79" name="x_Picture 1" descr="Description: cid:image001.png@01D03949.49457930">
          <a:extLst>
            <a:ext uri="{FF2B5EF4-FFF2-40B4-BE49-F238E27FC236}">
              <a16:creationId xmlns:a16="http://schemas.microsoft.com/office/drawing/2014/main" id="{D0ACF75E-7241-4F68-A242-EE5BD087B09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80" name="x_Picture 1" descr="Description: cid:image001.png@01D03949.49457930">
          <a:extLst>
            <a:ext uri="{FF2B5EF4-FFF2-40B4-BE49-F238E27FC236}">
              <a16:creationId xmlns:a16="http://schemas.microsoft.com/office/drawing/2014/main" id="{A75D381E-55CD-4F64-AC39-E80D7DBAB7B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81" name="x_Picture 1" descr="Description: cid:image001.png@01D03949.49457930">
          <a:extLst>
            <a:ext uri="{FF2B5EF4-FFF2-40B4-BE49-F238E27FC236}">
              <a16:creationId xmlns:a16="http://schemas.microsoft.com/office/drawing/2014/main" id="{A3FC9198-B2C2-4E4C-8245-4C85C9DCBE8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82" name="x_Picture 1" descr="Description: cid:image001.png@01D03949.49457930">
          <a:extLst>
            <a:ext uri="{FF2B5EF4-FFF2-40B4-BE49-F238E27FC236}">
              <a16:creationId xmlns:a16="http://schemas.microsoft.com/office/drawing/2014/main" id="{E879C4F7-DE12-4AA2-A96F-4DCF67CDC3A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83" name="x_Picture 1" descr="Description: cid:image001.png@01D03949.49457930">
          <a:extLst>
            <a:ext uri="{FF2B5EF4-FFF2-40B4-BE49-F238E27FC236}">
              <a16:creationId xmlns:a16="http://schemas.microsoft.com/office/drawing/2014/main" id="{0CE58F2B-0C9B-444B-ADC7-AD394C67F8C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84" name="x_Picture 1" descr="Description: cid:image001.png@01D03949.49457930">
          <a:extLst>
            <a:ext uri="{FF2B5EF4-FFF2-40B4-BE49-F238E27FC236}">
              <a16:creationId xmlns:a16="http://schemas.microsoft.com/office/drawing/2014/main" id="{AA7F2DA9-4595-4B05-B4D4-6656A156F25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85" name="x_Picture 1" descr="Description: cid:image001.png@01D03949.49457930">
          <a:extLst>
            <a:ext uri="{FF2B5EF4-FFF2-40B4-BE49-F238E27FC236}">
              <a16:creationId xmlns:a16="http://schemas.microsoft.com/office/drawing/2014/main" id="{4F146CE0-AF2F-4809-B558-D2781B822FE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86" name="x_Picture 1" descr="Description: cid:image001.png@01D03949.49457930">
          <a:extLst>
            <a:ext uri="{FF2B5EF4-FFF2-40B4-BE49-F238E27FC236}">
              <a16:creationId xmlns:a16="http://schemas.microsoft.com/office/drawing/2014/main" id="{114C85A4-728C-49FE-AEDD-F6613B2B264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87" name="x_Picture 1" descr="Description: cid:image001.png@01D03949.49457930">
          <a:extLst>
            <a:ext uri="{FF2B5EF4-FFF2-40B4-BE49-F238E27FC236}">
              <a16:creationId xmlns:a16="http://schemas.microsoft.com/office/drawing/2014/main" id="{0099B2EB-C126-4FB4-B46F-8F0E61DBC9A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139275</xdr:rowOff>
    </xdr:to>
    <xdr:sp macro="" textlink="">
      <xdr:nvSpPr>
        <xdr:cNvPr id="3488" name="x_Picture 1" descr="Description: cid:image001.png@01D03949.49457930">
          <a:extLst>
            <a:ext uri="{FF2B5EF4-FFF2-40B4-BE49-F238E27FC236}">
              <a16:creationId xmlns:a16="http://schemas.microsoft.com/office/drawing/2014/main" id="{B8906C5F-CF66-4C98-BD34-9415FAEC3C2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89" name="x_Picture 1" descr="Description: cid:image001.png@01D03949.49457930">
          <a:extLst>
            <a:ext uri="{FF2B5EF4-FFF2-40B4-BE49-F238E27FC236}">
              <a16:creationId xmlns:a16="http://schemas.microsoft.com/office/drawing/2014/main" id="{2815F589-12AF-47B5-8BF6-721E7524ADA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0" name="x_Picture 1" descr="Description: cid:image001.png@01D03949.49457930">
          <a:extLst>
            <a:ext uri="{FF2B5EF4-FFF2-40B4-BE49-F238E27FC236}">
              <a16:creationId xmlns:a16="http://schemas.microsoft.com/office/drawing/2014/main" id="{79F8AB20-D4DB-4D18-814F-D680D390B19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1" name="x_Picture 1" descr="Description: cid:image001.png@01D03949.49457930">
          <a:extLst>
            <a:ext uri="{FF2B5EF4-FFF2-40B4-BE49-F238E27FC236}">
              <a16:creationId xmlns:a16="http://schemas.microsoft.com/office/drawing/2014/main" id="{5ADC010F-1ED0-4548-8CBE-6B4163707EB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2" name="x_Picture 1" descr="Description: cid:image001.png@01D03949.49457930">
          <a:extLst>
            <a:ext uri="{FF2B5EF4-FFF2-40B4-BE49-F238E27FC236}">
              <a16:creationId xmlns:a16="http://schemas.microsoft.com/office/drawing/2014/main" id="{AD13DFB9-8FCA-49DA-927F-05EF6D85475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3" name="x_Picture 1" descr="Description: cid:image001.png@01D03949.49457930">
          <a:extLst>
            <a:ext uri="{FF2B5EF4-FFF2-40B4-BE49-F238E27FC236}">
              <a16:creationId xmlns:a16="http://schemas.microsoft.com/office/drawing/2014/main" id="{7F6D0BE9-2DC8-4EF5-BD09-23C2A6DAAEF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4" name="x_Picture 1" descr="Description: cid:image001.png@01D03949.49457930">
          <a:extLst>
            <a:ext uri="{FF2B5EF4-FFF2-40B4-BE49-F238E27FC236}">
              <a16:creationId xmlns:a16="http://schemas.microsoft.com/office/drawing/2014/main" id="{A84719C0-4C84-4323-AA51-66A8154EA77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5" name="x_Picture 1" descr="Description: cid:image001.png@01D03949.49457930">
          <a:extLst>
            <a:ext uri="{FF2B5EF4-FFF2-40B4-BE49-F238E27FC236}">
              <a16:creationId xmlns:a16="http://schemas.microsoft.com/office/drawing/2014/main" id="{BAC2AC98-27F0-4D2D-8ADA-32CF85CD1AF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6" name="x_Picture 1" descr="Description: cid:image001.png@01D03949.49457930">
          <a:extLst>
            <a:ext uri="{FF2B5EF4-FFF2-40B4-BE49-F238E27FC236}">
              <a16:creationId xmlns:a16="http://schemas.microsoft.com/office/drawing/2014/main" id="{2E50250A-4AE9-4E8E-9B6D-3EE322F9C1B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7" name="x_Picture 1" descr="Description: cid:image001.png@01D03949.49457930">
          <a:extLst>
            <a:ext uri="{FF2B5EF4-FFF2-40B4-BE49-F238E27FC236}">
              <a16:creationId xmlns:a16="http://schemas.microsoft.com/office/drawing/2014/main" id="{7A974EF9-E8A0-42CD-8C2D-36031875B5A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8" name="x_Picture 1" descr="Description: cid:image001.png@01D03949.49457930">
          <a:extLst>
            <a:ext uri="{FF2B5EF4-FFF2-40B4-BE49-F238E27FC236}">
              <a16:creationId xmlns:a16="http://schemas.microsoft.com/office/drawing/2014/main" id="{C918916E-8283-48D7-90CB-2DD9293BF9B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124546</xdr:rowOff>
    </xdr:to>
    <xdr:sp macro="" textlink="">
      <xdr:nvSpPr>
        <xdr:cNvPr id="3499" name="x_Picture 1" descr="Description: cid:image001.png@01D03949.49457930">
          <a:extLst>
            <a:ext uri="{FF2B5EF4-FFF2-40B4-BE49-F238E27FC236}">
              <a16:creationId xmlns:a16="http://schemas.microsoft.com/office/drawing/2014/main" id="{B96B4FE8-9B77-49C4-8987-4C9F2E68C83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0" name="x_Picture 1" descr="Description: cid:image001.png@01D03949.49457930">
          <a:extLst>
            <a:ext uri="{FF2B5EF4-FFF2-40B4-BE49-F238E27FC236}">
              <a16:creationId xmlns:a16="http://schemas.microsoft.com/office/drawing/2014/main" id="{5DB60A56-5CFE-458E-8CB9-8859BE491BE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1" name="x_Picture 1" descr="Description: cid:image001.png@01D03949.49457930">
          <a:extLst>
            <a:ext uri="{FF2B5EF4-FFF2-40B4-BE49-F238E27FC236}">
              <a16:creationId xmlns:a16="http://schemas.microsoft.com/office/drawing/2014/main" id="{A3461BDD-B77C-452B-98AA-5DC43607EEB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2" name="x_Picture 1" descr="Description: cid:image001.png@01D03949.49457930">
          <a:extLst>
            <a:ext uri="{FF2B5EF4-FFF2-40B4-BE49-F238E27FC236}">
              <a16:creationId xmlns:a16="http://schemas.microsoft.com/office/drawing/2014/main" id="{2303DC22-BFDC-48E8-9E2E-A9CBF4C3D2D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3" name="x_Picture 1" descr="Description: cid:image001.png@01D03949.49457930">
          <a:extLst>
            <a:ext uri="{FF2B5EF4-FFF2-40B4-BE49-F238E27FC236}">
              <a16:creationId xmlns:a16="http://schemas.microsoft.com/office/drawing/2014/main" id="{B9E0B4B2-DA2A-40BB-A027-E732AB0E0D3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4" name="x_Picture 1" descr="Description: cid:image001.png@01D03949.49457930">
          <a:extLst>
            <a:ext uri="{FF2B5EF4-FFF2-40B4-BE49-F238E27FC236}">
              <a16:creationId xmlns:a16="http://schemas.microsoft.com/office/drawing/2014/main" id="{627C1AF6-AFDE-47B1-BB0A-4E921B98D7D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5" name="x_Picture 1" descr="Description: cid:image001.png@01D03949.49457930">
          <a:extLst>
            <a:ext uri="{FF2B5EF4-FFF2-40B4-BE49-F238E27FC236}">
              <a16:creationId xmlns:a16="http://schemas.microsoft.com/office/drawing/2014/main" id="{A3642208-47DF-496F-BEA3-41D95035D29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6" name="x_Picture 1" descr="Description: cid:image001.png@01D03949.49457930">
          <a:extLst>
            <a:ext uri="{FF2B5EF4-FFF2-40B4-BE49-F238E27FC236}">
              <a16:creationId xmlns:a16="http://schemas.microsoft.com/office/drawing/2014/main" id="{026E9E2D-13C6-47FA-B792-AA3402330BB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7" name="x_Picture 1" descr="Description: cid:image001.png@01D03949.49457930">
          <a:extLst>
            <a:ext uri="{FF2B5EF4-FFF2-40B4-BE49-F238E27FC236}">
              <a16:creationId xmlns:a16="http://schemas.microsoft.com/office/drawing/2014/main" id="{A2B36AEA-05D6-4764-8FB4-D745936AA98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8" name="x_Picture 1" descr="Description: cid:image001.png@01D03949.49457930">
          <a:extLst>
            <a:ext uri="{FF2B5EF4-FFF2-40B4-BE49-F238E27FC236}">
              <a16:creationId xmlns:a16="http://schemas.microsoft.com/office/drawing/2014/main" id="{ACD0B1B4-3B07-4C6E-B29D-7510C655FC4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09" name="x_Picture 1" descr="Description: cid:image001.png@01D03949.49457930">
          <a:extLst>
            <a:ext uri="{FF2B5EF4-FFF2-40B4-BE49-F238E27FC236}">
              <a16:creationId xmlns:a16="http://schemas.microsoft.com/office/drawing/2014/main" id="{D3534D6B-2658-4B3F-9602-1E60C876523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119168</xdr:rowOff>
    </xdr:to>
    <xdr:sp macro="" textlink="">
      <xdr:nvSpPr>
        <xdr:cNvPr id="3510" name="x_Picture 1" descr="Description: cid:image001.png@01D03949.49457930">
          <a:extLst>
            <a:ext uri="{FF2B5EF4-FFF2-40B4-BE49-F238E27FC236}">
              <a16:creationId xmlns:a16="http://schemas.microsoft.com/office/drawing/2014/main" id="{368120ED-5FB4-48EC-8C22-06505C2909C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3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11" name="x_Picture 1" descr="Description: cid:image001.png@01D03949.49457930">
          <a:extLst>
            <a:ext uri="{FF2B5EF4-FFF2-40B4-BE49-F238E27FC236}">
              <a16:creationId xmlns:a16="http://schemas.microsoft.com/office/drawing/2014/main" id="{FF4D1118-3C60-462B-8654-D0E7907209C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12" name="x_Picture 1" descr="Description: cid:image001.png@01D03949.49457930">
          <a:extLst>
            <a:ext uri="{FF2B5EF4-FFF2-40B4-BE49-F238E27FC236}">
              <a16:creationId xmlns:a16="http://schemas.microsoft.com/office/drawing/2014/main" id="{5A741CC9-AAB7-4287-98B1-0A57D4CE046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13" name="x_Picture 1" descr="Description: cid:image001.png@01D03949.49457930">
          <a:extLst>
            <a:ext uri="{FF2B5EF4-FFF2-40B4-BE49-F238E27FC236}">
              <a16:creationId xmlns:a16="http://schemas.microsoft.com/office/drawing/2014/main" id="{D0702824-8A0D-4A39-A47B-030A53F4DA6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14" name="x_Picture 1" descr="Description: cid:image001.png@01D03949.49457930">
          <a:extLst>
            <a:ext uri="{FF2B5EF4-FFF2-40B4-BE49-F238E27FC236}">
              <a16:creationId xmlns:a16="http://schemas.microsoft.com/office/drawing/2014/main" id="{CE0BC0AA-94ED-428D-8FCD-6F3912FFF4A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15" name="x_Picture 1" descr="Description: cid:image001.png@01D03949.49457930">
          <a:extLst>
            <a:ext uri="{FF2B5EF4-FFF2-40B4-BE49-F238E27FC236}">
              <a16:creationId xmlns:a16="http://schemas.microsoft.com/office/drawing/2014/main" id="{58423906-C5A3-4A6A-A500-79336DC3CDB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16" name="x_Picture 1" descr="Description: cid:image001.png@01D03949.49457930">
          <a:extLst>
            <a:ext uri="{FF2B5EF4-FFF2-40B4-BE49-F238E27FC236}">
              <a16:creationId xmlns:a16="http://schemas.microsoft.com/office/drawing/2014/main" id="{B5C351D4-00D0-486C-A8CD-2FAA7B2A96F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17" name="x_Picture 1" descr="Description: cid:image001.png@01D03949.49457930">
          <a:extLst>
            <a:ext uri="{FF2B5EF4-FFF2-40B4-BE49-F238E27FC236}">
              <a16:creationId xmlns:a16="http://schemas.microsoft.com/office/drawing/2014/main" id="{A786E8C1-BD0A-419D-8D14-04EFF0D1C38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18" name="x_Picture 1" descr="Description: cid:image001.png@01D03949.49457930">
          <a:extLst>
            <a:ext uri="{FF2B5EF4-FFF2-40B4-BE49-F238E27FC236}">
              <a16:creationId xmlns:a16="http://schemas.microsoft.com/office/drawing/2014/main" id="{4F5B1233-C596-4EC4-989B-3D209800AD7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19" name="x_Picture 1" descr="Description: cid:image001.png@01D03949.49457930">
          <a:extLst>
            <a:ext uri="{FF2B5EF4-FFF2-40B4-BE49-F238E27FC236}">
              <a16:creationId xmlns:a16="http://schemas.microsoft.com/office/drawing/2014/main" id="{0761D384-3BD5-4915-9874-05D1F5B63AA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0" name="x_Picture 1" descr="Description: cid:image001.png@01D03949.49457930">
          <a:extLst>
            <a:ext uri="{FF2B5EF4-FFF2-40B4-BE49-F238E27FC236}">
              <a16:creationId xmlns:a16="http://schemas.microsoft.com/office/drawing/2014/main" id="{7557BB5A-87C9-41AB-8065-B111D0F4A66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1" name="x_Picture 1" descr="Description: cid:image001.png@01D03949.49457930">
          <a:extLst>
            <a:ext uri="{FF2B5EF4-FFF2-40B4-BE49-F238E27FC236}">
              <a16:creationId xmlns:a16="http://schemas.microsoft.com/office/drawing/2014/main" id="{9185D191-79C7-4670-B015-D22072CCF37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2" name="x_Picture 1" descr="Description: cid:image001.png@01D03949.49457930">
          <a:extLst>
            <a:ext uri="{FF2B5EF4-FFF2-40B4-BE49-F238E27FC236}">
              <a16:creationId xmlns:a16="http://schemas.microsoft.com/office/drawing/2014/main" id="{EA4F352C-8843-4307-9D6C-D742D41406C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3" name="x_Picture 1" descr="Description: cid:image001.png@01D03949.49457930">
          <a:extLst>
            <a:ext uri="{FF2B5EF4-FFF2-40B4-BE49-F238E27FC236}">
              <a16:creationId xmlns:a16="http://schemas.microsoft.com/office/drawing/2014/main" id="{B9ACB8DD-0EC8-441D-A2B0-D40A0E5EA70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4" name="x_Picture 1" descr="Description: cid:image001.png@01D03949.49457930">
          <a:extLst>
            <a:ext uri="{FF2B5EF4-FFF2-40B4-BE49-F238E27FC236}">
              <a16:creationId xmlns:a16="http://schemas.microsoft.com/office/drawing/2014/main" id="{3ECD7D57-DB3F-4CC7-BB11-BD2DDCCCE93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5" name="x_Picture 1" descr="Description: cid:image001.png@01D03949.49457930">
          <a:extLst>
            <a:ext uri="{FF2B5EF4-FFF2-40B4-BE49-F238E27FC236}">
              <a16:creationId xmlns:a16="http://schemas.microsoft.com/office/drawing/2014/main" id="{4676E6C2-616E-4696-86D2-7A54D627012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6" name="x_Picture 1" descr="Description: cid:image001.png@01D03949.49457930">
          <a:extLst>
            <a:ext uri="{FF2B5EF4-FFF2-40B4-BE49-F238E27FC236}">
              <a16:creationId xmlns:a16="http://schemas.microsoft.com/office/drawing/2014/main" id="{91AC0BAD-C585-4022-B060-FC1DBE5A345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7" name="x_Picture 1" descr="Description: cid:image001.png@01D03949.49457930">
          <a:extLst>
            <a:ext uri="{FF2B5EF4-FFF2-40B4-BE49-F238E27FC236}">
              <a16:creationId xmlns:a16="http://schemas.microsoft.com/office/drawing/2014/main" id="{4BD8CF51-9723-43BE-8A93-33914289489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8" name="x_Picture 1" descr="Description: cid:image001.png@01D03949.49457930">
          <a:extLst>
            <a:ext uri="{FF2B5EF4-FFF2-40B4-BE49-F238E27FC236}">
              <a16:creationId xmlns:a16="http://schemas.microsoft.com/office/drawing/2014/main" id="{DEC8E73B-BC41-49C1-BF84-7D0C9410795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29" name="x_Picture 1" descr="Description: cid:image001.png@01D03949.49457930">
          <a:extLst>
            <a:ext uri="{FF2B5EF4-FFF2-40B4-BE49-F238E27FC236}">
              <a16:creationId xmlns:a16="http://schemas.microsoft.com/office/drawing/2014/main" id="{A139C890-9CE5-43A0-A71F-1920CAB4D14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30" name="x_Picture 1" descr="Description: cid:image001.png@01D03949.49457930">
          <a:extLst>
            <a:ext uri="{FF2B5EF4-FFF2-40B4-BE49-F238E27FC236}">
              <a16:creationId xmlns:a16="http://schemas.microsoft.com/office/drawing/2014/main" id="{76C1DFF6-21BA-4FD0-B3C1-0CD3288192E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31" name="x_Picture 1" descr="Description: cid:image001.png@01D03949.49457930">
          <a:extLst>
            <a:ext uri="{FF2B5EF4-FFF2-40B4-BE49-F238E27FC236}">
              <a16:creationId xmlns:a16="http://schemas.microsoft.com/office/drawing/2014/main" id="{55688D74-07ED-4391-A836-EBEF4935659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131867</xdr:rowOff>
    </xdr:to>
    <xdr:sp macro="" textlink="">
      <xdr:nvSpPr>
        <xdr:cNvPr id="3532" name="x_Picture 1" descr="Description: cid:image001.png@01D03949.49457930">
          <a:extLst>
            <a:ext uri="{FF2B5EF4-FFF2-40B4-BE49-F238E27FC236}">
              <a16:creationId xmlns:a16="http://schemas.microsoft.com/office/drawing/2014/main" id="{8E996643-869B-4497-B4C3-C7BBF9CC69F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1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140810</xdr:rowOff>
    </xdr:to>
    <xdr:sp macro="" textlink="">
      <xdr:nvSpPr>
        <xdr:cNvPr id="3533" name="x_Picture 1" descr="Description: cid:image001.png@01D03949.49457930">
          <a:extLst>
            <a:ext uri="{FF2B5EF4-FFF2-40B4-BE49-F238E27FC236}">
              <a16:creationId xmlns:a16="http://schemas.microsoft.com/office/drawing/2014/main" id="{B091781F-7EBB-4225-A99E-DCBC953F658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140810</xdr:rowOff>
    </xdr:to>
    <xdr:sp macro="" textlink="">
      <xdr:nvSpPr>
        <xdr:cNvPr id="3534" name="x_Picture 1" descr="Description: cid:image001.png@01D03949.49457930">
          <a:extLst>
            <a:ext uri="{FF2B5EF4-FFF2-40B4-BE49-F238E27FC236}">
              <a16:creationId xmlns:a16="http://schemas.microsoft.com/office/drawing/2014/main" id="{84E0C17E-81C9-41A1-891A-0790342F882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140810</xdr:rowOff>
    </xdr:to>
    <xdr:sp macro="" textlink="">
      <xdr:nvSpPr>
        <xdr:cNvPr id="3535" name="x_Picture 1" descr="Description: cid:image001.png@01D03949.49457930">
          <a:extLst>
            <a:ext uri="{FF2B5EF4-FFF2-40B4-BE49-F238E27FC236}">
              <a16:creationId xmlns:a16="http://schemas.microsoft.com/office/drawing/2014/main" id="{E01DDD6C-A57D-4BFC-9AE0-356D55D29C2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140810</xdr:rowOff>
    </xdr:to>
    <xdr:sp macro="" textlink="">
      <xdr:nvSpPr>
        <xdr:cNvPr id="3536" name="x_Picture 1" descr="Description: cid:image001.png@01D03949.49457930">
          <a:extLst>
            <a:ext uri="{FF2B5EF4-FFF2-40B4-BE49-F238E27FC236}">
              <a16:creationId xmlns:a16="http://schemas.microsoft.com/office/drawing/2014/main" id="{929A173A-639C-4972-BFD0-1B01AD633F3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140809</xdr:rowOff>
    </xdr:to>
    <xdr:sp macro="" textlink="">
      <xdr:nvSpPr>
        <xdr:cNvPr id="3537" name="x_Picture 1" descr="Description: cid:image001.png@01D03949.49457930">
          <a:extLst>
            <a:ext uri="{FF2B5EF4-FFF2-40B4-BE49-F238E27FC236}">
              <a16:creationId xmlns:a16="http://schemas.microsoft.com/office/drawing/2014/main" id="{7EDED0F2-562A-483C-9C85-4F6AD336036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140809</xdr:rowOff>
    </xdr:to>
    <xdr:sp macro="" textlink="">
      <xdr:nvSpPr>
        <xdr:cNvPr id="3538" name="x_Picture 1" descr="Description: cid:image001.png@01D03949.49457930">
          <a:extLst>
            <a:ext uri="{FF2B5EF4-FFF2-40B4-BE49-F238E27FC236}">
              <a16:creationId xmlns:a16="http://schemas.microsoft.com/office/drawing/2014/main" id="{700FFB44-32BC-4CD3-A4FC-1B09CF82109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140810</xdr:rowOff>
    </xdr:to>
    <xdr:sp macro="" textlink="">
      <xdr:nvSpPr>
        <xdr:cNvPr id="3539" name="x_Picture 1" descr="Description: cid:image001.png@01D03949.49457930">
          <a:extLst>
            <a:ext uri="{FF2B5EF4-FFF2-40B4-BE49-F238E27FC236}">
              <a16:creationId xmlns:a16="http://schemas.microsoft.com/office/drawing/2014/main" id="{2991E7DD-3AA4-4051-8088-C075E8CCF82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140810</xdr:rowOff>
    </xdr:to>
    <xdr:sp macro="" textlink="">
      <xdr:nvSpPr>
        <xdr:cNvPr id="3540" name="x_Picture 1" descr="Description: cid:image001.png@01D03949.49457930">
          <a:extLst>
            <a:ext uri="{FF2B5EF4-FFF2-40B4-BE49-F238E27FC236}">
              <a16:creationId xmlns:a16="http://schemas.microsoft.com/office/drawing/2014/main" id="{F101F1B3-92A2-4994-91FE-D087F5603AD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140810</xdr:rowOff>
    </xdr:to>
    <xdr:sp macro="" textlink="">
      <xdr:nvSpPr>
        <xdr:cNvPr id="3541" name="x_Picture 1" descr="Description: cid:image001.png@01D03949.49457930">
          <a:extLst>
            <a:ext uri="{FF2B5EF4-FFF2-40B4-BE49-F238E27FC236}">
              <a16:creationId xmlns:a16="http://schemas.microsoft.com/office/drawing/2014/main" id="{63103B51-F75B-407A-8459-D415CD8E52F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140810</xdr:rowOff>
    </xdr:to>
    <xdr:sp macro="" textlink="">
      <xdr:nvSpPr>
        <xdr:cNvPr id="3542" name="x_Picture 1" descr="Description: cid:image001.png@01D03949.49457930">
          <a:extLst>
            <a:ext uri="{FF2B5EF4-FFF2-40B4-BE49-F238E27FC236}">
              <a16:creationId xmlns:a16="http://schemas.microsoft.com/office/drawing/2014/main" id="{F0C0AACB-F424-44B2-8992-76CA7F84A1F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140809</xdr:rowOff>
    </xdr:to>
    <xdr:sp macro="" textlink="">
      <xdr:nvSpPr>
        <xdr:cNvPr id="3543" name="x_Picture 1" descr="Description: cid:image001.png@01D03949.49457930">
          <a:extLst>
            <a:ext uri="{FF2B5EF4-FFF2-40B4-BE49-F238E27FC236}">
              <a16:creationId xmlns:a16="http://schemas.microsoft.com/office/drawing/2014/main" id="{852427B6-B456-4104-BE3F-4971C062453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140809</xdr:rowOff>
    </xdr:to>
    <xdr:sp macro="" textlink="">
      <xdr:nvSpPr>
        <xdr:cNvPr id="3544" name="x_Picture 1" descr="Description: cid:image001.png@01D03949.49457930">
          <a:extLst>
            <a:ext uri="{FF2B5EF4-FFF2-40B4-BE49-F238E27FC236}">
              <a16:creationId xmlns:a16="http://schemas.microsoft.com/office/drawing/2014/main" id="{F71CC565-091A-4FDA-84CB-18562BA9EDA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45" name="x_Picture 1" descr="Description: cid:image001.png@01D03949.49457930">
          <a:extLst>
            <a:ext uri="{FF2B5EF4-FFF2-40B4-BE49-F238E27FC236}">
              <a16:creationId xmlns:a16="http://schemas.microsoft.com/office/drawing/2014/main" id="{5B33397B-2B2D-4EEB-9636-98FCB226057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46" name="x_Picture 1" descr="Description: cid:image001.png@01D03949.49457930">
          <a:extLst>
            <a:ext uri="{FF2B5EF4-FFF2-40B4-BE49-F238E27FC236}">
              <a16:creationId xmlns:a16="http://schemas.microsoft.com/office/drawing/2014/main" id="{C105A632-70BF-4C44-9588-E3013DB01B6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47" name="x_Picture 1" descr="Description: cid:image001.png@01D03949.49457930">
          <a:extLst>
            <a:ext uri="{FF2B5EF4-FFF2-40B4-BE49-F238E27FC236}">
              <a16:creationId xmlns:a16="http://schemas.microsoft.com/office/drawing/2014/main" id="{AE74BCFA-4C7D-44EF-BB35-CC61D06F3F3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48" name="x_Picture 1" descr="Description: cid:image001.png@01D03949.49457930">
          <a:extLst>
            <a:ext uri="{FF2B5EF4-FFF2-40B4-BE49-F238E27FC236}">
              <a16:creationId xmlns:a16="http://schemas.microsoft.com/office/drawing/2014/main" id="{85960C55-FF8D-43EC-A72E-F5AE4A233FB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140807</xdr:rowOff>
    </xdr:to>
    <xdr:sp macro="" textlink="">
      <xdr:nvSpPr>
        <xdr:cNvPr id="3549" name="x_Picture 1" descr="Description: cid:image001.png@01D03949.49457930">
          <a:extLst>
            <a:ext uri="{FF2B5EF4-FFF2-40B4-BE49-F238E27FC236}">
              <a16:creationId xmlns:a16="http://schemas.microsoft.com/office/drawing/2014/main" id="{FF1A2E2E-9FE9-4205-B812-440D49B918A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140807</xdr:rowOff>
    </xdr:to>
    <xdr:sp macro="" textlink="">
      <xdr:nvSpPr>
        <xdr:cNvPr id="3550" name="x_Picture 1" descr="Description: cid:image001.png@01D03949.49457930">
          <a:extLst>
            <a:ext uri="{FF2B5EF4-FFF2-40B4-BE49-F238E27FC236}">
              <a16:creationId xmlns:a16="http://schemas.microsoft.com/office/drawing/2014/main" id="{725ADAB2-9926-4EB7-9ECA-D67B1AEC99B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51" name="x_Picture 1" descr="Description: cid:image001.png@01D03949.49457930">
          <a:extLst>
            <a:ext uri="{FF2B5EF4-FFF2-40B4-BE49-F238E27FC236}">
              <a16:creationId xmlns:a16="http://schemas.microsoft.com/office/drawing/2014/main" id="{2BA966B1-65A6-478D-AA11-EA1D377BA7F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52" name="x_Picture 1" descr="Description: cid:image001.png@01D03949.49457930">
          <a:extLst>
            <a:ext uri="{FF2B5EF4-FFF2-40B4-BE49-F238E27FC236}">
              <a16:creationId xmlns:a16="http://schemas.microsoft.com/office/drawing/2014/main" id="{106D5A84-A11D-44EE-831A-CCB8D5D67FF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53" name="x_Picture 1" descr="Description: cid:image001.png@01D03949.49457930">
          <a:extLst>
            <a:ext uri="{FF2B5EF4-FFF2-40B4-BE49-F238E27FC236}">
              <a16:creationId xmlns:a16="http://schemas.microsoft.com/office/drawing/2014/main" id="{05DDB21D-3B62-468B-958B-A470D809762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54" name="x_Picture 1" descr="Description: cid:image001.png@01D03949.49457930">
          <a:extLst>
            <a:ext uri="{FF2B5EF4-FFF2-40B4-BE49-F238E27FC236}">
              <a16:creationId xmlns:a16="http://schemas.microsoft.com/office/drawing/2014/main" id="{7524ED42-CAE0-4E6B-875D-772C32D1818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140807</xdr:rowOff>
    </xdr:to>
    <xdr:sp macro="" textlink="">
      <xdr:nvSpPr>
        <xdr:cNvPr id="3555" name="x_Picture 1" descr="Description: cid:image001.png@01D03949.49457930">
          <a:extLst>
            <a:ext uri="{FF2B5EF4-FFF2-40B4-BE49-F238E27FC236}">
              <a16:creationId xmlns:a16="http://schemas.microsoft.com/office/drawing/2014/main" id="{B82A795F-CB13-4C25-A42C-DCB40645FFF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140807</xdr:rowOff>
    </xdr:to>
    <xdr:sp macro="" textlink="">
      <xdr:nvSpPr>
        <xdr:cNvPr id="3556" name="x_Picture 1" descr="Description: cid:image001.png@01D03949.49457930">
          <a:extLst>
            <a:ext uri="{FF2B5EF4-FFF2-40B4-BE49-F238E27FC236}">
              <a16:creationId xmlns:a16="http://schemas.microsoft.com/office/drawing/2014/main" id="{C47CE8E2-A25B-43F9-83F9-B8928B5815D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57" name="x_Picture 1" descr="Description: cid:image001.png@01D03949.49457930">
          <a:extLst>
            <a:ext uri="{FF2B5EF4-FFF2-40B4-BE49-F238E27FC236}">
              <a16:creationId xmlns:a16="http://schemas.microsoft.com/office/drawing/2014/main" id="{82152650-0E2F-4765-915C-35BB8DB19FF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58" name="x_Picture 1" descr="Description: cid:image001.png@01D03949.49457930">
          <a:extLst>
            <a:ext uri="{FF2B5EF4-FFF2-40B4-BE49-F238E27FC236}">
              <a16:creationId xmlns:a16="http://schemas.microsoft.com/office/drawing/2014/main" id="{1E1DCBB8-51FA-48AC-B099-0EB0AF56C98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59" name="x_Picture 1" descr="Description: cid:image001.png@01D03949.49457930">
          <a:extLst>
            <a:ext uri="{FF2B5EF4-FFF2-40B4-BE49-F238E27FC236}">
              <a16:creationId xmlns:a16="http://schemas.microsoft.com/office/drawing/2014/main" id="{4EBB99BA-AA20-4584-8864-DFDF900CB03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60" name="x_Picture 1" descr="Description: cid:image001.png@01D03949.49457930">
          <a:extLst>
            <a:ext uri="{FF2B5EF4-FFF2-40B4-BE49-F238E27FC236}">
              <a16:creationId xmlns:a16="http://schemas.microsoft.com/office/drawing/2014/main" id="{09341A20-DD6F-44CC-8A08-83EE93816EB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140807</xdr:rowOff>
    </xdr:to>
    <xdr:sp macro="" textlink="">
      <xdr:nvSpPr>
        <xdr:cNvPr id="3561" name="x_Picture 1" descr="Description: cid:image001.png@01D03949.49457930">
          <a:extLst>
            <a:ext uri="{FF2B5EF4-FFF2-40B4-BE49-F238E27FC236}">
              <a16:creationId xmlns:a16="http://schemas.microsoft.com/office/drawing/2014/main" id="{1BBF6D9D-78E6-4768-92D7-BC94D3C603D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140807</xdr:rowOff>
    </xdr:to>
    <xdr:sp macro="" textlink="">
      <xdr:nvSpPr>
        <xdr:cNvPr id="3562" name="x_Picture 1" descr="Description: cid:image001.png@01D03949.49457930">
          <a:extLst>
            <a:ext uri="{FF2B5EF4-FFF2-40B4-BE49-F238E27FC236}">
              <a16:creationId xmlns:a16="http://schemas.microsoft.com/office/drawing/2014/main" id="{6EDABAAC-6E45-48B6-979A-C8F670DA910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63" name="x_Picture 1" descr="Description: cid:image001.png@01D03949.49457930">
          <a:extLst>
            <a:ext uri="{FF2B5EF4-FFF2-40B4-BE49-F238E27FC236}">
              <a16:creationId xmlns:a16="http://schemas.microsoft.com/office/drawing/2014/main" id="{10EEEDAF-6554-47CF-A950-D73395E7C72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64" name="x_Picture 1" descr="Description: cid:image001.png@01D03949.49457930">
          <a:extLst>
            <a:ext uri="{FF2B5EF4-FFF2-40B4-BE49-F238E27FC236}">
              <a16:creationId xmlns:a16="http://schemas.microsoft.com/office/drawing/2014/main" id="{D9E0EE98-8CA5-496B-9944-0C9F79EA8A3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65" name="x_Picture 1" descr="Description: cid:image001.png@01D03949.49457930">
          <a:extLst>
            <a:ext uri="{FF2B5EF4-FFF2-40B4-BE49-F238E27FC236}">
              <a16:creationId xmlns:a16="http://schemas.microsoft.com/office/drawing/2014/main" id="{9EC249D7-A6D2-4F69-8FA5-95F0A82FE5F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140808</xdr:rowOff>
    </xdr:to>
    <xdr:sp macro="" textlink="">
      <xdr:nvSpPr>
        <xdr:cNvPr id="3566" name="x_Picture 1" descr="Description: cid:image001.png@01D03949.49457930">
          <a:extLst>
            <a:ext uri="{FF2B5EF4-FFF2-40B4-BE49-F238E27FC236}">
              <a16:creationId xmlns:a16="http://schemas.microsoft.com/office/drawing/2014/main" id="{FD7BAD73-CC7F-4C73-9E3E-749563E4956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140807</xdr:rowOff>
    </xdr:to>
    <xdr:sp macro="" textlink="">
      <xdr:nvSpPr>
        <xdr:cNvPr id="3567" name="x_Picture 1" descr="Description: cid:image001.png@01D03949.49457930">
          <a:extLst>
            <a:ext uri="{FF2B5EF4-FFF2-40B4-BE49-F238E27FC236}">
              <a16:creationId xmlns:a16="http://schemas.microsoft.com/office/drawing/2014/main" id="{87AEBCD5-522F-4DA7-8E7D-5ABA5EF0951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140807</xdr:rowOff>
    </xdr:to>
    <xdr:sp macro="" textlink="">
      <xdr:nvSpPr>
        <xdr:cNvPr id="3568" name="x_Picture 1" descr="Description: cid:image001.png@01D03949.49457930">
          <a:extLst>
            <a:ext uri="{FF2B5EF4-FFF2-40B4-BE49-F238E27FC236}">
              <a16:creationId xmlns:a16="http://schemas.microsoft.com/office/drawing/2014/main" id="{2A9EACBB-7419-4064-82AA-E4C4A095F1D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37</xdr:row>
      <xdr:rowOff>0</xdr:rowOff>
    </xdr:from>
    <xdr:ext cx="304800" cy="322369"/>
    <xdr:sp macro="" textlink="">
      <xdr:nvSpPr>
        <xdr:cNvPr id="3569" name="x_Picture 1" descr="Description: cid:image001.png@01D03949.49457930">
          <a:extLst>
            <a:ext uri="{FF2B5EF4-FFF2-40B4-BE49-F238E27FC236}">
              <a16:creationId xmlns:a16="http://schemas.microsoft.com/office/drawing/2014/main" id="{2B78C567-6974-4688-94A2-52F17F3343F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9"/>
    <xdr:sp macro="" textlink="">
      <xdr:nvSpPr>
        <xdr:cNvPr id="3570" name="x_Picture 1" descr="Description: cid:image001.png@01D03949.49457930">
          <a:extLst>
            <a:ext uri="{FF2B5EF4-FFF2-40B4-BE49-F238E27FC236}">
              <a16:creationId xmlns:a16="http://schemas.microsoft.com/office/drawing/2014/main" id="{A185927E-99C6-4524-ABB3-1955A1DA9F4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9"/>
    <xdr:sp macro="" textlink="">
      <xdr:nvSpPr>
        <xdr:cNvPr id="3571" name="x_Picture 1" descr="Description: cid:image001.png@01D03949.49457930">
          <a:extLst>
            <a:ext uri="{FF2B5EF4-FFF2-40B4-BE49-F238E27FC236}">
              <a16:creationId xmlns:a16="http://schemas.microsoft.com/office/drawing/2014/main" id="{E43734E4-69B9-4D76-9C66-D29FF24EFD8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9"/>
    <xdr:sp macro="" textlink="">
      <xdr:nvSpPr>
        <xdr:cNvPr id="3572" name="x_Picture 1" descr="Description: cid:image001.png@01D03949.49457930">
          <a:extLst>
            <a:ext uri="{FF2B5EF4-FFF2-40B4-BE49-F238E27FC236}">
              <a16:creationId xmlns:a16="http://schemas.microsoft.com/office/drawing/2014/main" id="{3C2A8881-F82F-4C42-8731-A7EB9F2E6E5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573" name="x_Picture 1" descr="Description: cid:image001.png@01D03949.49457930">
          <a:extLst>
            <a:ext uri="{FF2B5EF4-FFF2-40B4-BE49-F238E27FC236}">
              <a16:creationId xmlns:a16="http://schemas.microsoft.com/office/drawing/2014/main" id="{D6DC16F9-1ABE-4C0A-98D0-03628A8C5B0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574" name="x_Picture 1" descr="Description: cid:image001.png@01D03949.49457930">
          <a:extLst>
            <a:ext uri="{FF2B5EF4-FFF2-40B4-BE49-F238E27FC236}">
              <a16:creationId xmlns:a16="http://schemas.microsoft.com/office/drawing/2014/main" id="{48CD3E52-9307-402C-9521-8056C18D5DA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9"/>
    <xdr:sp macro="" textlink="">
      <xdr:nvSpPr>
        <xdr:cNvPr id="3575" name="x_Picture 1" descr="Description: cid:image001.png@01D03949.49457930">
          <a:extLst>
            <a:ext uri="{FF2B5EF4-FFF2-40B4-BE49-F238E27FC236}">
              <a16:creationId xmlns:a16="http://schemas.microsoft.com/office/drawing/2014/main" id="{8169B8B0-0F9C-46D5-8A5C-359B1F2676A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9"/>
    <xdr:sp macro="" textlink="">
      <xdr:nvSpPr>
        <xdr:cNvPr id="3576" name="x_Picture 1" descr="Description: cid:image001.png@01D03949.49457930">
          <a:extLst>
            <a:ext uri="{FF2B5EF4-FFF2-40B4-BE49-F238E27FC236}">
              <a16:creationId xmlns:a16="http://schemas.microsoft.com/office/drawing/2014/main" id="{A2E631A7-1CBE-4F45-A58B-C07EF9FEC4D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9"/>
    <xdr:sp macro="" textlink="">
      <xdr:nvSpPr>
        <xdr:cNvPr id="3577" name="x_Picture 1" descr="Description: cid:image001.png@01D03949.49457930">
          <a:extLst>
            <a:ext uri="{FF2B5EF4-FFF2-40B4-BE49-F238E27FC236}">
              <a16:creationId xmlns:a16="http://schemas.microsoft.com/office/drawing/2014/main" id="{F2DF9DB5-CE1D-4A4F-AB87-E4BFA8CE10B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9"/>
    <xdr:sp macro="" textlink="">
      <xdr:nvSpPr>
        <xdr:cNvPr id="3578" name="x_Picture 1" descr="Description: cid:image001.png@01D03949.49457930">
          <a:extLst>
            <a:ext uri="{FF2B5EF4-FFF2-40B4-BE49-F238E27FC236}">
              <a16:creationId xmlns:a16="http://schemas.microsoft.com/office/drawing/2014/main" id="{DE67BE89-F93F-4CDB-93D7-408A8E6388A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579" name="x_Picture 1" descr="Description: cid:image001.png@01D03949.49457930">
          <a:extLst>
            <a:ext uri="{FF2B5EF4-FFF2-40B4-BE49-F238E27FC236}">
              <a16:creationId xmlns:a16="http://schemas.microsoft.com/office/drawing/2014/main" id="{A0D28DC6-A1DA-41D4-851D-0E381069142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580" name="x_Picture 1" descr="Description: cid:image001.png@01D03949.49457930">
          <a:extLst>
            <a:ext uri="{FF2B5EF4-FFF2-40B4-BE49-F238E27FC236}">
              <a16:creationId xmlns:a16="http://schemas.microsoft.com/office/drawing/2014/main" id="{A2E6DD9B-D7B6-4AA3-B8D3-E9B36772ED3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81" name="x_Picture 1" descr="Description: cid:image001.png@01D03949.49457930">
          <a:extLst>
            <a:ext uri="{FF2B5EF4-FFF2-40B4-BE49-F238E27FC236}">
              <a16:creationId xmlns:a16="http://schemas.microsoft.com/office/drawing/2014/main" id="{6258FD47-3781-418D-894D-DC91ED24390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82" name="x_Picture 1" descr="Description: cid:image001.png@01D03949.49457930">
          <a:extLst>
            <a:ext uri="{FF2B5EF4-FFF2-40B4-BE49-F238E27FC236}">
              <a16:creationId xmlns:a16="http://schemas.microsoft.com/office/drawing/2014/main" id="{44439801-469A-43D1-9C16-2255BCC1D3A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83" name="x_Picture 1" descr="Description: cid:image001.png@01D03949.49457930">
          <a:extLst>
            <a:ext uri="{FF2B5EF4-FFF2-40B4-BE49-F238E27FC236}">
              <a16:creationId xmlns:a16="http://schemas.microsoft.com/office/drawing/2014/main" id="{DEC671A5-65B6-4B5D-ABD7-09A3FB39EAD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84" name="x_Picture 1" descr="Description: cid:image001.png@01D03949.49457930">
          <a:extLst>
            <a:ext uri="{FF2B5EF4-FFF2-40B4-BE49-F238E27FC236}">
              <a16:creationId xmlns:a16="http://schemas.microsoft.com/office/drawing/2014/main" id="{CBE0C183-1848-421F-B71F-4B3DA4BF103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585" name="x_Picture 1" descr="Description: cid:image001.png@01D03949.49457930">
          <a:extLst>
            <a:ext uri="{FF2B5EF4-FFF2-40B4-BE49-F238E27FC236}">
              <a16:creationId xmlns:a16="http://schemas.microsoft.com/office/drawing/2014/main" id="{905F7017-AD27-4577-A82C-2423FB3487F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586" name="x_Picture 1" descr="Description: cid:image001.png@01D03949.49457930">
          <a:extLst>
            <a:ext uri="{FF2B5EF4-FFF2-40B4-BE49-F238E27FC236}">
              <a16:creationId xmlns:a16="http://schemas.microsoft.com/office/drawing/2014/main" id="{4101B5B2-5ED7-46B1-8711-EEDE39E5C7A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87" name="x_Picture 1" descr="Description: cid:image001.png@01D03949.49457930">
          <a:extLst>
            <a:ext uri="{FF2B5EF4-FFF2-40B4-BE49-F238E27FC236}">
              <a16:creationId xmlns:a16="http://schemas.microsoft.com/office/drawing/2014/main" id="{C392F0DB-09E2-45E4-BE76-81A2BB23091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88" name="x_Picture 1" descr="Description: cid:image001.png@01D03949.49457930">
          <a:extLst>
            <a:ext uri="{FF2B5EF4-FFF2-40B4-BE49-F238E27FC236}">
              <a16:creationId xmlns:a16="http://schemas.microsoft.com/office/drawing/2014/main" id="{D8A961B6-CC3C-4461-8AC6-FA7FCFF7D26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89" name="x_Picture 1" descr="Description: cid:image001.png@01D03949.49457930">
          <a:extLst>
            <a:ext uri="{FF2B5EF4-FFF2-40B4-BE49-F238E27FC236}">
              <a16:creationId xmlns:a16="http://schemas.microsoft.com/office/drawing/2014/main" id="{D4490D34-E8EC-4032-AF1E-8A318F2A132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90" name="x_Picture 1" descr="Description: cid:image001.png@01D03949.49457930">
          <a:extLst>
            <a:ext uri="{FF2B5EF4-FFF2-40B4-BE49-F238E27FC236}">
              <a16:creationId xmlns:a16="http://schemas.microsoft.com/office/drawing/2014/main" id="{C8CBF265-14A4-4608-A5EE-3CAE53D47E0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591" name="x_Picture 1" descr="Description: cid:image001.png@01D03949.49457930">
          <a:extLst>
            <a:ext uri="{FF2B5EF4-FFF2-40B4-BE49-F238E27FC236}">
              <a16:creationId xmlns:a16="http://schemas.microsoft.com/office/drawing/2014/main" id="{9D426E7A-E760-4471-AC3A-2C66F664320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592" name="x_Picture 1" descr="Description: cid:image001.png@01D03949.49457930">
          <a:extLst>
            <a:ext uri="{FF2B5EF4-FFF2-40B4-BE49-F238E27FC236}">
              <a16:creationId xmlns:a16="http://schemas.microsoft.com/office/drawing/2014/main" id="{4288A85D-A528-46DD-9EE5-EC19CF2D983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93" name="x_Picture 1" descr="Description: cid:image001.png@01D03949.49457930">
          <a:extLst>
            <a:ext uri="{FF2B5EF4-FFF2-40B4-BE49-F238E27FC236}">
              <a16:creationId xmlns:a16="http://schemas.microsoft.com/office/drawing/2014/main" id="{3B8CD440-6F5E-420C-BBFD-B652C409266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94" name="x_Picture 1" descr="Description: cid:image001.png@01D03949.49457930">
          <a:extLst>
            <a:ext uri="{FF2B5EF4-FFF2-40B4-BE49-F238E27FC236}">
              <a16:creationId xmlns:a16="http://schemas.microsoft.com/office/drawing/2014/main" id="{8632F68B-3238-4BA5-A365-C65C1B86716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95" name="x_Picture 1" descr="Description: cid:image001.png@01D03949.49457930">
          <a:extLst>
            <a:ext uri="{FF2B5EF4-FFF2-40B4-BE49-F238E27FC236}">
              <a16:creationId xmlns:a16="http://schemas.microsoft.com/office/drawing/2014/main" id="{C0D86478-C5C1-4E5C-BCD4-D9B58285691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96" name="x_Picture 1" descr="Description: cid:image001.png@01D03949.49457930">
          <a:extLst>
            <a:ext uri="{FF2B5EF4-FFF2-40B4-BE49-F238E27FC236}">
              <a16:creationId xmlns:a16="http://schemas.microsoft.com/office/drawing/2014/main" id="{3CCFF00B-E787-4234-826A-A1EFF7FF8C0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597" name="x_Picture 1" descr="Description: cid:image001.png@01D03949.49457930">
          <a:extLst>
            <a:ext uri="{FF2B5EF4-FFF2-40B4-BE49-F238E27FC236}">
              <a16:creationId xmlns:a16="http://schemas.microsoft.com/office/drawing/2014/main" id="{CE763DE5-2698-4078-9B84-D454CE9A7E7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598" name="x_Picture 1" descr="Description: cid:image001.png@01D03949.49457930">
          <a:extLst>
            <a:ext uri="{FF2B5EF4-FFF2-40B4-BE49-F238E27FC236}">
              <a16:creationId xmlns:a16="http://schemas.microsoft.com/office/drawing/2014/main" id="{F96AD53F-F160-46ED-844A-71FBE30D46A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599" name="x_Picture 1" descr="Description: cid:image001.png@01D03949.49457930">
          <a:extLst>
            <a:ext uri="{FF2B5EF4-FFF2-40B4-BE49-F238E27FC236}">
              <a16:creationId xmlns:a16="http://schemas.microsoft.com/office/drawing/2014/main" id="{AFD24636-A7FB-425C-8584-C9B1C108498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00" name="x_Picture 1" descr="Description: cid:image001.png@01D03949.49457930">
          <a:extLst>
            <a:ext uri="{FF2B5EF4-FFF2-40B4-BE49-F238E27FC236}">
              <a16:creationId xmlns:a16="http://schemas.microsoft.com/office/drawing/2014/main" id="{2B7902AF-155B-4B25-BFD0-DDF26E7884E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01" name="x_Picture 1" descr="Description: cid:image001.png@01D03949.49457930">
          <a:extLst>
            <a:ext uri="{FF2B5EF4-FFF2-40B4-BE49-F238E27FC236}">
              <a16:creationId xmlns:a16="http://schemas.microsoft.com/office/drawing/2014/main" id="{DFADE330-FB32-425B-BB9E-550B9AC0054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02" name="x_Picture 1" descr="Description: cid:image001.png@01D03949.49457930">
          <a:extLst>
            <a:ext uri="{FF2B5EF4-FFF2-40B4-BE49-F238E27FC236}">
              <a16:creationId xmlns:a16="http://schemas.microsoft.com/office/drawing/2014/main" id="{2E9E6B1B-677A-42D4-A44A-B1B940F9CFD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603" name="x_Picture 1" descr="Description: cid:image001.png@01D03949.49457930">
          <a:extLst>
            <a:ext uri="{FF2B5EF4-FFF2-40B4-BE49-F238E27FC236}">
              <a16:creationId xmlns:a16="http://schemas.microsoft.com/office/drawing/2014/main" id="{CDDA9D19-3040-424A-B418-F726F7BB9FB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604" name="x_Picture 1" descr="Description: cid:image001.png@01D03949.49457930">
          <a:extLst>
            <a:ext uri="{FF2B5EF4-FFF2-40B4-BE49-F238E27FC236}">
              <a16:creationId xmlns:a16="http://schemas.microsoft.com/office/drawing/2014/main" id="{CE07FCC8-AC8E-4968-ADF7-7E7EE982C8A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606" name="x_Picture 1" descr="Description: cid:image001.png@01D03949.49457930">
          <a:extLst>
            <a:ext uri="{FF2B5EF4-FFF2-40B4-BE49-F238E27FC236}">
              <a16:creationId xmlns:a16="http://schemas.microsoft.com/office/drawing/2014/main" id="{6C5B48A2-BD96-433D-BE93-2906F24D160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607" name="x_Picture 1" descr="Description: cid:image001.png@01D03949.49457930">
          <a:extLst>
            <a:ext uri="{FF2B5EF4-FFF2-40B4-BE49-F238E27FC236}">
              <a16:creationId xmlns:a16="http://schemas.microsoft.com/office/drawing/2014/main" id="{0BE392E2-972F-4BF4-903D-074197D8D8C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608" name="x_Picture 1" descr="Description: cid:image001.png@01D03949.49457930">
          <a:extLst>
            <a:ext uri="{FF2B5EF4-FFF2-40B4-BE49-F238E27FC236}">
              <a16:creationId xmlns:a16="http://schemas.microsoft.com/office/drawing/2014/main" id="{B7D0A695-0E72-4FD5-8841-0873586B031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609" name="x_Picture 1" descr="Description: cid:image001.png@01D03949.49457930">
          <a:extLst>
            <a:ext uri="{FF2B5EF4-FFF2-40B4-BE49-F238E27FC236}">
              <a16:creationId xmlns:a16="http://schemas.microsoft.com/office/drawing/2014/main" id="{75336AC1-7720-4FB0-B75C-F6ADD2CCDC8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79"/>
    <xdr:sp macro="" textlink="">
      <xdr:nvSpPr>
        <xdr:cNvPr id="3610" name="x_Picture 1" descr="Description: cid:image001.png@01D03949.49457930">
          <a:extLst>
            <a:ext uri="{FF2B5EF4-FFF2-40B4-BE49-F238E27FC236}">
              <a16:creationId xmlns:a16="http://schemas.microsoft.com/office/drawing/2014/main" id="{6078A292-CC82-4828-8A8A-99D3920AB66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79"/>
    <xdr:sp macro="" textlink="">
      <xdr:nvSpPr>
        <xdr:cNvPr id="3611" name="x_Picture 1" descr="Description: cid:image001.png@01D03949.49457930">
          <a:extLst>
            <a:ext uri="{FF2B5EF4-FFF2-40B4-BE49-F238E27FC236}">
              <a16:creationId xmlns:a16="http://schemas.microsoft.com/office/drawing/2014/main" id="{E19D0897-7AC7-4929-B5E6-99A0748000F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612" name="x_Picture 1" descr="Description: cid:image001.png@01D03949.49457930">
          <a:extLst>
            <a:ext uri="{FF2B5EF4-FFF2-40B4-BE49-F238E27FC236}">
              <a16:creationId xmlns:a16="http://schemas.microsoft.com/office/drawing/2014/main" id="{878B84F8-4514-4CCE-8F8B-B8580AA3487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613" name="x_Picture 1" descr="Description: cid:image001.png@01D03949.49457930">
          <a:extLst>
            <a:ext uri="{FF2B5EF4-FFF2-40B4-BE49-F238E27FC236}">
              <a16:creationId xmlns:a16="http://schemas.microsoft.com/office/drawing/2014/main" id="{B3804ED6-302D-407D-A851-8763E2615CE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614" name="x_Picture 1" descr="Description: cid:image001.png@01D03949.49457930">
          <a:extLst>
            <a:ext uri="{FF2B5EF4-FFF2-40B4-BE49-F238E27FC236}">
              <a16:creationId xmlns:a16="http://schemas.microsoft.com/office/drawing/2014/main" id="{FE65B2EB-8D52-4CFF-9376-2D354500CF5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615" name="x_Picture 1" descr="Description: cid:image001.png@01D03949.49457930">
          <a:extLst>
            <a:ext uri="{FF2B5EF4-FFF2-40B4-BE49-F238E27FC236}">
              <a16:creationId xmlns:a16="http://schemas.microsoft.com/office/drawing/2014/main" id="{05054DC7-E229-446D-9FB2-BE1F8AA86AF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79"/>
    <xdr:sp macro="" textlink="">
      <xdr:nvSpPr>
        <xdr:cNvPr id="3616" name="x_Picture 1" descr="Description: cid:image001.png@01D03949.49457930">
          <a:extLst>
            <a:ext uri="{FF2B5EF4-FFF2-40B4-BE49-F238E27FC236}">
              <a16:creationId xmlns:a16="http://schemas.microsoft.com/office/drawing/2014/main" id="{2DE6D1D6-BE4A-4A5E-8FF6-07B66889E81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17" name="x_Picture 1" descr="Description: cid:image001.png@01D03949.49457930">
          <a:extLst>
            <a:ext uri="{FF2B5EF4-FFF2-40B4-BE49-F238E27FC236}">
              <a16:creationId xmlns:a16="http://schemas.microsoft.com/office/drawing/2014/main" id="{B4BBF1F0-9D1F-4F75-9B10-B32C75739D5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18" name="x_Picture 1" descr="Description: cid:image001.png@01D03949.49457930">
          <a:extLst>
            <a:ext uri="{FF2B5EF4-FFF2-40B4-BE49-F238E27FC236}">
              <a16:creationId xmlns:a16="http://schemas.microsoft.com/office/drawing/2014/main" id="{98ECFE2C-512E-4911-9B10-6A6307577A9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19" name="x_Picture 1" descr="Description: cid:image001.png@01D03949.49457930">
          <a:extLst>
            <a:ext uri="{FF2B5EF4-FFF2-40B4-BE49-F238E27FC236}">
              <a16:creationId xmlns:a16="http://schemas.microsoft.com/office/drawing/2014/main" id="{105D3456-B2BC-47F7-B59D-2A9D94DE318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20" name="x_Picture 1" descr="Description: cid:image001.png@01D03949.49457930">
          <a:extLst>
            <a:ext uri="{FF2B5EF4-FFF2-40B4-BE49-F238E27FC236}">
              <a16:creationId xmlns:a16="http://schemas.microsoft.com/office/drawing/2014/main" id="{7748D754-5AA7-4CB3-BA1E-8F9E9938D79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21" name="x_Picture 1" descr="Description: cid:image001.png@01D03949.49457930">
          <a:extLst>
            <a:ext uri="{FF2B5EF4-FFF2-40B4-BE49-F238E27FC236}">
              <a16:creationId xmlns:a16="http://schemas.microsoft.com/office/drawing/2014/main" id="{95E7C5F8-134A-44DE-BDD2-BC16990C44F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22" name="x_Picture 1" descr="Description: cid:image001.png@01D03949.49457930">
          <a:extLst>
            <a:ext uri="{FF2B5EF4-FFF2-40B4-BE49-F238E27FC236}">
              <a16:creationId xmlns:a16="http://schemas.microsoft.com/office/drawing/2014/main" id="{833CD289-21FF-4F9F-BB3F-AEDDC579E95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23" name="x_Picture 1" descr="Description: cid:image001.png@01D03949.49457930">
          <a:extLst>
            <a:ext uri="{FF2B5EF4-FFF2-40B4-BE49-F238E27FC236}">
              <a16:creationId xmlns:a16="http://schemas.microsoft.com/office/drawing/2014/main" id="{89B42DFF-79B9-4ED2-8A95-B6ABE4D9936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24" name="x_Picture 1" descr="Description: cid:image001.png@01D03949.49457930">
          <a:extLst>
            <a:ext uri="{FF2B5EF4-FFF2-40B4-BE49-F238E27FC236}">
              <a16:creationId xmlns:a16="http://schemas.microsoft.com/office/drawing/2014/main" id="{584FDA6F-D852-47EA-B1FF-C8F3845B7F1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25" name="x_Picture 1" descr="Description: cid:image001.png@01D03949.49457930">
          <a:extLst>
            <a:ext uri="{FF2B5EF4-FFF2-40B4-BE49-F238E27FC236}">
              <a16:creationId xmlns:a16="http://schemas.microsoft.com/office/drawing/2014/main" id="{7CEC3CBD-470C-4081-9C85-622C0146C96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26" name="x_Picture 1" descr="Description: cid:image001.png@01D03949.49457930">
          <a:extLst>
            <a:ext uri="{FF2B5EF4-FFF2-40B4-BE49-F238E27FC236}">
              <a16:creationId xmlns:a16="http://schemas.microsoft.com/office/drawing/2014/main" id="{6E013333-A940-4AD5-9C6C-407DFDCD81D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27" name="x_Picture 1" descr="Description: cid:image001.png@01D03949.49457930">
          <a:extLst>
            <a:ext uri="{FF2B5EF4-FFF2-40B4-BE49-F238E27FC236}">
              <a16:creationId xmlns:a16="http://schemas.microsoft.com/office/drawing/2014/main" id="{6EA359A9-C66D-4444-9C6B-46ECAAEE4EF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28" name="x_Picture 1" descr="Description: cid:image001.png@01D03949.49457930">
          <a:extLst>
            <a:ext uri="{FF2B5EF4-FFF2-40B4-BE49-F238E27FC236}">
              <a16:creationId xmlns:a16="http://schemas.microsoft.com/office/drawing/2014/main" id="{E3174786-A816-41F6-AB35-B4F93B7B446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29" name="x_Picture 1" descr="Description: cid:image001.png@01D03949.49457930">
          <a:extLst>
            <a:ext uri="{FF2B5EF4-FFF2-40B4-BE49-F238E27FC236}">
              <a16:creationId xmlns:a16="http://schemas.microsoft.com/office/drawing/2014/main" id="{C398BF55-776F-48BA-AEAB-DAAAC9A2440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30" name="x_Picture 1" descr="Description: cid:image001.png@01D03949.49457930">
          <a:extLst>
            <a:ext uri="{FF2B5EF4-FFF2-40B4-BE49-F238E27FC236}">
              <a16:creationId xmlns:a16="http://schemas.microsoft.com/office/drawing/2014/main" id="{9FADD039-C242-4523-944D-67D486E3009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31" name="x_Picture 1" descr="Description: cid:image001.png@01D03949.49457930">
          <a:extLst>
            <a:ext uri="{FF2B5EF4-FFF2-40B4-BE49-F238E27FC236}">
              <a16:creationId xmlns:a16="http://schemas.microsoft.com/office/drawing/2014/main" id="{60A8296D-F943-4FEC-928C-68D48145C31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32" name="x_Picture 1" descr="Description: cid:image001.png@01D03949.49457930">
          <a:extLst>
            <a:ext uri="{FF2B5EF4-FFF2-40B4-BE49-F238E27FC236}">
              <a16:creationId xmlns:a16="http://schemas.microsoft.com/office/drawing/2014/main" id="{CF1C0297-BBAA-440A-95C6-084D483572A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33" name="x_Picture 1" descr="Description: cid:image001.png@01D03949.49457930">
          <a:extLst>
            <a:ext uri="{FF2B5EF4-FFF2-40B4-BE49-F238E27FC236}">
              <a16:creationId xmlns:a16="http://schemas.microsoft.com/office/drawing/2014/main" id="{958589EE-1858-4084-A002-E65B04C1397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34" name="x_Picture 1" descr="Description: cid:image001.png@01D03949.49457930">
          <a:extLst>
            <a:ext uri="{FF2B5EF4-FFF2-40B4-BE49-F238E27FC236}">
              <a16:creationId xmlns:a16="http://schemas.microsoft.com/office/drawing/2014/main" id="{1C24B221-0627-41CD-8C54-AE11B4D3E31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35" name="x_Picture 1" descr="Description: cid:image001.png@01D03949.49457930">
          <a:extLst>
            <a:ext uri="{FF2B5EF4-FFF2-40B4-BE49-F238E27FC236}">
              <a16:creationId xmlns:a16="http://schemas.microsoft.com/office/drawing/2014/main" id="{21F5BFC9-C6FA-41D1-B2F3-1FFE4BCDF5E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36" name="x_Picture 1" descr="Description: cid:image001.png@01D03949.49457930">
          <a:extLst>
            <a:ext uri="{FF2B5EF4-FFF2-40B4-BE49-F238E27FC236}">
              <a16:creationId xmlns:a16="http://schemas.microsoft.com/office/drawing/2014/main" id="{A092BAC3-D7A0-4BE7-866D-38A77A13ED5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37" name="x_Picture 1" descr="Description: cid:image001.png@01D03949.49457930">
          <a:extLst>
            <a:ext uri="{FF2B5EF4-FFF2-40B4-BE49-F238E27FC236}">
              <a16:creationId xmlns:a16="http://schemas.microsoft.com/office/drawing/2014/main" id="{0346BCBD-BB61-4CE3-9EBF-A33A9032DFC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8"/>
    <xdr:sp macro="" textlink="">
      <xdr:nvSpPr>
        <xdr:cNvPr id="3638" name="x_Picture 1" descr="Description: cid:image001.png@01D03949.49457930">
          <a:extLst>
            <a:ext uri="{FF2B5EF4-FFF2-40B4-BE49-F238E27FC236}">
              <a16:creationId xmlns:a16="http://schemas.microsoft.com/office/drawing/2014/main" id="{0814A58B-7D90-492B-8882-A1BF6E4BA7E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639" name="x_Picture 1" descr="Description: cid:image001.png@01D03949.49457930">
          <a:extLst>
            <a:ext uri="{FF2B5EF4-FFF2-40B4-BE49-F238E27FC236}">
              <a16:creationId xmlns:a16="http://schemas.microsoft.com/office/drawing/2014/main" id="{98BDCD7E-6066-4A12-A019-728BCB21293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40" name="x_Picture 1" descr="Description: cid:image001.png@01D03949.49457930">
          <a:extLst>
            <a:ext uri="{FF2B5EF4-FFF2-40B4-BE49-F238E27FC236}">
              <a16:creationId xmlns:a16="http://schemas.microsoft.com/office/drawing/2014/main" id="{C1952BBD-3621-47C8-B153-09A778EF626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41" name="x_Picture 1" descr="Description: cid:image001.png@01D03949.49457930">
          <a:extLst>
            <a:ext uri="{FF2B5EF4-FFF2-40B4-BE49-F238E27FC236}">
              <a16:creationId xmlns:a16="http://schemas.microsoft.com/office/drawing/2014/main" id="{2646D238-1BF7-42D6-9E4F-2E45D21B8BD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42" name="x_Picture 1" descr="Description: cid:image001.png@01D03949.49457930">
          <a:extLst>
            <a:ext uri="{FF2B5EF4-FFF2-40B4-BE49-F238E27FC236}">
              <a16:creationId xmlns:a16="http://schemas.microsoft.com/office/drawing/2014/main" id="{1DD59D2F-6438-411B-8F4C-4D8A317DC88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43" name="x_Picture 1" descr="Description: cid:image001.png@01D03949.49457930">
          <a:extLst>
            <a:ext uri="{FF2B5EF4-FFF2-40B4-BE49-F238E27FC236}">
              <a16:creationId xmlns:a16="http://schemas.microsoft.com/office/drawing/2014/main" id="{2C50BAE6-37C3-49AC-85D0-380ED67A109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644" name="x_Picture 1" descr="Description: cid:image001.png@01D03949.49457930">
          <a:extLst>
            <a:ext uri="{FF2B5EF4-FFF2-40B4-BE49-F238E27FC236}">
              <a16:creationId xmlns:a16="http://schemas.microsoft.com/office/drawing/2014/main" id="{8E32CF46-7DEF-402E-86F9-7346D528BB7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45" name="x_Picture 1" descr="Description: cid:image001.png@01D03949.49457930">
          <a:extLst>
            <a:ext uri="{FF2B5EF4-FFF2-40B4-BE49-F238E27FC236}">
              <a16:creationId xmlns:a16="http://schemas.microsoft.com/office/drawing/2014/main" id="{FD01004B-D45C-435A-B1D5-8E436C703B6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46" name="x_Picture 1" descr="Description: cid:image001.png@01D03949.49457930">
          <a:extLst>
            <a:ext uri="{FF2B5EF4-FFF2-40B4-BE49-F238E27FC236}">
              <a16:creationId xmlns:a16="http://schemas.microsoft.com/office/drawing/2014/main" id="{E1260279-5685-4FCB-A702-0B807147646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47" name="x_Picture 1" descr="Description: cid:image001.png@01D03949.49457930">
          <a:extLst>
            <a:ext uri="{FF2B5EF4-FFF2-40B4-BE49-F238E27FC236}">
              <a16:creationId xmlns:a16="http://schemas.microsoft.com/office/drawing/2014/main" id="{219DCE82-6727-43B2-9907-5B3A84B35D2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48" name="x_Picture 1" descr="Description: cid:image001.png@01D03949.49457930">
          <a:extLst>
            <a:ext uri="{FF2B5EF4-FFF2-40B4-BE49-F238E27FC236}">
              <a16:creationId xmlns:a16="http://schemas.microsoft.com/office/drawing/2014/main" id="{A457836C-2BB7-4CDC-BC3B-BC783CAB5A4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649" name="x_Picture 1" descr="Description: cid:image001.png@01D03949.49457930">
          <a:extLst>
            <a:ext uri="{FF2B5EF4-FFF2-40B4-BE49-F238E27FC236}">
              <a16:creationId xmlns:a16="http://schemas.microsoft.com/office/drawing/2014/main" id="{E11700A6-7BEB-41A0-A735-07E609009F2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650" name="x_Picture 1" descr="Description: cid:image001.png@01D03949.49457930">
          <a:extLst>
            <a:ext uri="{FF2B5EF4-FFF2-40B4-BE49-F238E27FC236}">
              <a16:creationId xmlns:a16="http://schemas.microsoft.com/office/drawing/2014/main" id="{F84C856F-CC3C-482F-9023-93EB424E220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51" name="x_Picture 1" descr="Description: cid:image001.png@01D03949.49457930">
          <a:extLst>
            <a:ext uri="{FF2B5EF4-FFF2-40B4-BE49-F238E27FC236}">
              <a16:creationId xmlns:a16="http://schemas.microsoft.com/office/drawing/2014/main" id="{4036750A-EF4E-4F32-BB56-4D70A45EC67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52" name="x_Picture 1" descr="Description: cid:image001.png@01D03949.49457930">
          <a:extLst>
            <a:ext uri="{FF2B5EF4-FFF2-40B4-BE49-F238E27FC236}">
              <a16:creationId xmlns:a16="http://schemas.microsoft.com/office/drawing/2014/main" id="{B95ED357-CB95-47A7-84E5-22B43B88848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53" name="x_Picture 1" descr="Description: cid:image001.png@01D03949.49457930">
          <a:extLst>
            <a:ext uri="{FF2B5EF4-FFF2-40B4-BE49-F238E27FC236}">
              <a16:creationId xmlns:a16="http://schemas.microsoft.com/office/drawing/2014/main" id="{9B9C8D8F-19BF-47F9-8AF4-8A7CC6AD9AF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54" name="x_Picture 1" descr="Description: cid:image001.png@01D03949.49457930">
          <a:extLst>
            <a:ext uri="{FF2B5EF4-FFF2-40B4-BE49-F238E27FC236}">
              <a16:creationId xmlns:a16="http://schemas.microsoft.com/office/drawing/2014/main" id="{BD8CB014-26DF-4D5F-BB9E-7099812ED05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55" name="x_Picture 1" descr="Description: cid:image001.png@01D03949.49457930">
          <a:extLst>
            <a:ext uri="{FF2B5EF4-FFF2-40B4-BE49-F238E27FC236}">
              <a16:creationId xmlns:a16="http://schemas.microsoft.com/office/drawing/2014/main" id="{5FB016C5-60E6-4007-8E77-CD24C4DEC29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56" name="x_Picture 1" descr="Description: cid:image001.png@01D03949.49457930">
          <a:extLst>
            <a:ext uri="{FF2B5EF4-FFF2-40B4-BE49-F238E27FC236}">
              <a16:creationId xmlns:a16="http://schemas.microsoft.com/office/drawing/2014/main" id="{8E1332BB-3B5B-40D0-9D6B-B4105618ECF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57" name="x_Picture 1" descr="Description: cid:image001.png@01D03949.49457930">
          <a:extLst>
            <a:ext uri="{FF2B5EF4-FFF2-40B4-BE49-F238E27FC236}">
              <a16:creationId xmlns:a16="http://schemas.microsoft.com/office/drawing/2014/main" id="{26DF495B-EA06-44E7-970E-D304BC1FAD8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58" name="x_Picture 1" descr="Description: cid:image001.png@01D03949.49457930">
          <a:extLst>
            <a:ext uri="{FF2B5EF4-FFF2-40B4-BE49-F238E27FC236}">
              <a16:creationId xmlns:a16="http://schemas.microsoft.com/office/drawing/2014/main" id="{B59DB96F-B805-4143-B1AF-A097588B96D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659" name="x_Picture 1" descr="Description: cid:image001.png@01D03949.49457930">
          <a:extLst>
            <a:ext uri="{FF2B5EF4-FFF2-40B4-BE49-F238E27FC236}">
              <a16:creationId xmlns:a16="http://schemas.microsoft.com/office/drawing/2014/main" id="{3526F694-6E31-4F00-A000-0DAF5609A3A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660" name="x_Picture 1" descr="Description: cid:image001.png@01D03949.49457930">
          <a:extLst>
            <a:ext uri="{FF2B5EF4-FFF2-40B4-BE49-F238E27FC236}">
              <a16:creationId xmlns:a16="http://schemas.microsoft.com/office/drawing/2014/main" id="{81C3F367-FF42-4F81-A2DB-30EC81A565A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61" name="x_Picture 1" descr="Description: cid:image001.png@01D03949.49457930">
          <a:extLst>
            <a:ext uri="{FF2B5EF4-FFF2-40B4-BE49-F238E27FC236}">
              <a16:creationId xmlns:a16="http://schemas.microsoft.com/office/drawing/2014/main" id="{E0BCA456-6BFA-4BA6-A744-58CE7AFEBFB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62" name="x_Picture 1" descr="Description: cid:image001.png@01D03949.49457930">
          <a:extLst>
            <a:ext uri="{FF2B5EF4-FFF2-40B4-BE49-F238E27FC236}">
              <a16:creationId xmlns:a16="http://schemas.microsoft.com/office/drawing/2014/main" id="{0CE716AC-7C80-49FE-982F-729B4526A05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63" name="x_Picture 1" descr="Description: cid:image001.png@01D03949.49457930">
          <a:extLst>
            <a:ext uri="{FF2B5EF4-FFF2-40B4-BE49-F238E27FC236}">
              <a16:creationId xmlns:a16="http://schemas.microsoft.com/office/drawing/2014/main" id="{256C78DE-81D1-4D9D-BDC2-085D03E6D22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64" name="x_Picture 1" descr="Description: cid:image001.png@01D03949.49457930">
          <a:extLst>
            <a:ext uri="{FF2B5EF4-FFF2-40B4-BE49-F238E27FC236}">
              <a16:creationId xmlns:a16="http://schemas.microsoft.com/office/drawing/2014/main" id="{CBC0B4C5-099C-4F9F-A747-9309CF164BB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65" name="x_Picture 1" descr="Description: cid:image001.png@01D03949.49457930">
          <a:extLst>
            <a:ext uri="{FF2B5EF4-FFF2-40B4-BE49-F238E27FC236}">
              <a16:creationId xmlns:a16="http://schemas.microsoft.com/office/drawing/2014/main" id="{71F1649A-D5F9-4FFD-90C2-CCAC1EBC534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66" name="x_Picture 1" descr="Description: cid:image001.png@01D03949.49457930">
          <a:extLst>
            <a:ext uri="{FF2B5EF4-FFF2-40B4-BE49-F238E27FC236}">
              <a16:creationId xmlns:a16="http://schemas.microsoft.com/office/drawing/2014/main" id="{78A24E79-A167-4C2E-AD85-3A3CFFDE977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67" name="x_Picture 1" descr="Description: cid:image001.png@01D03949.49457930">
          <a:extLst>
            <a:ext uri="{FF2B5EF4-FFF2-40B4-BE49-F238E27FC236}">
              <a16:creationId xmlns:a16="http://schemas.microsoft.com/office/drawing/2014/main" id="{F0F0AD33-9F46-4EFB-9C2F-BE917C9A2F8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68" name="x_Picture 1" descr="Description: cid:image001.png@01D03949.49457930">
          <a:extLst>
            <a:ext uri="{FF2B5EF4-FFF2-40B4-BE49-F238E27FC236}">
              <a16:creationId xmlns:a16="http://schemas.microsoft.com/office/drawing/2014/main" id="{90BA7053-C378-4BBA-B001-2CB2C0EC193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669" name="x_Picture 1" descr="Description: cid:image001.png@01D03949.49457930">
          <a:extLst>
            <a:ext uri="{FF2B5EF4-FFF2-40B4-BE49-F238E27FC236}">
              <a16:creationId xmlns:a16="http://schemas.microsoft.com/office/drawing/2014/main" id="{380353FC-CD9F-4AE8-B6E1-E0CC1777044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7"/>
    <xdr:sp macro="" textlink="">
      <xdr:nvSpPr>
        <xdr:cNvPr id="3670" name="x_Picture 1" descr="Description: cid:image001.png@01D03949.49457930">
          <a:extLst>
            <a:ext uri="{FF2B5EF4-FFF2-40B4-BE49-F238E27FC236}">
              <a16:creationId xmlns:a16="http://schemas.microsoft.com/office/drawing/2014/main" id="{29C81D66-5438-47AE-A423-A1244451F90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71" name="x_Picture 1" descr="Description: cid:image001.png@01D03949.49457930">
          <a:extLst>
            <a:ext uri="{FF2B5EF4-FFF2-40B4-BE49-F238E27FC236}">
              <a16:creationId xmlns:a16="http://schemas.microsoft.com/office/drawing/2014/main" id="{409A3074-E1A2-4246-A849-D9EAE947434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9448"/>
    <xdr:sp macro="" textlink="">
      <xdr:nvSpPr>
        <xdr:cNvPr id="3672" name="x_Picture 1" descr="Description: cid:image001.png@01D03949.49457930">
          <a:extLst>
            <a:ext uri="{FF2B5EF4-FFF2-40B4-BE49-F238E27FC236}">
              <a16:creationId xmlns:a16="http://schemas.microsoft.com/office/drawing/2014/main" id="{B8F5A275-8F63-4357-8B45-76E4A63FFD4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73" name="x_Picture 1" descr="Description: cid:image001.png@01D03949.49457930">
          <a:extLst>
            <a:ext uri="{FF2B5EF4-FFF2-40B4-BE49-F238E27FC236}">
              <a16:creationId xmlns:a16="http://schemas.microsoft.com/office/drawing/2014/main" id="{AEE16756-9C96-40A1-A45E-72417B7C094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74" name="x_Picture 1" descr="Description: cid:image001.png@01D03949.49457930">
          <a:extLst>
            <a:ext uri="{FF2B5EF4-FFF2-40B4-BE49-F238E27FC236}">
              <a16:creationId xmlns:a16="http://schemas.microsoft.com/office/drawing/2014/main" id="{185B4ACF-9C74-4B41-BE66-20AE0740024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75" name="x_Picture 1" descr="Description: cid:image001.png@01D03949.49457930">
          <a:extLst>
            <a:ext uri="{FF2B5EF4-FFF2-40B4-BE49-F238E27FC236}">
              <a16:creationId xmlns:a16="http://schemas.microsoft.com/office/drawing/2014/main" id="{F03CC259-B067-4E31-8E43-4C877D60FE8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76" name="x_Picture 1" descr="Description: cid:image001.png@01D03949.49457930">
          <a:extLst>
            <a:ext uri="{FF2B5EF4-FFF2-40B4-BE49-F238E27FC236}">
              <a16:creationId xmlns:a16="http://schemas.microsoft.com/office/drawing/2014/main" id="{4C2A760E-5DB2-4778-B8F6-DC283E3E209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677" name="x_Picture 1" descr="Description: cid:image001.png@01D03949.49457930">
          <a:extLst>
            <a:ext uri="{FF2B5EF4-FFF2-40B4-BE49-F238E27FC236}">
              <a16:creationId xmlns:a16="http://schemas.microsoft.com/office/drawing/2014/main" id="{828200F5-86E1-42E0-AA59-977FB307463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678" name="x_Picture 1" descr="Description: cid:image001.png@01D03949.49457930">
          <a:extLst>
            <a:ext uri="{FF2B5EF4-FFF2-40B4-BE49-F238E27FC236}">
              <a16:creationId xmlns:a16="http://schemas.microsoft.com/office/drawing/2014/main" id="{90E3B048-F301-4E9F-A607-3433911AE51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79" name="x_Picture 1" descr="Description: cid:image001.png@01D03949.49457930">
          <a:extLst>
            <a:ext uri="{FF2B5EF4-FFF2-40B4-BE49-F238E27FC236}">
              <a16:creationId xmlns:a16="http://schemas.microsoft.com/office/drawing/2014/main" id="{5F70881E-AAC8-4FAD-9684-A5036A68CB5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80" name="x_Picture 1" descr="Description: cid:image001.png@01D03949.49457930">
          <a:extLst>
            <a:ext uri="{FF2B5EF4-FFF2-40B4-BE49-F238E27FC236}">
              <a16:creationId xmlns:a16="http://schemas.microsoft.com/office/drawing/2014/main" id="{A2E11D64-2F11-4D07-8977-937FBAF4807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81" name="x_Picture 1" descr="Description: cid:image001.png@01D03949.49457930">
          <a:extLst>
            <a:ext uri="{FF2B5EF4-FFF2-40B4-BE49-F238E27FC236}">
              <a16:creationId xmlns:a16="http://schemas.microsoft.com/office/drawing/2014/main" id="{68ECB836-AC98-4F45-B0F4-238C5717B86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82" name="x_Picture 1" descr="Description: cid:image001.png@01D03949.49457930">
          <a:extLst>
            <a:ext uri="{FF2B5EF4-FFF2-40B4-BE49-F238E27FC236}">
              <a16:creationId xmlns:a16="http://schemas.microsoft.com/office/drawing/2014/main" id="{3078CE23-000D-44CB-A1DA-168146B1D41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683" name="x_Picture 1" descr="Description: cid:image001.png@01D03949.49457930">
          <a:extLst>
            <a:ext uri="{FF2B5EF4-FFF2-40B4-BE49-F238E27FC236}">
              <a16:creationId xmlns:a16="http://schemas.microsoft.com/office/drawing/2014/main" id="{FA4AADF7-F745-411B-B5A5-F9187F4D92A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684" name="x_Picture 1" descr="Description: cid:image001.png@01D03949.49457930">
          <a:extLst>
            <a:ext uri="{FF2B5EF4-FFF2-40B4-BE49-F238E27FC236}">
              <a16:creationId xmlns:a16="http://schemas.microsoft.com/office/drawing/2014/main" id="{A3E6E157-E0C9-4719-BC31-4B662428214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85" name="x_Picture 1" descr="Description: cid:image001.png@01D03949.49457930">
          <a:extLst>
            <a:ext uri="{FF2B5EF4-FFF2-40B4-BE49-F238E27FC236}">
              <a16:creationId xmlns:a16="http://schemas.microsoft.com/office/drawing/2014/main" id="{08F38B12-41F5-47BF-A52A-23F8E4EC213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86" name="x_Picture 1" descr="Description: cid:image001.png@01D03949.49457930">
          <a:extLst>
            <a:ext uri="{FF2B5EF4-FFF2-40B4-BE49-F238E27FC236}">
              <a16:creationId xmlns:a16="http://schemas.microsoft.com/office/drawing/2014/main" id="{945EE2D4-F2F8-43A3-9469-688F37533EE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87" name="x_Picture 1" descr="Description: cid:image001.png@01D03949.49457930">
          <a:extLst>
            <a:ext uri="{FF2B5EF4-FFF2-40B4-BE49-F238E27FC236}">
              <a16:creationId xmlns:a16="http://schemas.microsoft.com/office/drawing/2014/main" id="{2F1304D6-8762-4087-A585-5AE98DC849F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88" name="x_Picture 1" descr="Description: cid:image001.png@01D03949.49457930">
          <a:extLst>
            <a:ext uri="{FF2B5EF4-FFF2-40B4-BE49-F238E27FC236}">
              <a16:creationId xmlns:a16="http://schemas.microsoft.com/office/drawing/2014/main" id="{1F65BF69-005E-4F6D-9229-7E048D0ACC2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689" name="x_Picture 1" descr="Description: cid:image001.png@01D03949.49457930">
          <a:extLst>
            <a:ext uri="{FF2B5EF4-FFF2-40B4-BE49-F238E27FC236}">
              <a16:creationId xmlns:a16="http://schemas.microsoft.com/office/drawing/2014/main" id="{47D0FACA-84F7-4669-8F68-52C8286BC6A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690" name="x_Picture 1" descr="Description: cid:image001.png@01D03949.49457930">
          <a:extLst>
            <a:ext uri="{FF2B5EF4-FFF2-40B4-BE49-F238E27FC236}">
              <a16:creationId xmlns:a16="http://schemas.microsoft.com/office/drawing/2014/main" id="{9CB1A8BB-CFDE-4AA2-BA20-AB01923C7D4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91" name="x_Picture 1" descr="Description: cid:image001.png@01D03949.49457930">
          <a:extLst>
            <a:ext uri="{FF2B5EF4-FFF2-40B4-BE49-F238E27FC236}">
              <a16:creationId xmlns:a16="http://schemas.microsoft.com/office/drawing/2014/main" id="{A594E0B2-CAFA-4972-8D86-D9E433166B5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92" name="x_Picture 1" descr="Description: cid:image001.png@01D03949.49457930">
          <a:extLst>
            <a:ext uri="{FF2B5EF4-FFF2-40B4-BE49-F238E27FC236}">
              <a16:creationId xmlns:a16="http://schemas.microsoft.com/office/drawing/2014/main" id="{2E93681E-346B-42FA-92CC-8C5ED55B45D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93" name="x_Picture 1" descr="Description: cid:image001.png@01D03949.49457930">
          <a:extLst>
            <a:ext uri="{FF2B5EF4-FFF2-40B4-BE49-F238E27FC236}">
              <a16:creationId xmlns:a16="http://schemas.microsoft.com/office/drawing/2014/main" id="{46FBFADB-1741-4A5A-9155-A615B8E6C27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694" name="x_Picture 1" descr="Description: cid:image001.png@01D03949.49457930">
          <a:extLst>
            <a:ext uri="{FF2B5EF4-FFF2-40B4-BE49-F238E27FC236}">
              <a16:creationId xmlns:a16="http://schemas.microsoft.com/office/drawing/2014/main" id="{228B2502-DCC1-48D7-824F-08ACB92E975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695" name="x_Picture 1" descr="Description: cid:image001.png@01D03949.49457930">
          <a:extLst>
            <a:ext uri="{FF2B5EF4-FFF2-40B4-BE49-F238E27FC236}">
              <a16:creationId xmlns:a16="http://schemas.microsoft.com/office/drawing/2014/main" id="{10358033-3830-419A-8368-C71021A418D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696" name="x_Picture 1" descr="Description: cid:image001.png@01D03949.49457930">
          <a:extLst>
            <a:ext uri="{FF2B5EF4-FFF2-40B4-BE49-F238E27FC236}">
              <a16:creationId xmlns:a16="http://schemas.microsoft.com/office/drawing/2014/main" id="{CE04AEEB-D4BA-4778-B243-AA906068A6D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697" name="x_Picture 1" descr="Description: cid:image001.png@01D03949.49457930">
          <a:extLst>
            <a:ext uri="{FF2B5EF4-FFF2-40B4-BE49-F238E27FC236}">
              <a16:creationId xmlns:a16="http://schemas.microsoft.com/office/drawing/2014/main" id="{815F379B-F213-41B7-BD3A-5DCD4BB7302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698" name="x_Picture 1" descr="Description: cid:image001.png@01D03949.49457930">
          <a:extLst>
            <a:ext uri="{FF2B5EF4-FFF2-40B4-BE49-F238E27FC236}">
              <a16:creationId xmlns:a16="http://schemas.microsoft.com/office/drawing/2014/main" id="{1C244DED-BD0E-43FD-99B7-0A5BC012967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699" name="x_Picture 1" descr="Description: cid:image001.png@01D03949.49457930">
          <a:extLst>
            <a:ext uri="{FF2B5EF4-FFF2-40B4-BE49-F238E27FC236}">
              <a16:creationId xmlns:a16="http://schemas.microsoft.com/office/drawing/2014/main" id="{D6ADDFC6-7402-4391-B858-F6E0C3C9F8D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00" name="x_Picture 1" descr="Description: cid:image001.png@01D03949.49457930">
          <a:extLst>
            <a:ext uri="{FF2B5EF4-FFF2-40B4-BE49-F238E27FC236}">
              <a16:creationId xmlns:a16="http://schemas.microsoft.com/office/drawing/2014/main" id="{BF448A0F-37F9-486A-98AD-5A223287F1A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1"/>
    <xdr:sp macro="" textlink="">
      <xdr:nvSpPr>
        <xdr:cNvPr id="3701" name="x_Picture 1" descr="Description: cid:image001.png@01D03949.49457930">
          <a:extLst>
            <a:ext uri="{FF2B5EF4-FFF2-40B4-BE49-F238E27FC236}">
              <a16:creationId xmlns:a16="http://schemas.microsoft.com/office/drawing/2014/main" id="{B5D42A10-542A-4367-B398-D152507B3EF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1"/>
    <xdr:sp macro="" textlink="">
      <xdr:nvSpPr>
        <xdr:cNvPr id="3702" name="x_Picture 1" descr="Description: cid:image001.png@01D03949.49457930">
          <a:extLst>
            <a:ext uri="{FF2B5EF4-FFF2-40B4-BE49-F238E27FC236}">
              <a16:creationId xmlns:a16="http://schemas.microsoft.com/office/drawing/2014/main" id="{DCCC4713-EE3C-4C32-BB62-172E249547E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03" name="x_Picture 1" descr="Description: cid:image001.png@01D03949.49457930">
          <a:extLst>
            <a:ext uri="{FF2B5EF4-FFF2-40B4-BE49-F238E27FC236}">
              <a16:creationId xmlns:a16="http://schemas.microsoft.com/office/drawing/2014/main" id="{972F3C9D-3D26-49FB-BF93-05629F52C3C9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04" name="x_Picture 1" descr="Description: cid:image001.png@01D03949.49457930">
          <a:extLst>
            <a:ext uri="{FF2B5EF4-FFF2-40B4-BE49-F238E27FC236}">
              <a16:creationId xmlns:a16="http://schemas.microsoft.com/office/drawing/2014/main" id="{CA939E98-277F-4FED-ABC3-503AEB123AF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05" name="x_Picture 1" descr="Description: cid:image001.png@01D03949.49457930">
          <a:extLst>
            <a:ext uri="{FF2B5EF4-FFF2-40B4-BE49-F238E27FC236}">
              <a16:creationId xmlns:a16="http://schemas.microsoft.com/office/drawing/2014/main" id="{0D014832-7DE9-4CD7-AD24-58F259809A7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06" name="x_Picture 1" descr="Description: cid:image001.png@01D03949.49457930">
          <a:extLst>
            <a:ext uri="{FF2B5EF4-FFF2-40B4-BE49-F238E27FC236}">
              <a16:creationId xmlns:a16="http://schemas.microsoft.com/office/drawing/2014/main" id="{1F2A0B3E-61FB-4875-905B-B0422676514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07" name="x_Picture 1" descr="Description: cid:image001.png@01D03949.49457930">
          <a:extLst>
            <a:ext uri="{FF2B5EF4-FFF2-40B4-BE49-F238E27FC236}">
              <a16:creationId xmlns:a16="http://schemas.microsoft.com/office/drawing/2014/main" id="{655C15AC-B669-4D25-8BC8-10477A36429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08" name="x_Picture 1" descr="Description: cid:image001.png@01D03949.49457930">
          <a:extLst>
            <a:ext uri="{FF2B5EF4-FFF2-40B4-BE49-F238E27FC236}">
              <a16:creationId xmlns:a16="http://schemas.microsoft.com/office/drawing/2014/main" id="{6C2AF667-55FD-44D5-990A-FCC94F1266F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09" name="x_Picture 1" descr="Description: cid:image001.png@01D03949.49457930">
          <a:extLst>
            <a:ext uri="{FF2B5EF4-FFF2-40B4-BE49-F238E27FC236}">
              <a16:creationId xmlns:a16="http://schemas.microsoft.com/office/drawing/2014/main" id="{B674D0AB-484D-42AC-9397-D692113C72F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10" name="x_Picture 1" descr="Description: cid:image001.png@01D03949.49457930">
          <a:extLst>
            <a:ext uri="{FF2B5EF4-FFF2-40B4-BE49-F238E27FC236}">
              <a16:creationId xmlns:a16="http://schemas.microsoft.com/office/drawing/2014/main" id="{74A96530-115E-45C8-B421-5D725C6ADF2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11" name="x_Picture 1" descr="Description: cid:image001.png@01D03949.49457930">
          <a:extLst>
            <a:ext uri="{FF2B5EF4-FFF2-40B4-BE49-F238E27FC236}">
              <a16:creationId xmlns:a16="http://schemas.microsoft.com/office/drawing/2014/main" id="{624928D3-4165-4C3F-B9B6-A61AD4C7D95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12" name="x_Picture 1" descr="Description: cid:image001.png@01D03949.49457930">
          <a:extLst>
            <a:ext uri="{FF2B5EF4-FFF2-40B4-BE49-F238E27FC236}">
              <a16:creationId xmlns:a16="http://schemas.microsoft.com/office/drawing/2014/main" id="{3DFCC471-F22A-4989-96C1-8EBE4199FE8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13" name="x_Picture 1" descr="Description: cid:image001.png@01D03949.49457930">
          <a:extLst>
            <a:ext uri="{FF2B5EF4-FFF2-40B4-BE49-F238E27FC236}">
              <a16:creationId xmlns:a16="http://schemas.microsoft.com/office/drawing/2014/main" id="{F0DAC4E6-DCD1-4E35-8528-87AE23A108E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14" name="x_Picture 1" descr="Description: cid:image001.png@01D03949.49457930">
          <a:extLst>
            <a:ext uri="{FF2B5EF4-FFF2-40B4-BE49-F238E27FC236}">
              <a16:creationId xmlns:a16="http://schemas.microsoft.com/office/drawing/2014/main" id="{8DD667A6-B400-40CA-A17E-B888A7BFD4D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15" name="x_Picture 1" descr="Description: cid:image001.png@01D03949.49457930">
          <a:extLst>
            <a:ext uri="{FF2B5EF4-FFF2-40B4-BE49-F238E27FC236}">
              <a16:creationId xmlns:a16="http://schemas.microsoft.com/office/drawing/2014/main" id="{3E223454-71C1-4C06-BB25-109447D1887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16" name="x_Picture 1" descr="Description: cid:image001.png@01D03949.49457930">
          <a:extLst>
            <a:ext uri="{FF2B5EF4-FFF2-40B4-BE49-F238E27FC236}">
              <a16:creationId xmlns:a16="http://schemas.microsoft.com/office/drawing/2014/main" id="{35C57627-9E9B-460B-95ED-617ABE1060F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17" name="x_Picture 1" descr="Description: cid:image001.png@01D03949.49457930">
          <a:extLst>
            <a:ext uri="{FF2B5EF4-FFF2-40B4-BE49-F238E27FC236}">
              <a16:creationId xmlns:a16="http://schemas.microsoft.com/office/drawing/2014/main" id="{DBAC8E0E-3CEA-403A-8C80-4FA420651C7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18" name="x_Picture 1" descr="Description: cid:image001.png@01D03949.49457930">
          <a:extLst>
            <a:ext uri="{FF2B5EF4-FFF2-40B4-BE49-F238E27FC236}">
              <a16:creationId xmlns:a16="http://schemas.microsoft.com/office/drawing/2014/main" id="{B6083A91-B1A2-481E-9DDB-F24BA8CDCF6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19" name="x_Picture 1" descr="Description: cid:image001.png@01D03949.49457930">
          <a:extLst>
            <a:ext uri="{FF2B5EF4-FFF2-40B4-BE49-F238E27FC236}">
              <a16:creationId xmlns:a16="http://schemas.microsoft.com/office/drawing/2014/main" id="{AA63EAD6-9378-4807-8851-F347EAC4525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20" name="x_Picture 1" descr="Description: cid:image001.png@01D03949.49457930">
          <a:extLst>
            <a:ext uri="{FF2B5EF4-FFF2-40B4-BE49-F238E27FC236}">
              <a16:creationId xmlns:a16="http://schemas.microsoft.com/office/drawing/2014/main" id="{1E2C215C-78D8-4870-B058-878BFA9347B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21" name="x_Picture 1" descr="Description: cid:image001.png@01D03949.49457930">
          <a:extLst>
            <a:ext uri="{FF2B5EF4-FFF2-40B4-BE49-F238E27FC236}">
              <a16:creationId xmlns:a16="http://schemas.microsoft.com/office/drawing/2014/main" id="{540AB78C-BFED-4CE7-95EB-2C4034DC67C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22" name="x_Picture 1" descr="Description: cid:image001.png@01D03949.49457930">
          <a:extLst>
            <a:ext uri="{FF2B5EF4-FFF2-40B4-BE49-F238E27FC236}">
              <a16:creationId xmlns:a16="http://schemas.microsoft.com/office/drawing/2014/main" id="{05D14449-74F1-47AE-B0C4-028D8DC8002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23" name="x_Picture 1" descr="Description: cid:image001.png@01D03949.49457930">
          <a:extLst>
            <a:ext uri="{FF2B5EF4-FFF2-40B4-BE49-F238E27FC236}">
              <a16:creationId xmlns:a16="http://schemas.microsoft.com/office/drawing/2014/main" id="{C285DB72-D35F-4560-A23C-ADDA1F2A485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24" name="x_Picture 1" descr="Description: cid:image001.png@01D03949.49457930">
          <a:extLst>
            <a:ext uri="{FF2B5EF4-FFF2-40B4-BE49-F238E27FC236}">
              <a16:creationId xmlns:a16="http://schemas.microsoft.com/office/drawing/2014/main" id="{832B3F6A-323D-47C2-9682-A914ED2B173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25" name="x_Picture 1" descr="Description: cid:image001.png@01D03949.49457930">
          <a:extLst>
            <a:ext uri="{FF2B5EF4-FFF2-40B4-BE49-F238E27FC236}">
              <a16:creationId xmlns:a16="http://schemas.microsoft.com/office/drawing/2014/main" id="{CEF2CAAD-BD80-4680-A6B4-225B2FCFF28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26" name="x_Picture 1" descr="Description: cid:image001.png@01D03949.49457930">
          <a:extLst>
            <a:ext uri="{FF2B5EF4-FFF2-40B4-BE49-F238E27FC236}">
              <a16:creationId xmlns:a16="http://schemas.microsoft.com/office/drawing/2014/main" id="{8144536C-DCA4-402F-A48D-3B8F7175898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27" name="x_Picture 1" descr="Description: cid:image001.png@01D03949.49457930">
          <a:extLst>
            <a:ext uri="{FF2B5EF4-FFF2-40B4-BE49-F238E27FC236}">
              <a16:creationId xmlns:a16="http://schemas.microsoft.com/office/drawing/2014/main" id="{68283AE2-148F-40F8-B089-FB3A209F39F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70"/>
    <xdr:sp macro="" textlink="">
      <xdr:nvSpPr>
        <xdr:cNvPr id="3728" name="x_Picture 1" descr="Description: cid:image001.png@01D03949.49457930">
          <a:extLst>
            <a:ext uri="{FF2B5EF4-FFF2-40B4-BE49-F238E27FC236}">
              <a16:creationId xmlns:a16="http://schemas.microsoft.com/office/drawing/2014/main" id="{D2BE9149-C154-467E-95BA-B5613976CB7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29" name="x_Picture 1" descr="Description: cid:image001.png@01D03949.49457930">
          <a:extLst>
            <a:ext uri="{FF2B5EF4-FFF2-40B4-BE49-F238E27FC236}">
              <a16:creationId xmlns:a16="http://schemas.microsoft.com/office/drawing/2014/main" id="{75F632ED-1E93-4308-961B-92A121EAE03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30" name="x_Picture 1" descr="Description: cid:image001.png@01D03949.49457930">
          <a:extLst>
            <a:ext uri="{FF2B5EF4-FFF2-40B4-BE49-F238E27FC236}">
              <a16:creationId xmlns:a16="http://schemas.microsoft.com/office/drawing/2014/main" id="{CB6EAE95-95E9-46A2-997D-8A5283173A3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31" name="x_Picture 1" descr="Description: cid:image001.png@01D03949.49457930">
          <a:extLst>
            <a:ext uri="{FF2B5EF4-FFF2-40B4-BE49-F238E27FC236}">
              <a16:creationId xmlns:a16="http://schemas.microsoft.com/office/drawing/2014/main" id="{8015E8A0-E365-4AC9-A3AC-6A92CEC01DE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32" name="x_Picture 1" descr="Description: cid:image001.png@01D03949.49457930">
          <a:extLst>
            <a:ext uri="{FF2B5EF4-FFF2-40B4-BE49-F238E27FC236}">
              <a16:creationId xmlns:a16="http://schemas.microsoft.com/office/drawing/2014/main" id="{93DDD956-A1FC-4C10-827C-735B0278537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33" name="x_Picture 1" descr="Description: cid:image001.png@01D03949.49457930">
          <a:extLst>
            <a:ext uri="{FF2B5EF4-FFF2-40B4-BE49-F238E27FC236}">
              <a16:creationId xmlns:a16="http://schemas.microsoft.com/office/drawing/2014/main" id="{BE360756-6DAA-48E6-9F5A-446087410E6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34" name="x_Picture 1" descr="Description: cid:image001.png@01D03949.49457930">
          <a:extLst>
            <a:ext uri="{FF2B5EF4-FFF2-40B4-BE49-F238E27FC236}">
              <a16:creationId xmlns:a16="http://schemas.microsoft.com/office/drawing/2014/main" id="{C5BE6F7E-CEE8-4AA4-8B15-70D505C928D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735" name="x_Picture 1" descr="Description: cid:image001.png@01D03949.49457930">
          <a:extLst>
            <a:ext uri="{FF2B5EF4-FFF2-40B4-BE49-F238E27FC236}">
              <a16:creationId xmlns:a16="http://schemas.microsoft.com/office/drawing/2014/main" id="{63BC2638-2CE8-4AB0-B377-B9A9B4E13A1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736" name="x_Picture 1" descr="Description: cid:image001.png@01D03949.49457930">
          <a:extLst>
            <a:ext uri="{FF2B5EF4-FFF2-40B4-BE49-F238E27FC236}">
              <a16:creationId xmlns:a16="http://schemas.microsoft.com/office/drawing/2014/main" id="{9B2B4A37-AC0F-4F88-8AFD-BCDBEBEC0C6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37" name="x_Picture 1" descr="Description: cid:image001.png@01D03949.49457930">
          <a:extLst>
            <a:ext uri="{FF2B5EF4-FFF2-40B4-BE49-F238E27FC236}">
              <a16:creationId xmlns:a16="http://schemas.microsoft.com/office/drawing/2014/main" id="{09F7EC7A-8AD4-4907-AB71-95E453AE353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38" name="x_Picture 1" descr="Description: cid:image001.png@01D03949.49457930">
          <a:extLst>
            <a:ext uri="{FF2B5EF4-FFF2-40B4-BE49-F238E27FC236}">
              <a16:creationId xmlns:a16="http://schemas.microsoft.com/office/drawing/2014/main" id="{470E9191-CEB8-44AF-B67F-7EC43D504C7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39" name="x_Picture 1" descr="Description: cid:image001.png@01D03949.49457930">
          <a:extLst>
            <a:ext uri="{FF2B5EF4-FFF2-40B4-BE49-F238E27FC236}">
              <a16:creationId xmlns:a16="http://schemas.microsoft.com/office/drawing/2014/main" id="{2C4945C2-FCF6-4258-A8A6-C4771118C4B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40" name="x_Picture 1" descr="Description: cid:image001.png@01D03949.49457930">
          <a:extLst>
            <a:ext uri="{FF2B5EF4-FFF2-40B4-BE49-F238E27FC236}">
              <a16:creationId xmlns:a16="http://schemas.microsoft.com/office/drawing/2014/main" id="{ED4F93AF-90C8-4F8A-BE77-11D343CF5A3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741" name="x_Picture 1" descr="Description: cid:image001.png@01D03949.49457930">
          <a:extLst>
            <a:ext uri="{FF2B5EF4-FFF2-40B4-BE49-F238E27FC236}">
              <a16:creationId xmlns:a16="http://schemas.microsoft.com/office/drawing/2014/main" id="{CE2FE888-8278-42C3-B19A-30F7D1AE8BC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742" name="x_Picture 1" descr="Description: cid:image001.png@01D03949.49457930">
          <a:extLst>
            <a:ext uri="{FF2B5EF4-FFF2-40B4-BE49-F238E27FC236}">
              <a16:creationId xmlns:a16="http://schemas.microsoft.com/office/drawing/2014/main" id="{44987B6D-D7AE-4A0A-9091-7E182AE3D78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43" name="x_Picture 1" descr="Description: cid:image001.png@01D03949.49457930">
          <a:extLst>
            <a:ext uri="{FF2B5EF4-FFF2-40B4-BE49-F238E27FC236}">
              <a16:creationId xmlns:a16="http://schemas.microsoft.com/office/drawing/2014/main" id="{41D1F638-B6F2-4847-B47C-7B2E54328A0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44" name="x_Picture 1" descr="Description: cid:image001.png@01D03949.49457930">
          <a:extLst>
            <a:ext uri="{FF2B5EF4-FFF2-40B4-BE49-F238E27FC236}">
              <a16:creationId xmlns:a16="http://schemas.microsoft.com/office/drawing/2014/main" id="{FFE5C0A0-45DF-44DA-AE13-4BF35F9CF42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45" name="x_Picture 1" descr="Description: cid:image001.png@01D03949.49457930">
          <a:extLst>
            <a:ext uri="{FF2B5EF4-FFF2-40B4-BE49-F238E27FC236}">
              <a16:creationId xmlns:a16="http://schemas.microsoft.com/office/drawing/2014/main" id="{FABD8B1E-52AC-4538-BEB2-2711AB06C75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46" name="x_Picture 1" descr="Description: cid:image001.png@01D03949.49457930">
          <a:extLst>
            <a:ext uri="{FF2B5EF4-FFF2-40B4-BE49-F238E27FC236}">
              <a16:creationId xmlns:a16="http://schemas.microsoft.com/office/drawing/2014/main" id="{6F340C31-0946-475A-B073-C8A573006DC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747" name="x_Picture 1" descr="Description: cid:image001.png@01D03949.49457930">
          <a:extLst>
            <a:ext uri="{FF2B5EF4-FFF2-40B4-BE49-F238E27FC236}">
              <a16:creationId xmlns:a16="http://schemas.microsoft.com/office/drawing/2014/main" id="{C2D193C7-CE0A-4E29-94ED-A9126AF3858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748" name="x_Picture 1" descr="Description: cid:image001.png@01D03949.49457930">
          <a:extLst>
            <a:ext uri="{FF2B5EF4-FFF2-40B4-BE49-F238E27FC236}">
              <a16:creationId xmlns:a16="http://schemas.microsoft.com/office/drawing/2014/main" id="{BD3B0F92-CF16-4603-B89E-EEA27180201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49" name="x_Picture 1" descr="Description: cid:image001.png@01D03949.49457930">
          <a:extLst>
            <a:ext uri="{FF2B5EF4-FFF2-40B4-BE49-F238E27FC236}">
              <a16:creationId xmlns:a16="http://schemas.microsoft.com/office/drawing/2014/main" id="{78448284-3ECF-4890-84BB-042A03A4F3E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50" name="x_Picture 1" descr="Description: cid:image001.png@01D03949.49457930">
          <a:extLst>
            <a:ext uri="{FF2B5EF4-FFF2-40B4-BE49-F238E27FC236}">
              <a16:creationId xmlns:a16="http://schemas.microsoft.com/office/drawing/2014/main" id="{1DB76C40-F3A1-4674-93DE-7FF7CF25560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51" name="x_Picture 1" descr="Description: cid:image001.png@01D03949.49457930">
          <a:extLst>
            <a:ext uri="{FF2B5EF4-FFF2-40B4-BE49-F238E27FC236}">
              <a16:creationId xmlns:a16="http://schemas.microsoft.com/office/drawing/2014/main" id="{D2308B72-043A-4654-ADE1-C0E0E4CB249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7"/>
    <xdr:sp macro="" textlink="">
      <xdr:nvSpPr>
        <xdr:cNvPr id="3752" name="x_Picture 1" descr="Description: cid:image001.png@01D03949.49457930">
          <a:extLst>
            <a:ext uri="{FF2B5EF4-FFF2-40B4-BE49-F238E27FC236}">
              <a16:creationId xmlns:a16="http://schemas.microsoft.com/office/drawing/2014/main" id="{4284C055-81FE-4E7B-B438-33CDD5DE7FB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753" name="x_Picture 1" descr="Description: cid:image001.png@01D03949.49457930">
          <a:extLst>
            <a:ext uri="{FF2B5EF4-FFF2-40B4-BE49-F238E27FC236}">
              <a16:creationId xmlns:a16="http://schemas.microsoft.com/office/drawing/2014/main" id="{D685DD17-A5AF-4F95-9525-CD61FBC33A6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22366"/>
    <xdr:sp macro="" textlink="">
      <xdr:nvSpPr>
        <xdr:cNvPr id="3754" name="x_Picture 1" descr="Description: cid:image001.png@01D03949.49457930">
          <a:extLst>
            <a:ext uri="{FF2B5EF4-FFF2-40B4-BE49-F238E27FC236}">
              <a16:creationId xmlns:a16="http://schemas.microsoft.com/office/drawing/2014/main" id="{2FB81967-972B-4D2A-8E4B-5B03697D326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22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756" name="x_Picture 1" descr="Description: cid:image001.png@01D03949.49457930">
          <a:extLst>
            <a:ext uri="{FF2B5EF4-FFF2-40B4-BE49-F238E27FC236}">
              <a16:creationId xmlns:a16="http://schemas.microsoft.com/office/drawing/2014/main" id="{500F370D-DC9A-4341-9AB5-17596359524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757" name="x_Picture 1" descr="Description: cid:image001.png@01D03949.49457930">
          <a:extLst>
            <a:ext uri="{FF2B5EF4-FFF2-40B4-BE49-F238E27FC236}">
              <a16:creationId xmlns:a16="http://schemas.microsoft.com/office/drawing/2014/main" id="{D7BB78C8-09D4-457C-831D-3DA796C3F78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758" name="x_Picture 1" descr="Description: cid:image001.png@01D03949.49457930">
          <a:extLst>
            <a:ext uri="{FF2B5EF4-FFF2-40B4-BE49-F238E27FC236}">
              <a16:creationId xmlns:a16="http://schemas.microsoft.com/office/drawing/2014/main" id="{C0573E07-972B-45BB-8A1C-32CCBCA63B8E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759" name="x_Picture 1" descr="Description: cid:image001.png@01D03949.49457930">
          <a:extLst>
            <a:ext uri="{FF2B5EF4-FFF2-40B4-BE49-F238E27FC236}">
              <a16:creationId xmlns:a16="http://schemas.microsoft.com/office/drawing/2014/main" id="{498CC6C8-B5EE-4FA7-83E1-5239609B881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79"/>
    <xdr:sp macro="" textlink="">
      <xdr:nvSpPr>
        <xdr:cNvPr id="3760" name="x_Picture 1" descr="Description: cid:image001.png@01D03949.49457930">
          <a:extLst>
            <a:ext uri="{FF2B5EF4-FFF2-40B4-BE49-F238E27FC236}">
              <a16:creationId xmlns:a16="http://schemas.microsoft.com/office/drawing/2014/main" id="{C6611307-0B7A-470C-87CA-B7FA25DF3C8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79"/>
    <xdr:sp macro="" textlink="">
      <xdr:nvSpPr>
        <xdr:cNvPr id="3761" name="x_Picture 1" descr="Description: cid:image001.png@01D03949.49457930">
          <a:extLst>
            <a:ext uri="{FF2B5EF4-FFF2-40B4-BE49-F238E27FC236}">
              <a16:creationId xmlns:a16="http://schemas.microsoft.com/office/drawing/2014/main" id="{B046E984-4FDF-4DD0-B6C6-FEEF87588FE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762" name="x_Picture 1" descr="Description: cid:image001.png@01D03949.49457930">
          <a:extLst>
            <a:ext uri="{FF2B5EF4-FFF2-40B4-BE49-F238E27FC236}">
              <a16:creationId xmlns:a16="http://schemas.microsoft.com/office/drawing/2014/main" id="{A5F514E4-C085-4F03-B984-F27A1E8F011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763" name="x_Picture 1" descr="Description: cid:image001.png@01D03949.49457930">
          <a:extLst>
            <a:ext uri="{FF2B5EF4-FFF2-40B4-BE49-F238E27FC236}">
              <a16:creationId xmlns:a16="http://schemas.microsoft.com/office/drawing/2014/main" id="{D9F53AE9-490B-4229-87A5-C70D9C35727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764" name="x_Picture 1" descr="Description: cid:image001.png@01D03949.49457930">
          <a:extLst>
            <a:ext uri="{FF2B5EF4-FFF2-40B4-BE49-F238E27FC236}">
              <a16:creationId xmlns:a16="http://schemas.microsoft.com/office/drawing/2014/main" id="{7FA51D09-C6B0-4759-A763-16BD735C729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80"/>
    <xdr:sp macro="" textlink="">
      <xdr:nvSpPr>
        <xdr:cNvPr id="3765" name="x_Picture 1" descr="Description: cid:image001.png@01D03949.49457930">
          <a:extLst>
            <a:ext uri="{FF2B5EF4-FFF2-40B4-BE49-F238E27FC236}">
              <a16:creationId xmlns:a16="http://schemas.microsoft.com/office/drawing/2014/main" id="{6E9F74B3-00DF-4E89-8306-695FF52F7E0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08079"/>
    <xdr:sp macro="" textlink="">
      <xdr:nvSpPr>
        <xdr:cNvPr id="3766" name="x_Picture 1" descr="Description: cid:image001.png@01D03949.49457930">
          <a:extLst>
            <a:ext uri="{FF2B5EF4-FFF2-40B4-BE49-F238E27FC236}">
              <a16:creationId xmlns:a16="http://schemas.microsoft.com/office/drawing/2014/main" id="{ABACE06D-98C5-4A3A-9F61-5928FFE3BE0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0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67" name="x_Picture 1" descr="Description: cid:image001.png@01D03949.49457930">
          <a:extLst>
            <a:ext uri="{FF2B5EF4-FFF2-40B4-BE49-F238E27FC236}">
              <a16:creationId xmlns:a16="http://schemas.microsoft.com/office/drawing/2014/main" id="{31BFF98D-794A-4438-9A5A-EE5B96B7BBA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68" name="x_Picture 1" descr="Description: cid:image001.png@01D03949.49457930">
          <a:extLst>
            <a:ext uri="{FF2B5EF4-FFF2-40B4-BE49-F238E27FC236}">
              <a16:creationId xmlns:a16="http://schemas.microsoft.com/office/drawing/2014/main" id="{FCE56F11-006E-4C18-BDA7-CEAC8410EA7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69" name="x_Picture 1" descr="Description: cid:image001.png@01D03949.49457930">
          <a:extLst>
            <a:ext uri="{FF2B5EF4-FFF2-40B4-BE49-F238E27FC236}">
              <a16:creationId xmlns:a16="http://schemas.microsoft.com/office/drawing/2014/main" id="{3958BDB0-E538-4B8A-8C51-33EB8562E11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70" name="x_Picture 1" descr="Description: cid:image001.png@01D03949.49457930">
          <a:extLst>
            <a:ext uri="{FF2B5EF4-FFF2-40B4-BE49-F238E27FC236}">
              <a16:creationId xmlns:a16="http://schemas.microsoft.com/office/drawing/2014/main" id="{64B84EAB-5898-461D-943D-45237687DA3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771" name="x_Picture 1" descr="Description: cid:image001.png@01D03949.49457930">
          <a:extLst>
            <a:ext uri="{FF2B5EF4-FFF2-40B4-BE49-F238E27FC236}">
              <a16:creationId xmlns:a16="http://schemas.microsoft.com/office/drawing/2014/main" id="{BB84C10A-A143-4DAB-9DE4-8CD926297CD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772" name="x_Picture 1" descr="Description: cid:image001.png@01D03949.49457930">
          <a:extLst>
            <a:ext uri="{FF2B5EF4-FFF2-40B4-BE49-F238E27FC236}">
              <a16:creationId xmlns:a16="http://schemas.microsoft.com/office/drawing/2014/main" id="{C6DB9E40-4431-4A42-8267-19EBEFA382F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73" name="x_Picture 1" descr="Description: cid:image001.png@01D03949.49457930">
          <a:extLst>
            <a:ext uri="{FF2B5EF4-FFF2-40B4-BE49-F238E27FC236}">
              <a16:creationId xmlns:a16="http://schemas.microsoft.com/office/drawing/2014/main" id="{4F7B164C-FB0E-4773-8E2E-AD2126ED426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74" name="x_Picture 1" descr="Description: cid:image001.png@01D03949.49457930">
          <a:extLst>
            <a:ext uri="{FF2B5EF4-FFF2-40B4-BE49-F238E27FC236}">
              <a16:creationId xmlns:a16="http://schemas.microsoft.com/office/drawing/2014/main" id="{A604C7CE-EC86-4763-A3CB-D9DF07CFF23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75" name="x_Picture 1" descr="Description: cid:image001.png@01D03949.49457930">
          <a:extLst>
            <a:ext uri="{FF2B5EF4-FFF2-40B4-BE49-F238E27FC236}">
              <a16:creationId xmlns:a16="http://schemas.microsoft.com/office/drawing/2014/main" id="{A5BD104D-C971-493A-8448-49F549B05653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76" name="x_Picture 1" descr="Description: cid:image001.png@01D03949.49457930">
          <a:extLst>
            <a:ext uri="{FF2B5EF4-FFF2-40B4-BE49-F238E27FC236}">
              <a16:creationId xmlns:a16="http://schemas.microsoft.com/office/drawing/2014/main" id="{E3A164A1-7342-4EA1-81BA-9CB4664916E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777" name="x_Picture 1" descr="Description: cid:image001.png@01D03949.49457930">
          <a:extLst>
            <a:ext uri="{FF2B5EF4-FFF2-40B4-BE49-F238E27FC236}">
              <a16:creationId xmlns:a16="http://schemas.microsoft.com/office/drawing/2014/main" id="{61B8A0FF-FFBB-437C-A660-59F1AC55AEF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778" name="x_Picture 1" descr="Description: cid:image001.png@01D03949.49457930">
          <a:extLst>
            <a:ext uri="{FF2B5EF4-FFF2-40B4-BE49-F238E27FC236}">
              <a16:creationId xmlns:a16="http://schemas.microsoft.com/office/drawing/2014/main" id="{7C7AB079-95DD-46C8-9CF1-348D33857CD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79" name="x_Picture 1" descr="Description: cid:image001.png@01D03949.49457930">
          <a:extLst>
            <a:ext uri="{FF2B5EF4-FFF2-40B4-BE49-F238E27FC236}">
              <a16:creationId xmlns:a16="http://schemas.microsoft.com/office/drawing/2014/main" id="{F99B5AE5-99DC-412B-B346-8912B272B17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80" name="x_Picture 1" descr="Description: cid:image001.png@01D03949.49457930">
          <a:extLst>
            <a:ext uri="{FF2B5EF4-FFF2-40B4-BE49-F238E27FC236}">
              <a16:creationId xmlns:a16="http://schemas.microsoft.com/office/drawing/2014/main" id="{0C40B565-393D-46BD-870F-5BB6BE47791F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81" name="x_Picture 1" descr="Description: cid:image001.png@01D03949.49457930">
          <a:extLst>
            <a:ext uri="{FF2B5EF4-FFF2-40B4-BE49-F238E27FC236}">
              <a16:creationId xmlns:a16="http://schemas.microsoft.com/office/drawing/2014/main" id="{641ED557-2A8F-421D-BE11-2795B8E3788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82" name="x_Picture 1" descr="Description: cid:image001.png@01D03949.49457930">
          <a:extLst>
            <a:ext uri="{FF2B5EF4-FFF2-40B4-BE49-F238E27FC236}">
              <a16:creationId xmlns:a16="http://schemas.microsoft.com/office/drawing/2014/main" id="{8595E0DA-82DD-4144-AA74-A94ACD592F3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783" name="x_Picture 1" descr="Description: cid:image001.png@01D03949.49457930">
          <a:extLst>
            <a:ext uri="{FF2B5EF4-FFF2-40B4-BE49-F238E27FC236}">
              <a16:creationId xmlns:a16="http://schemas.microsoft.com/office/drawing/2014/main" id="{C23F4B79-3F5E-42A4-8E8D-A4B71262A6D4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784" name="x_Picture 1" descr="Description: cid:image001.png@01D03949.49457930">
          <a:extLst>
            <a:ext uri="{FF2B5EF4-FFF2-40B4-BE49-F238E27FC236}">
              <a16:creationId xmlns:a16="http://schemas.microsoft.com/office/drawing/2014/main" id="{9DC5E0FE-BDAC-495D-B3F4-96AC01463C3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85" name="x_Picture 1" descr="Description: cid:image001.png@01D03949.49457930">
          <a:extLst>
            <a:ext uri="{FF2B5EF4-FFF2-40B4-BE49-F238E27FC236}">
              <a16:creationId xmlns:a16="http://schemas.microsoft.com/office/drawing/2014/main" id="{6DFA1B68-13E9-4C46-AC42-42ED4F262D27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86" name="x_Picture 1" descr="Description: cid:image001.png@01D03949.49457930">
          <a:extLst>
            <a:ext uri="{FF2B5EF4-FFF2-40B4-BE49-F238E27FC236}">
              <a16:creationId xmlns:a16="http://schemas.microsoft.com/office/drawing/2014/main" id="{BFAC1AF4-60F1-4161-BB87-4F3C7572A51C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87" name="x_Picture 1" descr="Description: cid:image001.png@01D03949.49457930">
          <a:extLst>
            <a:ext uri="{FF2B5EF4-FFF2-40B4-BE49-F238E27FC236}">
              <a16:creationId xmlns:a16="http://schemas.microsoft.com/office/drawing/2014/main" id="{D5498BB4-3EBA-497C-8D24-C14B8787050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9"/>
    <xdr:sp macro="" textlink="">
      <xdr:nvSpPr>
        <xdr:cNvPr id="3788" name="x_Picture 1" descr="Description: cid:image001.png@01D03949.49457930">
          <a:extLst>
            <a:ext uri="{FF2B5EF4-FFF2-40B4-BE49-F238E27FC236}">
              <a16:creationId xmlns:a16="http://schemas.microsoft.com/office/drawing/2014/main" id="{D4921290-F48F-4BE9-BD7A-36A6B72AFEC6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789" name="x_Picture 1" descr="Description: cid:image001.png@01D03949.49457930">
          <a:extLst>
            <a:ext uri="{FF2B5EF4-FFF2-40B4-BE49-F238E27FC236}">
              <a16:creationId xmlns:a16="http://schemas.microsoft.com/office/drawing/2014/main" id="{FF9F7D5D-D462-405C-9CB9-5A0062AFE368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7768"/>
    <xdr:sp macro="" textlink="">
      <xdr:nvSpPr>
        <xdr:cNvPr id="3790" name="x_Picture 1" descr="Description: cid:image001.png@01D03949.49457930">
          <a:extLst>
            <a:ext uri="{FF2B5EF4-FFF2-40B4-BE49-F238E27FC236}">
              <a16:creationId xmlns:a16="http://schemas.microsoft.com/office/drawing/2014/main" id="{C02A900E-F8FB-4397-9C44-C4CF0D1340E5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91" name="x_Picture 1" descr="Description: cid:image001.png@01D03949.49457930">
          <a:extLst>
            <a:ext uri="{FF2B5EF4-FFF2-40B4-BE49-F238E27FC236}">
              <a16:creationId xmlns:a16="http://schemas.microsoft.com/office/drawing/2014/main" id="{C594B488-161D-4809-8B39-B4326AFD1D8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92" name="x_Picture 1" descr="Description: cid:image001.png@01D03949.49457930">
          <a:extLst>
            <a:ext uri="{FF2B5EF4-FFF2-40B4-BE49-F238E27FC236}">
              <a16:creationId xmlns:a16="http://schemas.microsoft.com/office/drawing/2014/main" id="{BA3982DD-9797-4C16-81CF-8C06D2CD9C5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93" name="x_Picture 1" descr="Description: cid:image001.png@01D03949.49457930">
          <a:extLst>
            <a:ext uri="{FF2B5EF4-FFF2-40B4-BE49-F238E27FC236}">
              <a16:creationId xmlns:a16="http://schemas.microsoft.com/office/drawing/2014/main" id="{F21773C6-5C2B-4BA7-AD6A-4A59DC42E05B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94" name="x_Picture 1" descr="Description: cid:image001.png@01D03949.49457930">
          <a:extLst>
            <a:ext uri="{FF2B5EF4-FFF2-40B4-BE49-F238E27FC236}">
              <a16:creationId xmlns:a16="http://schemas.microsoft.com/office/drawing/2014/main" id="{AC3DA075-43CF-4AFA-B61D-105A840C0EA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1"/>
    <xdr:sp macro="" textlink="">
      <xdr:nvSpPr>
        <xdr:cNvPr id="3795" name="x_Picture 1" descr="Description: cid:image001.png@01D03949.49457930">
          <a:extLst>
            <a:ext uri="{FF2B5EF4-FFF2-40B4-BE49-F238E27FC236}">
              <a16:creationId xmlns:a16="http://schemas.microsoft.com/office/drawing/2014/main" id="{45A2AB77-AB71-4EFB-AC63-A4ACC1FDDDC2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1"/>
    <xdr:sp macro="" textlink="">
      <xdr:nvSpPr>
        <xdr:cNvPr id="3796" name="x_Picture 1" descr="Description: cid:image001.png@01D03949.49457930">
          <a:extLst>
            <a:ext uri="{FF2B5EF4-FFF2-40B4-BE49-F238E27FC236}">
              <a16:creationId xmlns:a16="http://schemas.microsoft.com/office/drawing/2014/main" id="{DAD1E555-1066-40AC-B8F9-20ECAFFD165A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97" name="x_Picture 1" descr="Description: cid:image001.png@01D03949.49457930">
          <a:extLst>
            <a:ext uri="{FF2B5EF4-FFF2-40B4-BE49-F238E27FC236}">
              <a16:creationId xmlns:a16="http://schemas.microsoft.com/office/drawing/2014/main" id="{2970DDEE-51EF-49C8-9E96-22D33CD12691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98" name="x_Picture 1" descr="Description: cid:image001.png@01D03949.49457930">
          <a:extLst>
            <a:ext uri="{FF2B5EF4-FFF2-40B4-BE49-F238E27FC236}">
              <a16:creationId xmlns:a16="http://schemas.microsoft.com/office/drawing/2014/main" id="{647A31CF-FB7C-498C-BDF8-BEDC596087C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799" name="x_Picture 1" descr="Description: cid:image001.png@01D03949.49457930">
          <a:extLst>
            <a:ext uri="{FF2B5EF4-FFF2-40B4-BE49-F238E27FC236}">
              <a16:creationId xmlns:a16="http://schemas.microsoft.com/office/drawing/2014/main" id="{AC616BFF-4FCF-4661-8C46-BF585FCF37BD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304800" cy="344592"/>
    <xdr:sp macro="" textlink="">
      <xdr:nvSpPr>
        <xdr:cNvPr id="3800" name="x_Picture 1" descr="Description: cid:image001.png@01D03949.49457930">
          <a:extLst>
            <a:ext uri="{FF2B5EF4-FFF2-40B4-BE49-F238E27FC236}">
              <a16:creationId xmlns:a16="http://schemas.microsoft.com/office/drawing/2014/main" id="{3A5EEF10-9A76-4DEE-BBAD-C40520087BE0}"/>
            </a:ext>
          </a:extLst>
        </xdr:cNvPr>
        <xdr:cNvSpPr>
          <a:spLocks noChangeAspect="1" noChangeArrowheads="1"/>
        </xdr:cNvSpPr>
      </xdr:nvSpPr>
      <xdr:spPr bwMode="auto">
        <a:xfrm>
          <a:off x="0" y="368300"/>
          <a:ext cx="304800" cy="34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106" name="x_Picture 1" descr="Description: cid:image001.png@01D03949.49457930">
          <a:extLst>
            <a:ext uri="{FF2B5EF4-FFF2-40B4-BE49-F238E27FC236}">
              <a16:creationId xmlns:a16="http://schemas.microsoft.com/office/drawing/2014/main" id="{90E7A521-2705-4189-B8D3-86D25C3998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29" name="x_Picture 1" descr="Description: cid:image001.png@01D03949.49457930">
          <a:extLst>
            <a:ext uri="{FF2B5EF4-FFF2-40B4-BE49-F238E27FC236}">
              <a16:creationId xmlns:a16="http://schemas.microsoft.com/office/drawing/2014/main" id="{32D096C2-0CC2-4DAC-9392-60CB3EA571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430" name="x_Picture 1" descr="Description: cid:image001.png@01D03949.49457930">
          <a:extLst>
            <a:ext uri="{FF2B5EF4-FFF2-40B4-BE49-F238E27FC236}">
              <a16:creationId xmlns:a16="http://schemas.microsoft.com/office/drawing/2014/main" id="{89091BC9-3127-4E3A-AA2D-58E91CD199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431" name="x_Picture 1" descr="Description: cid:image001.png@01D03949.49457930">
          <a:extLst>
            <a:ext uri="{FF2B5EF4-FFF2-40B4-BE49-F238E27FC236}">
              <a16:creationId xmlns:a16="http://schemas.microsoft.com/office/drawing/2014/main" id="{65E1B53D-57EB-4F29-B895-2F1377875D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432" name="x_Picture 1" descr="Description: cid:image001.png@01D03949.49457930">
          <a:extLst>
            <a:ext uri="{FF2B5EF4-FFF2-40B4-BE49-F238E27FC236}">
              <a16:creationId xmlns:a16="http://schemas.microsoft.com/office/drawing/2014/main" id="{C7E9AA8C-7A5A-4FBF-AC19-D54296B8EB5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33" name="x_Picture 1" descr="Description: cid:image001.png@01D03949.49457930">
          <a:extLst>
            <a:ext uri="{FF2B5EF4-FFF2-40B4-BE49-F238E27FC236}">
              <a16:creationId xmlns:a16="http://schemas.microsoft.com/office/drawing/2014/main" id="{C9A43924-B6E3-4ED1-A786-AE39A53ACF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434" name="x_Picture 1" descr="Description: cid:image001.png@01D03949.49457930">
          <a:extLst>
            <a:ext uri="{FF2B5EF4-FFF2-40B4-BE49-F238E27FC236}">
              <a16:creationId xmlns:a16="http://schemas.microsoft.com/office/drawing/2014/main" id="{4325774F-1284-4DA8-9F7F-2598E4859D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35" name="x_Picture 1" descr="Description: cid:image001.png@01D03949.49457930">
          <a:extLst>
            <a:ext uri="{FF2B5EF4-FFF2-40B4-BE49-F238E27FC236}">
              <a16:creationId xmlns:a16="http://schemas.microsoft.com/office/drawing/2014/main" id="{A160284F-21DC-414D-B701-2631AF174D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36" name="x_Picture 1" descr="Description: cid:image001.png@01D03949.49457930">
          <a:extLst>
            <a:ext uri="{FF2B5EF4-FFF2-40B4-BE49-F238E27FC236}">
              <a16:creationId xmlns:a16="http://schemas.microsoft.com/office/drawing/2014/main" id="{5B6B82C8-3D4F-4F7E-984C-AFB003F8B76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437" name="x_Picture 1" descr="Description: cid:image001.png@01D03949.49457930">
          <a:extLst>
            <a:ext uri="{FF2B5EF4-FFF2-40B4-BE49-F238E27FC236}">
              <a16:creationId xmlns:a16="http://schemas.microsoft.com/office/drawing/2014/main" id="{85ECDF68-A0BD-4503-AF7C-8E5B15E0F9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438" name="x_Picture 1" descr="Description: cid:image001.png@01D03949.49457930">
          <a:extLst>
            <a:ext uri="{FF2B5EF4-FFF2-40B4-BE49-F238E27FC236}">
              <a16:creationId xmlns:a16="http://schemas.microsoft.com/office/drawing/2014/main" id="{BC818402-6C0F-4A28-8F60-E3928F63027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439" name="x_Picture 1" descr="Description: cid:image001.png@01D03949.49457930">
          <a:extLst>
            <a:ext uri="{FF2B5EF4-FFF2-40B4-BE49-F238E27FC236}">
              <a16:creationId xmlns:a16="http://schemas.microsoft.com/office/drawing/2014/main" id="{E2A4D511-A433-4B7E-B323-9579B8E82E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1365" name="x_Picture 1" descr="Description: cid:image001.png@01D03949.49457930">
          <a:extLst>
            <a:ext uri="{FF2B5EF4-FFF2-40B4-BE49-F238E27FC236}">
              <a16:creationId xmlns:a16="http://schemas.microsoft.com/office/drawing/2014/main" id="{C08063BE-9C8D-427F-8E70-8AB0C187FFC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1366" name="x_Picture 1" descr="Description: cid:image001.png@01D03949.49457930">
          <a:extLst>
            <a:ext uri="{FF2B5EF4-FFF2-40B4-BE49-F238E27FC236}">
              <a16:creationId xmlns:a16="http://schemas.microsoft.com/office/drawing/2014/main" id="{2CE008EF-649E-4C03-8639-632CD1ECC17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1367" name="x_Picture 1" descr="Description: cid:image001.png@01D03949.49457930">
          <a:extLst>
            <a:ext uri="{FF2B5EF4-FFF2-40B4-BE49-F238E27FC236}">
              <a16:creationId xmlns:a16="http://schemas.microsoft.com/office/drawing/2014/main" id="{FA028F3C-FFC2-4D45-B7F2-A6ADE723F7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1368" name="x_Picture 1" descr="Description: cid:image001.png@01D03949.49457930">
          <a:extLst>
            <a:ext uri="{FF2B5EF4-FFF2-40B4-BE49-F238E27FC236}">
              <a16:creationId xmlns:a16="http://schemas.microsoft.com/office/drawing/2014/main" id="{FD382544-35FA-4AC3-B73A-FBAC479AED2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1372" name="x_Picture 1" descr="Description: cid:image001.png@01D03949.49457930">
          <a:extLst>
            <a:ext uri="{FF2B5EF4-FFF2-40B4-BE49-F238E27FC236}">
              <a16:creationId xmlns:a16="http://schemas.microsoft.com/office/drawing/2014/main" id="{AA64426C-4452-487F-BE3D-36BA27B2C8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01" name="x_Picture 1" descr="Description: cid:image001.png@01D03949.49457930">
          <a:extLst>
            <a:ext uri="{FF2B5EF4-FFF2-40B4-BE49-F238E27FC236}">
              <a16:creationId xmlns:a16="http://schemas.microsoft.com/office/drawing/2014/main" id="{3D019D28-DEFB-43B0-B354-0EC15EA0CC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02" name="x_Picture 1" descr="Description: cid:image001.png@01D03949.49457930">
          <a:extLst>
            <a:ext uri="{FF2B5EF4-FFF2-40B4-BE49-F238E27FC236}">
              <a16:creationId xmlns:a16="http://schemas.microsoft.com/office/drawing/2014/main" id="{0FB5BBEC-A9C4-440F-A449-FAB02C0F980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03" name="x_Picture 1" descr="Description: cid:image001.png@01D03949.49457930">
          <a:extLst>
            <a:ext uri="{FF2B5EF4-FFF2-40B4-BE49-F238E27FC236}">
              <a16:creationId xmlns:a16="http://schemas.microsoft.com/office/drawing/2014/main" id="{45E9695E-7732-42E1-A917-8910470F5FC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04" name="x_Picture 1" descr="Description: cid:image001.png@01D03949.49457930">
          <a:extLst>
            <a:ext uri="{FF2B5EF4-FFF2-40B4-BE49-F238E27FC236}">
              <a16:creationId xmlns:a16="http://schemas.microsoft.com/office/drawing/2014/main" id="{C7901029-38DE-47E8-883A-17B2EC5482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05" name="x_Picture 1" descr="Description: cid:image001.png@01D03949.49457930">
          <a:extLst>
            <a:ext uri="{FF2B5EF4-FFF2-40B4-BE49-F238E27FC236}">
              <a16:creationId xmlns:a16="http://schemas.microsoft.com/office/drawing/2014/main" id="{C88A42D3-AFF0-450F-8449-72360C8847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06" name="x_Picture 1" descr="Description: cid:image001.png@01D03949.49457930">
          <a:extLst>
            <a:ext uri="{FF2B5EF4-FFF2-40B4-BE49-F238E27FC236}">
              <a16:creationId xmlns:a16="http://schemas.microsoft.com/office/drawing/2014/main" id="{D738A506-3934-49B8-A4BF-4E076EF0DB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07" name="x_Picture 1" descr="Description: cid:image001.png@01D03949.49457930">
          <a:extLst>
            <a:ext uri="{FF2B5EF4-FFF2-40B4-BE49-F238E27FC236}">
              <a16:creationId xmlns:a16="http://schemas.microsoft.com/office/drawing/2014/main" id="{66E8F1F8-36E0-48D4-AB39-B22B88893E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08" name="x_Picture 1" descr="Description: cid:image001.png@01D03949.49457930">
          <a:extLst>
            <a:ext uri="{FF2B5EF4-FFF2-40B4-BE49-F238E27FC236}">
              <a16:creationId xmlns:a16="http://schemas.microsoft.com/office/drawing/2014/main" id="{13F986A9-6090-45A6-ABE8-827447577A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09" name="x_Picture 1" descr="Description: cid:image001.png@01D03949.49457930">
          <a:extLst>
            <a:ext uri="{FF2B5EF4-FFF2-40B4-BE49-F238E27FC236}">
              <a16:creationId xmlns:a16="http://schemas.microsoft.com/office/drawing/2014/main" id="{D23EF2EB-2CEB-4B13-BBE3-F41E41F7215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10" name="x_Picture 1" descr="Description: cid:image001.png@01D03949.49457930">
          <a:extLst>
            <a:ext uri="{FF2B5EF4-FFF2-40B4-BE49-F238E27FC236}">
              <a16:creationId xmlns:a16="http://schemas.microsoft.com/office/drawing/2014/main" id="{AE21507F-2324-44DE-8FBF-158EA5A846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11" name="x_Picture 1" descr="Description: cid:image001.png@01D03949.49457930">
          <a:extLst>
            <a:ext uri="{FF2B5EF4-FFF2-40B4-BE49-F238E27FC236}">
              <a16:creationId xmlns:a16="http://schemas.microsoft.com/office/drawing/2014/main" id="{70E5D79E-1856-48F8-85B4-CDBE5162FE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12" name="x_Picture 1" descr="Description: cid:image001.png@01D03949.49457930">
          <a:extLst>
            <a:ext uri="{FF2B5EF4-FFF2-40B4-BE49-F238E27FC236}">
              <a16:creationId xmlns:a16="http://schemas.microsoft.com/office/drawing/2014/main" id="{6AD7FD89-5F54-40FD-A9A2-47645A8099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13" name="x_Picture 1" descr="Description: cid:image001.png@01D03949.49457930">
          <a:extLst>
            <a:ext uri="{FF2B5EF4-FFF2-40B4-BE49-F238E27FC236}">
              <a16:creationId xmlns:a16="http://schemas.microsoft.com/office/drawing/2014/main" id="{F449D088-926B-4C66-9C28-8068900A7F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14" name="x_Picture 1" descr="Description: cid:image001.png@01D03949.49457930">
          <a:extLst>
            <a:ext uri="{FF2B5EF4-FFF2-40B4-BE49-F238E27FC236}">
              <a16:creationId xmlns:a16="http://schemas.microsoft.com/office/drawing/2014/main" id="{615086E4-7F04-4411-B9A6-B0D67074C4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15" name="x_Picture 1" descr="Description: cid:image001.png@01D03949.49457930">
          <a:extLst>
            <a:ext uri="{FF2B5EF4-FFF2-40B4-BE49-F238E27FC236}">
              <a16:creationId xmlns:a16="http://schemas.microsoft.com/office/drawing/2014/main" id="{CA53E2CB-E111-4209-AB62-97A81832F18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3816" name="x_Picture 1" descr="Description: cid:image001.png@01D03949.49457930">
          <a:extLst>
            <a:ext uri="{FF2B5EF4-FFF2-40B4-BE49-F238E27FC236}">
              <a16:creationId xmlns:a16="http://schemas.microsoft.com/office/drawing/2014/main" id="{F18BBFEF-7DA1-48E3-AFA2-415B5AA405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3817" name="x_Picture 1" descr="Description: cid:image001.png@01D03949.49457930">
          <a:extLst>
            <a:ext uri="{FF2B5EF4-FFF2-40B4-BE49-F238E27FC236}">
              <a16:creationId xmlns:a16="http://schemas.microsoft.com/office/drawing/2014/main" id="{F3CDB38C-92C4-4976-A071-1A2090EFAC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3818" name="x_Picture 1" descr="Description: cid:image001.png@01D03949.49457930">
          <a:extLst>
            <a:ext uri="{FF2B5EF4-FFF2-40B4-BE49-F238E27FC236}">
              <a16:creationId xmlns:a16="http://schemas.microsoft.com/office/drawing/2014/main" id="{9965C25D-51E6-44D1-8294-837400BE76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3819" name="x_Picture 1" descr="Description: cid:image001.png@01D03949.49457930">
          <a:extLst>
            <a:ext uri="{FF2B5EF4-FFF2-40B4-BE49-F238E27FC236}">
              <a16:creationId xmlns:a16="http://schemas.microsoft.com/office/drawing/2014/main" id="{E79F4C49-FF2A-436D-A63E-75334F43BB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3820" name="x_Picture 1" descr="Description: cid:image001.png@01D03949.49457930">
          <a:extLst>
            <a:ext uri="{FF2B5EF4-FFF2-40B4-BE49-F238E27FC236}">
              <a16:creationId xmlns:a16="http://schemas.microsoft.com/office/drawing/2014/main" id="{FA82E318-2D97-4B28-A2B9-789CC7B4AE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3821" name="x_Picture 1" descr="Description: cid:image001.png@01D03949.49457930">
          <a:extLst>
            <a:ext uri="{FF2B5EF4-FFF2-40B4-BE49-F238E27FC236}">
              <a16:creationId xmlns:a16="http://schemas.microsoft.com/office/drawing/2014/main" id="{0F06A45E-DAC5-4A86-B0BD-F06C066EEC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3822" name="x_Picture 1" descr="Description: cid:image001.png@01D03949.49457930">
          <a:extLst>
            <a:ext uri="{FF2B5EF4-FFF2-40B4-BE49-F238E27FC236}">
              <a16:creationId xmlns:a16="http://schemas.microsoft.com/office/drawing/2014/main" id="{4F7D10DC-7427-48F9-8DAC-86524BE730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23" name="x_Picture 1" descr="Description: cid:image001.png@01D03949.49457930">
          <a:extLst>
            <a:ext uri="{FF2B5EF4-FFF2-40B4-BE49-F238E27FC236}">
              <a16:creationId xmlns:a16="http://schemas.microsoft.com/office/drawing/2014/main" id="{6D72405C-2475-4B09-8E73-FF7BF14A51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24" name="x_Picture 1" descr="Description: cid:image001.png@01D03949.49457930">
          <a:extLst>
            <a:ext uri="{FF2B5EF4-FFF2-40B4-BE49-F238E27FC236}">
              <a16:creationId xmlns:a16="http://schemas.microsoft.com/office/drawing/2014/main" id="{67393329-0360-4C0B-8D8F-787B59BE7B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25" name="x_Picture 1" descr="Description: cid:image001.png@01D03949.49457930">
          <a:extLst>
            <a:ext uri="{FF2B5EF4-FFF2-40B4-BE49-F238E27FC236}">
              <a16:creationId xmlns:a16="http://schemas.microsoft.com/office/drawing/2014/main" id="{EBAC4988-56C5-4945-B12A-C69274305B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26" name="x_Picture 1" descr="Description: cid:image001.png@01D03949.49457930">
          <a:extLst>
            <a:ext uri="{FF2B5EF4-FFF2-40B4-BE49-F238E27FC236}">
              <a16:creationId xmlns:a16="http://schemas.microsoft.com/office/drawing/2014/main" id="{2EA4450F-EC58-43C1-B0EA-4D85CB7030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27" name="x_Picture 1" descr="Description: cid:image001.png@01D03949.49457930">
          <a:extLst>
            <a:ext uri="{FF2B5EF4-FFF2-40B4-BE49-F238E27FC236}">
              <a16:creationId xmlns:a16="http://schemas.microsoft.com/office/drawing/2014/main" id="{99A1E006-C274-4D70-9FE5-E560E79223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28" name="x_Picture 1" descr="Description: cid:image001.png@01D03949.49457930">
          <a:extLst>
            <a:ext uri="{FF2B5EF4-FFF2-40B4-BE49-F238E27FC236}">
              <a16:creationId xmlns:a16="http://schemas.microsoft.com/office/drawing/2014/main" id="{BC2FCE61-576A-4B0E-8EFC-BFBAA29FC5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29" name="x_Picture 1" descr="Description: cid:image001.png@01D03949.49457930">
          <a:extLst>
            <a:ext uri="{FF2B5EF4-FFF2-40B4-BE49-F238E27FC236}">
              <a16:creationId xmlns:a16="http://schemas.microsoft.com/office/drawing/2014/main" id="{BFAD2325-18FC-4B5F-93A5-79777D42C0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30" name="x_Picture 1" descr="Description: cid:image001.png@01D03949.49457930">
          <a:extLst>
            <a:ext uri="{FF2B5EF4-FFF2-40B4-BE49-F238E27FC236}">
              <a16:creationId xmlns:a16="http://schemas.microsoft.com/office/drawing/2014/main" id="{AC926F92-1E8B-43CF-BA0D-47D27071F8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31" name="x_Picture 1" descr="Description: cid:image001.png@01D03949.49457930">
          <a:extLst>
            <a:ext uri="{FF2B5EF4-FFF2-40B4-BE49-F238E27FC236}">
              <a16:creationId xmlns:a16="http://schemas.microsoft.com/office/drawing/2014/main" id="{8B2F40CF-B7B1-4650-A276-1DD0FC18865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32" name="x_Picture 1" descr="Description: cid:image001.png@01D03949.49457930">
          <a:extLst>
            <a:ext uri="{FF2B5EF4-FFF2-40B4-BE49-F238E27FC236}">
              <a16:creationId xmlns:a16="http://schemas.microsoft.com/office/drawing/2014/main" id="{5C4F0390-95B9-4C2D-BD15-511A55F0795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33" name="x_Picture 1" descr="Description: cid:image001.png@01D03949.49457930">
          <a:extLst>
            <a:ext uri="{FF2B5EF4-FFF2-40B4-BE49-F238E27FC236}">
              <a16:creationId xmlns:a16="http://schemas.microsoft.com/office/drawing/2014/main" id="{6C7A95C6-9F6F-4C49-9B99-FAD16CD974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36</xdr:row>
      <xdr:rowOff>0</xdr:rowOff>
    </xdr:from>
    <xdr:ext cx="279605" cy="315045"/>
    <xdr:sp macro="" textlink="">
      <xdr:nvSpPr>
        <xdr:cNvPr id="3834" name="x_Picture 1" descr="Description: cid:image001.png@01D03949.49457930">
          <a:extLst>
            <a:ext uri="{FF2B5EF4-FFF2-40B4-BE49-F238E27FC236}">
              <a16:creationId xmlns:a16="http://schemas.microsoft.com/office/drawing/2014/main" id="{32E8BC64-0B1E-426D-8B87-72B44FEBE4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35" name="x_Picture 1" descr="Description: cid:image001.png@01D03949.49457930">
          <a:extLst>
            <a:ext uri="{FF2B5EF4-FFF2-40B4-BE49-F238E27FC236}">
              <a16:creationId xmlns:a16="http://schemas.microsoft.com/office/drawing/2014/main" id="{479BA87E-BC17-4EF3-8470-3B37F518F6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36" name="x_Picture 1" descr="Description: cid:image001.png@01D03949.49457930">
          <a:extLst>
            <a:ext uri="{FF2B5EF4-FFF2-40B4-BE49-F238E27FC236}">
              <a16:creationId xmlns:a16="http://schemas.microsoft.com/office/drawing/2014/main" id="{6F0B9018-F004-45D6-A389-60F2E35980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37" name="x_Picture 1" descr="Description: cid:image001.png@01D03949.49457930">
          <a:extLst>
            <a:ext uri="{FF2B5EF4-FFF2-40B4-BE49-F238E27FC236}">
              <a16:creationId xmlns:a16="http://schemas.microsoft.com/office/drawing/2014/main" id="{116F638B-96B1-4A4F-9A07-2B1A99C8B1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38" name="x_Picture 1" descr="Description: cid:image001.png@01D03949.49457930">
          <a:extLst>
            <a:ext uri="{FF2B5EF4-FFF2-40B4-BE49-F238E27FC236}">
              <a16:creationId xmlns:a16="http://schemas.microsoft.com/office/drawing/2014/main" id="{E53C8288-4FC2-4689-9523-509A60E972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39" name="x_Picture 1" descr="Description: cid:image001.png@01D03949.49457930">
          <a:extLst>
            <a:ext uri="{FF2B5EF4-FFF2-40B4-BE49-F238E27FC236}">
              <a16:creationId xmlns:a16="http://schemas.microsoft.com/office/drawing/2014/main" id="{D7D52F55-8433-4F89-983C-4796914E4D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40" name="x_Picture 1" descr="Description: cid:image001.png@01D03949.49457930">
          <a:extLst>
            <a:ext uri="{FF2B5EF4-FFF2-40B4-BE49-F238E27FC236}">
              <a16:creationId xmlns:a16="http://schemas.microsoft.com/office/drawing/2014/main" id="{913BA66B-5705-4E4D-9E8C-B85A853AD9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41" name="x_Picture 1" descr="Description: cid:image001.png@01D03949.49457930">
          <a:extLst>
            <a:ext uri="{FF2B5EF4-FFF2-40B4-BE49-F238E27FC236}">
              <a16:creationId xmlns:a16="http://schemas.microsoft.com/office/drawing/2014/main" id="{4A79E260-A375-4035-899B-B18ED6E9EE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42" name="x_Picture 1" descr="Description: cid:image001.png@01D03949.49457930">
          <a:extLst>
            <a:ext uri="{FF2B5EF4-FFF2-40B4-BE49-F238E27FC236}">
              <a16:creationId xmlns:a16="http://schemas.microsoft.com/office/drawing/2014/main" id="{3092E10F-BF26-42B2-965A-803111CD3E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43" name="x_Picture 1" descr="Description: cid:image001.png@01D03949.49457930">
          <a:extLst>
            <a:ext uri="{FF2B5EF4-FFF2-40B4-BE49-F238E27FC236}">
              <a16:creationId xmlns:a16="http://schemas.microsoft.com/office/drawing/2014/main" id="{55C27A21-5B0A-4434-AAF7-CF51BC5A9A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36</xdr:row>
      <xdr:rowOff>0</xdr:rowOff>
    </xdr:from>
    <xdr:ext cx="279605" cy="315045"/>
    <xdr:sp macro="" textlink="">
      <xdr:nvSpPr>
        <xdr:cNvPr id="3844" name="x_Picture 1" descr="Description: cid:image001.png@01D03949.49457930">
          <a:extLst>
            <a:ext uri="{FF2B5EF4-FFF2-40B4-BE49-F238E27FC236}">
              <a16:creationId xmlns:a16="http://schemas.microsoft.com/office/drawing/2014/main" id="{73D583AD-9045-4A09-8ECA-D84FA0EDE7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45" name="x_Picture 1" descr="Description: cid:image001.png@01D03949.49457930">
          <a:extLst>
            <a:ext uri="{FF2B5EF4-FFF2-40B4-BE49-F238E27FC236}">
              <a16:creationId xmlns:a16="http://schemas.microsoft.com/office/drawing/2014/main" id="{CAE26F6E-B269-408D-9B7F-3C51815137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46" name="x_Picture 1" descr="Description: cid:image001.png@01D03949.49457930">
          <a:extLst>
            <a:ext uri="{FF2B5EF4-FFF2-40B4-BE49-F238E27FC236}">
              <a16:creationId xmlns:a16="http://schemas.microsoft.com/office/drawing/2014/main" id="{7E4339D5-8ECD-4C0F-9580-AC210B46DE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47" name="x_Picture 1" descr="Description: cid:image001.png@01D03949.49457930">
          <a:extLst>
            <a:ext uri="{FF2B5EF4-FFF2-40B4-BE49-F238E27FC236}">
              <a16:creationId xmlns:a16="http://schemas.microsoft.com/office/drawing/2014/main" id="{A3B35DE0-26E3-402D-A3DC-AC5F252301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48" name="x_Picture 1" descr="Description: cid:image001.png@01D03949.49457930">
          <a:extLst>
            <a:ext uri="{FF2B5EF4-FFF2-40B4-BE49-F238E27FC236}">
              <a16:creationId xmlns:a16="http://schemas.microsoft.com/office/drawing/2014/main" id="{2DB0EE52-72E7-49FD-8A24-54ABC04263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49" name="x_Picture 1" descr="Description: cid:image001.png@01D03949.49457930">
          <a:extLst>
            <a:ext uri="{FF2B5EF4-FFF2-40B4-BE49-F238E27FC236}">
              <a16:creationId xmlns:a16="http://schemas.microsoft.com/office/drawing/2014/main" id="{1FADB3F1-E8E6-435A-8A2F-6FBE21101EB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50" name="x_Picture 1" descr="Description: cid:image001.png@01D03949.49457930">
          <a:extLst>
            <a:ext uri="{FF2B5EF4-FFF2-40B4-BE49-F238E27FC236}">
              <a16:creationId xmlns:a16="http://schemas.microsoft.com/office/drawing/2014/main" id="{A0DE0F07-37C1-4322-8B7A-A976EB5724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51" name="x_Picture 1" descr="Description: cid:image001.png@01D03949.49457930">
          <a:extLst>
            <a:ext uri="{FF2B5EF4-FFF2-40B4-BE49-F238E27FC236}">
              <a16:creationId xmlns:a16="http://schemas.microsoft.com/office/drawing/2014/main" id="{C9F552A0-16A7-4303-AF92-8CBE93F395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52" name="x_Picture 1" descr="Description: cid:image001.png@01D03949.49457930">
          <a:extLst>
            <a:ext uri="{FF2B5EF4-FFF2-40B4-BE49-F238E27FC236}">
              <a16:creationId xmlns:a16="http://schemas.microsoft.com/office/drawing/2014/main" id="{9C9D9B7D-9CDA-4E03-9DA2-C5F759AE16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53" name="x_Picture 1" descr="Description: cid:image001.png@01D03949.49457930">
          <a:extLst>
            <a:ext uri="{FF2B5EF4-FFF2-40B4-BE49-F238E27FC236}">
              <a16:creationId xmlns:a16="http://schemas.microsoft.com/office/drawing/2014/main" id="{13F48CA8-55DF-4A98-95F4-856234CE43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54" name="x_Picture 1" descr="Description: cid:image001.png@01D03949.49457930">
          <a:extLst>
            <a:ext uri="{FF2B5EF4-FFF2-40B4-BE49-F238E27FC236}">
              <a16:creationId xmlns:a16="http://schemas.microsoft.com/office/drawing/2014/main" id="{EB22C21B-39F8-4DDD-AC99-16013D4E80D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55" name="x_Picture 1" descr="Description: cid:image001.png@01D03949.49457930">
          <a:extLst>
            <a:ext uri="{FF2B5EF4-FFF2-40B4-BE49-F238E27FC236}">
              <a16:creationId xmlns:a16="http://schemas.microsoft.com/office/drawing/2014/main" id="{BC8A0117-C5CA-4A40-BCEC-2BB1543E7A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56" name="x_Picture 1" descr="Description: cid:image001.png@01D03949.49457930">
          <a:extLst>
            <a:ext uri="{FF2B5EF4-FFF2-40B4-BE49-F238E27FC236}">
              <a16:creationId xmlns:a16="http://schemas.microsoft.com/office/drawing/2014/main" id="{9D44DA48-B8E9-46AA-9775-F634361E9B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57" name="x_Picture 1" descr="Description: cid:image001.png@01D03949.49457930">
          <a:extLst>
            <a:ext uri="{FF2B5EF4-FFF2-40B4-BE49-F238E27FC236}">
              <a16:creationId xmlns:a16="http://schemas.microsoft.com/office/drawing/2014/main" id="{0CFABF8A-B3E2-47B3-B254-6CDCD761F4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858" name="x_Picture 1" descr="Description: cid:image001.png@01D03949.49457930">
          <a:extLst>
            <a:ext uri="{FF2B5EF4-FFF2-40B4-BE49-F238E27FC236}">
              <a16:creationId xmlns:a16="http://schemas.microsoft.com/office/drawing/2014/main" id="{6D245300-8C91-49FE-A008-5909E0E85B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59" name="x_Picture 1" descr="Description: cid:image001.png@01D03949.49457930">
          <a:extLst>
            <a:ext uri="{FF2B5EF4-FFF2-40B4-BE49-F238E27FC236}">
              <a16:creationId xmlns:a16="http://schemas.microsoft.com/office/drawing/2014/main" id="{B52D60EC-1A57-4AE4-8796-9E456D0530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60" name="x_Picture 1" descr="Description: cid:image001.png@01D03949.49457930">
          <a:extLst>
            <a:ext uri="{FF2B5EF4-FFF2-40B4-BE49-F238E27FC236}">
              <a16:creationId xmlns:a16="http://schemas.microsoft.com/office/drawing/2014/main" id="{C8DD941C-BFA2-4A0F-AC9E-9785BC6AD5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61" name="x_Picture 1" descr="Description: cid:image001.png@01D03949.49457930">
          <a:extLst>
            <a:ext uri="{FF2B5EF4-FFF2-40B4-BE49-F238E27FC236}">
              <a16:creationId xmlns:a16="http://schemas.microsoft.com/office/drawing/2014/main" id="{3B515153-E10E-45AA-8C59-A7199953F0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862" name="x_Picture 1" descr="Description: cid:image001.png@01D03949.49457930">
          <a:extLst>
            <a:ext uri="{FF2B5EF4-FFF2-40B4-BE49-F238E27FC236}">
              <a16:creationId xmlns:a16="http://schemas.microsoft.com/office/drawing/2014/main" id="{39D8EB49-B80E-4EE2-B36E-0E895BDBFA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63" name="x_Picture 1" descr="Description: cid:image001.png@01D03949.49457930">
          <a:extLst>
            <a:ext uri="{FF2B5EF4-FFF2-40B4-BE49-F238E27FC236}">
              <a16:creationId xmlns:a16="http://schemas.microsoft.com/office/drawing/2014/main" id="{7AB1A37B-73AF-4AE7-8DC2-B636A1E58C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864" name="x_Picture 1" descr="Description: cid:image001.png@01D03949.49457930">
          <a:extLst>
            <a:ext uri="{FF2B5EF4-FFF2-40B4-BE49-F238E27FC236}">
              <a16:creationId xmlns:a16="http://schemas.microsoft.com/office/drawing/2014/main" id="{701CF18B-3DFF-4395-ACFF-29215EB2AF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865" name="x_Picture 1" descr="Description: cid:image001.png@01D03949.49457930">
          <a:extLst>
            <a:ext uri="{FF2B5EF4-FFF2-40B4-BE49-F238E27FC236}">
              <a16:creationId xmlns:a16="http://schemas.microsoft.com/office/drawing/2014/main" id="{296598D5-8B93-4DE8-B65A-AC8483FC9E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866" name="x_Picture 1" descr="Description: cid:image001.png@01D03949.49457930">
          <a:extLst>
            <a:ext uri="{FF2B5EF4-FFF2-40B4-BE49-F238E27FC236}">
              <a16:creationId xmlns:a16="http://schemas.microsoft.com/office/drawing/2014/main" id="{0C70135C-0971-403A-BDB0-CAEBCB8C31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67" name="x_Picture 1" descr="Description: cid:image001.png@01D03949.49457930">
          <a:extLst>
            <a:ext uri="{FF2B5EF4-FFF2-40B4-BE49-F238E27FC236}">
              <a16:creationId xmlns:a16="http://schemas.microsoft.com/office/drawing/2014/main" id="{A3CB4492-6FC9-41C6-8A33-0F60D66821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68" name="x_Picture 1" descr="Description: cid:image001.png@01D03949.49457930">
          <a:extLst>
            <a:ext uri="{FF2B5EF4-FFF2-40B4-BE49-F238E27FC236}">
              <a16:creationId xmlns:a16="http://schemas.microsoft.com/office/drawing/2014/main" id="{E622D023-E519-424C-A76C-E99BC11BD60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69" name="x_Picture 1" descr="Description: cid:image001.png@01D03949.49457930">
          <a:extLst>
            <a:ext uri="{FF2B5EF4-FFF2-40B4-BE49-F238E27FC236}">
              <a16:creationId xmlns:a16="http://schemas.microsoft.com/office/drawing/2014/main" id="{3440BE58-2E1A-42D5-BBE3-D953D2FFF2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70" name="x_Picture 1" descr="Description: cid:image001.png@01D03949.49457930">
          <a:extLst>
            <a:ext uri="{FF2B5EF4-FFF2-40B4-BE49-F238E27FC236}">
              <a16:creationId xmlns:a16="http://schemas.microsoft.com/office/drawing/2014/main" id="{9C1CD94B-09B3-4623-AECF-F6621D07DB2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71" name="x_Picture 1" descr="Description: cid:image001.png@01D03949.49457930">
          <a:extLst>
            <a:ext uri="{FF2B5EF4-FFF2-40B4-BE49-F238E27FC236}">
              <a16:creationId xmlns:a16="http://schemas.microsoft.com/office/drawing/2014/main" id="{4C8F99A9-B3F5-441F-8906-8372C141C7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72" name="x_Picture 1" descr="Description: cid:image001.png@01D03949.49457930">
          <a:extLst>
            <a:ext uri="{FF2B5EF4-FFF2-40B4-BE49-F238E27FC236}">
              <a16:creationId xmlns:a16="http://schemas.microsoft.com/office/drawing/2014/main" id="{517C3753-C833-4E06-9105-D26EB98BFB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73" name="x_Picture 1" descr="Description: cid:image001.png@01D03949.49457930">
          <a:extLst>
            <a:ext uri="{FF2B5EF4-FFF2-40B4-BE49-F238E27FC236}">
              <a16:creationId xmlns:a16="http://schemas.microsoft.com/office/drawing/2014/main" id="{FED79281-028C-43B0-B571-97C1BDADB92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74" name="x_Picture 1" descr="Description: cid:image001.png@01D03949.49457930">
          <a:extLst>
            <a:ext uri="{FF2B5EF4-FFF2-40B4-BE49-F238E27FC236}">
              <a16:creationId xmlns:a16="http://schemas.microsoft.com/office/drawing/2014/main" id="{282C02B7-2855-43B9-98EB-7F76FEB34B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75" name="x_Picture 1" descr="Description: cid:image001.png@01D03949.49457930">
          <a:extLst>
            <a:ext uri="{FF2B5EF4-FFF2-40B4-BE49-F238E27FC236}">
              <a16:creationId xmlns:a16="http://schemas.microsoft.com/office/drawing/2014/main" id="{BA1EEE80-7BF2-4E29-837A-52245B359E7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76" name="x_Picture 1" descr="Description: cid:image001.png@01D03949.49457930">
          <a:extLst>
            <a:ext uri="{FF2B5EF4-FFF2-40B4-BE49-F238E27FC236}">
              <a16:creationId xmlns:a16="http://schemas.microsoft.com/office/drawing/2014/main" id="{5D20918E-067A-4EBF-B095-8B5480C055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77" name="x_Picture 1" descr="Description: cid:image001.png@01D03949.49457930">
          <a:extLst>
            <a:ext uri="{FF2B5EF4-FFF2-40B4-BE49-F238E27FC236}">
              <a16:creationId xmlns:a16="http://schemas.microsoft.com/office/drawing/2014/main" id="{B7EA2766-0671-4F35-B724-DB870D71CED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78" name="x_Picture 1" descr="Description: cid:image001.png@01D03949.49457930">
          <a:extLst>
            <a:ext uri="{FF2B5EF4-FFF2-40B4-BE49-F238E27FC236}">
              <a16:creationId xmlns:a16="http://schemas.microsoft.com/office/drawing/2014/main" id="{71EDDB6E-E870-405A-9969-D027D27CAB5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79" name="x_Picture 1" descr="Description: cid:image001.png@01D03949.49457930">
          <a:extLst>
            <a:ext uri="{FF2B5EF4-FFF2-40B4-BE49-F238E27FC236}">
              <a16:creationId xmlns:a16="http://schemas.microsoft.com/office/drawing/2014/main" id="{6E283A7B-5879-4EDD-883A-2D17A6768C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80" name="x_Picture 1" descr="Description: cid:image001.png@01D03949.49457930">
          <a:extLst>
            <a:ext uri="{FF2B5EF4-FFF2-40B4-BE49-F238E27FC236}">
              <a16:creationId xmlns:a16="http://schemas.microsoft.com/office/drawing/2014/main" id="{C09E1332-BB65-48EB-965E-E8F3166DE0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81" name="x_Picture 1" descr="Description: cid:image001.png@01D03949.49457930">
          <a:extLst>
            <a:ext uri="{FF2B5EF4-FFF2-40B4-BE49-F238E27FC236}">
              <a16:creationId xmlns:a16="http://schemas.microsoft.com/office/drawing/2014/main" id="{DE942D51-69A4-4533-A4FA-9B9A51D2EAD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82" name="x_Picture 1" descr="Description: cid:image001.png@01D03949.49457930">
          <a:extLst>
            <a:ext uri="{FF2B5EF4-FFF2-40B4-BE49-F238E27FC236}">
              <a16:creationId xmlns:a16="http://schemas.microsoft.com/office/drawing/2014/main" id="{EB4F2544-A350-4E83-BF5A-17D22AEA7AC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83" name="x_Picture 1" descr="Description: cid:image001.png@01D03949.49457930">
          <a:extLst>
            <a:ext uri="{FF2B5EF4-FFF2-40B4-BE49-F238E27FC236}">
              <a16:creationId xmlns:a16="http://schemas.microsoft.com/office/drawing/2014/main" id="{1972C376-867C-4122-BD22-D8E0C47D43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84" name="x_Picture 1" descr="Description: cid:image001.png@01D03949.49457930">
          <a:extLst>
            <a:ext uri="{FF2B5EF4-FFF2-40B4-BE49-F238E27FC236}">
              <a16:creationId xmlns:a16="http://schemas.microsoft.com/office/drawing/2014/main" id="{394DC520-7E91-4342-9478-389A63A0A75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85" name="x_Picture 1" descr="Description: cid:image001.png@01D03949.49457930">
          <a:extLst>
            <a:ext uri="{FF2B5EF4-FFF2-40B4-BE49-F238E27FC236}">
              <a16:creationId xmlns:a16="http://schemas.microsoft.com/office/drawing/2014/main" id="{E9273BFB-ED06-4CA5-B7D6-0F0B9E504D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86" name="x_Picture 1" descr="Description: cid:image001.png@01D03949.49457930">
          <a:extLst>
            <a:ext uri="{FF2B5EF4-FFF2-40B4-BE49-F238E27FC236}">
              <a16:creationId xmlns:a16="http://schemas.microsoft.com/office/drawing/2014/main" id="{37374E4E-269E-47C6-BE52-ED69BE92B3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87" name="x_Picture 1" descr="Description: cid:image001.png@01D03949.49457930">
          <a:extLst>
            <a:ext uri="{FF2B5EF4-FFF2-40B4-BE49-F238E27FC236}">
              <a16:creationId xmlns:a16="http://schemas.microsoft.com/office/drawing/2014/main" id="{CC92313F-E42E-4CBA-90F0-AA6D39CC3F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888" name="x_Picture 1" descr="Description: cid:image001.png@01D03949.49457930">
          <a:extLst>
            <a:ext uri="{FF2B5EF4-FFF2-40B4-BE49-F238E27FC236}">
              <a16:creationId xmlns:a16="http://schemas.microsoft.com/office/drawing/2014/main" id="{D9BA84BA-B905-4C73-9DBB-21198A6AEF2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89" name="x_Picture 1" descr="Description: cid:image001.png@01D03949.49457930">
          <a:extLst>
            <a:ext uri="{FF2B5EF4-FFF2-40B4-BE49-F238E27FC236}">
              <a16:creationId xmlns:a16="http://schemas.microsoft.com/office/drawing/2014/main" id="{1E554D68-62C3-424D-9A9B-44A3C424E4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90" name="x_Picture 1" descr="Description: cid:image001.png@01D03949.49457930">
          <a:extLst>
            <a:ext uri="{FF2B5EF4-FFF2-40B4-BE49-F238E27FC236}">
              <a16:creationId xmlns:a16="http://schemas.microsoft.com/office/drawing/2014/main" id="{6E4973DF-8E4F-4C14-820D-4771879293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91" name="x_Picture 1" descr="Description: cid:image001.png@01D03949.49457930">
          <a:extLst>
            <a:ext uri="{FF2B5EF4-FFF2-40B4-BE49-F238E27FC236}">
              <a16:creationId xmlns:a16="http://schemas.microsoft.com/office/drawing/2014/main" id="{4F9D43F6-E7AA-4E35-8220-92559ED33F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92" name="x_Picture 1" descr="Description: cid:image001.png@01D03949.49457930">
          <a:extLst>
            <a:ext uri="{FF2B5EF4-FFF2-40B4-BE49-F238E27FC236}">
              <a16:creationId xmlns:a16="http://schemas.microsoft.com/office/drawing/2014/main" id="{E10CBE47-0103-439E-AAF5-20C37E3340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93" name="x_Picture 1" descr="Description: cid:image001.png@01D03949.49457930">
          <a:extLst>
            <a:ext uri="{FF2B5EF4-FFF2-40B4-BE49-F238E27FC236}">
              <a16:creationId xmlns:a16="http://schemas.microsoft.com/office/drawing/2014/main" id="{078E8EF9-240E-41F6-8EAA-93E63F64A6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94" name="x_Picture 1" descr="Description: cid:image001.png@01D03949.49457930">
          <a:extLst>
            <a:ext uri="{FF2B5EF4-FFF2-40B4-BE49-F238E27FC236}">
              <a16:creationId xmlns:a16="http://schemas.microsoft.com/office/drawing/2014/main" id="{4C573879-A7DA-46EF-B855-F02EA9A610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895" name="x_Picture 1" descr="Description: cid:image001.png@01D03949.49457930">
          <a:extLst>
            <a:ext uri="{FF2B5EF4-FFF2-40B4-BE49-F238E27FC236}">
              <a16:creationId xmlns:a16="http://schemas.microsoft.com/office/drawing/2014/main" id="{DE658715-599B-42F7-8579-46DB9949F4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96" name="x_Picture 1" descr="Description: cid:image001.png@01D03949.49457930">
          <a:extLst>
            <a:ext uri="{FF2B5EF4-FFF2-40B4-BE49-F238E27FC236}">
              <a16:creationId xmlns:a16="http://schemas.microsoft.com/office/drawing/2014/main" id="{D630B842-774D-448F-89ED-16F7141DD4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97" name="x_Picture 1" descr="Description: cid:image001.png@01D03949.49457930">
          <a:extLst>
            <a:ext uri="{FF2B5EF4-FFF2-40B4-BE49-F238E27FC236}">
              <a16:creationId xmlns:a16="http://schemas.microsoft.com/office/drawing/2014/main" id="{784F4CB9-9B25-4829-A090-781CF73640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98" name="x_Picture 1" descr="Description: cid:image001.png@01D03949.49457930">
          <a:extLst>
            <a:ext uri="{FF2B5EF4-FFF2-40B4-BE49-F238E27FC236}">
              <a16:creationId xmlns:a16="http://schemas.microsoft.com/office/drawing/2014/main" id="{C3AAE0C5-DAAB-4484-BB4C-00B60B944C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899" name="x_Picture 1" descr="Description: cid:image001.png@01D03949.49457930">
          <a:extLst>
            <a:ext uri="{FF2B5EF4-FFF2-40B4-BE49-F238E27FC236}">
              <a16:creationId xmlns:a16="http://schemas.microsoft.com/office/drawing/2014/main" id="{453DF52D-CD17-47F6-BA4C-1E12CB9D42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900" name="x_Picture 1" descr="Description: cid:image001.png@01D03949.49457930">
          <a:extLst>
            <a:ext uri="{FF2B5EF4-FFF2-40B4-BE49-F238E27FC236}">
              <a16:creationId xmlns:a16="http://schemas.microsoft.com/office/drawing/2014/main" id="{28393C25-63F7-4197-BA40-351C31C849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901" name="x_Picture 1" descr="Description: cid:image001.png@01D03949.49457930">
          <a:extLst>
            <a:ext uri="{FF2B5EF4-FFF2-40B4-BE49-F238E27FC236}">
              <a16:creationId xmlns:a16="http://schemas.microsoft.com/office/drawing/2014/main" id="{78227E32-10AB-45E3-971B-4F7653EFD1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902" name="x_Picture 1" descr="Description: cid:image001.png@01D03949.49457930">
          <a:extLst>
            <a:ext uri="{FF2B5EF4-FFF2-40B4-BE49-F238E27FC236}">
              <a16:creationId xmlns:a16="http://schemas.microsoft.com/office/drawing/2014/main" id="{1D9D44A8-B56E-43D1-B103-992AD3BFCC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903" name="x_Picture 1" descr="Description: cid:image001.png@01D03949.49457930">
          <a:extLst>
            <a:ext uri="{FF2B5EF4-FFF2-40B4-BE49-F238E27FC236}">
              <a16:creationId xmlns:a16="http://schemas.microsoft.com/office/drawing/2014/main" id="{559AF9C3-4D24-4EB4-BD69-20DE742DB71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904" name="x_Picture 1" descr="Description: cid:image001.png@01D03949.49457930">
          <a:extLst>
            <a:ext uri="{FF2B5EF4-FFF2-40B4-BE49-F238E27FC236}">
              <a16:creationId xmlns:a16="http://schemas.microsoft.com/office/drawing/2014/main" id="{5D24BFE7-018C-4423-9FE0-E94B950A6C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905" name="x_Picture 1" descr="Description: cid:image001.png@01D03949.49457930">
          <a:extLst>
            <a:ext uri="{FF2B5EF4-FFF2-40B4-BE49-F238E27FC236}">
              <a16:creationId xmlns:a16="http://schemas.microsoft.com/office/drawing/2014/main" id="{3ADF3F06-1680-4AC9-93F0-ED81B4A734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906" name="x_Picture 1" descr="Description: cid:image001.png@01D03949.49457930">
          <a:extLst>
            <a:ext uri="{FF2B5EF4-FFF2-40B4-BE49-F238E27FC236}">
              <a16:creationId xmlns:a16="http://schemas.microsoft.com/office/drawing/2014/main" id="{83495402-CFEA-40AD-BE84-91430DCCB7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37</xdr:row>
      <xdr:rowOff>0</xdr:rowOff>
    </xdr:from>
    <xdr:ext cx="279605" cy="315045"/>
    <xdr:sp macro="" textlink="">
      <xdr:nvSpPr>
        <xdr:cNvPr id="3907" name="x_Picture 1" descr="Description: cid:image001.png@01D03949.49457930">
          <a:extLst>
            <a:ext uri="{FF2B5EF4-FFF2-40B4-BE49-F238E27FC236}">
              <a16:creationId xmlns:a16="http://schemas.microsoft.com/office/drawing/2014/main" id="{A71E88AA-5778-4DAA-B255-0C5D027936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908" name="x_Picture 1" descr="Description: cid:image001.png@01D03949.49457930">
          <a:extLst>
            <a:ext uri="{FF2B5EF4-FFF2-40B4-BE49-F238E27FC236}">
              <a16:creationId xmlns:a16="http://schemas.microsoft.com/office/drawing/2014/main" id="{69D9F316-701E-40AA-A83D-7A399AE51DC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09" name="x_Picture 1" descr="Description: cid:image001.png@01D03949.49457930">
          <a:extLst>
            <a:ext uri="{FF2B5EF4-FFF2-40B4-BE49-F238E27FC236}">
              <a16:creationId xmlns:a16="http://schemas.microsoft.com/office/drawing/2014/main" id="{1D6030C7-A7B8-4778-AB25-0C2B5BF562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10" name="x_Picture 1" descr="Description: cid:image001.png@01D03949.49457930">
          <a:extLst>
            <a:ext uri="{FF2B5EF4-FFF2-40B4-BE49-F238E27FC236}">
              <a16:creationId xmlns:a16="http://schemas.microsoft.com/office/drawing/2014/main" id="{5A629994-133E-4318-827A-F46DFB5749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11" name="x_Picture 1" descr="Description: cid:image001.png@01D03949.49457930">
          <a:extLst>
            <a:ext uri="{FF2B5EF4-FFF2-40B4-BE49-F238E27FC236}">
              <a16:creationId xmlns:a16="http://schemas.microsoft.com/office/drawing/2014/main" id="{70E90A13-4C3C-40DE-A5E3-3B0FD46884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12" name="x_Picture 1" descr="Description: cid:image001.png@01D03949.49457930">
          <a:extLst>
            <a:ext uri="{FF2B5EF4-FFF2-40B4-BE49-F238E27FC236}">
              <a16:creationId xmlns:a16="http://schemas.microsoft.com/office/drawing/2014/main" id="{5E9A3B6B-3598-452D-BFD7-149913F7BC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13" name="x_Picture 1" descr="Description: cid:image001.png@01D03949.49457930">
          <a:extLst>
            <a:ext uri="{FF2B5EF4-FFF2-40B4-BE49-F238E27FC236}">
              <a16:creationId xmlns:a16="http://schemas.microsoft.com/office/drawing/2014/main" id="{2D8F0CAF-704E-4F8B-89B4-33D306DEC5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14" name="x_Picture 1" descr="Description: cid:image001.png@01D03949.49457930">
          <a:extLst>
            <a:ext uri="{FF2B5EF4-FFF2-40B4-BE49-F238E27FC236}">
              <a16:creationId xmlns:a16="http://schemas.microsoft.com/office/drawing/2014/main" id="{67C28D7E-8DAD-4971-BE23-383DA2E09C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15" name="x_Picture 1" descr="Description: cid:image001.png@01D03949.49457930">
          <a:extLst>
            <a:ext uri="{FF2B5EF4-FFF2-40B4-BE49-F238E27FC236}">
              <a16:creationId xmlns:a16="http://schemas.microsoft.com/office/drawing/2014/main" id="{C1F30E65-93C5-42E7-B1A8-4D9C9555F0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16" name="x_Picture 1" descr="Description: cid:image001.png@01D03949.49457930">
          <a:extLst>
            <a:ext uri="{FF2B5EF4-FFF2-40B4-BE49-F238E27FC236}">
              <a16:creationId xmlns:a16="http://schemas.microsoft.com/office/drawing/2014/main" id="{EE738A22-00E9-4FBF-A452-B0A69AEA6C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37</xdr:row>
      <xdr:rowOff>0</xdr:rowOff>
    </xdr:from>
    <xdr:ext cx="279605" cy="315045"/>
    <xdr:sp macro="" textlink="">
      <xdr:nvSpPr>
        <xdr:cNvPr id="3917" name="x_Picture 1" descr="Description: cid:image001.png@01D03949.49457930">
          <a:extLst>
            <a:ext uri="{FF2B5EF4-FFF2-40B4-BE49-F238E27FC236}">
              <a16:creationId xmlns:a16="http://schemas.microsoft.com/office/drawing/2014/main" id="{9F4A8340-EF87-46DF-9039-F7CFE74B53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18" name="x_Picture 1" descr="Description: cid:image001.png@01D03949.49457930">
          <a:extLst>
            <a:ext uri="{FF2B5EF4-FFF2-40B4-BE49-F238E27FC236}">
              <a16:creationId xmlns:a16="http://schemas.microsoft.com/office/drawing/2014/main" id="{DD014A1B-9A7D-4371-8BB1-EA482618C2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19" name="x_Picture 1" descr="Description: cid:image001.png@01D03949.49457930">
          <a:extLst>
            <a:ext uri="{FF2B5EF4-FFF2-40B4-BE49-F238E27FC236}">
              <a16:creationId xmlns:a16="http://schemas.microsoft.com/office/drawing/2014/main" id="{17323476-FD93-48AE-A715-43F91DBAA7A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0" name="x_Picture 1" descr="Description: cid:image001.png@01D03949.49457930">
          <a:extLst>
            <a:ext uri="{FF2B5EF4-FFF2-40B4-BE49-F238E27FC236}">
              <a16:creationId xmlns:a16="http://schemas.microsoft.com/office/drawing/2014/main" id="{42CAB5ED-B8CB-4408-B8ED-8842997946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1" name="x_Picture 1" descr="Description: cid:image001.png@01D03949.49457930">
          <a:extLst>
            <a:ext uri="{FF2B5EF4-FFF2-40B4-BE49-F238E27FC236}">
              <a16:creationId xmlns:a16="http://schemas.microsoft.com/office/drawing/2014/main" id="{AE6F04D9-828D-4656-9D83-2611A789F4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2" name="x_Picture 1" descr="Description: cid:image001.png@01D03949.49457930">
          <a:extLst>
            <a:ext uri="{FF2B5EF4-FFF2-40B4-BE49-F238E27FC236}">
              <a16:creationId xmlns:a16="http://schemas.microsoft.com/office/drawing/2014/main" id="{1F7BD26A-6FA9-42F9-B403-D6A8AB6DAC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3" name="x_Picture 1" descr="Description: cid:image001.png@01D03949.49457930">
          <a:extLst>
            <a:ext uri="{FF2B5EF4-FFF2-40B4-BE49-F238E27FC236}">
              <a16:creationId xmlns:a16="http://schemas.microsoft.com/office/drawing/2014/main" id="{134B0D35-2E91-4E57-BAEB-8375F7C62A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4" name="x_Picture 1" descr="Description: cid:image001.png@01D03949.49457930">
          <a:extLst>
            <a:ext uri="{FF2B5EF4-FFF2-40B4-BE49-F238E27FC236}">
              <a16:creationId xmlns:a16="http://schemas.microsoft.com/office/drawing/2014/main" id="{FC2B2CB3-5E29-41BF-B1B3-809002439A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5" name="x_Picture 1" descr="Description: cid:image001.png@01D03949.49457930">
          <a:extLst>
            <a:ext uri="{FF2B5EF4-FFF2-40B4-BE49-F238E27FC236}">
              <a16:creationId xmlns:a16="http://schemas.microsoft.com/office/drawing/2014/main" id="{64E1AEBD-45FF-4C47-A09F-696435B0E87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6" name="x_Picture 1" descr="Description: cid:image001.png@01D03949.49457930">
          <a:extLst>
            <a:ext uri="{FF2B5EF4-FFF2-40B4-BE49-F238E27FC236}">
              <a16:creationId xmlns:a16="http://schemas.microsoft.com/office/drawing/2014/main" id="{4110AC18-2996-41E3-9D58-E1B0C5C777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7" name="x_Picture 1" descr="Description: cid:image001.png@01D03949.49457930">
          <a:extLst>
            <a:ext uri="{FF2B5EF4-FFF2-40B4-BE49-F238E27FC236}">
              <a16:creationId xmlns:a16="http://schemas.microsoft.com/office/drawing/2014/main" id="{198D0526-9BB9-419E-84BC-6469572606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8" name="x_Picture 1" descr="Description: cid:image001.png@01D03949.49457930">
          <a:extLst>
            <a:ext uri="{FF2B5EF4-FFF2-40B4-BE49-F238E27FC236}">
              <a16:creationId xmlns:a16="http://schemas.microsoft.com/office/drawing/2014/main" id="{752B041C-08BA-421D-8CAB-EAD7198B84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29" name="x_Picture 1" descr="Description: cid:image001.png@01D03949.49457930">
          <a:extLst>
            <a:ext uri="{FF2B5EF4-FFF2-40B4-BE49-F238E27FC236}">
              <a16:creationId xmlns:a16="http://schemas.microsoft.com/office/drawing/2014/main" id="{3DF21FE4-7B08-446E-A6EE-621073329C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30" name="x_Picture 1" descr="Description: cid:image001.png@01D03949.49457930">
          <a:extLst>
            <a:ext uri="{FF2B5EF4-FFF2-40B4-BE49-F238E27FC236}">
              <a16:creationId xmlns:a16="http://schemas.microsoft.com/office/drawing/2014/main" id="{BA0FD161-A73D-44B7-AD82-F826CB0EB3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31" name="x_Picture 1" descr="Description: cid:image001.png@01D03949.49457930">
          <a:extLst>
            <a:ext uri="{FF2B5EF4-FFF2-40B4-BE49-F238E27FC236}">
              <a16:creationId xmlns:a16="http://schemas.microsoft.com/office/drawing/2014/main" id="{35F00C8F-AD8F-40C4-B38F-77C462776C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32" name="x_Picture 1" descr="Description: cid:image001.png@01D03949.49457930">
          <a:extLst>
            <a:ext uri="{FF2B5EF4-FFF2-40B4-BE49-F238E27FC236}">
              <a16:creationId xmlns:a16="http://schemas.microsoft.com/office/drawing/2014/main" id="{6135D577-A6E2-412B-B321-20CC729325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33" name="x_Picture 1" descr="Description: cid:image001.png@01D03949.49457930">
          <a:extLst>
            <a:ext uri="{FF2B5EF4-FFF2-40B4-BE49-F238E27FC236}">
              <a16:creationId xmlns:a16="http://schemas.microsoft.com/office/drawing/2014/main" id="{4BC192B0-884B-4A4E-9359-238E2A9A1B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34" name="x_Picture 1" descr="Description: cid:image001.png@01D03949.49457930">
          <a:extLst>
            <a:ext uri="{FF2B5EF4-FFF2-40B4-BE49-F238E27FC236}">
              <a16:creationId xmlns:a16="http://schemas.microsoft.com/office/drawing/2014/main" id="{BDCCC89D-A720-4C67-B16F-F444B2AD82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35" name="x_Picture 1" descr="Description: cid:image001.png@01D03949.49457930">
          <a:extLst>
            <a:ext uri="{FF2B5EF4-FFF2-40B4-BE49-F238E27FC236}">
              <a16:creationId xmlns:a16="http://schemas.microsoft.com/office/drawing/2014/main" id="{F3160DD0-4B37-4EED-BAC8-8B47648CCC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36" name="x_Picture 1" descr="Description: cid:image001.png@01D03949.49457930">
          <a:extLst>
            <a:ext uri="{FF2B5EF4-FFF2-40B4-BE49-F238E27FC236}">
              <a16:creationId xmlns:a16="http://schemas.microsoft.com/office/drawing/2014/main" id="{F4AAEDE3-C292-41CC-B4F8-71C30C7135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37" name="x_Picture 1" descr="Description: cid:image001.png@01D03949.49457930">
          <a:extLst>
            <a:ext uri="{FF2B5EF4-FFF2-40B4-BE49-F238E27FC236}">
              <a16:creationId xmlns:a16="http://schemas.microsoft.com/office/drawing/2014/main" id="{F6BE2B47-EB61-4BE1-8D3F-7DF12A43C5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38" name="x_Picture 1" descr="Description: cid:image001.png@01D03949.49457930">
          <a:extLst>
            <a:ext uri="{FF2B5EF4-FFF2-40B4-BE49-F238E27FC236}">
              <a16:creationId xmlns:a16="http://schemas.microsoft.com/office/drawing/2014/main" id="{4B3F1396-3565-486D-8A96-2AE7DF9216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39" name="x_Picture 1" descr="Description: cid:image001.png@01D03949.49457930">
          <a:extLst>
            <a:ext uri="{FF2B5EF4-FFF2-40B4-BE49-F238E27FC236}">
              <a16:creationId xmlns:a16="http://schemas.microsoft.com/office/drawing/2014/main" id="{D6F28D21-F7DE-4525-B74D-054861F4D0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40" name="x_Picture 1" descr="Description: cid:image001.png@01D03949.49457930">
          <a:extLst>
            <a:ext uri="{FF2B5EF4-FFF2-40B4-BE49-F238E27FC236}">
              <a16:creationId xmlns:a16="http://schemas.microsoft.com/office/drawing/2014/main" id="{C83491FB-99F1-44F3-B1C7-4E32040569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41" name="x_Picture 1" descr="Description: cid:image001.png@01D03949.49457930">
          <a:extLst>
            <a:ext uri="{FF2B5EF4-FFF2-40B4-BE49-F238E27FC236}">
              <a16:creationId xmlns:a16="http://schemas.microsoft.com/office/drawing/2014/main" id="{61E8BD8E-1362-42A3-B772-EFE85B8267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42" name="x_Picture 1" descr="Description: cid:image001.png@01D03949.49457930">
          <a:extLst>
            <a:ext uri="{FF2B5EF4-FFF2-40B4-BE49-F238E27FC236}">
              <a16:creationId xmlns:a16="http://schemas.microsoft.com/office/drawing/2014/main" id="{1771FAAD-8D82-428B-B059-B037BCCFCE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43" name="x_Picture 1" descr="Description: cid:image001.png@01D03949.49457930">
          <a:extLst>
            <a:ext uri="{FF2B5EF4-FFF2-40B4-BE49-F238E27FC236}">
              <a16:creationId xmlns:a16="http://schemas.microsoft.com/office/drawing/2014/main" id="{0486094C-C402-4355-A5DC-04872B86AEE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44" name="x_Picture 1" descr="Description: cid:image001.png@01D03949.49457930">
          <a:extLst>
            <a:ext uri="{FF2B5EF4-FFF2-40B4-BE49-F238E27FC236}">
              <a16:creationId xmlns:a16="http://schemas.microsoft.com/office/drawing/2014/main" id="{0E2C2338-DF6C-48A1-812D-78E603EA3E9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45" name="x_Picture 1" descr="Description: cid:image001.png@01D03949.49457930">
          <a:extLst>
            <a:ext uri="{FF2B5EF4-FFF2-40B4-BE49-F238E27FC236}">
              <a16:creationId xmlns:a16="http://schemas.microsoft.com/office/drawing/2014/main" id="{75B0A450-18F5-46A5-A896-19899AE7D7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46" name="x_Picture 1" descr="Description: cid:image001.png@01D03949.49457930">
          <a:extLst>
            <a:ext uri="{FF2B5EF4-FFF2-40B4-BE49-F238E27FC236}">
              <a16:creationId xmlns:a16="http://schemas.microsoft.com/office/drawing/2014/main" id="{224B596B-0D08-4102-AF16-88B65358EA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47" name="x_Picture 1" descr="Description: cid:image001.png@01D03949.49457930">
          <a:extLst>
            <a:ext uri="{FF2B5EF4-FFF2-40B4-BE49-F238E27FC236}">
              <a16:creationId xmlns:a16="http://schemas.microsoft.com/office/drawing/2014/main" id="{EBBE4CD8-E486-4D3F-8914-C00D1ED906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48" name="x_Picture 1" descr="Description: cid:image001.png@01D03949.49457930">
          <a:extLst>
            <a:ext uri="{FF2B5EF4-FFF2-40B4-BE49-F238E27FC236}">
              <a16:creationId xmlns:a16="http://schemas.microsoft.com/office/drawing/2014/main" id="{C1EFB888-9F00-46DA-A3D5-1B479DFE40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49" name="x_Picture 1" descr="Description: cid:image001.png@01D03949.49457930">
          <a:extLst>
            <a:ext uri="{FF2B5EF4-FFF2-40B4-BE49-F238E27FC236}">
              <a16:creationId xmlns:a16="http://schemas.microsoft.com/office/drawing/2014/main" id="{F1088D1C-E869-455D-8911-BD03D88407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50" name="x_Picture 1" descr="Description: cid:image001.png@01D03949.49457930">
          <a:extLst>
            <a:ext uri="{FF2B5EF4-FFF2-40B4-BE49-F238E27FC236}">
              <a16:creationId xmlns:a16="http://schemas.microsoft.com/office/drawing/2014/main" id="{D7035CE8-C66A-46FD-BBF1-5B5F985789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51" name="x_Picture 1" descr="Description: cid:image001.png@01D03949.49457930">
          <a:extLst>
            <a:ext uri="{FF2B5EF4-FFF2-40B4-BE49-F238E27FC236}">
              <a16:creationId xmlns:a16="http://schemas.microsoft.com/office/drawing/2014/main" id="{85055507-0F27-4D89-A821-43AAECD4CB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52" name="x_Picture 1" descr="Description: cid:image001.png@01D03949.49457930">
          <a:extLst>
            <a:ext uri="{FF2B5EF4-FFF2-40B4-BE49-F238E27FC236}">
              <a16:creationId xmlns:a16="http://schemas.microsoft.com/office/drawing/2014/main" id="{C75ECAB8-2E7C-49A1-BE2D-A68BE450BC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53" name="x_Picture 1" descr="Description: cid:image001.png@01D03949.49457930">
          <a:extLst>
            <a:ext uri="{FF2B5EF4-FFF2-40B4-BE49-F238E27FC236}">
              <a16:creationId xmlns:a16="http://schemas.microsoft.com/office/drawing/2014/main" id="{B087A20A-5875-4264-8538-54157C29D5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54" name="x_Picture 1" descr="Description: cid:image001.png@01D03949.49457930">
          <a:extLst>
            <a:ext uri="{FF2B5EF4-FFF2-40B4-BE49-F238E27FC236}">
              <a16:creationId xmlns:a16="http://schemas.microsoft.com/office/drawing/2014/main" id="{5C067E8B-EBBE-43A1-8FBA-19DA722CBB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55" name="x_Picture 1" descr="Description: cid:image001.png@01D03949.49457930">
          <a:extLst>
            <a:ext uri="{FF2B5EF4-FFF2-40B4-BE49-F238E27FC236}">
              <a16:creationId xmlns:a16="http://schemas.microsoft.com/office/drawing/2014/main" id="{6E02E629-B91B-4931-80C9-A8942F370E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56" name="x_Picture 1" descr="Description: cid:image001.png@01D03949.49457930">
          <a:extLst>
            <a:ext uri="{FF2B5EF4-FFF2-40B4-BE49-F238E27FC236}">
              <a16:creationId xmlns:a16="http://schemas.microsoft.com/office/drawing/2014/main" id="{D054042F-49C2-46AD-8CCB-4495C6FAF5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57" name="x_Picture 1" descr="Description: cid:image001.png@01D03949.49457930">
          <a:extLst>
            <a:ext uri="{FF2B5EF4-FFF2-40B4-BE49-F238E27FC236}">
              <a16:creationId xmlns:a16="http://schemas.microsoft.com/office/drawing/2014/main" id="{8B203A32-DC3D-4812-97AE-4673C029C7B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58" name="x_Picture 1" descr="Description: cid:image001.png@01D03949.49457930">
          <a:extLst>
            <a:ext uri="{FF2B5EF4-FFF2-40B4-BE49-F238E27FC236}">
              <a16:creationId xmlns:a16="http://schemas.microsoft.com/office/drawing/2014/main" id="{21EC3091-C876-4771-A721-6310B7C9FA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59" name="x_Picture 1" descr="Description: cid:image001.png@01D03949.49457930">
          <a:extLst>
            <a:ext uri="{FF2B5EF4-FFF2-40B4-BE49-F238E27FC236}">
              <a16:creationId xmlns:a16="http://schemas.microsoft.com/office/drawing/2014/main" id="{1A62B488-2557-48E3-8D76-9B150454FEB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60" name="x_Picture 1" descr="Description: cid:image001.png@01D03949.49457930">
          <a:extLst>
            <a:ext uri="{FF2B5EF4-FFF2-40B4-BE49-F238E27FC236}">
              <a16:creationId xmlns:a16="http://schemas.microsoft.com/office/drawing/2014/main" id="{773A4A5C-D096-4FEC-BF2A-31942AD12A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61" name="x_Picture 1" descr="Description: cid:image001.png@01D03949.49457930">
          <a:extLst>
            <a:ext uri="{FF2B5EF4-FFF2-40B4-BE49-F238E27FC236}">
              <a16:creationId xmlns:a16="http://schemas.microsoft.com/office/drawing/2014/main" id="{23046F09-F1B6-406D-AA9F-A4BE7A9B59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62" name="x_Picture 1" descr="Description: cid:image001.png@01D03949.49457930">
          <a:extLst>
            <a:ext uri="{FF2B5EF4-FFF2-40B4-BE49-F238E27FC236}">
              <a16:creationId xmlns:a16="http://schemas.microsoft.com/office/drawing/2014/main" id="{8909789C-6C91-43EE-9D6A-3A03928983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63" name="x_Picture 1" descr="Description: cid:image001.png@01D03949.49457930">
          <a:extLst>
            <a:ext uri="{FF2B5EF4-FFF2-40B4-BE49-F238E27FC236}">
              <a16:creationId xmlns:a16="http://schemas.microsoft.com/office/drawing/2014/main" id="{24EB958D-3358-433F-8F6B-E8346D06D8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64" name="x_Picture 1" descr="Description: cid:image001.png@01D03949.49457930">
          <a:extLst>
            <a:ext uri="{FF2B5EF4-FFF2-40B4-BE49-F238E27FC236}">
              <a16:creationId xmlns:a16="http://schemas.microsoft.com/office/drawing/2014/main" id="{49ABF102-106B-4B90-8F0D-9C277C9012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65" name="x_Picture 1" descr="Description: cid:image001.png@01D03949.49457930">
          <a:extLst>
            <a:ext uri="{FF2B5EF4-FFF2-40B4-BE49-F238E27FC236}">
              <a16:creationId xmlns:a16="http://schemas.microsoft.com/office/drawing/2014/main" id="{411332C4-9CAA-4F43-8E91-48030E5504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66" name="x_Picture 1" descr="Description: cid:image001.png@01D03949.49457930">
          <a:extLst>
            <a:ext uri="{FF2B5EF4-FFF2-40B4-BE49-F238E27FC236}">
              <a16:creationId xmlns:a16="http://schemas.microsoft.com/office/drawing/2014/main" id="{A7D9E58B-E559-423F-B000-82E3983044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67" name="x_Picture 1" descr="Description: cid:image001.png@01D03949.49457930">
          <a:extLst>
            <a:ext uri="{FF2B5EF4-FFF2-40B4-BE49-F238E27FC236}">
              <a16:creationId xmlns:a16="http://schemas.microsoft.com/office/drawing/2014/main" id="{553DDC4D-F8E0-478B-A51D-579623368F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3968" name="x_Picture 1" descr="Description: cid:image001.png@01D03949.49457930">
          <a:extLst>
            <a:ext uri="{FF2B5EF4-FFF2-40B4-BE49-F238E27FC236}">
              <a16:creationId xmlns:a16="http://schemas.microsoft.com/office/drawing/2014/main" id="{34CC4A3A-D2F5-491A-A7AE-145BFFD3CBC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69" name="x_Picture 1" descr="Description: cid:image001.png@01D03949.49457930">
          <a:extLst>
            <a:ext uri="{FF2B5EF4-FFF2-40B4-BE49-F238E27FC236}">
              <a16:creationId xmlns:a16="http://schemas.microsoft.com/office/drawing/2014/main" id="{15355EC4-5A5B-441E-8D4B-A643707D45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70" name="x_Picture 1" descr="Description: cid:image001.png@01D03949.49457930">
          <a:extLst>
            <a:ext uri="{FF2B5EF4-FFF2-40B4-BE49-F238E27FC236}">
              <a16:creationId xmlns:a16="http://schemas.microsoft.com/office/drawing/2014/main" id="{6AEDC55E-AA83-495B-8A02-2561001B1C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71" name="x_Picture 1" descr="Description: cid:image001.png@01D03949.49457930">
          <a:extLst>
            <a:ext uri="{FF2B5EF4-FFF2-40B4-BE49-F238E27FC236}">
              <a16:creationId xmlns:a16="http://schemas.microsoft.com/office/drawing/2014/main" id="{7645E3F4-DE91-4E19-9208-F2576F092A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3972" name="x_Picture 1" descr="Description: cid:image001.png@01D03949.49457930">
          <a:extLst>
            <a:ext uri="{FF2B5EF4-FFF2-40B4-BE49-F238E27FC236}">
              <a16:creationId xmlns:a16="http://schemas.microsoft.com/office/drawing/2014/main" id="{C8D402C7-DEFC-45FC-9B8F-D001FFC979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73" name="x_Picture 1" descr="Description: cid:image001.png@01D03949.49457930">
          <a:extLst>
            <a:ext uri="{FF2B5EF4-FFF2-40B4-BE49-F238E27FC236}">
              <a16:creationId xmlns:a16="http://schemas.microsoft.com/office/drawing/2014/main" id="{AED9DBC4-344B-4168-84AA-C3DC123208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3974" name="x_Picture 1" descr="Description: cid:image001.png@01D03949.49457930">
          <a:extLst>
            <a:ext uri="{FF2B5EF4-FFF2-40B4-BE49-F238E27FC236}">
              <a16:creationId xmlns:a16="http://schemas.microsoft.com/office/drawing/2014/main" id="{AB33E997-6F1C-4ACB-96F1-FD5623FE2A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3975" name="x_Picture 1" descr="Description: cid:image001.png@01D03949.49457930">
          <a:extLst>
            <a:ext uri="{FF2B5EF4-FFF2-40B4-BE49-F238E27FC236}">
              <a16:creationId xmlns:a16="http://schemas.microsoft.com/office/drawing/2014/main" id="{A2F431A4-336D-4998-8167-278D6C7FBF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3976" name="x_Picture 1" descr="Description: cid:image001.png@01D03949.49457930">
          <a:extLst>
            <a:ext uri="{FF2B5EF4-FFF2-40B4-BE49-F238E27FC236}">
              <a16:creationId xmlns:a16="http://schemas.microsoft.com/office/drawing/2014/main" id="{0A1E81F4-7D9A-4CAF-8CB9-F5D23B505E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77" name="x_Picture 1" descr="Description: cid:image001.png@01D03949.49457930">
          <a:extLst>
            <a:ext uri="{FF2B5EF4-FFF2-40B4-BE49-F238E27FC236}">
              <a16:creationId xmlns:a16="http://schemas.microsoft.com/office/drawing/2014/main" id="{4D37548A-0EB6-4C36-AD00-05DF418B19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78" name="x_Picture 1" descr="Description: cid:image001.png@01D03949.49457930">
          <a:extLst>
            <a:ext uri="{FF2B5EF4-FFF2-40B4-BE49-F238E27FC236}">
              <a16:creationId xmlns:a16="http://schemas.microsoft.com/office/drawing/2014/main" id="{49454AE8-7381-492B-9120-ACF9D55050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79" name="x_Picture 1" descr="Description: cid:image001.png@01D03949.49457930">
          <a:extLst>
            <a:ext uri="{FF2B5EF4-FFF2-40B4-BE49-F238E27FC236}">
              <a16:creationId xmlns:a16="http://schemas.microsoft.com/office/drawing/2014/main" id="{7E0F7201-7CC6-47F2-B073-D1E85B81DF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80" name="x_Picture 1" descr="Description: cid:image001.png@01D03949.49457930">
          <a:extLst>
            <a:ext uri="{FF2B5EF4-FFF2-40B4-BE49-F238E27FC236}">
              <a16:creationId xmlns:a16="http://schemas.microsoft.com/office/drawing/2014/main" id="{8BEBF16C-4440-4F00-8F63-3E7DB4E6D7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81" name="x_Picture 1" descr="Description: cid:image001.png@01D03949.49457930">
          <a:extLst>
            <a:ext uri="{FF2B5EF4-FFF2-40B4-BE49-F238E27FC236}">
              <a16:creationId xmlns:a16="http://schemas.microsoft.com/office/drawing/2014/main" id="{40A18929-40C0-4B04-A78F-41821ACDC1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82" name="x_Picture 1" descr="Description: cid:image001.png@01D03949.49457930">
          <a:extLst>
            <a:ext uri="{FF2B5EF4-FFF2-40B4-BE49-F238E27FC236}">
              <a16:creationId xmlns:a16="http://schemas.microsoft.com/office/drawing/2014/main" id="{764686BF-52E2-447C-B325-88210B113E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83" name="x_Picture 1" descr="Description: cid:image001.png@01D03949.49457930">
          <a:extLst>
            <a:ext uri="{FF2B5EF4-FFF2-40B4-BE49-F238E27FC236}">
              <a16:creationId xmlns:a16="http://schemas.microsoft.com/office/drawing/2014/main" id="{27DCD623-12CB-4644-87FA-D0189F8E9C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84" name="x_Picture 1" descr="Description: cid:image001.png@01D03949.49457930">
          <a:extLst>
            <a:ext uri="{FF2B5EF4-FFF2-40B4-BE49-F238E27FC236}">
              <a16:creationId xmlns:a16="http://schemas.microsoft.com/office/drawing/2014/main" id="{069BC2D5-221A-4B97-BBE0-C25E905D52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85" name="x_Picture 1" descr="Description: cid:image001.png@01D03949.49457930">
          <a:extLst>
            <a:ext uri="{FF2B5EF4-FFF2-40B4-BE49-F238E27FC236}">
              <a16:creationId xmlns:a16="http://schemas.microsoft.com/office/drawing/2014/main" id="{CFCF5CFD-7437-4DEB-B3C6-756F04A45E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86" name="x_Picture 1" descr="Description: cid:image001.png@01D03949.49457930">
          <a:extLst>
            <a:ext uri="{FF2B5EF4-FFF2-40B4-BE49-F238E27FC236}">
              <a16:creationId xmlns:a16="http://schemas.microsoft.com/office/drawing/2014/main" id="{AE9DCC31-B304-45AA-85DF-598C650B50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87" name="x_Picture 1" descr="Description: cid:image001.png@01D03949.49457930">
          <a:extLst>
            <a:ext uri="{FF2B5EF4-FFF2-40B4-BE49-F238E27FC236}">
              <a16:creationId xmlns:a16="http://schemas.microsoft.com/office/drawing/2014/main" id="{F5204EBA-5FAD-466C-BA01-DAFA82A10A2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88" name="x_Picture 1" descr="Description: cid:image001.png@01D03949.49457930">
          <a:extLst>
            <a:ext uri="{FF2B5EF4-FFF2-40B4-BE49-F238E27FC236}">
              <a16:creationId xmlns:a16="http://schemas.microsoft.com/office/drawing/2014/main" id="{7422B46B-EBBD-49F8-8507-9D8846C788E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89" name="x_Picture 1" descr="Description: cid:image001.png@01D03949.49457930">
          <a:extLst>
            <a:ext uri="{FF2B5EF4-FFF2-40B4-BE49-F238E27FC236}">
              <a16:creationId xmlns:a16="http://schemas.microsoft.com/office/drawing/2014/main" id="{C9086438-E166-40CE-AD34-CF4555F3B0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90" name="x_Picture 1" descr="Description: cid:image001.png@01D03949.49457930">
          <a:extLst>
            <a:ext uri="{FF2B5EF4-FFF2-40B4-BE49-F238E27FC236}">
              <a16:creationId xmlns:a16="http://schemas.microsoft.com/office/drawing/2014/main" id="{AFFC58A6-FA27-4C2F-A9DA-E31BF185B2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91" name="x_Picture 1" descr="Description: cid:image001.png@01D03949.49457930">
          <a:extLst>
            <a:ext uri="{FF2B5EF4-FFF2-40B4-BE49-F238E27FC236}">
              <a16:creationId xmlns:a16="http://schemas.microsoft.com/office/drawing/2014/main" id="{2C330891-00FF-4330-8A75-7D063CF303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92" name="x_Picture 1" descr="Description: cid:image001.png@01D03949.49457930">
          <a:extLst>
            <a:ext uri="{FF2B5EF4-FFF2-40B4-BE49-F238E27FC236}">
              <a16:creationId xmlns:a16="http://schemas.microsoft.com/office/drawing/2014/main" id="{8B49568F-6D8B-47D5-9E32-CD88397FDB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93" name="x_Picture 1" descr="Description: cid:image001.png@01D03949.49457930">
          <a:extLst>
            <a:ext uri="{FF2B5EF4-FFF2-40B4-BE49-F238E27FC236}">
              <a16:creationId xmlns:a16="http://schemas.microsoft.com/office/drawing/2014/main" id="{114BBBED-524D-4E9E-9B0A-C413742C2F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3994" name="x_Picture 1" descr="Description: cid:image001.png@01D03949.49457930">
          <a:extLst>
            <a:ext uri="{FF2B5EF4-FFF2-40B4-BE49-F238E27FC236}">
              <a16:creationId xmlns:a16="http://schemas.microsoft.com/office/drawing/2014/main" id="{F7C3129C-AC0D-45BC-BA69-99D7800BF6D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95" name="x_Picture 1" descr="Description: cid:image001.png@01D03949.49457930">
          <a:extLst>
            <a:ext uri="{FF2B5EF4-FFF2-40B4-BE49-F238E27FC236}">
              <a16:creationId xmlns:a16="http://schemas.microsoft.com/office/drawing/2014/main" id="{4C62648F-9207-4F71-B358-6791D4DCC9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96" name="x_Picture 1" descr="Description: cid:image001.png@01D03949.49457930">
          <a:extLst>
            <a:ext uri="{FF2B5EF4-FFF2-40B4-BE49-F238E27FC236}">
              <a16:creationId xmlns:a16="http://schemas.microsoft.com/office/drawing/2014/main" id="{9BF81983-B8BC-4223-B526-5D03EB442A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97" name="x_Picture 1" descr="Description: cid:image001.png@01D03949.49457930">
          <a:extLst>
            <a:ext uri="{FF2B5EF4-FFF2-40B4-BE49-F238E27FC236}">
              <a16:creationId xmlns:a16="http://schemas.microsoft.com/office/drawing/2014/main" id="{9079E73F-E325-4810-9F58-629D994D4CD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3998" name="x_Picture 1" descr="Description: cid:image001.png@01D03949.49457930">
          <a:extLst>
            <a:ext uri="{FF2B5EF4-FFF2-40B4-BE49-F238E27FC236}">
              <a16:creationId xmlns:a16="http://schemas.microsoft.com/office/drawing/2014/main" id="{19730575-DD35-45D0-ACC2-CE2A920000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3999" name="x_Picture 1" descr="Description: cid:image001.png@01D03949.49457930">
          <a:extLst>
            <a:ext uri="{FF2B5EF4-FFF2-40B4-BE49-F238E27FC236}">
              <a16:creationId xmlns:a16="http://schemas.microsoft.com/office/drawing/2014/main" id="{4E077DC0-9CFA-477F-96D6-01D62978FE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4000" name="x_Picture 1" descr="Description: cid:image001.png@01D03949.49457930">
          <a:extLst>
            <a:ext uri="{FF2B5EF4-FFF2-40B4-BE49-F238E27FC236}">
              <a16:creationId xmlns:a16="http://schemas.microsoft.com/office/drawing/2014/main" id="{09655CBD-200C-413D-AD44-59E9EA9772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4001" name="x_Picture 1" descr="Description: cid:image001.png@01D03949.49457930">
          <a:extLst>
            <a:ext uri="{FF2B5EF4-FFF2-40B4-BE49-F238E27FC236}">
              <a16:creationId xmlns:a16="http://schemas.microsoft.com/office/drawing/2014/main" id="{5804F9EC-588E-4BBE-BAD4-E03AEC8291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4002" name="x_Picture 1" descr="Description: cid:image001.png@01D03949.49457930">
          <a:extLst>
            <a:ext uri="{FF2B5EF4-FFF2-40B4-BE49-F238E27FC236}">
              <a16:creationId xmlns:a16="http://schemas.microsoft.com/office/drawing/2014/main" id="{997C85DD-EB3D-4E1A-85F8-67C35D0DD9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4003" name="x_Picture 1" descr="Description: cid:image001.png@01D03949.49457930">
          <a:extLst>
            <a:ext uri="{FF2B5EF4-FFF2-40B4-BE49-F238E27FC236}">
              <a16:creationId xmlns:a16="http://schemas.microsoft.com/office/drawing/2014/main" id="{D9EC6B67-0AE5-4D1A-A654-B4B07CAC82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4004" name="x_Picture 1" descr="Description: cid:image001.png@01D03949.49457930">
          <a:extLst>
            <a:ext uri="{FF2B5EF4-FFF2-40B4-BE49-F238E27FC236}">
              <a16:creationId xmlns:a16="http://schemas.microsoft.com/office/drawing/2014/main" id="{B2704B52-6F82-4333-A0E5-AB892DAE61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4005" name="x_Picture 1" descr="Description: cid:image001.png@01D03949.49457930">
          <a:extLst>
            <a:ext uri="{FF2B5EF4-FFF2-40B4-BE49-F238E27FC236}">
              <a16:creationId xmlns:a16="http://schemas.microsoft.com/office/drawing/2014/main" id="{2AAC2EAA-88E9-406C-98B8-4FEC9C19AE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06" name="x_Picture 1" descr="Description: cid:image001.png@01D03949.49457930">
          <a:extLst>
            <a:ext uri="{FF2B5EF4-FFF2-40B4-BE49-F238E27FC236}">
              <a16:creationId xmlns:a16="http://schemas.microsoft.com/office/drawing/2014/main" id="{3FBF6571-9352-4BE4-9437-80E1F75B34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07" name="x_Picture 1" descr="Description: cid:image001.png@01D03949.49457930">
          <a:extLst>
            <a:ext uri="{FF2B5EF4-FFF2-40B4-BE49-F238E27FC236}">
              <a16:creationId xmlns:a16="http://schemas.microsoft.com/office/drawing/2014/main" id="{C192B22A-2FDF-4A39-8960-DD65302DC7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08" name="x_Picture 1" descr="Description: cid:image001.png@01D03949.49457930">
          <a:extLst>
            <a:ext uri="{FF2B5EF4-FFF2-40B4-BE49-F238E27FC236}">
              <a16:creationId xmlns:a16="http://schemas.microsoft.com/office/drawing/2014/main" id="{FE0EFC45-04C4-446B-82B0-60E1D8EB4B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09" name="x_Picture 1" descr="Description: cid:image001.png@01D03949.49457930">
          <a:extLst>
            <a:ext uri="{FF2B5EF4-FFF2-40B4-BE49-F238E27FC236}">
              <a16:creationId xmlns:a16="http://schemas.microsoft.com/office/drawing/2014/main" id="{D054E08D-F4C4-4D7C-99CC-4EC2A97D1C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10" name="x_Picture 1" descr="Description: cid:image001.png@01D03949.49457930">
          <a:extLst>
            <a:ext uri="{FF2B5EF4-FFF2-40B4-BE49-F238E27FC236}">
              <a16:creationId xmlns:a16="http://schemas.microsoft.com/office/drawing/2014/main" id="{9E6FE57C-816E-4380-B393-AA264F8F8DA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11" name="x_Picture 1" descr="Description: cid:image001.png@01D03949.49457930">
          <a:extLst>
            <a:ext uri="{FF2B5EF4-FFF2-40B4-BE49-F238E27FC236}">
              <a16:creationId xmlns:a16="http://schemas.microsoft.com/office/drawing/2014/main" id="{218A2965-DCEB-4A3B-A30F-89728E917C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12" name="x_Picture 1" descr="Description: cid:image001.png@01D03949.49457930">
          <a:extLst>
            <a:ext uri="{FF2B5EF4-FFF2-40B4-BE49-F238E27FC236}">
              <a16:creationId xmlns:a16="http://schemas.microsoft.com/office/drawing/2014/main" id="{45074DE9-8911-45E6-A397-D5252041538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13" name="x_Picture 1" descr="Description: cid:image001.png@01D03949.49457930">
          <a:extLst>
            <a:ext uri="{FF2B5EF4-FFF2-40B4-BE49-F238E27FC236}">
              <a16:creationId xmlns:a16="http://schemas.microsoft.com/office/drawing/2014/main" id="{74EAE1BA-CB8A-415A-8AC7-CC496C2718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14" name="x_Picture 1" descr="Description: cid:image001.png@01D03949.49457930">
          <a:extLst>
            <a:ext uri="{FF2B5EF4-FFF2-40B4-BE49-F238E27FC236}">
              <a16:creationId xmlns:a16="http://schemas.microsoft.com/office/drawing/2014/main" id="{C1428192-CDE8-4526-A131-E93EFDD9CA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15" name="x_Picture 1" descr="Description: cid:image001.png@01D03949.49457930">
          <a:extLst>
            <a:ext uri="{FF2B5EF4-FFF2-40B4-BE49-F238E27FC236}">
              <a16:creationId xmlns:a16="http://schemas.microsoft.com/office/drawing/2014/main" id="{F4263CF8-4381-4FA0-A06B-8C5C74DDEB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16" name="x_Picture 1" descr="Description: cid:image001.png@01D03949.49457930">
          <a:extLst>
            <a:ext uri="{FF2B5EF4-FFF2-40B4-BE49-F238E27FC236}">
              <a16:creationId xmlns:a16="http://schemas.microsoft.com/office/drawing/2014/main" id="{40A8F63E-2369-4848-88C2-D3E3AF4618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38</xdr:row>
      <xdr:rowOff>0</xdr:rowOff>
    </xdr:from>
    <xdr:ext cx="279605" cy="315045"/>
    <xdr:sp macro="" textlink="">
      <xdr:nvSpPr>
        <xdr:cNvPr id="4017" name="x_Picture 1" descr="Description: cid:image001.png@01D03949.49457930">
          <a:extLst>
            <a:ext uri="{FF2B5EF4-FFF2-40B4-BE49-F238E27FC236}">
              <a16:creationId xmlns:a16="http://schemas.microsoft.com/office/drawing/2014/main" id="{17014AF0-FDB1-4128-B274-D132AEB438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18" name="x_Picture 1" descr="Description: cid:image001.png@01D03949.49457930">
          <a:extLst>
            <a:ext uri="{FF2B5EF4-FFF2-40B4-BE49-F238E27FC236}">
              <a16:creationId xmlns:a16="http://schemas.microsoft.com/office/drawing/2014/main" id="{054566AA-2685-4671-B28C-4EF4012807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19" name="x_Picture 1" descr="Description: cid:image001.png@01D03949.49457930">
          <a:extLst>
            <a:ext uri="{FF2B5EF4-FFF2-40B4-BE49-F238E27FC236}">
              <a16:creationId xmlns:a16="http://schemas.microsoft.com/office/drawing/2014/main" id="{F79E28F6-A6DA-4A91-A786-749A4F9572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20" name="x_Picture 1" descr="Description: cid:image001.png@01D03949.49457930">
          <a:extLst>
            <a:ext uri="{FF2B5EF4-FFF2-40B4-BE49-F238E27FC236}">
              <a16:creationId xmlns:a16="http://schemas.microsoft.com/office/drawing/2014/main" id="{67DDC43C-00D3-4526-A6AD-0CD6C391EA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21" name="x_Picture 1" descr="Description: cid:image001.png@01D03949.49457930">
          <a:extLst>
            <a:ext uri="{FF2B5EF4-FFF2-40B4-BE49-F238E27FC236}">
              <a16:creationId xmlns:a16="http://schemas.microsoft.com/office/drawing/2014/main" id="{9BBA3EBE-9905-4989-AD7A-A4372E7DD7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22" name="x_Picture 1" descr="Description: cid:image001.png@01D03949.49457930">
          <a:extLst>
            <a:ext uri="{FF2B5EF4-FFF2-40B4-BE49-F238E27FC236}">
              <a16:creationId xmlns:a16="http://schemas.microsoft.com/office/drawing/2014/main" id="{4FA2C989-E943-45F2-B0E6-FA93CFB515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23" name="x_Picture 1" descr="Description: cid:image001.png@01D03949.49457930">
          <a:extLst>
            <a:ext uri="{FF2B5EF4-FFF2-40B4-BE49-F238E27FC236}">
              <a16:creationId xmlns:a16="http://schemas.microsoft.com/office/drawing/2014/main" id="{D5EEEAD3-0A12-4C07-884D-E1E6E74368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24" name="x_Picture 1" descr="Description: cid:image001.png@01D03949.49457930">
          <a:extLst>
            <a:ext uri="{FF2B5EF4-FFF2-40B4-BE49-F238E27FC236}">
              <a16:creationId xmlns:a16="http://schemas.microsoft.com/office/drawing/2014/main" id="{4A90E7E4-274D-4C83-BE4C-8383E85D39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25" name="x_Picture 1" descr="Description: cid:image001.png@01D03949.49457930">
          <a:extLst>
            <a:ext uri="{FF2B5EF4-FFF2-40B4-BE49-F238E27FC236}">
              <a16:creationId xmlns:a16="http://schemas.microsoft.com/office/drawing/2014/main" id="{69D8D53D-34FA-42CA-99E0-8AA1E7F42F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26" name="x_Picture 1" descr="Description: cid:image001.png@01D03949.49457930">
          <a:extLst>
            <a:ext uri="{FF2B5EF4-FFF2-40B4-BE49-F238E27FC236}">
              <a16:creationId xmlns:a16="http://schemas.microsoft.com/office/drawing/2014/main" id="{304BB8BB-B3A5-4713-AEAB-4F13F1B3C8B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38</xdr:row>
      <xdr:rowOff>0</xdr:rowOff>
    </xdr:from>
    <xdr:ext cx="279605" cy="315045"/>
    <xdr:sp macro="" textlink="">
      <xdr:nvSpPr>
        <xdr:cNvPr id="4027" name="x_Picture 1" descr="Description: cid:image001.png@01D03949.49457930">
          <a:extLst>
            <a:ext uri="{FF2B5EF4-FFF2-40B4-BE49-F238E27FC236}">
              <a16:creationId xmlns:a16="http://schemas.microsoft.com/office/drawing/2014/main" id="{F6466A6F-D801-4083-AEF8-47B64A6985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28" name="x_Picture 1" descr="Description: cid:image001.png@01D03949.49457930">
          <a:extLst>
            <a:ext uri="{FF2B5EF4-FFF2-40B4-BE49-F238E27FC236}">
              <a16:creationId xmlns:a16="http://schemas.microsoft.com/office/drawing/2014/main" id="{8CB87FDA-9F88-4C36-BDE3-7C7457695B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29" name="x_Picture 1" descr="Description: cid:image001.png@01D03949.49457930">
          <a:extLst>
            <a:ext uri="{FF2B5EF4-FFF2-40B4-BE49-F238E27FC236}">
              <a16:creationId xmlns:a16="http://schemas.microsoft.com/office/drawing/2014/main" id="{CF07763A-B936-47B2-8902-223E87A338B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0" name="x_Picture 1" descr="Description: cid:image001.png@01D03949.49457930">
          <a:extLst>
            <a:ext uri="{FF2B5EF4-FFF2-40B4-BE49-F238E27FC236}">
              <a16:creationId xmlns:a16="http://schemas.microsoft.com/office/drawing/2014/main" id="{D1B1BF35-679A-4DA6-AFF9-1C133DF0BB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1" name="x_Picture 1" descr="Description: cid:image001.png@01D03949.49457930">
          <a:extLst>
            <a:ext uri="{FF2B5EF4-FFF2-40B4-BE49-F238E27FC236}">
              <a16:creationId xmlns:a16="http://schemas.microsoft.com/office/drawing/2014/main" id="{2B174C92-9212-44B6-A6C5-D3E8B22D8B2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2" name="x_Picture 1" descr="Description: cid:image001.png@01D03949.49457930">
          <a:extLst>
            <a:ext uri="{FF2B5EF4-FFF2-40B4-BE49-F238E27FC236}">
              <a16:creationId xmlns:a16="http://schemas.microsoft.com/office/drawing/2014/main" id="{8E4AEC30-7453-4B92-8C95-67E7DA2725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3" name="x_Picture 1" descr="Description: cid:image001.png@01D03949.49457930">
          <a:extLst>
            <a:ext uri="{FF2B5EF4-FFF2-40B4-BE49-F238E27FC236}">
              <a16:creationId xmlns:a16="http://schemas.microsoft.com/office/drawing/2014/main" id="{972B2A12-F94C-4051-B8E0-57A560F1AA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4" name="x_Picture 1" descr="Description: cid:image001.png@01D03949.49457930">
          <a:extLst>
            <a:ext uri="{FF2B5EF4-FFF2-40B4-BE49-F238E27FC236}">
              <a16:creationId xmlns:a16="http://schemas.microsoft.com/office/drawing/2014/main" id="{183F6209-63B0-4718-BA5A-6222AE66BA5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5" name="x_Picture 1" descr="Description: cid:image001.png@01D03949.49457930">
          <a:extLst>
            <a:ext uri="{FF2B5EF4-FFF2-40B4-BE49-F238E27FC236}">
              <a16:creationId xmlns:a16="http://schemas.microsoft.com/office/drawing/2014/main" id="{E44D21DB-422F-41ED-A7B8-63CC3F54A2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6" name="x_Picture 1" descr="Description: cid:image001.png@01D03949.49457930">
          <a:extLst>
            <a:ext uri="{FF2B5EF4-FFF2-40B4-BE49-F238E27FC236}">
              <a16:creationId xmlns:a16="http://schemas.microsoft.com/office/drawing/2014/main" id="{6A8F5176-32D1-446D-BDB6-284DB5ED88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7" name="x_Picture 1" descr="Description: cid:image001.png@01D03949.49457930">
          <a:extLst>
            <a:ext uri="{FF2B5EF4-FFF2-40B4-BE49-F238E27FC236}">
              <a16:creationId xmlns:a16="http://schemas.microsoft.com/office/drawing/2014/main" id="{BF8762CD-AD5A-4E00-AF49-90B25C23B4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8" name="x_Picture 1" descr="Description: cid:image001.png@01D03949.49457930">
          <a:extLst>
            <a:ext uri="{FF2B5EF4-FFF2-40B4-BE49-F238E27FC236}">
              <a16:creationId xmlns:a16="http://schemas.microsoft.com/office/drawing/2014/main" id="{D5918012-277F-44F8-8054-EA5B412DC8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39" name="x_Picture 1" descr="Description: cid:image001.png@01D03949.49457930">
          <a:extLst>
            <a:ext uri="{FF2B5EF4-FFF2-40B4-BE49-F238E27FC236}">
              <a16:creationId xmlns:a16="http://schemas.microsoft.com/office/drawing/2014/main" id="{8C9D511A-696D-4EB2-AEC7-87E2C6B42D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40" name="x_Picture 1" descr="Description: cid:image001.png@01D03949.49457930">
          <a:extLst>
            <a:ext uri="{FF2B5EF4-FFF2-40B4-BE49-F238E27FC236}">
              <a16:creationId xmlns:a16="http://schemas.microsoft.com/office/drawing/2014/main" id="{95BECA94-35C4-4D9A-BD46-3FE79A9B32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41" name="x_Picture 1" descr="Description: cid:image001.png@01D03949.49457930">
          <a:extLst>
            <a:ext uri="{FF2B5EF4-FFF2-40B4-BE49-F238E27FC236}">
              <a16:creationId xmlns:a16="http://schemas.microsoft.com/office/drawing/2014/main" id="{4A687A2E-E707-4820-8216-FE73AB1553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42" name="x_Picture 1" descr="Description: cid:image001.png@01D03949.49457930">
          <a:extLst>
            <a:ext uri="{FF2B5EF4-FFF2-40B4-BE49-F238E27FC236}">
              <a16:creationId xmlns:a16="http://schemas.microsoft.com/office/drawing/2014/main" id="{0C29191A-6B58-4F02-A8E9-F771F1524A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43" name="x_Picture 1" descr="Description: cid:image001.png@01D03949.49457930">
          <a:extLst>
            <a:ext uri="{FF2B5EF4-FFF2-40B4-BE49-F238E27FC236}">
              <a16:creationId xmlns:a16="http://schemas.microsoft.com/office/drawing/2014/main" id="{9AC30BE7-4F09-4077-8380-FA193F2040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44" name="x_Picture 1" descr="Description: cid:image001.png@01D03949.49457930">
          <a:extLst>
            <a:ext uri="{FF2B5EF4-FFF2-40B4-BE49-F238E27FC236}">
              <a16:creationId xmlns:a16="http://schemas.microsoft.com/office/drawing/2014/main" id="{01C20453-BBA8-4859-B7F3-173589E45A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45" name="x_Picture 1" descr="Description: cid:image001.png@01D03949.49457930">
          <a:extLst>
            <a:ext uri="{FF2B5EF4-FFF2-40B4-BE49-F238E27FC236}">
              <a16:creationId xmlns:a16="http://schemas.microsoft.com/office/drawing/2014/main" id="{33796E5A-F6D9-4BA0-A1C9-5DEFA7F0CA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46" name="x_Picture 1" descr="Description: cid:image001.png@01D03949.49457930">
          <a:extLst>
            <a:ext uri="{FF2B5EF4-FFF2-40B4-BE49-F238E27FC236}">
              <a16:creationId xmlns:a16="http://schemas.microsoft.com/office/drawing/2014/main" id="{6F78EA6E-D85C-4CE7-B395-EDF0D6870F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47" name="x_Picture 1" descr="Description: cid:image001.png@01D03949.49457930">
          <a:extLst>
            <a:ext uri="{FF2B5EF4-FFF2-40B4-BE49-F238E27FC236}">
              <a16:creationId xmlns:a16="http://schemas.microsoft.com/office/drawing/2014/main" id="{835D4BD5-EB73-4402-B294-234A68D742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48" name="x_Picture 1" descr="Description: cid:image001.png@01D03949.49457930">
          <a:extLst>
            <a:ext uri="{FF2B5EF4-FFF2-40B4-BE49-F238E27FC236}">
              <a16:creationId xmlns:a16="http://schemas.microsoft.com/office/drawing/2014/main" id="{0B1D56B7-1265-42D7-BF93-571FC94658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49" name="x_Picture 1" descr="Description: cid:image001.png@01D03949.49457930">
          <a:extLst>
            <a:ext uri="{FF2B5EF4-FFF2-40B4-BE49-F238E27FC236}">
              <a16:creationId xmlns:a16="http://schemas.microsoft.com/office/drawing/2014/main" id="{41F4F402-4917-47E5-AE3B-FAD855BDBF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50" name="x_Picture 1" descr="Description: cid:image001.png@01D03949.49457930">
          <a:extLst>
            <a:ext uri="{FF2B5EF4-FFF2-40B4-BE49-F238E27FC236}">
              <a16:creationId xmlns:a16="http://schemas.microsoft.com/office/drawing/2014/main" id="{3E8C3E68-52A8-45ED-BFD7-884C932B06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51" name="x_Picture 1" descr="Description: cid:image001.png@01D03949.49457930">
          <a:extLst>
            <a:ext uri="{FF2B5EF4-FFF2-40B4-BE49-F238E27FC236}">
              <a16:creationId xmlns:a16="http://schemas.microsoft.com/office/drawing/2014/main" id="{6A0AD575-F6F8-4C65-A334-8005A784F74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52" name="x_Picture 1" descr="Description: cid:image001.png@01D03949.49457930">
          <a:extLst>
            <a:ext uri="{FF2B5EF4-FFF2-40B4-BE49-F238E27FC236}">
              <a16:creationId xmlns:a16="http://schemas.microsoft.com/office/drawing/2014/main" id="{8AB2BE1E-84EF-4F1D-8B58-8254797E48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53" name="x_Picture 1" descr="Description: cid:image001.png@01D03949.49457930">
          <a:extLst>
            <a:ext uri="{FF2B5EF4-FFF2-40B4-BE49-F238E27FC236}">
              <a16:creationId xmlns:a16="http://schemas.microsoft.com/office/drawing/2014/main" id="{B6215874-19EB-401E-9C65-F118ED60D8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54" name="x_Picture 1" descr="Description: cid:image001.png@01D03949.49457930">
          <a:extLst>
            <a:ext uri="{FF2B5EF4-FFF2-40B4-BE49-F238E27FC236}">
              <a16:creationId xmlns:a16="http://schemas.microsoft.com/office/drawing/2014/main" id="{B82A3F53-44CD-4521-B77E-216FB364AE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55" name="x_Picture 1" descr="Description: cid:image001.png@01D03949.49457930">
          <a:extLst>
            <a:ext uri="{FF2B5EF4-FFF2-40B4-BE49-F238E27FC236}">
              <a16:creationId xmlns:a16="http://schemas.microsoft.com/office/drawing/2014/main" id="{E8FC7A96-D4BC-4CCF-A3F8-613AF6DB52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56" name="x_Picture 1" descr="Description: cid:image001.png@01D03949.49457930">
          <a:extLst>
            <a:ext uri="{FF2B5EF4-FFF2-40B4-BE49-F238E27FC236}">
              <a16:creationId xmlns:a16="http://schemas.microsoft.com/office/drawing/2014/main" id="{78BF6FB6-BEDE-4281-9A42-78CDC623A2B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57" name="x_Picture 1" descr="Description: cid:image001.png@01D03949.49457930">
          <a:extLst>
            <a:ext uri="{FF2B5EF4-FFF2-40B4-BE49-F238E27FC236}">
              <a16:creationId xmlns:a16="http://schemas.microsoft.com/office/drawing/2014/main" id="{1E53497E-B739-4E44-A855-F245C17545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58" name="x_Picture 1" descr="Description: cid:image001.png@01D03949.49457930">
          <a:extLst>
            <a:ext uri="{FF2B5EF4-FFF2-40B4-BE49-F238E27FC236}">
              <a16:creationId xmlns:a16="http://schemas.microsoft.com/office/drawing/2014/main" id="{D3386FA6-12E0-4013-BB39-2D2C20C574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59" name="x_Picture 1" descr="Description: cid:image001.png@01D03949.49457930">
          <a:extLst>
            <a:ext uri="{FF2B5EF4-FFF2-40B4-BE49-F238E27FC236}">
              <a16:creationId xmlns:a16="http://schemas.microsoft.com/office/drawing/2014/main" id="{7FA60EC6-00E6-4EB7-B6D9-184ACD27F20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60" name="x_Picture 1" descr="Description: cid:image001.png@01D03949.49457930">
          <a:extLst>
            <a:ext uri="{FF2B5EF4-FFF2-40B4-BE49-F238E27FC236}">
              <a16:creationId xmlns:a16="http://schemas.microsoft.com/office/drawing/2014/main" id="{04A5AD8D-2C07-4AA4-BA2C-7C34F2BB1F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61" name="x_Picture 1" descr="Description: cid:image001.png@01D03949.49457930">
          <a:extLst>
            <a:ext uri="{FF2B5EF4-FFF2-40B4-BE49-F238E27FC236}">
              <a16:creationId xmlns:a16="http://schemas.microsoft.com/office/drawing/2014/main" id="{1A8E8D90-33D1-47E5-BE8C-13A11A3C06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62" name="x_Picture 1" descr="Description: cid:image001.png@01D03949.49457930">
          <a:extLst>
            <a:ext uri="{FF2B5EF4-FFF2-40B4-BE49-F238E27FC236}">
              <a16:creationId xmlns:a16="http://schemas.microsoft.com/office/drawing/2014/main" id="{16B65E1E-9ED9-47DB-841D-BAA331AC1A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63" name="x_Picture 1" descr="Description: cid:image001.png@01D03949.49457930">
          <a:extLst>
            <a:ext uri="{FF2B5EF4-FFF2-40B4-BE49-F238E27FC236}">
              <a16:creationId xmlns:a16="http://schemas.microsoft.com/office/drawing/2014/main" id="{9043F19D-29EC-42F6-8413-AC65BC5C1A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64" name="x_Picture 1" descr="Description: cid:image001.png@01D03949.49457930">
          <a:extLst>
            <a:ext uri="{FF2B5EF4-FFF2-40B4-BE49-F238E27FC236}">
              <a16:creationId xmlns:a16="http://schemas.microsoft.com/office/drawing/2014/main" id="{699DE32A-2F42-49A9-BE05-65D52DE5532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65" name="x_Picture 1" descr="Description: cid:image001.png@01D03949.49457930">
          <a:extLst>
            <a:ext uri="{FF2B5EF4-FFF2-40B4-BE49-F238E27FC236}">
              <a16:creationId xmlns:a16="http://schemas.microsoft.com/office/drawing/2014/main" id="{52075C06-696E-41E8-832C-371A8B4093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66" name="x_Picture 1" descr="Description: cid:image001.png@01D03949.49457930">
          <a:extLst>
            <a:ext uri="{FF2B5EF4-FFF2-40B4-BE49-F238E27FC236}">
              <a16:creationId xmlns:a16="http://schemas.microsoft.com/office/drawing/2014/main" id="{DBB6331C-A8B4-4F59-993F-5451E65690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67" name="x_Picture 1" descr="Description: cid:image001.png@01D03949.49457930">
          <a:extLst>
            <a:ext uri="{FF2B5EF4-FFF2-40B4-BE49-F238E27FC236}">
              <a16:creationId xmlns:a16="http://schemas.microsoft.com/office/drawing/2014/main" id="{39492CDD-D708-4212-9390-C49CDFD5CB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68" name="x_Picture 1" descr="Description: cid:image001.png@01D03949.49457930">
          <a:extLst>
            <a:ext uri="{FF2B5EF4-FFF2-40B4-BE49-F238E27FC236}">
              <a16:creationId xmlns:a16="http://schemas.microsoft.com/office/drawing/2014/main" id="{6A2E1199-B7DD-4619-A686-1B5DB913707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69" name="x_Picture 1" descr="Description: cid:image001.png@01D03949.49457930">
          <a:extLst>
            <a:ext uri="{FF2B5EF4-FFF2-40B4-BE49-F238E27FC236}">
              <a16:creationId xmlns:a16="http://schemas.microsoft.com/office/drawing/2014/main" id="{189BE215-A5A7-4500-9A74-CC9F458047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70" name="x_Picture 1" descr="Description: cid:image001.png@01D03949.49457930">
          <a:extLst>
            <a:ext uri="{FF2B5EF4-FFF2-40B4-BE49-F238E27FC236}">
              <a16:creationId xmlns:a16="http://schemas.microsoft.com/office/drawing/2014/main" id="{5A321054-A148-452F-930A-F503A3F553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71" name="x_Picture 1" descr="Description: cid:image001.png@01D03949.49457930">
          <a:extLst>
            <a:ext uri="{FF2B5EF4-FFF2-40B4-BE49-F238E27FC236}">
              <a16:creationId xmlns:a16="http://schemas.microsoft.com/office/drawing/2014/main" id="{30004BAE-22EE-42E5-B6D3-E917825CE6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72" name="x_Picture 1" descr="Description: cid:image001.png@01D03949.49457930">
          <a:extLst>
            <a:ext uri="{FF2B5EF4-FFF2-40B4-BE49-F238E27FC236}">
              <a16:creationId xmlns:a16="http://schemas.microsoft.com/office/drawing/2014/main" id="{FD628FE5-6431-44C8-B0A0-3F0DFFED85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73" name="x_Picture 1" descr="Description: cid:image001.png@01D03949.49457930">
          <a:extLst>
            <a:ext uri="{FF2B5EF4-FFF2-40B4-BE49-F238E27FC236}">
              <a16:creationId xmlns:a16="http://schemas.microsoft.com/office/drawing/2014/main" id="{51D8D4B1-2520-4885-83FF-A50CB9C197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74" name="x_Picture 1" descr="Description: cid:image001.png@01D03949.49457930">
          <a:extLst>
            <a:ext uri="{FF2B5EF4-FFF2-40B4-BE49-F238E27FC236}">
              <a16:creationId xmlns:a16="http://schemas.microsoft.com/office/drawing/2014/main" id="{C13A68CD-CA4F-487F-AF4D-BB91DCA0FB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75" name="x_Picture 1" descr="Description: cid:image001.png@01D03949.49457930">
          <a:extLst>
            <a:ext uri="{FF2B5EF4-FFF2-40B4-BE49-F238E27FC236}">
              <a16:creationId xmlns:a16="http://schemas.microsoft.com/office/drawing/2014/main" id="{0C5AAC92-2012-460A-A7D0-962C709467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76" name="x_Picture 1" descr="Description: cid:image001.png@01D03949.49457930">
          <a:extLst>
            <a:ext uri="{FF2B5EF4-FFF2-40B4-BE49-F238E27FC236}">
              <a16:creationId xmlns:a16="http://schemas.microsoft.com/office/drawing/2014/main" id="{9FC26AA3-3428-4ACA-873C-4BCA1C67BBB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77" name="x_Picture 1" descr="Description: cid:image001.png@01D03949.49457930">
          <a:extLst>
            <a:ext uri="{FF2B5EF4-FFF2-40B4-BE49-F238E27FC236}">
              <a16:creationId xmlns:a16="http://schemas.microsoft.com/office/drawing/2014/main" id="{2569C55C-7CA1-4781-9DB2-54D8C1443D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078" name="x_Picture 1" descr="Description: cid:image001.png@01D03949.49457930">
          <a:extLst>
            <a:ext uri="{FF2B5EF4-FFF2-40B4-BE49-F238E27FC236}">
              <a16:creationId xmlns:a16="http://schemas.microsoft.com/office/drawing/2014/main" id="{94A6C861-CE9D-453B-B130-2B24848BD9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79" name="x_Picture 1" descr="Description: cid:image001.png@01D03949.49457930">
          <a:extLst>
            <a:ext uri="{FF2B5EF4-FFF2-40B4-BE49-F238E27FC236}">
              <a16:creationId xmlns:a16="http://schemas.microsoft.com/office/drawing/2014/main" id="{DD8E9DDE-E5B9-4DED-9B39-B4BE0B1265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80" name="x_Picture 1" descr="Description: cid:image001.png@01D03949.49457930">
          <a:extLst>
            <a:ext uri="{FF2B5EF4-FFF2-40B4-BE49-F238E27FC236}">
              <a16:creationId xmlns:a16="http://schemas.microsoft.com/office/drawing/2014/main" id="{1B5192F4-5644-484D-B9EA-0BA682304C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81" name="x_Picture 1" descr="Description: cid:image001.png@01D03949.49457930">
          <a:extLst>
            <a:ext uri="{FF2B5EF4-FFF2-40B4-BE49-F238E27FC236}">
              <a16:creationId xmlns:a16="http://schemas.microsoft.com/office/drawing/2014/main" id="{554E93D6-FE2E-4710-A472-2AB87F55B8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082" name="x_Picture 1" descr="Description: cid:image001.png@01D03949.49457930">
          <a:extLst>
            <a:ext uri="{FF2B5EF4-FFF2-40B4-BE49-F238E27FC236}">
              <a16:creationId xmlns:a16="http://schemas.microsoft.com/office/drawing/2014/main" id="{CA71F9F7-68C9-431B-A2D5-799D445599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083" name="x_Picture 1" descr="Description: cid:image001.png@01D03949.49457930">
          <a:extLst>
            <a:ext uri="{FF2B5EF4-FFF2-40B4-BE49-F238E27FC236}">
              <a16:creationId xmlns:a16="http://schemas.microsoft.com/office/drawing/2014/main" id="{7D90AB4A-AB2E-4756-8E6F-EC03EB09385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084" name="x_Picture 1" descr="Description: cid:image001.png@01D03949.49457930">
          <a:extLst>
            <a:ext uri="{FF2B5EF4-FFF2-40B4-BE49-F238E27FC236}">
              <a16:creationId xmlns:a16="http://schemas.microsoft.com/office/drawing/2014/main" id="{1913F0BA-8570-4840-8754-486DE14566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085" name="x_Picture 1" descr="Description: cid:image001.png@01D03949.49457930">
          <a:extLst>
            <a:ext uri="{FF2B5EF4-FFF2-40B4-BE49-F238E27FC236}">
              <a16:creationId xmlns:a16="http://schemas.microsoft.com/office/drawing/2014/main" id="{175DF46E-ECD3-4384-A555-25441BDA52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086" name="x_Picture 1" descr="Description: cid:image001.png@01D03949.49457930">
          <a:extLst>
            <a:ext uri="{FF2B5EF4-FFF2-40B4-BE49-F238E27FC236}">
              <a16:creationId xmlns:a16="http://schemas.microsoft.com/office/drawing/2014/main" id="{B0C4A84B-4A59-47ED-9987-5E2BCC9274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87" name="x_Picture 1" descr="Description: cid:image001.png@01D03949.49457930">
          <a:extLst>
            <a:ext uri="{FF2B5EF4-FFF2-40B4-BE49-F238E27FC236}">
              <a16:creationId xmlns:a16="http://schemas.microsoft.com/office/drawing/2014/main" id="{CB9F0CDA-C8C4-4AD4-A87C-4383728E8F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88" name="x_Picture 1" descr="Description: cid:image001.png@01D03949.49457930">
          <a:extLst>
            <a:ext uri="{FF2B5EF4-FFF2-40B4-BE49-F238E27FC236}">
              <a16:creationId xmlns:a16="http://schemas.microsoft.com/office/drawing/2014/main" id="{AA583F3E-219C-4AEE-9E1E-60B95D2BF8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89" name="x_Picture 1" descr="Description: cid:image001.png@01D03949.49457930">
          <a:extLst>
            <a:ext uri="{FF2B5EF4-FFF2-40B4-BE49-F238E27FC236}">
              <a16:creationId xmlns:a16="http://schemas.microsoft.com/office/drawing/2014/main" id="{92632497-5183-4CA7-B25D-8D66D8A186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90" name="x_Picture 1" descr="Description: cid:image001.png@01D03949.49457930">
          <a:extLst>
            <a:ext uri="{FF2B5EF4-FFF2-40B4-BE49-F238E27FC236}">
              <a16:creationId xmlns:a16="http://schemas.microsoft.com/office/drawing/2014/main" id="{4E222756-164E-4E5D-83B8-80E571A38C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91" name="x_Picture 1" descr="Description: cid:image001.png@01D03949.49457930">
          <a:extLst>
            <a:ext uri="{FF2B5EF4-FFF2-40B4-BE49-F238E27FC236}">
              <a16:creationId xmlns:a16="http://schemas.microsoft.com/office/drawing/2014/main" id="{A5AE7F31-D922-4A2C-AE6E-05E2BBF17F3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92" name="x_Picture 1" descr="Description: cid:image001.png@01D03949.49457930">
          <a:extLst>
            <a:ext uri="{FF2B5EF4-FFF2-40B4-BE49-F238E27FC236}">
              <a16:creationId xmlns:a16="http://schemas.microsoft.com/office/drawing/2014/main" id="{DA587A55-239C-4597-9088-4E6777A713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093" name="x_Picture 1" descr="Description: cid:image001.png@01D03949.49457930">
          <a:extLst>
            <a:ext uri="{FF2B5EF4-FFF2-40B4-BE49-F238E27FC236}">
              <a16:creationId xmlns:a16="http://schemas.microsoft.com/office/drawing/2014/main" id="{DA72791D-9DD8-4525-BB6B-6534ABA5E8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094" name="x_Picture 1" descr="Description: cid:image001.png@01D03949.49457930">
          <a:extLst>
            <a:ext uri="{FF2B5EF4-FFF2-40B4-BE49-F238E27FC236}">
              <a16:creationId xmlns:a16="http://schemas.microsoft.com/office/drawing/2014/main" id="{3F836236-01CC-4465-9BD8-8A5AA1BC18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095" name="x_Picture 1" descr="Description: cid:image001.png@01D03949.49457930">
          <a:extLst>
            <a:ext uri="{FF2B5EF4-FFF2-40B4-BE49-F238E27FC236}">
              <a16:creationId xmlns:a16="http://schemas.microsoft.com/office/drawing/2014/main" id="{F32B9F12-C0FF-4439-A02D-897CAA04E3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096" name="x_Picture 1" descr="Description: cid:image001.png@01D03949.49457930">
          <a:extLst>
            <a:ext uri="{FF2B5EF4-FFF2-40B4-BE49-F238E27FC236}">
              <a16:creationId xmlns:a16="http://schemas.microsoft.com/office/drawing/2014/main" id="{E558D90C-3427-42A8-BDC7-47C00C63AA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097" name="x_Picture 1" descr="Description: cid:image001.png@01D03949.49457930">
          <a:extLst>
            <a:ext uri="{FF2B5EF4-FFF2-40B4-BE49-F238E27FC236}">
              <a16:creationId xmlns:a16="http://schemas.microsoft.com/office/drawing/2014/main" id="{D52D28CA-85BD-48B5-AF2D-0D30388AFA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098" name="x_Picture 1" descr="Description: cid:image001.png@01D03949.49457930">
          <a:extLst>
            <a:ext uri="{FF2B5EF4-FFF2-40B4-BE49-F238E27FC236}">
              <a16:creationId xmlns:a16="http://schemas.microsoft.com/office/drawing/2014/main" id="{4588CFC3-14F9-49B7-A4D6-F30C0C10D5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099" name="x_Picture 1" descr="Description: cid:image001.png@01D03949.49457930">
          <a:extLst>
            <a:ext uri="{FF2B5EF4-FFF2-40B4-BE49-F238E27FC236}">
              <a16:creationId xmlns:a16="http://schemas.microsoft.com/office/drawing/2014/main" id="{EA5321B5-C9B9-42AE-944F-72659D4A6C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00" name="x_Picture 1" descr="Description: cid:image001.png@01D03949.49457930">
          <a:extLst>
            <a:ext uri="{FF2B5EF4-FFF2-40B4-BE49-F238E27FC236}">
              <a16:creationId xmlns:a16="http://schemas.microsoft.com/office/drawing/2014/main" id="{AF16054A-8B84-4C33-9E34-6FE7283530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01" name="x_Picture 1" descr="Description: cid:image001.png@01D03949.49457930">
          <a:extLst>
            <a:ext uri="{FF2B5EF4-FFF2-40B4-BE49-F238E27FC236}">
              <a16:creationId xmlns:a16="http://schemas.microsoft.com/office/drawing/2014/main" id="{A095DB9B-6E04-4AA0-A3ED-6C17FD4C0E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02" name="x_Picture 1" descr="Description: cid:image001.png@01D03949.49457930">
          <a:extLst>
            <a:ext uri="{FF2B5EF4-FFF2-40B4-BE49-F238E27FC236}">
              <a16:creationId xmlns:a16="http://schemas.microsoft.com/office/drawing/2014/main" id="{098D2A96-90A7-43AF-B4F4-FED3778D91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03" name="x_Picture 1" descr="Description: cid:image001.png@01D03949.49457930">
          <a:extLst>
            <a:ext uri="{FF2B5EF4-FFF2-40B4-BE49-F238E27FC236}">
              <a16:creationId xmlns:a16="http://schemas.microsoft.com/office/drawing/2014/main" id="{2C83876D-81E0-4012-A2E2-3C12C2DC53B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04" name="x_Picture 1" descr="Description: cid:image001.png@01D03949.49457930">
          <a:extLst>
            <a:ext uri="{FF2B5EF4-FFF2-40B4-BE49-F238E27FC236}">
              <a16:creationId xmlns:a16="http://schemas.microsoft.com/office/drawing/2014/main" id="{4DD9E2BF-0C0A-4791-BA56-B510D1791D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05" name="x_Picture 1" descr="Description: cid:image001.png@01D03949.49457930">
          <a:extLst>
            <a:ext uri="{FF2B5EF4-FFF2-40B4-BE49-F238E27FC236}">
              <a16:creationId xmlns:a16="http://schemas.microsoft.com/office/drawing/2014/main" id="{C313BAB8-B99C-47D1-8BAC-A416D8923D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06" name="x_Picture 1" descr="Description: cid:image001.png@01D03949.49457930">
          <a:extLst>
            <a:ext uri="{FF2B5EF4-FFF2-40B4-BE49-F238E27FC236}">
              <a16:creationId xmlns:a16="http://schemas.microsoft.com/office/drawing/2014/main" id="{6175F99F-AEED-432F-A802-3C448B0BDA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07" name="x_Picture 1" descr="Description: cid:image001.png@01D03949.49457930">
          <a:extLst>
            <a:ext uri="{FF2B5EF4-FFF2-40B4-BE49-F238E27FC236}">
              <a16:creationId xmlns:a16="http://schemas.microsoft.com/office/drawing/2014/main" id="{EB4A06D2-3336-42BB-A1DA-9DF1F98BEA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08" name="x_Picture 1" descr="Description: cid:image001.png@01D03949.49457930">
          <a:extLst>
            <a:ext uri="{FF2B5EF4-FFF2-40B4-BE49-F238E27FC236}">
              <a16:creationId xmlns:a16="http://schemas.microsoft.com/office/drawing/2014/main" id="{D44F9728-6BF5-4282-ABAD-171DBD454CC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109" name="x_Picture 1" descr="Description: cid:image001.png@01D03949.49457930">
          <a:extLst>
            <a:ext uri="{FF2B5EF4-FFF2-40B4-BE49-F238E27FC236}">
              <a16:creationId xmlns:a16="http://schemas.microsoft.com/office/drawing/2014/main" id="{10B6182B-853B-4BFC-A9A6-105125D32E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110" name="x_Picture 1" descr="Description: cid:image001.png@01D03949.49457930">
          <a:extLst>
            <a:ext uri="{FF2B5EF4-FFF2-40B4-BE49-F238E27FC236}">
              <a16:creationId xmlns:a16="http://schemas.microsoft.com/office/drawing/2014/main" id="{F85A3BD9-9E17-4D02-AF67-A3DC7C7017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111" name="x_Picture 1" descr="Description: cid:image001.png@01D03949.49457930">
          <a:extLst>
            <a:ext uri="{FF2B5EF4-FFF2-40B4-BE49-F238E27FC236}">
              <a16:creationId xmlns:a16="http://schemas.microsoft.com/office/drawing/2014/main" id="{3A27619B-7D24-40D5-9482-263AA94A0F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112" name="x_Picture 1" descr="Description: cid:image001.png@01D03949.49457930">
          <a:extLst>
            <a:ext uri="{FF2B5EF4-FFF2-40B4-BE49-F238E27FC236}">
              <a16:creationId xmlns:a16="http://schemas.microsoft.com/office/drawing/2014/main" id="{3A393B3E-EE38-452B-BAB4-2AD116EF53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113" name="x_Picture 1" descr="Description: cid:image001.png@01D03949.49457930">
          <a:extLst>
            <a:ext uri="{FF2B5EF4-FFF2-40B4-BE49-F238E27FC236}">
              <a16:creationId xmlns:a16="http://schemas.microsoft.com/office/drawing/2014/main" id="{A60ADCCB-9386-4934-85F9-DA3102A6C2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114" name="x_Picture 1" descr="Description: cid:image001.png@01D03949.49457930">
          <a:extLst>
            <a:ext uri="{FF2B5EF4-FFF2-40B4-BE49-F238E27FC236}">
              <a16:creationId xmlns:a16="http://schemas.microsoft.com/office/drawing/2014/main" id="{34BE46C0-8F14-40AF-8DE6-08A3CD5BCF3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115" name="x_Picture 1" descr="Description: cid:image001.png@01D03949.49457930">
          <a:extLst>
            <a:ext uri="{FF2B5EF4-FFF2-40B4-BE49-F238E27FC236}">
              <a16:creationId xmlns:a16="http://schemas.microsoft.com/office/drawing/2014/main" id="{3B920EE0-F360-4894-BEF0-C1F98FC16D6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16" name="x_Picture 1" descr="Description: cid:image001.png@01D03949.49457930">
          <a:extLst>
            <a:ext uri="{FF2B5EF4-FFF2-40B4-BE49-F238E27FC236}">
              <a16:creationId xmlns:a16="http://schemas.microsoft.com/office/drawing/2014/main" id="{B971A904-7280-4C1D-AFDC-95098855DD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17" name="x_Picture 1" descr="Description: cid:image001.png@01D03949.49457930">
          <a:extLst>
            <a:ext uri="{FF2B5EF4-FFF2-40B4-BE49-F238E27FC236}">
              <a16:creationId xmlns:a16="http://schemas.microsoft.com/office/drawing/2014/main" id="{B657A65E-5E67-41FA-B3B3-7053A0A36C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18" name="x_Picture 1" descr="Description: cid:image001.png@01D03949.49457930">
          <a:extLst>
            <a:ext uri="{FF2B5EF4-FFF2-40B4-BE49-F238E27FC236}">
              <a16:creationId xmlns:a16="http://schemas.microsoft.com/office/drawing/2014/main" id="{EEB246B4-35B7-4144-BF70-F20318FBE4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19" name="x_Picture 1" descr="Description: cid:image001.png@01D03949.49457930">
          <a:extLst>
            <a:ext uri="{FF2B5EF4-FFF2-40B4-BE49-F238E27FC236}">
              <a16:creationId xmlns:a16="http://schemas.microsoft.com/office/drawing/2014/main" id="{FB06EC02-87D6-451E-BC46-3ADEA87BE2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20" name="x_Picture 1" descr="Description: cid:image001.png@01D03949.49457930">
          <a:extLst>
            <a:ext uri="{FF2B5EF4-FFF2-40B4-BE49-F238E27FC236}">
              <a16:creationId xmlns:a16="http://schemas.microsoft.com/office/drawing/2014/main" id="{CB8B1859-C344-452A-94BD-69E4ABEC81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21" name="x_Picture 1" descr="Description: cid:image001.png@01D03949.49457930">
          <a:extLst>
            <a:ext uri="{FF2B5EF4-FFF2-40B4-BE49-F238E27FC236}">
              <a16:creationId xmlns:a16="http://schemas.microsoft.com/office/drawing/2014/main" id="{754A0261-0D47-48BA-8D5B-CC28E1D13C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22" name="x_Picture 1" descr="Description: cid:image001.png@01D03949.49457930">
          <a:extLst>
            <a:ext uri="{FF2B5EF4-FFF2-40B4-BE49-F238E27FC236}">
              <a16:creationId xmlns:a16="http://schemas.microsoft.com/office/drawing/2014/main" id="{85A740B8-2917-48A1-B051-F79FEBD423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23" name="x_Picture 1" descr="Description: cid:image001.png@01D03949.49457930">
          <a:extLst>
            <a:ext uri="{FF2B5EF4-FFF2-40B4-BE49-F238E27FC236}">
              <a16:creationId xmlns:a16="http://schemas.microsoft.com/office/drawing/2014/main" id="{0810F75C-6B81-4EA7-A615-72768DAA91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24" name="x_Picture 1" descr="Description: cid:image001.png@01D03949.49457930">
          <a:extLst>
            <a:ext uri="{FF2B5EF4-FFF2-40B4-BE49-F238E27FC236}">
              <a16:creationId xmlns:a16="http://schemas.microsoft.com/office/drawing/2014/main" id="{4F1441F1-84F8-42CD-964C-272CA8F952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25" name="x_Picture 1" descr="Description: cid:image001.png@01D03949.49457930">
          <a:extLst>
            <a:ext uri="{FF2B5EF4-FFF2-40B4-BE49-F238E27FC236}">
              <a16:creationId xmlns:a16="http://schemas.microsoft.com/office/drawing/2014/main" id="{817B5EFC-5327-41ED-A75F-1FBD4E09337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26" name="x_Picture 1" descr="Description: cid:image001.png@01D03949.49457930">
          <a:extLst>
            <a:ext uri="{FF2B5EF4-FFF2-40B4-BE49-F238E27FC236}">
              <a16:creationId xmlns:a16="http://schemas.microsoft.com/office/drawing/2014/main" id="{95661DCF-7477-465A-84DE-1B959B367C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39</xdr:row>
      <xdr:rowOff>0</xdr:rowOff>
    </xdr:from>
    <xdr:ext cx="279605" cy="315045"/>
    <xdr:sp macro="" textlink="">
      <xdr:nvSpPr>
        <xdr:cNvPr id="4127" name="x_Picture 1" descr="Description: cid:image001.png@01D03949.49457930">
          <a:extLst>
            <a:ext uri="{FF2B5EF4-FFF2-40B4-BE49-F238E27FC236}">
              <a16:creationId xmlns:a16="http://schemas.microsoft.com/office/drawing/2014/main" id="{78056803-142E-4F77-B4A4-2A77C98C3C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28" name="x_Picture 1" descr="Description: cid:image001.png@01D03949.49457930">
          <a:extLst>
            <a:ext uri="{FF2B5EF4-FFF2-40B4-BE49-F238E27FC236}">
              <a16:creationId xmlns:a16="http://schemas.microsoft.com/office/drawing/2014/main" id="{ADF3EA25-F77E-4398-944A-A4A039250D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29" name="x_Picture 1" descr="Description: cid:image001.png@01D03949.49457930">
          <a:extLst>
            <a:ext uri="{FF2B5EF4-FFF2-40B4-BE49-F238E27FC236}">
              <a16:creationId xmlns:a16="http://schemas.microsoft.com/office/drawing/2014/main" id="{43A1A20A-749B-4D14-B52A-32B10C541D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30" name="x_Picture 1" descr="Description: cid:image001.png@01D03949.49457930">
          <a:extLst>
            <a:ext uri="{FF2B5EF4-FFF2-40B4-BE49-F238E27FC236}">
              <a16:creationId xmlns:a16="http://schemas.microsoft.com/office/drawing/2014/main" id="{27B67CAA-EFB6-4371-8C78-16924E13B4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31" name="x_Picture 1" descr="Description: cid:image001.png@01D03949.49457930">
          <a:extLst>
            <a:ext uri="{FF2B5EF4-FFF2-40B4-BE49-F238E27FC236}">
              <a16:creationId xmlns:a16="http://schemas.microsoft.com/office/drawing/2014/main" id="{D16A8C03-D971-477B-B214-96A22F7D119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32" name="x_Picture 1" descr="Description: cid:image001.png@01D03949.49457930">
          <a:extLst>
            <a:ext uri="{FF2B5EF4-FFF2-40B4-BE49-F238E27FC236}">
              <a16:creationId xmlns:a16="http://schemas.microsoft.com/office/drawing/2014/main" id="{F3CCDFA4-8578-4B6A-B631-817D1F5B49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33" name="x_Picture 1" descr="Description: cid:image001.png@01D03949.49457930">
          <a:extLst>
            <a:ext uri="{FF2B5EF4-FFF2-40B4-BE49-F238E27FC236}">
              <a16:creationId xmlns:a16="http://schemas.microsoft.com/office/drawing/2014/main" id="{972EEA67-ABC8-499F-A8FA-9966BF5F8A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34" name="x_Picture 1" descr="Description: cid:image001.png@01D03949.49457930">
          <a:extLst>
            <a:ext uri="{FF2B5EF4-FFF2-40B4-BE49-F238E27FC236}">
              <a16:creationId xmlns:a16="http://schemas.microsoft.com/office/drawing/2014/main" id="{B3A4F01B-9426-4BF2-9C8C-9593201845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35" name="x_Picture 1" descr="Description: cid:image001.png@01D03949.49457930">
          <a:extLst>
            <a:ext uri="{FF2B5EF4-FFF2-40B4-BE49-F238E27FC236}">
              <a16:creationId xmlns:a16="http://schemas.microsoft.com/office/drawing/2014/main" id="{F7AA03CC-F502-47DC-8BCF-AD9363EF54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36" name="x_Picture 1" descr="Description: cid:image001.png@01D03949.49457930">
          <a:extLst>
            <a:ext uri="{FF2B5EF4-FFF2-40B4-BE49-F238E27FC236}">
              <a16:creationId xmlns:a16="http://schemas.microsoft.com/office/drawing/2014/main" id="{595D7BD2-F818-4E47-B10E-F9588D6AEBF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39</xdr:row>
      <xdr:rowOff>0</xdr:rowOff>
    </xdr:from>
    <xdr:ext cx="279605" cy="315045"/>
    <xdr:sp macro="" textlink="">
      <xdr:nvSpPr>
        <xdr:cNvPr id="4137" name="x_Picture 1" descr="Description: cid:image001.png@01D03949.49457930">
          <a:extLst>
            <a:ext uri="{FF2B5EF4-FFF2-40B4-BE49-F238E27FC236}">
              <a16:creationId xmlns:a16="http://schemas.microsoft.com/office/drawing/2014/main" id="{20140A03-7F9D-485D-BC89-4827A43ED0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38" name="x_Picture 1" descr="Description: cid:image001.png@01D03949.49457930">
          <a:extLst>
            <a:ext uri="{FF2B5EF4-FFF2-40B4-BE49-F238E27FC236}">
              <a16:creationId xmlns:a16="http://schemas.microsoft.com/office/drawing/2014/main" id="{20ED726F-6EBF-474A-9707-CBD2D048B7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39" name="x_Picture 1" descr="Description: cid:image001.png@01D03949.49457930">
          <a:extLst>
            <a:ext uri="{FF2B5EF4-FFF2-40B4-BE49-F238E27FC236}">
              <a16:creationId xmlns:a16="http://schemas.microsoft.com/office/drawing/2014/main" id="{B2F5E6AD-8057-428B-B1CB-3E687EBE5F3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0" name="x_Picture 1" descr="Description: cid:image001.png@01D03949.49457930">
          <a:extLst>
            <a:ext uri="{FF2B5EF4-FFF2-40B4-BE49-F238E27FC236}">
              <a16:creationId xmlns:a16="http://schemas.microsoft.com/office/drawing/2014/main" id="{7A4A5907-87EA-4D7E-9A85-1AA6BFF05C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1" name="x_Picture 1" descr="Description: cid:image001.png@01D03949.49457930">
          <a:extLst>
            <a:ext uri="{FF2B5EF4-FFF2-40B4-BE49-F238E27FC236}">
              <a16:creationId xmlns:a16="http://schemas.microsoft.com/office/drawing/2014/main" id="{1DC32CCB-6645-4633-A688-7FFD1A4CE8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2" name="x_Picture 1" descr="Description: cid:image001.png@01D03949.49457930">
          <a:extLst>
            <a:ext uri="{FF2B5EF4-FFF2-40B4-BE49-F238E27FC236}">
              <a16:creationId xmlns:a16="http://schemas.microsoft.com/office/drawing/2014/main" id="{AF0C1AEE-2864-400D-BEAF-F2BCEECF40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3" name="x_Picture 1" descr="Description: cid:image001.png@01D03949.49457930">
          <a:extLst>
            <a:ext uri="{FF2B5EF4-FFF2-40B4-BE49-F238E27FC236}">
              <a16:creationId xmlns:a16="http://schemas.microsoft.com/office/drawing/2014/main" id="{94940298-365B-4F56-AA67-38A6581368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4" name="x_Picture 1" descr="Description: cid:image001.png@01D03949.49457930">
          <a:extLst>
            <a:ext uri="{FF2B5EF4-FFF2-40B4-BE49-F238E27FC236}">
              <a16:creationId xmlns:a16="http://schemas.microsoft.com/office/drawing/2014/main" id="{ACA24C1B-9645-4FDA-A4C7-3B45E4B959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5" name="x_Picture 1" descr="Description: cid:image001.png@01D03949.49457930">
          <a:extLst>
            <a:ext uri="{FF2B5EF4-FFF2-40B4-BE49-F238E27FC236}">
              <a16:creationId xmlns:a16="http://schemas.microsoft.com/office/drawing/2014/main" id="{D0D37028-AA80-4DC7-80B1-777C7126A7A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6" name="x_Picture 1" descr="Description: cid:image001.png@01D03949.49457930">
          <a:extLst>
            <a:ext uri="{FF2B5EF4-FFF2-40B4-BE49-F238E27FC236}">
              <a16:creationId xmlns:a16="http://schemas.microsoft.com/office/drawing/2014/main" id="{62A32338-DD31-407B-98CB-E950F1FAE4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7" name="x_Picture 1" descr="Description: cid:image001.png@01D03949.49457930">
          <a:extLst>
            <a:ext uri="{FF2B5EF4-FFF2-40B4-BE49-F238E27FC236}">
              <a16:creationId xmlns:a16="http://schemas.microsoft.com/office/drawing/2014/main" id="{853768F9-6589-4FAA-9FAE-5741410401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8" name="x_Picture 1" descr="Description: cid:image001.png@01D03949.49457930">
          <a:extLst>
            <a:ext uri="{FF2B5EF4-FFF2-40B4-BE49-F238E27FC236}">
              <a16:creationId xmlns:a16="http://schemas.microsoft.com/office/drawing/2014/main" id="{D5770563-C667-4DB1-8A9F-FFF246574F5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49" name="x_Picture 1" descr="Description: cid:image001.png@01D03949.49457930">
          <a:extLst>
            <a:ext uri="{FF2B5EF4-FFF2-40B4-BE49-F238E27FC236}">
              <a16:creationId xmlns:a16="http://schemas.microsoft.com/office/drawing/2014/main" id="{F6602818-91B7-421A-B993-C1DC7F1F85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50" name="x_Picture 1" descr="Description: cid:image001.png@01D03949.49457930">
          <a:extLst>
            <a:ext uri="{FF2B5EF4-FFF2-40B4-BE49-F238E27FC236}">
              <a16:creationId xmlns:a16="http://schemas.microsoft.com/office/drawing/2014/main" id="{60835179-6AD5-4283-9577-45E8B17EEE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51" name="x_Picture 1" descr="Description: cid:image001.png@01D03949.49457930">
          <a:extLst>
            <a:ext uri="{FF2B5EF4-FFF2-40B4-BE49-F238E27FC236}">
              <a16:creationId xmlns:a16="http://schemas.microsoft.com/office/drawing/2014/main" id="{34B2D0FB-DB7B-4038-8C1D-DA259F6A80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52" name="x_Picture 1" descr="Description: cid:image001.png@01D03949.49457930">
          <a:extLst>
            <a:ext uri="{FF2B5EF4-FFF2-40B4-BE49-F238E27FC236}">
              <a16:creationId xmlns:a16="http://schemas.microsoft.com/office/drawing/2014/main" id="{CF34AF27-3FF5-45AE-811D-70DFF9C735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53" name="x_Picture 1" descr="Description: cid:image001.png@01D03949.49457930">
          <a:extLst>
            <a:ext uri="{FF2B5EF4-FFF2-40B4-BE49-F238E27FC236}">
              <a16:creationId xmlns:a16="http://schemas.microsoft.com/office/drawing/2014/main" id="{CE414570-5D0E-4B6E-B2DE-A0787CE7FB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54" name="x_Picture 1" descr="Description: cid:image001.png@01D03949.49457930">
          <a:extLst>
            <a:ext uri="{FF2B5EF4-FFF2-40B4-BE49-F238E27FC236}">
              <a16:creationId xmlns:a16="http://schemas.microsoft.com/office/drawing/2014/main" id="{40305BB2-19D7-4ECA-846C-72355EC409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55" name="x_Picture 1" descr="Description: cid:image001.png@01D03949.49457930">
          <a:extLst>
            <a:ext uri="{FF2B5EF4-FFF2-40B4-BE49-F238E27FC236}">
              <a16:creationId xmlns:a16="http://schemas.microsoft.com/office/drawing/2014/main" id="{CAEF3CA6-E8AA-48C4-91D9-CAA3B6AFDD8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56" name="x_Picture 1" descr="Description: cid:image001.png@01D03949.49457930">
          <a:extLst>
            <a:ext uri="{FF2B5EF4-FFF2-40B4-BE49-F238E27FC236}">
              <a16:creationId xmlns:a16="http://schemas.microsoft.com/office/drawing/2014/main" id="{84B31186-2B66-4A11-9A3E-4FF718C807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57" name="x_Picture 1" descr="Description: cid:image001.png@01D03949.49457930">
          <a:extLst>
            <a:ext uri="{FF2B5EF4-FFF2-40B4-BE49-F238E27FC236}">
              <a16:creationId xmlns:a16="http://schemas.microsoft.com/office/drawing/2014/main" id="{306FB72A-FBEA-4B2B-A839-629AAE1004A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58" name="x_Picture 1" descr="Description: cid:image001.png@01D03949.49457930">
          <a:extLst>
            <a:ext uri="{FF2B5EF4-FFF2-40B4-BE49-F238E27FC236}">
              <a16:creationId xmlns:a16="http://schemas.microsoft.com/office/drawing/2014/main" id="{0E5843B4-DB9F-4E16-BE3E-E5A48376B07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59" name="x_Picture 1" descr="Description: cid:image001.png@01D03949.49457930">
          <a:extLst>
            <a:ext uri="{FF2B5EF4-FFF2-40B4-BE49-F238E27FC236}">
              <a16:creationId xmlns:a16="http://schemas.microsoft.com/office/drawing/2014/main" id="{72C5E2F1-C50C-4B72-B095-F94E7F0CD9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60" name="x_Picture 1" descr="Description: cid:image001.png@01D03949.49457930">
          <a:extLst>
            <a:ext uri="{FF2B5EF4-FFF2-40B4-BE49-F238E27FC236}">
              <a16:creationId xmlns:a16="http://schemas.microsoft.com/office/drawing/2014/main" id="{1CC310DC-E4FD-49F5-81D4-408B2EF338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61" name="x_Picture 1" descr="Description: cid:image001.png@01D03949.49457930">
          <a:extLst>
            <a:ext uri="{FF2B5EF4-FFF2-40B4-BE49-F238E27FC236}">
              <a16:creationId xmlns:a16="http://schemas.microsoft.com/office/drawing/2014/main" id="{53AB00DC-0C6E-481B-AF2E-C27983AA1A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62" name="x_Picture 1" descr="Description: cid:image001.png@01D03949.49457930">
          <a:extLst>
            <a:ext uri="{FF2B5EF4-FFF2-40B4-BE49-F238E27FC236}">
              <a16:creationId xmlns:a16="http://schemas.microsoft.com/office/drawing/2014/main" id="{B8222717-DC24-4BD9-8A13-FEE0FB06CF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63" name="x_Picture 1" descr="Description: cid:image001.png@01D03949.49457930">
          <a:extLst>
            <a:ext uri="{FF2B5EF4-FFF2-40B4-BE49-F238E27FC236}">
              <a16:creationId xmlns:a16="http://schemas.microsoft.com/office/drawing/2014/main" id="{68CECBBE-697C-4C33-8987-65EDA4CB34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64" name="x_Picture 1" descr="Description: cid:image001.png@01D03949.49457930">
          <a:extLst>
            <a:ext uri="{FF2B5EF4-FFF2-40B4-BE49-F238E27FC236}">
              <a16:creationId xmlns:a16="http://schemas.microsoft.com/office/drawing/2014/main" id="{90460939-A414-49F3-9E39-0F487C512E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65" name="x_Picture 1" descr="Description: cid:image001.png@01D03949.49457930">
          <a:extLst>
            <a:ext uri="{FF2B5EF4-FFF2-40B4-BE49-F238E27FC236}">
              <a16:creationId xmlns:a16="http://schemas.microsoft.com/office/drawing/2014/main" id="{A1B6D3B2-B5B4-4045-8F04-9019963614B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66" name="x_Picture 1" descr="Description: cid:image001.png@01D03949.49457930">
          <a:extLst>
            <a:ext uri="{FF2B5EF4-FFF2-40B4-BE49-F238E27FC236}">
              <a16:creationId xmlns:a16="http://schemas.microsoft.com/office/drawing/2014/main" id="{D5CF5D57-5631-426D-8F02-AA5638E1A8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67" name="x_Picture 1" descr="Description: cid:image001.png@01D03949.49457930">
          <a:extLst>
            <a:ext uri="{FF2B5EF4-FFF2-40B4-BE49-F238E27FC236}">
              <a16:creationId xmlns:a16="http://schemas.microsoft.com/office/drawing/2014/main" id="{C318286B-73E9-4746-BE4A-AABC1235D1A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68" name="x_Picture 1" descr="Description: cid:image001.png@01D03949.49457930">
          <a:extLst>
            <a:ext uri="{FF2B5EF4-FFF2-40B4-BE49-F238E27FC236}">
              <a16:creationId xmlns:a16="http://schemas.microsoft.com/office/drawing/2014/main" id="{35BA845C-A1ED-4ED8-B91B-FEA2435B1F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69" name="x_Picture 1" descr="Description: cid:image001.png@01D03949.49457930">
          <a:extLst>
            <a:ext uri="{FF2B5EF4-FFF2-40B4-BE49-F238E27FC236}">
              <a16:creationId xmlns:a16="http://schemas.microsoft.com/office/drawing/2014/main" id="{6CE9BE31-B24F-4728-8E6B-BB12B3BB5D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70" name="x_Picture 1" descr="Description: cid:image001.png@01D03949.49457930">
          <a:extLst>
            <a:ext uri="{FF2B5EF4-FFF2-40B4-BE49-F238E27FC236}">
              <a16:creationId xmlns:a16="http://schemas.microsoft.com/office/drawing/2014/main" id="{7D2D32AC-68E1-45A9-B8DF-EEE078891B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71" name="x_Picture 1" descr="Description: cid:image001.png@01D03949.49457930">
          <a:extLst>
            <a:ext uri="{FF2B5EF4-FFF2-40B4-BE49-F238E27FC236}">
              <a16:creationId xmlns:a16="http://schemas.microsoft.com/office/drawing/2014/main" id="{CB2C36A9-EDB1-43BF-8C7B-6DEDD56315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72" name="x_Picture 1" descr="Description: cid:image001.png@01D03949.49457930">
          <a:extLst>
            <a:ext uri="{FF2B5EF4-FFF2-40B4-BE49-F238E27FC236}">
              <a16:creationId xmlns:a16="http://schemas.microsoft.com/office/drawing/2014/main" id="{93FEB38D-1795-4979-9A4D-AE84F90F47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73" name="x_Picture 1" descr="Description: cid:image001.png@01D03949.49457930">
          <a:extLst>
            <a:ext uri="{FF2B5EF4-FFF2-40B4-BE49-F238E27FC236}">
              <a16:creationId xmlns:a16="http://schemas.microsoft.com/office/drawing/2014/main" id="{B1F4E661-0F65-4286-AD60-E4B5BB938B2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74" name="x_Picture 1" descr="Description: cid:image001.png@01D03949.49457930">
          <a:extLst>
            <a:ext uri="{FF2B5EF4-FFF2-40B4-BE49-F238E27FC236}">
              <a16:creationId xmlns:a16="http://schemas.microsoft.com/office/drawing/2014/main" id="{44EFA8B7-AE69-4097-9300-86B2AEFD804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75" name="x_Picture 1" descr="Description: cid:image001.png@01D03949.49457930">
          <a:extLst>
            <a:ext uri="{FF2B5EF4-FFF2-40B4-BE49-F238E27FC236}">
              <a16:creationId xmlns:a16="http://schemas.microsoft.com/office/drawing/2014/main" id="{9BE59DDB-28C0-4DB1-A6E2-3A39E41B67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76" name="x_Picture 1" descr="Description: cid:image001.png@01D03949.49457930">
          <a:extLst>
            <a:ext uri="{FF2B5EF4-FFF2-40B4-BE49-F238E27FC236}">
              <a16:creationId xmlns:a16="http://schemas.microsoft.com/office/drawing/2014/main" id="{8E4E84B9-EF84-4E3B-9801-85E6AFAF14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77" name="x_Picture 1" descr="Description: cid:image001.png@01D03949.49457930">
          <a:extLst>
            <a:ext uri="{FF2B5EF4-FFF2-40B4-BE49-F238E27FC236}">
              <a16:creationId xmlns:a16="http://schemas.microsoft.com/office/drawing/2014/main" id="{2507C538-D9D5-4B65-8175-EDD1E43DDC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78" name="x_Picture 1" descr="Description: cid:image001.png@01D03949.49457930">
          <a:extLst>
            <a:ext uri="{FF2B5EF4-FFF2-40B4-BE49-F238E27FC236}">
              <a16:creationId xmlns:a16="http://schemas.microsoft.com/office/drawing/2014/main" id="{20FB1569-F043-4C84-9A0B-A9E7D25F8B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79" name="x_Picture 1" descr="Description: cid:image001.png@01D03949.49457930">
          <a:extLst>
            <a:ext uri="{FF2B5EF4-FFF2-40B4-BE49-F238E27FC236}">
              <a16:creationId xmlns:a16="http://schemas.microsoft.com/office/drawing/2014/main" id="{2030A6F2-354E-4ED4-9104-9265F0DBD1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80" name="x_Picture 1" descr="Description: cid:image001.png@01D03949.49457930">
          <a:extLst>
            <a:ext uri="{FF2B5EF4-FFF2-40B4-BE49-F238E27FC236}">
              <a16:creationId xmlns:a16="http://schemas.microsoft.com/office/drawing/2014/main" id="{4D0969F0-8316-41F7-8083-DF22911301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81" name="x_Picture 1" descr="Description: cid:image001.png@01D03949.49457930">
          <a:extLst>
            <a:ext uri="{FF2B5EF4-FFF2-40B4-BE49-F238E27FC236}">
              <a16:creationId xmlns:a16="http://schemas.microsoft.com/office/drawing/2014/main" id="{DB499454-DD38-489E-A5D4-5D4F4170124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82" name="x_Picture 1" descr="Description: cid:image001.png@01D03949.49457930">
          <a:extLst>
            <a:ext uri="{FF2B5EF4-FFF2-40B4-BE49-F238E27FC236}">
              <a16:creationId xmlns:a16="http://schemas.microsoft.com/office/drawing/2014/main" id="{BDCBD353-2AE1-41F3-96CE-B07419AC81E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83" name="x_Picture 1" descr="Description: cid:image001.png@01D03949.49457930">
          <a:extLst>
            <a:ext uri="{FF2B5EF4-FFF2-40B4-BE49-F238E27FC236}">
              <a16:creationId xmlns:a16="http://schemas.microsoft.com/office/drawing/2014/main" id="{CC4A7233-2CDA-4A94-BF2F-C940761008B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84" name="x_Picture 1" descr="Description: cid:image001.png@01D03949.49457930">
          <a:extLst>
            <a:ext uri="{FF2B5EF4-FFF2-40B4-BE49-F238E27FC236}">
              <a16:creationId xmlns:a16="http://schemas.microsoft.com/office/drawing/2014/main" id="{4DA9A67C-65DF-407F-9F56-8CBACAE5CC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85" name="x_Picture 1" descr="Description: cid:image001.png@01D03949.49457930">
          <a:extLst>
            <a:ext uri="{FF2B5EF4-FFF2-40B4-BE49-F238E27FC236}">
              <a16:creationId xmlns:a16="http://schemas.microsoft.com/office/drawing/2014/main" id="{DF74E5DE-1E14-4318-92DC-29AE78AA3F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86" name="x_Picture 1" descr="Description: cid:image001.png@01D03949.49457930">
          <a:extLst>
            <a:ext uri="{FF2B5EF4-FFF2-40B4-BE49-F238E27FC236}">
              <a16:creationId xmlns:a16="http://schemas.microsoft.com/office/drawing/2014/main" id="{8610442A-ED4D-4844-BF99-2E242B75B8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87" name="x_Picture 1" descr="Description: cid:image001.png@01D03949.49457930">
          <a:extLst>
            <a:ext uri="{FF2B5EF4-FFF2-40B4-BE49-F238E27FC236}">
              <a16:creationId xmlns:a16="http://schemas.microsoft.com/office/drawing/2014/main" id="{47557C55-52C7-411A-9265-8094DF36C5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188" name="x_Picture 1" descr="Description: cid:image001.png@01D03949.49457930">
          <a:extLst>
            <a:ext uri="{FF2B5EF4-FFF2-40B4-BE49-F238E27FC236}">
              <a16:creationId xmlns:a16="http://schemas.microsoft.com/office/drawing/2014/main" id="{888844DB-C4B0-4D28-95ED-997A55D6E3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89" name="x_Picture 1" descr="Description: cid:image001.png@01D03949.49457930">
          <a:extLst>
            <a:ext uri="{FF2B5EF4-FFF2-40B4-BE49-F238E27FC236}">
              <a16:creationId xmlns:a16="http://schemas.microsoft.com/office/drawing/2014/main" id="{94DBE728-F5C1-450B-BA13-A8397DFB2D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90" name="x_Picture 1" descr="Description: cid:image001.png@01D03949.49457930">
          <a:extLst>
            <a:ext uri="{FF2B5EF4-FFF2-40B4-BE49-F238E27FC236}">
              <a16:creationId xmlns:a16="http://schemas.microsoft.com/office/drawing/2014/main" id="{A959876F-BC7C-4278-B469-0CFDB3B110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91" name="x_Picture 1" descr="Description: cid:image001.png@01D03949.49457930">
          <a:extLst>
            <a:ext uri="{FF2B5EF4-FFF2-40B4-BE49-F238E27FC236}">
              <a16:creationId xmlns:a16="http://schemas.microsoft.com/office/drawing/2014/main" id="{06F44ECA-A00F-47CD-9303-E6DEC975B7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192" name="x_Picture 1" descr="Description: cid:image001.png@01D03949.49457930">
          <a:extLst>
            <a:ext uri="{FF2B5EF4-FFF2-40B4-BE49-F238E27FC236}">
              <a16:creationId xmlns:a16="http://schemas.microsoft.com/office/drawing/2014/main" id="{EE4B2253-90C1-49DB-8AAA-8085E5FF3C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193" name="x_Picture 1" descr="Description: cid:image001.png@01D03949.49457930">
          <a:extLst>
            <a:ext uri="{FF2B5EF4-FFF2-40B4-BE49-F238E27FC236}">
              <a16:creationId xmlns:a16="http://schemas.microsoft.com/office/drawing/2014/main" id="{142E4563-6481-4885-A072-C89FE7C703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194" name="x_Picture 1" descr="Description: cid:image001.png@01D03949.49457930">
          <a:extLst>
            <a:ext uri="{FF2B5EF4-FFF2-40B4-BE49-F238E27FC236}">
              <a16:creationId xmlns:a16="http://schemas.microsoft.com/office/drawing/2014/main" id="{F208F5D2-9C9B-4B96-AD0D-EDB55BA7ED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195" name="x_Picture 1" descr="Description: cid:image001.png@01D03949.49457930">
          <a:extLst>
            <a:ext uri="{FF2B5EF4-FFF2-40B4-BE49-F238E27FC236}">
              <a16:creationId xmlns:a16="http://schemas.microsoft.com/office/drawing/2014/main" id="{32C642BC-BF83-4606-908C-FD4241A5B7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196" name="x_Picture 1" descr="Description: cid:image001.png@01D03949.49457930">
          <a:extLst>
            <a:ext uri="{FF2B5EF4-FFF2-40B4-BE49-F238E27FC236}">
              <a16:creationId xmlns:a16="http://schemas.microsoft.com/office/drawing/2014/main" id="{A97EBE10-0F98-4517-8445-057BB84453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97" name="x_Picture 1" descr="Description: cid:image001.png@01D03949.49457930">
          <a:extLst>
            <a:ext uri="{FF2B5EF4-FFF2-40B4-BE49-F238E27FC236}">
              <a16:creationId xmlns:a16="http://schemas.microsoft.com/office/drawing/2014/main" id="{5374423B-0F3A-453A-9E32-7BDC887770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98" name="x_Picture 1" descr="Description: cid:image001.png@01D03949.49457930">
          <a:extLst>
            <a:ext uri="{FF2B5EF4-FFF2-40B4-BE49-F238E27FC236}">
              <a16:creationId xmlns:a16="http://schemas.microsoft.com/office/drawing/2014/main" id="{4667B10F-A71F-4491-99CD-B590A2F28F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199" name="x_Picture 1" descr="Description: cid:image001.png@01D03949.49457930">
          <a:extLst>
            <a:ext uri="{FF2B5EF4-FFF2-40B4-BE49-F238E27FC236}">
              <a16:creationId xmlns:a16="http://schemas.microsoft.com/office/drawing/2014/main" id="{D81C2436-2EBB-4AE9-BE70-C4588116E1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00" name="x_Picture 1" descr="Description: cid:image001.png@01D03949.49457930">
          <a:extLst>
            <a:ext uri="{FF2B5EF4-FFF2-40B4-BE49-F238E27FC236}">
              <a16:creationId xmlns:a16="http://schemas.microsoft.com/office/drawing/2014/main" id="{27D9734B-9AF2-4D82-9726-35F756877B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01" name="x_Picture 1" descr="Description: cid:image001.png@01D03949.49457930">
          <a:extLst>
            <a:ext uri="{FF2B5EF4-FFF2-40B4-BE49-F238E27FC236}">
              <a16:creationId xmlns:a16="http://schemas.microsoft.com/office/drawing/2014/main" id="{7CCF6215-D318-4EE2-83C4-1A1AEDDE07D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02" name="x_Picture 1" descr="Description: cid:image001.png@01D03949.49457930">
          <a:extLst>
            <a:ext uri="{FF2B5EF4-FFF2-40B4-BE49-F238E27FC236}">
              <a16:creationId xmlns:a16="http://schemas.microsoft.com/office/drawing/2014/main" id="{60481F5F-6431-435A-86BB-7145AE05D4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03" name="x_Picture 1" descr="Description: cid:image001.png@01D03949.49457930">
          <a:extLst>
            <a:ext uri="{FF2B5EF4-FFF2-40B4-BE49-F238E27FC236}">
              <a16:creationId xmlns:a16="http://schemas.microsoft.com/office/drawing/2014/main" id="{5D3898B6-840F-4E1E-9457-39861C3AED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04" name="x_Picture 1" descr="Description: cid:image001.png@01D03949.49457930">
          <a:extLst>
            <a:ext uri="{FF2B5EF4-FFF2-40B4-BE49-F238E27FC236}">
              <a16:creationId xmlns:a16="http://schemas.microsoft.com/office/drawing/2014/main" id="{C1F17DA4-1E35-4B85-A066-C8AA5043C3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05" name="x_Picture 1" descr="Description: cid:image001.png@01D03949.49457930">
          <a:extLst>
            <a:ext uri="{FF2B5EF4-FFF2-40B4-BE49-F238E27FC236}">
              <a16:creationId xmlns:a16="http://schemas.microsoft.com/office/drawing/2014/main" id="{D262A9D7-CB55-4FC7-8C84-DE3A1F1EE5D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06" name="x_Picture 1" descr="Description: cid:image001.png@01D03949.49457930">
          <a:extLst>
            <a:ext uri="{FF2B5EF4-FFF2-40B4-BE49-F238E27FC236}">
              <a16:creationId xmlns:a16="http://schemas.microsoft.com/office/drawing/2014/main" id="{307DE4B1-5D67-42AF-AAEC-33C95BF6B5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07" name="x_Picture 1" descr="Description: cid:image001.png@01D03949.49457930">
          <a:extLst>
            <a:ext uri="{FF2B5EF4-FFF2-40B4-BE49-F238E27FC236}">
              <a16:creationId xmlns:a16="http://schemas.microsoft.com/office/drawing/2014/main" id="{E88C194C-264C-4E9A-8582-D152F9F74A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08" name="x_Picture 1" descr="Description: cid:image001.png@01D03949.49457930">
          <a:extLst>
            <a:ext uri="{FF2B5EF4-FFF2-40B4-BE49-F238E27FC236}">
              <a16:creationId xmlns:a16="http://schemas.microsoft.com/office/drawing/2014/main" id="{A08F7C62-172C-4CEC-B38C-14AE8D0A24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09" name="x_Picture 1" descr="Description: cid:image001.png@01D03949.49457930">
          <a:extLst>
            <a:ext uri="{FF2B5EF4-FFF2-40B4-BE49-F238E27FC236}">
              <a16:creationId xmlns:a16="http://schemas.microsoft.com/office/drawing/2014/main" id="{F926D366-90E4-486F-8CED-58224F723B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10" name="x_Picture 1" descr="Description: cid:image001.png@01D03949.49457930">
          <a:extLst>
            <a:ext uri="{FF2B5EF4-FFF2-40B4-BE49-F238E27FC236}">
              <a16:creationId xmlns:a16="http://schemas.microsoft.com/office/drawing/2014/main" id="{1EA4D608-245F-476F-97E1-4FD086A7A6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11" name="x_Picture 1" descr="Description: cid:image001.png@01D03949.49457930">
          <a:extLst>
            <a:ext uri="{FF2B5EF4-FFF2-40B4-BE49-F238E27FC236}">
              <a16:creationId xmlns:a16="http://schemas.microsoft.com/office/drawing/2014/main" id="{A833E5BD-5F5D-4B93-BC7F-705436EB6C2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12" name="x_Picture 1" descr="Description: cid:image001.png@01D03949.49457930">
          <a:extLst>
            <a:ext uri="{FF2B5EF4-FFF2-40B4-BE49-F238E27FC236}">
              <a16:creationId xmlns:a16="http://schemas.microsoft.com/office/drawing/2014/main" id="{A5CAE3E5-DC8A-49B0-A2DC-534C02899F3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13" name="x_Picture 1" descr="Description: cid:image001.png@01D03949.49457930">
          <a:extLst>
            <a:ext uri="{FF2B5EF4-FFF2-40B4-BE49-F238E27FC236}">
              <a16:creationId xmlns:a16="http://schemas.microsoft.com/office/drawing/2014/main" id="{396BF158-659E-4184-8C57-B7CA246F60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14" name="x_Picture 1" descr="Description: cid:image001.png@01D03949.49457930">
          <a:extLst>
            <a:ext uri="{FF2B5EF4-FFF2-40B4-BE49-F238E27FC236}">
              <a16:creationId xmlns:a16="http://schemas.microsoft.com/office/drawing/2014/main" id="{7E8C7D78-E0BF-4FD7-86A0-98BE82AE7D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15" name="x_Picture 1" descr="Description: cid:image001.png@01D03949.49457930">
          <a:extLst>
            <a:ext uri="{FF2B5EF4-FFF2-40B4-BE49-F238E27FC236}">
              <a16:creationId xmlns:a16="http://schemas.microsoft.com/office/drawing/2014/main" id="{0D8C05E7-4540-4C71-88C0-B653702903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16" name="x_Picture 1" descr="Description: cid:image001.png@01D03949.49457930">
          <a:extLst>
            <a:ext uri="{FF2B5EF4-FFF2-40B4-BE49-F238E27FC236}">
              <a16:creationId xmlns:a16="http://schemas.microsoft.com/office/drawing/2014/main" id="{05790E2F-6038-4957-AAB6-9C4EE57E8E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17" name="x_Picture 1" descr="Description: cid:image001.png@01D03949.49457930">
          <a:extLst>
            <a:ext uri="{FF2B5EF4-FFF2-40B4-BE49-F238E27FC236}">
              <a16:creationId xmlns:a16="http://schemas.microsoft.com/office/drawing/2014/main" id="{2FF12AEA-BAB7-4CC1-82FF-E09F2841595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18" name="x_Picture 1" descr="Description: cid:image001.png@01D03949.49457930">
          <a:extLst>
            <a:ext uri="{FF2B5EF4-FFF2-40B4-BE49-F238E27FC236}">
              <a16:creationId xmlns:a16="http://schemas.microsoft.com/office/drawing/2014/main" id="{BACF548F-D5C4-4E59-9918-22CE77791C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219" name="x_Picture 1" descr="Description: cid:image001.png@01D03949.49457930">
          <a:extLst>
            <a:ext uri="{FF2B5EF4-FFF2-40B4-BE49-F238E27FC236}">
              <a16:creationId xmlns:a16="http://schemas.microsoft.com/office/drawing/2014/main" id="{82A23333-2C11-4B4C-B443-211A09A5583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220" name="x_Picture 1" descr="Description: cid:image001.png@01D03949.49457930">
          <a:extLst>
            <a:ext uri="{FF2B5EF4-FFF2-40B4-BE49-F238E27FC236}">
              <a16:creationId xmlns:a16="http://schemas.microsoft.com/office/drawing/2014/main" id="{021A88C3-89A1-446B-BB0E-A937186082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221" name="x_Picture 1" descr="Description: cid:image001.png@01D03949.49457930">
          <a:extLst>
            <a:ext uri="{FF2B5EF4-FFF2-40B4-BE49-F238E27FC236}">
              <a16:creationId xmlns:a16="http://schemas.microsoft.com/office/drawing/2014/main" id="{4DDA6BDD-C634-48C0-A5A7-C16A8D0DAA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222" name="x_Picture 1" descr="Description: cid:image001.png@01D03949.49457930">
          <a:extLst>
            <a:ext uri="{FF2B5EF4-FFF2-40B4-BE49-F238E27FC236}">
              <a16:creationId xmlns:a16="http://schemas.microsoft.com/office/drawing/2014/main" id="{BA2482FA-F929-4CEE-A014-FCBE804D07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223" name="x_Picture 1" descr="Description: cid:image001.png@01D03949.49457930">
          <a:extLst>
            <a:ext uri="{FF2B5EF4-FFF2-40B4-BE49-F238E27FC236}">
              <a16:creationId xmlns:a16="http://schemas.microsoft.com/office/drawing/2014/main" id="{A16A9C84-0110-4EED-B513-C6C7598808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224" name="x_Picture 1" descr="Description: cid:image001.png@01D03949.49457930">
          <a:extLst>
            <a:ext uri="{FF2B5EF4-FFF2-40B4-BE49-F238E27FC236}">
              <a16:creationId xmlns:a16="http://schemas.microsoft.com/office/drawing/2014/main" id="{1ECA9535-8477-45D9-A018-24D98017FC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225" name="x_Picture 1" descr="Description: cid:image001.png@01D03949.49457930">
          <a:extLst>
            <a:ext uri="{FF2B5EF4-FFF2-40B4-BE49-F238E27FC236}">
              <a16:creationId xmlns:a16="http://schemas.microsoft.com/office/drawing/2014/main" id="{11569B5E-757C-4A9F-835A-B8B859F807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26" name="x_Picture 1" descr="Description: cid:image001.png@01D03949.49457930">
          <a:extLst>
            <a:ext uri="{FF2B5EF4-FFF2-40B4-BE49-F238E27FC236}">
              <a16:creationId xmlns:a16="http://schemas.microsoft.com/office/drawing/2014/main" id="{48BBFD01-A4B5-44D1-90F9-02A1B8ADD5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27" name="x_Picture 1" descr="Description: cid:image001.png@01D03949.49457930">
          <a:extLst>
            <a:ext uri="{FF2B5EF4-FFF2-40B4-BE49-F238E27FC236}">
              <a16:creationId xmlns:a16="http://schemas.microsoft.com/office/drawing/2014/main" id="{ADDE3909-5229-4AB7-8121-1FE4A7616C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28" name="x_Picture 1" descr="Description: cid:image001.png@01D03949.49457930">
          <a:extLst>
            <a:ext uri="{FF2B5EF4-FFF2-40B4-BE49-F238E27FC236}">
              <a16:creationId xmlns:a16="http://schemas.microsoft.com/office/drawing/2014/main" id="{27441ED5-2489-45D5-A38D-9B03C1ACC0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29" name="x_Picture 1" descr="Description: cid:image001.png@01D03949.49457930">
          <a:extLst>
            <a:ext uri="{FF2B5EF4-FFF2-40B4-BE49-F238E27FC236}">
              <a16:creationId xmlns:a16="http://schemas.microsoft.com/office/drawing/2014/main" id="{18A16546-564A-406F-A770-A668FD8C42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30" name="x_Picture 1" descr="Description: cid:image001.png@01D03949.49457930">
          <a:extLst>
            <a:ext uri="{FF2B5EF4-FFF2-40B4-BE49-F238E27FC236}">
              <a16:creationId xmlns:a16="http://schemas.microsoft.com/office/drawing/2014/main" id="{DE5EC486-0AB3-4F2D-A925-58270D484EF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31" name="x_Picture 1" descr="Description: cid:image001.png@01D03949.49457930">
          <a:extLst>
            <a:ext uri="{FF2B5EF4-FFF2-40B4-BE49-F238E27FC236}">
              <a16:creationId xmlns:a16="http://schemas.microsoft.com/office/drawing/2014/main" id="{1ECC81C3-E702-46BE-BAC8-CB9D33DAE5B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32" name="x_Picture 1" descr="Description: cid:image001.png@01D03949.49457930">
          <a:extLst>
            <a:ext uri="{FF2B5EF4-FFF2-40B4-BE49-F238E27FC236}">
              <a16:creationId xmlns:a16="http://schemas.microsoft.com/office/drawing/2014/main" id="{92787E0B-A434-4898-B194-670F0FDCF0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33" name="x_Picture 1" descr="Description: cid:image001.png@01D03949.49457930">
          <a:extLst>
            <a:ext uri="{FF2B5EF4-FFF2-40B4-BE49-F238E27FC236}">
              <a16:creationId xmlns:a16="http://schemas.microsoft.com/office/drawing/2014/main" id="{5E78CBD6-7DA5-4132-8954-C5408C552F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34" name="x_Picture 1" descr="Description: cid:image001.png@01D03949.49457930">
          <a:extLst>
            <a:ext uri="{FF2B5EF4-FFF2-40B4-BE49-F238E27FC236}">
              <a16:creationId xmlns:a16="http://schemas.microsoft.com/office/drawing/2014/main" id="{BC704C96-922F-4B1C-82A9-EC69089A42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35" name="x_Picture 1" descr="Description: cid:image001.png@01D03949.49457930">
          <a:extLst>
            <a:ext uri="{FF2B5EF4-FFF2-40B4-BE49-F238E27FC236}">
              <a16:creationId xmlns:a16="http://schemas.microsoft.com/office/drawing/2014/main" id="{7EAD66D8-CFFB-480A-B2C2-F36DE1EABC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36" name="x_Picture 1" descr="Description: cid:image001.png@01D03949.49457930">
          <a:extLst>
            <a:ext uri="{FF2B5EF4-FFF2-40B4-BE49-F238E27FC236}">
              <a16:creationId xmlns:a16="http://schemas.microsoft.com/office/drawing/2014/main" id="{C27600A4-5AF4-4C7D-8F49-38FC8BE5B1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40</xdr:row>
      <xdr:rowOff>0</xdr:rowOff>
    </xdr:from>
    <xdr:ext cx="279605" cy="315045"/>
    <xdr:sp macro="" textlink="">
      <xdr:nvSpPr>
        <xdr:cNvPr id="4237" name="x_Picture 1" descr="Description: cid:image001.png@01D03949.49457930">
          <a:extLst>
            <a:ext uri="{FF2B5EF4-FFF2-40B4-BE49-F238E27FC236}">
              <a16:creationId xmlns:a16="http://schemas.microsoft.com/office/drawing/2014/main" id="{ECF7BA89-A333-429A-99A1-E095E7AD68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38" name="x_Picture 1" descr="Description: cid:image001.png@01D03949.49457930">
          <a:extLst>
            <a:ext uri="{FF2B5EF4-FFF2-40B4-BE49-F238E27FC236}">
              <a16:creationId xmlns:a16="http://schemas.microsoft.com/office/drawing/2014/main" id="{6B47A607-0971-4DFF-BFA8-291174583F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39" name="x_Picture 1" descr="Description: cid:image001.png@01D03949.49457930">
          <a:extLst>
            <a:ext uri="{FF2B5EF4-FFF2-40B4-BE49-F238E27FC236}">
              <a16:creationId xmlns:a16="http://schemas.microsoft.com/office/drawing/2014/main" id="{CAA0ABC6-4FCA-4FA8-AAEE-19A6988771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40" name="x_Picture 1" descr="Description: cid:image001.png@01D03949.49457930">
          <a:extLst>
            <a:ext uri="{FF2B5EF4-FFF2-40B4-BE49-F238E27FC236}">
              <a16:creationId xmlns:a16="http://schemas.microsoft.com/office/drawing/2014/main" id="{194F6C4B-6995-4851-A21A-E9CFEF0681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41" name="x_Picture 1" descr="Description: cid:image001.png@01D03949.49457930">
          <a:extLst>
            <a:ext uri="{FF2B5EF4-FFF2-40B4-BE49-F238E27FC236}">
              <a16:creationId xmlns:a16="http://schemas.microsoft.com/office/drawing/2014/main" id="{41750C2F-DF56-4E1B-B1C4-B2686ED4FA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42" name="x_Picture 1" descr="Description: cid:image001.png@01D03949.49457930">
          <a:extLst>
            <a:ext uri="{FF2B5EF4-FFF2-40B4-BE49-F238E27FC236}">
              <a16:creationId xmlns:a16="http://schemas.microsoft.com/office/drawing/2014/main" id="{226016CD-E2AA-4DE7-A53E-8CFEEBF075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43" name="x_Picture 1" descr="Description: cid:image001.png@01D03949.49457930">
          <a:extLst>
            <a:ext uri="{FF2B5EF4-FFF2-40B4-BE49-F238E27FC236}">
              <a16:creationId xmlns:a16="http://schemas.microsoft.com/office/drawing/2014/main" id="{DBBD01FB-505E-4E05-8143-B5C55A16E8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44" name="x_Picture 1" descr="Description: cid:image001.png@01D03949.49457930">
          <a:extLst>
            <a:ext uri="{FF2B5EF4-FFF2-40B4-BE49-F238E27FC236}">
              <a16:creationId xmlns:a16="http://schemas.microsoft.com/office/drawing/2014/main" id="{4CCBC823-2FD8-4540-B299-CF6B5F8641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45" name="x_Picture 1" descr="Description: cid:image001.png@01D03949.49457930">
          <a:extLst>
            <a:ext uri="{FF2B5EF4-FFF2-40B4-BE49-F238E27FC236}">
              <a16:creationId xmlns:a16="http://schemas.microsoft.com/office/drawing/2014/main" id="{9854EF61-32CF-4F77-83C9-0D1E2F5228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46" name="x_Picture 1" descr="Description: cid:image001.png@01D03949.49457930">
          <a:extLst>
            <a:ext uri="{FF2B5EF4-FFF2-40B4-BE49-F238E27FC236}">
              <a16:creationId xmlns:a16="http://schemas.microsoft.com/office/drawing/2014/main" id="{A5D6152E-A5AB-4E89-B25D-114B9D7423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40</xdr:row>
      <xdr:rowOff>0</xdr:rowOff>
    </xdr:from>
    <xdr:ext cx="279605" cy="315045"/>
    <xdr:sp macro="" textlink="">
      <xdr:nvSpPr>
        <xdr:cNvPr id="4247" name="x_Picture 1" descr="Description: cid:image001.png@01D03949.49457930">
          <a:extLst>
            <a:ext uri="{FF2B5EF4-FFF2-40B4-BE49-F238E27FC236}">
              <a16:creationId xmlns:a16="http://schemas.microsoft.com/office/drawing/2014/main" id="{A1BB1BBF-2B66-487F-BCC8-2D0092DB61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48" name="x_Picture 1" descr="Description: cid:image001.png@01D03949.49457930">
          <a:extLst>
            <a:ext uri="{FF2B5EF4-FFF2-40B4-BE49-F238E27FC236}">
              <a16:creationId xmlns:a16="http://schemas.microsoft.com/office/drawing/2014/main" id="{47F9BEA6-C76B-4F3D-B69B-2AB9AED3B7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49" name="x_Picture 1" descr="Description: cid:image001.png@01D03949.49457930">
          <a:extLst>
            <a:ext uri="{FF2B5EF4-FFF2-40B4-BE49-F238E27FC236}">
              <a16:creationId xmlns:a16="http://schemas.microsoft.com/office/drawing/2014/main" id="{56C33539-A6A7-4575-BAD7-5FEC997194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0" name="x_Picture 1" descr="Description: cid:image001.png@01D03949.49457930">
          <a:extLst>
            <a:ext uri="{FF2B5EF4-FFF2-40B4-BE49-F238E27FC236}">
              <a16:creationId xmlns:a16="http://schemas.microsoft.com/office/drawing/2014/main" id="{9580C12B-8F84-4EAE-9309-3336FC6EC0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1" name="x_Picture 1" descr="Description: cid:image001.png@01D03949.49457930">
          <a:extLst>
            <a:ext uri="{FF2B5EF4-FFF2-40B4-BE49-F238E27FC236}">
              <a16:creationId xmlns:a16="http://schemas.microsoft.com/office/drawing/2014/main" id="{AEBD937B-3BA2-426A-A5E7-F79D1057E8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2" name="x_Picture 1" descr="Description: cid:image001.png@01D03949.49457930">
          <a:extLst>
            <a:ext uri="{FF2B5EF4-FFF2-40B4-BE49-F238E27FC236}">
              <a16:creationId xmlns:a16="http://schemas.microsoft.com/office/drawing/2014/main" id="{117B328F-8D54-4111-8234-F4F8128C3CE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3" name="x_Picture 1" descr="Description: cid:image001.png@01D03949.49457930">
          <a:extLst>
            <a:ext uri="{FF2B5EF4-FFF2-40B4-BE49-F238E27FC236}">
              <a16:creationId xmlns:a16="http://schemas.microsoft.com/office/drawing/2014/main" id="{EB34CEA5-77C5-49F7-BACD-CD52FA3A9C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4" name="x_Picture 1" descr="Description: cid:image001.png@01D03949.49457930">
          <a:extLst>
            <a:ext uri="{FF2B5EF4-FFF2-40B4-BE49-F238E27FC236}">
              <a16:creationId xmlns:a16="http://schemas.microsoft.com/office/drawing/2014/main" id="{971C660D-85AE-4F08-AFC3-51B924EA595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5" name="x_Picture 1" descr="Description: cid:image001.png@01D03949.49457930">
          <a:extLst>
            <a:ext uri="{FF2B5EF4-FFF2-40B4-BE49-F238E27FC236}">
              <a16:creationId xmlns:a16="http://schemas.microsoft.com/office/drawing/2014/main" id="{5F11D139-ED7C-4FFB-9D9A-D5D66E1C429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6" name="x_Picture 1" descr="Description: cid:image001.png@01D03949.49457930">
          <a:extLst>
            <a:ext uri="{FF2B5EF4-FFF2-40B4-BE49-F238E27FC236}">
              <a16:creationId xmlns:a16="http://schemas.microsoft.com/office/drawing/2014/main" id="{2A74FE92-C805-41CD-9FB2-A8621FEDF8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7" name="x_Picture 1" descr="Description: cid:image001.png@01D03949.49457930">
          <a:extLst>
            <a:ext uri="{FF2B5EF4-FFF2-40B4-BE49-F238E27FC236}">
              <a16:creationId xmlns:a16="http://schemas.microsoft.com/office/drawing/2014/main" id="{EDC60797-C754-4BB1-89CA-338D682F3A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8" name="x_Picture 1" descr="Description: cid:image001.png@01D03949.49457930">
          <a:extLst>
            <a:ext uri="{FF2B5EF4-FFF2-40B4-BE49-F238E27FC236}">
              <a16:creationId xmlns:a16="http://schemas.microsoft.com/office/drawing/2014/main" id="{FBF160AB-B1C2-45C3-827B-4DA1D6EB80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59" name="x_Picture 1" descr="Description: cid:image001.png@01D03949.49457930">
          <a:extLst>
            <a:ext uri="{FF2B5EF4-FFF2-40B4-BE49-F238E27FC236}">
              <a16:creationId xmlns:a16="http://schemas.microsoft.com/office/drawing/2014/main" id="{7D8FC705-492E-4A32-A425-60DCE44071B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60" name="x_Picture 1" descr="Description: cid:image001.png@01D03949.49457930">
          <a:extLst>
            <a:ext uri="{FF2B5EF4-FFF2-40B4-BE49-F238E27FC236}">
              <a16:creationId xmlns:a16="http://schemas.microsoft.com/office/drawing/2014/main" id="{46792539-28FF-4312-B9AC-F45445BC95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61" name="x_Picture 1" descr="Description: cid:image001.png@01D03949.49457930">
          <a:extLst>
            <a:ext uri="{FF2B5EF4-FFF2-40B4-BE49-F238E27FC236}">
              <a16:creationId xmlns:a16="http://schemas.microsoft.com/office/drawing/2014/main" id="{8565FA5C-214B-4023-AA1E-E738272489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62" name="x_Picture 1" descr="Description: cid:image001.png@01D03949.49457930">
          <a:extLst>
            <a:ext uri="{FF2B5EF4-FFF2-40B4-BE49-F238E27FC236}">
              <a16:creationId xmlns:a16="http://schemas.microsoft.com/office/drawing/2014/main" id="{9D2F93F3-8357-4EB1-AEC4-1DBE5FA30B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63" name="x_Picture 1" descr="Description: cid:image001.png@01D03949.49457930">
          <a:extLst>
            <a:ext uri="{FF2B5EF4-FFF2-40B4-BE49-F238E27FC236}">
              <a16:creationId xmlns:a16="http://schemas.microsoft.com/office/drawing/2014/main" id="{332304AB-D7C4-4D1C-BFB4-A97370CE4B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64" name="x_Picture 1" descr="Description: cid:image001.png@01D03949.49457930">
          <a:extLst>
            <a:ext uri="{FF2B5EF4-FFF2-40B4-BE49-F238E27FC236}">
              <a16:creationId xmlns:a16="http://schemas.microsoft.com/office/drawing/2014/main" id="{C84B0C79-DFD9-4DA2-9CAC-5A40E3E505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65" name="x_Picture 1" descr="Description: cid:image001.png@01D03949.49457930">
          <a:extLst>
            <a:ext uri="{FF2B5EF4-FFF2-40B4-BE49-F238E27FC236}">
              <a16:creationId xmlns:a16="http://schemas.microsoft.com/office/drawing/2014/main" id="{D3C9F184-A1C7-4FE4-A2E8-92966C9E87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66" name="x_Picture 1" descr="Description: cid:image001.png@01D03949.49457930">
          <a:extLst>
            <a:ext uri="{FF2B5EF4-FFF2-40B4-BE49-F238E27FC236}">
              <a16:creationId xmlns:a16="http://schemas.microsoft.com/office/drawing/2014/main" id="{EDE41A4E-7E6B-4E38-B8D9-EC6E441FFB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67" name="x_Picture 1" descr="Description: cid:image001.png@01D03949.49457930">
          <a:extLst>
            <a:ext uri="{FF2B5EF4-FFF2-40B4-BE49-F238E27FC236}">
              <a16:creationId xmlns:a16="http://schemas.microsoft.com/office/drawing/2014/main" id="{B40EFBA0-FFFC-4E47-8845-477FDEE30C3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68" name="x_Picture 1" descr="Description: cid:image001.png@01D03949.49457930">
          <a:extLst>
            <a:ext uri="{FF2B5EF4-FFF2-40B4-BE49-F238E27FC236}">
              <a16:creationId xmlns:a16="http://schemas.microsoft.com/office/drawing/2014/main" id="{616A9E0D-2DCE-45CD-AE8D-6938DFAF6B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69" name="x_Picture 1" descr="Description: cid:image001.png@01D03949.49457930">
          <a:extLst>
            <a:ext uri="{FF2B5EF4-FFF2-40B4-BE49-F238E27FC236}">
              <a16:creationId xmlns:a16="http://schemas.microsoft.com/office/drawing/2014/main" id="{D6D13660-C892-4D31-9137-4A9D86497C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70" name="x_Picture 1" descr="Description: cid:image001.png@01D03949.49457930">
          <a:extLst>
            <a:ext uri="{FF2B5EF4-FFF2-40B4-BE49-F238E27FC236}">
              <a16:creationId xmlns:a16="http://schemas.microsoft.com/office/drawing/2014/main" id="{07D9E909-7C9F-44D4-9B99-F6AAC9F605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71" name="x_Picture 1" descr="Description: cid:image001.png@01D03949.49457930">
          <a:extLst>
            <a:ext uri="{FF2B5EF4-FFF2-40B4-BE49-F238E27FC236}">
              <a16:creationId xmlns:a16="http://schemas.microsoft.com/office/drawing/2014/main" id="{5AEF3C56-A510-4D71-A36D-5B4175A219A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72" name="x_Picture 1" descr="Description: cid:image001.png@01D03949.49457930">
          <a:extLst>
            <a:ext uri="{FF2B5EF4-FFF2-40B4-BE49-F238E27FC236}">
              <a16:creationId xmlns:a16="http://schemas.microsoft.com/office/drawing/2014/main" id="{1F6C91EE-CE82-4BC5-9016-C90B9DDE5A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73" name="x_Picture 1" descr="Description: cid:image001.png@01D03949.49457930">
          <a:extLst>
            <a:ext uri="{FF2B5EF4-FFF2-40B4-BE49-F238E27FC236}">
              <a16:creationId xmlns:a16="http://schemas.microsoft.com/office/drawing/2014/main" id="{441231D2-BEFE-4D5C-BC07-C305C3C7CB0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74" name="x_Picture 1" descr="Description: cid:image001.png@01D03949.49457930">
          <a:extLst>
            <a:ext uri="{FF2B5EF4-FFF2-40B4-BE49-F238E27FC236}">
              <a16:creationId xmlns:a16="http://schemas.microsoft.com/office/drawing/2014/main" id="{C3FC2AA8-E275-4DC7-B921-C90D128C15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75" name="x_Picture 1" descr="Description: cid:image001.png@01D03949.49457930">
          <a:extLst>
            <a:ext uri="{FF2B5EF4-FFF2-40B4-BE49-F238E27FC236}">
              <a16:creationId xmlns:a16="http://schemas.microsoft.com/office/drawing/2014/main" id="{08AFF522-578F-442F-B24F-A9DEC51739D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76" name="x_Picture 1" descr="Description: cid:image001.png@01D03949.49457930">
          <a:extLst>
            <a:ext uri="{FF2B5EF4-FFF2-40B4-BE49-F238E27FC236}">
              <a16:creationId xmlns:a16="http://schemas.microsoft.com/office/drawing/2014/main" id="{112BFC9F-CCBF-4986-9759-014A23CC7F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77" name="x_Picture 1" descr="Description: cid:image001.png@01D03949.49457930">
          <a:extLst>
            <a:ext uri="{FF2B5EF4-FFF2-40B4-BE49-F238E27FC236}">
              <a16:creationId xmlns:a16="http://schemas.microsoft.com/office/drawing/2014/main" id="{55626F26-AF80-4B86-A50C-D2EE1128E4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78" name="x_Picture 1" descr="Description: cid:image001.png@01D03949.49457930">
          <a:extLst>
            <a:ext uri="{FF2B5EF4-FFF2-40B4-BE49-F238E27FC236}">
              <a16:creationId xmlns:a16="http://schemas.microsoft.com/office/drawing/2014/main" id="{4A18000D-808F-4DA5-9885-5A3BFA7238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79" name="x_Picture 1" descr="Description: cid:image001.png@01D03949.49457930">
          <a:extLst>
            <a:ext uri="{FF2B5EF4-FFF2-40B4-BE49-F238E27FC236}">
              <a16:creationId xmlns:a16="http://schemas.microsoft.com/office/drawing/2014/main" id="{8C0E84D5-CC4D-434D-A271-AB81E81E25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80" name="x_Picture 1" descr="Description: cid:image001.png@01D03949.49457930">
          <a:extLst>
            <a:ext uri="{FF2B5EF4-FFF2-40B4-BE49-F238E27FC236}">
              <a16:creationId xmlns:a16="http://schemas.microsoft.com/office/drawing/2014/main" id="{59AB60E8-F195-4FEF-BE8A-0666531260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81" name="x_Picture 1" descr="Description: cid:image001.png@01D03949.49457930">
          <a:extLst>
            <a:ext uri="{FF2B5EF4-FFF2-40B4-BE49-F238E27FC236}">
              <a16:creationId xmlns:a16="http://schemas.microsoft.com/office/drawing/2014/main" id="{7C58E266-7B72-46BD-985E-F9DB16C0F7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82" name="x_Picture 1" descr="Description: cid:image001.png@01D03949.49457930">
          <a:extLst>
            <a:ext uri="{FF2B5EF4-FFF2-40B4-BE49-F238E27FC236}">
              <a16:creationId xmlns:a16="http://schemas.microsoft.com/office/drawing/2014/main" id="{35E50833-FE6C-4796-8DA1-ED54B6EE94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83" name="x_Picture 1" descr="Description: cid:image001.png@01D03949.49457930">
          <a:extLst>
            <a:ext uri="{FF2B5EF4-FFF2-40B4-BE49-F238E27FC236}">
              <a16:creationId xmlns:a16="http://schemas.microsoft.com/office/drawing/2014/main" id="{54040AFD-B825-4EA9-B8E2-B53ABDE156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84" name="x_Picture 1" descr="Description: cid:image001.png@01D03949.49457930">
          <a:extLst>
            <a:ext uri="{FF2B5EF4-FFF2-40B4-BE49-F238E27FC236}">
              <a16:creationId xmlns:a16="http://schemas.microsoft.com/office/drawing/2014/main" id="{D90B4D3B-9BFE-4531-933B-19736C977A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85" name="x_Picture 1" descr="Description: cid:image001.png@01D03949.49457930">
          <a:extLst>
            <a:ext uri="{FF2B5EF4-FFF2-40B4-BE49-F238E27FC236}">
              <a16:creationId xmlns:a16="http://schemas.microsoft.com/office/drawing/2014/main" id="{B38D2708-BD0D-4252-8430-53E3C60E97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86" name="x_Picture 1" descr="Description: cid:image001.png@01D03949.49457930">
          <a:extLst>
            <a:ext uri="{FF2B5EF4-FFF2-40B4-BE49-F238E27FC236}">
              <a16:creationId xmlns:a16="http://schemas.microsoft.com/office/drawing/2014/main" id="{8221C210-0BFA-4BAE-A21C-1246C65DE2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87" name="x_Picture 1" descr="Description: cid:image001.png@01D03949.49457930">
          <a:extLst>
            <a:ext uri="{FF2B5EF4-FFF2-40B4-BE49-F238E27FC236}">
              <a16:creationId xmlns:a16="http://schemas.microsoft.com/office/drawing/2014/main" id="{D58063C2-56EC-492B-A6B6-61ABEA1BBD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88" name="x_Picture 1" descr="Description: cid:image001.png@01D03949.49457930">
          <a:extLst>
            <a:ext uri="{FF2B5EF4-FFF2-40B4-BE49-F238E27FC236}">
              <a16:creationId xmlns:a16="http://schemas.microsoft.com/office/drawing/2014/main" id="{2E519704-A238-4ABE-AE8E-7020C20A77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89" name="x_Picture 1" descr="Description: cid:image001.png@01D03949.49457930">
          <a:extLst>
            <a:ext uri="{FF2B5EF4-FFF2-40B4-BE49-F238E27FC236}">
              <a16:creationId xmlns:a16="http://schemas.microsoft.com/office/drawing/2014/main" id="{547DE3EC-5A1B-4A7D-8CBF-E369BDB8B0C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90" name="x_Picture 1" descr="Description: cid:image001.png@01D03949.49457930">
          <a:extLst>
            <a:ext uri="{FF2B5EF4-FFF2-40B4-BE49-F238E27FC236}">
              <a16:creationId xmlns:a16="http://schemas.microsoft.com/office/drawing/2014/main" id="{17D27982-F6B5-4F0E-B5CA-1F873A2FD1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91" name="x_Picture 1" descr="Description: cid:image001.png@01D03949.49457930">
          <a:extLst>
            <a:ext uri="{FF2B5EF4-FFF2-40B4-BE49-F238E27FC236}">
              <a16:creationId xmlns:a16="http://schemas.microsoft.com/office/drawing/2014/main" id="{98861B5B-3430-495D-B84C-B7F64606A29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92" name="x_Picture 1" descr="Description: cid:image001.png@01D03949.49457930">
          <a:extLst>
            <a:ext uri="{FF2B5EF4-FFF2-40B4-BE49-F238E27FC236}">
              <a16:creationId xmlns:a16="http://schemas.microsoft.com/office/drawing/2014/main" id="{77068526-DF09-45FB-98DA-A1212A243E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93" name="x_Picture 1" descr="Description: cid:image001.png@01D03949.49457930">
          <a:extLst>
            <a:ext uri="{FF2B5EF4-FFF2-40B4-BE49-F238E27FC236}">
              <a16:creationId xmlns:a16="http://schemas.microsoft.com/office/drawing/2014/main" id="{0DB58CED-0D5A-41E7-BFB6-DA2BEA0A80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94" name="x_Picture 1" descr="Description: cid:image001.png@01D03949.49457930">
          <a:extLst>
            <a:ext uri="{FF2B5EF4-FFF2-40B4-BE49-F238E27FC236}">
              <a16:creationId xmlns:a16="http://schemas.microsoft.com/office/drawing/2014/main" id="{6CC39E64-5003-497D-841F-C9A33CA38F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95" name="x_Picture 1" descr="Description: cid:image001.png@01D03949.49457930">
          <a:extLst>
            <a:ext uri="{FF2B5EF4-FFF2-40B4-BE49-F238E27FC236}">
              <a16:creationId xmlns:a16="http://schemas.microsoft.com/office/drawing/2014/main" id="{473875B9-2768-4295-83B0-23E4FA4D49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296" name="x_Picture 1" descr="Description: cid:image001.png@01D03949.49457930">
          <a:extLst>
            <a:ext uri="{FF2B5EF4-FFF2-40B4-BE49-F238E27FC236}">
              <a16:creationId xmlns:a16="http://schemas.microsoft.com/office/drawing/2014/main" id="{8A7AE7A9-F24B-4F10-ADBC-1AA4D09263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97" name="x_Picture 1" descr="Description: cid:image001.png@01D03949.49457930">
          <a:extLst>
            <a:ext uri="{FF2B5EF4-FFF2-40B4-BE49-F238E27FC236}">
              <a16:creationId xmlns:a16="http://schemas.microsoft.com/office/drawing/2014/main" id="{7CB6C629-DCFE-4292-993D-03F6D402F7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298" name="x_Picture 1" descr="Description: cid:image001.png@01D03949.49457930">
          <a:extLst>
            <a:ext uri="{FF2B5EF4-FFF2-40B4-BE49-F238E27FC236}">
              <a16:creationId xmlns:a16="http://schemas.microsoft.com/office/drawing/2014/main" id="{65AAC667-7DDB-45A1-803A-7473BDBB67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299" name="x_Picture 1" descr="Description: cid:image001.png@01D03949.49457930">
          <a:extLst>
            <a:ext uri="{FF2B5EF4-FFF2-40B4-BE49-F238E27FC236}">
              <a16:creationId xmlns:a16="http://schemas.microsoft.com/office/drawing/2014/main" id="{5573858F-0A72-4302-AD45-A2024B4466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00" name="x_Picture 1" descr="Description: cid:image001.png@01D03949.49457930">
          <a:extLst>
            <a:ext uri="{FF2B5EF4-FFF2-40B4-BE49-F238E27FC236}">
              <a16:creationId xmlns:a16="http://schemas.microsoft.com/office/drawing/2014/main" id="{B4665DB9-0B39-4292-8474-1C5F6F05B3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01" name="x_Picture 1" descr="Description: cid:image001.png@01D03949.49457930">
          <a:extLst>
            <a:ext uri="{FF2B5EF4-FFF2-40B4-BE49-F238E27FC236}">
              <a16:creationId xmlns:a16="http://schemas.microsoft.com/office/drawing/2014/main" id="{A1056835-1A35-401D-A2DB-EAD31620E9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02" name="x_Picture 1" descr="Description: cid:image001.png@01D03949.49457930">
          <a:extLst>
            <a:ext uri="{FF2B5EF4-FFF2-40B4-BE49-F238E27FC236}">
              <a16:creationId xmlns:a16="http://schemas.microsoft.com/office/drawing/2014/main" id="{BA524EB6-5D58-4F52-BBBF-3DE770096D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03" name="x_Picture 1" descr="Description: cid:image001.png@01D03949.49457930">
          <a:extLst>
            <a:ext uri="{FF2B5EF4-FFF2-40B4-BE49-F238E27FC236}">
              <a16:creationId xmlns:a16="http://schemas.microsoft.com/office/drawing/2014/main" id="{45695E69-303D-4207-AE93-3C7688CF4E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04" name="x_Picture 1" descr="Description: cid:image001.png@01D03949.49457930">
          <a:extLst>
            <a:ext uri="{FF2B5EF4-FFF2-40B4-BE49-F238E27FC236}">
              <a16:creationId xmlns:a16="http://schemas.microsoft.com/office/drawing/2014/main" id="{ECE09B59-E004-492E-8B63-129AFFD5C2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05" name="x_Picture 1" descr="Description: cid:image001.png@01D03949.49457930">
          <a:extLst>
            <a:ext uri="{FF2B5EF4-FFF2-40B4-BE49-F238E27FC236}">
              <a16:creationId xmlns:a16="http://schemas.microsoft.com/office/drawing/2014/main" id="{F76D0387-E387-4F28-802F-2F74F08656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06" name="x_Picture 1" descr="Description: cid:image001.png@01D03949.49457930">
          <a:extLst>
            <a:ext uri="{FF2B5EF4-FFF2-40B4-BE49-F238E27FC236}">
              <a16:creationId xmlns:a16="http://schemas.microsoft.com/office/drawing/2014/main" id="{E773F5F8-7C20-45FC-894F-D25825D9B5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07" name="x_Picture 1" descr="Description: cid:image001.png@01D03949.49457930">
          <a:extLst>
            <a:ext uri="{FF2B5EF4-FFF2-40B4-BE49-F238E27FC236}">
              <a16:creationId xmlns:a16="http://schemas.microsoft.com/office/drawing/2014/main" id="{8DD2BC63-1EA7-477D-82A3-0852A69F58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08" name="x_Picture 1" descr="Description: cid:image001.png@01D03949.49457930">
          <a:extLst>
            <a:ext uri="{FF2B5EF4-FFF2-40B4-BE49-F238E27FC236}">
              <a16:creationId xmlns:a16="http://schemas.microsoft.com/office/drawing/2014/main" id="{1F7D3F8E-FECA-4646-85C4-071C146D53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09" name="x_Picture 1" descr="Description: cid:image001.png@01D03949.49457930">
          <a:extLst>
            <a:ext uri="{FF2B5EF4-FFF2-40B4-BE49-F238E27FC236}">
              <a16:creationId xmlns:a16="http://schemas.microsoft.com/office/drawing/2014/main" id="{FDFA7CAB-9CA6-47D6-9D48-54D0FE4BBE0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10" name="x_Picture 1" descr="Description: cid:image001.png@01D03949.49457930">
          <a:extLst>
            <a:ext uri="{FF2B5EF4-FFF2-40B4-BE49-F238E27FC236}">
              <a16:creationId xmlns:a16="http://schemas.microsoft.com/office/drawing/2014/main" id="{02026AC4-951D-4C04-8EAE-7C31E55C986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11" name="x_Picture 1" descr="Description: cid:image001.png@01D03949.49457930">
          <a:extLst>
            <a:ext uri="{FF2B5EF4-FFF2-40B4-BE49-F238E27FC236}">
              <a16:creationId xmlns:a16="http://schemas.microsoft.com/office/drawing/2014/main" id="{381A4CC1-E27B-4931-B1C1-77E1BA880B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12" name="x_Picture 1" descr="Description: cid:image001.png@01D03949.49457930">
          <a:extLst>
            <a:ext uri="{FF2B5EF4-FFF2-40B4-BE49-F238E27FC236}">
              <a16:creationId xmlns:a16="http://schemas.microsoft.com/office/drawing/2014/main" id="{08FFC042-C770-49E6-A54C-A5BDC0776F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13" name="x_Picture 1" descr="Description: cid:image001.png@01D03949.49457930">
          <a:extLst>
            <a:ext uri="{FF2B5EF4-FFF2-40B4-BE49-F238E27FC236}">
              <a16:creationId xmlns:a16="http://schemas.microsoft.com/office/drawing/2014/main" id="{6548D534-0C60-4756-9F19-26A390CDD7A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14" name="x_Picture 1" descr="Description: cid:image001.png@01D03949.49457930">
          <a:extLst>
            <a:ext uri="{FF2B5EF4-FFF2-40B4-BE49-F238E27FC236}">
              <a16:creationId xmlns:a16="http://schemas.microsoft.com/office/drawing/2014/main" id="{A7A7F4C3-8E62-4D2D-8311-F869E28A59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15" name="x_Picture 1" descr="Description: cid:image001.png@01D03949.49457930">
          <a:extLst>
            <a:ext uri="{FF2B5EF4-FFF2-40B4-BE49-F238E27FC236}">
              <a16:creationId xmlns:a16="http://schemas.microsoft.com/office/drawing/2014/main" id="{8FAEF3F0-A851-43E2-A6AD-96FA69424B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16" name="x_Picture 1" descr="Description: cid:image001.png@01D03949.49457930">
          <a:extLst>
            <a:ext uri="{FF2B5EF4-FFF2-40B4-BE49-F238E27FC236}">
              <a16:creationId xmlns:a16="http://schemas.microsoft.com/office/drawing/2014/main" id="{90B209EF-3ED7-439D-B5A2-D30E38792C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17" name="x_Picture 1" descr="Description: cid:image001.png@01D03949.49457930">
          <a:extLst>
            <a:ext uri="{FF2B5EF4-FFF2-40B4-BE49-F238E27FC236}">
              <a16:creationId xmlns:a16="http://schemas.microsoft.com/office/drawing/2014/main" id="{75FD2DC0-9A71-42B8-9C99-A784EB8131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18" name="x_Picture 1" descr="Description: cid:image001.png@01D03949.49457930">
          <a:extLst>
            <a:ext uri="{FF2B5EF4-FFF2-40B4-BE49-F238E27FC236}">
              <a16:creationId xmlns:a16="http://schemas.microsoft.com/office/drawing/2014/main" id="{9003254D-FE34-453D-9684-0E0CBD404B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19" name="x_Picture 1" descr="Description: cid:image001.png@01D03949.49457930">
          <a:extLst>
            <a:ext uri="{FF2B5EF4-FFF2-40B4-BE49-F238E27FC236}">
              <a16:creationId xmlns:a16="http://schemas.microsoft.com/office/drawing/2014/main" id="{81C7DDED-ECE6-434C-ABED-6EF1E3ADF5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20" name="x_Picture 1" descr="Description: cid:image001.png@01D03949.49457930">
          <a:extLst>
            <a:ext uri="{FF2B5EF4-FFF2-40B4-BE49-F238E27FC236}">
              <a16:creationId xmlns:a16="http://schemas.microsoft.com/office/drawing/2014/main" id="{4067FBB6-8DC0-4CF1-B2E6-A9BEB1545B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21" name="x_Picture 1" descr="Description: cid:image001.png@01D03949.49457930">
          <a:extLst>
            <a:ext uri="{FF2B5EF4-FFF2-40B4-BE49-F238E27FC236}">
              <a16:creationId xmlns:a16="http://schemas.microsoft.com/office/drawing/2014/main" id="{4C460DC0-6EBA-4876-A0BE-51C1DBBC70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22" name="x_Picture 1" descr="Description: cid:image001.png@01D03949.49457930">
          <a:extLst>
            <a:ext uri="{FF2B5EF4-FFF2-40B4-BE49-F238E27FC236}">
              <a16:creationId xmlns:a16="http://schemas.microsoft.com/office/drawing/2014/main" id="{412857A4-D9F7-4B9F-B927-E48DFABB4D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23" name="x_Picture 1" descr="Description: cid:image001.png@01D03949.49457930">
          <a:extLst>
            <a:ext uri="{FF2B5EF4-FFF2-40B4-BE49-F238E27FC236}">
              <a16:creationId xmlns:a16="http://schemas.microsoft.com/office/drawing/2014/main" id="{4B4B5F35-9755-4AA0-A1EC-B22B624FA5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24" name="x_Picture 1" descr="Description: cid:image001.png@01D03949.49457930">
          <a:extLst>
            <a:ext uri="{FF2B5EF4-FFF2-40B4-BE49-F238E27FC236}">
              <a16:creationId xmlns:a16="http://schemas.microsoft.com/office/drawing/2014/main" id="{B107D681-F5F0-40C0-B3E5-9CF36EEAF4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25" name="x_Picture 1" descr="Description: cid:image001.png@01D03949.49457930">
          <a:extLst>
            <a:ext uri="{FF2B5EF4-FFF2-40B4-BE49-F238E27FC236}">
              <a16:creationId xmlns:a16="http://schemas.microsoft.com/office/drawing/2014/main" id="{47CFEB87-1801-45BA-ABF1-26005FBA5C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26" name="x_Picture 1" descr="Description: cid:image001.png@01D03949.49457930">
          <a:extLst>
            <a:ext uri="{FF2B5EF4-FFF2-40B4-BE49-F238E27FC236}">
              <a16:creationId xmlns:a16="http://schemas.microsoft.com/office/drawing/2014/main" id="{A3C57567-6AA9-4EE0-BE8B-45C5B0BEDD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27" name="x_Picture 1" descr="Description: cid:image001.png@01D03949.49457930">
          <a:extLst>
            <a:ext uri="{FF2B5EF4-FFF2-40B4-BE49-F238E27FC236}">
              <a16:creationId xmlns:a16="http://schemas.microsoft.com/office/drawing/2014/main" id="{0EFBC737-55DE-41C9-A91C-834F3D7BD2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28" name="x_Picture 1" descr="Description: cid:image001.png@01D03949.49457930">
          <a:extLst>
            <a:ext uri="{FF2B5EF4-FFF2-40B4-BE49-F238E27FC236}">
              <a16:creationId xmlns:a16="http://schemas.microsoft.com/office/drawing/2014/main" id="{B26BF40E-5830-416E-BA36-7851FFCBE61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29" name="x_Picture 1" descr="Description: cid:image001.png@01D03949.49457930">
          <a:extLst>
            <a:ext uri="{FF2B5EF4-FFF2-40B4-BE49-F238E27FC236}">
              <a16:creationId xmlns:a16="http://schemas.microsoft.com/office/drawing/2014/main" id="{7A564659-B9DB-4859-ABD2-6F355CD26D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30" name="x_Picture 1" descr="Description: cid:image001.png@01D03949.49457930">
          <a:extLst>
            <a:ext uri="{FF2B5EF4-FFF2-40B4-BE49-F238E27FC236}">
              <a16:creationId xmlns:a16="http://schemas.microsoft.com/office/drawing/2014/main" id="{A24A0554-3B68-4EF5-80E8-EBC89CB0C2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31" name="x_Picture 1" descr="Description: cid:image001.png@01D03949.49457930">
          <a:extLst>
            <a:ext uri="{FF2B5EF4-FFF2-40B4-BE49-F238E27FC236}">
              <a16:creationId xmlns:a16="http://schemas.microsoft.com/office/drawing/2014/main" id="{BF66EE73-C619-43B8-8455-0195D69FB6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32" name="x_Picture 1" descr="Description: cid:image001.png@01D03949.49457930">
          <a:extLst>
            <a:ext uri="{FF2B5EF4-FFF2-40B4-BE49-F238E27FC236}">
              <a16:creationId xmlns:a16="http://schemas.microsoft.com/office/drawing/2014/main" id="{E7F67E56-19BC-4208-ACD9-B43DFB34BC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33" name="x_Picture 1" descr="Description: cid:image001.png@01D03949.49457930">
          <a:extLst>
            <a:ext uri="{FF2B5EF4-FFF2-40B4-BE49-F238E27FC236}">
              <a16:creationId xmlns:a16="http://schemas.microsoft.com/office/drawing/2014/main" id="{75206AC2-F1AC-4054-80A5-36B066ABB1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34" name="x_Picture 1" descr="Description: cid:image001.png@01D03949.49457930">
          <a:extLst>
            <a:ext uri="{FF2B5EF4-FFF2-40B4-BE49-F238E27FC236}">
              <a16:creationId xmlns:a16="http://schemas.microsoft.com/office/drawing/2014/main" id="{B413D1AD-21A5-4720-ADA6-1F4C2BD0A70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35" name="x_Picture 1" descr="Description: cid:image001.png@01D03949.49457930">
          <a:extLst>
            <a:ext uri="{FF2B5EF4-FFF2-40B4-BE49-F238E27FC236}">
              <a16:creationId xmlns:a16="http://schemas.microsoft.com/office/drawing/2014/main" id="{FEFC598C-4E90-40D7-80DB-F7337AEF297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36" name="x_Picture 1" descr="Description: cid:image001.png@01D03949.49457930">
          <a:extLst>
            <a:ext uri="{FF2B5EF4-FFF2-40B4-BE49-F238E27FC236}">
              <a16:creationId xmlns:a16="http://schemas.microsoft.com/office/drawing/2014/main" id="{AA0EB306-038E-4306-827B-F9EEB09C11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37" name="x_Picture 1" descr="Description: cid:image001.png@01D03949.49457930">
          <a:extLst>
            <a:ext uri="{FF2B5EF4-FFF2-40B4-BE49-F238E27FC236}">
              <a16:creationId xmlns:a16="http://schemas.microsoft.com/office/drawing/2014/main" id="{08C59340-787F-44A5-8C0A-DC562615A1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38" name="x_Picture 1" descr="Description: cid:image001.png@01D03949.49457930">
          <a:extLst>
            <a:ext uri="{FF2B5EF4-FFF2-40B4-BE49-F238E27FC236}">
              <a16:creationId xmlns:a16="http://schemas.microsoft.com/office/drawing/2014/main" id="{268E3665-5FB0-4450-907E-D5C1F8CE6C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39" name="x_Picture 1" descr="Description: cid:image001.png@01D03949.49457930">
          <a:extLst>
            <a:ext uri="{FF2B5EF4-FFF2-40B4-BE49-F238E27FC236}">
              <a16:creationId xmlns:a16="http://schemas.microsoft.com/office/drawing/2014/main" id="{094C5609-8105-4BDD-B5AE-FDCCE85FEA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40" name="x_Picture 1" descr="Description: cid:image001.png@01D03949.49457930">
          <a:extLst>
            <a:ext uri="{FF2B5EF4-FFF2-40B4-BE49-F238E27FC236}">
              <a16:creationId xmlns:a16="http://schemas.microsoft.com/office/drawing/2014/main" id="{E90842F6-7BB0-4CBE-ACEF-65501E8A32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41" name="x_Picture 1" descr="Description: cid:image001.png@01D03949.49457930">
          <a:extLst>
            <a:ext uri="{FF2B5EF4-FFF2-40B4-BE49-F238E27FC236}">
              <a16:creationId xmlns:a16="http://schemas.microsoft.com/office/drawing/2014/main" id="{19B8E6FB-54E3-45D5-9BC4-3289EEEBE7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42" name="x_Picture 1" descr="Description: cid:image001.png@01D03949.49457930">
          <a:extLst>
            <a:ext uri="{FF2B5EF4-FFF2-40B4-BE49-F238E27FC236}">
              <a16:creationId xmlns:a16="http://schemas.microsoft.com/office/drawing/2014/main" id="{54460524-F1AF-4FDD-AC08-7BFD34D139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43" name="x_Picture 1" descr="Description: cid:image001.png@01D03949.49457930">
          <a:extLst>
            <a:ext uri="{FF2B5EF4-FFF2-40B4-BE49-F238E27FC236}">
              <a16:creationId xmlns:a16="http://schemas.microsoft.com/office/drawing/2014/main" id="{9ECC870E-BEAB-4190-9F40-18083A6638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44" name="x_Picture 1" descr="Description: cid:image001.png@01D03949.49457930">
          <a:extLst>
            <a:ext uri="{FF2B5EF4-FFF2-40B4-BE49-F238E27FC236}">
              <a16:creationId xmlns:a16="http://schemas.microsoft.com/office/drawing/2014/main" id="{29B573CC-4458-4BAD-A1FB-1C8FAB06CA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45" name="x_Picture 1" descr="Description: cid:image001.png@01D03949.49457930">
          <a:extLst>
            <a:ext uri="{FF2B5EF4-FFF2-40B4-BE49-F238E27FC236}">
              <a16:creationId xmlns:a16="http://schemas.microsoft.com/office/drawing/2014/main" id="{D5753468-CB5F-45F8-B12D-7AC0B7D3E0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46" name="x_Picture 1" descr="Description: cid:image001.png@01D03949.49457930">
          <a:extLst>
            <a:ext uri="{FF2B5EF4-FFF2-40B4-BE49-F238E27FC236}">
              <a16:creationId xmlns:a16="http://schemas.microsoft.com/office/drawing/2014/main" id="{0B7ECDC7-B31E-441E-B578-98D4D56302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41</xdr:row>
      <xdr:rowOff>0</xdr:rowOff>
    </xdr:from>
    <xdr:ext cx="279605" cy="315045"/>
    <xdr:sp macro="" textlink="">
      <xdr:nvSpPr>
        <xdr:cNvPr id="4347" name="x_Picture 1" descr="Description: cid:image001.png@01D03949.49457930">
          <a:extLst>
            <a:ext uri="{FF2B5EF4-FFF2-40B4-BE49-F238E27FC236}">
              <a16:creationId xmlns:a16="http://schemas.microsoft.com/office/drawing/2014/main" id="{A1ADBCDD-8135-4DC5-8B1C-8A1EB0FD93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48" name="x_Picture 1" descr="Description: cid:image001.png@01D03949.49457930">
          <a:extLst>
            <a:ext uri="{FF2B5EF4-FFF2-40B4-BE49-F238E27FC236}">
              <a16:creationId xmlns:a16="http://schemas.microsoft.com/office/drawing/2014/main" id="{181808F0-7C96-4FD3-8760-5FA64AB6F5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49" name="x_Picture 1" descr="Description: cid:image001.png@01D03949.49457930">
          <a:extLst>
            <a:ext uri="{FF2B5EF4-FFF2-40B4-BE49-F238E27FC236}">
              <a16:creationId xmlns:a16="http://schemas.microsoft.com/office/drawing/2014/main" id="{FAD7C85E-B462-4BFF-98B8-E77BEFD300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50" name="x_Picture 1" descr="Description: cid:image001.png@01D03949.49457930">
          <a:extLst>
            <a:ext uri="{FF2B5EF4-FFF2-40B4-BE49-F238E27FC236}">
              <a16:creationId xmlns:a16="http://schemas.microsoft.com/office/drawing/2014/main" id="{15CD45A2-DF12-4B39-AD6C-2F57F60BAC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51" name="x_Picture 1" descr="Description: cid:image001.png@01D03949.49457930">
          <a:extLst>
            <a:ext uri="{FF2B5EF4-FFF2-40B4-BE49-F238E27FC236}">
              <a16:creationId xmlns:a16="http://schemas.microsoft.com/office/drawing/2014/main" id="{0ACE8A4D-3358-44BB-BFD5-1712268EBF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52" name="x_Picture 1" descr="Description: cid:image001.png@01D03949.49457930">
          <a:extLst>
            <a:ext uri="{FF2B5EF4-FFF2-40B4-BE49-F238E27FC236}">
              <a16:creationId xmlns:a16="http://schemas.microsoft.com/office/drawing/2014/main" id="{D876FCF1-1073-43B5-A202-9DF70D665B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53" name="x_Picture 1" descr="Description: cid:image001.png@01D03949.49457930">
          <a:extLst>
            <a:ext uri="{FF2B5EF4-FFF2-40B4-BE49-F238E27FC236}">
              <a16:creationId xmlns:a16="http://schemas.microsoft.com/office/drawing/2014/main" id="{5DE3E4B6-0FA9-40A1-999B-CF84B6678E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54" name="x_Picture 1" descr="Description: cid:image001.png@01D03949.49457930">
          <a:extLst>
            <a:ext uri="{FF2B5EF4-FFF2-40B4-BE49-F238E27FC236}">
              <a16:creationId xmlns:a16="http://schemas.microsoft.com/office/drawing/2014/main" id="{7AE326F6-B6D0-4A9D-8C8B-34B843CFD3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55" name="x_Picture 1" descr="Description: cid:image001.png@01D03949.49457930">
          <a:extLst>
            <a:ext uri="{FF2B5EF4-FFF2-40B4-BE49-F238E27FC236}">
              <a16:creationId xmlns:a16="http://schemas.microsoft.com/office/drawing/2014/main" id="{0678CB6D-3E7B-40E7-BCD7-7CCDB63034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56" name="x_Picture 1" descr="Description: cid:image001.png@01D03949.49457930">
          <a:extLst>
            <a:ext uri="{FF2B5EF4-FFF2-40B4-BE49-F238E27FC236}">
              <a16:creationId xmlns:a16="http://schemas.microsoft.com/office/drawing/2014/main" id="{24A889B9-A9B5-451E-8145-2B7A7A3AF0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41</xdr:row>
      <xdr:rowOff>0</xdr:rowOff>
    </xdr:from>
    <xdr:ext cx="279605" cy="315045"/>
    <xdr:sp macro="" textlink="">
      <xdr:nvSpPr>
        <xdr:cNvPr id="4357" name="x_Picture 1" descr="Description: cid:image001.png@01D03949.49457930">
          <a:extLst>
            <a:ext uri="{FF2B5EF4-FFF2-40B4-BE49-F238E27FC236}">
              <a16:creationId xmlns:a16="http://schemas.microsoft.com/office/drawing/2014/main" id="{76101BCD-9561-429C-9A0A-FF03CFECBCB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58" name="x_Picture 1" descr="Description: cid:image001.png@01D03949.49457930">
          <a:extLst>
            <a:ext uri="{FF2B5EF4-FFF2-40B4-BE49-F238E27FC236}">
              <a16:creationId xmlns:a16="http://schemas.microsoft.com/office/drawing/2014/main" id="{581E9AB0-A0FD-437C-9FE6-197FEEC138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59" name="x_Picture 1" descr="Description: cid:image001.png@01D03949.49457930">
          <a:extLst>
            <a:ext uri="{FF2B5EF4-FFF2-40B4-BE49-F238E27FC236}">
              <a16:creationId xmlns:a16="http://schemas.microsoft.com/office/drawing/2014/main" id="{6496F640-5C29-4A51-9DEB-7671D11351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0" name="x_Picture 1" descr="Description: cid:image001.png@01D03949.49457930">
          <a:extLst>
            <a:ext uri="{FF2B5EF4-FFF2-40B4-BE49-F238E27FC236}">
              <a16:creationId xmlns:a16="http://schemas.microsoft.com/office/drawing/2014/main" id="{4D2BF14B-C7DB-4E4A-A37F-7CC48FA484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1" name="x_Picture 1" descr="Description: cid:image001.png@01D03949.49457930">
          <a:extLst>
            <a:ext uri="{FF2B5EF4-FFF2-40B4-BE49-F238E27FC236}">
              <a16:creationId xmlns:a16="http://schemas.microsoft.com/office/drawing/2014/main" id="{0F628B41-CE9F-4661-ABD3-D97EFB9D66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2" name="x_Picture 1" descr="Description: cid:image001.png@01D03949.49457930">
          <a:extLst>
            <a:ext uri="{FF2B5EF4-FFF2-40B4-BE49-F238E27FC236}">
              <a16:creationId xmlns:a16="http://schemas.microsoft.com/office/drawing/2014/main" id="{44A8BAAE-28A5-48F3-BE58-06B0354515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3" name="x_Picture 1" descr="Description: cid:image001.png@01D03949.49457930">
          <a:extLst>
            <a:ext uri="{FF2B5EF4-FFF2-40B4-BE49-F238E27FC236}">
              <a16:creationId xmlns:a16="http://schemas.microsoft.com/office/drawing/2014/main" id="{76F0BA8E-987F-4EDE-8312-860993C7024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4" name="x_Picture 1" descr="Description: cid:image001.png@01D03949.49457930">
          <a:extLst>
            <a:ext uri="{FF2B5EF4-FFF2-40B4-BE49-F238E27FC236}">
              <a16:creationId xmlns:a16="http://schemas.microsoft.com/office/drawing/2014/main" id="{8D85F0CD-B5D3-4CB6-8F61-E9D4C9A6DF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5" name="x_Picture 1" descr="Description: cid:image001.png@01D03949.49457930">
          <a:extLst>
            <a:ext uri="{FF2B5EF4-FFF2-40B4-BE49-F238E27FC236}">
              <a16:creationId xmlns:a16="http://schemas.microsoft.com/office/drawing/2014/main" id="{82A33397-120E-4EA3-AEB3-A9672FA283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6" name="x_Picture 1" descr="Description: cid:image001.png@01D03949.49457930">
          <a:extLst>
            <a:ext uri="{FF2B5EF4-FFF2-40B4-BE49-F238E27FC236}">
              <a16:creationId xmlns:a16="http://schemas.microsoft.com/office/drawing/2014/main" id="{21E7EF82-D3D6-417A-BFE8-8678AFA2E3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7" name="x_Picture 1" descr="Description: cid:image001.png@01D03949.49457930">
          <a:extLst>
            <a:ext uri="{FF2B5EF4-FFF2-40B4-BE49-F238E27FC236}">
              <a16:creationId xmlns:a16="http://schemas.microsoft.com/office/drawing/2014/main" id="{17124423-3D05-487D-839D-D1ACC76A39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8" name="x_Picture 1" descr="Description: cid:image001.png@01D03949.49457930">
          <a:extLst>
            <a:ext uri="{FF2B5EF4-FFF2-40B4-BE49-F238E27FC236}">
              <a16:creationId xmlns:a16="http://schemas.microsoft.com/office/drawing/2014/main" id="{3EB2C267-30BE-4135-9A36-76B76DBE3E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69" name="x_Picture 1" descr="Description: cid:image001.png@01D03949.49457930">
          <a:extLst>
            <a:ext uri="{FF2B5EF4-FFF2-40B4-BE49-F238E27FC236}">
              <a16:creationId xmlns:a16="http://schemas.microsoft.com/office/drawing/2014/main" id="{EE9CEB77-3BE9-4BC3-BCCB-DC9D33F3C0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70" name="x_Picture 1" descr="Description: cid:image001.png@01D03949.49457930">
          <a:extLst>
            <a:ext uri="{FF2B5EF4-FFF2-40B4-BE49-F238E27FC236}">
              <a16:creationId xmlns:a16="http://schemas.microsoft.com/office/drawing/2014/main" id="{9A27969E-3180-4DF7-A834-41701BAE8AB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71" name="x_Picture 1" descr="Description: cid:image001.png@01D03949.49457930">
          <a:extLst>
            <a:ext uri="{FF2B5EF4-FFF2-40B4-BE49-F238E27FC236}">
              <a16:creationId xmlns:a16="http://schemas.microsoft.com/office/drawing/2014/main" id="{D6BDE48F-7838-4EA5-90E2-8E5371567B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72" name="x_Picture 1" descr="Description: cid:image001.png@01D03949.49457930">
          <a:extLst>
            <a:ext uri="{FF2B5EF4-FFF2-40B4-BE49-F238E27FC236}">
              <a16:creationId xmlns:a16="http://schemas.microsoft.com/office/drawing/2014/main" id="{FA26E490-4AB2-4119-BD76-4C6A95B545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73" name="x_Picture 1" descr="Description: cid:image001.png@01D03949.49457930">
          <a:extLst>
            <a:ext uri="{FF2B5EF4-FFF2-40B4-BE49-F238E27FC236}">
              <a16:creationId xmlns:a16="http://schemas.microsoft.com/office/drawing/2014/main" id="{74CBB513-C95A-4DB4-AC7D-77F0D984907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74" name="x_Picture 1" descr="Description: cid:image001.png@01D03949.49457930">
          <a:extLst>
            <a:ext uri="{FF2B5EF4-FFF2-40B4-BE49-F238E27FC236}">
              <a16:creationId xmlns:a16="http://schemas.microsoft.com/office/drawing/2014/main" id="{62690F10-6074-45F8-95CA-A1BB11F654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75" name="x_Picture 1" descr="Description: cid:image001.png@01D03949.49457930">
          <a:extLst>
            <a:ext uri="{FF2B5EF4-FFF2-40B4-BE49-F238E27FC236}">
              <a16:creationId xmlns:a16="http://schemas.microsoft.com/office/drawing/2014/main" id="{B3AD01BE-3AEB-4198-B2A6-CEF40B2E05B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76" name="x_Picture 1" descr="Description: cid:image001.png@01D03949.49457930">
          <a:extLst>
            <a:ext uri="{FF2B5EF4-FFF2-40B4-BE49-F238E27FC236}">
              <a16:creationId xmlns:a16="http://schemas.microsoft.com/office/drawing/2014/main" id="{18FF8E29-DDF4-4386-9039-AEE2E19D64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77" name="x_Picture 1" descr="Description: cid:image001.png@01D03949.49457930">
          <a:extLst>
            <a:ext uri="{FF2B5EF4-FFF2-40B4-BE49-F238E27FC236}">
              <a16:creationId xmlns:a16="http://schemas.microsoft.com/office/drawing/2014/main" id="{95192049-6506-40D5-B2CE-615D9552D8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78" name="x_Picture 1" descr="Description: cid:image001.png@01D03949.49457930">
          <a:extLst>
            <a:ext uri="{FF2B5EF4-FFF2-40B4-BE49-F238E27FC236}">
              <a16:creationId xmlns:a16="http://schemas.microsoft.com/office/drawing/2014/main" id="{CA558294-DF2C-4B51-A642-ABF7C2DCB38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79" name="x_Picture 1" descr="Description: cid:image001.png@01D03949.49457930">
          <a:extLst>
            <a:ext uri="{FF2B5EF4-FFF2-40B4-BE49-F238E27FC236}">
              <a16:creationId xmlns:a16="http://schemas.microsoft.com/office/drawing/2014/main" id="{2B1A23FC-DB8B-4415-84CD-0A4F534182D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80" name="x_Picture 1" descr="Description: cid:image001.png@01D03949.49457930">
          <a:extLst>
            <a:ext uri="{FF2B5EF4-FFF2-40B4-BE49-F238E27FC236}">
              <a16:creationId xmlns:a16="http://schemas.microsoft.com/office/drawing/2014/main" id="{5BE1A038-6C52-4E93-9644-B2D815A5FD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81" name="x_Picture 1" descr="Description: cid:image001.png@01D03949.49457930">
          <a:extLst>
            <a:ext uri="{FF2B5EF4-FFF2-40B4-BE49-F238E27FC236}">
              <a16:creationId xmlns:a16="http://schemas.microsoft.com/office/drawing/2014/main" id="{84A32BA8-0DBA-4D94-B1D1-03684AAC29C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82" name="x_Picture 1" descr="Description: cid:image001.png@01D03949.49457930">
          <a:extLst>
            <a:ext uri="{FF2B5EF4-FFF2-40B4-BE49-F238E27FC236}">
              <a16:creationId xmlns:a16="http://schemas.microsoft.com/office/drawing/2014/main" id="{73DA583F-B93C-4610-AE28-03B3F33303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83" name="x_Picture 1" descr="Description: cid:image001.png@01D03949.49457930">
          <a:extLst>
            <a:ext uri="{FF2B5EF4-FFF2-40B4-BE49-F238E27FC236}">
              <a16:creationId xmlns:a16="http://schemas.microsoft.com/office/drawing/2014/main" id="{59F27DB2-9244-4DBA-BE23-DDB8E2B3FF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84" name="x_Picture 1" descr="Description: cid:image001.png@01D03949.49457930">
          <a:extLst>
            <a:ext uri="{FF2B5EF4-FFF2-40B4-BE49-F238E27FC236}">
              <a16:creationId xmlns:a16="http://schemas.microsoft.com/office/drawing/2014/main" id="{995B3C93-5640-4C89-A64B-7B5BD9B99CD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85" name="x_Picture 1" descr="Description: cid:image001.png@01D03949.49457930">
          <a:extLst>
            <a:ext uri="{FF2B5EF4-FFF2-40B4-BE49-F238E27FC236}">
              <a16:creationId xmlns:a16="http://schemas.microsoft.com/office/drawing/2014/main" id="{8D5B2264-629A-44FD-88CB-5CB5DAB0CC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86" name="x_Picture 1" descr="Description: cid:image001.png@01D03949.49457930">
          <a:extLst>
            <a:ext uri="{FF2B5EF4-FFF2-40B4-BE49-F238E27FC236}">
              <a16:creationId xmlns:a16="http://schemas.microsoft.com/office/drawing/2014/main" id="{2A6DEE60-5EFF-420B-846E-5D06D1540B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87" name="x_Picture 1" descr="Description: cid:image001.png@01D03949.49457930">
          <a:extLst>
            <a:ext uri="{FF2B5EF4-FFF2-40B4-BE49-F238E27FC236}">
              <a16:creationId xmlns:a16="http://schemas.microsoft.com/office/drawing/2014/main" id="{3E3A6912-859A-489A-A15B-044C3FB164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88" name="x_Picture 1" descr="Description: cid:image001.png@01D03949.49457930">
          <a:extLst>
            <a:ext uri="{FF2B5EF4-FFF2-40B4-BE49-F238E27FC236}">
              <a16:creationId xmlns:a16="http://schemas.microsoft.com/office/drawing/2014/main" id="{2A9C3CD5-0AEC-448F-96AF-D056500AA5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89" name="x_Picture 1" descr="Description: cid:image001.png@01D03949.49457930">
          <a:extLst>
            <a:ext uri="{FF2B5EF4-FFF2-40B4-BE49-F238E27FC236}">
              <a16:creationId xmlns:a16="http://schemas.microsoft.com/office/drawing/2014/main" id="{7D42087F-397F-4856-A83B-983834CDE3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90" name="x_Picture 1" descr="Description: cid:image001.png@01D03949.49457930">
          <a:extLst>
            <a:ext uri="{FF2B5EF4-FFF2-40B4-BE49-F238E27FC236}">
              <a16:creationId xmlns:a16="http://schemas.microsoft.com/office/drawing/2014/main" id="{E0570D96-DB42-42CA-8772-86B2C783B2F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91" name="x_Picture 1" descr="Description: cid:image001.png@01D03949.49457930">
          <a:extLst>
            <a:ext uri="{FF2B5EF4-FFF2-40B4-BE49-F238E27FC236}">
              <a16:creationId xmlns:a16="http://schemas.microsoft.com/office/drawing/2014/main" id="{ED3DEF48-D7FE-4617-9DF5-E025DB7566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392" name="x_Picture 1" descr="Description: cid:image001.png@01D03949.49457930">
          <a:extLst>
            <a:ext uri="{FF2B5EF4-FFF2-40B4-BE49-F238E27FC236}">
              <a16:creationId xmlns:a16="http://schemas.microsoft.com/office/drawing/2014/main" id="{B3ABDB55-8C4F-4BAC-B91C-A7C7238455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93" name="x_Picture 1" descr="Description: cid:image001.png@01D03949.49457930">
          <a:extLst>
            <a:ext uri="{FF2B5EF4-FFF2-40B4-BE49-F238E27FC236}">
              <a16:creationId xmlns:a16="http://schemas.microsoft.com/office/drawing/2014/main" id="{DF6C5EFE-CC06-4EE3-B7F9-A2E6A58D3F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94" name="x_Picture 1" descr="Description: cid:image001.png@01D03949.49457930">
          <a:extLst>
            <a:ext uri="{FF2B5EF4-FFF2-40B4-BE49-F238E27FC236}">
              <a16:creationId xmlns:a16="http://schemas.microsoft.com/office/drawing/2014/main" id="{1FC2A735-D664-40DD-8FC9-4AEB62A063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95" name="x_Picture 1" descr="Description: cid:image001.png@01D03949.49457930">
          <a:extLst>
            <a:ext uri="{FF2B5EF4-FFF2-40B4-BE49-F238E27FC236}">
              <a16:creationId xmlns:a16="http://schemas.microsoft.com/office/drawing/2014/main" id="{08248936-3CA7-4421-951E-CF4F5366FD1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96" name="x_Picture 1" descr="Description: cid:image001.png@01D03949.49457930">
          <a:extLst>
            <a:ext uri="{FF2B5EF4-FFF2-40B4-BE49-F238E27FC236}">
              <a16:creationId xmlns:a16="http://schemas.microsoft.com/office/drawing/2014/main" id="{07E12FD5-10E9-4CF3-8187-C8E8DF631B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97" name="x_Picture 1" descr="Description: cid:image001.png@01D03949.49457930">
          <a:extLst>
            <a:ext uri="{FF2B5EF4-FFF2-40B4-BE49-F238E27FC236}">
              <a16:creationId xmlns:a16="http://schemas.microsoft.com/office/drawing/2014/main" id="{1041F8BA-D83D-421F-9F94-7543DD9A55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98" name="x_Picture 1" descr="Description: cid:image001.png@01D03949.49457930">
          <a:extLst>
            <a:ext uri="{FF2B5EF4-FFF2-40B4-BE49-F238E27FC236}">
              <a16:creationId xmlns:a16="http://schemas.microsoft.com/office/drawing/2014/main" id="{03E58AEB-8BAB-4136-A198-C33A7E439E3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399" name="x_Picture 1" descr="Description: cid:image001.png@01D03949.49457930">
          <a:extLst>
            <a:ext uri="{FF2B5EF4-FFF2-40B4-BE49-F238E27FC236}">
              <a16:creationId xmlns:a16="http://schemas.microsoft.com/office/drawing/2014/main" id="{544483D6-B860-4028-9E13-BFF5B8F3DC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00" name="x_Picture 1" descr="Description: cid:image001.png@01D03949.49457930">
          <a:extLst>
            <a:ext uri="{FF2B5EF4-FFF2-40B4-BE49-F238E27FC236}">
              <a16:creationId xmlns:a16="http://schemas.microsoft.com/office/drawing/2014/main" id="{EB0C5091-F533-4E65-AB51-B199B76E42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01" name="x_Picture 1" descr="Description: cid:image001.png@01D03949.49457930">
          <a:extLst>
            <a:ext uri="{FF2B5EF4-FFF2-40B4-BE49-F238E27FC236}">
              <a16:creationId xmlns:a16="http://schemas.microsoft.com/office/drawing/2014/main" id="{2349006B-D61F-4089-88A8-F46D54F1D9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02" name="x_Picture 1" descr="Description: cid:image001.png@01D03949.49457930">
          <a:extLst>
            <a:ext uri="{FF2B5EF4-FFF2-40B4-BE49-F238E27FC236}">
              <a16:creationId xmlns:a16="http://schemas.microsoft.com/office/drawing/2014/main" id="{8A172296-10BA-45FE-8DF9-D97F1069EA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03" name="x_Picture 1" descr="Description: cid:image001.png@01D03949.49457930">
          <a:extLst>
            <a:ext uri="{FF2B5EF4-FFF2-40B4-BE49-F238E27FC236}">
              <a16:creationId xmlns:a16="http://schemas.microsoft.com/office/drawing/2014/main" id="{F6FC6002-0A5C-4320-9558-20A76928A22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04" name="x_Picture 1" descr="Description: cid:image001.png@01D03949.49457930">
          <a:extLst>
            <a:ext uri="{FF2B5EF4-FFF2-40B4-BE49-F238E27FC236}">
              <a16:creationId xmlns:a16="http://schemas.microsoft.com/office/drawing/2014/main" id="{DAE8C687-0DCB-4FD4-A112-AD9D40E628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05" name="x_Picture 1" descr="Description: cid:image001.png@01D03949.49457930">
          <a:extLst>
            <a:ext uri="{FF2B5EF4-FFF2-40B4-BE49-F238E27FC236}">
              <a16:creationId xmlns:a16="http://schemas.microsoft.com/office/drawing/2014/main" id="{FA67A50D-99AE-43B3-8C94-EF13D28247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06" name="x_Picture 1" descr="Description: cid:image001.png@01D03949.49457930">
          <a:extLst>
            <a:ext uri="{FF2B5EF4-FFF2-40B4-BE49-F238E27FC236}">
              <a16:creationId xmlns:a16="http://schemas.microsoft.com/office/drawing/2014/main" id="{21042EB3-1C0D-47F2-8BA6-60C30FB81D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07" name="x_Picture 1" descr="Description: cid:image001.png@01D03949.49457930">
          <a:extLst>
            <a:ext uri="{FF2B5EF4-FFF2-40B4-BE49-F238E27FC236}">
              <a16:creationId xmlns:a16="http://schemas.microsoft.com/office/drawing/2014/main" id="{687E3CC0-7B0D-4441-A0E9-4DAFCE0A69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08" name="x_Picture 1" descr="Description: cid:image001.png@01D03949.49457930">
          <a:extLst>
            <a:ext uri="{FF2B5EF4-FFF2-40B4-BE49-F238E27FC236}">
              <a16:creationId xmlns:a16="http://schemas.microsoft.com/office/drawing/2014/main" id="{620D5456-34DA-49D6-BAD3-5904768A82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09" name="x_Picture 1" descr="Description: cid:image001.png@01D03949.49457930">
          <a:extLst>
            <a:ext uri="{FF2B5EF4-FFF2-40B4-BE49-F238E27FC236}">
              <a16:creationId xmlns:a16="http://schemas.microsoft.com/office/drawing/2014/main" id="{3493A85F-2884-496C-A92D-15481CA6ED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10" name="x_Picture 1" descr="Description: cid:image001.png@01D03949.49457930">
          <a:extLst>
            <a:ext uri="{FF2B5EF4-FFF2-40B4-BE49-F238E27FC236}">
              <a16:creationId xmlns:a16="http://schemas.microsoft.com/office/drawing/2014/main" id="{FD5842C4-F8F6-4CF8-AC76-2062A0B202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11" name="x_Picture 1" descr="Description: cid:image001.png@01D03949.49457930">
          <a:extLst>
            <a:ext uri="{FF2B5EF4-FFF2-40B4-BE49-F238E27FC236}">
              <a16:creationId xmlns:a16="http://schemas.microsoft.com/office/drawing/2014/main" id="{A3EBCD81-46E8-460F-9AC2-2D9F9798A1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12" name="x_Picture 1" descr="Description: cid:image001.png@01D03949.49457930">
          <a:extLst>
            <a:ext uri="{FF2B5EF4-FFF2-40B4-BE49-F238E27FC236}">
              <a16:creationId xmlns:a16="http://schemas.microsoft.com/office/drawing/2014/main" id="{6B8C9F78-731A-4803-B677-8A36E5AD55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13" name="x_Picture 1" descr="Description: cid:image001.png@01D03949.49457930">
          <a:extLst>
            <a:ext uri="{FF2B5EF4-FFF2-40B4-BE49-F238E27FC236}">
              <a16:creationId xmlns:a16="http://schemas.microsoft.com/office/drawing/2014/main" id="{96981598-EE4A-4BA9-8500-916E0AC382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14" name="x_Picture 1" descr="Description: cid:image001.png@01D03949.49457930">
          <a:extLst>
            <a:ext uri="{FF2B5EF4-FFF2-40B4-BE49-F238E27FC236}">
              <a16:creationId xmlns:a16="http://schemas.microsoft.com/office/drawing/2014/main" id="{AC21FA30-A0F3-4E74-8E1C-8C5D857BB3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15" name="x_Picture 1" descr="Description: cid:image001.png@01D03949.49457930">
          <a:extLst>
            <a:ext uri="{FF2B5EF4-FFF2-40B4-BE49-F238E27FC236}">
              <a16:creationId xmlns:a16="http://schemas.microsoft.com/office/drawing/2014/main" id="{671D2A0D-1B9D-4B4F-8A2B-D8D7CD8638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16" name="x_Picture 1" descr="Description: cid:image001.png@01D03949.49457930">
          <a:extLst>
            <a:ext uri="{FF2B5EF4-FFF2-40B4-BE49-F238E27FC236}">
              <a16:creationId xmlns:a16="http://schemas.microsoft.com/office/drawing/2014/main" id="{7A81A7EB-0D59-40DC-93F1-5DD3D96A23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17" name="x_Picture 1" descr="Description: cid:image001.png@01D03949.49457930">
          <a:extLst>
            <a:ext uri="{FF2B5EF4-FFF2-40B4-BE49-F238E27FC236}">
              <a16:creationId xmlns:a16="http://schemas.microsoft.com/office/drawing/2014/main" id="{BC1232B7-1911-44F7-8D09-186E1E3A7A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18" name="x_Picture 1" descr="Description: cid:image001.png@01D03949.49457930">
          <a:extLst>
            <a:ext uri="{FF2B5EF4-FFF2-40B4-BE49-F238E27FC236}">
              <a16:creationId xmlns:a16="http://schemas.microsoft.com/office/drawing/2014/main" id="{62338024-A2C6-44CC-9717-D9D7A066CA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19" name="x_Picture 1" descr="Description: cid:image001.png@01D03949.49457930">
          <a:extLst>
            <a:ext uri="{FF2B5EF4-FFF2-40B4-BE49-F238E27FC236}">
              <a16:creationId xmlns:a16="http://schemas.microsoft.com/office/drawing/2014/main" id="{A39A5799-A724-494C-844B-E372C1FD111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20" name="x_Picture 1" descr="Description: cid:image001.png@01D03949.49457930">
          <a:extLst>
            <a:ext uri="{FF2B5EF4-FFF2-40B4-BE49-F238E27FC236}">
              <a16:creationId xmlns:a16="http://schemas.microsoft.com/office/drawing/2014/main" id="{137AFED3-DE92-4668-84B9-806E3C9BAD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21" name="x_Picture 1" descr="Description: cid:image001.png@01D03949.49457930">
          <a:extLst>
            <a:ext uri="{FF2B5EF4-FFF2-40B4-BE49-F238E27FC236}">
              <a16:creationId xmlns:a16="http://schemas.microsoft.com/office/drawing/2014/main" id="{27639BEF-1AE3-4986-8706-277ADAB8C26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22" name="x_Picture 1" descr="Description: cid:image001.png@01D03949.49457930">
          <a:extLst>
            <a:ext uri="{FF2B5EF4-FFF2-40B4-BE49-F238E27FC236}">
              <a16:creationId xmlns:a16="http://schemas.microsoft.com/office/drawing/2014/main" id="{14C861CD-33DA-48DC-8501-0D6571A0CC7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23" name="x_Picture 1" descr="Description: cid:image001.png@01D03949.49457930">
          <a:extLst>
            <a:ext uri="{FF2B5EF4-FFF2-40B4-BE49-F238E27FC236}">
              <a16:creationId xmlns:a16="http://schemas.microsoft.com/office/drawing/2014/main" id="{EFDD89DA-86A8-4987-BC0B-0906292D24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24" name="x_Picture 1" descr="Description: cid:image001.png@01D03949.49457930">
          <a:extLst>
            <a:ext uri="{FF2B5EF4-FFF2-40B4-BE49-F238E27FC236}">
              <a16:creationId xmlns:a16="http://schemas.microsoft.com/office/drawing/2014/main" id="{61D181EA-353B-45B5-91D2-117ECB19AD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25" name="x_Picture 1" descr="Description: cid:image001.png@01D03949.49457930">
          <a:extLst>
            <a:ext uri="{FF2B5EF4-FFF2-40B4-BE49-F238E27FC236}">
              <a16:creationId xmlns:a16="http://schemas.microsoft.com/office/drawing/2014/main" id="{C692E33A-EDDD-44D1-9803-4B04BB1BEF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26" name="x_Picture 1" descr="Description: cid:image001.png@01D03949.49457930">
          <a:extLst>
            <a:ext uri="{FF2B5EF4-FFF2-40B4-BE49-F238E27FC236}">
              <a16:creationId xmlns:a16="http://schemas.microsoft.com/office/drawing/2014/main" id="{E9EECDB8-75D7-4F9C-B7ED-77ADF5FF30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27" name="x_Picture 1" descr="Description: cid:image001.png@01D03949.49457930">
          <a:extLst>
            <a:ext uri="{FF2B5EF4-FFF2-40B4-BE49-F238E27FC236}">
              <a16:creationId xmlns:a16="http://schemas.microsoft.com/office/drawing/2014/main" id="{5B10EA9D-1D59-4CD2-AB4C-957B2C0E08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28" name="x_Picture 1" descr="Description: cid:image001.png@01D03949.49457930">
          <a:extLst>
            <a:ext uri="{FF2B5EF4-FFF2-40B4-BE49-F238E27FC236}">
              <a16:creationId xmlns:a16="http://schemas.microsoft.com/office/drawing/2014/main" id="{6AF581AA-E7FC-40A9-B2AC-5A85183623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29" name="x_Picture 1" descr="Description: cid:image001.png@01D03949.49457930">
          <a:extLst>
            <a:ext uri="{FF2B5EF4-FFF2-40B4-BE49-F238E27FC236}">
              <a16:creationId xmlns:a16="http://schemas.microsoft.com/office/drawing/2014/main" id="{BD9BFFA4-F5C4-4FA6-A31E-21044E9A00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30" name="x_Picture 1" descr="Description: cid:image001.png@01D03949.49457930">
          <a:extLst>
            <a:ext uri="{FF2B5EF4-FFF2-40B4-BE49-F238E27FC236}">
              <a16:creationId xmlns:a16="http://schemas.microsoft.com/office/drawing/2014/main" id="{AB4B78FB-9DF0-4A7C-A103-88C796E91D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31" name="x_Picture 1" descr="Description: cid:image001.png@01D03949.49457930">
          <a:extLst>
            <a:ext uri="{FF2B5EF4-FFF2-40B4-BE49-F238E27FC236}">
              <a16:creationId xmlns:a16="http://schemas.microsoft.com/office/drawing/2014/main" id="{C988A0A0-706D-4F05-ADB0-954D372C58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32" name="x_Picture 1" descr="Description: cid:image001.png@01D03949.49457930">
          <a:extLst>
            <a:ext uri="{FF2B5EF4-FFF2-40B4-BE49-F238E27FC236}">
              <a16:creationId xmlns:a16="http://schemas.microsoft.com/office/drawing/2014/main" id="{57F9C2D2-F947-4A7C-8557-2679A3B5FE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33" name="x_Picture 1" descr="Description: cid:image001.png@01D03949.49457930">
          <a:extLst>
            <a:ext uri="{FF2B5EF4-FFF2-40B4-BE49-F238E27FC236}">
              <a16:creationId xmlns:a16="http://schemas.microsoft.com/office/drawing/2014/main" id="{445CFA88-CB54-4EBC-BE66-9AFBD52231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34" name="x_Picture 1" descr="Description: cid:image001.png@01D03949.49457930">
          <a:extLst>
            <a:ext uri="{FF2B5EF4-FFF2-40B4-BE49-F238E27FC236}">
              <a16:creationId xmlns:a16="http://schemas.microsoft.com/office/drawing/2014/main" id="{E074DCAE-3DE3-4F1F-A725-0901438F9F3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35" name="x_Picture 1" descr="Description: cid:image001.png@01D03949.49457930">
          <a:extLst>
            <a:ext uri="{FF2B5EF4-FFF2-40B4-BE49-F238E27FC236}">
              <a16:creationId xmlns:a16="http://schemas.microsoft.com/office/drawing/2014/main" id="{0EEE2711-55AF-48A7-A08C-14E82832E70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36" name="x_Picture 1" descr="Description: cid:image001.png@01D03949.49457930">
          <a:extLst>
            <a:ext uri="{FF2B5EF4-FFF2-40B4-BE49-F238E27FC236}">
              <a16:creationId xmlns:a16="http://schemas.microsoft.com/office/drawing/2014/main" id="{4FF6D5B6-9546-4B2B-A1E8-11936B4F03B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37" name="x_Picture 1" descr="Description: cid:image001.png@01D03949.49457930">
          <a:extLst>
            <a:ext uri="{FF2B5EF4-FFF2-40B4-BE49-F238E27FC236}">
              <a16:creationId xmlns:a16="http://schemas.microsoft.com/office/drawing/2014/main" id="{1055C151-E85F-450C-841D-FF65B8ADC5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38" name="x_Picture 1" descr="Description: cid:image001.png@01D03949.49457930">
          <a:extLst>
            <a:ext uri="{FF2B5EF4-FFF2-40B4-BE49-F238E27FC236}">
              <a16:creationId xmlns:a16="http://schemas.microsoft.com/office/drawing/2014/main" id="{203A1011-CE52-4047-ABA5-DFE6CE981C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39" name="x_Picture 1" descr="Description: cid:image001.png@01D03949.49457930">
          <a:extLst>
            <a:ext uri="{FF2B5EF4-FFF2-40B4-BE49-F238E27FC236}">
              <a16:creationId xmlns:a16="http://schemas.microsoft.com/office/drawing/2014/main" id="{5827B855-A3BE-49DC-BC14-15EC8A8923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40" name="x_Picture 1" descr="Description: cid:image001.png@01D03949.49457930">
          <a:extLst>
            <a:ext uri="{FF2B5EF4-FFF2-40B4-BE49-F238E27FC236}">
              <a16:creationId xmlns:a16="http://schemas.microsoft.com/office/drawing/2014/main" id="{AB49E75D-E264-43DF-84B7-E07CECB34E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41" name="x_Picture 1" descr="Description: cid:image001.png@01D03949.49457930">
          <a:extLst>
            <a:ext uri="{FF2B5EF4-FFF2-40B4-BE49-F238E27FC236}">
              <a16:creationId xmlns:a16="http://schemas.microsoft.com/office/drawing/2014/main" id="{34CA3C89-6A00-4A15-974B-BE6F93FCC1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42" name="x_Picture 1" descr="Description: cid:image001.png@01D03949.49457930">
          <a:extLst>
            <a:ext uri="{FF2B5EF4-FFF2-40B4-BE49-F238E27FC236}">
              <a16:creationId xmlns:a16="http://schemas.microsoft.com/office/drawing/2014/main" id="{90C37DD7-87E0-4351-97FD-A01F8494A4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43" name="x_Picture 1" descr="Description: cid:image001.png@01D03949.49457930">
          <a:extLst>
            <a:ext uri="{FF2B5EF4-FFF2-40B4-BE49-F238E27FC236}">
              <a16:creationId xmlns:a16="http://schemas.microsoft.com/office/drawing/2014/main" id="{5417AC5C-B46D-49BE-996F-42F222E81B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44" name="x_Picture 1" descr="Description: cid:image001.png@01D03949.49457930">
          <a:extLst>
            <a:ext uri="{FF2B5EF4-FFF2-40B4-BE49-F238E27FC236}">
              <a16:creationId xmlns:a16="http://schemas.microsoft.com/office/drawing/2014/main" id="{EBD49B84-8129-4C0E-99BC-D010B3CBB4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45" name="x_Picture 1" descr="Description: cid:image001.png@01D03949.49457930">
          <a:extLst>
            <a:ext uri="{FF2B5EF4-FFF2-40B4-BE49-F238E27FC236}">
              <a16:creationId xmlns:a16="http://schemas.microsoft.com/office/drawing/2014/main" id="{A1FE67A5-3D25-4014-8827-73197461AC9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46" name="x_Picture 1" descr="Description: cid:image001.png@01D03949.49457930">
          <a:extLst>
            <a:ext uri="{FF2B5EF4-FFF2-40B4-BE49-F238E27FC236}">
              <a16:creationId xmlns:a16="http://schemas.microsoft.com/office/drawing/2014/main" id="{3EED5C3F-6432-4293-B396-701A845BF0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47" name="x_Picture 1" descr="Description: cid:image001.png@01D03949.49457930">
          <a:extLst>
            <a:ext uri="{FF2B5EF4-FFF2-40B4-BE49-F238E27FC236}">
              <a16:creationId xmlns:a16="http://schemas.microsoft.com/office/drawing/2014/main" id="{09010325-2063-41BB-9666-E606C965A8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48" name="x_Picture 1" descr="Description: cid:image001.png@01D03949.49457930">
          <a:extLst>
            <a:ext uri="{FF2B5EF4-FFF2-40B4-BE49-F238E27FC236}">
              <a16:creationId xmlns:a16="http://schemas.microsoft.com/office/drawing/2014/main" id="{97878248-2E5D-48C1-A4BA-DC1A3323E4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49" name="x_Picture 1" descr="Description: cid:image001.png@01D03949.49457930">
          <a:extLst>
            <a:ext uri="{FF2B5EF4-FFF2-40B4-BE49-F238E27FC236}">
              <a16:creationId xmlns:a16="http://schemas.microsoft.com/office/drawing/2014/main" id="{5EE2A260-7F03-405F-8FC0-D1284AF133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50" name="x_Picture 1" descr="Description: cid:image001.png@01D03949.49457930">
          <a:extLst>
            <a:ext uri="{FF2B5EF4-FFF2-40B4-BE49-F238E27FC236}">
              <a16:creationId xmlns:a16="http://schemas.microsoft.com/office/drawing/2014/main" id="{3C152420-1412-4A36-BEA0-D07F9E66C1D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51" name="x_Picture 1" descr="Description: cid:image001.png@01D03949.49457930">
          <a:extLst>
            <a:ext uri="{FF2B5EF4-FFF2-40B4-BE49-F238E27FC236}">
              <a16:creationId xmlns:a16="http://schemas.microsoft.com/office/drawing/2014/main" id="{56E606F0-4B11-445B-BF0C-FC53FAD2B3C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52" name="x_Picture 1" descr="Description: cid:image001.png@01D03949.49457930">
          <a:extLst>
            <a:ext uri="{FF2B5EF4-FFF2-40B4-BE49-F238E27FC236}">
              <a16:creationId xmlns:a16="http://schemas.microsoft.com/office/drawing/2014/main" id="{9F7FCA47-E429-4F0B-9F1E-637F0844571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53" name="x_Picture 1" descr="Description: cid:image001.png@01D03949.49457930">
          <a:extLst>
            <a:ext uri="{FF2B5EF4-FFF2-40B4-BE49-F238E27FC236}">
              <a16:creationId xmlns:a16="http://schemas.microsoft.com/office/drawing/2014/main" id="{DF2222CD-86A7-4015-ABB1-2BCB5F6C6A7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54" name="x_Picture 1" descr="Description: cid:image001.png@01D03949.49457930">
          <a:extLst>
            <a:ext uri="{FF2B5EF4-FFF2-40B4-BE49-F238E27FC236}">
              <a16:creationId xmlns:a16="http://schemas.microsoft.com/office/drawing/2014/main" id="{69420D09-7CFC-45C5-8B6A-50F1FBCC383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55" name="x_Picture 1" descr="Description: cid:image001.png@01D03949.49457930">
          <a:extLst>
            <a:ext uri="{FF2B5EF4-FFF2-40B4-BE49-F238E27FC236}">
              <a16:creationId xmlns:a16="http://schemas.microsoft.com/office/drawing/2014/main" id="{EA54F53D-CBA3-44F1-BFFF-3BF204C8FE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56" name="x_Picture 1" descr="Description: cid:image001.png@01D03949.49457930">
          <a:extLst>
            <a:ext uri="{FF2B5EF4-FFF2-40B4-BE49-F238E27FC236}">
              <a16:creationId xmlns:a16="http://schemas.microsoft.com/office/drawing/2014/main" id="{0828B507-40B0-4648-BABB-875A47CC134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42</xdr:row>
      <xdr:rowOff>0</xdr:rowOff>
    </xdr:from>
    <xdr:ext cx="279605" cy="315045"/>
    <xdr:sp macro="" textlink="">
      <xdr:nvSpPr>
        <xdr:cNvPr id="4457" name="x_Picture 1" descr="Description: cid:image001.png@01D03949.49457930">
          <a:extLst>
            <a:ext uri="{FF2B5EF4-FFF2-40B4-BE49-F238E27FC236}">
              <a16:creationId xmlns:a16="http://schemas.microsoft.com/office/drawing/2014/main" id="{9735B163-705B-4306-B253-8E69714689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58" name="x_Picture 1" descr="Description: cid:image001.png@01D03949.49457930">
          <a:extLst>
            <a:ext uri="{FF2B5EF4-FFF2-40B4-BE49-F238E27FC236}">
              <a16:creationId xmlns:a16="http://schemas.microsoft.com/office/drawing/2014/main" id="{3BDB867D-C534-4CAB-BCDF-17547CE49F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59" name="x_Picture 1" descr="Description: cid:image001.png@01D03949.49457930">
          <a:extLst>
            <a:ext uri="{FF2B5EF4-FFF2-40B4-BE49-F238E27FC236}">
              <a16:creationId xmlns:a16="http://schemas.microsoft.com/office/drawing/2014/main" id="{3EF1D3DA-8C5A-4FC2-8368-3881A669C7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60" name="x_Picture 1" descr="Description: cid:image001.png@01D03949.49457930">
          <a:extLst>
            <a:ext uri="{FF2B5EF4-FFF2-40B4-BE49-F238E27FC236}">
              <a16:creationId xmlns:a16="http://schemas.microsoft.com/office/drawing/2014/main" id="{DCB40EBB-6AE9-4715-A4D3-0703F5C1AE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61" name="x_Picture 1" descr="Description: cid:image001.png@01D03949.49457930">
          <a:extLst>
            <a:ext uri="{FF2B5EF4-FFF2-40B4-BE49-F238E27FC236}">
              <a16:creationId xmlns:a16="http://schemas.microsoft.com/office/drawing/2014/main" id="{3EB4810A-5C6A-447B-BB77-26D9C61578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62" name="x_Picture 1" descr="Description: cid:image001.png@01D03949.49457930">
          <a:extLst>
            <a:ext uri="{FF2B5EF4-FFF2-40B4-BE49-F238E27FC236}">
              <a16:creationId xmlns:a16="http://schemas.microsoft.com/office/drawing/2014/main" id="{7BBA4354-5E70-418B-944A-D35536AD27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63" name="x_Picture 1" descr="Description: cid:image001.png@01D03949.49457930">
          <a:extLst>
            <a:ext uri="{FF2B5EF4-FFF2-40B4-BE49-F238E27FC236}">
              <a16:creationId xmlns:a16="http://schemas.microsoft.com/office/drawing/2014/main" id="{B1739EEE-F0A1-460B-B205-BC7712B1E9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64" name="x_Picture 1" descr="Description: cid:image001.png@01D03949.49457930">
          <a:extLst>
            <a:ext uri="{FF2B5EF4-FFF2-40B4-BE49-F238E27FC236}">
              <a16:creationId xmlns:a16="http://schemas.microsoft.com/office/drawing/2014/main" id="{195E6A10-2EE1-484B-8BA3-26C6E18DFE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65" name="x_Picture 1" descr="Description: cid:image001.png@01D03949.49457930">
          <a:extLst>
            <a:ext uri="{FF2B5EF4-FFF2-40B4-BE49-F238E27FC236}">
              <a16:creationId xmlns:a16="http://schemas.microsoft.com/office/drawing/2014/main" id="{2EE9A67D-6EF9-49B6-83E9-FFD92F7385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66" name="x_Picture 1" descr="Description: cid:image001.png@01D03949.49457930">
          <a:extLst>
            <a:ext uri="{FF2B5EF4-FFF2-40B4-BE49-F238E27FC236}">
              <a16:creationId xmlns:a16="http://schemas.microsoft.com/office/drawing/2014/main" id="{3A87759C-D89D-4033-AC18-41F863BA09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42</xdr:row>
      <xdr:rowOff>0</xdr:rowOff>
    </xdr:from>
    <xdr:ext cx="279605" cy="315045"/>
    <xdr:sp macro="" textlink="">
      <xdr:nvSpPr>
        <xdr:cNvPr id="4467" name="x_Picture 1" descr="Description: cid:image001.png@01D03949.49457930">
          <a:extLst>
            <a:ext uri="{FF2B5EF4-FFF2-40B4-BE49-F238E27FC236}">
              <a16:creationId xmlns:a16="http://schemas.microsoft.com/office/drawing/2014/main" id="{7CA7C289-476D-484E-BA4A-DE745A7913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68" name="x_Picture 1" descr="Description: cid:image001.png@01D03949.49457930">
          <a:extLst>
            <a:ext uri="{FF2B5EF4-FFF2-40B4-BE49-F238E27FC236}">
              <a16:creationId xmlns:a16="http://schemas.microsoft.com/office/drawing/2014/main" id="{33ABE552-2C1C-4937-8E5C-742DB3527E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69" name="x_Picture 1" descr="Description: cid:image001.png@01D03949.49457930">
          <a:extLst>
            <a:ext uri="{FF2B5EF4-FFF2-40B4-BE49-F238E27FC236}">
              <a16:creationId xmlns:a16="http://schemas.microsoft.com/office/drawing/2014/main" id="{0ECB0FF4-1367-4801-B1CE-7AAEBF545F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0" name="x_Picture 1" descr="Description: cid:image001.png@01D03949.49457930">
          <a:extLst>
            <a:ext uri="{FF2B5EF4-FFF2-40B4-BE49-F238E27FC236}">
              <a16:creationId xmlns:a16="http://schemas.microsoft.com/office/drawing/2014/main" id="{8C1CC738-F01D-477F-AD69-A4D2935063B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1" name="x_Picture 1" descr="Description: cid:image001.png@01D03949.49457930">
          <a:extLst>
            <a:ext uri="{FF2B5EF4-FFF2-40B4-BE49-F238E27FC236}">
              <a16:creationId xmlns:a16="http://schemas.microsoft.com/office/drawing/2014/main" id="{C28CD2F0-A808-482B-90F6-60A66F6F03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2" name="x_Picture 1" descr="Description: cid:image001.png@01D03949.49457930">
          <a:extLst>
            <a:ext uri="{FF2B5EF4-FFF2-40B4-BE49-F238E27FC236}">
              <a16:creationId xmlns:a16="http://schemas.microsoft.com/office/drawing/2014/main" id="{76D240A8-0A16-4F3B-BABE-7B26E6E816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3" name="x_Picture 1" descr="Description: cid:image001.png@01D03949.49457930">
          <a:extLst>
            <a:ext uri="{FF2B5EF4-FFF2-40B4-BE49-F238E27FC236}">
              <a16:creationId xmlns:a16="http://schemas.microsoft.com/office/drawing/2014/main" id="{93EDDC81-BD67-4028-AE52-FF777FA4AA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4" name="x_Picture 1" descr="Description: cid:image001.png@01D03949.49457930">
          <a:extLst>
            <a:ext uri="{FF2B5EF4-FFF2-40B4-BE49-F238E27FC236}">
              <a16:creationId xmlns:a16="http://schemas.microsoft.com/office/drawing/2014/main" id="{E06F8EF7-844D-4C82-BFB4-F338A9E66A2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5" name="x_Picture 1" descr="Description: cid:image001.png@01D03949.49457930">
          <a:extLst>
            <a:ext uri="{FF2B5EF4-FFF2-40B4-BE49-F238E27FC236}">
              <a16:creationId xmlns:a16="http://schemas.microsoft.com/office/drawing/2014/main" id="{3691D118-5FB6-4D3F-93A5-5BA6A8CADB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6" name="x_Picture 1" descr="Description: cid:image001.png@01D03949.49457930">
          <a:extLst>
            <a:ext uri="{FF2B5EF4-FFF2-40B4-BE49-F238E27FC236}">
              <a16:creationId xmlns:a16="http://schemas.microsoft.com/office/drawing/2014/main" id="{FDFB72B1-E822-4A51-A066-CEB8275D2C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7" name="x_Picture 1" descr="Description: cid:image001.png@01D03949.49457930">
          <a:extLst>
            <a:ext uri="{FF2B5EF4-FFF2-40B4-BE49-F238E27FC236}">
              <a16:creationId xmlns:a16="http://schemas.microsoft.com/office/drawing/2014/main" id="{85BA54A1-48B2-4235-A055-24D673DFE2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8" name="x_Picture 1" descr="Description: cid:image001.png@01D03949.49457930">
          <a:extLst>
            <a:ext uri="{FF2B5EF4-FFF2-40B4-BE49-F238E27FC236}">
              <a16:creationId xmlns:a16="http://schemas.microsoft.com/office/drawing/2014/main" id="{261126B8-CFE4-4377-A9B7-A9B3EA3BEB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79" name="x_Picture 1" descr="Description: cid:image001.png@01D03949.49457930">
          <a:extLst>
            <a:ext uri="{FF2B5EF4-FFF2-40B4-BE49-F238E27FC236}">
              <a16:creationId xmlns:a16="http://schemas.microsoft.com/office/drawing/2014/main" id="{3C170F5B-BCD2-44F8-99E5-243C5D4F7D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80" name="x_Picture 1" descr="Description: cid:image001.png@01D03949.49457930">
          <a:extLst>
            <a:ext uri="{FF2B5EF4-FFF2-40B4-BE49-F238E27FC236}">
              <a16:creationId xmlns:a16="http://schemas.microsoft.com/office/drawing/2014/main" id="{4A26E486-2704-4EE0-9E63-5B3E614871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81" name="x_Picture 1" descr="Description: cid:image001.png@01D03949.49457930">
          <a:extLst>
            <a:ext uri="{FF2B5EF4-FFF2-40B4-BE49-F238E27FC236}">
              <a16:creationId xmlns:a16="http://schemas.microsoft.com/office/drawing/2014/main" id="{2979AF7E-A84E-459D-87FE-6111156B3D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82" name="x_Picture 1" descr="Description: cid:image001.png@01D03949.49457930">
          <a:extLst>
            <a:ext uri="{FF2B5EF4-FFF2-40B4-BE49-F238E27FC236}">
              <a16:creationId xmlns:a16="http://schemas.microsoft.com/office/drawing/2014/main" id="{4B0D0FBA-14D6-4569-8F2D-33434F4DD9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83" name="x_Picture 1" descr="Description: cid:image001.png@01D03949.49457930">
          <a:extLst>
            <a:ext uri="{FF2B5EF4-FFF2-40B4-BE49-F238E27FC236}">
              <a16:creationId xmlns:a16="http://schemas.microsoft.com/office/drawing/2014/main" id="{C140D8BC-B08A-47E1-94B0-AA25C94245B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84" name="x_Picture 1" descr="Description: cid:image001.png@01D03949.49457930">
          <a:extLst>
            <a:ext uri="{FF2B5EF4-FFF2-40B4-BE49-F238E27FC236}">
              <a16:creationId xmlns:a16="http://schemas.microsoft.com/office/drawing/2014/main" id="{D7918F75-76D0-4202-BFB3-D4270C9898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85" name="x_Picture 1" descr="Description: cid:image001.png@01D03949.49457930">
          <a:extLst>
            <a:ext uri="{FF2B5EF4-FFF2-40B4-BE49-F238E27FC236}">
              <a16:creationId xmlns:a16="http://schemas.microsoft.com/office/drawing/2014/main" id="{E9889115-A3D5-4109-871B-518C8066AD3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86" name="x_Picture 1" descr="Description: cid:image001.png@01D03949.49457930">
          <a:extLst>
            <a:ext uri="{FF2B5EF4-FFF2-40B4-BE49-F238E27FC236}">
              <a16:creationId xmlns:a16="http://schemas.microsoft.com/office/drawing/2014/main" id="{490C0A93-4837-4534-9DE5-2421679B759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87" name="x_Picture 1" descr="Description: cid:image001.png@01D03949.49457930">
          <a:extLst>
            <a:ext uri="{FF2B5EF4-FFF2-40B4-BE49-F238E27FC236}">
              <a16:creationId xmlns:a16="http://schemas.microsoft.com/office/drawing/2014/main" id="{EE9A89A9-B2F2-4717-99D0-2BE3F59251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88" name="x_Picture 1" descr="Description: cid:image001.png@01D03949.49457930">
          <a:extLst>
            <a:ext uri="{FF2B5EF4-FFF2-40B4-BE49-F238E27FC236}">
              <a16:creationId xmlns:a16="http://schemas.microsoft.com/office/drawing/2014/main" id="{47174169-55A4-4E82-B1CD-125428D01A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89" name="x_Picture 1" descr="Description: cid:image001.png@01D03949.49457930">
          <a:extLst>
            <a:ext uri="{FF2B5EF4-FFF2-40B4-BE49-F238E27FC236}">
              <a16:creationId xmlns:a16="http://schemas.microsoft.com/office/drawing/2014/main" id="{E2E1DB9E-65FD-4EFD-8077-C886AC273E3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90" name="x_Picture 1" descr="Description: cid:image001.png@01D03949.49457930">
          <a:extLst>
            <a:ext uri="{FF2B5EF4-FFF2-40B4-BE49-F238E27FC236}">
              <a16:creationId xmlns:a16="http://schemas.microsoft.com/office/drawing/2014/main" id="{A0DB000C-FCCB-40A4-AA1A-1067A875BD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91" name="x_Picture 1" descr="Description: cid:image001.png@01D03949.49457930">
          <a:extLst>
            <a:ext uri="{FF2B5EF4-FFF2-40B4-BE49-F238E27FC236}">
              <a16:creationId xmlns:a16="http://schemas.microsoft.com/office/drawing/2014/main" id="{A998257A-55BE-41A0-BDFC-5F6C6E02EEB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92" name="x_Picture 1" descr="Description: cid:image001.png@01D03949.49457930">
          <a:extLst>
            <a:ext uri="{FF2B5EF4-FFF2-40B4-BE49-F238E27FC236}">
              <a16:creationId xmlns:a16="http://schemas.microsoft.com/office/drawing/2014/main" id="{8646A567-EDD6-4ED8-8145-EC4ED236CF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93" name="x_Picture 1" descr="Description: cid:image001.png@01D03949.49457930">
          <a:extLst>
            <a:ext uri="{FF2B5EF4-FFF2-40B4-BE49-F238E27FC236}">
              <a16:creationId xmlns:a16="http://schemas.microsoft.com/office/drawing/2014/main" id="{7C04825F-7010-4406-A2CB-C0B75E4138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94" name="x_Picture 1" descr="Description: cid:image001.png@01D03949.49457930">
          <a:extLst>
            <a:ext uri="{FF2B5EF4-FFF2-40B4-BE49-F238E27FC236}">
              <a16:creationId xmlns:a16="http://schemas.microsoft.com/office/drawing/2014/main" id="{E14FFD69-5530-49D4-80E1-DDA0AE56033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495" name="x_Picture 1" descr="Description: cid:image001.png@01D03949.49457930">
          <a:extLst>
            <a:ext uri="{FF2B5EF4-FFF2-40B4-BE49-F238E27FC236}">
              <a16:creationId xmlns:a16="http://schemas.microsoft.com/office/drawing/2014/main" id="{66C22B28-12DD-46B1-A766-864EDD97097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96" name="x_Picture 1" descr="Description: cid:image001.png@01D03949.49457930">
          <a:extLst>
            <a:ext uri="{FF2B5EF4-FFF2-40B4-BE49-F238E27FC236}">
              <a16:creationId xmlns:a16="http://schemas.microsoft.com/office/drawing/2014/main" id="{E8ADCB1C-EEAA-4E27-A13D-A1936AEBC8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97" name="x_Picture 1" descr="Description: cid:image001.png@01D03949.49457930">
          <a:extLst>
            <a:ext uri="{FF2B5EF4-FFF2-40B4-BE49-F238E27FC236}">
              <a16:creationId xmlns:a16="http://schemas.microsoft.com/office/drawing/2014/main" id="{38BB085F-9BF6-4CBD-B394-19D8B7F6C0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98" name="x_Picture 1" descr="Description: cid:image001.png@01D03949.49457930">
          <a:extLst>
            <a:ext uri="{FF2B5EF4-FFF2-40B4-BE49-F238E27FC236}">
              <a16:creationId xmlns:a16="http://schemas.microsoft.com/office/drawing/2014/main" id="{CEF94032-C562-4CA4-B2CF-EBDD4A495B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499" name="x_Picture 1" descr="Description: cid:image001.png@01D03949.49457930">
          <a:extLst>
            <a:ext uri="{FF2B5EF4-FFF2-40B4-BE49-F238E27FC236}">
              <a16:creationId xmlns:a16="http://schemas.microsoft.com/office/drawing/2014/main" id="{DB189BEE-EBC6-4BC2-95C8-A2E83F3BD7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00" name="x_Picture 1" descr="Description: cid:image001.png@01D03949.49457930">
          <a:extLst>
            <a:ext uri="{FF2B5EF4-FFF2-40B4-BE49-F238E27FC236}">
              <a16:creationId xmlns:a16="http://schemas.microsoft.com/office/drawing/2014/main" id="{FA5C5B59-07EF-43D0-AB6D-3A3803EB85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01" name="x_Picture 1" descr="Description: cid:image001.png@01D03949.49457930">
          <a:extLst>
            <a:ext uri="{FF2B5EF4-FFF2-40B4-BE49-F238E27FC236}">
              <a16:creationId xmlns:a16="http://schemas.microsoft.com/office/drawing/2014/main" id="{794BA725-115B-4A8D-8605-17B855E23C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02" name="x_Picture 1" descr="Description: cid:image001.png@01D03949.49457930">
          <a:extLst>
            <a:ext uri="{FF2B5EF4-FFF2-40B4-BE49-F238E27FC236}">
              <a16:creationId xmlns:a16="http://schemas.microsoft.com/office/drawing/2014/main" id="{9519B15B-6367-439A-A9D6-5B56F266DA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03" name="x_Picture 1" descr="Description: cid:image001.png@01D03949.49457930">
          <a:extLst>
            <a:ext uri="{FF2B5EF4-FFF2-40B4-BE49-F238E27FC236}">
              <a16:creationId xmlns:a16="http://schemas.microsoft.com/office/drawing/2014/main" id="{A48043D2-96FB-436A-8C3C-0EC3C8FABEC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04" name="x_Picture 1" descr="Description: cid:image001.png@01D03949.49457930">
          <a:extLst>
            <a:ext uri="{FF2B5EF4-FFF2-40B4-BE49-F238E27FC236}">
              <a16:creationId xmlns:a16="http://schemas.microsoft.com/office/drawing/2014/main" id="{276A032B-0A4F-4D32-BF49-F98BA29B453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05" name="x_Picture 1" descr="Description: cid:image001.png@01D03949.49457930">
          <a:extLst>
            <a:ext uri="{FF2B5EF4-FFF2-40B4-BE49-F238E27FC236}">
              <a16:creationId xmlns:a16="http://schemas.microsoft.com/office/drawing/2014/main" id="{A3E4436E-E44C-49A4-B2E5-968FA14E54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06" name="x_Picture 1" descr="Description: cid:image001.png@01D03949.49457930">
          <a:extLst>
            <a:ext uri="{FF2B5EF4-FFF2-40B4-BE49-F238E27FC236}">
              <a16:creationId xmlns:a16="http://schemas.microsoft.com/office/drawing/2014/main" id="{7E2AF36E-6670-432C-9FB5-A1711D5849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07" name="x_Picture 1" descr="Description: cid:image001.png@01D03949.49457930">
          <a:extLst>
            <a:ext uri="{FF2B5EF4-FFF2-40B4-BE49-F238E27FC236}">
              <a16:creationId xmlns:a16="http://schemas.microsoft.com/office/drawing/2014/main" id="{139E31E6-9B9E-40F3-AC78-2D6D45E61D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08" name="x_Picture 1" descr="Description: cid:image001.png@01D03949.49457930">
          <a:extLst>
            <a:ext uri="{FF2B5EF4-FFF2-40B4-BE49-F238E27FC236}">
              <a16:creationId xmlns:a16="http://schemas.microsoft.com/office/drawing/2014/main" id="{A125509C-DEE6-44C3-B2D6-5035183174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09" name="x_Picture 1" descr="Description: cid:image001.png@01D03949.49457930">
          <a:extLst>
            <a:ext uri="{FF2B5EF4-FFF2-40B4-BE49-F238E27FC236}">
              <a16:creationId xmlns:a16="http://schemas.microsoft.com/office/drawing/2014/main" id="{DBDD7236-D5E3-4E8B-ADEC-2E8AF2E3B0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10" name="x_Picture 1" descr="Description: cid:image001.png@01D03949.49457930">
          <a:extLst>
            <a:ext uri="{FF2B5EF4-FFF2-40B4-BE49-F238E27FC236}">
              <a16:creationId xmlns:a16="http://schemas.microsoft.com/office/drawing/2014/main" id="{09F728C7-AAB9-4535-97B4-1D25A1EAD5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11" name="x_Picture 1" descr="Description: cid:image001.png@01D03949.49457930">
          <a:extLst>
            <a:ext uri="{FF2B5EF4-FFF2-40B4-BE49-F238E27FC236}">
              <a16:creationId xmlns:a16="http://schemas.microsoft.com/office/drawing/2014/main" id="{C6DA13D1-7D7A-493C-B147-2D406C76E7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12" name="x_Picture 1" descr="Description: cid:image001.png@01D03949.49457930">
          <a:extLst>
            <a:ext uri="{FF2B5EF4-FFF2-40B4-BE49-F238E27FC236}">
              <a16:creationId xmlns:a16="http://schemas.microsoft.com/office/drawing/2014/main" id="{C2B8414D-B687-4A51-9F25-07FBE8FE40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13" name="x_Picture 1" descr="Description: cid:image001.png@01D03949.49457930">
          <a:extLst>
            <a:ext uri="{FF2B5EF4-FFF2-40B4-BE49-F238E27FC236}">
              <a16:creationId xmlns:a16="http://schemas.microsoft.com/office/drawing/2014/main" id="{F06D16F2-FFCB-49AD-8693-37A268097E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14" name="x_Picture 1" descr="Description: cid:image001.png@01D03949.49457930">
          <a:extLst>
            <a:ext uri="{FF2B5EF4-FFF2-40B4-BE49-F238E27FC236}">
              <a16:creationId xmlns:a16="http://schemas.microsoft.com/office/drawing/2014/main" id="{06F5A44E-5D5B-4955-9015-1F7560A7DC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15" name="x_Picture 1" descr="Description: cid:image001.png@01D03949.49457930">
          <a:extLst>
            <a:ext uri="{FF2B5EF4-FFF2-40B4-BE49-F238E27FC236}">
              <a16:creationId xmlns:a16="http://schemas.microsoft.com/office/drawing/2014/main" id="{65C0BC09-E2AF-4353-92E7-F36D16A8D99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16" name="x_Picture 1" descr="Description: cid:image001.png@01D03949.49457930">
          <a:extLst>
            <a:ext uri="{FF2B5EF4-FFF2-40B4-BE49-F238E27FC236}">
              <a16:creationId xmlns:a16="http://schemas.microsoft.com/office/drawing/2014/main" id="{D12C5991-D0CE-4627-89F3-BE2CC4B926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17" name="x_Picture 1" descr="Description: cid:image001.png@01D03949.49457930">
          <a:extLst>
            <a:ext uri="{FF2B5EF4-FFF2-40B4-BE49-F238E27FC236}">
              <a16:creationId xmlns:a16="http://schemas.microsoft.com/office/drawing/2014/main" id="{B3977019-0A6E-4FDA-A92A-D30F323AED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18" name="x_Picture 1" descr="Description: cid:image001.png@01D03949.49457930">
          <a:extLst>
            <a:ext uri="{FF2B5EF4-FFF2-40B4-BE49-F238E27FC236}">
              <a16:creationId xmlns:a16="http://schemas.microsoft.com/office/drawing/2014/main" id="{E49DD66F-F78F-46B8-ADD4-9F027A3921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19" name="x_Picture 1" descr="Description: cid:image001.png@01D03949.49457930">
          <a:extLst>
            <a:ext uri="{FF2B5EF4-FFF2-40B4-BE49-F238E27FC236}">
              <a16:creationId xmlns:a16="http://schemas.microsoft.com/office/drawing/2014/main" id="{2C986033-14FE-4592-A252-225026D6B8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20" name="x_Picture 1" descr="Description: cid:image001.png@01D03949.49457930">
          <a:extLst>
            <a:ext uri="{FF2B5EF4-FFF2-40B4-BE49-F238E27FC236}">
              <a16:creationId xmlns:a16="http://schemas.microsoft.com/office/drawing/2014/main" id="{996D3070-702E-4C22-BD82-C31AD5632E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21" name="x_Picture 1" descr="Description: cid:image001.png@01D03949.49457930">
          <a:extLst>
            <a:ext uri="{FF2B5EF4-FFF2-40B4-BE49-F238E27FC236}">
              <a16:creationId xmlns:a16="http://schemas.microsoft.com/office/drawing/2014/main" id="{C5E151EA-7A34-4F51-A44D-DB7545775B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22" name="x_Picture 1" descr="Description: cid:image001.png@01D03949.49457930">
          <a:extLst>
            <a:ext uri="{FF2B5EF4-FFF2-40B4-BE49-F238E27FC236}">
              <a16:creationId xmlns:a16="http://schemas.microsoft.com/office/drawing/2014/main" id="{85FB4A0D-8433-4C51-9781-D4EA3B5B77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23" name="x_Picture 1" descr="Description: cid:image001.png@01D03949.49457930">
          <a:extLst>
            <a:ext uri="{FF2B5EF4-FFF2-40B4-BE49-F238E27FC236}">
              <a16:creationId xmlns:a16="http://schemas.microsoft.com/office/drawing/2014/main" id="{5E6994E0-188E-4835-B818-306A0C5193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24" name="x_Picture 1" descr="Description: cid:image001.png@01D03949.49457930">
          <a:extLst>
            <a:ext uri="{FF2B5EF4-FFF2-40B4-BE49-F238E27FC236}">
              <a16:creationId xmlns:a16="http://schemas.microsoft.com/office/drawing/2014/main" id="{A30C5CFC-8F58-4801-B545-EE6EA883DF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25" name="x_Picture 1" descr="Description: cid:image001.png@01D03949.49457930">
          <a:extLst>
            <a:ext uri="{FF2B5EF4-FFF2-40B4-BE49-F238E27FC236}">
              <a16:creationId xmlns:a16="http://schemas.microsoft.com/office/drawing/2014/main" id="{CC93E458-5CAB-40F1-9E9F-205F53E8FB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26" name="x_Picture 1" descr="Description: cid:image001.png@01D03949.49457930">
          <a:extLst>
            <a:ext uri="{FF2B5EF4-FFF2-40B4-BE49-F238E27FC236}">
              <a16:creationId xmlns:a16="http://schemas.microsoft.com/office/drawing/2014/main" id="{F32D7085-2EA7-405C-8B74-1F3A71D961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27" name="x_Picture 1" descr="Description: cid:image001.png@01D03949.49457930">
          <a:extLst>
            <a:ext uri="{FF2B5EF4-FFF2-40B4-BE49-F238E27FC236}">
              <a16:creationId xmlns:a16="http://schemas.microsoft.com/office/drawing/2014/main" id="{B86CB5B0-6ADB-4B3B-8B57-8AB45865A0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28" name="x_Picture 1" descr="Description: cid:image001.png@01D03949.49457930">
          <a:extLst>
            <a:ext uri="{FF2B5EF4-FFF2-40B4-BE49-F238E27FC236}">
              <a16:creationId xmlns:a16="http://schemas.microsoft.com/office/drawing/2014/main" id="{2196EBFF-B421-433A-8C72-1BDF3573031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29" name="x_Picture 1" descr="Description: cid:image001.png@01D03949.49457930">
          <a:extLst>
            <a:ext uri="{FF2B5EF4-FFF2-40B4-BE49-F238E27FC236}">
              <a16:creationId xmlns:a16="http://schemas.microsoft.com/office/drawing/2014/main" id="{4B49699B-E5E2-44C5-8BFA-BB8D9FCB5B8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30" name="x_Picture 1" descr="Description: cid:image001.png@01D03949.49457930">
          <a:extLst>
            <a:ext uri="{FF2B5EF4-FFF2-40B4-BE49-F238E27FC236}">
              <a16:creationId xmlns:a16="http://schemas.microsoft.com/office/drawing/2014/main" id="{22A5AEE0-2E3E-43E4-BE5E-12B8B39178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31" name="x_Picture 1" descr="Description: cid:image001.png@01D03949.49457930">
          <a:extLst>
            <a:ext uri="{FF2B5EF4-FFF2-40B4-BE49-F238E27FC236}">
              <a16:creationId xmlns:a16="http://schemas.microsoft.com/office/drawing/2014/main" id="{5B9CB81F-F91D-4523-ADDD-8E02DE3D577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32" name="x_Picture 1" descr="Description: cid:image001.png@01D03949.49457930">
          <a:extLst>
            <a:ext uri="{FF2B5EF4-FFF2-40B4-BE49-F238E27FC236}">
              <a16:creationId xmlns:a16="http://schemas.microsoft.com/office/drawing/2014/main" id="{A13EECE8-14FC-4775-B0B5-AD15F12978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33" name="x_Picture 1" descr="Description: cid:image001.png@01D03949.49457930">
          <a:extLst>
            <a:ext uri="{FF2B5EF4-FFF2-40B4-BE49-F238E27FC236}">
              <a16:creationId xmlns:a16="http://schemas.microsoft.com/office/drawing/2014/main" id="{0CA9D1B2-4A63-4341-B9CC-166883318A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34" name="x_Picture 1" descr="Description: cid:image001.png@01D03949.49457930">
          <a:extLst>
            <a:ext uri="{FF2B5EF4-FFF2-40B4-BE49-F238E27FC236}">
              <a16:creationId xmlns:a16="http://schemas.microsoft.com/office/drawing/2014/main" id="{4EDC5A48-FB4A-40B1-A3E2-259A273F0B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35" name="x_Picture 1" descr="Description: cid:image001.png@01D03949.49457930">
          <a:extLst>
            <a:ext uri="{FF2B5EF4-FFF2-40B4-BE49-F238E27FC236}">
              <a16:creationId xmlns:a16="http://schemas.microsoft.com/office/drawing/2014/main" id="{CC221687-9B7F-43A8-9AD1-D02D3F690BE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36" name="x_Picture 1" descr="Description: cid:image001.png@01D03949.49457930">
          <a:extLst>
            <a:ext uri="{FF2B5EF4-FFF2-40B4-BE49-F238E27FC236}">
              <a16:creationId xmlns:a16="http://schemas.microsoft.com/office/drawing/2014/main" id="{8D106D6B-E74B-4A39-AEFC-7D75A115F23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37" name="x_Picture 1" descr="Description: cid:image001.png@01D03949.49457930">
          <a:extLst>
            <a:ext uri="{FF2B5EF4-FFF2-40B4-BE49-F238E27FC236}">
              <a16:creationId xmlns:a16="http://schemas.microsoft.com/office/drawing/2014/main" id="{54A3A14A-D557-46B6-8B19-282EE094FE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38" name="x_Picture 1" descr="Description: cid:image001.png@01D03949.49457930">
          <a:extLst>
            <a:ext uri="{FF2B5EF4-FFF2-40B4-BE49-F238E27FC236}">
              <a16:creationId xmlns:a16="http://schemas.microsoft.com/office/drawing/2014/main" id="{C854D508-4AE0-478A-85A3-F63C8E8577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39" name="x_Picture 1" descr="Description: cid:image001.png@01D03949.49457930">
          <a:extLst>
            <a:ext uri="{FF2B5EF4-FFF2-40B4-BE49-F238E27FC236}">
              <a16:creationId xmlns:a16="http://schemas.microsoft.com/office/drawing/2014/main" id="{154BF58E-E538-44AE-A2B5-661DED773AA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40" name="x_Picture 1" descr="Description: cid:image001.png@01D03949.49457930">
          <a:extLst>
            <a:ext uri="{FF2B5EF4-FFF2-40B4-BE49-F238E27FC236}">
              <a16:creationId xmlns:a16="http://schemas.microsoft.com/office/drawing/2014/main" id="{A1488334-2925-46BB-A607-69DE907557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41" name="x_Picture 1" descr="Description: cid:image001.png@01D03949.49457930">
          <a:extLst>
            <a:ext uri="{FF2B5EF4-FFF2-40B4-BE49-F238E27FC236}">
              <a16:creationId xmlns:a16="http://schemas.microsoft.com/office/drawing/2014/main" id="{A2E420D9-9B2B-458A-8C68-D91E885A251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42" name="x_Picture 1" descr="Description: cid:image001.png@01D03949.49457930">
          <a:extLst>
            <a:ext uri="{FF2B5EF4-FFF2-40B4-BE49-F238E27FC236}">
              <a16:creationId xmlns:a16="http://schemas.microsoft.com/office/drawing/2014/main" id="{826C31D2-B4D3-42CD-8709-F9F40B27B07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43" name="x_Picture 1" descr="Description: cid:image001.png@01D03949.49457930">
          <a:extLst>
            <a:ext uri="{FF2B5EF4-FFF2-40B4-BE49-F238E27FC236}">
              <a16:creationId xmlns:a16="http://schemas.microsoft.com/office/drawing/2014/main" id="{2020209E-EB37-4CB8-BB75-6D93E2CC56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44" name="x_Picture 1" descr="Description: cid:image001.png@01D03949.49457930">
          <a:extLst>
            <a:ext uri="{FF2B5EF4-FFF2-40B4-BE49-F238E27FC236}">
              <a16:creationId xmlns:a16="http://schemas.microsoft.com/office/drawing/2014/main" id="{5188F2B0-DFEA-4AF9-B0D1-725FC5CDFF9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45" name="x_Picture 1" descr="Description: cid:image001.png@01D03949.49457930">
          <a:extLst>
            <a:ext uri="{FF2B5EF4-FFF2-40B4-BE49-F238E27FC236}">
              <a16:creationId xmlns:a16="http://schemas.microsoft.com/office/drawing/2014/main" id="{A0B4D9AD-BA0F-4137-974B-B0478B1F6A3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46" name="x_Picture 1" descr="Description: cid:image001.png@01D03949.49457930">
          <a:extLst>
            <a:ext uri="{FF2B5EF4-FFF2-40B4-BE49-F238E27FC236}">
              <a16:creationId xmlns:a16="http://schemas.microsoft.com/office/drawing/2014/main" id="{083AAA83-A5E2-4304-89EE-CB11C24F41C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47" name="x_Picture 1" descr="Description: cid:image001.png@01D03949.49457930">
          <a:extLst>
            <a:ext uri="{FF2B5EF4-FFF2-40B4-BE49-F238E27FC236}">
              <a16:creationId xmlns:a16="http://schemas.microsoft.com/office/drawing/2014/main" id="{93A6333D-8C3E-4CB7-A1AC-4D491AB404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48" name="x_Picture 1" descr="Description: cid:image001.png@01D03949.49457930">
          <a:extLst>
            <a:ext uri="{FF2B5EF4-FFF2-40B4-BE49-F238E27FC236}">
              <a16:creationId xmlns:a16="http://schemas.microsoft.com/office/drawing/2014/main" id="{6CC0E6B1-B41B-4131-BFC0-F400CA5DE1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49" name="x_Picture 1" descr="Description: cid:image001.png@01D03949.49457930">
          <a:extLst>
            <a:ext uri="{FF2B5EF4-FFF2-40B4-BE49-F238E27FC236}">
              <a16:creationId xmlns:a16="http://schemas.microsoft.com/office/drawing/2014/main" id="{04D965EF-8FB7-4652-ABB0-3F0DDC69D3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50" name="x_Picture 1" descr="Description: cid:image001.png@01D03949.49457930">
          <a:extLst>
            <a:ext uri="{FF2B5EF4-FFF2-40B4-BE49-F238E27FC236}">
              <a16:creationId xmlns:a16="http://schemas.microsoft.com/office/drawing/2014/main" id="{C0B01D99-7E92-49C6-A37D-7080B233F5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51" name="x_Picture 1" descr="Description: cid:image001.png@01D03949.49457930">
          <a:extLst>
            <a:ext uri="{FF2B5EF4-FFF2-40B4-BE49-F238E27FC236}">
              <a16:creationId xmlns:a16="http://schemas.microsoft.com/office/drawing/2014/main" id="{A799857E-6479-440F-8711-10D41AF525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52" name="x_Picture 1" descr="Description: cid:image001.png@01D03949.49457930">
          <a:extLst>
            <a:ext uri="{FF2B5EF4-FFF2-40B4-BE49-F238E27FC236}">
              <a16:creationId xmlns:a16="http://schemas.microsoft.com/office/drawing/2014/main" id="{535171BB-4D93-4709-A3D9-64865C52E2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53" name="x_Picture 1" descr="Description: cid:image001.png@01D03949.49457930">
          <a:extLst>
            <a:ext uri="{FF2B5EF4-FFF2-40B4-BE49-F238E27FC236}">
              <a16:creationId xmlns:a16="http://schemas.microsoft.com/office/drawing/2014/main" id="{47A24250-2D48-4493-8FB1-C9B0B68C34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54" name="x_Picture 1" descr="Description: cid:image001.png@01D03949.49457930">
          <a:extLst>
            <a:ext uri="{FF2B5EF4-FFF2-40B4-BE49-F238E27FC236}">
              <a16:creationId xmlns:a16="http://schemas.microsoft.com/office/drawing/2014/main" id="{37DBA6C2-5982-4E02-BE59-2B79D86065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55" name="x_Picture 1" descr="Description: cid:image001.png@01D03949.49457930">
          <a:extLst>
            <a:ext uri="{FF2B5EF4-FFF2-40B4-BE49-F238E27FC236}">
              <a16:creationId xmlns:a16="http://schemas.microsoft.com/office/drawing/2014/main" id="{1552E60D-233E-4D3E-8518-E439CEBD26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56" name="x_Picture 1" descr="Description: cid:image001.png@01D03949.49457930">
          <a:extLst>
            <a:ext uri="{FF2B5EF4-FFF2-40B4-BE49-F238E27FC236}">
              <a16:creationId xmlns:a16="http://schemas.microsoft.com/office/drawing/2014/main" id="{30391E0C-C45E-46A8-8D07-0E5E0B0EA9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57" name="x_Picture 1" descr="Description: cid:image001.png@01D03949.49457930">
          <a:extLst>
            <a:ext uri="{FF2B5EF4-FFF2-40B4-BE49-F238E27FC236}">
              <a16:creationId xmlns:a16="http://schemas.microsoft.com/office/drawing/2014/main" id="{E9DDC301-49BA-4B95-AACE-363A99E0D4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58" name="x_Picture 1" descr="Description: cid:image001.png@01D03949.49457930">
          <a:extLst>
            <a:ext uri="{FF2B5EF4-FFF2-40B4-BE49-F238E27FC236}">
              <a16:creationId xmlns:a16="http://schemas.microsoft.com/office/drawing/2014/main" id="{2BDC06CD-3206-4FA8-929A-CF47BF83FC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59" name="x_Picture 1" descr="Description: cid:image001.png@01D03949.49457930">
          <a:extLst>
            <a:ext uri="{FF2B5EF4-FFF2-40B4-BE49-F238E27FC236}">
              <a16:creationId xmlns:a16="http://schemas.microsoft.com/office/drawing/2014/main" id="{24DFEE8C-F277-44EB-B463-AF83B536084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60" name="x_Picture 1" descr="Description: cid:image001.png@01D03949.49457930">
          <a:extLst>
            <a:ext uri="{FF2B5EF4-FFF2-40B4-BE49-F238E27FC236}">
              <a16:creationId xmlns:a16="http://schemas.microsoft.com/office/drawing/2014/main" id="{3803EC06-73C1-405F-A3D4-5DB70C56A01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61" name="x_Picture 1" descr="Description: cid:image001.png@01D03949.49457930">
          <a:extLst>
            <a:ext uri="{FF2B5EF4-FFF2-40B4-BE49-F238E27FC236}">
              <a16:creationId xmlns:a16="http://schemas.microsoft.com/office/drawing/2014/main" id="{1F194BDB-BF67-4DD2-ACD8-AF081FECDF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62" name="x_Picture 1" descr="Description: cid:image001.png@01D03949.49457930">
          <a:extLst>
            <a:ext uri="{FF2B5EF4-FFF2-40B4-BE49-F238E27FC236}">
              <a16:creationId xmlns:a16="http://schemas.microsoft.com/office/drawing/2014/main" id="{A788FE7F-3675-44C6-A634-70133E8B10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63" name="x_Picture 1" descr="Description: cid:image001.png@01D03949.49457930">
          <a:extLst>
            <a:ext uri="{FF2B5EF4-FFF2-40B4-BE49-F238E27FC236}">
              <a16:creationId xmlns:a16="http://schemas.microsoft.com/office/drawing/2014/main" id="{8D9AF51C-F9F9-4233-BEE7-AAA9C03349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64" name="x_Picture 1" descr="Description: cid:image001.png@01D03949.49457930">
          <a:extLst>
            <a:ext uri="{FF2B5EF4-FFF2-40B4-BE49-F238E27FC236}">
              <a16:creationId xmlns:a16="http://schemas.microsoft.com/office/drawing/2014/main" id="{5968F7E7-40B2-4730-821E-64BA853C0D9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65" name="x_Picture 1" descr="Description: cid:image001.png@01D03949.49457930">
          <a:extLst>
            <a:ext uri="{FF2B5EF4-FFF2-40B4-BE49-F238E27FC236}">
              <a16:creationId xmlns:a16="http://schemas.microsoft.com/office/drawing/2014/main" id="{1E67D2B4-452F-44D3-84DD-D7A566CBD0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66" name="x_Picture 1" descr="Description: cid:image001.png@01D03949.49457930">
          <a:extLst>
            <a:ext uri="{FF2B5EF4-FFF2-40B4-BE49-F238E27FC236}">
              <a16:creationId xmlns:a16="http://schemas.microsoft.com/office/drawing/2014/main" id="{CBBF8B83-6E5B-4D54-B8AC-B6FEF54564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43</xdr:row>
      <xdr:rowOff>0</xdr:rowOff>
    </xdr:from>
    <xdr:ext cx="279605" cy="315045"/>
    <xdr:sp macro="" textlink="">
      <xdr:nvSpPr>
        <xdr:cNvPr id="4567" name="x_Picture 1" descr="Description: cid:image001.png@01D03949.49457930">
          <a:extLst>
            <a:ext uri="{FF2B5EF4-FFF2-40B4-BE49-F238E27FC236}">
              <a16:creationId xmlns:a16="http://schemas.microsoft.com/office/drawing/2014/main" id="{140E9243-A915-40F8-8D18-2B02115BF5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68" name="x_Picture 1" descr="Description: cid:image001.png@01D03949.49457930">
          <a:extLst>
            <a:ext uri="{FF2B5EF4-FFF2-40B4-BE49-F238E27FC236}">
              <a16:creationId xmlns:a16="http://schemas.microsoft.com/office/drawing/2014/main" id="{22F36AB3-C97B-4BD1-85BE-B03342ACC0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69" name="x_Picture 1" descr="Description: cid:image001.png@01D03949.49457930">
          <a:extLst>
            <a:ext uri="{FF2B5EF4-FFF2-40B4-BE49-F238E27FC236}">
              <a16:creationId xmlns:a16="http://schemas.microsoft.com/office/drawing/2014/main" id="{2F5AEB52-F549-4D52-AB6C-041FB8BE16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70" name="x_Picture 1" descr="Description: cid:image001.png@01D03949.49457930">
          <a:extLst>
            <a:ext uri="{FF2B5EF4-FFF2-40B4-BE49-F238E27FC236}">
              <a16:creationId xmlns:a16="http://schemas.microsoft.com/office/drawing/2014/main" id="{339816D0-1588-4713-801D-4BD20A4ABD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71" name="x_Picture 1" descr="Description: cid:image001.png@01D03949.49457930">
          <a:extLst>
            <a:ext uri="{FF2B5EF4-FFF2-40B4-BE49-F238E27FC236}">
              <a16:creationId xmlns:a16="http://schemas.microsoft.com/office/drawing/2014/main" id="{177E2E51-964F-4F35-9DA4-BEBE3B018A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72" name="x_Picture 1" descr="Description: cid:image001.png@01D03949.49457930">
          <a:extLst>
            <a:ext uri="{FF2B5EF4-FFF2-40B4-BE49-F238E27FC236}">
              <a16:creationId xmlns:a16="http://schemas.microsoft.com/office/drawing/2014/main" id="{449C8DE1-AA59-4638-97EC-9D6C6EB318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73" name="x_Picture 1" descr="Description: cid:image001.png@01D03949.49457930">
          <a:extLst>
            <a:ext uri="{FF2B5EF4-FFF2-40B4-BE49-F238E27FC236}">
              <a16:creationId xmlns:a16="http://schemas.microsoft.com/office/drawing/2014/main" id="{97DEDA86-5D1C-4F8F-891F-954AFDC787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74" name="x_Picture 1" descr="Description: cid:image001.png@01D03949.49457930">
          <a:extLst>
            <a:ext uri="{FF2B5EF4-FFF2-40B4-BE49-F238E27FC236}">
              <a16:creationId xmlns:a16="http://schemas.microsoft.com/office/drawing/2014/main" id="{A3DE8C91-0A09-4FA3-B4CC-BA2DF582348E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75" name="x_Picture 1" descr="Description: cid:image001.png@01D03949.49457930">
          <a:extLst>
            <a:ext uri="{FF2B5EF4-FFF2-40B4-BE49-F238E27FC236}">
              <a16:creationId xmlns:a16="http://schemas.microsoft.com/office/drawing/2014/main" id="{BC69769B-D465-4D84-9D9F-871979829C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76" name="x_Picture 1" descr="Description: cid:image001.png@01D03949.49457930">
          <a:extLst>
            <a:ext uri="{FF2B5EF4-FFF2-40B4-BE49-F238E27FC236}">
              <a16:creationId xmlns:a16="http://schemas.microsoft.com/office/drawing/2014/main" id="{BD7F0990-F283-4B41-B6E3-C00BAC3F43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43</xdr:row>
      <xdr:rowOff>0</xdr:rowOff>
    </xdr:from>
    <xdr:ext cx="279605" cy="315045"/>
    <xdr:sp macro="" textlink="">
      <xdr:nvSpPr>
        <xdr:cNvPr id="4577" name="x_Picture 1" descr="Description: cid:image001.png@01D03949.49457930">
          <a:extLst>
            <a:ext uri="{FF2B5EF4-FFF2-40B4-BE49-F238E27FC236}">
              <a16:creationId xmlns:a16="http://schemas.microsoft.com/office/drawing/2014/main" id="{1F9C232E-0DD0-46F8-8A01-DD5B52214C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78" name="x_Picture 1" descr="Description: cid:image001.png@01D03949.49457930">
          <a:extLst>
            <a:ext uri="{FF2B5EF4-FFF2-40B4-BE49-F238E27FC236}">
              <a16:creationId xmlns:a16="http://schemas.microsoft.com/office/drawing/2014/main" id="{90FD5433-82DC-433C-8F6F-4112789A7E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79" name="x_Picture 1" descr="Description: cid:image001.png@01D03949.49457930">
          <a:extLst>
            <a:ext uri="{FF2B5EF4-FFF2-40B4-BE49-F238E27FC236}">
              <a16:creationId xmlns:a16="http://schemas.microsoft.com/office/drawing/2014/main" id="{C4A41598-637A-47CD-B30A-A2F5E22DE9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0" name="x_Picture 1" descr="Description: cid:image001.png@01D03949.49457930">
          <a:extLst>
            <a:ext uri="{FF2B5EF4-FFF2-40B4-BE49-F238E27FC236}">
              <a16:creationId xmlns:a16="http://schemas.microsoft.com/office/drawing/2014/main" id="{9C125DB1-49D3-440E-B320-3606579BB85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1" name="x_Picture 1" descr="Description: cid:image001.png@01D03949.49457930">
          <a:extLst>
            <a:ext uri="{FF2B5EF4-FFF2-40B4-BE49-F238E27FC236}">
              <a16:creationId xmlns:a16="http://schemas.microsoft.com/office/drawing/2014/main" id="{324B050F-D50F-4542-BE3A-41427518C8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2" name="x_Picture 1" descr="Description: cid:image001.png@01D03949.49457930">
          <a:extLst>
            <a:ext uri="{FF2B5EF4-FFF2-40B4-BE49-F238E27FC236}">
              <a16:creationId xmlns:a16="http://schemas.microsoft.com/office/drawing/2014/main" id="{FC9863B7-22A6-4C35-86CA-E645CA2B783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3" name="x_Picture 1" descr="Description: cid:image001.png@01D03949.49457930">
          <a:extLst>
            <a:ext uri="{FF2B5EF4-FFF2-40B4-BE49-F238E27FC236}">
              <a16:creationId xmlns:a16="http://schemas.microsoft.com/office/drawing/2014/main" id="{44E7FEA6-F5B9-4396-B2A9-1D53D3DB25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4" name="x_Picture 1" descr="Description: cid:image001.png@01D03949.49457930">
          <a:extLst>
            <a:ext uri="{FF2B5EF4-FFF2-40B4-BE49-F238E27FC236}">
              <a16:creationId xmlns:a16="http://schemas.microsoft.com/office/drawing/2014/main" id="{B34BE0BD-25D8-4CAA-824D-E1C9C457E4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5" name="x_Picture 1" descr="Description: cid:image001.png@01D03949.49457930">
          <a:extLst>
            <a:ext uri="{FF2B5EF4-FFF2-40B4-BE49-F238E27FC236}">
              <a16:creationId xmlns:a16="http://schemas.microsoft.com/office/drawing/2014/main" id="{101BC718-AC46-4528-8079-F3F50D3C76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6" name="x_Picture 1" descr="Description: cid:image001.png@01D03949.49457930">
          <a:extLst>
            <a:ext uri="{FF2B5EF4-FFF2-40B4-BE49-F238E27FC236}">
              <a16:creationId xmlns:a16="http://schemas.microsoft.com/office/drawing/2014/main" id="{187EC766-ACBE-404F-B2AC-162091F0D3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7" name="x_Picture 1" descr="Description: cid:image001.png@01D03949.49457930">
          <a:extLst>
            <a:ext uri="{FF2B5EF4-FFF2-40B4-BE49-F238E27FC236}">
              <a16:creationId xmlns:a16="http://schemas.microsoft.com/office/drawing/2014/main" id="{D8AADA6A-EDA7-487A-BC7F-7C50237D6A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8" name="x_Picture 1" descr="Description: cid:image001.png@01D03949.49457930">
          <a:extLst>
            <a:ext uri="{FF2B5EF4-FFF2-40B4-BE49-F238E27FC236}">
              <a16:creationId xmlns:a16="http://schemas.microsoft.com/office/drawing/2014/main" id="{2A20341B-35F6-49DA-BD1E-F630BDEAE33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89" name="x_Picture 1" descr="Description: cid:image001.png@01D03949.49457930">
          <a:extLst>
            <a:ext uri="{FF2B5EF4-FFF2-40B4-BE49-F238E27FC236}">
              <a16:creationId xmlns:a16="http://schemas.microsoft.com/office/drawing/2014/main" id="{20C340F0-F87B-4E1E-B119-792DFBF376A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90" name="x_Picture 1" descr="Description: cid:image001.png@01D03949.49457930">
          <a:extLst>
            <a:ext uri="{FF2B5EF4-FFF2-40B4-BE49-F238E27FC236}">
              <a16:creationId xmlns:a16="http://schemas.microsoft.com/office/drawing/2014/main" id="{8457C4AF-BE18-402F-9FA6-570297DF6D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91" name="x_Picture 1" descr="Description: cid:image001.png@01D03949.49457930">
          <a:extLst>
            <a:ext uri="{FF2B5EF4-FFF2-40B4-BE49-F238E27FC236}">
              <a16:creationId xmlns:a16="http://schemas.microsoft.com/office/drawing/2014/main" id="{FE7FA0E1-A5DC-4E7D-AF07-536245805C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92" name="x_Picture 1" descr="Description: cid:image001.png@01D03949.49457930">
          <a:extLst>
            <a:ext uri="{FF2B5EF4-FFF2-40B4-BE49-F238E27FC236}">
              <a16:creationId xmlns:a16="http://schemas.microsoft.com/office/drawing/2014/main" id="{199B9103-8603-492C-8681-DBB0CCA3D5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93" name="x_Picture 1" descr="Description: cid:image001.png@01D03949.49457930">
          <a:extLst>
            <a:ext uri="{FF2B5EF4-FFF2-40B4-BE49-F238E27FC236}">
              <a16:creationId xmlns:a16="http://schemas.microsoft.com/office/drawing/2014/main" id="{45FEFDB6-DCEA-48D9-A322-03F45F4B4E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594" name="x_Picture 1" descr="Description: cid:image001.png@01D03949.49457930">
          <a:extLst>
            <a:ext uri="{FF2B5EF4-FFF2-40B4-BE49-F238E27FC236}">
              <a16:creationId xmlns:a16="http://schemas.microsoft.com/office/drawing/2014/main" id="{D1F0534D-0A1C-4A44-B29C-2CE0297FFB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95" name="x_Picture 1" descr="Description: cid:image001.png@01D03949.49457930">
          <a:extLst>
            <a:ext uri="{FF2B5EF4-FFF2-40B4-BE49-F238E27FC236}">
              <a16:creationId xmlns:a16="http://schemas.microsoft.com/office/drawing/2014/main" id="{CCAD61D4-1C04-4A0B-B2CF-F494F21FD6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96" name="x_Picture 1" descr="Description: cid:image001.png@01D03949.49457930">
          <a:extLst>
            <a:ext uri="{FF2B5EF4-FFF2-40B4-BE49-F238E27FC236}">
              <a16:creationId xmlns:a16="http://schemas.microsoft.com/office/drawing/2014/main" id="{90F8A100-7CC5-4CFB-A53D-BD152EF5D1C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97" name="x_Picture 1" descr="Description: cid:image001.png@01D03949.49457930">
          <a:extLst>
            <a:ext uri="{FF2B5EF4-FFF2-40B4-BE49-F238E27FC236}">
              <a16:creationId xmlns:a16="http://schemas.microsoft.com/office/drawing/2014/main" id="{69D35775-24A2-4704-A1D5-A319EA7FD31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98" name="x_Picture 1" descr="Description: cid:image001.png@01D03949.49457930">
          <a:extLst>
            <a:ext uri="{FF2B5EF4-FFF2-40B4-BE49-F238E27FC236}">
              <a16:creationId xmlns:a16="http://schemas.microsoft.com/office/drawing/2014/main" id="{CCC73486-DAA9-42CB-A675-AAC738F1B8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599" name="x_Picture 1" descr="Description: cid:image001.png@01D03949.49457930">
          <a:extLst>
            <a:ext uri="{FF2B5EF4-FFF2-40B4-BE49-F238E27FC236}">
              <a16:creationId xmlns:a16="http://schemas.microsoft.com/office/drawing/2014/main" id="{083E287D-1C2C-4BDE-B607-E4514642C8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00" name="x_Picture 1" descr="Description: cid:image001.png@01D03949.49457930">
          <a:extLst>
            <a:ext uri="{FF2B5EF4-FFF2-40B4-BE49-F238E27FC236}">
              <a16:creationId xmlns:a16="http://schemas.microsoft.com/office/drawing/2014/main" id="{922B9A7D-97B4-4807-B8E3-F8262CAACD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01" name="x_Picture 1" descr="Description: cid:image001.png@01D03949.49457930">
          <a:extLst>
            <a:ext uri="{FF2B5EF4-FFF2-40B4-BE49-F238E27FC236}">
              <a16:creationId xmlns:a16="http://schemas.microsoft.com/office/drawing/2014/main" id="{B9AA91DF-75F9-4BBC-B4A8-0C5372DEB6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02" name="x_Picture 1" descr="Description: cid:image001.png@01D03949.49457930">
          <a:extLst>
            <a:ext uri="{FF2B5EF4-FFF2-40B4-BE49-F238E27FC236}">
              <a16:creationId xmlns:a16="http://schemas.microsoft.com/office/drawing/2014/main" id="{51652300-E48B-4D5C-923E-D17D5378607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03" name="x_Picture 1" descr="Description: cid:image001.png@01D03949.49457930">
          <a:extLst>
            <a:ext uri="{FF2B5EF4-FFF2-40B4-BE49-F238E27FC236}">
              <a16:creationId xmlns:a16="http://schemas.microsoft.com/office/drawing/2014/main" id="{17E3AA63-FE42-43F5-A102-D6AAB19FA1C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04" name="x_Picture 1" descr="Description: cid:image001.png@01D03949.49457930">
          <a:extLst>
            <a:ext uri="{FF2B5EF4-FFF2-40B4-BE49-F238E27FC236}">
              <a16:creationId xmlns:a16="http://schemas.microsoft.com/office/drawing/2014/main" id="{23EE0899-F975-42E6-974D-E30CFEFBC5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05" name="x_Picture 1" descr="Description: cid:image001.png@01D03949.49457930">
          <a:extLst>
            <a:ext uri="{FF2B5EF4-FFF2-40B4-BE49-F238E27FC236}">
              <a16:creationId xmlns:a16="http://schemas.microsoft.com/office/drawing/2014/main" id="{24583E64-2B0E-4CEC-A3D6-1E1C86457C0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06" name="x_Picture 1" descr="Description: cid:image001.png@01D03949.49457930">
          <a:extLst>
            <a:ext uri="{FF2B5EF4-FFF2-40B4-BE49-F238E27FC236}">
              <a16:creationId xmlns:a16="http://schemas.microsoft.com/office/drawing/2014/main" id="{E5711E64-AFA9-4925-949A-0355C3511B5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07" name="x_Picture 1" descr="Description: cid:image001.png@01D03949.49457930">
          <a:extLst>
            <a:ext uri="{FF2B5EF4-FFF2-40B4-BE49-F238E27FC236}">
              <a16:creationId xmlns:a16="http://schemas.microsoft.com/office/drawing/2014/main" id="{1C77D643-C69E-4EF9-8097-D5282D5189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08" name="x_Picture 1" descr="Description: cid:image001.png@01D03949.49457930">
          <a:extLst>
            <a:ext uri="{FF2B5EF4-FFF2-40B4-BE49-F238E27FC236}">
              <a16:creationId xmlns:a16="http://schemas.microsoft.com/office/drawing/2014/main" id="{2CB0C04D-FB26-463C-954D-A27E1C7F91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09" name="x_Picture 1" descr="Description: cid:image001.png@01D03949.49457930">
          <a:extLst>
            <a:ext uri="{FF2B5EF4-FFF2-40B4-BE49-F238E27FC236}">
              <a16:creationId xmlns:a16="http://schemas.microsoft.com/office/drawing/2014/main" id="{0D05321A-9214-482E-B3C7-4BC534EDB2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10" name="x_Picture 1" descr="Description: cid:image001.png@01D03949.49457930">
          <a:extLst>
            <a:ext uri="{FF2B5EF4-FFF2-40B4-BE49-F238E27FC236}">
              <a16:creationId xmlns:a16="http://schemas.microsoft.com/office/drawing/2014/main" id="{B6F3CA9F-68B2-43AF-AD7F-8E06921587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11" name="x_Picture 1" descr="Description: cid:image001.png@01D03949.49457930">
          <a:extLst>
            <a:ext uri="{FF2B5EF4-FFF2-40B4-BE49-F238E27FC236}">
              <a16:creationId xmlns:a16="http://schemas.microsoft.com/office/drawing/2014/main" id="{938574BF-D840-4937-8251-BBB34CADAD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12" name="x_Picture 1" descr="Description: cid:image001.png@01D03949.49457930">
          <a:extLst>
            <a:ext uri="{FF2B5EF4-FFF2-40B4-BE49-F238E27FC236}">
              <a16:creationId xmlns:a16="http://schemas.microsoft.com/office/drawing/2014/main" id="{70C0A2BC-7034-446D-A853-9CE91AE75C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13" name="x_Picture 1" descr="Description: cid:image001.png@01D03949.49457930">
          <a:extLst>
            <a:ext uri="{FF2B5EF4-FFF2-40B4-BE49-F238E27FC236}">
              <a16:creationId xmlns:a16="http://schemas.microsoft.com/office/drawing/2014/main" id="{3D07BF1C-94BD-4747-9632-17FD4CA684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14" name="x_Picture 1" descr="Description: cid:image001.png@01D03949.49457930">
          <a:extLst>
            <a:ext uri="{FF2B5EF4-FFF2-40B4-BE49-F238E27FC236}">
              <a16:creationId xmlns:a16="http://schemas.microsoft.com/office/drawing/2014/main" id="{09D94665-8EFA-42B7-9531-030FC1F1FCA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15" name="x_Picture 1" descr="Description: cid:image001.png@01D03949.49457930">
          <a:extLst>
            <a:ext uri="{FF2B5EF4-FFF2-40B4-BE49-F238E27FC236}">
              <a16:creationId xmlns:a16="http://schemas.microsoft.com/office/drawing/2014/main" id="{9EDB0B93-D561-46FE-AEED-455DBFD33E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16" name="x_Picture 1" descr="Description: cid:image001.png@01D03949.49457930">
          <a:extLst>
            <a:ext uri="{FF2B5EF4-FFF2-40B4-BE49-F238E27FC236}">
              <a16:creationId xmlns:a16="http://schemas.microsoft.com/office/drawing/2014/main" id="{87A2077A-3329-494F-BC9E-56CF3EA016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17" name="x_Picture 1" descr="Description: cid:image001.png@01D03949.49457930">
          <a:extLst>
            <a:ext uri="{FF2B5EF4-FFF2-40B4-BE49-F238E27FC236}">
              <a16:creationId xmlns:a16="http://schemas.microsoft.com/office/drawing/2014/main" id="{41AE8124-1320-4A14-A753-DFAB2EA48E9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18" name="x_Picture 1" descr="Description: cid:image001.png@01D03949.49457930">
          <a:extLst>
            <a:ext uri="{FF2B5EF4-FFF2-40B4-BE49-F238E27FC236}">
              <a16:creationId xmlns:a16="http://schemas.microsoft.com/office/drawing/2014/main" id="{7A71FC31-DD23-4E4C-A3AD-85A0C3C8A9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19" name="x_Picture 1" descr="Description: cid:image001.png@01D03949.49457930">
          <a:extLst>
            <a:ext uri="{FF2B5EF4-FFF2-40B4-BE49-F238E27FC236}">
              <a16:creationId xmlns:a16="http://schemas.microsoft.com/office/drawing/2014/main" id="{981E70E5-AAFB-48CD-BABA-D714485144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20" name="x_Picture 1" descr="Description: cid:image001.png@01D03949.49457930">
          <a:extLst>
            <a:ext uri="{FF2B5EF4-FFF2-40B4-BE49-F238E27FC236}">
              <a16:creationId xmlns:a16="http://schemas.microsoft.com/office/drawing/2014/main" id="{9972BFE0-22A6-4107-B3EE-648E06D180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21" name="x_Picture 1" descr="Description: cid:image001.png@01D03949.49457930">
          <a:extLst>
            <a:ext uri="{FF2B5EF4-FFF2-40B4-BE49-F238E27FC236}">
              <a16:creationId xmlns:a16="http://schemas.microsoft.com/office/drawing/2014/main" id="{21B23AB1-0C86-4F96-802C-5099472F835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22" name="x_Picture 1" descr="Description: cid:image001.png@01D03949.49457930">
          <a:extLst>
            <a:ext uri="{FF2B5EF4-FFF2-40B4-BE49-F238E27FC236}">
              <a16:creationId xmlns:a16="http://schemas.microsoft.com/office/drawing/2014/main" id="{499C2B1D-43DC-40E6-96AD-DCE8F7DB3AE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23" name="x_Picture 1" descr="Description: cid:image001.png@01D03949.49457930">
          <a:extLst>
            <a:ext uri="{FF2B5EF4-FFF2-40B4-BE49-F238E27FC236}">
              <a16:creationId xmlns:a16="http://schemas.microsoft.com/office/drawing/2014/main" id="{0A4902E1-06E0-48CA-96A7-BFC919667A0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24" name="x_Picture 1" descr="Description: cid:image001.png@01D03949.49457930">
          <a:extLst>
            <a:ext uri="{FF2B5EF4-FFF2-40B4-BE49-F238E27FC236}">
              <a16:creationId xmlns:a16="http://schemas.microsoft.com/office/drawing/2014/main" id="{140C6FE3-A21B-4185-AC8F-470EA34166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25" name="x_Picture 1" descr="Description: cid:image001.png@01D03949.49457930">
          <a:extLst>
            <a:ext uri="{FF2B5EF4-FFF2-40B4-BE49-F238E27FC236}">
              <a16:creationId xmlns:a16="http://schemas.microsoft.com/office/drawing/2014/main" id="{FD00298C-57FD-4B3B-915F-F6593DF046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26" name="x_Picture 1" descr="Description: cid:image001.png@01D03949.49457930">
          <a:extLst>
            <a:ext uri="{FF2B5EF4-FFF2-40B4-BE49-F238E27FC236}">
              <a16:creationId xmlns:a16="http://schemas.microsoft.com/office/drawing/2014/main" id="{AF6459D9-C7BD-494F-A4BF-7BE88D9F39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27" name="x_Picture 1" descr="Description: cid:image001.png@01D03949.49457930">
          <a:extLst>
            <a:ext uri="{FF2B5EF4-FFF2-40B4-BE49-F238E27FC236}">
              <a16:creationId xmlns:a16="http://schemas.microsoft.com/office/drawing/2014/main" id="{DCBAFC2B-0F4F-4930-AF96-BBBD6C5E6873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28" name="x_Picture 1" descr="Description: cid:image001.png@01D03949.49457930">
          <a:extLst>
            <a:ext uri="{FF2B5EF4-FFF2-40B4-BE49-F238E27FC236}">
              <a16:creationId xmlns:a16="http://schemas.microsoft.com/office/drawing/2014/main" id="{12300919-DC20-421D-9139-A430FC65BA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29" name="x_Picture 1" descr="Description: cid:image001.png@01D03949.49457930">
          <a:extLst>
            <a:ext uri="{FF2B5EF4-FFF2-40B4-BE49-F238E27FC236}">
              <a16:creationId xmlns:a16="http://schemas.microsoft.com/office/drawing/2014/main" id="{C97380CC-C492-4077-9202-368DE24861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30" name="x_Picture 1" descr="Description: cid:image001.png@01D03949.49457930">
          <a:extLst>
            <a:ext uri="{FF2B5EF4-FFF2-40B4-BE49-F238E27FC236}">
              <a16:creationId xmlns:a16="http://schemas.microsoft.com/office/drawing/2014/main" id="{49B0125E-5900-459A-8D81-F0F32D5600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31" name="x_Picture 1" descr="Description: cid:image001.png@01D03949.49457930">
          <a:extLst>
            <a:ext uri="{FF2B5EF4-FFF2-40B4-BE49-F238E27FC236}">
              <a16:creationId xmlns:a16="http://schemas.microsoft.com/office/drawing/2014/main" id="{9A7476E2-7995-4019-97B0-03BE9F43A9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32" name="x_Picture 1" descr="Description: cid:image001.png@01D03949.49457930">
          <a:extLst>
            <a:ext uri="{FF2B5EF4-FFF2-40B4-BE49-F238E27FC236}">
              <a16:creationId xmlns:a16="http://schemas.microsoft.com/office/drawing/2014/main" id="{FF8B20DD-BEC5-4F15-BD74-7F052A1A6D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33" name="x_Picture 1" descr="Description: cid:image001.png@01D03949.49457930">
          <a:extLst>
            <a:ext uri="{FF2B5EF4-FFF2-40B4-BE49-F238E27FC236}">
              <a16:creationId xmlns:a16="http://schemas.microsoft.com/office/drawing/2014/main" id="{3CBA60EA-94F1-4770-9A31-97F66240F9F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34" name="x_Picture 1" descr="Description: cid:image001.png@01D03949.49457930">
          <a:extLst>
            <a:ext uri="{FF2B5EF4-FFF2-40B4-BE49-F238E27FC236}">
              <a16:creationId xmlns:a16="http://schemas.microsoft.com/office/drawing/2014/main" id="{0B3E8BA6-30AC-48BA-82FC-9ABCC544AA6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35" name="x_Picture 1" descr="Description: cid:image001.png@01D03949.49457930">
          <a:extLst>
            <a:ext uri="{FF2B5EF4-FFF2-40B4-BE49-F238E27FC236}">
              <a16:creationId xmlns:a16="http://schemas.microsoft.com/office/drawing/2014/main" id="{1B209C92-B553-4DDA-8F8C-0969E99B8E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36" name="x_Picture 1" descr="Description: cid:image001.png@01D03949.49457930">
          <a:extLst>
            <a:ext uri="{FF2B5EF4-FFF2-40B4-BE49-F238E27FC236}">
              <a16:creationId xmlns:a16="http://schemas.microsoft.com/office/drawing/2014/main" id="{FEB5B3CF-9151-4B52-AC01-C509F0F86A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37" name="x_Picture 1" descr="Description: cid:image001.png@01D03949.49457930">
          <a:extLst>
            <a:ext uri="{FF2B5EF4-FFF2-40B4-BE49-F238E27FC236}">
              <a16:creationId xmlns:a16="http://schemas.microsoft.com/office/drawing/2014/main" id="{8FAA2EC4-F8A5-43A6-B8D9-50C86D8DD2F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38" name="x_Picture 1" descr="Description: cid:image001.png@01D03949.49457930">
          <a:extLst>
            <a:ext uri="{FF2B5EF4-FFF2-40B4-BE49-F238E27FC236}">
              <a16:creationId xmlns:a16="http://schemas.microsoft.com/office/drawing/2014/main" id="{91F4DDD4-A37F-48D9-A008-ADBDB16E4B5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39" name="x_Picture 1" descr="Description: cid:image001.png@01D03949.49457930">
          <a:extLst>
            <a:ext uri="{FF2B5EF4-FFF2-40B4-BE49-F238E27FC236}">
              <a16:creationId xmlns:a16="http://schemas.microsoft.com/office/drawing/2014/main" id="{0F8E2690-B713-43B8-8FD3-3BFC18F3CE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40" name="x_Picture 1" descr="Description: cid:image001.png@01D03949.49457930">
          <a:extLst>
            <a:ext uri="{FF2B5EF4-FFF2-40B4-BE49-F238E27FC236}">
              <a16:creationId xmlns:a16="http://schemas.microsoft.com/office/drawing/2014/main" id="{BED0E0C8-CF0A-4683-AF4C-2CCCC0DEC9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41" name="x_Picture 1" descr="Description: cid:image001.png@01D03949.49457930">
          <a:extLst>
            <a:ext uri="{FF2B5EF4-FFF2-40B4-BE49-F238E27FC236}">
              <a16:creationId xmlns:a16="http://schemas.microsoft.com/office/drawing/2014/main" id="{29DF6A0F-401E-4FB9-9BF5-AA8FEDEE42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42" name="x_Picture 1" descr="Description: cid:image001.png@01D03949.49457930">
          <a:extLst>
            <a:ext uri="{FF2B5EF4-FFF2-40B4-BE49-F238E27FC236}">
              <a16:creationId xmlns:a16="http://schemas.microsoft.com/office/drawing/2014/main" id="{FE20CF80-C39C-403A-A29A-23DDF4DC0A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43" name="x_Picture 1" descr="Description: cid:image001.png@01D03949.49457930">
          <a:extLst>
            <a:ext uri="{FF2B5EF4-FFF2-40B4-BE49-F238E27FC236}">
              <a16:creationId xmlns:a16="http://schemas.microsoft.com/office/drawing/2014/main" id="{612527DD-BD45-407B-8C2C-2AEBC9E5EB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44" name="x_Picture 1" descr="Description: cid:image001.png@01D03949.49457930">
          <a:extLst>
            <a:ext uri="{FF2B5EF4-FFF2-40B4-BE49-F238E27FC236}">
              <a16:creationId xmlns:a16="http://schemas.microsoft.com/office/drawing/2014/main" id="{3C20A9A0-5793-47AE-9F99-1D32601A70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45" name="x_Picture 1" descr="Description: cid:image001.png@01D03949.49457930">
          <a:extLst>
            <a:ext uri="{FF2B5EF4-FFF2-40B4-BE49-F238E27FC236}">
              <a16:creationId xmlns:a16="http://schemas.microsoft.com/office/drawing/2014/main" id="{7C497A18-0855-4277-842E-8B4761D8C8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46" name="x_Picture 1" descr="Description: cid:image001.png@01D03949.49457930">
          <a:extLst>
            <a:ext uri="{FF2B5EF4-FFF2-40B4-BE49-F238E27FC236}">
              <a16:creationId xmlns:a16="http://schemas.microsoft.com/office/drawing/2014/main" id="{4BC2BA8C-FE77-4D91-8EBF-6FF06B76A11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47" name="x_Picture 1" descr="Description: cid:image001.png@01D03949.49457930">
          <a:extLst>
            <a:ext uri="{FF2B5EF4-FFF2-40B4-BE49-F238E27FC236}">
              <a16:creationId xmlns:a16="http://schemas.microsoft.com/office/drawing/2014/main" id="{AE85158F-27E2-4569-B943-CD1CDFADA9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48" name="x_Picture 1" descr="Description: cid:image001.png@01D03949.49457930">
          <a:extLst>
            <a:ext uri="{FF2B5EF4-FFF2-40B4-BE49-F238E27FC236}">
              <a16:creationId xmlns:a16="http://schemas.microsoft.com/office/drawing/2014/main" id="{915110B5-CF61-4C06-90F0-059A2B26AD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49" name="x_Picture 1" descr="Description: cid:image001.png@01D03949.49457930">
          <a:extLst>
            <a:ext uri="{FF2B5EF4-FFF2-40B4-BE49-F238E27FC236}">
              <a16:creationId xmlns:a16="http://schemas.microsoft.com/office/drawing/2014/main" id="{B55F8D8C-9870-4B26-97AD-EC6C3A6028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50" name="x_Picture 1" descr="Description: cid:image001.png@01D03949.49457930">
          <a:extLst>
            <a:ext uri="{FF2B5EF4-FFF2-40B4-BE49-F238E27FC236}">
              <a16:creationId xmlns:a16="http://schemas.microsoft.com/office/drawing/2014/main" id="{48A44A4D-3FB2-4A24-87E3-18F7FC700B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51" name="x_Picture 1" descr="Description: cid:image001.png@01D03949.49457930">
          <a:extLst>
            <a:ext uri="{FF2B5EF4-FFF2-40B4-BE49-F238E27FC236}">
              <a16:creationId xmlns:a16="http://schemas.microsoft.com/office/drawing/2014/main" id="{88C4A9A3-89B7-459F-B351-CA6D075022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52" name="x_Picture 1" descr="Description: cid:image001.png@01D03949.49457930">
          <a:extLst>
            <a:ext uri="{FF2B5EF4-FFF2-40B4-BE49-F238E27FC236}">
              <a16:creationId xmlns:a16="http://schemas.microsoft.com/office/drawing/2014/main" id="{EE0C7A2B-B47C-4C8C-A2A2-47D2427A6B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53" name="x_Picture 1" descr="Description: cid:image001.png@01D03949.49457930">
          <a:extLst>
            <a:ext uri="{FF2B5EF4-FFF2-40B4-BE49-F238E27FC236}">
              <a16:creationId xmlns:a16="http://schemas.microsoft.com/office/drawing/2014/main" id="{7613475D-8FFC-4B16-99C4-6F7B6C1D61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54" name="x_Picture 1" descr="Description: cid:image001.png@01D03949.49457930">
          <a:extLst>
            <a:ext uri="{FF2B5EF4-FFF2-40B4-BE49-F238E27FC236}">
              <a16:creationId xmlns:a16="http://schemas.microsoft.com/office/drawing/2014/main" id="{F2FF0B71-08BA-4108-8E20-164EF1B2BF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55" name="x_Picture 1" descr="Description: cid:image001.png@01D03949.49457930">
          <a:extLst>
            <a:ext uri="{FF2B5EF4-FFF2-40B4-BE49-F238E27FC236}">
              <a16:creationId xmlns:a16="http://schemas.microsoft.com/office/drawing/2014/main" id="{31A23406-9FC5-4108-8A65-501AD5B622B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56" name="x_Picture 1" descr="Description: cid:image001.png@01D03949.49457930">
          <a:extLst>
            <a:ext uri="{FF2B5EF4-FFF2-40B4-BE49-F238E27FC236}">
              <a16:creationId xmlns:a16="http://schemas.microsoft.com/office/drawing/2014/main" id="{A746E7E8-009C-4619-975E-A1A8874EBC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57" name="x_Picture 1" descr="Description: cid:image001.png@01D03949.49457930">
          <a:extLst>
            <a:ext uri="{FF2B5EF4-FFF2-40B4-BE49-F238E27FC236}">
              <a16:creationId xmlns:a16="http://schemas.microsoft.com/office/drawing/2014/main" id="{6AC2C9D6-6B52-4BBB-A1B2-D0B32116627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58" name="x_Picture 1" descr="Description: cid:image001.png@01D03949.49457930">
          <a:extLst>
            <a:ext uri="{FF2B5EF4-FFF2-40B4-BE49-F238E27FC236}">
              <a16:creationId xmlns:a16="http://schemas.microsoft.com/office/drawing/2014/main" id="{1142009E-F108-41F4-BCEF-B071539D15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59" name="x_Picture 1" descr="Description: cid:image001.png@01D03949.49457930">
          <a:extLst>
            <a:ext uri="{FF2B5EF4-FFF2-40B4-BE49-F238E27FC236}">
              <a16:creationId xmlns:a16="http://schemas.microsoft.com/office/drawing/2014/main" id="{45FFCCCC-0F88-49F2-9696-D4DEB382D2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60" name="x_Picture 1" descr="Description: cid:image001.png@01D03949.49457930">
          <a:extLst>
            <a:ext uri="{FF2B5EF4-FFF2-40B4-BE49-F238E27FC236}">
              <a16:creationId xmlns:a16="http://schemas.microsoft.com/office/drawing/2014/main" id="{DF39AA11-53F5-47CE-B4AF-D1ABE3D489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61" name="x_Picture 1" descr="Description: cid:image001.png@01D03949.49457930">
          <a:extLst>
            <a:ext uri="{FF2B5EF4-FFF2-40B4-BE49-F238E27FC236}">
              <a16:creationId xmlns:a16="http://schemas.microsoft.com/office/drawing/2014/main" id="{64724CA5-2BD7-44FB-88C9-2FF45D2834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62" name="x_Picture 1" descr="Description: cid:image001.png@01D03949.49457930">
          <a:extLst>
            <a:ext uri="{FF2B5EF4-FFF2-40B4-BE49-F238E27FC236}">
              <a16:creationId xmlns:a16="http://schemas.microsoft.com/office/drawing/2014/main" id="{0B376E8C-0B40-4566-ACE1-BE086D490A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63" name="x_Picture 1" descr="Description: cid:image001.png@01D03949.49457930">
          <a:extLst>
            <a:ext uri="{FF2B5EF4-FFF2-40B4-BE49-F238E27FC236}">
              <a16:creationId xmlns:a16="http://schemas.microsoft.com/office/drawing/2014/main" id="{E3CB3FBA-F81E-4A2D-B2CC-31A08213AB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64" name="x_Picture 1" descr="Description: cid:image001.png@01D03949.49457930">
          <a:extLst>
            <a:ext uri="{FF2B5EF4-FFF2-40B4-BE49-F238E27FC236}">
              <a16:creationId xmlns:a16="http://schemas.microsoft.com/office/drawing/2014/main" id="{501736BB-655A-4465-B2FE-20CAEA3D35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65" name="x_Picture 1" descr="Description: cid:image001.png@01D03949.49457930">
          <a:extLst>
            <a:ext uri="{FF2B5EF4-FFF2-40B4-BE49-F238E27FC236}">
              <a16:creationId xmlns:a16="http://schemas.microsoft.com/office/drawing/2014/main" id="{8647F941-A6B4-4F85-9F4C-B3FA1A4081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66" name="x_Picture 1" descr="Description: cid:image001.png@01D03949.49457930">
          <a:extLst>
            <a:ext uri="{FF2B5EF4-FFF2-40B4-BE49-F238E27FC236}">
              <a16:creationId xmlns:a16="http://schemas.microsoft.com/office/drawing/2014/main" id="{794355A7-10AD-4F66-9B04-FD00AB61DAF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67" name="x_Picture 1" descr="Description: cid:image001.png@01D03949.49457930">
          <a:extLst>
            <a:ext uri="{FF2B5EF4-FFF2-40B4-BE49-F238E27FC236}">
              <a16:creationId xmlns:a16="http://schemas.microsoft.com/office/drawing/2014/main" id="{3B245CA1-293E-471C-99AE-5C08E43A5C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68" name="x_Picture 1" descr="Description: cid:image001.png@01D03949.49457930">
          <a:extLst>
            <a:ext uri="{FF2B5EF4-FFF2-40B4-BE49-F238E27FC236}">
              <a16:creationId xmlns:a16="http://schemas.microsoft.com/office/drawing/2014/main" id="{CD5BB422-17A4-4FD5-9621-0E1C57B931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69" name="x_Picture 1" descr="Description: cid:image001.png@01D03949.49457930">
          <a:extLst>
            <a:ext uri="{FF2B5EF4-FFF2-40B4-BE49-F238E27FC236}">
              <a16:creationId xmlns:a16="http://schemas.microsoft.com/office/drawing/2014/main" id="{080D049D-0BB4-4E9B-BE89-014AB39E638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70" name="x_Picture 1" descr="Description: cid:image001.png@01D03949.49457930">
          <a:extLst>
            <a:ext uri="{FF2B5EF4-FFF2-40B4-BE49-F238E27FC236}">
              <a16:creationId xmlns:a16="http://schemas.microsoft.com/office/drawing/2014/main" id="{B12B341E-EB2F-4D76-B0A3-BB8681E9195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71" name="x_Picture 1" descr="Description: cid:image001.png@01D03949.49457930">
          <a:extLst>
            <a:ext uri="{FF2B5EF4-FFF2-40B4-BE49-F238E27FC236}">
              <a16:creationId xmlns:a16="http://schemas.microsoft.com/office/drawing/2014/main" id="{BC0BEE30-FBB3-43FF-8BD5-8DE85CD642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72" name="x_Picture 1" descr="Description: cid:image001.png@01D03949.49457930">
          <a:extLst>
            <a:ext uri="{FF2B5EF4-FFF2-40B4-BE49-F238E27FC236}">
              <a16:creationId xmlns:a16="http://schemas.microsoft.com/office/drawing/2014/main" id="{85D97DDE-83BE-4C48-B5D6-D076EFDD9A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73" name="x_Picture 1" descr="Description: cid:image001.png@01D03949.49457930">
          <a:extLst>
            <a:ext uri="{FF2B5EF4-FFF2-40B4-BE49-F238E27FC236}">
              <a16:creationId xmlns:a16="http://schemas.microsoft.com/office/drawing/2014/main" id="{1EFF8B22-FB9E-4A2C-A8C1-373D2E4F0BC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74" name="x_Picture 1" descr="Description: cid:image001.png@01D03949.49457930">
          <a:extLst>
            <a:ext uri="{FF2B5EF4-FFF2-40B4-BE49-F238E27FC236}">
              <a16:creationId xmlns:a16="http://schemas.microsoft.com/office/drawing/2014/main" id="{17CCAEE8-8D84-42E8-A7FD-5D294B140C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75" name="x_Picture 1" descr="Description: cid:image001.png@01D03949.49457930">
          <a:extLst>
            <a:ext uri="{FF2B5EF4-FFF2-40B4-BE49-F238E27FC236}">
              <a16:creationId xmlns:a16="http://schemas.microsoft.com/office/drawing/2014/main" id="{AFAA6DFB-E3FE-482E-9D4E-CECAFFDE4F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76" name="x_Picture 1" descr="Description: cid:image001.png@01D03949.49457930">
          <a:extLst>
            <a:ext uri="{FF2B5EF4-FFF2-40B4-BE49-F238E27FC236}">
              <a16:creationId xmlns:a16="http://schemas.microsoft.com/office/drawing/2014/main" id="{4855053E-214A-4937-9E34-94EE89FA58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44</xdr:row>
      <xdr:rowOff>0</xdr:rowOff>
    </xdr:from>
    <xdr:ext cx="279605" cy="315045"/>
    <xdr:sp macro="" textlink="">
      <xdr:nvSpPr>
        <xdr:cNvPr id="4677" name="x_Picture 1" descr="Description: cid:image001.png@01D03949.49457930">
          <a:extLst>
            <a:ext uri="{FF2B5EF4-FFF2-40B4-BE49-F238E27FC236}">
              <a16:creationId xmlns:a16="http://schemas.microsoft.com/office/drawing/2014/main" id="{0CC0A14D-DA42-4A7F-9DFD-841E6B476A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78" name="x_Picture 1" descr="Description: cid:image001.png@01D03949.49457930">
          <a:extLst>
            <a:ext uri="{FF2B5EF4-FFF2-40B4-BE49-F238E27FC236}">
              <a16:creationId xmlns:a16="http://schemas.microsoft.com/office/drawing/2014/main" id="{D304BFBB-ABDB-4032-8000-23B997F6C24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79" name="x_Picture 1" descr="Description: cid:image001.png@01D03949.49457930">
          <a:extLst>
            <a:ext uri="{FF2B5EF4-FFF2-40B4-BE49-F238E27FC236}">
              <a16:creationId xmlns:a16="http://schemas.microsoft.com/office/drawing/2014/main" id="{33CD2A8D-7939-4192-B016-C4339FD9CA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80" name="x_Picture 1" descr="Description: cid:image001.png@01D03949.49457930">
          <a:extLst>
            <a:ext uri="{FF2B5EF4-FFF2-40B4-BE49-F238E27FC236}">
              <a16:creationId xmlns:a16="http://schemas.microsoft.com/office/drawing/2014/main" id="{E5A3FF0E-A946-48C4-AA38-4A064E950F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81" name="x_Picture 1" descr="Description: cid:image001.png@01D03949.49457930">
          <a:extLst>
            <a:ext uri="{FF2B5EF4-FFF2-40B4-BE49-F238E27FC236}">
              <a16:creationId xmlns:a16="http://schemas.microsoft.com/office/drawing/2014/main" id="{1CFFD000-3134-46F2-A5C8-AEB571316E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82" name="x_Picture 1" descr="Description: cid:image001.png@01D03949.49457930">
          <a:extLst>
            <a:ext uri="{FF2B5EF4-FFF2-40B4-BE49-F238E27FC236}">
              <a16:creationId xmlns:a16="http://schemas.microsoft.com/office/drawing/2014/main" id="{DC646F4B-79DF-46A0-A5F2-7ADDE076AC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83" name="x_Picture 1" descr="Description: cid:image001.png@01D03949.49457930">
          <a:extLst>
            <a:ext uri="{FF2B5EF4-FFF2-40B4-BE49-F238E27FC236}">
              <a16:creationId xmlns:a16="http://schemas.microsoft.com/office/drawing/2014/main" id="{20777040-B726-4D99-AA56-BB92F6B8D9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84" name="x_Picture 1" descr="Description: cid:image001.png@01D03949.49457930">
          <a:extLst>
            <a:ext uri="{FF2B5EF4-FFF2-40B4-BE49-F238E27FC236}">
              <a16:creationId xmlns:a16="http://schemas.microsoft.com/office/drawing/2014/main" id="{85E80A72-84A0-4BD8-881C-F2061EE0AB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685" name="x_Picture 1" descr="Description: cid:image001.png@01D03949.49457930">
          <a:extLst>
            <a:ext uri="{FF2B5EF4-FFF2-40B4-BE49-F238E27FC236}">
              <a16:creationId xmlns:a16="http://schemas.microsoft.com/office/drawing/2014/main" id="{90EEA90C-B7D8-4229-9A32-AD46E6015A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86" name="x_Picture 1" descr="Description: cid:image001.png@01D03949.49457930">
          <a:extLst>
            <a:ext uri="{FF2B5EF4-FFF2-40B4-BE49-F238E27FC236}">
              <a16:creationId xmlns:a16="http://schemas.microsoft.com/office/drawing/2014/main" id="{877CA9AF-4D5C-4EEA-AC58-A26DB9A2798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44</xdr:row>
      <xdr:rowOff>0</xdr:rowOff>
    </xdr:from>
    <xdr:ext cx="279605" cy="315045"/>
    <xdr:sp macro="" textlink="">
      <xdr:nvSpPr>
        <xdr:cNvPr id="4687" name="x_Picture 1" descr="Description: cid:image001.png@01D03949.49457930">
          <a:extLst>
            <a:ext uri="{FF2B5EF4-FFF2-40B4-BE49-F238E27FC236}">
              <a16:creationId xmlns:a16="http://schemas.microsoft.com/office/drawing/2014/main" id="{164C454E-1DDD-43BF-9584-F93CF6350B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5722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88" name="x_Picture 1" descr="Description: cid:image001.png@01D03949.49457930">
          <a:extLst>
            <a:ext uri="{FF2B5EF4-FFF2-40B4-BE49-F238E27FC236}">
              <a16:creationId xmlns:a16="http://schemas.microsoft.com/office/drawing/2014/main" id="{4BC00F4C-2A99-4769-890B-DB133E7B8FE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89" name="x_Picture 1" descr="Description: cid:image001.png@01D03949.49457930">
          <a:extLst>
            <a:ext uri="{FF2B5EF4-FFF2-40B4-BE49-F238E27FC236}">
              <a16:creationId xmlns:a16="http://schemas.microsoft.com/office/drawing/2014/main" id="{46D8C378-74D1-43B9-9686-D28B94AD0B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0" name="x_Picture 1" descr="Description: cid:image001.png@01D03949.49457930">
          <a:extLst>
            <a:ext uri="{FF2B5EF4-FFF2-40B4-BE49-F238E27FC236}">
              <a16:creationId xmlns:a16="http://schemas.microsoft.com/office/drawing/2014/main" id="{30BBAE1D-E326-4E1E-807E-00E1F8D6D9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1" name="x_Picture 1" descr="Description: cid:image001.png@01D03949.49457930">
          <a:extLst>
            <a:ext uri="{FF2B5EF4-FFF2-40B4-BE49-F238E27FC236}">
              <a16:creationId xmlns:a16="http://schemas.microsoft.com/office/drawing/2014/main" id="{2E58620B-ED0F-44DC-9D0D-0AADF895D0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2" name="x_Picture 1" descr="Description: cid:image001.png@01D03949.49457930">
          <a:extLst>
            <a:ext uri="{FF2B5EF4-FFF2-40B4-BE49-F238E27FC236}">
              <a16:creationId xmlns:a16="http://schemas.microsoft.com/office/drawing/2014/main" id="{2F6E9BA9-4ABC-4FC6-BE93-CC94165753A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3" name="x_Picture 1" descr="Description: cid:image001.png@01D03949.49457930">
          <a:extLst>
            <a:ext uri="{FF2B5EF4-FFF2-40B4-BE49-F238E27FC236}">
              <a16:creationId xmlns:a16="http://schemas.microsoft.com/office/drawing/2014/main" id="{8B661ED5-6804-4FAE-971B-78095A185C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4" name="x_Picture 1" descr="Description: cid:image001.png@01D03949.49457930">
          <a:extLst>
            <a:ext uri="{FF2B5EF4-FFF2-40B4-BE49-F238E27FC236}">
              <a16:creationId xmlns:a16="http://schemas.microsoft.com/office/drawing/2014/main" id="{418AA2E4-349E-46CD-AAAD-7867F4CFC8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5" name="x_Picture 1" descr="Description: cid:image001.png@01D03949.49457930">
          <a:extLst>
            <a:ext uri="{FF2B5EF4-FFF2-40B4-BE49-F238E27FC236}">
              <a16:creationId xmlns:a16="http://schemas.microsoft.com/office/drawing/2014/main" id="{B3C964C2-43D7-4A3C-9B5E-AD9C1DB277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6" name="x_Picture 1" descr="Description: cid:image001.png@01D03949.49457930">
          <a:extLst>
            <a:ext uri="{FF2B5EF4-FFF2-40B4-BE49-F238E27FC236}">
              <a16:creationId xmlns:a16="http://schemas.microsoft.com/office/drawing/2014/main" id="{83AFAB39-E844-4B61-8CCB-434A1FFC34F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7" name="x_Picture 1" descr="Description: cid:image001.png@01D03949.49457930">
          <a:extLst>
            <a:ext uri="{FF2B5EF4-FFF2-40B4-BE49-F238E27FC236}">
              <a16:creationId xmlns:a16="http://schemas.microsoft.com/office/drawing/2014/main" id="{DBB63F3A-FBDA-4AB4-928B-647E4CEE984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8" name="x_Picture 1" descr="Description: cid:image001.png@01D03949.49457930">
          <a:extLst>
            <a:ext uri="{FF2B5EF4-FFF2-40B4-BE49-F238E27FC236}">
              <a16:creationId xmlns:a16="http://schemas.microsoft.com/office/drawing/2014/main" id="{7CCBC942-CA58-49B9-98BA-E4805CB32A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699" name="x_Picture 1" descr="Description: cid:image001.png@01D03949.49457930">
          <a:extLst>
            <a:ext uri="{FF2B5EF4-FFF2-40B4-BE49-F238E27FC236}">
              <a16:creationId xmlns:a16="http://schemas.microsoft.com/office/drawing/2014/main" id="{76E8C7C0-B70A-4520-9E0B-026019DA1F4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00" name="x_Picture 1" descr="Description: cid:image001.png@01D03949.49457930">
          <a:extLst>
            <a:ext uri="{FF2B5EF4-FFF2-40B4-BE49-F238E27FC236}">
              <a16:creationId xmlns:a16="http://schemas.microsoft.com/office/drawing/2014/main" id="{F7AC6A63-E9D3-42F2-8D4D-C94CDAD181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01" name="x_Picture 1" descr="Description: cid:image001.png@01D03949.49457930">
          <a:extLst>
            <a:ext uri="{FF2B5EF4-FFF2-40B4-BE49-F238E27FC236}">
              <a16:creationId xmlns:a16="http://schemas.microsoft.com/office/drawing/2014/main" id="{175F8B2F-4F0F-4614-B491-B678029917A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02" name="x_Picture 1" descr="Description: cid:image001.png@01D03949.49457930">
          <a:extLst>
            <a:ext uri="{FF2B5EF4-FFF2-40B4-BE49-F238E27FC236}">
              <a16:creationId xmlns:a16="http://schemas.microsoft.com/office/drawing/2014/main" id="{F9152C20-A861-4400-946B-DF1B0C132F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03" name="x_Picture 1" descr="Description: cid:image001.png@01D03949.49457930">
          <a:extLst>
            <a:ext uri="{FF2B5EF4-FFF2-40B4-BE49-F238E27FC236}">
              <a16:creationId xmlns:a16="http://schemas.microsoft.com/office/drawing/2014/main" id="{C3CE3627-562F-43C5-9D13-CC9C0A2511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04" name="x_Picture 1" descr="Description: cid:image001.png@01D03949.49457930">
          <a:extLst>
            <a:ext uri="{FF2B5EF4-FFF2-40B4-BE49-F238E27FC236}">
              <a16:creationId xmlns:a16="http://schemas.microsoft.com/office/drawing/2014/main" id="{B797D38F-3415-4E47-82C3-626D4EC375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05" name="x_Picture 1" descr="Description: cid:image001.png@01D03949.49457930">
          <a:extLst>
            <a:ext uri="{FF2B5EF4-FFF2-40B4-BE49-F238E27FC236}">
              <a16:creationId xmlns:a16="http://schemas.microsoft.com/office/drawing/2014/main" id="{653192C9-C1F9-42C0-BC10-E4A4FDC317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06" name="x_Picture 1" descr="Description: cid:image001.png@01D03949.49457930">
          <a:extLst>
            <a:ext uri="{FF2B5EF4-FFF2-40B4-BE49-F238E27FC236}">
              <a16:creationId xmlns:a16="http://schemas.microsoft.com/office/drawing/2014/main" id="{BE8B3091-48CF-4D2A-8CD5-83DEF1002E3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07" name="x_Picture 1" descr="Description: cid:image001.png@01D03949.49457930">
          <a:extLst>
            <a:ext uri="{FF2B5EF4-FFF2-40B4-BE49-F238E27FC236}">
              <a16:creationId xmlns:a16="http://schemas.microsoft.com/office/drawing/2014/main" id="{7B74870C-1A27-4941-88F8-6D1601ADBE1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08" name="x_Picture 1" descr="Description: cid:image001.png@01D03949.49457930">
          <a:extLst>
            <a:ext uri="{FF2B5EF4-FFF2-40B4-BE49-F238E27FC236}">
              <a16:creationId xmlns:a16="http://schemas.microsoft.com/office/drawing/2014/main" id="{4915C8DE-7708-404D-903E-02C5864A6D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09" name="x_Picture 1" descr="Description: cid:image001.png@01D03949.49457930">
          <a:extLst>
            <a:ext uri="{FF2B5EF4-FFF2-40B4-BE49-F238E27FC236}">
              <a16:creationId xmlns:a16="http://schemas.microsoft.com/office/drawing/2014/main" id="{E78E425E-DBC9-4187-B995-8EC7C633AB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10" name="x_Picture 1" descr="Description: cid:image001.png@01D03949.49457930">
          <a:extLst>
            <a:ext uri="{FF2B5EF4-FFF2-40B4-BE49-F238E27FC236}">
              <a16:creationId xmlns:a16="http://schemas.microsoft.com/office/drawing/2014/main" id="{9D43AE28-55EA-4CDF-87CD-9C3C772FB39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11" name="x_Picture 1" descr="Description: cid:image001.png@01D03949.49457930">
          <a:extLst>
            <a:ext uri="{FF2B5EF4-FFF2-40B4-BE49-F238E27FC236}">
              <a16:creationId xmlns:a16="http://schemas.microsoft.com/office/drawing/2014/main" id="{3BCB1C90-BB1C-4574-8BBB-02F7DD71B5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12" name="x_Picture 1" descr="Description: cid:image001.png@01D03949.49457930">
          <a:extLst>
            <a:ext uri="{FF2B5EF4-FFF2-40B4-BE49-F238E27FC236}">
              <a16:creationId xmlns:a16="http://schemas.microsoft.com/office/drawing/2014/main" id="{5652AF59-B613-4826-A3DF-FD206CACF92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13" name="x_Picture 1" descr="Description: cid:image001.png@01D03949.49457930">
          <a:extLst>
            <a:ext uri="{FF2B5EF4-FFF2-40B4-BE49-F238E27FC236}">
              <a16:creationId xmlns:a16="http://schemas.microsoft.com/office/drawing/2014/main" id="{B63BC45D-2A94-4293-91E7-1853370C48C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14" name="x_Picture 1" descr="Description: cid:image001.png@01D03949.49457930">
          <a:extLst>
            <a:ext uri="{FF2B5EF4-FFF2-40B4-BE49-F238E27FC236}">
              <a16:creationId xmlns:a16="http://schemas.microsoft.com/office/drawing/2014/main" id="{111115CD-B40B-41CD-A7C6-78AFC5A7F44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15" name="x_Picture 1" descr="Description: cid:image001.png@01D03949.49457930">
          <a:extLst>
            <a:ext uri="{FF2B5EF4-FFF2-40B4-BE49-F238E27FC236}">
              <a16:creationId xmlns:a16="http://schemas.microsoft.com/office/drawing/2014/main" id="{D205358A-9314-4FE2-BE5E-0B9F032E56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16" name="x_Picture 1" descr="Description: cid:image001.png@01D03949.49457930">
          <a:extLst>
            <a:ext uri="{FF2B5EF4-FFF2-40B4-BE49-F238E27FC236}">
              <a16:creationId xmlns:a16="http://schemas.microsoft.com/office/drawing/2014/main" id="{97EA5ECD-FADD-42D5-BBCB-F706964E1F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17" name="x_Picture 1" descr="Description: cid:image001.png@01D03949.49457930">
          <a:extLst>
            <a:ext uri="{FF2B5EF4-FFF2-40B4-BE49-F238E27FC236}">
              <a16:creationId xmlns:a16="http://schemas.microsoft.com/office/drawing/2014/main" id="{10756225-42C0-49ED-9BDC-161F6EC021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18" name="x_Picture 1" descr="Description: cid:image001.png@01D03949.49457930">
          <a:extLst>
            <a:ext uri="{FF2B5EF4-FFF2-40B4-BE49-F238E27FC236}">
              <a16:creationId xmlns:a16="http://schemas.microsoft.com/office/drawing/2014/main" id="{2A215F70-651B-4AE8-AC7F-7ACA3F61FF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19" name="x_Picture 1" descr="Description: cid:image001.png@01D03949.49457930">
          <a:extLst>
            <a:ext uri="{FF2B5EF4-FFF2-40B4-BE49-F238E27FC236}">
              <a16:creationId xmlns:a16="http://schemas.microsoft.com/office/drawing/2014/main" id="{1406A259-1528-40B6-A930-112B60F4E1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20" name="x_Picture 1" descr="Description: cid:image001.png@01D03949.49457930">
          <a:extLst>
            <a:ext uri="{FF2B5EF4-FFF2-40B4-BE49-F238E27FC236}">
              <a16:creationId xmlns:a16="http://schemas.microsoft.com/office/drawing/2014/main" id="{E60F47BB-950B-4862-9599-5188F3B62D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21" name="x_Picture 1" descr="Description: cid:image001.png@01D03949.49457930">
          <a:extLst>
            <a:ext uri="{FF2B5EF4-FFF2-40B4-BE49-F238E27FC236}">
              <a16:creationId xmlns:a16="http://schemas.microsoft.com/office/drawing/2014/main" id="{4D294A11-0094-4240-A4BC-DCBAC8AEB1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22" name="x_Picture 1" descr="Description: cid:image001.png@01D03949.49457930">
          <a:extLst>
            <a:ext uri="{FF2B5EF4-FFF2-40B4-BE49-F238E27FC236}">
              <a16:creationId xmlns:a16="http://schemas.microsoft.com/office/drawing/2014/main" id="{5E739F37-E31F-4D62-952B-F4E0A9D40639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23" name="x_Picture 1" descr="Description: cid:image001.png@01D03949.49457930">
          <a:extLst>
            <a:ext uri="{FF2B5EF4-FFF2-40B4-BE49-F238E27FC236}">
              <a16:creationId xmlns:a16="http://schemas.microsoft.com/office/drawing/2014/main" id="{75957C65-5442-43B3-AB1D-E951C53D3A8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24" name="x_Picture 1" descr="Description: cid:image001.png@01D03949.49457930">
          <a:extLst>
            <a:ext uri="{FF2B5EF4-FFF2-40B4-BE49-F238E27FC236}">
              <a16:creationId xmlns:a16="http://schemas.microsoft.com/office/drawing/2014/main" id="{488F8876-E022-4F1A-8B00-853112F4EA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25" name="x_Picture 1" descr="Description: cid:image001.png@01D03949.49457930">
          <a:extLst>
            <a:ext uri="{FF2B5EF4-FFF2-40B4-BE49-F238E27FC236}">
              <a16:creationId xmlns:a16="http://schemas.microsoft.com/office/drawing/2014/main" id="{2CF69009-7CB8-4251-AC7E-F75C986E201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26" name="x_Picture 1" descr="Description: cid:image001.png@01D03949.49457930">
          <a:extLst>
            <a:ext uri="{FF2B5EF4-FFF2-40B4-BE49-F238E27FC236}">
              <a16:creationId xmlns:a16="http://schemas.microsoft.com/office/drawing/2014/main" id="{1FA6BC8E-4735-4AD6-A589-A810241299E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27" name="x_Picture 1" descr="Description: cid:image001.png@01D03949.49457930">
          <a:extLst>
            <a:ext uri="{FF2B5EF4-FFF2-40B4-BE49-F238E27FC236}">
              <a16:creationId xmlns:a16="http://schemas.microsoft.com/office/drawing/2014/main" id="{326616AE-B8E9-4668-AEFF-08AEE008FA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28" name="x_Picture 1" descr="Description: cid:image001.png@01D03949.49457930">
          <a:extLst>
            <a:ext uri="{FF2B5EF4-FFF2-40B4-BE49-F238E27FC236}">
              <a16:creationId xmlns:a16="http://schemas.microsoft.com/office/drawing/2014/main" id="{B299D983-4569-44F3-9357-A9A20862C2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29" name="x_Picture 1" descr="Description: cid:image001.png@01D03949.49457930">
          <a:extLst>
            <a:ext uri="{FF2B5EF4-FFF2-40B4-BE49-F238E27FC236}">
              <a16:creationId xmlns:a16="http://schemas.microsoft.com/office/drawing/2014/main" id="{C94EEA08-8C85-435D-8337-C8AD277AD8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30" name="x_Picture 1" descr="Description: cid:image001.png@01D03949.49457930">
          <a:extLst>
            <a:ext uri="{FF2B5EF4-FFF2-40B4-BE49-F238E27FC236}">
              <a16:creationId xmlns:a16="http://schemas.microsoft.com/office/drawing/2014/main" id="{E234145B-A68E-4313-A282-D991F7BB529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31" name="x_Picture 1" descr="Description: cid:image001.png@01D03949.49457930">
          <a:extLst>
            <a:ext uri="{FF2B5EF4-FFF2-40B4-BE49-F238E27FC236}">
              <a16:creationId xmlns:a16="http://schemas.microsoft.com/office/drawing/2014/main" id="{4E067D47-03AF-4583-92C4-5A74D6A205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32" name="x_Picture 1" descr="Description: cid:image001.png@01D03949.49457930">
          <a:extLst>
            <a:ext uri="{FF2B5EF4-FFF2-40B4-BE49-F238E27FC236}">
              <a16:creationId xmlns:a16="http://schemas.microsoft.com/office/drawing/2014/main" id="{130A0077-6CF0-48BC-8A98-652241E32D5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33" name="x_Picture 1" descr="Description: cid:image001.png@01D03949.49457930">
          <a:extLst>
            <a:ext uri="{FF2B5EF4-FFF2-40B4-BE49-F238E27FC236}">
              <a16:creationId xmlns:a16="http://schemas.microsoft.com/office/drawing/2014/main" id="{38F43F65-4DFF-4AFE-AF92-3644AB0158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34" name="x_Picture 1" descr="Description: cid:image001.png@01D03949.49457930">
          <a:extLst>
            <a:ext uri="{FF2B5EF4-FFF2-40B4-BE49-F238E27FC236}">
              <a16:creationId xmlns:a16="http://schemas.microsoft.com/office/drawing/2014/main" id="{3183BF92-8511-4AD1-8A09-D0953A04B3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35" name="x_Picture 1" descr="Description: cid:image001.png@01D03949.49457930">
          <a:extLst>
            <a:ext uri="{FF2B5EF4-FFF2-40B4-BE49-F238E27FC236}">
              <a16:creationId xmlns:a16="http://schemas.microsoft.com/office/drawing/2014/main" id="{1C60ABEF-4456-4B70-9991-D8842CA3F2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36" name="x_Picture 1" descr="Description: cid:image001.png@01D03949.49457930">
          <a:extLst>
            <a:ext uri="{FF2B5EF4-FFF2-40B4-BE49-F238E27FC236}">
              <a16:creationId xmlns:a16="http://schemas.microsoft.com/office/drawing/2014/main" id="{62525493-E092-4407-BD77-41CDA319741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67564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37" name="x_Picture 1" descr="Description: cid:image001.png@01D03949.49457930">
          <a:extLst>
            <a:ext uri="{FF2B5EF4-FFF2-40B4-BE49-F238E27FC236}">
              <a16:creationId xmlns:a16="http://schemas.microsoft.com/office/drawing/2014/main" id="{DDF626D1-58AC-4AFF-BE9C-A71AA77F3C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38" name="x_Picture 1" descr="Description: cid:image001.png@01D03949.49457930">
          <a:extLst>
            <a:ext uri="{FF2B5EF4-FFF2-40B4-BE49-F238E27FC236}">
              <a16:creationId xmlns:a16="http://schemas.microsoft.com/office/drawing/2014/main" id="{A95A6282-CE67-453D-9360-1E4214D35A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39" name="x_Picture 1" descr="Description: cid:image001.png@01D03949.49457930">
          <a:extLst>
            <a:ext uri="{FF2B5EF4-FFF2-40B4-BE49-F238E27FC236}">
              <a16:creationId xmlns:a16="http://schemas.microsoft.com/office/drawing/2014/main" id="{872DF220-1317-4B5F-93FA-2702F126B4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40" name="x_Picture 1" descr="Description: cid:image001.png@01D03949.49457930">
          <a:extLst>
            <a:ext uri="{FF2B5EF4-FFF2-40B4-BE49-F238E27FC236}">
              <a16:creationId xmlns:a16="http://schemas.microsoft.com/office/drawing/2014/main" id="{0E1B51D9-5A41-4DB2-BD86-549C312A39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41" name="x_Picture 1" descr="Description: cid:image001.png@01D03949.49457930">
          <a:extLst>
            <a:ext uri="{FF2B5EF4-FFF2-40B4-BE49-F238E27FC236}">
              <a16:creationId xmlns:a16="http://schemas.microsoft.com/office/drawing/2014/main" id="{A83CADB1-EEEC-466A-BC17-D3038D36A4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42" name="x_Picture 1" descr="Description: cid:image001.png@01D03949.49457930">
          <a:extLst>
            <a:ext uri="{FF2B5EF4-FFF2-40B4-BE49-F238E27FC236}">
              <a16:creationId xmlns:a16="http://schemas.microsoft.com/office/drawing/2014/main" id="{07F7A19D-44B8-497F-828B-25661363EE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43" name="x_Picture 1" descr="Description: cid:image001.png@01D03949.49457930">
          <a:extLst>
            <a:ext uri="{FF2B5EF4-FFF2-40B4-BE49-F238E27FC236}">
              <a16:creationId xmlns:a16="http://schemas.microsoft.com/office/drawing/2014/main" id="{4B6AAA39-3B45-4754-9D35-0690C43BDAE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44" name="x_Picture 1" descr="Description: cid:image001.png@01D03949.49457930">
          <a:extLst>
            <a:ext uri="{FF2B5EF4-FFF2-40B4-BE49-F238E27FC236}">
              <a16:creationId xmlns:a16="http://schemas.microsoft.com/office/drawing/2014/main" id="{A40247C9-8ED1-4C37-8EF7-0A33022E4B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45" name="x_Picture 1" descr="Description: cid:image001.png@01D03949.49457930">
          <a:extLst>
            <a:ext uri="{FF2B5EF4-FFF2-40B4-BE49-F238E27FC236}">
              <a16:creationId xmlns:a16="http://schemas.microsoft.com/office/drawing/2014/main" id="{5CD94D8A-2310-4C50-9E54-9CB1D711662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46" name="x_Picture 1" descr="Description: cid:image001.png@01D03949.49457930">
          <a:extLst>
            <a:ext uri="{FF2B5EF4-FFF2-40B4-BE49-F238E27FC236}">
              <a16:creationId xmlns:a16="http://schemas.microsoft.com/office/drawing/2014/main" id="{0769851C-1A61-4BD7-8453-191AD008E49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47" name="x_Picture 1" descr="Description: cid:image001.png@01D03949.49457930">
          <a:extLst>
            <a:ext uri="{FF2B5EF4-FFF2-40B4-BE49-F238E27FC236}">
              <a16:creationId xmlns:a16="http://schemas.microsoft.com/office/drawing/2014/main" id="{FF1CB519-D9D4-46BB-BDFD-6E87924A4D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48" name="x_Picture 1" descr="Description: cid:image001.png@01D03949.49457930">
          <a:extLst>
            <a:ext uri="{FF2B5EF4-FFF2-40B4-BE49-F238E27FC236}">
              <a16:creationId xmlns:a16="http://schemas.microsoft.com/office/drawing/2014/main" id="{3A0D81D8-2A34-4188-AC5E-CBC25BC8C8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49" name="x_Picture 1" descr="Description: cid:image001.png@01D03949.49457930">
          <a:extLst>
            <a:ext uri="{FF2B5EF4-FFF2-40B4-BE49-F238E27FC236}">
              <a16:creationId xmlns:a16="http://schemas.microsoft.com/office/drawing/2014/main" id="{1CAF8CCA-09F0-4A73-92CF-11FCB2DBF34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50" name="x_Picture 1" descr="Description: cid:image001.png@01D03949.49457930">
          <a:extLst>
            <a:ext uri="{FF2B5EF4-FFF2-40B4-BE49-F238E27FC236}">
              <a16:creationId xmlns:a16="http://schemas.microsoft.com/office/drawing/2014/main" id="{68B1E6B0-78CD-4969-8A5C-8B4EB8A0D8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51" name="x_Picture 1" descr="Description: cid:image001.png@01D03949.49457930">
          <a:extLst>
            <a:ext uri="{FF2B5EF4-FFF2-40B4-BE49-F238E27FC236}">
              <a16:creationId xmlns:a16="http://schemas.microsoft.com/office/drawing/2014/main" id="{5C4A1FD9-8C47-427F-89C2-7278AD1C43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52" name="x_Picture 1" descr="Description: cid:image001.png@01D03949.49457930">
          <a:extLst>
            <a:ext uri="{FF2B5EF4-FFF2-40B4-BE49-F238E27FC236}">
              <a16:creationId xmlns:a16="http://schemas.microsoft.com/office/drawing/2014/main" id="{A68734D2-F2A5-456B-8E33-A2951BC6FA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53" name="x_Picture 1" descr="Description: cid:image001.png@01D03949.49457930">
          <a:extLst>
            <a:ext uri="{FF2B5EF4-FFF2-40B4-BE49-F238E27FC236}">
              <a16:creationId xmlns:a16="http://schemas.microsoft.com/office/drawing/2014/main" id="{5C9364E2-E3EB-49B4-97C8-8A2B6FF179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54" name="x_Picture 1" descr="Description: cid:image001.png@01D03949.49457930">
          <a:extLst>
            <a:ext uri="{FF2B5EF4-FFF2-40B4-BE49-F238E27FC236}">
              <a16:creationId xmlns:a16="http://schemas.microsoft.com/office/drawing/2014/main" id="{5EDDE295-96A2-470E-BE1C-A2429FF6E3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55" name="x_Picture 1" descr="Description: cid:image001.png@01D03949.49457930">
          <a:extLst>
            <a:ext uri="{FF2B5EF4-FFF2-40B4-BE49-F238E27FC236}">
              <a16:creationId xmlns:a16="http://schemas.microsoft.com/office/drawing/2014/main" id="{D1847CD6-A064-46C6-AAC7-917AFCA9A1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56" name="x_Picture 1" descr="Description: cid:image001.png@01D03949.49457930">
          <a:extLst>
            <a:ext uri="{FF2B5EF4-FFF2-40B4-BE49-F238E27FC236}">
              <a16:creationId xmlns:a16="http://schemas.microsoft.com/office/drawing/2014/main" id="{7D2D47E1-5D51-4369-B77D-7078ADC494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57" name="x_Picture 1" descr="Description: cid:image001.png@01D03949.49457930">
          <a:extLst>
            <a:ext uri="{FF2B5EF4-FFF2-40B4-BE49-F238E27FC236}">
              <a16:creationId xmlns:a16="http://schemas.microsoft.com/office/drawing/2014/main" id="{1431284D-4D32-4A01-A2E1-22AF11D5F8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58" name="x_Picture 1" descr="Description: cid:image001.png@01D03949.49457930">
          <a:extLst>
            <a:ext uri="{FF2B5EF4-FFF2-40B4-BE49-F238E27FC236}">
              <a16:creationId xmlns:a16="http://schemas.microsoft.com/office/drawing/2014/main" id="{EBF4F590-0098-46AB-A64A-053E8E1664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59" name="x_Picture 1" descr="Description: cid:image001.png@01D03949.49457930">
          <a:extLst>
            <a:ext uri="{FF2B5EF4-FFF2-40B4-BE49-F238E27FC236}">
              <a16:creationId xmlns:a16="http://schemas.microsoft.com/office/drawing/2014/main" id="{2687C2C2-ADB4-4E91-B6B0-BEC78F477F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0" name="x_Picture 1" descr="Description: cid:image001.png@01D03949.49457930">
          <a:extLst>
            <a:ext uri="{FF2B5EF4-FFF2-40B4-BE49-F238E27FC236}">
              <a16:creationId xmlns:a16="http://schemas.microsoft.com/office/drawing/2014/main" id="{BF296774-F597-4A7E-BBEF-156B1E15C31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1" name="x_Picture 1" descr="Description: cid:image001.png@01D03949.49457930">
          <a:extLst>
            <a:ext uri="{FF2B5EF4-FFF2-40B4-BE49-F238E27FC236}">
              <a16:creationId xmlns:a16="http://schemas.microsoft.com/office/drawing/2014/main" id="{068105DD-9C98-4C1E-8EEF-CE593C133FA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2" name="x_Picture 1" descr="Description: cid:image001.png@01D03949.49457930">
          <a:extLst>
            <a:ext uri="{FF2B5EF4-FFF2-40B4-BE49-F238E27FC236}">
              <a16:creationId xmlns:a16="http://schemas.microsoft.com/office/drawing/2014/main" id="{37416766-CF8C-4716-81F2-F914C3842F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3" name="x_Picture 1" descr="Description: cid:image001.png@01D03949.49457930">
          <a:extLst>
            <a:ext uri="{FF2B5EF4-FFF2-40B4-BE49-F238E27FC236}">
              <a16:creationId xmlns:a16="http://schemas.microsoft.com/office/drawing/2014/main" id="{5D71D29A-908B-4C7B-8500-7D45AEADBD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4" name="x_Picture 1" descr="Description: cid:image001.png@01D03949.49457930">
          <a:extLst>
            <a:ext uri="{FF2B5EF4-FFF2-40B4-BE49-F238E27FC236}">
              <a16:creationId xmlns:a16="http://schemas.microsoft.com/office/drawing/2014/main" id="{612CC9FF-16DE-4B7E-95E4-2CF3F5C830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5" name="x_Picture 1" descr="Description: cid:image001.png@01D03949.49457930">
          <a:extLst>
            <a:ext uri="{FF2B5EF4-FFF2-40B4-BE49-F238E27FC236}">
              <a16:creationId xmlns:a16="http://schemas.microsoft.com/office/drawing/2014/main" id="{AF1074B4-B8DA-42F9-8191-B5C215F0BB2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6" name="x_Picture 1" descr="Description: cid:image001.png@01D03949.49457930">
          <a:extLst>
            <a:ext uri="{FF2B5EF4-FFF2-40B4-BE49-F238E27FC236}">
              <a16:creationId xmlns:a16="http://schemas.microsoft.com/office/drawing/2014/main" id="{865F1E0A-12D7-41F3-B9FD-DB72AB4C722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7" name="x_Picture 1" descr="Description: cid:image001.png@01D03949.49457930">
          <a:extLst>
            <a:ext uri="{FF2B5EF4-FFF2-40B4-BE49-F238E27FC236}">
              <a16:creationId xmlns:a16="http://schemas.microsoft.com/office/drawing/2014/main" id="{86780B94-3261-4DD4-9811-6D17272A3EC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8" name="x_Picture 1" descr="Description: cid:image001.png@01D03949.49457930">
          <a:extLst>
            <a:ext uri="{FF2B5EF4-FFF2-40B4-BE49-F238E27FC236}">
              <a16:creationId xmlns:a16="http://schemas.microsoft.com/office/drawing/2014/main" id="{8D0C616F-3E6E-41B5-A2AA-4358568A446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69" name="x_Picture 1" descr="Description: cid:image001.png@01D03949.49457930">
          <a:extLst>
            <a:ext uri="{FF2B5EF4-FFF2-40B4-BE49-F238E27FC236}">
              <a16:creationId xmlns:a16="http://schemas.microsoft.com/office/drawing/2014/main" id="{39B9554D-295C-41BA-9FED-BA874401CB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70" name="x_Picture 1" descr="Description: cid:image001.png@01D03949.49457930">
          <a:extLst>
            <a:ext uri="{FF2B5EF4-FFF2-40B4-BE49-F238E27FC236}">
              <a16:creationId xmlns:a16="http://schemas.microsoft.com/office/drawing/2014/main" id="{5FFEF79B-9C4D-4A60-943D-26140488474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71" name="x_Picture 1" descr="Description: cid:image001.png@01D03949.49457930">
          <a:extLst>
            <a:ext uri="{FF2B5EF4-FFF2-40B4-BE49-F238E27FC236}">
              <a16:creationId xmlns:a16="http://schemas.microsoft.com/office/drawing/2014/main" id="{99C22885-6A7F-4D91-A3AD-4072496928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72" name="x_Picture 1" descr="Description: cid:image001.png@01D03949.49457930">
          <a:extLst>
            <a:ext uri="{FF2B5EF4-FFF2-40B4-BE49-F238E27FC236}">
              <a16:creationId xmlns:a16="http://schemas.microsoft.com/office/drawing/2014/main" id="{E33E6335-D8E4-42A4-9D8C-46737883B5C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73" name="x_Picture 1" descr="Description: cid:image001.png@01D03949.49457930">
          <a:extLst>
            <a:ext uri="{FF2B5EF4-FFF2-40B4-BE49-F238E27FC236}">
              <a16:creationId xmlns:a16="http://schemas.microsoft.com/office/drawing/2014/main" id="{CED95C9B-1891-4D68-AA2A-51189A2831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74" name="x_Picture 1" descr="Description: cid:image001.png@01D03949.49457930">
          <a:extLst>
            <a:ext uri="{FF2B5EF4-FFF2-40B4-BE49-F238E27FC236}">
              <a16:creationId xmlns:a16="http://schemas.microsoft.com/office/drawing/2014/main" id="{2706A20A-12A3-46AF-B413-7EDFFD1483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75" name="x_Picture 1" descr="Description: cid:image001.png@01D03949.49457930">
          <a:extLst>
            <a:ext uri="{FF2B5EF4-FFF2-40B4-BE49-F238E27FC236}">
              <a16:creationId xmlns:a16="http://schemas.microsoft.com/office/drawing/2014/main" id="{7586C1F1-5EF0-44FE-AF81-5450EA555D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76" name="x_Picture 1" descr="Description: cid:image001.png@01D03949.49457930">
          <a:extLst>
            <a:ext uri="{FF2B5EF4-FFF2-40B4-BE49-F238E27FC236}">
              <a16:creationId xmlns:a16="http://schemas.microsoft.com/office/drawing/2014/main" id="{000B4916-08A6-4453-9F78-C6EB41BB1C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77" name="x_Picture 1" descr="Description: cid:image001.png@01D03949.49457930">
          <a:extLst>
            <a:ext uri="{FF2B5EF4-FFF2-40B4-BE49-F238E27FC236}">
              <a16:creationId xmlns:a16="http://schemas.microsoft.com/office/drawing/2014/main" id="{E9C92952-6F52-4138-B12F-9309315E2B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78" name="x_Picture 1" descr="Description: cid:image001.png@01D03949.49457930">
          <a:extLst>
            <a:ext uri="{FF2B5EF4-FFF2-40B4-BE49-F238E27FC236}">
              <a16:creationId xmlns:a16="http://schemas.microsoft.com/office/drawing/2014/main" id="{F57951C4-AF12-4A16-B43E-18F5B28470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79" name="x_Picture 1" descr="Description: cid:image001.png@01D03949.49457930">
          <a:extLst>
            <a:ext uri="{FF2B5EF4-FFF2-40B4-BE49-F238E27FC236}">
              <a16:creationId xmlns:a16="http://schemas.microsoft.com/office/drawing/2014/main" id="{E87F6C41-7413-41D8-884A-B981615C5BC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80" name="x_Picture 1" descr="Description: cid:image001.png@01D03949.49457930">
          <a:extLst>
            <a:ext uri="{FF2B5EF4-FFF2-40B4-BE49-F238E27FC236}">
              <a16:creationId xmlns:a16="http://schemas.microsoft.com/office/drawing/2014/main" id="{50388E3C-C9C8-4649-8375-274424223E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81" name="x_Picture 1" descr="Description: cid:image001.png@01D03949.49457930">
          <a:extLst>
            <a:ext uri="{FF2B5EF4-FFF2-40B4-BE49-F238E27FC236}">
              <a16:creationId xmlns:a16="http://schemas.microsoft.com/office/drawing/2014/main" id="{D6F7DDAA-6BC5-4474-A1C0-FBC3280BF6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82" name="x_Picture 1" descr="Description: cid:image001.png@01D03949.49457930">
          <a:extLst>
            <a:ext uri="{FF2B5EF4-FFF2-40B4-BE49-F238E27FC236}">
              <a16:creationId xmlns:a16="http://schemas.microsoft.com/office/drawing/2014/main" id="{41F042C5-050B-43C2-A49F-D851F062A6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83" name="x_Picture 1" descr="Description: cid:image001.png@01D03949.49457930">
          <a:extLst>
            <a:ext uri="{FF2B5EF4-FFF2-40B4-BE49-F238E27FC236}">
              <a16:creationId xmlns:a16="http://schemas.microsoft.com/office/drawing/2014/main" id="{9A4222DE-5896-46CD-82BA-D81AF702CC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84" name="x_Picture 1" descr="Description: cid:image001.png@01D03949.49457930">
          <a:extLst>
            <a:ext uri="{FF2B5EF4-FFF2-40B4-BE49-F238E27FC236}">
              <a16:creationId xmlns:a16="http://schemas.microsoft.com/office/drawing/2014/main" id="{E6021D25-CE67-4C9C-8E64-4EA87C4388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85" name="x_Picture 1" descr="Description: cid:image001.png@01D03949.49457930">
          <a:extLst>
            <a:ext uri="{FF2B5EF4-FFF2-40B4-BE49-F238E27FC236}">
              <a16:creationId xmlns:a16="http://schemas.microsoft.com/office/drawing/2014/main" id="{AC5BBB11-D02A-41A1-85EB-9A6729BB7F8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86" name="x_Picture 1" descr="Description: cid:image001.png@01D03949.49457930">
          <a:extLst>
            <a:ext uri="{FF2B5EF4-FFF2-40B4-BE49-F238E27FC236}">
              <a16:creationId xmlns:a16="http://schemas.microsoft.com/office/drawing/2014/main" id="{C46AB9B3-670F-4A65-8F8F-21141FE3FC6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87" name="x_Picture 1" descr="Description: cid:image001.png@01D03949.49457930">
          <a:extLst>
            <a:ext uri="{FF2B5EF4-FFF2-40B4-BE49-F238E27FC236}">
              <a16:creationId xmlns:a16="http://schemas.microsoft.com/office/drawing/2014/main" id="{09F2BB54-A6C8-4A47-AAD0-7F78334A5F2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88" name="x_Picture 1" descr="Description: cid:image001.png@01D03949.49457930">
          <a:extLst>
            <a:ext uri="{FF2B5EF4-FFF2-40B4-BE49-F238E27FC236}">
              <a16:creationId xmlns:a16="http://schemas.microsoft.com/office/drawing/2014/main" id="{91033271-744E-496F-90A5-86D3BC817C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89" name="x_Picture 1" descr="Description: cid:image001.png@01D03949.49457930">
          <a:extLst>
            <a:ext uri="{FF2B5EF4-FFF2-40B4-BE49-F238E27FC236}">
              <a16:creationId xmlns:a16="http://schemas.microsoft.com/office/drawing/2014/main" id="{AE337AFD-AC9A-4B26-82D1-11F8B175D7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90" name="x_Picture 1" descr="Description: cid:image001.png@01D03949.49457930">
          <a:extLst>
            <a:ext uri="{FF2B5EF4-FFF2-40B4-BE49-F238E27FC236}">
              <a16:creationId xmlns:a16="http://schemas.microsoft.com/office/drawing/2014/main" id="{2221AF63-7A15-49AA-8571-9A8AED0479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91" name="x_Picture 1" descr="Description: cid:image001.png@01D03949.49457930">
          <a:extLst>
            <a:ext uri="{FF2B5EF4-FFF2-40B4-BE49-F238E27FC236}">
              <a16:creationId xmlns:a16="http://schemas.microsoft.com/office/drawing/2014/main" id="{FEC5E9AE-3492-4AAF-AC7A-BD8ECB0DE8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92" name="x_Picture 1" descr="Description: cid:image001.png@01D03949.49457930">
          <a:extLst>
            <a:ext uri="{FF2B5EF4-FFF2-40B4-BE49-F238E27FC236}">
              <a16:creationId xmlns:a16="http://schemas.microsoft.com/office/drawing/2014/main" id="{3031C27A-EBDB-40A0-B284-BAE56D88CB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93" name="x_Picture 1" descr="Description: cid:image001.png@01D03949.49457930">
          <a:extLst>
            <a:ext uri="{FF2B5EF4-FFF2-40B4-BE49-F238E27FC236}">
              <a16:creationId xmlns:a16="http://schemas.microsoft.com/office/drawing/2014/main" id="{13F61B98-889C-4FC8-88EC-CEB75B0EA3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94" name="x_Picture 1" descr="Description: cid:image001.png@01D03949.49457930">
          <a:extLst>
            <a:ext uri="{FF2B5EF4-FFF2-40B4-BE49-F238E27FC236}">
              <a16:creationId xmlns:a16="http://schemas.microsoft.com/office/drawing/2014/main" id="{E443416E-BFFE-44AC-A294-FB185B7FF3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795" name="x_Picture 1" descr="Description: cid:image001.png@01D03949.49457930">
          <a:extLst>
            <a:ext uri="{FF2B5EF4-FFF2-40B4-BE49-F238E27FC236}">
              <a16:creationId xmlns:a16="http://schemas.microsoft.com/office/drawing/2014/main" id="{3C21F5BA-98CD-4B1F-9FC6-25DAEBC72F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96" name="x_Picture 1" descr="Description: cid:image001.png@01D03949.49457930">
          <a:extLst>
            <a:ext uri="{FF2B5EF4-FFF2-40B4-BE49-F238E27FC236}">
              <a16:creationId xmlns:a16="http://schemas.microsoft.com/office/drawing/2014/main" id="{DDA966CC-3C38-4CCA-ACE4-C871D070AC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97" name="x_Picture 1" descr="Description: cid:image001.png@01D03949.49457930">
          <a:extLst>
            <a:ext uri="{FF2B5EF4-FFF2-40B4-BE49-F238E27FC236}">
              <a16:creationId xmlns:a16="http://schemas.microsoft.com/office/drawing/2014/main" id="{B51CAD47-8C57-40F5-A5D5-4983D87181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98" name="x_Picture 1" descr="Description: cid:image001.png@01D03949.49457930">
          <a:extLst>
            <a:ext uri="{FF2B5EF4-FFF2-40B4-BE49-F238E27FC236}">
              <a16:creationId xmlns:a16="http://schemas.microsoft.com/office/drawing/2014/main" id="{DA9B3C57-8AF0-4858-A264-03E5442619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799" name="x_Picture 1" descr="Description: cid:image001.png@01D03949.49457930">
          <a:extLst>
            <a:ext uri="{FF2B5EF4-FFF2-40B4-BE49-F238E27FC236}">
              <a16:creationId xmlns:a16="http://schemas.microsoft.com/office/drawing/2014/main" id="{1C7C37AF-7C00-47AA-9B8C-B21E97AE3A3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2407" name="x_Picture 1" descr="Description: cid:image001.png@01D03949.49457930">
          <a:extLst>
            <a:ext uri="{FF2B5EF4-FFF2-40B4-BE49-F238E27FC236}">
              <a16:creationId xmlns:a16="http://schemas.microsoft.com/office/drawing/2014/main" id="{A189C65C-6861-4A53-BB54-1ECA2AF9F8F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2425" name="x_Picture 1" descr="Description: cid:image001.png@01D03949.49457930">
          <a:extLst>
            <a:ext uri="{FF2B5EF4-FFF2-40B4-BE49-F238E27FC236}">
              <a16:creationId xmlns:a16="http://schemas.microsoft.com/office/drawing/2014/main" id="{81C3F4DF-84AC-4E9E-B298-DACA8459475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2429" name="x_Picture 1" descr="Description: cid:image001.png@01D03949.49457930">
          <a:extLst>
            <a:ext uri="{FF2B5EF4-FFF2-40B4-BE49-F238E27FC236}">
              <a16:creationId xmlns:a16="http://schemas.microsoft.com/office/drawing/2014/main" id="{DBE6F312-5EAD-4953-8F49-0D3AD9620E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3419" name="x_Picture 1" descr="Description: cid:image001.png@01D03949.49457930">
          <a:extLst>
            <a:ext uri="{FF2B5EF4-FFF2-40B4-BE49-F238E27FC236}">
              <a16:creationId xmlns:a16="http://schemas.microsoft.com/office/drawing/2014/main" id="{819B3611-B644-4B66-BFB7-FCE5EB040FB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3605" name="x_Picture 1" descr="Description: cid:image001.png@01D03949.49457930">
          <a:extLst>
            <a:ext uri="{FF2B5EF4-FFF2-40B4-BE49-F238E27FC236}">
              <a16:creationId xmlns:a16="http://schemas.microsoft.com/office/drawing/2014/main" id="{24B3E37D-086C-42A5-91C6-1E46CD077E9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3755" name="x_Picture 1" descr="Description: cid:image001.png@01D03949.49457930">
          <a:extLst>
            <a:ext uri="{FF2B5EF4-FFF2-40B4-BE49-F238E27FC236}">
              <a16:creationId xmlns:a16="http://schemas.microsoft.com/office/drawing/2014/main" id="{D6963863-B56E-470C-913D-66B2CFEC5F7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00" name="x_Picture 1" descr="Description: cid:image001.png@01D03949.49457930">
          <a:extLst>
            <a:ext uri="{FF2B5EF4-FFF2-40B4-BE49-F238E27FC236}">
              <a16:creationId xmlns:a16="http://schemas.microsoft.com/office/drawing/2014/main" id="{183790F8-CD9F-47CE-AEAD-8DCD025A16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01" name="x_Picture 1" descr="Description: cid:image001.png@01D03949.49457930">
          <a:extLst>
            <a:ext uri="{FF2B5EF4-FFF2-40B4-BE49-F238E27FC236}">
              <a16:creationId xmlns:a16="http://schemas.microsoft.com/office/drawing/2014/main" id="{143096C1-739F-476B-A999-AA7C3DB315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02" name="x_Picture 1" descr="Description: cid:image001.png@01D03949.49457930">
          <a:extLst>
            <a:ext uri="{FF2B5EF4-FFF2-40B4-BE49-F238E27FC236}">
              <a16:creationId xmlns:a16="http://schemas.microsoft.com/office/drawing/2014/main" id="{FBAB6BD9-59F2-4288-8907-D7EC4C97468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03" name="x_Picture 1" descr="Description: cid:image001.png@01D03949.49457930">
          <a:extLst>
            <a:ext uri="{FF2B5EF4-FFF2-40B4-BE49-F238E27FC236}">
              <a16:creationId xmlns:a16="http://schemas.microsoft.com/office/drawing/2014/main" id="{85B2FA31-1559-4CD1-ACE5-1CCAE1EDB0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04" name="x_Picture 1" descr="Description: cid:image001.png@01D03949.49457930">
          <a:extLst>
            <a:ext uri="{FF2B5EF4-FFF2-40B4-BE49-F238E27FC236}">
              <a16:creationId xmlns:a16="http://schemas.microsoft.com/office/drawing/2014/main" id="{89DAA878-7C5F-4758-A9F5-D4AE3C3387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05" name="x_Picture 1" descr="Description: cid:image001.png@01D03949.49457930">
          <a:extLst>
            <a:ext uri="{FF2B5EF4-FFF2-40B4-BE49-F238E27FC236}">
              <a16:creationId xmlns:a16="http://schemas.microsoft.com/office/drawing/2014/main" id="{CEFACF9C-8ABA-4C68-A77F-5A343B9194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06" name="x_Picture 1" descr="Description: cid:image001.png@01D03949.49457930">
          <a:extLst>
            <a:ext uri="{FF2B5EF4-FFF2-40B4-BE49-F238E27FC236}">
              <a16:creationId xmlns:a16="http://schemas.microsoft.com/office/drawing/2014/main" id="{8DAB96BE-8EC3-4C50-AC71-C1FE364D58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07" name="x_Picture 1" descr="Description: cid:image001.png@01D03949.49457930">
          <a:extLst>
            <a:ext uri="{FF2B5EF4-FFF2-40B4-BE49-F238E27FC236}">
              <a16:creationId xmlns:a16="http://schemas.microsoft.com/office/drawing/2014/main" id="{96794758-06F1-4153-8DA8-CDCACC4DF7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08" name="x_Picture 1" descr="Description: cid:image001.png@01D03949.49457930">
          <a:extLst>
            <a:ext uri="{FF2B5EF4-FFF2-40B4-BE49-F238E27FC236}">
              <a16:creationId xmlns:a16="http://schemas.microsoft.com/office/drawing/2014/main" id="{9176C52F-B099-4578-8D0F-61335FD1CE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09" name="x_Picture 1" descr="Description: cid:image001.png@01D03949.49457930">
          <a:extLst>
            <a:ext uri="{FF2B5EF4-FFF2-40B4-BE49-F238E27FC236}">
              <a16:creationId xmlns:a16="http://schemas.microsoft.com/office/drawing/2014/main" id="{FFF9F79A-58F4-46FC-BBDD-CAA37411141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10" name="x_Picture 1" descr="Description: cid:image001.png@01D03949.49457930">
          <a:extLst>
            <a:ext uri="{FF2B5EF4-FFF2-40B4-BE49-F238E27FC236}">
              <a16:creationId xmlns:a16="http://schemas.microsoft.com/office/drawing/2014/main" id="{2C7A0A49-3E5B-4F10-8A9D-F2DB40C0A2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11" name="x_Picture 1" descr="Description: cid:image001.png@01D03949.49457930">
          <a:extLst>
            <a:ext uri="{FF2B5EF4-FFF2-40B4-BE49-F238E27FC236}">
              <a16:creationId xmlns:a16="http://schemas.microsoft.com/office/drawing/2014/main" id="{9F4BAAAE-B7F2-4156-8051-39CC4611EB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12" name="x_Picture 1" descr="Description: cid:image001.png@01D03949.49457930">
          <a:extLst>
            <a:ext uri="{FF2B5EF4-FFF2-40B4-BE49-F238E27FC236}">
              <a16:creationId xmlns:a16="http://schemas.microsoft.com/office/drawing/2014/main" id="{02E5663F-87ED-465B-98F2-56DEFC9CA5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13" name="x_Picture 1" descr="Description: cid:image001.png@01D03949.49457930">
          <a:extLst>
            <a:ext uri="{FF2B5EF4-FFF2-40B4-BE49-F238E27FC236}">
              <a16:creationId xmlns:a16="http://schemas.microsoft.com/office/drawing/2014/main" id="{42FE40BC-201B-4968-B77C-E6881A4AF6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14" name="x_Picture 1" descr="Description: cid:image001.png@01D03949.49457930">
          <a:extLst>
            <a:ext uri="{FF2B5EF4-FFF2-40B4-BE49-F238E27FC236}">
              <a16:creationId xmlns:a16="http://schemas.microsoft.com/office/drawing/2014/main" id="{C6DD0C58-A68A-418F-A265-76179DE8FE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15" name="x_Picture 1" descr="Description: cid:image001.png@01D03949.49457930">
          <a:extLst>
            <a:ext uri="{FF2B5EF4-FFF2-40B4-BE49-F238E27FC236}">
              <a16:creationId xmlns:a16="http://schemas.microsoft.com/office/drawing/2014/main" id="{1024F9CE-AAEC-465F-823D-8159B015490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16" name="x_Picture 1" descr="Description: cid:image001.png@01D03949.49457930">
          <a:extLst>
            <a:ext uri="{FF2B5EF4-FFF2-40B4-BE49-F238E27FC236}">
              <a16:creationId xmlns:a16="http://schemas.microsoft.com/office/drawing/2014/main" id="{744BE1FD-6E09-4A0B-B998-0153DD8782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17" name="x_Picture 1" descr="Description: cid:image001.png@01D03949.49457930">
          <a:extLst>
            <a:ext uri="{FF2B5EF4-FFF2-40B4-BE49-F238E27FC236}">
              <a16:creationId xmlns:a16="http://schemas.microsoft.com/office/drawing/2014/main" id="{DE7F599A-7C5F-4364-9FEF-C0050875F86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18" name="x_Picture 1" descr="Description: cid:image001.png@01D03949.49457930">
          <a:extLst>
            <a:ext uri="{FF2B5EF4-FFF2-40B4-BE49-F238E27FC236}">
              <a16:creationId xmlns:a16="http://schemas.microsoft.com/office/drawing/2014/main" id="{99E0E818-778B-4FC6-ACC3-EB2F3D8708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19" name="x_Picture 1" descr="Description: cid:image001.png@01D03949.49457930">
          <a:extLst>
            <a:ext uri="{FF2B5EF4-FFF2-40B4-BE49-F238E27FC236}">
              <a16:creationId xmlns:a16="http://schemas.microsoft.com/office/drawing/2014/main" id="{30D8CF54-14C8-4565-9AD1-D8C7ECD848C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20" name="x_Picture 1" descr="Description: cid:image001.png@01D03949.49457930">
          <a:extLst>
            <a:ext uri="{FF2B5EF4-FFF2-40B4-BE49-F238E27FC236}">
              <a16:creationId xmlns:a16="http://schemas.microsoft.com/office/drawing/2014/main" id="{6E7232CF-8145-4F17-B3C9-364A15D5AD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21" name="x_Picture 1" descr="Description: cid:image001.png@01D03949.49457930">
          <a:extLst>
            <a:ext uri="{FF2B5EF4-FFF2-40B4-BE49-F238E27FC236}">
              <a16:creationId xmlns:a16="http://schemas.microsoft.com/office/drawing/2014/main" id="{47D44D13-7C03-47DE-B35D-7C91E9756F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22" name="x_Picture 1" descr="Description: cid:image001.png@01D03949.49457930">
          <a:extLst>
            <a:ext uri="{FF2B5EF4-FFF2-40B4-BE49-F238E27FC236}">
              <a16:creationId xmlns:a16="http://schemas.microsoft.com/office/drawing/2014/main" id="{F5327899-C064-407F-B0B9-63642E48CB1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23" name="x_Picture 1" descr="Description: cid:image001.png@01D03949.49457930">
          <a:extLst>
            <a:ext uri="{FF2B5EF4-FFF2-40B4-BE49-F238E27FC236}">
              <a16:creationId xmlns:a16="http://schemas.microsoft.com/office/drawing/2014/main" id="{0E72BC2B-97A5-41F1-B33F-1A36310E830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24" name="x_Picture 1" descr="Description: cid:image001.png@01D03949.49457930">
          <a:extLst>
            <a:ext uri="{FF2B5EF4-FFF2-40B4-BE49-F238E27FC236}">
              <a16:creationId xmlns:a16="http://schemas.microsoft.com/office/drawing/2014/main" id="{9F741AB5-50E3-40CA-AAF2-98E0994A689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25" name="x_Picture 1" descr="Description: cid:image001.png@01D03949.49457930">
          <a:extLst>
            <a:ext uri="{FF2B5EF4-FFF2-40B4-BE49-F238E27FC236}">
              <a16:creationId xmlns:a16="http://schemas.microsoft.com/office/drawing/2014/main" id="{6831CF16-8F07-467D-8144-1889E2BD14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26" name="x_Picture 1" descr="Description: cid:image001.png@01D03949.49457930">
          <a:extLst>
            <a:ext uri="{FF2B5EF4-FFF2-40B4-BE49-F238E27FC236}">
              <a16:creationId xmlns:a16="http://schemas.microsoft.com/office/drawing/2014/main" id="{77E8F6F9-BD14-4B99-AD5E-FE9682D8CD9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27" name="x_Picture 1" descr="Description: cid:image001.png@01D03949.49457930">
          <a:extLst>
            <a:ext uri="{FF2B5EF4-FFF2-40B4-BE49-F238E27FC236}">
              <a16:creationId xmlns:a16="http://schemas.microsoft.com/office/drawing/2014/main" id="{13B44AE5-7580-43B5-9AA9-A4387ADA53E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28" name="x_Picture 1" descr="Description: cid:image001.png@01D03949.49457930">
          <a:extLst>
            <a:ext uri="{FF2B5EF4-FFF2-40B4-BE49-F238E27FC236}">
              <a16:creationId xmlns:a16="http://schemas.microsoft.com/office/drawing/2014/main" id="{6DDF4CA8-1F30-483D-A54E-0C9744EAE87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29" name="x_Picture 1" descr="Description: cid:image001.png@01D03949.49457930">
          <a:extLst>
            <a:ext uri="{FF2B5EF4-FFF2-40B4-BE49-F238E27FC236}">
              <a16:creationId xmlns:a16="http://schemas.microsoft.com/office/drawing/2014/main" id="{46522211-B0AC-404E-9A93-7712F10ED0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30" name="x_Picture 1" descr="Description: cid:image001.png@01D03949.49457930">
          <a:extLst>
            <a:ext uri="{FF2B5EF4-FFF2-40B4-BE49-F238E27FC236}">
              <a16:creationId xmlns:a16="http://schemas.microsoft.com/office/drawing/2014/main" id="{6930EAAA-6698-444C-A5B3-74EC1B3779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31" name="x_Picture 1" descr="Description: cid:image001.png@01D03949.49457930">
          <a:extLst>
            <a:ext uri="{FF2B5EF4-FFF2-40B4-BE49-F238E27FC236}">
              <a16:creationId xmlns:a16="http://schemas.microsoft.com/office/drawing/2014/main" id="{815DBC71-5260-4AA2-BF00-4FD6186EAA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32" name="x_Picture 1" descr="Description: cid:image001.png@01D03949.49457930">
          <a:extLst>
            <a:ext uri="{FF2B5EF4-FFF2-40B4-BE49-F238E27FC236}">
              <a16:creationId xmlns:a16="http://schemas.microsoft.com/office/drawing/2014/main" id="{9ED27139-3903-472E-986E-27CBE69868B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33" name="x_Picture 1" descr="Description: cid:image001.png@01D03949.49457930">
          <a:extLst>
            <a:ext uri="{FF2B5EF4-FFF2-40B4-BE49-F238E27FC236}">
              <a16:creationId xmlns:a16="http://schemas.microsoft.com/office/drawing/2014/main" id="{6D7116D6-8BFF-44C4-B297-F179683FC4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34" name="x_Picture 1" descr="Description: cid:image001.png@01D03949.49457930">
          <a:extLst>
            <a:ext uri="{FF2B5EF4-FFF2-40B4-BE49-F238E27FC236}">
              <a16:creationId xmlns:a16="http://schemas.microsoft.com/office/drawing/2014/main" id="{055D6F69-6799-42C5-B199-7205F8730A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35" name="x_Picture 1" descr="Description: cid:image001.png@01D03949.49457930">
          <a:extLst>
            <a:ext uri="{FF2B5EF4-FFF2-40B4-BE49-F238E27FC236}">
              <a16:creationId xmlns:a16="http://schemas.microsoft.com/office/drawing/2014/main" id="{CC65CBB4-2487-4824-BE61-CD00CCECAA4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36" name="x_Picture 1" descr="Description: cid:image001.png@01D03949.49457930">
          <a:extLst>
            <a:ext uri="{FF2B5EF4-FFF2-40B4-BE49-F238E27FC236}">
              <a16:creationId xmlns:a16="http://schemas.microsoft.com/office/drawing/2014/main" id="{4CE53011-A171-4BD7-A3FA-3BB303C932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37" name="x_Picture 1" descr="Description: cid:image001.png@01D03949.49457930">
          <a:extLst>
            <a:ext uri="{FF2B5EF4-FFF2-40B4-BE49-F238E27FC236}">
              <a16:creationId xmlns:a16="http://schemas.microsoft.com/office/drawing/2014/main" id="{2EB4878C-EC5D-46F0-83CA-5EC8C53DC4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38" name="x_Picture 1" descr="Description: cid:image001.png@01D03949.49457930">
          <a:extLst>
            <a:ext uri="{FF2B5EF4-FFF2-40B4-BE49-F238E27FC236}">
              <a16:creationId xmlns:a16="http://schemas.microsoft.com/office/drawing/2014/main" id="{855BA49A-352E-4D7B-B3F2-BFC998DD0E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39" name="x_Picture 1" descr="Description: cid:image001.png@01D03949.49457930">
          <a:extLst>
            <a:ext uri="{FF2B5EF4-FFF2-40B4-BE49-F238E27FC236}">
              <a16:creationId xmlns:a16="http://schemas.microsoft.com/office/drawing/2014/main" id="{3D60AEC9-60F8-49D3-A087-57E26BD566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40" name="x_Picture 1" descr="Description: cid:image001.png@01D03949.49457930">
          <a:extLst>
            <a:ext uri="{FF2B5EF4-FFF2-40B4-BE49-F238E27FC236}">
              <a16:creationId xmlns:a16="http://schemas.microsoft.com/office/drawing/2014/main" id="{E6E099EC-4D82-45B8-92DB-446F006C66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41" name="x_Picture 1" descr="Description: cid:image001.png@01D03949.49457930">
          <a:extLst>
            <a:ext uri="{FF2B5EF4-FFF2-40B4-BE49-F238E27FC236}">
              <a16:creationId xmlns:a16="http://schemas.microsoft.com/office/drawing/2014/main" id="{FBC749F3-B1DE-482A-93CA-10FE033C1D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42" name="x_Picture 1" descr="Description: cid:image001.png@01D03949.49457930">
          <a:extLst>
            <a:ext uri="{FF2B5EF4-FFF2-40B4-BE49-F238E27FC236}">
              <a16:creationId xmlns:a16="http://schemas.microsoft.com/office/drawing/2014/main" id="{03D502FC-BA79-42D4-B6EE-AE692534C3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43" name="x_Picture 1" descr="Description: cid:image001.png@01D03949.49457930">
          <a:extLst>
            <a:ext uri="{FF2B5EF4-FFF2-40B4-BE49-F238E27FC236}">
              <a16:creationId xmlns:a16="http://schemas.microsoft.com/office/drawing/2014/main" id="{240DD51F-BD48-4B06-AC4B-44073E45E76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44" name="x_Picture 1" descr="Description: cid:image001.png@01D03949.49457930">
          <a:extLst>
            <a:ext uri="{FF2B5EF4-FFF2-40B4-BE49-F238E27FC236}">
              <a16:creationId xmlns:a16="http://schemas.microsoft.com/office/drawing/2014/main" id="{165FC0DA-11A0-49DA-B704-593530F18E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45" name="x_Picture 1" descr="Description: cid:image001.png@01D03949.49457930">
          <a:extLst>
            <a:ext uri="{FF2B5EF4-FFF2-40B4-BE49-F238E27FC236}">
              <a16:creationId xmlns:a16="http://schemas.microsoft.com/office/drawing/2014/main" id="{DB0B4FD0-823C-4165-9C94-42DF3120846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46" name="x_Picture 1" descr="Description: cid:image001.png@01D03949.49457930">
          <a:extLst>
            <a:ext uri="{FF2B5EF4-FFF2-40B4-BE49-F238E27FC236}">
              <a16:creationId xmlns:a16="http://schemas.microsoft.com/office/drawing/2014/main" id="{D44ACCF3-7DA6-424C-966C-B25AE7960EB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47" name="x_Picture 1" descr="Description: cid:image001.png@01D03949.49457930">
          <a:extLst>
            <a:ext uri="{FF2B5EF4-FFF2-40B4-BE49-F238E27FC236}">
              <a16:creationId xmlns:a16="http://schemas.microsoft.com/office/drawing/2014/main" id="{2FCEE381-10B4-4F99-ADD6-8C5A75A977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48" name="x_Picture 1" descr="Description: cid:image001.png@01D03949.49457930">
          <a:extLst>
            <a:ext uri="{FF2B5EF4-FFF2-40B4-BE49-F238E27FC236}">
              <a16:creationId xmlns:a16="http://schemas.microsoft.com/office/drawing/2014/main" id="{59CAEDCF-98E4-4C8E-84D2-0DD2EDA5B6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49" name="x_Picture 1" descr="Description: cid:image001.png@01D03949.49457930">
          <a:extLst>
            <a:ext uri="{FF2B5EF4-FFF2-40B4-BE49-F238E27FC236}">
              <a16:creationId xmlns:a16="http://schemas.microsoft.com/office/drawing/2014/main" id="{AC55FF1A-21F9-4867-AFEE-998B016770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50" name="x_Picture 1" descr="Description: cid:image001.png@01D03949.49457930">
          <a:extLst>
            <a:ext uri="{FF2B5EF4-FFF2-40B4-BE49-F238E27FC236}">
              <a16:creationId xmlns:a16="http://schemas.microsoft.com/office/drawing/2014/main" id="{EB34A140-F2CB-4296-A9A1-6FDFDAFA5B6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51" name="x_Picture 1" descr="Description: cid:image001.png@01D03949.49457930">
          <a:extLst>
            <a:ext uri="{FF2B5EF4-FFF2-40B4-BE49-F238E27FC236}">
              <a16:creationId xmlns:a16="http://schemas.microsoft.com/office/drawing/2014/main" id="{EA633033-3E49-405C-8232-F72A6B795F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52" name="x_Picture 1" descr="Description: cid:image001.png@01D03949.49457930">
          <a:extLst>
            <a:ext uri="{FF2B5EF4-FFF2-40B4-BE49-F238E27FC236}">
              <a16:creationId xmlns:a16="http://schemas.microsoft.com/office/drawing/2014/main" id="{B27C6AAB-871C-425E-897F-0DE7BE0390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53" name="x_Picture 1" descr="Description: cid:image001.png@01D03949.49457930">
          <a:extLst>
            <a:ext uri="{FF2B5EF4-FFF2-40B4-BE49-F238E27FC236}">
              <a16:creationId xmlns:a16="http://schemas.microsoft.com/office/drawing/2014/main" id="{C400823C-6042-4ACF-81B2-CA8C52E116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45</xdr:row>
      <xdr:rowOff>0</xdr:rowOff>
    </xdr:from>
    <xdr:ext cx="279605" cy="315045"/>
    <xdr:sp macro="" textlink="">
      <xdr:nvSpPr>
        <xdr:cNvPr id="4854" name="x_Picture 1" descr="Description: cid:image001.png@01D03949.49457930">
          <a:extLst>
            <a:ext uri="{FF2B5EF4-FFF2-40B4-BE49-F238E27FC236}">
              <a16:creationId xmlns:a16="http://schemas.microsoft.com/office/drawing/2014/main" id="{65CB194C-9AC5-47C5-8451-271269BF29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55" name="x_Picture 1" descr="Description: cid:image001.png@01D03949.49457930">
          <a:extLst>
            <a:ext uri="{FF2B5EF4-FFF2-40B4-BE49-F238E27FC236}">
              <a16:creationId xmlns:a16="http://schemas.microsoft.com/office/drawing/2014/main" id="{9263AE9D-10FB-4858-AFEC-AEC4B9832D0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56" name="x_Picture 1" descr="Description: cid:image001.png@01D03949.49457930">
          <a:extLst>
            <a:ext uri="{FF2B5EF4-FFF2-40B4-BE49-F238E27FC236}">
              <a16:creationId xmlns:a16="http://schemas.microsoft.com/office/drawing/2014/main" id="{A9BD5566-72EC-400E-A339-4A0D480F9F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57" name="x_Picture 1" descr="Description: cid:image001.png@01D03949.49457930">
          <a:extLst>
            <a:ext uri="{FF2B5EF4-FFF2-40B4-BE49-F238E27FC236}">
              <a16:creationId xmlns:a16="http://schemas.microsoft.com/office/drawing/2014/main" id="{B7F22542-AED8-489C-B2D0-5B993485E4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58" name="x_Picture 1" descr="Description: cid:image001.png@01D03949.49457930">
          <a:extLst>
            <a:ext uri="{FF2B5EF4-FFF2-40B4-BE49-F238E27FC236}">
              <a16:creationId xmlns:a16="http://schemas.microsoft.com/office/drawing/2014/main" id="{58B796F7-311B-4DAB-BA39-C63A4D6727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59" name="x_Picture 1" descr="Description: cid:image001.png@01D03949.49457930">
          <a:extLst>
            <a:ext uri="{FF2B5EF4-FFF2-40B4-BE49-F238E27FC236}">
              <a16:creationId xmlns:a16="http://schemas.microsoft.com/office/drawing/2014/main" id="{62D3B5D2-A1E5-4680-85B0-A3E22900F4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60" name="x_Picture 1" descr="Description: cid:image001.png@01D03949.49457930">
          <a:extLst>
            <a:ext uri="{FF2B5EF4-FFF2-40B4-BE49-F238E27FC236}">
              <a16:creationId xmlns:a16="http://schemas.microsoft.com/office/drawing/2014/main" id="{C08B33C4-FF2C-4697-B6F3-5D070AF7CE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61" name="x_Picture 1" descr="Description: cid:image001.png@01D03949.49457930">
          <a:extLst>
            <a:ext uri="{FF2B5EF4-FFF2-40B4-BE49-F238E27FC236}">
              <a16:creationId xmlns:a16="http://schemas.microsoft.com/office/drawing/2014/main" id="{45C5C067-8099-4521-BBD3-B6395552BC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62" name="x_Picture 1" descr="Description: cid:image001.png@01D03949.49457930">
          <a:extLst>
            <a:ext uri="{FF2B5EF4-FFF2-40B4-BE49-F238E27FC236}">
              <a16:creationId xmlns:a16="http://schemas.microsoft.com/office/drawing/2014/main" id="{717FE27C-0386-4869-BDF2-6E52A18250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63" name="x_Picture 1" descr="Description: cid:image001.png@01D03949.49457930">
          <a:extLst>
            <a:ext uri="{FF2B5EF4-FFF2-40B4-BE49-F238E27FC236}">
              <a16:creationId xmlns:a16="http://schemas.microsoft.com/office/drawing/2014/main" id="{B266739C-4DE4-4183-A690-EAFCF77CE9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45</xdr:row>
      <xdr:rowOff>0</xdr:rowOff>
    </xdr:from>
    <xdr:ext cx="279605" cy="315045"/>
    <xdr:sp macro="" textlink="">
      <xdr:nvSpPr>
        <xdr:cNvPr id="4864" name="x_Picture 1" descr="Description: cid:image001.png@01D03949.49457930">
          <a:extLst>
            <a:ext uri="{FF2B5EF4-FFF2-40B4-BE49-F238E27FC236}">
              <a16:creationId xmlns:a16="http://schemas.microsoft.com/office/drawing/2014/main" id="{7575CA00-C5DD-464A-A510-4092936240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2296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65" name="x_Picture 1" descr="Description: cid:image001.png@01D03949.49457930">
          <a:extLst>
            <a:ext uri="{FF2B5EF4-FFF2-40B4-BE49-F238E27FC236}">
              <a16:creationId xmlns:a16="http://schemas.microsoft.com/office/drawing/2014/main" id="{73F0C281-9ECF-4711-ABAC-2CD3CA1BADC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66" name="x_Picture 1" descr="Description: cid:image001.png@01D03949.49457930">
          <a:extLst>
            <a:ext uri="{FF2B5EF4-FFF2-40B4-BE49-F238E27FC236}">
              <a16:creationId xmlns:a16="http://schemas.microsoft.com/office/drawing/2014/main" id="{69BAC6FF-9BDC-44C7-B39C-8B5339FD00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67" name="x_Picture 1" descr="Description: cid:image001.png@01D03949.49457930">
          <a:extLst>
            <a:ext uri="{FF2B5EF4-FFF2-40B4-BE49-F238E27FC236}">
              <a16:creationId xmlns:a16="http://schemas.microsoft.com/office/drawing/2014/main" id="{6D357765-D315-4DBF-AA95-E21C646BB1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68" name="x_Picture 1" descr="Description: cid:image001.png@01D03949.49457930">
          <a:extLst>
            <a:ext uri="{FF2B5EF4-FFF2-40B4-BE49-F238E27FC236}">
              <a16:creationId xmlns:a16="http://schemas.microsoft.com/office/drawing/2014/main" id="{FB869981-60A0-4642-9466-D2EA70316F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69" name="x_Picture 1" descr="Description: cid:image001.png@01D03949.49457930">
          <a:extLst>
            <a:ext uri="{FF2B5EF4-FFF2-40B4-BE49-F238E27FC236}">
              <a16:creationId xmlns:a16="http://schemas.microsoft.com/office/drawing/2014/main" id="{0CCF210B-4F00-482B-8F95-1F8CF35D21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70" name="x_Picture 1" descr="Description: cid:image001.png@01D03949.49457930">
          <a:extLst>
            <a:ext uri="{FF2B5EF4-FFF2-40B4-BE49-F238E27FC236}">
              <a16:creationId xmlns:a16="http://schemas.microsoft.com/office/drawing/2014/main" id="{0B7055C5-F959-4C24-8AD9-BD08312821B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71" name="x_Picture 1" descr="Description: cid:image001.png@01D03949.49457930">
          <a:extLst>
            <a:ext uri="{FF2B5EF4-FFF2-40B4-BE49-F238E27FC236}">
              <a16:creationId xmlns:a16="http://schemas.microsoft.com/office/drawing/2014/main" id="{D94B16EA-D29D-46F5-ADFF-ECC2A5C3C8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72" name="x_Picture 1" descr="Description: cid:image001.png@01D03949.49457930">
          <a:extLst>
            <a:ext uri="{FF2B5EF4-FFF2-40B4-BE49-F238E27FC236}">
              <a16:creationId xmlns:a16="http://schemas.microsoft.com/office/drawing/2014/main" id="{AB2EC1C0-14AF-402B-A71A-52178CA6DB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73" name="x_Picture 1" descr="Description: cid:image001.png@01D03949.49457930">
          <a:extLst>
            <a:ext uri="{FF2B5EF4-FFF2-40B4-BE49-F238E27FC236}">
              <a16:creationId xmlns:a16="http://schemas.microsoft.com/office/drawing/2014/main" id="{2EB0AE50-D88C-416C-96A7-29EA0A6F689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74" name="x_Picture 1" descr="Description: cid:image001.png@01D03949.49457930">
          <a:extLst>
            <a:ext uri="{FF2B5EF4-FFF2-40B4-BE49-F238E27FC236}">
              <a16:creationId xmlns:a16="http://schemas.microsoft.com/office/drawing/2014/main" id="{C43AFEA5-50E0-46E3-8F4F-0F21BBE062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75" name="x_Picture 1" descr="Description: cid:image001.png@01D03949.49457930">
          <a:extLst>
            <a:ext uri="{FF2B5EF4-FFF2-40B4-BE49-F238E27FC236}">
              <a16:creationId xmlns:a16="http://schemas.microsoft.com/office/drawing/2014/main" id="{2765637A-0693-424E-BAEF-8A1B1EFDBD2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76" name="x_Picture 1" descr="Description: cid:image001.png@01D03949.49457930">
          <a:extLst>
            <a:ext uri="{FF2B5EF4-FFF2-40B4-BE49-F238E27FC236}">
              <a16:creationId xmlns:a16="http://schemas.microsoft.com/office/drawing/2014/main" id="{E3D8DFC8-CC83-43FD-AAF1-FD8BB02E89F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77" name="x_Picture 1" descr="Description: cid:image001.png@01D03949.49457930">
          <a:extLst>
            <a:ext uri="{FF2B5EF4-FFF2-40B4-BE49-F238E27FC236}">
              <a16:creationId xmlns:a16="http://schemas.microsoft.com/office/drawing/2014/main" id="{99A180C9-B942-4956-B0F6-382EDACE77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78" name="x_Picture 1" descr="Description: cid:image001.png@01D03949.49457930">
          <a:extLst>
            <a:ext uri="{FF2B5EF4-FFF2-40B4-BE49-F238E27FC236}">
              <a16:creationId xmlns:a16="http://schemas.microsoft.com/office/drawing/2014/main" id="{CC51CDEA-2DE0-4A2C-8658-EF4274B2BA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79" name="x_Picture 1" descr="Description: cid:image001.png@01D03949.49457930">
          <a:extLst>
            <a:ext uri="{FF2B5EF4-FFF2-40B4-BE49-F238E27FC236}">
              <a16:creationId xmlns:a16="http://schemas.microsoft.com/office/drawing/2014/main" id="{D243FF00-25D4-4CB6-A41E-39029189EA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80" name="x_Picture 1" descr="Description: cid:image001.png@01D03949.49457930">
          <a:extLst>
            <a:ext uri="{FF2B5EF4-FFF2-40B4-BE49-F238E27FC236}">
              <a16:creationId xmlns:a16="http://schemas.microsoft.com/office/drawing/2014/main" id="{83E515AA-695D-4C96-9CE3-A7A387C67A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81" name="x_Picture 1" descr="Description: cid:image001.png@01D03949.49457930">
          <a:extLst>
            <a:ext uri="{FF2B5EF4-FFF2-40B4-BE49-F238E27FC236}">
              <a16:creationId xmlns:a16="http://schemas.microsoft.com/office/drawing/2014/main" id="{10174099-873F-4EA2-B8CF-722086138F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82" name="x_Picture 1" descr="Description: cid:image001.png@01D03949.49457930">
          <a:extLst>
            <a:ext uri="{FF2B5EF4-FFF2-40B4-BE49-F238E27FC236}">
              <a16:creationId xmlns:a16="http://schemas.microsoft.com/office/drawing/2014/main" id="{F25C784D-DB1C-4772-8E92-37F315BB82F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83" name="x_Picture 1" descr="Description: cid:image001.png@01D03949.49457930">
          <a:extLst>
            <a:ext uri="{FF2B5EF4-FFF2-40B4-BE49-F238E27FC236}">
              <a16:creationId xmlns:a16="http://schemas.microsoft.com/office/drawing/2014/main" id="{E464780F-029D-4507-9465-1C3862DBBA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84" name="x_Picture 1" descr="Description: cid:image001.png@01D03949.49457930">
          <a:extLst>
            <a:ext uri="{FF2B5EF4-FFF2-40B4-BE49-F238E27FC236}">
              <a16:creationId xmlns:a16="http://schemas.microsoft.com/office/drawing/2014/main" id="{52DB3F40-756B-428B-AB4F-0B82D74310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85" name="x_Picture 1" descr="Description: cid:image001.png@01D03949.49457930">
          <a:extLst>
            <a:ext uri="{FF2B5EF4-FFF2-40B4-BE49-F238E27FC236}">
              <a16:creationId xmlns:a16="http://schemas.microsoft.com/office/drawing/2014/main" id="{EBE1CE37-A024-4BEF-9CEB-915EE41ABB2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86" name="x_Picture 1" descr="Description: cid:image001.png@01D03949.49457930">
          <a:extLst>
            <a:ext uri="{FF2B5EF4-FFF2-40B4-BE49-F238E27FC236}">
              <a16:creationId xmlns:a16="http://schemas.microsoft.com/office/drawing/2014/main" id="{7857DB99-FED9-41F2-AB2E-FD3B2FC84D6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87" name="x_Picture 1" descr="Description: cid:image001.png@01D03949.49457930">
          <a:extLst>
            <a:ext uri="{FF2B5EF4-FFF2-40B4-BE49-F238E27FC236}">
              <a16:creationId xmlns:a16="http://schemas.microsoft.com/office/drawing/2014/main" id="{E1339F59-A753-49E4-9720-B7141429BE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88" name="x_Picture 1" descr="Description: cid:image001.png@01D03949.49457930">
          <a:extLst>
            <a:ext uri="{FF2B5EF4-FFF2-40B4-BE49-F238E27FC236}">
              <a16:creationId xmlns:a16="http://schemas.microsoft.com/office/drawing/2014/main" id="{FB154F28-E454-4AB8-9192-8144E9127C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89" name="x_Picture 1" descr="Description: cid:image001.png@01D03949.49457930">
          <a:extLst>
            <a:ext uri="{FF2B5EF4-FFF2-40B4-BE49-F238E27FC236}">
              <a16:creationId xmlns:a16="http://schemas.microsoft.com/office/drawing/2014/main" id="{7E2034D8-DF9F-4C6F-ADC5-48C4796AD1C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90" name="x_Picture 1" descr="Description: cid:image001.png@01D03949.49457930">
          <a:extLst>
            <a:ext uri="{FF2B5EF4-FFF2-40B4-BE49-F238E27FC236}">
              <a16:creationId xmlns:a16="http://schemas.microsoft.com/office/drawing/2014/main" id="{797D300E-E6AF-4699-81FD-2448BD91D8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91" name="x_Picture 1" descr="Description: cid:image001.png@01D03949.49457930">
          <a:extLst>
            <a:ext uri="{FF2B5EF4-FFF2-40B4-BE49-F238E27FC236}">
              <a16:creationId xmlns:a16="http://schemas.microsoft.com/office/drawing/2014/main" id="{87255FF5-0F27-4EE3-8638-AA988791D0C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892" name="x_Picture 1" descr="Description: cid:image001.png@01D03949.49457930">
          <a:extLst>
            <a:ext uri="{FF2B5EF4-FFF2-40B4-BE49-F238E27FC236}">
              <a16:creationId xmlns:a16="http://schemas.microsoft.com/office/drawing/2014/main" id="{9F8A6A57-421E-4530-ADEF-3A8BA394D7B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93" name="x_Picture 1" descr="Description: cid:image001.png@01D03949.49457930">
          <a:extLst>
            <a:ext uri="{FF2B5EF4-FFF2-40B4-BE49-F238E27FC236}">
              <a16:creationId xmlns:a16="http://schemas.microsoft.com/office/drawing/2014/main" id="{32D590BF-8204-409F-8413-4AB777E9D2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94" name="x_Picture 1" descr="Description: cid:image001.png@01D03949.49457930">
          <a:extLst>
            <a:ext uri="{FF2B5EF4-FFF2-40B4-BE49-F238E27FC236}">
              <a16:creationId xmlns:a16="http://schemas.microsoft.com/office/drawing/2014/main" id="{3F195E24-65CB-4D80-A456-C8C396347F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95" name="x_Picture 1" descr="Description: cid:image001.png@01D03949.49457930">
          <a:extLst>
            <a:ext uri="{FF2B5EF4-FFF2-40B4-BE49-F238E27FC236}">
              <a16:creationId xmlns:a16="http://schemas.microsoft.com/office/drawing/2014/main" id="{76E4E92B-F3CE-4382-8006-4BFFF92BFD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96" name="x_Picture 1" descr="Description: cid:image001.png@01D03949.49457930">
          <a:extLst>
            <a:ext uri="{FF2B5EF4-FFF2-40B4-BE49-F238E27FC236}">
              <a16:creationId xmlns:a16="http://schemas.microsoft.com/office/drawing/2014/main" id="{706E4F10-1875-48F1-BC69-2ACB936AC4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97" name="x_Picture 1" descr="Description: cid:image001.png@01D03949.49457930">
          <a:extLst>
            <a:ext uri="{FF2B5EF4-FFF2-40B4-BE49-F238E27FC236}">
              <a16:creationId xmlns:a16="http://schemas.microsoft.com/office/drawing/2014/main" id="{CC0C53AF-D195-41F9-A80E-09BFCF2AF6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98" name="x_Picture 1" descr="Description: cid:image001.png@01D03949.49457930">
          <a:extLst>
            <a:ext uri="{FF2B5EF4-FFF2-40B4-BE49-F238E27FC236}">
              <a16:creationId xmlns:a16="http://schemas.microsoft.com/office/drawing/2014/main" id="{8FCE9A26-52D7-46CA-BC5F-41000E60CD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899" name="x_Picture 1" descr="Description: cid:image001.png@01D03949.49457930">
          <a:extLst>
            <a:ext uri="{FF2B5EF4-FFF2-40B4-BE49-F238E27FC236}">
              <a16:creationId xmlns:a16="http://schemas.microsoft.com/office/drawing/2014/main" id="{FF32646D-EB85-4381-80E6-7F1F35A7B9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0" name="x_Picture 1" descr="Description: cid:image001.png@01D03949.49457930">
          <a:extLst>
            <a:ext uri="{FF2B5EF4-FFF2-40B4-BE49-F238E27FC236}">
              <a16:creationId xmlns:a16="http://schemas.microsoft.com/office/drawing/2014/main" id="{A7B319D3-29C3-4B3D-950F-9BB14E2BE67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1" name="x_Picture 1" descr="Description: cid:image001.png@01D03949.49457930">
          <a:extLst>
            <a:ext uri="{FF2B5EF4-FFF2-40B4-BE49-F238E27FC236}">
              <a16:creationId xmlns:a16="http://schemas.microsoft.com/office/drawing/2014/main" id="{72707463-8581-4835-A35F-33344A3D3B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2" name="x_Picture 1" descr="Description: cid:image001.png@01D03949.49457930">
          <a:extLst>
            <a:ext uri="{FF2B5EF4-FFF2-40B4-BE49-F238E27FC236}">
              <a16:creationId xmlns:a16="http://schemas.microsoft.com/office/drawing/2014/main" id="{99D6DE0B-93BA-4F32-8775-EF701976B06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3" name="x_Picture 1" descr="Description: cid:image001.png@01D03949.49457930">
          <a:extLst>
            <a:ext uri="{FF2B5EF4-FFF2-40B4-BE49-F238E27FC236}">
              <a16:creationId xmlns:a16="http://schemas.microsoft.com/office/drawing/2014/main" id="{9E5C2C64-928A-4F02-8D82-579AE905937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4" name="x_Picture 1" descr="Description: cid:image001.png@01D03949.49457930">
          <a:extLst>
            <a:ext uri="{FF2B5EF4-FFF2-40B4-BE49-F238E27FC236}">
              <a16:creationId xmlns:a16="http://schemas.microsoft.com/office/drawing/2014/main" id="{A7BD50D6-739B-4C95-A43B-9C1E5321A09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5" name="x_Picture 1" descr="Description: cid:image001.png@01D03949.49457930">
          <a:extLst>
            <a:ext uri="{FF2B5EF4-FFF2-40B4-BE49-F238E27FC236}">
              <a16:creationId xmlns:a16="http://schemas.microsoft.com/office/drawing/2014/main" id="{A1A96C1A-7705-4D04-9703-BBB3603D86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6" name="x_Picture 1" descr="Description: cid:image001.png@01D03949.49457930">
          <a:extLst>
            <a:ext uri="{FF2B5EF4-FFF2-40B4-BE49-F238E27FC236}">
              <a16:creationId xmlns:a16="http://schemas.microsoft.com/office/drawing/2014/main" id="{9032824D-392D-4FC1-BA2C-B5BCDD27EB8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7" name="x_Picture 1" descr="Description: cid:image001.png@01D03949.49457930">
          <a:extLst>
            <a:ext uri="{FF2B5EF4-FFF2-40B4-BE49-F238E27FC236}">
              <a16:creationId xmlns:a16="http://schemas.microsoft.com/office/drawing/2014/main" id="{5776B86F-5FF8-4246-8D8A-F35DFCAFA3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8" name="x_Picture 1" descr="Description: cid:image001.png@01D03949.49457930">
          <a:extLst>
            <a:ext uri="{FF2B5EF4-FFF2-40B4-BE49-F238E27FC236}">
              <a16:creationId xmlns:a16="http://schemas.microsoft.com/office/drawing/2014/main" id="{ECCFCFC5-D10F-4673-9975-53D81E101A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09" name="x_Picture 1" descr="Description: cid:image001.png@01D03949.49457930">
          <a:extLst>
            <a:ext uri="{FF2B5EF4-FFF2-40B4-BE49-F238E27FC236}">
              <a16:creationId xmlns:a16="http://schemas.microsoft.com/office/drawing/2014/main" id="{2CB33702-B651-4E68-94CE-70D575518C7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10" name="x_Picture 1" descr="Description: cid:image001.png@01D03949.49457930">
          <a:extLst>
            <a:ext uri="{FF2B5EF4-FFF2-40B4-BE49-F238E27FC236}">
              <a16:creationId xmlns:a16="http://schemas.microsoft.com/office/drawing/2014/main" id="{5F4E4F2B-4B23-45C0-9555-DB54B796CED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11" name="x_Picture 1" descr="Description: cid:image001.png@01D03949.49457930">
          <a:extLst>
            <a:ext uri="{FF2B5EF4-FFF2-40B4-BE49-F238E27FC236}">
              <a16:creationId xmlns:a16="http://schemas.microsoft.com/office/drawing/2014/main" id="{CFD3A00D-59EE-44E5-8ECC-8665E968A6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12" name="x_Picture 1" descr="Description: cid:image001.png@01D03949.49457930">
          <a:extLst>
            <a:ext uri="{FF2B5EF4-FFF2-40B4-BE49-F238E27FC236}">
              <a16:creationId xmlns:a16="http://schemas.microsoft.com/office/drawing/2014/main" id="{7515C187-2136-4083-8902-CAB54281580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46</xdr:row>
      <xdr:rowOff>0</xdr:rowOff>
    </xdr:from>
    <xdr:ext cx="279605" cy="315045"/>
    <xdr:sp macro="" textlink="">
      <xdr:nvSpPr>
        <xdr:cNvPr id="4913" name="x_Picture 1" descr="Description: cid:image001.png@01D03949.49457930">
          <a:extLst>
            <a:ext uri="{FF2B5EF4-FFF2-40B4-BE49-F238E27FC236}">
              <a16:creationId xmlns:a16="http://schemas.microsoft.com/office/drawing/2014/main" id="{34C24993-79AB-498F-A1C0-9B1A92ECE19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14" name="x_Picture 1" descr="Description: cid:image001.png@01D03949.49457930">
          <a:extLst>
            <a:ext uri="{FF2B5EF4-FFF2-40B4-BE49-F238E27FC236}">
              <a16:creationId xmlns:a16="http://schemas.microsoft.com/office/drawing/2014/main" id="{15477D32-B198-40E5-BA22-450920DDDD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15" name="x_Picture 1" descr="Description: cid:image001.png@01D03949.49457930">
          <a:extLst>
            <a:ext uri="{FF2B5EF4-FFF2-40B4-BE49-F238E27FC236}">
              <a16:creationId xmlns:a16="http://schemas.microsoft.com/office/drawing/2014/main" id="{31E3D40E-2235-49E6-B3CC-CA37F8EEA3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16" name="x_Picture 1" descr="Description: cid:image001.png@01D03949.49457930">
          <a:extLst>
            <a:ext uri="{FF2B5EF4-FFF2-40B4-BE49-F238E27FC236}">
              <a16:creationId xmlns:a16="http://schemas.microsoft.com/office/drawing/2014/main" id="{D2FB0F37-3CA2-40A7-8658-293428D624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17" name="x_Picture 1" descr="Description: cid:image001.png@01D03949.49457930">
          <a:extLst>
            <a:ext uri="{FF2B5EF4-FFF2-40B4-BE49-F238E27FC236}">
              <a16:creationId xmlns:a16="http://schemas.microsoft.com/office/drawing/2014/main" id="{E8793F3B-0040-4784-AA7C-5C9FC98457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18" name="x_Picture 1" descr="Description: cid:image001.png@01D03949.49457930">
          <a:extLst>
            <a:ext uri="{FF2B5EF4-FFF2-40B4-BE49-F238E27FC236}">
              <a16:creationId xmlns:a16="http://schemas.microsoft.com/office/drawing/2014/main" id="{9F42D0A6-2B65-422F-99F5-8455E82942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19" name="x_Picture 1" descr="Description: cid:image001.png@01D03949.49457930">
          <a:extLst>
            <a:ext uri="{FF2B5EF4-FFF2-40B4-BE49-F238E27FC236}">
              <a16:creationId xmlns:a16="http://schemas.microsoft.com/office/drawing/2014/main" id="{DCDCB7DE-6CEB-4B28-9C8C-A47584B01A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0" name="x_Picture 1" descr="Description: cid:image001.png@01D03949.49457930">
          <a:extLst>
            <a:ext uri="{FF2B5EF4-FFF2-40B4-BE49-F238E27FC236}">
              <a16:creationId xmlns:a16="http://schemas.microsoft.com/office/drawing/2014/main" id="{1D6871F4-ADAE-47E1-A408-114E5756D0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1" name="x_Picture 1" descr="Description: cid:image001.png@01D03949.49457930">
          <a:extLst>
            <a:ext uri="{FF2B5EF4-FFF2-40B4-BE49-F238E27FC236}">
              <a16:creationId xmlns:a16="http://schemas.microsoft.com/office/drawing/2014/main" id="{16304FAB-2B18-4A3A-942D-E03EC30DBE2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2" name="x_Picture 1" descr="Description: cid:image001.png@01D03949.49457930">
          <a:extLst>
            <a:ext uri="{FF2B5EF4-FFF2-40B4-BE49-F238E27FC236}">
              <a16:creationId xmlns:a16="http://schemas.microsoft.com/office/drawing/2014/main" id="{2EA56937-393A-404D-B377-05941BE9EB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3" name="x_Picture 1" descr="Description: cid:image001.png@01D03949.49457930">
          <a:extLst>
            <a:ext uri="{FF2B5EF4-FFF2-40B4-BE49-F238E27FC236}">
              <a16:creationId xmlns:a16="http://schemas.microsoft.com/office/drawing/2014/main" id="{C2B9B7BD-DB68-4FD6-AD04-18D7FA560F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4" name="x_Picture 1" descr="Description: cid:image001.png@01D03949.49457930">
          <a:extLst>
            <a:ext uri="{FF2B5EF4-FFF2-40B4-BE49-F238E27FC236}">
              <a16:creationId xmlns:a16="http://schemas.microsoft.com/office/drawing/2014/main" id="{7C760677-76DF-4D54-A5F0-81AAF4171D1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5" name="x_Picture 1" descr="Description: cid:image001.png@01D03949.49457930">
          <a:extLst>
            <a:ext uri="{FF2B5EF4-FFF2-40B4-BE49-F238E27FC236}">
              <a16:creationId xmlns:a16="http://schemas.microsoft.com/office/drawing/2014/main" id="{B62DF3CC-407D-4678-9A97-F17C22DE56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6" name="x_Picture 1" descr="Description: cid:image001.png@01D03949.49457930">
          <a:extLst>
            <a:ext uri="{FF2B5EF4-FFF2-40B4-BE49-F238E27FC236}">
              <a16:creationId xmlns:a16="http://schemas.microsoft.com/office/drawing/2014/main" id="{9C75D320-C32E-4129-89CA-A44824E1D1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7" name="x_Picture 1" descr="Description: cid:image001.png@01D03949.49457930">
          <a:extLst>
            <a:ext uri="{FF2B5EF4-FFF2-40B4-BE49-F238E27FC236}">
              <a16:creationId xmlns:a16="http://schemas.microsoft.com/office/drawing/2014/main" id="{006532B5-C8EF-4B46-88CF-61A62F4DB90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8" name="x_Picture 1" descr="Description: cid:image001.png@01D03949.49457930">
          <a:extLst>
            <a:ext uri="{FF2B5EF4-FFF2-40B4-BE49-F238E27FC236}">
              <a16:creationId xmlns:a16="http://schemas.microsoft.com/office/drawing/2014/main" id="{5E0DCC93-18A8-4DC0-A9FA-9127A05D3B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29" name="x_Picture 1" descr="Description: cid:image001.png@01D03949.49457930">
          <a:extLst>
            <a:ext uri="{FF2B5EF4-FFF2-40B4-BE49-F238E27FC236}">
              <a16:creationId xmlns:a16="http://schemas.microsoft.com/office/drawing/2014/main" id="{EF707EFC-1FDC-4C73-8510-33AB90B2D3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0" name="x_Picture 1" descr="Description: cid:image001.png@01D03949.49457930">
          <a:extLst>
            <a:ext uri="{FF2B5EF4-FFF2-40B4-BE49-F238E27FC236}">
              <a16:creationId xmlns:a16="http://schemas.microsoft.com/office/drawing/2014/main" id="{C003C87D-C727-4556-96AB-85EFE88015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1" name="x_Picture 1" descr="Description: cid:image001.png@01D03949.49457930">
          <a:extLst>
            <a:ext uri="{FF2B5EF4-FFF2-40B4-BE49-F238E27FC236}">
              <a16:creationId xmlns:a16="http://schemas.microsoft.com/office/drawing/2014/main" id="{6B882483-692F-4515-B886-2AA5871E6E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2" name="x_Picture 1" descr="Description: cid:image001.png@01D03949.49457930">
          <a:extLst>
            <a:ext uri="{FF2B5EF4-FFF2-40B4-BE49-F238E27FC236}">
              <a16:creationId xmlns:a16="http://schemas.microsoft.com/office/drawing/2014/main" id="{1F5E441B-AFB7-46CE-8882-003140C6D8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3" name="x_Picture 1" descr="Description: cid:image001.png@01D03949.49457930">
          <a:extLst>
            <a:ext uri="{FF2B5EF4-FFF2-40B4-BE49-F238E27FC236}">
              <a16:creationId xmlns:a16="http://schemas.microsoft.com/office/drawing/2014/main" id="{127E9921-98D1-4C78-8155-8E68293FE4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4" name="x_Picture 1" descr="Description: cid:image001.png@01D03949.49457930">
          <a:extLst>
            <a:ext uri="{FF2B5EF4-FFF2-40B4-BE49-F238E27FC236}">
              <a16:creationId xmlns:a16="http://schemas.microsoft.com/office/drawing/2014/main" id="{4E1D233A-5B41-4A7F-83BC-4382649D25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5" name="x_Picture 1" descr="Description: cid:image001.png@01D03949.49457930">
          <a:extLst>
            <a:ext uri="{FF2B5EF4-FFF2-40B4-BE49-F238E27FC236}">
              <a16:creationId xmlns:a16="http://schemas.microsoft.com/office/drawing/2014/main" id="{3674D117-3051-4D82-BC8A-547DF68D57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6" name="x_Picture 1" descr="Description: cid:image001.png@01D03949.49457930">
          <a:extLst>
            <a:ext uri="{FF2B5EF4-FFF2-40B4-BE49-F238E27FC236}">
              <a16:creationId xmlns:a16="http://schemas.microsoft.com/office/drawing/2014/main" id="{945E0D76-4C95-4E1D-9754-0FB0ED77D5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7" name="x_Picture 1" descr="Description: cid:image001.png@01D03949.49457930">
          <a:extLst>
            <a:ext uri="{FF2B5EF4-FFF2-40B4-BE49-F238E27FC236}">
              <a16:creationId xmlns:a16="http://schemas.microsoft.com/office/drawing/2014/main" id="{A9359957-106D-42E3-9FFC-5424699FED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8" name="x_Picture 1" descr="Description: cid:image001.png@01D03949.49457930">
          <a:extLst>
            <a:ext uri="{FF2B5EF4-FFF2-40B4-BE49-F238E27FC236}">
              <a16:creationId xmlns:a16="http://schemas.microsoft.com/office/drawing/2014/main" id="{FF42BBF8-5D20-495F-9DC2-AA50607246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39" name="x_Picture 1" descr="Description: cid:image001.png@01D03949.49457930">
          <a:extLst>
            <a:ext uri="{FF2B5EF4-FFF2-40B4-BE49-F238E27FC236}">
              <a16:creationId xmlns:a16="http://schemas.microsoft.com/office/drawing/2014/main" id="{3EA2C7DF-8568-40F0-BCAB-FCE5EE8BFD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0" name="x_Picture 1" descr="Description: cid:image001.png@01D03949.49457930">
          <a:extLst>
            <a:ext uri="{FF2B5EF4-FFF2-40B4-BE49-F238E27FC236}">
              <a16:creationId xmlns:a16="http://schemas.microsoft.com/office/drawing/2014/main" id="{41548BD1-9D0E-4D4C-9B21-1DD742079C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1" name="x_Picture 1" descr="Description: cid:image001.png@01D03949.49457930">
          <a:extLst>
            <a:ext uri="{FF2B5EF4-FFF2-40B4-BE49-F238E27FC236}">
              <a16:creationId xmlns:a16="http://schemas.microsoft.com/office/drawing/2014/main" id="{55D4C979-39CF-4113-8B94-516A7413A5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2" name="x_Picture 1" descr="Description: cid:image001.png@01D03949.49457930">
          <a:extLst>
            <a:ext uri="{FF2B5EF4-FFF2-40B4-BE49-F238E27FC236}">
              <a16:creationId xmlns:a16="http://schemas.microsoft.com/office/drawing/2014/main" id="{6DF321E6-50A1-48AD-9E67-A18644D5B5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3" name="x_Picture 1" descr="Description: cid:image001.png@01D03949.49457930">
          <a:extLst>
            <a:ext uri="{FF2B5EF4-FFF2-40B4-BE49-F238E27FC236}">
              <a16:creationId xmlns:a16="http://schemas.microsoft.com/office/drawing/2014/main" id="{A852DEA9-FF5B-4EE1-9B95-8A87C971D5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4" name="x_Picture 1" descr="Description: cid:image001.png@01D03949.49457930">
          <a:extLst>
            <a:ext uri="{FF2B5EF4-FFF2-40B4-BE49-F238E27FC236}">
              <a16:creationId xmlns:a16="http://schemas.microsoft.com/office/drawing/2014/main" id="{0A2B84F9-2B85-4E61-B255-E308D31758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5" name="x_Picture 1" descr="Description: cid:image001.png@01D03949.49457930">
          <a:extLst>
            <a:ext uri="{FF2B5EF4-FFF2-40B4-BE49-F238E27FC236}">
              <a16:creationId xmlns:a16="http://schemas.microsoft.com/office/drawing/2014/main" id="{1E0678DC-60DF-4F41-AABE-B5A13F4153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6" name="x_Picture 1" descr="Description: cid:image001.png@01D03949.49457930">
          <a:extLst>
            <a:ext uri="{FF2B5EF4-FFF2-40B4-BE49-F238E27FC236}">
              <a16:creationId xmlns:a16="http://schemas.microsoft.com/office/drawing/2014/main" id="{61731083-137E-4681-B2A6-7FF60F630F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7" name="x_Picture 1" descr="Description: cid:image001.png@01D03949.49457930">
          <a:extLst>
            <a:ext uri="{FF2B5EF4-FFF2-40B4-BE49-F238E27FC236}">
              <a16:creationId xmlns:a16="http://schemas.microsoft.com/office/drawing/2014/main" id="{241DBA19-7239-4DE6-854D-54250A12E2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8" name="x_Picture 1" descr="Description: cid:image001.png@01D03949.49457930">
          <a:extLst>
            <a:ext uri="{FF2B5EF4-FFF2-40B4-BE49-F238E27FC236}">
              <a16:creationId xmlns:a16="http://schemas.microsoft.com/office/drawing/2014/main" id="{37613ADA-4CDA-4BBB-A2F9-D8771AFF8E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49" name="x_Picture 1" descr="Description: cid:image001.png@01D03949.49457930">
          <a:extLst>
            <a:ext uri="{FF2B5EF4-FFF2-40B4-BE49-F238E27FC236}">
              <a16:creationId xmlns:a16="http://schemas.microsoft.com/office/drawing/2014/main" id="{635EC760-43CA-43AD-AF44-1FF00CED41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0" name="x_Picture 1" descr="Description: cid:image001.png@01D03949.49457930">
          <a:extLst>
            <a:ext uri="{FF2B5EF4-FFF2-40B4-BE49-F238E27FC236}">
              <a16:creationId xmlns:a16="http://schemas.microsoft.com/office/drawing/2014/main" id="{C1BD836C-1C96-40D1-B7DA-9E9D8D1E40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1" name="x_Picture 1" descr="Description: cid:image001.png@01D03949.49457930">
          <a:extLst>
            <a:ext uri="{FF2B5EF4-FFF2-40B4-BE49-F238E27FC236}">
              <a16:creationId xmlns:a16="http://schemas.microsoft.com/office/drawing/2014/main" id="{C9A08BD8-A507-40BA-9149-1BD5D61272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2" name="x_Picture 1" descr="Description: cid:image001.png@01D03949.49457930">
          <a:extLst>
            <a:ext uri="{FF2B5EF4-FFF2-40B4-BE49-F238E27FC236}">
              <a16:creationId xmlns:a16="http://schemas.microsoft.com/office/drawing/2014/main" id="{B2F7DD0D-2D6B-4EB9-A5AD-AC4A1ED2C0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3" name="x_Picture 1" descr="Description: cid:image001.png@01D03949.49457930">
          <a:extLst>
            <a:ext uri="{FF2B5EF4-FFF2-40B4-BE49-F238E27FC236}">
              <a16:creationId xmlns:a16="http://schemas.microsoft.com/office/drawing/2014/main" id="{CE252743-BE63-4AB6-8C96-9529C9CED2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4" name="x_Picture 1" descr="Description: cid:image001.png@01D03949.49457930">
          <a:extLst>
            <a:ext uri="{FF2B5EF4-FFF2-40B4-BE49-F238E27FC236}">
              <a16:creationId xmlns:a16="http://schemas.microsoft.com/office/drawing/2014/main" id="{B9185592-8578-4E65-99DB-C543814AAB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5" name="x_Picture 1" descr="Description: cid:image001.png@01D03949.49457930">
          <a:extLst>
            <a:ext uri="{FF2B5EF4-FFF2-40B4-BE49-F238E27FC236}">
              <a16:creationId xmlns:a16="http://schemas.microsoft.com/office/drawing/2014/main" id="{B2607926-F43C-4C45-B22C-8B73845540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6" name="x_Picture 1" descr="Description: cid:image001.png@01D03949.49457930">
          <a:extLst>
            <a:ext uri="{FF2B5EF4-FFF2-40B4-BE49-F238E27FC236}">
              <a16:creationId xmlns:a16="http://schemas.microsoft.com/office/drawing/2014/main" id="{12E84A97-2396-4E81-9A0B-6B7565A469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7" name="x_Picture 1" descr="Description: cid:image001.png@01D03949.49457930">
          <a:extLst>
            <a:ext uri="{FF2B5EF4-FFF2-40B4-BE49-F238E27FC236}">
              <a16:creationId xmlns:a16="http://schemas.microsoft.com/office/drawing/2014/main" id="{C9BCC6DC-7D53-4276-A959-5791BA6B49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8" name="x_Picture 1" descr="Description: cid:image001.png@01D03949.49457930">
          <a:extLst>
            <a:ext uri="{FF2B5EF4-FFF2-40B4-BE49-F238E27FC236}">
              <a16:creationId xmlns:a16="http://schemas.microsoft.com/office/drawing/2014/main" id="{92838AD8-B876-4A12-91E5-78FFBD0B04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59" name="x_Picture 1" descr="Description: cid:image001.png@01D03949.49457930">
          <a:extLst>
            <a:ext uri="{FF2B5EF4-FFF2-40B4-BE49-F238E27FC236}">
              <a16:creationId xmlns:a16="http://schemas.microsoft.com/office/drawing/2014/main" id="{615914ED-3FEA-4FF2-83A6-5FB47A191A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60" name="x_Picture 1" descr="Description: cid:image001.png@01D03949.49457930">
          <a:extLst>
            <a:ext uri="{FF2B5EF4-FFF2-40B4-BE49-F238E27FC236}">
              <a16:creationId xmlns:a16="http://schemas.microsoft.com/office/drawing/2014/main" id="{A87E39DA-F91E-430C-95CD-5BE6DCC32E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61" name="x_Picture 1" descr="Description: cid:image001.png@01D03949.49457930">
          <a:extLst>
            <a:ext uri="{FF2B5EF4-FFF2-40B4-BE49-F238E27FC236}">
              <a16:creationId xmlns:a16="http://schemas.microsoft.com/office/drawing/2014/main" id="{4C64E5A8-A6BB-4DBB-98C4-756ADBC6C6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62" name="x_Picture 1" descr="Description: cid:image001.png@01D03949.49457930">
          <a:extLst>
            <a:ext uri="{FF2B5EF4-FFF2-40B4-BE49-F238E27FC236}">
              <a16:creationId xmlns:a16="http://schemas.microsoft.com/office/drawing/2014/main" id="{B2DEC90C-CD04-43A2-9FAF-0D63F223A0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63" name="x_Picture 1" descr="Description: cid:image001.png@01D03949.49457930">
          <a:extLst>
            <a:ext uri="{FF2B5EF4-FFF2-40B4-BE49-F238E27FC236}">
              <a16:creationId xmlns:a16="http://schemas.microsoft.com/office/drawing/2014/main" id="{EA62B08B-6566-4901-B006-4FBE1AEFED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64" name="x_Picture 1" descr="Description: cid:image001.png@01D03949.49457930">
          <a:extLst>
            <a:ext uri="{FF2B5EF4-FFF2-40B4-BE49-F238E27FC236}">
              <a16:creationId xmlns:a16="http://schemas.microsoft.com/office/drawing/2014/main" id="{1C87D9EA-A8EA-4ACA-B68B-1D547443D0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65" name="x_Picture 1" descr="Description: cid:image001.png@01D03949.49457930">
          <a:extLst>
            <a:ext uri="{FF2B5EF4-FFF2-40B4-BE49-F238E27FC236}">
              <a16:creationId xmlns:a16="http://schemas.microsoft.com/office/drawing/2014/main" id="{3A1AEB78-36C2-492E-B2C1-6D3B72BA3D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66" name="x_Picture 1" descr="Description: cid:image001.png@01D03949.49457930">
          <a:extLst>
            <a:ext uri="{FF2B5EF4-FFF2-40B4-BE49-F238E27FC236}">
              <a16:creationId xmlns:a16="http://schemas.microsoft.com/office/drawing/2014/main" id="{133A394E-CE9E-4239-91E3-D795A01173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67" name="x_Picture 1" descr="Description: cid:image001.png@01D03949.49457930">
          <a:extLst>
            <a:ext uri="{FF2B5EF4-FFF2-40B4-BE49-F238E27FC236}">
              <a16:creationId xmlns:a16="http://schemas.microsoft.com/office/drawing/2014/main" id="{6042CD3B-B105-4E9F-BD9B-62ED55F446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68" name="x_Picture 1" descr="Description: cid:image001.png@01D03949.49457930">
          <a:extLst>
            <a:ext uri="{FF2B5EF4-FFF2-40B4-BE49-F238E27FC236}">
              <a16:creationId xmlns:a16="http://schemas.microsoft.com/office/drawing/2014/main" id="{4543FF47-41CB-4B42-9389-885604F2E3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69" name="x_Picture 1" descr="Description: cid:image001.png@01D03949.49457930">
          <a:extLst>
            <a:ext uri="{FF2B5EF4-FFF2-40B4-BE49-F238E27FC236}">
              <a16:creationId xmlns:a16="http://schemas.microsoft.com/office/drawing/2014/main" id="{9279E1ED-D491-4C34-9F8B-C0626F1470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70" name="x_Picture 1" descr="Description: cid:image001.png@01D03949.49457930">
          <a:extLst>
            <a:ext uri="{FF2B5EF4-FFF2-40B4-BE49-F238E27FC236}">
              <a16:creationId xmlns:a16="http://schemas.microsoft.com/office/drawing/2014/main" id="{F88EF889-519E-4D2B-8E3D-E058830CF5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71" name="x_Picture 1" descr="Description: cid:image001.png@01D03949.49457930">
          <a:extLst>
            <a:ext uri="{FF2B5EF4-FFF2-40B4-BE49-F238E27FC236}">
              <a16:creationId xmlns:a16="http://schemas.microsoft.com/office/drawing/2014/main" id="{BFBC656C-31EB-4D6F-8585-523F7BD1B98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72" name="x_Picture 1" descr="Description: cid:image001.png@01D03949.49457930">
          <a:extLst>
            <a:ext uri="{FF2B5EF4-FFF2-40B4-BE49-F238E27FC236}">
              <a16:creationId xmlns:a16="http://schemas.microsoft.com/office/drawing/2014/main" id="{D3993356-6888-426F-81F6-EF7C2CEF1D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73" name="x_Picture 1" descr="Description: cid:image001.png@01D03949.49457930">
          <a:extLst>
            <a:ext uri="{FF2B5EF4-FFF2-40B4-BE49-F238E27FC236}">
              <a16:creationId xmlns:a16="http://schemas.microsoft.com/office/drawing/2014/main" id="{60A80837-C39E-40EE-A8AD-72E91BF981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74" name="x_Picture 1" descr="Description: cid:image001.png@01D03949.49457930">
          <a:extLst>
            <a:ext uri="{FF2B5EF4-FFF2-40B4-BE49-F238E27FC236}">
              <a16:creationId xmlns:a16="http://schemas.microsoft.com/office/drawing/2014/main" id="{0400AE94-49FF-424D-97AF-7A85F327EE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75" name="x_Picture 1" descr="Description: cid:image001.png@01D03949.49457930">
          <a:extLst>
            <a:ext uri="{FF2B5EF4-FFF2-40B4-BE49-F238E27FC236}">
              <a16:creationId xmlns:a16="http://schemas.microsoft.com/office/drawing/2014/main" id="{C28F409D-6FF8-474A-B010-E236A63065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76" name="x_Picture 1" descr="Description: cid:image001.png@01D03949.49457930">
          <a:extLst>
            <a:ext uri="{FF2B5EF4-FFF2-40B4-BE49-F238E27FC236}">
              <a16:creationId xmlns:a16="http://schemas.microsoft.com/office/drawing/2014/main" id="{9FEFB3ED-CAE9-4782-885B-802D24F120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77" name="x_Picture 1" descr="Description: cid:image001.png@01D03949.49457930">
          <a:extLst>
            <a:ext uri="{FF2B5EF4-FFF2-40B4-BE49-F238E27FC236}">
              <a16:creationId xmlns:a16="http://schemas.microsoft.com/office/drawing/2014/main" id="{01ADEDC3-FA51-4E2E-8756-8D05DA9C09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78" name="x_Picture 1" descr="Description: cid:image001.png@01D03949.49457930">
          <a:extLst>
            <a:ext uri="{FF2B5EF4-FFF2-40B4-BE49-F238E27FC236}">
              <a16:creationId xmlns:a16="http://schemas.microsoft.com/office/drawing/2014/main" id="{4201183B-D06E-44BC-989F-AD2CEC2C04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79" name="x_Picture 1" descr="Description: cid:image001.png@01D03949.49457930">
          <a:extLst>
            <a:ext uri="{FF2B5EF4-FFF2-40B4-BE49-F238E27FC236}">
              <a16:creationId xmlns:a16="http://schemas.microsoft.com/office/drawing/2014/main" id="{142E42CB-40F7-4B94-8EC4-FF4EBFD2B2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80" name="x_Picture 1" descr="Description: cid:image001.png@01D03949.49457930">
          <a:extLst>
            <a:ext uri="{FF2B5EF4-FFF2-40B4-BE49-F238E27FC236}">
              <a16:creationId xmlns:a16="http://schemas.microsoft.com/office/drawing/2014/main" id="{4391F189-CD26-4232-B201-3D493416F7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46</xdr:row>
      <xdr:rowOff>0</xdr:rowOff>
    </xdr:from>
    <xdr:ext cx="279605" cy="315045"/>
    <xdr:sp macro="" textlink="">
      <xdr:nvSpPr>
        <xdr:cNvPr id="4981" name="x_Picture 1" descr="Description: cid:image001.png@01D03949.49457930">
          <a:extLst>
            <a:ext uri="{FF2B5EF4-FFF2-40B4-BE49-F238E27FC236}">
              <a16:creationId xmlns:a16="http://schemas.microsoft.com/office/drawing/2014/main" id="{BCDDCBDB-4BF1-4416-95C9-19A8C5B57C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82" name="x_Picture 1" descr="Description: cid:image001.png@01D03949.49457930">
          <a:extLst>
            <a:ext uri="{FF2B5EF4-FFF2-40B4-BE49-F238E27FC236}">
              <a16:creationId xmlns:a16="http://schemas.microsoft.com/office/drawing/2014/main" id="{C8ABED78-E7B4-4399-97C6-BF45AA5064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83" name="x_Picture 1" descr="Description: cid:image001.png@01D03949.49457930">
          <a:extLst>
            <a:ext uri="{FF2B5EF4-FFF2-40B4-BE49-F238E27FC236}">
              <a16:creationId xmlns:a16="http://schemas.microsoft.com/office/drawing/2014/main" id="{FFBA851E-10D6-4A36-812C-A60780D6C6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84" name="x_Picture 1" descr="Description: cid:image001.png@01D03949.49457930">
          <a:extLst>
            <a:ext uri="{FF2B5EF4-FFF2-40B4-BE49-F238E27FC236}">
              <a16:creationId xmlns:a16="http://schemas.microsoft.com/office/drawing/2014/main" id="{84641756-6E57-44AD-980E-D0EF684AD8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85" name="x_Picture 1" descr="Description: cid:image001.png@01D03949.49457930">
          <a:extLst>
            <a:ext uri="{FF2B5EF4-FFF2-40B4-BE49-F238E27FC236}">
              <a16:creationId xmlns:a16="http://schemas.microsoft.com/office/drawing/2014/main" id="{C5B58FCB-AA9C-455B-A133-C9EA5B3694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86" name="x_Picture 1" descr="Description: cid:image001.png@01D03949.49457930">
          <a:extLst>
            <a:ext uri="{FF2B5EF4-FFF2-40B4-BE49-F238E27FC236}">
              <a16:creationId xmlns:a16="http://schemas.microsoft.com/office/drawing/2014/main" id="{3DE749B0-8DB5-40DB-A7F8-F73E9C0AFD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87" name="x_Picture 1" descr="Description: cid:image001.png@01D03949.49457930">
          <a:extLst>
            <a:ext uri="{FF2B5EF4-FFF2-40B4-BE49-F238E27FC236}">
              <a16:creationId xmlns:a16="http://schemas.microsoft.com/office/drawing/2014/main" id="{0C176577-BE6E-4564-87AA-C197D33A7D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88" name="x_Picture 1" descr="Description: cid:image001.png@01D03949.49457930">
          <a:extLst>
            <a:ext uri="{FF2B5EF4-FFF2-40B4-BE49-F238E27FC236}">
              <a16:creationId xmlns:a16="http://schemas.microsoft.com/office/drawing/2014/main" id="{B39A2EE3-933B-46A1-89A5-D184F522D5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89" name="x_Picture 1" descr="Description: cid:image001.png@01D03949.49457930">
          <a:extLst>
            <a:ext uri="{FF2B5EF4-FFF2-40B4-BE49-F238E27FC236}">
              <a16:creationId xmlns:a16="http://schemas.microsoft.com/office/drawing/2014/main" id="{EEC85E4A-39AD-453C-928C-3A3AFB507A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0" name="x_Picture 1" descr="Description: cid:image001.png@01D03949.49457930">
          <a:extLst>
            <a:ext uri="{FF2B5EF4-FFF2-40B4-BE49-F238E27FC236}">
              <a16:creationId xmlns:a16="http://schemas.microsoft.com/office/drawing/2014/main" id="{1D865F00-25E8-443B-A50E-9B95AC9C19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1" name="x_Picture 1" descr="Description: cid:image001.png@01D03949.49457930">
          <a:extLst>
            <a:ext uri="{FF2B5EF4-FFF2-40B4-BE49-F238E27FC236}">
              <a16:creationId xmlns:a16="http://schemas.microsoft.com/office/drawing/2014/main" id="{63AAB727-DBC0-4A10-AA86-D857E6DE57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2" name="x_Picture 1" descr="Description: cid:image001.png@01D03949.49457930">
          <a:extLst>
            <a:ext uri="{FF2B5EF4-FFF2-40B4-BE49-F238E27FC236}">
              <a16:creationId xmlns:a16="http://schemas.microsoft.com/office/drawing/2014/main" id="{0FB4A165-2625-4733-82AD-AF13C36FE6F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3" name="x_Picture 1" descr="Description: cid:image001.png@01D03949.49457930">
          <a:extLst>
            <a:ext uri="{FF2B5EF4-FFF2-40B4-BE49-F238E27FC236}">
              <a16:creationId xmlns:a16="http://schemas.microsoft.com/office/drawing/2014/main" id="{61DCBC54-8146-44D3-B37F-5F4659A523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4" name="x_Picture 1" descr="Description: cid:image001.png@01D03949.49457930">
          <a:extLst>
            <a:ext uri="{FF2B5EF4-FFF2-40B4-BE49-F238E27FC236}">
              <a16:creationId xmlns:a16="http://schemas.microsoft.com/office/drawing/2014/main" id="{21E2109E-DB76-44B0-AFC5-0CB7FAFB09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5" name="x_Picture 1" descr="Description: cid:image001.png@01D03949.49457930">
          <a:extLst>
            <a:ext uri="{FF2B5EF4-FFF2-40B4-BE49-F238E27FC236}">
              <a16:creationId xmlns:a16="http://schemas.microsoft.com/office/drawing/2014/main" id="{B4BAB866-E8DA-4B79-8C88-CB4D80DAAE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6" name="x_Picture 1" descr="Description: cid:image001.png@01D03949.49457930">
          <a:extLst>
            <a:ext uri="{FF2B5EF4-FFF2-40B4-BE49-F238E27FC236}">
              <a16:creationId xmlns:a16="http://schemas.microsoft.com/office/drawing/2014/main" id="{0F119094-1C54-4866-BA6C-2071A95A3A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7" name="x_Picture 1" descr="Description: cid:image001.png@01D03949.49457930">
          <a:extLst>
            <a:ext uri="{FF2B5EF4-FFF2-40B4-BE49-F238E27FC236}">
              <a16:creationId xmlns:a16="http://schemas.microsoft.com/office/drawing/2014/main" id="{CF730283-B3E1-4F74-AFA4-0490F5F9CF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8" name="x_Picture 1" descr="Description: cid:image001.png@01D03949.49457930">
          <a:extLst>
            <a:ext uri="{FF2B5EF4-FFF2-40B4-BE49-F238E27FC236}">
              <a16:creationId xmlns:a16="http://schemas.microsoft.com/office/drawing/2014/main" id="{D99E1DE0-2332-430B-903D-51B4AEEB28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4999" name="x_Picture 1" descr="Description: cid:image001.png@01D03949.49457930">
          <a:extLst>
            <a:ext uri="{FF2B5EF4-FFF2-40B4-BE49-F238E27FC236}">
              <a16:creationId xmlns:a16="http://schemas.microsoft.com/office/drawing/2014/main" id="{935E479A-C61F-480C-A2E9-F31A5F6420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0" name="x_Picture 1" descr="Description: cid:image001.png@01D03949.49457930">
          <a:extLst>
            <a:ext uri="{FF2B5EF4-FFF2-40B4-BE49-F238E27FC236}">
              <a16:creationId xmlns:a16="http://schemas.microsoft.com/office/drawing/2014/main" id="{0A9E08BD-2C93-4EE2-8779-CB4DC3BAA5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1" name="x_Picture 1" descr="Description: cid:image001.png@01D03949.49457930">
          <a:extLst>
            <a:ext uri="{FF2B5EF4-FFF2-40B4-BE49-F238E27FC236}">
              <a16:creationId xmlns:a16="http://schemas.microsoft.com/office/drawing/2014/main" id="{577894A5-7065-43F0-8FC7-ABC79E5296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2" name="x_Picture 1" descr="Description: cid:image001.png@01D03949.49457930">
          <a:extLst>
            <a:ext uri="{FF2B5EF4-FFF2-40B4-BE49-F238E27FC236}">
              <a16:creationId xmlns:a16="http://schemas.microsoft.com/office/drawing/2014/main" id="{A717661C-1817-4E63-B90A-96FD3B5EC4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3" name="x_Picture 1" descr="Description: cid:image001.png@01D03949.49457930">
          <a:extLst>
            <a:ext uri="{FF2B5EF4-FFF2-40B4-BE49-F238E27FC236}">
              <a16:creationId xmlns:a16="http://schemas.microsoft.com/office/drawing/2014/main" id="{E702DB0C-8190-4B21-8749-82C48E11E0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4" name="x_Picture 1" descr="Description: cid:image001.png@01D03949.49457930">
          <a:extLst>
            <a:ext uri="{FF2B5EF4-FFF2-40B4-BE49-F238E27FC236}">
              <a16:creationId xmlns:a16="http://schemas.microsoft.com/office/drawing/2014/main" id="{889C56D4-8053-41DE-876E-DAD26D5837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5" name="x_Picture 1" descr="Description: cid:image001.png@01D03949.49457930">
          <a:extLst>
            <a:ext uri="{FF2B5EF4-FFF2-40B4-BE49-F238E27FC236}">
              <a16:creationId xmlns:a16="http://schemas.microsoft.com/office/drawing/2014/main" id="{4D0645D7-98EF-4132-ADF3-244FD51817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6" name="x_Picture 1" descr="Description: cid:image001.png@01D03949.49457930">
          <a:extLst>
            <a:ext uri="{FF2B5EF4-FFF2-40B4-BE49-F238E27FC236}">
              <a16:creationId xmlns:a16="http://schemas.microsoft.com/office/drawing/2014/main" id="{A3CD8A20-32F9-4535-A394-2DF4C68D08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7" name="x_Picture 1" descr="Description: cid:image001.png@01D03949.49457930">
          <a:extLst>
            <a:ext uri="{FF2B5EF4-FFF2-40B4-BE49-F238E27FC236}">
              <a16:creationId xmlns:a16="http://schemas.microsoft.com/office/drawing/2014/main" id="{E46F71CD-FA9E-4485-BC90-DAA34958B6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8" name="x_Picture 1" descr="Description: cid:image001.png@01D03949.49457930">
          <a:extLst>
            <a:ext uri="{FF2B5EF4-FFF2-40B4-BE49-F238E27FC236}">
              <a16:creationId xmlns:a16="http://schemas.microsoft.com/office/drawing/2014/main" id="{9530E90A-5D61-4A66-9712-FCA2BA4893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09" name="x_Picture 1" descr="Description: cid:image001.png@01D03949.49457930">
          <a:extLst>
            <a:ext uri="{FF2B5EF4-FFF2-40B4-BE49-F238E27FC236}">
              <a16:creationId xmlns:a16="http://schemas.microsoft.com/office/drawing/2014/main" id="{F88BDB5D-9EAA-4198-933F-EEFDFEAF8E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0" name="x_Picture 1" descr="Description: cid:image001.png@01D03949.49457930">
          <a:extLst>
            <a:ext uri="{FF2B5EF4-FFF2-40B4-BE49-F238E27FC236}">
              <a16:creationId xmlns:a16="http://schemas.microsoft.com/office/drawing/2014/main" id="{D00FF473-C2C3-4CD9-A243-6FE188B170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1" name="x_Picture 1" descr="Description: cid:image001.png@01D03949.49457930">
          <a:extLst>
            <a:ext uri="{FF2B5EF4-FFF2-40B4-BE49-F238E27FC236}">
              <a16:creationId xmlns:a16="http://schemas.microsoft.com/office/drawing/2014/main" id="{3837417B-6AAA-4CAB-945A-A36F0BEE4C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2" name="x_Picture 1" descr="Description: cid:image001.png@01D03949.49457930">
          <a:extLst>
            <a:ext uri="{FF2B5EF4-FFF2-40B4-BE49-F238E27FC236}">
              <a16:creationId xmlns:a16="http://schemas.microsoft.com/office/drawing/2014/main" id="{3074B8E0-5699-4B65-90C6-E284349D825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3" name="x_Picture 1" descr="Description: cid:image001.png@01D03949.49457930">
          <a:extLst>
            <a:ext uri="{FF2B5EF4-FFF2-40B4-BE49-F238E27FC236}">
              <a16:creationId xmlns:a16="http://schemas.microsoft.com/office/drawing/2014/main" id="{E0A7EC1D-5335-443D-82F5-0B234FF147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4" name="x_Picture 1" descr="Description: cid:image001.png@01D03949.49457930">
          <a:extLst>
            <a:ext uri="{FF2B5EF4-FFF2-40B4-BE49-F238E27FC236}">
              <a16:creationId xmlns:a16="http://schemas.microsoft.com/office/drawing/2014/main" id="{5EE6B30B-F73C-4978-8990-41535837AE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5" name="x_Picture 1" descr="Description: cid:image001.png@01D03949.49457930">
          <a:extLst>
            <a:ext uri="{FF2B5EF4-FFF2-40B4-BE49-F238E27FC236}">
              <a16:creationId xmlns:a16="http://schemas.microsoft.com/office/drawing/2014/main" id="{919DBE9B-276A-4455-8062-CBB95DAC33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6" name="x_Picture 1" descr="Description: cid:image001.png@01D03949.49457930">
          <a:extLst>
            <a:ext uri="{FF2B5EF4-FFF2-40B4-BE49-F238E27FC236}">
              <a16:creationId xmlns:a16="http://schemas.microsoft.com/office/drawing/2014/main" id="{2CCD557B-36CB-4DDA-BCE3-F46003D089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7" name="x_Picture 1" descr="Description: cid:image001.png@01D03949.49457930">
          <a:extLst>
            <a:ext uri="{FF2B5EF4-FFF2-40B4-BE49-F238E27FC236}">
              <a16:creationId xmlns:a16="http://schemas.microsoft.com/office/drawing/2014/main" id="{4785B0C0-3605-4AF4-8518-8743D6B8E0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8" name="x_Picture 1" descr="Description: cid:image001.png@01D03949.49457930">
          <a:extLst>
            <a:ext uri="{FF2B5EF4-FFF2-40B4-BE49-F238E27FC236}">
              <a16:creationId xmlns:a16="http://schemas.microsoft.com/office/drawing/2014/main" id="{0C3CA7EE-D5CF-4E64-84F0-13D50967E3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19" name="x_Picture 1" descr="Description: cid:image001.png@01D03949.49457930">
          <a:extLst>
            <a:ext uri="{FF2B5EF4-FFF2-40B4-BE49-F238E27FC236}">
              <a16:creationId xmlns:a16="http://schemas.microsoft.com/office/drawing/2014/main" id="{4B0403F3-E184-4BCA-B59E-C21188BCEE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0" name="x_Picture 1" descr="Description: cid:image001.png@01D03949.49457930">
          <a:extLst>
            <a:ext uri="{FF2B5EF4-FFF2-40B4-BE49-F238E27FC236}">
              <a16:creationId xmlns:a16="http://schemas.microsoft.com/office/drawing/2014/main" id="{4B15FC8C-6507-4FA5-B6FD-0EC7AAE039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1" name="x_Picture 1" descr="Description: cid:image001.png@01D03949.49457930">
          <a:extLst>
            <a:ext uri="{FF2B5EF4-FFF2-40B4-BE49-F238E27FC236}">
              <a16:creationId xmlns:a16="http://schemas.microsoft.com/office/drawing/2014/main" id="{24FA9A0F-D13E-4812-92A9-85D245B219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2" name="x_Picture 1" descr="Description: cid:image001.png@01D03949.49457930">
          <a:extLst>
            <a:ext uri="{FF2B5EF4-FFF2-40B4-BE49-F238E27FC236}">
              <a16:creationId xmlns:a16="http://schemas.microsoft.com/office/drawing/2014/main" id="{8E42FC8F-1424-4160-BFF5-91210F9CBA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3" name="x_Picture 1" descr="Description: cid:image001.png@01D03949.49457930">
          <a:extLst>
            <a:ext uri="{FF2B5EF4-FFF2-40B4-BE49-F238E27FC236}">
              <a16:creationId xmlns:a16="http://schemas.microsoft.com/office/drawing/2014/main" id="{921E023E-E206-4982-8744-B571BCC08E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4" name="x_Picture 1" descr="Description: cid:image001.png@01D03949.49457930">
          <a:extLst>
            <a:ext uri="{FF2B5EF4-FFF2-40B4-BE49-F238E27FC236}">
              <a16:creationId xmlns:a16="http://schemas.microsoft.com/office/drawing/2014/main" id="{C5131F9E-70A3-4916-95BD-B108547475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5" name="x_Picture 1" descr="Description: cid:image001.png@01D03949.49457930">
          <a:extLst>
            <a:ext uri="{FF2B5EF4-FFF2-40B4-BE49-F238E27FC236}">
              <a16:creationId xmlns:a16="http://schemas.microsoft.com/office/drawing/2014/main" id="{BC0CD398-2908-4F07-8356-9AA00595ED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6" name="x_Picture 1" descr="Description: cid:image001.png@01D03949.49457930">
          <a:extLst>
            <a:ext uri="{FF2B5EF4-FFF2-40B4-BE49-F238E27FC236}">
              <a16:creationId xmlns:a16="http://schemas.microsoft.com/office/drawing/2014/main" id="{F4C58E5E-F6AA-45EE-8B10-373667F79A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7" name="x_Picture 1" descr="Description: cid:image001.png@01D03949.49457930">
          <a:extLst>
            <a:ext uri="{FF2B5EF4-FFF2-40B4-BE49-F238E27FC236}">
              <a16:creationId xmlns:a16="http://schemas.microsoft.com/office/drawing/2014/main" id="{8A7C5D50-1D4B-409C-9AAF-B1030D3D4E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8" name="x_Picture 1" descr="Description: cid:image001.png@01D03949.49457930">
          <a:extLst>
            <a:ext uri="{FF2B5EF4-FFF2-40B4-BE49-F238E27FC236}">
              <a16:creationId xmlns:a16="http://schemas.microsoft.com/office/drawing/2014/main" id="{6B75DA82-00C5-470A-A13B-3E8CC1B0EE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29" name="x_Picture 1" descr="Description: cid:image001.png@01D03949.49457930">
          <a:extLst>
            <a:ext uri="{FF2B5EF4-FFF2-40B4-BE49-F238E27FC236}">
              <a16:creationId xmlns:a16="http://schemas.microsoft.com/office/drawing/2014/main" id="{C22F26C5-D3D9-4002-B5BE-BEFAFD44B4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0" name="x_Picture 1" descr="Description: cid:image001.png@01D03949.49457930">
          <a:extLst>
            <a:ext uri="{FF2B5EF4-FFF2-40B4-BE49-F238E27FC236}">
              <a16:creationId xmlns:a16="http://schemas.microsoft.com/office/drawing/2014/main" id="{E0E5935B-BDA0-426D-8AD0-AF940DB11F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1" name="x_Picture 1" descr="Description: cid:image001.png@01D03949.49457930">
          <a:extLst>
            <a:ext uri="{FF2B5EF4-FFF2-40B4-BE49-F238E27FC236}">
              <a16:creationId xmlns:a16="http://schemas.microsoft.com/office/drawing/2014/main" id="{7E683C88-D269-4D87-BBD8-9F453B774B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2" name="x_Picture 1" descr="Description: cid:image001.png@01D03949.49457930">
          <a:extLst>
            <a:ext uri="{FF2B5EF4-FFF2-40B4-BE49-F238E27FC236}">
              <a16:creationId xmlns:a16="http://schemas.microsoft.com/office/drawing/2014/main" id="{35514982-055B-4DDE-8DD8-6624967A52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3" name="x_Picture 1" descr="Description: cid:image001.png@01D03949.49457930">
          <a:extLst>
            <a:ext uri="{FF2B5EF4-FFF2-40B4-BE49-F238E27FC236}">
              <a16:creationId xmlns:a16="http://schemas.microsoft.com/office/drawing/2014/main" id="{0B289E7F-E287-48D9-9B8E-F2FAC550BF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4" name="x_Picture 1" descr="Description: cid:image001.png@01D03949.49457930">
          <a:extLst>
            <a:ext uri="{FF2B5EF4-FFF2-40B4-BE49-F238E27FC236}">
              <a16:creationId xmlns:a16="http://schemas.microsoft.com/office/drawing/2014/main" id="{76928AA1-C5E9-40C7-B9FA-FBBD0D402C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5" name="x_Picture 1" descr="Description: cid:image001.png@01D03949.49457930">
          <a:extLst>
            <a:ext uri="{FF2B5EF4-FFF2-40B4-BE49-F238E27FC236}">
              <a16:creationId xmlns:a16="http://schemas.microsoft.com/office/drawing/2014/main" id="{CF361F58-6A42-4DDF-B212-AFCACFA439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6" name="x_Picture 1" descr="Description: cid:image001.png@01D03949.49457930">
          <a:extLst>
            <a:ext uri="{FF2B5EF4-FFF2-40B4-BE49-F238E27FC236}">
              <a16:creationId xmlns:a16="http://schemas.microsoft.com/office/drawing/2014/main" id="{7B2DF171-5D6B-45C9-9E66-A0138D8DFF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7" name="x_Picture 1" descr="Description: cid:image001.png@01D03949.49457930">
          <a:extLst>
            <a:ext uri="{FF2B5EF4-FFF2-40B4-BE49-F238E27FC236}">
              <a16:creationId xmlns:a16="http://schemas.microsoft.com/office/drawing/2014/main" id="{A4FAD6D6-9162-46ED-A705-EC7526CEDA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8" name="x_Picture 1" descr="Description: cid:image001.png@01D03949.49457930">
          <a:extLst>
            <a:ext uri="{FF2B5EF4-FFF2-40B4-BE49-F238E27FC236}">
              <a16:creationId xmlns:a16="http://schemas.microsoft.com/office/drawing/2014/main" id="{C1B067A4-DD04-4874-95D3-AFDAA88623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39" name="x_Picture 1" descr="Description: cid:image001.png@01D03949.49457930">
          <a:extLst>
            <a:ext uri="{FF2B5EF4-FFF2-40B4-BE49-F238E27FC236}">
              <a16:creationId xmlns:a16="http://schemas.microsoft.com/office/drawing/2014/main" id="{CE92FA82-C4F7-4747-B25F-BA154B7620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0" name="x_Picture 1" descr="Description: cid:image001.png@01D03949.49457930">
          <a:extLst>
            <a:ext uri="{FF2B5EF4-FFF2-40B4-BE49-F238E27FC236}">
              <a16:creationId xmlns:a16="http://schemas.microsoft.com/office/drawing/2014/main" id="{4398A689-D861-4933-928C-181A5B9194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1" name="x_Picture 1" descr="Description: cid:image001.png@01D03949.49457930">
          <a:extLst>
            <a:ext uri="{FF2B5EF4-FFF2-40B4-BE49-F238E27FC236}">
              <a16:creationId xmlns:a16="http://schemas.microsoft.com/office/drawing/2014/main" id="{17567673-D7D3-48BC-9B00-5A4A15E62B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2" name="x_Picture 1" descr="Description: cid:image001.png@01D03949.49457930">
          <a:extLst>
            <a:ext uri="{FF2B5EF4-FFF2-40B4-BE49-F238E27FC236}">
              <a16:creationId xmlns:a16="http://schemas.microsoft.com/office/drawing/2014/main" id="{F268F831-FBFF-40E1-BA9E-F32BB57B1F0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3" name="x_Picture 1" descr="Description: cid:image001.png@01D03949.49457930">
          <a:extLst>
            <a:ext uri="{FF2B5EF4-FFF2-40B4-BE49-F238E27FC236}">
              <a16:creationId xmlns:a16="http://schemas.microsoft.com/office/drawing/2014/main" id="{FE90B67D-2AB3-4F7B-A07A-43F37BB38D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4" name="x_Picture 1" descr="Description: cid:image001.png@01D03949.49457930">
          <a:extLst>
            <a:ext uri="{FF2B5EF4-FFF2-40B4-BE49-F238E27FC236}">
              <a16:creationId xmlns:a16="http://schemas.microsoft.com/office/drawing/2014/main" id="{61F3CCD3-80A0-493E-8A32-CF6DE1C5AD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5" name="x_Picture 1" descr="Description: cid:image001.png@01D03949.49457930">
          <a:extLst>
            <a:ext uri="{FF2B5EF4-FFF2-40B4-BE49-F238E27FC236}">
              <a16:creationId xmlns:a16="http://schemas.microsoft.com/office/drawing/2014/main" id="{05B3A9AE-FC9C-41C7-852B-21B0F122D9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6" name="x_Picture 1" descr="Description: cid:image001.png@01D03949.49457930">
          <a:extLst>
            <a:ext uri="{FF2B5EF4-FFF2-40B4-BE49-F238E27FC236}">
              <a16:creationId xmlns:a16="http://schemas.microsoft.com/office/drawing/2014/main" id="{B17B09C4-46C6-43A2-B1A9-8C32457D9F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7" name="x_Picture 1" descr="Description: cid:image001.png@01D03949.49457930">
          <a:extLst>
            <a:ext uri="{FF2B5EF4-FFF2-40B4-BE49-F238E27FC236}">
              <a16:creationId xmlns:a16="http://schemas.microsoft.com/office/drawing/2014/main" id="{BDC5E66C-6935-4BE0-9BF9-AF72EF0F47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8" name="x_Picture 1" descr="Description: cid:image001.png@01D03949.49457930">
          <a:extLst>
            <a:ext uri="{FF2B5EF4-FFF2-40B4-BE49-F238E27FC236}">
              <a16:creationId xmlns:a16="http://schemas.microsoft.com/office/drawing/2014/main" id="{BB968CB2-7EF9-4D99-A001-7D6BA865BF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49" name="x_Picture 1" descr="Description: cid:image001.png@01D03949.49457930">
          <a:extLst>
            <a:ext uri="{FF2B5EF4-FFF2-40B4-BE49-F238E27FC236}">
              <a16:creationId xmlns:a16="http://schemas.microsoft.com/office/drawing/2014/main" id="{C7EA2B28-52C9-4B50-88AA-BD5BC9A642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0" name="x_Picture 1" descr="Description: cid:image001.png@01D03949.49457930">
          <a:extLst>
            <a:ext uri="{FF2B5EF4-FFF2-40B4-BE49-F238E27FC236}">
              <a16:creationId xmlns:a16="http://schemas.microsoft.com/office/drawing/2014/main" id="{569A10E5-0A1E-4CCD-BDD8-430A292BBD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1" name="x_Picture 1" descr="Description: cid:image001.png@01D03949.49457930">
          <a:extLst>
            <a:ext uri="{FF2B5EF4-FFF2-40B4-BE49-F238E27FC236}">
              <a16:creationId xmlns:a16="http://schemas.microsoft.com/office/drawing/2014/main" id="{BA283717-C3AD-460B-8FED-7BEB628053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2" name="x_Picture 1" descr="Description: cid:image001.png@01D03949.49457930">
          <a:extLst>
            <a:ext uri="{FF2B5EF4-FFF2-40B4-BE49-F238E27FC236}">
              <a16:creationId xmlns:a16="http://schemas.microsoft.com/office/drawing/2014/main" id="{EE2572F7-A19A-40E6-AB5D-7AB0CBC0D1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3" name="x_Picture 1" descr="Description: cid:image001.png@01D03949.49457930">
          <a:extLst>
            <a:ext uri="{FF2B5EF4-FFF2-40B4-BE49-F238E27FC236}">
              <a16:creationId xmlns:a16="http://schemas.microsoft.com/office/drawing/2014/main" id="{0F09B63E-B09B-4DBF-B519-8117A3B879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4" name="x_Picture 1" descr="Description: cid:image001.png@01D03949.49457930">
          <a:extLst>
            <a:ext uri="{FF2B5EF4-FFF2-40B4-BE49-F238E27FC236}">
              <a16:creationId xmlns:a16="http://schemas.microsoft.com/office/drawing/2014/main" id="{DC4B88EB-58E3-4795-B122-1909CF8930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5" name="x_Picture 1" descr="Description: cid:image001.png@01D03949.49457930">
          <a:extLst>
            <a:ext uri="{FF2B5EF4-FFF2-40B4-BE49-F238E27FC236}">
              <a16:creationId xmlns:a16="http://schemas.microsoft.com/office/drawing/2014/main" id="{7FBEBF71-5BAB-4AFD-8827-5EC0E8B070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6" name="x_Picture 1" descr="Description: cid:image001.png@01D03949.49457930">
          <a:extLst>
            <a:ext uri="{FF2B5EF4-FFF2-40B4-BE49-F238E27FC236}">
              <a16:creationId xmlns:a16="http://schemas.microsoft.com/office/drawing/2014/main" id="{91A9BA61-AA9F-4756-A915-3E873C883A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7" name="x_Picture 1" descr="Description: cid:image001.png@01D03949.49457930">
          <a:extLst>
            <a:ext uri="{FF2B5EF4-FFF2-40B4-BE49-F238E27FC236}">
              <a16:creationId xmlns:a16="http://schemas.microsoft.com/office/drawing/2014/main" id="{DDF36EDE-EF37-4853-A429-D5EECC8561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8" name="x_Picture 1" descr="Description: cid:image001.png@01D03949.49457930">
          <a:extLst>
            <a:ext uri="{FF2B5EF4-FFF2-40B4-BE49-F238E27FC236}">
              <a16:creationId xmlns:a16="http://schemas.microsoft.com/office/drawing/2014/main" id="{4B20394E-7CE4-4690-851D-8C57D7EB24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59" name="x_Picture 1" descr="Description: cid:image001.png@01D03949.49457930">
          <a:extLst>
            <a:ext uri="{FF2B5EF4-FFF2-40B4-BE49-F238E27FC236}">
              <a16:creationId xmlns:a16="http://schemas.microsoft.com/office/drawing/2014/main" id="{A4B19C12-79C1-48FA-9394-CBF59279D5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0" name="x_Picture 1" descr="Description: cid:image001.png@01D03949.49457930">
          <a:extLst>
            <a:ext uri="{FF2B5EF4-FFF2-40B4-BE49-F238E27FC236}">
              <a16:creationId xmlns:a16="http://schemas.microsoft.com/office/drawing/2014/main" id="{DFB179A4-5AB6-43BE-93F9-D12E2FBA9A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1" name="x_Picture 1" descr="Description: cid:image001.png@01D03949.49457930">
          <a:extLst>
            <a:ext uri="{FF2B5EF4-FFF2-40B4-BE49-F238E27FC236}">
              <a16:creationId xmlns:a16="http://schemas.microsoft.com/office/drawing/2014/main" id="{66B227F5-11BE-451E-8F34-B34F365B7D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2" name="x_Picture 1" descr="Description: cid:image001.png@01D03949.49457930">
          <a:extLst>
            <a:ext uri="{FF2B5EF4-FFF2-40B4-BE49-F238E27FC236}">
              <a16:creationId xmlns:a16="http://schemas.microsoft.com/office/drawing/2014/main" id="{A0A46C75-7190-4B27-93F5-19F22F2C29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3" name="x_Picture 1" descr="Description: cid:image001.png@01D03949.49457930">
          <a:extLst>
            <a:ext uri="{FF2B5EF4-FFF2-40B4-BE49-F238E27FC236}">
              <a16:creationId xmlns:a16="http://schemas.microsoft.com/office/drawing/2014/main" id="{88E28660-7066-4B41-8AFA-955673CDBF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4" name="x_Picture 1" descr="Description: cid:image001.png@01D03949.49457930">
          <a:extLst>
            <a:ext uri="{FF2B5EF4-FFF2-40B4-BE49-F238E27FC236}">
              <a16:creationId xmlns:a16="http://schemas.microsoft.com/office/drawing/2014/main" id="{317D99D0-F827-4A0F-85B6-F60DC43B2E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5" name="x_Picture 1" descr="Description: cid:image001.png@01D03949.49457930">
          <a:extLst>
            <a:ext uri="{FF2B5EF4-FFF2-40B4-BE49-F238E27FC236}">
              <a16:creationId xmlns:a16="http://schemas.microsoft.com/office/drawing/2014/main" id="{913B33E1-70A1-42CA-888B-26331D7AF0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6" name="x_Picture 1" descr="Description: cid:image001.png@01D03949.49457930">
          <a:extLst>
            <a:ext uri="{FF2B5EF4-FFF2-40B4-BE49-F238E27FC236}">
              <a16:creationId xmlns:a16="http://schemas.microsoft.com/office/drawing/2014/main" id="{3C96253F-B3BA-4335-963C-59B716A165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7" name="x_Picture 1" descr="Description: cid:image001.png@01D03949.49457930">
          <a:extLst>
            <a:ext uri="{FF2B5EF4-FFF2-40B4-BE49-F238E27FC236}">
              <a16:creationId xmlns:a16="http://schemas.microsoft.com/office/drawing/2014/main" id="{028CC638-ECAC-4AB7-9D51-2E55EC3AD8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8" name="x_Picture 1" descr="Description: cid:image001.png@01D03949.49457930">
          <a:extLst>
            <a:ext uri="{FF2B5EF4-FFF2-40B4-BE49-F238E27FC236}">
              <a16:creationId xmlns:a16="http://schemas.microsoft.com/office/drawing/2014/main" id="{0046E2B6-5A2A-4582-9313-5D93172366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69" name="x_Picture 1" descr="Description: cid:image001.png@01D03949.49457930">
          <a:extLst>
            <a:ext uri="{FF2B5EF4-FFF2-40B4-BE49-F238E27FC236}">
              <a16:creationId xmlns:a16="http://schemas.microsoft.com/office/drawing/2014/main" id="{ECB2A388-389E-48BD-A435-EAB062F26CF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0" name="x_Picture 1" descr="Description: cid:image001.png@01D03949.49457930">
          <a:extLst>
            <a:ext uri="{FF2B5EF4-FFF2-40B4-BE49-F238E27FC236}">
              <a16:creationId xmlns:a16="http://schemas.microsoft.com/office/drawing/2014/main" id="{A5F535F0-5701-41ED-9A86-6ECB436A7A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1" name="x_Picture 1" descr="Description: cid:image001.png@01D03949.49457930">
          <a:extLst>
            <a:ext uri="{FF2B5EF4-FFF2-40B4-BE49-F238E27FC236}">
              <a16:creationId xmlns:a16="http://schemas.microsoft.com/office/drawing/2014/main" id="{C6AF6CB4-76BB-4287-8BAD-AB6DF21C2C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2" name="x_Picture 1" descr="Description: cid:image001.png@01D03949.49457930">
          <a:extLst>
            <a:ext uri="{FF2B5EF4-FFF2-40B4-BE49-F238E27FC236}">
              <a16:creationId xmlns:a16="http://schemas.microsoft.com/office/drawing/2014/main" id="{C25A1D8C-DF72-4990-A067-1A40C8F562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3" name="x_Picture 1" descr="Description: cid:image001.png@01D03949.49457930">
          <a:extLst>
            <a:ext uri="{FF2B5EF4-FFF2-40B4-BE49-F238E27FC236}">
              <a16:creationId xmlns:a16="http://schemas.microsoft.com/office/drawing/2014/main" id="{90F49958-C6A4-498D-B2E5-AF527B19F6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4" name="x_Picture 1" descr="Description: cid:image001.png@01D03949.49457930">
          <a:extLst>
            <a:ext uri="{FF2B5EF4-FFF2-40B4-BE49-F238E27FC236}">
              <a16:creationId xmlns:a16="http://schemas.microsoft.com/office/drawing/2014/main" id="{5C21276F-4F05-4DE6-8711-0425BE47C5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5" name="x_Picture 1" descr="Description: cid:image001.png@01D03949.49457930">
          <a:extLst>
            <a:ext uri="{FF2B5EF4-FFF2-40B4-BE49-F238E27FC236}">
              <a16:creationId xmlns:a16="http://schemas.microsoft.com/office/drawing/2014/main" id="{A62F9AEA-CB60-4F24-906E-670F7740A4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6" name="x_Picture 1" descr="Description: cid:image001.png@01D03949.49457930">
          <a:extLst>
            <a:ext uri="{FF2B5EF4-FFF2-40B4-BE49-F238E27FC236}">
              <a16:creationId xmlns:a16="http://schemas.microsoft.com/office/drawing/2014/main" id="{43E99CA8-E7F5-4A87-85F0-C10BBC477E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7" name="x_Picture 1" descr="Description: cid:image001.png@01D03949.49457930">
          <a:extLst>
            <a:ext uri="{FF2B5EF4-FFF2-40B4-BE49-F238E27FC236}">
              <a16:creationId xmlns:a16="http://schemas.microsoft.com/office/drawing/2014/main" id="{8E6D3082-665C-43C1-9722-D9BF855771F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8" name="x_Picture 1" descr="Description: cid:image001.png@01D03949.49457930">
          <a:extLst>
            <a:ext uri="{FF2B5EF4-FFF2-40B4-BE49-F238E27FC236}">
              <a16:creationId xmlns:a16="http://schemas.microsoft.com/office/drawing/2014/main" id="{BBEE2483-B21B-4FA5-BD06-83FBEAFD94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79" name="x_Picture 1" descr="Description: cid:image001.png@01D03949.49457930">
          <a:extLst>
            <a:ext uri="{FF2B5EF4-FFF2-40B4-BE49-F238E27FC236}">
              <a16:creationId xmlns:a16="http://schemas.microsoft.com/office/drawing/2014/main" id="{5349A54B-A58A-4C4A-B421-BFB62C5F82A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0" name="x_Picture 1" descr="Description: cid:image001.png@01D03949.49457930">
          <a:extLst>
            <a:ext uri="{FF2B5EF4-FFF2-40B4-BE49-F238E27FC236}">
              <a16:creationId xmlns:a16="http://schemas.microsoft.com/office/drawing/2014/main" id="{49F640E4-6D8B-498A-BC86-E5F0B4CC8C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1" name="x_Picture 1" descr="Description: cid:image001.png@01D03949.49457930">
          <a:extLst>
            <a:ext uri="{FF2B5EF4-FFF2-40B4-BE49-F238E27FC236}">
              <a16:creationId xmlns:a16="http://schemas.microsoft.com/office/drawing/2014/main" id="{0616A4A1-BF28-410B-A471-B337EC312D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2" name="x_Picture 1" descr="Description: cid:image001.png@01D03949.49457930">
          <a:extLst>
            <a:ext uri="{FF2B5EF4-FFF2-40B4-BE49-F238E27FC236}">
              <a16:creationId xmlns:a16="http://schemas.microsoft.com/office/drawing/2014/main" id="{DC249D28-5C0A-4E53-B3FB-8E549F3E78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3" name="x_Picture 1" descr="Description: cid:image001.png@01D03949.49457930">
          <a:extLst>
            <a:ext uri="{FF2B5EF4-FFF2-40B4-BE49-F238E27FC236}">
              <a16:creationId xmlns:a16="http://schemas.microsoft.com/office/drawing/2014/main" id="{52BBEBD5-0C28-488D-B02B-4707F2BD0D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4" name="x_Picture 1" descr="Description: cid:image001.png@01D03949.49457930">
          <a:extLst>
            <a:ext uri="{FF2B5EF4-FFF2-40B4-BE49-F238E27FC236}">
              <a16:creationId xmlns:a16="http://schemas.microsoft.com/office/drawing/2014/main" id="{86B9C329-4514-4C62-81F7-974D092CF8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5" name="x_Picture 1" descr="Description: cid:image001.png@01D03949.49457930">
          <a:extLst>
            <a:ext uri="{FF2B5EF4-FFF2-40B4-BE49-F238E27FC236}">
              <a16:creationId xmlns:a16="http://schemas.microsoft.com/office/drawing/2014/main" id="{E58C8DE6-6E07-4255-8E13-4B11E11B04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6" name="x_Picture 1" descr="Description: cid:image001.png@01D03949.49457930">
          <a:extLst>
            <a:ext uri="{FF2B5EF4-FFF2-40B4-BE49-F238E27FC236}">
              <a16:creationId xmlns:a16="http://schemas.microsoft.com/office/drawing/2014/main" id="{A22E038A-B5A6-4E88-87E8-711E161145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7" name="x_Picture 1" descr="Description: cid:image001.png@01D03949.49457930">
          <a:extLst>
            <a:ext uri="{FF2B5EF4-FFF2-40B4-BE49-F238E27FC236}">
              <a16:creationId xmlns:a16="http://schemas.microsoft.com/office/drawing/2014/main" id="{86783064-EBEE-4200-819B-4E0822BB1B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8" name="x_Picture 1" descr="Description: cid:image001.png@01D03949.49457930">
          <a:extLst>
            <a:ext uri="{FF2B5EF4-FFF2-40B4-BE49-F238E27FC236}">
              <a16:creationId xmlns:a16="http://schemas.microsoft.com/office/drawing/2014/main" id="{4CCDC321-C435-403B-8C93-671ED29B2A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89" name="x_Picture 1" descr="Description: cid:image001.png@01D03949.49457930">
          <a:extLst>
            <a:ext uri="{FF2B5EF4-FFF2-40B4-BE49-F238E27FC236}">
              <a16:creationId xmlns:a16="http://schemas.microsoft.com/office/drawing/2014/main" id="{967A32A2-92BB-422D-AB18-B28F9D6FE9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0" name="x_Picture 1" descr="Description: cid:image001.png@01D03949.49457930">
          <a:extLst>
            <a:ext uri="{FF2B5EF4-FFF2-40B4-BE49-F238E27FC236}">
              <a16:creationId xmlns:a16="http://schemas.microsoft.com/office/drawing/2014/main" id="{3C7EFBAD-F841-4CE3-A1B3-7CDD4883C9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1" name="x_Picture 1" descr="Description: cid:image001.png@01D03949.49457930">
          <a:extLst>
            <a:ext uri="{FF2B5EF4-FFF2-40B4-BE49-F238E27FC236}">
              <a16:creationId xmlns:a16="http://schemas.microsoft.com/office/drawing/2014/main" id="{4904D4B0-7ECB-41DA-B1E5-2EA384FB0B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2" name="x_Picture 1" descr="Description: cid:image001.png@01D03949.49457930">
          <a:extLst>
            <a:ext uri="{FF2B5EF4-FFF2-40B4-BE49-F238E27FC236}">
              <a16:creationId xmlns:a16="http://schemas.microsoft.com/office/drawing/2014/main" id="{D9F9DADA-E2FB-405C-8705-8A67B16A057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3" name="x_Picture 1" descr="Description: cid:image001.png@01D03949.49457930">
          <a:extLst>
            <a:ext uri="{FF2B5EF4-FFF2-40B4-BE49-F238E27FC236}">
              <a16:creationId xmlns:a16="http://schemas.microsoft.com/office/drawing/2014/main" id="{8B5832A5-94E8-460C-BFF6-3998DF4EE3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4" name="x_Picture 1" descr="Description: cid:image001.png@01D03949.49457930">
          <a:extLst>
            <a:ext uri="{FF2B5EF4-FFF2-40B4-BE49-F238E27FC236}">
              <a16:creationId xmlns:a16="http://schemas.microsoft.com/office/drawing/2014/main" id="{055B235F-9657-4C0C-B366-8D4530CE04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5" name="x_Picture 1" descr="Description: cid:image001.png@01D03949.49457930">
          <a:extLst>
            <a:ext uri="{FF2B5EF4-FFF2-40B4-BE49-F238E27FC236}">
              <a16:creationId xmlns:a16="http://schemas.microsoft.com/office/drawing/2014/main" id="{3A51E432-FC9F-4665-84E2-4628B4CB5EF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6" name="x_Picture 1" descr="Description: cid:image001.png@01D03949.49457930">
          <a:extLst>
            <a:ext uri="{FF2B5EF4-FFF2-40B4-BE49-F238E27FC236}">
              <a16:creationId xmlns:a16="http://schemas.microsoft.com/office/drawing/2014/main" id="{2732BFA9-9587-43F6-9B25-4792F63DC2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7" name="x_Picture 1" descr="Description: cid:image001.png@01D03949.49457930">
          <a:extLst>
            <a:ext uri="{FF2B5EF4-FFF2-40B4-BE49-F238E27FC236}">
              <a16:creationId xmlns:a16="http://schemas.microsoft.com/office/drawing/2014/main" id="{5A12C02D-77B5-4709-9DA8-0D1EA11989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8" name="x_Picture 1" descr="Description: cid:image001.png@01D03949.49457930">
          <a:extLst>
            <a:ext uri="{FF2B5EF4-FFF2-40B4-BE49-F238E27FC236}">
              <a16:creationId xmlns:a16="http://schemas.microsoft.com/office/drawing/2014/main" id="{13A6FCED-40FE-4FEF-89E9-66BA69701C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099" name="x_Picture 1" descr="Description: cid:image001.png@01D03949.49457930">
          <a:extLst>
            <a:ext uri="{FF2B5EF4-FFF2-40B4-BE49-F238E27FC236}">
              <a16:creationId xmlns:a16="http://schemas.microsoft.com/office/drawing/2014/main" id="{E69E6CFE-69FD-4AE0-BAE5-052A8D8D39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0" name="x_Picture 1" descr="Description: cid:image001.png@01D03949.49457930">
          <a:extLst>
            <a:ext uri="{FF2B5EF4-FFF2-40B4-BE49-F238E27FC236}">
              <a16:creationId xmlns:a16="http://schemas.microsoft.com/office/drawing/2014/main" id="{7F086FE5-AB42-48C2-AD69-A8A91D04C4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1" name="x_Picture 1" descr="Description: cid:image001.png@01D03949.49457930">
          <a:extLst>
            <a:ext uri="{FF2B5EF4-FFF2-40B4-BE49-F238E27FC236}">
              <a16:creationId xmlns:a16="http://schemas.microsoft.com/office/drawing/2014/main" id="{EFBC475F-941B-4AE1-9550-31A79609F2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2" name="x_Picture 1" descr="Description: cid:image001.png@01D03949.49457930">
          <a:extLst>
            <a:ext uri="{FF2B5EF4-FFF2-40B4-BE49-F238E27FC236}">
              <a16:creationId xmlns:a16="http://schemas.microsoft.com/office/drawing/2014/main" id="{45F44C9F-3F6E-457E-918A-0850B54721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3" name="x_Picture 1" descr="Description: cid:image001.png@01D03949.49457930">
          <a:extLst>
            <a:ext uri="{FF2B5EF4-FFF2-40B4-BE49-F238E27FC236}">
              <a16:creationId xmlns:a16="http://schemas.microsoft.com/office/drawing/2014/main" id="{117EEB23-7BC7-4DD2-8C99-06D5FA3DD3F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4" name="x_Picture 1" descr="Description: cid:image001.png@01D03949.49457930">
          <a:extLst>
            <a:ext uri="{FF2B5EF4-FFF2-40B4-BE49-F238E27FC236}">
              <a16:creationId xmlns:a16="http://schemas.microsoft.com/office/drawing/2014/main" id="{9546BD79-AEED-49F6-89F4-5595592E4E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5" name="x_Picture 1" descr="Description: cid:image001.png@01D03949.49457930">
          <a:extLst>
            <a:ext uri="{FF2B5EF4-FFF2-40B4-BE49-F238E27FC236}">
              <a16:creationId xmlns:a16="http://schemas.microsoft.com/office/drawing/2014/main" id="{467CF4EB-6ED1-417D-99DB-678328D32F1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6" name="x_Picture 1" descr="Description: cid:image001.png@01D03949.49457930">
          <a:extLst>
            <a:ext uri="{FF2B5EF4-FFF2-40B4-BE49-F238E27FC236}">
              <a16:creationId xmlns:a16="http://schemas.microsoft.com/office/drawing/2014/main" id="{56C566CA-1805-4419-9829-09C856D889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7" name="x_Picture 1" descr="Description: cid:image001.png@01D03949.49457930">
          <a:extLst>
            <a:ext uri="{FF2B5EF4-FFF2-40B4-BE49-F238E27FC236}">
              <a16:creationId xmlns:a16="http://schemas.microsoft.com/office/drawing/2014/main" id="{89C1C49D-A097-4B49-8244-FC39D3C074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8" name="x_Picture 1" descr="Description: cid:image001.png@01D03949.49457930">
          <a:extLst>
            <a:ext uri="{FF2B5EF4-FFF2-40B4-BE49-F238E27FC236}">
              <a16:creationId xmlns:a16="http://schemas.microsoft.com/office/drawing/2014/main" id="{EB3C7ED8-6C0C-437D-967A-3D3057BF0C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09" name="x_Picture 1" descr="Description: cid:image001.png@01D03949.49457930">
          <a:extLst>
            <a:ext uri="{FF2B5EF4-FFF2-40B4-BE49-F238E27FC236}">
              <a16:creationId xmlns:a16="http://schemas.microsoft.com/office/drawing/2014/main" id="{7F8C42CE-7CF7-425E-8190-41019F796F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0" name="x_Picture 1" descr="Description: cid:image001.png@01D03949.49457930">
          <a:extLst>
            <a:ext uri="{FF2B5EF4-FFF2-40B4-BE49-F238E27FC236}">
              <a16:creationId xmlns:a16="http://schemas.microsoft.com/office/drawing/2014/main" id="{11A8F2D9-1A71-47E7-AD51-086AA9D2CB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1" name="x_Picture 1" descr="Description: cid:image001.png@01D03949.49457930">
          <a:extLst>
            <a:ext uri="{FF2B5EF4-FFF2-40B4-BE49-F238E27FC236}">
              <a16:creationId xmlns:a16="http://schemas.microsoft.com/office/drawing/2014/main" id="{DA31124A-7BC2-4B6D-9F58-904FDE3DA3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2" name="x_Picture 1" descr="Description: cid:image001.png@01D03949.49457930">
          <a:extLst>
            <a:ext uri="{FF2B5EF4-FFF2-40B4-BE49-F238E27FC236}">
              <a16:creationId xmlns:a16="http://schemas.microsoft.com/office/drawing/2014/main" id="{847264E8-26AF-41D3-885B-6396A6604D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3" name="x_Picture 1" descr="Description: cid:image001.png@01D03949.49457930">
          <a:extLst>
            <a:ext uri="{FF2B5EF4-FFF2-40B4-BE49-F238E27FC236}">
              <a16:creationId xmlns:a16="http://schemas.microsoft.com/office/drawing/2014/main" id="{908B7527-EFC9-4AD1-9334-5AE21FDE4D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4" name="x_Picture 1" descr="Description: cid:image001.png@01D03949.49457930">
          <a:extLst>
            <a:ext uri="{FF2B5EF4-FFF2-40B4-BE49-F238E27FC236}">
              <a16:creationId xmlns:a16="http://schemas.microsoft.com/office/drawing/2014/main" id="{8BC86D2C-AD98-4970-A186-3214DC9423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5" name="x_Picture 1" descr="Description: cid:image001.png@01D03949.49457930">
          <a:extLst>
            <a:ext uri="{FF2B5EF4-FFF2-40B4-BE49-F238E27FC236}">
              <a16:creationId xmlns:a16="http://schemas.microsoft.com/office/drawing/2014/main" id="{C9997F9B-D2A2-4C15-A16E-31EA732FC6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6" name="x_Picture 1" descr="Description: cid:image001.png@01D03949.49457930">
          <a:extLst>
            <a:ext uri="{FF2B5EF4-FFF2-40B4-BE49-F238E27FC236}">
              <a16:creationId xmlns:a16="http://schemas.microsoft.com/office/drawing/2014/main" id="{68999CE3-7034-4B61-B842-C9B5A85368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7" name="x_Picture 1" descr="Description: cid:image001.png@01D03949.49457930">
          <a:extLst>
            <a:ext uri="{FF2B5EF4-FFF2-40B4-BE49-F238E27FC236}">
              <a16:creationId xmlns:a16="http://schemas.microsoft.com/office/drawing/2014/main" id="{A142E247-00B8-4536-B943-185DACB9D3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8" name="x_Picture 1" descr="Description: cid:image001.png@01D03949.49457930">
          <a:extLst>
            <a:ext uri="{FF2B5EF4-FFF2-40B4-BE49-F238E27FC236}">
              <a16:creationId xmlns:a16="http://schemas.microsoft.com/office/drawing/2014/main" id="{090B1245-CACC-40E5-8F90-0967317F9F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19" name="x_Picture 1" descr="Description: cid:image001.png@01D03949.49457930">
          <a:extLst>
            <a:ext uri="{FF2B5EF4-FFF2-40B4-BE49-F238E27FC236}">
              <a16:creationId xmlns:a16="http://schemas.microsoft.com/office/drawing/2014/main" id="{6FCD6544-75CE-40D1-9427-A6AF8710DA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0" name="x_Picture 1" descr="Description: cid:image001.png@01D03949.49457930">
          <a:extLst>
            <a:ext uri="{FF2B5EF4-FFF2-40B4-BE49-F238E27FC236}">
              <a16:creationId xmlns:a16="http://schemas.microsoft.com/office/drawing/2014/main" id="{C1A9E596-3EEB-4EE8-8808-C333D06B9C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1" name="x_Picture 1" descr="Description: cid:image001.png@01D03949.49457930">
          <a:extLst>
            <a:ext uri="{FF2B5EF4-FFF2-40B4-BE49-F238E27FC236}">
              <a16:creationId xmlns:a16="http://schemas.microsoft.com/office/drawing/2014/main" id="{F0C324AD-C284-4371-B5F1-AA4D50DE21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2" name="x_Picture 1" descr="Description: cid:image001.png@01D03949.49457930">
          <a:extLst>
            <a:ext uri="{FF2B5EF4-FFF2-40B4-BE49-F238E27FC236}">
              <a16:creationId xmlns:a16="http://schemas.microsoft.com/office/drawing/2014/main" id="{EB804BE5-E356-4FA0-8832-44E174ABE7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3" name="x_Picture 1" descr="Description: cid:image001.png@01D03949.49457930">
          <a:extLst>
            <a:ext uri="{FF2B5EF4-FFF2-40B4-BE49-F238E27FC236}">
              <a16:creationId xmlns:a16="http://schemas.microsoft.com/office/drawing/2014/main" id="{58EC024C-5067-4B2B-9D92-2F6EAAD9A8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4" name="x_Picture 1" descr="Description: cid:image001.png@01D03949.49457930">
          <a:extLst>
            <a:ext uri="{FF2B5EF4-FFF2-40B4-BE49-F238E27FC236}">
              <a16:creationId xmlns:a16="http://schemas.microsoft.com/office/drawing/2014/main" id="{41260CA6-4D2D-4F14-9301-B1ACC463D9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5" name="x_Picture 1" descr="Description: cid:image001.png@01D03949.49457930">
          <a:extLst>
            <a:ext uri="{FF2B5EF4-FFF2-40B4-BE49-F238E27FC236}">
              <a16:creationId xmlns:a16="http://schemas.microsoft.com/office/drawing/2014/main" id="{C157F22C-8E25-4088-A62A-D32F5A4EC3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6" name="x_Picture 1" descr="Description: cid:image001.png@01D03949.49457930">
          <a:extLst>
            <a:ext uri="{FF2B5EF4-FFF2-40B4-BE49-F238E27FC236}">
              <a16:creationId xmlns:a16="http://schemas.microsoft.com/office/drawing/2014/main" id="{5C8C94A4-34C1-4924-8F23-EC089A6B5B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7" name="x_Picture 1" descr="Description: cid:image001.png@01D03949.49457930">
          <a:extLst>
            <a:ext uri="{FF2B5EF4-FFF2-40B4-BE49-F238E27FC236}">
              <a16:creationId xmlns:a16="http://schemas.microsoft.com/office/drawing/2014/main" id="{7323A970-FBC4-4F24-866C-8878771AC7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8" name="x_Picture 1" descr="Description: cid:image001.png@01D03949.49457930">
          <a:extLst>
            <a:ext uri="{FF2B5EF4-FFF2-40B4-BE49-F238E27FC236}">
              <a16:creationId xmlns:a16="http://schemas.microsoft.com/office/drawing/2014/main" id="{CF21B06B-BAC0-4F93-AD61-794D24D706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29" name="x_Picture 1" descr="Description: cid:image001.png@01D03949.49457930">
          <a:extLst>
            <a:ext uri="{FF2B5EF4-FFF2-40B4-BE49-F238E27FC236}">
              <a16:creationId xmlns:a16="http://schemas.microsoft.com/office/drawing/2014/main" id="{4845EBAD-31FE-4002-9D7E-3684444849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0" name="x_Picture 1" descr="Description: cid:image001.png@01D03949.49457930">
          <a:extLst>
            <a:ext uri="{FF2B5EF4-FFF2-40B4-BE49-F238E27FC236}">
              <a16:creationId xmlns:a16="http://schemas.microsoft.com/office/drawing/2014/main" id="{E4E8528C-E9DE-44E0-9AF4-2983EE9DAD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1" name="x_Picture 1" descr="Description: cid:image001.png@01D03949.49457930">
          <a:extLst>
            <a:ext uri="{FF2B5EF4-FFF2-40B4-BE49-F238E27FC236}">
              <a16:creationId xmlns:a16="http://schemas.microsoft.com/office/drawing/2014/main" id="{1B6FCA68-415F-41D4-9694-1BDAF4D1535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2" name="x_Picture 1" descr="Description: cid:image001.png@01D03949.49457930">
          <a:extLst>
            <a:ext uri="{FF2B5EF4-FFF2-40B4-BE49-F238E27FC236}">
              <a16:creationId xmlns:a16="http://schemas.microsoft.com/office/drawing/2014/main" id="{DEE6B018-590E-453A-81CC-88B2884CD0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3" name="x_Picture 1" descr="Description: cid:image001.png@01D03949.49457930">
          <a:extLst>
            <a:ext uri="{FF2B5EF4-FFF2-40B4-BE49-F238E27FC236}">
              <a16:creationId xmlns:a16="http://schemas.microsoft.com/office/drawing/2014/main" id="{C937DD19-0AB4-4373-B2F7-9D5607EB24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4" name="x_Picture 1" descr="Description: cid:image001.png@01D03949.49457930">
          <a:extLst>
            <a:ext uri="{FF2B5EF4-FFF2-40B4-BE49-F238E27FC236}">
              <a16:creationId xmlns:a16="http://schemas.microsoft.com/office/drawing/2014/main" id="{055DAE48-E877-459E-B8F7-A1442590ED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5" name="x_Picture 1" descr="Description: cid:image001.png@01D03949.49457930">
          <a:extLst>
            <a:ext uri="{FF2B5EF4-FFF2-40B4-BE49-F238E27FC236}">
              <a16:creationId xmlns:a16="http://schemas.microsoft.com/office/drawing/2014/main" id="{1D6A0A4C-F64D-4184-BEAD-88E225F3C7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6" name="x_Picture 1" descr="Description: cid:image001.png@01D03949.49457930">
          <a:extLst>
            <a:ext uri="{FF2B5EF4-FFF2-40B4-BE49-F238E27FC236}">
              <a16:creationId xmlns:a16="http://schemas.microsoft.com/office/drawing/2014/main" id="{729A16C7-9EA0-4924-8766-F89BFB80DB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7" name="x_Picture 1" descr="Description: cid:image001.png@01D03949.49457930">
          <a:extLst>
            <a:ext uri="{FF2B5EF4-FFF2-40B4-BE49-F238E27FC236}">
              <a16:creationId xmlns:a16="http://schemas.microsoft.com/office/drawing/2014/main" id="{DEB58367-70E3-47D6-8AFE-98A2BA9E3E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8" name="x_Picture 1" descr="Description: cid:image001.png@01D03949.49457930">
          <a:extLst>
            <a:ext uri="{FF2B5EF4-FFF2-40B4-BE49-F238E27FC236}">
              <a16:creationId xmlns:a16="http://schemas.microsoft.com/office/drawing/2014/main" id="{0FFB4845-35B3-4BA1-B2A1-2BED55B640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39" name="x_Picture 1" descr="Description: cid:image001.png@01D03949.49457930">
          <a:extLst>
            <a:ext uri="{FF2B5EF4-FFF2-40B4-BE49-F238E27FC236}">
              <a16:creationId xmlns:a16="http://schemas.microsoft.com/office/drawing/2014/main" id="{0A6830B3-7BF0-4E18-BDF0-E1B857D661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0" name="x_Picture 1" descr="Description: cid:image001.png@01D03949.49457930">
          <a:extLst>
            <a:ext uri="{FF2B5EF4-FFF2-40B4-BE49-F238E27FC236}">
              <a16:creationId xmlns:a16="http://schemas.microsoft.com/office/drawing/2014/main" id="{95FCCE4A-3367-472D-9DC8-0C35F9F216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1" name="x_Picture 1" descr="Description: cid:image001.png@01D03949.49457930">
          <a:extLst>
            <a:ext uri="{FF2B5EF4-FFF2-40B4-BE49-F238E27FC236}">
              <a16:creationId xmlns:a16="http://schemas.microsoft.com/office/drawing/2014/main" id="{9AF2DE45-681E-450B-87E6-D42A606C8F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2" name="x_Picture 1" descr="Description: cid:image001.png@01D03949.49457930">
          <a:extLst>
            <a:ext uri="{FF2B5EF4-FFF2-40B4-BE49-F238E27FC236}">
              <a16:creationId xmlns:a16="http://schemas.microsoft.com/office/drawing/2014/main" id="{382BD2B5-C1FC-434A-A2AA-2945D23C3B5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3" name="x_Picture 1" descr="Description: cid:image001.png@01D03949.49457930">
          <a:extLst>
            <a:ext uri="{FF2B5EF4-FFF2-40B4-BE49-F238E27FC236}">
              <a16:creationId xmlns:a16="http://schemas.microsoft.com/office/drawing/2014/main" id="{65B65EA2-7829-4FED-A374-097D8FCE6D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4" name="x_Picture 1" descr="Description: cid:image001.png@01D03949.49457930">
          <a:extLst>
            <a:ext uri="{FF2B5EF4-FFF2-40B4-BE49-F238E27FC236}">
              <a16:creationId xmlns:a16="http://schemas.microsoft.com/office/drawing/2014/main" id="{E0465B46-D82C-4395-AB48-DA781F79CF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5" name="x_Picture 1" descr="Description: cid:image001.png@01D03949.49457930">
          <a:extLst>
            <a:ext uri="{FF2B5EF4-FFF2-40B4-BE49-F238E27FC236}">
              <a16:creationId xmlns:a16="http://schemas.microsoft.com/office/drawing/2014/main" id="{2DCBE811-01DD-493B-AD12-0463A9B1C8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6" name="x_Picture 1" descr="Description: cid:image001.png@01D03949.49457930">
          <a:extLst>
            <a:ext uri="{FF2B5EF4-FFF2-40B4-BE49-F238E27FC236}">
              <a16:creationId xmlns:a16="http://schemas.microsoft.com/office/drawing/2014/main" id="{2B5D477B-9AE6-4C22-8AFE-CC415B2F39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7" name="x_Picture 1" descr="Description: cid:image001.png@01D03949.49457930">
          <a:extLst>
            <a:ext uri="{FF2B5EF4-FFF2-40B4-BE49-F238E27FC236}">
              <a16:creationId xmlns:a16="http://schemas.microsoft.com/office/drawing/2014/main" id="{FB91108D-2D26-4C54-80C9-7460A26086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8" name="x_Picture 1" descr="Description: cid:image001.png@01D03949.49457930">
          <a:extLst>
            <a:ext uri="{FF2B5EF4-FFF2-40B4-BE49-F238E27FC236}">
              <a16:creationId xmlns:a16="http://schemas.microsoft.com/office/drawing/2014/main" id="{CFF2076B-6BEC-4321-87BC-E979B63426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49" name="x_Picture 1" descr="Description: cid:image001.png@01D03949.49457930">
          <a:extLst>
            <a:ext uri="{FF2B5EF4-FFF2-40B4-BE49-F238E27FC236}">
              <a16:creationId xmlns:a16="http://schemas.microsoft.com/office/drawing/2014/main" id="{1BA412B0-52B4-47E2-AE79-4D9A0E6838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0" name="x_Picture 1" descr="Description: cid:image001.png@01D03949.49457930">
          <a:extLst>
            <a:ext uri="{FF2B5EF4-FFF2-40B4-BE49-F238E27FC236}">
              <a16:creationId xmlns:a16="http://schemas.microsoft.com/office/drawing/2014/main" id="{3FC20610-D936-456D-A26D-7472A21390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1" name="x_Picture 1" descr="Description: cid:image001.png@01D03949.49457930">
          <a:extLst>
            <a:ext uri="{FF2B5EF4-FFF2-40B4-BE49-F238E27FC236}">
              <a16:creationId xmlns:a16="http://schemas.microsoft.com/office/drawing/2014/main" id="{85B4BD24-944C-45A3-9C3D-116DD541A2F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2" name="x_Picture 1" descr="Description: cid:image001.png@01D03949.49457930">
          <a:extLst>
            <a:ext uri="{FF2B5EF4-FFF2-40B4-BE49-F238E27FC236}">
              <a16:creationId xmlns:a16="http://schemas.microsoft.com/office/drawing/2014/main" id="{2F1ABDFE-9827-4269-86BC-33FDDD3B7E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3" name="x_Picture 1" descr="Description: cid:image001.png@01D03949.49457930">
          <a:extLst>
            <a:ext uri="{FF2B5EF4-FFF2-40B4-BE49-F238E27FC236}">
              <a16:creationId xmlns:a16="http://schemas.microsoft.com/office/drawing/2014/main" id="{E9767708-15FB-4EFC-BEBF-2240D54428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4" name="x_Picture 1" descr="Description: cid:image001.png@01D03949.49457930">
          <a:extLst>
            <a:ext uri="{FF2B5EF4-FFF2-40B4-BE49-F238E27FC236}">
              <a16:creationId xmlns:a16="http://schemas.microsoft.com/office/drawing/2014/main" id="{848358BF-180F-448D-8FD4-4A4DA918F5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5" name="x_Picture 1" descr="Description: cid:image001.png@01D03949.49457930">
          <a:extLst>
            <a:ext uri="{FF2B5EF4-FFF2-40B4-BE49-F238E27FC236}">
              <a16:creationId xmlns:a16="http://schemas.microsoft.com/office/drawing/2014/main" id="{D5A5B4DA-53CE-4D31-A851-935841B587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6" name="x_Picture 1" descr="Description: cid:image001.png@01D03949.49457930">
          <a:extLst>
            <a:ext uri="{FF2B5EF4-FFF2-40B4-BE49-F238E27FC236}">
              <a16:creationId xmlns:a16="http://schemas.microsoft.com/office/drawing/2014/main" id="{154C7E95-5BD4-4327-8B06-E4A0975974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7" name="x_Picture 1" descr="Description: cid:image001.png@01D03949.49457930">
          <a:extLst>
            <a:ext uri="{FF2B5EF4-FFF2-40B4-BE49-F238E27FC236}">
              <a16:creationId xmlns:a16="http://schemas.microsoft.com/office/drawing/2014/main" id="{E0546C21-7AFE-4111-86F0-C04825E2F9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8" name="x_Picture 1" descr="Description: cid:image001.png@01D03949.49457930">
          <a:extLst>
            <a:ext uri="{FF2B5EF4-FFF2-40B4-BE49-F238E27FC236}">
              <a16:creationId xmlns:a16="http://schemas.microsoft.com/office/drawing/2014/main" id="{1F251398-2DA2-43BD-B1A5-754938F139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59" name="x_Picture 1" descr="Description: cid:image001.png@01D03949.49457930">
          <a:extLst>
            <a:ext uri="{FF2B5EF4-FFF2-40B4-BE49-F238E27FC236}">
              <a16:creationId xmlns:a16="http://schemas.microsoft.com/office/drawing/2014/main" id="{A479883F-A3AF-4F6B-AB94-778CA44118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0" name="x_Picture 1" descr="Description: cid:image001.png@01D03949.49457930">
          <a:extLst>
            <a:ext uri="{FF2B5EF4-FFF2-40B4-BE49-F238E27FC236}">
              <a16:creationId xmlns:a16="http://schemas.microsoft.com/office/drawing/2014/main" id="{EC540FF3-4978-4CFB-8D41-CA3F9B0A02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1" name="x_Picture 1" descr="Description: cid:image001.png@01D03949.49457930">
          <a:extLst>
            <a:ext uri="{FF2B5EF4-FFF2-40B4-BE49-F238E27FC236}">
              <a16:creationId xmlns:a16="http://schemas.microsoft.com/office/drawing/2014/main" id="{9FD23CDD-210B-4EEB-B7F8-E5CEBB6890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2" name="x_Picture 1" descr="Description: cid:image001.png@01D03949.49457930">
          <a:extLst>
            <a:ext uri="{FF2B5EF4-FFF2-40B4-BE49-F238E27FC236}">
              <a16:creationId xmlns:a16="http://schemas.microsoft.com/office/drawing/2014/main" id="{94F70B29-D3C4-4DCB-858C-F30F57B6A1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3" name="x_Picture 1" descr="Description: cid:image001.png@01D03949.49457930">
          <a:extLst>
            <a:ext uri="{FF2B5EF4-FFF2-40B4-BE49-F238E27FC236}">
              <a16:creationId xmlns:a16="http://schemas.microsoft.com/office/drawing/2014/main" id="{B9DA3D17-A9BF-41FC-9794-774C74C1A1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4" name="x_Picture 1" descr="Description: cid:image001.png@01D03949.49457930">
          <a:extLst>
            <a:ext uri="{FF2B5EF4-FFF2-40B4-BE49-F238E27FC236}">
              <a16:creationId xmlns:a16="http://schemas.microsoft.com/office/drawing/2014/main" id="{E321310C-DFF6-424E-B7F5-87DF7EAF4F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5" name="x_Picture 1" descr="Description: cid:image001.png@01D03949.49457930">
          <a:extLst>
            <a:ext uri="{FF2B5EF4-FFF2-40B4-BE49-F238E27FC236}">
              <a16:creationId xmlns:a16="http://schemas.microsoft.com/office/drawing/2014/main" id="{E503C68A-A02D-4213-94B7-8F0E9FF1CC9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6" name="x_Picture 1" descr="Description: cid:image001.png@01D03949.49457930">
          <a:extLst>
            <a:ext uri="{FF2B5EF4-FFF2-40B4-BE49-F238E27FC236}">
              <a16:creationId xmlns:a16="http://schemas.microsoft.com/office/drawing/2014/main" id="{4C99D2CA-DD7B-4634-B526-E51E0A4A3E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7" name="x_Picture 1" descr="Description: cid:image001.png@01D03949.49457930">
          <a:extLst>
            <a:ext uri="{FF2B5EF4-FFF2-40B4-BE49-F238E27FC236}">
              <a16:creationId xmlns:a16="http://schemas.microsoft.com/office/drawing/2014/main" id="{0FF7DAB9-1341-4D19-9D6B-1CEAB2D743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8" name="x_Picture 1" descr="Description: cid:image001.png@01D03949.49457930">
          <a:extLst>
            <a:ext uri="{FF2B5EF4-FFF2-40B4-BE49-F238E27FC236}">
              <a16:creationId xmlns:a16="http://schemas.microsoft.com/office/drawing/2014/main" id="{486D576A-190A-4C55-A263-F24B875588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69" name="x_Picture 1" descr="Description: cid:image001.png@01D03949.49457930">
          <a:extLst>
            <a:ext uri="{FF2B5EF4-FFF2-40B4-BE49-F238E27FC236}">
              <a16:creationId xmlns:a16="http://schemas.microsoft.com/office/drawing/2014/main" id="{9E779B85-D974-49E1-915A-0B970ACABA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0" name="x_Picture 1" descr="Description: cid:image001.png@01D03949.49457930">
          <a:extLst>
            <a:ext uri="{FF2B5EF4-FFF2-40B4-BE49-F238E27FC236}">
              <a16:creationId xmlns:a16="http://schemas.microsoft.com/office/drawing/2014/main" id="{44D1AFB1-7164-4F91-8464-B441D099AE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1" name="x_Picture 1" descr="Description: cid:image001.png@01D03949.49457930">
          <a:extLst>
            <a:ext uri="{FF2B5EF4-FFF2-40B4-BE49-F238E27FC236}">
              <a16:creationId xmlns:a16="http://schemas.microsoft.com/office/drawing/2014/main" id="{7A276992-58BF-4472-90E5-AA7133C8F0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2" name="x_Picture 1" descr="Description: cid:image001.png@01D03949.49457930">
          <a:extLst>
            <a:ext uri="{FF2B5EF4-FFF2-40B4-BE49-F238E27FC236}">
              <a16:creationId xmlns:a16="http://schemas.microsoft.com/office/drawing/2014/main" id="{512CE8AA-2B76-48D9-9A5B-FED37D9DC0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3" name="x_Picture 1" descr="Description: cid:image001.png@01D03949.49457930">
          <a:extLst>
            <a:ext uri="{FF2B5EF4-FFF2-40B4-BE49-F238E27FC236}">
              <a16:creationId xmlns:a16="http://schemas.microsoft.com/office/drawing/2014/main" id="{68DC144C-A503-4F45-A400-A87484CB73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4" name="x_Picture 1" descr="Description: cid:image001.png@01D03949.49457930">
          <a:extLst>
            <a:ext uri="{FF2B5EF4-FFF2-40B4-BE49-F238E27FC236}">
              <a16:creationId xmlns:a16="http://schemas.microsoft.com/office/drawing/2014/main" id="{00C0E856-CCE5-45C7-8B1C-6D07703D57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5" name="x_Picture 1" descr="Description: cid:image001.png@01D03949.49457930">
          <a:extLst>
            <a:ext uri="{FF2B5EF4-FFF2-40B4-BE49-F238E27FC236}">
              <a16:creationId xmlns:a16="http://schemas.microsoft.com/office/drawing/2014/main" id="{150BEEE6-84EE-4414-8241-D8C7BB9A16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6" name="x_Picture 1" descr="Description: cid:image001.png@01D03949.49457930">
          <a:extLst>
            <a:ext uri="{FF2B5EF4-FFF2-40B4-BE49-F238E27FC236}">
              <a16:creationId xmlns:a16="http://schemas.microsoft.com/office/drawing/2014/main" id="{B17BFF09-C534-4515-8BBB-E6447C580C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7" name="x_Picture 1" descr="Description: cid:image001.png@01D03949.49457930">
          <a:extLst>
            <a:ext uri="{FF2B5EF4-FFF2-40B4-BE49-F238E27FC236}">
              <a16:creationId xmlns:a16="http://schemas.microsoft.com/office/drawing/2014/main" id="{86A182C4-A4EB-4462-BDA6-B7AC35E0B1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8" name="x_Picture 1" descr="Description: cid:image001.png@01D03949.49457930">
          <a:extLst>
            <a:ext uri="{FF2B5EF4-FFF2-40B4-BE49-F238E27FC236}">
              <a16:creationId xmlns:a16="http://schemas.microsoft.com/office/drawing/2014/main" id="{5B905BA7-1B6D-4BCC-9FD1-6EA20FC54B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79" name="x_Picture 1" descr="Description: cid:image001.png@01D03949.49457930">
          <a:extLst>
            <a:ext uri="{FF2B5EF4-FFF2-40B4-BE49-F238E27FC236}">
              <a16:creationId xmlns:a16="http://schemas.microsoft.com/office/drawing/2014/main" id="{55C22CDD-3627-4F33-8DEE-AFD9B26FAB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0" name="x_Picture 1" descr="Description: cid:image001.png@01D03949.49457930">
          <a:extLst>
            <a:ext uri="{FF2B5EF4-FFF2-40B4-BE49-F238E27FC236}">
              <a16:creationId xmlns:a16="http://schemas.microsoft.com/office/drawing/2014/main" id="{FD1A0B28-EC47-4293-8CC2-C1FC0D3C6C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1" name="x_Picture 1" descr="Description: cid:image001.png@01D03949.49457930">
          <a:extLst>
            <a:ext uri="{FF2B5EF4-FFF2-40B4-BE49-F238E27FC236}">
              <a16:creationId xmlns:a16="http://schemas.microsoft.com/office/drawing/2014/main" id="{F0072992-C34B-4318-A80A-63F0751A26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2" name="x_Picture 1" descr="Description: cid:image001.png@01D03949.49457930">
          <a:extLst>
            <a:ext uri="{FF2B5EF4-FFF2-40B4-BE49-F238E27FC236}">
              <a16:creationId xmlns:a16="http://schemas.microsoft.com/office/drawing/2014/main" id="{3E221228-2D9F-4161-B7C8-748E9A61D1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3" name="x_Picture 1" descr="Description: cid:image001.png@01D03949.49457930">
          <a:extLst>
            <a:ext uri="{FF2B5EF4-FFF2-40B4-BE49-F238E27FC236}">
              <a16:creationId xmlns:a16="http://schemas.microsoft.com/office/drawing/2014/main" id="{2C9E0E7B-EE0A-48C5-8DA1-AE257C1FE6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4" name="x_Picture 1" descr="Description: cid:image001.png@01D03949.49457930">
          <a:extLst>
            <a:ext uri="{FF2B5EF4-FFF2-40B4-BE49-F238E27FC236}">
              <a16:creationId xmlns:a16="http://schemas.microsoft.com/office/drawing/2014/main" id="{843A153F-79EA-424F-937A-4485E53AAF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5" name="x_Picture 1" descr="Description: cid:image001.png@01D03949.49457930">
          <a:extLst>
            <a:ext uri="{FF2B5EF4-FFF2-40B4-BE49-F238E27FC236}">
              <a16:creationId xmlns:a16="http://schemas.microsoft.com/office/drawing/2014/main" id="{E900ED92-BA14-41BF-A39E-BE4E5AF44A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6" name="x_Picture 1" descr="Description: cid:image001.png@01D03949.49457930">
          <a:extLst>
            <a:ext uri="{FF2B5EF4-FFF2-40B4-BE49-F238E27FC236}">
              <a16:creationId xmlns:a16="http://schemas.microsoft.com/office/drawing/2014/main" id="{70F8DB16-C76A-4A64-8373-E9D858E100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7" name="x_Picture 1" descr="Description: cid:image001.png@01D03949.49457930">
          <a:extLst>
            <a:ext uri="{FF2B5EF4-FFF2-40B4-BE49-F238E27FC236}">
              <a16:creationId xmlns:a16="http://schemas.microsoft.com/office/drawing/2014/main" id="{204A0892-1638-4BB8-BBD3-BDC45F21DE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8" name="x_Picture 1" descr="Description: cid:image001.png@01D03949.49457930">
          <a:extLst>
            <a:ext uri="{FF2B5EF4-FFF2-40B4-BE49-F238E27FC236}">
              <a16:creationId xmlns:a16="http://schemas.microsoft.com/office/drawing/2014/main" id="{94AC26C6-1078-4C15-9AE6-4B26ACFF0A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89" name="x_Picture 1" descr="Description: cid:image001.png@01D03949.49457930">
          <a:extLst>
            <a:ext uri="{FF2B5EF4-FFF2-40B4-BE49-F238E27FC236}">
              <a16:creationId xmlns:a16="http://schemas.microsoft.com/office/drawing/2014/main" id="{4B673F3D-66A7-4F20-A8DD-C9E2D2697B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0" name="x_Picture 1" descr="Description: cid:image001.png@01D03949.49457930">
          <a:extLst>
            <a:ext uri="{FF2B5EF4-FFF2-40B4-BE49-F238E27FC236}">
              <a16:creationId xmlns:a16="http://schemas.microsoft.com/office/drawing/2014/main" id="{656D29F9-0B28-48EA-89CA-4EC226B8465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1" name="x_Picture 1" descr="Description: cid:image001.png@01D03949.49457930">
          <a:extLst>
            <a:ext uri="{FF2B5EF4-FFF2-40B4-BE49-F238E27FC236}">
              <a16:creationId xmlns:a16="http://schemas.microsoft.com/office/drawing/2014/main" id="{280DE7AF-C8E2-4B3C-9D47-5BBF9CE688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2" name="x_Picture 1" descr="Description: cid:image001.png@01D03949.49457930">
          <a:extLst>
            <a:ext uri="{FF2B5EF4-FFF2-40B4-BE49-F238E27FC236}">
              <a16:creationId xmlns:a16="http://schemas.microsoft.com/office/drawing/2014/main" id="{40A1DC93-5BDF-42F9-9A9E-91151051A9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3" name="x_Picture 1" descr="Description: cid:image001.png@01D03949.49457930">
          <a:extLst>
            <a:ext uri="{FF2B5EF4-FFF2-40B4-BE49-F238E27FC236}">
              <a16:creationId xmlns:a16="http://schemas.microsoft.com/office/drawing/2014/main" id="{3878051D-A5A0-4394-B561-840E9C589D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4" name="x_Picture 1" descr="Description: cid:image001.png@01D03949.49457930">
          <a:extLst>
            <a:ext uri="{FF2B5EF4-FFF2-40B4-BE49-F238E27FC236}">
              <a16:creationId xmlns:a16="http://schemas.microsoft.com/office/drawing/2014/main" id="{753EF2C3-A5D9-4D5E-B3B4-6CC7B3D418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5" name="x_Picture 1" descr="Description: cid:image001.png@01D03949.49457930">
          <a:extLst>
            <a:ext uri="{FF2B5EF4-FFF2-40B4-BE49-F238E27FC236}">
              <a16:creationId xmlns:a16="http://schemas.microsoft.com/office/drawing/2014/main" id="{16657A33-ED60-4930-82A2-DB0FE2A729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6" name="x_Picture 1" descr="Description: cid:image001.png@01D03949.49457930">
          <a:extLst>
            <a:ext uri="{FF2B5EF4-FFF2-40B4-BE49-F238E27FC236}">
              <a16:creationId xmlns:a16="http://schemas.microsoft.com/office/drawing/2014/main" id="{5DF679C6-D0EF-4B4C-92C9-BF5F7C4ACC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7" name="x_Picture 1" descr="Description: cid:image001.png@01D03949.49457930">
          <a:extLst>
            <a:ext uri="{FF2B5EF4-FFF2-40B4-BE49-F238E27FC236}">
              <a16:creationId xmlns:a16="http://schemas.microsoft.com/office/drawing/2014/main" id="{27312AAF-5848-4083-85BB-AAA8EA1FA5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8" name="x_Picture 1" descr="Description: cid:image001.png@01D03949.49457930">
          <a:extLst>
            <a:ext uri="{FF2B5EF4-FFF2-40B4-BE49-F238E27FC236}">
              <a16:creationId xmlns:a16="http://schemas.microsoft.com/office/drawing/2014/main" id="{77B131CC-EAFB-4133-916C-98A2A3B99A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199" name="x_Picture 1" descr="Description: cid:image001.png@01D03949.49457930">
          <a:extLst>
            <a:ext uri="{FF2B5EF4-FFF2-40B4-BE49-F238E27FC236}">
              <a16:creationId xmlns:a16="http://schemas.microsoft.com/office/drawing/2014/main" id="{C26F6177-87C1-40FF-96DA-8ACC32170F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0" name="x_Picture 1" descr="Description: cid:image001.png@01D03949.49457930">
          <a:extLst>
            <a:ext uri="{FF2B5EF4-FFF2-40B4-BE49-F238E27FC236}">
              <a16:creationId xmlns:a16="http://schemas.microsoft.com/office/drawing/2014/main" id="{4BA54586-5E36-4A88-A95D-2F93B79660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1" name="x_Picture 1" descr="Description: cid:image001.png@01D03949.49457930">
          <a:extLst>
            <a:ext uri="{FF2B5EF4-FFF2-40B4-BE49-F238E27FC236}">
              <a16:creationId xmlns:a16="http://schemas.microsoft.com/office/drawing/2014/main" id="{52AE9936-78E8-4BA8-B937-6C43F44805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2" name="x_Picture 1" descr="Description: cid:image001.png@01D03949.49457930">
          <a:extLst>
            <a:ext uri="{FF2B5EF4-FFF2-40B4-BE49-F238E27FC236}">
              <a16:creationId xmlns:a16="http://schemas.microsoft.com/office/drawing/2014/main" id="{62B9D367-58D4-473D-BA34-DA33C36BA1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3" name="x_Picture 1" descr="Description: cid:image001.png@01D03949.49457930">
          <a:extLst>
            <a:ext uri="{FF2B5EF4-FFF2-40B4-BE49-F238E27FC236}">
              <a16:creationId xmlns:a16="http://schemas.microsoft.com/office/drawing/2014/main" id="{3D9B52F2-C348-4E67-B3BC-5C1EEA089C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4" name="x_Picture 1" descr="Description: cid:image001.png@01D03949.49457930">
          <a:extLst>
            <a:ext uri="{FF2B5EF4-FFF2-40B4-BE49-F238E27FC236}">
              <a16:creationId xmlns:a16="http://schemas.microsoft.com/office/drawing/2014/main" id="{578C26D2-B6C3-4647-BBDC-9AE4B1A433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5" name="x_Picture 1" descr="Description: cid:image001.png@01D03949.49457930">
          <a:extLst>
            <a:ext uri="{FF2B5EF4-FFF2-40B4-BE49-F238E27FC236}">
              <a16:creationId xmlns:a16="http://schemas.microsoft.com/office/drawing/2014/main" id="{442C1E75-03EF-495B-8C8B-CC226E1BA4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6" name="x_Picture 1" descr="Description: cid:image001.png@01D03949.49457930">
          <a:extLst>
            <a:ext uri="{FF2B5EF4-FFF2-40B4-BE49-F238E27FC236}">
              <a16:creationId xmlns:a16="http://schemas.microsoft.com/office/drawing/2014/main" id="{0F032AC7-70BF-4A9A-916D-8C1C23AF3D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7" name="x_Picture 1" descr="Description: cid:image001.png@01D03949.49457930">
          <a:extLst>
            <a:ext uri="{FF2B5EF4-FFF2-40B4-BE49-F238E27FC236}">
              <a16:creationId xmlns:a16="http://schemas.microsoft.com/office/drawing/2014/main" id="{5A94454D-6153-489A-91EC-B42D37E845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8" name="x_Picture 1" descr="Description: cid:image001.png@01D03949.49457930">
          <a:extLst>
            <a:ext uri="{FF2B5EF4-FFF2-40B4-BE49-F238E27FC236}">
              <a16:creationId xmlns:a16="http://schemas.microsoft.com/office/drawing/2014/main" id="{8BDF5190-93F8-4BCF-8A12-E7D75F8E47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09" name="x_Picture 1" descr="Description: cid:image001.png@01D03949.49457930">
          <a:extLst>
            <a:ext uri="{FF2B5EF4-FFF2-40B4-BE49-F238E27FC236}">
              <a16:creationId xmlns:a16="http://schemas.microsoft.com/office/drawing/2014/main" id="{0E5C1833-7A75-4FF3-9949-03A69D746B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0" name="x_Picture 1" descr="Description: cid:image001.png@01D03949.49457930">
          <a:extLst>
            <a:ext uri="{FF2B5EF4-FFF2-40B4-BE49-F238E27FC236}">
              <a16:creationId xmlns:a16="http://schemas.microsoft.com/office/drawing/2014/main" id="{C37955D0-92FC-4FB5-AE48-51B3FDF81B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1" name="x_Picture 1" descr="Description: cid:image001.png@01D03949.49457930">
          <a:extLst>
            <a:ext uri="{FF2B5EF4-FFF2-40B4-BE49-F238E27FC236}">
              <a16:creationId xmlns:a16="http://schemas.microsoft.com/office/drawing/2014/main" id="{534EC01F-9B70-41D2-96D3-205EEC985D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2" name="x_Picture 1" descr="Description: cid:image001.png@01D03949.49457930">
          <a:extLst>
            <a:ext uri="{FF2B5EF4-FFF2-40B4-BE49-F238E27FC236}">
              <a16:creationId xmlns:a16="http://schemas.microsoft.com/office/drawing/2014/main" id="{0E3209CF-5926-4CD2-A7CD-6B6657BB15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3" name="x_Picture 1" descr="Description: cid:image001.png@01D03949.49457930">
          <a:extLst>
            <a:ext uri="{FF2B5EF4-FFF2-40B4-BE49-F238E27FC236}">
              <a16:creationId xmlns:a16="http://schemas.microsoft.com/office/drawing/2014/main" id="{1454C9BA-3C40-4F68-A5A3-FB980D5CB6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4" name="x_Picture 1" descr="Description: cid:image001.png@01D03949.49457930">
          <a:extLst>
            <a:ext uri="{FF2B5EF4-FFF2-40B4-BE49-F238E27FC236}">
              <a16:creationId xmlns:a16="http://schemas.microsoft.com/office/drawing/2014/main" id="{59E643FD-8B22-485D-BDFA-F296730892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5" name="x_Picture 1" descr="Description: cid:image001.png@01D03949.49457930">
          <a:extLst>
            <a:ext uri="{FF2B5EF4-FFF2-40B4-BE49-F238E27FC236}">
              <a16:creationId xmlns:a16="http://schemas.microsoft.com/office/drawing/2014/main" id="{427DAC53-FB05-4CEF-9CBC-FEB4CDCD82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6" name="x_Picture 1" descr="Description: cid:image001.png@01D03949.49457930">
          <a:extLst>
            <a:ext uri="{FF2B5EF4-FFF2-40B4-BE49-F238E27FC236}">
              <a16:creationId xmlns:a16="http://schemas.microsoft.com/office/drawing/2014/main" id="{53C6CB1A-D507-4E1C-8558-1F7260D1CC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7" name="x_Picture 1" descr="Description: cid:image001.png@01D03949.49457930">
          <a:extLst>
            <a:ext uri="{FF2B5EF4-FFF2-40B4-BE49-F238E27FC236}">
              <a16:creationId xmlns:a16="http://schemas.microsoft.com/office/drawing/2014/main" id="{0F146C82-C94D-4DF2-A03B-5507A886BB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8" name="x_Picture 1" descr="Description: cid:image001.png@01D03949.49457930">
          <a:extLst>
            <a:ext uri="{FF2B5EF4-FFF2-40B4-BE49-F238E27FC236}">
              <a16:creationId xmlns:a16="http://schemas.microsoft.com/office/drawing/2014/main" id="{D6A88915-AFAA-484F-9B3F-FBFC989BDF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19" name="x_Picture 1" descr="Description: cid:image001.png@01D03949.49457930">
          <a:extLst>
            <a:ext uri="{FF2B5EF4-FFF2-40B4-BE49-F238E27FC236}">
              <a16:creationId xmlns:a16="http://schemas.microsoft.com/office/drawing/2014/main" id="{13077BBB-6EAB-4F6E-ADF3-EF86782B29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0" name="x_Picture 1" descr="Description: cid:image001.png@01D03949.49457930">
          <a:extLst>
            <a:ext uri="{FF2B5EF4-FFF2-40B4-BE49-F238E27FC236}">
              <a16:creationId xmlns:a16="http://schemas.microsoft.com/office/drawing/2014/main" id="{02915D83-518C-4506-BF65-CECF6FC97A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1" name="x_Picture 1" descr="Description: cid:image001.png@01D03949.49457930">
          <a:extLst>
            <a:ext uri="{FF2B5EF4-FFF2-40B4-BE49-F238E27FC236}">
              <a16:creationId xmlns:a16="http://schemas.microsoft.com/office/drawing/2014/main" id="{D482997B-01B5-48D2-9990-1EC87EF7D6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2" name="x_Picture 1" descr="Description: cid:image001.png@01D03949.49457930">
          <a:extLst>
            <a:ext uri="{FF2B5EF4-FFF2-40B4-BE49-F238E27FC236}">
              <a16:creationId xmlns:a16="http://schemas.microsoft.com/office/drawing/2014/main" id="{F534C480-8211-4B9C-80D4-C7BC2B5A1E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3" name="x_Picture 1" descr="Description: cid:image001.png@01D03949.49457930">
          <a:extLst>
            <a:ext uri="{FF2B5EF4-FFF2-40B4-BE49-F238E27FC236}">
              <a16:creationId xmlns:a16="http://schemas.microsoft.com/office/drawing/2014/main" id="{604316A2-8BC6-4C33-9442-5563558F51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4" name="x_Picture 1" descr="Description: cid:image001.png@01D03949.49457930">
          <a:extLst>
            <a:ext uri="{FF2B5EF4-FFF2-40B4-BE49-F238E27FC236}">
              <a16:creationId xmlns:a16="http://schemas.microsoft.com/office/drawing/2014/main" id="{32259A6D-8458-4EAC-8EF7-6188272E37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5" name="x_Picture 1" descr="Description: cid:image001.png@01D03949.49457930">
          <a:extLst>
            <a:ext uri="{FF2B5EF4-FFF2-40B4-BE49-F238E27FC236}">
              <a16:creationId xmlns:a16="http://schemas.microsoft.com/office/drawing/2014/main" id="{C32B92FF-3B1A-4704-9978-2A2129E539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6" name="x_Picture 1" descr="Description: cid:image001.png@01D03949.49457930">
          <a:extLst>
            <a:ext uri="{FF2B5EF4-FFF2-40B4-BE49-F238E27FC236}">
              <a16:creationId xmlns:a16="http://schemas.microsoft.com/office/drawing/2014/main" id="{36AB862D-246B-449A-8F4E-60B046D151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7" name="x_Picture 1" descr="Description: cid:image001.png@01D03949.49457930">
          <a:extLst>
            <a:ext uri="{FF2B5EF4-FFF2-40B4-BE49-F238E27FC236}">
              <a16:creationId xmlns:a16="http://schemas.microsoft.com/office/drawing/2014/main" id="{B518517C-955B-4AFC-9A03-3783555688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8" name="x_Picture 1" descr="Description: cid:image001.png@01D03949.49457930">
          <a:extLst>
            <a:ext uri="{FF2B5EF4-FFF2-40B4-BE49-F238E27FC236}">
              <a16:creationId xmlns:a16="http://schemas.microsoft.com/office/drawing/2014/main" id="{2E07B63B-B9C1-444C-8150-7439302790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29" name="x_Picture 1" descr="Description: cid:image001.png@01D03949.49457930">
          <a:extLst>
            <a:ext uri="{FF2B5EF4-FFF2-40B4-BE49-F238E27FC236}">
              <a16:creationId xmlns:a16="http://schemas.microsoft.com/office/drawing/2014/main" id="{77598B15-2EAD-4513-BE37-520B047D31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0" name="x_Picture 1" descr="Description: cid:image001.png@01D03949.49457930">
          <a:extLst>
            <a:ext uri="{FF2B5EF4-FFF2-40B4-BE49-F238E27FC236}">
              <a16:creationId xmlns:a16="http://schemas.microsoft.com/office/drawing/2014/main" id="{F23793E3-C3DA-48CB-8065-1856450A47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1" name="x_Picture 1" descr="Description: cid:image001.png@01D03949.49457930">
          <a:extLst>
            <a:ext uri="{FF2B5EF4-FFF2-40B4-BE49-F238E27FC236}">
              <a16:creationId xmlns:a16="http://schemas.microsoft.com/office/drawing/2014/main" id="{17AFDAE1-700E-4992-891B-BEBF52B1D2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2" name="x_Picture 1" descr="Description: cid:image001.png@01D03949.49457930">
          <a:extLst>
            <a:ext uri="{FF2B5EF4-FFF2-40B4-BE49-F238E27FC236}">
              <a16:creationId xmlns:a16="http://schemas.microsoft.com/office/drawing/2014/main" id="{AB70714B-1778-4349-B566-4CDCCA2859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3" name="x_Picture 1" descr="Description: cid:image001.png@01D03949.49457930">
          <a:extLst>
            <a:ext uri="{FF2B5EF4-FFF2-40B4-BE49-F238E27FC236}">
              <a16:creationId xmlns:a16="http://schemas.microsoft.com/office/drawing/2014/main" id="{9927C726-0889-42F3-9E14-A503B11682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4" name="x_Picture 1" descr="Description: cid:image001.png@01D03949.49457930">
          <a:extLst>
            <a:ext uri="{FF2B5EF4-FFF2-40B4-BE49-F238E27FC236}">
              <a16:creationId xmlns:a16="http://schemas.microsoft.com/office/drawing/2014/main" id="{9F6E56C0-A9E6-44F4-969F-5FF2EC19FDA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5" name="x_Picture 1" descr="Description: cid:image001.png@01D03949.49457930">
          <a:extLst>
            <a:ext uri="{FF2B5EF4-FFF2-40B4-BE49-F238E27FC236}">
              <a16:creationId xmlns:a16="http://schemas.microsoft.com/office/drawing/2014/main" id="{41B84EC7-A339-4274-8314-A939A8922A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6" name="x_Picture 1" descr="Description: cid:image001.png@01D03949.49457930">
          <a:extLst>
            <a:ext uri="{FF2B5EF4-FFF2-40B4-BE49-F238E27FC236}">
              <a16:creationId xmlns:a16="http://schemas.microsoft.com/office/drawing/2014/main" id="{0E90C406-4B7F-4AB7-B2E2-5425EF3B0C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7" name="x_Picture 1" descr="Description: cid:image001.png@01D03949.49457930">
          <a:extLst>
            <a:ext uri="{FF2B5EF4-FFF2-40B4-BE49-F238E27FC236}">
              <a16:creationId xmlns:a16="http://schemas.microsoft.com/office/drawing/2014/main" id="{D4118EAA-0A2D-41A0-BB93-39B6DC147D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8" name="x_Picture 1" descr="Description: cid:image001.png@01D03949.49457930">
          <a:extLst>
            <a:ext uri="{FF2B5EF4-FFF2-40B4-BE49-F238E27FC236}">
              <a16:creationId xmlns:a16="http://schemas.microsoft.com/office/drawing/2014/main" id="{77B2B23A-C197-4861-9941-5C87A534FC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39" name="x_Picture 1" descr="Description: cid:image001.png@01D03949.49457930">
          <a:extLst>
            <a:ext uri="{FF2B5EF4-FFF2-40B4-BE49-F238E27FC236}">
              <a16:creationId xmlns:a16="http://schemas.microsoft.com/office/drawing/2014/main" id="{10AC20AF-DDDC-4DE5-8ACB-268B6BB1DC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0" name="x_Picture 1" descr="Description: cid:image001.png@01D03949.49457930">
          <a:extLst>
            <a:ext uri="{FF2B5EF4-FFF2-40B4-BE49-F238E27FC236}">
              <a16:creationId xmlns:a16="http://schemas.microsoft.com/office/drawing/2014/main" id="{78DA80C1-7AF4-46B7-AD2C-3B96B96482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1" name="x_Picture 1" descr="Description: cid:image001.png@01D03949.49457930">
          <a:extLst>
            <a:ext uri="{FF2B5EF4-FFF2-40B4-BE49-F238E27FC236}">
              <a16:creationId xmlns:a16="http://schemas.microsoft.com/office/drawing/2014/main" id="{1CFDAF8C-0B4D-4271-A805-D43D63CA40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2" name="x_Picture 1" descr="Description: cid:image001.png@01D03949.49457930">
          <a:extLst>
            <a:ext uri="{FF2B5EF4-FFF2-40B4-BE49-F238E27FC236}">
              <a16:creationId xmlns:a16="http://schemas.microsoft.com/office/drawing/2014/main" id="{8D773AB0-8A04-4F7A-BEC3-64C1434ACE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3" name="x_Picture 1" descr="Description: cid:image001.png@01D03949.49457930">
          <a:extLst>
            <a:ext uri="{FF2B5EF4-FFF2-40B4-BE49-F238E27FC236}">
              <a16:creationId xmlns:a16="http://schemas.microsoft.com/office/drawing/2014/main" id="{BF754662-6397-4A18-8F2E-5FF7873525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4" name="x_Picture 1" descr="Description: cid:image001.png@01D03949.49457930">
          <a:extLst>
            <a:ext uri="{FF2B5EF4-FFF2-40B4-BE49-F238E27FC236}">
              <a16:creationId xmlns:a16="http://schemas.microsoft.com/office/drawing/2014/main" id="{2463DA50-ED89-44AE-A25E-D2C1CCCB55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5" name="x_Picture 1" descr="Description: cid:image001.png@01D03949.49457930">
          <a:extLst>
            <a:ext uri="{FF2B5EF4-FFF2-40B4-BE49-F238E27FC236}">
              <a16:creationId xmlns:a16="http://schemas.microsoft.com/office/drawing/2014/main" id="{A972AB46-EA4C-4F1B-8F7D-F247EF530D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6" name="x_Picture 1" descr="Description: cid:image001.png@01D03949.49457930">
          <a:extLst>
            <a:ext uri="{FF2B5EF4-FFF2-40B4-BE49-F238E27FC236}">
              <a16:creationId xmlns:a16="http://schemas.microsoft.com/office/drawing/2014/main" id="{C8106E54-BFA4-4434-8BFF-D7A4933A75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7" name="x_Picture 1" descr="Description: cid:image001.png@01D03949.49457930">
          <a:extLst>
            <a:ext uri="{FF2B5EF4-FFF2-40B4-BE49-F238E27FC236}">
              <a16:creationId xmlns:a16="http://schemas.microsoft.com/office/drawing/2014/main" id="{80113745-CD39-462C-A719-B6306DE3B6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8" name="x_Picture 1" descr="Description: cid:image001.png@01D03949.49457930">
          <a:extLst>
            <a:ext uri="{FF2B5EF4-FFF2-40B4-BE49-F238E27FC236}">
              <a16:creationId xmlns:a16="http://schemas.microsoft.com/office/drawing/2014/main" id="{AC7DEBB0-A088-4F79-B9FA-32798C3E4C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49" name="x_Picture 1" descr="Description: cid:image001.png@01D03949.49457930">
          <a:extLst>
            <a:ext uri="{FF2B5EF4-FFF2-40B4-BE49-F238E27FC236}">
              <a16:creationId xmlns:a16="http://schemas.microsoft.com/office/drawing/2014/main" id="{BF28E619-0422-4357-86E1-117A379D06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0" name="x_Picture 1" descr="Description: cid:image001.png@01D03949.49457930">
          <a:extLst>
            <a:ext uri="{FF2B5EF4-FFF2-40B4-BE49-F238E27FC236}">
              <a16:creationId xmlns:a16="http://schemas.microsoft.com/office/drawing/2014/main" id="{29DFFCF9-E84E-4BD1-A65E-84A62104AE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1" name="x_Picture 1" descr="Description: cid:image001.png@01D03949.49457930">
          <a:extLst>
            <a:ext uri="{FF2B5EF4-FFF2-40B4-BE49-F238E27FC236}">
              <a16:creationId xmlns:a16="http://schemas.microsoft.com/office/drawing/2014/main" id="{8718DF4F-4030-42D1-A7D6-7D14413B23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2" name="x_Picture 1" descr="Description: cid:image001.png@01D03949.49457930">
          <a:extLst>
            <a:ext uri="{FF2B5EF4-FFF2-40B4-BE49-F238E27FC236}">
              <a16:creationId xmlns:a16="http://schemas.microsoft.com/office/drawing/2014/main" id="{83AAA943-E00E-49D3-B4EB-451E572B86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3" name="x_Picture 1" descr="Description: cid:image001.png@01D03949.49457930">
          <a:extLst>
            <a:ext uri="{FF2B5EF4-FFF2-40B4-BE49-F238E27FC236}">
              <a16:creationId xmlns:a16="http://schemas.microsoft.com/office/drawing/2014/main" id="{560BC1E9-73A2-46AE-AD26-0C0E3B92BB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4" name="x_Picture 1" descr="Description: cid:image001.png@01D03949.49457930">
          <a:extLst>
            <a:ext uri="{FF2B5EF4-FFF2-40B4-BE49-F238E27FC236}">
              <a16:creationId xmlns:a16="http://schemas.microsoft.com/office/drawing/2014/main" id="{937049E8-88D6-4CB1-B7D7-4182AA495A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5" name="x_Picture 1" descr="Description: cid:image001.png@01D03949.49457930">
          <a:extLst>
            <a:ext uri="{FF2B5EF4-FFF2-40B4-BE49-F238E27FC236}">
              <a16:creationId xmlns:a16="http://schemas.microsoft.com/office/drawing/2014/main" id="{A1B5FE0C-5B04-4E64-83B4-20AC9DAB1E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6" name="x_Picture 1" descr="Description: cid:image001.png@01D03949.49457930">
          <a:extLst>
            <a:ext uri="{FF2B5EF4-FFF2-40B4-BE49-F238E27FC236}">
              <a16:creationId xmlns:a16="http://schemas.microsoft.com/office/drawing/2014/main" id="{589000F0-BCB3-45C2-AFC4-1A1BF968AC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7" name="x_Picture 1" descr="Description: cid:image001.png@01D03949.49457930">
          <a:extLst>
            <a:ext uri="{FF2B5EF4-FFF2-40B4-BE49-F238E27FC236}">
              <a16:creationId xmlns:a16="http://schemas.microsoft.com/office/drawing/2014/main" id="{2CE3B289-1B32-4604-88CD-5E2C624947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8" name="x_Picture 1" descr="Description: cid:image001.png@01D03949.49457930">
          <a:extLst>
            <a:ext uri="{FF2B5EF4-FFF2-40B4-BE49-F238E27FC236}">
              <a16:creationId xmlns:a16="http://schemas.microsoft.com/office/drawing/2014/main" id="{3752AF6F-2058-4543-B2CB-D773D1D80A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59" name="x_Picture 1" descr="Description: cid:image001.png@01D03949.49457930">
          <a:extLst>
            <a:ext uri="{FF2B5EF4-FFF2-40B4-BE49-F238E27FC236}">
              <a16:creationId xmlns:a16="http://schemas.microsoft.com/office/drawing/2014/main" id="{7026EEC0-79CA-4F48-9562-62CAA0F000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0" name="x_Picture 1" descr="Description: cid:image001.png@01D03949.49457930">
          <a:extLst>
            <a:ext uri="{FF2B5EF4-FFF2-40B4-BE49-F238E27FC236}">
              <a16:creationId xmlns:a16="http://schemas.microsoft.com/office/drawing/2014/main" id="{D2D787DF-1464-4ECB-8925-18DAFDCF1F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1" name="x_Picture 1" descr="Description: cid:image001.png@01D03949.49457930">
          <a:extLst>
            <a:ext uri="{FF2B5EF4-FFF2-40B4-BE49-F238E27FC236}">
              <a16:creationId xmlns:a16="http://schemas.microsoft.com/office/drawing/2014/main" id="{7BB83994-D552-4F4E-A29E-498210C388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2" name="x_Picture 1" descr="Description: cid:image001.png@01D03949.49457930">
          <a:extLst>
            <a:ext uri="{FF2B5EF4-FFF2-40B4-BE49-F238E27FC236}">
              <a16:creationId xmlns:a16="http://schemas.microsoft.com/office/drawing/2014/main" id="{2B4517E0-4E2B-474B-BA06-FBF88398EF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3" name="x_Picture 1" descr="Description: cid:image001.png@01D03949.49457930">
          <a:extLst>
            <a:ext uri="{FF2B5EF4-FFF2-40B4-BE49-F238E27FC236}">
              <a16:creationId xmlns:a16="http://schemas.microsoft.com/office/drawing/2014/main" id="{7626BE74-26E0-4F16-BAE6-D849A0A8FF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4" name="x_Picture 1" descr="Description: cid:image001.png@01D03949.49457930">
          <a:extLst>
            <a:ext uri="{FF2B5EF4-FFF2-40B4-BE49-F238E27FC236}">
              <a16:creationId xmlns:a16="http://schemas.microsoft.com/office/drawing/2014/main" id="{65857E8E-EEAB-4E86-BE72-116662C03F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5" name="x_Picture 1" descr="Description: cid:image001.png@01D03949.49457930">
          <a:extLst>
            <a:ext uri="{FF2B5EF4-FFF2-40B4-BE49-F238E27FC236}">
              <a16:creationId xmlns:a16="http://schemas.microsoft.com/office/drawing/2014/main" id="{739DE420-8212-426C-8429-A08A6EE5C5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6" name="x_Picture 1" descr="Description: cid:image001.png@01D03949.49457930">
          <a:extLst>
            <a:ext uri="{FF2B5EF4-FFF2-40B4-BE49-F238E27FC236}">
              <a16:creationId xmlns:a16="http://schemas.microsoft.com/office/drawing/2014/main" id="{5CF29C89-B7F6-4B82-BA53-6094D778A1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7" name="x_Picture 1" descr="Description: cid:image001.png@01D03949.49457930">
          <a:extLst>
            <a:ext uri="{FF2B5EF4-FFF2-40B4-BE49-F238E27FC236}">
              <a16:creationId xmlns:a16="http://schemas.microsoft.com/office/drawing/2014/main" id="{F019BB15-F168-4E59-BF7A-3D32315CE7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8" name="x_Picture 1" descr="Description: cid:image001.png@01D03949.49457930">
          <a:extLst>
            <a:ext uri="{FF2B5EF4-FFF2-40B4-BE49-F238E27FC236}">
              <a16:creationId xmlns:a16="http://schemas.microsoft.com/office/drawing/2014/main" id="{70E68C89-FA08-4BC1-B236-6678CE34E3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69" name="x_Picture 1" descr="Description: cid:image001.png@01D03949.49457930">
          <a:extLst>
            <a:ext uri="{FF2B5EF4-FFF2-40B4-BE49-F238E27FC236}">
              <a16:creationId xmlns:a16="http://schemas.microsoft.com/office/drawing/2014/main" id="{0571F5C0-FCC6-457D-89E9-80D21EE25E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0" name="x_Picture 1" descr="Description: cid:image001.png@01D03949.49457930">
          <a:extLst>
            <a:ext uri="{FF2B5EF4-FFF2-40B4-BE49-F238E27FC236}">
              <a16:creationId xmlns:a16="http://schemas.microsoft.com/office/drawing/2014/main" id="{5C3F89B9-3417-4F7B-BA3D-453065B0C1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1" name="x_Picture 1" descr="Description: cid:image001.png@01D03949.49457930">
          <a:extLst>
            <a:ext uri="{FF2B5EF4-FFF2-40B4-BE49-F238E27FC236}">
              <a16:creationId xmlns:a16="http://schemas.microsoft.com/office/drawing/2014/main" id="{81927523-0AB9-440B-8401-0E11FC751D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2" name="x_Picture 1" descr="Description: cid:image001.png@01D03949.49457930">
          <a:extLst>
            <a:ext uri="{FF2B5EF4-FFF2-40B4-BE49-F238E27FC236}">
              <a16:creationId xmlns:a16="http://schemas.microsoft.com/office/drawing/2014/main" id="{65194E18-587F-4DF2-8BC9-1C481084DA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3" name="x_Picture 1" descr="Description: cid:image001.png@01D03949.49457930">
          <a:extLst>
            <a:ext uri="{FF2B5EF4-FFF2-40B4-BE49-F238E27FC236}">
              <a16:creationId xmlns:a16="http://schemas.microsoft.com/office/drawing/2014/main" id="{4039BF12-6660-4F8A-8EFA-EB0169D2B4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4" name="x_Picture 1" descr="Description: cid:image001.png@01D03949.49457930">
          <a:extLst>
            <a:ext uri="{FF2B5EF4-FFF2-40B4-BE49-F238E27FC236}">
              <a16:creationId xmlns:a16="http://schemas.microsoft.com/office/drawing/2014/main" id="{2E45E75C-7173-47E3-9FD7-F5060A545C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5" name="x_Picture 1" descr="Description: cid:image001.png@01D03949.49457930">
          <a:extLst>
            <a:ext uri="{FF2B5EF4-FFF2-40B4-BE49-F238E27FC236}">
              <a16:creationId xmlns:a16="http://schemas.microsoft.com/office/drawing/2014/main" id="{35B66483-8C27-4B7E-8599-E103007EF9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6" name="x_Picture 1" descr="Description: cid:image001.png@01D03949.49457930">
          <a:extLst>
            <a:ext uri="{FF2B5EF4-FFF2-40B4-BE49-F238E27FC236}">
              <a16:creationId xmlns:a16="http://schemas.microsoft.com/office/drawing/2014/main" id="{3F18715A-D874-4B51-AC6F-A5AB062AAD9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7" name="x_Picture 1" descr="Description: cid:image001.png@01D03949.49457930">
          <a:extLst>
            <a:ext uri="{FF2B5EF4-FFF2-40B4-BE49-F238E27FC236}">
              <a16:creationId xmlns:a16="http://schemas.microsoft.com/office/drawing/2014/main" id="{F0C4D2FD-0E9F-436D-BA2B-169670BAFB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8" name="x_Picture 1" descr="Description: cid:image001.png@01D03949.49457930">
          <a:extLst>
            <a:ext uri="{FF2B5EF4-FFF2-40B4-BE49-F238E27FC236}">
              <a16:creationId xmlns:a16="http://schemas.microsoft.com/office/drawing/2014/main" id="{643B2364-1130-4613-8679-4D0A591B8D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79" name="x_Picture 1" descr="Description: cid:image001.png@01D03949.49457930">
          <a:extLst>
            <a:ext uri="{FF2B5EF4-FFF2-40B4-BE49-F238E27FC236}">
              <a16:creationId xmlns:a16="http://schemas.microsoft.com/office/drawing/2014/main" id="{48E56D3C-76D5-458E-8A0A-4A272A5F67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0" name="x_Picture 1" descr="Description: cid:image001.png@01D03949.49457930">
          <a:extLst>
            <a:ext uri="{FF2B5EF4-FFF2-40B4-BE49-F238E27FC236}">
              <a16:creationId xmlns:a16="http://schemas.microsoft.com/office/drawing/2014/main" id="{DAC7D39E-34A8-4F13-987A-D451E72047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1" name="x_Picture 1" descr="Description: cid:image001.png@01D03949.49457930">
          <a:extLst>
            <a:ext uri="{FF2B5EF4-FFF2-40B4-BE49-F238E27FC236}">
              <a16:creationId xmlns:a16="http://schemas.microsoft.com/office/drawing/2014/main" id="{1D33D3B6-1CE1-4E3D-9800-7A50AAACB3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2" name="x_Picture 1" descr="Description: cid:image001.png@01D03949.49457930">
          <a:extLst>
            <a:ext uri="{FF2B5EF4-FFF2-40B4-BE49-F238E27FC236}">
              <a16:creationId xmlns:a16="http://schemas.microsoft.com/office/drawing/2014/main" id="{1B104608-C1D7-41B2-BD04-7DE4BD0EC23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3" name="x_Picture 1" descr="Description: cid:image001.png@01D03949.49457930">
          <a:extLst>
            <a:ext uri="{FF2B5EF4-FFF2-40B4-BE49-F238E27FC236}">
              <a16:creationId xmlns:a16="http://schemas.microsoft.com/office/drawing/2014/main" id="{B2976F99-CA80-4B56-A180-E49DC87FD6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4" name="x_Picture 1" descr="Description: cid:image001.png@01D03949.49457930">
          <a:extLst>
            <a:ext uri="{FF2B5EF4-FFF2-40B4-BE49-F238E27FC236}">
              <a16:creationId xmlns:a16="http://schemas.microsoft.com/office/drawing/2014/main" id="{60BB6F87-413A-4B18-B8DF-10AAF20F993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5" name="x_Picture 1" descr="Description: cid:image001.png@01D03949.49457930">
          <a:extLst>
            <a:ext uri="{FF2B5EF4-FFF2-40B4-BE49-F238E27FC236}">
              <a16:creationId xmlns:a16="http://schemas.microsoft.com/office/drawing/2014/main" id="{50CF5A0B-01EA-41D3-9C8E-1249A2AE57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6" name="x_Picture 1" descr="Description: cid:image001.png@01D03949.49457930">
          <a:extLst>
            <a:ext uri="{FF2B5EF4-FFF2-40B4-BE49-F238E27FC236}">
              <a16:creationId xmlns:a16="http://schemas.microsoft.com/office/drawing/2014/main" id="{17917981-2393-4C43-B625-5FBF63ADEA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7" name="x_Picture 1" descr="Description: cid:image001.png@01D03949.49457930">
          <a:extLst>
            <a:ext uri="{FF2B5EF4-FFF2-40B4-BE49-F238E27FC236}">
              <a16:creationId xmlns:a16="http://schemas.microsoft.com/office/drawing/2014/main" id="{D0BDC1BF-427F-485B-932F-81E3327EEF1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8" name="x_Picture 1" descr="Description: cid:image001.png@01D03949.49457930">
          <a:extLst>
            <a:ext uri="{FF2B5EF4-FFF2-40B4-BE49-F238E27FC236}">
              <a16:creationId xmlns:a16="http://schemas.microsoft.com/office/drawing/2014/main" id="{E96DA744-1462-4224-B3E7-CC521A5DD7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89" name="x_Picture 1" descr="Description: cid:image001.png@01D03949.49457930">
          <a:extLst>
            <a:ext uri="{FF2B5EF4-FFF2-40B4-BE49-F238E27FC236}">
              <a16:creationId xmlns:a16="http://schemas.microsoft.com/office/drawing/2014/main" id="{A951A1DB-A483-4ED4-9038-A7E9E78990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0" name="x_Picture 1" descr="Description: cid:image001.png@01D03949.49457930">
          <a:extLst>
            <a:ext uri="{FF2B5EF4-FFF2-40B4-BE49-F238E27FC236}">
              <a16:creationId xmlns:a16="http://schemas.microsoft.com/office/drawing/2014/main" id="{665B923C-63DD-43A8-9E43-B9F3C21892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1" name="x_Picture 1" descr="Description: cid:image001.png@01D03949.49457930">
          <a:extLst>
            <a:ext uri="{FF2B5EF4-FFF2-40B4-BE49-F238E27FC236}">
              <a16:creationId xmlns:a16="http://schemas.microsoft.com/office/drawing/2014/main" id="{A4C20A04-2275-4E5D-A2A8-E829A2F719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2" name="x_Picture 1" descr="Description: cid:image001.png@01D03949.49457930">
          <a:extLst>
            <a:ext uri="{FF2B5EF4-FFF2-40B4-BE49-F238E27FC236}">
              <a16:creationId xmlns:a16="http://schemas.microsoft.com/office/drawing/2014/main" id="{1FAB58E6-9509-4169-B01E-9AF4E152E0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3" name="x_Picture 1" descr="Description: cid:image001.png@01D03949.49457930">
          <a:extLst>
            <a:ext uri="{FF2B5EF4-FFF2-40B4-BE49-F238E27FC236}">
              <a16:creationId xmlns:a16="http://schemas.microsoft.com/office/drawing/2014/main" id="{76C81D2D-C6CE-4779-BC37-2860D9FA32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4" name="x_Picture 1" descr="Description: cid:image001.png@01D03949.49457930">
          <a:extLst>
            <a:ext uri="{FF2B5EF4-FFF2-40B4-BE49-F238E27FC236}">
              <a16:creationId xmlns:a16="http://schemas.microsoft.com/office/drawing/2014/main" id="{65899849-6B1B-4CED-A539-1E624EE5E1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5" name="x_Picture 1" descr="Description: cid:image001.png@01D03949.49457930">
          <a:extLst>
            <a:ext uri="{FF2B5EF4-FFF2-40B4-BE49-F238E27FC236}">
              <a16:creationId xmlns:a16="http://schemas.microsoft.com/office/drawing/2014/main" id="{42BDA767-B48C-4169-AAC1-1909FDC97F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6" name="x_Picture 1" descr="Description: cid:image001.png@01D03949.49457930">
          <a:extLst>
            <a:ext uri="{FF2B5EF4-FFF2-40B4-BE49-F238E27FC236}">
              <a16:creationId xmlns:a16="http://schemas.microsoft.com/office/drawing/2014/main" id="{62787CDD-7B27-4543-8729-C2119DAD841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7" name="x_Picture 1" descr="Description: cid:image001.png@01D03949.49457930">
          <a:extLst>
            <a:ext uri="{FF2B5EF4-FFF2-40B4-BE49-F238E27FC236}">
              <a16:creationId xmlns:a16="http://schemas.microsoft.com/office/drawing/2014/main" id="{63C708C1-92C1-4F21-A59D-372F261E566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8" name="x_Picture 1" descr="Description: cid:image001.png@01D03949.49457930">
          <a:extLst>
            <a:ext uri="{FF2B5EF4-FFF2-40B4-BE49-F238E27FC236}">
              <a16:creationId xmlns:a16="http://schemas.microsoft.com/office/drawing/2014/main" id="{4F61718B-B15D-4EEE-B233-D98FF54AB2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299" name="x_Picture 1" descr="Description: cid:image001.png@01D03949.49457930">
          <a:extLst>
            <a:ext uri="{FF2B5EF4-FFF2-40B4-BE49-F238E27FC236}">
              <a16:creationId xmlns:a16="http://schemas.microsoft.com/office/drawing/2014/main" id="{A1662912-A4F4-474E-86D8-67FF021FF9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0" name="x_Picture 1" descr="Description: cid:image001.png@01D03949.49457930">
          <a:extLst>
            <a:ext uri="{FF2B5EF4-FFF2-40B4-BE49-F238E27FC236}">
              <a16:creationId xmlns:a16="http://schemas.microsoft.com/office/drawing/2014/main" id="{F9562BEE-C3B4-47AB-B80F-E78CA91AFE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1" name="x_Picture 1" descr="Description: cid:image001.png@01D03949.49457930">
          <a:extLst>
            <a:ext uri="{FF2B5EF4-FFF2-40B4-BE49-F238E27FC236}">
              <a16:creationId xmlns:a16="http://schemas.microsoft.com/office/drawing/2014/main" id="{256B0F15-FAD4-4138-9E4B-142E4960BA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2" name="x_Picture 1" descr="Description: cid:image001.png@01D03949.49457930">
          <a:extLst>
            <a:ext uri="{FF2B5EF4-FFF2-40B4-BE49-F238E27FC236}">
              <a16:creationId xmlns:a16="http://schemas.microsoft.com/office/drawing/2014/main" id="{81E08074-D48F-44B0-B1F0-A5BEDBD389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3" name="x_Picture 1" descr="Description: cid:image001.png@01D03949.49457930">
          <a:extLst>
            <a:ext uri="{FF2B5EF4-FFF2-40B4-BE49-F238E27FC236}">
              <a16:creationId xmlns:a16="http://schemas.microsoft.com/office/drawing/2014/main" id="{6E7610E7-6249-4D72-B659-3133ECBD409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4" name="x_Picture 1" descr="Description: cid:image001.png@01D03949.49457930">
          <a:extLst>
            <a:ext uri="{FF2B5EF4-FFF2-40B4-BE49-F238E27FC236}">
              <a16:creationId xmlns:a16="http://schemas.microsoft.com/office/drawing/2014/main" id="{60FB3B29-E025-4722-9227-6F96046796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5" name="x_Picture 1" descr="Description: cid:image001.png@01D03949.49457930">
          <a:extLst>
            <a:ext uri="{FF2B5EF4-FFF2-40B4-BE49-F238E27FC236}">
              <a16:creationId xmlns:a16="http://schemas.microsoft.com/office/drawing/2014/main" id="{AAA75444-29DC-4737-B5B2-2B4982CC5F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6" name="x_Picture 1" descr="Description: cid:image001.png@01D03949.49457930">
          <a:extLst>
            <a:ext uri="{FF2B5EF4-FFF2-40B4-BE49-F238E27FC236}">
              <a16:creationId xmlns:a16="http://schemas.microsoft.com/office/drawing/2014/main" id="{5FDC48E7-5DCF-4BD6-B2BB-54B369BF45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7" name="x_Picture 1" descr="Description: cid:image001.png@01D03949.49457930">
          <a:extLst>
            <a:ext uri="{FF2B5EF4-FFF2-40B4-BE49-F238E27FC236}">
              <a16:creationId xmlns:a16="http://schemas.microsoft.com/office/drawing/2014/main" id="{763F45CD-22BD-4B08-BC92-8634FAAE36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8" name="x_Picture 1" descr="Description: cid:image001.png@01D03949.49457930">
          <a:extLst>
            <a:ext uri="{FF2B5EF4-FFF2-40B4-BE49-F238E27FC236}">
              <a16:creationId xmlns:a16="http://schemas.microsoft.com/office/drawing/2014/main" id="{C3630625-843B-48B0-A7C9-46007CC29B3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09" name="x_Picture 1" descr="Description: cid:image001.png@01D03949.49457930">
          <a:extLst>
            <a:ext uri="{FF2B5EF4-FFF2-40B4-BE49-F238E27FC236}">
              <a16:creationId xmlns:a16="http://schemas.microsoft.com/office/drawing/2014/main" id="{2CDD245D-644F-4AAF-B956-E657059EF9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0" name="x_Picture 1" descr="Description: cid:image001.png@01D03949.49457930">
          <a:extLst>
            <a:ext uri="{FF2B5EF4-FFF2-40B4-BE49-F238E27FC236}">
              <a16:creationId xmlns:a16="http://schemas.microsoft.com/office/drawing/2014/main" id="{7268BF4D-3ACF-4EC1-AD0A-391DD2A506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1" name="x_Picture 1" descr="Description: cid:image001.png@01D03949.49457930">
          <a:extLst>
            <a:ext uri="{FF2B5EF4-FFF2-40B4-BE49-F238E27FC236}">
              <a16:creationId xmlns:a16="http://schemas.microsoft.com/office/drawing/2014/main" id="{79B83FC0-60A5-482C-9CCF-59E65AA4C9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2" name="x_Picture 1" descr="Description: cid:image001.png@01D03949.49457930">
          <a:extLst>
            <a:ext uri="{FF2B5EF4-FFF2-40B4-BE49-F238E27FC236}">
              <a16:creationId xmlns:a16="http://schemas.microsoft.com/office/drawing/2014/main" id="{31106B71-1671-4677-AEF9-FBDBCCB624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3" name="x_Picture 1" descr="Description: cid:image001.png@01D03949.49457930">
          <a:extLst>
            <a:ext uri="{FF2B5EF4-FFF2-40B4-BE49-F238E27FC236}">
              <a16:creationId xmlns:a16="http://schemas.microsoft.com/office/drawing/2014/main" id="{AC3F17F5-5BA2-48BC-AA0E-C8D9855F61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4" name="x_Picture 1" descr="Description: cid:image001.png@01D03949.49457930">
          <a:extLst>
            <a:ext uri="{FF2B5EF4-FFF2-40B4-BE49-F238E27FC236}">
              <a16:creationId xmlns:a16="http://schemas.microsoft.com/office/drawing/2014/main" id="{1C3E4A68-15C2-4DAF-839A-F40C839618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5" name="x_Picture 1" descr="Description: cid:image001.png@01D03949.49457930">
          <a:extLst>
            <a:ext uri="{FF2B5EF4-FFF2-40B4-BE49-F238E27FC236}">
              <a16:creationId xmlns:a16="http://schemas.microsoft.com/office/drawing/2014/main" id="{0740A109-8050-4EC8-A862-A19D0C9B75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6" name="x_Picture 1" descr="Description: cid:image001.png@01D03949.49457930">
          <a:extLst>
            <a:ext uri="{FF2B5EF4-FFF2-40B4-BE49-F238E27FC236}">
              <a16:creationId xmlns:a16="http://schemas.microsoft.com/office/drawing/2014/main" id="{786AE088-4C8D-41B9-99C3-9FF289C0F3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7" name="x_Picture 1" descr="Description: cid:image001.png@01D03949.49457930">
          <a:extLst>
            <a:ext uri="{FF2B5EF4-FFF2-40B4-BE49-F238E27FC236}">
              <a16:creationId xmlns:a16="http://schemas.microsoft.com/office/drawing/2014/main" id="{801E8644-BD35-469D-B721-56EABE822C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8" name="x_Picture 1" descr="Description: cid:image001.png@01D03949.49457930">
          <a:extLst>
            <a:ext uri="{FF2B5EF4-FFF2-40B4-BE49-F238E27FC236}">
              <a16:creationId xmlns:a16="http://schemas.microsoft.com/office/drawing/2014/main" id="{27F03457-1E23-481E-A8BF-A0A36581EF5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19" name="x_Picture 1" descr="Description: cid:image001.png@01D03949.49457930">
          <a:extLst>
            <a:ext uri="{FF2B5EF4-FFF2-40B4-BE49-F238E27FC236}">
              <a16:creationId xmlns:a16="http://schemas.microsoft.com/office/drawing/2014/main" id="{9B4BE509-27D2-464C-9426-8FCE1D3D7F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0" name="x_Picture 1" descr="Description: cid:image001.png@01D03949.49457930">
          <a:extLst>
            <a:ext uri="{FF2B5EF4-FFF2-40B4-BE49-F238E27FC236}">
              <a16:creationId xmlns:a16="http://schemas.microsoft.com/office/drawing/2014/main" id="{6BA0075C-A8DC-4930-84F5-259E2529C9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1" name="x_Picture 1" descr="Description: cid:image001.png@01D03949.49457930">
          <a:extLst>
            <a:ext uri="{FF2B5EF4-FFF2-40B4-BE49-F238E27FC236}">
              <a16:creationId xmlns:a16="http://schemas.microsoft.com/office/drawing/2014/main" id="{F7D05330-D4B8-439F-82A2-9C6694449B9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2" name="x_Picture 1" descr="Description: cid:image001.png@01D03949.49457930">
          <a:extLst>
            <a:ext uri="{FF2B5EF4-FFF2-40B4-BE49-F238E27FC236}">
              <a16:creationId xmlns:a16="http://schemas.microsoft.com/office/drawing/2014/main" id="{38E06129-8125-4735-8BA0-FF288A3A79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3" name="x_Picture 1" descr="Description: cid:image001.png@01D03949.49457930">
          <a:extLst>
            <a:ext uri="{FF2B5EF4-FFF2-40B4-BE49-F238E27FC236}">
              <a16:creationId xmlns:a16="http://schemas.microsoft.com/office/drawing/2014/main" id="{29466722-0FB9-4FDE-BBC0-58BCFA3988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4" name="x_Picture 1" descr="Description: cid:image001.png@01D03949.49457930">
          <a:extLst>
            <a:ext uri="{FF2B5EF4-FFF2-40B4-BE49-F238E27FC236}">
              <a16:creationId xmlns:a16="http://schemas.microsoft.com/office/drawing/2014/main" id="{145D8521-F42F-4FD4-B16E-5106928D3B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5" name="x_Picture 1" descr="Description: cid:image001.png@01D03949.49457930">
          <a:extLst>
            <a:ext uri="{FF2B5EF4-FFF2-40B4-BE49-F238E27FC236}">
              <a16:creationId xmlns:a16="http://schemas.microsoft.com/office/drawing/2014/main" id="{3C19D12C-55CA-42B3-B3B7-75518FC8FE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6" name="x_Picture 1" descr="Description: cid:image001.png@01D03949.49457930">
          <a:extLst>
            <a:ext uri="{FF2B5EF4-FFF2-40B4-BE49-F238E27FC236}">
              <a16:creationId xmlns:a16="http://schemas.microsoft.com/office/drawing/2014/main" id="{F30836F3-1EB7-4DBF-8B53-1BC4274104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7" name="x_Picture 1" descr="Description: cid:image001.png@01D03949.49457930">
          <a:extLst>
            <a:ext uri="{FF2B5EF4-FFF2-40B4-BE49-F238E27FC236}">
              <a16:creationId xmlns:a16="http://schemas.microsoft.com/office/drawing/2014/main" id="{226FC86D-F032-487E-B703-3C9E59350B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8" name="x_Picture 1" descr="Description: cid:image001.png@01D03949.49457930">
          <a:extLst>
            <a:ext uri="{FF2B5EF4-FFF2-40B4-BE49-F238E27FC236}">
              <a16:creationId xmlns:a16="http://schemas.microsoft.com/office/drawing/2014/main" id="{F6048889-9CA4-42BB-B021-C0890FE2C9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29" name="x_Picture 1" descr="Description: cid:image001.png@01D03949.49457930">
          <a:extLst>
            <a:ext uri="{FF2B5EF4-FFF2-40B4-BE49-F238E27FC236}">
              <a16:creationId xmlns:a16="http://schemas.microsoft.com/office/drawing/2014/main" id="{BFC0D066-02E4-47B0-A2CA-4C0049C3A2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0" name="x_Picture 1" descr="Description: cid:image001.png@01D03949.49457930">
          <a:extLst>
            <a:ext uri="{FF2B5EF4-FFF2-40B4-BE49-F238E27FC236}">
              <a16:creationId xmlns:a16="http://schemas.microsoft.com/office/drawing/2014/main" id="{B3633C7A-0344-4C0B-9557-8FE79C9C89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1" name="x_Picture 1" descr="Description: cid:image001.png@01D03949.49457930">
          <a:extLst>
            <a:ext uri="{FF2B5EF4-FFF2-40B4-BE49-F238E27FC236}">
              <a16:creationId xmlns:a16="http://schemas.microsoft.com/office/drawing/2014/main" id="{E67C04FE-7FB7-414B-B38D-118C45070D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2" name="x_Picture 1" descr="Description: cid:image001.png@01D03949.49457930">
          <a:extLst>
            <a:ext uri="{FF2B5EF4-FFF2-40B4-BE49-F238E27FC236}">
              <a16:creationId xmlns:a16="http://schemas.microsoft.com/office/drawing/2014/main" id="{B9F5DE19-D4F2-4160-B503-2206713914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3" name="x_Picture 1" descr="Description: cid:image001.png@01D03949.49457930">
          <a:extLst>
            <a:ext uri="{FF2B5EF4-FFF2-40B4-BE49-F238E27FC236}">
              <a16:creationId xmlns:a16="http://schemas.microsoft.com/office/drawing/2014/main" id="{6D096C3A-9AFF-4B3F-A595-7C9C36D404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4" name="x_Picture 1" descr="Description: cid:image001.png@01D03949.49457930">
          <a:extLst>
            <a:ext uri="{FF2B5EF4-FFF2-40B4-BE49-F238E27FC236}">
              <a16:creationId xmlns:a16="http://schemas.microsoft.com/office/drawing/2014/main" id="{9DDFF797-957D-4726-A76D-90970A9A53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5" name="x_Picture 1" descr="Description: cid:image001.png@01D03949.49457930">
          <a:extLst>
            <a:ext uri="{FF2B5EF4-FFF2-40B4-BE49-F238E27FC236}">
              <a16:creationId xmlns:a16="http://schemas.microsoft.com/office/drawing/2014/main" id="{F0CDB54A-6BCD-40A2-9C20-693E2DA332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6" name="x_Picture 1" descr="Description: cid:image001.png@01D03949.49457930">
          <a:extLst>
            <a:ext uri="{FF2B5EF4-FFF2-40B4-BE49-F238E27FC236}">
              <a16:creationId xmlns:a16="http://schemas.microsoft.com/office/drawing/2014/main" id="{C6D02154-F217-4559-BAD2-772950EFD9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7" name="x_Picture 1" descr="Description: cid:image001.png@01D03949.49457930">
          <a:extLst>
            <a:ext uri="{FF2B5EF4-FFF2-40B4-BE49-F238E27FC236}">
              <a16:creationId xmlns:a16="http://schemas.microsoft.com/office/drawing/2014/main" id="{5E3FA04D-7FD2-44AD-86F7-300A5E6C92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8" name="x_Picture 1" descr="Description: cid:image001.png@01D03949.49457930">
          <a:extLst>
            <a:ext uri="{FF2B5EF4-FFF2-40B4-BE49-F238E27FC236}">
              <a16:creationId xmlns:a16="http://schemas.microsoft.com/office/drawing/2014/main" id="{7D648F9A-FC67-4F26-BE3D-6C31C93181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39" name="x_Picture 1" descr="Description: cid:image001.png@01D03949.49457930">
          <a:extLst>
            <a:ext uri="{FF2B5EF4-FFF2-40B4-BE49-F238E27FC236}">
              <a16:creationId xmlns:a16="http://schemas.microsoft.com/office/drawing/2014/main" id="{F92FB7F2-080C-4E58-856C-4000094A0E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0" name="x_Picture 1" descr="Description: cid:image001.png@01D03949.49457930">
          <a:extLst>
            <a:ext uri="{FF2B5EF4-FFF2-40B4-BE49-F238E27FC236}">
              <a16:creationId xmlns:a16="http://schemas.microsoft.com/office/drawing/2014/main" id="{665EED5A-290A-411E-99D3-BA1862DE73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1" name="x_Picture 1" descr="Description: cid:image001.png@01D03949.49457930">
          <a:extLst>
            <a:ext uri="{FF2B5EF4-FFF2-40B4-BE49-F238E27FC236}">
              <a16:creationId xmlns:a16="http://schemas.microsoft.com/office/drawing/2014/main" id="{2A07E18E-1F64-495F-8F50-AC377679C1A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2" name="x_Picture 1" descr="Description: cid:image001.png@01D03949.49457930">
          <a:extLst>
            <a:ext uri="{FF2B5EF4-FFF2-40B4-BE49-F238E27FC236}">
              <a16:creationId xmlns:a16="http://schemas.microsoft.com/office/drawing/2014/main" id="{0CBB15AF-7718-4068-B3D2-D1DFBD2BB7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3" name="x_Picture 1" descr="Description: cid:image001.png@01D03949.49457930">
          <a:extLst>
            <a:ext uri="{FF2B5EF4-FFF2-40B4-BE49-F238E27FC236}">
              <a16:creationId xmlns:a16="http://schemas.microsoft.com/office/drawing/2014/main" id="{D9708C8C-4159-417C-8527-CCA3EEE97E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4" name="x_Picture 1" descr="Description: cid:image001.png@01D03949.49457930">
          <a:extLst>
            <a:ext uri="{FF2B5EF4-FFF2-40B4-BE49-F238E27FC236}">
              <a16:creationId xmlns:a16="http://schemas.microsoft.com/office/drawing/2014/main" id="{E6087A85-CE67-41B7-8797-ADC8091307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5" name="x_Picture 1" descr="Description: cid:image001.png@01D03949.49457930">
          <a:extLst>
            <a:ext uri="{FF2B5EF4-FFF2-40B4-BE49-F238E27FC236}">
              <a16:creationId xmlns:a16="http://schemas.microsoft.com/office/drawing/2014/main" id="{BB8C318B-8361-484F-808E-DEF37879A1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6" name="x_Picture 1" descr="Description: cid:image001.png@01D03949.49457930">
          <a:extLst>
            <a:ext uri="{FF2B5EF4-FFF2-40B4-BE49-F238E27FC236}">
              <a16:creationId xmlns:a16="http://schemas.microsoft.com/office/drawing/2014/main" id="{3EB7C81F-5215-49FE-8013-5C9A11A00E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7" name="x_Picture 1" descr="Description: cid:image001.png@01D03949.49457930">
          <a:extLst>
            <a:ext uri="{FF2B5EF4-FFF2-40B4-BE49-F238E27FC236}">
              <a16:creationId xmlns:a16="http://schemas.microsoft.com/office/drawing/2014/main" id="{9AF927E9-99BC-4AC5-A5A6-93BD989B48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8" name="x_Picture 1" descr="Description: cid:image001.png@01D03949.49457930">
          <a:extLst>
            <a:ext uri="{FF2B5EF4-FFF2-40B4-BE49-F238E27FC236}">
              <a16:creationId xmlns:a16="http://schemas.microsoft.com/office/drawing/2014/main" id="{6D2BDDDC-D205-4002-AC28-274C321225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49" name="x_Picture 1" descr="Description: cid:image001.png@01D03949.49457930">
          <a:extLst>
            <a:ext uri="{FF2B5EF4-FFF2-40B4-BE49-F238E27FC236}">
              <a16:creationId xmlns:a16="http://schemas.microsoft.com/office/drawing/2014/main" id="{3B36141F-06FD-445C-924B-C4B25A9DC3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0" name="x_Picture 1" descr="Description: cid:image001.png@01D03949.49457930">
          <a:extLst>
            <a:ext uri="{FF2B5EF4-FFF2-40B4-BE49-F238E27FC236}">
              <a16:creationId xmlns:a16="http://schemas.microsoft.com/office/drawing/2014/main" id="{928EF734-DB8A-4C0D-8165-553EFE4384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1" name="x_Picture 1" descr="Description: cid:image001.png@01D03949.49457930">
          <a:extLst>
            <a:ext uri="{FF2B5EF4-FFF2-40B4-BE49-F238E27FC236}">
              <a16:creationId xmlns:a16="http://schemas.microsoft.com/office/drawing/2014/main" id="{05FC06AA-F5E2-487D-B726-2C892EA570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2" name="x_Picture 1" descr="Description: cid:image001.png@01D03949.49457930">
          <a:extLst>
            <a:ext uri="{FF2B5EF4-FFF2-40B4-BE49-F238E27FC236}">
              <a16:creationId xmlns:a16="http://schemas.microsoft.com/office/drawing/2014/main" id="{9A662C64-8CFF-4C6C-9F49-03235C95C8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3" name="x_Picture 1" descr="Description: cid:image001.png@01D03949.49457930">
          <a:extLst>
            <a:ext uri="{FF2B5EF4-FFF2-40B4-BE49-F238E27FC236}">
              <a16:creationId xmlns:a16="http://schemas.microsoft.com/office/drawing/2014/main" id="{D2C297A8-B48D-4E46-985E-C6BF6853FD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4" name="x_Picture 1" descr="Description: cid:image001.png@01D03949.49457930">
          <a:extLst>
            <a:ext uri="{FF2B5EF4-FFF2-40B4-BE49-F238E27FC236}">
              <a16:creationId xmlns:a16="http://schemas.microsoft.com/office/drawing/2014/main" id="{616C1F88-1ECA-4054-BA9F-D0B56C0314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5" name="x_Picture 1" descr="Description: cid:image001.png@01D03949.49457930">
          <a:extLst>
            <a:ext uri="{FF2B5EF4-FFF2-40B4-BE49-F238E27FC236}">
              <a16:creationId xmlns:a16="http://schemas.microsoft.com/office/drawing/2014/main" id="{916DBEBA-47F6-4CD4-A7E6-984978A4ED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6" name="x_Picture 1" descr="Description: cid:image001.png@01D03949.49457930">
          <a:extLst>
            <a:ext uri="{FF2B5EF4-FFF2-40B4-BE49-F238E27FC236}">
              <a16:creationId xmlns:a16="http://schemas.microsoft.com/office/drawing/2014/main" id="{B533F1DD-C84A-414B-8272-7E3185D9AA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7" name="x_Picture 1" descr="Description: cid:image001.png@01D03949.49457930">
          <a:extLst>
            <a:ext uri="{FF2B5EF4-FFF2-40B4-BE49-F238E27FC236}">
              <a16:creationId xmlns:a16="http://schemas.microsoft.com/office/drawing/2014/main" id="{1EE3608B-EE6B-48D7-B95E-0D1C37E920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8" name="x_Picture 1" descr="Description: cid:image001.png@01D03949.49457930">
          <a:extLst>
            <a:ext uri="{FF2B5EF4-FFF2-40B4-BE49-F238E27FC236}">
              <a16:creationId xmlns:a16="http://schemas.microsoft.com/office/drawing/2014/main" id="{A697D5EA-4815-43E8-8F1B-6B14CBAE12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59" name="x_Picture 1" descr="Description: cid:image001.png@01D03949.49457930">
          <a:extLst>
            <a:ext uri="{FF2B5EF4-FFF2-40B4-BE49-F238E27FC236}">
              <a16:creationId xmlns:a16="http://schemas.microsoft.com/office/drawing/2014/main" id="{E27F90D6-420F-4D43-815E-C06712FFDA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0" name="x_Picture 1" descr="Description: cid:image001.png@01D03949.49457930">
          <a:extLst>
            <a:ext uri="{FF2B5EF4-FFF2-40B4-BE49-F238E27FC236}">
              <a16:creationId xmlns:a16="http://schemas.microsoft.com/office/drawing/2014/main" id="{BB96EBE8-1EA3-4C49-9E66-D04918EFB4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1" name="x_Picture 1" descr="Description: cid:image001.png@01D03949.49457930">
          <a:extLst>
            <a:ext uri="{FF2B5EF4-FFF2-40B4-BE49-F238E27FC236}">
              <a16:creationId xmlns:a16="http://schemas.microsoft.com/office/drawing/2014/main" id="{CDF1DEA2-EB84-460C-8022-77A598CAE0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2" name="x_Picture 1" descr="Description: cid:image001.png@01D03949.49457930">
          <a:extLst>
            <a:ext uri="{FF2B5EF4-FFF2-40B4-BE49-F238E27FC236}">
              <a16:creationId xmlns:a16="http://schemas.microsoft.com/office/drawing/2014/main" id="{529745D0-9377-4D6A-AE0F-917435A1EB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3" name="x_Picture 1" descr="Description: cid:image001.png@01D03949.49457930">
          <a:extLst>
            <a:ext uri="{FF2B5EF4-FFF2-40B4-BE49-F238E27FC236}">
              <a16:creationId xmlns:a16="http://schemas.microsoft.com/office/drawing/2014/main" id="{36C89444-7F75-4AE1-9939-362045B9D7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4" name="x_Picture 1" descr="Description: cid:image001.png@01D03949.49457930">
          <a:extLst>
            <a:ext uri="{FF2B5EF4-FFF2-40B4-BE49-F238E27FC236}">
              <a16:creationId xmlns:a16="http://schemas.microsoft.com/office/drawing/2014/main" id="{CAB6177D-A69B-434C-B511-82B60FEC1E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5" name="x_Picture 1" descr="Description: cid:image001.png@01D03949.49457930">
          <a:extLst>
            <a:ext uri="{FF2B5EF4-FFF2-40B4-BE49-F238E27FC236}">
              <a16:creationId xmlns:a16="http://schemas.microsoft.com/office/drawing/2014/main" id="{822368AC-E51A-41E8-90DD-0A34EABA5C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6" name="x_Picture 1" descr="Description: cid:image001.png@01D03949.49457930">
          <a:extLst>
            <a:ext uri="{FF2B5EF4-FFF2-40B4-BE49-F238E27FC236}">
              <a16:creationId xmlns:a16="http://schemas.microsoft.com/office/drawing/2014/main" id="{AFB420DF-913D-4BEC-B9C4-64B4265746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7" name="x_Picture 1" descr="Description: cid:image001.png@01D03949.49457930">
          <a:extLst>
            <a:ext uri="{FF2B5EF4-FFF2-40B4-BE49-F238E27FC236}">
              <a16:creationId xmlns:a16="http://schemas.microsoft.com/office/drawing/2014/main" id="{CDE67CD3-A994-4F37-9A3B-B38C668544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8" name="x_Picture 1" descr="Description: cid:image001.png@01D03949.49457930">
          <a:extLst>
            <a:ext uri="{FF2B5EF4-FFF2-40B4-BE49-F238E27FC236}">
              <a16:creationId xmlns:a16="http://schemas.microsoft.com/office/drawing/2014/main" id="{33FA2530-FA77-4B69-8F18-FE3C3229D3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69" name="x_Picture 1" descr="Description: cid:image001.png@01D03949.49457930">
          <a:extLst>
            <a:ext uri="{FF2B5EF4-FFF2-40B4-BE49-F238E27FC236}">
              <a16:creationId xmlns:a16="http://schemas.microsoft.com/office/drawing/2014/main" id="{06CB10B7-E4CC-4DEF-A414-E72CBB0BF6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0" name="x_Picture 1" descr="Description: cid:image001.png@01D03949.49457930">
          <a:extLst>
            <a:ext uri="{FF2B5EF4-FFF2-40B4-BE49-F238E27FC236}">
              <a16:creationId xmlns:a16="http://schemas.microsoft.com/office/drawing/2014/main" id="{5A30E3F8-81C1-4D00-A55A-0DB24C441E7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1" name="x_Picture 1" descr="Description: cid:image001.png@01D03949.49457930">
          <a:extLst>
            <a:ext uri="{FF2B5EF4-FFF2-40B4-BE49-F238E27FC236}">
              <a16:creationId xmlns:a16="http://schemas.microsoft.com/office/drawing/2014/main" id="{594EEDEF-1540-4279-AD76-A1FF3924F4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2" name="x_Picture 1" descr="Description: cid:image001.png@01D03949.49457930">
          <a:extLst>
            <a:ext uri="{FF2B5EF4-FFF2-40B4-BE49-F238E27FC236}">
              <a16:creationId xmlns:a16="http://schemas.microsoft.com/office/drawing/2014/main" id="{CCC75195-3BCC-4B51-9D78-E84F8BD1B8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3" name="x_Picture 1" descr="Description: cid:image001.png@01D03949.49457930">
          <a:extLst>
            <a:ext uri="{FF2B5EF4-FFF2-40B4-BE49-F238E27FC236}">
              <a16:creationId xmlns:a16="http://schemas.microsoft.com/office/drawing/2014/main" id="{EE7C0AD4-F485-4EB2-A3A9-3404C8B026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4" name="x_Picture 1" descr="Description: cid:image001.png@01D03949.49457930">
          <a:extLst>
            <a:ext uri="{FF2B5EF4-FFF2-40B4-BE49-F238E27FC236}">
              <a16:creationId xmlns:a16="http://schemas.microsoft.com/office/drawing/2014/main" id="{8E24747D-D203-40EC-B1D9-968DA4B49A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5" name="x_Picture 1" descr="Description: cid:image001.png@01D03949.49457930">
          <a:extLst>
            <a:ext uri="{FF2B5EF4-FFF2-40B4-BE49-F238E27FC236}">
              <a16:creationId xmlns:a16="http://schemas.microsoft.com/office/drawing/2014/main" id="{0BF6A04E-C0F1-4BFD-8A0B-523F38CFCF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6" name="x_Picture 1" descr="Description: cid:image001.png@01D03949.49457930">
          <a:extLst>
            <a:ext uri="{FF2B5EF4-FFF2-40B4-BE49-F238E27FC236}">
              <a16:creationId xmlns:a16="http://schemas.microsoft.com/office/drawing/2014/main" id="{3665601E-F280-4097-AF9A-A827FC150A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7" name="x_Picture 1" descr="Description: cid:image001.png@01D03949.49457930">
          <a:extLst>
            <a:ext uri="{FF2B5EF4-FFF2-40B4-BE49-F238E27FC236}">
              <a16:creationId xmlns:a16="http://schemas.microsoft.com/office/drawing/2014/main" id="{F51B050F-2F72-4D8B-BFFA-AD9129B743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8" name="x_Picture 1" descr="Description: cid:image001.png@01D03949.49457930">
          <a:extLst>
            <a:ext uri="{FF2B5EF4-FFF2-40B4-BE49-F238E27FC236}">
              <a16:creationId xmlns:a16="http://schemas.microsoft.com/office/drawing/2014/main" id="{372E7044-E070-4B26-A8C6-DF53FF2D34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79" name="x_Picture 1" descr="Description: cid:image001.png@01D03949.49457930">
          <a:extLst>
            <a:ext uri="{FF2B5EF4-FFF2-40B4-BE49-F238E27FC236}">
              <a16:creationId xmlns:a16="http://schemas.microsoft.com/office/drawing/2014/main" id="{EE478A23-1026-4EF3-8680-EF8E306316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0" name="x_Picture 1" descr="Description: cid:image001.png@01D03949.49457930">
          <a:extLst>
            <a:ext uri="{FF2B5EF4-FFF2-40B4-BE49-F238E27FC236}">
              <a16:creationId xmlns:a16="http://schemas.microsoft.com/office/drawing/2014/main" id="{A9B938E0-9736-449C-B177-852ED2C41D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1" name="x_Picture 1" descr="Description: cid:image001.png@01D03949.49457930">
          <a:extLst>
            <a:ext uri="{FF2B5EF4-FFF2-40B4-BE49-F238E27FC236}">
              <a16:creationId xmlns:a16="http://schemas.microsoft.com/office/drawing/2014/main" id="{6768B938-91A6-47A8-971E-BDF0E5001E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2" name="x_Picture 1" descr="Description: cid:image001.png@01D03949.49457930">
          <a:extLst>
            <a:ext uri="{FF2B5EF4-FFF2-40B4-BE49-F238E27FC236}">
              <a16:creationId xmlns:a16="http://schemas.microsoft.com/office/drawing/2014/main" id="{B34511A6-B4B7-4C70-8EA1-54D7510D3C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3" name="x_Picture 1" descr="Description: cid:image001.png@01D03949.49457930">
          <a:extLst>
            <a:ext uri="{FF2B5EF4-FFF2-40B4-BE49-F238E27FC236}">
              <a16:creationId xmlns:a16="http://schemas.microsoft.com/office/drawing/2014/main" id="{F4959C5A-FAE7-4F8D-B986-3C2BEAF3BE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4" name="x_Picture 1" descr="Description: cid:image001.png@01D03949.49457930">
          <a:extLst>
            <a:ext uri="{FF2B5EF4-FFF2-40B4-BE49-F238E27FC236}">
              <a16:creationId xmlns:a16="http://schemas.microsoft.com/office/drawing/2014/main" id="{C83F0A68-C794-4FD2-8224-EB11389FF4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5" name="x_Picture 1" descr="Description: cid:image001.png@01D03949.49457930">
          <a:extLst>
            <a:ext uri="{FF2B5EF4-FFF2-40B4-BE49-F238E27FC236}">
              <a16:creationId xmlns:a16="http://schemas.microsoft.com/office/drawing/2014/main" id="{40B38511-8EA7-4B36-AD30-2DFCB8196D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6" name="x_Picture 1" descr="Description: cid:image001.png@01D03949.49457930">
          <a:extLst>
            <a:ext uri="{FF2B5EF4-FFF2-40B4-BE49-F238E27FC236}">
              <a16:creationId xmlns:a16="http://schemas.microsoft.com/office/drawing/2014/main" id="{0043C00F-050E-435F-866A-5BE897C049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7" name="x_Picture 1" descr="Description: cid:image001.png@01D03949.49457930">
          <a:extLst>
            <a:ext uri="{FF2B5EF4-FFF2-40B4-BE49-F238E27FC236}">
              <a16:creationId xmlns:a16="http://schemas.microsoft.com/office/drawing/2014/main" id="{72282693-CFEF-4349-8CD4-23C756EF7D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8" name="x_Picture 1" descr="Description: cid:image001.png@01D03949.49457930">
          <a:extLst>
            <a:ext uri="{FF2B5EF4-FFF2-40B4-BE49-F238E27FC236}">
              <a16:creationId xmlns:a16="http://schemas.microsoft.com/office/drawing/2014/main" id="{8EF4023F-4C32-407B-B794-FBA43D2533A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89" name="x_Picture 1" descr="Description: cid:image001.png@01D03949.49457930">
          <a:extLst>
            <a:ext uri="{FF2B5EF4-FFF2-40B4-BE49-F238E27FC236}">
              <a16:creationId xmlns:a16="http://schemas.microsoft.com/office/drawing/2014/main" id="{B92C212F-9804-44E2-8AF5-23352E0013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0" name="x_Picture 1" descr="Description: cid:image001.png@01D03949.49457930">
          <a:extLst>
            <a:ext uri="{FF2B5EF4-FFF2-40B4-BE49-F238E27FC236}">
              <a16:creationId xmlns:a16="http://schemas.microsoft.com/office/drawing/2014/main" id="{CC3BA684-3C06-448A-BEF1-3BC392CD22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1" name="x_Picture 1" descr="Description: cid:image001.png@01D03949.49457930">
          <a:extLst>
            <a:ext uri="{FF2B5EF4-FFF2-40B4-BE49-F238E27FC236}">
              <a16:creationId xmlns:a16="http://schemas.microsoft.com/office/drawing/2014/main" id="{987E7530-2DBD-42B6-8536-271FD12064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2" name="x_Picture 1" descr="Description: cid:image001.png@01D03949.49457930">
          <a:extLst>
            <a:ext uri="{FF2B5EF4-FFF2-40B4-BE49-F238E27FC236}">
              <a16:creationId xmlns:a16="http://schemas.microsoft.com/office/drawing/2014/main" id="{197E7F76-4B4D-42BA-AC56-1A38C41892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3" name="x_Picture 1" descr="Description: cid:image001.png@01D03949.49457930">
          <a:extLst>
            <a:ext uri="{FF2B5EF4-FFF2-40B4-BE49-F238E27FC236}">
              <a16:creationId xmlns:a16="http://schemas.microsoft.com/office/drawing/2014/main" id="{53768A9C-3C77-47B6-9639-416D804E9F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4" name="x_Picture 1" descr="Description: cid:image001.png@01D03949.49457930">
          <a:extLst>
            <a:ext uri="{FF2B5EF4-FFF2-40B4-BE49-F238E27FC236}">
              <a16:creationId xmlns:a16="http://schemas.microsoft.com/office/drawing/2014/main" id="{75CF725E-03D7-4008-AB99-9DD3860995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5" name="x_Picture 1" descr="Description: cid:image001.png@01D03949.49457930">
          <a:extLst>
            <a:ext uri="{FF2B5EF4-FFF2-40B4-BE49-F238E27FC236}">
              <a16:creationId xmlns:a16="http://schemas.microsoft.com/office/drawing/2014/main" id="{E016AEDA-6FC4-4C4E-8E53-AA037CAF69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6" name="x_Picture 1" descr="Description: cid:image001.png@01D03949.49457930">
          <a:extLst>
            <a:ext uri="{FF2B5EF4-FFF2-40B4-BE49-F238E27FC236}">
              <a16:creationId xmlns:a16="http://schemas.microsoft.com/office/drawing/2014/main" id="{F08F2705-5F41-496D-8D5D-0B1D3AF657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7" name="x_Picture 1" descr="Description: cid:image001.png@01D03949.49457930">
          <a:extLst>
            <a:ext uri="{FF2B5EF4-FFF2-40B4-BE49-F238E27FC236}">
              <a16:creationId xmlns:a16="http://schemas.microsoft.com/office/drawing/2014/main" id="{3DFFC2F5-DE11-4FA9-95B9-D992959C62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8" name="x_Picture 1" descr="Description: cid:image001.png@01D03949.49457930">
          <a:extLst>
            <a:ext uri="{FF2B5EF4-FFF2-40B4-BE49-F238E27FC236}">
              <a16:creationId xmlns:a16="http://schemas.microsoft.com/office/drawing/2014/main" id="{E6551BC9-91F2-473C-BC97-1412C9D808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399" name="x_Picture 1" descr="Description: cid:image001.png@01D03949.49457930">
          <a:extLst>
            <a:ext uri="{FF2B5EF4-FFF2-40B4-BE49-F238E27FC236}">
              <a16:creationId xmlns:a16="http://schemas.microsoft.com/office/drawing/2014/main" id="{48EB0322-A0ED-4771-82D8-4E2F1A9AAD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0" name="x_Picture 1" descr="Description: cid:image001.png@01D03949.49457930">
          <a:extLst>
            <a:ext uri="{FF2B5EF4-FFF2-40B4-BE49-F238E27FC236}">
              <a16:creationId xmlns:a16="http://schemas.microsoft.com/office/drawing/2014/main" id="{416F31FB-05E4-4AB1-B55D-D878FCDF98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1" name="x_Picture 1" descr="Description: cid:image001.png@01D03949.49457930">
          <a:extLst>
            <a:ext uri="{FF2B5EF4-FFF2-40B4-BE49-F238E27FC236}">
              <a16:creationId xmlns:a16="http://schemas.microsoft.com/office/drawing/2014/main" id="{60DF33F7-4FD7-4F5D-B407-A9730D6E92C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2" name="x_Picture 1" descr="Description: cid:image001.png@01D03949.49457930">
          <a:extLst>
            <a:ext uri="{FF2B5EF4-FFF2-40B4-BE49-F238E27FC236}">
              <a16:creationId xmlns:a16="http://schemas.microsoft.com/office/drawing/2014/main" id="{74B63057-9734-4571-9887-5F85071353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3" name="x_Picture 1" descr="Description: cid:image001.png@01D03949.49457930">
          <a:extLst>
            <a:ext uri="{FF2B5EF4-FFF2-40B4-BE49-F238E27FC236}">
              <a16:creationId xmlns:a16="http://schemas.microsoft.com/office/drawing/2014/main" id="{A2EA1FDE-3062-45C0-8D77-4177448A48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4" name="x_Picture 1" descr="Description: cid:image001.png@01D03949.49457930">
          <a:extLst>
            <a:ext uri="{FF2B5EF4-FFF2-40B4-BE49-F238E27FC236}">
              <a16:creationId xmlns:a16="http://schemas.microsoft.com/office/drawing/2014/main" id="{CE9C86A6-D8C4-4EAC-9EAC-F1F1D5F5BC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5" name="x_Picture 1" descr="Description: cid:image001.png@01D03949.49457930">
          <a:extLst>
            <a:ext uri="{FF2B5EF4-FFF2-40B4-BE49-F238E27FC236}">
              <a16:creationId xmlns:a16="http://schemas.microsoft.com/office/drawing/2014/main" id="{848D6108-B294-4035-9A90-DFA41EEACC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6" name="x_Picture 1" descr="Description: cid:image001.png@01D03949.49457930">
          <a:extLst>
            <a:ext uri="{FF2B5EF4-FFF2-40B4-BE49-F238E27FC236}">
              <a16:creationId xmlns:a16="http://schemas.microsoft.com/office/drawing/2014/main" id="{5AF04DD5-C0E8-41C5-913C-F2727531F5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7" name="x_Picture 1" descr="Description: cid:image001.png@01D03949.49457930">
          <a:extLst>
            <a:ext uri="{FF2B5EF4-FFF2-40B4-BE49-F238E27FC236}">
              <a16:creationId xmlns:a16="http://schemas.microsoft.com/office/drawing/2014/main" id="{40DFCBA5-AD47-4EF9-B602-56DC4BCB59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8" name="x_Picture 1" descr="Description: cid:image001.png@01D03949.49457930">
          <a:extLst>
            <a:ext uri="{FF2B5EF4-FFF2-40B4-BE49-F238E27FC236}">
              <a16:creationId xmlns:a16="http://schemas.microsoft.com/office/drawing/2014/main" id="{A1AEB4C4-1376-46C4-8E38-638E30F557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09" name="x_Picture 1" descr="Description: cid:image001.png@01D03949.49457930">
          <a:extLst>
            <a:ext uri="{FF2B5EF4-FFF2-40B4-BE49-F238E27FC236}">
              <a16:creationId xmlns:a16="http://schemas.microsoft.com/office/drawing/2014/main" id="{0C4B5FF3-8CF4-4CD5-9BE1-3DA7580F31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0" name="x_Picture 1" descr="Description: cid:image001.png@01D03949.49457930">
          <a:extLst>
            <a:ext uri="{FF2B5EF4-FFF2-40B4-BE49-F238E27FC236}">
              <a16:creationId xmlns:a16="http://schemas.microsoft.com/office/drawing/2014/main" id="{B1FB3ABE-E0D7-466E-8474-F8E118761E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1" name="x_Picture 1" descr="Description: cid:image001.png@01D03949.49457930">
          <a:extLst>
            <a:ext uri="{FF2B5EF4-FFF2-40B4-BE49-F238E27FC236}">
              <a16:creationId xmlns:a16="http://schemas.microsoft.com/office/drawing/2014/main" id="{B3302A5D-3407-4206-B378-B7E7685C8B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2" name="x_Picture 1" descr="Description: cid:image001.png@01D03949.49457930">
          <a:extLst>
            <a:ext uri="{FF2B5EF4-FFF2-40B4-BE49-F238E27FC236}">
              <a16:creationId xmlns:a16="http://schemas.microsoft.com/office/drawing/2014/main" id="{8E6F9D67-2F3C-4DF1-9357-1E0F084AA6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3" name="x_Picture 1" descr="Description: cid:image001.png@01D03949.49457930">
          <a:extLst>
            <a:ext uri="{FF2B5EF4-FFF2-40B4-BE49-F238E27FC236}">
              <a16:creationId xmlns:a16="http://schemas.microsoft.com/office/drawing/2014/main" id="{2EDAB494-E3F8-4B66-A961-9E88AA9466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4" name="x_Picture 1" descr="Description: cid:image001.png@01D03949.49457930">
          <a:extLst>
            <a:ext uri="{FF2B5EF4-FFF2-40B4-BE49-F238E27FC236}">
              <a16:creationId xmlns:a16="http://schemas.microsoft.com/office/drawing/2014/main" id="{B885219E-9D6E-4EE4-9162-D224D6DFCC7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5" name="x_Picture 1" descr="Description: cid:image001.png@01D03949.49457930">
          <a:extLst>
            <a:ext uri="{FF2B5EF4-FFF2-40B4-BE49-F238E27FC236}">
              <a16:creationId xmlns:a16="http://schemas.microsoft.com/office/drawing/2014/main" id="{81E93843-FDBE-46FD-A67B-D6AFF72447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6" name="x_Picture 1" descr="Description: cid:image001.png@01D03949.49457930">
          <a:extLst>
            <a:ext uri="{FF2B5EF4-FFF2-40B4-BE49-F238E27FC236}">
              <a16:creationId xmlns:a16="http://schemas.microsoft.com/office/drawing/2014/main" id="{E265C92E-FE60-4DC9-9CD6-40572232F4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7" name="x_Picture 1" descr="Description: cid:image001.png@01D03949.49457930">
          <a:extLst>
            <a:ext uri="{FF2B5EF4-FFF2-40B4-BE49-F238E27FC236}">
              <a16:creationId xmlns:a16="http://schemas.microsoft.com/office/drawing/2014/main" id="{7CE9E8FE-64E6-4A64-AA7E-D3B783DC4A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8" name="x_Picture 1" descr="Description: cid:image001.png@01D03949.49457930">
          <a:extLst>
            <a:ext uri="{FF2B5EF4-FFF2-40B4-BE49-F238E27FC236}">
              <a16:creationId xmlns:a16="http://schemas.microsoft.com/office/drawing/2014/main" id="{31121381-A1CE-4C68-A0A1-39D209BB37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19" name="x_Picture 1" descr="Description: cid:image001.png@01D03949.49457930">
          <a:extLst>
            <a:ext uri="{FF2B5EF4-FFF2-40B4-BE49-F238E27FC236}">
              <a16:creationId xmlns:a16="http://schemas.microsoft.com/office/drawing/2014/main" id="{E52B5E59-EBC3-432C-898D-0097A7995E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0" name="x_Picture 1" descr="Description: cid:image001.png@01D03949.49457930">
          <a:extLst>
            <a:ext uri="{FF2B5EF4-FFF2-40B4-BE49-F238E27FC236}">
              <a16:creationId xmlns:a16="http://schemas.microsoft.com/office/drawing/2014/main" id="{D497BA36-C1E1-4466-A717-8C20D69B0A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1" name="x_Picture 1" descr="Description: cid:image001.png@01D03949.49457930">
          <a:extLst>
            <a:ext uri="{FF2B5EF4-FFF2-40B4-BE49-F238E27FC236}">
              <a16:creationId xmlns:a16="http://schemas.microsoft.com/office/drawing/2014/main" id="{E677B086-ECE2-4403-9C62-EDEF8D06C3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2" name="x_Picture 1" descr="Description: cid:image001.png@01D03949.49457930">
          <a:extLst>
            <a:ext uri="{FF2B5EF4-FFF2-40B4-BE49-F238E27FC236}">
              <a16:creationId xmlns:a16="http://schemas.microsoft.com/office/drawing/2014/main" id="{120B1A5D-495C-4182-92A7-29AD23DB8E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3" name="x_Picture 1" descr="Description: cid:image001.png@01D03949.49457930">
          <a:extLst>
            <a:ext uri="{FF2B5EF4-FFF2-40B4-BE49-F238E27FC236}">
              <a16:creationId xmlns:a16="http://schemas.microsoft.com/office/drawing/2014/main" id="{668613C2-6BFC-4E97-B99C-65D6AD418D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4" name="x_Picture 1" descr="Description: cid:image001.png@01D03949.49457930">
          <a:extLst>
            <a:ext uri="{FF2B5EF4-FFF2-40B4-BE49-F238E27FC236}">
              <a16:creationId xmlns:a16="http://schemas.microsoft.com/office/drawing/2014/main" id="{2BD6F429-7477-49FD-98F6-E179D1DF4F4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5" name="x_Picture 1" descr="Description: cid:image001.png@01D03949.49457930">
          <a:extLst>
            <a:ext uri="{FF2B5EF4-FFF2-40B4-BE49-F238E27FC236}">
              <a16:creationId xmlns:a16="http://schemas.microsoft.com/office/drawing/2014/main" id="{FCB4FDDF-6E66-4E7C-9A02-4E0CE22C10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6" name="x_Picture 1" descr="Description: cid:image001.png@01D03949.49457930">
          <a:extLst>
            <a:ext uri="{FF2B5EF4-FFF2-40B4-BE49-F238E27FC236}">
              <a16:creationId xmlns:a16="http://schemas.microsoft.com/office/drawing/2014/main" id="{D8F7E450-75BA-498C-8DB4-7703AD14F8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7" name="x_Picture 1" descr="Description: cid:image001.png@01D03949.49457930">
          <a:extLst>
            <a:ext uri="{FF2B5EF4-FFF2-40B4-BE49-F238E27FC236}">
              <a16:creationId xmlns:a16="http://schemas.microsoft.com/office/drawing/2014/main" id="{317C5E17-4395-4C95-B62A-B750E3355A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8" name="x_Picture 1" descr="Description: cid:image001.png@01D03949.49457930">
          <a:extLst>
            <a:ext uri="{FF2B5EF4-FFF2-40B4-BE49-F238E27FC236}">
              <a16:creationId xmlns:a16="http://schemas.microsoft.com/office/drawing/2014/main" id="{C6F2260C-96E3-408F-82C9-301EF9DEA5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29" name="x_Picture 1" descr="Description: cid:image001.png@01D03949.49457930">
          <a:extLst>
            <a:ext uri="{FF2B5EF4-FFF2-40B4-BE49-F238E27FC236}">
              <a16:creationId xmlns:a16="http://schemas.microsoft.com/office/drawing/2014/main" id="{26FFF701-F9C8-4D7E-B7F0-79142E8600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0" name="x_Picture 1" descr="Description: cid:image001.png@01D03949.49457930">
          <a:extLst>
            <a:ext uri="{FF2B5EF4-FFF2-40B4-BE49-F238E27FC236}">
              <a16:creationId xmlns:a16="http://schemas.microsoft.com/office/drawing/2014/main" id="{C8A699C0-47F0-4FFF-B181-66EFC9F01E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1" name="x_Picture 1" descr="Description: cid:image001.png@01D03949.49457930">
          <a:extLst>
            <a:ext uri="{FF2B5EF4-FFF2-40B4-BE49-F238E27FC236}">
              <a16:creationId xmlns:a16="http://schemas.microsoft.com/office/drawing/2014/main" id="{295197D2-BD52-4EEC-B9F2-68CF0EF4FC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2" name="x_Picture 1" descr="Description: cid:image001.png@01D03949.49457930">
          <a:extLst>
            <a:ext uri="{FF2B5EF4-FFF2-40B4-BE49-F238E27FC236}">
              <a16:creationId xmlns:a16="http://schemas.microsoft.com/office/drawing/2014/main" id="{F0405D6B-FE95-4E8F-B820-8A7F1DB469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3" name="x_Picture 1" descr="Description: cid:image001.png@01D03949.49457930">
          <a:extLst>
            <a:ext uri="{FF2B5EF4-FFF2-40B4-BE49-F238E27FC236}">
              <a16:creationId xmlns:a16="http://schemas.microsoft.com/office/drawing/2014/main" id="{3C6D1047-1EDB-45D1-8477-23C02800B4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4" name="x_Picture 1" descr="Description: cid:image001.png@01D03949.49457930">
          <a:extLst>
            <a:ext uri="{FF2B5EF4-FFF2-40B4-BE49-F238E27FC236}">
              <a16:creationId xmlns:a16="http://schemas.microsoft.com/office/drawing/2014/main" id="{111DA421-4EE0-40DD-A0EA-CDAABACE53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5" name="x_Picture 1" descr="Description: cid:image001.png@01D03949.49457930">
          <a:extLst>
            <a:ext uri="{FF2B5EF4-FFF2-40B4-BE49-F238E27FC236}">
              <a16:creationId xmlns:a16="http://schemas.microsoft.com/office/drawing/2014/main" id="{F8438FF0-7D3A-4FFB-B4A4-A30158EDDC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6" name="x_Picture 1" descr="Description: cid:image001.png@01D03949.49457930">
          <a:extLst>
            <a:ext uri="{FF2B5EF4-FFF2-40B4-BE49-F238E27FC236}">
              <a16:creationId xmlns:a16="http://schemas.microsoft.com/office/drawing/2014/main" id="{208F2902-4FA9-4AC0-9754-6F37E539BA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7" name="x_Picture 1" descr="Description: cid:image001.png@01D03949.49457930">
          <a:extLst>
            <a:ext uri="{FF2B5EF4-FFF2-40B4-BE49-F238E27FC236}">
              <a16:creationId xmlns:a16="http://schemas.microsoft.com/office/drawing/2014/main" id="{15E184AA-4BC2-4F66-B942-027BEEBFA8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8" name="x_Picture 1" descr="Description: cid:image001.png@01D03949.49457930">
          <a:extLst>
            <a:ext uri="{FF2B5EF4-FFF2-40B4-BE49-F238E27FC236}">
              <a16:creationId xmlns:a16="http://schemas.microsoft.com/office/drawing/2014/main" id="{534BDD04-F483-422D-84C7-869D3D0F1A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39" name="x_Picture 1" descr="Description: cid:image001.png@01D03949.49457930">
          <a:extLst>
            <a:ext uri="{FF2B5EF4-FFF2-40B4-BE49-F238E27FC236}">
              <a16:creationId xmlns:a16="http://schemas.microsoft.com/office/drawing/2014/main" id="{1EB6C8A4-AED8-401E-9143-2AD3953A11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0" name="x_Picture 1" descr="Description: cid:image001.png@01D03949.49457930">
          <a:extLst>
            <a:ext uri="{FF2B5EF4-FFF2-40B4-BE49-F238E27FC236}">
              <a16:creationId xmlns:a16="http://schemas.microsoft.com/office/drawing/2014/main" id="{2DB14172-12AE-4ECA-8E28-754658627B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1" name="x_Picture 1" descr="Description: cid:image001.png@01D03949.49457930">
          <a:extLst>
            <a:ext uri="{FF2B5EF4-FFF2-40B4-BE49-F238E27FC236}">
              <a16:creationId xmlns:a16="http://schemas.microsoft.com/office/drawing/2014/main" id="{6E738D50-D354-41E6-A3C9-F090B25746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2" name="x_Picture 1" descr="Description: cid:image001.png@01D03949.49457930">
          <a:extLst>
            <a:ext uri="{FF2B5EF4-FFF2-40B4-BE49-F238E27FC236}">
              <a16:creationId xmlns:a16="http://schemas.microsoft.com/office/drawing/2014/main" id="{05AAA566-3CD0-4682-BC27-2B03943616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3" name="x_Picture 1" descr="Description: cid:image001.png@01D03949.49457930">
          <a:extLst>
            <a:ext uri="{FF2B5EF4-FFF2-40B4-BE49-F238E27FC236}">
              <a16:creationId xmlns:a16="http://schemas.microsoft.com/office/drawing/2014/main" id="{A8B57415-FEDA-473E-8C38-50A84E675C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4" name="x_Picture 1" descr="Description: cid:image001.png@01D03949.49457930">
          <a:extLst>
            <a:ext uri="{FF2B5EF4-FFF2-40B4-BE49-F238E27FC236}">
              <a16:creationId xmlns:a16="http://schemas.microsoft.com/office/drawing/2014/main" id="{72F60E0C-6ABC-4B5D-A8FB-22A05D6D35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5" name="x_Picture 1" descr="Description: cid:image001.png@01D03949.49457930">
          <a:extLst>
            <a:ext uri="{FF2B5EF4-FFF2-40B4-BE49-F238E27FC236}">
              <a16:creationId xmlns:a16="http://schemas.microsoft.com/office/drawing/2014/main" id="{D8A797EC-11E2-4DD8-BFDF-B9D5CE9AAF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6" name="x_Picture 1" descr="Description: cid:image001.png@01D03949.49457930">
          <a:extLst>
            <a:ext uri="{FF2B5EF4-FFF2-40B4-BE49-F238E27FC236}">
              <a16:creationId xmlns:a16="http://schemas.microsoft.com/office/drawing/2014/main" id="{C00CA6DB-4407-4E17-B86D-B89CC78D2A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7" name="x_Picture 1" descr="Description: cid:image001.png@01D03949.49457930">
          <a:extLst>
            <a:ext uri="{FF2B5EF4-FFF2-40B4-BE49-F238E27FC236}">
              <a16:creationId xmlns:a16="http://schemas.microsoft.com/office/drawing/2014/main" id="{91F5FC95-FA10-4DC1-A4B6-1A581BC412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8" name="x_Picture 1" descr="Description: cid:image001.png@01D03949.49457930">
          <a:extLst>
            <a:ext uri="{FF2B5EF4-FFF2-40B4-BE49-F238E27FC236}">
              <a16:creationId xmlns:a16="http://schemas.microsoft.com/office/drawing/2014/main" id="{E5991122-B7CB-466A-BF76-B4AEEC4CDD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49" name="x_Picture 1" descr="Description: cid:image001.png@01D03949.49457930">
          <a:extLst>
            <a:ext uri="{FF2B5EF4-FFF2-40B4-BE49-F238E27FC236}">
              <a16:creationId xmlns:a16="http://schemas.microsoft.com/office/drawing/2014/main" id="{C88E5251-F4F1-4E68-A43F-95DCC6A413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0" name="x_Picture 1" descr="Description: cid:image001.png@01D03949.49457930">
          <a:extLst>
            <a:ext uri="{FF2B5EF4-FFF2-40B4-BE49-F238E27FC236}">
              <a16:creationId xmlns:a16="http://schemas.microsoft.com/office/drawing/2014/main" id="{A907EFF2-EB37-4EB9-BBF5-1A0899C2FC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1" name="x_Picture 1" descr="Description: cid:image001.png@01D03949.49457930">
          <a:extLst>
            <a:ext uri="{FF2B5EF4-FFF2-40B4-BE49-F238E27FC236}">
              <a16:creationId xmlns:a16="http://schemas.microsoft.com/office/drawing/2014/main" id="{65DC07A4-116E-4597-876F-F6AEB2D88B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2" name="x_Picture 1" descr="Description: cid:image001.png@01D03949.49457930">
          <a:extLst>
            <a:ext uri="{FF2B5EF4-FFF2-40B4-BE49-F238E27FC236}">
              <a16:creationId xmlns:a16="http://schemas.microsoft.com/office/drawing/2014/main" id="{584841E5-DCA8-4FA1-A2A5-71AF57EAB2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3" name="x_Picture 1" descr="Description: cid:image001.png@01D03949.49457930">
          <a:extLst>
            <a:ext uri="{FF2B5EF4-FFF2-40B4-BE49-F238E27FC236}">
              <a16:creationId xmlns:a16="http://schemas.microsoft.com/office/drawing/2014/main" id="{138D0F39-9B76-4945-B76B-CAD9320803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4" name="x_Picture 1" descr="Description: cid:image001.png@01D03949.49457930">
          <a:extLst>
            <a:ext uri="{FF2B5EF4-FFF2-40B4-BE49-F238E27FC236}">
              <a16:creationId xmlns:a16="http://schemas.microsoft.com/office/drawing/2014/main" id="{24735B38-F668-4C5C-ADE1-B8295348F2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5" name="x_Picture 1" descr="Description: cid:image001.png@01D03949.49457930">
          <a:extLst>
            <a:ext uri="{FF2B5EF4-FFF2-40B4-BE49-F238E27FC236}">
              <a16:creationId xmlns:a16="http://schemas.microsoft.com/office/drawing/2014/main" id="{771AA888-97C4-4C5A-B964-8DB1C93371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6" name="x_Picture 1" descr="Description: cid:image001.png@01D03949.49457930">
          <a:extLst>
            <a:ext uri="{FF2B5EF4-FFF2-40B4-BE49-F238E27FC236}">
              <a16:creationId xmlns:a16="http://schemas.microsoft.com/office/drawing/2014/main" id="{F45C44E5-5140-41D4-95E0-A7D2B422C3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7" name="x_Picture 1" descr="Description: cid:image001.png@01D03949.49457930">
          <a:extLst>
            <a:ext uri="{FF2B5EF4-FFF2-40B4-BE49-F238E27FC236}">
              <a16:creationId xmlns:a16="http://schemas.microsoft.com/office/drawing/2014/main" id="{DC2AD7FE-6009-4D99-B30B-3F73ECD744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8" name="x_Picture 1" descr="Description: cid:image001.png@01D03949.49457930">
          <a:extLst>
            <a:ext uri="{FF2B5EF4-FFF2-40B4-BE49-F238E27FC236}">
              <a16:creationId xmlns:a16="http://schemas.microsoft.com/office/drawing/2014/main" id="{A878CAD8-6168-4D09-9923-413A43ECBB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59" name="x_Picture 1" descr="Description: cid:image001.png@01D03949.49457930">
          <a:extLst>
            <a:ext uri="{FF2B5EF4-FFF2-40B4-BE49-F238E27FC236}">
              <a16:creationId xmlns:a16="http://schemas.microsoft.com/office/drawing/2014/main" id="{ED28E468-AAFE-4FC0-A157-F78EC7B04A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0" name="x_Picture 1" descr="Description: cid:image001.png@01D03949.49457930">
          <a:extLst>
            <a:ext uri="{FF2B5EF4-FFF2-40B4-BE49-F238E27FC236}">
              <a16:creationId xmlns:a16="http://schemas.microsoft.com/office/drawing/2014/main" id="{A2258D1E-8A7A-4664-B9A8-AB4A5ADC7C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1" name="x_Picture 1" descr="Description: cid:image001.png@01D03949.49457930">
          <a:extLst>
            <a:ext uri="{FF2B5EF4-FFF2-40B4-BE49-F238E27FC236}">
              <a16:creationId xmlns:a16="http://schemas.microsoft.com/office/drawing/2014/main" id="{3FD05735-8157-4441-A630-74DD703F37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2" name="x_Picture 1" descr="Description: cid:image001.png@01D03949.49457930">
          <a:extLst>
            <a:ext uri="{FF2B5EF4-FFF2-40B4-BE49-F238E27FC236}">
              <a16:creationId xmlns:a16="http://schemas.microsoft.com/office/drawing/2014/main" id="{8A69E4D8-58AB-4067-AF05-7A098612CC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3" name="x_Picture 1" descr="Description: cid:image001.png@01D03949.49457930">
          <a:extLst>
            <a:ext uri="{FF2B5EF4-FFF2-40B4-BE49-F238E27FC236}">
              <a16:creationId xmlns:a16="http://schemas.microsoft.com/office/drawing/2014/main" id="{0E6665A7-9086-40EF-A64E-D3799E6B1F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4" name="x_Picture 1" descr="Description: cid:image001.png@01D03949.49457930">
          <a:extLst>
            <a:ext uri="{FF2B5EF4-FFF2-40B4-BE49-F238E27FC236}">
              <a16:creationId xmlns:a16="http://schemas.microsoft.com/office/drawing/2014/main" id="{1D662246-E902-4B81-AAFA-E42FB9169D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5" name="x_Picture 1" descr="Description: cid:image001.png@01D03949.49457930">
          <a:extLst>
            <a:ext uri="{FF2B5EF4-FFF2-40B4-BE49-F238E27FC236}">
              <a16:creationId xmlns:a16="http://schemas.microsoft.com/office/drawing/2014/main" id="{3A37BFC7-EA16-4BEC-BD0E-BCC149D3BE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6" name="x_Picture 1" descr="Description: cid:image001.png@01D03949.49457930">
          <a:extLst>
            <a:ext uri="{FF2B5EF4-FFF2-40B4-BE49-F238E27FC236}">
              <a16:creationId xmlns:a16="http://schemas.microsoft.com/office/drawing/2014/main" id="{644B4180-A588-4171-B52A-3574F74159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7" name="x_Picture 1" descr="Description: cid:image001.png@01D03949.49457930">
          <a:extLst>
            <a:ext uri="{FF2B5EF4-FFF2-40B4-BE49-F238E27FC236}">
              <a16:creationId xmlns:a16="http://schemas.microsoft.com/office/drawing/2014/main" id="{FE08642A-628E-44BB-A4E2-45F51108AC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8" name="x_Picture 1" descr="Description: cid:image001.png@01D03949.49457930">
          <a:extLst>
            <a:ext uri="{FF2B5EF4-FFF2-40B4-BE49-F238E27FC236}">
              <a16:creationId xmlns:a16="http://schemas.microsoft.com/office/drawing/2014/main" id="{50EB7331-3AA8-4996-A446-37D25EBE7F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69" name="x_Picture 1" descr="Description: cid:image001.png@01D03949.49457930">
          <a:extLst>
            <a:ext uri="{FF2B5EF4-FFF2-40B4-BE49-F238E27FC236}">
              <a16:creationId xmlns:a16="http://schemas.microsoft.com/office/drawing/2014/main" id="{0B4C9F49-59DF-463D-A291-081CD76EF7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0" name="x_Picture 1" descr="Description: cid:image001.png@01D03949.49457930">
          <a:extLst>
            <a:ext uri="{FF2B5EF4-FFF2-40B4-BE49-F238E27FC236}">
              <a16:creationId xmlns:a16="http://schemas.microsoft.com/office/drawing/2014/main" id="{2D934574-FCB7-4FD5-9529-9D264C82ED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1" name="x_Picture 1" descr="Description: cid:image001.png@01D03949.49457930">
          <a:extLst>
            <a:ext uri="{FF2B5EF4-FFF2-40B4-BE49-F238E27FC236}">
              <a16:creationId xmlns:a16="http://schemas.microsoft.com/office/drawing/2014/main" id="{97F43DFD-7ADE-4189-8779-5655179DFF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2" name="x_Picture 1" descr="Description: cid:image001.png@01D03949.49457930">
          <a:extLst>
            <a:ext uri="{FF2B5EF4-FFF2-40B4-BE49-F238E27FC236}">
              <a16:creationId xmlns:a16="http://schemas.microsoft.com/office/drawing/2014/main" id="{A3A473B9-D974-41D4-AD16-AB9EC58DE7F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3" name="x_Picture 1" descr="Description: cid:image001.png@01D03949.49457930">
          <a:extLst>
            <a:ext uri="{FF2B5EF4-FFF2-40B4-BE49-F238E27FC236}">
              <a16:creationId xmlns:a16="http://schemas.microsoft.com/office/drawing/2014/main" id="{DDAF9AD7-23AC-497E-A387-B9F8728E4C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4" name="x_Picture 1" descr="Description: cid:image001.png@01D03949.49457930">
          <a:extLst>
            <a:ext uri="{FF2B5EF4-FFF2-40B4-BE49-F238E27FC236}">
              <a16:creationId xmlns:a16="http://schemas.microsoft.com/office/drawing/2014/main" id="{ACD7AE34-29CC-4C43-B74B-FB7282DAF1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5" name="x_Picture 1" descr="Description: cid:image001.png@01D03949.49457930">
          <a:extLst>
            <a:ext uri="{FF2B5EF4-FFF2-40B4-BE49-F238E27FC236}">
              <a16:creationId xmlns:a16="http://schemas.microsoft.com/office/drawing/2014/main" id="{4A44D937-FC74-42EE-85EE-1DE3EF77B7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6" name="x_Picture 1" descr="Description: cid:image001.png@01D03949.49457930">
          <a:extLst>
            <a:ext uri="{FF2B5EF4-FFF2-40B4-BE49-F238E27FC236}">
              <a16:creationId xmlns:a16="http://schemas.microsoft.com/office/drawing/2014/main" id="{E72177D4-8D49-42ED-8DD3-6720F28AA1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7" name="x_Picture 1" descr="Description: cid:image001.png@01D03949.49457930">
          <a:extLst>
            <a:ext uri="{FF2B5EF4-FFF2-40B4-BE49-F238E27FC236}">
              <a16:creationId xmlns:a16="http://schemas.microsoft.com/office/drawing/2014/main" id="{6EB6C7DD-DBF9-4D6D-B494-21BED3B482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8" name="x_Picture 1" descr="Description: cid:image001.png@01D03949.49457930">
          <a:extLst>
            <a:ext uri="{FF2B5EF4-FFF2-40B4-BE49-F238E27FC236}">
              <a16:creationId xmlns:a16="http://schemas.microsoft.com/office/drawing/2014/main" id="{A8FE1FCD-A03D-46EA-AAB8-471C5FA70D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79" name="x_Picture 1" descr="Description: cid:image001.png@01D03949.49457930">
          <a:extLst>
            <a:ext uri="{FF2B5EF4-FFF2-40B4-BE49-F238E27FC236}">
              <a16:creationId xmlns:a16="http://schemas.microsoft.com/office/drawing/2014/main" id="{EFF9D716-62BA-470F-83E5-4CDCC3C8C1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0" name="x_Picture 1" descr="Description: cid:image001.png@01D03949.49457930">
          <a:extLst>
            <a:ext uri="{FF2B5EF4-FFF2-40B4-BE49-F238E27FC236}">
              <a16:creationId xmlns:a16="http://schemas.microsoft.com/office/drawing/2014/main" id="{24EACC7C-5AD8-4CEB-9FF0-7C5BDB1006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1" name="x_Picture 1" descr="Description: cid:image001.png@01D03949.49457930">
          <a:extLst>
            <a:ext uri="{FF2B5EF4-FFF2-40B4-BE49-F238E27FC236}">
              <a16:creationId xmlns:a16="http://schemas.microsoft.com/office/drawing/2014/main" id="{B91CD6C4-E323-4F84-B93D-F174504361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2" name="x_Picture 1" descr="Description: cid:image001.png@01D03949.49457930">
          <a:extLst>
            <a:ext uri="{FF2B5EF4-FFF2-40B4-BE49-F238E27FC236}">
              <a16:creationId xmlns:a16="http://schemas.microsoft.com/office/drawing/2014/main" id="{943B6C3A-0F19-40A2-BB26-ADCAD031D0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3" name="x_Picture 1" descr="Description: cid:image001.png@01D03949.49457930">
          <a:extLst>
            <a:ext uri="{FF2B5EF4-FFF2-40B4-BE49-F238E27FC236}">
              <a16:creationId xmlns:a16="http://schemas.microsoft.com/office/drawing/2014/main" id="{40E7D354-B23A-4EA7-93FA-E917E3F077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4" name="x_Picture 1" descr="Description: cid:image001.png@01D03949.49457930">
          <a:extLst>
            <a:ext uri="{FF2B5EF4-FFF2-40B4-BE49-F238E27FC236}">
              <a16:creationId xmlns:a16="http://schemas.microsoft.com/office/drawing/2014/main" id="{6F1345F0-6EBA-42D2-B24D-D2B86E7B69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5" name="x_Picture 1" descr="Description: cid:image001.png@01D03949.49457930">
          <a:extLst>
            <a:ext uri="{FF2B5EF4-FFF2-40B4-BE49-F238E27FC236}">
              <a16:creationId xmlns:a16="http://schemas.microsoft.com/office/drawing/2014/main" id="{6DD3D6A5-FA0A-4B66-BEDA-08506857D7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6" name="x_Picture 1" descr="Description: cid:image001.png@01D03949.49457930">
          <a:extLst>
            <a:ext uri="{FF2B5EF4-FFF2-40B4-BE49-F238E27FC236}">
              <a16:creationId xmlns:a16="http://schemas.microsoft.com/office/drawing/2014/main" id="{446E851A-4F2E-41A0-ACFD-75815F1C76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7" name="x_Picture 1" descr="Description: cid:image001.png@01D03949.49457930">
          <a:extLst>
            <a:ext uri="{FF2B5EF4-FFF2-40B4-BE49-F238E27FC236}">
              <a16:creationId xmlns:a16="http://schemas.microsoft.com/office/drawing/2014/main" id="{7D65C1BB-7330-490D-882F-2882940382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8" name="x_Picture 1" descr="Description: cid:image001.png@01D03949.49457930">
          <a:extLst>
            <a:ext uri="{FF2B5EF4-FFF2-40B4-BE49-F238E27FC236}">
              <a16:creationId xmlns:a16="http://schemas.microsoft.com/office/drawing/2014/main" id="{E7BC6EF8-B0DF-4B38-9949-67786D6152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89" name="x_Picture 1" descr="Description: cid:image001.png@01D03949.49457930">
          <a:extLst>
            <a:ext uri="{FF2B5EF4-FFF2-40B4-BE49-F238E27FC236}">
              <a16:creationId xmlns:a16="http://schemas.microsoft.com/office/drawing/2014/main" id="{D23AE29F-6FCD-4930-9DA8-A8582D98F6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0" name="x_Picture 1" descr="Description: cid:image001.png@01D03949.49457930">
          <a:extLst>
            <a:ext uri="{FF2B5EF4-FFF2-40B4-BE49-F238E27FC236}">
              <a16:creationId xmlns:a16="http://schemas.microsoft.com/office/drawing/2014/main" id="{45DDCBC4-ADEA-4ADC-8409-61894DC042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1" name="x_Picture 1" descr="Description: cid:image001.png@01D03949.49457930">
          <a:extLst>
            <a:ext uri="{FF2B5EF4-FFF2-40B4-BE49-F238E27FC236}">
              <a16:creationId xmlns:a16="http://schemas.microsoft.com/office/drawing/2014/main" id="{89C8BE71-B023-4C14-B2BF-CAD81FA14B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2" name="x_Picture 1" descr="Description: cid:image001.png@01D03949.49457930">
          <a:extLst>
            <a:ext uri="{FF2B5EF4-FFF2-40B4-BE49-F238E27FC236}">
              <a16:creationId xmlns:a16="http://schemas.microsoft.com/office/drawing/2014/main" id="{F3DED735-BAD3-46EA-82DF-619CFAED29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3" name="x_Picture 1" descr="Description: cid:image001.png@01D03949.49457930">
          <a:extLst>
            <a:ext uri="{FF2B5EF4-FFF2-40B4-BE49-F238E27FC236}">
              <a16:creationId xmlns:a16="http://schemas.microsoft.com/office/drawing/2014/main" id="{1EC4BE5F-3D54-4191-A0EA-45C6AAF389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4" name="x_Picture 1" descr="Description: cid:image001.png@01D03949.49457930">
          <a:extLst>
            <a:ext uri="{FF2B5EF4-FFF2-40B4-BE49-F238E27FC236}">
              <a16:creationId xmlns:a16="http://schemas.microsoft.com/office/drawing/2014/main" id="{A3060B15-CA32-4D2D-BE5B-7516DE0C44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5" name="x_Picture 1" descr="Description: cid:image001.png@01D03949.49457930">
          <a:extLst>
            <a:ext uri="{FF2B5EF4-FFF2-40B4-BE49-F238E27FC236}">
              <a16:creationId xmlns:a16="http://schemas.microsoft.com/office/drawing/2014/main" id="{41387EB1-FDB3-4B72-ABB6-987C9EDA264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6" name="x_Picture 1" descr="Description: cid:image001.png@01D03949.49457930">
          <a:extLst>
            <a:ext uri="{FF2B5EF4-FFF2-40B4-BE49-F238E27FC236}">
              <a16:creationId xmlns:a16="http://schemas.microsoft.com/office/drawing/2014/main" id="{94B25E76-A4AE-48D6-8CD2-430C3D2B42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7" name="x_Picture 1" descr="Description: cid:image001.png@01D03949.49457930">
          <a:extLst>
            <a:ext uri="{FF2B5EF4-FFF2-40B4-BE49-F238E27FC236}">
              <a16:creationId xmlns:a16="http://schemas.microsoft.com/office/drawing/2014/main" id="{ECE45DF2-A763-44E0-9179-85882E89EF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8" name="x_Picture 1" descr="Description: cid:image001.png@01D03949.49457930">
          <a:extLst>
            <a:ext uri="{FF2B5EF4-FFF2-40B4-BE49-F238E27FC236}">
              <a16:creationId xmlns:a16="http://schemas.microsoft.com/office/drawing/2014/main" id="{FB2EA7C3-9AD0-48A0-8310-12D3833AC6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499" name="x_Picture 1" descr="Description: cid:image001.png@01D03949.49457930">
          <a:extLst>
            <a:ext uri="{FF2B5EF4-FFF2-40B4-BE49-F238E27FC236}">
              <a16:creationId xmlns:a16="http://schemas.microsoft.com/office/drawing/2014/main" id="{322D1591-0405-41E8-8966-E8A65E246D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0" name="x_Picture 1" descr="Description: cid:image001.png@01D03949.49457930">
          <a:extLst>
            <a:ext uri="{FF2B5EF4-FFF2-40B4-BE49-F238E27FC236}">
              <a16:creationId xmlns:a16="http://schemas.microsoft.com/office/drawing/2014/main" id="{04B588A4-E2D3-4334-9430-27C6006E69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1" name="x_Picture 1" descr="Description: cid:image001.png@01D03949.49457930">
          <a:extLst>
            <a:ext uri="{FF2B5EF4-FFF2-40B4-BE49-F238E27FC236}">
              <a16:creationId xmlns:a16="http://schemas.microsoft.com/office/drawing/2014/main" id="{BD1BA52D-DECA-4D6E-97F3-0F9C07760B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2" name="x_Picture 1" descr="Description: cid:image001.png@01D03949.49457930">
          <a:extLst>
            <a:ext uri="{FF2B5EF4-FFF2-40B4-BE49-F238E27FC236}">
              <a16:creationId xmlns:a16="http://schemas.microsoft.com/office/drawing/2014/main" id="{F4438614-D598-4749-BB32-08D85D1578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3" name="x_Picture 1" descr="Description: cid:image001.png@01D03949.49457930">
          <a:extLst>
            <a:ext uri="{FF2B5EF4-FFF2-40B4-BE49-F238E27FC236}">
              <a16:creationId xmlns:a16="http://schemas.microsoft.com/office/drawing/2014/main" id="{0B0F6DEB-1F8A-4331-A832-E64C9F343A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4" name="x_Picture 1" descr="Description: cid:image001.png@01D03949.49457930">
          <a:extLst>
            <a:ext uri="{FF2B5EF4-FFF2-40B4-BE49-F238E27FC236}">
              <a16:creationId xmlns:a16="http://schemas.microsoft.com/office/drawing/2014/main" id="{20782276-9B52-42EE-93E4-E03F8DEEFE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5" name="x_Picture 1" descr="Description: cid:image001.png@01D03949.49457930">
          <a:extLst>
            <a:ext uri="{FF2B5EF4-FFF2-40B4-BE49-F238E27FC236}">
              <a16:creationId xmlns:a16="http://schemas.microsoft.com/office/drawing/2014/main" id="{D6752E97-BCC7-44C5-97B8-4825B23CE0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6" name="x_Picture 1" descr="Description: cid:image001.png@01D03949.49457930">
          <a:extLst>
            <a:ext uri="{FF2B5EF4-FFF2-40B4-BE49-F238E27FC236}">
              <a16:creationId xmlns:a16="http://schemas.microsoft.com/office/drawing/2014/main" id="{E098840E-9808-4A92-99BD-ECEDF4D246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7" name="x_Picture 1" descr="Description: cid:image001.png@01D03949.49457930">
          <a:extLst>
            <a:ext uri="{FF2B5EF4-FFF2-40B4-BE49-F238E27FC236}">
              <a16:creationId xmlns:a16="http://schemas.microsoft.com/office/drawing/2014/main" id="{167BED0E-D032-43F4-9E00-C090D637CF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8" name="x_Picture 1" descr="Description: cid:image001.png@01D03949.49457930">
          <a:extLst>
            <a:ext uri="{FF2B5EF4-FFF2-40B4-BE49-F238E27FC236}">
              <a16:creationId xmlns:a16="http://schemas.microsoft.com/office/drawing/2014/main" id="{A358CFB0-1273-4B1C-BDE8-6C29ED1528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09" name="x_Picture 1" descr="Description: cid:image001.png@01D03949.49457930">
          <a:extLst>
            <a:ext uri="{FF2B5EF4-FFF2-40B4-BE49-F238E27FC236}">
              <a16:creationId xmlns:a16="http://schemas.microsoft.com/office/drawing/2014/main" id="{BDF67E02-A3E6-4116-B52A-88D4219A89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0" name="x_Picture 1" descr="Description: cid:image001.png@01D03949.49457930">
          <a:extLst>
            <a:ext uri="{FF2B5EF4-FFF2-40B4-BE49-F238E27FC236}">
              <a16:creationId xmlns:a16="http://schemas.microsoft.com/office/drawing/2014/main" id="{CBF30352-8EFE-4D9D-8F68-0AFB705FD0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1" name="x_Picture 1" descr="Description: cid:image001.png@01D03949.49457930">
          <a:extLst>
            <a:ext uri="{FF2B5EF4-FFF2-40B4-BE49-F238E27FC236}">
              <a16:creationId xmlns:a16="http://schemas.microsoft.com/office/drawing/2014/main" id="{07142A11-0B21-4046-B9E0-B5BBDB9D26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2" name="x_Picture 1" descr="Description: cid:image001.png@01D03949.49457930">
          <a:extLst>
            <a:ext uri="{FF2B5EF4-FFF2-40B4-BE49-F238E27FC236}">
              <a16:creationId xmlns:a16="http://schemas.microsoft.com/office/drawing/2014/main" id="{55BC396E-D773-4546-B48B-63806639F47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3" name="x_Picture 1" descr="Description: cid:image001.png@01D03949.49457930">
          <a:extLst>
            <a:ext uri="{FF2B5EF4-FFF2-40B4-BE49-F238E27FC236}">
              <a16:creationId xmlns:a16="http://schemas.microsoft.com/office/drawing/2014/main" id="{3FDCC283-B647-40EB-B80B-D0BA1CD4EE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4" name="x_Picture 1" descr="Description: cid:image001.png@01D03949.49457930">
          <a:extLst>
            <a:ext uri="{FF2B5EF4-FFF2-40B4-BE49-F238E27FC236}">
              <a16:creationId xmlns:a16="http://schemas.microsoft.com/office/drawing/2014/main" id="{2327C78B-D97D-449E-83AE-C9685B6389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5" name="x_Picture 1" descr="Description: cid:image001.png@01D03949.49457930">
          <a:extLst>
            <a:ext uri="{FF2B5EF4-FFF2-40B4-BE49-F238E27FC236}">
              <a16:creationId xmlns:a16="http://schemas.microsoft.com/office/drawing/2014/main" id="{CE5BF962-4604-4577-AFDA-4DA8EEB843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6" name="x_Picture 1" descr="Description: cid:image001.png@01D03949.49457930">
          <a:extLst>
            <a:ext uri="{FF2B5EF4-FFF2-40B4-BE49-F238E27FC236}">
              <a16:creationId xmlns:a16="http://schemas.microsoft.com/office/drawing/2014/main" id="{A4444C63-6F86-47BE-B102-620EC8A69F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7" name="x_Picture 1" descr="Description: cid:image001.png@01D03949.49457930">
          <a:extLst>
            <a:ext uri="{FF2B5EF4-FFF2-40B4-BE49-F238E27FC236}">
              <a16:creationId xmlns:a16="http://schemas.microsoft.com/office/drawing/2014/main" id="{BB71FBA6-12E8-423C-88EC-26A84B9D5C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8" name="x_Picture 1" descr="Description: cid:image001.png@01D03949.49457930">
          <a:extLst>
            <a:ext uri="{FF2B5EF4-FFF2-40B4-BE49-F238E27FC236}">
              <a16:creationId xmlns:a16="http://schemas.microsoft.com/office/drawing/2014/main" id="{01450014-1FD0-4F54-AAE6-F4D85278CD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19" name="x_Picture 1" descr="Description: cid:image001.png@01D03949.49457930">
          <a:extLst>
            <a:ext uri="{FF2B5EF4-FFF2-40B4-BE49-F238E27FC236}">
              <a16:creationId xmlns:a16="http://schemas.microsoft.com/office/drawing/2014/main" id="{76AD606A-BE1E-4CE1-9A84-D9BC03AEEB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0" name="x_Picture 1" descr="Description: cid:image001.png@01D03949.49457930">
          <a:extLst>
            <a:ext uri="{FF2B5EF4-FFF2-40B4-BE49-F238E27FC236}">
              <a16:creationId xmlns:a16="http://schemas.microsoft.com/office/drawing/2014/main" id="{F42CDBB6-A834-43DD-8745-92C39D3792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1" name="x_Picture 1" descr="Description: cid:image001.png@01D03949.49457930">
          <a:extLst>
            <a:ext uri="{FF2B5EF4-FFF2-40B4-BE49-F238E27FC236}">
              <a16:creationId xmlns:a16="http://schemas.microsoft.com/office/drawing/2014/main" id="{4FE83CE3-DFD9-4437-BCDF-AA3EDFF6B7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2" name="x_Picture 1" descr="Description: cid:image001.png@01D03949.49457930">
          <a:extLst>
            <a:ext uri="{FF2B5EF4-FFF2-40B4-BE49-F238E27FC236}">
              <a16:creationId xmlns:a16="http://schemas.microsoft.com/office/drawing/2014/main" id="{0D2EA41C-D8A3-4757-9E37-BE341AF8BB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3" name="x_Picture 1" descr="Description: cid:image001.png@01D03949.49457930">
          <a:extLst>
            <a:ext uri="{FF2B5EF4-FFF2-40B4-BE49-F238E27FC236}">
              <a16:creationId xmlns:a16="http://schemas.microsoft.com/office/drawing/2014/main" id="{43597030-F695-4821-BF8A-B6EDBF320C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4" name="x_Picture 1" descr="Description: cid:image001.png@01D03949.49457930">
          <a:extLst>
            <a:ext uri="{FF2B5EF4-FFF2-40B4-BE49-F238E27FC236}">
              <a16:creationId xmlns:a16="http://schemas.microsoft.com/office/drawing/2014/main" id="{6915BA92-B210-440D-B436-9EF77A76F0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5" name="x_Picture 1" descr="Description: cid:image001.png@01D03949.49457930">
          <a:extLst>
            <a:ext uri="{FF2B5EF4-FFF2-40B4-BE49-F238E27FC236}">
              <a16:creationId xmlns:a16="http://schemas.microsoft.com/office/drawing/2014/main" id="{CCA8C120-2A6A-4527-82F3-FE436C1AD06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6" name="x_Picture 1" descr="Description: cid:image001.png@01D03949.49457930">
          <a:extLst>
            <a:ext uri="{FF2B5EF4-FFF2-40B4-BE49-F238E27FC236}">
              <a16:creationId xmlns:a16="http://schemas.microsoft.com/office/drawing/2014/main" id="{6BD768D8-BB9D-44A8-BD76-87C5E39290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7" name="x_Picture 1" descr="Description: cid:image001.png@01D03949.49457930">
          <a:extLst>
            <a:ext uri="{FF2B5EF4-FFF2-40B4-BE49-F238E27FC236}">
              <a16:creationId xmlns:a16="http://schemas.microsoft.com/office/drawing/2014/main" id="{F42683BD-A813-4B3A-A356-C116C37B38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8" name="x_Picture 1" descr="Description: cid:image001.png@01D03949.49457930">
          <a:extLst>
            <a:ext uri="{FF2B5EF4-FFF2-40B4-BE49-F238E27FC236}">
              <a16:creationId xmlns:a16="http://schemas.microsoft.com/office/drawing/2014/main" id="{D18F737D-82EF-4F88-A7A9-F3A0CD4ED3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29" name="x_Picture 1" descr="Description: cid:image001.png@01D03949.49457930">
          <a:extLst>
            <a:ext uri="{FF2B5EF4-FFF2-40B4-BE49-F238E27FC236}">
              <a16:creationId xmlns:a16="http://schemas.microsoft.com/office/drawing/2014/main" id="{35B8BEBA-AEA0-4862-BD4B-C7FC01FAFE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0" name="x_Picture 1" descr="Description: cid:image001.png@01D03949.49457930">
          <a:extLst>
            <a:ext uri="{FF2B5EF4-FFF2-40B4-BE49-F238E27FC236}">
              <a16:creationId xmlns:a16="http://schemas.microsoft.com/office/drawing/2014/main" id="{B4E65191-A71E-46F9-A386-4716A85FA1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1" name="x_Picture 1" descr="Description: cid:image001.png@01D03949.49457930">
          <a:extLst>
            <a:ext uri="{FF2B5EF4-FFF2-40B4-BE49-F238E27FC236}">
              <a16:creationId xmlns:a16="http://schemas.microsoft.com/office/drawing/2014/main" id="{C7C4B653-567F-478A-B897-B7B5F252E7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2" name="x_Picture 1" descr="Description: cid:image001.png@01D03949.49457930">
          <a:extLst>
            <a:ext uri="{FF2B5EF4-FFF2-40B4-BE49-F238E27FC236}">
              <a16:creationId xmlns:a16="http://schemas.microsoft.com/office/drawing/2014/main" id="{0797B7F5-2A9A-4F11-9190-B24DCD4006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3" name="x_Picture 1" descr="Description: cid:image001.png@01D03949.49457930">
          <a:extLst>
            <a:ext uri="{FF2B5EF4-FFF2-40B4-BE49-F238E27FC236}">
              <a16:creationId xmlns:a16="http://schemas.microsoft.com/office/drawing/2014/main" id="{4B6D2EAB-D95D-481D-B3AA-5FBB13CAE9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4" name="x_Picture 1" descr="Description: cid:image001.png@01D03949.49457930">
          <a:extLst>
            <a:ext uri="{FF2B5EF4-FFF2-40B4-BE49-F238E27FC236}">
              <a16:creationId xmlns:a16="http://schemas.microsoft.com/office/drawing/2014/main" id="{203BBA84-E39D-4EE2-9266-F8C5F48A33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5" name="x_Picture 1" descr="Description: cid:image001.png@01D03949.49457930">
          <a:extLst>
            <a:ext uri="{FF2B5EF4-FFF2-40B4-BE49-F238E27FC236}">
              <a16:creationId xmlns:a16="http://schemas.microsoft.com/office/drawing/2014/main" id="{07DE46BD-5DD6-40D8-BBF6-6339CF6C0B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6" name="x_Picture 1" descr="Description: cid:image001.png@01D03949.49457930">
          <a:extLst>
            <a:ext uri="{FF2B5EF4-FFF2-40B4-BE49-F238E27FC236}">
              <a16:creationId xmlns:a16="http://schemas.microsoft.com/office/drawing/2014/main" id="{2D0EE8D8-2B43-4E4D-95E9-EE79237ACE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7" name="x_Picture 1" descr="Description: cid:image001.png@01D03949.49457930">
          <a:extLst>
            <a:ext uri="{FF2B5EF4-FFF2-40B4-BE49-F238E27FC236}">
              <a16:creationId xmlns:a16="http://schemas.microsoft.com/office/drawing/2014/main" id="{F30F80DD-F928-4808-8D0B-59C13A7240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8" name="x_Picture 1" descr="Description: cid:image001.png@01D03949.49457930">
          <a:extLst>
            <a:ext uri="{FF2B5EF4-FFF2-40B4-BE49-F238E27FC236}">
              <a16:creationId xmlns:a16="http://schemas.microsoft.com/office/drawing/2014/main" id="{FB79AF3C-D730-48C1-BCB5-0E454504CA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39" name="x_Picture 1" descr="Description: cid:image001.png@01D03949.49457930">
          <a:extLst>
            <a:ext uri="{FF2B5EF4-FFF2-40B4-BE49-F238E27FC236}">
              <a16:creationId xmlns:a16="http://schemas.microsoft.com/office/drawing/2014/main" id="{BBD34C9D-D03E-45E6-B51D-A6EA9DF09F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0" name="x_Picture 1" descr="Description: cid:image001.png@01D03949.49457930">
          <a:extLst>
            <a:ext uri="{FF2B5EF4-FFF2-40B4-BE49-F238E27FC236}">
              <a16:creationId xmlns:a16="http://schemas.microsoft.com/office/drawing/2014/main" id="{3538E9BC-3808-41E7-8816-E12C40C3913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1" name="x_Picture 1" descr="Description: cid:image001.png@01D03949.49457930">
          <a:extLst>
            <a:ext uri="{FF2B5EF4-FFF2-40B4-BE49-F238E27FC236}">
              <a16:creationId xmlns:a16="http://schemas.microsoft.com/office/drawing/2014/main" id="{5E44F393-4AC4-4AC3-A31A-B0DB8EFCB6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2" name="x_Picture 1" descr="Description: cid:image001.png@01D03949.49457930">
          <a:extLst>
            <a:ext uri="{FF2B5EF4-FFF2-40B4-BE49-F238E27FC236}">
              <a16:creationId xmlns:a16="http://schemas.microsoft.com/office/drawing/2014/main" id="{0F4D7048-CF5C-46B2-A0EC-418C92FE17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3" name="x_Picture 1" descr="Description: cid:image001.png@01D03949.49457930">
          <a:extLst>
            <a:ext uri="{FF2B5EF4-FFF2-40B4-BE49-F238E27FC236}">
              <a16:creationId xmlns:a16="http://schemas.microsoft.com/office/drawing/2014/main" id="{66CC9F7B-DFCB-4E0A-8F9E-2BCFD643F8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4" name="x_Picture 1" descr="Description: cid:image001.png@01D03949.49457930">
          <a:extLst>
            <a:ext uri="{FF2B5EF4-FFF2-40B4-BE49-F238E27FC236}">
              <a16:creationId xmlns:a16="http://schemas.microsoft.com/office/drawing/2014/main" id="{E0D96150-4030-47B1-9F78-E0309AA896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5" name="x_Picture 1" descr="Description: cid:image001.png@01D03949.49457930">
          <a:extLst>
            <a:ext uri="{FF2B5EF4-FFF2-40B4-BE49-F238E27FC236}">
              <a16:creationId xmlns:a16="http://schemas.microsoft.com/office/drawing/2014/main" id="{A5649176-BD0C-4BC9-89C1-5EC12A9F73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6" name="x_Picture 1" descr="Description: cid:image001.png@01D03949.49457930">
          <a:extLst>
            <a:ext uri="{FF2B5EF4-FFF2-40B4-BE49-F238E27FC236}">
              <a16:creationId xmlns:a16="http://schemas.microsoft.com/office/drawing/2014/main" id="{C536FB01-8927-4E99-8414-CF029268E7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7" name="x_Picture 1" descr="Description: cid:image001.png@01D03949.49457930">
          <a:extLst>
            <a:ext uri="{FF2B5EF4-FFF2-40B4-BE49-F238E27FC236}">
              <a16:creationId xmlns:a16="http://schemas.microsoft.com/office/drawing/2014/main" id="{B5D603E2-AD57-4B95-93FB-6C3F6593B5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8" name="x_Picture 1" descr="Description: cid:image001.png@01D03949.49457930">
          <a:extLst>
            <a:ext uri="{FF2B5EF4-FFF2-40B4-BE49-F238E27FC236}">
              <a16:creationId xmlns:a16="http://schemas.microsoft.com/office/drawing/2014/main" id="{6805A1F4-CDF6-4EB5-B5E4-CFFF658645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49" name="x_Picture 1" descr="Description: cid:image001.png@01D03949.49457930">
          <a:extLst>
            <a:ext uri="{FF2B5EF4-FFF2-40B4-BE49-F238E27FC236}">
              <a16:creationId xmlns:a16="http://schemas.microsoft.com/office/drawing/2014/main" id="{97BC6E73-FE61-43CA-AED2-EFCBC23F0A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0" name="x_Picture 1" descr="Description: cid:image001.png@01D03949.49457930">
          <a:extLst>
            <a:ext uri="{FF2B5EF4-FFF2-40B4-BE49-F238E27FC236}">
              <a16:creationId xmlns:a16="http://schemas.microsoft.com/office/drawing/2014/main" id="{5A877EFC-E4ED-451A-9F7A-ECF265306A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1" name="x_Picture 1" descr="Description: cid:image001.png@01D03949.49457930">
          <a:extLst>
            <a:ext uri="{FF2B5EF4-FFF2-40B4-BE49-F238E27FC236}">
              <a16:creationId xmlns:a16="http://schemas.microsoft.com/office/drawing/2014/main" id="{27FCD8C5-42C9-4EFA-8210-25F15A2BF9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2" name="x_Picture 1" descr="Description: cid:image001.png@01D03949.49457930">
          <a:extLst>
            <a:ext uri="{FF2B5EF4-FFF2-40B4-BE49-F238E27FC236}">
              <a16:creationId xmlns:a16="http://schemas.microsoft.com/office/drawing/2014/main" id="{565D25D6-F22D-4710-BA98-3B3FEEB364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3" name="x_Picture 1" descr="Description: cid:image001.png@01D03949.49457930">
          <a:extLst>
            <a:ext uri="{FF2B5EF4-FFF2-40B4-BE49-F238E27FC236}">
              <a16:creationId xmlns:a16="http://schemas.microsoft.com/office/drawing/2014/main" id="{735EE517-142F-47BA-ABD6-9F0FA11467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4" name="x_Picture 1" descr="Description: cid:image001.png@01D03949.49457930">
          <a:extLst>
            <a:ext uri="{FF2B5EF4-FFF2-40B4-BE49-F238E27FC236}">
              <a16:creationId xmlns:a16="http://schemas.microsoft.com/office/drawing/2014/main" id="{CFFF55DC-1D9D-4E16-9FF7-ABEE8E4DD5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5" name="x_Picture 1" descr="Description: cid:image001.png@01D03949.49457930">
          <a:extLst>
            <a:ext uri="{FF2B5EF4-FFF2-40B4-BE49-F238E27FC236}">
              <a16:creationId xmlns:a16="http://schemas.microsoft.com/office/drawing/2014/main" id="{D2E7FF0F-900F-48E4-AD47-76A39897AD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6" name="x_Picture 1" descr="Description: cid:image001.png@01D03949.49457930">
          <a:extLst>
            <a:ext uri="{FF2B5EF4-FFF2-40B4-BE49-F238E27FC236}">
              <a16:creationId xmlns:a16="http://schemas.microsoft.com/office/drawing/2014/main" id="{057C083B-5822-4F11-A85F-7D301B69D3F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7" name="x_Picture 1" descr="Description: cid:image001.png@01D03949.49457930">
          <a:extLst>
            <a:ext uri="{FF2B5EF4-FFF2-40B4-BE49-F238E27FC236}">
              <a16:creationId xmlns:a16="http://schemas.microsoft.com/office/drawing/2014/main" id="{83B3A5F3-8F9E-4CD7-81A5-5A0751FD5B2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8" name="x_Picture 1" descr="Description: cid:image001.png@01D03949.49457930">
          <a:extLst>
            <a:ext uri="{FF2B5EF4-FFF2-40B4-BE49-F238E27FC236}">
              <a16:creationId xmlns:a16="http://schemas.microsoft.com/office/drawing/2014/main" id="{7D946BF0-3252-4937-A7E5-7406D01BD5F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59" name="x_Picture 1" descr="Description: cid:image001.png@01D03949.49457930">
          <a:extLst>
            <a:ext uri="{FF2B5EF4-FFF2-40B4-BE49-F238E27FC236}">
              <a16:creationId xmlns:a16="http://schemas.microsoft.com/office/drawing/2014/main" id="{68FF2E17-3080-4E42-B986-5989C2F884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0" name="x_Picture 1" descr="Description: cid:image001.png@01D03949.49457930">
          <a:extLst>
            <a:ext uri="{FF2B5EF4-FFF2-40B4-BE49-F238E27FC236}">
              <a16:creationId xmlns:a16="http://schemas.microsoft.com/office/drawing/2014/main" id="{FFC8C7F8-E1B6-479E-B60B-7D0E42B43F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1" name="x_Picture 1" descr="Description: cid:image001.png@01D03949.49457930">
          <a:extLst>
            <a:ext uri="{FF2B5EF4-FFF2-40B4-BE49-F238E27FC236}">
              <a16:creationId xmlns:a16="http://schemas.microsoft.com/office/drawing/2014/main" id="{00B346A0-161A-4E23-9860-A89AEED26A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2" name="x_Picture 1" descr="Description: cid:image001.png@01D03949.49457930">
          <a:extLst>
            <a:ext uri="{FF2B5EF4-FFF2-40B4-BE49-F238E27FC236}">
              <a16:creationId xmlns:a16="http://schemas.microsoft.com/office/drawing/2014/main" id="{76A656C6-9EDA-4634-BF28-21E68B6FF2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3" name="x_Picture 1" descr="Description: cid:image001.png@01D03949.49457930">
          <a:extLst>
            <a:ext uri="{FF2B5EF4-FFF2-40B4-BE49-F238E27FC236}">
              <a16:creationId xmlns:a16="http://schemas.microsoft.com/office/drawing/2014/main" id="{B28115A8-3438-405F-AFDE-C6E9502B1D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4" name="x_Picture 1" descr="Description: cid:image001.png@01D03949.49457930">
          <a:extLst>
            <a:ext uri="{FF2B5EF4-FFF2-40B4-BE49-F238E27FC236}">
              <a16:creationId xmlns:a16="http://schemas.microsoft.com/office/drawing/2014/main" id="{03902009-4900-456D-9B3E-6A97AD4E81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5" name="x_Picture 1" descr="Description: cid:image001.png@01D03949.49457930">
          <a:extLst>
            <a:ext uri="{FF2B5EF4-FFF2-40B4-BE49-F238E27FC236}">
              <a16:creationId xmlns:a16="http://schemas.microsoft.com/office/drawing/2014/main" id="{EE930804-02F6-4360-B169-A468360834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6" name="x_Picture 1" descr="Description: cid:image001.png@01D03949.49457930">
          <a:extLst>
            <a:ext uri="{FF2B5EF4-FFF2-40B4-BE49-F238E27FC236}">
              <a16:creationId xmlns:a16="http://schemas.microsoft.com/office/drawing/2014/main" id="{7441F24E-A6F8-4D44-935E-3FA00A3B2C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7" name="x_Picture 1" descr="Description: cid:image001.png@01D03949.49457930">
          <a:extLst>
            <a:ext uri="{FF2B5EF4-FFF2-40B4-BE49-F238E27FC236}">
              <a16:creationId xmlns:a16="http://schemas.microsoft.com/office/drawing/2014/main" id="{3C98C4FA-D646-482A-A767-BBB007D0D0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8" name="x_Picture 1" descr="Description: cid:image001.png@01D03949.49457930">
          <a:extLst>
            <a:ext uri="{FF2B5EF4-FFF2-40B4-BE49-F238E27FC236}">
              <a16:creationId xmlns:a16="http://schemas.microsoft.com/office/drawing/2014/main" id="{27150D7E-95AF-4F8D-B9FA-0DE2AD2D1C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69" name="x_Picture 1" descr="Description: cid:image001.png@01D03949.49457930">
          <a:extLst>
            <a:ext uri="{FF2B5EF4-FFF2-40B4-BE49-F238E27FC236}">
              <a16:creationId xmlns:a16="http://schemas.microsoft.com/office/drawing/2014/main" id="{A53BD298-07D7-474D-B27E-AC4E361481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0" name="x_Picture 1" descr="Description: cid:image001.png@01D03949.49457930">
          <a:extLst>
            <a:ext uri="{FF2B5EF4-FFF2-40B4-BE49-F238E27FC236}">
              <a16:creationId xmlns:a16="http://schemas.microsoft.com/office/drawing/2014/main" id="{E3AFC298-172C-447F-9241-F5DA9CDFC6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1" name="x_Picture 1" descr="Description: cid:image001.png@01D03949.49457930">
          <a:extLst>
            <a:ext uri="{FF2B5EF4-FFF2-40B4-BE49-F238E27FC236}">
              <a16:creationId xmlns:a16="http://schemas.microsoft.com/office/drawing/2014/main" id="{D46360DE-B2E6-4CF3-A11C-BF519CFE4E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2" name="x_Picture 1" descr="Description: cid:image001.png@01D03949.49457930">
          <a:extLst>
            <a:ext uri="{FF2B5EF4-FFF2-40B4-BE49-F238E27FC236}">
              <a16:creationId xmlns:a16="http://schemas.microsoft.com/office/drawing/2014/main" id="{0BB932B5-E173-43DD-A1B3-D5AC5D1E89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3" name="x_Picture 1" descr="Description: cid:image001.png@01D03949.49457930">
          <a:extLst>
            <a:ext uri="{FF2B5EF4-FFF2-40B4-BE49-F238E27FC236}">
              <a16:creationId xmlns:a16="http://schemas.microsoft.com/office/drawing/2014/main" id="{2FEE7CD8-1C89-4F00-A76B-086F25524C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4" name="x_Picture 1" descr="Description: cid:image001.png@01D03949.49457930">
          <a:extLst>
            <a:ext uri="{FF2B5EF4-FFF2-40B4-BE49-F238E27FC236}">
              <a16:creationId xmlns:a16="http://schemas.microsoft.com/office/drawing/2014/main" id="{3214C086-2677-44E2-BAA2-DF1B685222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5" name="x_Picture 1" descr="Description: cid:image001.png@01D03949.49457930">
          <a:extLst>
            <a:ext uri="{FF2B5EF4-FFF2-40B4-BE49-F238E27FC236}">
              <a16:creationId xmlns:a16="http://schemas.microsoft.com/office/drawing/2014/main" id="{4AEFD160-A3EB-4DF4-9B80-C45F240CF9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6" name="x_Picture 1" descr="Description: cid:image001.png@01D03949.49457930">
          <a:extLst>
            <a:ext uri="{FF2B5EF4-FFF2-40B4-BE49-F238E27FC236}">
              <a16:creationId xmlns:a16="http://schemas.microsoft.com/office/drawing/2014/main" id="{0E59A0FC-9E55-4740-8A6F-5DA05325BC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7" name="x_Picture 1" descr="Description: cid:image001.png@01D03949.49457930">
          <a:extLst>
            <a:ext uri="{FF2B5EF4-FFF2-40B4-BE49-F238E27FC236}">
              <a16:creationId xmlns:a16="http://schemas.microsoft.com/office/drawing/2014/main" id="{4130F803-B0A9-4CC6-8F2D-E9909025D2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8" name="x_Picture 1" descr="Description: cid:image001.png@01D03949.49457930">
          <a:extLst>
            <a:ext uri="{FF2B5EF4-FFF2-40B4-BE49-F238E27FC236}">
              <a16:creationId xmlns:a16="http://schemas.microsoft.com/office/drawing/2014/main" id="{C6893CF1-67BC-482D-A008-178CA62C47C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79" name="x_Picture 1" descr="Description: cid:image001.png@01D03949.49457930">
          <a:extLst>
            <a:ext uri="{FF2B5EF4-FFF2-40B4-BE49-F238E27FC236}">
              <a16:creationId xmlns:a16="http://schemas.microsoft.com/office/drawing/2014/main" id="{00E40188-3DA3-4658-B2CD-B51C8EE8C2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0" name="x_Picture 1" descr="Description: cid:image001.png@01D03949.49457930">
          <a:extLst>
            <a:ext uri="{FF2B5EF4-FFF2-40B4-BE49-F238E27FC236}">
              <a16:creationId xmlns:a16="http://schemas.microsoft.com/office/drawing/2014/main" id="{9819C59E-F19A-4483-AB15-BB6B805C6B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1" name="x_Picture 1" descr="Description: cid:image001.png@01D03949.49457930">
          <a:extLst>
            <a:ext uri="{FF2B5EF4-FFF2-40B4-BE49-F238E27FC236}">
              <a16:creationId xmlns:a16="http://schemas.microsoft.com/office/drawing/2014/main" id="{8F1F502A-DDDC-4084-B796-01C5FDED3E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2" name="x_Picture 1" descr="Description: cid:image001.png@01D03949.49457930">
          <a:extLst>
            <a:ext uri="{FF2B5EF4-FFF2-40B4-BE49-F238E27FC236}">
              <a16:creationId xmlns:a16="http://schemas.microsoft.com/office/drawing/2014/main" id="{82C14D76-DC48-4F05-BE7E-2479654818B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3" name="x_Picture 1" descr="Description: cid:image001.png@01D03949.49457930">
          <a:extLst>
            <a:ext uri="{FF2B5EF4-FFF2-40B4-BE49-F238E27FC236}">
              <a16:creationId xmlns:a16="http://schemas.microsoft.com/office/drawing/2014/main" id="{97A007EB-FB43-453B-8E78-2AB729D7FA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4" name="x_Picture 1" descr="Description: cid:image001.png@01D03949.49457930">
          <a:extLst>
            <a:ext uri="{FF2B5EF4-FFF2-40B4-BE49-F238E27FC236}">
              <a16:creationId xmlns:a16="http://schemas.microsoft.com/office/drawing/2014/main" id="{81799177-A6B7-4631-AFBC-57726F5009B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5" name="x_Picture 1" descr="Description: cid:image001.png@01D03949.49457930">
          <a:extLst>
            <a:ext uri="{FF2B5EF4-FFF2-40B4-BE49-F238E27FC236}">
              <a16:creationId xmlns:a16="http://schemas.microsoft.com/office/drawing/2014/main" id="{C9E012BD-69DD-499A-AE15-EC54FAD01A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6" name="x_Picture 1" descr="Description: cid:image001.png@01D03949.49457930">
          <a:extLst>
            <a:ext uri="{FF2B5EF4-FFF2-40B4-BE49-F238E27FC236}">
              <a16:creationId xmlns:a16="http://schemas.microsoft.com/office/drawing/2014/main" id="{535A0AA0-1A7E-4D4D-A463-06332B1E1E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7" name="x_Picture 1" descr="Description: cid:image001.png@01D03949.49457930">
          <a:extLst>
            <a:ext uri="{FF2B5EF4-FFF2-40B4-BE49-F238E27FC236}">
              <a16:creationId xmlns:a16="http://schemas.microsoft.com/office/drawing/2014/main" id="{D4494177-3CD9-46AE-A1C0-5316689CBF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8" name="x_Picture 1" descr="Description: cid:image001.png@01D03949.49457930">
          <a:extLst>
            <a:ext uri="{FF2B5EF4-FFF2-40B4-BE49-F238E27FC236}">
              <a16:creationId xmlns:a16="http://schemas.microsoft.com/office/drawing/2014/main" id="{1AF052C0-E301-4B51-9C07-D0EBFF366B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89" name="x_Picture 1" descr="Description: cid:image001.png@01D03949.49457930">
          <a:extLst>
            <a:ext uri="{FF2B5EF4-FFF2-40B4-BE49-F238E27FC236}">
              <a16:creationId xmlns:a16="http://schemas.microsoft.com/office/drawing/2014/main" id="{6EA62691-D165-42E1-9648-AF0B4242B1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0" name="x_Picture 1" descr="Description: cid:image001.png@01D03949.49457930">
          <a:extLst>
            <a:ext uri="{FF2B5EF4-FFF2-40B4-BE49-F238E27FC236}">
              <a16:creationId xmlns:a16="http://schemas.microsoft.com/office/drawing/2014/main" id="{1C2D2CCC-3F70-4A44-A71F-B31C85FC45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1" name="x_Picture 1" descr="Description: cid:image001.png@01D03949.49457930">
          <a:extLst>
            <a:ext uri="{FF2B5EF4-FFF2-40B4-BE49-F238E27FC236}">
              <a16:creationId xmlns:a16="http://schemas.microsoft.com/office/drawing/2014/main" id="{5436FB49-1FDC-4DBD-AB64-AA78289FE4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2" name="x_Picture 1" descr="Description: cid:image001.png@01D03949.49457930">
          <a:extLst>
            <a:ext uri="{FF2B5EF4-FFF2-40B4-BE49-F238E27FC236}">
              <a16:creationId xmlns:a16="http://schemas.microsoft.com/office/drawing/2014/main" id="{3970EA35-4A27-444B-B950-D84FDE2EFA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3" name="x_Picture 1" descr="Description: cid:image001.png@01D03949.49457930">
          <a:extLst>
            <a:ext uri="{FF2B5EF4-FFF2-40B4-BE49-F238E27FC236}">
              <a16:creationId xmlns:a16="http://schemas.microsoft.com/office/drawing/2014/main" id="{7DE02895-144A-4210-A972-9FB261B447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4" name="x_Picture 1" descr="Description: cid:image001.png@01D03949.49457930">
          <a:extLst>
            <a:ext uri="{FF2B5EF4-FFF2-40B4-BE49-F238E27FC236}">
              <a16:creationId xmlns:a16="http://schemas.microsoft.com/office/drawing/2014/main" id="{0D7D795C-A1EB-4F59-B5DE-4F57B79146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5" name="x_Picture 1" descr="Description: cid:image001.png@01D03949.49457930">
          <a:extLst>
            <a:ext uri="{FF2B5EF4-FFF2-40B4-BE49-F238E27FC236}">
              <a16:creationId xmlns:a16="http://schemas.microsoft.com/office/drawing/2014/main" id="{379AE1ED-99B6-42E1-9193-29FB0D7617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6" name="x_Picture 1" descr="Description: cid:image001.png@01D03949.49457930">
          <a:extLst>
            <a:ext uri="{FF2B5EF4-FFF2-40B4-BE49-F238E27FC236}">
              <a16:creationId xmlns:a16="http://schemas.microsoft.com/office/drawing/2014/main" id="{C7057204-7715-4756-B860-728CFAD520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7" name="x_Picture 1" descr="Description: cid:image001.png@01D03949.49457930">
          <a:extLst>
            <a:ext uri="{FF2B5EF4-FFF2-40B4-BE49-F238E27FC236}">
              <a16:creationId xmlns:a16="http://schemas.microsoft.com/office/drawing/2014/main" id="{97D4A0ED-DE74-4309-A605-28A75E0230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8" name="x_Picture 1" descr="Description: cid:image001.png@01D03949.49457930">
          <a:extLst>
            <a:ext uri="{FF2B5EF4-FFF2-40B4-BE49-F238E27FC236}">
              <a16:creationId xmlns:a16="http://schemas.microsoft.com/office/drawing/2014/main" id="{BBAAF134-C80F-4197-B2CA-241C15B9B0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599" name="x_Picture 1" descr="Description: cid:image001.png@01D03949.49457930">
          <a:extLst>
            <a:ext uri="{FF2B5EF4-FFF2-40B4-BE49-F238E27FC236}">
              <a16:creationId xmlns:a16="http://schemas.microsoft.com/office/drawing/2014/main" id="{F8BC6727-133D-4983-8B49-416459C344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0" name="x_Picture 1" descr="Description: cid:image001.png@01D03949.49457930">
          <a:extLst>
            <a:ext uri="{FF2B5EF4-FFF2-40B4-BE49-F238E27FC236}">
              <a16:creationId xmlns:a16="http://schemas.microsoft.com/office/drawing/2014/main" id="{B5312AFF-5DD3-4CF2-8B89-8B741AAD55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1" name="x_Picture 1" descr="Description: cid:image001.png@01D03949.49457930">
          <a:extLst>
            <a:ext uri="{FF2B5EF4-FFF2-40B4-BE49-F238E27FC236}">
              <a16:creationId xmlns:a16="http://schemas.microsoft.com/office/drawing/2014/main" id="{2881F853-5E79-4640-A705-3EF0305F62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2" name="x_Picture 1" descr="Description: cid:image001.png@01D03949.49457930">
          <a:extLst>
            <a:ext uri="{FF2B5EF4-FFF2-40B4-BE49-F238E27FC236}">
              <a16:creationId xmlns:a16="http://schemas.microsoft.com/office/drawing/2014/main" id="{0ABE76C6-41F3-46C7-943C-DADCCC8566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3" name="x_Picture 1" descr="Description: cid:image001.png@01D03949.49457930">
          <a:extLst>
            <a:ext uri="{FF2B5EF4-FFF2-40B4-BE49-F238E27FC236}">
              <a16:creationId xmlns:a16="http://schemas.microsoft.com/office/drawing/2014/main" id="{8E6BFFBA-BC5B-4556-8FBF-B7D83E0926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4" name="x_Picture 1" descr="Description: cid:image001.png@01D03949.49457930">
          <a:extLst>
            <a:ext uri="{FF2B5EF4-FFF2-40B4-BE49-F238E27FC236}">
              <a16:creationId xmlns:a16="http://schemas.microsoft.com/office/drawing/2014/main" id="{BF5E26C4-EA59-4769-B40D-E13BFE637B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5" name="x_Picture 1" descr="Description: cid:image001.png@01D03949.49457930">
          <a:extLst>
            <a:ext uri="{FF2B5EF4-FFF2-40B4-BE49-F238E27FC236}">
              <a16:creationId xmlns:a16="http://schemas.microsoft.com/office/drawing/2014/main" id="{5224CBB1-AF7A-4A17-983E-07B26D1A23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6" name="x_Picture 1" descr="Description: cid:image001.png@01D03949.49457930">
          <a:extLst>
            <a:ext uri="{FF2B5EF4-FFF2-40B4-BE49-F238E27FC236}">
              <a16:creationId xmlns:a16="http://schemas.microsoft.com/office/drawing/2014/main" id="{C7462A53-3963-44FB-9803-75F9110ECE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7" name="x_Picture 1" descr="Description: cid:image001.png@01D03949.49457930">
          <a:extLst>
            <a:ext uri="{FF2B5EF4-FFF2-40B4-BE49-F238E27FC236}">
              <a16:creationId xmlns:a16="http://schemas.microsoft.com/office/drawing/2014/main" id="{C0C12264-BC94-4B8E-AD9C-F57794CCAF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8" name="x_Picture 1" descr="Description: cid:image001.png@01D03949.49457930">
          <a:extLst>
            <a:ext uri="{FF2B5EF4-FFF2-40B4-BE49-F238E27FC236}">
              <a16:creationId xmlns:a16="http://schemas.microsoft.com/office/drawing/2014/main" id="{F5C7CACF-6197-4853-A303-2062D8942D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09" name="x_Picture 1" descr="Description: cid:image001.png@01D03949.49457930">
          <a:extLst>
            <a:ext uri="{FF2B5EF4-FFF2-40B4-BE49-F238E27FC236}">
              <a16:creationId xmlns:a16="http://schemas.microsoft.com/office/drawing/2014/main" id="{A086D0EF-DB73-4878-B9F8-4B97C687C5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0" name="x_Picture 1" descr="Description: cid:image001.png@01D03949.49457930">
          <a:extLst>
            <a:ext uri="{FF2B5EF4-FFF2-40B4-BE49-F238E27FC236}">
              <a16:creationId xmlns:a16="http://schemas.microsoft.com/office/drawing/2014/main" id="{CDB6FB76-121E-41BB-99D8-3E07BF2165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1" name="x_Picture 1" descr="Description: cid:image001.png@01D03949.49457930">
          <a:extLst>
            <a:ext uri="{FF2B5EF4-FFF2-40B4-BE49-F238E27FC236}">
              <a16:creationId xmlns:a16="http://schemas.microsoft.com/office/drawing/2014/main" id="{6D2E8394-534B-4E2D-AC9A-3913F5FBFA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2" name="x_Picture 1" descr="Description: cid:image001.png@01D03949.49457930">
          <a:extLst>
            <a:ext uri="{FF2B5EF4-FFF2-40B4-BE49-F238E27FC236}">
              <a16:creationId xmlns:a16="http://schemas.microsoft.com/office/drawing/2014/main" id="{57D41609-9916-4B9D-83A0-5C66D6FA57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3" name="x_Picture 1" descr="Description: cid:image001.png@01D03949.49457930">
          <a:extLst>
            <a:ext uri="{FF2B5EF4-FFF2-40B4-BE49-F238E27FC236}">
              <a16:creationId xmlns:a16="http://schemas.microsoft.com/office/drawing/2014/main" id="{CAE78180-8DDB-41C6-ABCC-F930D0B40D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4" name="x_Picture 1" descr="Description: cid:image001.png@01D03949.49457930">
          <a:extLst>
            <a:ext uri="{FF2B5EF4-FFF2-40B4-BE49-F238E27FC236}">
              <a16:creationId xmlns:a16="http://schemas.microsoft.com/office/drawing/2014/main" id="{DBA38D3A-5CE6-4A29-9862-C749BFF1D2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5" name="x_Picture 1" descr="Description: cid:image001.png@01D03949.49457930">
          <a:extLst>
            <a:ext uri="{FF2B5EF4-FFF2-40B4-BE49-F238E27FC236}">
              <a16:creationId xmlns:a16="http://schemas.microsoft.com/office/drawing/2014/main" id="{DE4B48D8-A5ED-4978-BF9E-717717D27D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6" name="x_Picture 1" descr="Description: cid:image001.png@01D03949.49457930">
          <a:extLst>
            <a:ext uri="{FF2B5EF4-FFF2-40B4-BE49-F238E27FC236}">
              <a16:creationId xmlns:a16="http://schemas.microsoft.com/office/drawing/2014/main" id="{6CE7952A-46CE-4490-999E-7C93C07869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7" name="x_Picture 1" descr="Description: cid:image001.png@01D03949.49457930">
          <a:extLst>
            <a:ext uri="{FF2B5EF4-FFF2-40B4-BE49-F238E27FC236}">
              <a16:creationId xmlns:a16="http://schemas.microsoft.com/office/drawing/2014/main" id="{20883B6C-91D5-42BD-B811-52775F7C4E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8" name="x_Picture 1" descr="Description: cid:image001.png@01D03949.49457930">
          <a:extLst>
            <a:ext uri="{FF2B5EF4-FFF2-40B4-BE49-F238E27FC236}">
              <a16:creationId xmlns:a16="http://schemas.microsoft.com/office/drawing/2014/main" id="{D24E2FFF-1053-4829-947E-069872A0D0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19" name="x_Picture 1" descr="Description: cid:image001.png@01D03949.49457930">
          <a:extLst>
            <a:ext uri="{FF2B5EF4-FFF2-40B4-BE49-F238E27FC236}">
              <a16:creationId xmlns:a16="http://schemas.microsoft.com/office/drawing/2014/main" id="{68A30E8F-D457-48F8-90AC-431DFB203D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0" name="x_Picture 1" descr="Description: cid:image001.png@01D03949.49457930">
          <a:extLst>
            <a:ext uri="{FF2B5EF4-FFF2-40B4-BE49-F238E27FC236}">
              <a16:creationId xmlns:a16="http://schemas.microsoft.com/office/drawing/2014/main" id="{6595AC82-204A-4D8A-942C-9546D9DD72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1" name="x_Picture 1" descr="Description: cid:image001.png@01D03949.49457930">
          <a:extLst>
            <a:ext uri="{FF2B5EF4-FFF2-40B4-BE49-F238E27FC236}">
              <a16:creationId xmlns:a16="http://schemas.microsoft.com/office/drawing/2014/main" id="{9DE49BC4-D57C-4597-AA5A-553739527F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2" name="x_Picture 1" descr="Description: cid:image001.png@01D03949.49457930">
          <a:extLst>
            <a:ext uri="{FF2B5EF4-FFF2-40B4-BE49-F238E27FC236}">
              <a16:creationId xmlns:a16="http://schemas.microsoft.com/office/drawing/2014/main" id="{A6231A62-EF0C-4491-8BD7-4BAC613D00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3" name="x_Picture 1" descr="Description: cid:image001.png@01D03949.49457930">
          <a:extLst>
            <a:ext uri="{FF2B5EF4-FFF2-40B4-BE49-F238E27FC236}">
              <a16:creationId xmlns:a16="http://schemas.microsoft.com/office/drawing/2014/main" id="{2BF58EF6-860F-40AC-8051-C9DED6CC4C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4" name="x_Picture 1" descr="Description: cid:image001.png@01D03949.49457930">
          <a:extLst>
            <a:ext uri="{FF2B5EF4-FFF2-40B4-BE49-F238E27FC236}">
              <a16:creationId xmlns:a16="http://schemas.microsoft.com/office/drawing/2014/main" id="{5EAE99CF-D98D-4880-ABFF-144D0DA23C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5" name="x_Picture 1" descr="Description: cid:image001.png@01D03949.49457930">
          <a:extLst>
            <a:ext uri="{FF2B5EF4-FFF2-40B4-BE49-F238E27FC236}">
              <a16:creationId xmlns:a16="http://schemas.microsoft.com/office/drawing/2014/main" id="{3A3AD321-DE92-4C62-A149-2CA071A83C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6" name="x_Picture 1" descr="Description: cid:image001.png@01D03949.49457930">
          <a:extLst>
            <a:ext uri="{FF2B5EF4-FFF2-40B4-BE49-F238E27FC236}">
              <a16:creationId xmlns:a16="http://schemas.microsoft.com/office/drawing/2014/main" id="{73FE22A1-CC04-4844-99FD-E761C7FCC3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7" name="x_Picture 1" descr="Description: cid:image001.png@01D03949.49457930">
          <a:extLst>
            <a:ext uri="{FF2B5EF4-FFF2-40B4-BE49-F238E27FC236}">
              <a16:creationId xmlns:a16="http://schemas.microsoft.com/office/drawing/2014/main" id="{FAF8E4A3-0121-4414-8A9F-D14C22DFBC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8" name="x_Picture 1" descr="Description: cid:image001.png@01D03949.49457930">
          <a:extLst>
            <a:ext uri="{FF2B5EF4-FFF2-40B4-BE49-F238E27FC236}">
              <a16:creationId xmlns:a16="http://schemas.microsoft.com/office/drawing/2014/main" id="{F3A7F10D-9E9D-4407-9C01-2D88E99368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29" name="x_Picture 1" descr="Description: cid:image001.png@01D03949.49457930">
          <a:extLst>
            <a:ext uri="{FF2B5EF4-FFF2-40B4-BE49-F238E27FC236}">
              <a16:creationId xmlns:a16="http://schemas.microsoft.com/office/drawing/2014/main" id="{F7FB977C-EF33-4316-95AB-A8BE42F633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0" name="x_Picture 1" descr="Description: cid:image001.png@01D03949.49457930">
          <a:extLst>
            <a:ext uri="{FF2B5EF4-FFF2-40B4-BE49-F238E27FC236}">
              <a16:creationId xmlns:a16="http://schemas.microsoft.com/office/drawing/2014/main" id="{6CEBF6A4-554E-4B2B-B7AB-DD4C1A2C5A2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1" name="x_Picture 1" descr="Description: cid:image001.png@01D03949.49457930">
          <a:extLst>
            <a:ext uri="{FF2B5EF4-FFF2-40B4-BE49-F238E27FC236}">
              <a16:creationId xmlns:a16="http://schemas.microsoft.com/office/drawing/2014/main" id="{11499065-DFA9-4A8B-9489-1ADCA509AA3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2" name="x_Picture 1" descr="Description: cid:image001.png@01D03949.49457930">
          <a:extLst>
            <a:ext uri="{FF2B5EF4-FFF2-40B4-BE49-F238E27FC236}">
              <a16:creationId xmlns:a16="http://schemas.microsoft.com/office/drawing/2014/main" id="{0EF83402-3ACC-47B3-A676-160E0F6117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3" name="x_Picture 1" descr="Description: cid:image001.png@01D03949.49457930">
          <a:extLst>
            <a:ext uri="{FF2B5EF4-FFF2-40B4-BE49-F238E27FC236}">
              <a16:creationId xmlns:a16="http://schemas.microsoft.com/office/drawing/2014/main" id="{9795A0D1-02B3-46BF-B6F1-354DF68CE4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4" name="x_Picture 1" descr="Description: cid:image001.png@01D03949.49457930">
          <a:extLst>
            <a:ext uri="{FF2B5EF4-FFF2-40B4-BE49-F238E27FC236}">
              <a16:creationId xmlns:a16="http://schemas.microsoft.com/office/drawing/2014/main" id="{BFADD91D-C3E9-419F-A12E-CFCC183ED2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5" name="x_Picture 1" descr="Description: cid:image001.png@01D03949.49457930">
          <a:extLst>
            <a:ext uri="{FF2B5EF4-FFF2-40B4-BE49-F238E27FC236}">
              <a16:creationId xmlns:a16="http://schemas.microsoft.com/office/drawing/2014/main" id="{7C30AB74-814E-4767-B291-368F272F6A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6" name="x_Picture 1" descr="Description: cid:image001.png@01D03949.49457930">
          <a:extLst>
            <a:ext uri="{FF2B5EF4-FFF2-40B4-BE49-F238E27FC236}">
              <a16:creationId xmlns:a16="http://schemas.microsoft.com/office/drawing/2014/main" id="{FB9FDF64-2DAB-4CCD-9832-2867529D91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7" name="x_Picture 1" descr="Description: cid:image001.png@01D03949.49457930">
          <a:extLst>
            <a:ext uri="{FF2B5EF4-FFF2-40B4-BE49-F238E27FC236}">
              <a16:creationId xmlns:a16="http://schemas.microsoft.com/office/drawing/2014/main" id="{92AC2EF4-549C-4AAB-A8C8-252B63591A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8" name="x_Picture 1" descr="Description: cid:image001.png@01D03949.49457930">
          <a:extLst>
            <a:ext uri="{FF2B5EF4-FFF2-40B4-BE49-F238E27FC236}">
              <a16:creationId xmlns:a16="http://schemas.microsoft.com/office/drawing/2014/main" id="{1DA03EFB-AA92-4314-9C9F-FE0CD1E70E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39" name="x_Picture 1" descr="Description: cid:image001.png@01D03949.49457930">
          <a:extLst>
            <a:ext uri="{FF2B5EF4-FFF2-40B4-BE49-F238E27FC236}">
              <a16:creationId xmlns:a16="http://schemas.microsoft.com/office/drawing/2014/main" id="{F768CAFF-C40C-43C2-9374-8F290519733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0" name="x_Picture 1" descr="Description: cid:image001.png@01D03949.49457930">
          <a:extLst>
            <a:ext uri="{FF2B5EF4-FFF2-40B4-BE49-F238E27FC236}">
              <a16:creationId xmlns:a16="http://schemas.microsoft.com/office/drawing/2014/main" id="{397EB64B-522E-4C6E-BCF3-8DCA2751C5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1" name="x_Picture 1" descr="Description: cid:image001.png@01D03949.49457930">
          <a:extLst>
            <a:ext uri="{FF2B5EF4-FFF2-40B4-BE49-F238E27FC236}">
              <a16:creationId xmlns:a16="http://schemas.microsoft.com/office/drawing/2014/main" id="{196448BE-BD67-45EC-AEA5-DAEE90F564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2" name="x_Picture 1" descr="Description: cid:image001.png@01D03949.49457930">
          <a:extLst>
            <a:ext uri="{FF2B5EF4-FFF2-40B4-BE49-F238E27FC236}">
              <a16:creationId xmlns:a16="http://schemas.microsoft.com/office/drawing/2014/main" id="{13D08F77-23A5-4BCF-B017-CB0884F0AF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3" name="x_Picture 1" descr="Description: cid:image001.png@01D03949.49457930">
          <a:extLst>
            <a:ext uri="{FF2B5EF4-FFF2-40B4-BE49-F238E27FC236}">
              <a16:creationId xmlns:a16="http://schemas.microsoft.com/office/drawing/2014/main" id="{DD31606C-6BFF-4B42-B52D-DC89DE028D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4" name="x_Picture 1" descr="Description: cid:image001.png@01D03949.49457930">
          <a:extLst>
            <a:ext uri="{FF2B5EF4-FFF2-40B4-BE49-F238E27FC236}">
              <a16:creationId xmlns:a16="http://schemas.microsoft.com/office/drawing/2014/main" id="{5D13CCD3-55AC-4217-BFC0-B375FA0589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5" name="x_Picture 1" descr="Description: cid:image001.png@01D03949.49457930">
          <a:extLst>
            <a:ext uri="{FF2B5EF4-FFF2-40B4-BE49-F238E27FC236}">
              <a16:creationId xmlns:a16="http://schemas.microsoft.com/office/drawing/2014/main" id="{5204B367-F046-42F6-BF09-D31A6453F2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6" name="x_Picture 1" descr="Description: cid:image001.png@01D03949.49457930">
          <a:extLst>
            <a:ext uri="{FF2B5EF4-FFF2-40B4-BE49-F238E27FC236}">
              <a16:creationId xmlns:a16="http://schemas.microsoft.com/office/drawing/2014/main" id="{6202F51F-B3E5-41EE-83F7-A056FBD4FA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7" name="x_Picture 1" descr="Description: cid:image001.png@01D03949.49457930">
          <a:extLst>
            <a:ext uri="{FF2B5EF4-FFF2-40B4-BE49-F238E27FC236}">
              <a16:creationId xmlns:a16="http://schemas.microsoft.com/office/drawing/2014/main" id="{B8472468-462F-46E8-98E4-82C7AE5BB9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8" name="x_Picture 1" descr="Description: cid:image001.png@01D03949.49457930">
          <a:extLst>
            <a:ext uri="{FF2B5EF4-FFF2-40B4-BE49-F238E27FC236}">
              <a16:creationId xmlns:a16="http://schemas.microsoft.com/office/drawing/2014/main" id="{9A758AA6-5B17-4ABF-80B1-8446A0DE9B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49" name="x_Picture 1" descr="Description: cid:image001.png@01D03949.49457930">
          <a:extLst>
            <a:ext uri="{FF2B5EF4-FFF2-40B4-BE49-F238E27FC236}">
              <a16:creationId xmlns:a16="http://schemas.microsoft.com/office/drawing/2014/main" id="{48B96ABD-9AEA-4A59-9F75-630067BF06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0" name="x_Picture 1" descr="Description: cid:image001.png@01D03949.49457930">
          <a:extLst>
            <a:ext uri="{FF2B5EF4-FFF2-40B4-BE49-F238E27FC236}">
              <a16:creationId xmlns:a16="http://schemas.microsoft.com/office/drawing/2014/main" id="{C2AF014E-125D-4308-AABE-C39B529867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1" name="x_Picture 1" descr="Description: cid:image001.png@01D03949.49457930">
          <a:extLst>
            <a:ext uri="{FF2B5EF4-FFF2-40B4-BE49-F238E27FC236}">
              <a16:creationId xmlns:a16="http://schemas.microsoft.com/office/drawing/2014/main" id="{23BA6523-F219-4AD7-BFEB-39D5B86D98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2" name="x_Picture 1" descr="Description: cid:image001.png@01D03949.49457930">
          <a:extLst>
            <a:ext uri="{FF2B5EF4-FFF2-40B4-BE49-F238E27FC236}">
              <a16:creationId xmlns:a16="http://schemas.microsoft.com/office/drawing/2014/main" id="{B223E644-4C21-4EFE-BC30-E97C0F8561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3" name="x_Picture 1" descr="Description: cid:image001.png@01D03949.49457930">
          <a:extLst>
            <a:ext uri="{FF2B5EF4-FFF2-40B4-BE49-F238E27FC236}">
              <a16:creationId xmlns:a16="http://schemas.microsoft.com/office/drawing/2014/main" id="{1DA3C8E0-0958-40E6-98E2-DCC971F9F7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4" name="x_Picture 1" descr="Description: cid:image001.png@01D03949.49457930">
          <a:extLst>
            <a:ext uri="{FF2B5EF4-FFF2-40B4-BE49-F238E27FC236}">
              <a16:creationId xmlns:a16="http://schemas.microsoft.com/office/drawing/2014/main" id="{4DF01F60-5E73-4715-BC59-E5D6C839BE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5" name="x_Picture 1" descr="Description: cid:image001.png@01D03949.49457930">
          <a:extLst>
            <a:ext uri="{FF2B5EF4-FFF2-40B4-BE49-F238E27FC236}">
              <a16:creationId xmlns:a16="http://schemas.microsoft.com/office/drawing/2014/main" id="{DEB1183A-7C80-4C63-94F9-097536F53B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6" name="x_Picture 1" descr="Description: cid:image001.png@01D03949.49457930">
          <a:extLst>
            <a:ext uri="{FF2B5EF4-FFF2-40B4-BE49-F238E27FC236}">
              <a16:creationId xmlns:a16="http://schemas.microsoft.com/office/drawing/2014/main" id="{85CFE346-53F3-4641-A66E-6822E9A919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7" name="x_Picture 1" descr="Description: cid:image001.png@01D03949.49457930">
          <a:extLst>
            <a:ext uri="{FF2B5EF4-FFF2-40B4-BE49-F238E27FC236}">
              <a16:creationId xmlns:a16="http://schemas.microsoft.com/office/drawing/2014/main" id="{14C9F712-263C-4915-AD50-BC20953C08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8" name="x_Picture 1" descr="Description: cid:image001.png@01D03949.49457930">
          <a:extLst>
            <a:ext uri="{FF2B5EF4-FFF2-40B4-BE49-F238E27FC236}">
              <a16:creationId xmlns:a16="http://schemas.microsoft.com/office/drawing/2014/main" id="{5F685267-B2B6-4856-91AD-FB388E3194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59" name="x_Picture 1" descr="Description: cid:image001.png@01D03949.49457930">
          <a:extLst>
            <a:ext uri="{FF2B5EF4-FFF2-40B4-BE49-F238E27FC236}">
              <a16:creationId xmlns:a16="http://schemas.microsoft.com/office/drawing/2014/main" id="{771174FA-0B2E-4AEB-9519-99830F82699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0" name="x_Picture 1" descr="Description: cid:image001.png@01D03949.49457930">
          <a:extLst>
            <a:ext uri="{FF2B5EF4-FFF2-40B4-BE49-F238E27FC236}">
              <a16:creationId xmlns:a16="http://schemas.microsoft.com/office/drawing/2014/main" id="{97171B56-21CB-4E0A-ABA5-5CB5D8BFB0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1" name="x_Picture 1" descr="Description: cid:image001.png@01D03949.49457930">
          <a:extLst>
            <a:ext uri="{FF2B5EF4-FFF2-40B4-BE49-F238E27FC236}">
              <a16:creationId xmlns:a16="http://schemas.microsoft.com/office/drawing/2014/main" id="{A88BED70-0B1D-4979-A878-EA239A18B6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2" name="x_Picture 1" descr="Description: cid:image001.png@01D03949.49457930">
          <a:extLst>
            <a:ext uri="{FF2B5EF4-FFF2-40B4-BE49-F238E27FC236}">
              <a16:creationId xmlns:a16="http://schemas.microsoft.com/office/drawing/2014/main" id="{A9190C42-7BCF-4752-8BBD-2A58CD1174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3" name="x_Picture 1" descr="Description: cid:image001.png@01D03949.49457930">
          <a:extLst>
            <a:ext uri="{FF2B5EF4-FFF2-40B4-BE49-F238E27FC236}">
              <a16:creationId xmlns:a16="http://schemas.microsoft.com/office/drawing/2014/main" id="{29091728-D6DF-4D5D-8A28-42E9E2CDF1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4" name="x_Picture 1" descr="Description: cid:image001.png@01D03949.49457930">
          <a:extLst>
            <a:ext uri="{FF2B5EF4-FFF2-40B4-BE49-F238E27FC236}">
              <a16:creationId xmlns:a16="http://schemas.microsoft.com/office/drawing/2014/main" id="{842C8E1E-6C41-4ABD-8DDA-26CDFA0BBB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5" name="x_Picture 1" descr="Description: cid:image001.png@01D03949.49457930">
          <a:extLst>
            <a:ext uri="{FF2B5EF4-FFF2-40B4-BE49-F238E27FC236}">
              <a16:creationId xmlns:a16="http://schemas.microsoft.com/office/drawing/2014/main" id="{ACF276BB-FEAC-4A54-8AF0-5FD423BF88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6" name="x_Picture 1" descr="Description: cid:image001.png@01D03949.49457930">
          <a:extLst>
            <a:ext uri="{FF2B5EF4-FFF2-40B4-BE49-F238E27FC236}">
              <a16:creationId xmlns:a16="http://schemas.microsoft.com/office/drawing/2014/main" id="{42AA2173-18C3-4672-A0A4-D2E3161272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7" name="x_Picture 1" descr="Description: cid:image001.png@01D03949.49457930">
          <a:extLst>
            <a:ext uri="{FF2B5EF4-FFF2-40B4-BE49-F238E27FC236}">
              <a16:creationId xmlns:a16="http://schemas.microsoft.com/office/drawing/2014/main" id="{9CE9BB10-5448-4AC9-9D6A-BE0D601B82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8" name="x_Picture 1" descr="Description: cid:image001.png@01D03949.49457930">
          <a:extLst>
            <a:ext uri="{FF2B5EF4-FFF2-40B4-BE49-F238E27FC236}">
              <a16:creationId xmlns:a16="http://schemas.microsoft.com/office/drawing/2014/main" id="{D9FA5697-3D8B-4F15-AC2F-8F08A2A0AC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69" name="x_Picture 1" descr="Description: cid:image001.png@01D03949.49457930">
          <a:extLst>
            <a:ext uri="{FF2B5EF4-FFF2-40B4-BE49-F238E27FC236}">
              <a16:creationId xmlns:a16="http://schemas.microsoft.com/office/drawing/2014/main" id="{A0338556-0433-4032-B3C9-30ABA670125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0" name="x_Picture 1" descr="Description: cid:image001.png@01D03949.49457930">
          <a:extLst>
            <a:ext uri="{FF2B5EF4-FFF2-40B4-BE49-F238E27FC236}">
              <a16:creationId xmlns:a16="http://schemas.microsoft.com/office/drawing/2014/main" id="{AEBF463B-3372-4293-9591-483ED84DB2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1" name="x_Picture 1" descr="Description: cid:image001.png@01D03949.49457930">
          <a:extLst>
            <a:ext uri="{FF2B5EF4-FFF2-40B4-BE49-F238E27FC236}">
              <a16:creationId xmlns:a16="http://schemas.microsoft.com/office/drawing/2014/main" id="{ECCEED2E-8B01-4A7D-AE9F-5DF5FFE895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2" name="x_Picture 1" descr="Description: cid:image001.png@01D03949.49457930">
          <a:extLst>
            <a:ext uri="{FF2B5EF4-FFF2-40B4-BE49-F238E27FC236}">
              <a16:creationId xmlns:a16="http://schemas.microsoft.com/office/drawing/2014/main" id="{EA1C2E2F-5F72-4E72-B155-9D63BC460E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3" name="x_Picture 1" descr="Description: cid:image001.png@01D03949.49457930">
          <a:extLst>
            <a:ext uri="{FF2B5EF4-FFF2-40B4-BE49-F238E27FC236}">
              <a16:creationId xmlns:a16="http://schemas.microsoft.com/office/drawing/2014/main" id="{36624D16-C28C-491B-83BB-41F6A9E22F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4" name="x_Picture 1" descr="Description: cid:image001.png@01D03949.49457930">
          <a:extLst>
            <a:ext uri="{FF2B5EF4-FFF2-40B4-BE49-F238E27FC236}">
              <a16:creationId xmlns:a16="http://schemas.microsoft.com/office/drawing/2014/main" id="{4DC77825-2B9B-486C-9706-DB305A8111C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5" name="x_Picture 1" descr="Description: cid:image001.png@01D03949.49457930">
          <a:extLst>
            <a:ext uri="{FF2B5EF4-FFF2-40B4-BE49-F238E27FC236}">
              <a16:creationId xmlns:a16="http://schemas.microsoft.com/office/drawing/2014/main" id="{F8DBDD33-4E36-4B68-AF83-C6C2C07359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6" name="x_Picture 1" descr="Description: cid:image001.png@01D03949.49457930">
          <a:extLst>
            <a:ext uri="{FF2B5EF4-FFF2-40B4-BE49-F238E27FC236}">
              <a16:creationId xmlns:a16="http://schemas.microsoft.com/office/drawing/2014/main" id="{F11C1851-F30B-4E2E-8B99-85080AE015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7" name="x_Picture 1" descr="Description: cid:image001.png@01D03949.49457930">
          <a:extLst>
            <a:ext uri="{FF2B5EF4-FFF2-40B4-BE49-F238E27FC236}">
              <a16:creationId xmlns:a16="http://schemas.microsoft.com/office/drawing/2014/main" id="{4FDEB2C4-DDA2-4218-9AC7-042CD1F876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8" name="x_Picture 1" descr="Description: cid:image001.png@01D03949.49457930">
          <a:extLst>
            <a:ext uri="{FF2B5EF4-FFF2-40B4-BE49-F238E27FC236}">
              <a16:creationId xmlns:a16="http://schemas.microsoft.com/office/drawing/2014/main" id="{50490619-F890-44A7-BF6C-51A898ED9A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79" name="x_Picture 1" descr="Description: cid:image001.png@01D03949.49457930">
          <a:extLst>
            <a:ext uri="{FF2B5EF4-FFF2-40B4-BE49-F238E27FC236}">
              <a16:creationId xmlns:a16="http://schemas.microsoft.com/office/drawing/2014/main" id="{A3EF7F1C-B391-4B4D-A397-95DD19F42F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0" name="x_Picture 1" descr="Description: cid:image001.png@01D03949.49457930">
          <a:extLst>
            <a:ext uri="{FF2B5EF4-FFF2-40B4-BE49-F238E27FC236}">
              <a16:creationId xmlns:a16="http://schemas.microsoft.com/office/drawing/2014/main" id="{88D9EDDA-103D-449E-8716-3F5B7E242F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1" name="x_Picture 1" descr="Description: cid:image001.png@01D03949.49457930">
          <a:extLst>
            <a:ext uri="{FF2B5EF4-FFF2-40B4-BE49-F238E27FC236}">
              <a16:creationId xmlns:a16="http://schemas.microsoft.com/office/drawing/2014/main" id="{847E8CF2-3918-4850-A57B-6D96D20ABE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2" name="x_Picture 1" descr="Description: cid:image001.png@01D03949.49457930">
          <a:extLst>
            <a:ext uri="{FF2B5EF4-FFF2-40B4-BE49-F238E27FC236}">
              <a16:creationId xmlns:a16="http://schemas.microsoft.com/office/drawing/2014/main" id="{2A6F5012-ECD5-46B1-8DD7-488599FB9A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3" name="x_Picture 1" descr="Description: cid:image001.png@01D03949.49457930">
          <a:extLst>
            <a:ext uri="{FF2B5EF4-FFF2-40B4-BE49-F238E27FC236}">
              <a16:creationId xmlns:a16="http://schemas.microsoft.com/office/drawing/2014/main" id="{6D4FBC56-12EE-4439-9261-B91B970C85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4" name="x_Picture 1" descr="Description: cid:image001.png@01D03949.49457930">
          <a:extLst>
            <a:ext uri="{FF2B5EF4-FFF2-40B4-BE49-F238E27FC236}">
              <a16:creationId xmlns:a16="http://schemas.microsoft.com/office/drawing/2014/main" id="{CA9BC248-DC8B-4E02-86B7-3030E468C4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5" name="x_Picture 1" descr="Description: cid:image001.png@01D03949.49457930">
          <a:extLst>
            <a:ext uri="{FF2B5EF4-FFF2-40B4-BE49-F238E27FC236}">
              <a16:creationId xmlns:a16="http://schemas.microsoft.com/office/drawing/2014/main" id="{51F59C7E-3731-4091-84B2-4DE6E13D91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6" name="x_Picture 1" descr="Description: cid:image001.png@01D03949.49457930">
          <a:extLst>
            <a:ext uri="{FF2B5EF4-FFF2-40B4-BE49-F238E27FC236}">
              <a16:creationId xmlns:a16="http://schemas.microsoft.com/office/drawing/2014/main" id="{2B523828-3734-4CA6-9CF8-D8F70CD818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7" name="x_Picture 1" descr="Description: cid:image001.png@01D03949.49457930">
          <a:extLst>
            <a:ext uri="{FF2B5EF4-FFF2-40B4-BE49-F238E27FC236}">
              <a16:creationId xmlns:a16="http://schemas.microsoft.com/office/drawing/2014/main" id="{3000CE88-30A7-462C-AFCD-0BF54FD29C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8" name="x_Picture 1" descr="Description: cid:image001.png@01D03949.49457930">
          <a:extLst>
            <a:ext uri="{FF2B5EF4-FFF2-40B4-BE49-F238E27FC236}">
              <a16:creationId xmlns:a16="http://schemas.microsoft.com/office/drawing/2014/main" id="{41652A14-6A15-4698-928A-CD61DDEB79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89" name="x_Picture 1" descr="Description: cid:image001.png@01D03949.49457930">
          <a:extLst>
            <a:ext uri="{FF2B5EF4-FFF2-40B4-BE49-F238E27FC236}">
              <a16:creationId xmlns:a16="http://schemas.microsoft.com/office/drawing/2014/main" id="{E389812C-D08F-47EE-927B-2AD0C5A042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0" name="x_Picture 1" descr="Description: cid:image001.png@01D03949.49457930">
          <a:extLst>
            <a:ext uri="{FF2B5EF4-FFF2-40B4-BE49-F238E27FC236}">
              <a16:creationId xmlns:a16="http://schemas.microsoft.com/office/drawing/2014/main" id="{46E4522E-C4EC-4A67-BE23-6AFD5930A5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1" name="x_Picture 1" descr="Description: cid:image001.png@01D03949.49457930">
          <a:extLst>
            <a:ext uri="{FF2B5EF4-FFF2-40B4-BE49-F238E27FC236}">
              <a16:creationId xmlns:a16="http://schemas.microsoft.com/office/drawing/2014/main" id="{A7C47F25-FD32-4005-9D0F-5C2603A40BF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2" name="x_Picture 1" descr="Description: cid:image001.png@01D03949.49457930">
          <a:extLst>
            <a:ext uri="{FF2B5EF4-FFF2-40B4-BE49-F238E27FC236}">
              <a16:creationId xmlns:a16="http://schemas.microsoft.com/office/drawing/2014/main" id="{2412B444-0491-4A61-A964-1F5F5EA5EE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3" name="x_Picture 1" descr="Description: cid:image001.png@01D03949.49457930">
          <a:extLst>
            <a:ext uri="{FF2B5EF4-FFF2-40B4-BE49-F238E27FC236}">
              <a16:creationId xmlns:a16="http://schemas.microsoft.com/office/drawing/2014/main" id="{00071182-E1FE-4B96-88BE-D088212141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4" name="x_Picture 1" descr="Description: cid:image001.png@01D03949.49457930">
          <a:extLst>
            <a:ext uri="{FF2B5EF4-FFF2-40B4-BE49-F238E27FC236}">
              <a16:creationId xmlns:a16="http://schemas.microsoft.com/office/drawing/2014/main" id="{EDA85E1B-42A2-4A85-A2D2-2A489AB90F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5" name="x_Picture 1" descr="Description: cid:image001.png@01D03949.49457930">
          <a:extLst>
            <a:ext uri="{FF2B5EF4-FFF2-40B4-BE49-F238E27FC236}">
              <a16:creationId xmlns:a16="http://schemas.microsoft.com/office/drawing/2014/main" id="{7BA4A022-1195-40F4-9D1D-C5A7981292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6" name="x_Picture 1" descr="Description: cid:image001.png@01D03949.49457930">
          <a:extLst>
            <a:ext uri="{FF2B5EF4-FFF2-40B4-BE49-F238E27FC236}">
              <a16:creationId xmlns:a16="http://schemas.microsoft.com/office/drawing/2014/main" id="{EA5E2876-CFEC-418E-A010-3C28C4D12E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7" name="x_Picture 1" descr="Description: cid:image001.png@01D03949.49457930">
          <a:extLst>
            <a:ext uri="{FF2B5EF4-FFF2-40B4-BE49-F238E27FC236}">
              <a16:creationId xmlns:a16="http://schemas.microsoft.com/office/drawing/2014/main" id="{F6608602-28C1-4321-B6A7-EC14920192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8" name="x_Picture 1" descr="Description: cid:image001.png@01D03949.49457930">
          <a:extLst>
            <a:ext uri="{FF2B5EF4-FFF2-40B4-BE49-F238E27FC236}">
              <a16:creationId xmlns:a16="http://schemas.microsoft.com/office/drawing/2014/main" id="{5BB2C201-4A1A-4381-8E2A-7724594620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699" name="x_Picture 1" descr="Description: cid:image001.png@01D03949.49457930">
          <a:extLst>
            <a:ext uri="{FF2B5EF4-FFF2-40B4-BE49-F238E27FC236}">
              <a16:creationId xmlns:a16="http://schemas.microsoft.com/office/drawing/2014/main" id="{C53521F5-B21B-4402-8462-47A2ED7A6B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0" name="x_Picture 1" descr="Description: cid:image001.png@01D03949.49457930">
          <a:extLst>
            <a:ext uri="{FF2B5EF4-FFF2-40B4-BE49-F238E27FC236}">
              <a16:creationId xmlns:a16="http://schemas.microsoft.com/office/drawing/2014/main" id="{C7286F09-4875-43A5-8B16-389A46FA422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1" name="x_Picture 1" descr="Description: cid:image001.png@01D03949.49457930">
          <a:extLst>
            <a:ext uri="{FF2B5EF4-FFF2-40B4-BE49-F238E27FC236}">
              <a16:creationId xmlns:a16="http://schemas.microsoft.com/office/drawing/2014/main" id="{2BAF43D3-2EAB-40EC-81FF-166DF029DA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2" name="x_Picture 1" descr="Description: cid:image001.png@01D03949.49457930">
          <a:extLst>
            <a:ext uri="{FF2B5EF4-FFF2-40B4-BE49-F238E27FC236}">
              <a16:creationId xmlns:a16="http://schemas.microsoft.com/office/drawing/2014/main" id="{6B9BF785-3DF7-42C6-B0DE-F7EEF1A0DE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3" name="x_Picture 1" descr="Description: cid:image001.png@01D03949.49457930">
          <a:extLst>
            <a:ext uri="{FF2B5EF4-FFF2-40B4-BE49-F238E27FC236}">
              <a16:creationId xmlns:a16="http://schemas.microsoft.com/office/drawing/2014/main" id="{23277F28-F5F6-4CB3-B4AF-D321162571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4" name="x_Picture 1" descr="Description: cid:image001.png@01D03949.49457930">
          <a:extLst>
            <a:ext uri="{FF2B5EF4-FFF2-40B4-BE49-F238E27FC236}">
              <a16:creationId xmlns:a16="http://schemas.microsoft.com/office/drawing/2014/main" id="{C72BE5A1-D7EE-471C-A01F-F6D65E6168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5" name="x_Picture 1" descr="Description: cid:image001.png@01D03949.49457930">
          <a:extLst>
            <a:ext uri="{FF2B5EF4-FFF2-40B4-BE49-F238E27FC236}">
              <a16:creationId xmlns:a16="http://schemas.microsoft.com/office/drawing/2014/main" id="{EE5E01B0-3F67-44A9-A73E-444B62A205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6" name="x_Picture 1" descr="Description: cid:image001.png@01D03949.49457930">
          <a:extLst>
            <a:ext uri="{FF2B5EF4-FFF2-40B4-BE49-F238E27FC236}">
              <a16:creationId xmlns:a16="http://schemas.microsoft.com/office/drawing/2014/main" id="{22835845-B33E-4D52-8B90-C6C3D6E7C0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7" name="x_Picture 1" descr="Description: cid:image001.png@01D03949.49457930">
          <a:extLst>
            <a:ext uri="{FF2B5EF4-FFF2-40B4-BE49-F238E27FC236}">
              <a16:creationId xmlns:a16="http://schemas.microsoft.com/office/drawing/2014/main" id="{716EF7CA-1879-4F61-A93D-F858BF9D77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8" name="x_Picture 1" descr="Description: cid:image001.png@01D03949.49457930">
          <a:extLst>
            <a:ext uri="{FF2B5EF4-FFF2-40B4-BE49-F238E27FC236}">
              <a16:creationId xmlns:a16="http://schemas.microsoft.com/office/drawing/2014/main" id="{20BB633E-F7DB-4084-8AE0-7630260C48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09" name="x_Picture 1" descr="Description: cid:image001.png@01D03949.49457930">
          <a:extLst>
            <a:ext uri="{FF2B5EF4-FFF2-40B4-BE49-F238E27FC236}">
              <a16:creationId xmlns:a16="http://schemas.microsoft.com/office/drawing/2014/main" id="{2D76BD34-069C-4AE9-B82C-2A89DA0A98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0" name="x_Picture 1" descr="Description: cid:image001.png@01D03949.49457930">
          <a:extLst>
            <a:ext uri="{FF2B5EF4-FFF2-40B4-BE49-F238E27FC236}">
              <a16:creationId xmlns:a16="http://schemas.microsoft.com/office/drawing/2014/main" id="{792EF1AB-AE82-4DE6-A115-B7CF623BD2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1" name="x_Picture 1" descr="Description: cid:image001.png@01D03949.49457930">
          <a:extLst>
            <a:ext uri="{FF2B5EF4-FFF2-40B4-BE49-F238E27FC236}">
              <a16:creationId xmlns:a16="http://schemas.microsoft.com/office/drawing/2014/main" id="{59F9CBBE-9903-45CA-A74B-C2965114266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2" name="x_Picture 1" descr="Description: cid:image001.png@01D03949.49457930">
          <a:extLst>
            <a:ext uri="{FF2B5EF4-FFF2-40B4-BE49-F238E27FC236}">
              <a16:creationId xmlns:a16="http://schemas.microsoft.com/office/drawing/2014/main" id="{D06BF82F-0482-4A4C-AB9B-3494936415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3" name="x_Picture 1" descr="Description: cid:image001.png@01D03949.49457930">
          <a:extLst>
            <a:ext uri="{FF2B5EF4-FFF2-40B4-BE49-F238E27FC236}">
              <a16:creationId xmlns:a16="http://schemas.microsoft.com/office/drawing/2014/main" id="{B9A368E2-38C0-419C-8537-12C4C254DF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4" name="x_Picture 1" descr="Description: cid:image001.png@01D03949.49457930">
          <a:extLst>
            <a:ext uri="{FF2B5EF4-FFF2-40B4-BE49-F238E27FC236}">
              <a16:creationId xmlns:a16="http://schemas.microsoft.com/office/drawing/2014/main" id="{1CF3600D-B311-411D-97D8-B34C71AB18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5" name="x_Picture 1" descr="Description: cid:image001.png@01D03949.49457930">
          <a:extLst>
            <a:ext uri="{FF2B5EF4-FFF2-40B4-BE49-F238E27FC236}">
              <a16:creationId xmlns:a16="http://schemas.microsoft.com/office/drawing/2014/main" id="{4540A66C-F485-4737-9740-2C97C18429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6" name="x_Picture 1" descr="Description: cid:image001.png@01D03949.49457930">
          <a:extLst>
            <a:ext uri="{FF2B5EF4-FFF2-40B4-BE49-F238E27FC236}">
              <a16:creationId xmlns:a16="http://schemas.microsoft.com/office/drawing/2014/main" id="{FAB4934D-7AAD-4252-9EDE-C1E6B65469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7" name="x_Picture 1" descr="Description: cid:image001.png@01D03949.49457930">
          <a:extLst>
            <a:ext uri="{FF2B5EF4-FFF2-40B4-BE49-F238E27FC236}">
              <a16:creationId xmlns:a16="http://schemas.microsoft.com/office/drawing/2014/main" id="{CC4D0EEB-28F4-4CBD-8783-C38ABC2EAB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8" name="x_Picture 1" descr="Description: cid:image001.png@01D03949.49457930">
          <a:extLst>
            <a:ext uri="{FF2B5EF4-FFF2-40B4-BE49-F238E27FC236}">
              <a16:creationId xmlns:a16="http://schemas.microsoft.com/office/drawing/2014/main" id="{58EAB0F7-1377-4DA0-889F-097F602F60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19" name="x_Picture 1" descr="Description: cid:image001.png@01D03949.49457930">
          <a:extLst>
            <a:ext uri="{FF2B5EF4-FFF2-40B4-BE49-F238E27FC236}">
              <a16:creationId xmlns:a16="http://schemas.microsoft.com/office/drawing/2014/main" id="{3A877774-CF61-4EDE-8B1E-09415DD12E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0" name="x_Picture 1" descr="Description: cid:image001.png@01D03949.49457930">
          <a:extLst>
            <a:ext uri="{FF2B5EF4-FFF2-40B4-BE49-F238E27FC236}">
              <a16:creationId xmlns:a16="http://schemas.microsoft.com/office/drawing/2014/main" id="{9642B81B-C898-4FF2-B49B-482429CD29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1" name="x_Picture 1" descr="Description: cid:image001.png@01D03949.49457930">
          <a:extLst>
            <a:ext uri="{FF2B5EF4-FFF2-40B4-BE49-F238E27FC236}">
              <a16:creationId xmlns:a16="http://schemas.microsoft.com/office/drawing/2014/main" id="{48863CB4-E4F4-4352-932E-1552415AF9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2" name="x_Picture 1" descr="Description: cid:image001.png@01D03949.49457930">
          <a:extLst>
            <a:ext uri="{FF2B5EF4-FFF2-40B4-BE49-F238E27FC236}">
              <a16:creationId xmlns:a16="http://schemas.microsoft.com/office/drawing/2014/main" id="{7B9AF21D-3A76-4F1B-BD73-DC7F8B8B4B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3" name="x_Picture 1" descr="Description: cid:image001.png@01D03949.49457930">
          <a:extLst>
            <a:ext uri="{FF2B5EF4-FFF2-40B4-BE49-F238E27FC236}">
              <a16:creationId xmlns:a16="http://schemas.microsoft.com/office/drawing/2014/main" id="{7567E9D9-4FBF-4D3B-A020-29D0EB0763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4" name="x_Picture 1" descr="Description: cid:image001.png@01D03949.49457930">
          <a:extLst>
            <a:ext uri="{FF2B5EF4-FFF2-40B4-BE49-F238E27FC236}">
              <a16:creationId xmlns:a16="http://schemas.microsoft.com/office/drawing/2014/main" id="{DEB1EDE3-5A8D-4C14-B1B9-B8896F2C3E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5" name="x_Picture 1" descr="Description: cid:image001.png@01D03949.49457930">
          <a:extLst>
            <a:ext uri="{FF2B5EF4-FFF2-40B4-BE49-F238E27FC236}">
              <a16:creationId xmlns:a16="http://schemas.microsoft.com/office/drawing/2014/main" id="{4757FF76-F6CE-418E-AC46-03B82009571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6" name="x_Picture 1" descr="Description: cid:image001.png@01D03949.49457930">
          <a:extLst>
            <a:ext uri="{FF2B5EF4-FFF2-40B4-BE49-F238E27FC236}">
              <a16:creationId xmlns:a16="http://schemas.microsoft.com/office/drawing/2014/main" id="{9CC4502F-8EC6-4297-A258-87B9DA701D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7" name="x_Picture 1" descr="Description: cid:image001.png@01D03949.49457930">
          <a:extLst>
            <a:ext uri="{FF2B5EF4-FFF2-40B4-BE49-F238E27FC236}">
              <a16:creationId xmlns:a16="http://schemas.microsoft.com/office/drawing/2014/main" id="{C7BBB621-40A0-4F5B-82B4-19D8012DEB3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8" name="x_Picture 1" descr="Description: cid:image001.png@01D03949.49457930">
          <a:extLst>
            <a:ext uri="{FF2B5EF4-FFF2-40B4-BE49-F238E27FC236}">
              <a16:creationId xmlns:a16="http://schemas.microsoft.com/office/drawing/2014/main" id="{006A8AD4-60DB-4BC3-84F1-1327E88195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29" name="x_Picture 1" descr="Description: cid:image001.png@01D03949.49457930">
          <a:extLst>
            <a:ext uri="{FF2B5EF4-FFF2-40B4-BE49-F238E27FC236}">
              <a16:creationId xmlns:a16="http://schemas.microsoft.com/office/drawing/2014/main" id="{F6D6D623-F07D-4CAF-AA1E-A7D15368A3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0" name="x_Picture 1" descr="Description: cid:image001.png@01D03949.49457930">
          <a:extLst>
            <a:ext uri="{FF2B5EF4-FFF2-40B4-BE49-F238E27FC236}">
              <a16:creationId xmlns:a16="http://schemas.microsoft.com/office/drawing/2014/main" id="{BABAF117-3B4D-42F9-ADA0-3A3C12A68D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1" name="x_Picture 1" descr="Description: cid:image001.png@01D03949.49457930">
          <a:extLst>
            <a:ext uri="{FF2B5EF4-FFF2-40B4-BE49-F238E27FC236}">
              <a16:creationId xmlns:a16="http://schemas.microsoft.com/office/drawing/2014/main" id="{F9D28C18-1BBC-4F34-975E-72BC72DBA6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2" name="x_Picture 1" descr="Description: cid:image001.png@01D03949.49457930">
          <a:extLst>
            <a:ext uri="{FF2B5EF4-FFF2-40B4-BE49-F238E27FC236}">
              <a16:creationId xmlns:a16="http://schemas.microsoft.com/office/drawing/2014/main" id="{B1EB7DB3-9742-4724-9CA4-7A4C5634C7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3" name="x_Picture 1" descr="Description: cid:image001.png@01D03949.49457930">
          <a:extLst>
            <a:ext uri="{FF2B5EF4-FFF2-40B4-BE49-F238E27FC236}">
              <a16:creationId xmlns:a16="http://schemas.microsoft.com/office/drawing/2014/main" id="{EE7CCEDF-BE3A-4423-A248-F885BD966D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4" name="x_Picture 1" descr="Description: cid:image001.png@01D03949.49457930">
          <a:extLst>
            <a:ext uri="{FF2B5EF4-FFF2-40B4-BE49-F238E27FC236}">
              <a16:creationId xmlns:a16="http://schemas.microsoft.com/office/drawing/2014/main" id="{46AA80DB-9308-41A0-B4DA-52EA0AAD25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5" name="x_Picture 1" descr="Description: cid:image001.png@01D03949.49457930">
          <a:extLst>
            <a:ext uri="{FF2B5EF4-FFF2-40B4-BE49-F238E27FC236}">
              <a16:creationId xmlns:a16="http://schemas.microsoft.com/office/drawing/2014/main" id="{C8D0698E-09E3-415A-BBF4-34E811F233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6" name="x_Picture 1" descr="Description: cid:image001.png@01D03949.49457930">
          <a:extLst>
            <a:ext uri="{FF2B5EF4-FFF2-40B4-BE49-F238E27FC236}">
              <a16:creationId xmlns:a16="http://schemas.microsoft.com/office/drawing/2014/main" id="{947C7EC4-C77C-4F57-9D5D-CD09AEFF8D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7" name="x_Picture 1" descr="Description: cid:image001.png@01D03949.49457930">
          <a:extLst>
            <a:ext uri="{FF2B5EF4-FFF2-40B4-BE49-F238E27FC236}">
              <a16:creationId xmlns:a16="http://schemas.microsoft.com/office/drawing/2014/main" id="{A1C80620-D734-42B8-ACBD-A56DD05549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8" name="x_Picture 1" descr="Description: cid:image001.png@01D03949.49457930">
          <a:extLst>
            <a:ext uri="{FF2B5EF4-FFF2-40B4-BE49-F238E27FC236}">
              <a16:creationId xmlns:a16="http://schemas.microsoft.com/office/drawing/2014/main" id="{B4DAFF34-DA84-4134-9EB6-49DB704032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39" name="x_Picture 1" descr="Description: cid:image001.png@01D03949.49457930">
          <a:extLst>
            <a:ext uri="{FF2B5EF4-FFF2-40B4-BE49-F238E27FC236}">
              <a16:creationId xmlns:a16="http://schemas.microsoft.com/office/drawing/2014/main" id="{1374B41B-0804-45C3-B254-7D7B50E294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0" name="x_Picture 1" descr="Description: cid:image001.png@01D03949.49457930">
          <a:extLst>
            <a:ext uri="{FF2B5EF4-FFF2-40B4-BE49-F238E27FC236}">
              <a16:creationId xmlns:a16="http://schemas.microsoft.com/office/drawing/2014/main" id="{A1C827DE-D7DB-4D90-A072-E30520E1BB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1" name="x_Picture 1" descr="Description: cid:image001.png@01D03949.49457930">
          <a:extLst>
            <a:ext uri="{FF2B5EF4-FFF2-40B4-BE49-F238E27FC236}">
              <a16:creationId xmlns:a16="http://schemas.microsoft.com/office/drawing/2014/main" id="{9734C698-1392-4A63-85E3-81A6FCEE7C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2" name="x_Picture 1" descr="Description: cid:image001.png@01D03949.49457930">
          <a:extLst>
            <a:ext uri="{FF2B5EF4-FFF2-40B4-BE49-F238E27FC236}">
              <a16:creationId xmlns:a16="http://schemas.microsoft.com/office/drawing/2014/main" id="{E8C183A7-80F2-4913-8D83-8596E1EB54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3" name="x_Picture 1" descr="Description: cid:image001.png@01D03949.49457930">
          <a:extLst>
            <a:ext uri="{FF2B5EF4-FFF2-40B4-BE49-F238E27FC236}">
              <a16:creationId xmlns:a16="http://schemas.microsoft.com/office/drawing/2014/main" id="{6E66D318-0851-45CE-94AE-42BC4F81D3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4" name="x_Picture 1" descr="Description: cid:image001.png@01D03949.49457930">
          <a:extLst>
            <a:ext uri="{FF2B5EF4-FFF2-40B4-BE49-F238E27FC236}">
              <a16:creationId xmlns:a16="http://schemas.microsoft.com/office/drawing/2014/main" id="{7A5DB6C0-1C00-4AC8-8BB6-127EFB3E6A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5" name="x_Picture 1" descr="Description: cid:image001.png@01D03949.49457930">
          <a:extLst>
            <a:ext uri="{FF2B5EF4-FFF2-40B4-BE49-F238E27FC236}">
              <a16:creationId xmlns:a16="http://schemas.microsoft.com/office/drawing/2014/main" id="{E0E91FD6-EC76-479C-8B9C-07713FB54A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6" name="x_Picture 1" descr="Description: cid:image001.png@01D03949.49457930">
          <a:extLst>
            <a:ext uri="{FF2B5EF4-FFF2-40B4-BE49-F238E27FC236}">
              <a16:creationId xmlns:a16="http://schemas.microsoft.com/office/drawing/2014/main" id="{A960B1B1-A2BB-473D-8C00-8C2850A151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7" name="x_Picture 1" descr="Description: cid:image001.png@01D03949.49457930">
          <a:extLst>
            <a:ext uri="{FF2B5EF4-FFF2-40B4-BE49-F238E27FC236}">
              <a16:creationId xmlns:a16="http://schemas.microsoft.com/office/drawing/2014/main" id="{56C00AE9-D4AE-4B58-B960-DF9B9FBFA9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8" name="x_Picture 1" descr="Description: cid:image001.png@01D03949.49457930">
          <a:extLst>
            <a:ext uri="{FF2B5EF4-FFF2-40B4-BE49-F238E27FC236}">
              <a16:creationId xmlns:a16="http://schemas.microsoft.com/office/drawing/2014/main" id="{1CC1CAAB-0EE3-428C-9D50-94BF5A4DB7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49" name="x_Picture 1" descr="Description: cid:image001.png@01D03949.49457930">
          <a:extLst>
            <a:ext uri="{FF2B5EF4-FFF2-40B4-BE49-F238E27FC236}">
              <a16:creationId xmlns:a16="http://schemas.microsoft.com/office/drawing/2014/main" id="{B7DA2C82-A1D4-4FE1-9F00-72FCD01B63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0" name="x_Picture 1" descr="Description: cid:image001.png@01D03949.49457930">
          <a:extLst>
            <a:ext uri="{FF2B5EF4-FFF2-40B4-BE49-F238E27FC236}">
              <a16:creationId xmlns:a16="http://schemas.microsoft.com/office/drawing/2014/main" id="{AC99A371-FF9A-4049-A759-F93082AD5F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1" name="x_Picture 1" descr="Description: cid:image001.png@01D03949.49457930">
          <a:extLst>
            <a:ext uri="{FF2B5EF4-FFF2-40B4-BE49-F238E27FC236}">
              <a16:creationId xmlns:a16="http://schemas.microsoft.com/office/drawing/2014/main" id="{2678CA29-8834-4051-BCFF-08F21B7A94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2" name="x_Picture 1" descr="Description: cid:image001.png@01D03949.49457930">
          <a:extLst>
            <a:ext uri="{FF2B5EF4-FFF2-40B4-BE49-F238E27FC236}">
              <a16:creationId xmlns:a16="http://schemas.microsoft.com/office/drawing/2014/main" id="{9C0264C5-1F3B-420C-81BF-BDE5E35B449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3" name="x_Picture 1" descr="Description: cid:image001.png@01D03949.49457930">
          <a:extLst>
            <a:ext uri="{FF2B5EF4-FFF2-40B4-BE49-F238E27FC236}">
              <a16:creationId xmlns:a16="http://schemas.microsoft.com/office/drawing/2014/main" id="{E2612637-CCA6-4A37-BDE0-E3E29405E1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4" name="x_Picture 1" descr="Description: cid:image001.png@01D03949.49457930">
          <a:extLst>
            <a:ext uri="{FF2B5EF4-FFF2-40B4-BE49-F238E27FC236}">
              <a16:creationId xmlns:a16="http://schemas.microsoft.com/office/drawing/2014/main" id="{B78D85B2-F905-4E1F-B098-FED2BE894D5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5" name="x_Picture 1" descr="Description: cid:image001.png@01D03949.49457930">
          <a:extLst>
            <a:ext uri="{FF2B5EF4-FFF2-40B4-BE49-F238E27FC236}">
              <a16:creationId xmlns:a16="http://schemas.microsoft.com/office/drawing/2014/main" id="{71550F07-48D9-4EFD-8E1E-AC079A8678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6" name="x_Picture 1" descr="Description: cid:image001.png@01D03949.49457930">
          <a:extLst>
            <a:ext uri="{FF2B5EF4-FFF2-40B4-BE49-F238E27FC236}">
              <a16:creationId xmlns:a16="http://schemas.microsoft.com/office/drawing/2014/main" id="{980320B9-B8BB-449B-A613-BF3D7AA854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7" name="x_Picture 1" descr="Description: cid:image001.png@01D03949.49457930">
          <a:extLst>
            <a:ext uri="{FF2B5EF4-FFF2-40B4-BE49-F238E27FC236}">
              <a16:creationId xmlns:a16="http://schemas.microsoft.com/office/drawing/2014/main" id="{77C81225-2164-4D49-A6B0-734BF98CB9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8" name="x_Picture 1" descr="Description: cid:image001.png@01D03949.49457930">
          <a:extLst>
            <a:ext uri="{FF2B5EF4-FFF2-40B4-BE49-F238E27FC236}">
              <a16:creationId xmlns:a16="http://schemas.microsoft.com/office/drawing/2014/main" id="{09C8A8ED-F53D-4F22-BC41-03700403DE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59" name="x_Picture 1" descr="Description: cid:image001.png@01D03949.49457930">
          <a:extLst>
            <a:ext uri="{FF2B5EF4-FFF2-40B4-BE49-F238E27FC236}">
              <a16:creationId xmlns:a16="http://schemas.microsoft.com/office/drawing/2014/main" id="{03249EE8-890A-4429-BC96-76504B4962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0" name="x_Picture 1" descr="Description: cid:image001.png@01D03949.49457930">
          <a:extLst>
            <a:ext uri="{FF2B5EF4-FFF2-40B4-BE49-F238E27FC236}">
              <a16:creationId xmlns:a16="http://schemas.microsoft.com/office/drawing/2014/main" id="{31570C7E-90B7-4262-B604-DD5CED2852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1" name="x_Picture 1" descr="Description: cid:image001.png@01D03949.49457930">
          <a:extLst>
            <a:ext uri="{FF2B5EF4-FFF2-40B4-BE49-F238E27FC236}">
              <a16:creationId xmlns:a16="http://schemas.microsoft.com/office/drawing/2014/main" id="{5AC435D4-604A-4834-9C23-2E83060479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2" name="x_Picture 1" descr="Description: cid:image001.png@01D03949.49457930">
          <a:extLst>
            <a:ext uri="{FF2B5EF4-FFF2-40B4-BE49-F238E27FC236}">
              <a16:creationId xmlns:a16="http://schemas.microsoft.com/office/drawing/2014/main" id="{07BAF548-1C89-417B-B02A-B61113275F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3" name="x_Picture 1" descr="Description: cid:image001.png@01D03949.49457930">
          <a:extLst>
            <a:ext uri="{FF2B5EF4-FFF2-40B4-BE49-F238E27FC236}">
              <a16:creationId xmlns:a16="http://schemas.microsoft.com/office/drawing/2014/main" id="{E6A8D77B-0DBB-49C9-9ADF-AED18A3DC1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4" name="x_Picture 1" descr="Description: cid:image001.png@01D03949.49457930">
          <a:extLst>
            <a:ext uri="{FF2B5EF4-FFF2-40B4-BE49-F238E27FC236}">
              <a16:creationId xmlns:a16="http://schemas.microsoft.com/office/drawing/2014/main" id="{36FC50ED-B120-4C24-A0E2-A4950433FF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5" name="x_Picture 1" descr="Description: cid:image001.png@01D03949.49457930">
          <a:extLst>
            <a:ext uri="{FF2B5EF4-FFF2-40B4-BE49-F238E27FC236}">
              <a16:creationId xmlns:a16="http://schemas.microsoft.com/office/drawing/2014/main" id="{404B7C10-1B72-4C28-B80C-CC90938D79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6" name="x_Picture 1" descr="Description: cid:image001.png@01D03949.49457930">
          <a:extLst>
            <a:ext uri="{FF2B5EF4-FFF2-40B4-BE49-F238E27FC236}">
              <a16:creationId xmlns:a16="http://schemas.microsoft.com/office/drawing/2014/main" id="{DD81464A-06CE-4CA2-9C41-509F7929D1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7" name="x_Picture 1" descr="Description: cid:image001.png@01D03949.49457930">
          <a:extLst>
            <a:ext uri="{FF2B5EF4-FFF2-40B4-BE49-F238E27FC236}">
              <a16:creationId xmlns:a16="http://schemas.microsoft.com/office/drawing/2014/main" id="{3D067DF5-0A56-4397-9FF1-B29CCC7262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8" name="x_Picture 1" descr="Description: cid:image001.png@01D03949.49457930">
          <a:extLst>
            <a:ext uri="{FF2B5EF4-FFF2-40B4-BE49-F238E27FC236}">
              <a16:creationId xmlns:a16="http://schemas.microsoft.com/office/drawing/2014/main" id="{953E89CF-B283-46AB-BF78-7AE24CAD4E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69" name="x_Picture 1" descr="Description: cid:image001.png@01D03949.49457930">
          <a:extLst>
            <a:ext uri="{FF2B5EF4-FFF2-40B4-BE49-F238E27FC236}">
              <a16:creationId xmlns:a16="http://schemas.microsoft.com/office/drawing/2014/main" id="{70752A95-B7BB-4EB9-973E-49A3FEBE58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0" name="x_Picture 1" descr="Description: cid:image001.png@01D03949.49457930">
          <a:extLst>
            <a:ext uri="{FF2B5EF4-FFF2-40B4-BE49-F238E27FC236}">
              <a16:creationId xmlns:a16="http://schemas.microsoft.com/office/drawing/2014/main" id="{E17009CF-1012-4AEB-BF95-D1D9406349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1" name="x_Picture 1" descr="Description: cid:image001.png@01D03949.49457930">
          <a:extLst>
            <a:ext uri="{FF2B5EF4-FFF2-40B4-BE49-F238E27FC236}">
              <a16:creationId xmlns:a16="http://schemas.microsoft.com/office/drawing/2014/main" id="{4D5CC892-E886-4CB0-876D-2596951225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2" name="x_Picture 1" descr="Description: cid:image001.png@01D03949.49457930">
          <a:extLst>
            <a:ext uri="{FF2B5EF4-FFF2-40B4-BE49-F238E27FC236}">
              <a16:creationId xmlns:a16="http://schemas.microsoft.com/office/drawing/2014/main" id="{8FD56354-0D20-4AD3-88BA-B63EEF5F89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3" name="x_Picture 1" descr="Description: cid:image001.png@01D03949.49457930">
          <a:extLst>
            <a:ext uri="{FF2B5EF4-FFF2-40B4-BE49-F238E27FC236}">
              <a16:creationId xmlns:a16="http://schemas.microsoft.com/office/drawing/2014/main" id="{C5263A0C-9BAA-493D-80B8-224D4EA234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4" name="x_Picture 1" descr="Description: cid:image001.png@01D03949.49457930">
          <a:extLst>
            <a:ext uri="{FF2B5EF4-FFF2-40B4-BE49-F238E27FC236}">
              <a16:creationId xmlns:a16="http://schemas.microsoft.com/office/drawing/2014/main" id="{9C2FFA13-D9A5-4AC8-A734-F3EEB173DC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5" name="x_Picture 1" descr="Description: cid:image001.png@01D03949.49457930">
          <a:extLst>
            <a:ext uri="{FF2B5EF4-FFF2-40B4-BE49-F238E27FC236}">
              <a16:creationId xmlns:a16="http://schemas.microsoft.com/office/drawing/2014/main" id="{4814AB30-69BC-4F9F-907E-B026AD029C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6" name="x_Picture 1" descr="Description: cid:image001.png@01D03949.49457930">
          <a:extLst>
            <a:ext uri="{FF2B5EF4-FFF2-40B4-BE49-F238E27FC236}">
              <a16:creationId xmlns:a16="http://schemas.microsoft.com/office/drawing/2014/main" id="{DA3AA739-904F-4363-9FFF-71D32148AA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7" name="x_Picture 1" descr="Description: cid:image001.png@01D03949.49457930">
          <a:extLst>
            <a:ext uri="{FF2B5EF4-FFF2-40B4-BE49-F238E27FC236}">
              <a16:creationId xmlns:a16="http://schemas.microsoft.com/office/drawing/2014/main" id="{57E3935F-F230-4460-88E9-7AA193AF99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8" name="x_Picture 1" descr="Description: cid:image001.png@01D03949.49457930">
          <a:extLst>
            <a:ext uri="{FF2B5EF4-FFF2-40B4-BE49-F238E27FC236}">
              <a16:creationId xmlns:a16="http://schemas.microsoft.com/office/drawing/2014/main" id="{0975F0C5-790A-494C-856C-D87DE4BFCB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79" name="x_Picture 1" descr="Description: cid:image001.png@01D03949.49457930">
          <a:extLst>
            <a:ext uri="{FF2B5EF4-FFF2-40B4-BE49-F238E27FC236}">
              <a16:creationId xmlns:a16="http://schemas.microsoft.com/office/drawing/2014/main" id="{33A01B74-1EC8-4644-BB6F-BE6E59A96C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0" name="x_Picture 1" descr="Description: cid:image001.png@01D03949.49457930">
          <a:extLst>
            <a:ext uri="{FF2B5EF4-FFF2-40B4-BE49-F238E27FC236}">
              <a16:creationId xmlns:a16="http://schemas.microsoft.com/office/drawing/2014/main" id="{040D72D8-74C1-4F66-8187-1DA359CD93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1" name="x_Picture 1" descr="Description: cid:image001.png@01D03949.49457930">
          <a:extLst>
            <a:ext uri="{FF2B5EF4-FFF2-40B4-BE49-F238E27FC236}">
              <a16:creationId xmlns:a16="http://schemas.microsoft.com/office/drawing/2014/main" id="{86F8A431-332C-44A9-BB89-749CC3EBC1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2" name="x_Picture 1" descr="Description: cid:image001.png@01D03949.49457930">
          <a:extLst>
            <a:ext uri="{FF2B5EF4-FFF2-40B4-BE49-F238E27FC236}">
              <a16:creationId xmlns:a16="http://schemas.microsoft.com/office/drawing/2014/main" id="{E0DDE204-27D0-433F-81EA-445FEA4143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3" name="x_Picture 1" descr="Description: cid:image001.png@01D03949.49457930">
          <a:extLst>
            <a:ext uri="{FF2B5EF4-FFF2-40B4-BE49-F238E27FC236}">
              <a16:creationId xmlns:a16="http://schemas.microsoft.com/office/drawing/2014/main" id="{97F96D43-7B13-4570-AD4C-DC70964812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4" name="x_Picture 1" descr="Description: cid:image001.png@01D03949.49457930">
          <a:extLst>
            <a:ext uri="{FF2B5EF4-FFF2-40B4-BE49-F238E27FC236}">
              <a16:creationId xmlns:a16="http://schemas.microsoft.com/office/drawing/2014/main" id="{3F324768-AA9B-45C6-8277-F65F8025E3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5" name="x_Picture 1" descr="Description: cid:image001.png@01D03949.49457930">
          <a:extLst>
            <a:ext uri="{FF2B5EF4-FFF2-40B4-BE49-F238E27FC236}">
              <a16:creationId xmlns:a16="http://schemas.microsoft.com/office/drawing/2014/main" id="{2B057061-F61C-4827-A145-CD304ED7C3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6" name="x_Picture 1" descr="Description: cid:image001.png@01D03949.49457930">
          <a:extLst>
            <a:ext uri="{FF2B5EF4-FFF2-40B4-BE49-F238E27FC236}">
              <a16:creationId xmlns:a16="http://schemas.microsoft.com/office/drawing/2014/main" id="{B6A223C3-1BBA-4150-BFDC-780D7A1CB7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7" name="x_Picture 1" descr="Description: cid:image001.png@01D03949.49457930">
          <a:extLst>
            <a:ext uri="{FF2B5EF4-FFF2-40B4-BE49-F238E27FC236}">
              <a16:creationId xmlns:a16="http://schemas.microsoft.com/office/drawing/2014/main" id="{C9523132-3D4F-443E-820E-0B74C33801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8" name="x_Picture 1" descr="Description: cid:image001.png@01D03949.49457930">
          <a:extLst>
            <a:ext uri="{FF2B5EF4-FFF2-40B4-BE49-F238E27FC236}">
              <a16:creationId xmlns:a16="http://schemas.microsoft.com/office/drawing/2014/main" id="{77307A7A-A4B8-4D06-A9ED-FCB034A74E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89" name="x_Picture 1" descr="Description: cid:image001.png@01D03949.49457930">
          <a:extLst>
            <a:ext uri="{FF2B5EF4-FFF2-40B4-BE49-F238E27FC236}">
              <a16:creationId xmlns:a16="http://schemas.microsoft.com/office/drawing/2014/main" id="{6D198B72-EAC1-4E37-8079-3E88AFAC26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0" name="x_Picture 1" descr="Description: cid:image001.png@01D03949.49457930">
          <a:extLst>
            <a:ext uri="{FF2B5EF4-FFF2-40B4-BE49-F238E27FC236}">
              <a16:creationId xmlns:a16="http://schemas.microsoft.com/office/drawing/2014/main" id="{1247F01D-6CAA-415A-8FFC-093F0284B9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1" name="x_Picture 1" descr="Description: cid:image001.png@01D03949.49457930">
          <a:extLst>
            <a:ext uri="{FF2B5EF4-FFF2-40B4-BE49-F238E27FC236}">
              <a16:creationId xmlns:a16="http://schemas.microsoft.com/office/drawing/2014/main" id="{E23F1C92-CA15-46CF-B277-3EF946F434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2" name="x_Picture 1" descr="Description: cid:image001.png@01D03949.49457930">
          <a:extLst>
            <a:ext uri="{FF2B5EF4-FFF2-40B4-BE49-F238E27FC236}">
              <a16:creationId xmlns:a16="http://schemas.microsoft.com/office/drawing/2014/main" id="{D3C22E4A-A501-42C1-93EE-996A0A6ACD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3" name="x_Picture 1" descr="Description: cid:image001.png@01D03949.49457930">
          <a:extLst>
            <a:ext uri="{FF2B5EF4-FFF2-40B4-BE49-F238E27FC236}">
              <a16:creationId xmlns:a16="http://schemas.microsoft.com/office/drawing/2014/main" id="{8DC7E759-BEAB-40DD-9293-8CA8EE3230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4" name="x_Picture 1" descr="Description: cid:image001.png@01D03949.49457930">
          <a:extLst>
            <a:ext uri="{FF2B5EF4-FFF2-40B4-BE49-F238E27FC236}">
              <a16:creationId xmlns:a16="http://schemas.microsoft.com/office/drawing/2014/main" id="{4F379A72-DA63-48CE-BC95-3F8F6FB92A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5" name="x_Picture 1" descr="Description: cid:image001.png@01D03949.49457930">
          <a:extLst>
            <a:ext uri="{FF2B5EF4-FFF2-40B4-BE49-F238E27FC236}">
              <a16:creationId xmlns:a16="http://schemas.microsoft.com/office/drawing/2014/main" id="{9D5E76E1-6F5E-43F0-B609-7CCD88C6AC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6" name="x_Picture 1" descr="Description: cid:image001.png@01D03949.49457930">
          <a:extLst>
            <a:ext uri="{FF2B5EF4-FFF2-40B4-BE49-F238E27FC236}">
              <a16:creationId xmlns:a16="http://schemas.microsoft.com/office/drawing/2014/main" id="{8C80F9D5-5644-4DD8-BD77-CFF6DB9457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7" name="x_Picture 1" descr="Description: cid:image001.png@01D03949.49457930">
          <a:extLst>
            <a:ext uri="{FF2B5EF4-FFF2-40B4-BE49-F238E27FC236}">
              <a16:creationId xmlns:a16="http://schemas.microsoft.com/office/drawing/2014/main" id="{3A93CBC7-AFDC-4231-BDA1-77970A5972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8" name="x_Picture 1" descr="Description: cid:image001.png@01D03949.49457930">
          <a:extLst>
            <a:ext uri="{FF2B5EF4-FFF2-40B4-BE49-F238E27FC236}">
              <a16:creationId xmlns:a16="http://schemas.microsoft.com/office/drawing/2014/main" id="{D4D14FC1-A8FC-4910-96E7-972E717D6F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799" name="x_Picture 1" descr="Description: cid:image001.png@01D03949.49457930">
          <a:extLst>
            <a:ext uri="{FF2B5EF4-FFF2-40B4-BE49-F238E27FC236}">
              <a16:creationId xmlns:a16="http://schemas.microsoft.com/office/drawing/2014/main" id="{F1767B29-96BF-4413-B675-8565760ECA7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0" name="x_Picture 1" descr="Description: cid:image001.png@01D03949.49457930">
          <a:extLst>
            <a:ext uri="{FF2B5EF4-FFF2-40B4-BE49-F238E27FC236}">
              <a16:creationId xmlns:a16="http://schemas.microsoft.com/office/drawing/2014/main" id="{988CB55D-6574-496A-971A-C85294C077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1" name="x_Picture 1" descr="Description: cid:image001.png@01D03949.49457930">
          <a:extLst>
            <a:ext uri="{FF2B5EF4-FFF2-40B4-BE49-F238E27FC236}">
              <a16:creationId xmlns:a16="http://schemas.microsoft.com/office/drawing/2014/main" id="{C2B9D7D2-C657-412E-B3A4-BF9CE618E5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2" name="x_Picture 1" descr="Description: cid:image001.png@01D03949.49457930">
          <a:extLst>
            <a:ext uri="{FF2B5EF4-FFF2-40B4-BE49-F238E27FC236}">
              <a16:creationId xmlns:a16="http://schemas.microsoft.com/office/drawing/2014/main" id="{35D6939C-C6CE-44D4-91E6-08460B4996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3" name="x_Picture 1" descr="Description: cid:image001.png@01D03949.49457930">
          <a:extLst>
            <a:ext uri="{FF2B5EF4-FFF2-40B4-BE49-F238E27FC236}">
              <a16:creationId xmlns:a16="http://schemas.microsoft.com/office/drawing/2014/main" id="{5B5A423B-308F-453F-8C7E-240490FC55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4" name="x_Picture 1" descr="Description: cid:image001.png@01D03949.49457930">
          <a:extLst>
            <a:ext uri="{FF2B5EF4-FFF2-40B4-BE49-F238E27FC236}">
              <a16:creationId xmlns:a16="http://schemas.microsoft.com/office/drawing/2014/main" id="{D7FCC37C-B36C-4637-A516-A99C4E4093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5" name="x_Picture 1" descr="Description: cid:image001.png@01D03949.49457930">
          <a:extLst>
            <a:ext uri="{FF2B5EF4-FFF2-40B4-BE49-F238E27FC236}">
              <a16:creationId xmlns:a16="http://schemas.microsoft.com/office/drawing/2014/main" id="{56A3A86D-24BA-42F9-ADDE-244116E5BF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6" name="x_Picture 1" descr="Description: cid:image001.png@01D03949.49457930">
          <a:extLst>
            <a:ext uri="{FF2B5EF4-FFF2-40B4-BE49-F238E27FC236}">
              <a16:creationId xmlns:a16="http://schemas.microsoft.com/office/drawing/2014/main" id="{AEEC0244-346C-45E4-B192-C3862D47DE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7" name="x_Picture 1" descr="Description: cid:image001.png@01D03949.49457930">
          <a:extLst>
            <a:ext uri="{FF2B5EF4-FFF2-40B4-BE49-F238E27FC236}">
              <a16:creationId xmlns:a16="http://schemas.microsoft.com/office/drawing/2014/main" id="{31AE5A50-0FD4-4340-8F2C-450FE78E92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8" name="x_Picture 1" descr="Description: cid:image001.png@01D03949.49457930">
          <a:extLst>
            <a:ext uri="{FF2B5EF4-FFF2-40B4-BE49-F238E27FC236}">
              <a16:creationId xmlns:a16="http://schemas.microsoft.com/office/drawing/2014/main" id="{56767FE3-A9E3-471C-A21B-317EF19D80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09" name="x_Picture 1" descr="Description: cid:image001.png@01D03949.49457930">
          <a:extLst>
            <a:ext uri="{FF2B5EF4-FFF2-40B4-BE49-F238E27FC236}">
              <a16:creationId xmlns:a16="http://schemas.microsoft.com/office/drawing/2014/main" id="{000DA05A-C1F0-40F7-9A7E-6450751514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0" name="x_Picture 1" descr="Description: cid:image001.png@01D03949.49457930">
          <a:extLst>
            <a:ext uri="{FF2B5EF4-FFF2-40B4-BE49-F238E27FC236}">
              <a16:creationId xmlns:a16="http://schemas.microsoft.com/office/drawing/2014/main" id="{4A71B0C5-E0CD-49B5-9882-24B2789607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1" name="x_Picture 1" descr="Description: cid:image001.png@01D03949.49457930">
          <a:extLst>
            <a:ext uri="{FF2B5EF4-FFF2-40B4-BE49-F238E27FC236}">
              <a16:creationId xmlns:a16="http://schemas.microsoft.com/office/drawing/2014/main" id="{0F437784-5788-49B8-A61A-FF46E37773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2" name="x_Picture 1" descr="Description: cid:image001.png@01D03949.49457930">
          <a:extLst>
            <a:ext uri="{FF2B5EF4-FFF2-40B4-BE49-F238E27FC236}">
              <a16:creationId xmlns:a16="http://schemas.microsoft.com/office/drawing/2014/main" id="{D121C0EF-3E99-4FC9-9AB6-FA3D0F5930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3" name="x_Picture 1" descr="Description: cid:image001.png@01D03949.49457930">
          <a:extLst>
            <a:ext uri="{FF2B5EF4-FFF2-40B4-BE49-F238E27FC236}">
              <a16:creationId xmlns:a16="http://schemas.microsoft.com/office/drawing/2014/main" id="{43353ACE-F854-4515-A440-11D14F7A32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4" name="x_Picture 1" descr="Description: cid:image001.png@01D03949.49457930">
          <a:extLst>
            <a:ext uri="{FF2B5EF4-FFF2-40B4-BE49-F238E27FC236}">
              <a16:creationId xmlns:a16="http://schemas.microsoft.com/office/drawing/2014/main" id="{0F783D0F-4654-410A-934E-A693564939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5" name="x_Picture 1" descr="Description: cid:image001.png@01D03949.49457930">
          <a:extLst>
            <a:ext uri="{FF2B5EF4-FFF2-40B4-BE49-F238E27FC236}">
              <a16:creationId xmlns:a16="http://schemas.microsoft.com/office/drawing/2014/main" id="{E4BBFD45-1D26-47FD-AD63-723007FD51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6" name="x_Picture 1" descr="Description: cid:image001.png@01D03949.49457930">
          <a:extLst>
            <a:ext uri="{FF2B5EF4-FFF2-40B4-BE49-F238E27FC236}">
              <a16:creationId xmlns:a16="http://schemas.microsoft.com/office/drawing/2014/main" id="{28CCC702-6361-4C7A-AD8B-A5F46C41BE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7" name="x_Picture 1" descr="Description: cid:image001.png@01D03949.49457930">
          <a:extLst>
            <a:ext uri="{FF2B5EF4-FFF2-40B4-BE49-F238E27FC236}">
              <a16:creationId xmlns:a16="http://schemas.microsoft.com/office/drawing/2014/main" id="{9FF00F4A-731C-4560-8C28-E82C7B00B3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8" name="x_Picture 1" descr="Description: cid:image001.png@01D03949.49457930">
          <a:extLst>
            <a:ext uri="{FF2B5EF4-FFF2-40B4-BE49-F238E27FC236}">
              <a16:creationId xmlns:a16="http://schemas.microsoft.com/office/drawing/2014/main" id="{7DBB4349-9E7A-4490-BE7F-BB2A1791A8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19" name="x_Picture 1" descr="Description: cid:image001.png@01D03949.49457930">
          <a:extLst>
            <a:ext uri="{FF2B5EF4-FFF2-40B4-BE49-F238E27FC236}">
              <a16:creationId xmlns:a16="http://schemas.microsoft.com/office/drawing/2014/main" id="{5614A0A2-91E3-42A2-B4AD-3EEEF80A7D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0" name="x_Picture 1" descr="Description: cid:image001.png@01D03949.49457930">
          <a:extLst>
            <a:ext uri="{FF2B5EF4-FFF2-40B4-BE49-F238E27FC236}">
              <a16:creationId xmlns:a16="http://schemas.microsoft.com/office/drawing/2014/main" id="{4D724C3B-55D6-485A-87F2-A95D1E2A63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1" name="x_Picture 1" descr="Description: cid:image001.png@01D03949.49457930">
          <a:extLst>
            <a:ext uri="{FF2B5EF4-FFF2-40B4-BE49-F238E27FC236}">
              <a16:creationId xmlns:a16="http://schemas.microsoft.com/office/drawing/2014/main" id="{C78DCA12-B4E9-41AA-9890-096732AE47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2" name="x_Picture 1" descr="Description: cid:image001.png@01D03949.49457930">
          <a:extLst>
            <a:ext uri="{FF2B5EF4-FFF2-40B4-BE49-F238E27FC236}">
              <a16:creationId xmlns:a16="http://schemas.microsoft.com/office/drawing/2014/main" id="{C947673B-AF63-4DD0-A70E-50A36811D8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3" name="x_Picture 1" descr="Description: cid:image001.png@01D03949.49457930">
          <a:extLst>
            <a:ext uri="{FF2B5EF4-FFF2-40B4-BE49-F238E27FC236}">
              <a16:creationId xmlns:a16="http://schemas.microsoft.com/office/drawing/2014/main" id="{44BBC6C9-1C48-42FC-B303-DC05FAD208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4" name="x_Picture 1" descr="Description: cid:image001.png@01D03949.49457930">
          <a:extLst>
            <a:ext uri="{FF2B5EF4-FFF2-40B4-BE49-F238E27FC236}">
              <a16:creationId xmlns:a16="http://schemas.microsoft.com/office/drawing/2014/main" id="{8CE270F6-3688-4F8E-B2CA-E6D2DC4430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5" name="x_Picture 1" descr="Description: cid:image001.png@01D03949.49457930">
          <a:extLst>
            <a:ext uri="{FF2B5EF4-FFF2-40B4-BE49-F238E27FC236}">
              <a16:creationId xmlns:a16="http://schemas.microsoft.com/office/drawing/2014/main" id="{7CD6F827-5380-4BC9-9760-A02190D235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6" name="x_Picture 1" descr="Description: cid:image001.png@01D03949.49457930">
          <a:extLst>
            <a:ext uri="{FF2B5EF4-FFF2-40B4-BE49-F238E27FC236}">
              <a16:creationId xmlns:a16="http://schemas.microsoft.com/office/drawing/2014/main" id="{24390456-24F4-47D9-AEAE-DE0D52E5F4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7" name="x_Picture 1" descr="Description: cid:image001.png@01D03949.49457930">
          <a:extLst>
            <a:ext uri="{FF2B5EF4-FFF2-40B4-BE49-F238E27FC236}">
              <a16:creationId xmlns:a16="http://schemas.microsoft.com/office/drawing/2014/main" id="{C356EFB9-4022-41AC-9D52-39A490913C2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8" name="x_Picture 1" descr="Description: cid:image001.png@01D03949.49457930">
          <a:extLst>
            <a:ext uri="{FF2B5EF4-FFF2-40B4-BE49-F238E27FC236}">
              <a16:creationId xmlns:a16="http://schemas.microsoft.com/office/drawing/2014/main" id="{2B1FE8AB-3AA2-4DCE-A781-C5D4629997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29" name="x_Picture 1" descr="Description: cid:image001.png@01D03949.49457930">
          <a:extLst>
            <a:ext uri="{FF2B5EF4-FFF2-40B4-BE49-F238E27FC236}">
              <a16:creationId xmlns:a16="http://schemas.microsoft.com/office/drawing/2014/main" id="{A1AB84B9-4D07-4C9C-B11A-97F023E9C0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0" name="x_Picture 1" descr="Description: cid:image001.png@01D03949.49457930">
          <a:extLst>
            <a:ext uri="{FF2B5EF4-FFF2-40B4-BE49-F238E27FC236}">
              <a16:creationId xmlns:a16="http://schemas.microsoft.com/office/drawing/2014/main" id="{6D88BB7F-77CE-47C2-9ED7-AC5BC7CD3A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1" name="x_Picture 1" descr="Description: cid:image001.png@01D03949.49457930">
          <a:extLst>
            <a:ext uri="{FF2B5EF4-FFF2-40B4-BE49-F238E27FC236}">
              <a16:creationId xmlns:a16="http://schemas.microsoft.com/office/drawing/2014/main" id="{37572241-FCB7-4FC4-9A54-AA1B32193C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2" name="x_Picture 1" descr="Description: cid:image001.png@01D03949.49457930">
          <a:extLst>
            <a:ext uri="{FF2B5EF4-FFF2-40B4-BE49-F238E27FC236}">
              <a16:creationId xmlns:a16="http://schemas.microsoft.com/office/drawing/2014/main" id="{0EFF3C58-1005-41D2-82BC-155FAC6637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3" name="x_Picture 1" descr="Description: cid:image001.png@01D03949.49457930">
          <a:extLst>
            <a:ext uri="{FF2B5EF4-FFF2-40B4-BE49-F238E27FC236}">
              <a16:creationId xmlns:a16="http://schemas.microsoft.com/office/drawing/2014/main" id="{C5AD5ECC-B2B9-43F8-93CE-09E4017136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4" name="x_Picture 1" descr="Description: cid:image001.png@01D03949.49457930">
          <a:extLst>
            <a:ext uri="{FF2B5EF4-FFF2-40B4-BE49-F238E27FC236}">
              <a16:creationId xmlns:a16="http://schemas.microsoft.com/office/drawing/2014/main" id="{7A6E94FB-8A46-4257-B7DD-ECF0BFEF9D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5" name="x_Picture 1" descr="Description: cid:image001.png@01D03949.49457930">
          <a:extLst>
            <a:ext uri="{FF2B5EF4-FFF2-40B4-BE49-F238E27FC236}">
              <a16:creationId xmlns:a16="http://schemas.microsoft.com/office/drawing/2014/main" id="{5B97D1AF-A616-47E4-A2D9-2A0D227C6F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6" name="x_Picture 1" descr="Description: cid:image001.png@01D03949.49457930">
          <a:extLst>
            <a:ext uri="{FF2B5EF4-FFF2-40B4-BE49-F238E27FC236}">
              <a16:creationId xmlns:a16="http://schemas.microsoft.com/office/drawing/2014/main" id="{1082BB4B-81AF-4E0A-BAAA-AFB083B53D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7" name="x_Picture 1" descr="Description: cid:image001.png@01D03949.49457930">
          <a:extLst>
            <a:ext uri="{FF2B5EF4-FFF2-40B4-BE49-F238E27FC236}">
              <a16:creationId xmlns:a16="http://schemas.microsoft.com/office/drawing/2014/main" id="{88A9A8F7-4CCD-4C53-B517-D63475459D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8" name="x_Picture 1" descr="Description: cid:image001.png@01D03949.49457930">
          <a:extLst>
            <a:ext uri="{FF2B5EF4-FFF2-40B4-BE49-F238E27FC236}">
              <a16:creationId xmlns:a16="http://schemas.microsoft.com/office/drawing/2014/main" id="{7D604393-9C69-451A-B9DC-E33C1B38A0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39" name="x_Picture 1" descr="Description: cid:image001.png@01D03949.49457930">
          <a:extLst>
            <a:ext uri="{FF2B5EF4-FFF2-40B4-BE49-F238E27FC236}">
              <a16:creationId xmlns:a16="http://schemas.microsoft.com/office/drawing/2014/main" id="{F12DD0F9-9869-4F67-A1E3-FB2DEBE5F7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0" name="x_Picture 1" descr="Description: cid:image001.png@01D03949.49457930">
          <a:extLst>
            <a:ext uri="{FF2B5EF4-FFF2-40B4-BE49-F238E27FC236}">
              <a16:creationId xmlns:a16="http://schemas.microsoft.com/office/drawing/2014/main" id="{E0DF5AC0-182C-43E5-8AAE-975E9E4BB0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1" name="x_Picture 1" descr="Description: cid:image001.png@01D03949.49457930">
          <a:extLst>
            <a:ext uri="{FF2B5EF4-FFF2-40B4-BE49-F238E27FC236}">
              <a16:creationId xmlns:a16="http://schemas.microsoft.com/office/drawing/2014/main" id="{6BC89D0A-70B3-47B7-9AA1-61C002EF3F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2" name="x_Picture 1" descr="Description: cid:image001.png@01D03949.49457930">
          <a:extLst>
            <a:ext uri="{FF2B5EF4-FFF2-40B4-BE49-F238E27FC236}">
              <a16:creationId xmlns:a16="http://schemas.microsoft.com/office/drawing/2014/main" id="{473F19C9-6CE4-4BC9-9D20-2E5AB9CBB9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3" name="x_Picture 1" descr="Description: cid:image001.png@01D03949.49457930">
          <a:extLst>
            <a:ext uri="{FF2B5EF4-FFF2-40B4-BE49-F238E27FC236}">
              <a16:creationId xmlns:a16="http://schemas.microsoft.com/office/drawing/2014/main" id="{C9CCD4E8-C334-47EC-A0F1-6B179FD781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4" name="x_Picture 1" descr="Description: cid:image001.png@01D03949.49457930">
          <a:extLst>
            <a:ext uri="{FF2B5EF4-FFF2-40B4-BE49-F238E27FC236}">
              <a16:creationId xmlns:a16="http://schemas.microsoft.com/office/drawing/2014/main" id="{10B7494A-C53C-46BA-9905-4329A4996F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5" name="x_Picture 1" descr="Description: cid:image001.png@01D03949.49457930">
          <a:extLst>
            <a:ext uri="{FF2B5EF4-FFF2-40B4-BE49-F238E27FC236}">
              <a16:creationId xmlns:a16="http://schemas.microsoft.com/office/drawing/2014/main" id="{C46F728E-118B-4D5C-B78D-A8D3E6F976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6" name="x_Picture 1" descr="Description: cid:image001.png@01D03949.49457930">
          <a:extLst>
            <a:ext uri="{FF2B5EF4-FFF2-40B4-BE49-F238E27FC236}">
              <a16:creationId xmlns:a16="http://schemas.microsoft.com/office/drawing/2014/main" id="{35E99C61-A41D-4526-BF2F-F742DD52CE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7" name="x_Picture 1" descr="Description: cid:image001.png@01D03949.49457930">
          <a:extLst>
            <a:ext uri="{FF2B5EF4-FFF2-40B4-BE49-F238E27FC236}">
              <a16:creationId xmlns:a16="http://schemas.microsoft.com/office/drawing/2014/main" id="{3D4237E0-4835-4D1D-826D-29710F15543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8" name="x_Picture 1" descr="Description: cid:image001.png@01D03949.49457930">
          <a:extLst>
            <a:ext uri="{FF2B5EF4-FFF2-40B4-BE49-F238E27FC236}">
              <a16:creationId xmlns:a16="http://schemas.microsoft.com/office/drawing/2014/main" id="{3DBC547D-2F63-49F9-840B-866FA9E09A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49" name="x_Picture 1" descr="Description: cid:image001.png@01D03949.49457930">
          <a:extLst>
            <a:ext uri="{FF2B5EF4-FFF2-40B4-BE49-F238E27FC236}">
              <a16:creationId xmlns:a16="http://schemas.microsoft.com/office/drawing/2014/main" id="{4ABB1E4F-533C-495D-8031-E6AEE0CDBA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0" name="x_Picture 1" descr="Description: cid:image001.png@01D03949.49457930">
          <a:extLst>
            <a:ext uri="{FF2B5EF4-FFF2-40B4-BE49-F238E27FC236}">
              <a16:creationId xmlns:a16="http://schemas.microsoft.com/office/drawing/2014/main" id="{08007A83-D284-44CE-8CAE-062AEA1411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1" name="x_Picture 1" descr="Description: cid:image001.png@01D03949.49457930">
          <a:extLst>
            <a:ext uri="{FF2B5EF4-FFF2-40B4-BE49-F238E27FC236}">
              <a16:creationId xmlns:a16="http://schemas.microsoft.com/office/drawing/2014/main" id="{6BF7AA53-49EC-457C-BAE5-8DEE9F7635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2" name="x_Picture 1" descr="Description: cid:image001.png@01D03949.49457930">
          <a:extLst>
            <a:ext uri="{FF2B5EF4-FFF2-40B4-BE49-F238E27FC236}">
              <a16:creationId xmlns:a16="http://schemas.microsoft.com/office/drawing/2014/main" id="{86E2A39C-5C61-47F4-B9E9-5A2C1C8E64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3" name="x_Picture 1" descr="Description: cid:image001.png@01D03949.49457930">
          <a:extLst>
            <a:ext uri="{FF2B5EF4-FFF2-40B4-BE49-F238E27FC236}">
              <a16:creationId xmlns:a16="http://schemas.microsoft.com/office/drawing/2014/main" id="{EF35DD52-D147-4D11-B8FF-69A5513BBD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4" name="x_Picture 1" descr="Description: cid:image001.png@01D03949.49457930">
          <a:extLst>
            <a:ext uri="{FF2B5EF4-FFF2-40B4-BE49-F238E27FC236}">
              <a16:creationId xmlns:a16="http://schemas.microsoft.com/office/drawing/2014/main" id="{7EBEDA74-5F61-452D-B1B2-B45295193F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5" name="x_Picture 1" descr="Description: cid:image001.png@01D03949.49457930">
          <a:extLst>
            <a:ext uri="{FF2B5EF4-FFF2-40B4-BE49-F238E27FC236}">
              <a16:creationId xmlns:a16="http://schemas.microsoft.com/office/drawing/2014/main" id="{6FA4002A-4104-4238-9D7E-2887463FD4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6" name="x_Picture 1" descr="Description: cid:image001.png@01D03949.49457930">
          <a:extLst>
            <a:ext uri="{FF2B5EF4-FFF2-40B4-BE49-F238E27FC236}">
              <a16:creationId xmlns:a16="http://schemas.microsoft.com/office/drawing/2014/main" id="{0930C328-EC1E-422D-839C-AD9A4A49E5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7" name="x_Picture 1" descr="Description: cid:image001.png@01D03949.49457930">
          <a:extLst>
            <a:ext uri="{FF2B5EF4-FFF2-40B4-BE49-F238E27FC236}">
              <a16:creationId xmlns:a16="http://schemas.microsoft.com/office/drawing/2014/main" id="{3CE3AAB9-8695-422D-8B4A-2C0C9F1377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8" name="x_Picture 1" descr="Description: cid:image001.png@01D03949.49457930">
          <a:extLst>
            <a:ext uri="{FF2B5EF4-FFF2-40B4-BE49-F238E27FC236}">
              <a16:creationId xmlns:a16="http://schemas.microsoft.com/office/drawing/2014/main" id="{E2209A57-19A4-4431-A583-2B3326534C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59" name="x_Picture 1" descr="Description: cid:image001.png@01D03949.49457930">
          <a:extLst>
            <a:ext uri="{FF2B5EF4-FFF2-40B4-BE49-F238E27FC236}">
              <a16:creationId xmlns:a16="http://schemas.microsoft.com/office/drawing/2014/main" id="{06113CD9-8DB4-41F2-A54D-A9C3F775B7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0" name="x_Picture 1" descr="Description: cid:image001.png@01D03949.49457930">
          <a:extLst>
            <a:ext uri="{FF2B5EF4-FFF2-40B4-BE49-F238E27FC236}">
              <a16:creationId xmlns:a16="http://schemas.microsoft.com/office/drawing/2014/main" id="{A4C96092-3954-4040-8CD4-8CD0D95774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1" name="x_Picture 1" descr="Description: cid:image001.png@01D03949.49457930">
          <a:extLst>
            <a:ext uri="{FF2B5EF4-FFF2-40B4-BE49-F238E27FC236}">
              <a16:creationId xmlns:a16="http://schemas.microsoft.com/office/drawing/2014/main" id="{EF634F61-A696-4ABF-B330-B3BF57A1B1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2" name="x_Picture 1" descr="Description: cid:image001.png@01D03949.49457930">
          <a:extLst>
            <a:ext uri="{FF2B5EF4-FFF2-40B4-BE49-F238E27FC236}">
              <a16:creationId xmlns:a16="http://schemas.microsoft.com/office/drawing/2014/main" id="{83901FB0-B398-49C3-8A97-25C77BD95C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3" name="x_Picture 1" descr="Description: cid:image001.png@01D03949.49457930">
          <a:extLst>
            <a:ext uri="{FF2B5EF4-FFF2-40B4-BE49-F238E27FC236}">
              <a16:creationId xmlns:a16="http://schemas.microsoft.com/office/drawing/2014/main" id="{71D48A1F-E15E-40DC-819B-C56F6825639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4" name="x_Picture 1" descr="Description: cid:image001.png@01D03949.49457930">
          <a:extLst>
            <a:ext uri="{FF2B5EF4-FFF2-40B4-BE49-F238E27FC236}">
              <a16:creationId xmlns:a16="http://schemas.microsoft.com/office/drawing/2014/main" id="{8DC29CAB-ED2A-4623-9AFC-FDDAEEB747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5" name="x_Picture 1" descr="Description: cid:image001.png@01D03949.49457930">
          <a:extLst>
            <a:ext uri="{FF2B5EF4-FFF2-40B4-BE49-F238E27FC236}">
              <a16:creationId xmlns:a16="http://schemas.microsoft.com/office/drawing/2014/main" id="{30B97A76-4DAA-4596-8EAD-5D93EFF237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6" name="x_Picture 1" descr="Description: cid:image001.png@01D03949.49457930">
          <a:extLst>
            <a:ext uri="{FF2B5EF4-FFF2-40B4-BE49-F238E27FC236}">
              <a16:creationId xmlns:a16="http://schemas.microsoft.com/office/drawing/2014/main" id="{17FFF152-56E8-40A1-9744-914C052F63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7" name="x_Picture 1" descr="Description: cid:image001.png@01D03949.49457930">
          <a:extLst>
            <a:ext uri="{FF2B5EF4-FFF2-40B4-BE49-F238E27FC236}">
              <a16:creationId xmlns:a16="http://schemas.microsoft.com/office/drawing/2014/main" id="{0EEA21FF-7D4C-4805-8866-4260ACDD7C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8" name="x_Picture 1" descr="Description: cid:image001.png@01D03949.49457930">
          <a:extLst>
            <a:ext uri="{FF2B5EF4-FFF2-40B4-BE49-F238E27FC236}">
              <a16:creationId xmlns:a16="http://schemas.microsoft.com/office/drawing/2014/main" id="{2137029B-3B79-423C-AE09-CB46E496E9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69" name="x_Picture 1" descr="Description: cid:image001.png@01D03949.49457930">
          <a:extLst>
            <a:ext uri="{FF2B5EF4-FFF2-40B4-BE49-F238E27FC236}">
              <a16:creationId xmlns:a16="http://schemas.microsoft.com/office/drawing/2014/main" id="{33515F9A-71B5-4F3B-9D57-E2431CF534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0" name="x_Picture 1" descr="Description: cid:image001.png@01D03949.49457930">
          <a:extLst>
            <a:ext uri="{FF2B5EF4-FFF2-40B4-BE49-F238E27FC236}">
              <a16:creationId xmlns:a16="http://schemas.microsoft.com/office/drawing/2014/main" id="{6E548F0D-855F-4760-B4AB-50069475C8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1" name="x_Picture 1" descr="Description: cid:image001.png@01D03949.49457930">
          <a:extLst>
            <a:ext uri="{FF2B5EF4-FFF2-40B4-BE49-F238E27FC236}">
              <a16:creationId xmlns:a16="http://schemas.microsoft.com/office/drawing/2014/main" id="{35C1FCFD-EE72-4479-A270-1ECF0A0F2D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2" name="x_Picture 1" descr="Description: cid:image001.png@01D03949.49457930">
          <a:extLst>
            <a:ext uri="{FF2B5EF4-FFF2-40B4-BE49-F238E27FC236}">
              <a16:creationId xmlns:a16="http://schemas.microsoft.com/office/drawing/2014/main" id="{16A8B0BD-28A6-4A7B-B268-2F3C2589E6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3" name="x_Picture 1" descr="Description: cid:image001.png@01D03949.49457930">
          <a:extLst>
            <a:ext uri="{FF2B5EF4-FFF2-40B4-BE49-F238E27FC236}">
              <a16:creationId xmlns:a16="http://schemas.microsoft.com/office/drawing/2014/main" id="{9014AD9A-240A-4375-AD40-DF963E7BB9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4" name="x_Picture 1" descr="Description: cid:image001.png@01D03949.49457930">
          <a:extLst>
            <a:ext uri="{FF2B5EF4-FFF2-40B4-BE49-F238E27FC236}">
              <a16:creationId xmlns:a16="http://schemas.microsoft.com/office/drawing/2014/main" id="{F1669294-4E7F-4B2A-BBF4-E75732DB1C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5" name="x_Picture 1" descr="Description: cid:image001.png@01D03949.49457930">
          <a:extLst>
            <a:ext uri="{FF2B5EF4-FFF2-40B4-BE49-F238E27FC236}">
              <a16:creationId xmlns:a16="http://schemas.microsoft.com/office/drawing/2014/main" id="{5950157D-7170-4955-80A1-99A5ADDB3D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6" name="x_Picture 1" descr="Description: cid:image001.png@01D03949.49457930">
          <a:extLst>
            <a:ext uri="{FF2B5EF4-FFF2-40B4-BE49-F238E27FC236}">
              <a16:creationId xmlns:a16="http://schemas.microsoft.com/office/drawing/2014/main" id="{6F4FFD6E-06C4-4F95-B135-4D35D0080A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7" name="x_Picture 1" descr="Description: cid:image001.png@01D03949.49457930">
          <a:extLst>
            <a:ext uri="{FF2B5EF4-FFF2-40B4-BE49-F238E27FC236}">
              <a16:creationId xmlns:a16="http://schemas.microsoft.com/office/drawing/2014/main" id="{1AF2F916-4633-46CA-B03D-380EEDE839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8" name="x_Picture 1" descr="Description: cid:image001.png@01D03949.49457930">
          <a:extLst>
            <a:ext uri="{FF2B5EF4-FFF2-40B4-BE49-F238E27FC236}">
              <a16:creationId xmlns:a16="http://schemas.microsoft.com/office/drawing/2014/main" id="{25EC8283-3DB3-48DF-AE13-6CAE6E8EB6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79" name="x_Picture 1" descr="Description: cid:image001.png@01D03949.49457930">
          <a:extLst>
            <a:ext uri="{FF2B5EF4-FFF2-40B4-BE49-F238E27FC236}">
              <a16:creationId xmlns:a16="http://schemas.microsoft.com/office/drawing/2014/main" id="{8AD328BD-F085-4FEB-8E3B-284EA3D814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0" name="x_Picture 1" descr="Description: cid:image001.png@01D03949.49457930">
          <a:extLst>
            <a:ext uri="{FF2B5EF4-FFF2-40B4-BE49-F238E27FC236}">
              <a16:creationId xmlns:a16="http://schemas.microsoft.com/office/drawing/2014/main" id="{36D54496-91AB-4B9B-8EA4-8C312337D99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1" name="x_Picture 1" descr="Description: cid:image001.png@01D03949.49457930">
          <a:extLst>
            <a:ext uri="{FF2B5EF4-FFF2-40B4-BE49-F238E27FC236}">
              <a16:creationId xmlns:a16="http://schemas.microsoft.com/office/drawing/2014/main" id="{0D5A594E-EFD3-43E5-BA64-D7C80FF53DB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2" name="x_Picture 1" descr="Description: cid:image001.png@01D03949.49457930">
          <a:extLst>
            <a:ext uri="{FF2B5EF4-FFF2-40B4-BE49-F238E27FC236}">
              <a16:creationId xmlns:a16="http://schemas.microsoft.com/office/drawing/2014/main" id="{2002F8B5-61FD-49C6-919D-71683BD119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3" name="x_Picture 1" descr="Description: cid:image001.png@01D03949.49457930">
          <a:extLst>
            <a:ext uri="{FF2B5EF4-FFF2-40B4-BE49-F238E27FC236}">
              <a16:creationId xmlns:a16="http://schemas.microsoft.com/office/drawing/2014/main" id="{E9793526-C5EF-4E89-924E-F5CBFBF748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4" name="x_Picture 1" descr="Description: cid:image001.png@01D03949.49457930">
          <a:extLst>
            <a:ext uri="{FF2B5EF4-FFF2-40B4-BE49-F238E27FC236}">
              <a16:creationId xmlns:a16="http://schemas.microsoft.com/office/drawing/2014/main" id="{27D781BE-2A4F-49D8-ADB8-9FB4D28BC5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5" name="x_Picture 1" descr="Description: cid:image001.png@01D03949.49457930">
          <a:extLst>
            <a:ext uri="{FF2B5EF4-FFF2-40B4-BE49-F238E27FC236}">
              <a16:creationId xmlns:a16="http://schemas.microsoft.com/office/drawing/2014/main" id="{B8E53BD7-6500-4248-8371-F93E610B6B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6" name="x_Picture 1" descr="Description: cid:image001.png@01D03949.49457930">
          <a:extLst>
            <a:ext uri="{FF2B5EF4-FFF2-40B4-BE49-F238E27FC236}">
              <a16:creationId xmlns:a16="http://schemas.microsoft.com/office/drawing/2014/main" id="{F0A2B324-2120-4384-A940-DC8A931FB1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7" name="x_Picture 1" descr="Description: cid:image001.png@01D03949.49457930">
          <a:extLst>
            <a:ext uri="{FF2B5EF4-FFF2-40B4-BE49-F238E27FC236}">
              <a16:creationId xmlns:a16="http://schemas.microsoft.com/office/drawing/2014/main" id="{E4A44DA5-8C0A-424C-B81A-A577784984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8" name="x_Picture 1" descr="Description: cid:image001.png@01D03949.49457930">
          <a:extLst>
            <a:ext uri="{FF2B5EF4-FFF2-40B4-BE49-F238E27FC236}">
              <a16:creationId xmlns:a16="http://schemas.microsoft.com/office/drawing/2014/main" id="{AC4F8A10-4FEF-48A6-8850-E07CB378388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89" name="x_Picture 1" descr="Description: cid:image001.png@01D03949.49457930">
          <a:extLst>
            <a:ext uri="{FF2B5EF4-FFF2-40B4-BE49-F238E27FC236}">
              <a16:creationId xmlns:a16="http://schemas.microsoft.com/office/drawing/2014/main" id="{297FDD03-A456-4985-8FA7-3DA82B9CCA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0" name="x_Picture 1" descr="Description: cid:image001.png@01D03949.49457930">
          <a:extLst>
            <a:ext uri="{FF2B5EF4-FFF2-40B4-BE49-F238E27FC236}">
              <a16:creationId xmlns:a16="http://schemas.microsoft.com/office/drawing/2014/main" id="{0B5D8B38-164C-417F-A3F1-E97FCBE1A9E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1" name="x_Picture 1" descr="Description: cid:image001.png@01D03949.49457930">
          <a:extLst>
            <a:ext uri="{FF2B5EF4-FFF2-40B4-BE49-F238E27FC236}">
              <a16:creationId xmlns:a16="http://schemas.microsoft.com/office/drawing/2014/main" id="{E963AF9B-3F8D-46A6-A629-63E10238C9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2" name="x_Picture 1" descr="Description: cid:image001.png@01D03949.49457930">
          <a:extLst>
            <a:ext uri="{FF2B5EF4-FFF2-40B4-BE49-F238E27FC236}">
              <a16:creationId xmlns:a16="http://schemas.microsoft.com/office/drawing/2014/main" id="{D6560A19-00AE-42B7-B1E2-2134D0F59C6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3" name="x_Picture 1" descr="Description: cid:image001.png@01D03949.49457930">
          <a:extLst>
            <a:ext uri="{FF2B5EF4-FFF2-40B4-BE49-F238E27FC236}">
              <a16:creationId xmlns:a16="http://schemas.microsoft.com/office/drawing/2014/main" id="{52661D2F-08A7-4925-B71C-78AA0C70A4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4" name="x_Picture 1" descr="Description: cid:image001.png@01D03949.49457930">
          <a:extLst>
            <a:ext uri="{FF2B5EF4-FFF2-40B4-BE49-F238E27FC236}">
              <a16:creationId xmlns:a16="http://schemas.microsoft.com/office/drawing/2014/main" id="{118B8D9E-1718-4A3A-B47D-6AA4600C14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5" name="x_Picture 1" descr="Description: cid:image001.png@01D03949.49457930">
          <a:extLst>
            <a:ext uri="{FF2B5EF4-FFF2-40B4-BE49-F238E27FC236}">
              <a16:creationId xmlns:a16="http://schemas.microsoft.com/office/drawing/2014/main" id="{2538191D-C0A2-4480-99B0-ABCC4FDA2A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6" name="x_Picture 1" descr="Description: cid:image001.png@01D03949.49457930">
          <a:extLst>
            <a:ext uri="{FF2B5EF4-FFF2-40B4-BE49-F238E27FC236}">
              <a16:creationId xmlns:a16="http://schemas.microsoft.com/office/drawing/2014/main" id="{A503E7AB-01AF-40C5-A76F-0C8013176D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7" name="x_Picture 1" descr="Description: cid:image001.png@01D03949.49457930">
          <a:extLst>
            <a:ext uri="{FF2B5EF4-FFF2-40B4-BE49-F238E27FC236}">
              <a16:creationId xmlns:a16="http://schemas.microsoft.com/office/drawing/2014/main" id="{3CF4F70A-CB17-4D5F-9187-EAC8B68D4CC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8" name="x_Picture 1" descr="Description: cid:image001.png@01D03949.49457930">
          <a:extLst>
            <a:ext uri="{FF2B5EF4-FFF2-40B4-BE49-F238E27FC236}">
              <a16:creationId xmlns:a16="http://schemas.microsoft.com/office/drawing/2014/main" id="{18B5CB4E-B98F-43F9-8946-109676EA58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899" name="x_Picture 1" descr="Description: cid:image001.png@01D03949.49457930">
          <a:extLst>
            <a:ext uri="{FF2B5EF4-FFF2-40B4-BE49-F238E27FC236}">
              <a16:creationId xmlns:a16="http://schemas.microsoft.com/office/drawing/2014/main" id="{A67AF5BD-1A5D-4179-AAA4-10C5164F5C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0" name="x_Picture 1" descr="Description: cid:image001.png@01D03949.49457930">
          <a:extLst>
            <a:ext uri="{FF2B5EF4-FFF2-40B4-BE49-F238E27FC236}">
              <a16:creationId xmlns:a16="http://schemas.microsoft.com/office/drawing/2014/main" id="{B5A750A5-304D-438D-83BA-78A6DA2279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1" name="x_Picture 1" descr="Description: cid:image001.png@01D03949.49457930">
          <a:extLst>
            <a:ext uri="{FF2B5EF4-FFF2-40B4-BE49-F238E27FC236}">
              <a16:creationId xmlns:a16="http://schemas.microsoft.com/office/drawing/2014/main" id="{81812809-25C7-4804-9F33-E122973EEC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2" name="x_Picture 1" descr="Description: cid:image001.png@01D03949.49457930">
          <a:extLst>
            <a:ext uri="{FF2B5EF4-FFF2-40B4-BE49-F238E27FC236}">
              <a16:creationId xmlns:a16="http://schemas.microsoft.com/office/drawing/2014/main" id="{9921B379-31F1-4968-BF03-8B2C55794D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3" name="x_Picture 1" descr="Description: cid:image001.png@01D03949.49457930">
          <a:extLst>
            <a:ext uri="{FF2B5EF4-FFF2-40B4-BE49-F238E27FC236}">
              <a16:creationId xmlns:a16="http://schemas.microsoft.com/office/drawing/2014/main" id="{740830EA-F1EA-4E56-B61F-EE4B621BCE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4" name="x_Picture 1" descr="Description: cid:image001.png@01D03949.49457930">
          <a:extLst>
            <a:ext uri="{FF2B5EF4-FFF2-40B4-BE49-F238E27FC236}">
              <a16:creationId xmlns:a16="http://schemas.microsoft.com/office/drawing/2014/main" id="{C25CC59E-48D1-439E-B07D-6D289517AC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5" name="x_Picture 1" descr="Description: cid:image001.png@01D03949.49457930">
          <a:extLst>
            <a:ext uri="{FF2B5EF4-FFF2-40B4-BE49-F238E27FC236}">
              <a16:creationId xmlns:a16="http://schemas.microsoft.com/office/drawing/2014/main" id="{306EFB46-8299-479A-A4F9-1B2E202D55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6" name="x_Picture 1" descr="Description: cid:image001.png@01D03949.49457930">
          <a:extLst>
            <a:ext uri="{FF2B5EF4-FFF2-40B4-BE49-F238E27FC236}">
              <a16:creationId xmlns:a16="http://schemas.microsoft.com/office/drawing/2014/main" id="{4ECB962E-9F7B-43F7-A263-05F2CAE5AE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7" name="x_Picture 1" descr="Description: cid:image001.png@01D03949.49457930">
          <a:extLst>
            <a:ext uri="{FF2B5EF4-FFF2-40B4-BE49-F238E27FC236}">
              <a16:creationId xmlns:a16="http://schemas.microsoft.com/office/drawing/2014/main" id="{C97610BB-4AF0-4FEB-B139-97C67C5B05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8" name="x_Picture 1" descr="Description: cid:image001.png@01D03949.49457930">
          <a:extLst>
            <a:ext uri="{FF2B5EF4-FFF2-40B4-BE49-F238E27FC236}">
              <a16:creationId xmlns:a16="http://schemas.microsoft.com/office/drawing/2014/main" id="{D23DD39A-B1B5-4B70-AD77-38CBD84B64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09" name="x_Picture 1" descr="Description: cid:image001.png@01D03949.49457930">
          <a:extLst>
            <a:ext uri="{FF2B5EF4-FFF2-40B4-BE49-F238E27FC236}">
              <a16:creationId xmlns:a16="http://schemas.microsoft.com/office/drawing/2014/main" id="{B45162BB-50FE-4F5F-96FE-7B2DF2B5A5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0" name="x_Picture 1" descr="Description: cid:image001.png@01D03949.49457930">
          <a:extLst>
            <a:ext uri="{FF2B5EF4-FFF2-40B4-BE49-F238E27FC236}">
              <a16:creationId xmlns:a16="http://schemas.microsoft.com/office/drawing/2014/main" id="{BE32EB0B-816A-49FA-AA82-982964D649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1" name="x_Picture 1" descr="Description: cid:image001.png@01D03949.49457930">
          <a:extLst>
            <a:ext uri="{FF2B5EF4-FFF2-40B4-BE49-F238E27FC236}">
              <a16:creationId xmlns:a16="http://schemas.microsoft.com/office/drawing/2014/main" id="{FDA24813-7401-4066-B87D-708FB47097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2" name="x_Picture 1" descr="Description: cid:image001.png@01D03949.49457930">
          <a:extLst>
            <a:ext uri="{FF2B5EF4-FFF2-40B4-BE49-F238E27FC236}">
              <a16:creationId xmlns:a16="http://schemas.microsoft.com/office/drawing/2014/main" id="{5886F236-F9F3-4AE9-8BF2-4CAB7779D6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3" name="x_Picture 1" descr="Description: cid:image001.png@01D03949.49457930">
          <a:extLst>
            <a:ext uri="{FF2B5EF4-FFF2-40B4-BE49-F238E27FC236}">
              <a16:creationId xmlns:a16="http://schemas.microsoft.com/office/drawing/2014/main" id="{B146346B-01AF-4643-8DBE-9B4908CAAC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4" name="x_Picture 1" descr="Description: cid:image001.png@01D03949.49457930">
          <a:extLst>
            <a:ext uri="{FF2B5EF4-FFF2-40B4-BE49-F238E27FC236}">
              <a16:creationId xmlns:a16="http://schemas.microsoft.com/office/drawing/2014/main" id="{5868DFDB-D2C6-498E-9DCC-7691657F39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5" name="x_Picture 1" descr="Description: cid:image001.png@01D03949.49457930">
          <a:extLst>
            <a:ext uri="{FF2B5EF4-FFF2-40B4-BE49-F238E27FC236}">
              <a16:creationId xmlns:a16="http://schemas.microsoft.com/office/drawing/2014/main" id="{681B55B2-05F8-400A-A3E3-B3DA5499A0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6" name="x_Picture 1" descr="Description: cid:image001.png@01D03949.49457930">
          <a:extLst>
            <a:ext uri="{FF2B5EF4-FFF2-40B4-BE49-F238E27FC236}">
              <a16:creationId xmlns:a16="http://schemas.microsoft.com/office/drawing/2014/main" id="{2B25E0DD-FAF0-4E46-9046-63CD0BEA6E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7" name="x_Picture 1" descr="Description: cid:image001.png@01D03949.49457930">
          <a:extLst>
            <a:ext uri="{FF2B5EF4-FFF2-40B4-BE49-F238E27FC236}">
              <a16:creationId xmlns:a16="http://schemas.microsoft.com/office/drawing/2014/main" id="{B5FD5DFD-23F1-416F-A0EA-36A1FBB48F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8" name="x_Picture 1" descr="Description: cid:image001.png@01D03949.49457930">
          <a:extLst>
            <a:ext uri="{FF2B5EF4-FFF2-40B4-BE49-F238E27FC236}">
              <a16:creationId xmlns:a16="http://schemas.microsoft.com/office/drawing/2014/main" id="{0DA97EAC-8DEB-4A9E-B2B2-62F57640F7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19" name="x_Picture 1" descr="Description: cid:image001.png@01D03949.49457930">
          <a:extLst>
            <a:ext uri="{FF2B5EF4-FFF2-40B4-BE49-F238E27FC236}">
              <a16:creationId xmlns:a16="http://schemas.microsoft.com/office/drawing/2014/main" id="{8D9DEA38-03DA-4FE9-9263-11AF57F68A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0" name="x_Picture 1" descr="Description: cid:image001.png@01D03949.49457930">
          <a:extLst>
            <a:ext uri="{FF2B5EF4-FFF2-40B4-BE49-F238E27FC236}">
              <a16:creationId xmlns:a16="http://schemas.microsoft.com/office/drawing/2014/main" id="{06D040E8-FE73-461A-99D9-100518DFC3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1" name="x_Picture 1" descr="Description: cid:image001.png@01D03949.49457930">
          <a:extLst>
            <a:ext uri="{FF2B5EF4-FFF2-40B4-BE49-F238E27FC236}">
              <a16:creationId xmlns:a16="http://schemas.microsoft.com/office/drawing/2014/main" id="{B35F3345-3649-4DC9-B6E0-37630DA56A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2" name="x_Picture 1" descr="Description: cid:image001.png@01D03949.49457930">
          <a:extLst>
            <a:ext uri="{FF2B5EF4-FFF2-40B4-BE49-F238E27FC236}">
              <a16:creationId xmlns:a16="http://schemas.microsoft.com/office/drawing/2014/main" id="{FCC68DD9-746F-4891-BEAA-D8C11C7581B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3" name="x_Picture 1" descr="Description: cid:image001.png@01D03949.49457930">
          <a:extLst>
            <a:ext uri="{FF2B5EF4-FFF2-40B4-BE49-F238E27FC236}">
              <a16:creationId xmlns:a16="http://schemas.microsoft.com/office/drawing/2014/main" id="{4045100C-3CE6-4B70-B0EC-A86CDF58CB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4" name="x_Picture 1" descr="Description: cid:image001.png@01D03949.49457930">
          <a:extLst>
            <a:ext uri="{FF2B5EF4-FFF2-40B4-BE49-F238E27FC236}">
              <a16:creationId xmlns:a16="http://schemas.microsoft.com/office/drawing/2014/main" id="{53A8253A-9D53-43E2-A046-75434A523E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5" name="x_Picture 1" descr="Description: cid:image001.png@01D03949.49457930">
          <a:extLst>
            <a:ext uri="{FF2B5EF4-FFF2-40B4-BE49-F238E27FC236}">
              <a16:creationId xmlns:a16="http://schemas.microsoft.com/office/drawing/2014/main" id="{09749A8B-5C82-4813-A909-071B0A8F22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6" name="x_Picture 1" descr="Description: cid:image001.png@01D03949.49457930">
          <a:extLst>
            <a:ext uri="{FF2B5EF4-FFF2-40B4-BE49-F238E27FC236}">
              <a16:creationId xmlns:a16="http://schemas.microsoft.com/office/drawing/2014/main" id="{411835E9-7EE3-4305-8006-1F6FAD8D94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7" name="x_Picture 1" descr="Description: cid:image001.png@01D03949.49457930">
          <a:extLst>
            <a:ext uri="{FF2B5EF4-FFF2-40B4-BE49-F238E27FC236}">
              <a16:creationId xmlns:a16="http://schemas.microsoft.com/office/drawing/2014/main" id="{62E3E5FC-27D4-4BBF-9D45-154AB7359F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8" name="x_Picture 1" descr="Description: cid:image001.png@01D03949.49457930">
          <a:extLst>
            <a:ext uri="{FF2B5EF4-FFF2-40B4-BE49-F238E27FC236}">
              <a16:creationId xmlns:a16="http://schemas.microsoft.com/office/drawing/2014/main" id="{79CD5A7A-4F40-43BC-8A3A-5B40CA3B25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29" name="x_Picture 1" descr="Description: cid:image001.png@01D03949.49457930">
          <a:extLst>
            <a:ext uri="{FF2B5EF4-FFF2-40B4-BE49-F238E27FC236}">
              <a16:creationId xmlns:a16="http://schemas.microsoft.com/office/drawing/2014/main" id="{1EDBAC24-CB1D-4361-8F3C-92A31586D1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0" name="x_Picture 1" descr="Description: cid:image001.png@01D03949.49457930">
          <a:extLst>
            <a:ext uri="{FF2B5EF4-FFF2-40B4-BE49-F238E27FC236}">
              <a16:creationId xmlns:a16="http://schemas.microsoft.com/office/drawing/2014/main" id="{F486644D-005A-4B2D-BCF2-C8BC0A3F77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1" name="x_Picture 1" descr="Description: cid:image001.png@01D03949.49457930">
          <a:extLst>
            <a:ext uri="{FF2B5EF4-FFF2-40B4-BE49-F238E27FC236}">
              <a16:creationId xmlns:a16="http://schemas.microsoft.com/office/drawing/2014/main" id="{7274EDFD-8A52-484B-98B3-5259E351843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2" name="x_Picture 1" descr="Description: cid:image001.png@01D03949.49457930">
          <a:extLst>
            <a:ext uri="{FF2B5EF4-FFF2-40B4-BE49-F238E27FC236}">
              <a16:creationId xmlns:a16="http://schemas.microsoft.com/office/drawing/2014/main" id="{36786E2C-FED2-4878-8B96-0330B54F12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3" name="x_Picture 1" descr="Description: cid:image001.png@01D03949.49457930">
          <a:extLst>
            <a:ext uri="{FF2B5EF4-FFF2-40B4-BE49-F238E27FC236}">
              <a16:creationId xmlns:a16="http://schemas.microsoft.com/office/drawing/2014/main" id="{BF804276-BE5C-4052-A675-B3CD31C56A7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4" name="x_Picture 1" descr="Description: cid:image001.png@01D03949.49457930">
          <a:extLst>
            <a:ext uri="{FF2B5EF4-FFF2-40B4-BE49-F238E27FC236}">
              <a16:creationId xmlns:a16="http://schemas.microsoft.com/office/drawing/2014/main" id="{C50DBCE8-A651-4444-85CB-6FBC00748A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5" name="x_Picture 1" descr="Description: cid:image001.png@01D03949.49457930">
          <a:extLst>
            <a:ext uri="{FF2B5EF4-FFF2-40B4-BE49-F238E27FC236}">
              <a16:creationId xmlns:a16="http://schemas.microsoft.com/office/drawing/2014/main" id="{AA3DC850-F3E8-4C91-92C2-D723816AA1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6" name="x_Picture 1" descr="Description: cid:image001.png@01D03949.49457930">
          <a:extLst>
            <a:ext uri="{FF2B5EF4-FFF2-40B4-BE49-F238E27FC236}">
              <a16:creationId xmlns:a16="http://schemas.microsoft.com/office/drawing/2014/main" id="{1A72B467-E00B-40E7-9A21-58FE8A97A6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7" name="x_Picture 1" descr="Description: cid:image001.png@01D03949.49457930">
          <a:extLst>
            <a:ext uri="{FF2B5EF4-FFF2-40B4-BE49-F238E27FC236}">
              <a16:creationId xmlns:a16="http://schemas.microsoft.com/office/drawing/2014/main" id="{D6FECFDD-5BE5-4D26-88D4-49FAF44F49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8" name="x_Picture 1" descr="Description: cid:image001.png@01D03949.49457930">
          <a:extLst>
            <a:ext uri="{FF2B5EF4-FFF2-40B4-BE49-F238E27FC236}">
              <a16:creationId xmlns:a16="http://schemas.microsoft.com/office/drawing/2014/main" id="{1EB1904A-F004-40AB-B674-BD1498739E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39" name="x_Picture 1" descr="Description: cid:image001.png@01D03949.49457930">
          <a:extLst>
            <a:ext uri="{FF2B5EF4-FFF2-40B4-BE49-F238E27FC236}">
              <a16:creationId xmlns:a16="http://schemas.microsoft.com/office/drawing/2014/main" id="{A4CB0C1D-D123-4911-81DE-31B0FC9BA7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0" name="x_Picture 1" descr="Description: cid:image001.png@01D03949.49457930">
          <a:extLst>
            <a:ext uri="{FF2B5EF4-FFF2-40B4-BE49-F238E27FC236}">
              <a16:creationId xmlns:a16="http://schemas.microsoft.com/office/drawing/2014/main" id="{4C6272C2-382C-4BB3-9A7E-5829518707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1" name="x_Picture 1" descr="Description: cid:image001.png@01D03949.49457930">
          <a:extLst>
            <a:ext uri="{FF2B5EF4-FFF2-40B4-BE49-F238E27FC236}">
              <a16:creationId xmlns:a16="http://schemas.microsoft.com/office/drawing/2014/main" id="{6D49A585-C659-4EEB-BBDC-B9C25D42B0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2" name="x_Picture 1" descr="Description: cid:image001.png@01D03949.49457930">
          <a:extLst>
            <a:ext uri="{FF2B5EF4-FFF2-40B4-BE49-F238E27FC236}">
              <a16:creationId xmlns:a16="http://schemas.microsoft.com/office/drawing/2014/main" id="{F4531CE2-5083-4AD6-B7ED-A6AA7EBD91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3" name="x_Picture 1" descr="Description: cid:image001.png@01D03949.49457930">
          <a:extLst>
            <a:ext uri="{FF2B5EF4-FFF2-40B4-BE49-F238E27FC236}">
              <a16:creationId xmlns:a16="http://schemas.microsoft.com/office/drawing/2014/main" id="{D24CF120-D9A0-4F4B-9937-396CDB3850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4" name="x_Picture 1" descr="Description: cid:image001.png@01D03949.49457930">
          <a:extLst>
            <a:ext uri="{FF2B5EF4-FFF2-40B4-BE49-F238E27FC236}">
              <a16:creationId xmlns:a16="http://schemas.microsoft.com/office/drawing/2014/main" id="{EB876219-F4D8-4190-99DA-00AC227C8E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5" name="x_Picture 1" descr="Description: cid:image001.png@01D03949.49457930">
          <a:extLst>
            <a:ext uri="{FF2B5EF4-FFF2-40B4-BE49-F238E27FC236}">
              <a16:creationId xmlns:a16="http://schemas.microsoft.com/office/drawing/2014/main" id="{452BF3B2-9001-464E-97ED-7A31EB69D1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6" name="x_Picture 1" descr="Description: cid:image001.png@01D03949.49457930">
          <a:extLst>
            <a:ext uri="{FF2B5EF4-FFF2-40B4-BE49-F238E27FC236}">
              <a16:creationId xmlns:a16="http://schemas.microsoft.com/office/drawing/2014/main" id="{DC7D11F9-B280-4AA1-8C6F-567DB73302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7" name="x_Picture 1" descr="Description: cid:image001.png@01D03949.49457930">
          <a:extLst>
            <a:ext uri="{FF2B5EF4-FFF2-40B4-BE49-F238E27FC236}">
              <a16:creationId xmlns:a16="http://schemas.microsoft.com/office/drawing/2014/main" id="{438091A9-76C3-4D90-B12F-E0F9104717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8" name="x_Picture 1" descr="Description: cid:image001.png@01D03949.49457930">
          <a:extLst>
            <a:ext uri="{FF2B5EF4-FFF2-40B4-BE49-F238E27FC236}">
              <a16:creationId xmlns:a16="http://schemas.microsoft.com/office/drawing/2014/main" id="{0F5469EF-4BA6-4A3A-906C-82B154222D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49" name="x_Picture 1" descr="Description: cid:image001.png@01D03949.49457930">
          <a:extLst>
            <a:ext uri="{FF2B5EF4-FFF2-40B4-BE49-F238E27FC236}">
              <a16:creationId xmlns:a16="http://schemas.microsoft.com/office/drawing/2014/main" id="{AA1FDF6E-9B20-4A11-9363-29022D95CC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0" name="x_Picture 1" descr="Description: cid:image001.png@01D03949.49457930">
          <a:extLst>
            <a:ext uri="{FF2B5EF4-FFF2-40B4-BE49-F238E27FC236}">
              <a16:creationId xmlns:a16="http://schemas.microsoft.com/office/drawing/2014/main" id="{6879AB62-65A2-4BB3-A896-4AD50336908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1" name="x_Picture 1" descr="Description: cid:image001.png@01D03949.49457930">
          <a:extLst>
            <a:ext uri="{FF2B5EF4-FFF2-40B4-BE49-F238E27FC236}">
              <a16:creationId xmlns:a16="http://schemas.microsoft.com/office/drawing/2014/main" id="{2B1215CE-F0B5-4AFC-8F72-E2D4C0A8C8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2" name="x_Picture 1" descr="Description: cid:image001.png@01D03949.49457930">
          <a:extLst>
            <a:ext uri="{FF2B5EF4-FFF2-40B4-BE49-F238E27FC236}">
              <a16:creationId xmlns:a16="http://schemas.microsoft.com/office/drawing/2014/main" id="{5BC5B7A1-BFD8-4E24-97F1-3CEC75C919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3" name="x_Picture 1" descr="Description: cid:image001.png@01D03949.49457930">
          <a:extLst>
            <a:ext uri="{FF2B5EF4-FFF2-40B4-BE49-F238E27FC236}">
              <a16:creationId xmlns:a16="http://schemas.microsoft.com/office/drawing/2014/main" id="{929A1C14-D910-4F33-9A32-13CB87BB15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4" name="x_Picture 1" descr="Description: cid:image001.png@01D03949.49457930">
          <a:extLst>
            <a:ext uri="{FF2B5EF4-FFF2-40B4-BE49-F238E27FC236}">
              <a16:creationId xmlns:a16="http://schemas.microsoft.com/office/drawing/2014/main" id="{18EC2EE2-483B-4DBF-B874-972CB89A72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5" name="x_Picture 1" descr="Description: cid:image001.png@01D03949.49457930">
          <a:extLst>
            <a:ext uri="{FF2B5EF4-FFF2-40B4-BE49-F238E27FC236}">
              <a16:creationId xmlns:a16="http://schemas.microsoft.com/office/drawing/2014/main" id="{D2D7AEAE-C11B-4DE6-B251-3E1012F9E0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6" name="x_Picture 1" descr="Description: cid:image001.png@01D03949.49457930">
          <a:extLst>
            <a:ext uri="{FF2B5EF4-FFF2-40B4-BE49-F238E27FC236}">
              <a16:creationId xmlns:a16="http://schemas.microsoft.com/office/drawing/2014/main" id="{CEC1544B-8DED-4DD0-AAE0-6A38635F5C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7" name="x_Picture 1" descr="Description: cid:image001.png@01D03949.49457930">
          <a:extLst>
            <a:ext uri="{FF2B5EF4-FFF2-40B4-BE49-F238E27FC236}">
              <a16:creationId xmlns:a16="http://schemas.microsoft.com/office/drawing/2014/main" id="{B495A5D6-573F-4025-88D9-EA9ABF4F27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8" name="x_Picture 1" descr="Description: cid:image001.png@01D03949.49457930">
          <a:extLst>
            <a:ext uri="{FF2B5EF4-FFF2-40B4-BE49-F238E27FC236}">
              <a16:creationId xmlns:a16="http://schemas.microsoft.com/office/drawing/2014/main" id="{DA7CD4CA-3B1D-4885-8A6D-C7FCF298B8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59" name="x_Picture 1" descr="Description: cid:image001.png@01D03949.49457930">
          <a:extLst>
            <a:ext uri="{FF2B5EF4-FFF2-40B4-BE49-F238E27FC236}">
              <a16:creationId xmlns:a16="http://schemas.microsoft.com/office/drawing/2014/main" id="{87B4183C-9398-41DD-ABF9-8E7BC6C5E3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0" name="x_Picture 1" descr="Description: cid:image001.png@01D03949.49457930">
          <a:extLst>
            <a:ext uri="{FF2B5EF4-FFF2-40B4-BE49-F238E27FC236}">
              <a16:creationId xmlns:a16="http://schemas.microsoft.com/office/drawing/2014/main" id="{EA27E5EF-1463-44CC-B1FD-FE4E5355B6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1" name="x_Picture 1" descr="Description: cid:image001.png@01D03949.49457930">
          <a:extLst>
            <a:ext uri="{FF2B5EF4-FFF2-40B4-BE49-F238E27FC236}">
              <a16:creationId xmlns:a16="http://schemas.microsoft.com/office/drawing/2014/main" id="{0CA12593-7B73-472F-9B96-BF40B213B4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2" name="x_Picture 1" descr="Description: cid:image001.png@01D03949.49457930">
          <a:extLst>
            <a:ext uri="{FF2B5EF4-FFF2-40B4-BE49-F238E27FC236}">
              <a16:creationId xmlns:a16="http://schemas.microsoft.com/office/drawing/2014/main" id="{FCAF1800-0AAE-43FE-9938-BBFA56BBD2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3" name="x_Picture 1" descr="Description: cid:image001.png@01D03949.49457930">
          <a:extLst>
            <a:ext uri="{FF2B5EF4-FFF2-40B4-BE49-F238E27FC236}">
              <a16:creationId xmlns:a16="http://schemas.microsoft.com/office/drawing/2014/main" id="{C1D16B1E-A219-48BF-818D-DAD6DFED26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4" name="x_Picture 1" descr="Description: cid:image001.png@01D03949.49457930">
          <a:extLst>
            <a:ext uri="{FF2B5EF4-FFF2-40B4-BE49-F238E27FC236}">
              <a16:creationId xmlns:a16="http://schemas.microsoft.com/office/drawing/2014/main" id="{E269909E-1E48-4E75-8679-9EA9950BC6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5" name="x_Picture 1" descr="Description: cid:image001.png@01D03949.49457930">
          <a:extLst>
            <a:ext uri="{FF2B5EF4-FFF2-40B4-BE49-F238E27FC236}">
              <a16:creationId xmlns:a16="http://schemas.microsoft.com/office/drawing/2014/main" id="{C9D35CF1-DCFC-4CB0-8FD4-2F0A56B36F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6" name="x_Picture 1" descr="Description: cid:image001.png@01D03949.49457930">
          <a:extLst>
            <a:ext uri="{FF2B5EF4-FFF2-40B4-BE49-F238E27FC236}">
              <a16:creationId xmlns:a16="http://schemas.microsoft.com/office/drawing/2014/main" id="{65F1D38B-9A6E-4377-8C02-AE816BFC69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7" name="x_Picture 1" descr="Description: cid:image001.png@01D03949.49457930">
          <a:extLst>
            <a:ext uri="{FF2B5EF4-FFF2-40B4-BE49-F238E27FC236}">
              <a16:creationId xmlns:a16="http://schemas.microsoft.com/office/drawing/2014/main" id="{2A192FB2-CAF1-48AD-8418-9742FBDBB5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8" name="x_Picture 1" descr="Description: cid:image001.png@01D03949.49457930">
          <a:extLst>
            <a:ext uri="{FF2B5EF4-FFF2-40B4-BE49-F238E27FC236}">
              <a16:creationId xmlns:a16="http://schemas.microsoft.com/office/drawing/2014/main" id="{5B6D06C3-9B31-46CB-871A-C9638376FF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69" name="x_Picture 1" descr="Description: cid:image001.png@01D03949.49457930">
          <a:extLst>
            <a:ext uri="{FF2B5EF4-FFF2-40B4-BE49-F238E27FC236}">
              <a16:creationId xmlns:a16="http://schemas.microsoft.com/office/drawing/2014/main" id="{42015D12-2CE3-4E62-91E0-CCC684E894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0" name="x_Picture 1" descr="Description: cid:image001.png@01D03949.49457930">
          <a:extLst>
            <a:ext uri="{FF2B5EF4-FFF2-40B4-BE49-F238E27FC236}">
              <a16:creationId xmlns:a16="http://schemas.microsoft.com/office/drawing/2014/main" id="{206DAF76-08A9-404D-9394-19043A839C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1" name="x_Picture 1" descr="Description: cid:image001.png@01D03949.49457930">
          <a:extLst>
            <a:ext uri="{FF2B5EF4-FFF2-40B4-BE49-F238E27FC236}">
              <a16:creationId xmlns:a16="http://schemas.microsoft.com/office/drawing/2014/main" id="{00BA2CAC-CA80-42F7-8D8C-4A4B6F0C05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2" name="x_Picture 1" descr="Description: cid:image001.png@01D03949.49457930">
          <a:extLst>
            <a:ext uri="{FF2B5EF4-FFF2-40B4-BE49-F238E27FC236}">
              <a16:creationId xmlns:a16="http://schemas.microsoft.com/office/drawing/2014/main" id="{1DB9447C-AB3A-422A-A471-C7DB6F1876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3" name="x_Picture 1" descr="Description: cid:image001.png@01D03949.49457930">
          <a:extLst>
            <a:ext uri="{FF2B5EF4-FFF2-40B4-BE49-F238E27FC236}">
              <a16:creationId xmlns:a16="http://schemas.microsoft.com/office/drawing/2014/main" id="{7017D257-F212-4286-B14B-7D4D0821C3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4" name="x_Picture 1" descr="Description: cid:image001.png@01D03949.49457930">
          <a:extLst>
            <a:ext uri="{FF2B5EF4-FFF2-40B4-BE49-F238E27FC236}">
              <a16:creationId xmlns:a16="http://schemas.microsoft.com/office/drawing/2014/main" id="{D8D25C52-1332-4258-BC33-3ABB36AC57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5" name="x_Picture 1" descr="Description: cid:image001.png@01D03949.49457930">
          <a:extLst>
            <a:ext uri="{FF2B5EF4-FFF2-40B4-BE49-F238E27FC236}">
              <a16:creationId xmlns:a16="http://schemas.microsoft.com/office/drawing/2014/main" id="{C54F30CF-E9D0-4A5A-9382-F483E1BF74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6" name="x_Picture 1" descr="Description: cid:image001.png@01D03949.49457930">
          <a:extLst>
            <a:ext uri="{FF2B5EF4-FFF2-40B4-BE49-F238E27FC236}">
              <a16:creationId xmlns:a16="http://schemas.microsoft.com/office/drawing/2014/main" id="{D63A3B37-C1E4-4A35-9988-6DBA616501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7" name="x_Picture 1" descr="Description: cid:image001.png@01D03949.49457930">
          <a:extLst>
            <a:ext uri="{FF2B5EF4-FFF2-40B4-BE49-F238E27FC236}">
              <a16:creationId xmlns:a16="http://schemas.microsoft.com/office/drawing/2014/main" id="{2578BD01-5FBC-4A7F-B896-BD2DD0871A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8" name="x_Picture 1" descr="Description: cid:image001.png@01D03949.49457930">
          <a:extLst>
            <a:ext uri="{FF2B5EF4-FFF2-40B4-BE49-F238E27FC236}">
              <a16:creationId xmlns:a16="http://schemas.microsoft.com/office/drawing/2014/main" id="{E0C4872A-1CEF-4A76-8639-682E34C7E3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79" name="x_Picture 1" descr="Description: cid:image001.png@01D03949.49457930">
          <a:extLst>
            <a:ext uri="{FF2B5EF4-FFF2-40B4-BE49-F238E27FC236}">
              <a16:creationId xmlns:a16="http://schemas.microsoft.com/office/drawing/2014/main" id="{BA45044F-C89B-47C8-A630-3F9C7E1DEB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0" name="x_Picture 1" descr="Description: cid:image001.png@01D03949.49457930">
          <a:extLst>
            <a:ext uri="{FF2B5EF4-FFF2-40B4-BE49-F238E27FC236}">
              <a16:creationId xmlns:a16="http://schemas.microsoft.com/office/drawing/2014/main" id="{718788B5-62C3-49B3-B13B-6D81EF5DEE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1" name="x_Picture 1" descr="Description: cid:image001.png@01D03949.49457930">
          <a:extLst>
            <a:ext uri="{FF2B5EF4-FFF2-40B4-BE49-F238E27FC236}">
              <a16:creationId xmlns:a16="http://schemas.microsoft.com/office/drawing/2014/main" id="{9465E73E-EBE8-4B17-B2D1-6A67824487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2" name="x_Picture 1" descr="Description: cid:image001.png@01D03949.49457930">
          <a:extLst>
            <a:ext uri="{FF2B5EF4-FFF2-40B4-BE49-F238E27FC236}">
              <a16:creationId xmlns:a16="http://schemas.microsoft.com/office/drawing/2014/main" id="{5B46F63F-A1D6-451E-B707-2AC2C511CF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3" name="x_Picture 1" descr="Description: cid:image001.png@01D03949.49457930">
          <a:extLst>
            <a:ext uri="{FF2B5EF4-FFF2-40B4-BE49-F238E27FC236}">
              <a16:creationId xmlns:a16="http://schemas.microsoft.com/office/drawing/2014/main" id="{F9456828-3C00-413E-8A93-1300D4A971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4" name="x_Picture 1" descr="Description: cid:image001.png@01D03949.49457930">
          <a:extLst>
            <a:ext uri="{FF2B5EF4-FFF2-40B4-BE49-F238E27FC236}">
              <a16:creationId xmlns:a16="http://schemas.microsoft.com/office/drawing/2014/main" id="{5F1D5540-D8B5-4FB6-9076-E9B1878674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5" name="x_Picture 1" descr="Description: cid:image001.png@01D03949.49457930">
          <a:extLst>
            <a:ext uri="{FF2B5EF4-FFF2-40B4-BE49-F238E27FC236}">
              <a16:creationId xmlns:a16="http://schemas.microsoft.com/office/drawing/2014/main" id="{D8FEA234-0F89-43C7-82A7-9B8DD79274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6" name="x_Picture 1" descr="Description: cid:image001.png@01D03949.49457930">
          <a:extLst>
            <a:ext uri="{FF2B5EF4-FFF2-40B4-BE49-F238E27FC236}">
              <a16:creationId xmlns:a16="http://schemas.microsoft.com/office/drawing/2014/main" id="{A83FECBD-62AE-47F1-B5E4-1D686B9634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7" name="x_Picture 1" descr="Description: cid:image001.png@01D03949.49457930">
          <a:extLst>
            <a:ext uri="{FF2B5EF4-FFF2-40B4-BE49-F238E27FC236}">
              <a16:creationId xmlns:a16="http://schemas.microsoft.com/office/drawing/2014/main" id="{402B39F5-9B85-494F-9EB2-CD356AE25E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8" name="x_Picture 1" descr="Description: cid:image001.png@01D03949.49457930">
          <a:extLst>
            <a:ext uri="{FF2B5EF4-FFF2-40B4-BE49-F238E27FC236}">
              <a16:creationId xmlns:a16="http://schemas.microsoft.com/office/drawing/2014/main" id="{02B38503-E4DF-44A8-BD1C-2D02D45C51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89" name="x_Picture 1" descr="Description: cid:image001.png@01D03949.49457930">
          <a:extLst>
            <a:ext uri="{FF2B5EF4-FFF2-40B4-BE49-F238E27FC236}">
              <a16:creationId xmlns:a16="http://schemas.microsoft.com/office/drawing/2014/main" id="{4594ABE8-03B5-41A4-81D7-C576D9508B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0" name="x_Picture 1" descr="Description: cid:image001.png@01D03949.49457930">
          <a:extLst>
            <a:ext uri="{FF2B5EF4-FFF2-40B4-BE49-F238E27FC236}">
              <a16:creationId xmlns:a16="http://schemas.microsoft.com/office/drawing/2014/main" id="{68EB4FD7-E6F5-4E6E-82A1-EB04DCBA66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1" name="x_Picture 1" descr="Description: cid:image001.png@01D03949.49457930">
          <a:extLst>
            <a:ext uri="{FF2B5EF4-FFF2-40B4-BE49-F238E27FC236}">
              <a16:creationId xmlns:a16="http://schemas.microsoft.com/office/drawing/2014/main" id="{1413D73E-B2EF-44D6-9BB5-3E518442B1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2" name="x_Picture 1" descr="Description: cid:image001.png@01D03949.49457930">
          <a:extLst>
            <a:ext uri="{FF2B5EF4-FFF2-40B4-BE49-F238E27FC236}">
              <a16:creationId xmlns:a16="http://schemas.microsoft.com/office/drawing/2014/main" id="{2420C6E0-9703-415B-86B3-3D9D739BAD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3" name="x_Picture 1" descr="Description: cid:image001.png@01D03949.49457930">
          <a:extLst>
            <a:ext uri="{FF2B5EF4-FFF2-40B4-BE49-F238E27FC236}">
              <a16:creationId xmlns:a16="http://schemas.microsoft.com/office/drawing/2014/main" id="{09F7DC67-D2C9-4EA7-ABC2-F1E8816F5A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4" name="x_Picture 1" descr="Description: cid:image001.png@01D03949.49457930">
          <a:extLst>
            <a:ext uri="{FF2B5EF4-FFF2-40B4-BE49-F238E27FC236}">
              <a16:creationId xmlns:a16="http://schemas.microsoft.com/office/drawing/2014/main" id="{C42DF0B3-7D6F-4F02-A0D6-F5531047D1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5" name="x_Picture 1" descr="Description: cid:image001.png@01D03949.49457930">
          <a:extLst>
            <a:ext uri="{FF2B5EF4-FFF2-40B4-BE49-F238E27FC236}">
              <a16:creationId xmlns:a16="http://schemas.microsoft.com/office/drawing/2014/main" id="{53B047D4-E784-4949-BFAE-6BB7E67624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6" name="x_Picture 1" descr="Description: cid:image001.png@01D03949.49457930">
          <a:extLst>
            <a:ext uri="{FF2B5EF4-FFF2-40B4-BE49-F238E27FC236}">
              <a16:creationId xmlns:a16="http://schemas.microsoft.com/office/drawing/2014/main" id="{E3CCF67A-31D9-4D94-8243-68482CB69E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7" name="x_Picture 1" descr="Description: cid:image001.png@01D03949.49457930">
          <a:extLst>
            <a:ext uri="{FF2B5EF4-FFF2-40B4-BE49-F238E27FC236}">
              <a16:creationId xmlns:a16="http://schemas.microsoft.com/office/drawing/2014/main" id="{521F0F66-3518-4624-B6CE-85DC27F62D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8" name="x_Picture 1" descr="Description: cid:image001.png@01D03949.49457930">
          <a:extLst>
            <a:ext uri="{FF2B5EF4-FFF2-40B4-BE49-F238E27FC236}">
              <a16:creationId xmlns:a16="http://schemas.microsoft.com/office/drawing/2014/main" id="{58C4DF08-9101-4A26-89A9-99D1D7D167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5999" name="x_Picture 1" descr="Description: cid:image001.png@01D03949.49457930">
          <a:extLst>
            <a:ext uri="{FF2B5EF4-FFF2-40B4-BE49-F238E27FC236}">
              <a16:creationId xmlns:a16="http://schemas.microsoft.com/office/drawing/2014/main" id="{CE068A58-E8B7-4DD6-B0D5-1405D583B36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0" name="x_Picture 1" descr="Description: cid:image001.png@01D03949.49457930">
          <a:extLst>
            <a:ext uri="{FF2B5EF4-FFF2-40B4-BE49-F238E27FC236}">
              <a16:creationId xmlns:a16="http://schemas.microsoft.com/office/drawing/2014/main" id="{2C7F1767-4CFA-4A1A-BABB-FEFFD48472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1" name="x_Picture 1" descr="Description: cid:image001.png@01D03949.49457930">
          <a:extLst>
            <a:ext uri="{FF2B5EF4-FFF2-40B4-BE49-F238E27FC236}">
              <a16:creationId xmlns:a16="http://schemas.microsoft.com/office/drawing/2014/main" id="{42BBE665-F304-40CF-8EBD-28055FD93E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2" name="x_Picture 1" descr="Description: cid:image001.png@01D03949.49457930">
          <a:extLst>
            <a:ext uri="{FF2B5EF4-FFF2-40B4-BE49-F238E27FC236}">
              <a16:creationId xmlns:a16="http://schemas.microsoft.com/office/drawing/2014/main" id="{2718ED43-6898-4387-B0C5-ED58EBFE6E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3" name="x_Picture 1" descr="Description: cid:image001.png@01D03949.49457930">
          <a:extLst>
            <a:ext uri="{FF2B5EF4-FFF2-40B4-BE49-F238E27FC236}">
              <a16:creationId xmlns:a16="http://schemas.microsoft.com/office/drawing/2014/main" id="{A25C0611-D156-480F-B524-80C04208747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4" name="x_Picture 1" descr="Description: cid:image001.png@01D03949.49457930">
          <a:extLst>
            <a:ext uri="{FF2B5EF4-FFF2-40B4-BE49-F238E27FC236}">
              <a16:creationId xmlns:a16="http://schemas.microsoft.com/office/drawing/2014/main" id="{3CA9FA39-8CE3-4EC7-8DC7-E15ACC0A48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5" name="x_Picture 1" descr="Description: cid:image001.png@01D03949.49457930">
          <a:extLst>
            <a:ext uri="{FF2B5EF4-FFF2-40B4-BE49-F238E27FC236}">
              <a16:creationId xmlns:a16="http://schemas.microsoft.com/office/drawing/2014/main" id="{B5F8DB75-8609-4215-8102-F0A5137CE8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6" name="x_Picture 1" descr="Description: cid:image001.png@01D03949.49457930">
          <a:extLst>
            <a:ext uri="{FF2B5EF4-FFF2-40B4-BE49-F238E27FC236}">
              <a16:creationId xmlns:a16="http://schemas.microsoft.com/office/drawing/2014/main" id="{AA6DDCFB-C060-4062-9646-7E02B6E42EA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7" name="x_Picture 1" descr="Description: cid:image001.png@01D03949.49457930">
          <a:extLst>
            <a:ext uri="{FF2B5EF4-FFF2-40B4-BE49-F238E27FC236}">
              <a16:creationId xmlns:a16="http://schemas.microsoft.com/office/drawing/2014/main" id="{11AE4495-4707-40DD-B3B6-5E094E71B2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8" name="x_Picture 1" descr="Description: cid:image001.png@01D03949.49457930">
          <a:extLst>
            <a:ext uri="{FF2B5EF4-FFF2-40B4-BE49-F238E27FC236}">
              <a16:creationId xmlns:a16="http://schemas.microsoft.com/office/drawing/2014/main" id="{7EC5CB27-8228-4AC0-B041-0CDDAA1365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09" name="x_Picture 1" descr="Description: cid:image001.png@01D03949.49457930">
          <a:extLst>
            <a:ext uri="{FF2B5EF4-FFF2-40B4-BE49-F238E27FC236}">
              <a16:creationId xmlns:a16="http://schemas.microsoft.com/office/drawing/2014/main" id="{6F8C688C-49BA-4C04-B2F3-7376473DAC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0" name="x_Picture 1" descr="Description: cid:image001.png@01D03949.49457930">
          <a:extLst>
            <a:ext uri="{FF2B5EF4-FFF2-40B4-BE49-F238E27FC236}">
              <a16:creationId xmlns:a16="http://schemas.microsoft.com/office/drawing/2014/main" id="{9643947B-90BB-4A83-833E-E0831778E9A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1" name="x_Picture 1" descr="Description: cid:image001.png@01D03949.49457930">
          <a:extLst>
            <a:ext uri="{FF2B5EF4-FFF2-40B4-BE49-F238E27FC236}">
              <a16:creationId xmlns:a16="http://schemas.microsoft.com/office/drawing/2014/main" id="{EE65EBE9-EF14-4048-8047-3ABB899335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2" name="x_Picture 1" descr="Description: cid:image001.png@01D03949.49457930">
          <a:extLst>
            <a:ext uri="{FF2B5EF4-FFF2-40B4-BE49-F238E27FC236}">
              <a16:creationId xmlns:a16="http://schemas.microsoft.com/office/drawing/2014/main" id="{AAC5FA0A-D206-421E-BAD4-8651B2068F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3" name="x_Picture 1" descr="Description: cid:image001.png@01D03949.49457930">
          <a:extLst>
            <a:ext uri="{FF2B5EF4-FFF2-40B4-BE49-F238E27FC236}">
              <a16:creationId xmlns:a16="http://schemas.microsoft.com/office/drawing/2014/main" id="{EAF255E1-9210-42D5-8089-654CF0EB08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4" name="x_Picture 1" descr="Description: cid:image001.png@01D03949.49457930">
          <a:extLst>
            <a:ext uri="{FF2B5EF4-FFF2-40B4-BE49-F238E27FC236}">
              <a16:creationId xmlns:a16="http://schemas.microsoft.com/office/drawing/2014/main" id="{F0A12834-1227-4931-9B0C-FB3EB167733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5" name="x_Picture 1" descr="Description: cid:image001.png@01D03949.49457930">
          <a:extLst>
            <a:ext uri="{FF2B5EF4-FFF2-40B4-BE49-F238E27FC236}">
              <a16:creationId xmlns:a16="http://schemas.microsoft.com/office/drawing/2014/main" id="{652EFEB4-91B5-4085-BB5E-B254196C04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6" name="x_Picture 1" descr="Description: cid:image001.png@01D03949.49457930">
          <a:extLst>
            <a:ext uri="{FF2B5EF4-FFF2-40B4-BE49-F238E27FC236}">
              <a16:creationId xmlns:a16="http://schemas.microsoft.com/office/drawing/2014/main" id="{1A9B164C-2D8D-4BD6-A7FE-BE1D47C865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7" name="x_Picture 1" descr="Description: cid:image001.png@01D03949.49457930">
          <a:extLst>
            <a:ext uri="{FF2B5EF4-FFF2-40B4-BE49-F238E27FC236}">
              <a16:creationId xmlns:a16="http://schemas.microsoft.com/office/drawing/2014/main" id="{FDBF5C20-0702-40A1-95E1-536654628F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8" name="x_Picture 1" descr="Description: cid:image001.png@01D03949.49457930">
          <a:extLst>
            <a:ext uri="{FF2B5EF4-FFF2-40B4-BE49-F238E27FC236}">
              <a16:creationId xmlns:a16="http://schemas.microsoft.com/office/drawing/2014/main" id="{F552E29C-A33B-4BCC-9F19-0EF9543F61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19" name="x_Picture 1" descr="Description: cid:image001.png@01D03949.49457930">
          <a:extLst>
            <a:ext uri="{FF2B5EF4-FFF2-40B4-BE49-F238E27FC236}">
              <a16:creationId xmlns:a16="http://schemas.microsoft.com/office/drawing/2014/main" id="{E0B9C6E8-66B7-4D5B-86E1-DF4ACC7B5D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0" name="x_Picture 1" descr="Description: cid:image001.png@01D03949.49457930">
          <a:extLst>
            <a:ext uri="{FF2B5EF4-FFF2-40B4-BE49-F238E27FC236}">
              <a16:creationId xmlns:a16="http://schemas.microsoft.com/office/drawing/2014/main" id="{27E10B50-707F-4389-A335-6630B004B9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1" name="x_Picture 1" descr="Description: cid:image001.png@01D03949.49457930">
          <a:extLst>
            <a:ext uri="{FF2B5EF4-FFF2-40B4-BE49-F238E27FC236}">
              <a16:creationId xmlns:a16="http://schemas.microsoft.com/office/drawing/2014/main" id="{EAD87380-106B-4A27-B3AC-6053713FF41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2" name="x_Picture 1" descr="Description: cid:image001.png@01D03949.49457930">
          <a:extLst>
            <a:ext uri="{FF2B5EF4-FFF2-40B4-BE49-F238E27FC236}">
              <a16:creationId xmlns:a16="http://schemas.microsoft.com/office/drawing/2014/main" id="{4FEDC973-6DDC-48BD-B758-2E3B242902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3" name="x_Picture 1" descr="Description: cid:image001.png@01D03949.49457930">
          <a:extLst>
            <a:ext uri="{FF2B5EF4-FFF2-40B4-BE49-F238E27FC236}">
              <a16:creationId xmlns:a16="http://schemas.microsoft.com/office/drawing/2014/main" id="{0DCC2BD6-EA8E-4B0F-B7B0-8360BC9B79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4" name="x_Picture 1" descr="Description: cid:image001.png@01D03949.49457930">
          <a:extLst>
            <a:ext uri="{FF2B5EF4-FFF2-40B4-BE49-F238E27FC236}">
              <a16:creationId xmlns:a16="http://schemas.microsoft.com/office/drawing/2014/main" id="{7C36653C-EAC8-4F9F-B359-DF0AAECDC2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5" name="x_Picture 1" descr="Description: cid:image001.png@01D03949.49457930">
          <a:extLst>
            <a:ext uri="{FF2B5EF4-FFF2-40B4-BE49-F238E27FC236}">
              <a16:creationId xmlns:a16="http://schemas.microsoft.com/office/drawing/2014/main" id="{A547D018-88A5-47A3-8661-302E989742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6" name="x_Picture 1" descr="Description: cid:image001.png@01D03949.49457930">
          <a:extLst>
            <a:ext uri="{FF2B5EF4-FFF2-40B4-BE49-F238E27FC236}">
              <a16:creationId xmlns:a16="http://schemas.microsoft.com/office/drawing/2014/main" id="{5F65731F-2D01-49DD-AEFB-B314407DD1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7" name="x_Picture 1" descr="Description: cid:image001.png@01D03949.49457930">
          <a:extLst>
            <a:ext uri="{FF2B5EF4-FFF2-40B4-BE49-F238E27FC236}">
              <a16:creationId xmlns:a16="http://schemas.microsoft.com/office/drawing/2014/main" id="{6020C806-374C-40D2-9A7F-F9F003B891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8" name="x_Picture 1" descr="Description: cid:image001.png@01D03949.49457930">
          <a:extLst>
            <a:ext uri="{FF2B5EF4-FFF2-40B4-BE49-F238E27FC236}">
              <a16:creationId xmlns:a16="http://schemas.microsoft.com/office/drawing/2014/main" id="{CC1BD6EF-94F7-4BA5-9377-74FD3F1C17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29" name="x_Picture 1" descr="Description: cid:image001.png@01D03949.49457930">
          <a:extLst>
            <a:ext uri="{FF2B5EF4-FFF2-40B4-BE49-F238E27FC236}">
              <a16:creationId xmlns:a16="http://schemas.microsoft.com/office/drawing/2014/main" id="{48704551-F7CC-496B-A00B-BB07D6ACEB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0" name="x_Picture 1" descr="Description: cid:image001.png@01D03949.49457930">
          <a:extLst>
            <a:ext uri="{FF2B5EF4-FFF2-40B4-BE49-F238E27FC236}">
              <a16:creationId xmlns:a16="http://schemas.microsoft.com/office/drawing/2014/main" id="{247E7261-150C-407B-8717-A1453395710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1" name="x_Picture 1" descr="Description: cid:image001.png@01D03949.49457930">
          <a:extLst>
            <a:ext uri="{FF2B5EF4-FFF2-40B4-BE49-F238E27FC236}">
              <a16:creationId xmlns:a16="http://schemas.microsoft.com/office/drawing/2014/main" id="{A24CB457-5005-4621-9D89-A2248A1060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2" name="x_Picture 1" descr="Description: cid:image001.png@01D03949.49457930">
          <a:extLst>
            <a:ext uri="{FF2B5EF4-FFF2-40B4-BE49-F238E27FC236}">
              <a16:creationId xmlns:a16="http://schemas.microsoft.com/office/drawing/2014/main" id="{F3D837DE-C908-4DF6-AFA6-59A6AF055FA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3" name="x_Picture 1" descr="Description: cid:image001.png@01D03949.49457930">
          <a:extLst>
            <a:ext uri="{FF2B5EF4-FFF2-40B4-BE49-F238E27FC236}">
              <a16:creationId xmlns:a16="http://schemas.microsoft.com/office/drawing/2014/main" id="{3CB48CFE-0112-4B0F-93BF-F24DF09D80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4" name="x_Picture 1" descr="Description: cid:image001.png@01D03949.49457930">
          <a:extLst>
            <a:ext uri="{FF2B5EF4-FFF2-40B4-BE49-F238E27FC236}">
              <a16:creationId xmlns:a16="http://schemas.microsoft.com/office/drawing/2014/main" id="{D8CBFF5B-F860-49AE-BC0C-B644372B84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5" name="x_Picture 1" descr="Description: cid:image001.png@01D03949.49457930">
          <a:extLst>
            <a:ext uri="{FF2B5EF4-FFF2-40B4-BE49-F238E27FC236}">
              <a16:creationId xmlns:a16="http://schemas.microsoft.com/office/drawing/2014/main" id="{4D586EE3-C30D-4ACE-A980-E19EAC479D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6" name="x_Picture 1" descr="Description: cid:image001.png@01D03949.49457930">
          <a:extLst>
            <a:ext uri="{FF2B5EF4-FFF2-40B4-BE49-F238E27FC236}">
              <a16:creationId xmlns:a16="http://schemas.microsoft.com/office/drawing/2014/main" id="{245C8900-F228-400D-942E-0DFB7718BE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7" name="x_Picture 1" descr="Description: cid:image001.png@01D03949.49457930">
          <a:extLst>
            <a:ext uri="{FF2B5EF4-FFF2-40B4-BE49-F238E27FC236}">
              <a16:creationId xmlns:a16="http://schemas.microsoft.com/office/drawing/2014/main" id="{778C5456-838F-43B9-A797-1CE03B7E91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8" name="x_Picture 1" descr="Description: cid:image001.png@01D03949.49457930">
          <a:extLst>
            <a:ext uri="{FF2B5EF4-FFF2-40B4-BE49-F238E27FC236}">
              <a16:creationId xmlns:a16="http://schemas.microsoft.com/office/drawing/2014/main" id="{1F4D5E0E-CDE5-4525-80CB-63DAFEE7C3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39" name="x_Picture 1" descr="Description: cid:image001.png@01D03949.49457930">
          <a:extLst>
            <a:ext uri="{FF2B5EF4-FFF2-40B4-BE49-F238E27FC236}">
              <a16:creationId xmlns:a16="http://schemas.microsoft.com/office/drawing/2014/main" id="{47271102-0EB2-4649-878F-B827570071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0" name="x_Picture 1" descr="Description: cid:image001.png@01D03949.49457930">
          <a:extLst>
            <a:ext uri="{FF2B5EF4-FFF2-40B4-BE49-F238E27FC236}">
              <a16:creationId xmlns:a16="http://schemas.microsoft.com/office/drawing/2014/main" id="{84EA5815-2406-42FD-AAD0-964DC0E730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1" name="x_Picture 1" descr="Description: cid:image001.png@01D03949.49457930">
          <a:extLst>
            <a:ext uri="{FF2B5EF4-FFF2-40B4-BE49-F238E27FC236}">
              <a16:creationId xmlns:a16="http://schemas.microsoft.com/office/drawing/2014/main" id="{D38C63E5-023E-47E4-BFAB-5840FCE170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2" name="x_Picture 1" descr="Description: cid:image001.png@01D03949.49457930">
          <a:extLst>
            <a:ext uri="{FF2B5EF4-FFF2-40B4-BE49-F238E27FC236}">
              <a16:creationId xmlns:a16="http://schemas.microsoft.com/office/drawing/2014/main" id="{A3493EE1-ACEB-4C69-8201-3C753DC20C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3" name="x_Picture 1" descr="Description: cid:image001.png@01D03949.49457930">
          <a:extLst>
            <a:ext uri="{FF2B5EF4-FFF2-40B4-BE49-F238E27FC236}">
              <a16:creationId xmlns:a16="http://schemas.microsoft.com/office/drawing/2014/main" id="{80506B64-4779-4C08-A3CA-4921A24BC2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4" name="x_Picture 1" descr="Description: cid:image001.png@01D03949.49457930">
          <a:extLst>
            <a:ext uri="{FF2B5EF4-FFF2-40B4-BE49-F238E27FC236}">
              <a16:creationId xmlns:a16="http://schemas.microsoft.com/office/drawing/2014/main" id="{70DF6872-9D9C-4AD7-9AEE-061836A26F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5" name="x_Picture 1" descr="Description: cid:image001.png@01D03949.49457930">
          <a:extLst>
            <a:ext uri="{FF2B5EF4-FFF2-40B4-BE49-F238E27FC236}">
              <a16:creationId xmlns:a16="http://schemas.microsoft.com/office/drawing/2014/main" id="{54F24031-EA57-4191-93E4-EA782D93DF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6" name="x_Picture 1" descr="Description: cid:image001.png@01D03949.49457930">
          <a:extLst>
            <a:ext uri="{FF2B5EF4-FFF2-40B4-BE49-F238E27FC236}">
              <a16:creationId xmlns:a16="http://schemas.microsoft.com/office/drawing/2014/main" id="{56DA9AE7-57F4-417A-B022-A6933CEA98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7" name="x_Picture 1" descr="Description: cid:image001.png@01D03949.49457930">
          <a:extLst>
            <a:ext uri="{FF2B5EF4-FFF2-40B4-BE49-F238E27FC236}">
              <a16:creationId xmlns:a16="http://schemas.microsoft.com/office/drawing/2014/main" id="{CAA67019-56EE-4A68-905F-B6D8F6F2F6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8" name="x_Picture 1" descr="Description: cid:image001.png@01D03949.49457930">
          <a:extLst>
            <a:ext uri="{FF2B5EF4-FFF2-40B4-BE49-F238E27FC236}">
              <a16:creationId xmlns:a16="http://schemas.microsoft.com/office/drawing/2014/main" id="{5C798CBE-488D-4322-96A4-19AA169A6D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49" name="x_Picture 1" descr="Description: cid:image001.png@01D03949.49457930">
          <a:extLst>
            <a:ext uri="{FF2B5EF4-FFF2-40B4-BE49-F238E27FC236}">
              <a16:creationId xmlns:a16="http://schemas.microsoft.com/office/drawing/2014/main" id="{33FE5486-60C3-4BAB-BDF5-5AA4AFB373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0" name="x_Picture 1" descr="Description: cid:image001.png@01D03949.49457930">
          <a:extLst>
            <a:ext uri="{FF2B5EF4-FFF2-40B4-BE49-F238E27FC236}">
              <a16:creationId xmlns:a16="http://schemas.microsoft.com/office/drawing/2014/main" id="{D6BE5EF7-52C7-4758-9B4D-6256F08EFA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1" name="x_Picture 1" descr="Description: cid:image001.png@01D03949.49457930">
          <a:extLst>
            <a:ext uri="{FF2B5EF4-FFF2-40B4-BE49-F238E27FC236}">
              <a16:creationId xmlns:a16="http://schemas.microsoft.com/office/drawing/2014/main" id="{1A47D950-C73F-4046-A1EC-57E20A9229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2" name="x_Picture 1" descr="Description: cid:image001.png@01D03949.49457930">
          <a:extLst>
            <a:ext uri="{FF2B5EF4-FFF2-40B4-BE49-F238E27FC236}">
              <a16:creationId xmlns:a16="http://schemas.microsoft.com/office/drawing/2014/main" id="{203A4853-7572-46F1-8241-158E56EFDE9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3" name="x_Picture 1" descr="Description: cid:image001.png@01D03949.49457930">
          <a:extLst>
            <a:ext uri="{FF2B5EF4-FFF2-40B4-BE49-F238E27FC236}">
              <a16:creationId xmlns:a16="http://schemas.microsoft.com/office/drawing/2014/main" id="{52E77055-183B-461B-BF55-3CBAB2687B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4" name="x_Picture 1" descr="Description: cid:image001.png@01D03949.49457930">
          <a:extLst>
            <a:ext uri="{FF2B5EF4-FFF2-40B4-BE49-F238E27FC236}">
              <a16:creationId xmlns:a16="http://schemas.microsoft.com/office/drawing/2014/main" id="{C1A9F354-12BF-41F9-B867-21047908BE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5" name="x_Picture 1" descr="Description: cid:image001.png@01D03949.49457930">
          <a:extLst>
            <a:ext uri="{FF2B5EF4-FFF2-40B4-BE49-F238E27FC236}">
              <a16:creationId xmlns:a16="http://schemas.microsoft.com/office/drawing/2014/main" id="{5F4B6365-5C8B-4030-BE77-7ABD2D138E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6" name="x_Picture 1" descr="Description: cid:image001.png@01D03949.49457930">
          <a:extLst>
            <a:ext uri="{FF2B5EF4-FFF2-40B4-BE49-F238E27FC236}">
              <a16:creationId xmlns:a16="http://schemas.microsoft.com/office/drawing/2014/main" id="{51EE6A1B-3294-4693-9EBA-641BDFEB7D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7" name="x_Picture 1" descr="Description: cid:image001.png@01D03949.49457930">
          <a:extLst>
            <a:ext uri="{FF2B5EF4-FFF2-40B4-BE49-F238E27FC236}">
              <a16:creationId xmlns:a16="http://schemas.microsoft.com/office/drawing/2014/main" id="{37DB0C55-AA66-4F3F-9CD7-A2DB39709D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8" name="x_Picture 1" descr="Description: cid:image001.png@01D03949.49457930">
          <a:extLst>
            <a:ext uri="{FF2B5EF4-FFF2-40B4-BE49-F238E27FC236}">
              <a16:creationId xmlns:a16="http://schemas.microsoft.com/office/drawing/2014/main" id="{1DE89536-79AD-4E59-859E-8CEF7A52B4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59" name="x_Picture 1" descr="Description: cid:image001.png@01D03949.49457930">
          <a:extLst>
            <a:ext uri="{FF2B5EF4-FFF2-40B4-BE49-F238E27FC236}">
              <a16:creationId xmlns:a16="http://schemas.microsoft.com/office/drawing/2014/main" id="{52642740-BFE9-41A5-A51A-97AF2242A1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0" name="x_Picture 1" descr="Description: cid:image001.png@01D03949.49457930">
          <a:extLst>
            <a:ext uri="{FF2B5EF4-FFF2-40B4-BE49-F238E27FC236}">
              <a16:creationId xmlns:a16="http://schemas.microsoft.com/office/drawing/2014/main" id="{43B8172C-B17C-4CAB-AF25-5C876B4139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1" name="x_Picture 1" descr="Description: cid:image001.png@01D03949.49457930">
          <a:extLst>
            <a:ext uri="{FF2B5EF4-FFF2-40B4-BE49-F238E27FC236}">
              <a16:creationId xmlns:a16="http://schemas.microsoft.com/office/drawing/2014/main" id="{F9B04CC4-D3E0-4548-95D0-A897139626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2" name="x_Picture 1" descr="Description: cid:image001.png@01D03949.49457930">
          <a:extLst>
            <a:ext uri="{FF2B5EF4-FFF2-40B4-BE49-F238E27FC236}">
              <a16:creationId xmlns:a16="http://schemas.microsoft.com/office/drawing/2014/main" id="{156AFE0B-9516-419C-8EAC-C0E512B52E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3" name="x_Picture 1" descr="Description: cid:image001.png@01D03949.49457930">
          <a:extLst>
            <a:ext uri="{FF2B5EF4-FFF2-40B4-BE49-F238E27FC236}">
              <a16:creationId xmlns:a16="http://schemas.microsoft.com/office/drawing/2014/main" id="{83085471-3E87-436A-8B56-6AA33F2946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4" name="x_Picture 1" descr="Description: cid:image001.png@01D03949.49457930">
          <a:extLst>
            <a:ext uri="{FF2B5EF4-FFF2-40B4-BE49-F238E27FC236}">
              <a16:creationId xmlns:a16="http://schemas.microsoft.com/office/drawing/2014/main" id="{597D52BE-AE06-417D-B9E1-0231DFBA19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5" name="x_Picture 1" descr="Description: cid:image001.png@01D03949.49457930">
          <a:extLst>
            <a:ext uri="{FF2B5EF4-FFF2-40B4-BE49-F238E27FC236}">
              <a16:creationId xmlns:a16="http://schemas.microsoft.com/office/drawing/2014/main" id="{A628A48A-DEEC-414D-883D-10B982143E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6" name="x_Picture 1" descr="Description: cid:image001.png@01D03949.49457930">
          <a:extLst>
            <a:ext uri="{FF2B5EF4-FFF2-40B4-BE49-F238E27FC236}">
              <a16:creationId xmlns:a16="http://schemas.microsoft.com/office/drawing/2014/main" id="{4B02FD3D-18F5-495E-A93B-B9D6B8E8EA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7" name="x_Picture 1" descr="Description: cid:image001.png@01D03949.49457930">
          <a:extLst>
            <a:ext uri="{FF2B5EF4-FFF2-40B4-BE49-F238E27FC236}">
              <a16:creationId xmlns:a16="http://schemas.microsoft.com/office/drawing/2014/main" id="{C47B9C4E-4CC2-4D10-91C6-58DA8A3ED4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8" name="x_Picture 1" descr="Description: cid:image001.png@01D03949.49457930">
          <a:extLst>
            <a:ext uri="{FF2B5EF4-FFF2-40B4-BE49-F238E27FC236}">
              <a16:creationId xmlns:a16="http://schemas.microsoft.com/office/drawing/2014/main" id="{2B9B7879-54EA-459A-91E6-3CB3DFAAA0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69" name="x_Picture 1" descr="Description: cid:image001.png@01D03949.49457930">
          <a:extLst>
            <a:ext uri="{FF2B5EF4-FFF2-40B4-BE49-F238E27FC236}">
              <a16:creationId xmlns:a16="http://schemas.microsoft.com/office/drawing/2014/main" id="{BC114654-45CB-47F2-AAED-9C7277EDD7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0" name="x_Picture 1" descr="Description: cid:image001.png@01D03949.49457930">
          <a:extLst>
            <a:ext uri="{FF2B5EF4-FFF2-40B4-BE49-F238E27FC236}">
              <a16:creationId xmlns:a16="http://schemas.microsoft.com/office/drawing/2014/main" id="{CD2A044F-FA9A-4FA1-95B3-9AA91782FF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1" name="x_Picture 1" descr="Description: cid:image001.png@01D03949.49457930">
          <a:extLst>
            <a:ext uri="{FF2B5EF4-FFF2-40B4-BE49-F238E27FC236}">
              <a16:creationId xmlns:a16="http://schemas.microsoft.com/office/drawing/2014/main" id="{47EB35BD-1A34-4B0A-9FD8-68B9D027B0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2" name="x_Picture 1" descr="Description: cid:image001.png@01D03949.49457930">
          <a:extLst>
            <a:ext uri="{FF2B5EF4-FFF2-40B4-BE49-F238E27FC236}">
              <a16:creationId xmlns:a16="http://schemas.microsoft.com/office/drawing/2014/main" id="{5E8C3E32-F006-45FB-B0D7-25CE068F73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3" name="x_Picture 1" descr="Description: cid:image001.png@01D03949.49457930">
          <a:extLst>
            <a:ext uri="{FF2B5EF4-FFF2-40B4-BE49-F238E27FC236}">
              <a16:creationId xmlns:a16="http://schemas.microsoft.com/office/drawing/2014/main" id="{53B7F227-5AC3-419F-9AD9-162E3DB466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4" name="x_Picture 1" descr="Description: cid:image001.png@01D03949.49457930">
          <a:extLst>
            <a:ext uri="{FF2B5EF4-FFF2-40B4-BE49-F238E27FC236}">
              <a16:creationId xmlns:a16="http://schemas.microsoft.com/office/drawing/2014/main" id="{3D2AA636-A5FD-4930-8010-A9792A89A9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5" name="x_Picture 1" descr="Description: cid:image001.png@01D03949.49457930">
          <a:extLst>
            <a:ext uri="{FF2B5EF4-FFF2-40B4-BE49-F238E27FC236}">
              <a16:creationId xmlns:a16="http://schemas.microsoft.com/office/drawing/2014/main" id="{D3EAD62E-127D-4EA5-BAE7-2F15CD23A3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6" name="x_Picture 1" descr="Description: cid:image001.png@01D03949.49457930">
          <a:extLst>
            <a:ext uri="{FF2B5EF4-FFF2-40B4-BE49-F238E27FC236}">
              <a16:creationId xmlns:a16="http://schemas.microsoft.com/office/drawing/2014/main" id="{965F4A23-3107-4577-ACBB-ECB531E7D5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7" name="x_Picture 1" descr="Description: cid:image001.png@01D03949.49457930">
          <a:extLst>
            <a:ext uri="{FF2B5EF4-FFF2-40B4-BE49-F238E27FC236}">
              <a16:creationId xmlns:a16="http://schemas.microsoft.com/office/drawing/2014/main" id="{1D924975-A8E1-4008-855A-3413CFCBE4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8" name="x_Picture 1" descr="Description: cid:image001.png@01D03949.49457930">
          <a:extLst>
            <a:ext uri="{FF2B5EF4-FFF2-40B4-BE49-F238E27FC236}">
              <a16:creationId xmlns:a16="http://schemas.microsoft.com/office/drawing/2014/main" id="{EA0AAF57-16F4-45C7-997B-B33D88175C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79" name="x_Picture 1" descr="Description: cid:image001.png@01D03949.49457930">
          <a:extLst>
            <a:ext uri="{FF2B5EF4-FFF2-40B4-BE49-F238E27FC236}">
              <a16:creationId xmlns:a16="http://schemas.microsoft.com/office/drawing/2014/main" id="{118D8221-D40A-4D2A-8CC3-158C94A67B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0" name="x_Picture 1" descr="Description: cid:image001.png@01D03949.49457930">
          <a:extLst>
            <a:ext uri="{FF2B5EF4-FFF2-40B4-BE49-F238E27FC236}">
              <a16:creationId xmlns:a16="http://schemas.microsoft.com/office/drawing/2014/main" id="{4957876A-450C-4497-9872-E590DD13D1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1" name="x_Picture 1" descr="Description: cid:image001.png@01D03949.49457930">
          <a:extLst>
            <a:ext uri="{FF2B5EF4-FFF2-40B4-BE49-F238E27FC236}">
              <a16:creationId xmlns:a16="http://schemas.microsoft.com/office/drawing/2014/main" id="{FF885FD5-1938-4524-9725-D1C5EE3A50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2" name="x_Picture 1" descr="Description: cid:image001.png@01D03949.49457930">
          <a:extLst>
            <a:ext uri="{FF2B5EF4-FFF2-40B4-BE49-F238E27FC236}">
              <a16:creationId xmlns:a16="http://schemas.microsoft.com/office/drawing/2014/main" id="{5A285875-D720-4B85-884F-C7C3438E4C6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3" name="x_Picture 1" descr="Description: cid:image001.png@01D03949.49457930">
          <a:extLst>
            <a:ext uri="{FF2B5EF4-FFF2-40B4-BE49-F238E27FC236}">
              <a16:creationId xmlns:a16="http://schemas.microsoft.com/office/drawing/2014/main" id="{81EF41AC-29E9-40FD-9347-8BCBF3622D1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4" name="x_Picture 1" descr="Description: cid:image001.png@01D03949.49457930">
          <a:extLst>
            <a:ext uri="{FF2B5EF4-FFF2-40B4-BE49-F238E27FC236}">
              <a16:creationId xmlns:a16="http://schemas.microsoft.com/office/drawing/2014/main" id="{E735C571-BC6B-4859-94DD-1F8B4A37BC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5" name="x_Picture 1" descr="Description: cid:image001.png@01D03949.49457930">
          <a:extLst>
            <a:ext uri="{FF2B5EF4-FFF2-40B4-BE49-F238E27FC236}">
              <a16:creationId xmlns:a16="http://schemas.microsoft.com/office/drawing/2014/main" id="{086F0A20-FADC-4A3B-BE8B-41CAEDDD09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6" name="x_Picture 1" descr="Description: cid:image001.png@01D03949.49457930">
          <a:extLst>
            <a:ext uri="{FF2B5EF4-FFF2-40B4-BE49-F238E27FC236}">
              <a16:creationId xmlns:a16="http://schemas.microsoft.com/office/drawing/2014/main" id="{69A70A36-9568-4D92-AEE8-238F320826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7" name="x_Picture 1" descr="Description: cid:image001.png@01D03949.49457930">
          <a:extLst>
            <a:ext uri="{FF2B5EF4-FFF2-40B4-BE49-F238E27FC236}">
              <a16:creationId xmlns:a16="http://schemas.microsoft.com/office/drawing/2014/main" id="{375E86AF-3C1C-4BA7-9DA1-DDE706E4D0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8" name="x_Picture 1" descr="Description: cid:image001.png@01D03949.49457930">
          <a:extLst>
            <a:ext uri="{FF2B5EF4-FFF2-40B4-BE49-F238E27FC236}">
              <a16:creationId xmlns:a16="http://schemas.microsoft.com/office/drawing/2014/main" id="{6E899DA9-6F8B-4248-B27B-F7B7B4FA93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89" name="x_Picture 1" descr="Description: cid:image001.png@01D03949.49457930">
          <a:extLst>
            <a:ext uri="{FF2B5EF4-FFF2-40B4-BE49-F238E27FC236}">
              <a16:creationId xmlns:a16="http://schemas.microsoft.com/office/drawing/2014/main" id="{9F387A97-9065-4B34-BCD9-9F19E9F5C9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0" name="x_Picture 1" descr="Description: cid:image001.png@01D03949.49457930">
          <a:extLst>
            <a:ext uri="{FF2B5EF4-FFF2-40B4-BE49-F238E27FC236}">
              <a16:creationId xmlns:a16="http://schemas.microsoft.com/office/drawing/2014/main" id="{67ECA694-BDD3-4432-B377-407C47C4D8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1" name="x_Picture 1" descr="Description: cid:image001.png@01D03949.49457930">
          <a:extLst>
            <a:ext uri="{FF2B5EF4-FFF2-40B4-BE49-F238E27FC236}">
              <a16:creationId xmlns:a16="http://schemas.microsoft.com/office/drawing/2014/main" id="{F721B31F-BC19-4951-B714-44FC7B3313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2" name="x_Picture 1" descr="Description: cid:image001.png@01D03949.49457930">
          <a:extLst>
            <a:ext uri="{FF2B5EF4-FFF2-40B4-BE49-F238E27FC236}">
              <a16:creationId xmlns:a16="http://schemas.microsoft.com/office/drawing/2014/main" id="{51685398-DBB4-4004-9F62-0D1256C2D8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3" name="x_Picture 1" descr="Description: cid:image001.png@01D03949.49457930">
          <a:extLst>
            <a:ext uri="{FF2B5EF4-FFF2-40B4-BE49-F238E27FC236}">
              <a16:creationId xmlns:a16="http://schemas.microsoft.com/office/drawing/2014/main" id="{1F6D525E-95A3-487F-B5B3-C5514E69D05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4" name="x_Picture 1" descr="Description: cid:image001.png@01D03949.49457930">
          <a:extLst>
            <a:ext uri="{FF2B5EF4-FFF2-40B4-BE49-F238E27FC236}">
              <a16:creationId xmlns:a16="http://schemas.microsoft.com/office/drawing/2014/main" id="{B920EA3A-AFB9-459E-B849-EF69CD2C02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5" name="x_Picture 1" descr="Description: cid:image001.png@01D03949.49457930">
          <a:extLst>
            <a:ext uri="{FF2B5EF4-FFF2-40B4-BE49-F238E27FC236}">
              <a16:creationId xmlns:a16="http://schemas.microsoft.com/office/drawing/2014/main" id="{B9B245F6-20A5-4252-8EF0-F679D605B7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6" name="x_Picture 1" descr="Description: cid:image001.png@01D03949.49457930">
          <a:extLst>
            <a:ext uri="{FF2B5EF4-FFF2-40B4-BE49-F238E27FC236}">
              <a16:creationId xmlns:a16="http://schemas.microsoft.com/office/drawing/2014/main" id="{0FF1B961-23D6-45C0-9FFD-D5493F6822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7" name="x_Picture 1" descr="Description: cid:image001.png@01D03949.49457930">
          <a:extLst>
            <a:ext uri="{FF2B5EF4-FFF2-40B4-BE49-F238E27FC236}">
              <a16:creationId xmlns:a16="http://schemas.microsoft.com/office/drawing/2014/main" id="{69D0AEEB-A169-43C6-AF5C-8FCEB7F92F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8" name="x_Picture 1" descr="Description: cid:image001.png@01D03949.49457930">
          <a:extLst>
            <a:ext uri="{FF2B5EF4-FFF2-40B4-BE49-F238E27FC236}">
              <a16:creationId xmlns:a16="http://schemas.microsoft.com/office/drawing/2014/main" id="{1C832120-E665-46B2-8F94-2C74214525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099" name="x_Picture 1" descr="Description: cid:image001.png@01D03949.49457930">
          <a:extLst>
            <a:ext uri="{FF2B5EF4-FFF2-40B4-BE49-F238E27FC236}">
              <a16:creationId xmlns:a16="http://schemas.microsoft.com/office/drawing/2014/main" id="{2DDC59A4-22A0-4B96-8DE8-9E0214F450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0" name="x_Picture 1" descr="Description: cid:image001.png@01D03949.49457930">
          <a:extLst>
            <a:ext uri="{FF2B5EF4-FFF2-40B4-BE49-F238E27FC236}">
              <a16:creationId xmlns:a16="http://schemas.microsoft.com/office/drawing/2014/main" id="{94FB9705-72DE-4480-80D0-0E2F09C6D2F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1" name="x_Picture 1" descr="Description: cid:image001.png@01D03949.49457930">
          <a:extLst>
            <a:ext uri="{FF2B5EF4-FFF2-40B4-BE49-F238E27FC236}">
              <a16:creationId xmlns:a16="http://schemas.microsoft.com/office/drawing/2014/main" id="{CD3C7937-A713-46CC-B0ED-5B42801BE1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2" name="x_Picture 1" descr="Description: cid:image001.png@01D03949.49457930">
          <a:extLst>
            <a:ext uri="{FF2B5EF4-FFF2-40B4-BE49-F238E27FC236}">
              <a16:creationId xmlns:a16="http://schemas.microsoft.com/office/drawing/2014/main" id="{FBAE5101-8E52-4FB2-96C5-2DDDD0628C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3" name="x_Picture 1" descr="Description: cid:image001.png@01D03949.49457930">
          <a:extLst>
            <a:ext uri="{FF2B5EF4-FFF2-40B4-BE49-F238E27FC236}">
              <a16:creationId xmlns:a16="http://schemas.microsoft.com/office/drawing/2014/main" id="{4823F722-6D05-4409-99E8-6C556ACD49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4" name="x_Picture 1" descr="Description: cid:image001.png@01D03949.49457930">
          <a:extLst>
            <a:ext uri="{FF2B5EF4-FFF2-40B4-BE49-F238E27FC236}">
              <a16:creationId xmlns:a16="http://schemas.microsoft.com/office/drawing/2014/main" id="{63C1B646-2C4D-4FFA-9423-5A1F1F6990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5" name="x_Picture 1" descr="Description: cid:image001.png@01D03949.49457930">
          <a:extLst>
            <a:ext uri="{FF2B5EF4-FFF2-40B4-BE49-F238E27FC236}">
              <a16:creationId xmlns:a16="http://schemas.microsoft.com/office/drawing/2014/main" id="{729C1F5B-981E-4F9E-951C-0D5B1F0E01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6" name="x_Picture 1" descr="Description: cid:image001.png@01D03949.49457930">
          <a:extLst>
            <a:ext uri="{FF2B5EF4-FFF2-40B4-BE49-F238E27FC236}">
              <a16:creationId xmlns:a16="http://schemas.microsoft.com/office/drawing/2014/main" id="{589F651B-DC66-423F-B11C-DFC74892E7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7" name="x_Picture 1" descr="Description: cid:image001.png@01D03949.49457930">
          <a:extLst>
            <a:ext uri="{FF2B5EF4-FFF2-40B4-BE49-F238E27FC236}">
              <a16:creationId xmlns:a16="http://schemas.microsoft.com/office/drawing/2014/main" id="{F849E6AD-E75F-4A9B-AC94-1F156710D5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8" name="x_Picture 1" descr="Description: cid:image001.png@01D03949.49457930">
          <a:extLst>
            <a:ext uri="{FF2B5EF4-FFF2-40B4-BE49-F238E27FC236}">
              <a16:creationId xmlns:a16="http://schemas.microsoft.com/office/drawing/2014/main" id="{AE370A48-D6F4-4614-A693-750391E1D0E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09" name="x_Picture 1" descr="Description: cid:image001.png@01D03949.49457930">
          <a:extLst>
            <a:ext uri="{FF2B5EF4-FFF2-40B4-BE49-F238E27FC236}">
              <a16:creationId xmlns:a16="http://schemas.microsoft.com/office/drawing/2014/main" id="{2C7D64DB-6F49-4B53-BBF2-FE43EB6032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0" name="x_Picture 1" descr="Description: cid:image001.png@01D03949.49457930">
          <a:extLst>
            <a:ext uri="{FF2B5EF4-FFF2-40B4-BE49-F238E27FC236}">
              <a16:creationId xmlns:a16="http://schemas.microsoft.com/office/drawing/2014/main" id="{C323EBED-A28C-45C1-B363-01A26CC973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1" name="x_Picture 1" descr="Description: cid:image001.png@01D03949.49457930">
          <a:extLst>
            <a:ext uri="{FF2B5EF4-FFF2-40B4-BE49-F238E27FC236}">
              <a16:creationId xmlns:a16="http://schemas.microsoft.com/office/drawing/2014/main" id="{DDD914CF-BFF0-4666-AF8D-43D7BE631D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2" name="x_Picture 1" descr="Description: cid:image001.png@01D03949.49457930">
          <a:extLst>
            <a:ext uri="{FF2B5EF4-FFF2-40B4-BE49-F238E27FC236}">
              <a16:creationId xmlns:a16="http://schemas.microsoft.com/office/drawing/2014/main" id="{3B694AF3-CF69-4A07-8DAF-022B23BFC7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3" name="x_Picture 1" descr="Description: cid:image001.png@01D03949.49457930">
          <a:extLst>
            <a:ext uri="{FF2B5EF4-FFF2-40B4-BE49-F238E27FC236}">
              <a16:creationId xmlns:a16="http://schemas.microsoft.com/office/drawing/2014/main" id="{0CEF6B4C-2E1C-4668-9C0A-5965BCDFB4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4" name="x_Picture 1" descr="Description: cid:image001.png@01D03949.49457930">
          <a:extLst>
            <a:ext uri="{FF2B5EF4-FFF2-40B4-BE49-F238E27FC236}">
              <a16:creationId xmlns:a16="http://schemas.microsoft.com/office/drawing/2014/main" id="{01068BE8-76DC-41F5-9A6B-992EFF33F9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5" name="x_Picture 1" descr="Description: cid:image001.png@01D03949.49457930">
          <a:extLst>
            <a:ext uri="{FF2B5EF4-FFF2-40B4-BE49-F238E27FC236}">
              <a16:creationId xmlns:a16="http://schemas.microsoft.com/office/drawing/2014/main" id="{9DABB03B-9333-457C-8E9A-0B9A7F4689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6" name="x_Picture 1" descr="Description: cid:image001.png@01D03949.49457930">
          <a:extLst>
            <a:ext uri="{FF2B5EF4-FFF2-40B4-BE49-F238E27FC236}">
              <a16:creationId xmlns:a16="http://schemas.microsoft.com/office/drawing/2014/main" id="{D1081E5E-9338-43C0-9BCB-1256408501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7" name="x_Picture 1" descr="Description: cid:image001.png@01D03949.49457930">
          <a:extLst>
            <a:ext uri="{FF2B5EF4-FFF2-40B4-BE49-F238E27FC236}">
              <a16:creationId xmlns:a16="http://schemas.microsoft.com/office/drawing/2014/main" id="{C8DCA108-10B0-4B07-9EC8-E46AEBC6B4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8" name="x_Picture 1" descr="Description: cid:image001.png@01D03949.49457930">
          <a:extLst>
            <a:ext uri="{FF2B5EF4-FFF2-40B4-BE49-F238E27FC236}">
              <a16:creationId xmlns:a16="http://schemas.microsoft.com/office/drawing/2014/main" id="{919DCEB4-D60A-4140-829C-D86D3F6B4B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19" name="x_Picture 1" descr="Description: cid:image001.png@01D03949.49457930">
          <a:extLst>
            <a:ext uri="{FF2B5EF4-FFF2-40B4-BE49-F238E27FC236}">
              <a16:creationId xmlns:a16="http://schemas.microsoft.com/office/drawing/2014/main" id="{8D5B3DB3-96BD-4780-AF5F-89AB299D8A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0" name="x_Picture 1" descr="Description: cid:image001.png@01D03949.49457930">
          <a:extLst>
            <a:ext uri="{FF2B5EF4-FFF2-40B4-BE49-F238E27FC236}">
              <a16:creationId xmlns:a16="http://schemas.microsoft.com/office/drawing/2014/main" id="{44050039-FDF3-4D69-8733-B580621783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1" name="x_Picture 1" descr="Description: cid:image001.png@01D03949.49457930">
          <a:extLst>
            <a:ext uri="{FF2B5EF4-FFF2-40B4-BE49-F238E27FC236}">
              <a16:creationId xmlns:a16="http://schemas.microsoft.com/office/drawing/2014/main" id="{C79EBCA2-B02D-49FE-B856-93680E9FC4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2" name="x_Picture 1" descr="Description: cid:image001.png@01D03949.49457930">
          <a:extLst>
            <a:ext uri="{FF2B5EF4-FFF2-40B4-BE49-F238E27FC236}">
              <a16:creationId xmlns:a16="http://schemas.microsoft.com/office/drawing/2014/main" id="{65D83CB8-572F-4079-8A8E-69B9C593F6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3" name="x_Picture 1" descr="Description: cid:image001.png@01D03949.49457930">
          <a:extLst>
            <a:ext uri="{FF2B5EF4-FFF2-40B4-BE49-F238E27FC236}">
              <a16:creationId xmlns:a16="http://schemas.microsoft.com/office/drawing/2014/main" id="{11067D2F-F5D3-43B1-A43A-13CB5F8ECD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4" name="x_Picture 1" descr="Description: cid:image001.png@01D03949.49457930">
          <a:extLst>
            <a:ext uri="{FF2B5EF4-FFF2-40B4-BE49-F238E27FC236}">
              <a16:creationId xmlns:a16="http://schemas.microsoft.com/office/drawing/2014/main" id="{71FC5808-A7CB-4202-BA70-B3ACED3DED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5" name="x_Picture 1" descr="Description: cid:image001.png@01D03949.49457930">
          <a:extLst>
            <a:ext uri="{FF2B5EF4-FFF2-40B4-BE49-F238E27FC236}">
              <a16:creationId xmlns:a16="http://schemas.microsoft.com/office/drawing/2014/main" id="{A60DAF5A-27EB-4D18-8533-E720E63E5C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6" name="x_Picture 1" descr="Description: cid:image001.png@01D03949.49457930">
          <a:extLst>
            <a:ext uri="{FF2B5EF4-FFF2-40B4-BE49-F238E27FC236}">
              <a16:creationId xmlns:a16="http://schemas.microsoft.com/office/drawing/2014/main" id="{E5CC7AC4-98B1-417F-813E-6E244A0450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7" name="x_Picture 1" descr="Description: cid:image001.png@01D03949.49457930">
          <a:extLst>
            <a:ext uri="{FF2B5EF4-FFF2-40B4-BE49-F238E27FC236}">
              <a16:creationId xmlns:a16="http://schemas.microsoft.com/office/drawing/2014/main" id="{B59336C3-1D7B-4555-ABB8-3FE7166D02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8" name="x_Picture 1" descr="Description: cid:image001.png@01D03949.49457930">
          <a:extLst>
            <a:ext uri="{FF2B5EF4-FFF2-40B4-BE49-F238E27FC236}">
              <a16:creationId xmlns:a16="http://schemas.microsoft.com/office/drawing/2014/main" id="{E57C440F-A7A2-42F9-9FA3-902722D5DE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29" name="x_Picture 1" descr="Description: cid:image001.png@01D03949.49457930">
          <a:extLst>
            <a:ext uri="{FF2B5EF4-FFF2-40B4-BE49-F238E27FC236}">
              <a16:creationId xmlns:a16="http://schemas.microsoft.com/office/drawing/2014/main" id="{B1581779-286C-45C2-ADAC-9E7B9EB0E59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0" name="x_Picture 1" descr="Description: cid:image001.png@01D03949.49457930">
          <a:extLst>
            <a:ext uri="{FF2B5EF4-FFF2-40B4-BE49-F238E27FC236}">
              <a16:creationId xmlns:a16="http://schemas.microsoft.com/office/drawing/2014/main" id="{71B1A597-9CE9-4C36-95DA-1D539D31F7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1" name="x_Picture 1" descr="Description: cid:image001.png@01D03949.49457930">
          <a:extLst>
            <a:ext uri="{FF2B5EF4-FFF2-40B4-BE49-F238E27FC236}">
              <a16:creationId xmlns:a16="http://schemas.microsoft.com/office/drawing/2014/main" id="{D69A6837-8B44-409A-9E56-479A845723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2" name="x_Picture 1" descr="Description: cid:image001.png@01D03949.49457930">
          <a:extLst>
            <a:ext uri="{FF2B5EF4-FFF2-40B4-BE49-F238E27FC236}">
              <a16:creationId xmlns:a16="http://schemas.microsoft.com/office/drawing/2014/main" id="{1815150F-54F4-4361-81D9-995CDEBD86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3" name="x_Picture 1" descr="Description: cid:image001.png@01D03949.49457930">
          <a:extLst>
            <a:ext uri="{FF2B5EF4-FFF2-40B4-BE49-F238E27FC236}">
              <a16:creationId xmlns:a16="http://schemas.microsoft.com/office/drawing/2014/main" id="{ECCE0343-2489-4EDA-8D58-F433BEF9E1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4" name="x_Picture 1" descr="Description: cid:image001.png@01D03949.49457930">
          <a:extLst>
            <a:ext uri="{FF2B5EF4-FFF2-40B4-BE49-F238E27FC236}">
              <a16:creationId xmlns:a16="http://schemas.microsoft.com/office/drawing/2014/main" id="{2A90FA6A-D9B9-4BA5-BF9A-0FB3952B29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5" name="x_Picture 1" descr="Description: cid:image001.png@01D03949.49457930">
          <a:extLst>
            <a:ext uri="{FF2B5EF4-FFF2-40B4-BE49-F238E27FC236}">
              <a16:creationId xmlns:a16="http://schemas.microsoft.com/office/drawing/2014/main" id="{3388CBBA-11D0-4085-9090-5238619CA9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6" name="x_Picture 1" descr="Description: cid:image001.png@01D03949.49457930">
          <a:extLst>
            <a:ext uri="{FF2B5EF4-FFF2-40B4-BE49-F238E27FC236}">
              <a16:creationId xmlns:a16="http://schemas.microsoft.com/office/drawing/2014/main" id="{FC605AFC-34BB-4EE7-BD9E-583D0DE9E7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7" name="x_Picture 1" descr="Description: cid:image001.png@01D03949.49457930">
          <a:extLst>
            <a:ext uri="{FF2B5EF4-FFF2-40B4-BE49-F238E27FC236}">
              <a16:creationId xmlns:a16="http://schemas.microsoft.com/office/drawing/2014/main" id="{C8A35AD0-2F36-4F46-9B43-EC8E96CF977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8" name="x_Picture 1" descr="Description: cid:image001.png@01D03949.49457930">
          <a:extLst>
            <a:ext uri="{FF2B5EF4-FFF2-40B4-BE49-F238E27FC236}">
              <a16:creationId xmlns:a16="http://schemas.microsoft.com/office/drawing/2014/main" id="{4402E3A6-0360-440D-B18D-3AC063EA2E7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39" name="x_Picture 1" descr="Description: cid:image001.png@01D03949.49457930">
          <a:extLst>
            <a:ext uri="{FF2B5EF4-FFF2-40B4-BE49-F238E27FC236}">
              <a16:creationId xmlns:a16="http://schemas.microsoft.com/office/drawing/2014/main" id="{3F11FCA9-72E9-4513-BB2C-D6B55C3E4E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0" name="x_Picture 1" descr="Description: cid:image001.png@01D03949.49457930">
          <a:extLst>
            <a:ext uri="{FF2B5EF4-FFF2-40B4-BE49-F238E27FC236}">
              <a16:creationId xmlns:a16="http://schemas.microsoft.com/office/drawing/2014/main" id="{3D0D4EBE-2537-44F4-8AC0-9D98D507995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1" name="x_Picture 1" descr="Description: cid:image001.png@01D03949.49457930">
          <a:extLst>
            <a:ext uri="{FF2B5EF4-FFF2-40B4-BE49-F238E27FC236}">
              <a16:creationId xmlns:a16="http://schemas.microsoft.com/office/drawing/2014/main" id="{7DE855E0-3200-48EE-AA9F-FA3EFBA444F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2" name="x_Picture 1" descr="Description: cid:image001.png@01D03949.49457930">
          <a:extLst>
            <a:ext uri="{FF2B5EF4-FFF2-40B4-BE49-F238E27FC236}">
              <a16:creationId xmlns:a16="http://schemas.microsoft.com/office/drawing/2014/main" id="{4B5F08CF-E38F-4114-AA1C-FDB3B27D71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3" name="x_Picture 1" descr="Description: cid:image001.png@01D03949.49457930">
          <a:extLst>
            <a:ext uri="{FF2B5EF4-FFF2-40B4-BE49-F238E27FC236}">
              <a16:creationId xmlns:a16="http://schemas.microsoft.com/office/drawing/2014/main" id="{5E6E2A85-0369-4EE1-B44E-717159AFD6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4" name="x_Picture 1" descr="Description: cid:image001.png@01D03949.49457930">
          <a:extLst>
            <a:ext uri="{FF2B5EF4-FFF2-40B4-BE49-F238E27FC236}">
              <a16:creationId xmlns:a16="http://schemas.microsoft.com/office/drawing/2014/main" id="{26FF9BA4-FCA3-494F-B905-3C6AEB35292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5" name="x_Picture 1" descr="Description: cid:image001.png@01D03949.49457930">
          <a:extLst>
            <a:ext uri="{FF2B5EF4-FFF2-40B4-BE49-F238E27FC236}">
              <a16:creationId xmlns:a16="http://schemas.microsoft.com/office/drawing/2014/main" id="{EEA17F12-4E24-47C9-99F9-8D473060B0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6" name="x_Picture 1" descr="Description: cid:image001.png@01D03949.49457930">
          <a:extLst>
            <a:ext uri="{FF2B5EF4-FFF2-40B4-BE49-F238E27FC236}">
              <a16:creationId xmlns:a16="http://schemas.microsoft.com/office/drawing/2014/main" id="{59C38FE9-7639-432B-95B9-B2991C9FA4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7" name="x_Picture 1" descr="Description: cid:image001.png@01D03949.49457930">
          <a:extLst>
            <a:ext uri="{FF2B5EF4-FFF2-40B4-BE49-F238E27FC236}">
              <a16:creationId xmlns:a16="http://schemas.microsoft.com/office/drawing/2014/main" id="{26232A78-B99C-4CDC-8798-531B23FDD2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8" name="x_Picture 1" descr="Description: cid:image001.png@01D03949.49457930">
          <a:extLst>
            <a:ext uri="{FF2B5EF4-FFF2-40B4-BE49-F238E27FC236}">
              <a16:creationId xmlns:a16="http://schemas.microsoft.com/office/drawing/2014/main" id="{9ECADA97-5096-4D61-A076-8B764912B7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49" name="x_Picture 1" descr="Description: cid:image001.png@01D03949.49457930">
          <a:extLst>
            <a:ext uri="{FF2B5EF4-FFF2-40B4-BE49-F238E27FC236}">
              <a16:creationId xmlns:a16="http://schemas.microsoft.com/office/drawing/2014/main" id="{1B80A7F2-C17A-415D-B3B8-C3F9C73E471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0" name="x_Picture 1" descr="Description: cid:image001.png@01D03949.49457930">
          <a:extLst>
            <a:ext uri="{FF2B5EF4-FFF2-40B4-BE49-F238E27FC236}">
              <a16:creationId xmlns:a16="http://schemas.microsoft.com/office/drawing/2014/main" id="{FD6778F1-4422-4B90-BB0F-93D4130C10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1" name="x_Picture 1" descr="Description: cid:image001.png@01D03949.49457930">
          <a:extLst>
            <a:ext uri="{FF2B5EF4-FFF2-40B4-BE49-F238E27FC236}">
              <a16:creationId xmlns:a16="http://schemas.microsoft.com/office/drawing/2014/main" id="{C0B1A612-25AD-4FA3-B47C-F65A2C585E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2" name="x_Picture 1" descr="Description: cid:image001.png@01D03949.49457930">
          <a:extLst>
            <a:ext uri="{FF2B5EF4-FFF2-40B4-BE49-F238E27FC236}">
              <a16:creationId xmlns:a16="http://schemas.microsoft.com/office/drawing/2014/main" id="{D1C2ED18-836E-4830-BAEA-4A78E514C8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3" name="x_Picture 1" descr="Description: cid:image001.png@01D03949.49457930">
          <a:extLst>
            <a:ext uri="{FF2B5EF4-FFF2-40B4-BE49-F238E27FC236}">
              <a16:creationId xmlns:a16="http://schemas.microsoft.com/office/drawing/2014/main" id="{45035B18-F6A1-426F-B2BA-1508DD2154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4" name="x_Picture 1" descr="Description: cid:image001.png@01D03949.49457930">
          <a:extLst>
            <a:ext uri="{FF2B5EF4-FFF2-40B4-BE49-F238E27FC236}">
              <a16:creationId xmlns:a16="http://schemas.microsoft.com/office/drawing/2014/main" id="{284E981B-95C8-483F-8429-636CC140F8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5" name="x_Picture 1" descr="Description: cid:image001.png@01D03949.49457930">
          <a:extLst>
            <a:ext uri="{FF2B5EF4-FFF2-40B4-BE49-F238E27FC236}">
              <a16:creationId xmlns:a16="http://schemas.microsoft.com/office/drawing/2014/main" id="{35529B72-93E9-48EE-9120-30C6313A8B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6" name="x_Picture 1" descr="Description: cid:image001.png@01D03949.49457930">
          <a:extLst>
            <a:ext uri="{FF2B5EF4-FFF2-40B4-BE49-F238E27FC236}">
              <a16:creationId xmlns:a16="http://schemas.microsoft.com/office/drawing/2014/main" id="{E007B13F-EDCC-400A-BD9D-AE1A4B6A4B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7" name="x_Picture 1" descr="Description: cid:image001.png@01D03949.49457930">
          <a:extLst>
            <a:ext uri="{FF2B5EF4-FFF2-40B4-BE49-F238E27FC236}">
              <a16:creationId xmlns:a16="http://schemas.microsoft.com/office/drawing/2014/main" id="{47C65B90-8DC3-4CEA-A142-ED8447CAB4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8" name="x_Picture 1" descr="Description: cid:image001.png@01D03949.49457930">
          <a:extLst>
            <a:ext uri="{FF2B5EF4-FFF2-40B4-BE49-F238E27FC236}">
              <a16:creationId xmlns:a16="http://schemas.microsoft.com/office/drawing/2014/main" id="{D5B26142-9052-45A0-8166-92263F8975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59" name="x_Picture 1" descr="Description: cid:image001.png@01D03949.49457930">
          <a:extLst>
            <a:ext uri="{FF2B5EF4-FFF2-40B4-BE49-F238E27FC236}">
              <a16:creationId xmlns:a16="http://schemas.microsoft.com/office/drawing/2014/main" id="{9DC3E9FA-54AB-4809-854B-1BCC08BCEA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0" name="x_Picture 1" descr="Description: cid:image001.png@01D03949.49457930">
          <a:extLst>
            <a:ext uri="{FF2B5EF4-FFF2-40B4-BE49-F238E27FC236}">
              <a16:creationId xmlns:a16="http://schemas.microsoft.com/office/drawing/2014/main" id="{04C3DBD8-E442-4D40-A3E9-EBA9102024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1" name="x_Picture 1" descr="Description: cid:image001.png@01D03949.49457930">
          <a:extLst>
            <a:ext uri="{FF2B5EF4-FFF2-40B4-BE49-F238E27FC236}">
              <a16:creationId xmlns:a16="http://schemas.microsoft.com/office/drawing/2014/main" id="{AB74FFE8-6C6B-4FC9-BD20-0DCE676B84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2" name="x_Picture 1" descr="Description: cid:image001.png@01D03949.49457930">
          <a:extLst>
            <a:ext uri="{FF2B5EF4-FFF2-40B4-BE49-F238E27FC236}">
              <a16:creationId xmlns:a16="http://schemas.microsoft.com/office/drawing/2014/main" id="{B8A977F3-138C-4C7B-81DE-34268CBF3E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3" name="x_Picture 1" descr="Description: cid:image001.png@01D03949.49457930">
          <a:extLst>
            <a:ext uri="{FF2B5EF4-FFF2-40B4-BE49-F238E27FC236}">
              <a16:creationId xmlns:a16="http://schemas.microsoft.com/office/drawing/2014/main" id="{8E467778-B467-4357-AC7C-DCF7650941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4" name="x_Picture 1" descr="Description: cid:image001.png@01D03949.49457930">
          <a:extLst>
            <a:ext uri="{FF2B5EF4-FFF2-40B4-BE49-F238E27FC236}">
              <a16:creationId xmlns:a16="http://schemas.microsoft.com/office/drawing/2014/main" id="{341DA58E-C27B-4260-BBC0-ED23DCB501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5" name="x_Picture 1" descr="Description: cid:image001.png@01D03949.49457930">
          <a:extLst>
            <a:ext uri="{FF2B5EF4-FFF2-40B4-BE49-F238E27FC236}">
              <a16:creationId xmlns:a16="http://schemas.microsoft.com/office/drawing/2014/main" id="{CB16B8CE-1DE6-40E9-AB16-384256B657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6" name="x_Picture 1" descr="Description: cid:image001.png@01D03949.49457930">
          <a:extLst>
            <a:ext uri="{FF2B5EF4-FFF2-40B4-BE49-F238E27FC236}">
              <a16:creationId xmlns:a16="http://schemas.microsoft.com/office/drawing/2014/main" id="{D480EE56-9034-40A8-ACF5-42B0F45CC1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7" name="x_Picture 1" descr="Description: cid:image001.png@01D03949.49457930">
          <a:extLst>
            <a:ext uri="{FF2B5EF4-FFF2-40B4-BE49-F238E27FC236}">
              <a16:creationId xmlns:a16="http://schemas.microsoft.com/office/drawing/2014/main" id="{84C35ABE-3683-4B06-BC22-137EABA2825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8" name="x_Picture 1" descr="Description: cid:image001.png@01D03949.49457930">
          <a:extLst>
            <a:ext uri="{FF2B5EF4-FFF2-40B4-BE49-F238E27FC236}">
              <a16:creationId xmlns:a16="http://schemas.microsoft.com/office/drawing/2014/main" id="{6390FF4B-AA99-450A-812F-940724E83E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69" name="x_Picture 1" descr="Description: cid:image001.png@01D03949.49457930">
          <a:extLst>
            <a:ext uri="{FF2B5EF4-FFF2-40B4-BE49-F238E27FC236}">
              <a16:creationId xmlns:a16="http://schemas.microsoft.com/office/drawing/2014/main" id="{4C3C00F2-D24D-4885-A306-AB89BED920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0" name="x_Picture 1" descr="Description: cid:image001.png@01D03949.49457930">
          <a:extLst>
            <a:ext uri="{FF2B5EF4-FFF2-40B4-BE49-F238E27FC236}">
              <a16:creationId xmlns:a16="http://schemas.microsoft.com/office/drawing/2014/main" id="{85F2F75B-DA13-4E25-906E-12A1EB8CEE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1" name="x_Picture 1" descr="Description: cid:image001.png@01D03949.49457930">
          <a:extLst>
            <a:ext uri="{FF2B5EF4-FFF2-40B4-BE49-F238E27FC236}">
              <a16:creationId xmlns:a16="http://schemas.microsoft.com/office/drawing/2014/main" id="{87488B0B-AE7B-485E-A8F2-A0BCCED7832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2" name="x_Picture 1" descr="Description: cid:image001.png@01D03949.49457930">
          <a:extLst>
            <a:ext uri="{FF2B5EF4-FFF2-40B4-BE49-F238E27FC236}">
              <a16:creationId xmlns:a16="http://schemas.microsoft.com/office/drawing/2014/main" id="{DC986D68-14BC-4155-9CD3-13D65C67D0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3" name="x_Picture 1" descr="Description: cid:image001.png@01D03949.49457930">
          <a:extLst>
            <a:ext uri="{FF2B5EF4-FFF2-40B4-BE49-F238E27FC236}">
              <a16:creationId xmlns:a16="http://schemas.microsoft.com/office/drawing/2014/main" id="{6C887CBE-2C53-48E6-B1E4-9CE159726A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4" name="x_Picture 1" descr="Description: cid:image001.png@01D03949.49457930">
          <a:extLst>
            <a:ext uri="{FF2B5EF4-FFF2-40B4-BE49-F238E27FC236}">
              <a16:creationId xmlns:a16="http://schemas.microsoft.com/office/drawing/2014/main" id="{E88F1CE1-E774-442C-8695-54FD63E41EE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5" name="x_Picture 1" descr="Description: cid:image001.png@01D03949.49457930">
          <a:extLst>
            <a:ext uri="{FF2B5EF4-FFF2-40B4-BE49-F238E27FC236}">
              <a16:creationId xmlns:a16="http://schemas.microsoft.com/office/drawing/2014/main" id="{A24410F8-1F52-47E2-8808-3619304CBB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6" name="x_Picture 1" descr="Description: cid:image001.png@01D03949.49457930">
          <a:extLst>
            <a:ext uri="{FF2B5EF4-FFF2-40B4-BE49-F238E27FC236}">
              <a16:creationId xmlns:a16="http://schemas.microsoft.com/office/drawing/2014/main" id="{CDB89C9D-58D9-4E58-A834-A89A3F9AB7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7" name="x_Picture 1" descr="Description: cid:image001.png@01D03949.49457930">
          <a:extLst>
            <a:ext uri="{FF2B5EF4-FFF2-40B4-BE49-F238E27FC236}">
              <a16:creationId xmlns:a16="http://schemas.microsoft.com/office/drawing/2014/main" id="{5AFC15F6-51E3-432A-8638-BCD71F4F2B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8" name="x_Picture 1" descr="Description: cid:image001.png@01D03949.49457930">
          <a:extLst>
            <a:ext uri="{FF2B5EF4-FFF2-40B4-BE49-F238E27FC236}">
              <a16:creationId xmlns:a16="http://schemas.microsoft.com/office/drawing/2014/main" id="{52D94976-92A0-4284-9E35-0E2951B33A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79" name="x_Picture 1" descr="Description: cid:image001.png@01D03949.49457930">
          <a:extLst>
            <a:ext uri="{FF2B5EF4-FFF2-40B4-BE49-F238E27FC236}">
              <a16:creationId xmlns:a16="http://schemas.microsoft.com/office/drawing/2014/main" id="{568CE9C1-C883-46C6-AA69-260EFF3C95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0" name="x_Picture 1" descr="Description: cid:image001.png@01D03949.49457930">
          <a:extLst>
            <a:ext uri="{FF2B5EF4-FFF2-40B4-BE49-F238E27FC236}">
              <a16:creationId xmlns:a16="http://schemas.microsoft.com/office/drawing/2014/main" id="{3C4146E0-1D2B-4209-ABD6-67EF2649EF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1" name="x_Picture 1" descr="Description: cid:image001.png@01D03949.49457930">
          <a:extLst>
            <a:ext uri="{FF2B5EF4-FFF2-40B4-BE49-F238E27FC236}">
              <a16:creationId xmlns:a16="http://schemas.microsoft.com/office/drawing/2014/main" id="{3C344A0F-B11D-43AC-92AC-69748A54C4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2" name="x_Picture 1" descr="Description: cid:image001.png@01D03949.49457930">
          <a:extLst>
            <a:ext uri="{FF2B5EF4-FFF2-40B4-BE49-F238E27FC236}">
              <a16:creationId xmlns:a16="http://schemas.microsoft.com/office/drawing/2014/main" id="{A2AE5720-B9C0-4CBA-B926-9E08B1AD62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3" name="x_Picture 1" descr="Description: cid:image001.png@01D03949.49457930">
          <a:extLst>
            <a:ext uri="{FF2B5EF4-FFF2-40B4-BE49-F238E27FC236}">
              <a16:creationId xmlns:a16="http://schemas.microsoft.com/office/drawing/2014/main" id="{1054EC09-F363-40EB-A8CD-EC5B11C8CB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4" name="x_Picture 1" descr="Description: cid:image001.png@01D03949.49457930">
          <a:extLst>
            <a:ext uri="{FF2B5EF4-FFF2-40B4-BE49-F238E27FC236}">
              <a16:creationId xmlns:a16="http://schemas.microsoft.com/office/drawing/2014/main" id="{1167BDFB-1435-4AA4-81BF-1FCB571C41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5" name="x_Picture 1" descr="Description: cid:image001.png@01D03949.49457930">
          <a:extLst>
            <a:ext uri="{FF2B5EF4-FFF2-40B4-BE49-F238E27FC236}">
              <a16:creationId xmlns:a16="http://schemas.microsoft.com/office/drawing/2014/main" id="{464AD900-5C45-4178-95F1-506FADFB59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6" name="x_Picture 1" descr="Description: cid:image001.png@01D03949.49457930">
          <a:extLst>
            <a:ext uri="{FF2B5EF4-FFF2-40B4-BE49-F238E27FC236}">
              <a16:creationId xmlns:a16="http://schemas.microsoft.com/office/drawing/2014/main" id="{8368162F-708F-473C-A05D-5D13A81C5A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7" name="x_Picture 1" descr="Description: cid:image001.png@01D03949.49457930">
          <a:extLst>
            <a:ext uri="{FF2B5EF4-FFF2-40B4-BE49-F238E27FC236}">
              <a16:creationId xmlns:a16="http://schemas.microsoft.com/office/drawing/2014/main" id="{7F8317CE-8459-4B8A-9854-E4BDF82A81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8" name="x_Picture 1" descr="Description: cid:image001.png@01D03949.49457930">
          <a:extLst>
            <a:ext uri="{FF2B5EF4-FFF2-40B4-BE49-F238E27FC236}">
              <a16:creationId xmlns:a16="http://schemas.microsoft.com/office/drawing/2014/main" id="{99DD83A3-CD84-47EA-AE41-E5076085E1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89" name="x_Picture 1" descr="Description: cid:image001.png@01D03949.49457930">
          <a:extLst>
            <a:ext uri="{FF2B5EF4-FFF2-40B4-BE49-F238E27FC236}">
              <a16:creationId xmlns:a16="http://schemas.microsoft.com/office/drawing/2014/main" id="{A2B2998F-BEEA-4B02-9DA3-6D4FA86B42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0" name="x_Picture 1" descr="Description: cid:image001.png@01D03949.49457930">
          <a:extLst>
            <a:ext uri="{FF2B5EF4-FFF2-40B4-BE49-F238E27FC236}">
              <a16:creationId xmlns:a16="http://schemas.microsoft.com/office/drawing/2014/main" id="{567F76B3-09BF-42B1-A3ED-9AD1889A13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1" name="x_Picture 1" descr="Description: cid:image001.png@01D03949.49457930">
          <a:extLst>
            <a:ext uri="{FF2B5EF4-FFF2-40B4-BE49-F238E27FC236}">
              <a16:creationId xmlns:a16="http://schemas.microsoft.com/office/drawing/2014/main" id="{D1F1D956-252E-488A-81B5-B8F00D871D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2" name="x_Picture 1" descr="Description: cid:image001.png@01D03949.49457930">
          <a:extLst>
            <a:ext uri="{FF2B5EF4-FFF2-40B4-BE49-F238E27FC236}">
              <a16:creationId xmlns:a16="http://schemas.microsoft.com/office/drawing/2014/main" id="{1607F704-2436-4A67-B859-FB3D7EF0B2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3" name="x_Picture 1" descr="Description: cid:image001.png@01D03949.49457930">
          <a:extLst>
            <a:ext uri="{FF2B5EF4-FFF2-40B4-BE49-F238E27FC236}">
              <a16:creationId xmlns:a16="http://schemas.microsoft.com/office/drawing/2014/main" id="{CF65B662-CD03-4EFE-9DF2-F4CE01A981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4" name="x_Picture 1" descr="Description: cid:image001.png@01D03949.49457930">
          <a:extLst>
            <a:ext uri="{FF2B5EF4-FFF2-40B4-BE49-F238E27FC236}">
              <a16:creationId xmlns:a16="http://schemas.microsoft.com/office/drawing/2014/main" id="{DDA939A8-6E54-4FC3-B1C1-288CC372E9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5" name="x_Picture 1" descr="Description: cid:image001.png@01D03949.49457930">
          <a:extLst>
            <a:ext uri="{FF2B5EF4-FFF2-40B4-BE49-F238E27FC236}">
              <a16:creationId xmlns:a16="http://schemas.microsoft.com/office/drawing/2014/main" id="{63AF48D5-32EB-47BD-9FC7-2595B8E02E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6" name="x_Picture 1" descr="Description: cid:image001.png@01D03949.49457930">
          <a:extLst>
            <a:ext uri="{FF2B5EF4-FFF2-40B4-BE49-F238E27FC236}">
              <a16:creationId xmlns:a16="http://schemas.microsoft.com/office/drawing/2014/main" id="{1706F7B9-479B-4DC6-A013-4E34D21B44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7" name="x_Picture 1" descr="Description: cid:image001.png@01D03949.49457930">
          <a:extLst>
            <a:ext uri="{FF2B5EF4-FFF2-40B4-BE49-F238E27FC236}">
              <a16:creationId xmlns:a16="http://schemas.microsoft.com/office/drawing/2014/main" id="{E4A6AF62-6DFE-4C07-BD26-9D978107DC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8" name="x_Picture 1" descr="Description: cid:image001.png@01D03949.49457930">
          <a:extLst>
            <a:ext uri="{FF2B5EF4-FFF2-40B4-BE49-F238E27FC236}">
              <a16:creationId xmlns:a16="http://schemas.microsoft.com/office/drawing/2014/main" id="{5B51C7E9-AAAE-4FD1-BEFE-99929452FE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199" name="x_Picture 1" descr="Description: cid:image001.png@01D03949.49457930">
          <a:extLst>
            <a:ext uri="{FF2B5EF4-FFF2-40B4-BE49-F238E27FC236}">
              <a16:creationId xmlns:a16="http://schemas.microsoft.com/office/drawing/2014/main" id="{688D52D4-4117-4D67-84E3-FFEB7F4EF7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0" name="x_Picture 1" descr="Description: cid:image001.png@01D03949.49457930">
          <a:extLst>
            <a:ext uri="{FF2B5EF4-FFF2-40B4-BE49-F238E27FC236}">
              <a16:creationId xmlns:a16="http://schemas.microsoft.com/office/drawing/2014/main" id="{2731747E-F276-4289-A7DB-1B3C5426D4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1" name="x_Picture 1" descr="Description: cid:image001.png@01D03949.49457930">
          <a:extLst>
            <a:ext uri="{FF2B5EF4-FFF2-40B4-BE49-F238E27FC236}">
              <a16:creationId xmlns:a16="http://schemas.microsoft.com/office/drawing/2014/main" id="{A74FB1ED-900A-43B0-81FD-F5D58AD887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2" name="x_Picture 1" descr="Description: cid:image001.png@01D03949.49457930">
          <a:extLst>
            <a:ext uri="{FF2B5EF4-FFF2-40B4-BE49-F238E27FC236}">
              <a16:creationId xmlns:a16="http://schemas.microsoft.com/office/drawing/2014/main" id="{1D64D2EB-6F2A-4AB8-A74A-36F3160861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3" name="x_Picture 1" descr="Description: cid:image001.png@01D03949.49457930">
          <a:extLst>
            <a:ext uri="{FF2B5EF4-FFF2-40B4-BE49-F238E27FC236}">
              <a16:creationId xmlns:a16="http://schemas.microsoft.com/office/drawing/2014/main" id="{F5CDED24-2727-4C7D-A728-D4C7246CE1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4" name="x_Picture 1" descr="Description: cid:image001.png@01D03949.49457930">
          <a:extLst>
            <a:ext uri="{FF2B5EF4-FFF2-40B4-BE49-F238E27FC236}">
              <a16:creationId xmlns:a16="http://schemas.microsoft.com/office/drawing/2014/main" id="{64A857C2-C1C2-4E89-8503-66A175B567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5" name="x_Picture 1" descr="Description: cid:image001.png@01D03949.49457930">
          <a:extLst>
            <a:ext uri="{FF2B5EF4-FFF2-40B4-BE49-F238E27FC236}">
              <a16:creationId xmlns:a16="http://schemas.microsoft.com/office/drawing/2014/main" id="{F4A620C9-AD31-46BA-B566-ED08549CCE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6" name="x_Picture 1" descr="Description: cid:image001.png@01D03949.49457930">
          <a:extLst>
            <a:ext uri="{FF2B5EF4-FFF2-40B4-BE49-F238E27FC236}">
              <a16:creationId xmlns:a16="http://schemas.microsoft.com/office/drawing/2014/main" id="{F19EE2B2-658B-4465-8CCE-8DB093D329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7" name="x_Picture 1" descr="Description: cid:image001.png@01D03949.49457930">
          <a:extLst>
            <a:ext uri="{FF2B5EF4-FFF2-40B4-BE49-F238E27FC236}">
              <a16:creationId xmlns:a16="http://schemas.microsoft.com/office/drawing/2014/main" id="{E2DD90E9-EA92-49DE-9677-5541F87956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8" name="x_Picture 1" descr="Description: cid:image001.png@01D03949.49457930">
          <a:extLst>
            <a:ext uri="{FF2B5EF4-FFF2-40B4-BE49-F238E27FC236}">
              <a16:creationId xmlns:a16="http://schemas.microsoft.com/office/drawing/2014/main" id="{88FDAB32-8069-485A-A3C5-7D9C714D09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09" name="x_Picture 1" descr="Description: cid:image001.png@01D03949.49457930">
          <a:extLst>
            <a:ext uri="{FF2B5EF4-FFF2-40B4-BE49-F238E27FC236}">
              <a16:creationId xmlns:a16="http://schemas.microsoft.com/office/drawing/2014/main" id="{ABB15E90-BDF5-432E-B18A-09DC9878232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0" name="x_Picture 1" descr="Description: cid:image001.png@01D03949.49457930">
          <a:extLst>
            <a:ext uri="{FF2B5EF4-FFF2-40B4-BE49-F238E27FC236}">
              <a16:creationId xmlns:a16="http://schemas.microsoft.com/office/drawing/2014/main" id="{2010DEF7-5CB2-454C-8496-FFE13E8F80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1" name="x_Picture 1" descr="Description: cid:image001.png@01D03949.49457930">
          <a:extLst>
            <a:ext uri="{FF2B5EF4-FFF2-40B4-BE49-F238E27FC236}">
              <a16:creationId xmlns:a16="http://schemas.microsoft.com/office/drawing/2014/main" id="{57FDB9D8-311F-466F-892F-52B90B6F23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2" name="x_Picture 1" descr="Description: cid:image001.png@01D03949.49457930">
          <a:extLst>
            <a:ext uri="{FF2B5EF4-FFF2-40B4-BE49-F238E27FC236}">
              <a16:creationId xmlns:a16="http://schemas.microsoft.com/office/drawing/2014/main" id="{DD828C90-C91C-4F85-80E1-22FBED99BE8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3" name="x_Picture 1" descr="Description: cid:image001.png@01D03949.49457930">
          <a:extLst>
            <a:ext uri="{FF2B5EF4-FFF2-40B4-BE49-F238E27FC236}">
              <a16:creationId xmlns:a16="http://schemas.microsoft.com/office/drawing/2014/main" id="{8A36C768-3B4C-4C46-8BE9-1A940ACF70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4" name="x_Picture 1" descr="Description: cid:image001.png@01D03949.49457930">
          <a:extLst>
            <a:ext uri="{FF2B5EF4-FFF2-40B4-BE49-F238E27FC236}">
              <a16:creationId xmlns:a16="http://schemas.microsoft.com/office/drawing/2014/main" id="{B4958869-EC0C-4AA0-9F54-2F194708A3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5" name="x_Picture 1" descr="Description: cid:image001.png@01D03949.49457930">
          <a:extLst>
            <a:ext uri="{FF2B5EF4-FFF2-40B4-BE49-F238E27FC236}">
              <a16:creationId xmlns:a16="http://schemas.microsoft.com/office/drawing/2014/main" id="{41DB6DD6-80DC-4B14-BD44-24CACBC2E2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6" name="x_Picture 1" descr="Description: cid:image001.png@01D03949.49457930">
          <a:extLst>
            <a:ext uri="{FF2B5EF4-FFF2-40B4-BE49-F238E27FC236}">
              <a16:creationId xmlns:a16="http://schemas.microsoft.com/office/drawing/2014/main" id="{0D2159DC-8E20-4790-9DB0-1C019FCB65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7" name="x_Picture 1" descr="Description: cid:image001.png@01D03949.49457930">
          <a:extLst>
            <a:ext uri="{FF2B5EF4-FFF2-40B4-BE49-F238E27FC236}">
              <a16:creationId xmlns:a16="http://schemas.microsoft.com/office/drawing/2014/main" id="{B6454436-032B-4884-9A6E-C0310708897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8" name="x_Picture 1" descr="Description: cid:image001.png@01D03949.49457930">
          <a:extLst>
            <a:ext uri="{FF2B5EF4-FFF2-40B4-BE49-F238E27FC236}">
              <a16:creationId xmlns:a16="http://schemas.microsoft.com/office/drawing/2014/main" id="{B2E3D98D-760B-4561-B26C-622B2A3457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19" name="x_Picture 1" descr="Description: cid:image001.png@01D03949.49457930">
          <a:extLst>
            <a:ext uri="{FF2B5EF4-FFF2-40B4-BE49-F238E27FC236}">
              <a16:creationId xmlns:a16="http://schemas.microsoft.com/office/drawing/2014/main" id="{991C48F6-C45B-4D54-B62C-87E4AB76F2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0" name="x_Picture 1" descr="Description: cid:image001.png@01D03949.49457930">
          <a:extLst>
            <a:ext uri="{FF2B5EF4-FFF2-40B4-BE49-F238E27FC236}">
              <a16:creationId xmlns:a16="http://schemas.microsoft.com/office/drawing/2014/main" id="{9E3B8769-156A-4E32-8554-F7A8ED57BF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1" name="x_Picture 1" descr="Description: cid:image001.png@01D03949.49457930">
          <a:extLst>
            <a:ext uri="{FF2B5EF4-FFF2-40B4-BE49-F238E27FC236}">
              <a16:creationId xmlns:a16="http://schemas.microsoft.com/office/drawing/2014/main" id="{448455AA-63AB-4649-9E42-C53907AFDA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2" name="x_Picture 1" descr="Description: cid:image001.png@01D03949.49457930">
          <a:extLst>
            <a:ext uri="{FF2B5EF4-FFF2-40B4-BE49-F238E27FC236}">
              <a16:creationId xmlns:a16="http://schemas.microsoft.com/office/drawing/2014/main" id="{D90DFFC7-C865-4F66-B8AB-2C3EFF7A97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3" name="x_Picture 1" descr="Description: cid:image001.png@01D03949.49457930">
          <a:extLst>
            <a:ext uri="{FF2B5EF4-FFF2-40B4-BE49-F238E27FC236}">
              <a16:creationId xmlns:a16="http://schemas.microsoft.com/office/drawing/2014/main" id="{570EA4CF-7180-4B70-A81B-32E1CF48CB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4" name="x_Picture 1" descr="Description: cid:image001.png@01D03949.49457930">
          <a:extLst>
            <a:ext uri="{FF2B5EF4-FFF2-40B4-BE49-F238E27FC236}">
              <a16:creationId xmlns:a16="http://schemas.microsoft.com/office/drawing/2014/main" id="{31CEC90C-3153-45D2-8677-19D6A21A6F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5" name="x_Picture 1" descr="Description: cid:image001.png@01D03949.49457930">
          <a:extLst>
            <a:ext uri="{FF2B5EF4-FFF2-40B4-BE49-F238E27FC236}">
              <a16:creationId xmlns:a16="http://schemas.microsoft.com/office/drawing/2014/main" id="{9DC25AE4-91EA-40D3-9F77-FF3F4230D2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6" name="x_Picture 1" descr="Description: cid:image001.png@01D03949.49457930">
          <a:extLst>
            <a:ext uri="{FF2B5EF4-FFF2-40B4-BE49-F238E27FC236}">
              <a16:creationId xmlns:a16="http://schemas.microsoft.com/office/drawing/2014/main" id="{CF7E521B-16D9-494A-AA6D-1127D069B3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7" name="x_Picture 1" descr="Description: cid:image001.png@01D03949.49457930">
          <a:extLst>
            <a:ext uri="{FF2B5EF4-FFF2-40B4-BE49-F238E27FC236}">
              <a16:creationId xmlns:a16="http://schemas.microsoft.com/office/drawing/2014/main" id="{BC43BA55-1740-4EAF-BFF2-E16DBD96E8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8" name="x_Picture 1" descr="Description: cid:image001.png@01D03949.49457930">
          <a:extLst>
            <a:ext uri="{FF2B5EF4-FFF2-40B4-BE49-F238E27FC236}">
              <a16:creationId xmlns:a16="http://schemas.microsoft.com/office/drawing/2014/main" id="{A8458C3F-B087-49D3-BA54-6CE164DCB9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29" name="x_Picture 1" descr="Description: cid:image001.png@01D03949.49457930">
          <a:extLst>
            <a:ext uri="{FF2B5EF4-FFF2-40B4-BE49-F238E27FC236}">
              <a16:creationId xmlns:a16="http://schemas.microsoft.com/office/drawing/2014/main" id="{6F3D3654-E8C9-407B-971D-542CC65FAD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0" name="x_Picture 1" descr="Description: cid:image001.png@01D03949.49457930">
          <a:extLst>
            <a:ext uri="{FF2B5EF4-FFF2-40B4-BE49-F238E27FC236}">
              <a16:creationId xmlns:a16="http://schemas.microsoft.com/office/drawing/2014/main" id="{49699E2E-D244-4E3B-925D-44EBAB51E2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1" name="x_Picture 1" descr="Description: cid:image001.png@01D03949.49457930">
          <a:extLst>
            <a:ext uri="{FF2B5EF4-FFF2-40B4-BE49-F238E27FC236}">
              <a16:creationId xmlns:a16="http://schemas.microsoft.com/office/drawing/2014/main" id="{83995A3F-6DA1-4968-92A6-9E2C1655D5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2" name="x_Picture 1" descr="Description: cid:image001.png@01D03949.49457930">
          <a:extLst>
            <a:ext uri="{FF2B5EF4-FFF2-40B4-BE49-F238E27FC236}">
              <a16:creationId xmlns:a16="http://schemas.microsoft.com/office/drawing/2014/main" id="{B3DA636F-878D-48E8-858E-C44DC5DF2AD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3" name="x_Picture 1" descr="Description: cid:image001.png@01D03949.49457930">
          <a:extLst>
            <a:ext uri="{FF2B5EF4-FFF2-40B4-BE49-F238E27FC236}">
              <a16:creationId xmlns:a16="http://schemas.microsoft.com/office/drawing/2014/main" id="{3437A864-9312-418A-A9AE-43677328DF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4" name="x_Picture 1" descr="Description: cid:image001.png@01D03949.49457930">
          <a:extLst>
            <a:ext uri="{FF2B5EF4-FFF2-40B4-BE49-F238E27FC236}">
              <a16:creationId xmlns:a16="http://schemas.microsoft.com/office/drawing/2014/main" id="{B50AC2A5-C97D-4026-953D-0EC6C6A3D7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5" name="x_Picture 1" descr="Description: cid:image001.png@01D03949.49457930">
          <a:extLst>
            <a:ext uri="{FF2B5EF4-FFF2-40B4-BE49-F238E27FC236}">
              <a16:creationId xmlns:a16="http://schemas.microsoft.com/office/drawing/2014/main" id="{3F2F169D-0677-4A39-B3AD-9C350EC59B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6" name="x_Picture 1" descr="Description: cid:image001.png@01D03949.49457930">
          <a:extLst>
            <a:ext uri="{FF2B5EF4-FFF2-40B4-BE49-F238E27FC236}">
              <a16:creationId xmlns:a16="http://schemas.microsoft.com/office/drawing/2014/main" id="{5DC488E8-71CE-4756-B92A-E8238AC9A4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7" name="x_Picture 1" descr="Description: cid:image001.png@01D03949.49457930">
          <a:extLst>
            <a:ext uri="{FF2B5EF4-FFF2-40B4-BE49-F238E27FC236}">
              <a16:creationId xmlns:a16="http://schemas.microsoft.com/office/drawing/2014/main" id="{F637B134-2E70-4E82-AE1B-A8F01ACF2E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8" name="x_Picture 1" descr="Description: cid:image001.png@01D03949.49457930">
          <a:extLst>
            <a:ext uri="{FF2B5EF4-FFF2-40B4-BE49-F238E27FC236}">
              <a16:creationId xmlns:a16="http://schemas.microsoft.com/office/drawing/2014/main" id="{B757D012-E993-456D-8158-E6258EB8FC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39" name="x_Picture 1" descr="Description: cid:image001.png@01D03949.49457930">
          <a:extLst>
            <a:ext uri="{FF2B5EF4-FFF2-40B4-BE49-F238E27FC236}">
              <a16:creationId xmlns:a16="http://schemas.microsoft.com/office/drawing/2014/main" id="{BEC2C8EF-4BE0-4931-A1E2-9B809D0775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0" name="x_Picture 1" descr="Description: cid:image001.png@01D03949.49457930">
          <a:extLst>
            <a:ext uri="{FF2B5EF4-FFF2-40B4-BE49-F238E27FC236}">
              <a16:creationId xmlns:a16="http://schemas.microsoft.com/office/drawing/2014/main" id="{E929DE27-FA47-4257-8A37-F2EBEF9D19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1" name="x_Picture 1" descr="Description: cid:image001.png@01D03949.49457930">
          <a:extLst>
            <a:ext uri="{FF2B5EF4-FFF2-40B4-BE49-F238E27FC236}">
              <a16:creationId xmlns:a16="http://schemas.microsoft.com/office/drawing/2014/main" id="{BFCCA336-F3C1-41F8-992E-17842ECD48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2" name="x_Picture 1" descr="Description: cid:image001.png@01D03949.49457930">
          <a:extLst>
            <a:ext uri="{FF2B5EF4-FFF2-40B4-BE49-F238E27FC236}">
              <a16:creationId xmlns:a16="http://schemas.microsoft.com/office/drawing/2014/main" id="{028E0C4B-0EC1-4993-910F-C470FB6E70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3" name="x_Picture 1" descr="Description: cid:image001.png@01D03949.49457930">
          <a:extLst>
            <a:ext uri="{FF2B5EF4-FFF2-40B4-BE49-F238E27FC236}">
              <a16:creationId xmlns:a16="http://schemas.microsoft.com/office/drawing/2014/main" id="{0B646C0B-06C0-4399-B702-E1A528799D6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4" name="x_Picture 1" descr="Description: cid:image001.png@01D03949.49457930">
          <a:extLst>
            <a:ext uri="{FF2B5EF4-FFF2-40B4-BE49-F238E27FC236}">
              <a16:creationId xmlns:a16="http://schemas.microsoft.com/office/drawing/2014/main" id="{E14867E7-D18B-4F7E-A162-0449E73B4F3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5" name="x_Picture 1" descr="Description: cid:image001.png@01D03949.49457930">
          <a:extLst>
            <a:ext uri="{FF2B5EF4-FFF2-40B4-BE49-F238E27FC236}">
              <a16:creationId xmlns:a16="http://schemas.microsoft.com/office/drawing/2014/main" id="{A47934A2-2CD0-466A-8550-46AC8BBF4CA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6" name="x_Picture 1" descr="Description: cid:image001.png@01D03949.49457930">
          <a:extLst>
            <a:ext uri="{FF2B5EF4-FFF2-40B4-BE49-F238E27FC236}">
              <a16:creationId xmlns:a16="http://schemas.microsoft.com/office/drawing/2014/main" id="{D7299ABB-81BC-41B4-9D4D-8CC066D98D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7" name="x_Picture 1" descr="Description: cid:image001.png@01D03949.49457930">
          <a:extLst>
            <a:ext uri="{FF2B5EF4-FFF2-40B4-BE49-F238E27FC236}">
              <a16:creationId xmlns:a16="http://schemas.microsoft.com/office/drawing/2014/main" id="{53639D87-EE9D-42A6-8232-F9269D27F2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8" name="x_Picture 1" descr="Description: cid:image001.png@01D03949.49457930">
          <a:extLst>
            <a:ext uri="{FF2B5EF4-FFF2-40B4-BE49-F238E27FC236}">
              <a16:creationId xmlns:a16="http://schemas.microsoft.com/office/drawing/2014/main" id="{3B10B86A-4756-4507-8D1B-9C2C4F525B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49" name="x_Picture 1" descr="Description: cid:image001.png@01D03949.49457930">
          <a:extLst>
            <a:ext uri="{FF2B5EF4-FFF2-40B4-BE49-F238E27FC236}">
              <a16:creationId xmlns:a16="http://schemas.microsoft.com/office/drawing/2014/main" id="{49F77A76-0D86-45E4-8EF1-F16F28CCCF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0" name="x_Picture 1" descr="Description: cid:image001.png@01D03949.49457930">
          <a:extLst>
            <a:ext uri="{FF2B5EF4-FFF2-40B4-BE49-F238E27FC236}">
              <a16:creationId xmlns:a16="http://schemas.microsoft.com/office/drawing/2014/main" id="{D37EAE2D-6C4C-475D-BFEE-239F6B50C1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1" name="x_Picture 1" descr="Description: cid:image001.png@01D03949.49457930">
          <a:extLst>
            <a:ext uri="{FF2B5EF4-FFF2-40B4-BE49-F238E27FC236}">
              <a16:creationId xmlns:a16="http://schemas.microsoft.com/office/drawing/2014/main" id="{5CF70874-A7F6-42DF-9D5F-877555CF65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2" name="x_Picture 1" descr="Description: cid:image001.png@01D03949.49457930">
          <a:extLst>
            <a:ext uri="{FF2B5EF4-FFF2-40B4-BE49-F238E27FC236}">
              <a16:creationId xmlns:a16="http://schemas.microsoft.com/office/drawing/2014/main" id="{C8E2ED8B-2057-4972-912B-98C8C08A435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3" name="x_Picture 1" descr="Description: cid:image001.png@01D03949.49457930">
          <a:extLst>
            <a:ext uri="{FF2B5EF4-FFF2-40B4-BE49-F238E27FC236}">
              <a16:creationId xmlns:a16="http://schemas.microsoft.com/office/drawing/2014/main" id="{71DE7A2A-E0D7-4D41-9315-AAE6127075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4" name="x_Picture 1" descr="Description: cid:image001.png@01D03949.49457930">
          <a:extLst>
            <a:ext uri="{FF2B5EF4-FFF2-40B4-BE49-F238E27FC236}">
              <a16:creationId xmlns:a16="http://schemas.microsoft.com/office/drawing/2014/main" id="{ACC30770-56F3-4A4B-9953-9F62C2C852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5" name="x_Picture 1" descr="Description: cid:image001.png@01D03949.49457930">
          <a:extLst>
            <a:ext uri="{FF2B5EF4-FFF2-40B4-BE49-F238E27FC236}">
              <a16:creationId xmlns:a16="http://schemas.microsoft.com/office/drawing/2014/main" id="{766DB5FD-95F6-4474-848C-5479B34E0C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6" name="x_Picture 1" descr="Description: cid:image001.png@01D03949.49457930">
          <a:extLst>
            <a:ext uri="{FF2B5EF4-FFF2-40B4-BE49-F238E27FC236}">
              <a16:creationId xmlns:a16="http://schemas.microsoft.com/office/drawing/2014/main" id="{9573B460-8A02-4ED0-95A8-2CCFF143A4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7" name="x_Picture 1" descr="Description: cid:image001.png@01D03949.49457930">
          <a:extLst>
            <a:ext uri="{FF2B5EF4-FFF2-40B4-BE49-F238E27FC236}">
              <a16:creationId xmlns:a16="http://schemas.microsoft.com/office/drawing/2014/main" id="{C65D8737-FBFA-43DE-A480-EBF708040D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8" name="x_Picture 1" descr="Description: cid:image001.png@01D03949.49457930">
          <a:extLst>
            <a:ext uri="{FF2B5EF4-FFF2-40B4-BE49-F238E27FC236}">
              <a16:creationId xmlns:a16="http://schemas.microsoft.com/office/drawing/2014/main" id="{5CAA03DD-D4AE-4A98-AD3B-D9AEE35335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59" name="x_Picture 1" descr="Description: cid:image001.png@01D03949.49457930">
          <a:extLst>
            <a:ext uri="{FF2B5EF4-FFF2-40B4-BE49-F238E27FC236}">
              <a16:creationId xmlns:a16="http://schemas.microsoft.com/office/drawing/2014/main" id="{BF4322AF-212C-4352-BE73-8493C5C0B2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0" name="x_Picture 1" descr="Description: cid:image001.png@01D03949.49457930">
          <a:extLst>
            <a:ext uri="{FF2B5EF4-FFF2-40B4-BE49-F238E27FC236}">
              <a16:creationId xmlns:a16="http://schemas.microsoft.com/office/drawing/2014/main" id="{08E4BA48-8938-4D55-8895-844E2516744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1" name="x_Picture 1" descr="Description: cid:image001.png@01D03949.49457930">
          <a:extLst>
            <a:ext uri="{FF2B5EF4-FFF2-40B4-BE49-F238E27FC236}">
              <a16:creationId xmlns:a16="http://schemas.microsoft.com/office/drawing/2014/main" id="{04457E38-AC74-4955-BA35-371A5643AD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2" name="x_Picture 1" descr="Description: cid:image001.png@01D03949.49457930">
          <a:extLst>
            <a:ext uri="{FF2B5EF4-FFF2-40B4-BE49-F238E27FC236}">
              <a16:creationId xmlns:a16="http://schemas.microsoft.com/office/drawing/2014/main" id="{C29E16D5-6DFC-4763-8DDE-A8D5C0F4F8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3" name="x_Picture 1" descr="Description: cid:image001.png@01D03949.49457930">
          <a:extLst>
            <a:ext uri="{FF2B5EF4-FFF2-40B4-BE49-F238E27FC236}">
              <a16:creationId xmlns:a16="http://schemas.microsoft.com/office/drawing/2014/main" id="{B595AE4B-6E16-4586-ACD5-E8644C8332D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4" name="x_Picture 1" descr="Description: cid:image001.png@01D03949.49457930">
          <a:extLst>
            <a:ext uri="{FF2B5EF4-FFF2-40B4-BE49-F238E27FC236}">
              <a16:creationId xmlns:a16="http://schemas.microsoft.com/office/drawing/2014/main" id="{8C55F122-1C50-4603-BCC3-50FB007480A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5" name="x_Picture 1" descr="Description: cid:image001.png@01D03949.49457930">
          <a:extLst>
            <a:ext uri="{FF2B5EF4-FFF2-40B4-BE49-F238E27FC236}">
              <a16:creationId xmlns:a16="http://schemas.microsoft.com/office/drawing/2014/main" id="{C5E1ADF0-F93F-4153-800F-8271A44DC4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6" name="x_Picture 1" descr="Description: cid:image001.png@01D03949.49457930">
          <a:extLst>
            <a:ext uri="{FF2B5EF4-FFF2-40B4-BE49-F238E27FC236}">
              <a16:creationId xmlns:a16="http://schemas.microsoft.com/office/drawing/2014/main" id="{521ABA57-4210-4BCC-AD57-22C9D19D6A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7" name="x_Picture 1" descr="Description: cid:image001.png@01D03949.49457930">
          <a:extLst>
            <a:ext uri="{FF2B5EF4-FFF2-40B4-BE49-F238E27FC236}">
              <a16:creationId xmlns:a16="http://schemas.microsoft.com/office/drawing/2014/main" id="{D4F6A09E-10D5-4E3D-ACF2-B14A628236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8" name="x_Picture 1" descr="Description: cid:image001.png@01D03949.49457930">
          <a:extLst>
            <a:ext uri="{FF2B5EF4-FFF2-40B4-BE49-F238E27FC236}">
              <a16:creationId xmlns:a16="http://schemas.microsoft.com/office/drawing/2014/main" id="{15FE49C1-92FA-4625-BF81-291E7BDA6B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69" name="x_Picture 1" descr="Description: cid:image001.png@01D03949.49457930">
          <a:extLst>
            <a:ext uri="{FF2B5EF4-FFF2-40B4-BE49-F238E27FC236}">
              <a16:creationId xmlns:a16="http://schemas.microsoft.com/office/drawing/2014/main" id="{1CEEE70D-2D13-4808-BB39-C95C0FAB89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0" name="x_Picture 1" descr="Description: cid:image001.png@01D03949.49457930">
          <a:extLst>
            <a:ext uri="{FF2B5EF4-FFF2-40B4-BE49-F238E27FC236}">
              <a16:creationId xmlns:a16="http://schemas.microsoft.com/office/drawing/2014/main" id="{CD3EEC46-D238-426D-B9E1-DD705DC918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1" name="x_Picture 1" descr="Description: cid:image001.png@01D03949.49457930">
          <a:extLst>
            <a:ext uri="{FF2B5EF4-FFF2-40B4-BE49-F238E27FC236}">
              <a16:creationId xmlns:a16="http://schemas.microsoft.com/office/drawing/2014/main" id="{894C788F-4BA5-4D74-B487-3C3EB73DFF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2" name="x_Picture 1" descr="Description: cid:image001.png@01D03949.49457930">
          <a:extLst>
            <a:ext uri="{FF2B5EF4-FFF2-40B4-BE49-F238E27FC236}">
              <a16:creationId xmlns:a16="http://schemas.microsoft.com/office/drawing/2014/main" id="{2EBB06ED-C9A8-4375-A66F-214B73E3F4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3" name="x_Picture 1" descr="Description: cid:image001.png@01D03949.49457930">
          <a:extLst>
            <a:ext uri="{FF2B5EF4-FFF2-40B4-BE49-F238E27FC236}">
              <a16:creationId xmlns:a16="http://schemas.microsoft.com/office/drawing/2014/main" id="{7E4C0EB5-05D5-4FA3-BE08-C48DDB8B4F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4" name="x_Picture 1" descr="Description: cid:image001.png@01D03949.49457930">
          <a:extLst>
            <a:ext uri="{FF2B5EF4-FFF2-40B4-BE49-F238E27FC236}">
              <a16:creationId xmlns:a16="http://schemas.microsoft.com/office/drawing/2014/main" id="{080157E8-0CB0-4713-B3FA-338A4D0D03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5" name="x_Picture 1" descr="Description: cid:image001.png@01D03949.49457930">
          <a:extLst>
            <a:ext uri="{FF2B5EF4-FFF2-40B4-BE49-F238E27FC236}">
              <a16:creationId xmlns:a16="http://schemas.microsoft.com/office/drawing/2014/main" id="{8A2F999F-1A56-4321-BACA-9CF5F5ADF8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6" name="x_Picture 1" descr="Description: cid:image001.png@01D03949.49457930">
          <a:extLst>
            <a:ext uri="{FF2B5EF4-FFF2-40B4-BE49-F238E27FC236}">
              <a16:creationId xmlns:a16="http://schemas.microsoft.com/office/drawing/2014/main" id="{F8FDC640-56AA-4C0F-ABDA-45BB86FF6DA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7" name="x_Picture 1" descr="Description: cid:image001.png@01D03949.49457930">
          <a:extLst>
            <a:ext uri="{FF2B5EF4-FFF2-40B4-BE49-F238E27FC236}">
              <a16:creationId xmlns:a16="http://schemas.microsoft.com/office/drawing/2014/main" id="{78ADD439-9DF1-44C3-A127-0E7C3D7A17B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8" name="x_Picture 1" descr="Description: cid:image001.png@01D03949.49457930">
          <a:extLst>
            <a:ext uri="{FF2B5EF4-FFF2-40B4-BE49-F238E27FC236}">
              <a16:creationId xmlns:a16="http://schemas.microsoft.com/office/drawing/2014/main" id="{1D5ED047-A640-49F1-8E9A-31968CBDCE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79" name="x_Picture 1" descr="Description: cid:image001.png@01D03949.49457930">
          <a:extLst>
            <a:ext uri="{FF2B5EF4-FFF2-40B4-BE49-F238E27FC236}">
              <a16:creationId xmlns:a16="http://schemas.microsoft.com/office/drawing/2014/main" id="{F621CDCE-F6FE-4497-8E57-A971152323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0" name="x_Picture 1" descr="Description: cid:image001.png@01D03949.49457930">
          <a:extLst>
            <a:ext uri="{FF2B5EF4-FFF2-40B4-BE49-F238E27FC236}">
              <a16:creationId xmlns:a16="http://schemas.microsoft.com/office/drawing/2014/main" id="{E0D90870-9C9A-42E2-9B67-75A415726FE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1" name="x_Picture 1" descr="Description: cid:image001.png@01D03949.49457930">
          <a:extLst>
            <a:ext uri="{FF2B5EF4-FFF2-40B4-BE49-F238E27FC236}">
              <a16:creationId xmlns:a16="http://schemas.microsoft.com/office/drawing/2014/main" id="{5603F990-DE7D-49C7-A7D4-F3D485B08F5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2" name="x_Picture 1" descr="Description: cid:image001.png@01D03949.49457930">
          <a:extLst>
            <a:ext uri="{FF2B5EF4-FFF2-40B4-BE49-F238E27FC236}">
              <a16:creationId xmlns:a16="http://schemas.microsoft.com/office/drawing/2014/main" id="{C119F664-E859-43CA-B651-3C5156FC571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3" name="x_Picture 1" descr="Description: cid:image001.png@01D03949.49457930">
          <a:extLst>
            <a:ext uri="{FF2B5EF4-FFF2-40B4-BE49-F238E27FC236}">
              <a16:creationId xmlns:a16="http://schemas.microsoft.com/office/drawing/2014/main" id="{1BA678C9-C6C0-45B2-A08E-95F13FC903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4" name="x_Picture 1" descr="Description: cid:image001.png@01D03949.49457930">
          <a:extLst>
            <a:ext uri="{FF2B5EF4-FFF2-40B4-BE49-F238E27FC236}">
              <a16:creationId xmlns:a16="http://schemas.microsoft.com/office/drawing/2014/main" id="{141BA601-7867-4C87-A03B-843A67C231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5" name="x_Picture 1" descr="Description: cid:image001.png@01D03949.49457930">
          <a:extLst>
            <a:ext uri="{FF2B5EF4-FFF2-40B4-BE49-F238E27FC236}">
              <a16:creationId xmlns:a16="http://schemas.microsoft.com/office/drawing/2014/main" id="{59AEDF59-E5A5-47B4-9202-C1E5F23973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6" name="x_Picture 1" descr="Description: cid:image001.png@01D03949.49457930">
          <a:extLst>
            <a:ext uri="{FF2B5EF4-FFF2-40B4-BE49-F238E27FC236}">
              <a16:creationId xmlns:a16="http://schemas.microsoft.com/office/drawing/2014/main" id="{4D30CA94-DE68-4CD8-8F65-1CE43A15C7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7" name="x_Picture 1" descr="Description: cid:image001.png@01D03949.49457930">
          <a:extLst>
            <a:ext uri="{FF2B5EF4-FFF2-40B4-BE49-F238E27FC236}">
              <a16:creationId xmlns:a16="http://schemas.microsoft.com/office/drawing/2014/main" id="{A798D160-E08F-4EA3-8300-7F7C868C3FB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8" name="x_Picture 1" descr="Description: cid:image001.png@01D03949.49457930">
          <a:extLst>
            <a:ext uri="{FF2B5EF4-FFF2-40B4-BE49-F238E27FC236}">
              <a16:creationId xmlns:a16="http://schemas.microsoft.com/office/drawing/2014/main" id="{5ED56516-ABE3-46D5-A6E8-F5A2B58981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89" name="x_Picture 1" descr="Description: cid:image001.png@01D03949.49457930">
          <a:extLst>
            <a:ext uri="{FF2B5EF4-FFF2-40B4-BE49-F238E27FC236}">
              <a16:creationId xmlns:a16="http://schemas.microsoft.com/office/drawing/2014/main" id="{82B165A2-D0C7-4067-991A-18C5E30B916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0" name="x_Picture 1" descr="Description: cid:image001.png@01D03949.49457930">
          <a:extLst>
            <a:ext uri="{FF2B5EF4-FFF2-40B4-BE49-F238E27FC236}">
              <a16:creationId xmlns:a16="http://schemas.microsoft.com/office/drawing/2014/main" id="{16EFDF56-E025-4D9F-BE2D-F659B0BF32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1" name="x_Picture 1" descr="Description: cid:image001.png@01D03949.49457930">
          <a:extLst>
            <a:ext uri="{FF2B5EF4-FFF2-40B4-BE49-F238E27FC236}">
              <a16:creationId xmlns:a16="http://schemas.microsoft.com/office/drawing/2014/main" id="{81489EFD-C0D4-4091-9AAF-F2102DA3BA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2" name="x_Picture 1" descr="Description: cid:image001.png@01D03949.49457930">
          <a:extLst>
            <a:ext uri="{FF2B5EF4-FFF2-40B4-BE49-F238E27FC236}">
              <a16:creationId xmlns:a16="http://schemas.microsoft.com/office/drawing/2014/main" id="{46A6F0CF-4D10-41FE-AD3D-357B0D23AD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3" name="x_Picture 1" descr="Description: cid:image001.png@01D03949.49457930">
          <a:extLst>
            <a:ext uri="{FF2B5EF4-FFF2-40B4-BE49-F238E27FC236}">
              <a16:creationId xmlns:a16="http://schemas.microsoft.com/office/drawing/2014/main" id="{4614D0B6-5CC8-40BC-8344-BA14B62A8F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4" name="x_Picture 1" descr="Description: cid:image001.png@01D03949.49457930">
          <a:extLst>
            <a:ext uri="{FF2B5EF4-FFF2-40B4-BE49-F238E27FC236}">
              <a16:creationId xmlns:a16="http://schemas.microsoft.com/office/drawing/2014/main" id="{DE1BBD8E-3E2B-4FC8-9BAF-1AB02020C1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5" name="x_Picture 1" descr="Description: cid:image001.png@01D03949.49457930">
          <a:extLst>
            <a:ext uri="{FF2B5EF4-FFF2-40B4-BE49-F238E27FC236}">
              <a16:creationId xmlns:a16="http://schemas.microsoft.com/office/drawing/2014/main" id="{0E205F3C-FF3B-47BE-AC24-99277D4BA5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6" name="x_Picture 1" descr="Description: cid:image001.png@01D03949.49457930">
          <a:extLst>
            <a:ext uri="{FF2B5EF4-FFF2-40B4-BE49-F238E27FC236}">
              <a16:creationId xmlns:a16="http://schemas.microsoft.com/office/drawing/2014/main" id="{425A85BB-A397-4D44-B9C0-710D5BA301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7" name="x_Picture 1" descr="Description: cid:image001.png@01D03949.49457930">
          <a:extLst>
            <a:ext uri="{FF2B5EF4-FFF2-40B4-BE49-F238E27FC236}">
              <a16:creationId xmlns:a16="http://schemas.microsoft.com/office/drawing/2014/main" id="{4FDDE050-D5F1-444D-8955-2FBECED8DA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8" name="x_Picture 1" descr="Description: cid:image001.png@01D03949.49457930">
          <a:extLst>
            <a:ext uri="{FF2B5EF4-FFF2-40B4-BE49-F238E27FC236}">
              <a16:creationId xmlns:a16="http://schemas.microsoft.com/office/drawing/2014/main" id="{DC7F7FD7-57CF-43E0-97AE-9A4E546856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299" name="x_Picture 1" descr="Description: cid:image001.png@01D03949.49457930">
          <a:extLst>
            <a:ext uri="{FF2B5EF4-FFF2-40B4-BE49-F238E27FC236}">
              <a16:creationId xmlns:a16="http://schemas.microsoft.com/office/drawing/2014/main" id="{47E7A1BB-7AA0-4D64-A44D-D004F676C3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0" name="x_Picture 1" descr="Description: cid:image001.png@01D03949.49457930">
          <a:extLst>
            <a:ext uri="{FF2B5EF4-FFF2-40B4-BE49-F238E27FC236}">
              <a16:creationId xmlns:a16="http://schemas.microsoft.com/office/drawing/2014/main" id="{A3A96B23-18DD-4081-AC4B-5EB8B01181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1" name="x_Picture 1" descr="Description: cid:image001.png@01D03949.49457930">
          <a:extLst>
            <a:ext uri="{FF2B5EF4-FFF2-40B4-BE49-F238E27FC236}">
              <a16:creationId xmlns:a16="http://schemas.microsoft.com/office/drawing/2014/main" id="{86DF8900-88DD-4A10-9B73-7863DDA152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2" name="x_Picture 1" descr="Description: cid:image001.png@01D03949.49457930">
          <a:extLst>
            <a:ext uri="{FF2B5EF4-FFF2-40B4-BE49-F238E27FC236}">
              <a16:creationId xmlns:a16="http://schemas.microsoft.com/office/drawing/2014/main" id="{0E1F6C31-E032-45A7-930A-15F9D2FDBE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3" name="x_Picture 1" descr="Description: cid:image001.png@01D03949.49457930">
          <a:extLst>
            <a:ext uri="{FF2B5EF4-FFF2-40B4-BE49-F238E27FC236}">
              <a16:creationId xmlns:a16="http://schemas.microsoft.com/office/drawing/2014/main" id="{4AF79DE1-3C48-4DE4-9F30-61AE84E3B79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4" name="x_Picture 1" descr="Description: cid:image001.png@01D03949.49457930">
          <a:extLst>
            <a:ext uri="{FF2B5EF4-FFF2-40B4-BE49-F238E27FC236}">
              <a16:creationId xmlns:a16="http://schemas.microsoft.com/office/drawing/2014/main" id="{9E161658-8DA6-445E-8D84-A45404A654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5" name="x_Picture 1" descr="Description: cid:image001.png@01D03949.49457930">
          <a:extLst>
            <a:ext uri="{FF2B5EF4-FFF2-40B4-BE49-F238E27FC236}">
              <a16:creationId xmlns:a16="http://schemas.microsoft.com/office/drawing/2014/main" id="{A7B74E65-21A8-4EE3-AED4-4130D62BA9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6" name="x_Picture 1" descr="Description: cid:image001.png@01D03949.49457930">
          <a:extLst>
            <a:ext uri="{FF2B5EF4-FFF2-40B4-BE49-F238E27FC236}">
              <a16:creationId xmlns:a16="http://schemas.microsoft.com/office/drawing/2014/main" id="{B336B2ED-FDD9-4E33-9D71-3A4F2A7292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7" name="x_Picture 1" descr="Description: cid:image001.png@01D03949.49457930">
          <a:extLst>
            <a:ext uri="{FF2B5EF4-FFF2-40B4-BE49-F238E27FC236}">
              <a16:creationId xmlns:a16="http://schemas.microsoft.com/office/drawing/2014/main" id="{D305F491-C870-4677-BF8F-B7550527B8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8" name="x_Picture 1" descr="Description: cid:image001.png@01D03949.49457930">
          <a:extLst>
            <a:ext uri="{FF2B5EF4-FFF2-40B4-BE49-F238E27FC236}">
              <a16:creationId xmlns:a16="http://schemas.microsoft.com/office/drawing/2014/main" id="{C2C6A2F6-D726-44F1-8419-A260C93B1B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09" name="x_Picture 1" descr="Description: cid:image001.png@01D03949.49457930">
          <a:extLst>
            <a:ext uri="{FF2B5EF4-FFF2-40B4-BE49-F238E27FC236}">
              <a16:creationId xmlns:a16="http://schemas.microsoft.com/office/drawing/2014/main" id="{DE6943AA-9FFB-40FE-8844-71602BE559B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0" name="x_Picture 1" descr="Description: cid:image001.png@01D03949.49457930">
          <a:extLst>
            <a:ext uri="{FF2B5EF4-FFF2-40B4-BE49-F238E27FC236}">
              <a16:creationId xmlns:a16="http://schemas.microsoft.com/office/drawing/2014/main" id="{8A9B06FA-00A7-43A2-AB6C-B2AA3A746C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1" name="x_Picture 1" descr="Description: cid:image001.png@01D03949.49457930">
          <a:extLst>
            <a:ext uri="{FF2B5EF4-FFF2-40B4-BE49-F238E27FC236}">
              <a16:creationId xmlns:a16="http://schemas.microsoft.com/office/drawing/2014/main" id="{FE4FF6AA-02A4-414A-ABE5-BCC41C9B722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2" name="x_Picture 1" descr="Description: cid:image001.png@01D03949.49457930">
          <a:extLst>
            <a:ext uri="{FF2B5EF4-FFF2-40B4-BE49-F238E27FC236}">
              <a16:creationId xmlns:a16="http://schemas.microsoft.com/office/drawing/2014/main" id="{D6BA5238-A44A-4AA8-8B08-B599395FF9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3" name="x_Picture 1" descr="Description: cid:image001.png@01D03949.49457930">
          <a:extLst>
            <a:ext uri="{FF2B5EF4-FFF2-40B4-BE49-F238E27FC236}">
              <a16:creationId xmlns:a16="http://schemas.microsoft.com/office/drawing/2014/main" id="{82C56C27-1F23-46A4-A46A-642E8AC449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4" name="x_Picture 1" descr="Description: cid:image001.png@01D03949.49457930">
          <a:extLst>
            <a:ext uri="{FF2B5EF4-FFF2-40B4-BE49-F238E27FC236}">
              <a16:creationId xmlns:a16="http://schemas.microsoft.com/office/drawing/2014/main" id="{6F50F5C4-E9AA-4E6B-B2A3-29E81E4452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5" name="x_Picture 1" descr="Description: cid:image001.png@01D03949.49457930">
          <a:extLst>
            <a:ext uri="{FF2B5EF4-FFF2-40B4-BE49-F238E27FC236}">
              <a16:creationId xmlns:a16="http://schemas.microsoft.com/office/drawing/2014/main" id="{5C3F975D-CC96-49CF-9592-27DCEA3A98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6" name="x_Picture 1" descr="Description: cid:image001.png@01D03949.49457930">
          <a:extLst>
            <a:ext uri="{FF2B5EF4-FFF2-40B4-BE49-F238E27FC236}">
              <a16:creationId xmlns:a16="http://schemas.microsoft.com/office/drawing/2014/main" id="{9F28EEB5-5D35-44A7-B2B7-30F10D9A32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7" name="x_Picture 1" descr="Description: cid:image001.png@01D03949.49457930">
          <a:extLst>
            <a:ext uri="{FF2B5EF4-FFF2-40B4-BE49-F238E27FC236}">
              <a16:creationId xmlns:a16="http://schemas.microsoft.com/office/drawing/2014/main" id="{CE2D54CB-1297-4ED8-A652-3063D3D246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8" name="x_Picture 1" descr="Description: cid:image001.png@01D03949.49457930">
          <a:extLst>
            <a:ext uri="{FF2B5EF4-FFF2-40B4-BE49-F238E27FC236}">
              <a16:creationId xmlns:a16="http://schemas.microsoft.com/office/drawing/2014/main" id="{CB8A1BD4-1C4E-474D-AE05-F0353E2EC50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19" name="x_Picture 1" descr="Description: cid:image001.png@01D03949.49457930">
          <a:extLst>
            <a:ext uri="{FF2B5EF4-FFF2-40B4-BE49-F238E27FC236}">
              <a16:creationId xmlns:a16="http://schemas.microsoft.com/office/drawing/2014/main" id="{44C027CF-ABD2-48B4-AAD3-F3F5077CE48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0" name="x_Picture 1" descr="Description: cid:image001.png@01D03949.49457930">
          <a:extLst>
            <a:ext uri="{FF2B5EF4-FFF2-40B4-BE49-F238E27FC236}">
              <a16:creationId xmlns:a16="http://schemas.microsoft.com/office/drawing/2014/main" id="{192EABD7-6DF2-49A3-A9E1-CAB40B5924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1" name="x_Picture 1" descr="Description: cid:image001.png@01D03949.49457930">
          <a:extLst>
            <a:ext uri="{FF2B5EF4-FFF2-40B4-BE49-F238E27FC236}">
              <a16:creationId xmlns:a16="http://schemas.microsoft.com/office/drawing/2014/main" id="{B9110D45-4970-4904-BD39-F4AA10C1DF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2" name="x_Picture 1" descr="Description: cid:image001.png@01D03949.49457930">
          <a:extLst>
            <a:ext uri="{FF2B5EF4-FFF2-40B4-BE49-F238E27FC236}">
              <a16:creationId xmlns:a16="http://schemas.microsoft.com/office/drawing/2014/main" id="{DE9CB313-CC7A-4A05-9CED-E1BB10C32F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3" name="x_Picture 1" descr="Description: cid:image001.png@01D03949.49457930">
          <a:extLst>
            <a:ext uri="{FF2B5EF4-FFF2-40B4-BE49-F238E27FC236}">
              <a16:creationId xmlns:a16="http://schemas.microsoft.com/office/drawing/2014/main" id="{AA3AEF09-8F3A-4847-B378-DCF48817DAE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4" name="x_Picture 1" descr="Description: cid:image001.png@01D03949.49457930">
          <a:extLst>
            <a:ext uri="{FF2B5EF4-FFF2-40B4-BE49-F238E27FC236}">
              <a16:creationId xmlns:a16="http://schemas.microsoft.com/office/drawing/2014/main" id="{EB326C32-E23E-4462-99D3-B32E2554664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5" name="x_Picture 1" descr="Description: cid:image001.png@01D03949.49457930">
          <a:extLst>
            <a:ext uri="{FF2B5EF4-FFF2-40B4-BE49-F238E27FC236}">
              <a16:creationId xmlns:a16="http://schemas.microsoft.com/office/drawing/2014/main" id="{07115C83-66C2-4102-AC81-E57EB27DC1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6" name="x_Picture 1" descr="Description: cid:image001.png@01D03949.49457930">
          <a:extLst>
            <a:ext uri="{FF2B5EF4-FFF2-40B4-BE49-F238E27FC236}">
              <a16:creationId xmlns:a16="http://schemas.microsoft.com/office/drawing/2014/main" id="{133645B0-9252-42AF-B2A4-16FF2FE5AE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7" name="x_Picture 1" descr="Description: cid:image001.png@01D03949.49457930">
          <a:extLst>
            <a:ext uri="{FF2B5EF4-FFF2-40B4-BE49-F238E27FC236}">
              <a16:creationId xmlns:a16="http://schemas.microsoft.com/office/drawing/2014/main" id="{6D9AF045-49E6-4FDA-B858-0D10957957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8" name="x_Picture 1" descr="Description: cid:image001.png@01D03949.49457930">
          <a:extLst>
            <a:ext uri="{FF2B5EF4-FFF2-40B4-BE49-F238E27FC236}">
              <a16:creationId xmlns:a16="http://schemas.microsoft.com/office/drawing/2014/main" id="{B784214E-1E42-4EA7-AE41-D2D5BA54FA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29" name="x_Picture 1" descr="Description: cid:image001.png@01D03949.49457930">
          <a:extLst>
            <a:ext uri="{FF2B5EF4-FFF2-40B4-BE49-F238E27FC236}">
              <a16:creationId xmlns:a16="http://schemas.microsoft.com/office/drawing/2014/main" id="{61C24B4E-D4BE-4A89-9672-3BC5772B78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0" name="x_Picture 1" descr="Description: cid:image001.png@01D03949.49457930">
          <a:extLst>
            <a:ext uri="{FF2B5EF4-FFF2-40B4-BE49-F238E27FC236}">
              <a16:creationId xmlns:a16="http://schemas.microsoft.com/office/drawing/2014/main" id="{02AA9C42-9AD8-4A79-B815-77B7C377DE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1" name="x_Picture 1" descr="Description: cid:image001.png@01D03949.49457930">
          <a:extLst>
            <a:ext uri="{FF2B5EF4-FFF2-40B4-BE49-F238E27FC236}">
              <a16:creationId xmlns:a16="http://schemas.microsoft.com/office/drawing/2014/main" id="{86564666-BF99-4E4B-A138-722A1D3AC55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2" name="x_Picture 1" descr="Description: cid:image001.png@01D03949.49457930">
          <a:extLst>
            <a:ext uri="{FF2B5EF4-FFF2-40B4-BE49-F238E27FC236}">
              <a16:creationId xmlns:a16="http://schemas.microsoft.com/office/drawing/2014/main" id="{D29ED4FE-A19E-4971-97E0-E05B6C92E5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3" name="x_Picture 1" descr="Description: cid:image001.png@01D03949.49457930">
          <a:extLst>
            <a:ext uri="{FF2B5EF4-FFF2-40B4-BE49-F238E27FC236}">
              <a16:creationId xmlns:a16="http://schemas.microsoft.com/office/drawing/2014/main" id="{94A745C7-C71F-45CD-9AD9-CC84A16027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4" name="x_Picture 1" descr="Description: cid:image001.png@01D03949.49457930">
          <a:extLst>
            <a:ext uri="{FF2B5EF4-FFF2-40B4-BE49-F238E27FC236}">
              <a16:creationId xmlns:a16="http://schemas.microsoft.com/office/drawing/2014/main" id="{6F99F29E-34E4-4979-A0C2-D6E232B7CA8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5" name="x_Picture 1" descr="Description: cid:image001.png@01D03949.49457930">
          <a:extLst>
            <a:ext uri="{FF2B5EF4-FFF2-40B4-BE49-F238E27FC236}">
              <a16:creationId xmlns:a16="http://schemas.microsoft.com/office/drawing/2014/main" id="{51ADBB69-E9B0-4404-A466-71B31DB607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6" name="x_Picture 1" descr="Description: cid:image001.png@01D03949.49457930">
          <a:extLst>
            <a:ext uri="{FF2B5EF4-FFF2-40B4-BE49-F238E27FC236}">
              <a16:creationId xmlns:a16="http://schemas.microsoft.com/office/drawing/2014/main" id="{CFA521C4-9D6E-4F3F-82EE-0F71D29101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7" name="x_Picture 1" descr="Description: cid:image001.png@01D03949.49457930">
          <a:extLst>
            <a:ext uri="{FF2B5EF4-FFF2-40B4-BE49-F238E27FC236}">
              <a16:creationId xmlns:a16="http://schemas.microsoft.com/office/drawing/2014/main" id="{953A1D1E-B51E-4CDC-A431-9E0F993659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8" name="x_Picture 1" descr="Description: cid:image001.png@01D03949.49457930">
          <a:extLst>
            <a:ext uri="{FF2B5EF4-FFF2-40B4-BE49-F238E27FC236}">
              <a16:creationId xmlns:a16="http://schemas.microsoft.com/office/drawing/2014/main" id="{9131B877-C271-4C55-8D0E-241735CF1E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39" name="x_Picture 1" descr="Description: cid:image001.png@01D03949.49457930">
          <a:extLst>
            <a:ext uri="{FF2B5EF4-FFF2-40B4-BE49-F238E27FC236}">
              <a16:creationId xmlns:a16="http://schemas.microsoft.com/office/drawing/2014/main" id="{CC3B3302-3412-4F8B-BFB8-D965FBE3CBA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0" name="x_Picture 1" descr="Description: cid:image001.png@01D03949.49457930">
          <a:extLst>
            <a:ext uri="{FF2B5EF4-FFF2-40B4-BE49-F238E27FC236}">
              <a16:creationId xmlns:a16="http://schemas.microsoft.com/office/drawing/2014/main" id="{349ABABF-065A-45A6-B2F3-94E436CCAA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1" name="x_Picture 1" descr="Description: cid:image001.png@01D03949.49457930">
          <a:extLst>
            <a:ext uri="{FF2B5EF4-FFF2-40B4-BE49-F238E27FC236}">
              <a16:creationId xmlns:a16="http://schemas.microsoft.com/office/drawing/2014/main" id="{9258E00E-9982-4FF7-8388-DCDF53ECF13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2" name="x_Picture 1" descr="Description: cid:image001.png@01D03949.49457930">
          <a:extLst>
            <a:ext uri="{FF2B5EF4-FFF2-40B4-BE49-F238E27FC236}">
              <a16:creationId xmlns:a16="http://schemas.microsoft.com/office/drawing/2014/main" id="{DB148B3E-BA3C-4B9B-BEBC-25853FE122B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3" name="x_Picture 1" descr="Description: cid:image001.png@01D03949.49457930">
          <a:extLst>
            <a:ext uri="{FF2B5EF4-FFF2-40B4-BE49-F238E27FC236}">
              <a16:creationId xmlns:a16="http://schemas.microsoft.com/office/drawing/2014/main" id="{2510865C-AF17-4FFB-9919-1EF72313E9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4" name="x_Picture 1" descr="Description: cid:image001.png@01D03949.49457930">
          <a:extLst>
            <a:ext uri="{FF2B5EF4-FFF2-40B4-BE49-F238E27FC236}">
              <a16:creationId xmlns:a16="http://schemas.microsoft.com/office/drawing/2014/main" id="{5655C38D-FAA4-4463-874A-D089881071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5" name="x_Picture 1" descr="Description: cid:image001.png@01D03949.49457930">
          <a:extLst>
            <a:ext uri="{FF2B5EF4-FFF2-40B4-BE49-F238E27FC236}">
              <a16:creationId xmlns:a16="http://schemas.microsoft.com/office/drawing/2014/main" id="{7D4D8A4C-33AA-4C50-89D0-68BECAF1F0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6" name="x_Picture 1" descr="Description: cid:image001.png@01D03949.49457930">
          <a:extLst>
            <a:ext uri="{FF2B5EF4-FFF2-40B4-BE49-F238E27FC236}">
              <a16:creationId xmlns:a16="http://schemas.microsoft.com/office/drawing/2014/main" id="{62AF18C7-5878-4520-8438-F454A67F2FF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7" name="x_Picture 1" descr="Description: cid:image001.png@01D03949.49457930">
          <a:extLst>
            <a:ext uri="{FF2B5EF4-FFF2-40B4-BE49-F238E27FC236}">
              <a16:creationId xmlns:a16="http://schemas.microsoft.com/office/drawing/2014/main" id="{4C2A44B5-B864-4046-8B37-FC03F176596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8" name="x_Picture 1" descr="Description: cid:image001.png@01D03949.49457930">
          <a:extLst>
            <a:ext uri="{FF2B5EF4-FFF2-40B4-BE49-F238E27FC236}">
              <a16:creationId xmlns:a16="http://schemas.microsoft.com/office/drawing/2014/main" id="{BEBDDE54-B69E-4C7E-92F5-A6599BB63F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49" name="x_Picture 1" descr="Description: cid:image001.png@01D03949.49457930">
          <a:extLst>
            <a:ext uri="{FF2B5EF4-FFF2-40B4-BE49-F238E27FC236}">
              <a16:creationId xmlns:a16="http://schemas.microsoft.com/office/drawing/2014/main" id="{CC731334-B4D0-47E6-B58C-114E67FC8C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0" name="x_Picture 1" descr="Description: cid:image001.png@01D03949.49457930">
          <a:extLst>
            <a:ext uri="{FF2B5EF4-FFF2-40B4-BE49-F238E27FC236}">
              <a16:creationId xmlns:a16="http://schemas.microsoft.com/office/drawing/2014/main" id="{87855FA6-1E2D-4B24-9504-0A507960A34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1" name="x_Picture 1" descr="Description: cid:image001.png@01D03949.49457930">
          <a:extLst>
            <a:ext uri="{FF2B5EF4-FFF2-40B4-BE49-F238E27FC236}">
              <a16:creationId xmlns:a16="http://schemas.microsoft.com/office/drawing/2014/main" id="{5DC1C162-3902-4FAE-9707-3534120F18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2" name="x_Picture 1" descr="Description: cid:image001.png@01D03949.49457930">
          <a:extLst>
            <a:ext uri="{FF2B5EF4-FFF2-40B4-BE49-F238E27FC236}">
              <a16:creationId xmlns:a16="http://schemas.microsoft.com/office/drawing/2014/main" id="{4A61AD89-A523-46DB-9AC5-204156536D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3" name="x_Picture 1" descr="Description: cid:image001.png@01D03949.49457930">
          <a:extLst>
            <a:ext uri="{FF2B5EF4-FFF2-40B4-BE49-F238E27FC236}">
              <a16:creationId xmlns:a16="http://schemas.microsoft.com/office/drawing/2014/main" id="{62610A6D-BCC9-40EA-921E-60508B7494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4" name="x_Picture 1" descr="Description: cid:image001.png@01D03949.49457930">
          <a:extLst>
            <a:ext uri="{FF2B5EF4-FFF2-40B4-BE49-F238E27FC236}">
              <a16:creationId xmlns:a16="http://schemas.microsoft.com/office/drawing/2014/main" id="{FD33060C-6D4C-41FC-9085-8CF4F609827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5" name="x_Picture 1" descr="Description: cid:image001.png@01D03949.49457930">
          <a:extLst>
            <a:ext uri="{FF2B5EF4-FFF2-40B4-BE49-F238E27FC236}">
              <a16:creationId xmlns:a16="http://schemas.microsoft.com/office/drawing/2014/main" id="{78840F8A-85C0-43F0-9406-DE9B2C8783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6" name="x_Picture 1" descr="Description: cid:image001.png@01D03949.49457930">
          <a:extLst>
            <a:ext uri="{FF2B5EF4-FFF2-40B4-BE49-F238E27FC236}">
              <a16:creationId xmlns:a16="http://schemas.microsoft.com/office/drawing/2014/main" id="{2C039188-8463-4625-BCBC-350AAECDC9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7" name="x_Picture 1" descr="Description: cid:image001.png@01D03949.49457930">
          <a:extLst>
            <a:ext uri="{FF2B5EF4-FFF2-40B4-BE49-F238E27FC236}">
              <a16:creationId xmlns:a16="http://schemas.microsoft.com/office/drawing/2014/main" id="{049EC60C-6DC4-405A-ADD9-72546ED314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8" name="x_Picture 1" descr="Description: cid:image001.png@01D03949.49457930">
          <a:extLst>
            <a:ext uri="{FF2B5EF4-FFF2-40B4-BE49-F238E27FC236}">
              <a16:creationId xmlns:a16="http://schemas.microsoft.com/office/drawing/2014/main" id="{A494D34E-83F7-4750-8726-DB2EF4CA50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59" name="x_Picture 1" descr="Description: cid:image001.png@01D03949.49457930">
          <a:extLst>
            <a:ext uri="{FF2B5EF4-FFF2-40B4-BE49-F238E27FC236}">
              <a16:creationId xmlns:a16="http://schemas.microsoft.com/office/drawing/2014/main" id="{D57C977C-A558-4E92-90E2-5529D4A51E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0" name="x_Picture 1" descr="Description: cid:image001.png@01D03949.49457930">
          <a:extLst>
            <a:ext uri="{FF2B5EF4-FFF2-40B4-BE49-F238E27FC236}">
              <a16:creationId xmlns:a16="http://schemas.microsoft.com/office/drawing/2014/main" id="{B5368DD4-D8FB-4604-ABD2-2D33C8AC47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1" name="x_Picture 1" descr="Description: cid:image001.png@01D03949.49457930">
          <a:extLst>
            <a:ext uri="{FF2B5EF4-FFF2-40B4-BE49-F238E27FC236}">
              <a16:creationId xmlns:a16="http://schemas.microsoft.com/office/drawing/2014/main" id="{6978C5D7-5B46-46C2-B725-2F3202B8992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2" name="x_Picture 1" descr="Description: cid:image001.png@01D03949.49457930">
          <a:extLst>
            <a:ext uri="{FF2B5EF4-FFF2-40B4-BE49-F238E27FC236}">
              <a16:creationId xmlns:a16="http://schemas.microsoft.com/office/drawing/2014/main" id="{74E62884-2916-4FE7-A40E-E98F4C86A2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3" name="x_Picture 1" descr="Description: cid:image001.png@01D03949.49457930">
          <a:extLst>
            <a:ext uri="{FF2B5EF4-FFF2-40B4-BE49-F238E27FC236}">
              <a16:creationId xmlns:a16="http://schemas.microsoft.com/office/drawing/2014/main" id="{3AC5B465-CEF4-4221-8117-4E3D5DECB7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4" name="x_Picture 1" descr="Description: cid:image001.png@01D03949.49457930">
          <a:extLst>
            <a:ext uri="{FF2B5EF4-FFF2-40B4-BE49-F238E27FC236}">
              <a16:creationId xmlns:a16="http://schemas.microsoft.com/office/drawing/2014/main" id="{D93928D9-6F8D-4359-8EEE-7501AD2553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5" name="x_Picture 1" descr="Description: cid:image001.png@01D03949.49457930">
          <a:extLst>
            <a:ext uri="{FF2B5EF4-FFF2-40B4-BE49-F238E27FC236}">
              <a16:creationId xmlns:a16="http://schemas.microsoft.com/office/drawing/2014/main" id="{67F54DD7-0DD5-4449-B823-248200CECD7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6" name="x_Picture 1" descr="Description: cid:image001.png@01D03949.49457930">
          <a:extLst>
            <a:ext uri="{FF2B5EF4-FFF2-40B4-BE49-F238E27FC236}">
              <a16:creationId xmlns:a16="http://schemas.microsoft.com/office/drawing/2014/main" id="{CF6B103D-ED44-4E3A-B390-4B6C3FF9E4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7" name="x_Picture 1" descr="Description: cid:image001.png@01D03949.49457930">
          <a:extLst>
            <a:ext uri="{FF2B5EF4-FFF2-40B4-BE49-F238E27FC236}">
              <a16:creationId xmlns:a16="http://schemas.microsoft.com/office/drawing/2014/main" id="{3F71CC9C-9A94-4BA8-87F7-5895019766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8" name="x_Picture 1" descr="Description: cid:image001.png@01D03949.49457930">
          <a:extLst>
            <a:ext uri="{FF2B5EF4-FFF2-40B4-BE49-F238E27FC236}">
              <a16:creationId xmlns:a16="http://schemas.microsoft.com/office/drawing/2014/main" id="{441FECEE-ACCF-4226-B443-64F6EF0615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69" name="x_Picture 1" descr="Description: cid:image001.png@01D03949.49457930">
          <a:extLst>
            <a:ext uri="{FF2B5EF4-FFF2-40B4-BE49-F238E27FC236}">
              <a16:creationId xmlns:a16="http://schemas.microsoft.com/office/drawing/2014/main" id="{9701EF28-84CC-437C-B134-30B6699077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0" name="x_Picture 1" descr="Description: cid:image001.png@01D03949.49457930">
          <a:extLst>
            <a:ext uri="{FF2B5EF4-FFF2-40B4-BE49-F238E27FC236}">
              <a16:creationId xmlns:a16="http://schemas.microsoft.com/office/drawing/2014/main" id="{C0982855-AF7E-4132-846D-122BB6A906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1" name="x_Picture 1" descr="Description: cid:image001.png@01D03949.49457930">
          <a:extLst>
            <a:ext uri="{FF2B5EF4-FFF2-40B4-BE49-F238E27FC236}">
              <a16:creationId xmlns:a16="http://schemas.microsoft.com/office/drawing/2014/main" id="{C43C51F2-F933-44A1-AEDB-1128414F37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2" name="x_Picture 1" descr="Description: cid:image001.png@01D03949.49457930">
          <a:extLst>
            <a:ext uri="{FF2B5EF4-FFF2-40B4-BE49-F238E27FC236}">
              <a16:creationId xmlns:a16="http://schemas.microsoft.com/office/drawing/2014/main" id="{B2F804D9-462B-46B3-AF7C-5BFDBDFF142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3" name="x_Picture 1" descr="Description: cid:image001.png@01D03949.49457930">
          <a:extLst>
            <a:ext uri="{FF2B5EF4-FFF2-40B4-BE49-F238E27FC236}">
              <a16:creationId xmlns:a16="http://schemas.microsoft.com/office/drawing/2014/main" id="{ADBA3A7E-E738-4B38-96C6-3C1B0E8B6EF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4" name="x_Picture 1" descr="Description: cid:image001.png@01D03949.49457930">
          <a:extLst>
            <a:ext uri="{FF2B5EF4-FFF2-40B4-BE49-F238E27FC236}">
              <a16:creationId xmlns:a16="http://schemas.microsoft.com/office/drawing/2014/main" id="{1BF74F61-3D3D-4BE7-9652-1B196C1FA0D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5" name="x_Picture 1" descr="Description: cid:image001.png@01D03949.49457930">
          <a:extLst>
            <a:ext uri="{FF2B5EF4-FFF2-40B4-BE49-F238E27FC236}">
              <a16:creationId xmlns:a16="http://schemas.microsoft.com/office/drawing/2014/main" id="{E544F610-CE00-4913-8CAC-228132197A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6" name="x_Picture 1" descr="Description: cid:image001.png@01D03949.49457930">
          <a:extLst>
            <a:ext uri="{FF2B5EF4-FFF2-40B4-BE49-F238E27FC236}">
              <a16:creationId xmlns:a16="http://schemas.microsoft.com/office/drawing/2014/main" id="{AE74F765-FC80-4EC5-9F77-A7C5ECCC7E5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7" name="x_Picture 1" descr="Description: cid:image001.png@01D03949.49457930">
          <a:extLst>
            <a:ext uri="{FF2B5EF4-FFF2-40B4-BE49-F238E27FC236}">
              <a16:creationId xmlns:a16="http://schemas.microsoft.com/office/drawing/2014/main" id="{F623C5D2-F235-4311-9ECE-C3BFE5AAED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8" name="x_Picture 1" descr="Description: cid:image001.png@01D03949.49457930">
          <a:extLst>
            <a:ext uri="{FF2B5EF4-FFF2-40B4-BE49-F238E27FC236}">
              <a16:creationId xmlns:a16="http://schemas.microsoft.com/office/drawing/2014/main" id="{9E8AF0ED-7DF7-46B3-9887-CD4EF2DBA0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79" name="x_Picture 1" descr="Description: cid:image001.png@01D03949.49457930">
          <a:extLst>
            <a:ext uri="{FF2B5EF4-FFF2-40B4-BE49-F238E27FC236}">
              <a16:creationId xmlns:a16="http://schemas.microsoft.com/office/drawing/2014/main" id="{19DDEC6C-3936-479A-877B-14BABAB503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0" name="x_Picture 1" descr="Description: cid:image001.png@01D03949.49457930">
          <a:extLst>
            <a:ext uri="{FF2B5EF4-FFF2-40B4-BE49-F238E27FC236}">
              <a16:creationId xmlns:a16="http://schemas.microsoft.com/office/drawing/2014/main" id="{25AF6176-F504-43C1-87AF-C00EE8CA44B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1" name="x_Picture 1" descr="Description: cid:image001.png@01D03949.49457930">
          <a:extLst>
            <a:ext uri="{FF2B5EF4-FFF2-40B4-BE49-F238E27FC236}">
              <a16:creationId xmlns:a16="http://schemas.microsoft.com/office/drawing/2014/main" id="{35B02773-0553-44E1-8572-42CD3C7B55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2" name="x_Picture 1" descr="Description: cid:image001.png@01D03949.49457930">
          <a:extLst>
            <a:ext uri="{FF2B5EF4-FFF2-40B4-BE49-F238E27FC236}">
              <a16:creationId xmlns:a16="http://schemas.microsoft.com/office/drawing/2014/main" id="{53749636-7ADF-43A5-8534-96FDA87BB3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3" name="x_Picture 1" descr="Description: cid:image001.png@01D03949.49457930">
          <a:extLst>
            <a:ext uri="{FF2B5EF4-FFF2-40B4-BE49-F238E27FC236}">
              <a16:creationId xmlns:a16="http://schemas.microsoft.com/office/drawing/2014/main" id="{FAA22831-1F41-42F8-AB35-E4A7208C79C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4" name="x_Picture 1" descr="Description: cid:image001.png@01D03949.49457930">
          <a:extLst>
            <a:ext uri="{FF2B5EF4-FFF2-40B4-BE49-F238E27FC236}">
              <a16:creationId xmlns:a16="http://schemas.microsoft.com/office/drawing/2014/main" id="{737C4C25-A7A9-4FBE-B67A-188D6464057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5" name="x_Picture 1" descr="Description: cid:image001.png@01D03949.49457930">
          <a:extLst>
            <a:ext uri="{FF2B5EF4-FFF2-40B4-BE49-F238E27FC236}">
              <a16:creationId xmlns:a16="http://schemas.microsoft.com/office/drawing/2014/main" id="{90E1A127-F142-46BE-A221-6EF8293CD3E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6" name="x_Picture 1" descr="Description: cid:image001.png@01D03949.49457930">
          <a:extLst>
            <a:ext uri="{FF2B5EF4-FFF2-40B4-BE49-F238E27FC236}">
              <a16:creationId xmlns:a16="http://schemas.microsoft.com/office/drawing/2014/main" id="{75DFF62B-C27A-4D11-BB60-BCFC91BC8C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7" name="x_Picture 1" descr="Description: cid:image001.png@01D03949.49457930">
          <a:extLst>
            <a:ext uri="{FF2B5EF4-FFF2-40B4-BE49-F238E27FC236}">
              <a16:creationId xmlns:a16="http://schemas.microsoft.com/office/drawing/2014/main" id="{134F3FB4-F21F-4E16-B026-71963759C4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8" name="x_Picture 1" descr="Description: cid:image001.png@01D03949.49457930">
          <a:extLst>
            <a:ext uri="{FF2B5EF4-FFF2-40B4-BE49-F238E27FC236}">
              <a16:creationId xmlns:a16="http://schemas.microsoft.com/office/drawing/2014/main" id="{F036F40A-0976-4B95-AB5A-767B5AEF0B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89" name="x_Picture 1" descr="Description: cid:image001.png@01D03949.49457930">
          <a:extLst>
            <a:ext uri="{FF2B5EF4-FFF2-40B4-BE49-F238E27FC236}">
              <a16:creationId xmlns:a16="http://schemas.microsoft.com/office/drawing/2014/main" id="{76BEFD43-E75D-4FC2-AB10-BE54D4A469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0" name="x_Picture 1" descr="Description: cid:image001.png@01D03949.49457930">
          <a:extLst>
            <a:ext uri="{FF2B5EF4-FFF2-40B4-BE49-F238E27FC236}">
              <a16:creationId xmlns:a16="http://schemas.microsoft.com/office/drawing/2014/main" id="{5237B353-45AB-4C50-B2C0-F69B966900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1" name="x_Picture 1" descr="Description: cid:image001.png@01D03949.49457930">
          <a:extLst>
            <a:ext uri="{FF2B5EF4-FFF2-40B4-BE49-F238E27FC236}">
              <a16:creationId xmlns:a16="http://schemas.microsoft.com/office/drawing/2014/main" id="{7C7DAA7D-3942-44E3-9724-29D644DB8D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2" name="x_Picture 1" descr="Description: cid:image001.png@01D03949.49457930">
          <a:extLst>
            <a:ext uri="{FF2B5EF4-FFF2-40B4-BE49-F238E27FC236}">
              <a16:creationId xmlns:a16="http://schemas.microsoft.com/office/drawing/2014/main" id="{6886CE90-0996-4B64-9640-55674C9D20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3" name="x_Picture 1" descr="Description: cid:image001.png@01D03949.49457930">
          <a:extLst>
            <a:ext uri="{FF2B5EF4-FFF2-40B4-BE49-F238E27FC236}">
              <a16:creationId xmlns:a16="http://schemas.microsoft.com/office/drawing/2014/main" id="{45B0562A-8D74-467A-BADC-F3464FC4B3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4" name="x_Picture 1" descr="Description: cid:image001.png@01D03949.49457930">
          <a:extLst>
            <a:ext uri="{FF2B5EF4-FFF2-40B4-BE49-F238E27FC236}">
              <a16:creationId xmlns:a16="http://schemas.microsoft.com/office/drawing/2014/main" id="{0FBC6108-D259-4936-AB1F-E97E673E7C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5" name="x_Picture 1" descr="Description: cid:image001.png@01D03949.49457930">
          <a:extLst>
            <a:ext uri="{FF2B5EF4-FFF2-40B4-BE49-F238E27FC236}">
              <a16:creationId xmlns:a16="http://schemas.microsoft.com/office/drawing/2014/main" id="{47A9C07B-6784-4752-8556-59816F2A73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6" name="x_Picture 1" descr="Description: cid:image001.png@01D03949.49457930">
          <a:extLst>
            <a:ext uri="{FF2B5EF4-FFF2-40B4-BE49-F238E27FC236}">
              <a16:creationId xmlns:a16="http://schemas.microsoft.com/office/drawing/2014/main" id="{E2A0B8A8-5ECB-44EE-B8DC-A32B782DEE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7" name="x_Picture 1" descr="Description: cid:image001.png@01D03949.49457930">
          <a:extLst>
            <a:ext uri="{FF2B5EF4-FFF2-40B4-BE49-F238E27FC236}">
              <a16:creationId xmlns:a16="http://schemas.microsoft.com/office/drawing/2014/main" id="{062DB3C9-9C8B-4CAE-BE46-E40AE1D84F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8" name="x_Picture 1" descr="Description: cid:image001.png@01D03949.49457930">
          <a:extLst>
            <a:ext uri="{FF2B5EF4-FFF2-40B4-BE49-F238E27FC236}">
              <a16:creationId xmlns:a16="http://schemas.microsoft.com/office/drawing/2014/main" id="{F4D5B19D-7061-4F3D-A731-E46C6B2DC1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399" name="x_Picture 1" descr="Description: cid:image001.png@01D03949.49457930">
          <a:extLst>
            <a:ext uri="{FF2B5EF4-FFF2-40B4-BE49-F238E27FC236}">
              <a16:creationId xmlns:a16="http://schemas.microsoft.com/office/drawing/2014/main" id="{0AC76057-FEF9-4533-8C2D-99EC44CFD1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0" name="x_Picture 1" descr="Description: cid:image001.png@01D03949.49457930">
          <a:extLst>
            <a:ext uri="{FF2B5EF4-FFF2-40B4-BE49-F238E27FC236}">
              <a16:creationId xmlns:a16="http://schemas.microsoft.com/office/drawing/2014/main" id="{57546FAA-C8BA-400D-95D0-C2679E2DF5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1" name="x_Picture 1" descr="Description: cid:image001.png@01D03949.49457930">
          <a:extLst>
            <a:ext uri="{FF2B5EF4-FFF2-40B4-BE49-F238E27FC236}">
              <a16:creationId xmlns:a16="http://schemas.microsoft.com/office/drawing/2014/main" id="{2CF32DFC-253C-4365-9D9F-978C4E378C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2" name="x_Picture 1" descr="Description: cid:image001.png@01D03949.49457930">
          <a:extLst>
            <a:ext uri="{FF2B5EF4-FFF2-40B4-BE49-F238E27FC236}">
              <a16:creationId xmlns:a16="http://schemas.microsoft.com/office/drawing/2014/main" id="{BF9E04FE-4D8F-4969-AC08-4FCF43B3DA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3" name="x_Picture 1" descr="Description: cid:image001.png@01D03949.49457930">
          <a:extLst>
            <a:ext uri="{FF2B5EF4-FFF2-40B4-BE49-F238E27FC236}">
              <a16:creationId xmlns:a16="http://schemas.microsoft.com/office/drawing/2014/main" id="{D1A820CF-4C9B-44B7-80C3-69384CE8334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4" name="x_Picture 1" descr="Description: cid:image001.png@01D03949.49457930">
          <a:extLst>
            <a:ext uri="{FF2B5EF4-FFF2-40B4-BE49-F238E27FC236}">
              <a16:creationId xmlns:a16="http://schemas.microsoft.com/office/drawing/2014/main" id="{EE7AF4C7-9B53-44D9-9241-237DF2B62A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5" name="x_Picture 1" descr="Description: cid:image001.png@01D03949.49457930">
          <a:extLst>
            <a:ext uri="{FF2B5EF4-FFF2-40B4-BE49-F238E27FC236}">
              <a16:creationId xmlns:a16="http://schemas.microsoft.com/office/drawing/2014/main" id="{399D8288-E36E-4E47-A6F1-18FAB5CF91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6" name="x_Picture 1" descr="Description: cid:image001.png@01D03949.49457930">
          <a:extLst>
            <a:ext uri="{FF2B5EF4-FFF2-40B4-BE49-F238E27FC236}">
              <a16:creationId xmlns:a16="http://schemas.microsoft.com/office/drawing/2014/main" id="{F18B196F-A5E3-424E-8057-B920EEFEF3A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7" name="x_Picture 1" descr="Description: cid:image001.png@01D03949.49457930">
          <a:extLst>
            <a:ext uri="{FF2B5EF4-FFF2-40B4-BE49-F238E27FC236}">
              <a16:creationId xmlns:a16="http://schemas.microsoft.com/office/drawing/2014/main" id="{EF980ED1-2CFE-4160-9F5D-D141686E5E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8" name="x_Picture 1" descr="Description: cid:image001.png@01D03949.49457930">
          <a:extLst>
            <a:ext uri="{FF2B5EF4-FFF2-40B4-BE49-F238E27FC236}">
              <a16:creationId xmlns:a16="http://schemas.microsoft.com/office/drawing/2014/main" id="{470539F6-552E-48D4-962E-09B90696DB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09" name="x_Picture 1" descr="Description: cid:image001.png@01D03949.49457930">
          <a:extLst>
            <a:ext uri="{FF2B5EF4-FFF2-40B4-BE49-F238E27FC236}">
              <a16:creationId xmlns:a16="http://schemas.microsoft.com/office/drawing/2014/main" id="{C4D9E2A3-4845-4D1F-9CFD-4D5F3D6915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0" name="x_Picture 1" descr="Description: cid:image001.png@01D03949.49457930">
          <a:extLst>
            <a:ext uri="{FF2B5EF4-FFF2-40B4-BE49-F238E27FC236}">
              <a16:creationId xmlns:a16="http://schemas.microsoft.com/office/drawing/2014/main" id="{F2A7B95D-D083-4EF0-84FC-D210E853C6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1" name="x_Picture 1" descr="Description: cid:image001.png@01D03949.49457930">
          <a:extLst>
            <a:ext uri="{FF2B5EF4-FFF2-40B4-BE49-F238E27FC236}">
              <a16:creationId xmlns:a16="http://schemas.microsoft.com/office/drawing/2014/main" id="{ED873F7B-3CD3-458F-AF90-6236408F2D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2" name="x_Picture 1" descr="Description: cid:image001.png@01D03949.49457930">
          <a:extLst>
            <a:ext uri="{FF2B5EF4-FFF2-40B4-BE49-F238E27FC236}">
              <a16:creationId xmlns:a16="http://schemas.microsoft.com/office/drawing/2014/main" id="{37BF3CA1-8092-40D2-B0AF-9734FE29B57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3" name="x_Picture 1" descr="Description: cid:image001.png@01D03949.49457930">
          <a:extLst>
            <a:ext uri="{FF2B5EF4-FFF2-40B4-BE49-F238E27FC236}">
              <a16:creationId xmlns:a16="http://schemas.microsoft.com/office/drawing/2014/main" id="{E27E33DB-CBF7-43D6-8B97-FBC7C07779D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4" name="x_Picture 1" descr="Description: cid:image001.png@01D03949.49457930">
          <a:extLst>
            <a:ext uri="{FF2B5EF4-FFF2-40B4-BE49-F238E27FC236}">
              <a16:creationId xmlns:a16="http://schemas.microsoft.com/office/drawing/2014/main" id="{E10E7478-57E9-4707-9C51-BAE8004771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5" name="x_Picture 1" descr="Description: cid:image001.png@01D03949.49457930">
          <a:extLst>
            <a:ext uri="{FF2B5EF4-FFF2-40B4-BE49-F238E27FC236}">
              <a16:creationId xmlns:a16="http://schemas.microsoft.com/office/drawing/2014/main" id="{DC052118-B120-47EC-833D-CA9294EB58D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6" name="x_Picture 1" descr="Description: cid:image001.png@01D03949.49457930">
          <a:extLst>
            <a:ext uri="{FF2B5EF4-FFF2-40B4-BE49-F238E27FC236}">
              <a16:creationId xmlns:a16="http://schemas.microsoft.com/office/drawing/2014/main" id="{F358D883-7028-47EA-B2D6-BC132C1463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7" name="x_Picture 1" descr="Description: cid:image001.png@01D03949.49457930">
          <a:extLst>
            <a:ext uri="{FF2B5EF4-FFF2-40B4-BE49-F238E27FC236}">
              <a16:creationId xmlns:a16="http://schemas.microsoft.com/office/drawing/2014/main" id="{34424BAB-5E30-43C8-A3AA-259EB92652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8" name="x_Picture 1" descr="Description: cid:image001.png@01D03949.49457930">
          <a:extLst>
            <a:ext uri="{FF2B5EF4-FFF2-40B4-BE49-F238E27FC236}">
              <a16:creationId xmlns:a16="http://schemas.microsoft.com/office/drawing/2014/main" id="{634E2E62-C913-4221-8CD8-FDE3D062E6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19" name="x_Picture 1" descr="Description: cid:image001.png@01D03949.49457930">
          <a:extLst>
            <a:ext uri="{FF2B5EF4-FFF2-40B4-BE49-F238E27FC236}">
              <a16:creationId xmlns:a16="http://schemas.microsoft.com/office/drawing/2014/main" id="{6F9D2CDA-5524-4EC4-AF29-D8B2B06DF0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0" name="x_Picture 1" descr="Description: cid:image001.png@01D03949.49457930">
          <a:extLst>
            <a:ext uri="{FF2B5EF4-FFF2-40B4-BE49-F238E27FC236}">
              <a16:creationId xmlns:a16="http://schemas.microsoft.com/office/drawing/2014/main" id="{C338B1C0-ACA9-4183-8B46-E0D17118D9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1" name="x_Picture 1" descr="Description: cid:image001.png@01D03949.49457930">
          <a:extLst>
            <a:ext uri="{FF2B5EF4-FFF2-40B4-BE49-F238E27FC236}">
              <a16:creationId xmlns:a16="http://schemas.microsoft.com/office/drawing/2014/main" id="{8C2FC0A1-A809-46F5-B4F8-A849E97B8BC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2" name="x_Picture 1" descr="Description: cid:image001.png@01D03949.49457930">
          <a:extLst>
            <a:ext uri="{FF2B5EF4-FFF2-40B4-BE49-F238E27FC236}">
              <a16:creationId xmlns:a16="http://schemas.microsoft.com/office/drawing/2014/main" id="{027EC075-1FE6-40D5-ACEB-B471A65310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3" name="x_Picture 1" descr="Description: cid:image001.png@01D03949.49457930">
          <a:extLst>
            <a:ext uri="{FF2B5EF4-FFF2-40B4-BE49-F238E27FC236}">
              <a16:creationId xmlns:a16="http://schemas.microsoft.com/office/drawing/2014/main" id="{BEE1D3F9-52D8-44EE-BFE0-B096528C2D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4" name="x_Picture 1" descr="Description: cid:image001.png@01D03949.49457930">
          <a:extLst>
            <a:ext uri="{FF2B5EF4-FFF2-40B4-BE49-F238E27FC236}">
              <a16:creationId xmlns:a16="http://schemas.microsoft.com/office/drawing/2014/main" id="{98DCD423-9EA7-4ABD-82EC-2349F23FBA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5" name="x_Picture 1" descr="Description: cid:image001.png@01D03949.49457930">
          <a:extLst>
            <a:ext uri="{FF2B5EF4-FFF2-40B4-BE49-F238E27FC236}">
              <a16:creationId xmlns:a16="http://schemas.microsoft.com/office/drawing/2014/main" id="{99175D65-E5D2-4D5E-964C-B2DF07E049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6" name="x_Picture 1" descr="Description: cid:image001.png@01D03949.49457930">
          <a:extLst>
            <a:ext uri="{FF2B5EF4-FFF2-40B4-BE49-F238E27FC236}">
              <a16:creationId xmlns:a16="http://schemas.microsoft.com/office/drawing/2014/main" id="{BF7073E7-7DEF-4817-B3DC-116B1D0F74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7" name="x_Picture 1" descr="Description: cid:image001.png@01D03949.49457930">
          <a:extLst>
            <a:ext uri="{FF2B5EF4-FFF2-40B4-BE49-F238E27FC236}">
              <a16:creationId xmlns:a16="http://schemas.microsoft.com/office/drawing/2014/main" id="{BBBDF3E2-77FB-4B8D-820A-F7715D65E5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8" name="x_Picture 1" descr="Description: cid:image001.png@01D03949.49457930">
          <a:extLst>
            <a:ext uri="{FF2B5EF4-FFF2-40B4-BE49-F238E27FC236}">
              <a16:creationId xmlns:a16="http://schemas.microsoft.com/office/drawing/2014/main" id="{5CB825C2-309A-45FF-9616-423715E2FEF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29" name="x_Picture 1" descr="Description: cid:image001.png@01D03949.49457930">
          <a:extLst>
            <a:ext uri="{FF2B5EF4-FFF2-40B4-BE49-F238E27FC236}">
              <a16:creationId xmlns:a16="http://schemas.microsoft.com/office/drawing/2014/main" id="{FFB58AA6-134C-463E-974A-7527C0E6B1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0" name="x_Picture 1" descr="Description: cid:image001.png@01D03949.49457930">
          <a:extLst>
            <a:ext uri="{FF2B5EF4-FFF2-40B4-BE49-F238E27FC236}">
              <a16:creationId xmlns:a16="http://schemas.microsoft.com/office/drawing/2014/main" id="{A52FA930-9758-4695-901C-CA387439A5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1" name="x_Picture 1" descr="Description: cid:image001.png@01D03949.49457930">
          <a:extLst>
            <a:ext uri="{FF2B5EF4-FFF2-40B4-BE49-F238E27FC236}">
              <a16:creationId xmlns:a16="http://schemas.microsoft.com/office/drawing/2014/main" id="{71D9A770-CCE9-4A58-A0CF-CEE1F8960E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2" name="x_Picture 1" descr="Description: cid:image001.png@01D03949.49457930">
          <a:extLst>
            <a:ext uri="{FF2B5EF4-FFF2-40B4-BE49-F238E27FC236}">
              <a16:creationId xmlns:a16="http://schemas.microsoft.com/office/drawing/2014/main" id="{D3B9275B-F3BF-4873-AFC4-846171DED5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3" name="x_Picture 1" descr="Description: cid:image001.png@01D03949.49457930">
          <a:extLst>
            <a:ext uri="{FF2B5EF4-FFF2-40B4-BE49-F238E27FC236}">
              <a16:creationId xmlns:a16="http://schemas.microsoft.com/office/drawing/2014/main" id="{E8881321-52C0-459F-BB97-2D284D21FE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4" name="x_Picture 1" descr="Description: cid:image001.png@01D03949.49457930">
          <a:extLst>
            <a:ext uri="{FF2B5EF4-FFF2-40B4-BE49-F238E27FC236}">
              <a16:creationId xmlns:a16="http://schemas.microsoft.com/office/drawing/2014/main" id="{07EB4CF2-1A19-47F9-A687-B4D1D2E537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5" name="x_Picture 1" descr="Description: cid:image001.png@01D03949.49457930">
          <a:extLst>
            <a:ext uri="{FF2B5EF4-FFF2-40B4-BE49-F238E27FC236}">
              <a16:creationId xmlns:a16="http://schemas.microsoft.com/office/drawing/2014/main" id="{F22B0FE6-697F-492E-81F5-3068CACE8CE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6" name="x_Picture 1" descr="Description: cid:image001.png@01D03949.49457930">
          <a:extLst>
            <a:ext uri="{FF2B5EF4-FFF2-40B4-BE49-F238E27FC236}">
              <a16:creationId xmlns:a16="http://schemas.microsoft.com/office/drawing/2014/main" id="{1AD015D4-A67C-420F-9CCF-67AFA0C1FB1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7" name="x_Picture 1" descr="Description: cid:image001.png@01D03949.49457930">
          <a:extLst>
            <a:ext uri="{FF2B5EF4-FFF2-40B4-BE49-F238E27FC236}">
              <a16:creationId xmlns:a16="http://schemas.microsoft.com/office/drawing/2014/main" id="{2AD637BF-2DE1-4F35-A579-8F5C3670A7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8" name="x_Picture 1" descr="Description: cid:image001.png@01D03949.49457930">
          <a:extLst>
            <a:ext uri="{FF2B5EF4-FFF2-40B4-BE49-F238E27FC236}">
              <a16:creationId xmlns:a16="http://schemas.microsoft.com/office/drawing/2014/main" id="{3D6D414E-BB21-403D-B598-27C6AC8B19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39" name="x_Picture 1" descr="Description: cid:image001.png@01D03949.49457930">
          <a:extLst>
            <a:ext uri="{FF2B5EF4-FFF2-40B4-BE49-F238E27FC236}">
              <a16:creationId xmlns:a16="http://schemas.microsoft.com/office/drawing/2014/main" id="{AC41E6F4-350D-4F4C-8138-710893848E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0" name="x_Picture 1" descr="Description: cid:image001.png@01D03949.49457930">
          <a:extLst>
            <a:ext uri="{FF2B5EF4-FFF2-40B4-BE49-F238E27FC236}">
              <a16:creationId xmlns:a16="http://schemas.microsoft.com/office/drawing/2014/main" id="{823CDE15-F538-4607-A70E-BDB9BF0B52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1" name="x_Picture 1" descr="Description: cid:image001.png@01D03949.49457930">
          <a:extLst>
            <a:ext uri="{FF2B5EF4-FFF2-40B4-BE49-F238E27FC236}">
              <a16:creationId xmlns:a16="http://schemas.microsoft.com/office/drawing/2014/main" id="{6320DCD6-5D6E-4C66-A255-7AA5F828E83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2" name="x_Picture 1" descr="Description: cid:image001.png@01D03949.49457930">
          <a:extLst>
            <a:ext uri="{FF2B5EF4-FFF2-40B4-BE49-F238E27FC236}">
              <a16:creationId xmlns:a16="http://schemas.microsoft.com/office/drawing/2014/main" id="{284E8949-C6DD-4683-AE0A-2C05F63722C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3" name="x_Picture 1" descr="Description: cid:image001.png@01D03949.49457930">
          <a:extLst>
            <a:ext uri="{FF2B5EF4-FFF2-40B4-BE49-F238E27FC236}">
              <a16:creationId xmlns:a16="http://schemas.microsoft.com/office/drawing/2014/main" id="{067C4E58-1C07-47E0-A335-1BBA832BB8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4" name="x_Picture 1" descr="Description: cid:image001.png@01D03949.49457930">
          <a:extLst>
            <a:ext uri="{FF2B5EF4-FFF2-40B4-BE49-F238E27FC236}">
              <a16:creationId xmlns:a16="http://schemas.microsoft.com/office/drawing/2014/main" id="{4E70AFD2-315F-429F-AB41-8227497363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5" name="x_Picture 1" descr="Description: cid:image001.png@01D03949.49457930">
          <a:extLst>
            <a:ext uri="{FF2B5EF4-FFF2-40B4-BE49-F238E27FC236}">
              <a16:creationId xmlns:a16="http://schemas.microsoft.com/office/drawing/2014/main" id="{F7EA3CBF-4A29-48AB-AA5D-E1DAF576B9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6" name="x_Picture 1" descr="Description: cid:image001.png@01D03949.49457930">
          <a:extLst>
            <a:ext uri="{FF2B5EF4-FFF2-40B4-BE49-F238E27FC236}">
              <a16:creationId xmlns:a16="http://schemas.microsoft.com/office/drawing/2014/main" id="{E8072F43-96C0-4D0A-8548-84AE79AE79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7" name="x_Picture 1" descr="Description: cid:image001.png@01D03949.49457930">
          <a:extLst>
            <a:ext uri="{FF2B5EF4-FFF2-40B4-BE49-F238E27FC236}">
              <a16:creationId xmlns:a16="http://schemas.microsoft.com/office/drawing/2014/main" id="{50D86C19-0497-43F9-92B8-B1C9CC4660E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8" name="x_Picture 1" descr="Description: cid:image001.png@01D03949.49457930">
          <a:extLst>
            <a:ext uri="{FF2B5EF4-FFF2-40B4-BE49-F238E27FC236}">
              <a16:creationId xmlns:a16="http://schemas.microsoft.com/office/drawing/2014/main" id="{5AC1BCD6-E728-40D2-80C4-E9B425EC6A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49" name="x_Picture 1" descr="Description: cid:image001.png@01D03949.49457930">
          <a:extLst>
            <a:ext uri="{FF2B5EF4-FFF2-40B4-BE49-F238E27FC236}">
              <a16:creationId xmlns:a16="http://schemas.microsoft.com/office/drawing/2014/main" id="{9DD06F19-BAD8-4E78-8407-3CDD0684D8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0" name="x_Picture 1" descr="Description: cid:image001.png@01D03949.49457930">
          <a:extLst>
            <a:ext uri="{FF2B5EF4-FFF2-40B4-BE49-F238E27FC236}">
              <a16:creationId xmlns:a16="http://schemas.microsoft.com/office/drawing/2014/main" id="{0AE302AD-502D-45CF-9082-0666CB60B6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1" name="x_Picture 1" descr="Description: cid:image001.png@01D03949.49457930">
          <a:extLst>
            <a:ext uri="{FF2B5EF4-FFF2-40B4-BE49-F238E27FC236}">
              <a16:creationId xmlns:a16="http://schemas.microsoft.com/office/drawing/2014/main" id="{8381FFA0-5F42-4AA8-862B-F2E0FDBE2B2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2" name="x_Picture 1" descr="Description: cid:image001.png@01D03949.49457930">
          <a:extLst>
            <a:ext uri="{FF2B5EF4-FFF2-40B4-BE49-F238E27FC236}">
              <a16:creationId xmlns:a16="http://schemas.microsoft.com/office/drawing/2014/main" id="{83937C17-6CAC-4F7F-AEF3-D2035FF6C0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3" name="x_Picture 1" descr="Description: cid:image001.png@01D03949.49457930">
          <a:extLst>
            <a:ext uri="{FF2B5EF4-FFF2-40B4-BE49-F238E27FC236}">
              <a16:creationId xmlns:a16="http://schemas.microsoft.com/office/drawing/2014/main" id="{805499EF-020B-4AC5-A126-F2D9C4DF17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4" name="x_Picture 1" descr="Description: cid:image001.png@01D03949.49457930">
          <a:extLst>
            <a:ext uri="{FF2B5EF4-FFF2-40B4-BE49-F238E27FC236}">
              <a16:creationId xmlns:a16="http://schemas.microsoft.com/office/drawing/2014/main" id="{33AA958C-C159-421C-94C0-34A80042D4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5" name="x_Picture 1" descr="Description: cid:image001.png@01D03949.49457930">
          <a:extLst>
            <a:ext uri="{FF2B5EF4-FFF2-40B4-BE49-F238E27FC236}">
              <a16:creationId xmlns:a16="http://schemas.microsoft.com/office/drawing/2014/main" id="{49F498E2-6BB4-4282-BAA1-15886275E8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6" name="x_Picture 1" descr="Description: cid:image001.png@01D03949.49457930">
          <a:extLst>
            <a:ext uri="{FF2B5EF4-FFF2-40B4-BE49-F238E27FC236}">
              <a16:creationId xmlns:a16="http://schemas.microsoft.com/office/drawing/2014/main" id="{B8BDF918-4878-45A3-B845-1BAAAB78206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7" name="x_Picture 1" descr="Description: cid:image001.png@01D03949.49457930">
          <a:extLst>
            <a:ext uri="{FF2B5EF4-FFF2-40B4-BE49-F238E27FC236}">
              <a16:creationId xmlns:a16="http://schemas.microsoft.com/office/drawing/2014/main" id="{C7CCED22-705B-44EE-ACCD-2C0A3FE7BA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8" name="x_Picture 1" descr="Description: cid:image001.png@01D03949.49457930">
          <a:extLst>
            <a:ext uri="{FF2B5EF4-FFF2-40B4-BE49-F238E27FC236}">
              <a16:creationId xmlns:a16="http://schemas.microsoft.com/office/drawing/2014/main" id="{BBFD6FB0-D0ED-415B-89FE-ED95248EAB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59" name="x_Picture 1" descr="Description: cid:image001.png@01D03949.49457930">
          <a:extLst>
            <a:ext uri="{FF2B5EF4-FFF2-40B4-BE49-F238E27FC236}">
              <a16:creationId xmlns:a16="http://schemas.microsoft.com/office/drawing/2014/main" id="{D55431FE-D35F-4A29-AD17-F7834B17B50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0" name="x_Picture 1" descr="Description: cid:image001.png@01D03949.49457930">
          <a:extLst>
            <a:ext uri="{FF2B5EF4-FFF2-40B4-BE49-F238E27FC236}">
              <a16:creationId xmlns:a16="http://schemas.microsoft.com/office/drawing/2014/main" id="{19DCDBAC-789A-41C3-BE60-63FD2DF2D2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1" name="x_Picture 1" descr="Description: cid:image001.png@01D03949.49457930">
          <a:extLst>
            <a:ext uri="{FF2B5EF4-FFF2-40B4-BE49-F238E27FC236}">
              <a16:creationId xmlns:a16="http://schemas.microsoft.com/office/drawing/2014/main" id="{CA76CE04-3E17-4BB0-A120-FF3388BAAC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2" name="x_Picture 1" descr="Description: cid:image001.png@01D03949.49457930">
          <a:extLst>
            <a:ext uri="{FF2B5EF4-FFF2-40B4-BE49-F238E27FC236}">
              <a16:creationId xmlns:a16="http://schemas.microsoft.com/office/drawing/2014/main" id="{390765C6-EC64-4CBE-93CF-F29F6CECD3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3" name="x_Picture 1" descr="Description: cid:image001.png@01D03949.49457930">
          <a:extLst>
            <a:ext uri="{FF2B5EF4-FFF2-40B4-BE49-F238E27FC236}">
              <a16:creationId xmlns:a16="http://schemas.microsoft.com/office/drawing/2014/main" id="{C594601B-8990-4E1D-8E9A-05C20C995E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4" name="x_Picture 1" descr="Description: cid:image001.png@01D03949.49457930">
          <a:extLst>
            <a:ext uri="{FF2B5EF4-FFF2-40B4-BE49-F238E27FC236}">
              <a16:creationId xmlns:a16="http://schemas.microsoft.com/office/drawing/2014/main" id="{6925B9A2-6DC9-4137-860D-E53F4876C2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5" name="x_Picture 1" descr="Description: cid:image001.png@01D03949.49457930">
          <a:extLst>
            <a:ext uri="{FF2B5EF4-FFF2-40B4-BE49-F238E27FC236}">
              <a16:creationId xmlns:a16="http://schemas.microsoft.com/office/drawing/2014/main" id="{1CB41520-CBB8-439E-B3A7-F25D51CF919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6" name="x_Picture 1" descr="Description: cid:image001.png@01D03949.49457930">
          <a:extLst>
            <a:ext uri="{FF2B5EF4-FFF2-40B4-BE49-F238E27FC236}">
              <a16:creationId xmlns:a16="http://schemas.microsoft.com/office/drawing/2014/main" id="{02E39DD5-A41F-4532-A8BF-A9EED40AA4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7" name="x_Picture 1" descr="Description: cid:image001.png@01D03949.49457930">
          <a:extLst>
            <a:ext uri="{FF2B5EF4-FFF2-40B4-BE49-F238E27FC236}">
              <a16:creationId xmlns:a16="http://schemas.microsoft.com/office/drawing/2014/main" id="{A703DA37-A5A9-47BC-AD45-030D4A1B3F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8" name="x_Picture 1" descr="Description: cid:image001.png@01D03949.49457930">
          <a:extLst>
            <a:ext uri="{FF2B5EF4-FFF2-40B4-BE49-F238E27FC236}">
              <a16:creationId xmlns:a16="http://schemas.microsoft.com/office/drawing/2014/main" id="{4C820461-D1E5-4F13-87B2-E4E63CD815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69" name="x_Picture 1" descr="Description: cid:image001.png@01D03949.49457930">
          <a:extLst>
            <a:ext uri="{FF2B5EF4-FFF2-40B4-BE49-F238E27FC236}">
              <a16:creationId xmlns:a16="http://schemas.microsoft.com/office/drawing/2014/main" id="{D62841DB-10FC-429A-8D87-814AF6C0F5A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0" name="x_Picture 1" descr="Description: cid:image001.png@01D03949.49457930">
          <a:extLst>
            <a:ext uri="{FF2B5EF4-FFF2-40B4-BE49-F238E27FC236}">
              <a16:creationId xmlns:a16="http://schemas.microsoft.com/office/drawing/2014/main" id="{95644FA6-776C-4059-899D-DAFD8FD618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1" name="x_Picture 1" descr="Description: cid:image001.png@01D03949.49457930">
          <a:extLst>
            <a:ext uri="{FF2B5EF4-FFF2-40B4-BE49-F238E27FC236}">
              <a16:creationId xmlns:a16="http://schemas.microsoft.com/office/drawing/2014/main" id="{92D3D3AB-BFD5-4B09-9F2D-1452CD9844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2" name="x_Picture 1" descr="Description: cid:image001.png@01D03949.49457930">
          <a:extLst>
            <a:ext uri="{FF2B5EF4-FFF2-40B4-BE49-F238E27FC236}">
              <a16:creationId xmlns:a16="http://schemas.microsoft.com/office/drawing/2014/main" id="{764D42F0-77CF-4C9A-86B4-5CAF8A139B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3" name="x_Picture 1" descr="Description: cid:image001.png@01D03949.49457930">
          <a:extLst>
            <a:ext uri="{FF2B5EF4-FFF2-40B4-BE49-F238E27FC236}">
              <a16:creationId xmlns:a16="http://schemas.microsoft.com/office/drawing/2014/main" id="{2D41BD72-8AC5-4958-AD0E-7B64F543B71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4" name="x_Picture 1" descr="Description: cid:image001.png@01D03949.49457930">
          <a:extLst>
            <a:ext uri="{FF2B5EF4-FFF2-40B4-BE49-F238E27FC236}">
              <a16:creationId xmlns:a16="http://schemas.microsoft.com/office/drawing/2014/main" id="{B7709FDC-B964-4A8A-A48D-813464B58B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5" name="x_Picture 1" descr="Description: cid:image001.png@01D03949.49457930">
          <a:extLst>
            <a:ext uri="{FF2B5EF4-FFF2-40B4-BE49-F238E27FC236}">
              <a16:creationId xmlns:a16="http://schemas.microsoft.com/office/drawing/2014/main" id="{E441E42F-2B39-4C23-91F9-6E0430FEB6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6" name="x_Picture 1" descr="Description: cid:image001.png@01D03949.49457930">
          <a:extLst>
            <a:ext uri="{FF2B5EF4-FFF2-40B4-BE49-F238E27FC236}">
              <a16:creationId xmlns:a16="http://schemas.microsoft.com/office/drawing/2014/main" id="{B692680F-3201-4FD5-B687-C8034A6427A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7" name="x_Picture 1" descr="Description: cid:image001.png@01D03949.49457930">
          <a:extLst>
            <a:ext uri="{FF2B5EF4-FFF2-40B4-BE49-F238E27FC236}">
              <a16:creationId xmlns:a16="http://schemas.microsoft.com/office/drawing/2014/main" id="{6F64B38A-4FBB-4B08-9E05-C87267222F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8" name="x_Picture 1" descr="Description: cid:image001.png@01D03949.49457930">
          <a:extLst>
            <a:ext uri="{FF2B5EF4-FFF2-40B4-BE49-F238E27FC236}">
              <a16:creationId xmlns:a16="http://schemas.microsoft.com/office/drawing/2014/main" id="{EF0859C1-9C1D-4517-8E3A-5E7D66B44A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79" name="x_Picture 1" descr="Description: cid:image001.png@01D03949.49457930">
          <a:extLst>
            <a:ext uri="{FF2B5EF4-FFF2-40B4-BE49-F238E27FC236}">
              <a16:creationId xmlns:a16="http://schemas.microsoft.com/office/drawing/2014/main" id="{9D51D854-E43E-4BE1-B35F-9EE0956A323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0" name="x_Picture 1" descr="Description: cid:image001.png@01D03949.49457930">
          <a:extLst>
            <a:ext uri="{FF2B5EF4-FFF2-40B4-BE49-F238E27FC236}">
              <a16:creationId xmlns:a16="http://schemas.microsoft.com/office/drawing/2014/main" id="{0954EF96-9693-4CF7-8C0C-21321F5F24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1" name="x_Picture 1" descr="Description: cid:image001.png@01D03949.49457930">
          <a:extLst>
            <a:ext uri="{FF2B5EF4-FFF2-40B4-BE49-F238E27FC236}">
              <a16:creationId xmlns:a16="http://schemas.microsoft.com/office/drawing/2014/main" id="{AC2D26FB-531D-425E-B9C8-06192CDDAF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2" name="x_Picture 1" descr="Description: cid:image001.png@01D03949.49457930">
          <a:extLst>
            <a:ext uri="{FF2B5EF4-FFF2-40B4-BE49-F238E27FC236}">
              <a16:creationId xmlns:a16="http://schemas.microsoft.com/office/drawing/2014/main" id="{E3ACAAA3-D81F-426B-8C2F-707833E856C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3" name="x_Picture 1" descr="Description: cid:image001.png@01D03949.49457930">
          <a:extLst>
            <a:ext uri="{FF2B5EF4-FFF2-40B4-BE49-F238E27FC236}">
              <a16:creationId xmlns:a16="http://schemas.microsoft.com/office/drawing/2014/main" id="{6A2800D1-E4BF-4BEE-AE74-E47C665CCA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4" name="x_Picture 1" descr="Description: cid:image001.png@01D03949.49457930">
          <a:extLst>
            <a:ext uri="{FF2B5EF4-FFF2-40B4-BE49-F238E27FC236}">
              <a16:creationId xmlns:a16="http://schemas.microsoft.com/office/drawing/2014/main" id="{55A94610-5848-40D4-9D6A-C4B4FF4F22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5" name="x_Picture 1" descr="Description: cid:image001.png@01D03949.49457930">
          <a:extLst>
            <a:ext uri="{FF2B5EF4-FFF2-40B4-BE49-F238E27FC236}">
              <a16:creationId xmlns:a16="http://schemas.microsoft.com/office/drawing/2014/main" id="{93F5BC39-1963-40FE-9542-1028EEDAFD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6" name="x_Picture 1" descr="Description: cid:image001.png@01D03949.49457930">
          <a:extLst>
            <a:ext uri="{FF2B5EF4-FFF2-40B4-BE49-F238E27FC236}">
              <a16:creationId xmlns:a16="http://schemas.microsoft.com/office/drawing/2014/main" id="{A35F9DAE-6895-4AFA-8773-7678596CDA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7" name="x_Picture 1" descr="Description: cid:image001.png@01D03949.49457930">
          <a:extLst>
            <a:ext uri="{FF2B5EF4-FFF2-40B4-BE49-F238E27FC236}">
              <a16:creationId xmlns:a16="http://schemas.microsoft.com/office/drawing/2014/main" id="{B2F2300D-8629-4D05-9930-BDA456D924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8" name="x_Picture 1" descr="Description: cid:image001.png@01D03949.49457930">
          <a:extLst>
            <a:ext uri="{FF2B5EF4-FFF2-40B4-BE49-F238E27FC236}">
              <a16:creationId xmlns:a16="http://schemas.microsoft.com/office/drawing/2014/main" id="{29AF4BFB-800D-4192-A0DF-F8C0BA2C14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89" name="x_Picture 1" descr="Description: cid:image001.png@01D03949.49457930">
          <a:extLst>
            <a:ext uri="{FF2B5EF4-FFF2-40B4-BE49-F238E27FC236}">
              <a16:creationId xmlns:a16="http://schemas.microsoft.com/office/drawing/2014/main" id="{F386B172-7909-436A-9688-EA3179CF0DB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0" name="x_Picture 1" descr="Description: cid:image001.png@01D03949.49457930">
          <a:extLst>
            <a:ext uri="{FF2B5EF4-FFF2-40B4-BE49-F238E27FC236}">
              <a16:creationId xmlns:a16="http://schemas.microsoft.com/office/drawing/2014/main" id="{7A08F863-6A2F-41AF-B96A-C7CEAB0A99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1" name="x_Picture 1" descr="Description: cid:image001.png@01D03949.49457930">
          <a:extLst>
            <a:ext uri="{FF2B5EF4-FFF2-40B4-BE49-F238E27FC236}">
              <a16:creationId xmlns:a16="http://schemas.microsoft.com/office/drawing/2014/main" id="{5B542446-74F9-4348-991F-7C0D587DF2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2" name="x_Picture 1" descr="Description: cid:image001.png@01D03949.49457930">
          <a:extLst>
            <a:ext uri="{FF2B5EF4-FFF2-40B4-BE49-F238E27FC236}">
              <a16:creationId xmlns:a16="http://schemas.microsoft.com/office/drawing/2014/main" id="{2DD3DC5B-5423-4185-A48E-731C561944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3" name="x_Picture 1" descr="Description: cid:image001.png@01D03949.49457930">
          <a:extLst>
            <a:ext uri="{FF2B5EF4-FFF2-40B4-BE49-F238E27FC236}">
              <a16:creationId xmlns:a16="http://schemas.microsoft.com/office/drawing/2014/main" id="{FA79A40C-F640-4D3B-9934-6F9297ECBA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4" name="x_Picture 1" descr="Description: cid:image001.png@01D03949.49457930">
          <a:extLst>
            <a:ext uri="{FF2B5EF4-FFF2-40B4-BE49-F238E27FC236}">
              <a16:creationId xmlns:a16="http://schemas.microsoft.com/office/drawing/2014/main" id="{C83213B5-0C61-4A47-A4BE-55E504F233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5" name="x_Picture 1" descr="Description: cid:image001.png@01D03949.49457930">
          <a:extLst>
            <a:ext uri="{FF2B5EF4-FFF2-40B4-BE49-F238E27FC236}">
              <a16:creationId xmlns:a16="http://schemas.microsoft.com/office/drawing/2014/main" id="{E7E02BEE-9D42-49BD-BC57-144D3BED8E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6" name="x_Picture 1" descr="Description: cid:image001.png@01D03949.49457930">
          <a:extLst>
            <a:ext uri="{FF2B5EF4-FFF2-40B4-BE49-F238E27FC236}">
              <a16:creationId xmlns:a16="http://schemas.microsoft.com/office/drawing/2014/main" id="{F7143065-1D37-4400-9F56-6F48609CEC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7" name="x_Picture 1" descr="Description: cid:image001.png@01D03949.49457930">
          <a:extLst>
            <a:ext uri="{FF2B5EF4-FFF2-40B4-BE49-F238E27FC236}">
              <a16:creationId xmlns:a16="http://schemas.microsoft.com/office/drawing/2014/main" id="{6AA106E1-B69B-4C37-8135-2ABFA27AB3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8" name="x_Picture 1" descr="Description: cid:image001.png@01D03949.49457930">
          <a:extLst>
            <a:ext uri="{FF2B5EF4-FFF2-40B4-BE49-F238E27FC236}">
              <a16:creationId xmlns:a16="http://schemas.microsoft.com/office/drawing/2014/main" id="{6E2D02D7-FA4D-4C75-B34A-F1D6E8709F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499" name="x_Picture 1" descr="Description: cid:image001.png@01D03949.49457930">
          <a:extLst>
            <a:ext uri="{FF2B5EF4-FFF2-40B4-BE49-F238E27FC236}">
              <a16:creationId xmlns:a16="http://schemas.microsoft.com/office/drawing/2014/main" id="{B8C3C851-D287-4E70-ABFD-B462F34E767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0" name="x_Picture 1" descr="Description: cid:image001.png@01D03949.49457930">
          <a:extLst>
            <a:ext uri="{FF2B5EF4-FFF2-40B4-BE49-F238E27FC236}">
              <a16:creationId xmlns:a16="http://schemas.microsoft.com/office/drawing/2014/main" id="{BABA1D9F-9DE7-4DE1-A7CD-470C64B1F9F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1" name="x_Picture 1" descr="Description: cid:image001.png@01D03949.49457930">
          <a:extLst>
            <a:ext uri="{FF2B5EF4-FFF2-40B4-BE49-F238E27FC236}">
              <a16:creationId xmlns:a16="http://schemas.microsoft.com/office/drawing/2014/main" id="{128B6508-E6E0-42D8-983D-8ECE30E913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2" name="x_Picture 1" descr="Description: cid:image001.png@01D03949.49457930">
          <a:extLst>
            <a:ext uri="{FF2B5EF4-FFF2-40B4-BE49-F238E27FC236}">
              <a16:creationId xmlns:a16="http://schemas.microsoft.com/office/drawing/2014/main" id="{CDE7FE96-2B23-4A64-8A66-6A198A7762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3" name="x_Picture 1" descr="Description: cid:image001.png@01D03949.49457930">
          <a:extLst>
            <a:ext uri="{FF2B5EF4-FFF2-40B4-BE49-F238E27FC236}">
              <a16:creationId xmlns:a16="http://schemas.microsoft.com/office/drawing/2014/main" id="{97415D21-E4EB-42C4-8BEF-B3D065B2BAF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4" name="x_Picture 1" descr="Description: cid:image001.png@01D03949.49457930">
          <a:extLst>
            <a:ext uri="{FF2B5EF4-FFF2-40B4-BE49-F238E27FC236}">
              <a16:creationId xmlns:a16="http://schemas.microsoft.com/office/drawing/2014/main" id="{5BBC8293-0BE4-438B-8E42-E5AF105F3F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5" name="x_Picture 1" descr="Description: cid:image001.png@01D03949.49457930">
          <a:extLst>
            <a:ext uri="{FF2B5EF4-FFF2-40B4-BE49-F238E27FC236}">
              <a16:creationId xmlns:a16="http://schemas.microsoft.com/office/drawing/2014/main" id="{1F8308DA-F778-4D9D-B931-A3B73F9A3F8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6" name="x_Picture 1" descr="Description: cid:image001.png@01D03949.49457930">
          <a:extLst>
            <a:ext uri="{FF2B5EF4-FFF2-40B4-BE49-F238E27FC236}">
              <a16:creationId xmlns:a16="http://schemas.microsoft.com/office/drawing/2014/main" id="{B69B1123-5F29-4553-AA5F-B0BDFF7DA1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7" name="x_Picture 1" descr="Description: cid:image001.png@01D03949.49457930">
          <a:extLst>
            <a:ext uri="{FF2B5EF4-FFF2-40B4-BE49-F238E27FC236}">
              <a16:creationId xmlns:a16="http://schemas.microsoft.com/office/drawing/2014/main" id="{34E75F95-9D3A-46C7-87A6-268E9E9531F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8" name="x_Picture 1" descr="Description: cid:image001.png@01D03949.49457930">
          <a:extLst>
            <a:ext uri="{FF2B5EF4-FFF2-40B4-BE49-F238E27FC236}">
              <a16:creationId xmlns:a16="http://schemas.microsoft.com/office/drawing/2014/main" id="{A3480186-C3AC-4E04-A8F2-265AE6EE1C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09" name="x_Picture 1" descr="Description: cid:image001.png@01D03949.49457930">
          <a:extLst>
            <a:ext uri="{FF2B5EF4-FFF2-40B4-BE49-F238E27FC236}">
              <a16:creationId xmlns:a16="http://schemas.microsoft.com/office/drawing/2014/main" id="{6E870D84-9DCA-4C71-9253-2CB1ED987C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0" name="x_Picture 1" descr="Description: cid:image001.png@01D03949.49457930">
          <a:extLst>
            <a:ext uri="{FF2B5EF4-FFF2-40B4-BE49-F238E27FC236}">
              <a16:creationId xmlns:a16="http://schemas.microsoft.com/office/drawing/2014/main" id="{924CDC8E-7DE2-4FB4-BCA1-F01343317B0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1" name="x_Picture 1" descr="Description: cid:image001.png@01D03949.49457930">
          <a:extLst>
            <a:ext uri="{FF2B5EF4-FFF2-40B4-BE49-F238E27FC236}">
              <a16:creationId xmlns:a16="http://schemas.microsoft.com/office/drawing/2014/main" id="{3A6C4D32-0B48-412D-B5F6-8503FE870C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2" name="x_Picture 1" descr="Description: cid:image001.png@01D03949.49457930">
          <a:extLst>
            <a:ext uri="{FF2B5EF4-FFF2-40B4-BE49-F238E27FC236}">
              <a16:creationId xmlns:a16="http://schemas.microsoft.com/office/drawing/2014/main" id="{EC9E1E27-A4B1-4B15-B0B0-0F8530DBE7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3" name="x_Picture 1" descr="Description: cid:image001.png@01D03949.49457930">
          <a:extLst>
            <a:ext uri="{FF2B5EF4-FFF2-40B4-BE49-F238E27FC236}">
              <a16:creationId xmlns:a16="http://schemas.microsoft.com/office/drawing/2014/main" id="{AE79402A-1114-4CBA-9217-9CE87EB076C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4" name="x_Picture 1" descr="Description: cid:image001.png@01D03949.49457930">
          <a:extLst>
            <a:ext uri="{FF2B5EF4-FFF2-40B4-BE49-F238E27FC236}">
              <a16:creationId xmlns:a16="http://schemas.microsoft.com/office/drawing/2014/main" id="{61B78546-4225-4DFB-BE86-93ED6CE959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5" name="x_Picture 1" descr="Description: cid:image001.png@01D03949.49457930">
          <a:extLst>
            <a:ext uri="{FF2B5EF4-FFF2-40B4-BE49-F238E27FC236}">
              <a16:creationId xmlns:a16="http://schemas.microsoft.com/office/drawing/2014/main" id="{6304E397-B069-4156-B310-01EB116AAA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6" name="x_Picture 1" descr="Description: cid:image001.png@01D03949.49457930">
          <a:extLst>
            <a:ext uri="{FF2B5EF4-FFF2-40B4-BE49-F238E27FC236}">
              <a16:creationId xmlns:a16="http://schemas.microsoft.com/office/drawing/2014/main" id="{31A7D7FC-929E-4A74-AF8F-773A5FCC750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7" name="x_Picture 1" descr="Description: cid:image001.png@01D03949.49457930">
          <a:extLst>
            <a:ext uri="{FF2B5EF4-FFF2-40B4-BE49-F238E27FC236}">
              <a16:creationId xmlns:a16="http://schemas.microsoft.com/office/drawing/2014/main" id="{BF78FF08-FB8C-4BDD-B259-4C877FA597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8" name="x_Picture 1" descr="Description: cid:image001.png@01D03949.49457930">
          <a:extLst>
            <a:ext uri="{FF2B5EF4-FFF2-40B4-BE49-F238E27FC236}">
              <a16:creationId xmlns:a16="http://schemas.microsoft.com/office/drawing/2014/main" id="{48B54EAF-31C5-450E-9354-E4B733E9BE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19" name="x_Picture 1" descr="Description: cid:image001.png@01D03949.49457930">
          <a:extLst>
            <a:ext uri="{FF2B5EF4-FFF2-40B4-BE49-F238E27FC236}">
              <a16:creationId xmlns:a16="http://schemas.microsoft.com/office/drawing/2014/main" id="{BE048CD2-AB96-483F-849A-13E986F584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0" name="x_Picture 1" descr="Description: cid:image001.png@01D03949.49457930">
          <a:extLst>
            <a:ext uri="{FF2B5EF4-FFF2-40B4-BE49-F238E27FC236}">
              <a16:creationId xmlns:a16="http://schemas.microsoft.com/office/drawing/2014/main" id="{DE986F10-7B81-4838-8226-7DEA3C2BD8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1" name="x_Picture 1" descr="Description: cid:image001.png@01D03949.49457930">
          <a:extLst>
            <a:ext uri="{FF2B5EF4-FFF2-40B4-BE49-F238E27FC236}">
              <a16:creationId xmlns:a16="http://schemas.microsoft.com/office/drawing/2014/main" id="{FCAE993C-3113-4A23-8212-25B53FCB711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2" name="x_Picture 1" descr="Description: cid:image001.png@01D03949.49457930">
          <a:extLst>
            <a:ext uri="{FF2B5EF4-FFF2-40B4-BE49-F238E27FC236}">
              <a16:creationId xmlns:a16="http://schemas.microsoft.com/office/drawing/2014/main" id="{EF1B5AC3-73BD-49EC-BBA1-EAED26DA7A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3" name="x_Picture 1" descr="Description: cid:image001.png@01D03949.49457930">
          <a:extLst>
            <a:ext uri="{FF2B5EF4-FFF2-40B4-BE49-F238E27FC236}">
              <a16:creationId xmlns:a16="http://schemas.microsoft.com/office/drawing/2014/main" id="{DC6352D7-249E-4BD0-88B9-6EFE34C73A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4" name="x_Picture 1" descr="Description: cid:image001.png@01D03949.49457930">
          <a:extLst>
            <a:ext uri="{FF2B5EF4-FFF2-40B4-BE49-F238E27FC236}">
              <a16:creationId xmlns:a16="http://schemas.microsoft.com/office/drawing/2014/main" id="{F9E35844-6069-4CFC-AA04-86DA49E242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5" name="x_Picture 1" descr="Description: cid:image001.png@01D03949.49457930">
          <a:extLst>
            <a:ext uri="{FF2B5EF4-FFF2-40B4-BE49-F238E27FC236}">
              <a16:creationId xmlns:a16="http://schemas.microsoft.com/office/drawing/2014/main" id="{8EEF387F-3183-4F53-B028-489FC6188A1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6" name="x_Picture 1" descr="Description: cid:image001.png@01D03949.49457930">
          <a:extLst>
            <a:ext uri="{FF2B5EF4-FFF2-40B4-BE49-F238E27FC236}">
              <a16:creationId xmlns:a16="http://schemas.microsoft.com/office/drawing/2014/main" id="{6C21F5EC-5A6C-4C98-B481-42417286CF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7" name="x_Picture 1" descr="Description: cid:image001.png@01D03949.49457930">
          <a:extLst>
            <a:ext uri="{FF2B5EF4-FFF2-40B4-BE49-F238E27FC236}">
              <a16:creationId xmlns:a16="http://schemas.microsoft.com/office/drawing/2014/main" id="{69D8C38F-D822-4555-846D-9DC69E0155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8" name="x_Picture 1" descr="Description: cid:image001.png@01D03949.49457930">
          <a:extLst>
            <a:ext uri="{FF2B5EF4-FFF2-40B4-BE49-F238E27FC236}">
              <a16:creationId xmlns:a16="http://schemas.microsoft.com/office/drawing/2014/main" id="{F0B27C84-CF32-492C-A902-9DEC6C517D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29" name="x_Picture 1" descr="Description: cid:image001.png@01D03949.49457930">
          <a:extLst>
            <a:ext uri="{FF2B5EF4-FFF2-40B4-BE49-F238E27FC236}">
              <a16:creationId xmlns:a16="http://schemas.microsoft.com/office/drawing/2014/main" id="{3668EAAB-ADED-44D5-8E44-5E93121FC87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0" name="x_Picture 1" descr="Description: cid:image001.png@01D03949.49457930">
          <a:extLst>
            <a:ext uri="{FF2B5EF4-FFF2-40B4-BE49-F238E27FC236}">
              <a16:creationId xmlns:a16="http://schemas.microsoft.com/office/drawing/2014/main" id="{7877DD54-A7A3-4D36-A87B-D2858A6E78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1" name="x_Picture 1" descr="Description: cid:image001.png@01D03949.49457930">
          <a:extLst>
            <a:ext uri="{FF2B5EF4-FFF2-40B4-BE49-F238E27FC236}">
              <a16:creationId xmlns:a16="http://schemas.microsoft.com/office/drawing/2014/main" id="{182A7D6D-2976-4DF9-9162-E31779A30F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2" name="x_Picture 1" descr="Description: cid:image001.png@01D03949.49457930">
          <a:extLst>
            <a:ext uri="{FF2B5EF4-FFF2-40B4-BE49-F238E27FC236}">
              <a16:creationId xmlns:a16="http://schemas.microsoft.com/office/drawing/2014/main" id="{7FC3A42F-F636-4711-B12C-D2B1E59456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3" name="x_Picture 1" descr="Description: cid:image001.png@01D03949.49457930">
          <a:extLst>
            <a:ext uri="{FF2B5EF4-FFF2-40B4-BE49-F238E27FC236}">
              <a16:creationId xmlns:a16="http://schemas.microsoft.com/office/drawing/2014/main" id="{925F4AAE-B007-4FFF-B362-6872C53F302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4" name="x_Picture 1" descr="Description: cid:image001.png@01D03949.49457930">
          <a:extLst>
            <a:ext uri="{FF2B5EF4-FFF2-40B4-BE49-F238E27FC236}">
              <a16:creationId xmlns:a16="http://schemas.microsoft.com/office/drawing/2014/main" id="{7E5FABB7-097F-46F7-9084-82A03A82AC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5" name="x_Picture 1" descr="Description: cid:image001.png@01D03949.49457930">
          <a:extLst>
            <a:ext uri="{FF2B5EF4-FFF2-40B4-BE49-F238E27FC236}">
              <a16:creationId xmlns:a16="http://schemas.microsoft.com/office/drawing/2014/main" id="{82A32777-D6B8-4896-88DF-60DC43EA331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6" name="x_Picture 1" descr="Description: cid:image001.png@01D03949.49457930">
          <a:extLst>
            <a:ext uri="{FF2B5EF4-FFF2-40B4-BE49-F238E27FC236}">
              <a16:creationId xmlns:a16="http://schemas.microsoft.com/office/drawing/2014/main" id="{3959FABD-173B-4D1D-B241-567927B220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7" name="x_Picture 1" descr="Description: cid:image001.png@01D03949.49457930">
          <a:extLst>
            <a:ext uri="{FF2B5EF4-FFF2-40B4-BE49-F238E27FC236}">
              <a16:creationId xmlns:a16="http://schemas.microsoft.com/office/drawing/2014/main" id="{F289CE7B-6C3D-4B6B-9F04-2D2E9F8449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8" name="x_Picture 1" descr="Description: cid:image001.png@01D03949.49457930">
          <a:extLst>
            <a:ext uri="{FF2B5EF4-FFF2-40B4-BE49-F238E27FC236}">
              <a16:creationId xmlns:a16="http://schemas.microsoft.com/office/drawing/2014/main" id="{5E1D944A-7ECA-4995-96C8-7A8183DB39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39" name="x_Picture 1" descr="Description: cid:image001.png@01D03949.49457930">
          <a:extLst>
            <a:ext uri="{FF2B5EF4-FFF2-40B4-BE49-F238E27FC236}">
              <a16:creationId xmlns:a16="http://schemas.microsoft.com/office/drawing/2014/main" id="{BBD89979-2428-4D07-A26E-1FDE0D48971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0" name="x_Picture 1" descr="Description: cid:image001.png@01D03949.49457930">
          <a:extLst>
            <a:ext uri="{FF2B5EF4-FFF2-40B4-BE49-F238E27FC236}">
              <a16:creationId xmlns:a16="http://schemas.microsoft.com/office/drawing/2014/main" id="{B66A0EB3-C73A-4053-B333-C94824D411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1" name="x_Picture 1" descr="Description: cid:image001.png@01D03949.49457930">
          <a:extLst>
            <a:ext uri="{FF2B5EF4-FFF2-40B4-BE49-F238E27FC236}">
              <a16:creationId xmlns:a16="http://schemas.microsoft.com/office/drawing/2014/main" id="{11580A43-28B2-4A09-B23A-8831377A6BF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2" name="x_Picture 1" descr="Description: cid:image001.png@01D03949.49457930">
          <a:extLst>
            <a:ext uri="{FF2B5EF4-FFF2-40B4-BE49-F238E27FC236}">
              <a16:creationId xmlns:a16="http://schemas.microsoft.com/office/drawing/2014/main" id="{47EC0A8C-8A40-403E-AA78-E46BD6F772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3" name="x_Picture 1" descr="Description: cid:image001.png@01D03949.49457930">
          <a:extLst>
            <a:ext uri="{FF2B5EF4-FFF2-40B4-BE49-F238E27FC236}">
              <a16:creationId xmlns:a16="http://schemas.microsoft.com/office/drawing/2014/main" id="{732B71E7-0F7E-4C1B-AEBD-6DDD0D53EC2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4" name="x_Picture 1" descr="Description: cid:image001.png@01D03949.49457930">
          <a:extLst>
            <a:ext uri="{FF2B5EF4-FFF2-40B4-BE49-F238E27FC236}">
              <a16:creationId xmlns:a16="http://schemas.microsoft.com/office/drawing/2014/main" id="{CA48140C-B5FA-4AC0-873A-0EEE5C15630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5" name="x_Picture 1" descr="Description: cid:image001.png@01D03949.49457930">
          <a:extLst>
            <a:ext uri="{FF2B5EF4-FFF2-40B4-BE49-F238E27FC236}">
              <a16:creationId xmlns:a16="http://schemas.microsoft.com/office/drawing/2014/main" id="{F6C16C24-C8A2-4B68-AE9F-2A3152FE40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6" name="x_Picture 1" descr="Description: cid:image001.png@01D03949.49457930">
          <a:extLst>
            <a:ext uri="{FF2B5EF4-FFF2-40B4-BE49-F238E27FC236}">
              <a16:creationId xmlns:a16="http://schemas.microsoft.com/office/drawing/2014/main" id="{F20E28EE-9181-4B4E-B506-343B54CDA4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7" name="x_Picture 1" descr="Description: cid:image001.png@01D03949.49457930">
          <a:extLst>
            <a:ext uri="{FF2B5EF4-FFF2-40B4-BE49-F238E27FC236}">
              <a16:creationId xmlns:a16="http://schemas.microsoft.com/office/drawing/2014/main" id="{39E22A8E-A2B6-4889-B8A0-0C711D353E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8" name="x_Picture 1" descr="Description: cid:image001.png@01D03949.49457930">
          <a:extLst>
            <a:ext uri="{FF2B5EF4-FFF2-40B4-BE49-F238E27FC236}">
              <a16:creationId xmlns:a16="http://schemas.microsoft.com/office/drawing/2014/main" id="{C5DB12B6-4118-465E-B122-AFE406A47CA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49" name="x_Picture 1" descr="Description: cid:image001.png@01D03949.49457930">
          <a:extLst>
            <a:ext uri="{FF2B5EF4-FFF2-40B4-BE49-F238E27FC236}">
              <a16:creationId xmlns:a16="http://schemas.microsoft.com/office/drawing/2014/main" id="{BCAEE7D4-771D-44A7-A626-5673F10CA83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0" name="x_Picture 1" descr="Description: cid:image001.png@01D03949.49457930">
          <a:extLst>
            <a:ext uri="{FF2B5EF4-FFF2-40B4-BE49-F238E27FC236}">
              <a16:creationId xmlns:a16="http://schemas.microsoft.com/office/drawing/2014/main" id="{88DCC4EC-8FC2-43EB-B70B-45DFEC26A5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1" name="x_Picture 1" descr="Description: cid:image001.png@01D03949.49457930">
          <a:extLst>
            <a:ext uri="{FF2B5EF4-FFF2-40B4-BE49-F238E27FC236}">
              <a16:creationId xmlns:a16="http://schemas.microsoft.com/office/drawing/2014/main" id="{D384D6C8-C574-456D-B372-0193BBBE892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2" name="x_Picture 1" descr="Description: cid:image001.png@01D03949.49457930">
          <a:extLst>
            <a:ext uri="{FF2B5EF4-FFF2-40B4-BE49-F238E27FC236}">
              <a16:creationId xmlns:a16="http://schemas.microsoft.com/office/drawing/2014/main" id="{2B3F8CCD-3FB1-408F-A24C-6C434F8C57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3" name="x_Picture 1" descr="Description: cid:image001.png@01D03949.49457930">
          <a:extLst>
            <a:ext uri="{FF2B5EF4-FFF2-40B4-BE49-F238E27FC236}">
              <a16:creationId xmlns:a16="http://schemas.microsoft.com/office/drawing/2014/main" id="{46D2E7A2-D76E-4D62-892C-B937F291DA6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4" name="x_Picture 1" descr="Description: cid:image001.png@01D03949.49457930">
          <a:extLst>
            <a:ext uri="{FF2B5EF4-FFF2-40B4-BE49-F238E27FC236}">
              <a16:creationId xmlns:a16="http://schemas.microsoft.com/office/drawing/2014/main" id="{A6EC1C1A-3A1D-48D7-8919-FB65D37C10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5" name="x_Picture 1" descr="Description: cid:image001.png@01D03949.49457930">
          <a:extLst>
            <a:ext uri="{FF2B5EF4-FFF2-40B4-BE49-F238E27FC236}">
              <a16:creationId xmlns:a16="http://schemas.microsoft.com/office/drawing/2014/main" id="{3226A4D3-DD0E-479E-9CC9-AF6878C65B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6" name="x_Picture 1" descr="Description: cid:image001.png@01D03949.49457930">
          <a:extLst>
            <a:ext uri="{FF2B5EF4-FFF2-40B4-BE49-F238E27FC236}">
              <a16:creationId xmlns:a16="http://schemas.microsoft.com/office/drawing/2014/main" id="{0C4CFA96-8F4E-409B-92D6-67322F60F96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7" name="x_Picture 1" descr="Description: cid:image001.png@01D03949.49457930">
          <a:extLst>
            <a:ext uri="{FF2B5EF4-FFF2-40B4-BE49-F238E27FC236}">
              <a16:creationId xmlns:a16="http://schemas.microsoft.com/office/drawing/2014/main" id="{C0792E2A-C4C3-4824-92CA-680AF357283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8" name="x_Picture 1" descr="Description: cid:image001.png@01D03949.49457930">
          <a:extLst>
            <a:ext uri="{FF2B5EF4-FFF2-40B4-BE49-F238E27FC236}">
              <a16:creationId xmlns:a16="http://schemas.microsoft.com/office/drawing/2014/main" id="{18C6741E-F910-4506-87CD-CCD1B708E6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59" name="x_Picture 1" descr="Description: cid:image001.png@01D03949.49457930">
          <a:extLst>
            <a:ext uri="{FF2B5EF4-FFF2-40B4-BE49-F238E27FC236}">
              <a16:creationId xmlns:a16="http://schemas.microsoft.com/office/drawing/2014/main" id="{1636BD00-0CD0-452E-A381-D14A61E4A4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0" name="x_Picture 1" descr="Description: cid:image001.png@01D03949.49457930">
          <a:extLst>
            <a:ext uri="{FF2B5EF4-FFF2-40B4-BE49-F238E27FC236}">
              <a16:creationId xmlns:a16="http://schemas.microsoft.com/office/drawing/2014/main" id="{076E1480-2C06-411D-9F9B-471D625D9C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1" name="x_Picture 1" descr="Description: cid:image001.png@01D03949.49457930">
          <a:extLst>
            <a:ext uri="{FF2B5EF4-FFF2-40B4-BE49-F238E27FC236}">
              <a16:creationId xmlns:a16="http://schemas.microsoft.com/office/drawing/2014/main" id="{6BEA73D5-59A1-4162-A826-57910C414D0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2" name="x_Picture 1" descr="Description: cid:image001.png@01D03949.49457930">
          <a:extLst>
            <a:ext uri="{FF2B5EF4-FFF2-40B4-BE49-F238E27FC236}">
              <a16:creationId xmlns:a16="http://schemas.microsoft.com/office/drawing/2014/main" id="{453B643B-B8C2-4365-8B43-FFEE7A2112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3" name="x_Picture 1" descr="Description: cid:image001.png@01D03949.49457930">
          <a:extLst>
            <a:ext uri="{FF2B5EF4-FFF2-40B4-BE49-F238E27FC236}">
              <a16:creationId xmlns:a16="http://schemas.microsoft.com/office/drawing/2014/main" id="{E30AB0E5-ED72-458E-86EB-AEB7F56B6E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4" name="x_Picture 1" descr="Description: cid:image001.png@01D03949.49457930">
          <a:extLst>
            <a:ext uri="{FF2B5EF4-FFF2-40B4-BE49-F238E27FC236}">
              <a16:creationId xmlns:a16="http://schemas.microsoft.com/office/drawing/2014/main" id="{C986B842-6CB7-4E0D-BAE9-8AF7C98778C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5" name="x_Picture 1" descr="Description: cid:image001.png@01D03949.49457930">
          <a:extLst>
            <a:ext uri="{FF2B5EF4-FFF2-40B4-BE49-F238E27FC236}">
              <a16:creationId xmlns:a16="http://schemas.microsoft.com/office/drawing/2014/main" id="{3F39C8C6-7409-4527-AAD6-50E1503D26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6" name="x_Picture 1" descr="Description: cid:image001.png@01D03949.49457930">
          <a:extLst>
            <a:ext uri="{FF2B5EF4-FFF2-40B4-BE49-F238E27FC236}">
              <a16:creationId xmlns:a16="http://schemas.microsoft.com/office/drawing/2014/main" id="{7D16BB14-8185-4F30-8543-79A5DDE139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7" name="x_Picture 1" descr="Description: cid:image001.png@01D03949.49457930">
          <a:extLst>
            <a:ext uri="{FF2B5EF4-FFF2-40B4-BE49-F238E27FC236}">
              <a16:creationId xmlns:a16="http://schemas.microsoft.com/office/drawing/2014/main" id="{A68FE998-FF9C-4A10-9541-8259F2EB6EC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8" name="x_Picture 1" descr="Description: cid:image001.png@01D03949.49457930">
          <a:extLst>
            <a:ext uri="{FF2B5EF4-FFF2-40B4-BE49-F238E27FC236}">
              <a16:creationId xmlns:a16="http://schemas.microsoft.com/office/drawing/2014/main" id="{C816A931-CB5F-4245-8798-5F350501EE1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69" name="x_Picture 1" descr="Description: cid:image001.png@01D03949.49457930">
          <a:extLst>
            <a:ext uri="{FF2B5EF4-FFF2-40B4-BE49-F238E27FC236}">
              <a16:creationId xmlns:a16="http://schemas.microsoft.com/office/drawing/2014/main" id="{C814C8F0-1804-4577-B043-D2C1C964A1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0" name="x_Picture 1" descr="Description: cid:image001.png@01D03949.49457930">
          <a:extLst>
            <a:ext uri="{FF2B5EF4-FFF2-40B4-BE49-F238E27FC236}">
              <a16:creationId xmlns:a16="http://schemas.microsoft.com/office/drawing/2014/main" id="{C226193A-A647-4CA6-BB40-1BF16263D5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1" name="x_Picture 1" descr="Description: cid:image001.png@01D03949.49457930">
          <a:extLst>
            <a:ext uri="{FF2B5EF4-FFF2-40B4-BE49-F238E27FC236}">
              <a16:creationId xmlns:a16="http://schemas.microsoft.com/office/drawing/2014/main" id="{BFD53522-4BFC-4F5E-8F3B-149D2869F0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2" name="x_Picture 1" descr="Description: cid:image001.png@01D03949.49457930">
          <a:extLst>
            <a:ext uri="{FF2B5EF4-FFF2-40B4-BE49-F238E27FC236}">
              <a16:creationId xmlns:a16="http://schemas.microsoft.com/office/drawing/2014/main" id="{8D7A7F91-3E67-431D-B2AB-8F5ED40807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3" name="x_Picture 1" descr="Description: cid:image001.png@01D03949.49457930">
          <a:extLst>
            <a:ext uri="{FF2B5EF4-FFF2-40B4-BE49-F238E27FC236}">
              <a16:creationId xmlns:a16="http://schemas.microsoft.com/office/drawing/2014/main" id="{78A25810-707F-43BD-BD07-493EF5D0F2E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4" name="x_Picture 1" descr="Description: cid:image001.png@01D03949.49457930">
          <a:extLst>
            <a:ext uri="{FF2B5EF4-FFF2-40B4-BE49-F238E27FC236}">
              <a16:creationId xmlns:a16="http://schemas.microsoft.com/office/drawing/2014/main" id="{FE8F424A-4C8D-4E15-B77D-21899091A7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5" name="x_Picture 1" descr="Description: cid:image001.png@01D03949.49457930">
          <a:extLst>
            <a:ext uri="{FF2B5EF4-FFF2-40B4-BE49-F238E27FC236}">
              <a16:creationId xmlns:a16="http://schemas.microsoft.com/office/drawing/2014/main" id="{F0FD56F4-012C-4839-86CA-24CA7E1CA62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6" name="x_Picture 1" descr="Description: cid:image001.png@01D03949.49457930">
          <a:extLst>
            <a:ext uri="{FF2B5EF4-FFF2-40B4-BE49-F238E27FC236}">
              <a16:creationId xmlns:a16="http://schemas.microsoft.com/office/drawing/2014/main" id="{1FC51541-4224-4088-9FD4-2927C0E7C2D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7" name="x_Picture 1" descr="Description: cid:image001.png@01D03949.49457930">
          <a:extLst>
            <a:ext uri="{FF2B5EF4-FFF2-40B4-BE49-F238E27FC236}">
              <a16:creationId xmlns:a16="http://schemas.microsoft.com/office/drawing/2014/main" id="{2AC130B5-9C8F-4F9A-8924-6A3F3675A4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8" name="x_Picture 1" descr="Description: cid:image001.png@01D03949.49457930">
          <a:extLst>
            <a:ext uri="{FF2B5EF4-FFF2-40B4-BE49-F238E27FC236}">
              <a16:creationId xmlns:a16="http://schemas.microsoft.com/office/drawing/2014/main" id="{0966AC4F-F9DC-4231-AD22-BD3F5A8EE1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79" name="x_Picture 1" descr="Description: cid:image001.png@01D03949.49457930">
          <a:extLst>
            <a:ext uri="{FF2B5EF4-FFF2-40B4-BE49-F238E27FC236}">
              <a16:creationId xmlns:a16="http://schemas.microsoft.com/office/drawing/2014/main" id="{00F00C1E-EB77-48D1-A2CF-30BCA48279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0" name="x_Picture 1" descr="Description: cid:image001.png@01D03949.49457930">
          <a:extLst>
            <a:ext uri="{FF2B5EF4-FFF2-40B4-BE49-F238E27FC236}">
              <a16:creationId xmlns:a16="http://schemas.microsoft.com/office/drawing/2014/main" id="{68BF5EDC-79BB-4793-B259-3C1CF254805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1" name="x_Picture 1" descr="Description: cid:image001.png@01D03949.49457930">
          <a:extLst>
            <a:ext uri="{FF2B5EF4-FFF2-40B4-BE49-F238E27FC236}">
              <a16:creationId xmlns:a16="http://schemas.microsoft.com/office/drawing/2014/main" id="{6A68327E-A188-4110-BBBE-24D9C31B9D9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2" name="x_Picture 1" descr="Description: cid:image001.png@01D03949.49457930">
          <a:extLst>
            <a:ext uri="{FF2B5EF4-FFF2-40B4-BE49-F238E27FC236}">
              <a16:creationId xmlns:a16="http://schemas.microsoft.com/office/drawing/2014/main" id="{D6451A56-A050-4830-A4B3-7C96473029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3" name="x_Picture 1" descr="Description: cid:image001.png@01D03949.49457930">
          <a:extLst>
            <a:ext uri="{FF2B5EF4-FFF2-40B4-BE49-F238E27FC236}">
              <a16:creationId xmlns:a16="http://schemas.microsoft.com/office/drawing/2014/main" id="{5C7B82E7-C90E-4B16-BC31-1328C52F13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4" name="x_Picture 1" descr="Description: cid:image001.png@01D03949.49457930">
          <a:extLst>
            <a:ext uri="{FF2B5EF4-FFF2-40B4-BE49-F238E27FC236}">
              <a16:creationId xmlns:a16="http://schemas.microsoft.com/office/drawing/2014/main" id="{998B3715-6E68-4769-BF51-D2D8D5EF00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5" name="x_Picture 1" descr="Description: cid:image001.png@01D03949.49457930">
          <a:extLst>
            <a:ext uri="{FF2B5EF4-FFF2-40B4-BE49-F238E27FC236}">
              <a16:creationId xmlns:a16="http://schemas.microsoft.com/office/drawing/2014/main" id="{259D8CD2-BCC6-41D2-BDB8-8C6F68708E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6" name="x_Picture 1" descr="Description: cid:image001.png@01D03949.49457930">
          <a:extLst>
            <a:ext uri="{FF2B5EF4-FFF2-40B4-BE49-F238E27FC236}">
              <a16:creationId xmlns:a16="http://schemas.microsoft.com/office/drawing/2014/main" id="{7E313FB7-4D5B-4276-800F-FD6ABF17C15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7" name="x_Picture 1" descr="Description: cid:image001.png@01D03949.49457930">
          <a:extLst>
            <a:ext uri="{FF2B5EF4-FFF2-40B4-BE49-F238E27FC236}">
              <a16:creationId xmlns:a16="http://schemas.microsoft.com/office/drawing/2014/main" id="{EE529E8B-CF20-40FA-9D0A-4FAC469883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8" name="x_Picture 1" descr="Description: cid:image001.png@01D03949.49457930">
          <a:extLst>
            <a:ext uri="{FF2B5EF4-FFF2-40B4-BE49-F238E27FC236}">
              <a16:creationId xmlns:a16="http://schemas.microsoft.com/office/drawing/2014/main" id="{5C116F85-8BD3-448F-92D6-806103AC0A0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89" name="x_Picture 1" descr="Description: cid:image001.png@01D03949.49457930">
          <a:extLst>
            <a:ext uri="{FF2B5EF4-FFF2-40B4-BE49-F238E27FC236}">
              <a16:creationId xmlns:a16="http://schemas.microsoft.com/office/drawing/2014/main" id="{EC6EE382-4F2C-4BB9-A784-DDE334B7BC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0" name="x_Picture 1" descr="Description: cid:image001.png@01D03949.49457930">
          <a:extLst>
            <a:ext uri="{FF2B5EF4-FFF2-40B4-BE49-F238E27FC236}">
              <a16:creationId xmlns:a16="http://schemas.microsoft.com/office/drawing/2014/main" id="{15055FA3-21F9-42DF-9E49-79B3CB50745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1" name="x_Picture 1" descr="Description: cid:image001.png@01D03949.49457930">
          <a:extLst>
            <a:ext uri="{FF2B5EF4-FFF2-40B4-BE49-F238E27FC236}">
              <a16:creationId xmlns:a16="http://schemas.microsoft.com/office/drawing/2014/main" id="{E33D631B-64B1-4984-9CEC-6B5BEB2C52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2" name="x_Picture 1" descr="Description: cid:image001.png@01D03949.49457930">
          <a:extLst>
            <a:ext uri="{FF2B5EF4-FFF2-40B4-BE49-F238E27FC236}">
              <a16:creationId xmlns:a16="http://schemas.microsoft.com/office/drawing/2014/main" id="{5BF84219-8EEE-4496-A3A8-CA03BE44F9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3" name="x_Picture 1" descr="Description: cid:image001.png@01D03949.49457930">
          <a:extLst>
            <a:ext uri="{FF2B5EF4-FFF2-40B4-BE49-F238E27FC236}">
              <a16:creationId xmlns:a16="http://schemas.microsoft.com/office/drawing/2014/main" id="{8B5AE382-4DF0-498F-A2BF-CDF002D5B5B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4" name="x_Picture 1" descr="Description: cid:image001.png@01D03949.49457930">
          <a:extLst>
            <a:ext uri="{FF2B5EF4-FFF2-40B4-BE49-F238E27FC236}">
              <a16:creationId xmlns:a16="http://schemas.microsoft.com/office/drawing/2014/main" id="{93C71E59-0B71-4F5D-8458-4040439D936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5" name="x_Picture 1" descr="Description: cid:image001.png@01D03949.49457930">
          <a:extLst>
            <a:ext uri="{FF2B5EF4-FFF2-40B4-BE49-F238E27FC236}">
              <a16:creationId xmlns:a16="http://schemas.microsoft.com/office/drawing/2014/main" id="{DD6D4B1B-C9D2-4560-94A6-BCEE91DF6A6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6" name="x_Picture 1" descr="Description: cid:image001.png@01D03949.49457930">
          <a:extLst>
            <a:ext uri="{FF2B5EF4-FFF2-40B4-BE49-F238E27FC236}">
              <a16:creationId xmlns:a16="http://schemas.microsoft.com/office/drawing/2014/main" id="{37DCCD30-9335-4062-B53C-DDEBE3D021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7" name="x_Picture 1" descr="Description: cid:image001.png@01D03949.49457930">
          <a:extLst>
            <a:ext uri="{FF2B5EF4-FFF2-40B4-BE49-F238E27FC236}">
              <a16:creationId xmlns:a16="http://schemas.microsoft.com/office/drawing/2014/main" id="{FB7C6B6D-8792-43E1-B4CB-C16497E5E39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8" name="x_Picture 1" descr="Description: cid:image001.png@01D03949.49457930">
          <a:extLst>
            <a:ext uri="{FF2B5EF4-FFF2-40B4-BE49-F238E27FC236}">
              <a16:creationId xmlns:a16="http://schemas.microsoft.com/office/drawing/2014/main" id="{A42AD109-A26C-4129-8A24-DA2E45FFE1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599" name="x_Picture 1" descr="Description: cid:image001.png@01D03949.49457930">
          <a:extLst>
            <a:ext uri="{FF2B5EF4-FFF2-40B4-BE49-F238E27FC236}">
              <a16:creationId xmlns:a16="http://schemas.microsoft.com/office/drawing/2014/main" id="{55F5FF92-F24F-4EB4-A9C8-85B4D6C6663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0" name="x_Picture 1" descr="Description: cid:image001.png@01D03949.49457930">
          <a:extLst>
            <a:ext uri="{FF2B5EF4-FFF2-40B4-BE49-F238E27FC236}">
              <a16:creationId xmlns:a16="http://schemas.microsoft.com/office/drawing/2014/main" id="{7F2B6B10-E934-47A0-AD15-FEE2E5F82A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1" name="x_Picture 1" descr="Description: cid:image001.png@01D03949.49457930">
          <a:extLst>
            <a:ext uri="{FF2B5EF4-FFF2-40B4-BE49-F238E27FC236}">
              <a16:creationId xmlns:a16="http://schemas.microsoft.com/office/drawing/2014/main" id="{9CACB3EF-9677-4223-88C3-6138EDC6D56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2" name="x_Picture 1" descr="Description: cid:image001.png@01D03949.49457930">
          <a:extLst>
            <a:ext uri="{FF2B5EF4-FFF2-40B4-BE49-F238E27FC236}">
              <a16:creationId xmlns:a16="http://schemas.microsoft.com/office/drawing/2014/main" id="{06575DC5-DC26-43D3-A08E-78876E6111B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3" name="x_Picture 1" descr="Description: cid:image001.png@01D03949.49457930">
          <a:extLst>
            <a:ext uri="{FF2B5EF4-FFF2-40B4-BE49-F238E27FC236}">
              <a16:creationId xmlns:a16="http://schemas.microsoft.com/office/drawing/2014/main" id="{DF1BA78C-9BEE-41E5-9A6A-7A52476424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4" name="x_Picture 1" descr="Description: cid:image001.png@01D03949.49457930">
          <a:extLst>
            <a:ext uri="{FF2B5EF4-FFF2-40B4-BE49-F238E27FC236}">
              <a16:creationId xmlns:a16="http://schemas.microsoft.com/office/drawing/2014/main" id="{5C1EA599-B196-477A-9C7F-6F15A4C3A5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5" name="x_Picture 1" descr="Description: cid:image001.png@01D03949.49457930">
          <a:extLst>
            <a:ext uri="{FF2B5EF4-FFF2-40B4-BE49-F238E27FC236}">
              <a16:creationId xmlns:a16="http://schemas.microsoft.com/office/drawing/2014/main" id="{4EC5F922-37E4-4C10-9624-39087B39E8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6" name="x_Picture 1" descr="Description: cid:image001.png@01D03949.49457930">
          <a:extLst>
            <a:ext uri="{FF2B5EF4-FFF2-40B4-BE49-F238E27FC236}">
              <a16:creationId xmlns:a16="http://schemas.microsoft.com/office/drawing/2014/main" id="{6B38D450-9B86-409C-9055-B3BF91905B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7" name="x_Picture 1" descr="Description: cid:image001.png@01D03949.49457930">
          <a:extLst>
            <a:ext uri="{FF2B5EF4-FFF2-40B4-BE49-F238E27FC236}">
              <a16:creationId xmlns:a16="http://schemas.microsoft.com/office/drawing/2014/main" id="{6FF82E6D-52BE-4769-B605-445A164092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8" name="x_Picture 1" descr="Description: cid:image001.png@01D03949.49457930">
          <a:extLst>
            <a:ext uri="{FF2B5EF4-FFF2-40B4-BE49-F238E27FC236}">
              <a16:creationId xmlns:a16="http://schemas.microsoft.com/office/drawing/2014/main" id="{61F39D50-881D-4B91-B465-B5CED79E242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09" name="x_Picture 1" descr="Description: cid:image001.png@01D03949.49457930">
          <a:extLst>
            <a:ext uri="{FF2B5EF4-FFF2-40B4-BE49-F238E27FC236}">
              <a16:creationId xmlns:a16="http://schemas.microsoft.com/office/drawing/2014/main" id="{6CB46E77-0EF8-4A5F-B331-1B73875674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0" name="x_Picture 1" descr="Description: cid:image001.png@01D03949.49457930">
          <a:extLst>
            <a:ext uri="{FF2B5EF4-FFF2-40B4-BE49-F238E27FC236}">
              <a16:creationId xmlns:a16="http://schemas.microsoft.com/office/drawing/2014/main" id="{81FA755D-F564-48DF-AF12-3237F8FE945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1" name="x_Picture 1" descr="Description: cid:image001.png@01D03949.49457930">
          <a:extLst>
            <a:ext uri="{FF2B5EF4-FFF2-40B4-BE49-F238E27FC236}">
              <a16:creationId xmlns:a16="http://schemas.microsoft.com/office/drawing/2014/main" id="{EBCA461F-2EE8-4B24-A97B-657EB606A4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2" name="x_Picture 1" descr="Description: cid:image001.png@01D03949.49457930">
          <a:extLst>
            <a:ext uri="{FF2B5EF4-FFF2-40B4-BE49-F238E27FC236}">
              <a16:creationId xmlns:a16="http://schemas.microsoft.com/office/drawing/2014/main" id="{FF7861DD-5142-43EA-838B-00F97CE8CE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3" name="x_Picture 1" descr="Description: cid:image001.png@01D03949.49457930">
          <a:extLst>
            <a:ext uri="{FF2B5EF4-FFF2-40B4-BE49-F238E27FC236}">
              <a16:creationId xmlns:a16="http://schemas.microsoft.com/office/drawing/2014/main" id="{0B4F9A57-A7A3-49FC-836D-44D31ED6D9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4" name="x_Picture 1" descr="Description: cid:image001.png@01D03949.49457930">
          <a:extLst>
            <a:ext uri="{FF2B5EF4-FFF2-40B4-BE49-F238E27FC236}">
              <a16:creationId xmlns:a16="http://schemas.microsoft.com/office/drawing/2014/main" id="{226C64B2-43AE-40B1-8033-7C8F836AEA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5" name="x_Picture 1" descr="Description: cid:image001.png@01D03949.49457930">
          <a:extLst>
            <a:ext uri="{FF2B5EF4-FFF2-40B4-BE49-F238E27FC236}">
              <a16:creationId xmlns:a16="http://schemas.microsoft.com/office/drawing/2014/main" id="{6E7F9A9F-16B7-4CF8-9D22-89A484D1B0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6" name="x_Picture 1" descr="Description: cid:image001.png@01D03949.49457930">
          <a:extLst>
            <a:ext uri="{FF2B5EF4-FFF2-40B4-BE49-F238E27FC236}">
              <a16:creationId xmlns:a16="http://schemas.microsoft.com/office/drawing/2014/main" id="{2756C35D-537F-4D7C-B630-1956DD32AE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7" name="x_Picture 1" descr="Description: cid:image001.png@01D03949.49457930">
          <a:extLst>
            <a:ext uri="{FF2B5EF4-FFF2-40B4-BE49-F238E27FC236}">
              <a16:creationId xmlns:a16="http://schemas.microsoft.com/office/drawing/2014/main" id="{7A8A08D8-F054-4EB7-8758-31CD2554B23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8" name="x_Picture 1" descr="Description: cid:image001.png@01D03949.49457930">
          <a:extLst>
            <a:ext uri="{FF2B5EF4-FFF2-40B4-BE49-F238E27FC236}">
              <a16:creationId xmlns:a16="http://schemas.microsoft.com/office/drawing/2014/main" id="{D0E3E407-E046-4074-AA59-AF1C83E1C9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19" name="x_Picture 1" descr="Description: cid:image001.png@01D03949.49457930">
          <a:extLst>
            <a:ext uri="{FF2B5EF4-FFF2-40B4-BE49-F238E27FC236}">
              <a16:creationId xmlns:a16="http://schemas.microsoft.com/office/drawing/2014/main" id="{3F7AD0EE-DE25-4917-9841-2331D21B365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0" name="x_Picture 1" descr="Description: cid:image001.png@01D03949.49457930">
          <a:extLst>
            <a:ext uri="{FF2B5EF4-FFF2-40B4-BE49-F238E27FC236}">
              <a16:creationId xmlns:a16="http://schemas.microsoft.com/office/drawing/2014/main" id="{C3EA1A12-AEAC-4698-BF64-56851D5EE60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1" name="x_Picture 1" descr="Description: cid:image001.png@01D03949.49457930">
          <a:extLst>
            <a:ext uri="{FF2B5EF4-FFF2-40B4-BE49-F238E27FC236}">
              <a16:creationId xmlns:a16="http://schemas.microsoft.com/office/drawing/2014/main" id="{C6091F24-1D03-4CD8-8E4D-5DD5FCCF33C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2" name="x_Picture 1" descr="Description: cid:image001.png@01D03949.49457930">
          <a:extLst>
            <a:ext uri="{FF2B5EF4-FFF2-40B4-BE49-F238E27FC236}">
              <a16:creationId xmlns:a16="http://schemas.microsoft.com/office/drawing/2014/main" id="{B5827E59-2E97-470D-94CE-B15B9F15CAB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3" name="x_Picture 1" descr="Description: cid:image001.png@01D03949.49457930">
          <a:extLst>
            <a:ext uri="{FF2B5EF4-FFF2-40B4-BE49-F238E27FC236}">
              <a16:creationId xmlns:a16="http://schemas.microsoft.com/office/drawing/2014/main" id="{DBB6DE4F-426E-4CDC-86C1-E9B3AC7332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4" name="x_Picture 1" descr="Description: cid:image001.png@01D03949.49457930">
          <a:extLst>
            <a:ext uri="{FF2B5EF4-FFF2-40B4-BE49-F238E27FC236}">
              <a16:creationId xmlns:a16="http://schemas.microsoft.com/office/drawing/2014/main" id="{C88BCE27-F879-43C9-A788-11E61051BDB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5" name="x_Picture 1" descr="Description: cid:image001.png@01D03949.49457930">
          <a:extLst>
            <a:ext uri="{FF2B5EF4-FFF2-40B4-BE49-F238E27FC236}">
              <a16:creationId xmlns:a16="http://schemas.microsoft.com/office/drawing/2014/main" id="{281F2C6B-186A-44B3-AE89-D8EC0A6B91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6" name="x_Picture 1" descr="Description: cid:image001.png@01D03949.49457930">
          <a:extLst>
            <a:ext uri="{FF2B5EF4-FFF2-40B4-BE49-F238E27FC236}">
              <a16:creationId xmlns:a16="http://schemas.microsoft.com/office/drawing/2014/main" id="{2BD847F7-531C-43ED-8362-72F7C3B5934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7" name="x_Picture 1" descr="Description: cid:image001.png@01D03949.49457930">
          <a:extLst>
            <a:ext uri="{FF2B5EF4-FFF2-40B4-BE49-F238E27FC236}">
              <a16:creationId xmlns:a16="http://schemas.microsoft.com/office/drawing/2014/main" id="{C9143692-9774-4E77-99E7-08EA845E42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8" name="x_Picture 1" descr="Description: cid:image001.png@01D03949.49457930">
          <a:extLst>
            <a:ext uri="{FF2B5EF4-FFF2-40B4-BE49-F238E27FC236}">
              <a16:creationId xmlns:a16="http://schemas.microsoft.com/office/drawing/2014/main" id="{05B2AFDB-C29E-4C94-A833-433A8A5106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29" name="x_Picture 1" descr="Description: cid:image001.png@01D03949.49457930">
          <a:extLst>
            <a:ext uri="{FF2B5EF4-FFF2-40B4-BE49-F238E27FC236}">
              <a16:creationId xmlns:a16="http://schemas.microsoft.com/office/drawing/2014/main" id="{4E3F87FC-6EDA-4189-908C-C2F3C61FB0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0" name="x_Picture 1" descr="Description: cid:image001.png@01D03949.49457930">
          <a:extLst>
            <a:ext uri="{FF2B5EF4-FFF2-40B4-BE49-F238E27FC236}">
              <a16:creationId xmlns:a16="http://schemas.microsoft.com/office/drawing/2014/main" id="{BF67A8DA-6A9C-469B-8F3C-8B282FF3A05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1" name="x_Picture 1" descr="Description: cid:image001.png@01D03949.49457930">
          <a:extLst>
            <a:ext uri="{FF2B5EF4-FFF2-40B4-BE49-F238E27FC236}">
              <a16:creationId xmlns:a16="http://schemas.microsoft.com/office/drawing/2014/main" id="{361BF92F-0565-4D88-B4D4-4EF2E9E7D0D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2" name="x_Picture 1" descr="Description: cid:image001.png@01D03949.49457930">
          <a:extLst>
            <a:ext uri="{FF2B5EF4-FFF2-40B4-BE49-F238E27FC236}">
              <a16:creationId xmlns:a16="http://schemas.microsoft.com/office/drawing/2014/main" id="{6CB753EC-D4B3-4589-B62A-9B22C5451B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3" name="x_Picture 1" descr="Description: cid:image001.png@01D03949.49457930">
          <a:extLst>
            <a:ext uri="{FF2B5EF4-FFF2-40B4-BE49-F238E27FC236}">
              <a16:creationId xmlns:a16="http://schemas.microsoft.com/office/drawing/2014/main" id="{9A7F4253-811C-4874-AC10-8AA31EAB07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4" name="x_Picture 1" descr="Description: cid:image001.png@01D03949.49457930">
          <a:extLst>
            <a:ext uri="{FF2B5EF4-FFF2-40B4-BE49-F238E27FC236}">
              <a16:creationId xmlns:a16="http://schemas.microsoft.com/office/drawing/2014/main" id="{49C18EFF-7B97-4873-A1D9-F81BF00A538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5" name="x_Picture 1" descr="Description: cid:image001.png@01D03949.49457930">
          <a:extLst>
            <a:ext uri="{FF2B5EF4-FFF2-40B4-BE49-F238E27FC236}">
              <a16:creationId xmlns:a16="http://schemas.microsoft.com/office/drawing/2014/main" id="{1F48C500-1EF5-4896-B7E7-8DF0D8D2284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6" name="x_Picture 1" descr="Description: cid:image001.png@01D03949.49457930">
          <a:extLst>
            <a:ext uri="{FF2B5EF4-FFF2-40B4-BE49-F238E27FC236}">
              <a16:creationId xmlns:a16="http://schemas.microsoft.com/office/drawing/2014/main" id="{914D3DAD-8063-4E80-BC24-D09BC8B3AE3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7" name="x_Picture 1" descr="Description: cid:image001.png@01D03949.49457930">
          <a:extLst>
            <a:ext uri="{FF2B5EF4-FFF2-40B4-BE49-F238E27FC236}">
              <a16:creationId xmlns:a16="http://schemas.microsoft.com/office/drawing/2014/main" id="{42A2A0DE-7DF3-444D-A7C7-A9D9D10356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8" name="x_Picture 1" descr="Description: cid:image001.png@01D03949.49457930">
          <a:extLst>
            <a:ext uri="{FF2B5EF4-FFF2-40B4-BE49-F238E27FC236}">
              <a16:creationId xmlns:a16="http://schemas.microsoft.com/office/drawing/2014/main" id="{7B36C43C-BCFF-46E2-A500-1EBFC09E1F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39" name="x_Picture 1" descr="Description: cid:image001.png@01D03949.49457930">
          <a:extLst>
            <a:ext uri="{FF2B5EF4-FFF2-40B4-BE49-F238E27FC236}">
              <a16:creationId xmlns:a16="http://schemas.microsoft.com/office/drawing/2014/main" id="{787E1637-E31E-47BC-B80B-B1530C4DAD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0" name="x_Picture 1" descr="Description: cid:image001.png@01D03949.49457930">
          <a:extLst>
            <a:ext uri="{FF2B5EF4-FFF2-40B4-BE49-F238E27FC236}">
              <a16:creationId xmlns:a16="http://schemas.microsoft.com/office/drawing/2014/main" id="{7EDFBFC9-D741-4098-B8DC-89CCC6A8C0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1" name="x_Picture 1" descr="Description: cid:image001.png@01D03949.49457930">
          <a:extLst>
            <a:ext uri="{FF2B5EF4-FFF2-40B4-BE49-F238E27FC236}">
              <a16:creationId xmlns:a16="http://schemas.microsoft.com/office/drawing/2014/main" id="{97E9D49F-A06E-4B0D-A572-9805C0B2A4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2" name="x_Picture 1" descr="Description: cid:image001.png@01D03949.49457930">
          <a:extLst>
            <a:ext uri="{FF2B5EF4-FFF2-40B4-BE49-F238E27FC236}">
              <a16:creationId xmlns:a16="http://schemas.microsoft.com/office/drawing/2014/main" id="{17E7DCE5-C79E-42A2-AFA1-29EFD6E200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3" name="x_Picture 1" descr="Description: cid:image001.png@01D03949.49457930">
          <a:extLst>
            <a:ext uri="{FF2B5EF4-FFF2-40B4-BE49-F238E27FC236}">
              <a16:creationId xmlns:a16="http://schemas.microsoft.com/office/drawing/2014/main" id="{C3933233-32F6-4FA3-9B57-9EB1B0E16B2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4" name="x_Picture 1" descr="Description: cid:image001.png@01D03949.49457930">
          <a:extLst>
            <a:ext uri="{FF2B5EF4-FFF2-40B4-BE49-F238E27FC236}">
              <a16:creationId xmlns:a16="http://schemas.microsoft.com/office/drawing/2014/main" id="{A88447DD-7825-4CE6-91C3-E31E0892476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5" name="x_Picture 1" descr="Description: cid:image001.png@01D03949.49457930">
          <a:extLst>
            <a:ext uri="{FF2B5EF4-FFF2-40B4-BE49-F238E27FC236}">
              <a16:creationId xmlns:a16="http://schemas.microsoft.com/office/drawing/2014/main" id="{E3EFB36D-3ED0-4278-AF97-51AC836C1B9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6" name="x_Picture 1" descr="Description: cid:image001.png@01D03949.49457930">
          <a:extLst>
            <a:ext uri="{FF2B5EF4-FFF2-40B4-BE49-F238E27FC236}">
              <a16:creationId xmlns:a16="http://schemas.microsoft.com/office/drawing/2014/main" id="{3C8AAD4D-B84C-4F2A-AA39-2E589E79250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7" name="x_Picture 1" descr="Description: cid:image001.png@01D03949.49457930">
          <a:extLst>
            <a:ext uri="{FF2B5EF4-FFF2-40B4-BE49-F238E27FC236}">
              <a16:creationId xmlns:a16="http://schemas.microsoft.com/office/drawing/2014/main" id="{1D6CAEF7-FDD2-46AB-AF4B-032BAED351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8" name="x_Picture 1" descr="Description: cid:image001.png@01D03949.49457930">
          <a:extLst>
            <a:ext uri="{FF2B5EF4-FFF2-40B4-BE49-F238E27FC236}">
              <a16:creationId xmlns:a16="http://schemas.microsoft.com/office/drawing/2014/main" id="{C5B15602-1358-46A0-9B50-015C3ADC19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49" name="x_Picture 1" descr="Description: cid:image001.png@01D03949.49457930">
          <a:extLst>
            <a:ext uri="{FF2B5EF4-FFF2-40B4-BE49-F238E27FC236}">
              <a16:creationId xmlns:a16="http://schemas.microsoft.com/office/drawing/2014/main" id="{65ADD292-0379-4CAC-86C4-14045910C4F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0" name="x_Picture 1" descr="Description: cid:image001.png@01D03949.49457930">
          <a:extLst>
            <a:ext uri="{FF2B5EF4-FFF2-40B4-BE49-F238E27FC236}">
              <a16:creationId xmlns:a16="http://schemas.microsoft.com/office/drawing/2014/main" id="{21E90D8C-211E-47FF-A982-C6D134BF49E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1" name="x_Picture 1" descr="Description: cid:image001.png@01D03949.49457930">
          <a:extLst>
            <a:ext uri="{FF2B5EF4-FFF2-40B4-BE49-F238E27FC236}">
              <a16:creationId xmlns:a16="http://schemas.microsoft.com/office/drawing/2014/main" id="{AD592935-35FA-49FF-BC8B-77914DE20346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2" name="x_Picture 1" descr="Description: cid:image001.png@01D03949.49457930">
          <a:extLst>
            <a:ext uri="{FF2B5EF4-FFF2-40B4-BE49-F238E27FC236}">
              <a16:creationId xmlns:a16="http://schemas.microsoft.com/office/drawing/2014/main" id="{84977775-9C1E-42CD-8611-C91F6E2D806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3" name="x_Picture 1" descr="Description: cid:image001.png@01D03949.49457930">
          <a:extLst>
            <a:ext uri="{FF2B5EF4-FFF2-40B4-BE49-F238E27FC236}">
              <a16:creationId xmlns:a16="http://schemas.microsoft.com/office/drawing/2014/main" id="{71A5320D-792C-4CD7-8C63-E9D8BADE3A1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4" name="x_Picture 1" descr="Description: cid:image001.png@01D03949.49457930">
          <a:extLst>
            <a:ext uri="{FF2B5EF4-FFF2-40B4-BE49-F238E27FC236}">
              <a16:creationId xmlns:a16="http://schemas.microsoft.com/office/drawing/2014/main" id="{265CB4B3-F3C3-4A68-8ABA-48E7C6629B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5" name="x_Picture 1" descr="Description: cid:image001.png@01D03949.49457930">
          <a:extLst>
            <a:ext uri="{FF2B5EF4-FFF2-40B4-BE49-F238E27FC236}">
              <a16:creationId xmlns:a16="http://schemas.microsoft.com/office/drawing/2014/main" id="{BF515CA2-CFD0-441B-9CFB-B0DDD232D8E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6" name="x_Picture 1" descr="Description: cid:image001.png@01D03949.49457930">
          <a:extLst>
            <a:ext uri="{FF2B5EF4-FFF2-40B4-BE49-F238E27FC236}">
              <a16:creationId xmlns:a16="http://schemas.microsoft.com/office/drawing/2014/main" id="{F2EFCD71-BAB2-4352-86D9-1F2B413499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7" name="x_Picture 1" descr="Description: cid:image001.png@01D03949.49457930">
          <a:extLst>
            <a:ext uri="{FF2B5EF4-FFF2-40B4-BE49-F238E27FC236}">
              <a16:creationId xmlns:a16="http://schemas.microsoft.com/office/drawing/2014/main" id="{62B806B4-E226-4683-BFDC-9C9C8FA2B00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8" name="x_Picture 1" descr="Description: cid:image001.png@01D03949.49457930">
          <a:extLst>
            <a:ext uri="{FF2B5EF4-FFF2-40B4-BE49-F238E27FC236}">
              <a16:creationId xmlns:a16="http://schemas.microsoft.com/office/drawing/2014/main" id="{28570A33-BF4B-4A85-B0CE-41F29955F7F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59" name="x_Picture 1" descr="Description: cid:image001.png@01D03949.49457930">
          <a:extLst>
            <a:ext uri="{FF2B5EF4-FFF2-40B4-BE49-F238E27FC236}">
              <a16:creationId xmlns:a16="http://schemas.microsoft.com/office/drawing/2014/main" id="{C4E96F77-E31F-4E94-B348-3F50A754F2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60" name="x_Picture 1" descr="Description: cid:image001.png@01D03949.49457930">
          <a:extLst>
            <a:ext uri="{FF2B5EF4-FFF2-40B4-BE49-F238E27FC236}">
              <a16:creationId xmlns:a16="http://schemas.microsoft.com/office/drawing/2014/main" id="{EC8DA73B-C216-4FA9-8532-A4594F8F16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61" name="x_Picture 1" descr="Description: cid:image001.png@01D03949.49457930">
          <a:extLst>
            <a:ext uri="{FF2B5EF4-FFF2-40B4-BE49-F238E27FC236}">
              <a16:creationId xmlns:a16="http://schemas.microsoft.com/office/drawing/2014/main" id="{E2F22D2C-31E2-441C-ACD5-A67D0197084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62" name="x_Picture 1" descr="Description: cid:image001.png@01D03949.49457930">
          <a:extLst>
            <a:ext uri="{FF2B5EF4-FFF2-40B4-BE49-F238E27FC236}">
              <a16:creationId xmlns:a16="http://schemas.microsoft.com/office/drawing/2014/main" id="{573D7163-A6A8-4449-9779-6B8091D665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63" name="x_Picture 1" descr="Description: cid:image001.png@01D03949.49457930">
          <a:extLst>
            <a:ext uri="{FF2B5EF4-FFF2-40B4-BE49-F238E27FC236}">
              <a16:creationId xmlns:a16="http://schemas.microsoft.com/office/drawing/2014/main" id="{D1E75EC6-BEB2-47AF-BBF8-0FAB10592FA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64" name="x_Picture 1" descr="Description: cid:image001.png@01D03949.49457930">
          <a:extLst>
            <a:ext uri="{FF2B5EF4-FFF2-40B4-BE49-F238E27FC236}">
              <a16:creationId xmlns:a16="http://schemas.microsoft.com/office/drawing/2014/main" id="{D909B537-46AB-4269-A978-769AA760F2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65" name="x_Picture 1" descr="Description: cid:image001.png@01D03949.49457930">
          <a:extLst>
            <a:ext uri="{FF2B5EF4-FFF2-40B4-BE49-F238E27FC236}">
              <a16:creationId xmlns:a16="http://schemas.microsoft.com/office/drawing/2014/main" id="{E9A910F1-F6EC-48EE-84F3-F5C936EAFF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66" name="x_Picture 1" descr="Description: cid:image001.png@01D03949.49457930">
          <a:extLst>
            <a:ext uri="{FF2B5EF4-FFF2-40B4-BE49-F238E27FC236}">
              <a16:creationId xmlns:a16="http://schemas.microsoft.com/office/drawing/2014/main" id="{DA08BEAF-9C42-47CC-8CE9-3A22245124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67" name="x_Picture 1" descr="Description: cid:image001.png@01D03949.49457930">
          <a:extLst>
            <a:ext uri="{FF2B5EF4-FFF2-40B4-BE49-F238E27FC236}">
              <a16:creationId xmlns:a16="http://schemas.microsoft.com/office/drawing/2014/main" id="{7864E399-AF8C-4417-ADAC-69A711CCB5F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68" name="x_Picture 1" descr="Description: cid:image001.png@01D03949.49457930">
          <a:extLst>
            <a:ext uri="{FF2B5EF4-FFF2-40B4-BE49-F238E27FC236}">
              <a16:creationId xmlns:a16="http://schemas.microsoft.com/office/drawing/2014/main" id="{BF0992D2-E1F4-420D-8BC0-B619DB7D440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69" name="x_Picture 1" descr="Description: cid:image001.png@01D03949.49457930">
          <a:extLst>
            <a:ext uri="{FF2B5EF4-FFF2-40B4-BE49-F238E27FC236}">
              <a16:creationId xmlns:a16="http://schemas.microsoft.com/office/drawing/2014/main" id="{FA8A4BAB-CEF1-4555-B66A-B9C5F265115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70" name="x_Picture 1" descr="Description: cid:image001.png@01D03949.49457930">
          <a:extLst>
            <a:ext uri="{FF2B5EF4-FFF2-40B4-BE49-F238E27FC236}">
              <a16:creationId xmlns:a16="http://schemas.microsoft.com/office/drawing/2014/main" id="{A4C82028-B603-48E1-982F-3949D66745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71" name="x_Picture 1" descr="Description: cid:image001.png@01D03949.49457930">
          <a:extLst>
            <a:ext uri="{FF2B5EF4-FFF2-40B4-BE49-F238E27FC236}">
              <a16:creationId xmlns:a16="http://schemas.microsoft.com/office/drawing/2014/main" id="{AEAB1791-382F-486B-82A7-E9249F69BAE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72" name="x_Picture 1" descr="Description: cid:image001.png@01D03949.49457930">
          <a:extLst>
            <a:ext uri="{FF2B5EF4-FFF2-40B4-BE49-F238E27FC236}">
              <a16:creationId xmlns:a16="http://schemas.microsoft.com/office/drawing/2014/main" id="{383CBA65-961C-4501-86B0-825F2C62F7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73" name="x_Picture 1" descr="Description: cid:image001.png@01D03949.49457930">
          <a:extLst>
            <a:ext uri="{FF2B5EF4-FFF2-40B4-BE49-F238E27FC236}">
              <a16:creationId xmlns:a16="http://schemas.microsoft.com/office/drawing/2014/main" id="{6514A30B-163F-4261-8413-A8ADE58B78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74" name="x_Picture 1" descr="Description: cid:image001.png@01D03949.49457930">
          <a:extLst>
            <a:ext uri="{FF2B5EF4-FFF2-40B4-BE49-F238E27FC236}">
              <a16:creationId xmlns:a16="http://schemas.microsoft.com/office/drawing/2014/main" id="{9D319DAF-9212-4892-BDDC-87535B5CD7C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75" name="x_Picture 1" descr="Description: cid:image001.png@01D03949.49457930">
          <a:extLst>
            <a:ext uri="{FF2B5EF4-FFF2-40B4-BE49-F238E27FC236}">
              <a16:creationId xmlns:a16="http://schemas.microsoft.com/office/drawing/2014/main" id="{F61FE887-C187-440B-96FA-FF2B13C291F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76" name="x_Picture 1" descr="Description: cid:image001.png@01D03949.49457930">
          <a:extLst>
            <a:ext uri="{FF2B5EF4-FFF2-40B4-BE49-F238E27FC236}">
              <a16:creationId xmlns:a16="http://schemas.microsoft.com/office/drawing/2014/main" id="{7C9EA4CE-BB5F-45E8-B50C-D9D5966CD5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77" name="x_Picture 1" descr="Description: cid:image001.png@01D03949.49457930">
          <a:extLst>
            <a:ext uri="{FF2B5EF4-FFF2-40B4-BE49-F238E27FC236}">
              <a16:creationId xmlns:a16="http://schemas.microsoft.com/office/drawing/2014/main" id="{07388C99-8FD0-4114-9370-1F1F888744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78" name="x_Picture 1" descr="Description: cid:image001.png@01D03949.49457930">
          <a:extLst>
            <a:ext uri="{FF2B5EF4-FFF2-40B4-BE49-F238E27FC236}">
              <a16:creationId xmlns:a16="http://schemas.microsoft.com/office/drawing/2014/main" id="{CBE1ABF9-2911-4D90-927F-F982781D314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79" name="x_Picture 1" descr="Description: cid:image001.png@01D03949.49457930">
          <a:extLst>
            <a:ext uri="{FF2B5EF4-FFF2-40B4-BE49-F238E27FC236}">
              <a16:creationId xmlns:a16="http://schemas.microsoft.com/office/drawing/2014/main" id="{89E0E210-20E4-4E22-A7B6-598E6FF6900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80" name="x_Picture 1" descr="Description: cid:image001.png@01D03949.49457930">
          <a:extLst>
            <a:ext uri="{FF2B5EF4-FFF2-40B4-BE49-F238E27FC236}">
              <a16:creationId xmlns:a16="http://schemas.microsoft.com/office/drawing/2014/main" id="{AD69EED9-C298-4245-931B-30847CA3AF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81" name="x_Picture 1" descr="Description: cid:image001.png@01D03949.49457930">
          <a:extLst>
            <a:ext uri="{FF2B5EF4-FFF2-40B4-BE49-F238E27FC236}">
              <a16:creationId xmlns:a16="http://schemas.microsoft.com/office/drawing/2014/main" id="{C2196E50-B97D-436C-B8DF-4DDC6F2E5F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82" name="x_Picture 1" descr="Description: cid:image001.png@01D03949.49457930">
          <a:extLst>
            <a:ext uri="{FF2B5EF4-FFF2-40B4-BE49-F238E27FC236}">
              <a16:creationId xmlns:a16="http://schemas.microsoft.com/office/drawing/2014/main" id="{1DC0AC90-1C26-460A-8F44-7E76841F0E8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83" name="x_Picture 1" descr="Description: cid:image001.png@01D03949.49457930">
          <a:extLst>
            <a:ext uri="{FF2B5EF4-FFF2-40B4-BE49-F238E27FC236}">
              <a16:creationId xmlns:a16="http://schemas.microsoft.com/office/drawing/2014/main" id="{2F2331DC-DAF1-462D-B6C5-1F3BFA59237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84" name="x_Picture 1" descr="Description: cid:image001.png@01D03949.49457930">
          <a:extLst>
            <a:ext uri="{FF2B5EF4-FFF2-40B4-BE49-F238E27FC236}">
              <a16:creationId xmlns:a16="http://schemas.microsoft.com/office/drawing/2014/main" id="{5FC73898-0971-4A5A-B982-DD2DB6F7405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85" name="x_Picture 1" descr="Description: cid:image001.png@01D03949.49457930">
          <a:extLst>
            <a:ext uri="{FF2B5EF4-FFF2-40B4-BE49-F238E27FC236}">
              <a16:creationId xmlns:a16="http://schemas.microsoft.com/office/drawing/2014/main" id="{54CD771B-B501-48C7-AF18-A4FC272540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86" name="x_Picture 1" descr="Description: cid:image001.png@01D03949.49457930">
          <a:extLst>
            <a:ext uri="{FF2B5EF4-FFF2-40B4-BE49-F238E27FC236}">
              <a16:creationId xmlns:a16="http://schemas.microsoft.com/office/drawing/2014/main" id="{9E07932C-422A-4D1B-A25D-B6B3C9EBDC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87" name="x_Picture 1" descr="Description: cid:image001.png@01D03949.49457930">
          <a:extLst>
            <a:ext uri="{FF2B5EF4-FFF2-40B4-BE49-F238E27FC236}">
              <a16:creationId xmlns:a16="http://schemas.microsoft.com/office/drawing/2014/main" id="{FF7404B2-D50B-4ECC-9E76-01D1C25B0EC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88" name="x_Picture 1" descr="Description: cid:image001.png@01D03949.49457930">
          <a:extLst>
            <a:ext uri="{FF2B5EF4-FFF2-40B4-BE49-F238E27FC236}">
              <a16:creationId xmlns:a16="http://schemas.microsoft.com/office/drawing/2014/main" id="{739E14BB-CF8F-4CF0-83EE-AD5EC9537C1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89" name="x_Picture 1" descr="Description: cid:image001.png@01D03949.49457930">
          <a:extLst>
            <a:ext uri="{FF2B5EF4-FFF2-40B4-BE49-F238E27FC236}">
              <a16:creationId xmlns:a16="http://schemas.microsoft.com/office/drawing/2014/main" id="{E473FA7D-15F3-47A7-A80A-303614408D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90" name="x_Picture 1" descr="Description: cid:image001.png@01D03949.49457930">
          <a:extLst>
            <a:ext uri="{FF2B5EF4-FFF2-40B4-BE49-F238E27FC236}">
              <a16:creationId xmlns:a16="http://schemas.microsoft.com/office/drawing/2014/main" id="{A1F17ACF-0D58-4747-92DA-20C8E1728DF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91" name="x_Picture 1" descr="Description: cid:image001.png@01D03949.49457930">
          <a:extLst>
            <a:ext uri="{FF2B5EF4-FFF2-40B4-BE49-F238E27FC236}">
              <a16:creationId xmlns:a16="http://schemas.microsoft.com/office/drawing/2014/main" id="{5B1F4FE2-735A-4D27-9E8B-B4E75E55921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92" name="x_Picture 1" descr="Description: cid:image001.png@01D03949.49457930">
          <a:extLst>
            <a:ext uri="{FF2B5EF4-FFF2-40B4-BE49-F238E27FC236}">
              <a16:creationId xmlns:a16="http://schemas.microsoft.com/office/drawing/2014/main" id="{64697793-DC3B-48B4-848D-424D7E9C0EA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93" name="x_Picture 1" descr="Description: cid:image001.png@01D03949.49457930">
          <a:extLst>
            <a:ext uri="{FF2B5EF4-FFF2-40B4-BE49-F238E27FC236}">
              <a16:creationId xmlns:a16="http://schemas.microsoft.com/office/drawing/2014/main" id="{60F0F89A-52A6-4E01-8FDD-6B68D4218A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94" name="x_Picture 1" descr="Description: cid:image001.png@01D03949.49457930">
          <a:extLst>
            <a:ext uri="{FF2B5EF4-FFF2-40B4-BE49-F238E27FC236}">
              <a16:creationId xmlns:a16="http://schemas.microsoft.com/office/drawing/2014/main" id="{B49C965A-3513-4717-8A86-6D9630D0220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95" name="x_Picture 1" descr="Description: cid:image001.png@01D03949.49457930">
          <a:extLst>
            <a:ext uri="{FF2B5EF4-FFF2-40B4-BE49-F238E27FC236}">
              <a16:creationId xmlns:a16="http://schemas.microsoft.com/office/drawing/2014/main" id="{A4ABB8EC-852E-4FDE-8D53-6A14942DF49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96" name="x_Picture 1" descr="Description: cid:image001.png@01D03949.49457930">
          <a:extLst>
            <a:ext uri="{FF2B5EF4-FFF2-40B4-BE49-F238E27FC236}">
              <a16:creationId xmlns:a16="http://schemas.microsoft.com/office/drawing/2014/main" id="{7EF348E7-1CF3-4EB4-ACF3-8A781151A6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97" name="x_Picture 1" descr="Description: cid:image001.png@01D03949.49457930">
          <a:extLst>
            <a:ext uri="{FF2B5EF4-FFF2-40B4-BE49-F238E27FC236}">
              <a16:creationId xmlns:a16="http://schemas.microsoft.com/office/drawing/2014/main" id="{E8BC23A5-DA8C-4C9E-BD75-16C6741DEB6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698" name="x_Picture 1" descr="Description: cid:image001.png@01D03949.49457930">
          <a:extLst>
            <a:ext uri="{FF2B5EF4-FFF2-40B4-BE49-F238E27FC236}">
              <a16:creationId xmlns:a16="http://schemas.microsoft.com/office/drawing/2014/main" id="{342B0780-C6EE-4495-954C-7BB9457F7EB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699" name="x_Picture 1" descr="Description: cid:image001.png@01D03949.49457930">
          <a:extLst>
            <a:ext uri="{FF2B5EF4-FFF2-40B4-BE49-F238E27FC236}">
              <a16:creationId xmlns:a16="http://schemas.microsoft.com/office/drawing/2014/main" id="{4C277D0C-6B29-4AE7-B727-F1CB380937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00" name="x_Picture 1" descr="Description: cid:image001.png@01D03949.49457930">
          <a:extLst>
            <a:ext uri="{FF2B5EF4-FFF2-40B4-BE49-F238E27FC236}">
              <a16:creationId xmlns:a16="http://schemas.microsoft.com/office/drawing/2014/main" id="{1748DA8D-2796-4D37-A82B-76CF55D1903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01" name="x_Picture 1" descr="Description: cid:image001.png@01D03949.49457930">
          <a:extLst>
            <a:ext uri="{FF2B5EF4-FFF2-40B4-BE49-F238E27FC236}">
              <a16:creationId xmlns:a16="http://schemas.microsoft.com/office/drawing/2014/main" id="{3162D8D6-C01E-4ECE-86BF-1C125EACDD8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02" name="x_Picture 1" descr="Description: cid:image001.png@01D03949.49457930">
          <a:extLst>
            <a:ext uri="{FF2B5EF4-FFF2-40B4-BE49-F238E27FC236}">
              <a16:creationId xmlns:a16="http://schemas.microsoft.com/office/drawing/2014/main" id="{A617FFB9-DF86-4879-AF4D-9B093420A00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03" name="x_Picture 1" descr="Description: cid:image001.png@01D03949.49457930">
          <a:extLst>
            <a:ext uri="{FF2B5EF4-FFF2-40B4-BE49-F238E27FC236}">
              <a16:creationId xmlns:a16="http://schemas.microsoft.com/office/drawing/2014/main" id="{C514E0A0-0F99-4FF2-AB7C-CDB04009A4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04" name="x_Picture 1" descr="Description: cid:image001.png@01D03949.49457930">
          <a:extLst>
            <a:ext uri="{FF2B5EF4-FFF2-40B4-BE49-F238E27FC236}">
              <a16:creationId xmlns:a16="http://schemas.microsoft.com/office/drawing/2014/main" id="{219EEA9B-EB2D-4DB6-8A53-B8A46669608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05" name="x_Picture 1" descr="Description: cid:image001.png@01D03949.49457930">
          <a:extLst>
            <a:ext uri="{FF2B5EF4-FFF2-40B4-BE49-F238E27FC236}">
              <a16:creationId xmlns:a16="http://schemas.microsoft.com/office/drawing/2014/main" id="{C7DC82F4-6D5C-454C-872B-AA80FF5D0E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06" name="x_Picture 1" descr="Description: cid:image001.png@01D03949.49457930">
          <a:extLst>
            <a:ext uri="{FF2B5EF4-FFF2-40B4-BE49-F238E27FC236}">
              <a16:creationId xmlns:a16="http://schemas.microsoft.com/office/drawing/2014/main" id="{97ACF6A1-2363-42DC-9AAC-60B8AF51C00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07" name="x_Picture 1" descr="Description: cid:image001.png@01D03949.49457930">
          <a:extLst>
            <a:ext uri="{FF2B5EF4-FFF2-40B4-BE49-F238E27FC236}">
              <a16:creationId xmlns:a16="http://schemas.microsoft.com/office/drawing/2014/main" id="{D547575D-65E8-46AB-B426-C1585007ECD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08" name="x_Picture 1" descr="Description: cid:image001.png@01D03949.49457930">
          <a:extLst>
            <a:ext uri="{FF2B5EF4-FFF2-40B4-BE49-F238E27FC236}">
              <a16:creationId xmlns:a16="http://schemas.microsoft.com/office/drawing/2014/main" id="{A078A9E5-8732-4954-A740-52CCD173FD4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09" name="x_Picture 1" descr="Description: cid:image001.png@01D03949.49457930">
          <a:extLst>
            <a:ext uri="{FF2B5EF4-FFF2-40B4-BE49-F238E27FC236}">
              <a16:creationId xmlns:a16="http://schemas.microsoft.com/office/drawing/2014/main" id="{9958493E-77DB-4426-BCA8-39608F23259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10" name="x_Picture 1" descr="Description: cid:image001.png@01D03949.49457930">
          <a:extLst>
            <a:ext uri="{FF2B5EF4-FFF2-40B4-BE49-F238E27FC236}">
              <a16:creationId xmlns:a16="http://schemas.microsoft.com/office/drawing/2014/main" id="{3E42A257-51DB-4BE0-A153-BBD8D317416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11" name="x_Picture 1" descr="Description: cid:image001.png@01D03949.49457930">
          <a:extLst>
            <a:ext uri="{FF2B5EF4-FFF2-40B4-BE49-F238E27FC236}">
              <a16:creationId xmlns:a16="http://schemas.microsoft.com/office/drawing/2014/main" id="{B5303EE9-8EDD-452E-A4B3-B4B3218C487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12" name="x_Picture 1" descr="Description: cid:image001.png@01D03949.49457930">
          <a:extLst>
            <a:ext uri="{FF2B5EF4-FFF2-40B4-BE49-F238E27FC236}">
              <a16:creationId xmlns:a16="http://schemas.microsoft.com/office/drawing/2014/main" id="{E17C59CE-B114-4CB7-8137-56A81E0A37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13" name="x_Picture 1" descr="Description: cid:image001.png@01D03949.49457930">
          <a:extLst>
            <a:ext uri="{FF2B5EF4-FFF2-40B4-BE49-F238E27FC236}">
              <a16:creationId xmlns:a16="http://schemas.microsoft.com/office/drawing/2014/main" id="{E3A73159-BF17-4146-B57D-A528BE100D5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14" name="x_Picture 1" descr="Description: cid:image001.png@01D03949.49457930">
          <a:extLst>
            <a:ext uri="{FF2B5EF4-FFF2-40B4-BE49-F238E27FC236}">
              <a16:creationId xmlns:a16="http://schemas.microsoft.com/office/drawing/2014/main" id="{C86E6EB1-F661-4381-AB91-4885F5E01BA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15" name="x_Picture 1" descr="Description: cid:image001.png@01D03949.49457930">
          <a:extLst>
            <a:ext uri="{FF2B5EF4-FFF2-40B4-BE49-F238E27FC236}">
              <a16:creationId xmlns:a16="http://schemas.microsoft.com/office/drawing/2014/main" id="{FE5224F2-E3EC-49FB-AEA3-7525A569F78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16" name="x_Picture 1" descr="Description: cid:image001.png@01D03949.49457930">
          <a:extLst>
            <a:ext uri="{FF2B5EF4-FFF2-40B4-BE49-F238E27FC236}">
              <a16:creationId xmlns:a16="http://schemas.microsoft.com/office/drawing/2014/main" id="{6F4FC7D7-5C81-4C08-9CAA-3E7680E76FF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17" name="x_Picture 1" descr="Description: cid:image001.png@01D03949.49457930">
          <a:extLst>
            <a:ext uri="{FF2B5EF4-FFF2-40B4-BE49-F238E27FC236}">
              <a16:creationId xmlns:a16="http://schemas.microsoft.com/office/drawing/2014/main" id="{50EEBA75-B5A7-48DA-9A21-EABD315B605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18" name="x_Picture 1" descr="Description: cid:image001.png@01D03949.49457930">
          <a:extLst>
            <a:ext uri="{FF2B5EF4-FFF2-40B4-BE49-F238E27FC236}">
              <a16:creationId xmlns:a16="http://schemas.microsoft.com/office/drawing/2014/main" id="{2B2F8317-F71D-4EF4-8397-7858CF17DDA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19" name="x_Picture 1" descr="Description: cid:image001.png@01D03949.49457930">
          <a:extLst>
            <a:ext uri="{FF2B5EF4-FFF2-40B4-BE49-F238E27FC236}">
              <a16:creationId xmlns:a16="http://schemas.microsoft.com/office/drawing/2014/main" id="{D0B2736B-C972-485C-8068-982366026CB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20" name="x_Picture 1" descr="Description: cid:image001.png@01D03949.49457930">
          <a:extLst>
            <a:ext uri="{FF2B5EF4-FFF2-40B4-BE49-F238E27FC236}">
              <a16:creationId xmlns:a16="http://schemas.microsoft.com/office/drawing/2014/main" id="{7445829E-BEE4-4A8B-AB07-EBBB83971A4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21" name="x_Picture 1" descr="Description: cid:image001.png@01D03949.49457930">
          <a:extLst>
            <a:ext uri="{FF2B5EF4-FFF2-40B4-BE49-F238E27FC236}">
              <a16:creationId xmlns:a16="http://schemas.microsoft.com/office/drawing/2014/main" id="{39C705B0-8A7B-421D-98B4-5144A0C20E0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22" name="x_Picture 1" descr="Description: cid:image001.png@01D03949.49457930">
          <a:extLst>
            <a:ext uri="{FF2B5EF4-FFF2-40B4-BE49-F238E27FC236}">
              <a16:creationId xmlns:a16="http://schemas.microsoft.com/office/drawing/2014/main" id="{D932802C-C5F5-453A-9153-18D7FDA1C21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23" name="x_Picture 1" descr="Description: cid:image001.png@01D03949.49457930">
          <a:extLst>
            <a:ext uri="{FF2B5EF4-FFF2-40B4-BE49-F238E27FC236}">
              <a16:creationId xmlns:a16="http://schemas.microsoft.com/office/drawing/2014/main" id="{56EF472B-2FCD-4F61-BC5A-553B818F681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24" name="x_Picture 1" descr="Description: cid:image001.png@01D03949.49457930">
          <a:extLst>
            <a:ext uri="{FF2B5EF4-FFF2-40B4-BE49-F238E27FC236}">
              <a16:creationId xmlns:a16="http://schemas.microsoft.com/office/drawing/2014/main" id="{D4AF5AD5-A98C-4BCF-B133-09FF7D6D70A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25" name="x_Picture 1" descr="Description: cid:image001.png@01D03949.49457930">
          <a:extLst>
            <a:ext uri="{FF2B5EF4-FFF2-40B4-BE49-F238E27FC236}">
              <a16:creationId xmlns:a16="http://schemas.microsoft.com/office/drawing/2014/main" id="{83556413-2D6F-4CC0-8B17-7E596F432C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26" name="x_Picture 1" descr="Description: cid:image001.png@01D03949.49457930">
          <a:extLst>
            <a:ext uri="{FF2B5EF4-FFF2-40B4-BE49-F238E27FC236}">
              <a16:creationId xmlns:a16="http://schemas.microsoft.com/office/drawing/2014/main" id="{E06F0C2B-8DF8-42D7-8FBC-257D37A0CCE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27" name="x_Picture 1" descr="Description: cid:image001.png@01D03949.49457930">
          <a:extLst>
            <a:ext uri="{FF2B5EF4-FFF2-40B4-BE49-F238E27FC236}">
              <a16:creationId xmlns:a16="http://schemas.microsoft.com/office/drawing/2014/main" id="{76BE62B6-CCEC-46AC-8372-5FF7A68046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28" name="x_Picture 1" descr="Description: cid:image001.png@01D03949.49457930">
          <a:extLst>
            <a:ext uri="{FF2B5EF4-FFF2-40B4-BE49-F238E27FC236}">
              <a16:creationId xmlns:a16="http://schemas.microsoft.com/office/drawing/2014/main" id="{973940CE-8DE7-4EF9-8367-2977B451760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29" name="x_Picture 1" descr="Description: cid:image001.png@01D03949.49457930">
          <a:extLst>
            <a:ext uri="{FF2B5EF4-FFF2-40B4-BE49-F238E27FC236}">
              <a16:creationId xmlns:a16="http://schemas.microsoft.com/office/drawing/2014/main" id="{1D1856B2-1763-477C-B912-B0DABFE5E8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30" name="x_Picture 1" descr="Description: cid:image001.png@01D03949.49457930">
          <a:extLst>
            <a:ext uri="{FF2B5EF4-FFF2-40B4-BE49-F238E27FC236}">
              <a16:creationId xmlns:a16="http://schemas.microsoft.com/office/drawing/2014/main" id="{6F59D475-5F96-4C9E-BD75-E7EEA1804C6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31" name="x_Picture 1" descr="Description: cid:image001.png@01D03949.49457930">
          <a:extLst>
            <a:ext uri="{FF2B5EF4-FFF2-40B4-BE49-F238E27FC236}">
              <a16:creationId xmlns:a16="http://schemas.microsoft.com/office/drawing/2014/main" id="{16A701BB-4BB4-43E8-99BD-6D9EEE57576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32" name="x_Picture 1" descr="Description: cid:image001.png@01D03949.49457930">
          <a:extLst>
            <a:ext uri="{FF2B5EF4-FFF2-40B4-BE49-F238E27FC236}">
              <a16:creationId xmlns:a16="http://schemas.microsoft.com/office/drawing/2014/main" id="{81E9DEE5-05A7-4D6A-82FD-9C099CD15A9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33" name="x_Picture 1" descr="Description: cid:image001.png@01D03949.49457930">
          <a:extLst>
            <a:ext uri="{FF2B5EF4-FFF2-40B4-BE49-F238E27FC236}">
              <a16:creationId xmlns:a16="http://schemas.microsoft.com/office/drawing/2014/main" id="{DDC2C232-068D-46B9-989B-46EE0C73BCA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34" name="x_Picture 1" descr="Description: cid:image001.png@01D03949.49457930">
          <a:extLst>
            <a:ext uri="{FF2B5EF4-FFF2-40B4-BE49-F238E27FC236}">
              <a16:creationId xmlns:a16="http://schemas.microsoft.com/office/drawing/2014/main" id="{A2190609-4D4E-4095-A770-241FC79A8FC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35" name="x_Picture 1" descr="Description: cid:image001.png@01D03949.49457930">
          <a:extLst>
            <a:ext uri="{FF2B5EF4-FFF2-40B4-BE49-F238E27FC236}">
              <a16:creationId xmlns:a16="http://schemas.microsoft.com/office/drawing/2014/main" id="{AB8BB3F1-8C27-40CF-A29A-00931292308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36" name="x_Picture 1" descr="Description: cid:image001.png@01D03949.49457930">
          <a:extLst>
            <a:ext uri="{FF2B5EF4-FFF2-40B4-BE49-F238E27FC236}">
              <a16:creationId xmlns:a16="http://schemas.microsoft.com/office/drawing/2014/main" id="{2E30231D-CB15-4D7B-B26F-3837924CFD3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37" name="x_Picture 1" descr="Description: cid:image001.png@01D03949.49457930">
          <a:extLst>
            <a:ext uri="{FF2B5EF4-FFF2-40B4-BE49-F238E27FC236}">
              <a16:creationId xmlns:a16="http://schemas.microsoft.com/office/drawing/2014/main" id="{9663191F-7081-47B8-BCA5-5769BDD9DB9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38" name="x_Picture 1" descr="Description: cid:image001.png@01D03949.49457930">
          <a:extLst>
            <a:ext uri="{FF2B5EF4-FFF2-40B4-BE49-F238E27FC236}">
              <a16:creationId xmlns:a16="http://schemas.microsoft.com/office/drawing/2014/main" id="{DF3FE568-A2AF-47B1-89B1-7DE1D4DDAD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39" name="x_Picture 1" descr="Description: cid:image001.png@01D03949.49457930">
          <a:extLst>
            <a:ext uri="{FF2B5EF4-FFF2-40B4-BE49-F238E27FC236}">
              <a16:creationId xmlns:a16="http://schemas.microsoft.com/office/drawing/2014/main" id="{03A39D9E-80BC-4465-B29A-48CC4005A9F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40" name="x_Picture 1" descr="Description: cid:image001.png@01D03949.49457930">
          <a:extLst>
            <a:ext uri="{FF2B5EF4-FFF2-40B4-BE49-F238E27FC236}">
              <a16:creationId xmlns:a16="http://schemas.microsoft.com/office/drawing/2014/main" id="{E1C30FBD-7F96-46CE-B5C7-8B246A22863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41" name="x_Picture 1" descr="Description: cid:image001.png@01D03949.49457930">
          <a:extLst>
            <a:ext uri="{FF2B5EF4-FFF2-40B4-BE49-F238E27FC236}">
              <a16:creationId xmlns:a16="http://schemas.microsoft.com/office/drawing/2014/main" id="{DBD2AA97-FE90-4B35-A615-E61A440C078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42" name="x_Picture 1" descr="Description: cid:image001.png@01D03949.49457930">
          <a:extLst>
            <a:ext uri="{FF2B5EF4-FFF2-40B4-BE49-F238E27FC236}">
              <a16:creationId xmlns:a16="http://schemas.microsoft.com/office/drawing/2014/main" id="{3029685D-A881-48E8-A728-339A58C03EE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43" name="x_Picture 1" descr="Description: cid:image001.png@01D03949.49457930">
          <a:extLst>
            <a:ext uri="{FF2B5EF4-FFF2-40B4-BE49-F238E27FC236}">
              <a16:creationId xmlns:a16="http://schemas.microsoft.com/office/drawing/2014/main" id="{BE8ADDBA-BE08-4C67-8658-09B56058461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44" name="x_Picture 1" descr="Description: cid:image001.png@01D03949.49457930">
          <a:extLst>
            <a:ext uri="{FF2B5EF4-FFF2-40B4-BE49-F238E27FC236}">
              <a16:creationId xmlns:a16="http://schemas.microsoft.com/office/drawing/2014/main" id="{3F9307EC-0480-41F4-9D45-DAB795EFF3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45" name="x_Picture 1" descr="Description: cid:image001.png@01D03949.49457930">
          <a:extLst>
            <a:ext uri="{FF2B5EF4-FFF2-40B4-BE49-F238E27FC236}">
              <a16:creationId xmlns:a16="http://schemas.microsoft.com/office/drawing/2014/main" id="{6046ACDA-DAC6-4031-AC3F-5AC378FC95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46" name="x_Picture 1" descr="Description: cid:image001.png@01D03949.49457930">
          <a:extLst>
            <a:ext uri="{FF2B5EF4-FFF2-40B4-BE49-F238E27FC236}">
              <a16:creationId xmlns:a16="http://schemas.microsoft.com/office/drawing/2014/main" id="{1F36830E-3982-4F9F-BA7A-61DA4E949B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47" name="x_Picture 1" descr="Description: cid:image001.png@01D03949.49457930">
          <a:extLst>
            <a:ext uri="{FF2B5EF4-FFF2-40B4-BE49-F238E27FC236}">
              <a16:creationId xmlns:a16="http://schemas.microsoft.com/office/drawing/2014/main" id="{B8A3D63F-635D-4858-AEA1-695D7D10329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48" name="x_Picture 1" descr="Description: cid:image001.png@01D03949.49457930">
          <a:extLst>
            <a:ext uri="{FF2B5EF4-FFF2-40B4-BE49-F238E27FC236}">
              <a16:creationId xmlns:a16="http://schemas.microsoft.com/office/drawing/2014/main" id="{2ACEE211-8CEA-4EFF-8A4C-15CBF35D4BA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49" name="x_Picture 1" descr="Description: cid:image001.png@01D03949.49457930">
          <a:extLst>
            <a:ext uri="{FF2B5EF4-FFF2-40B4-BE49-F238E27FC236}">
              <a16:creationId xmlns:a16="http://schemas.microsoft.com/office/drawing/2014/main" id="{3288CD31-24DC-407B-B84E-BBD16266DA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50" name="x_Picture 1" descr="Description: cid:image001.png@01D03949.49457930">
          <a:extLst>
            <a:ext uri="{FF2B5EF4-FFF2-40B4-BE49-F238E27FC236}">
              <a16:creationId xmlns:a16="http://schemas.microsoft.com/office/drawing/2014/main" id="{E55773F9-FDF5-4823-9674-1657FE1133B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51" name="x_Picture 1" descr="Description: cid:image001.png@01D03949.49457930">
          <a:extLst>
            <a:ext uri="{FF2B5EF4-FFF2-40B4-BE49-F238E27FC236}">
              <a16:creationId xmlns:a16="http://schemas.microsoft.com/office/drawing/2014/main" id="{6C0EF5B5-BC13-41F6-B140-89DC91C28D5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52" name="x_Picture 1" descr="Description: cid:image001.png@01D03949.49457930">
          <a:extLst>
            <a:ext uri="{FF2B5EF4-FFF2-40B4-BE49-F238E27FC236}">
              <a16:creationId xmlns:a16="http://schemas.microsoft.com/office/drawing/2014/main" id="{84EC7D8C-0856-4C89-8FBA-83FF371C24F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53" name="x_Picture 1" descr="Description: cid:image001.png@01D03949.49457930">
          <a:extLst>
            <a:ext uri="{FF2B5EF4-FFF2-40B4-BE49-F238E27FC236}">
              <a16:creationId xmlns:a16="http://schemas.microsoft.com/office/drawing/2014/main" id="{495BFE8B-549B-4356-BA71-F3AA18A26D3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54" name="x_Picture 1" descr="Description: cid:image001.png@01D03949.49457930">
          <a:extLst>
            <a:ext uri="{FF2B5EF4-FFF2-40B4-BE49-F238E27FC236}">
              <a16:creationId xmlns:a16="http://schemas.microsoft.com/office/drawing/2014/main" id="{A719C00A-E649-40CF-81E1-2213EC6D99B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55" name="x_Picture 1" descr="Description: cid:image001.png@01D03949.49457930">
          <a:extLst>
            <a:ext uri="{FF2B5EF4-FFF2-40B4-BE49-F238E27FC236}">
              <a16:creationId xmlns:a16="http://schemas.microsoft.com/office/drawing/2014/main" id="{DA5E3478-DCE2-453B-9419-D4BC6CE58BC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56" name="x_Picture 1" descr="Description: cid:image001.png@01D03949.49457930">
          <a:extLst>
            <a:ext uri="{FF2B5EF4-FFF2-40B4-BE49-F238E27FC236}">
              <a16:creationId xmlns:a16="http://schemas.microsoft.com/office/drawing/2014/main" id="{01EB6E46-DF57-45CB-85AB-8317AA5570F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57" name="x_Picture 1" descr="Description: cid:image001.png@01D03949.49457930">
          <a:extLst>
            <a:ext uri="{FF2B5EF4-FFF2-40B4-BE49-F238E27FC236}">
              <a16:creationId xmlns:a16="http://schemas.microsoft.com/office/drawing/2014/main" id="{9E489675-6498-4C65-83A3-1CD6431558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58" name="x_Picture 1" descr="Description: cid:image001.png@01D03949.49457930">
          <a:extLst>
            <a:ext uri="{FF2B5EF4-FFF2-40B4-BE49-F238E27FC236}">
              <a16:creationId xmlns:a16="http://schemas.microsoft.com/office/drawing/2014/main" id="{BD0B3184-3CBB-443A-B55E-90EBEEF1AA2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59" name="x_Picture 1" descr="Description: cid:image001.png@01D03949.49457930">
          <a:extLst>
            <a:ext uri="{FF2B5EF4-FFF2-40B4-BE49-F238E27FC236}">
              <a16:creationId xmlns:a16="http://schemas.microsoft.com/office/drawing/2014/main" id="{08B7B0F5-C4E4-45D7-AE21-F13A271646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0" name="x_Picture 1" descr="Description: cid:image001.png@01D03949.49457930">
          <a:extLst>
            <a:ext uri="{FF2B5EF4-FFF2-40B4-BE49-F238E27FC236}">
              <a16:creationId xmlns:a16="http://schemas.microsoft.com/office/drawing/2014/main" id="{048DE962-E29B-42C5-94ED-2256FA3AAF2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1" name="x_Picture 1" descr="Description: cid:image001.png@01D03949.49457930">
          <a:extLst>
            <a:ext uri="{FF2B5EF4-FFF2-40B4-BE49-F238E27FC236}">
              <a16:creationId xmlns:a16="http://schemas.microsoft.com/office/drawing/2014/main" id="{E64D8953-80F6-444B-8D3E-AD5426B18F3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2" name="x_Picture 1" descr="Description: cid:image001.png@01D03949.49457930">
          <a:extLst>
            <a:ext uri="{FF2B5EF4-FFF2-40B4-BE49-F238E27FC236}">
              <a16:creationId xmlns:a16="http://schemas.microsoft.com/office/drawing/2014/main" id="{817EDCB1-06EC-4872-8B6B-E3F5D5EA83F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3" name="x_Picture 1" descr="Description: cid:image001.png@01D03949.49457930">
          <a:extLst>
            <a:ext uri="{FF2B5EF4-FFF2-40B4-BE49-F238E27FC236}">
              <a16:creationId xmlns:a16="http://schemas.microsoft.com/office/drawing/2014/main" id="{0EEB3525-D3F7-47CA-BDE4-8BD999C96BC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4" name="x_Picture 1" descr="Description: cid:image001.png@01D03949.49457930">
          <a:extLst>
            <a:ext uri="{FF2B5EF4-FFF2-40B4-BE49-F238E27FC236}">
              <a16:creationId xmlns:a16="http://schemas.microsoft.com/office/drawing/2014/main" id="{FAE6F0F2-067F-4AE5-B8A9-CA262DA579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5" name="x_Picture 1" descr="Description: cid:image001.png@01D03949.49457930">
          <a:extLst>
            <a:ext uri="{FF2B5EF4-FFF2-40B4-BE49-F238E27FC236}">
              <a16:creationId xmlns:a16="http://schemas.microsoft.com/office/drawing/2014/main" id="{6BCA7D1D-2A0B-4B4A-9BBF-043C9417E9B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6" name="x_Picture 1" descr="Description: cid:image001.png@01D03949.49457930">
          <a:extLst>
            <a:ext uri="{FF2B5EF4-FFF2-40B4-BE49-F238E27FC236}">
              <a16:creationId xmlns:a16="http://schemas.microsoft.com/office/drawing/2014/main" id="{6026C2FC-90DE-483F-8840-4612A560F23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7" name="x_Picture 1" descr="Description: cid:image001.png@01D03949.49457930">
          <a:extLst>
            <a:ext uri="{FF2B5EF4-FFF2-40B4-BE49-F238E27FC236}">
              <a16:creationId xmlns:a16="http://schemas.microsoft.com/office/drawing/2014/main" id="{2545FE62-55EB-4ECC-9096-794A5E55446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8" name="x_Picture 1" descr="Description: cid:image001.png@01D03949.49457930">
          <a:extLst>
            <a:ext uri="{FF2B5EF4-FFF2-40B4-BE49-F238E27FC236}">
              <a16:creationId xmlns:a16="http://schemas.microsoft.com/office/drawing/2014/main" id="{1B14A5B2-0509-4265-99A3-5434BCF079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69" name="x_Picture 1" descr="Description: cid:image001.png@01D03949.49457930">
          <a:extLst>
            <a:ext uri="{FF2B5EF4-FFF2-40B4-BE49-F238E27FC236}">
              <a16:creationId xmlns:a16="http://schemas.microsoft.com/office/drawing/2014/main" id="{4B67FCE7-5EFB-43CF-9A4B-220903D0928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70" name="x_Picture 1" descr="Description: cid:image001.png@01D03949.49457930">
          <a:extLst>
            <a:ext uri="{FF2B5EF4-FFF2-40B4-BE49-F238E27FC236}">
              <a16:creationId xmlns:a16="http://schemas.microsoft.com/office/drawing/2014/main" id="{4AAF82A2-DDAB-42D4-B60E-3311EE7F00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71" name="x_Picture 1" descr="Description: cid:image001.png@01D03949.49457930">
          <a:extLst>
            <a:ext uri="{FF2B5EF4-FFF2-40B4-BE49-F238E27FC236}">
              <a16:creationId xmlns:a16="http://schemas.microsoft.com/office/drawing/2014/main" id="{DECF93A9-7C31-4A92-B9AF-0FD10F595A9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72" name="x_Picture 1" descr="Description: cid:image001.png@01D03949.49457930">
          <a:extLst>
            <a:ext uri="{FF2B5EF4-FFF2-40B4-BE49-F238E27FC236}">
              <a16:creationId xmlns:a16="http://schemas.microsoft.com/office/drawing/2014/main" id="{9420567A-D64D-4306-968B-2A7822411AC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73" name="x_Picture 1" descr="Description: cid:image001.png@01D03949.49457930">
          <a:extLst>
            <a:ext uri="{FF2B5EF4-FFF2-40B4-BE49-F238E27FC236}">
              <a16:creationId xmlns:a16="http://schemas.microsoft.com/office/drawing/2014/main" id="{0F2B5EB1-F029-47C6-8BAA-B77F6F8AA6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74" name="x_Picture 1" descr="Description: cid:image001.png@01D03949.49457930">
          <a:extLst>
            <a:ext uri="{FF2B5EF4-FFF2-40B4-BE49-F238E27FC236}">
              <a16:creationId xmlns:a16="http://schemas.microsoft.com/office/drawing/2014/main" id="{C3F3AC79-900F-47FA-97A6-C4C48AA8E2B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75" name="x_Picture 1" descr="Description: cid:image001.png@01D03949.49457930">
          <a:extLst>
            <a:ext uri="{FF2B5EF4-FFF2-40B4-BE49-F238E27FC236}">
              <a16:creationId xmlns:a16="http://schemas.microsoft.com/office/drawing/2014/main" id="{698C3478-0F48-4B92-B2F6-5AA0A8210BE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76" name="x_Picture 1" descr="Description: cid:image001.png@01D03949.49457930">
          <a:extLst>
            <a:ext uri="{FF2B5EF4-FFF2-40B4-BE49-F238E27FC236}">
              <a16:creationId xmlns:a16="http://schemas.microsoft.com/office/drawing/2014/main" id="{261DF7FD-0E7B-4E01-958F-524638E98B9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77" name="x_Picture 1" descr="Description: cid:image001.png@01D03949.49457930">
          <a:extLst>
            <a:ext uri="{FF2B5EF4-FFF2-40B4-BE49-F238E27FC236}">
              <a16:creationId xmlns:a16="http://schemas.microsoft.com/office/drawing/2014/main" id="{BF0C33AB-DD60-4E62-8D23-89B32B1E70D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78" name="x_Picture 1" descr="Description: cid:image001.png@01D03949.49457930">
          <a:extLst>
            <a:ext uri="{FF2B5EF4-FFF2-40B4-BE49-F238E27FC236}">
              <a16:creationId xmlns:a16="http://schemas.microsoft.com/office/drawing/2014/main" id="{6C1E6C08-7266-4E87-9D27-FAC0BB96306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79" name="x_Picture 1" descr="Description: cid:image001.png@01D03949.49457930">
          <a:extLst>
            <a:ext uri="{FF2B5EF4-FFF2-40B4-BE49-F238E27FC236}">
              <a16:creationId xmlns:a16="http://schemas.microsoft.com/office/drawing/2014/main" id="{7F4F74C5-3D17-4E9F-814C-56111BACED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80" name="x_Picture 1" descr="Description: cid:image001.png@01D03949.49457930">
          <a:extLst>
            <a:ext uri="{FF2B5EF4-FFF2-40B4-BE49-F238E27FC236}">
              <a16:creationId xmlns:a16="http://schemas.microsoft.com/office/drawing/2014/main" id="{7F3366A9-7052-4C27-9D7D-4F1FF7D36B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81" name="x_Picture 1" descr="Description: cid:image001.png@01D03949.49457930">
          <a:extLst>
            <a:ext uri="{FF2B5EF4-FFF2-40B4-BE49-F238E27FC236}">
              <a16:creationId xmlns:a16="http://schemas.microsoft.com/office/drawing/2014/main" id="{352F4005-CF9C-4D33-8561-9CAAC18D209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82" name="x_Picture 1" descr="Description: cid:image001.png@01D03949.49457930">
          <a:extLst>
            <a:ext uri="{FF2B5EF4-FFF2-40B4-BE49-F238E27FC236}">
              <a16:creationId xmlns:a16="http://schemas.microsoft.com/office/drawing/2014/main" id="{00D01EC6-CA4A-45E3-B298-DD36674FFC5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83" name="x_Picture 1" descr="Description: cid:image001.png@01D03949.49457930">
          <a:extLst>
            <a:ext uri="{FF2B5EF4-FFF2-40B4-BE49-F238E27FC236}">
              <a16:creationId xmlns:a16="http://schemas.microsoft.com/office/drawing/2014/main" id="{B8FF3787-0825-41D3-8163-6BDB8F3BD88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84" name="x_Picture 1" descr="Description: cid:image001.png@01D03949.49457930">
          <a:extLst>
            <a:ext uri="{FF2B5EF4-FFF2-40B4-BE49-F238E27FC236}">
              <a16:creationId xmlns:a16="http://schemas.microsoft.com/office/drawing/2014/main" id="{9F296827-2493-4FC7-BEFE-8B62136B7B0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85" name="x_Picture 1" descr="Description: cid:image001.png@01D03949.49457930">
          <a:extLst>
            <a:ext uri="{FF2B5EF4-FFF2-40B4-BE49-F238E27FC236}">
              <a16:creationId xmlns:a16="http://schemas.microsoft.com/office/drawing/2014/main" id="{0170812A-E714-4E2F-8295-13CEE5B72BB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86" name="x_Picture 1" descr="Description: cid:image001.png@01D03949.49457930">
          <a:extLst>
            <a:ext uri="{FF2B5EF4-FFF2-40B4-BE49-F238E27FC236}">
              <a16:creationId xmlns:a16="http://schemas.microsoft.com/office/drawing/2014/main" id="{600675C3-574C-44B3-A870-A192A4055EA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87" name="x_Picture 1" descr="Description: cid:image001.png@01D03949.49457930">
          <a:extLst>
            <a:ext uri="{FF2B5EF4-FFF2-40B4-BE49-F238E27FC236}">
              <a16:creationId xmlns:a16="http://schemas.microsoft.com/office/drawing/2014/main" id="{BFFBA6A9-57E9-4D6B-824E-51BE1497987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88" name="x_Picture 1" descr="Description: cid:image001.png@01D03949.49457930">
          <a:extLst>
            <a:ext uri="{FF2B5EF4-FFF2-40B4-BE49-F238E27FC236}">
              <a16:creationId xmlns:a16="http://schemas.microsoft.com/office/drawing/2014/main" id="{747E4FDA-5AE6-4CC5-86D0-B0C14D5C44A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89" name="x_Picture 1" descr="Description: cid:image001.png@01D03949.49457930">
          <a:extLst>
            <a:ext uri="{FF2B5EF4-FFF2-40B4-BE49-F238E27FC236}">
              <a16:creationId xmlns:a16="http://schemas.microsoft.com/office/drawing/2014/main" id="{A423E09C-808F-441E-8B74-FFA662C789D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90" name="x_Picture 1" descr="Description: cid:image001.png@01D03949.49457930">
          <a:extLst>
            <a:ext uri="{FF2B5EF4-FFF2-40B4-BE49-F238E27FC236}">
              <a16:creationId xmlns:a16="http://schemas.microsoft.com/office/drawing/2014/main" id="{35B05638-D635-45D1-B8D2-9C88C665376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91" name="x_Picture 1" descr="Description: cid:image001.png@01D03949.49457930">
          <a:extLst>
            <a:ext uri="{FF2B5EF4-FFF2-40B4-BE49-F238E27FC236}">
              <a16:creationId xmlns:a16="http://schemas.microsoft.com/office/drawing/2014/main" id="{A82004FF-0932-4BC1-8E77-0415A12AA9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92" name="x_Picture 1" descr="Description: cid:image001.png@01D03949.49457930">
          <a:extLst>
            <a:ext uri="{FF2B5EF4-FFF2-40B4-BE49-F238E27FC236}">
              <a16:creationId xmlns:a16="http://schemas.microsoft.com/office/drawing/2014/main" id="{8C1C6D69-0710-418E-865D-437E79DAA1E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93" name="x_Picture 1" descr="Description: cid:image001.png@01D03949.49457930">
          <a:extLst>
            <a:ext uri="{FF2B5EF4-FFF2-40B4-BE49-F238E27FC236}">
              <a16:creationId xmlns:a16="http://schemas.microsoft.com/office/drawing/2014/main" id="{F6A22BAF-7E4B-4F83-8DE4-C0959FF9A7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794" name="x_Picture 1" descr="Description: cid:image001.png@01D03949.49457930">
          <a:extLst>
            <a:ext uri="{FF2B5EF4-FFF2-40B4-BE49-F238E27FC236}">
              <a16:creationId xmlns:a16="http://schemas.microsoft.com/office/drawing/2014/main" id="{1C12BCD2-9533-44D9-9A15-A0F8E0C1643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95" name="x_Picture 1" descr="Description: cid:image001.png@01D03949.49457930">
          <a:extLst>
            <a:ext uri="{FF2B5EF4-FFF2-40B4-BE49-F238E27FC236}">
              <a16:creationId xmlns:a16="http://schemas.microsoft.com/office/drawing/2014/main" id="{3939C66B-3602-4262-ADBE-9C4245F6681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96" name="x_Picture 1" descr="Description: cid:image001.png@01D03949.49457930">
          <a:extLst>
            <a:ext uri="{FF2B5EF4-FFF2-40B4-BE49-F238E27FC236}">
              <a16:creationId xmlns:a16="http://schemas.microsoft.com/office/drawing/2014/main" id="{40D9E2D2-625B-4A1F-915B-B559AD990FA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97" name="x_Picture 1" descr="Description: cid:image001.png@01D03949.49457930">
          <a:extLst>
            <a:ext uri="{FF2B5EF4-FFF2-40B4-BE49-F238E27FC236}">
              <a16:creationId xmlns:a16="http://schemas.microsoft.com/office/drawing/2014/main" id="{05763217-2D2F-4902-B432-91C75D5BF4B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98" name="x_Picture 1" descr="Description: cid:image001.png@01D03949.49457930">
          <a:extLst>
            <a:ext uri="{FF2B5EF4-FFF2-40B4-BE49-F238E27FC236}">
              <a16:creationId xmlns:a16="http://schemas.microsoft.com/office/drawing/2014/main" id="{3A46BA26-A943-4633-A2BE-BAFA90A057D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799" name="x_Picture 1" descr="Description: cid:image001.png@01D03949.49457930">
          <a:extLst>
            <a:ext uri="{FF2B5EF4-FFF2-40B4-BE49-F238E27FC236}">
              <a16:creationId xmlns:a16="http://schemas.microsoft.com/office/drawing/2014/main" id="{4DC77BC6-2C82-4F56-9327-ACCE433789E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00" name="x_Picture 1" descr="Description: cid:image001.png@01D03949.49457930">
          <a:extLst>
            <a:ext uri="{FF2B5EF4-FFF2-40B4-BE49-F238E27FC236}">
              <a16:creationId xmlns:a16="http://schemas.microsoft.com/office/drawing/2014/main" id="{63D73EEE-672B-4B03-96BB-E631169E9CB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01" name="x_Picture 1" descr="Description: cid:image001.png@01D03949.49457930">
          <a:extLst>
            <a:ext uri="{FF2B5EF4-FFF2-40B4-BE49-F238E27FC236}">
              <a16:creationId xmlns:a16="http://schemas.microsoft.com/office/drawing/2014/main" id="{92ECC440-DEF5-4D41-BCAB-0E873B724E6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02" name="x_Picture 1" descr="Description: cid:image001.png@01D03949.49457930">
          <a:extLst>
            <a:ext uri="{FF2B5EF4-FFF2-40B4-BE49-F238E27FC236}">
              <a16:creationId xmlns:a16="http://schemas.microsoft.com/office/drawing/2014/main" id="{17A586A3-F47E-4E65-A386-42E4A66245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03" name="x_Picture 1" descr="Description: cid:image001.png@01D03949.49457930">
          <a:extLst>
            <a:ext uri="{FF2B5EF4-FFF2-40B4-BE49-F238E27FC236}">
              <a16:creationId xmlns:a16="http://schemas.microsoft.com/office/drawing/2014/main" id="{861DE7AB-DA7E-4A92-B7C1-90E954E84BD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04" name="x_Picture 1" descr="Description: cid:image001.png@01D03949.49457930">
          <a:extLst>
            <a:ext uri="{FF2B5EF4-FFF2-40B4-BE49-F238E27FC236}">
              <a16:creationId xmlns:a16="http://schemas.microsoft.com/office/drawing/2014/main" id="{2671C765-9F34-4FDC-BA60-0A254D55232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05" name="x_Picture 1" descr="Description: cid:image001.png@01D03949.49457930">
          <a:extLst>
            <a:ext uri="{FF2B5EF4-FFF2-40B4-BE49-F238E27FC236}">
              <a16:creationId xmlns:a16="http://schemas.microsoft.com/office/drawing/2014/main" id="{A76EC349-2E17-498A-BBB0-4CECE4B461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06" name="x_Picture 1" descr="Description: cid:image001.png@01D03949.49457930">
          <a:extLst>
            <a:ext uri="{FF2B5EF4-FFF2-40B4-BE49-F238E27FC236}">
              <a16:creationId xmlns:a16="http://schemas.microsoft.com/office/drawing/2014/main" id="{C42CC762-D4CF-4B36-86C3-E0430D3628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07" name="x_Picture 1" descr="Description: cid:image001.png@01D03949.49457930">
          <a:extLst>
            <a:ext uri="{FF2B5EF4-FFF2-40B4-BE49-F238E27FC236}">
              <a16:creationId xmlns:a16="http://schemas.microsoft.com/office/drawing/2014/main" id="{5AEF7CAE-4438-49A7-9AE1-1FEFE6E909D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08" name="x_Picture 1" descr="Description: cid:image001.png@01D03949.49457930">
          <a:extLst>
            <a:ext uri="{FF2B5EF4-FFF2-40B4-BE49-F238E27FC236}">
              <a16:creationId xmlns:a16="http://schemas.microsoft.com/office/drawing/2014/main" id="{6D819675-655F-4C32-9088-4D9F7813A4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09" name="x_Picture 1" descr="Description: cid:image001.png@01D03949.49457930">
          <a:extLst>
            <a:ext uri="{FF2B5EF4-FFF2-40B4-BE49-F238E27FC236}">
              <a16:creationId xmlns:a16="http://schemas.microsoft.com/office/drawing/2014/main" id="{CFF411B4-E731-46C9-AA09-D4A49AD7B41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10" name="x_Picture 1" descr="Description: cid:image001.png@01D03949.49457930">
          <a:extLst>
            <a:ext uri="{FF2B5EF4-FFF2-40B4-BE49-F238E27FC236}">
              <a16:creationId xmlns:a16="http://schemas.microsoft.com/office/drawing/2014/main" id="{EDD2B892-7EC1-441A-8C68-CA9166E91B4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11" name="x_Picture 1" descr="Description: cid:image001.png@01D03949.49457930">
          <a:extLst>
            <a:ext uri="{FF2B5EF4-FFF2-40B4-BE49-F238E27FC236}">
              <a16:creationId xmlns:a16="http://schemas.microsoft.com/office/drawing/2014/main" id="{BC890584-6D5D-4E43-B185-9FF1F2ACBC1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12" name="x_Picture 1" descr="Description: cid:image001.png@01D03949.49457930">
          <a:extLst>
            <a:ext uri="{FF2B5EF4-FFF2-40B4-BE49-F238E27FC236}">
              <a16:creationId xmlns:a16="http://schemas.microsoft.com/office/drawing/2014/main" id="{F9F9C245-09B3-4BF6-A955-79A329C036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13" name="x_Picture 1" descr="Description: cid:image001.png@01D03949.49457930">
          <a:extLst>
            <a:ext uri="{FF2B5EF4-FFF2-40B4-BE49-F238E27FC236}">
              <a16:creationId xmlns:a16="http://schemas.microsoft.com/office/drawing/2014/main" id="{C175E8D0-446D-4DEA-BC89-CC4D89FA94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14" name="x_Picture 1" descr="Description: cid:image001.png@01D03949.49457930">
          <a:extLst>
            <a:ext uri="{FF2B5EF4-FFF2-40B4-BE49-F238E27FC236}">
              <a16:creationId xmlns:a16="http://schemas.microsoft.com/office/drawing/2014/main" id="{8A66F664-BB44-47FF-80BF-E6A3F92D9AC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15" name="x_Picture 1" descr="Description: cid:image001.png@01D03949.49457930">
          <a:extLst>
            <a:ext uri="{FF2B5EF4-FFF2-40B4-BE49-F238E27FC236}">
              <a16:creationId xmlns:a16="http://schemas.microsoft.com/office/drawing/2014/main" id="{580A0D1F-689B-471E-A7AB-A7F4B23A1D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16" name="x_Picture 1" descr="Description: cid:image001.png@01D03949.49457930">
          <a:extLst>
            <a:ext uri="{FF2B5EF4-FFF2-40B4-BE49-F238E27FC236}">
              <a16:creationId xmlns:a16="http://schemas.microsoft.com/office/drawing/2014/main" id="{0ACE3D2A-5A01-40F0-9B41-1BEA93E1A2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17" name="x_Picture 1" descr="Description: cid:image001.png@01D03949.49457930">
          <a:extLst>
            <a:ext uri="{FF2B5EF4-FFF2-40B4-BE49-F238E27FC236}">
              <a16:creationId xmlns:a16="http://schemas.microsoft.com/office/drawing/2014/main" id="{C14C9BC3-8353-423F-8DC6-3B38CD2E794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18" name="x_Picture 1" descr="Description: cid:image001.png@01D03949.49457930">
          <a:extLst>
            <a:ext uri="{FF2B5EF4-FFF2-40B4-BE49-F238E27FC236}">
              <a16:creationId xmlns:a16="http://schemas.microsoft.com/office/drawing/2014/main" id="{FDA4B239-DF69-40A4-BB93-5D5959F715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19" name="x_Picture 1" descr="Description: cid:image001.png@01D03949.49457930">
          <a:extLst>
            <a:ext uri="{FF2B5EF4-FFF2-40B4-BE49-F238E27FC236}">
              <a16:creationId xmlns:a16="http://schemas.microsoft.com/office/drawing/2014/main" id="{DFD5E7E6-C940-449C-A2FF-418788732EE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0" name="x_Picture 1" descr="Description: cid:image001.png@01D03949.49457930">
          <a:extLst>
            <a:ext uri="{FF2B5EF4-FFF2-40B4-BE49-F238E27FC236}">
              <a16:creationId xmlns:a16="http://schemas.microsoft.com/office/drawing/2014/main" id="{7AA89320-62D7-4121-9A0A-35522250281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1" name="x_Picture 1" descr="Description: cid:image001.png@01D03949.49457930">
          <a:extLst>
            <a:ext uri="{FF2B5EF4-FFF2-40B4-BE49-F238E27FC236}">
              <a16:creationId xmlns:a16="http://schemas.microsoft.com/office/drawing/2014/main" id="{F86FA327-2459-4E59-B5A2-676DF9C813C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2" name="x_Picture 1" descr="Description: cid:image001.png@01D03949.49457930">
          <a:extLst>
            <a:ext uri="{FF2B5EF4-FFF2-40B4-BE49-F238E27FC236}">
              <a16:creationId xmlns:a16="http://schemas.microsoft.com/office/drawing/2014/main" id="{E1FFFBD6-6418-4984-80A3-5B7B0C86E4F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3" name="x_Picture 1" descr="Description: cid:image001.png@01D03949.49457930">
          <a:extLst>
            <a:ext uri="{FF2B5EF4-FFF2-40B4-BE49-F238E27FC236}">
              <a16:creationId xmlns:a16="http://schemas.microsoft.com/office/drawing/2014/main" id="{F7AB883B-13B1-431D-B3D7-29600B25BFE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4" name="x_Picture 1" descr="Description: cid:image001.png@01D03949.49457930">
          <a:extLst>
            <a:ext uri="{FF2B5EF4-FFF2-40B4-BE49-F238E27FC236}">
              <a16:creationId xmlns:a16="http://schemas.microsoft.com/office/drawing/2014/main" id="{E4F67A78-1C4F-435A-AB59-B5581073A7B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5" name="x_Picture 1" descr="Description: cid:image001.png@01D03949.49457930">
          <a:extLst>
            <a:ext uri="{FF2B5EF4-FFF2-40B4-BE49-F238E27FC236}">
              <a16:creationId xmlns:a16="http://schemas.microsoft.com/office/drawing/2014/main" id="{19258ABB-AF22-46AD-B909-1EAFC140450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6" name="x_Picture 1" descr="Description: cid:image001.png@01D03949.49457930">
          <a:extLst>
            <a:ext uri="{FF2B5EF4-FFF2-40B4-BE49-F238E27FC236}">
              <a16:creationId xmlns:a16="http://schemas.microsoft.com/office/drawing/2014/main" id="{C7235644-2F55-4133-9AC3-6210CC420BA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7" name="x_Picture 1" descr="Description: cid:image001.png@01D03949.49457930">
          <a:extLst>
            <a:ext uri="{FF2B5EF4-FFF2-40B4-BE49-F238E27FC236}">
              <a16:creationId xmlns:a16="http://schemas.microsoft.com/office/drawing/2014/main" id="{6B3D4544-B3A7-42CE-AE04-4265121A118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8" name="x_Picture 1" descr="Description: cid:image001.png@01D03949.49457930">
          <a:extLst>
            <a:ext uri="{FF2B5EF4-FFF2-40B4-BE49-F238E27FC236}">
              <a16:creationId xmlns:a16="http://schemas.microsoft.com/office/drawing/2014/main" id="{62F1F19B-1940-43CB-9351-C9F4F5AB607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29" name="x_Picture 1" descr="Description: cid:image001.png@01D03949.49457930">
          <a:extLst>
            <a:ext uri="{FF2B5EF4-FFF2-40B4-BE49-F238E27FC236}">
              <a16:creationId xmlns:a16="http://schemas.microsoft.com/office/drawing/2014/main" id="{28C5FF48-B296-41DD-98F3-F886CB0FF6B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0" name="x_Picture 1" descr="Description: cid:image001.png@01D03949.49457930">
          <a:extLst>
            <a:ext uri="{FF2B5EF4-FFF2-40B4-BE49-F238E27FC236}">
              <a16:creationId xmlns:a16="http://schemas.microsoft.com/office/drawing/2014/main" id="{DEA5FBEF-046E-4A1C-B2EA-469169AA163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1" name="x_Picture 1" descr="Description: cid:image001.png@01D03949.49457930">
          <a:extLst>
            <a:ext uri="{FF2B5EF4-FFF2-40B4-BE49-F238E27FC236}">
              <a16:creationId xmlns:a16="http://schemas.microsoft.com/office/drawing/2014/main" id="{3A0F0EFF-7138-4A85-956D-3E311262586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2" name="x_Picture 1" descr="Description: cid:image001.png@01D03949.49457930">
          <a:extLst>
            <a:ext uri="{FF2B5EF4-FFF2-40B4-BE49-F238E27FC236}">
              <a16:creationId xmlns:a16="http://schemas.microsoft.com/office/drawing/2014/main" id="{4BBEAACC-F15A-4347-94B9-5F4256BF438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3" name="x_Picture 1" descr="Description: cid:image001.png@01D03949.49457930">
          <a:extLst>
            <a:ext uri="{FF2B5EF4-FFF2-40B4-BE49-F238E27FC236}">
              <a16:creationId xmlns:a16="http://schemas.microsoft.com/office/drawing/2014/main" id="{77F37EFE-9C3C-4686-86BC-9059E096148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4" name="x_Picture 1" descr="Description: cid:image001.png@01D03949.49457930">
          <a:extLst>
            <a:ext uri="{FF2B5EF4-FFF2-40B4-BE49-F238E27FC236}">
              <a16:creationId xmlns:a16="http://schemas.microsoft.com/office/drawing/2014/main" id="{78879B9C-B988-4F9B-BD6B-2C291F18237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5" name="x_Picture 1" descr="Description: cid:image001.png@01D03949.49457930">
          <a:extLst>
            <a:ext uri="{FF2B5EF4-FFF2-40B4-BE49-F238E27FC236}">
              <a16:creationId xmlns:a16="http://schemas.microsoft.com/office/drawing/2014/main" id="{304B66A0-79EA-4035-99CA-B68A76A4AA2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6" name="x_Picture 1" descr="Description: cid:image001.png@01D03949.49457930">
          <a:extLst>
            <a:ext uri="{FF2B5EF4-FFF2-40B4-BE49-F238E27FC236}">
              <a16:creationId xmlns:a16="http://schemas.microsoft.com/office/drawing/2014/main" id="{B33683F1-84B6-451A-BC29-7610D437CF3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7" name="x_Picture 1" descr="Description: cid:image001.png@01D03949.49457930">
          <a:extLst>
            <a:ext uri="{FF2B5EF4-FFF2-40B4-BE49-F238E27FC236}">
              <a16:creationId xmlns:a16="http://schemas.microsoft.com/office/drawing/2014/main" id="{DB9223A6-A958-43BD-A92D-E403E25DE2A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8" name="x_Picture 1" descr="Description: cid:image001.png@01D03949.49457930">
          <a:extLst>
            <a:ext uri="{FF2B5EF4-FFF2-40B4-BE49-F238E27FC236}">
              <a16:creationId xmlns:a16="http://schemas.microsoft.com/office/drawing/2014/main" id="{A906A341-74F8-4535-AD4A-5AD40A2E3EF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39" name="x_Picture 1" descr="Description: cid:image001.png@01D03949.49457930">
          <a:extLst>
            <a:ext uri="{FF2B5EF4-FFF2-40B4-BE49-F238E27FC236}">
              <a16:creationId xmlns:a16="http://schemas.microsoft.com/office/drawing/2014/main" id="{628CCF35-A37D-45EC-9EE5-BD106476AB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40" name="x_Picture 1" descr="Description: cid:image001.png@01D03949.49457930">
          <a:extLst>
            <a:ext uri="{FF2B5EF4-FFF2-40B4-BE49-F238E27FC236}">
              <a16:creationId xmlns:a16="http://schemas.microsoft.com/office/drawing/2014/main" id="{139504F7-08CC-463C-8460-1164374E131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41" name="x_Picture 1" descr="Description: cid:image001.png@01D03949.49457930">
          <a:extLst>
            <a:ext uri="{FF2B5EF4-FFF2-40B4-BE49-F238E27FC236}">
              <a16:creationId xmlns:a16="http://schemas.microsoft.com/office/drawing/2014/main" id="{E075D223-B01B-4FDD-86D5-0A11FB9EA08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42" name="x_Picture 1" descr="Description: cid:image001.png@01D03949.49457930">
          <a:extLst>
            <a:ext uri="{FF2B5EF4-FFF2-40B4-BE49-F238E27FC236}">
              <a16:creationId xmlns:a16="http://schemas.microsoft.com/office/drawing/2014/main" id="{1B7FA20D-965B-435F-B1DD-44408133D73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43" name="x_Picture 1" descr="Description: cid:image001.png@01D03949.49457930">
          <a:extLst>
            <a:ext uri="{FF2B5EF4-FFF2-40B4-BE49-F238E27FC236}">
              <a16:creationId xmlns:a16="http://schemas.microsoft.com/office/drawing/2014/main" id="{B12F265E-8141-4986-8B2F-8757DA2DF66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44" name="x_Picture 1" descr="Description: cid:image001.png@01D03949.49457930">
          <a:extLst>
            <a:ext uri="{FF2B5EF4-FFF2-40B4-BE49-F238E27FC236}">
              <a16:creationId xmlns:a16="http://schemas.microsoft.com/office/drawing/2014/main" id="{9269DDBA-10B5-4E7B-B03B-281D9919EFD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45" name="x_Picture 1" descr="Description: cid:image001.png@01D03949.49457930">
          <a:extLst>
            <a:ext uri="{FF2B5EF4-FFF2-40B4-BE49-F238E27FC236}">
              <a16:creationId xmlns:a16="http://schemas.microsoft.com/office/drawing/2014/main" id="{AD3DFC77-F06E-4FCB-963B-F2903610329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46" name="x_Picture 1" descr="Description: cid:image001.png@01D03949.49457930">
          <a:extLst>
            <a:ext uri="{FF2B5EF4-FFF2-40B4-BE49-F238E27FC236}">
              <a16:creationId xmlns:a16="http://schemas.microsoft.com/office/drawing/2014/main" id="{EEECC2AC-B2F2-4B39-8C05-114EB81D6B5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47" name="x_Picture 1" descr="Description: cid:image001.png@01D03949.49457930">
          <a:extLst>
            <a:ext uri="{FF2B5EF4-FFF2-40B4-BE49-F238E27FC236}">
              <a16:creationId xmlns:a16="http://schemas.microsoft.com/office/drawing/2014/main" id="{6186A7B4-5C86-4142-A72B-D49ED2DE178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48" name="x_Picture 1" descr="Description: cid:image001.png@01D03949.49457930">
          <a:extLst>
            <a:ext uri="{FF2B5EF4-FFF2-40B4-BE49-F238E27FC236}">
              <a16:creationId xmlns:a16="http://schemas.microsoft.com/office/drawing/2014/main" id="{7338A1B1-F158-4A0C-82F5-A18BD034F05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49" name="x_Picture 1" descr="Description: cid:image001.png@01D03949.49457930">
          <a:extLst>
            <a:ext uri="{FF2B5EF4-FFF2-40B4-BE49-F238E27FC236}">
              <a16:creationId xmlns:a16="http://schemas.microsoft.com/office/drawing/2014/main" id="{038711B3-92A5-4BDD-8ED9-8409481C206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50" name="x_Picture 1" descr="Description: cid:image001.png@01D03949.49457930">
          <a:extLst>
            <a:ext uri="{FF2B5EF4-FFF2-40B4-BE49-F238E27FC236}">
              <a16:creationId xmlns:a16="http://schemas.microsoft.com/office/drawing/2014/main" id="{B6594BA4-93AE-4E69-9AE6-B7FA357B761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51" name="x_Picture 1" descr="Description: cid:image001.png@01D03949.49457930">
          <a:extLst>
            <a:ext uri="{FF2B5EF4-FFF2-40B4-BE49-F238E27FC236}">
              <a16:creationId xmlns:a16="http://schemas.microsoft.com/office/drawing/2014/main" id="{7A1AFEA1-C82A-4A8F-B4F7-F1741BC159C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52" name="x_Picture 1" descr="Description: cid:image001.png@01D03949.49457930">
          <a:extLst>
            <a:ext uri="{FF2B5EF4-FFF2-40B4-BE49-F238E27FC236}">
              <a16:creationId xmlns:a16="http://schemas.microsoft.com/office/drawing/2014/main" id="{00C5873D-3A81-4F7A-AAB7-13E61AAD230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53" name="x_Picture 1" descr="Description: cid:image001.png@01D03949.49457930">
          <a:extLst>
            <a:ext uri="{FF2B5EF4-FFF2-40B4-BE49-F238E27FC236}">
              <a16:creationId xmlns:a16="http://schemas.microsoft.com/office/drawing/2014/main" id="{D46BA4BD-CFA1-45AF-8A9C-DE61F71C76D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54" name="x_Picture 1" descr="Description: cid:image001.png@01D03949.49457930">
          <a:extLst>
            <a:ext uri="{FF2B5EF4-FFF2-40B4-BE49-F238E27FC236}">
              <a16:creationId xmlns:a16="http://schemas.microsoft.com/office/drawing/2014/main" id="{8512BA72-C5ED-4823-887F-F3D0BFCDFAB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55" name="x_Picture 1" descr="Description: cid:image001.png@01D03949.49457930">
          <a:extLst>
            <a:ext uri="{FF2B5EF4-FFF2-40B4-BE49-F238E27FC236}">
              <a16:creationId xmlns:a16="http://schemas.microsoft.com/office/drawing/2014/main" id="{C605A65E-C2F4-4610-A9DB-1CA148B6BC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56" name="x_Picture 1" descr="Description: cid:image001.png@01D03949.49457930">
          <a:extLst>
            <a:ext uri="{FF2B5EF4-FFF2-40B4-BE49-F238E27FC236}">
              <a16:creationId xmlns:a16="http://schemas.microsoft.com/office/drawing/2014/main" id="{F95B6F5E-F06A-419F-8B60-196126DE1991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57" name="x_Picture 1" descr="Description: cid:image001.png@01D03949.49457930">
          <a:extLst>
            <a:ext uri="{FF2B5EF4-FFF2-40B4-BE49-F238E27FC236}">
              <a16:creationId xmlns:a16="http://schemas.microsoft.com/office/drawing/2014/main" id="{2FBB4E1E-9A09-4017-B649-B7DF4680A35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58" name="x_Picture 1" descr="Description: cid:image001.png@01D03949.49457930">
          <a:extLst>
            <a:ext uri="{FF2B5EF4-FFF2-40B4-BE49-F238E27FC236}">
              <a16:creationId xmlns:a16="http://schemas.microsoft.com/office/drawing/2014/main" id="{DAC82F7C-5338-4CB8-B246-26208DA737F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59" name="x_Picture 1" descr="Description: cid:image001.png@01D03949.49457930">
          <a:extLst>
            <a:ext uri="{FF2B5EF4-FFF2-40B4-BE49-F238E27FC236}">
              <a16:creationId xmlns:a16="http://schemas.microsoft.com/office/drawing/2014/main" id="{0D26D094-977B-42C9-A3DE-746EBBB9643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60" name="x_Picture 1" descr="Description: cid:image001.png@01D03949.49457930">
          <a:extLst>
            <a:ext uri="{FF2B5EF4-FFF2-40B4-BE49-F238E27FC236}">
              <a16:creationId xmlns:a16="http://schemas.microsoft.com/office/drawing/2014/main" id="{171168AB-7E30-4904-84EC-4A7197AAE9F6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61" name="x_Picture 1" descr="Description: cid:image001.png@01D03949.49457930">
          <a:extLst>
            <a:ext uri="{FF2B5EF4-FFF2-40B4-BE49-F238E27FC236}">
              <a16:creationId xmlns:a16="http://schemas.microsoft.com/office/drawing/2014/main" id="{12755F8E-99BE-41BB-B872-8EA8D449FA7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62" name="x_Picture 1" descr="Description: cid:image001.png@01D03949.49457930">
          <a:extLst>
            <a:ext uri="{FF2B5EF4-FFF2-40B4-BE49-F238E27FC236}">
              <a16:creationId xmlns:a16="http://schemas.microsoft.com/office/drawing/2014/main" id="{4C5B7535-2C9F-4EAE-8E45-0CD13283EC9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63" name="x_Picture 1" descr="Description: cid:image001.png@01D03949.49457930">
          <a:extLst>
            <a:ext uri="{FF2B5EF4-FFF2-40B4-BE49-F238E27FC236}">
              <a16:creationId xmlns:a16="http://schemas.microsoft.com/office/drawing/2014/main" id="{8563CCBC-D912-47D5-AA6B-7243FE7077A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64" name="x_Picture 1" descr="Description: cid:image001.png@01D03949.49457930">
          <a:extLst>
            <a:ext uri="{FF2B5EF4-FFF2-40B4-BE49-F238E27FC236}">
              <a16:creationId xmlns:a16="http://schemas.microsoft.com/office/drawing/2014/main" id="{806BF342-F10C-41E4-83C4-6B50500F074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65" name="x_Picture 1" descr="Description: cid:image001.png@01D03949.49457930">
          <a:extLst>
            <a:ext uri="{FF2B5EF4-FFF2-40B4-BE49-F238E27FC236}">
              <a16:creationId xmlns:a16="http://schemas.microsoft.com/office/drawing/2014/main" id="{83F2A3F3-8B96-48EB-8EA2-5A5F3DDD3F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66" name="x_Picture 1" descr="Description: cid:image001.png@01D03949.49457930">
          <a:extLst>
            <a:ext uri="{FF2B5EF4-FFF2-40B4-BE49-F238E27FC236}">
              <a16:creationId xmlns:a16="http://schemas.microsoft.com/office/drawing/2014/main" id="{164BB8B9-AA1C-4DDC-9450-9DF4B841DA4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67" name="x_Picture 1" descr="Description: cid:image001.png@01D03949.49457930">
          <a:extLst>
            <a:ext uri="{FF2B5EF4-FFF2-40B4-BE49-F238E27FC236}">
              <a16:creationId xmlns:a16="http://schemas.microsoft.com/office/drawing/2014/main" id="{AEBCEEFD-1021-497A-91CA-262CC25644D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68" name="x_Picture 1" descr="Description: cid:image001.png@01D03949.49457930">
          <a:extLst>
            <a:ext uri="{FF2B5EF4-FFF2-40B4-BE49-F238E27FC236}">
              <a16:creationId xmlns:a16="http://schemas.microsoft.com/office/drawing/2014/main" id="{CCA50EF6-CD48-46C0-84BA-A89F8728D28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69" name="x_Picture 1" descr="Description: cid:image001.png@01D03949.49457930">
          <a:extLst>
            <a:ext uri="{FF2B5EF4-FFF2-40B4-BE49-F238E27FC236}">
              <a16:creationId xmlns:a16="http://schemas.microsoft.com/office/drawing/2014/main" id="{ED9E6F20-13D9-469D-9102-B07302D7853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41375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0" name="x_Picture 1" descr="Description: cid:image001.png@01D03949.49457930">
          <a:extLst>
            <a:ext uri="{FF2B5EF4-FFF2-40B4-BE49-F238E27FC236}">
              <a16:creationId xmlns:a16="http://schemas.microsoft.com/office/drawing/2014/main" id="{951E2C61-332A-40AB-A629-10A65AA983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1" name="x_Picture 1" descr="Description: cid:image001.png@01D03949.49457930">
          <a:extLst>
            <a:ext uri="{FF2B5EF4-FFF2-40B4-BE49-F238E27FC236}">
              <a16:creationId xmlns:a16="http://schemas.microsoft.com/office/drawing/2014/main" id="{E1D2FF86-4357-488D-85A2-3386E2F9EC3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2" name="x_Picture 1" descr="Description: cid:image001.png@01D03949.49457930">
          <a:extLst>
            <a:ext uri="{FF2B5EF4-FFF2-40B4-BE49-F238E27FC236}">
              <a16:creationId xmlns:a16="http://schemas.microsoft.com/office/drawing/2014/main" id="{B516875E-1914-4A72-A08C-7F5BE59C880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3" name="x_Picture 1" descr="Description: cid:image001.png@01D03949.49457930">
          <a:extLst>
            <a:ext uri="{FF2B5EF4-FFF2-40B4-BE49-F238E27FC236}">
              <a16:creationId xmlns:a16="http://schemas.microsoft.com/office/drawing/2014/main" id="{A0890A28-5034-4883-8CE9-D40DCA97BF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4" name="x_Picture 1" descr="Description: cid:image001.png@01D03949.49457930">
          <a:extLst>
            <a:ext uri="{FF2B5EF4-FFF2-40B4-BE49-F238E27FC236}">
              <a16:creationId xmlns:a16="http://schemas.microsoft.com/office/drawing/2014/main" id="{E45194F1-D7D2-41B4-BA99-A0110D49FE4D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5" name="x_Picture 1" descr="Description: cid:image001.png@01D03949.49457930">
          <a:extLst>
            <a:ext uri="{FF2B5EF4-FFF2-40B4-BE49-F238E27FC236}">
              <a16:creationId xmlns:a16="http://schemas.microsoft.com/office/drawing/2014/main" id="{46B1E417-A663-4D1D-9A23-291E771977C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6" name="x_Picture 1" descr="Description: cid:image001.png@01D03949.49457930">
          <a:extLst>
            <a:ext uri="{FF2B5EF4-FFF2-40B4-BE49-F238E27FC236}">
              <a16:creationId xmlns:a16="http://schemas.microsoft.com/office/drawing/2014/main" id="{E0BAF108-D61B-4AA8-8829-0485E32A20B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7" name="x_Picture 1" descr="Description: cid:image001.png@01D03949.49457930">
          <a:extLst>
            <a:ext uri="{FF2B5EF4-FFF2-40B4-BE49-F238E27FC236}">
              <a16:creationId xmlns:a16="http://schemas.microsoft.com/office/drawing/2014/main" id="{E8ED7938-46BA-480C-B545-5B028A3D244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8" name="x_Picture 1" descr="Description: cid:image001.png@01D03949.49457930">
          <a:extLst>
            <a:ext uri="{FF2B5EF4-FFF2-40B4-BE49-F238E27FC236}">
              <a16:creationId xmlns:a16="http://schemas.microsoft.com/office/drawing/2014/main" id="{22DA0533-DFC8-4600-A63E-9E7615782AE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79" name="x_Picture 1" descr="Description: cid:image001.png@01D03949.49457930">
          <a:extLst>
            <a:ext uri="{FF2B5EF4-FFF2-40B4-BE49-F238E27FC236}">
              <a16:creationId xmlns:a16="http://schemas.microsoft.com/office/drawing/2014/main" id="{9EF52B35-DDC8-433B-B368-865A323857D4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80" name="x_Picture 1" descr="Description: cid:image001.png@01D03949.49457930">
          <a:extLst>
            <a:ext uri="{FF2B5EF4-FFF2-40B4-BE49-F238E27FC236}">
              <a16:creationId xmlns:a16="http://schemas.microsoft.com/office/drawing/2014/main" id="{07805CCE-2CC2-4EBF-8544-33CA9A2E509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81" name="x_Picture 1" descr="Description: cid:image001.png@01D03949.49457930">
          <a:extLst>
            <a:ext uri="{FF2B5EF4-FFF2-40B4-BE49-F238E27FC236}">
              <a16:creationId xmlns:a16="http://schemas.microsoft.com/office/drawing/2014/main" id="{20FFDF13-97CE-4FA5-BEBC-CA0731B006A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82" name="x_Picture 1" descr="Description: cid:image001.png@01D03949.49457930">
          <a:extLst>
            <a:ext uri="{FF2B5EF4-FFF2-40B4-BE49-F238E27FC236}">
              <a16:creationId xmlns:a16="http://schemas.microsoft.com/office/drawing/2014/main" id="{F0AEB84C-0E9D-4CDA-81C7-60309E91CA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83" name="x_Picture 1" descr="Description: cid:image001.png@01D03949.49457930">
          <a:extLst>
            <a:ext uri="{FF2B5EF4-FFF2-40B4-BE49-F238E27FC236}">
              <a16:creationId xmlns:a16="http://schemas.microsoft.com/office/drawing/2014/main" id="{8DCE734A-D5AA-41F1-89AF-722DF0A1DA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84" name="x_Picture 1" descr="Description: cid:image001.png@01D03949.49457930">
          <a:extLst>
            <a:ext uri="{FF2B5EF4-FFF2-40B4-BE49-F238E27FC236}">
              <a16:creationId xmlns:a16="http://schemas.microsoft.com/office/drawing/2014/main" id="{5AAE7792-AB60-4E9E-81EE-C31DDA0510D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85" name="x_Picture 1" descr="Description: cid:image001.png@01D03949.49457930">
          <a:extLst>
            <a:ext uri="{FF2B5EF4-FFF2-40B4-BE49-F238E27FC236}">
              <a16:creationId xmlns:a16="http://schemas.microsoft.com/office/drawing/2014/main" id="{5B648A84-1A56-4103-AB84-A554214C5B9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86" name="x_Picture 1" descr="Description: cid:image001.png@01D03949.49457930">
          <a:extLst>
            <a:ext uri="{FF2B5EF4-FFF2-40B4-BE49-F238E27FC236}">
              <a16:creationId xmlns:a16="http://schemas.microsoft.com/office/drawing/2014/main" id="{9293B234-AAD9-467B-8792-14A054392F8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87" name="x_Picture 1" descr="Description: cid:image001.png@01D03949.49457930">
          <a:extLst>
            <a:ext uri="{FF2B5EF4-FFF2-40B4-BE49-F238E27FC236}">
              <a16:creationId xmlns:a16="http://schemas.microsoft.com/office/drawing/2014/main" id="{FC2980A0-6FF5-4F69-B102-CB48EA64F77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88" name="x_Picture 1" descr="Description: cid:image001.png@01D03949.49457930">
          <a:extLst>
            <a:ext uri="{FF2B5EF4-FFF2-40B4-BE49-F238E27FC236}">
              <a16:creationId xmlns:a16="http://schemas.microsoft.com/office/drawing/2014/main" id="{88B1EC13-5AD7-4541-BD23-0C6947F4AA7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89" name="x_Picture 1" descr="Description: cid:image001.png@01D03949.49457930">
          <a:extLst>
            <a:ext uri="{FF2B5EF4-FFF2-40B4-BE49-F238E27FC236}">
              <a16:creationId xmlns:a16="http://schemas.microsoft.com/office/drawing/2014/main" id="{A20047DB-FCDB-4106-8B03-5FBAED5DD2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90" name="x_Picture 1" descr="Description: cid:image001.png@01D03949.49457930">
          <a:extLst>
            <a:ext uri="{FF2B5EF4-FFF2-40B4-BE49-F238E27FC236}">
              <a16:creationId xmlns:a16="http://schemas.microsoft.com/office/drawing/2014/main" id="{0A1EB0F0-2D7A-491E-A386-6205733C444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91" name="x_Picture 1" descr="Description: cid:image001.png@01D03949.49457930">
          <a:extLst>
            <a:ext uri="{FF2B5EF4-FFF2-40B4-BE49-F238E27FC236}">
              <a16:creationId xmlns:a16="http://schemas.microsoft.com/office/drawing/2014/main" id="{749A76E8-53BA-42D8-AD8B-F54310C0FE7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92" name="x_Picture 1" descr="Description: cid:image001.png@01D03949.49457930">
          <a:extLst>
            <a:ext uri="{FF2B5EF4-FFF2-40B4-BE49-F238E27FC236}">
              <a16:creationId xmlns:a16="http://schemas.microsoft.com/office/drawing/2014/main" id="{D6A0130F-3E5D-4995-9CAD-AD41EE2386F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93" name="x_Picture 1" descr="Description: cid:image001.png@01D03949.49457930">
          <a:extLst>
            <a:ext uri="{FF2B5EF4-FFF2-40B4-BE49-F238E27FC236}">
              <a16:creationId xmlns:a16="http://schemas.microsoft.com/office/drawing/2014/main" id="{FF4C9342-A9A9-44FE-BB39-B4FEB28FE21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94" name="x_Picture 1" descr="Description: cid:image001.png@01D03949.49457930">
          <a:extLst>
            <a:ext uri="{FF2B5EF4-FFF2-40B4-BE49-F238E27FC236}">
              <a16:creationId xmlns:a16="http://schemas.microsoft.com/office/drawing/2014/main" id="{790DD331-8AE1-4CC0-9633-D3E370ECEB97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95" name="x_Picture 1" descr="Description: cid:image001.png@01D03949.49457930">
          <a:extLst>
            <a:ext uri="{FF2B5EF4-FFF2-40B4-BE49-F238E27FC236}">
              <a16:creationId xmlns:a16="http://schemas.microsoft.com/office/drawing/2014/main" id="{877FA35B-04DE-4DCA-9708-79C761461342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96" name="x_Picture 1" descr="Description: cid:image001.png@01D03949.49457930">
          <a:extLst>
            <a:ext uri="{FF2B5EF4-FFF2-40B4-BE49-F238E27FC236}">
              <a16:creationId xmlns:a16="http://schemas.microsoft.com/office/drawing/2014/main" id="{64C1D591-7983-481F-AABB-2D087A2B8DAE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897" name="x_Picture 1" descr="Description: cid:image001.png@01D03949.49457930">
          <a:extLst>
            <a:ext uri="{FF2B5EF4-FFF2-40B4-BE49-F238E27FC236}">
              <a16:creationId xmlns:a16="http://schemas.microsoft.com/office/drawing/2014/main" id="{9B3D7F1D-DD2E-4CF9-B81D-38B49AC5854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98" name="x_Picture 1" descr="Description: cid:image001.png@01D03949.49457930">
          <a:extLst>
            <a:ext uri="{FF2B5EF4-FFF2-40B4-BE49-F238E27FC236}">
              <a16:creationId xmlns:a16="http://schemas.microsoft.com/office/drawing/2014/main" id="{0B230732-7A89-4304-8062-3A4E2EF6BB6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899" name="x_Picture 1" descr="Description: cid:image001.png@01D03949.49457930">
          <a:extLst>
            <a:ext uri="{FF2B5EF4-FFF2-40B4-BE49-F238E27FC236}">
              <a16:creationId xmlns:a16="http://schemas.microsoft.com/office/drawing/2014/main" id="{00611278-7FAF-4D2E-A28E-84A94248C89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00" name="x_Picture 1" descr="Description: cid:image001.png@01D03949.49457930">
          <a:extLst>
            <a:ext uri="{FF2B5EF4-FFF2-40B4-BE49-F238E27FC236}">
              <a16:creationId xmlns:a16="http://schemas.microsoft.com/office/drawing/2014/main" id="{875666C0-5B7F-4E28-8CED-566A0E1C453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01" name="x_Picture 1" descr="Description: cid:image001.png@01D03949.49457930">
          <a:extLst>
            <a:ext uri="{FF2B5EF4-FFF2-40B4-BE49-F238E27FC236}">
              <a16:creationId xmlns:a16="http://schemas.microsoft.com/office/drawing/2014/main" id="{48C9F8B6-D7F3-4C2C-B424-EE42FA2352B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02" name="x_Picture 1" descr="Description: cid:image001.png@01D03949.49457930">
          <a:extLst>
            <a:ext uri="{FF2B5EF4-FFF2-40B4-BE49-F238E27FC236}">
              <a16:creationId xmlns:a16="http://schemas.microsoft.com/office/drawing/2014/main" id="{2EC48298-4235-4CE4-9017-F840EDA8953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03" name="x_Picture 1" descr="Description: cid:image001.png@01D03949.49457930">
          <a:extLst>
            <a:ext uri="{FF2B5EF4-FFF2-40B4-BE49-F238E27FC236}">
              <a16:creationId xmlns:a16="http://schemas.microsoft.com/office/drawing/2014/main" id="{92366E74-730F-4DCD-AFEA-B5191E23824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04" name="x_Picture 1" descr="Description: cid:image001.png@01D03949.49457930">
          <a:extLst>
            <a:ext uri="{FF2B5EF4-FFF2-40B4-BE49-F238E27FC236}">
              <a16:creationId xmlns:a16="http://schemas.microsoft.com/office/drawing/2014/main" id="{9631C79F-6FE1-4DC2-A2C1-1F3D8EBEA35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05" name="x_Picture 1" descr="Description: cid:image001.png@01D03949.49457930">
          <a:extLst>
            <a:ext uri="{FF2B5EF4-FFF2-40B4-BE49-F238E27FC236}">
              <a16:creationId xmlns:a16="http://schemas.microsoft.com/office/drawing/2014/main" id="{64EDC84A-2A57-4443-A14B-4EE5D58ECB8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06" name="x_Picture 1" descr="Description: cid:image001.png@01D03949.49457930">
          <a:extLst>
            <a:ext uri="{FF2B5EF4-FFF2-40B4-BE49-F238E27FC236}">
              <a16:creationId xmlns:a16="http://schemas.microsoft.com/office/drawing/2014/main" id="{F6485291-4FF9-43A8-9E05-A0B615B64AEB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07" name="x_Picture 1" descr="Description: cid:image001.png@01D03949.49457930">
          <a:extLst>
            <a:ext uri="{FF2B5EF4-FFF2-40B4-BE49-F238E27FC236}">
              <a16:creationId xmlns:a16="http://schemas.microsoft.com/office/drawing/2014/main" id="{E67787FE-04BB-481B-9858-2EB6CDB001C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08" name="x_Picture 1" descr="Description: cid:image001.png@01D03949.49457930">
          <a:extLst>
            <a:ext uri="{FF2B5EF4-FFF2-40B4-BE49-F238E27FC236}">
              <a16:creationId xmlns:a16="http://schemas.microsoft.com/office/drawing/2014/main" id="{52B267E4-329D-40CC-BA54-A51B080FA8B0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09" name="x_Picture 1" descr="Description: cid:image001.png@01D03949.49457930">
          <a:extLst>
            <a:ext uri="{FF2B5EF4-FFF2-40B4-BE49-F238E27FC236}">
              <a16:creationId xmlns:a16="http://schemas.microsoft.com/office/drawing/2014/main" id="{E05DB19F-3456-405F-BC94-4A4361F5A5D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10" name="x_Picture 1" descr="Description: cid:image001.png@01D03949.49457930">
          <a:extLst>
            <a:ext uri="{FF2B5EF4-FFF2-40B4-BE49-F238E27FC236}">
              <a16:creationId xmlns:a16="http://schemas.microsoft.com/office/drawing/2014/main" id="{98560D3A-DFC9-422F-BFE4-5EFC3A8B1E0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11" name="x_Picture 1" descr="Description: cid:image001.png@01D03949.49457930">
          <a:extLst>
            <a:ext uri="{FF2B5EF4-FFF2-40B4-BE49-F238E27FC236}">
              <a16:creationId xmlns:a16="http://schemas.microsoft.com/office/drawing/2014/main" id="{8058CDD8-C007-4227-949A-5D88F1D9832F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12" name="x_Picture 1" descr="Description: cid:image001.png@01D03949.49457930">
          <a:extLst>
            <a:ext uri="{FF2B5EF4-FFF2-40B4-BE49-F238E27FC236}">
              <a16:creationId xmlns:a16="http://schemas.microsoft.com/office/drawing/2014/main" id="{84728F46-DF58-4954-B8BF-7A39A8BD4788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13" name="x_Picture 1" descr="Description: cid:image001.png@01D03949.49457930">
          <a:extLst>
            <a:ext uri="{FF2B5EF4-FFF2-40B4-BE49-F238E27FC236}">
              <a16:creationId xmlns:a16="http://schemas.microsoft.com/office/drawing/2014/main" id="{18D43C80-4FA6-48BC-BC2B-5F7967061303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14" name="x_Picture 1" descr="Description: cid:image001.png@01D03949.49457930">
          <a:extLst>
            <a:ext uri="{FF2B5EF4-FFF2-40B4-BE49-F238E27FC236}">
              <a16:creationId xmlns:a16="http://schemas.microsoft.com/office/drawing/2014/main" id="{89F1815B-9C47-4E95-86F6-BDC7F62595F9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15" name="x_Picture 1" descr="Description: cid:image001.png@01D03949.49457930">
          <a:extLst>
            <a:ext uri="{FF2B5EF4-FFF2-40B4-BE49-F238E27FC236}">
              <a16:creationId xmlns:a16="http://schemas.microsoft.com/office/drawing/2014/main" id="{0AE5FC59-0466-41D0-9ED0-8CAFCAB849D5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16" name="x_Picture 1" descr="Description: cid:image001.png@01D03949.49457930">
          <a:extLst>
            <a:ext uri="{FF2B5EF4-FFF2-40B4-BE49-F238E27FC236}">
              <a16:creationId xmlns:a16="http://schemas.microsoft.com/office/drawing/2014/main" id="{B18BAE1C-9FA8-44C6-AA21-D792B5D52BF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17" name="x_Picture 1" descr="Description: cid:image001.png@01D03949.49457930">
          <a:extLst>
            <a:ext uri="{FF2B5EF4-FFF2-40B4-BE49-F238E27FC236}">
              <a16:creationId xmlns:a16="http://schemas.microsoft.com/office/drawing/2014/main" id="{1F7302A0-0288-4291-A067-DF4AA50CC41A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463286</xdr:colOff>
      <xdr:row>47</xdr:row>
      <xdr:rowOff>0</xdr:rowOff>
    </xdr:from>
    <xdr:ext cx="279605" cy="315045"/>
    <xdr:sp macro="" textlink="">
      <xdr:nvSpPr>
        <xdr:cNvPr id="6918" name="x_Picture 1" descr="Description: cid:image001.png@01D03949.49457930">
          <a:extLst>
            <a:ext uri="{FF2B5EF4-FFF2-40B4-BE49-F238E27FC236}">
              <a16:creationId xmlns:a16="http://schemas.microsoft.com/office/drawing/2014/main" id="{52231283-E53C-4E24-BC6C-6C7DE88A9DDC}"/>
            </a:ext>
          </a:extLst>
        </xdr:cNvPr>
        <xdr:cNvSpPr>
          <a:spLocks noChangeAspect="1" noChangeArrowheads="1"/>
        </xdr:cNvSpPr>
      </xdr:nvSpPr>
      <xdr:spPr bwMode="auto">
        <a:xfrm>
          <a:off x="130362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19" name="x_Picture 1" descr="Description: cid:image001.png@01D03949.49457930">
          <a:extLst>
            <a:ext uri="{FF2B5EF4-FFF2-40B4-BE49-F238E27FC236}">
              <a16:creationId xmlns:a16="http://schemas.microsoft.com/office/drawing/2014/main" id="{61D04CD7-3FF5-4010-8AD6-67B31968FBE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0" name="x_Picture 1" descr="Description: cid:image001.png@01D03949.49457930">
          <a:extLst>
            <a:ext uri="{FF2B5EF4-FFF2-40B4-BE49-F238E27FC236}">
              <a16:creationId xmlns:a16="http://schemas.microsoft.com/office/drawing/2014/main" id="{0CD447E6-04E3-48C1-985A-551CE7ECC40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1" name="x_Picture 1" descr="Description: cid:image001.png@01D03949.49457930">
          <a:extLst>
            <a:ext uri="{FF2B5EF4-FFF2-40B4-BE49-F238E27FC236}">
              <a16:creationId xmlns:a16="http://schemas.microsoft.com/office/drawing/2014/main" id="{C74484D3-29AA-45C0-A3C8-6C6A3F8C0DC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2" name="x_Picture 1" descr="Description: cid:image001.png@01D03949.49457930">
          <a:extLst>
            <a:ext uri="{FF2B5EF4-FFF2-40B4-BE49-F238E27FC236}">
              <a16:creationId xmlns:a16="http://schemas.microsoft.com/office/drawing/2014/main" id="{015040E6-F48C-49C7-BCD5-CA7F34B909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3" name="x_Picture 1" descr="Description: cid:image001.png@01D03949.49457930">
          <a:extLst>
            <a:ext uri="{FF2B5EF4-FFF2-40B4-BE49-F238E27FC236}">
              <a16:creationId xmlns:a16="http://schemas.microsoft.com/office/drawing/2014/main" id="{9B04134F-3B65-4F42-9C9D-B40D3D054E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4" name="x_Picture 1" descr="Description: cid:image001.png@01D03949.49457930">
          <a:extLst>
            <a:ext uri="{FF2B5EF4-FFF2-40B4-BE49-F238E27FC236}">
              <a16:creationId xmlns:a16="http://schemas.microsoft.com/office/drawing/2014/main" id="{464050BA-0177-4E70-9BCC-E57DBD525AE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5" name="x_Picture 1" descr="Description: cid:image001.png@01D03949.49457930">
          <a:extLst>
            <a:ext uri="{FF2B5EF4-FFF2-40B4-BE49-F238E27FC236}">
              <a16:creationId xmlns:a16="http://schemas.microsoft.com/office/drawing/2014/main" id="{1E956C63-2A89-4F45-A6FC-FF7E67BD6F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6" name="x_Picture 1" descr="Description: cid:image001.png@01D03949.49457930">
          <a:extLst>
            <a:ext uri="{FF2B5EF4-FFF2-40B4-BE49-F238E27FC236}">
              <a16:creationId xmlns:a16="http://schemas.microsoft.com/office/drawing/2014/main" id="{48D0061B-EDB4-422A-80A6-CD56EF4A226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7" name="x_Picture 1" descr="Description: cid:image001.png@01D03949.49457930">
          <a:extLst>
            <a:ext uri="{FF2B5EF4-FFF2-40B4-BE49-F238E27FC236}">
              <a16:creationId xmlns:a16="http://schemas.microsoft.com/office/drawing/2014/main" id="{2CF156E3-4C76-4BEC-98C7-C625B61527D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8" name="x_Picture 1" descr="Description: cid:image001.png@01D03949.49457930">
          <a:extLst>
            <a:ext uri="{FF2B5EF4-FFF2-40B4-BE49-F238E27FC236}">
              <a16:creationId xmlns:a16="http://schemas.microsoft.com/office/drawing/2014/main" id="{79B80286-94D7-421C-B211-DCEF585E624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29" name="x_Picture 1" descr="Description: cid:image001.png@01D03949.49457930">
          <a:extLst>
            <a:ext uri="{FF2B5EF4-FFF2-40B4-BE49-F238E27FC236}">
              <a16:creationId xmlns:a16="http://schemas.microsoft.com/office/drawing/2014/main" id="{CDF2262E-C35D-4BCA-B12D-C923E0926F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0" name="x_Picture 1" descr="Description: cid:image001.png@01D03949.49457930">
          <a:extLst>
            <a:ext uri="{FF2B5EF4-FFF2-40B4-BE49-F238E27FC236}">
              <a16:creationId xmlns:a16="http://schemas.microsoft.com/office/drawing/2014/main" id="{F2A86CD9-70DD-4FB6-9369-478C49FA4F2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1" name="x_Picture 1" descr="Description: cid:image001.png@01D03949.49457930">
          <a:extLst>
            <a:ext uri="{FF2B5EF4-FFF2-40B4-BE49-F238E27FC236}">
              <a16:creationId xmlns:a16="http://schemas.microsoft.com/office/drawing/2014/main" id="{AC7FB6AD-E177-4693-BB69-4235C5F427C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2" name="x_Picture 1" descr="Description: cid:image001.png@01D03949.49457930">
          <a:extLst>
            <a:ext uri="{FF2B5EF4-FFF2-40B4-BE49-F238E27FC236}">
              <a16:creationId xmlns:a16="http://schemas.microsoft.com/office/drawing/2014/main" id="{5AC94C35-37A1-4647-B8A4-DE4021B7BAB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3" name="x_Picture 1" descr="Description: cid:image001.png@01D03949.49457930">
          <a:extLst>
            <a:ext uri="{FF2B5EF4-FFF2-40B4-BE49-F238E27FC236}">
              <a16:creationId xmlns:a16="http://schemas.microsoft.com/office/drawing/2014/main" id="{722A4317-899B-41F3-9C28-EEE880B4CF9A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4" name="x_Picture 1" descr="Description: cid:image001.png@01D03949.49457930">
          <a:extLst>
            <a:ext uri="{FF2B5EF4-FFF2-40B4-BE49-F238E27FC236}">
              <a16:creationId xmlns:a16="http://schemas.microsoft.com/office/drawing/2014/main" id="{46817779-C586-48CA-AA30-36137E1B25C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5" name="x_Picture 1" descr="Description: cid:image001.png@01D03949.49457930">
          <a:extLst>
            <a:ext uri="{FF2B5EF4-FFF2-40B4-BE49-F238E27FC236}">
              <a16:creationId xmlns:a16="http://schemas.microsoft.com/office/drawing/2014/main" id="{F90D5BB2-64C2-4891-8372-C382DBD2DF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6" name="x_Picture 1" descr="Description: cid:image001.png@01D03949.49457930">
          <a:extLst>
            <a:ext uri="{FF2B5EF4-FFF2-40B4-BE49-F238E27FC236}">
              <a16:creationId xmlns:a16="http://schemas.microsoft.com/office/drawing/2014/main" id="{C56D811E-0C79-43AB-80BD-4A0EC979CD7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7" name="x_Picture 1" descr="Description: cid:image001.png@01D03949.49457930">
          <a:extLst>
            <a:ext uri="{FF2B5EF4-FFF2-40B4-BE49-F238E27FC236}">
              <a16:creationId xmlns:a16="http://schemas.microsoft.com/office/drawing/2014/main" id="{D5717B4B-859A-41D8-86D7-3976FADFCD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8" name="x_Picture 1" descr="Description: cid:image001.png@01D03949.49457930">
          <a:extLst>
            <a:ext uri="{FF2B5EF4-FFF2-40B4-BE49-F238E27FC236}">
              <a16:creationId xmlns:a16="http://schemas.microsoft.com/office/drawing/2014/main" id="{DA7C0900-439A-4AB0-8BA0-0E16A2B0DD1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39" name="x_Picture 1" descr="Description: cid:image001.png@01D03949.49457930">
          <a:extLst>
            <a:ext uri="{FF2B5EF4-FFF2-40B4-BE49-F238E27FC236}">
              <a16:creationId xmlns:a16="http://schemas.microsoft.com/office/drawing/2014/main" id="{57C27EC3-9776-44D4-B65F-474D3CCA6C22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0" name="x_Picture 1" descr="Description: cid:image001.png@01D03949.49457930">
          <a:extLst>
            <a:ext uri="{FF2B5EF4-FFF2-40B4-BE49-F238E27FC236}">
              <a16:creationId xmlns:a16="http://schemas.microsoft.com/office/drawing/2014/main" id="{9EE4A678-45E0-48CE-A9EC-8DDE4F88394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1" name="x_Picture 1" descr="Description: cid:image001.png@01D03949.49457930">
          <a:extLst>
            <a:ext uri="{FF2B5EF4-FFF2-40B4-BE49-F238E27FC236}">
              <a16:creationId xmlns:a16="http://schemas.microsoft.com/office/drawing/2014/main" id="{4AB69DDC-620C-4A16-8059-DF4FE8F412D8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2" name="x_Picture 1" descr="Description: cid:image001.png@01D03949.49457930">
          <a:extLst>
            <a:ext uri="{FF2B5EF4-FFF2-40B4-BE49-F238E27FC236}">
              <a16:creationId xmlns:a16="http://schemas.microsoft.com/office/drawing/2014/main" id="{F955D38E-1B05-4774-8B7D-0017A783617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3" name="x_Picture 1" descr="Description: cid:image001.png@01D03949.49457930">
          <a:extLst>
            <a:ext uri="{FF2B5EF4-FFF2-40B4-BE49-F238E27FC236}">
              <a16:creationId xmlns:a16="http://schemas.microsoft.com/office/drawing/2014/main" id="{7F8A8FF8-3489-43A4-85F1-547A4DDAF58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4" name="x_Picture 1" descr="Description: cid:image001.png@01D03949.49457930">
          <a:extLst>
            <a:ext uri="{FF2B5EF4-FFF2-40B4-BE49-F238E27FC236}">
              <a16:creationId xmlns:a16="http://schemas.microsoft.com/office/drawing/2014/main" id="{FC1D5721-8F73-4779-A104-BCA5BD5368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5" name="x_Picture 1" descr="Description: cid:image001.png@01D03949.49457930">
          <a:extLst>
            <a:ext uri="{FF2B5EF4-FFF2-40B4-BE49-F238E27FC236}">
              <a16:creationId xmlns:a16="http://schemas.microsoft.com/office/drawing/2014/main" id="{F7957166-86C7-44EA-AE92-130500835BD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6" name="x_Picture 1" descr="Description: cid:image001.png@01D03949.49457930">
          <a:extLst>
            <a:ext uri="{FF2B5EF4-FFF2-40B4-BE49-F238E27FC236}">
              <a16:creationId xmlns:a16="http://schemas.microsoft.com/office/drawing/2014/main" id="{DD14CC33-297C-46D0-A598-31C8DA95E3D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7" name="x_Picture 1" descr="Description: cid:image001.png@01D03949.49457930">
          <a:extLst>
            <a:ext uri="{FF2B5EF4-FFF2-40B4-BE49-F238E27FC236}">
              <a16:creationId xmlns:a16="http://schemas.microsoft.com/office/drawing/2014/main" id="{47B81008-A81C-44DB-9136-A71CB0F9CB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8" name="x_Picture 1" descr="Description: cid:image001.png@01D03949.49457930">
          <a:extLst>
            <a:ext uri="{FF2B5EF4-FFF2-40B4-BE49-F238E27FC236}">
              <a16:creationId xmlns:a16="http://schemas.microsoft.com/office/drawing/2014/main" id="{39A85461-8BE2-471F-96DE-34653C70DDF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49" name="x_Picture 1" descr="Description: cid:image001.png@01D03949.49457930">
          <a:extLst>
            <a:ext uri="{FF2B5EF4-FFF2-40B4-BE49-F238E27FC236}">
              <a16:creationId xmlns:a16="http://schemas.microsoft.com/office/drawing/2014/main" id="{76D406CC-0A6F-424F-9E11-B3F25A6D065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0" name="x_Picture 1" descr="Description: cid:image001.png@01D03949.49457930">
          <a:extLst>
            <a:ext uri="{FF2B5EF4-FFF2-40B4-BE49-F238E27FC236}">
              <a16:creationId xmlns:a16="http://schemas.microsoft.com/office/drawing/2014/main" id="{637132D8-BB1A-4F7E-85DD-9FBADFF32B2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1" name="x_Picture 1" descr="Description: cid:image001.png@01D03949.49457930">
          <a:extLst>
            <a:ext uri="{FF2B5EF4-FFF2-40B4-BE49-F238E27FC236}">
              <a16:creationId xmlns:a16="http://schemas.microsoft.com/office/drawing/2014/main" id="{268C3D89-7B01-4528-BB38-AAA9068AE8A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2" name="x_Picture 1" descr="Description: cid:image001.png@01D03949.49457930">
          <a:extLst>
            <a:ext uri="{FF2B5EF4-FFF2-40B4-BE49-F238E27FC236}">
              <a16:creationId xmlns:a16="http://schemas.microsoft.com/office/drawing/2014/main" id="{39E21AAF-89F0-4206-A970-8701181104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3" name="x_Picture 1" descr="Description: cid:image001.png@01D03949.49457930">
          <a:extLst>
            <a:ext uri="{FF2B5EF4-FFF2-40B4-BE49-F238E27FC236}">
              <a16:creationId xmlns:a16="http://schemas.microsoft.com/office/drawing/2014/main" id="{54E87306-3473-4BC2-A9E6-36FFCA4DF50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4" name="x_Picture 1" descr="Description: cid:image001.png@01D03949.49457930">
          <a:extLst>
            <a:ext uri="{FF2B5EF4-FFF2-40B4-BE49-F238E27FC236}">
              <a16:creationId xmlns:a16="http://schemas.microsoft.com/office/drawing/2014/main" id="{5309FCF5-55E7-4151-AA7C-71465BFDF6D0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5" name="x_Picture 1" descr="Description: cid:image001.png@01D03949.49457930">
          <a:extLst>
            <a:ext uri="{FF2B5EF4-FFF2-40B4-BE49-F238E27FC236}">
              <a16:creationId xmlns:a16="http://schemas.microsoft.com/office/drawing/2014/main" id="{5FA9AFDB-8850-4FB2-9523-3DCA36BBCF7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6" name="x_Picture 1" descr="Description: cid:image001.png@01D03949.49457930">
          <a:extLst>
            <a:ext uri="{FF2B5EF4-FFF2-40B4-BE49-F238E27FC236}">
              <a16:creationId xmlns:a16="http://schemas.microsoft.com/office/drawing/2014/main" id="{A323C92D-52A9-49A4-B30B-90D15C5E11C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7" name="x_Picture 1" descr="Description: cid:image001.png@01D03949.49457930">
          <a:extLst>
            <a:ext uri="{FF2B5EF4-FFF2-40B4-BE49-F238E27FC236}">
              <a16:creationId xmlns:a16="http://schemas.microsoft.com/office/drawing/2014/main" id="{10F16F49-9ED2-4F94-B68D-F2F97D843F0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8" name="x_Picture 1" descr="Description: cid:image001.png@01D03949.49457930">
          <a:extLst>
            <a:ext uri="{FF2B5EF4-FFF2-40B4-BE49-F238E27FC236}">
              <a16:creationId xmlns:a16="http://schemas.microsoft.com/office/drawing/2014/main" id="{788DADFC-9620-4150-B8C7-98E926283C1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59" name="x_Picture 1" descr="Description: cid:image001.png@01D03949.49457930">
          <a:extLst>
            <a:ext uri="{FF2B5EF4-FFF2-40B4-BE49-F238E27FC236}">
              <a16:creationId xmlns:a16="http://schemas.microsoft.com/office/drawing/2014/main" id="{7C67B8F1-569C-45E2-B11E-629C6133FC4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0" name="x_Picture 1" descr="Description: cid:image001.png@01D03949.49457930">
          <a:extLst>
            <a:ext uri="{FF2B5EF4-FFF2-40B4-BE49-F238E27FC236}">
              <a16:creationId xmlns:a16="http://schemas.microsoft.com/office/drawing/2014/main" id="{F88F40F8-3AB9-4BD7-A1B9-470BFAD7693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1" name="x_Picture 1" descr="Description: cid:image001.png@01D03949.49457930">
          <a:extLst>
            <a:ext uri="{FF2B5EF4-FFF2-40B4-BE49-F238E27FC236}">
              <a16:creationId xmlns:a16="http://schemas.microsoft.com/office/drawing/2014/main" id="{F44F909C-96D7-4C8E-B35F-6354ACD44A5F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2" name="x_Picture 1" descr="Description: cid:image001.png@01D03949.49457930">
          <a:extLst>
            <a:ext uri="{FF2B5EF4-FFF2-40B4-BE49-F238E27FC236}">
              <a16:creationId xmlns:a16="http://schemas.microsoft.com/office/drawing/2014/main" id="{46110090-5359-448B-B9B4-706340D74D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3" name="x_Picture 1" descr="Description: cid:image001.png@01D03949.49457930">
          <a:extLst>
            <a:ext uri="{FF2B5EF4-FFF2-40B4-BE49-F238E27FC236}">
              <a16:creationId xmlns:a16="http://schemas.microsoft.com/office/drawing/2014/main" id="{156AF93E-8F2A-45EA-80DB-4561D92FD07D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4" name="x_Picture 1" descr="Description: cid:image001.png@01D03949.49457930">
          <a:extLst>
            <a:ext uri="{FF2B5EF4-FFF2-40B4-BE49-F238E27FC236}">
              <a16:creationId xmlns:a16="http://schemas.microsoft.com/office/drawing/2014/main" id="{54AE4F4B-FAF3-40AB-A87C-E1AEA00DF89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5" name="x_Picture 1" descr="Description: cid:image001.png@01D03949.49457930">
          <a:extLst>
            <a:ext uri="{FF2B5EF4-FFF2-40B4-BE49-F238E27FC236}">
              <a16:creationId xmlns:a16="http://schemas.microsoft.com/office/drawing/2014/main" id="{C7AFF72F-1C0A-4E37-8D66-BDD54D3C41A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6" name="x_Picture 1" descr="Description: cid:image001.png@01D03949.49457930">
          <a:extLst>
            <a:ext uri="{FF2B5EF4-FFF2-40B4-BE49-F238E27FC236}">
              <a16:creationId xmlns:a16="http://schemas.microsoft.com/office/drawing/2014/main" id="{B13D02EB-8CEB-4350-A60A-39B8479CF01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7" name="x_Picture 1" descr="Description: cid:image001.png@01D03949.49457930">
          <a:extLst>
            <a:ext uri="{FF2B5EF4-FFF2-40B4-BE49-F238E27FC236}">
              <a16:creationId xmlns:a16="http://schemas.microsoft.com/office/drawing/2014/main" id="{83FEE067-B090-4467-AD35-AF59D0CC845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8" name="x_Picture 1" descr="Description: cid:image001.png@01D03949.49457930">
          <a:extLst>
            <a:ext uri="{FF2B5EF4-FFF2-40B4-BE49-F238E27FC236}">
              <a16:creationId xmlns:a16="http://schemas.microsoft.com/office/drawing/2014/main" id="{CB9A6A91-149C-4751-893F-2406FD21A713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69" name="x_Picture 1" descr="Description: cid:image001.png@01D03949.49457930">
          <a:extLst>
            <a:ext uri="{FF2B5EF4-FFF2-40B4-BE49-F238E27FC236}">
              <a16:creationId xmlns:a16="http://schemas.microsoft.com/office/drawing/2014/main" id="{4530FD95-3BF6-49CE-891E-FC3023267A8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0" name="x_Picture 1" descr="Description: cid:image001.png@01D03949.49457930">
          <a:extLst>
            <a:ext uri="{FF2B5EF4-FFF2-40B4-BE49-F238E27FC236}">
              <a16:creationId xmlns:a16="http://schemas.microsoft.com/office/drawing/2014/main" id="{218AFE2A-5CD9-47B3-8528-4CE296E4D28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1" name="x_Picture 1" descr="Description: cid:image001.png@01D03949.49457930">
          <a:extLst>
            <a:ext uri="{FF2B5EF4-FFF2-40B4-BE49-F238E27FC236}">
              <a16:creationId xmlns:a16="http://schemas.microsoft.com/office/drawing/2014/main" id="{517C595B-36CF-46D1-8FEF-2041D6DFBCCE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2" name="x_Picture 1" descr="Description: cid:image001.png@01D03949.49457930">
          <a:extLst>
            <a:ext uri="{FF2B5EF4-FFF2-40B4-BE49-F238E27FC236}">
              <a16:creationId xmlns:a16="http://schemas.microsoft.com/office/drawing/2014/main" id="{0454368E-CD84-451A-8C4D-8B709240A52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3" name="x_Picture 1" descr="Description: cid:image001.png@01D03949.49457930">
          <a:extLst>
            <a:ext uri="{FF2B5EF4-FFF2-40B4-BE49-F238E27FC236}">
              <a16:creationId xmlns:a16="http://schemas.microsoft.com/office/drawing/2014/main" id="{27C30861-6809-4F6C-B7A6-6D999AC59F1C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4" name="x_Picture 1" descr="Description: cid:image001.png@01D03949.49457930">
          <a:extLst>
            <a:ext uri="{FF2B5EF4-FFF2-40B4-BE49-F238E27FC236}">
              <a16:creationId xmlns:a16="http://schemas.microsoft.com/office/drawing/2014/main" id="{F9FD4BD4-525B-4EA4-A749-8CCD04D7FAF7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5" name="x_Picture 1" descr="Description: cid:image001.png@01D03949.49457930">
          <a:extLst>
            <a:ext uri="{FF2B5EF4-FFF2-40B4-BE49-F238E27FC236}">
              <a16:creationId xmlns:a16="http://schemas.microsoft.com/office/drawing/2014/main" id="{259BFCC8-7D81-4458-A4AC-33EF8DC815F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6" name="x_Picture 1" descr="Description: cid:image001.png@01D03949.49457930">
          <a:extLst>
            <a:ext uri="{FF2B5EF4-FFF2-40B4-BE49-F238E27FC236}">
              <a16:creationId xmlns:a16="http://schemas.microsoft.com/office/drawing/2014/main" id="{F9092DD9-88A5-49D3-96AF-C5B3982963BB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7" name="x_Picture 1" descr="Description: cid:image001.png@01D03949.49457930">
          <a:extLst>
            <a:ext uri="{FF2B5EF4-FFF2-40B4-BE49-F238E27FC236}">
              <a16:creationId xmlns:a16="http://schemas.microsoft.com/office/drawing/2014/main" id="{00A14B01-17CE-48A4-8AD9-A87437B8997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8" name="x_Picture 1" descr="Description: cid:image001.png@01D03949.49457930">
          <a:extLst>
            <a:ext uri="{FF2B5EF4-FFF2-40B4-BE49-F238E27FC236}">
              <a16:creationId xmlns:a16="http://schemas.microsoft.com/office/drawing/2014/main" id="{A4BF23BB-DA23-4634-B929-52A682B499B1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79" name="x_Picture 1" descr="Description: cid:image001.png@01D03949.49457930">
          <a:extLst>
            <a:ext uri="{FF2B5EF4-FFF2-40B4-BE49-F238E27FC236}">
              <a16:creationId xmlns:a16="http://schemas.microsoft.com/office/drawing/2014/main" id="{A51748B5-BEA1-4F58-A4B5-115A8137A284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80" name="x_Picture 1" descr="Description: cid:image001.png@01D03949.49457930">
          <a:extLst>
            <a:ext uri="{FF2B5EF4-FFF2-40B4-BE49-F238E27FC236}">
              <a16:creationId xmlns:a16="http://schemas.microsoft.com/office/drawing/2014/main" id="{9F2D0EC1-6354-4B5E-9A51-ED5834D1B0E9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463286</xdr:colOff>
      <xdr:row>47</xdr:row>
      <xdr:rowOff>0</xdr:rowOff>
    </xdr:from>
    <xdr:ext cx="279605" cy="315045"/>
    <xdr:sp macro="" textlink="">
      <xdr:nvSpPr>
        <xdr:cNvPr id="6981" name="x_Picture 1" descr="Description: cid:image001.png@01D03949.49457930">
          <a:extLst>
            <a:ext uri="{FF2B5EF4-FFF2-40B4-BE49-F238E27FC236}">
              <a16:creationId xmlns:a16="http://schemas.microsoft.com/office/drawing/2014/main" id="{EEDCD8FE-3F10-4E21-B7E8-112159D66A65}"/>
            </a:ext>
          </a:extLst>
        </xdr:cNvPr>
        <xdr:cNvSpPr>
          <a:spLocks noChangeAspect="1" noChangeArrowheads="1"/>
        </xdr:cNvSpPr>
      </xdr:nvSpPr>
      <xdr:spPr bwMode="auto">
        <a:xfrm>
          <a:off x="742686" y="8597900"/>
          <a:ext cx="279605" cy="31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file:///C:\Users\moshi.uddin\Downloads\Team%20Distribution_%20September%20(2).xlsx" TargetMode="External"/><Relationship Id="rId1" Type="http://schemas.openxmlformats.org/officeDocument/2006/relationships/externalLinkPath" Target="/Users/moshi.uddin/Downloads/Team%20Distribution_%20September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Employee ID</v>
          </cell>
          <cell r="D1" t="str">
            <v>Sys. ID</v>
          </cell>
          <cell r="E1" t="str">
            <v>Name</v>
          </cell>
          <cell r="F1" t="str">
            <v>Gender</v>
          </cell>
          <cell r="G1" t="str">
            <v>TL</v>
          </cell>
        </row>
        <row r="2">
          <cell r="C2">
            <v>171173</v>
          </cell>
          <cell r="D2" t="str">
            <v>naihe12op</v>
          </cell>
          <cell r="E2" t="str">
            <v>Pial Ahmed</v>
          </cell>
          <cell r="F2" t="str">
            <v>M</v>
          </cell>
          <cell r="G2" t="str">
            <v>Md Mehedi Hasan</v>
          </cell>
        </row>
        <row r="3">
          <cell r="C3">
            <v>171264</v>
          </cell>
          <cell r="D3" t="str">
            <v>naihe29op</v>
          </cell>
          <cell r="E3" t="str">
            <v>Antoni Chakma</v>
          </cell>
          <cell r="F3" t="str">
            <v>F</v>
          </cell>
          <cell r="G3" t="str">
            <v>Md Mehedi Hasan</v>
          </cell>
        </row>
        <row r="4">
          <cell r="C4">
            <v>171599</v>
          </cell>
          <cell r="D4" t="str">
            <v>naihe30op</v>
          </cell>
          <cell r="E4" t="str">
            <v>Md Khairul ISLAM</v>
          </cell>
          <cell r="F4" t="str">
            <v>M</v>
          </cell>
          <cell r="G4" t="str">
            <v>Md Mehedi Hasan</v>
          </cell>
        </row>
        <row r="5">
          <cell r="C5">
            <v>171269</v>
          </cell>
          <cell r="D5" t="str">
            <v>naihe62op</v>
          </cell>
          <cell r="E5" t="str">
            <v>SK Abu Labib</v>
          </cell>
          <cell r="F5" t="str">
            <v>M</v>
          </cell>
          <cell r="G5" t="str">
            <v>Md Mehedi Hasan</v>
          </cell>
        </row>
        <row r="6">
          <cell r="C6">
            <v>171279</v>
          </cell>
          <cell r="D6" t="str">
            <v>naihe64op</v>
          </cell>
          <cell r="E6" t="str">
            <v>Md. Shahnawas Tabib</v>
          </cell>
          <cell r="F6" t="str">
            <v>M</v>
          </cell>
          <cell r="G6" t="str">
            <v>Md Mehedi Hasan</v>
          </cell>
        </row>
        <row r="7">
          <cell r="C7">
            <v>171287</v>
          </cell>
          <cell r="D7" t="str">
            <v>naihe58op</v>
          </cell>
          <cell r="E7" t="str">
            <v>Dipika Das</v>
          </cell>
          <cell r="F7" t="str">
            <v>F</v>
          </cell>
          <cell r="G7" t="str">
            <v>Md Mehedi Hasan</v>
          </cell>
        </row>
        <row r="8">
          <cell r="C8">
            <v>171288</v>
          </cell>
          <cell r="D8" t="str">
            <v>naihe66op</v>
          </cell>
          <cell r="E8" t="str">
            <v>Shamim Ahsan Ishtiaq</v>
          </cell>
          <cell r="F8" t="str">
            <v>M</v>
          </cell>
          <cell r="G8" t="str">
            <v>Md Mehedi Hasan</v>
          </cell>
        </row>
        <row r="9">
          <cell r="C9">
            <v>171295</v>
          </cell>
          <cell r="D9" t="str">
            <v>naihe1op</v>
          </cell>
          <cell r="E9" t="str">
            <v>Tamanna Pervin</v>
          </cell>
          <cell r="F9" t="str">
            <v>F</v>
          </cell>
          <cell r="G9" t="str">
            <v>Md Mehedi Hasan</v>
          </cell>
        </row>
        <row r="10">
          <cell r="C10">
            <v>171297</v>
          </cell>
          <cell r="D10" t="str">
            <v>naihe24op</v>
          </cell>
          <cell r="E10" t="str">
            <v>Nintyananda Joydhar</v>
          </cell>
          <cell r="F10" t="str">
            <v>M</v>
          </cell>
          <cell r="G10" t="str">
            <v>Md Mehedi Hasan</v>
          </cell>
        </row>
        <row r="11">
          <cell r="C11">
            <v>171299</v>
          </cell>
          <cell r="D11" t="str">
            <v>naihe4op</v>
          </cell>
          <cell r="E11" t="str">
            <v>Khama Mondol</v>
          </cell>
          <cell r="F11" t="str">
            <v>F</v>
          </cell>
          <cell r="G11" t="str">
            <v>Md Mehedi Hasan</v>
          </cell>
        </row>
        <row r="12">
          <cell r="C12">
            <v>171303</v>
          </cell>
          <cell r="D12" t="str">
            <v>naihe23op</v>
          </cell>
          <cell r="E12" t="str">
            <v>Shyamali Parvin</v>
          </cell>
          <cell r="F12" t="str">
            <v>F</v>
          </cell>
          <cell r="G12" t="str">
            <v>Md Mehedi Hasan</v>
          </cell>
        </row>
        <row r="13">
          <cell r="C13">
            <v>171319</v>
          </cell>
          <cell r="D13" t="str">
            <v>naihe15op</v>
          </cell>
          <cell r="E13" t="str">
            <v>Saeema Rahman</v>
          </cell>
          <cell r="F13" t="str">
            <v>F</v>
          </cell>
          <cell r="G13" t="str">
            <v>Md Mehedi Hasan</v>
          </cell>
        </row>
        <row r="14">
          <cell r="C14">
            <v>171307</v>
          </cell>
          <cell r="D14" t="str">
            <v>naihe20op</v>
          </cell>
          <cell r="E14" t="str">
            <v>Sharmin Nahar</v>
          </cell>
          <cell r="F14" t="str">
            <v>F</v>
          </cell>
          <cell r="G14" t="str">
            <v>Md Mehedi Hasan</v>
          </cell>
        </row>
        <row r="15">
          <cell r="C15">
            <v>171320</v>
          </cell>
          <cell r="D15" t="str">
            <v>naihe61op</v>
          </cell>
          <cell r="E15" t="str">
            <v>Liza Akter</v>
          </cell>
          <cell r="F15" t="str">
            <v>F</v>
          </cell>
          <cell r="G15" t="str">
            <v>Md Mehedi Hasan</v>
          </cell>
        </row>
        <row r="16">
          <cell r="C16">
            <v>171324</v>
          </cell>
          <cell r="D16" t="str">
            <v>naihe2op</v>
          </cell>
          <cell r="E16" t="str">
            <v>Shrabonti Teresa Costa</v>
          </cell>
          <cell r="F16" t="str">
            <v>F</v>
          </cell>
          <cell r="G16" t="str">
            <v>Md Mehedi Hasan</v>
          </cell>
        </row>
        <row r="17">
          <cell r="C17">
            <v>171345</v>
          </cell>
          <cell r="D17" t="str">
            <v>naihe8op</v>
          </cell>
          <cell r="E17" t="str">
            <v>Safi Mahmud</v>
          </cell>
          <cell r="F17" t="str">
            <v>M</v>
          </cell>
          <cell r="G17" t="str">
            <v>Md Mehedi Hasan</v>
          </cell>
        </row>
        <row r="18">
          <cell r="C18">
            <v>171351</v>
          </cell>
          <cell r="D18" t="str">
            <v>naihe14op</v>
          </cell>
          <cell r="E18" t="str">
            <v>Mahmudul Hassan</v>
          </cell>
          <cell r="F18" t="str">
            <v>M</v>
          </cell>
          <cell r="G18" t="str">
            <v>Md Mehedi Hasan</v>
          </cell>
        </row>
        <row r="19">
          <cell r="C19">
            <v>171419</v>
          </cell>
          <cell r="D19" t="str">
            <v>naihe22op</v>
          </cell>
          <cell r="E19" t="str">
            <v>Sumiya Khatun</v>
          </cell>
          <cell r="F19" t="str">
            <v>F</v>
          </cell>
          <cell r="G19" t="str">
            <v>Md Mehedi Hasan</v>
          </cell>
        </row>
        <row r="20">
          <cell r="C20">
            <v>171420</v>
          </cell>
          <cell r="D20" t="str">
            <v>naihe27op</v>
          </cell>
          <cell r="E20" t="str">
            <v>Ashamoni Akter</v>
          </cell>
          <cell r="F20" t="str">
            <v>F</v>
          </cell>
          <cell r="G20" t="str">
            <v>Md Mehedi Hasan</v>
          </cell>
        </row>
        <row r="21">
          <cell r="C21">
            <v>171447</v>
          </cell>
          <cell r="D21" t="str">
            <v>naihe72op</v>
          </cell>
          <cell r="E21" t="str">
            <v>Afroja Akhi</v>
          </cell>
          <cell r="F21" t="str">
            <v>F</v>
          </cell>
          <cell r="G21" t="str">
            <v>Md Mehedi Hasan</v>
          </cell>
        </row>
        <row r="22">
          <cell r="C22">
            <v>171454</v>
          </cell>
          <cell r="D22" t="str">
            <v>naihe73op</v>
          </cell>
          <cell r="E22" t="str">
            <v>Nadia Esrat Ifti Sowa</v>
          </cell>
          <cell r="F22" t="str">
            <v>F</v>
          </cell>
          <cell r="G22" t="str">
            <v>Md Mehedi Hasan</v>
          </cell>
        </row>
        <row r="23">
          <cell r="C23">
            <v>171462</v>
          </cell>
          <cell r="D23" t="str">
            <v>naihe57op</v>
          </cell>
          <cell r="E23" t="str">
            <v>Tanjila Akbar Lia</v>
          </cell>
          <cell r="F23" t="str">
            <v>F</v>
          </cell>
          <cell r="G23" t="str">
            <v>Md Mehedi Hasan</v>
          </cell>
        </row>
        <row r="24">
          <cell r="C24">
            <v>171465</v>
          </cell>
          <cell r="D24" t="str">
            <v>naihe59op</v>
          </cell>
          <cell r="E24" t="str">
            <v>Mousumi Sultana</v>
          </cell>
          <cell r="F24" t="str">
            <v>F</v>
          </cell>
          <cell r="G24" t="str">
            <v>Md Mehedi Hasan</v>
          </cell>
        </row>
        <row r="25">
          <cell r="C25">
            <v>171498</v>
          </cell>
          <cell r="D25" t="str">
            <v>naihe6op</v>
          </cell>
          <cell r="E25" t="str">
            <v>Fatema Khatun</v>
          </cell>
          <cell r="F25" t="str">
            <v>F</v>
          </cell>
          <cell r="G25" t="str">
            <v>Md Mehedi Hasan</v>
          </cell>
        </row>
        <row r="26">
          <cell r="C26">
            <v>171505</v>
          </cell>
          <cell r="D26" t="str">
            <v>naihe17op</v>
          </cell>
          <cell r="E26" t="str">
            <v>Jannatul Ferdaus Tamanna</v>
          </cell>
          <cell r="F26" t="str">
            <v>F</v>
          </cell>
          <cell r="G26" t="str">
            <v>Md Mehedi Hasan</v>
          </cell>
        </row>
        <row r="27">
          <cell r="C27">
            <v>171566</v>
          </cell>
          <cell r="D27" t="str">
            <v>naihe18op</v>
          </cell>
          <cell r="E27" t="str">
            <v>Nusrat Jahan</v>
          </cell>
          <cell r="F27" t="str">
            <v>F</v>
          </cell>
          <cell r="G27" t="str">
            <v>Md Mehedi Hasan</v>
          </cell>
        </row>
        <row r="28">
          <cell r="C28">
            <v>171712</v>
          </cell>
          <cell r="D28" t="str">
            <v>naihe9op</v>
          </cell>
          <cell r="E28" t="str">
            <v>Sabila Haq</v>
          </cell>
          <cell r="F28" t="str">
            <v>F</v>
          </cell>
          <cell r="G28" t="str">
            <v>Md Mehedi Hasan</v>
          </cell>
        </row>
        <row r="29">
          <cell r="C29">
            <v>171716</v>
          </cell>
          <cell r="D29" t="str">
            <v>naihe25op</v>
          </cell>
          <cell r="E29" t="str">
            <v>Rubina Easmin</v>
          </cell>
          <cell r="F29" t="str">
            <v>F</v>
          </cell>
          <cell r="G29" t="str">
            <v>Md Mehedi Hasan</v>
          </cell>
        </row>
        <row r="30">
          <cell r="C30">
            <v>171774</v>
          </cell>
          <cell r="D30" t="str">
            <v>naihe19op</v>
          </cell>
          <cell r="E30" t="str">
            <v>Imdadul Haque</v>
          </cell>
          <cell r="F30" t="str">
            <v>M</v>
          </cell>
          <cell r="G30" t="str">
            <v>Md Mehedi Hasan</v>
          </cell>
        </row>
        <row r="31">
          <cell r="C31">
            <v>171033</v>
          </cell>
          <cell r="D31" t="str">
            <v>zhulan3op</v>
          </cell>
          <cell r="E31" t="str">
            <v>Mahbuba Akter Prema</v>
          </cell>
          <cell r="F31" t="str">
            <v>F</v>
          </cell>
          <cell r="G31" t="str">
            <v>Nazimuddoula Leon</v>
          </cell>
        </row>
        <row r="32">
          <cell r="C32">
            <v>171061</v>
          </cell>
          <cell r="D32" t="str">
            <v>zhulan2op</v>
          </cell>
          <cell r="E32" t="str">
            <v>Rakiba Akter</v>
          </cell>
          <cell r="F32" t="str">
            <v>F</v>
          </cell>
          <cell r="G32" t="str">
            <v>Nazimuddoula Leon</v>
          </cell>
        </row>
        <row r="33">
          <cell r="C33">
            <v>171117</v>
          </cell>
          <cell r="D33" t="str">
            <v>zhulan5op</v>
          </cell>
          <cell r="E33" t="str">
            <v>Md. Shazib Miah</v>
          </cell>
          <cell r="F33" t="str">
            <v>M</v>
          </cell>
          <cell r="G33" t="str">
            <v>Nazimuddoula Leon</v>
          </cell>
        </row>
        <row r="34">
          <cell r="C34">
            <v>171153</v>
          </cell>
          <cell r="D34" t="str">
            <v>zhulan14op</v>
          </cell>
          <cell r="E34" t="str">
            <v>Md. Shahriar Kobir</v>
          </cell>
          <cell r="F34" t="str">
            <v>M</v>
          </cell>
          <cell r="G34" t="str">
            <v>Nazmus Sakib</v>
          </cell>
        </row>
        <row r="35">
          <cell r="C35">
            <v>171163</v>
          </cell>
          <cell r="D35" t="str">
            <v>zhulan13op</v>
          </cell>
          <cell r="E35" t="str">
            <v>Md. Saydur Rahman</v>
          </cell>
          <cell r="F35" t="str">
            <v>M</v>
          </cell>
          <cell r="G35" t="str">
            <v>Nazmus Sakib</v>
          </cell>
        </row>
        <row r="36">
          <cell r="C36">
            <v>171170</v>
          </cell>
          <cell r="D36" t="str">
            <v>zhulan7op</v>
          </cell>
          <cell r="E36" t="str">
            <v>Sumsun Naher Shimu</v>
          </cell>
          <cell r="F36" t="str">
            <v>F</v>
          </cell>
          <cell r="G36" t="str">
            <v>Nazimuddoula Leon</v>
          </cell>
        </row>
        <row r="37">
          <cell r="C37">
            <v>171196</v>
          </cell>
          <cell r="D37" t="str">
            <v>zhulan15op</v>
          </cell>
          <cell r="E37" t="str">
            <v>Mukti Afroz</v>
          </cell>
          <cell r="F37" t="str">
            <v>F</v>
          </cell>
          <cell r="G37" t="str">
            <v>Nazimuddoula Leon</v>
          </cell>
        </row>
        <row r="38">
          <cell r="C38">
            <v>171306</v>
          </cell>
          <cell r="D38" t="str">
            <v>zhulan4op</v>
          </cell>
          <cell r="E38" t="str">
            <v>Bithy Rani Bashak</v>
          </cell>
          <cell r="F38" t="str">
            <v>F</v>
          </cell>
          <cell r="G38" t="str">
            <v>Nazimuddoula Leon</v>
          </cell>
        </row>
        <row r="39">
          <cell r="C39">
            <v>171311</v>
          </cell>
          <cell r="D39" t="str">
            <v>zhulan12op</v>
          </cell>
          <cell r="E39" t="str">
            <v>Mst. Taniya Hamid</v>
          </cell>
          <cell r="F39" t="str">
            <v>F</v>
          </cell>
          <cell r="G39" t="str">
            <v>Nazimuddoula Leon</v>
          </cell>
        </row>
        <row r="40">
          <cell r="C40">
            <v>171312</v>
          </cell>
          <cell r="D40" t="str">
            <v>zhulan8op</v>
          </cell>
          <cell r="E40" t="str">
            <v>Kamrun Nahar Setu</v>
          </cell>
          <cell r="F40" t="str">
            <v>F</v>
          </cell>
          <cell r="G40" t="str">
            <v>Nazimuddoula Leon</v>
          </cell>
        </row>
        <row r="41">
          <cell r="C41">
            <v>171316</v>
          </cell>
          <cell r="D41" t="str">
            <v>zhulan22op</v>
          </cell>
          <cell r="E41" t="str">
            <v>Fatema Tuj Johora Tuni</v>
          </cell>
          <cell r="F41" t="str">
            <v>F</v>
          </cell>
          <cell r="G41" t="str">
            <v>Sabrina Sultana Mou</v>
          </cell>
        </row>
        <row r="42">
          <cell r="C42">
            <v>171392</v>
          </cell>
          <cell r="D42" t="str">
            <v>zhulan20op</v>
          </cell>
          <cell r="E42" t="str">
            <v>Rumana Parvin</v>
          </cell>
          <cell r="F42" t="str">
            <v>F</v>
          </cell>
          <cell r="G42" t="str">
            <v>Sabrina Sultana Mou</v>
          </cell>
        </row>
        <row r="43">
          <cell r="C43">
            <v>171417</v>
          </cell>
          <cell r="D43" t="str">
            <v>zhulan24op</v>
          </cell>
          <cell r="E43" t="str">
            <v>Roksana Akter</v>
          </cell>
          <cell r="F43" t="str">
            <v>F</v>
          </cell>
          <cell r="G43" t="str">
            <v>Sabrina Sultana Mou</v>
          </cell>
        </row>
        <row r="44">
          <cell r="C44">
            <v>171421</v>
          </cell>
          <cell r="D44" t="str">
            <v>zhulan27op</v>
          </cell>
          <cell r="E44" t="str">
            <v>Jannat Prianka</v>
          </cell>
          <cell r="F44" t="str">
            <v>F</v>
          </cell>
          <cell r="G44" t="str">
            <v>Sabrina Sultana Mou</v>
          </cell>
        </row>
        <row r="45">
          <cell r="C45">
            <v>171443</v>
          </cell>
          <cell r="D45" t="str">
            <v>zhulan9op</v>
          </cell>
          <cell r="E45" t="str">
            <v>Md. Ahasanul Haque</v>
          </cell>
          <cell r="F45" t="str">
            <v>M</v>
          </cell>
          <cell r="G45" t="str">
            <v>Sabrina Sultana Mou</v>
          </cell>
        </row>
        <row r="46">
          <cell r="C46">
            <v>171954</v>
          </cell>
          <cell r="D46" t="str">
            <v>zhulan29op</v>
          </cell>
          <cell r="E46" t="str">
            <v>BIBI Kulsum</v>
          </cell>
          <cell r="F46" t="str">
            <v>M</v>
          </cell>
          <cell r="G46" t="str">
            <v>Sabrina Sultana Mou</v>
          </cell>
        </row>
        <row r="47">
          <cell r="C47">
            <v>171468</v>
          </cell>
          <cell r="D47" t="str">
            <v>zhulan10op</v>
          </cell>
          <cell r="E47" t="str">
            <v>Ridhay Sharker</v>
          </cell>
          <cell r="F47" t="str">
            <v>M</v>
          </cell>
          <cell r="G47" t="str">
            <v>Sabrina Sultana Mou</v>
          </cell>
        </row>
        <row r="48">
          <cell r="C48">
            <v>171953</v>
          </cell>
          <cell r="D48" t="str">
            <v>zhulan6op</v>
          </cell>
          <cell r="E48" t="str">
            <v>lipi Akter</v>
          </cell>
          <cell r="F48" t="str">
            <v>M</v>
          </cell>
          <cell r="G48" t="str">
            <v>Sabrina Sultana Mou</v>
          </cell>
        </row>
        <row r="49">
          <cell r="C49">
            <v>171492</v>
          </cell>
          <cell r="D49" t="str">
            <v>zhulan16op</v>
          </cell>
          <cell r="E49" t="str">
            <v>Amit Halder</v>
          </cell>
          <cell r="F49" t="str">
            <v>M</v>
          </cell>
          <cell r="G49" t="str">
            <v>Nazmus Sakib</v>
          </cell>
        </row>
        <row r="50">
          <cell r="C50">
            <v>171548</v>
          </cell>
          <cell r="D50" t="str">
            <v>zhulan28op</v>
          </cell>
          <cell r="E50" t="str">
            <v>Most.Rownak Jahan</v>
          </cell>
          <cell r="F50" t="str">
            <v>F</v>
          </cell>
          <cell r="G50" t="str">
            <v>Nazmus Sakib</v>
          </cell>
        </row>
        <row r="51">
          <cell r="C51">
            <v>171555</v>
          </cell>
          <cell r="D51" t="str">
            <v>zhulan1op</v>
          </cell>
          <cell r="E51" t="str">
            <v>Tajkeya ajmi</v>
          </cell>
          <cell r="F51" t="str">
            <v>F</v>
          </cell>
          <cell r="G51" t="str">
            <v>Nazmus Sakib</v>
          </cell>
        </row>
        <row r="52">
          <cell r="C52">
            <v>171497</v>
          </cell>
          <cell r="D52" t="str">
            <v>zhulan32op</v>
          </cell>
          <cell r="E52" t="str">
            <v>Khadiza Parvin Asha</v>
          </cell>
          <cell r="F52" t="str">
            <v>F</v>
          </cell>
          <cell r="G52" t="str">
            <v>Nazmus Sakib</v>
          </cell>
        </row>
        <row r="53">
          <cell r="C53">
            <v>171493</v>
          </cell>
          <cell r="D53" t="str">
            <v>zhulan33op</v>
          </cell>
          <cell r="E53" t="str">
            <v>Aminul Islam Shuvo</v>
          </cell>
          <cell r="F53" t="str">
            <v>M</v>
          </cell>
          <cell r="G53" t="str">
            <v>Nazmus Sakib</v>
          </cell>
        </row>
        <row r="54">
          <cell r="C54">
            <v>171494</v>
          </cell>
          <cell r="D54" t="str">
            <v>zhulan34op</v>
          </cell>
          <cell r="E54" t="str">
            <v>Mst Shikha Akter Setu</v>
          </cell>
          <cell r="F54" t="str">
            <v>F</v>
          </cell>
          <cell r="G54" t="str">
            <v>Nazmus Sakib</v>
          </cell>
        </row>
        <row r="55">
          <cell r="C55">
            <v>171499</v>
          </cell>
          <cell r="D55" t="str">
            <v>zhulan35op</v>
          </cell>
          <cell r="E55" t="str">
            <v>Aushan Muntasir Mamun</v>
          </cell>
          <cell r="F55" t="str">
            <v>M</v>
          </cell>
          <cell r="G55" t="str">
            <v>Nazmus Sakib</v>
          </cell>
        </row>
        <row r="56">
          <cell r="C56">
            <v>171326</v>
          </cell>
          <cell r="D56" t="str">
            <v>zhulan37op</v>
          </cell>
          <cell r="E56" t="str">
            <v>Nahida Akter</v>
          </cell>
          <cell r="F56" t="str">
            <v>F</v>
          </cell>
          <cell r="G56" t="str">
            <v>Sabrina Sultana Mou</v>
          </cell>
        </row>
        <row r="57">
          <cell r="C57">
            <v>171440</v>
          </cell>
          <cell r="D57" t="str">
            <v>zhulan40op</v>
          </cell>
          <cell r="E57" t="str">
            <v>Fatema Akter</v>
          </cell>
          <cell r="F57" t="str">
            <v>F</v>
          </cell>
          <cell r="G57" t="str">
            <v>Sabrina Sultana Mou</v>
          </cell>
        </row>
        <row r="58">
          <cell r="C58">
            <v>171488</v>
          </cell>
          <cell r="D58" t="str">
            <v>zhulan30op</v>
          </cell>
          <cell r="E58" t="str">
            <v>Asia Akter</v>
          </cell>
          <cell r="F58" t="str">
            <v>F</v>
          </cell>
          <cell r="G58" t="str">
            <v>Sabrina Sultana Mou</v>
          </cell>
        </row>
        <row r="59">
          <cell r="C59">
            <v>171601</v>
          </cell>
          <cell r="D59" t="str">
            <v>zhulan25op</v>
          </cell>
          <cell r="E59" t="str">
            <v>Md. Arfan Hossain</v>
          </cell>
          <cell r="F59" t="str">
            <v>M</v>
          </cell>
          <cell r="G59" t="str">
            <v>Nazimuddoula Leon</v>
          </cell>
        </row>
        <row r="60">
          <cell r="C60">
            <v>171620</v>
          </cell>
          <cell r="D60" t="str">
            <v>zhulan26op</v>
          </cell>
          <cell r="E60" t="str">
            <v>Summya Amin</v>
          </cell>
          <cell r="F60" t="str">
            <v>F</v>
          </cell>
          <cell r="G60" t="str">
            <v>Nazimuddoula Leon</v>
          </cell>
        </row>
        <row r="61">
          <cell r="C61">
            <v>171727</v>
          </cell>
          <cell r="D61" t="str">
            <v>zhulan17op</v>
          </cell>
          <cell r="E61" t="str">
            <v>Tahira Tabassum Chaity</v>
          </cell>
          <cell r="F61" t="str">
            <v>F</v>
          </cell>
          <cell r="G61" t="str">
            <v>Nazimuddoula Leon</v>
          </cell>
        </row>
        <row r="62">
          <cell r="C62">
            <v>171732</v>
          </cell>
          <cell r="D62" t="str">
            <v>zhulan18op</v>
          </cell>
          <cell r="E62" t="str">
            <v>Minhaz Khan</v>
          </cell>
          <cell r="F62" t="str">
            <v>M</v>
          </cell>
          <cell r="G62" t="str">
            <v>Nazimuddoula Leon</v>
          </cell>
        </row>
        <row r="63">
          <cell r="C63">
            <v>171766</v>
          </cell>
          <cell r="D63" t="str">
            <v>zhulan41op</v>
          </cell>
          <cell r="E63" t="str">
            <v>Rofiqul Islam</v>
          </cell>
          <cell r="F63" t="str">
            <v>M</v>
          </cell>
          <cell r="G63" t="str">
            <v>Nazimuddoula Leon</v>
          </cell>
        </row>
        <row r="64">
          <cell r="C64">
            <v>171809</v>
          </cell>
          <cell r="D64" t="str">
            <v>zhulan19op</v>
          </cell>
          <cell r="E64" t="str">
            <v>Roksana Akter</v>
          </cell>
          <cell r="F64" t="str">
            <v>F</v>
          </cell>
          <cell r="G64" t="str">
            <v>Nazimuddoula Leon</v>
          </cell>
        </row>
        <row r="65">
          <cell r="C65">
            <v>171818</v>
          </cell>
          <cell r="D65" t="str">
            <v>zhulan11op</v>
          </cell>
          <cell r="E65" t="str">
            <v>Kaniz Farzana</v>
          </cell>
          <cell r="F65" t="str">
            <v>F</v>
          </cell>
          <cell r="G65" t="str">
            <v>Nazimuddoula Leon</v>
          </cell>
        </row>
        <row r="66">
          <cell r="C66">
            <v>171841</v>
          </cell>
          <cell r="D66" t="str">
            <v>zhulan23op</v>
          </cell>
          <cell r="E66" t="str">
            <v>Md Selim Reza</v>
          </cell>
          <cell r="F66" t="str">
            <v>M</v>
          </cell>
          <cell r="G66" t="str">
            <v>Sabrina Sultana Mou</v>
          </cell>
        </row>
        <row r="67">
          <cell r="C67">
            <v>171610</v>
          </cell>
          <cell r="D67" t="str">
            <v>zhulan44op</v>
          </cell>
          <cell r="E67" t="str">
            <v>Md Rokonuzzaman Rifat</v>
          </cell>
          <cell r="F67" t="str">
            <v>M</v>
          </cell>
          <cell r="G67" t="str">
            <v>Sabrina Sultana Mou</v>
          </cell>
        </row>
        <row r="68">
          <cell r="C68">
            <v>171630</v>
          </cell>
          <cell r="D68" t="str">
            <v>zhulan38op</v>
          </cell>
          <cell r="E68" t="str">
            <v>Hossain Ahammed</v>
          </cell>
          <cell r="F68" t="str">
            <v>M</v>
          </cell>
          <cell r="G68" t="str">
            <v>Sabrina Sultana Mou</v>
          </cell>
        </row>
        <row r="69">
          <cell r="C69">
            <v>171277</v>
          </cell>
          <cell r="D69" t="str">
            <v>zhulan39op</v>
          </cell>
          <cell r="E69" t="str">
            <v>Tanjina Ferdous</v>
          </cell>
          <cell r="F69" t="str">
            <v>F</v>
          </cell>
          <cell r="G69" t="str">
            <v>Sabrina Sultana Mou</v>
          </cell>
        </row>
        <row r="70">
          <cell r="C70">
            <v>171341</v>
          </cell>
          <cell r="D70" t="str">
            <v>zhulan42op</v>
          </cell>
          <cell r="E70" t="str">
            <v>Md. Shafiqul Islam</v>
          </cell>
          <cell r="F70" t="str">
            <v>M</v>
          </cell>
          <cell r="G70" t="str">
            <v>Nazmus Sakib</v>
          </cell>
        </row>
        <row r="71">
          <cell r="C71">
            <v>171418</v>
          </cell>
          <cell r="D71" t="str">
            <v>zhulan36op</v>
          </cell>
          <cell r="E71" t="str">
            <v>Yeasmin Akter</v>
          </cell>
          <cell r="F71" t="str">
            <v>F</v>
          </cell>
          <cell r="G71" t="str">
            <v>Nazmus Sakib</v>
          </cell>
        </row>
        <row r="72">
          <cell r="C72">
            <v>171500</v>
          </cell>
          <cell r="D72" t="str">
            <v>zhulan43op</v>
          </cell>
          <cell r="E72" t="str">
            <v>Samia Alam</v>
          </cell>
          <cell r="F72" t="str">
            <v>F</v>
          </cell>
          <cell r="G72" t="str">
            <v>Nazmus Sakib</v>
          </cell>
        </row>
        <row r="73">
          <cell r="C73">
            <v>171734</v>
          </cell>
          <cell r="D73" t="str">
            <v>zhulan31op</v>
          </cell>
          <cell r="E73" t="str">
            <v>Jote Akter</v>
          </cell>
          <cell r="F73" t="str">
            <v>F</v>
          </cell>
          <cell r="G73" t="str">
            <v>Nazmus Sakib</v>
          </cell>
        </row>
        <row r="74">
          <cell r="C74">
            <v>171758</v>
          </cell>
          <cell r="D74" t="str">
            <v>zhulan45op</v>
          </cell>
          <cell r="E74" t="str">
            <v>Md. Sajid Siddiki</v>
          </cell>
          <cell r="F74" t="str">
            <v>M</v>
          </cell>
          <cell r="G74" t="str">
            <v>Nazmus Sakib</v>
          </cell>
        </row>
        <row r="75">
          <cell r="C75">
            <v>171835</v>
          </cell>
          <cell r="D75" t="str">
            <v>zhulan46op</v>
          </cell>
          <cell r="E75" t="str">
            <v>Mashiur Rahman Khan</v>
          </cell>
          <cell r="F75" t="str">
            <v>M</v>
          </cell>
          <cell r="G75" t="str">
            <v>Nazmus Sakib</v>
          </cell>
        </row>
        <row r="76">
          <cell r="C76">
            <v>171880</v>
          </cell>
          <cell r="D76" t="str">
            <v>zhulan47op</v>
          </cell>
          <cell r="E76" t="str">
            <v>Md Rakibul Islam</v>
          </cell>
          <cell r="F76" t="str">
            <v>M</v>
          </cell>
          <cell r="G76" t="str">
            <v>Nazmus Sakib</v>
          </cell>
        </row>
        <row r="77">
          <cell r="C77">
            <v>171916</v>
          </cell>
          <cell r="D77" t="str">
            <v>zhulan21op</v>
          </cell>
          <cell r="E77" t="str">
            <v>Sultana Akther</v>
          </cell>
          <cell r="F77" t="str">
            <v>F</v>
          </cell>
          <cell r="G77" t="str">
            <v>Nazimuddoula Leon</v>
          </cell>
        </row>
        <row r="78">
          <cell r="C78">
            <v>171917</v>
          </cell>
          <cell r="D78" t="str">
            <v>zhulan48op</v>
          </cell>
          <cell r="E78" t="str">
            <v>Jasmin Akter Jui</v>
          </cell>
          <cell r="F78" t="str">
            <v>F</v>
          </cell>
          <cell r="G78" t="str">
            <v>Nazmus Sakib</v>
          </cell>
        </row>
        <row r="79">
          <cell r="C79">
            <v>171919</v>
          </cell>
          <cell r="D79" t="str">
            <v>zhulan49op</v>
          </cell>
          <cell r="E79" t="str">
            <v>Tahmina Akter</v>
          </cell>
          <cell r="F79" t="str">
            <v>M</v>
          </cell>
          <cell r="G79" t="str">
            <v>Nazimuddoula Leon</v>
          </cell>
        </row>
        <row r="80">
          <cell r="C80">
            <v>171923</v>
          </cell>
          <cell r="D80" t="str">
            <v>zhulan50op</v>
          </cell>
          <cell r="E80" t="str">
            <v>Md Mazedul Islam</v>
          </cell>
          <cell r="F80" t="str">
            <v>M</v>
          </cell>
          <cell r="G80" t="str">
            <v>Sabrina Sultana Mou</v>
          </cell>
        </row>
        <row r="81">
          <cell r="C81">
            <v>171113</v>
          </cell>
          <cell r="D81" t="str">
            <v>heibulin15op</v>
          </cell>
          <cell r="E81" t="str">
            <v>Rakibul Alam</v>
          </cell>
          <cell r="F81" t="str">
            <v>M</v>
          </cell>
          <cell r="G81" t="str">
            <v>Mizanur Rahman</v>
          </cell>
        </row>
        <row r="82">
          <cell r="C82">
            <v>171116</v>
          </cell>
          <cell r="D82" t="str">
            <v>heibulin52op</v>
          </cell>
          <cell r="E82" t="str">
            <v>Md. Zahidul Islam</v>
          </cell>
          <cell r="F82" t="str">
            <v>M</v>
          </cell>
          <cell r="G82" t="str">
            <v>Mizanur Rahman</v>
          </cell>
        </row>
        <row r="83">
          <cell r="C83">
            <v>171305</v>
          </cell>
          <cell r="D83" t="str">
            <v>heibulin55op</v>
          </cell>
          <cell r="E83" t="str">
            <v>Pizush Dev Nath</v>
          </cell>
          <cell r="F83" t="str">
            <v>M</v>
          </cell>
          <cell r="G83" t="str">
            <v>Mizanur Rahman</v>
          </cell>
        </row>
        <row r="84">
          <cell r="C84">
            <v>171317</v>
          </cell>
          <cell r="D84" t="str">
            <v>heibulin36op</v>
          </cell>
          <cell r="E84" t="str">
            <v>Mahmuda Akter</v>
          </cell>
          <cell r="F84" t="str">
            <v>F</v>
          </cell>
          <cell r="G84" t="str">
            <v>Mizanur Rahman</v>
          </cell>
        </row>
        <row r="85">
          <cell r="C85">
            <v>171458</v>
          </cell>
          <cell r="D85" t="str">
            <v>heibulin14op</v>
          </cell>
          <cell r="E85" t="str">
            <v>Tasneem Tamanna</v>
          </cell>
          <cell r="F85" t="str">
            <v>F</v>
          </cell>
          <cell r="G85" t="str">
            <v>Mizanur Rahman</v>
          </cell>
        </row>
        <row r="86">
          <cell r="C86">
            <v>171442</v>
          </cell>
          <cell r="D86" t="str">
            <v>heibulin32op</v>
          </cell>
          <cell r="E86" t="str">
            <v>Mahfuj Anam</v>
          </cell>
          <cell r="F86" t="str">
            <v>M</v>
          </cell>
          <cell r="G86" t="str">
            <v>Mizanur Rahman</v>
          </cell>
        </row>
        <row r="87">
          <cell r="C87">
            <v>171507</v>
          </cell>
          <cell r="D87" t="str">
            <v>heibulin28op</v>
          </cell>
          <cell r="E87" t="str">
            <v>Israt Jahan</v>
          </cell>
          <cell r="F87" t="str">
            <v>F</v>
          </cell>
          <cell r="G87" t="str">
            <v>Mizanur Rahman</v>
          </cell>
        </row>
        <row r="88">
          <cell r="C88">
            <v>171626</v>
          </cell>
          <cell r="D88" t="str">
            <v>heibulin29op</v>
          </cell>
          <cell r="E88" t="str">
            <v>Amatul Zinat</v>
          </cell>
          <cell r="F88" t="str">
            <v>F</v>
          </cell>
          <cell r="G88" t="str">
            <v>Mizanur Rahman</v>
          </cell>
        </row>
        <row r="89">
          <cell r="C89">
            <v>171491</v>
          </cell>
          <cell r="D89" t="str">
            <v>heibulin35op</v>
          </cell>
          <cell r="E89" t="str">
            <v>Farhat Lamisa Shorgo</v>
          </cell>
          <cell r="F89" t="str">
            <v>F</v>
          </cell>
          <cell r="G89" t="str">
            <v>Mizanur Rahman</v>
          </cell>
        </row>
        <row r="90">
          <cell r="C90">
            <v>171806</v>
          </cell>
          <cell r="D90" t="str">
            <v>heibulin38op</v>
          </cell>
          <cell r="E90" t="str">
            <v>Shila Akter</v>
          </cell>
          <cell r="F90" t="str">
            <v>F</v>
          </cell>
          <cell r="G90" t="str">
            <v>Mizanur Rahman</v>
          </cell>
        </row>
        <row r="91">
          <cell r="C91">
            <v>171816</v>
          </cell>
          <cell r="D91" t="str">
            <v>heibulin31op</v>
          </cell>
          <cell r="E91" t="str">
            <v>Tarin Khanam</v>
          </cell>
          <cell r="F91" t="str">
            <v>F</v>
          </cell>
          <cell r="G91" t="str">
            <v>Mizanur Rahman</v>
          </cell>
        </row>
        <row r="92">
          <cell r="C92">
            <v>171817</v>
          </cell>
          <cell r="D92" t="str">
            <v>heibulin30op</v>
          </cell>
          <cell r="E92" t="str">
            <v>Md Lokman Hossain Likhon</v>
          </cell>
          <cell r="F92" t="str">
            <v>M</v>
          </cell>
          <cell r="G92" t="str">
            <v>Mizanur Rahman</v>
          </cell>
        </row>
        <row r="93">
          <cell r="C93">
            <v>171829</v>
          </cell>
          <cell r="D93" t="str">
            <v>heibulin48op</v>
          </cell>
          <cell r="E93" t="str">
            <v>Md Aminul Islam</v>
          </cell>
          <cell r="F93" t="str">
            <v>M</v>
          </cell>
          <cell r="G93" t="str">
            <v>Mizanur Rahman</v>
          </cell>
        </row>
        <row r="94">
          <cell r="C94">
            <v>171886</v>
          </cell>
          <cell r="D94" t="str">
            <v>heibulin82op</v>
          </cell>
          <cell r="E94" t="str">
            <v>Fatematuj Sayma</v>
          </cell>
          <cell r="F94" t="str">
            <v>F</v>
          </cell>
          <cell r="G94" t="str">
            <v>Mizanur Rahman</v>
          </cell>
        </row>
        <row r="95">
          <cell r="C95">
            <v>171956</v>
          </cell>
          <cell r="D95" t="str">
            <v>heibulin96op</v>
          </cell>
          <cell r="E95" t="str">
            <v>Anika Akter</v>
          </cell>
          <cell r="F95" t="str">
            <v>F</v>
          </cell>
          <cell r="G95" t="str">
            <v>Mizanur Rahman</v>
          </cell>
        </row>
        <row r="96">
          <cell r="C96">
            <v>171191</v>
          </cell>
          <cell r="D96" t="str">
            <v>heibulin59op</v>
          </cell>
          <cell r="E96" t="str">
            <v>Shahanaz Akter Brishty</v>
          </cell>
          <cell r="F96" t="str">
            <v>F</v>
          </cell>
          <cell r="G96" t="str">
            <v>Halima akter</v>
          </cell>
        </row>
        <row r="97">
          <cell r="C97">
            <v>171088</v>
          </cell>
          <cell r="D97" t="str">
            <v>heibulin50op</v>
          </cell>
          <cell r="E97" t="str">
            <v>Md. Ataur Rahman</v>
          </cell>
          <cell r="F97" t="str">
            <v>M</v>
          </cell>
          <cell r="G97" t="str">
            <v>Halima akter</v>
          </cell>
        </row>
        <row r="98">
          <cell r="C98">
            <v>171181</v>
          </cell>
          <cell r="D98" t="str">
            <v>heibulin51op</v>
          </cell>
          <cell r="E98" t="str">
            <v>Tithi Rani Kundu</v>
          </cell>
          <cell r="F98" t="str">
            <v>F</v>
          </cell>
          <cell r="G98" t="str">
            <v>Halima akter</v>
          </cell>
        </row>
        <row r="99">
          <cell r="C99">
            <v>171461</v>
          </cell>
          <cell r="D99" t="str">
            <v>heibulin53op</v>
          </cell>
          <cell r="E99" t="str">
            <v>Sumaya Akhter</v>
          </cell>
          <cell r="F99" t="str">
            <v>F</v>
          </cell>
          <cell r="G99" t="str">
            <v>Halima akter</v>
          </cell>
        </row>
        <row r="100">
          <cell r="C100">
            <v>171476</v>
          </cell>
          <cell r="D100" t="str">
            <v>heibulin54op</v>
          </cell>
          <cell r="E100" t="str">
            <v>Ritu Rani Saha</v>
          </cell>
          <cell r="F100" t="str">
            <v>F</v>
          </cell>
          <cell r="G100" t="str">
            <v>Halima akter</v>
          </cell>
        </row>
        <row r="101">
          <cell r="C101">
            <v>171622</v>
          </cell>
          <cell r="D101" t="str">
            <v>heibulin24op</v>
          </cell>
          <cell r="E101" t="str">
            <v>Tumpa Rani Paul</v>
          </cell>
          <cell r="F101" t="str">
            <v>F</v>
          </cell>
          <cell r="G101" t="str">
            <v>Halima akter</v>
          </cell>
        </row>
        <row r="102">
          <cell r="C102">
            <v>171025</v>
          </cell>
          <cell r="D102" t="str">
            <v>heibulin3op</v>
          </cell>
          <cell r="E102" t="str">
            <v>Md. Mostafijur Rahman</v>
          </cell>
          <cell r="F102" t="str">
            <v>M</v>
          </cell>
          <cell r="G102" t="str">
            <v>Halima akter</v>
          </cell>
        </row>
        <row r="103">
          <cell r="C103">
            <v>171390</v>
          </cell>
          <cell r="D103" t="str">
            <v>heibulin4op</v>
          </cell>
          <cell r="E103" t="str">
            <v>Naznin Siddique</v>
          </cell>
          <cell r="F103" t="str">
            <v>F</v>
          </cell>
          <cell r="G103" t="str">
            <v>Mizanur Rahman</v>
          </cell>
        </row>
        <row r="104">
          <cell r="C104">
            <v>171410</v>
          </cell>
          <cell r="D104" t="str">
            <v>heibulin1op</v>
          </cell>
          <cell r="E104" t="str">
            <v>MST Asma Ul Rahman Rafe</v>
          </cell>
          <cell r="F104" t="str">
            <v>F</v>
          </cell>
          <cell r="G104" t="str">
            <v>Mizanur Rahman</v>
          </cell>
        </row>
        <row r="105">
          <cell r="C105">
            <v>171411</v>
          </cell>
          <cell r="D105" t="str">
            <v>heibulin21op</v>
          </cell>
          <cell r="E105" t="str">
            <v>Swparna Nag</v>
          </cell>
          <cell r="F105" t="str">
            <v>F</v>
          </cell>
          <cell r="G105" t="str">
            <v>Abdulla Al Mamun</v>
          </cell>
        </row>
        <row r="106">
          <cell r="C106">
            <v>171546</v>
          </cell>
          <cell r="D106" t="str">
            <v>heibulin40op</v>
          </cell>
          <cell r="E106" t="str">
            <v>Sharmin Akter Liza</v>
          </cell>
          <cell r="F106" t="str">
            <v>F</v>
          </cell>
          <cell r="G106" t="str">
            <v>Abdulla Al Mamun</v>
          </cell>
        </row>
        <row r="107">
          <cell r="C107">
            <v>171460</v>
          </cell>
          <cell r="D107" t="str">
            <v>heibulin41op</v>
          </cell>
          <cell r="E107" t="str">
            <v>Tanvir Ahmed Chowdhury</v>
          </cell>
          <cell r="F107" t="str">
            <v>M</v>
          </cell>
          <cell r="G107" t="str">
            <v>Abdulla Al Mamun</v>
          </cell>
        </row>
        <row r="108">
          <cell r="C108">
            <v>171441</v>
          </cell>
          <cell r="D108" t="str">
            <v>heibulin47op</v>
          </cell>
          <cell r="E108" t="str">
            <v>Rahad Md Sabbir</v>
          </cell>
          <cell r="F108" t="str">
            <v>M</v>
          </cell>
          <cell r="G108" t="str">
            <v>Abdulla Al Mamun</v>
          </cell>
        </row>
        <row r="109">
          <cell r="C109">
            <v>171837</v>
          </cell>
          <cell r="D109" t="str">
            <v>heibulin42op</v>
          </cell>
          <cell r="E109" t="str">
            <v>Sanjida Asha</v>
          </cell>
          <cell r="F109" t="str">
            <v>F</v>
          </cell>
          <cell r="G109" t="str">
            <v>Abdulla Al Mamun</v>
          </cell>
        </row>
        <row r="110">
          <cell r="C110">
            <v>171472</v>
          </cell>
          <cell r="D110" t="str">
            <v>heibulin33op</v>
          </cell>
          <cell r="E110" t="str">
            <v>Md. Parvez Mia</v>
          </cell>
          <cell r="F110" t="str">
            <v>M</v>
          </cell>
          <cell r="G110" t="str">
            <v>Abdulla Al Mamun</v>
          </cell>
        </row>
        <row r="111">
          <cell r="C111">
            <v>171486</v>
          </cell>
          <cell r="D111" t="str">
            <v>heibulin6op</v>
          </cell>
          <cell r="E111" t="str">
            <v>Shika Akter</v>
          </cell>
          <cell r="F111" t="str">
            <v>F</v>
          </cell>
          <cell r="G111" t="str">
            <v>Abdulla Al Mamun</v>
          </cell>
        </row>
        <row r="112">
          <cell r="C112">
            <v>171487</v>
          </cell>
          <cell r="D112" t="str">
            <v>heibulin16op</v>
          </cell>
          <cell r="E112" t="str">
            <v>Md Imran Akanda</v>
          </cell>
          <cell r="F112" t="str">
            <v>M</v>
          </cell>
          <cell r="G112" t="str">
            <v>Abdulla Al Mamun</v>
          </cell>
        </row>
        <row r="113">
          <cell r="C113">
            <v>171496</v>
          </cell>
          <cell r="D113" t="str">
            <v>heibulin25op</v>
          </cell>
          <cell r="E113" t="str">
            <v>Md Rayhan Islam</v>
          </cell>
          <cell r="F113" t="str">
            <v>M</v>
          </cell>
          <cell r="G113" t="str">
            <v>Abdulla Al Mamun</v>
          </cell>
        </row>
        <row r="114">
          <cell r="C114">
            <v>171840</v>
          </cell>
          <cell r="D114" t="str">
            <v>heibulin26op</v>
          </cell>
          <cell r="E114" t="str">
            <v>Farjana Khan Mim</v>
          </cell>
          <cell r="F114" t="str">
            <v>F</v>
          </cell>
          <cell r="G114" t="str">
            <v>Abdulla Al Mamun</v>
          </cell>
        </row>
        <row r="115">
          <cell r="C115">
            <v>171495</v>
          </cell>
          <cell r="D115" t="str">
            <v>heibulin9op</v>
          </cell>
          <cell r="E115" t="str">
            <v>Tonni Khatun</v>
          </cell>
          <cell r="F115" t="str">
            <v>F</v>
          </cell>
          <cell r="G115" t="str">
            <v>Abdulla Al Mamun</v>
          </cell>
        </row>
        <row r="116">
          <cell r="C116">
            <v>171502</v>
          </cell>
          <cell r="D116" t="str">
            <v>heibulin56op</v>
          </cell>
          <cell r="E116" t="str">
            <v>Mst Marufa Akter</v>
          </cell>
          <cell r="F116" t="str">
            <v>F</v>
          </cell>
          <cell r="G116" t="str">
            <v>Abdulla Al Mamun</v>
          </cell>
        </row>
        <row r="117">
          <cell r="C117">
            <v>171845</v>
          </cell>
          <cell r="D117" t="str">
            <v>heibulin68op</v>
          </cell>
          <cell r="E117" t="str">
            <v>Sajeda Khatun</v>
          </cell>
          <cell r="F117" t="str">
            <v>F</v>
          </cell>
          <cell r="G117" t="str">
            <v>Abdulla Al Mamun</v>
          </cell>
        </row>
        <row r="118">
          <cell r="C118">
            <v>171757</v>
          </cell>
          <cell r="D118" t="str">
            <v>heibulin60op</v>
          </cell>
          <cell r="E118" t="str">
            <v>Md Nazmul Ahmed Sakib</v>
          </cell>
          <cell r="F118" t="str">
            <v>M</v>
          </cell>
          <cell r="G118" t="str">
            <v>Abdulla Al Mamun</v>
          </cell>
        </row>
        <row r="119">
          <cell r="C119">
            <v>171854</v>
          </cell>
          <cell r="D119" t="str">
            <v>heibulin61op</v>
          </cell>
          <cell r="E119" t="str">
            <v>Tamanna Tabassum</v>
          </cell>
          <cell r="F119" t="str">
            <v>F</v>
          </cell>
          <cell r="G119" t="str">
            <v>Mizanur Rahman</v>
          </cell>
        </row>
        <row r="120">
          <cell r="C120">
            <v>171768</v>
          </cell>
          <cell r="D120" t="str">
            <v>heibulin62op</v>
          </cell>
          <cell r="E120" t="str">
            <v>Tanzina Akther Tithe</v>
          </cell>
          <cell r="F120" t="str">
            <v>F</v>
          </cell>
          <cell r="G120" t="str">
            <v>Mizanur Rahman</v>
          </cell>
        </row>
        <row r="121">
          <cell r="C121">
            <v>171769</v>
          </cell>
          <cell r="D121" t="str">
            <v>heibulin63op</v>
          </cell>
          <cell r="E121" t="str">
            <v>Mohammad Abu taher</v>
          </cell>
          <cell r="F121" t="str">
            <v>M</v>
          </cell>
          <cell r="G121" t="str">
            <v>Halima akter</v>
          </cell>
        </row>
        <row r="122">
          <cell r="C122">
            <v>171771</v>
          </cell>
          <cell r="D122" t="str">
            <v>heibulin64op</v>
          </cell>
          <cell r="E122" t="str">
            <v>Sorna Akter</v>
          </cell>
          <cell r="F122" t="str">
            <v>F</v>
          </cell>
          <cell r="G122" t="str">
            <v>Halima akter</v>
          </cell>
        </row>
        <row r="123">
          <cell r="C123">
            <v>171776</v>
          </cell>
          <cell r="D123" t="str">
            <v>heibulin65op</v>
          </cell>
          <cell r="E123" t="str">
            <v>Md. Hasan</v>
          </cell>
          <cell r="F123" t="str">
            <v>M</v>
          </cell>
          <cell r="G123" t="str">
            <v>Halima akter</v>
          </cell>
        </row>
        <row r="124">
          <cell r="C124">
            <v>171778</v>
          </cell>
          <cell r="D124" t="str">
            <v>heibulin67op</v>
          </cell>
          <cell r="E124" t="str">
            <v>Taj Noor Faheem</v>
          </cell>
          <cell r="F124" t="str">
            <v>M</v>
          </cell>
          <cell r="G124" t="str">
            <v>Halima akter</v>
          </cell>
        </row>
        <row r="125">
          <cell r="C125">
            <v>171781</v>
          </cell>
          <cell r="D125" t="str">
            <v>heibulin71op</v>
          </cell>
          <cell r="E125" t="str">
            <v>Tasphia Reza</v>
          </cell>
          <cell r="F125" t="str">
            <v>F</v>
          </cell>
          <cell r="G125" t="str">
            <v>Abdulla Al Mamun</v>
          </cell>
        </row>
        <row r="126">
          <cell r="C126">
            <v>171785</v>
          </cell>
          <cell r="D126" t="str">
            <v>heibulin72op</v>
          </cell>
          <cell r="E126" t="str">
            <v>Tanvir Hossain</v>
          </cell>
          <cell r="F126" t="str">
            <v>M</v>
          </cell>
          <cell r="G126" t="str">
            <v>Abdulla Al Mamun</v>
          </cell>
        </row>
        <row r="127">
          <cell r="C127">
            <v>171786</v>
          </cell>
          <cell r="D127" t="str">
            <v>heibulin73op</v>
          </cell>
          <cell r="E127" t="str">
            <v>Md Riaz Uddin</v>
          </cell>
          <cell r="F127" t="str">
            <v>M</v>
          </cell>
          <cell r="G127" t="str">
            <v>Abdulla Al Mamun</v>
          </cell>
        </row>
        <row r="128">
          <cell r="C128">
            <v>171791</v>
          </cell>
          <cell r="D128" t="str">
            <v>heibulin77op</v>
          </cell>
          <cell r="E128" t="str">
            <v>Md Sorif Hosen</v>
          </cell>
          <cell r="F128" t="str">
            <v>M</v>
          </cell>
          <cell r="G128" t="str">
            <v>Abdulla Al Mamun</v>
          </cell>
        </row>
        <row r="129">
          <cell r="C129">
            <v>171958</v>
          </cell>
          <cell r="D129" t="str">
            <v>heibulin97op</v>
          </cell>
          <cell r="E129" t="str">
            <v>Md Mominul Islam</v>
          </cell>
          <cell r="F129" t="str">
            <v>M</v>
          </cell>
          <cell r="G129" t="str">
            <v>Halima akter</v>
          </cell>
        </row>
        <row r="130">
          <cell r="C130">
            <v>171796</v>
          </cell>
          <cell r="D130" t="str">
            <v>heibulin80op</v>
          </cell>
          <cell r="E130" t="str">
            <v>Shahriar Ahmed</v>
          </cell>
          <cell r="F130" t="str">
            <v>M</v>
          </cell>
          <cell r="G130" t="str">
            <v>Halima akter</v>
          </cell>
        </row>
        <row r="131">
          <cell r="C131">
            <v>171797</v>
          </cell>
          <cell r="D131" t="str">
            <v>heibulin10op</v>
          </cell>
          <cell r="E131" t="str">
            <v>Md Rokinur Zaman Roki</v>
          </cell>
          <cell r="F131" t="str">
            <v>M</v>
          </cell>
          <cell r="G131" t="str">
            <v>Halima akter</v>
          </cell>
        </row>
        <row r="132">
          <cell r="C132">
            <v>171799</v>
          </cell>
          <cell r="D132" t="str">
            <v>heibulin12op</v>
          </cell>
          <cell r="E132" t="str">
            <v>Md Shafil Ahsan</v>
          </cell>
          <cell r="F132" t="str">
            <v>M</v>
          </cell>
          <cell r="G132" t="str">
            <v>Halima akter</v>
          </cell>
        </row>
        <row r="133">
          <cell r="C133">
            <v>171801</v>
          </cell>
          <cell r="D133" t="str">
            <v>heibulin13op</v>
          </cell>
          <cell r="E133" t="str">
            <v>Md Gaosul Azam</v>
          </cell>
          <cell r="F133" t="str">
            <v>M</v>
          </cell>
          <cell r="G133" t="str">
            <v>Halima akter</v>
          </cell>
        </row>
        <row r="134">
          <cell r="C134">
            <v>171869</v>
          </cell>
          <cell r="D134" t="str">
            <v>heibulin70op</v>
          </cell>
          <cell r="E134" t="str">
            <v>Mst Acia khatun</v>
          </cell>
          <cell r="F134" t="str">
            <v>F</v>
          </cell>
          <cell r="G134" t="str">
            <v>Halima akter</v>
          </cell>
        </row>
        <row r="135">
          <cell r="C135">
            <v>171813</v>
          </cell>
          <cell r="D135" t="str">
            <v>heibulin8op</v>
          </cell>
          <cell r="E135" t="str">
            <v>Md Parves Dewan</v>
          </cell>
          <cell r="F135" t="str">
            <v>M</v>
          </cell>
          <cell r="G135" t="str">
            <v>Halima akter</v>
          </cell>
        </row>
        <row r="136">
          <cell r="C136">
            <v>171338</v>
          </cell>
          <cell r="D136" t="str">
            <v>heibulin79op</v>
          </cell>
          <cell r="E136" t="str">
            <v>Md. Mahfujur Rahman Tamim</v>
          </cell>
          <cell r="F136" t="str">
            <v>M</v>
          </cell>
          <cell r="G136" t="str">
            <v>Halima akter</v>
          </cell>
        </row>
        <row r="137">
          <cell r="C137">
            <v>171036</v>
          </cell>
          <cell r="D137" t="str">
            <v>heibulin69op</v>
          </cell>
          <cell r="E137" t="str">
            <v>Md. Rakibul Hasan</v>
          </cell>
          <cell r="F137" t="str">
            <v>M</v>
          </cell>
          <cell r="G137" t="str">
            <v>Mizanur Rahman</v>
          </cell>
        </row>
        <row r="138">
          <cell r="C138">
            <v>171189</v>
          </cell>
          <cell r="D138" t="str">
            <v>heibulin66op</v>
          </cell>
          <cell r="E138" t="str">
            <v>Sharmin Jahan</v>
          </cell>
          <cell r="F138" t="str">
            <v>F</v>
          </cell>
          <cell r="G138" t="str">
            <v>Mizanur Rahman</v>
          </cell>
        </row>
        <row r="139">
          <cell r="C139">
            <v>171195</v>
          </cell>
          <cell r="D139" t="str">
            <v>heibulin58op</v>
          </cell>
          <cell r="E139" t="str">
            <v>Flora Tanbin</v>
          </cell>
          <cell r="F139" t="str">
            <v>F</v>
          </cell>
          <cell r="G139" t="str">
            <v>Mizanur Rahman</v>
          </cell>
        </row>
        <row r="140">
          <cell r="C140">
            <v>171278</v>
          </cell>
          <cell r="D140" t="str">
            <v>heibulin49op</v>
          </cell>
          <cell r="E140" t="str">
            <v>Sungida Alam</v>
          </cell>
          <cell r="F140" t="str">
            <v>F</v>
          </cell>
          <cell r="G140" t="str">
            <v>Mizanur Rahman</v>
          </cell>
        </row>
        <row r="141">
          <cell r="C141">
            <v>171286</v>
          </cell>
          <cell r="D141" t="str">
            <v>heibulin46op</v>
          </cell>
          <cell r="E141" t="str">
            <v>Afroza Khan</v>
          </cell>
          <cell r="F141" t="str">
            <v>F</v>
          </cell>
          <cell r="G141" t="str">
            <v>Mizanur Rahman</v>
          </cell>
        </row>
        <row r="142">
          <cell r="C142">
            <v>171308</v>
          </cell>
          <cell r="D142" t="str">
            <v>heibulin43op</v>
          </cell>
          <cell r="E142" t="str">
            <v>Yeanta Akter</v>
          </cell>
          <cell r="F142" t="str">
            <v>F</v>
          </cell>
          <cell r="G142" t="str">
            <v>Abdulla Al Mamun</v>
          </cell>
        </row>
        <row r="143">
          <cell r="C143">
            <v>171356</v>
          </cell>
          <cell r="D143" t="str">
            <v>heibulin44op</v>
          </cell>
          <cell r="E143" t="str">
            <v>Motasim Billah</v>
          </cell>
          <cell r="F143" t="str">
            <v>M</v>
          </cell>
          <cell r="G143" t="str">
            <v>Abdulla Al Mamun</v>
          </cell>
        </row>
        <row r="144">
          <cell r="C144">
            <v>171409</v>
          </cell>
          <cell r="D144" t="str">
            <v>heibulin34op</v>
          </cell>
          <cell r="E144" t="str">
            <v>Tamalika Roy</v>
          </cell>
          <cell r="F144" t="str">
            <v>F</v>
          </cell>
          <cell r="G144" t="str">
            <v>Abdulla Al Mamun</v>
          </cell>
        </row>
        <row r="145">
          <cell r="C145">
            <v>171412</v>
          </cell>
          <cell r="D145" t="str">
            <v>heibulin37op</v>
          </cell>
          <cell r="E145" t="str">
            <v>Benojir Shakila Pia</v>
          </cell>
          <cell r="F145" t="str">
            <v>F</v>
          </cell>
          <cell r="G145" t="str">
            <v>Abdulla Al Mamun</v>
          </cell>
        </row>
        <row r="146">
          <cell r="C146">
            <v>171474</v>
          </cell>
          <cell r="D146" t="str">
            <v>heibulin39op</v>
          </cell>
          <cell r="E146" t="str">
            <v>Md Ikbal Hossain Mojumder</v>
          </cell>
          <cell r="F146" t="str">
            <v>M</v>
          </cell>
          <cell r="G146" t="str">
            <v>Halima akter</v>
          </cell>
        </row>
        <row r="147">
          <cell r="C147">
            <v>171484</v>
          </cell>
          <cell r="D147" t="str">
            <v>heibulin27op</v>
          </cell>
          <cell r="E147" t="str">
            <v>MD Sajib Hossain</v>
          </cell>
          <cell r="F147" t="str">
            <v>M</v>
          </cell>
          <cell r="G147" t="str">
            <v>Halima akter</v>
          </cell>
        </row>
        <row r="148">
          <cell r="C148">
            <v>171457</v>
          </cell>
          <cell r="D148" t="str">
            <v>heibulin22op</v>
          </cell>
          <cell r="E148" t="str">
            <v>Most. Sheuti Akter</v>
          </cell>
          <cell r="F148" t="str">
            <v>F</v>
          </cell>
          <cell r="G148" t="str">
            <v>Halima akter</v>
          </cell>
        </row>
        <row r="149">
          <cell r="C149">
            <v>171450</v>
          </cell>
          <cell r="D149" t="str">
            <v>heibulin23op</v>
          </cell>
          <cell r="E149" t="str">
            <v>Rasel Tripura</v>
          </cell>
          <cell r="F149" t="str">
            <v>M</v>
          </cell>
          <cell r="G149" t="str">
            <v>Halima akter</v>
          </cell>
        </row>
        <row r="150">
          <cell r="C150">
            <v>171506</v>
          </cell>
          <cell r="D150" t="str">
            <v>heibulin20op</v>
          </cell>
          <cell r="E150" t="str">
            <v>Tasluba Ibrahim</v>
          </cell>
          <cell r="F150" t="str">
            <v>F</v>
          </cell>
          <cell r="G150" t="str">
            <v>Abdulla Al Mamun</v>
          </cell>
        </row>
        <row r="151">
          <cell r="C151">
            <v>171871</v>
          </cell>
          <cell r="D151" t="str">
            <v>heibulin11op</v>
          </cell>
          <cell r="E151" t="str">
            <v>Supria Saha</v>
          </cell>
          <cell r="F151" t="str">
            <v>M</v>
          </cell>
          <cell r="G151" t="str">
            <v>Abdulla Al Mamun</v>
          </cell>
        </row>
        <row r="152">
          <cell r="C152">
            <v>171872</v>
          </cell>
          <cell r="D152" t="str">
            <v>heibulin19op</v>
          </cell>
          <cell r="E152" t="str">
            <v>Eshamani Halder</v>
          </cell>
          <cell r="F152" t="str">
            <v>M</v>
          </cell>
          <cell r="G152" t="str">
            <v>Abdulla Al Mamun</v>
          </cell>
        </row>
        <row r="153">
          <cell r="C153">
            <v>171874</v>
          </cell>
          <cell r="D153" t="str">
            <v>heibulin7op</v>
          </cell>
          <cell r="E153" t="str">
            <v>Anamika Chowdhury Jugno</v>
          </cell>
          <cell r="F153" t="str">
            <v>F</v>
          </cell>
          <cell r="G153" t="str">
            <v>Abdulla Al Mamun</v>
          </cell>
        </row>
        <row r="154">
          <cell r="C154">
            <v>171875</v>
          </cell>
          <cell r="D154" t="str">
            <v>heibulin18op</v>
          </cell>
          <cell r="E154" t="str">
            <v>Moumita Jahan</v>
          </cell>
          <cell r="F154" t="str">
            <v>F</v>
          </cell>
          <cell r="G154" t="str">
            <v>Mizanur Rahman</v>
          </cell>
        </row>
        <row r="155">
          <cell r="C155">
            <v>171876</v>
          </cell>
          <cell r="D155" t="str">
            <v>heibulin76op</v>
          </cell>
          <cell r="E155" t="str">
            <v>Juti Afrose</v>
          </cell>
          <cell r="F155" t="str">
            <v>F</v>
          </cell>
          <cell r="G155" t="str">
            <v>Mizanur Rahman</v>
          </cell>
        </row>
        <row r="156">
          <cell r="C156">
            <v>171881</v>
          </cell>
          <cell r="D156" t="str">
            <v>heibulin81op</v>
          </cell>
          <cell r="E156" t="str">
            <v>Sazzadul Islam</v>
          </cell>
          <cell r="F156" t="str">
            <v>M</v>
          </cell>
          <cell r="G156" t="str">
            <v>Mizanur Rahman</v>
          </cell>
        </row>
        <row r="157">
          <cell r="C157">
            <v>171883</v>
          </cell>
          <cell r="D157" t="str">
            <v>heibulin83op</v>
          </cell>
          <cell r="E157" t="str">
            <v>Md Sabbir Khan</v>
          </cell>
          <cell r="F157" t="str">
            <v>M</v>
          </cell>
          <cell r="G157" t="str">
            <v>Halima akter</v>
          </cell>
        </row>
        <row r="158">
          <cell r="C158">
            <v>171887</v>
          </cell>
          <cell r="D158" t="str">
            <v>heibulin84op</v>
          </cell>
          <cell r="E158" t="str">
            <v>Bristy Chakraborty</v>
          </cell>
          <cell r="F158" t="str">
            <v>F</v>
          </cell>
          <cell r="G158" t="str">
            <v>Halima akter</v>
          </cell>
        </row>
        <row r="159">
          <cell r="C159">
            <v>171193</v>
          </cell>
          <cell r="D159" t="str">
            <v>heibulin5op</v>
          </cell>
          <cell r="E159" t="str">
            <v>Sanjida Akter</v>
          </cell>
          <cell r="F159" t="str">
            <v>F</v>
          </cell>
          <cell r="G159" t="str">
            <v>Halima akter</v>
          </cell>
        </row>
        <row r="160">
          <cell r="C160">
            <v>171343</v>
          </cell>
          <cell r="D160" t="str">
            <v>heibulin17op</v>
          </cell>
          <cell r="E160" t="str">
            <v>Emdadul Islam</v>
          </cell>
          <cell r="F160" t="str">
            <v>M</v>
          </cell>
          <cell r="G160" t="str">
            <v>Halima akter</v>
          </cell>
        </row>
        <row r="161">
          <cell r="C161">
            <v>171046</v>
          </cell>
          <cell r="D161" t="str">
            <v>heibulin74op</v>
          </cell>
          <cell r="E161" t="str">
            <v>Abu Huraira</v>
          </cell>
          <cell r="F161" t="str">
            <v>M</v>
          </cell>
          <cell r="G161" t="str">
            <v>Halima akter</v>
          </cell>
        </row>
        <row r="162">
          <cell r="C162">
            <v>171913</v>
          </cell>
          <cell r="D162" t="str">
            <v>heibulin2op</v>
          </cell>
          <cell r="E162" t="str">
            <v>Md Omit Hasan</v>
          </cell>
          <cell r="F162" t="str">
            <v>M</v>
          </cell>
          <cell r="G162" t="str">
            <v>Halima Akter</v>
          </cell>
        </row>
        <row r="163">
          <cell r="C163">
            <v>171914</v>
          </cell>
          <cell r="D163" t="str">
            <v>heibulin85op</v>
          </cell>
          <cell r="E163" t="str">
            <v>Bithi Bhowmick</v>
          </cell>
          <cell r="F163" t="str">
            <v>F</v>
          </cell>
          <cell r="G163" t="str">
            <v>Mizanur Rahman</v>
          </cell>
        </row>
        <row r="164">
          <cell r="C164">
            <v>171915</v>
          </cell>
          <cell r="D164" t="str">
            <v>heibulin88op</v>
          </cell>
          <cell r="E164" t="str">
            <v>Sifat Rashid Siam</v>
          </cell>
          <cell r="F164" t="str">
            <v>M</v>
          </cell>
          <cell r="G164" t="str">
            <v>Abdulla Al Mamun</v>
          </cell>
        </row>
        <row r="165">
          <cell r="C165">
            <v>171918</v>
          </cell>
          <cell r="D165" t="str">
            <v>heibulin86op</v>
          </cell>
          <cell r="E165" t="str">
            <v>Nadia Zannat Nishi</v>
          </cell>
          <cell r="F165" t="str">
            <v>F</v>
          </cell>
          <cell r="G165" t="str">
            <v>Mizanur Rahman</v>
          </cell>
        </row>
        <row r="166">
          <cell r="C166">
            <v>171920</v>
          </cell>
          <cell r="D166" t="str">
            <v>heibulin87op</v>
          </cell>
          <cell r="E166" t="str">
            <v>Morium Akter Rojy</v>
          </cell>
          <cell r="F166" t="str">
            <v>F</v>
          </cell>
          <cell r="G166" t="str">
            <v>Mizanur Rahman</v>
          </cell>
        </row>
        <row r="167">
          <cell r="C167">
            <v>171921</v>
          </cell>
          <cell r="D167" t="str">
            <v>heibulin89op</v>
          </cell>
          <cell r="E167" t="str">
            <v>Tithy Rani Das</v>
          </cell>
          <cell r="F167" t="str">
            <v>F</v>
          </cell>
          <cell r="G167" t="str">
            <v>Abdulla Al Mamun</v>
          </cell>
        </row>
        <row r="168">
          <cell r="C168">
            <v>171922</v>
          </cell>
          <cell r="D168" t="str">
            <v>heibulin90op</v>
          </cell>
          <cell r="E168" t="str">
            <v>Halima Akter</v>
          </cell>
          <cell r="F168" t="str">
            <v>F</v>
          </cell>
          <cell r="G168" t="str">
            <v>Halima Akter</v>
          </cell>
        </row>
        <row r="169">
          <cell r="C169">
            <v>171924</v>
          </cell>
          <cell r="D169" t="str">
            <v>heibulin91op</v>
          </cell>
          <cell r="E169" t="str">
            <v>Riyajul Islam</v>
          </cell>
          <cell r="F169" t="str">
            <v>M</v>
          </cell>
          <cell r="G169" t="str">
            <v>Abdulla Al Mamun</v>
          </cell>
        </row>
        <row r="170">
          <cell r="C170">
            <v>171943</v>
          </cell>
          <cell r="D170" t="str">
            <v>heibulin78op</v>
          </cell>
          <cell r="E170" t="str">
            <v>Redwan Mujib Rithon</v>
          </cell>
          <cell r="F170" t="str">
            <v>M</v>
          </cell>
          <cell r="G170" t="str">
            <v>Halima akter</v>
          </cell>
        </row>
        <row r="171">
          <cell r="C171">
            <v>171944</v>
          </cell>
          <cell r="D171" t="str">
            <v>heibulin92op</v>
          </cell>
          <cell r="E171" t="str">
            <v>Sadia Akter</v>
          </cell>
          <cell r="F171" t="str">
            <v>F</v>
          </cell>
          <cell r="G171" t="str">
            <v>Abdulla Al Mamun</v>
          </cell>
        </row>
        <row r="172">
          <cell r="C172">
            <v>171945</v>
          </cell>
          <cell r="D172" t="str">
            <v>heibulin93op</v>
          </cell>
          <cell r="E172" t="str">
            <v>Ruma Akter</v>
          </cell>
          <cell r="F172" t="str">
            <v>F</v>
          </cell>
          <cell r="G172" t="str">
            <v>Abdulla Al Mamun</v>
          </cell>
        </row>
        <row r="173">
          <cell r="C173">
            <v>171946</v>
          </cell>
          <cell r="D173" t="str">
            <v>heibulin94op</v>
          </cell>
          <cell r="E173" t="str">
            <v>Shohani Linda</v>
          </cell>
          <cell r="F173" t="str">
            <v>F</v>
          </cell>
          <cell r="G173" t="str">
            <v>Abdulla Al Mamun</v>
          </cell>
        </row>
        <row r="174">
          <cell r="C174">
            <v>171952</v>
          </cell>
          <cell r="D174" t="str">
            <v>heibulin95op</v>
          </cell>
          <cell r="E174" t="str">
            <v>Fatema Tuz Zahura</v>
          </cell>
          <cell r="F174" t="str">
            <v>F</v>
          </cell>
          <cell r="G174" t="str">
            <v>Halima akter</v>
          </cell>
        </row>
        <row r="175">
          <cell r="C175">
            <v>171563</v>
          </cell>
          <cell r="D175" t="str">
            <v>beilei201op</v>
          </cell>
          <cell r="E175" t="str">
            <v>Asma Akter</v>
          </cell>
          <cell r="F175" t="str">
            <v>F</v>
          </cell>
          <cell r="G175" t="str">
            <v>Aminul Islam Sovo</v>
          </cell>
        </row>
        <row r="176">
          <cell r="C176">
            <v>171567</v>
          </cell>
          <cell r="D176" t="str">
            <v>beilei202op</v>
          </cell>
          <cell r="E176" t="str">
            <v>Jannatul Arisha</v>
          </cell>
          <cell r="F176" t="str">
            <v>F</v>
          </cell>
          <cell r="G176" t="str">
            <v>Aminul Islam Sovo</v>
          </cell>
        </row>
        <row r="177">
          <cell r="C177">
            <v>171557</v>
          </cell>
          <cell r="D177" t="str">
            <v>beilei203op</v>
          </cell>
          <cell r="E177" t="str">
            <v>Nadia Akter</v>
          </cell>
          <cell r="F177" t="str">
            <v>F</v>
          </cell>
          <cell r="G177" t="str">
            <v>Aminul Islam Sovo</v>
          </cell>
        </row>
        <row r="178">
          <cell r="C178">
            <v>171560</v>
          </cell>
          <cell r="D178" t="str">
            <v>beilei204op</v>
          </cell>
          <cell r="E178" t="str">
            <v>Zannatul Rifat Meem</v>
          </cell>
          <cell r="F178" t="str">
            <v>F</v>
          </cell>
          <cell r="G178" t="str">
            <v>Aminul Islam Sovo</v>
          </cell>
        </row>
        <row r="179">
          <cell r="C179">
            <v>171570</v>
          </cell>
          <cell r="D179" t="str">
            <v>beilei205op</v>
          </cell>
          <cell r="E179" t="str">
            <v>Aliza Afrin</v>
          </cell>
          <cell r="F179" t="str">
            <v>F</v>
          </cell>
          <cell r="G179" t="str">
            <v>Aminul Islam Sovo</v>
          </cell>
        </row>
        <row r="180">
          <cell r="C180">
            <v>171559</v>
          </cell>
          <cell r="D180" t="str">
            <v>beilei206op</v>
          </cell>
          <cell r="E180" t="str">
            <v>Rehena Khanom</v>
          </cell>
          <cell r="F180" t="str">
            <v>F</v>
          </cell>
          <cell r="G180" t="str">
            <v>Aminul Islam Sovo</v>
          </cell>
        </row>
        <row r="181">
          <cell r="C181">
            <v>171959</v>
          </cell>
          <cell r="D181" t="str">
            <v>beilei332op</v>
          </cell>
          <cell r="E181" t="str">
            <v>Balaram Das</v>
          </cell>
          <cell r="F181" t="str">
            <v>M</v>
          </cell>
          <cell r="G181" t="str">
            <v>Aminul Islam Sovo</v>
          </cell>
        </row>
        <row r="182">
          <cell r="C182">
            <v>171733</v>
          </cell>
          <cell r="D182" t="str">
            <v>beilei208op</v>
          </cell>
          <cell r="E182" t="str">
            <v>Md. Salin Motassin Sadman</v>
          </cell>
          <cell r="F182" t="str">
            <v>M</v>
          </cell>
          <cell r="G182" t="str">
            <v>Aminul Islam Sovo</v>
          </cell>
        </row>
        <row r="183">
          <cell r="C183">
            <v>171553</v>
          </cell>
          <cell r="D183" t="str">
            <v>beilei210op</v>
          </cell>
          <cell r="E183" t="str">
            <v>Sumya sharmine</v>
          </cell>
          <cell r="F183" t="str">
            <v>F</v>
          </cell>
          <cell r="G183" t="str">
            <v>Aminul Islam Sovo</v>
          </cell>
        </row>
        <row r="184">
          <cell r="C184">
            <v>171561</v>
          </cell>
          <cell r="D184" t="str">
            <v>beilei225op</v>
          </cell>
          <cell r="E184" t="str">
            <v>Nahida Yesmin</v>
          </cell>
          <cell r="F184" t="str">
            <v>F</v>
          </cell>
          <cell r="G184" t="str">
            <v>Md. Moniruzzaman</v>
          </cell>
        </row>
        <row r="185">
          <cell r="C185">
            <v>171558</v>
          </cell>
          <cell r="D185" t="str">
            <v>beilei266op</v>
          </cell>
          <cell r="E185" t="str">
            <v>Eti Akter</v>
          </cell>
          <cell r="F185" t="str">
            <v>F</v>
          </cell>
          <cell r="G185" t="str">
            <v>Md. Moniruzzaman</v>
          </cell>
        </row>
        <row r="186">
          <cell r="C186">
            <v>171569</v>
          </cell>
          <cell r="D186" t="str">
            <v>beilei267op</v>
          </cell>
          <cell r="E186" t="str">
            <v>Taskin Sadia</v>
          </cell>
          <cell r="F186" t="str">
            <v>F</v>
          </cell>
          <cell r="G186" t="str">
            <v>Md. Moniruzzaman</v>
          </cell>
        </row>
        <row r="187">
          <cell r="C187">
            <v>171543</v>
          </cell>
          <cell r="D187" t="str">
            <v>beilei268op</v>
          </cell>
          <cell r="E187" t="str">
            <v>Arifa Jaman</v>
          </cell>
          <cell r="F187" t="str">
            <v>F</v>
          </cell>
          <cell r="G187" t="str">
            <v>Md. Moniruzzaman</v>
          </cell>
        </row>
        <row r="188">
          <cell r="C188">
            <v>171544</v>
          </cell>
          <cell r="D188" t="str">
            <v>beilei269op</v>
          </cell>
          <cell r="E188" t="str">
            <v>Samapti Kabiraj</v>
          </cell>
          <cell r="F188" t="str">
            <v>F</v>
          </cell>
          <cell r="G188" t="str">
            <v>Md. Moniruzzaman</v>
          </cell>
        </row>
        <row r="189">
          <cell r="C189">
            <v>171550</v>
          </cell>
          <cell r="D189" t="str">
            <v>beilei270op</v>
          </cell>
          <cell r="E189" t="str">
            <v>Tazia Sultana</v>
          </cell>
          <cell r="F189" t="str">
            <v>F</v>
          </cell>
          <cell r="G189" t="str">
            <v>Md. Moniruzzaman</v>
          </cell>
        </row>
        <row r="190">
          <cell r="C190">
            <v>171552</v>
          </cell>
          <cell r="D190" t="str">
            <v>beilei271op</v>
          </cell>
          <cell r="E190" t="str">
            <v>Oahida Akter Mony</v>
          </cell>
          <cell r="F190" t="str">
            <v>F</v>
          </cell>
          <cell r="G190" t="str">
            <v>Md. Moniruzzaman</v>
          </cell>
        </row>
        <row r="191">
          <cell r="C191">
            <v>171554</v>
          </cell>
          <cell r="D191" t="str">
            <v>beilei272op</v>
          </cell>
          <cell r="E191" t="str">
            <v>Protima Rani</v>
          </cell>
          <cell r="F191" t="str">
            <v>F</v>
          </cell>
          <cell r="G191" t="str">
            <v>Aminul Islam Sovo</v>
          </cell>
        </row>
        <row r="192">
          <cell r="C192">
            <v>171538</v>
          </cell>
          <cell r="D192" t="str">
            <v>beilei273op</v>
          </cell>
          <cell r="E192" t="str">
            <v>Roksana Akter</v>
          </cell>
          <cell r="F192" t="str">
            <v>F</v>
          </cell>
          <cell r="G192" t="str">
            <v>Aminul Islam Sovo</v>
          </cell>
        </row>
        <row r="193">
          <cell r="C193">
            <v>171565</v>
          </cell>
          <cell r="D193" t="str">
            <v>beilei274op</v>
          </cell>
          <cell r="E193" t="str">
            <v>Nikita</v>
          </cell>
          <cell r="F193" t="str">
            <v>F</v>
          </cell>
          <cell r="G193" t="str">
            <v>Aminul Islam Sovo</v>
          </cell>
        </row>
        <row r="194">
          <cell r="C194">
            <v>171562</v>
          </cell>
          <cell r="D194" t="str">
            <v>beilei276op</v>
          </cell>
          <cell r="E194" t="str">
            <v>Jame Akter</v>
          </cell>
          <cell r="F194" t="str">
            <v>F</v>
          </cell>
          <cell r="G194" t="str">
            <v>Aminul Islam Sovo</v>
          </cell>
        </row>
        <row r="195">
          <cell r="C195">
            <v>171568</v>
          </cell>
          <cell r="D195" t="str">
            <v>beilei277op</v>
          </cell>
          <cell r="E195" t="str">
            <v>Amina</v>
          </cell>
          <cell r="F195" t="str">
            <v>F</v>
          </cell>
          <cell r="G195" t="str">
            <v>Aminul Islam Sovo</v>
          </cell>
        </row>
        <row r="196">
          <cell r="C196">
            <v>171539</v>
          </cell>
          <cell r="D196" t="str">
            <v>beilei278op</v>
          </cell>
          <cell r="E196" t="str">
            <v>Maria Sultana</v>
          </cell>
          <cell r="F196" t="str">
            <v>F</v>
          </cell>
          <cell r="G196" t="str">
            <v>Aminul Islam Sovo</v>
          </cell>
        </row>
        <row r="197">
          <cell r="C197">
            <v>171607</v>
          </cell>
          <cell r="D197" t="str">
            <v>beilei281op</v>
          </cell>
          <cell r="E197" t="str">
            <v>Aysha islam</v>
          </cell>
          <cell r="F197" t="str">
            <v>F</v>
          </cell>
          <cell r="G197" t="str">
            <v>Aminul Islam Sovo</v>
          </cell>
        </row>
        <row r="198">
          <cell r="C198">
            <v>171612</v>
          </cell>
          <cell r="D198" t="str">
            <v>beilei282op</v>
          </cell>
          <cell r="E198" t="str">
            <v>Tanvir Hosan Khan</v>
          </cell>
          <cell r="F198" t="str">
            <v>M</v>
          </cell>
          <cell r="G198" t="str">
            <v>Aminul Islam Sovo</v>
          </cell>
        </row>
        <row r="199">
          <cell r="C199">
            <v>171628</v>
          </cell>
          <cell r="D199" t="str">
            <v>beilei283op</v>
          </cell>
          <cell r="E199" t="str">
            <v>Sal Sabil Binte Zobayer</v>
          </cell>
          <cell r="F199" t="str">
            <v>F</v>
          </cell>
          <cell r="G199" t="str">
            <v>Aminul Islam Sovo</v>
          </cell>
        </row>
        <row r="200">
          <cell r="C200">
            <v>171604</v>
          </cell>
          <cell r="D200" t="str">
            <v>beilei284op</v>
          </cell>
          <cell r="E200" t="str">
            <v>Nayan Chandra Sikder</v>
          </cell>
          <cell r="F200" t="str">
            <v>M</v>
          </cell>
          <cell r="G200" t="str">
            <v>Aminul Islam Sovo</v>
          </cell>
        </row>
        <row r="201">
          <cell r="C201">
            <v>171597</v>
          </cell>
          <cell r="D201" t="str">
            <v>beilei285op</v>
          </cell>
          <cell r="E201" t="str">
            <v>Sayed Md Osman Goni Tuhin</v>
          </cell>
          <cell r="F201" t="str">
            <v>M</v>
          </cell>
          <cell r="G201" t="str">
            <v>Md. Moniruzzaman</v>
          </cell>
        </row>
        <row r="202">
          <cell r="C202">
            <v>171623</v>
          </cell>
          <cell r="D202" t="str">
            <v>beilei286op</v>
          </cell>
          <cell r="E202" t="str">
            <v>TAHMINA AKTER JUI</v>
          </cell>
          <cell r="F202" t="str">
            <v>F</v>
          </cell>
          <cell r="G202" t="str">
            <v>Md. Moniruzzaman</v>
          </cell>
        </row>
        <row r="203">
          <cell r="C203">
            <v>171625</v>
          </cell>
          <cell r="D203" t="str">
            <v>beilei287op</v>
          </cell>
          <cell r="E203" t="str">
            <v>Ifrat Jahan</v>
          </cell>
          <cell r="F203" t="str">
            <v>F</v>
          </cell>
          <cell r="G203" t="str">
            <v>Md. Moniruzzaman</v>
          </cell>
        </row>
        <row r="204">
          <cell r="C204">
            <v>171631</v>
          </cell>
          <cell r="D204" t="str">
            <v>beilei288op</v>
          </cell>
          <cell r="E204" t="str">
            <v>Dharmendra Kumar Mondal</v>
          </cell>
          <cell r="F204" t="str">
            <v>M</v>
          </cell>
          <cell r="G204" t="str">
            <v>Md. Moniruzzaman</v>
          </cell>
        </row>
        <row r="205">
          <cell r="C205">
            <v>171635</v>
          </cell>
          <cell r="D205" t="str">
            <v>beilei289op</v>
          </cell>
          <cell r="E205" t="str">
            <v>Samsunnahar</v>
          </cell>
          <cell r="F205" t="str">
            <v>F</v>
          </cell>
          <cell r="G205" t="str">
            <v>Md. Moniruzzaman</v>
          </cell>
        </row>
        <row r="206">
          <cell r="C206">
            <v>171613</v>
          </cell>
          <cell r="D206" t="str">
            <v>beilei291op</v>
          </cell>
          <cell r="E206" t="str">
            <v>Nehemiah Ernest Faircross</v>
          </cell>
          <cell r="F206" t="str">
            <v>M</v>
          </cell>
          <cell r="G206" t="str">
            <v>Md. Moniruzzaman</v>
          </cell>
        </row>
        <row r="207">
          <cell r="C207">
            <v>171608</v>
          </cell>
          <cell r="D207" t="str">
            <v>beilei292op</v>
          </cell>
          <cell r="E207" t="str">
            <v>Tasfia Al Hossain</v>
          </cell>
          <cell r="F207" t="str">
            <v>F</v>
          </cell>
          <cell r="G207" t="str">
            <v>Md. Moniruzzaman</v>
          </cell>
        </row>
        <row r="208">
          <cell r="C208">
            <v>171617</v>
          </cell>
          <cell r="D208" t="str">
            <v>beilei294op</v>
          </cell>
          <cell r="E208" t="str">
            <v>Md.Alinur Rahman</v>
          </cell>
          <cell r="F208" t="str">
            <v>M</v>
          </cell>
          <cell r="G208" t="str">
            <v>Md. Moniruzzaman</v>
          </cell>
        </row>
        <row r="209">
          <cell r="C209">
            <v>171618</v>
          </cell>
          <cell r="D209" t="str">
            <v>beilei295op</v>
          </cell>
          <cell r="E209" t="str">
            <v>Md Sujon fokir</v>
          </cell>
          <cell r="F209" t="str">
            <v>M</v>
          </cell>
          <cell r="G209" t="str">
            <v>Aminul Islam Sovo</v>
          </cell>
        </row>
        <row r="210">
          <cell r="C210">
            <v>171633</v>
          </cell>
          <cell r="D210" t="str">
            <v>beilei298op</v>
          </cell>
          <cell r="E210" t="str">
            <v>Abdullah Al Mamun</v>
          </cell>
          <cell r="F210" t="str">
            <v>M</v>
          </cell>
          <cell r="G210" t="str">
            <v>Aminul Islam Sovo</v>
          </cell>
        </row>
        <row r="211">
          <cell r="C211">
            <v>171602</v>
          </cell>
          <cell r="D211" t="str">
            <v>beilei299op</v>
          </cell>
          <cell r="E211" t="str">
            <v>Md Sharif Patoyary</v>
          </cell>
          <cell r="F211" t="str">
            <v>M</v>
          </cell>
          <cell r="G211" t="str">
            <v>Aminul Islam Sovo</v>
          </cell>
        </row>
        <row r="212">
          <cell r="C212">
            <v>171606</v>
          </cell>
          <cell r="D212" t="str">
            <v>beilei280op</v>
          </cell>
          <cell r="E212" t="str">
            <v>Rowshon Ara Parvin</v>
          </cell>
          <cell r="F212" t="str">
            <v>M</v>
          </cell>
          <cell r="G212" t="str">
            <v>Aminul Islam Sovo</v>
          </cell>
        </row>
        <row r="213">
          <cell r="C213">
            <v>171629</v>
          </cell>
          <cell r="D213" t="str">
            <v>beilei279op</v>
          </cell>
          <cell r="E213" t="str">
            <v>Asif Chowdhury</v>
          </cell>
          <cell r="F213" t="str">
            <v>M</v>
          </cell>
          <cell r="G213" t="str">
            <v>Aminul Islam Sovo</v>
          </cell>
        </row>
        <row r="214">
          <cell r="C214">
            <v>171681</v>
          </cell>
          <cell r="D214" t="str">
            <v>beilei305op</v>
          </cell>
          <cell r="E214" t="str">
            <v>Ayerin Akter</v>
          </cell>
          <cell r="F214" t="str">
            <v>F</v>
          </cell>
          <cell r="G214" t="str">
            <v>Aminul Islam Sovo</v>
          </cell>
        </row>
        <row r="215">
          <cell r="C215">
            <v>171682</v>
          </cell>
          <cell r="D215" t="str">
            <v>beilei306op</v>
          </cell>
          <cell r="E215" t="str">
            <v>Roksana Akter</v>
          </cell>
          <cell r="F215" t="str">
            <v>F</v>
          </cell>
          <cell r="G215" t="str">
            <v>Md. Moniruzzaman</v>
          </cell>
        </row>
        <row r="216">
          <cell r="C216">
            <v>171684</v>
          </cell>
          <cell r="D216" t="str">
            <v>beilei308op</v>
          </cell>
          <cell r="E216" t="str">
            <v>Nusrat Jamin</v>
          </cell>
          <cell r="F216" t="str">
            <v>F</v>
          </cell>
          <cell r="G216" t="str">
            <v>Md. Moniruzzaman</v>
          </cell>
        </row>
        <row r="217">
          <cell r="C217">
            <v>171686</v>
          </cell>
          <cell r="D217" t="str">
            <v>beilei310op</v>
          </cell>
          <cell r="E217" t="str">
            <v>Mst Jannatul Fardousee</v>
          </cell>
          <cell r="F217" t="str">
            <v>F</v>
          </cell>
          <cell r="G217" t="str">
            <v>Md. Moniruzzaman</v>
          </cell>
        </row>
        <row r="218">
          <cell r="C218">
            <v>171687</v>
          </cell>
          <cell r="D218" t="str">
            <v>beilei311op</v>
          </cell>
          <cell r="E218" t="str">
            <v>Shamima Akter Khusi</v>
          </cell>
          <cell r="F218" t="str">
            <v>F</v>
          </cell>
          <cell r="G218" t="str">
            <v>Md. Moniruzzaman</v>
          </cell>
        </row>
        <row r="219">
          <cell r="C219">
            <v>171688</v>
          </cell>
          <cell r="D219" t="str">
            <v>beilei312op</v>
          </cell>
          <cell r="E219" t="str">
            <v>Most. Sathi Ara khatun</v>
          </cell>
          <cell r="F219" t="str">
            <v>F</v>
          </cell>
          <cell r="G219" t="str">
            <v>Md. Moniruzzaman</v>
          </cell>
        </row>
        <row r="220">
          <cell r="C220">
            <v>171689</v>
          </cell>
          <cell r="D220" t="str">
            <v>beilei313op</v>
          </cell>
          <cell r="E220" t="str">
            <v>Masudur Rahman</v>
          </cell>
          <cell r="F220" t="str">
            <v>M</v>
          </cell>
          <cell r="G220" t="str">
            <v>Md. Moniruzzaman</v>
          </cell>
        </row>
        <row r="221">
          <cell r="C221">
            <v>171638</v>
          </cell>
          <cell r="D221" t="str">
            <v>beilei301op</v>
          </cell>
          <cell r="E221" t="str">
            <v>Shahela Akter Aemin</v>
          </cell>
          <cell r="F221" t="str">
            <v>F</v>
          </cell>
          <cell r="G221" t="str">
            <v>Md. Moniruzzaman</v>
          </cell>
        </row>
        <row r="222">
          <cell r="C222">
            <v>171641</v>
          </cell>
          <cell r="D222" t="str">
            <v>beilei302op</v>
          </cell>
          <cell r="E222" t="str">
            <v>Tasnia anjum</v>
          </cell>
          <cell r="F222" t="str">
            <v>F</v>
          </cell>
          <cell r="G222" t="str">
            <v>Md. Moniruzzaman</v>
          </cell>
        </row>
        <row r="223">
          <cell r="C223">
            <v>171642</v>
          </cell>
          <cell r="D223" t="str">
            <v>beilei307op</v>
          </cell>
          <cell r="E223" t="str">
            <v>Tania Afriz</v>
          </cell>
          <cell r="F223" t="str">
            <v>F</v>
          </cell>
          <cell r="G223" t="str">
            <v>Md. Moniruzzaman</v>
          </cell>
        </row>
        <row r="224">
          <cell r="C224">
            <v>171711</v>
          </cell>
          <cell r="D224" t="str">
            <v>beilei226op</v>
          </cell>
          <cell r="E224" t="str">
            <v>Shakila Akter Mim</v>
          </cell>
          <cell r="F224" t="str">
            <v>F</v>
          </cell>
          <cell r="G224" t="str">
            <v>Md. Moniruzzaman</v>
          </cell>
        </row>
        <row r="225">
          <cell r="C225">
            <v>171714</v>
          </cell>
          <cell r="D225" t="str">
            <v>beilei316op</v>
          </cell>
          <cell r="E225" t="str">
            <v>Samia shabnam</v>
          </cell>
          <cell r="F225" t="str">
            <v>F</v>
          </cell>
          <cell r="G225" t="str">
            <v>Md. Moniruzzaman</v>
          </cell>
        </row>
        <row r="226">
          <cell r="C226">
            <v>171715</v>
          </cell>
          <cell r="D226" t="str">
            <v>beilei314op</v>
          </cell>
          <cell r="E226" t="str">
            <v>Bilshad Khan Bristy</v>
          </cell>
          <cell r="F226" t="str">
            <v>F</v>
          </cell>
          <cell r="G226" t="str">
            <v>Md. Moniruzzaman</v>
          </cell>
        </row>
        <row r="227">
          <cell r="C227">
            <v>171717</v>
          </cell>
          <cell r="D227" t="str">
            <v>beilei318op</v>
          </cell>
          <cell r="E227" t="str">
            <v>Snigdha Akter</v>
          </cell>
          <cell r="F227" t="str">
            <v>F</v>
          </cell>
          <cell r="G227" t="str">
            <v>Aminul Islam Sovo</v>
          </cell>
        </row>
        <row r="228">
          <cell r="C228">
            <v>171718</v>
          </cell>
          <cell r="D228" t="str">
            <v>beilei319op</v>
          </cell>
          <cell r="E228" t="str">
            <v>Sabrina Rahman</v>
          </cell>
          <cell r="F228" t="str">
            <v>F</v>
          </cell>
          <cell r="G228" t="str">
            <v>Aminul Islam Sovo</v>
          </cell>
        </row>
        <row r="229">
          <cell r="C229">
            <v>171719</v>
          </cell>
          <cell r="D229" t="str">
            <v>beilei320op</v>
          </cell>
          <cell r="E229" t="str">
            <v>Mahmuda kabir</v>
          </cell>
          <cell r="F229" t="str">
            <v>F</v>
          </cell>
          <cell r="G229" t="str">
            <v>Aminul Islam Sovo</v>
          </cell>
        </row>
        <row r="230">
          <cell r="C230">
            <v>171720</v>
          </cell>
          <cell r="D230" t="str">
            <v>beilei321op</v>
          </cell>
          <cell r="E230" t="str">
            <v>Antara Aditya</v>
          </cell>
          <cell r="F230" t="str">
            <v>F</v>
          </cell>
          <cell r="G230" t="str">
            <v>Aminul Islam Sovo</v>
          </cell>
        </row>
        <row r="231">
          <cell r="C231">
            <v>171721</v>
          </cell>
          <cell r="D231" t="str">
            <v>beilei322op</v>
          </cell>
          <cell r="E231" t="str">
            <v>Jannatul Ferdous Nisha</v>
          </cell>
          <cell r="F231" t="str">
            <v>F</v>
          </cell>
          <cell r="G231" t="str">
            <v>Aminul Islam Sovo</v>
          </cell>
        </row>
        <row r="232">
          <cell r="C232">
            <v>171722</v>
          </cell>
          <cell r="D232" t="str">
            <v>beilei323op</v>
          </cell>
          <cell r="E232" t="str">
            <v>Umme sabiha tabassum</v>
          </cell>
          <cell r="F232" t="str">
            <v>F</v>
          </cell>
          <cell r="G232" t="str">
            <v>Aminul Islam Sovo</v>
          </cell>
        </row>
        <row r="233">
          <cell r="C233">
            <v>171723</v>
          </cell>
          <cell r="D233" t="str">
            <v>beilei328op</v>
          </cell>
          <cell r="E233" t="str">
            <v>Marufa Akter</v>
          </cell>
          <cell r="F233" t="str">
            <v>F</v>
          </cell>
          <cell r="G233" t="str">
            <v>Aminul Islam Sovo</v>
          </cell>
        </row>
        <row r="234">
          <cell r="C234">
            <v>171724</v>
          </cell>
          <cell r="D234" t="str">
            <v>beilei329op</v>
          </cell>
          <cell r="E234" t="str">
            <v>Meher Afrose</v>
          </cell>
          <cell r="F234" t="str">
            <v>F</v>
          </cell>
          <cell r="G234" t="str">
            <v>Aminul Islam Sovo</v>
          </cell>
        </row>
        <row r="235">
          <cell r="C235">
            <v>171789</v>
          </cell>
          <cell r="D235" t="str">
            <v>beilei290op</v>
          </cell>
          <cell r="E235" t="str">
            <v>Md Abu Taher</v>
          </cell>
          <cell r="F235" t="str">
            <v>M</v>
          </cell>
          <cell r="G235" t="str">
            <v>Md. Moniruzzaman</v>
          </cell>
        </row>
        <row r="236">
          <cell r="C236">
            <v>171793</v>
          </cell>
          <cell r="D236" t="str">
            <v>beilei297op</v>
          </cell>
          <cell r="E236" t="str">
            <v>Humayra Afrin</v>
          </cell>
          <cell r="F236" t="str">
            <v>F</v>
          </cell>
          <cell r="G236" t="str">
            <v>Md. Moniruzzaman</v>
          </cell>
        </row>
        <row r="237">
          <cell r="C237">
            <v>171794</v>
          </cell>
          <cell r="D237" t="str">
            <v>beilei317op</v>
          </cell>
          <cell r="E237" t="str">
            <v>Sarmin Sultana</v>
          </cell>
          <cell r="F237" t="str">
            <v>F</v>
          </cell>
          <cell r="G237" t="str">
            <v>Md. Moniruzzaman</v>
          </cell>
        </row>
        <row r="238">
          <cell r="C238">
            <v>171800</v>
          </cell>
          <cell r="D238" t="str">
            <v>beilei330op</v>
          </cell>
          <cell r="E238" t="str">
            <v>Miskatun Nessa</v>
          </cell>
          <cell r="F238" t="str">
            <v>F</v>
          </cell>
          <cell r="G238" t="str">
            <v>Md. Moniruzzaman</v>
          </cell>
        </row>
        <row r="239">
          <cell r="C239">
            <v>171955</v>
          </cell>
          <cell r="D239" t="str">
            <v>beilei296op</v>
          </cell>
          <cell r="E239" t="str">
            <v>Halima Akter</v>
          </cell>
          <cell r="F239" t="str">
            <v>F</v>
          </cell>
          <cell r="G239" t="str">
            <v>Aminul Islam Sovo</v>
          </cell>
        </row>
        <row r="240">
          <cell r="C240">
            <v>171830</v>
          </cell>
          <cell r="D240" t="str">
            <v>beilei331op</v>
          </cell>
          <cell r="E240" t="str">
            <v>Taskena Hasan</v>
          </cell>
          <cell r="F240" t="str">
            <v>F</v>
          </cell>
          <cell r="G240" t="str">
            <v>Md. Moniruzzaman</v>
          </cell>
        </row>
        <row r="241">
          <cell r="C241">
            <v>171828</v>
          </cell>
          <cell r="D241" t="str">
            <v>beilei315op</v>
          </cell>
          <cell r="E241" t="str">
            <v>Rathin Mondol</v>
          </cell>
          <cell r="F241" t="str">
            <v>M</v>
          </cell>
          <cell r="G241" t="str">
            <v>Md. Moniruzzaman</v>
          </cell>
        </row>
        <row r="242">
          <cell r="C242">
            <v>171870</v>
          </cell>
          <cell r="D242" t="str">
            <v>beilei309op</v>
          </cell>
          <cell r="E242" t="str">
            <v>Sanjeda Khanam Shorna</v>
          </cell>
          <cell r="F242" t="str">
            <v>F</v>
          </cell>
          <cell r="G242" t="str">
            <v>Md. Moniruzzaman</v>
          </cell>
        </row>
        <row r="243">
          <cell r="C243">
            <v>171884</v>
          </cell>
          <cell r="D243" t="str">
            <v>beilei304op</v>
          </cell>
          <cell r="E243" t="str">
            <v>Md Mamunur Rashid</v>
          </cell>
          <cell r="F243" t="str">
            <v>M</v>
          </cell>
          <cell r="G243" t="str">
            <v>Md. Moniruzzaman</v>
          </cell>
        </row>
        <row r="244">
          <cell r="C244">
            <v>171925</v>
          </cell>
          <cell r="D244" t="str">
            <v>beilei275op</v>
          </cell>
          <cell r="E244" t="str">
            <v>SM Safayet</v>
          </cell>
          <cell r="F244" t="str">
            <v>M</v>
          </cell>
          <cell r="G244" t="str">
            <v>Md. Moniruzzaman</v>
          </cell>
        </row>
        <row r="245">
          <cell r="C245">
            <v>171926</v>
          </cell>
          <cell r="D245" t="str">
            <v>beilei300op</v>
          </cell>
          <cell r="E245" t="str">
            <v>Md Manik Hossain</v>
          </cell>
          <cell r="F245" t="str">
            <v>M</v>
          </cell>
          <cell r="G245" t="str">
            <v>Aminul Islam Sovo</v>
          </cell>
        </row>
        <row r="246">
          <cell r="C246">
            <v>171947</v>
          </cell>
          <cell r="D246" t="str">
            <v>beilei207op</v>
          </cell>
          <cell r="E246" t="str">
            <v>Tamanna Akter</v>
          </cell>
          <cell r="F246" t="str">
            <v>F</v>
          </cell>
          <cell r="G246" t="str">
            <v>Aminul Islam Sovo</v>
          </cell>
        </row>
        <row r="247">
          <cell r="C247">
            <v>171948</v>
          </cell>
          <cell r="D247" t="str">
            <v>beilei303op</v>
          </cell>
          <cell r="E247" t="str">
            <v>Mst Shahina Begum</v>
          </cell>
          <cell r="F247" t="str">
            <v>F</v>
          </cell>
          <cell r="G247" t="str">
            <v>Md. Moniruzzaman</v>
          </cell>
        </row>
        <row r="248">
          <cell r="C248">
            <v>171949</v>
          </cell>
          <cell r="D248" t="str">
            <v>beilei209op</v>
          </cell>
          <cell r="E248" t="str">
            <v>Nadira Akhter Antora</v>
          </cell>
          <cell r="F248" t="str">
            <v>F</v>
          </cell>
          <cell r="G248" t="str">
            <v>Md. Moniruzzaman</v>
          </cell>
        </row>
        <row r="249">
          <cell r="C249">
            <v>171950</v>
          </cell>
          <cell r="D249" t="str">
            <v>beilei293op</v>
          </cell>
          <cell r="E249" t="str">
            <v>Rada Rani Boishnab</v>
          </cell>
          <cell r="F249" t="str">
            <v>F</v>
          </cell>
          <cell r="G249" t="str">
            <v>Md. Moniruzzaman</v>
          </cell>
        </row>
        <row r="250">
          <cell r="C250">
            <v>171666</v>
          </cell>
          <cell r="D250" t="str">
            <v>beilei334op</v>
          </cell>
          <cell r="E250" t="str">
            <v>Sonyea Akter</v>
          </cell>
          <cell r="F250" t="str">
            <v>F</v>
          </cell>
          <cell r="G250" t="str">
            <v>Aminul Islam Sovo</v>
          </cell>
        </row>
        <row r="251">
          <cell r="C251">
            <v>171667</v>
          </cell>
          <cell r="D251" t="str">
            <v>beilei335op</v>
          </cell>
          <cell r="E251" t="str">
            <v>MD Ariful Islam</v>
          </cell>
          <cell r="F251" t="str">
            <v>M</v>
          </cell>
          <cell r="G251" t="str">
            <v>Aminul Islam Sovo</v>
          </cell>
        </row>
        <row r="252">
          <cell r="C252">
            <v>171668</v>
          </cell>
          <cell r="D252" t="str">
            <v>beilei336op</v>
          </cell>
          <cell r="E252" t="str">
            <v>Mezanur Rahman</v>
          </cell>
          <cell r="F252" t="str">
            <v>M</v>
          </cell>
          <cell r="G252" t="str">
            <v>Aminul Islam Sovo</v>
          </cell>
        </row>
        <row r="253">
          <cell r="C253">
            <v>171670</v>
          </cell>
          <cell r="D253" t="str">
            <v>beilei337op</v>
          </cell>
          <cell r="E253" t="str">
            <v>Nadira Akter Dina</v>
          </cell>
          <cell r="F253" t="str">
            <v>F</v>
          </cell>
          <cell r="G253" t="str">
            <v>Aminul Islam Sovo</v>
          </cell>
        </row>
        <row r="254">
          <cell r="C254">
            <v>171672</v>
          </cell>
          <cell r="D254" t="str">
            <v>beilei339op</v>
          </cell>
          <cell r="E254" t="str">
            <v>Tanzin Jahan Emu</v>
          </cell>
          <cell r="F254" t="str">
            <v>F</v>
          </cell>
          <cell r="G254" t="str">
            <v>Aminul Islam Sovo</v>
          </cell>
        </row>
        <row r="255">
          <cell r="C255">
            <v>171673</v>
          </cell>
          <cell r="D255" t="str">
            <v>beilei340op</v>
          </cell>
          <cell r="E255" t="str">
            <v>Antu Chandro Pal</v>
          </cell>
          <cell r="F255" t="str">
            <v>M</v>
          </cell>
          <cell r="G255" t="str">
            <v>Aminul Islam Sovo</v>
          </cell>
        </row>
        <row r="256">
          <cell r="C256">
            <v>171674</v>
          </cell>
          <cell r="D256" t="str">
            <v>beilei341op</v>
          </cell>
          <cell r="E256" t="str">
            <v>Ishrat Jahan</v>
          </cell>
          <cell r="F256" t="str">
            <v>F</v>
          </cell>
          <cell r="G256" t="str">
            <v>Aminul Islam Sovo</v>
          </cell>
        </row>
        <row r="257">
          <cell r="C257">
            <v>171683</v>
          </cell>
          <cell r="D257" t="str">
            <v>beilei343op</v>
          </cell>
          <cell r="E257" t="str">
            <v>Oli Jahan Tuli</v>
          </cell>
          <cell r="F257" t="str">
            <v>F</v>
          </cell>
          <cell r="G257" t="str">
            <v>Md. Moniruzzaman</v>
          </cell>
        </row>
        <row r="258">
          <cell r="C258">
            <v>171639</v>
          </cell>
          <cell r="D258" t="str">
            <v>beilei345op</v>
          </cell>
          <cell r="E258" t="str">
            <v>Shraddha Shila Chakma</v>
          </cell>
          <cell r="F258" t="str">
            <v>F</v>
          </cell>
          <cell r="G258" t="str">
            <v>Md. Moniruzzaman</v>
          </cell>
        </row>
        <row r="259">
          <cell r="C259">
            <v>171729</v>
          </cell>
          <cell r="D259" t="str">
            <v>beilei344op</v>
          </cell>
          <cell r="E259" t="str">
            <v>Israt Jahan</v>
          </cell>
          <cell r="F259" t="str">
            <v>F</v>
          </cell>
          <cell r="G259" t="str">
            <v>Md. Moniruzzaman</v>
          </cell>
        </row>
        <row r="260">
          <cell r="C260">
            <v>171730</v>
          </cell>
          <cell r="D260" t="str">
            <v>beilei346op</v>
          </cell>
          <cell r="E260" t="str">
            <v>Sadia Nasrin</v>
          </cell>
          <cell r="F260" t="str">
            <v>F</v>
          </cell>
          <cell r="G260" t="str">
            <v>Md. Moniruzzaman</v>
          </cell>
        </row>
        <row r="261">
          <cell r="C261">
            <v>171783</v>
          </cell>
          <cell r="D261" t="str">
            <v>beilei347op</v>
          </cell>
          <cell r="E261" t="str">
            <v>Rubel Mia</v>
          </cell>
          <cell r="F261" t="str">
            <v>M</v>
          </cell>
          <cell r="G261" t="str">
            <v>Md. Moniruzzaman</v>
          </cell>
        </row>
        <row r="262">
          <cell r="C262">
            <v>171784</v>
          </cell>
          <cell r="D262" t="str">
            <v>beilei342op</v>
          </cell>
          <cell r="E262" t="str">
            <v>Lovely Akter</v>
          </cell>
          <cell r="F262" t="str">
            <v>F</v>
          </cell>
          <cell r="G262" t="str">
            <v>Md. Moniruzzaman</v>
          </cell>
        </row>
        <row r="263">
          <cell r="C263">
            <v>171878</v>
          </cell>
          <cell r="D263" t="str">
            <v>beilei338op</v>
          </cell>
          <cell r="E263" t="str">
            <v>Ratul Hasan</v>
          </cell>
          <cell r="F263" t="str">
            <v>M</v>
          </cell>
          <cell r="G263" t="str">
            <v>Md. Moniruzzaman</v>
          </cell>
        </row>
        <row r="264">
          <cell r="C264">
            <v>171951</v>
          </cell>
          <cell r="D264" t="str">
            <v>beilei333op</v>
          </cell>
          <cell r="E264" t="str">
            <v>Monira Khatun</v>
          </cell>
          <cell r="F264" t="str">
            <v>F</v>
          </cell>
          <cell r="G264" t="str">
            <v>Aminul Islam Sovo</v>
          </cell>
        </row>
        <row r="265">
          <cell r="C265">
            <v>171691</v>
          </cell>
          <cell r="D265" t="str">
            <v>beilei324op</v>
          </cell>
          <cell r="E265" t="str">
            <v>Ferdous Ahmed</v>
          </cell>
          <cell r="F265" t="str">
            <v>M</v>
          </cell>
          <cell r="G265" t="str">
            <v>Aminul Islam Sovo</v>
          </cell>
        </row>
        <row r="266">
          <cell r="C266">
            <v>171692</v>
          </cell>
          <cell r="D266" t="str">
            <v>beilei325op</v>
          </cell>
          <cell r="E266" t="str">
            <v>Md. Istiak Rashid</v>
          </cell>
          <cell r="F266" t="str">
            <v>M</v>
          </cell>
          <cell r="G266" t="str">
            <v>Aminul Islam Sovo</v>
          </cell>
        </row>
        <row r="267">
          <cell r="C267">
            <v>171542</v>
          </cell>
          <cell r="D267" t="str">
            <v>beilei326op</v>
          </cell>
          <cell r="E267" t="str">
            <v>Nusrat Jahan</v>
          </cell>
          <cell r="F267" t="str">
            <v>F</v>
          </cell>
          <cell r="G267" t="str">
            <v>Aminul Islam Sovo</v>
          </cell>
        </row>
        <row r="268">
          <cell r="C268">
            <v>171027</v>
          </cell>
          <cell r="D268" t="str">
            <v>FarzanaAkter</v>
          </cell>
          <cell r="E268" t="str">
            <v>Farzana Akter</v>
          </cell>
          <cell r="F268" t="str">
            <v>F</v>
          </cell>
          <cell r="G268" t="str">
            <v>Halima akter</v>
          </cell>
        </row>
        <row r="269">
          <cell r="C269">
            <v>171186</v>
          </cell>
          <cell r="D269" t="str">
            <v>MasumBillah</v>
          </cell>
          <cell r="E269" t="str">
            <v>Masum Billah</v>
          </cell>
          <cell r="F269" t="str">
            <v>M</v>
          </cell>
          <cell r="G269" t="str">
            <v>Halima akter</v>
          </cell>
        </row>
        <row r="270">
          <cell r="C270">
            <v>171192</v>
          </cell>
          <cell r="D270" t="str">
            <v>NasrinAkter</v>
          </cell>
          <cell r="E270" t="str">
            <v>Nasrin Akter</v>
          </cell>
          <cell r="F270" t="str">
            <v>F</v>
          </cell>
          <cell r="G270" t="str">
            <v>Halima akter</v>
          </cell>
        </row>
        <row r="271">
          <cell r="C271">
            <v>171453</v>
          </cell>
          <cell r="D271" t="str">
            <v>NaimUddinMahmood</v>
          </cell>
          <cell r="E271" t="str">
            <v>Naim Uddin Mahmood</v>
          </cell>
          <cell r="F271" t="str">
            <v>M</v>
          </cell>
          <cell r="G271" t="str">
            <v>Halima akter</v>
          </cell>
        </row>
        <row r="272">
          <cell r="C272">
            <v>171168</v>
          </cell>
          <cell r="D272" t="str">
            <v>AlyaTunjumMomo</v>
          </cell>
          <cell r="E272" t="str">
            <v>Alya Tunjum Momo</v>
          </cell>
          <cell r="F272" t="str">
            <v>F</v>
          </cell>
          <cell r="G272" t="str">
            <v>Halima akter</v>
          </cell>
        </row>
        <row r="273">
          <cell r="C273">
            <v>171632</v>
          </cell>
          <cell r="D273" t="str">
            <v>DipaRaniMohonto</v>
          </cell>
          <cell r="E273" t="str">
            <v>Dipa Rani Mohonto</v>
          </cell>
          <cell r="F273" t="str">
            <v>F</v>
          </cell>
          <cell r="G273" t="str">
            <v>Halima akter</v>
          </cell>
        </row>
        <row r="274">
          <cell r="C274">
            <v>171161</v>
          </cell>
          <cell r="D274" t="str">
            <v>KuntumKhaira</v>
          </cell>
          <cell r="E274" t="str">
            <v>Kuntum Khaira</v>
          </cell>
          <cell r="F274" t="str">
            <v>F</v>
          </cell>
          <cell r="G274" t="str">
            <v>Halima akter</v>
          </cell>
        </row>
        <row r="275">
          <cell r="C275">
            <v>171471</v>
          </cell>
          <cell r="D275" t="str">
            <v>AhmedIslam</v>
          </cell>
          <cell r="E275" t="str">
            <v>Ahmed Islam</v>
          </cell>
          <cell r="F275" t="str">
            <v>M</v>
          </cell>
          <cell r="G275" t="str">
            <v>Halima akter</v>
          </cell>
        </row>
        <row r="276">
          <cell r="C276">
            <v>171815</v>
          </cell>
          <cell r="D276" t="str">
            <v>AbdullahAI</v>
          </cell>
          <cell r="E276" t="str">
            <v>Md Mosaddek Hossain</v>
          </cell>
          <cell r="F276" t="str">
            <v>M</v>
          </cell>
          <cell r="G276" t="str">
            <v>Halima akter</v>
          </cell>
        </row>
        <row r="277">
          <cell r="C277">
            <v>171547</v>
          </cell>
          <cell r="D277" t="str">
            <v>Parvenakter</v>
          </cell>
          <cell r="E277" t="str">
            <v>Parven Akter</v>
          </cell>
          <cell r="F277" t="str">
            <v>F</v>
          </cell>
          <cell r="G277" t="str">
            <v>Halima akter</v>
          </cell>
        </row>
        <row r="278">
          <cell r="C278">
            <v>171834</v>
          </cell>
          <cell r="D278" t="str">
            <v>FahimHasan</v>
          </cell>
          <cell r="E278" t="str">
            <v>Fahim Hasan Molla</v>
          </cell>
          <cell r="F278" t="str">
            <v>M</v>
          </cell>
          <cell r="G278" t="str">
            <v>Halima akter</v>
          </cell>
        </row>
        <row r="279">
          <cell r="C279">
            <v>20307624</v>
          </cell>
          <cell r="D279" t="str">
            <v>GenexT032</v>
          </cell>
          <cell r="E279" t="str">
            <v>Suman Chakraborthy</v>
          </cell>
          <cell r="F279" t="str">
            <v>M</v>
          </cell>
          <cell r="G279" t="str">
            <v>Mohammad Mohsin</v>
          </cell>
        </row>
        <row r="280">
          <cell r="C280">
            <v>20307630</v>
          </cell>
          <cell r="D280" t="str">
            <v>GenexT038</v>
          </cell>
          <cell r="E280" t="str">
            <v>Saiful Islam</v>
          </cell>
          <cell r="F280" t="str">
            <v>M</v>
          </cell>
          <cell r="G280" t="str">
            <v>Mohammad Mohsin</v>
          </cell>
        </row>
        <row r="281">
          <cell r="C281">
            <v>20307636</v>
          </cell>
          <cell r="D281" t="str">
            <v>GenexT044</v>
          </cell>
          <cell r="E281" t="str">
            <v>Islamul Haque Shakil</v>
          </cell>
          <cell r="F281" t="str">
            <v>M</v>
          </cell>
          <cell r="G281" t="str">
            <v>Mohammad Mohsin</v>
          </cell>
        </row>
        <row r="282">
          <cell r="C282">
            <v>20307638</v>
          </cell>
          <cell r="D282" t="str">
            <v>GenexT046</v>
          </cell>
          <cell r="E282" t="str">
            <v>Moktar Hossain</v>
          </cell>
          <cell r="F282" t="str">
            <v>M</v>
          </cell>
          <cell r="G282" t="str">
            <v>Mohammad Mohsin</v>
          </cell>
        </row>
        <row r="283">
          <cell r="C283">
            <v>20307639</v>
          </cell>
          <cell r="D283" t="str">
            <v>GenexT047</v>
          </cell>
          <cell r="E283" t="str">
            <v>Saju Datta</v>
          </cell>
          <cell r="F283" t="str">
            <v>M</v>
          </cell>
          <cell r="G283" t="str">
            <v>Mohammad Mohsin</v>
          </cell>
        </row>
        <row r="284">
          <cell r="C284">
            <v>20307640</v>
          </cell>
          <cell r="D284" t="str">
            <v>GenexT048</v>
          </cell>
          <cell r="E284" t="str">
            <v>Md. Robiul Hossain</v>
          </cell>
          <cell r="F284" t="str">
            <v>M</v>
          </cell>
          <cell r="G284" t="str">
            <v>Mohammad Mohsin</v>
          </cell>
        </row>
        <row r="285">
          <cell r="C285">
            <v>20307641</v>
          </cell>
          <cell r="D285" t="str">
            <v>GenexT049</v>
          </cell>
          <cell r="E285" t="str">
            <v>Md Mehedi Jobair</v>
          </cell>
          <cell r="F285" t="str">
            <v>M</v>
          </cell>
          <cell r="G285" t="str">
            <v>Mohammad Mohsin</v>
          </cell>
        </row>
        <row r="286">
          <cell r="C286">
            <v>20307642</v>
          </cell>
          <cell r="D286" t="str">
            <v>GenexT050</v>
          </cell>
          <cell r="E286" t="str">
            <v>Md. Rohim Uddin Bappy</v>
          </cell>
          <cell r="F286" t="str">
            <v>M</v>
          </cell>
          <cell r="G286" t="str">
            <v>Mohammad Mohsin</v>
          </cell>
        </row>
        <row r="287">
          <cell r="C287">
            <v>20307802</v>
          </cell>
          <cell r="D287" t="str">
            <v>GenexT142</v>
          </cell>
          <cell r="E287" t="str">
            <v>Kurratu Ain Rosul</v>
          </cell>
          <cell r="F287" t="str">
            <v>M</v>
          </cell>
          <cell r="G287" t="str">
            <v>Tawkir Ahmed</v>
          </cell>
        </row>
        <row r="288">
          <cell r="C288">
            <v>20307786</v>
          </cell>
          <cell r="D288" t="str">
            <v>GenexT098</v>
          </cell>
          <cell r="E288" t="str">
            <v>Kazi Mohammad Anamul Islam</v>
          </cell>
          <cell r="F288" t="str">
            <v>M</v>
          </cell>
          <cell r="G288" t="str">
            <v>Tawkir Ahmed</v>
          </cell>
        </row>
        <row r="289">
          <cell r="C289">
            <v>20307789</v>
          </cell>
          <cell r="D289" t="str">
            <v>GenexT106</v>
          </cell>
          <cell r="E289" t="str">
            <v>Md Ali Mortuja</v>
          </cell>
          <cell r="F289" t="str">
            <v>M</v>
          </cell>
          <cell r="G289" t="str">
            <v>Tawkir Ahmed</v>
          </cell>
        </row>
        <row r="290">
          <cell r="C290">
            <v>20307794</v>
          </cell>
          <cell r="D290" t="str">
            <v>GenexT117</v>
          </cell>
          <cell r="E290" t="str">
            <v>Himel Chowdhury</v>
          </cell>
          <cell r="F290" t="str">
            <v>M</v>
          </cell>
          <cell r="G290" t="str">
            <v>Tawkir Ahmed</v>
          </cell>
        </row>
        <row r="291">
          <cell r="C291">
            <v>20307797</v>
          </cell>
          <cell r="D291" t="str">
            <v>GenexT120</v>
          </cell>
          <cell r="E291" t="str">
            <v>Sumit Barua</v>
          </cell>
          <cell r="F291" t="str">
            <v>M</v>
          </cell>
          <cell r="G291" t="str">
            <v>Tawkir Ahmed</v>
          </cell>
        </row>
        <row r="292">
          <cell r="C292">
            <v>20307800</v>
          </cell>
          <cell r="D292" t="str">
            <v>GenexT134</v>
          </cell>
          <cell r="E292" t="str">
            <v>Provakar Barua</v>
          </cell>
          <cell r="F292" t="str">
            <v>M</v>
          </cell>
          <cell r="G292" t="str">
            <v>Tawkir Ahmed</v>
          </cell>
        </row>
        <row r="293">
          <cell r="C293">
            <v>20307799</v>
          </cell>
          <cell r="D293" t="str">
            <v>GenexT133</v>
          </cell>
          <cell r="E293" t="str">
            <v>Suprakash Majumder</v>
          </cell>
          <cell r="F293" t="str">
            <v>M</v>
          </cell>
          <cell r="G293" t="str">
            <v>Tawkir Ahmed</v>
          </cell>
        </row>
        <row r="294">
          <cell r="C294">
            <v>20307836</v>
          </cell>
          <cell r="D294" t="str">
            <v>GenexT150</v>
          </cell>
          <cell r="E294" t="str">
            <v>Abdullah Al Maruf</v>
          </cell>
          <cell r="F294" t="str">
            <v>M</v>
          </cell>
          <cell r="G294" t="str">
            <v>Tawkir Ahmed</v>
          </cell>
        </row>
        <row r="295">
          <cell r="C295">
            <v>20307837</v>
          </cell>
          <cell r="D295" t="str">
            <v>GenexT151</v>
          </cell>
          <cell r="E295" t="str">
            <v>Siddartha Songkar Dey</v>
          </cell>
          <cell r="F295" t="str">
            <v>M</v>
          </cell>
          <cell r="G295" t="str">
            <v>Mohammad Mohsin</v>
          </cell>
        </row>
        <row r="296">
          <cell r="C296">
            <v>171070</v>
          </cell>
          <cell r="D296" t="str">
            <v>Genex010</v>
          </cell>
          <cell r="E296" t="str">
            <v>MD. Ashraf Uddin</v>
          </cell>
          <cell r="F296" t="str">
            <v>M</v>
          </cell>
          <cell r="G296" t="str">
            <v>Nasir Uddin</v>
          </cell>
        </row>
        <row r="297">
          <cell r="C297">
            <v>171079</v>
          </cell>
          <cell r="D297" t="str">
            <v>Genex021</v>
          </cell>
          <cell r="E297" t="str">
            <v>Md Ismail Hossain</v>
          </cell>
          <cell r="F297" t="str">
            <v>M</v>
          </cell>
          <cell r="G297" t="str">
            <v>Abu MD. Rifat Imtiaz</v>
          </cell>
        </row>
        <row r="298">
          <cell r="C298">
            <v>171080</v>
          </cell>
          <cell r="D298" t="str">
            <v>Genex022</v>
          </cell>
          <cell r="E298" t="str">
            <v>Shah Mohammad Yasin</v>
          </cell>
          <cell r="F298" t="str">
            <v>M</v>
          </cell>
          <cell r="G298" t="str">
            <v>Mohammad Joshim</v>
          </cell>
        </row>
        <row r="299">
          <cell r="C299">
            <v>171083</v>
          </cell>
          <cell r="D299" t="str">
            <v>Genex025</v>
          </cell>
          <cell r="E299" t="str">
            <v>Md. Shamim Hossain</v>
          </cell>
          <cell r="F299" t="str">
            <v>M</v>
          </cell>
          <cell r="G299" t="str">
            <v>Rakib Ahsan</v>
          </cell>
        </row>
        <row r="300">
          <cell r="C300">
            <v>171084</v>
          </cell>
          <cell r="D300" t="str">
            <v>Genex026</v>
          </cell>
          <cell r="E300" t="str">
            <v>Gulzer Hossain</v>
          </cell>
          <cell r="F300" t="str">
            <v>M</v>
          </cell>
          <cell r="G300" t="str">
            <v>Mohammad Joshim</v>
          </cell>
        </row>
        <row r="301">
          <cell r="C301">
            <v>171219</v>
          </cell>
          <cell r="D301" t="str">
            <v>Genex074</v>
          </cell>
          <cell r="E301" t="str">
            <v>Mahmudul Hasan</v>
          </cell>
          <cell r="F301" t="str">
            <v>M</v>
          </cell>
          <cell r="G301" t="str">
            <v>Md. Tanjir Ahmed</v>
          </cell>
        </row>
        <row r="302">
          <cell r="C302">
            <v>171233</v>
          </cell>
          <cell r="D302" t="str">
            <v>Genex077</v>
          </cell>
          <cell r="E302" t="str">
            <v>Shohidullah</v>
          </cell>
          <cell r="F302" t="str">
            <v>M</v>
          </cell>
          <cell r="G302" t="str">
            <v>Mohammad Joshim</v>
          </cell>
        </row>
        <row r="303">
          <cell r="C303">
            <v>171251</v>
          </cell>
          <cell r="D303" t="str">
            <v>Genex079</v>
          </cell>
          <cell r="E303" t="str">
            <v>Sabbir Ali</v>
          </cell>
          <cell r="F303" t="str">
            <v>M</v>
          </cell>
          <cell r="G303" t="str">
            <v>Nasir Uddin</v>
          </cell>
        </row>
        <row r="304">
          <cell r="C304">
            <v>171255</v>
          </cell>
          <cell r="D304" t="str">
            <v>Genex080</v>
          </cell>
          <cell r="E304" t="str">
            <v>Md. Fahad Alam</v>
          </cell>
          <cell r="F304" t="str">
            <v>M</v>
          </cell>
          <cell r="G304" t="str">
            <v>Rakib Ahsan</v>
          </cell>
        </row>
        <row r="305">
          <cell r="C305">
            <v>171334</v>
          </cell>
          <cell r="D305" t="str">
            <v>Genex092</v>
          </cell>
          <cell r="E305" t="str">
            <v>Sharafat Hossen</v>
          </cell>
          <cell r="F305" t="str">
            <v>M</v>
          </cell>
          <cell r="G305" t="str">
            <v>Md. Tanjir Ahmed</v>
          </cell>
        </row>
        <row r="306">
          <cell r="C306">
            <v>171329</v>
          </cell>
          <cell r="D306" t="str">
            <v>Genex094</v>
          </cell>
          <cell r="E306" t="str">
            <v>Sukur Ali</v>
          </cell>
          <cell r="F306" t="str">
            <v>M</v>
          </cell>
          <cell r="G306" t="str">
            <v>Abu MD. Rifat Imtiaz</v>
          </cell>
        </row>
        <row r="307">
          <cell r="C307">
            <v>171333</v>
          </cell>
          <cell r="D307" t="str">
            <v>Genex101</v>
          </cell>
          <cell r="E307" t="str">
            <v>Delwar Hossain</v>
          </cell>
          <cell r="F307" t="str">
            <v>M</v>
          </cell>
          <cell r="G307" t="str">
            <v>Mohammad Joshim</v>
          </cell>
        </row>
        <row r="308">
          <cell r="C308">
            <v>171359</v>
          </cell>
          <cell r="D308" t="str">
            <v>Genex107</v>
          </cell>
          <cell r="E308" t="str">
            <v>Monjur Hossain Sheikh</v>
          </cell>
          <cell r="F308" t="str">
            <v>M</v>
          </cell>
          <cell r="G308" t="str">
            <v>Mohammad Joshim</v>
          </cell>
        </row>
        <row r="309">
          <cell r="C309">
            <v>171364</v>
          </cell>
          <cell r="D309" t="str">
            <v>Genex108</v>
          </cell>
          <cell r="E309" t="str">
            <v>Md Ismail Hossain</v>
          </cell>
          <cell r="F309" t="str">
            <v>M</v>
          </cell>
          <cell r="G309" t="str">
            <v>Nasir Uddin</v>
          </cell>
        </row>
        <row r="310">
          <cell r="C310">
            <v>171367</v>
          </cell>
          <cell r="D310" t="str">
            <v>Genex111</v>
          </cell>
          <cell r="E310" t="str">
            <v>MD Ayub Ali Ansari</v>
          </cell>
          <cell r="F310" t="str">
            <v>M</v>
          </cell>
          <cell r="G310" t="str">
            <v>Abu MD. Rifat Imtiaz</v>
          </cell>
        </row>
        <row r="311">
          <cell r="C311">
            <v>171368</v>
          </cell>
          <cell r="D311" t="str">
            <v>Genex112</v>
          </cell>
          <cell r="E311" t="str">
            <v>Mehedi Hasan Nirob</v>
          </cell>
          <cell r="F311" t="str">
            <v>M</v>
          </cell>
          <cell r="G311" t="str">
            <v>Rakib Ahsan</v>
          </cell>
        </row>
        <row r="312">
          <cell r="C312">
            <v>171374</v>
          </cell>
          <cell r="D312" t="str">
            <v>Genex119</v>
          </cell>
          <cell r="E312" t="str">
            <v>Md Joynal Abedin</v>
          </cell>
          <cell r="F312" t="str">
            <v>M</v>
          </cell>
          <cell r="G312" t="str">
            <v>Abu MD. Rifat Imtiaz</v>
          </cell>
        </row>
        <row r="313">
          <cell r="C313">
            <v>171383</v>
          </cell>
          <cell r="D313" t="str">
            <v>Genex130</v>
          </cell>
          <cell r="E313" t="str">
            <v>Rafiqul Islam</v>
          </cell>
          <cell r="F313" t="str">
            <v>M</v>
          </cell>
          <cell r="G313" t="str">
            <v>Mohammad Joshim</v>
          </cell>
        </row>
        <row r="314">
          <cell r="C314">
            <v>171384</v>
          </cell>
          <cell r="D314" t="str">
            <v>Genex131</v>
          </cell>
          <cell r="E314" t="str">
            <v>Md. Mehadi Hasan Sany</v>
          </cell>
          <cell r="F314" t="str">
            <v>M</v>
          </cell>
          <cell r="G314" t="str">
            <v>Nasir Uddin</v>
          </cell>
        </row>
        <row r="315">
          <cell r="C315">
            <v>171386</v>
          </cell>
          <cell r="D315" t="str">
            <v>Genex134</v>
          </cell>
          <cell r="E315" t="str">
            <v>Hasibul Islam</v>
          </cell>
          <cell r="F315" t="str">
            <v>M</v>
          </cell>
          <cell r="G315" t="str">
            <v>Md. Tanjir Ahmed</v>
          </cell>
        </row>
        <row r="316">
          <cell r="C316">
            <v>171387</v>
          </cell>
          <cell r="D316" t="str">
            <v>Genex135</v>
          </cell>
          <cell r="E316" t="str">
            <v xml:space="preserve">Tajbiul Haque </v>
          </cell>
          <cell r="F316" t="str">
            <v>M</v>
          </cell>
          <cell r="G316" t="str">
            <v>Rakib Ahsan</v>
          </cell>
        </row>
        <row r="317">
          <cell r="C317">
            <v>171424</v>
          </cell>
          <cell r="D317" t="str">
            <v>Genex149</v>
          </cell>
          <cell r="E317" t="str">
            <v>Mohammad Nasim</v>
          </cell>
          <cell r="F317" t="str">
            <v>M</v>
          </cell>
          <cell r="G317" t="str">
            <v>Rakib Ahsan</v>
          </cell>
        </row>
        <row r="318">
          <cell r="C318">
            <v>171425</v>
          </cell>
          <cell r="D318" t="str">
            <v>Genex150</v>
          </cell>
          <cell r="E318" t="str">
            <v>Ashikuzzaman</v>
          </cell>
          <cell r="F318" t="str">
            <v>M</v>
          </cell>
          <cell r="G318" t="str">
            <v>Md. Tanjir Ahmed</v>
          </cell>
        </row>
        <row r="319">
          <cell r="C319">
            <v>171430</v>
          </cell>
          <cell r="D319" t="str">
            <v>Genex155</v>
          </cell>
          <cell r="E319" t="str">
            <v>Prince paul joy</v>
          </cell>
          <cell r="F319" t="str">
            <v>M</v>
          </cell>
          <cell r="G319" t="str">
            <v>Mohammad Joshim</v>
          </cell>
        </row>
        <row r="320">
          <cell r="C320">
            <v>171431</v>
          </cell>
          <cell r="D320" t="str">
            <v>Genex156</v>
          </cell>
          <cell r="E320" t="str">
            <v>sajib sutra dhar</v>
          </cell>
          <cell r="F320" t="str">
            <v>M</v>
          </cell>
          <cell r="G320" t="str">
            <v>Rakib Ahsan</v>
          </cell>
        </row>
        <row r="321">
          <cell r="C321">
            <v>171478</v>
          </cell>
          <cell r="D321" t="str">
            <v>Genex165</v>
          </cell>
          <cell r="E321" t="str">
            <v>Rakibul Hassan Pallob</v>
          </cell>
          <cell r="F321" t="str">
            <v>M</v>
          </cell>
          <cell r="G321" t="str">
            <v>Nasir Uddin</v>
          </cell>
        </row>
        <row r="322">
          <cell r="C322">
            <v>171483</v>
          </cell>
          <cell r="D322" t="str">
            <v>Genex170</v>
          </cell>
          <cell r="E322" t="str">
            <v>Sourov Ahamed</v>
          </cell>
          <cell r="F322" t="str">
            <v>M</v>
          </cell>
          <cell r="G322" t="str">
            <v>Abu MD. Rifat Imtiaz</v>
          </cell>
        </row>
        <row r="323">
          <cell r="C323">
            <v>171509</v>
          </cell>
          <cell r="D323" t="str">
            <v>Genex172</v>
          </cell>
          <cell r="E323" t="str">
            <v>Sadman Rashid Rohaan</v>
          </cell>
          <cell r="F323" t="str">
            <v>M</v>
          </cell>
          <cell r="G323" t="str">
            <v>Md. Tanjir Ahmed</v>
          </cell>
        </row>
        <row r="324">
          <cell r="C324">
            <v>171512</v>
          </cell>
          <cell r="D324" t="str">
            <v>Genex175</v>
          </cell>
          <cell r="E324" t="str">
            <v>MD. Sumon shardar</v>
          </cell>
          <cell r="F324" t="str">
            <v>M</v>
          </cell>
          <cell r="G324" t="str">
            <v>Md. Tanjir Ahmed</v>
          </cell>
        </row>
        <row r="325">
          <cell r="C325">
            <v>171515</v>
          </cell>
          <cell r="D325" t="str">
            <v>Genex180</v>
          </cell>
          <cell r="E325" t="str">
            <v>MD. Apu moral</v>
          </cell>
          <cell r="F325" t="str">
            <v>M</v>
          </cell>
          <cell r="G325" t="str">
            <v>Md. Tanjir Ahmed</v>
          </cell>
        </row>
        <row r="326">
          <cell r="C326">
            <v>171516</v>
          </cell>
          <cell r="D326" t="str">
            <v>Genex181</v>
          </cell>
          <cell r="E326" t="str">
            <v>MD. Shoriful islam</v>
          </cell>
          <cell r="F326" t="str">
            <v>M</v>
          </cell>
          <cell r="G326" t="str">
            <v>Nasir Uddin</v>
          </cell>
        </row>
        <row r="327">
          <cell r="C327">
            <v>171518</v>
          </cell>
          <cell r="D327" t="str">
            <v>Genex184</v>
          </cell>
          <cell r="E327" t="str">
            <v>MD. Siyam hossain</v>
          </cell>
          <cell r="F327" t="str">
            <v>M</v>
          </cell>
          <cell r="G327" t="str">
            <v>Nasir Uddin</v>
          </cell>
        </row>
        <row r="328">
          <cell r="C328">
            <v>171522</v>
          </cell>
          <cell r="D328" t="str">
            <v>Genex188</v>
          </cell>
          <cell r="E328" t="str">
            <v>MD Ashikur rahman</v>
          </cell>
          <cell r="F328" t="str">
            <v>M</v>
          </cell>
          <cell r="G328" t="str">
            <v>Abu MD. Rifat Imtiaz</v>
          </cell>
        </row>
        <row r="329">
          <cell r="C329">
            <v>171525</v>
          </cell>
          <cell r="D329" t="str">
            <v>Genex191</v>
          </cell>
          <cell r="E329" t="str">
            <v>Habibur Rahman</v>
          </cell>
          <cell r="F329" t="str">
            <v>M</v>
          </cell>
          <cell r="G329" t="str">
            <v>Mohammad Joshim</v>
          </cell>
        </row>
        <row r="330">
          <cell r="C330">
            <v>171526</v>
          </cell>
          <cell r="D330" t="str">
            <v>Genex193</v>
          </cell>
          <cell r="E330" t="str">
            <v>MD. Tarikul islam</v>
          </cell>
          <cell r="F330" t="str">
            <v>M</v>
          </cell>
          <cell r="G330" t="str">
            <v>Rakib Ahsan</v>
          </cell>
        </row>
        <row r="331">
          <cell r="C331">
            <v>171528</v>
          </cell>
          <cell r="D331" t="str">
            <v>Genex195</v>
          </cell>
          <cell r="E331" t="str">
            <v>Jahirul talukder</v>
          </cell>
          <cell r="F331" t="str">
            <v>M</v>
          </cell>
          <cell r="G331" t="str">
            <v>Rakib Ahsan</v>
          </cell>
        </row>
        <row r="332">
          <cell r="C332">
            <v>171533</v>
          </cell>
          <cell r="D332" t="str">
            <v>Genex204</v>
          </cell>
          <cell r="E332" t="str">
            <v>Ashik reja</v>
          </cell>
          <cell r="F332" t="str">
            <v>M</v>
          </cell>
          <cell r="G332" t="str">
            <v>Rakib Ahsan</v>
          </cell>
        </row>
        <row r="333">
          <cell r="C333">
            <v>171571</v>
          </cell>
          <cell r="D333" t="str">
            <v>Genex212</v>
          </cell>
          <cell r="E333" t="str">
            <v>Tuzammal Hossin Masum</v>
          </cell>
          <cell r="F333" t="str">
            <v>M</v>
          </cell>
          <cell r="G333" t="str">
            <v>Mohammad Joshim</v>
          </cell>
        </row>
        <row r="334">
          <cell r="C334">
            <v>171572</v>
          </cell>
          <cell r="D334" t="str">
            <v>Genex213</v>
          </cell>
          <cell r="E334" t="str">
            <v>Md. Saiful Islam</v>
          </cell>
          <cell r="F334" t="str">
            <v>M</v>
          </cell>
          <cell r="G334" t="str">
            <v>Abu MD. Rifat Imtiaz</v>
          </cell>
        </row>
        <row r="335">
          <cell r="C335">
            <v>171583</v>
          </cell>
          <cell r="D335" t="str">
            <v>Genex224</v>
          </cell>
          <cell r="E335" t="str">
            <v>Abu Bakar Siddik</v>
          </cell>
          <cell r="F335" t="str">
            <v>M</v>
          </cell>
          <cell r="G335" t="str">
            <v>Md. Tanjir Ahmed</v>
          </cell>
        </row>
        <row r="336">
          <cell r="C336">
            <v>171592</v>
          </cell>
          <cell r="D336" t="str">
            <v>Genex233</v>
          </cell>
          <cell r="E336" t="str">
            <v>Joy Kumar Sarker</v>
          </cell>
          <cell r="F336" t="str">
            <v>M</v>
          </cell>
          <cell r="G336" t="str">
            <v>Md. Tanjir Ahmed</v>
          </cell>
        </row>
        <row r="337">
          <cell r="C337">
            <v>171646</v>
          </cell>
          <cell r="D337" t="str">
            <v>Genex242</v>
          </cell>
          <cell r="E337" t="str">
            <v>Md Ridoy Mia</v>
          </cell>
          <cell r="F337" t="str">
            <v>M</v>
          </cell>
          <cell r="G337" t="str">
            <v>Rakib Ahsan</v>
          </cell>
        </row>
        <row r="338">
          <cell r="C338">
            <v>171648</v>
          </cell>
          <cell r="D338" t="str">
            <v>Genex244</v>
          </cell>
          <cell r="E338" t="str">
            <v>Alauddin</v>
          </cell>
          <cell r="F338" t="str">
            <v>M</v>
          </cell>
          <cell r="G338" t="str">
            <v>Abu MD. Rifat Imtiaz</v>
          </cell>
        </row>
        <row r="339">
          <cell r="C339">
            <v>171652</v>
          </cell>
          <cell r="D339" t="str">
            <v>Genex248</v>
          </cell>
          <cell r="E339" t="str">
            <v>Mohmmad Nurul Islam Emon</v>
          </cell>
          <cell r="F339" t="str">
            <v>M</v>
          </cell>
          <cell r="G339" t="str">
            <v>Abu MD. Rifat Imtiaz</v>
          </cell>
        </row>
        <row r="340">
          <cell r="C340">
            <v>171655</v>
          </cell>
          <cell r="D340" t="str">
            <v>Genex251</v>
          </cell>
          <cell r="E340" t="str">
            <v>Md.Rashaduzzaman</v>
          </cell>
          <cell r="F340" t="str">
            <v>M</v>
          </cell>
          <cell r="G340" t="str">
            <v>Rakib Ahsan</v>
          </cell>
        </row>
        <row r="341">
          <cell r="C341">
            <v>171659</v>
          </cell>
          <cell r="D341" t="str">
            <v>Genex255</v>
          </cell>
          <cell r="E341" t="str">
            <v>Abdur Rahim</v>
          </cell>
          <cell r="F341" t="str">
            <v>M</v>
          </cell>
          <cell r="G341" t="str">
            <v>Mohammad Joshim</v>
          </cell>
        </row>
        <row r="342">
          <cell r="C342">
            <v>171664</v>
          </cell>
          <cell r="D342" t="str">
            <v>Genex260</v>
          </cell>
          <cell r="E342" t="str">
            <v>Debjit karmakar</v>
          </cell>
          <cell r="F342" t="str">
            <v>M</v>
          </cell>
          <cell r="G342" t="str">
            <v>Mohammad Joshim</v>
          </cell>
        </row>
        <row r="343">
          <cell r="C343">
            <v>171615</v>
          </cell>
          <cell r="D343" t="str">
            <v>Genex262</v>
          </cell>
          <cell r="E343" t="str">
            <v>Md Khairul Islam</v>
          </cell>
          <cell r="F343" t="str">
            <v>M</v>
          </cell>
          <cell r="G343" t="str">
            <v>Nasir Uddin</v>
          </cell>
        </row>
        <row r="344">
          <cell r="C344">
            <v>171827</v>
          </cell>
          <cell r="D344" t="str">
            <v>Genex265</v>
          </cell>
          <cell r="E344" t="str">
            <v>Md Faysal Ahmed</v>
          </cell>
          <cell r="F344" t="str">
            <v>M</v>
          </cell>
          <cell r="G344" t="str">
            <v>Nasir Uddin</v>
          </cell>
        </row>
        <row r="345">
          <cell r="C345">
            <v>171820</v>
          </cell>
          <cell r="D345" t="str">
            <v>Genex270</v>
          </cell>
          <cell r="E345" t="str">
            <v>MD Aminul Islam</v>
          </cell>
          <cell r="F345" t="str">
            <v>M</v>
          </cell>
          <cell r="G345" t="str">
            <v>Nasir Uddin</v>
          </cell>
        </row>
        <row r="346">
          <cell r="C346">
            <v>171861</v>
          </cell>
          <cell r="D346" t="str">
            <v>Genex278</v>
          </cell>
          <cell r="E346" t="str">
            <v>Mahmudul Hasan masum</v>
          </cell>
          <cell r="F346" t="str">
            <v>M</v>
          </cell>
          <cell r="G346" t="str">
            <v>Abu MD. Rifat Imtiaz</v>
          </cell>
        </row>
        <row r="347">
          <cell r="C347">
            <v>171895</v>
          </cell>
          <cell r="D347" t="str">
            <v>Genex284</v>
          </cell>
          <cell r="E347" t="str">
            <v>Md Shohag Hasan Rabbi</v>
          </cell>
          <cell r="F347" t="str">
            <v>M</v>
          </cell>
          <cell r="G347" t="str">
            <v>Md. Tanjir Ahmed</v>
          </cell>
        </row>
        <row r="348">
          <cell r="C348">
            <v>171897</v>
          </cell>
          <cell r="D348" t="str">
            <v>Genex286</v>
          </cell>
          <cell r="E348" t="str">
            <v>Md. Imran Hassan</v>
          </cell>
          <cell r="F348" t="str">
            <v>M</v>
          </cell>
          <cell r="G348" t="str">
            <v>Abu MD. Rifat Imtiaz</v>
          </cell>
        </row>
        <row r="349">
          <cell r="C349">
            <v>171902</v>
          </cell>
          <cell r="D349" t="str">
            <v>Genex290</v>
          </cell>
          <cell r="E349" t="str">
            <v>Sazzad hossain</v>
          </cell>
          <cell r="F349" t="str">
            <v>M</v>
          </cell>
          <cell r="G349" t="str">
            <v>Nasir Uddin</v>
          </cell>
        </row>
        <row r="350">
          <cell r="C350">
            <v>171905</v>
          </cell>
          <cell r="D350" t="str">
            <v>Genex293</v>
          </cell>
          <cell r="E350" t="str">
            <v>Didarul Islam</v>
          </cell>
          <cell r="F350" t="str">
            <v>M</v>
          </cell>
          <cell r="G350" t="str">
            <v>Md. Tanjir Ahmed</v>
          </cell>
        </row>
        <row r="351">
          <cell r="C351">
            <v>171927</v>
          </cell>
          <cell r="D351" t="str">
            <v>Genex295</v>
          </cell>
          <cell r="E351" t="str">
            <v>Md. Rabiul Alam Sani</v>
          </cell>
          <cell r="F351" t="str">
            <v>M</v>
          </cell>
          <cell r="G351" t="str">
            <v>Abu MD. Rifat Imtiaz</v>
          </cell>
        </row>
        <row r="352">
          <cell r="C352">
            <v>171938</v>
          </cell>
          <cell r="D352" t="str">
            <v>Genex306</v>
          </cell>
          <cell r="E352" t="str">
            <v>Sharif husein</v>
          </cell>
          <cell r="F352" t="str">
            <v>M</v>
          </cell>
          <cell r="G352" t="str">
            <v>Mohammad Joshim</v>
          </cell>
        </row>
        <row r="353">
          <cell r="C353">
            <v>171961</v>
          </cell>
          <cell r="D353" t="str">
            <v>Genex310</v>
          </cell>
          <cell r="E353" t="str">
            <v>Refat hosen</v>
          </cell>
          <cell r="F353" t="str">
            <v>M</v>
          </cell>
          <cell r="G353" t="str">
            <v>Abu MD. Rifat Imtiaz</v>
          </cell>
        </row>
        <row r="354">
          <cell r="C354">
            <v>171971</v>
          </cell>
          <cell r="D354" t="str">
            <v>Genex320</v>
          </cell>
          <cell r="E354" t="str">
            <v>Nadiruzzaman</v>
          </cell>
          <cell r="F354" t="str">
            <v>M</v>
          </cell>
          <cell r="G354" t="str">
            <v>Md. Tanjir Ahmed</v>
          </cell>
        </row>
        <row r="355">
          <cell r="C355">
            <v>171964</v>
          </cell>
          <cell r="D355" t="str">
            <v>Genex313</v>
          </cell>
          <cell r="E355" t="str">
            <v>Md. Naeem hasan</v>
          </cell>
          <cell r="F355" t="str">
            <v>M</v>
          </cell>
          <cell r="G355" t="str">
            <v>Md. Tanjir Ahmed</v>
          </cell>
        </row>
        <row r="356">
          <cell r="C356">
            <v>171966</v>
          </cell>
          <cell r="D356" t="str">
            <v>Genex315</v>
          </cell>
          <cell r="E356" t="str">
            <v>Antu Biswas</v>
          </cell>
          <cell r="F356" t="str">
            <v>M</v>
          </cell>
          <cell r="G356" t="str">
            <v>Nasir Uddin</v>
          </cell>
        </row>
        <row r="357">
          <cell r="C357">
            <v>171963</v>
          </cell>
          <cell r="D357" t="str">
            <v>Genex312</v>
          </cell>
          <cell r="E357" t="str">
            <v>Md Minhaz Rahman Sharjil</v>
          </cell>
          <cell r="F357" t="str">
            <v>M</v>
          </cell>
          <cell r="G357" t="str">
            <v>Nasir Uddin</v>
          </cell>
        </row>
        <row r="358">
          <cell r="C358">
            <v>171968</v>
          </cell>
          <cell r="D358" t="str">
            <v>Genex317</v>
          </cell>
          <cell r="E358" t="str">
            <v>Ridowan Dewan</v>
          </cell>
          <cell r="F358" t="str">
            <v>M</v>
          </cell>
          <cell r="G358" t="str">
            <v>Mohammad Joshim</v>
          </cell>
        </row>
        <row r="359">
          <cell r="C359">
            <v>171699</v>
          </cell>
          <cell r="D359" t="str">
            <v>GenexJ010</v>
          </cell>
          <cell r="E359" t="str">
            <v>Al Mamun Mizan</v>
          </cell>
          <cell r="F359" t="str">
            <v>M</v>
          </cell>
          <cell r="G359" t="str">
            <v>Mohammad Joshim</v>
          </cell>
        </row>
        <row r="360">
          <cell r="C360">
            <v>171710</v>
          </cell>
          <cell r="D360" t="str">
            <v>GenexJ025</v>
          </cell>
          <cell r="E360" t="str">
            <v>Mohammad Ali</v>
          </cell>
          <cell r="F360" t="str">
            <v>M</v>
          </cell>
          <cell r="G360" t="str">
            <v>Nasir Uddin</v>
          </cell>
        </row>
        <row r="361">
          <cell r="C361">
            <v>171742</v>
          </cell>
          <cell r="D361" t="str">
            <v>GenexJ053</v>
          </cell>
          <cell r="E361" t="str">
            <v>Monoarul Islam Remon</v>
          </cell>
          <cell r="F361" t="str">
            <v>M</v>
          </cell>
          <cell r="G361" t="str">
            <v>Rakib Ahsan</v>
          </cell>
        </row>
        <row r="362">
          <cell r="C362">
            <v>171743</v>
          </cell>
          <cell r="D362" t="str">
            <v>GenexJ054</v>
          </cell>
          <cell r="E362" t="str">
            <v>Md. Sazib Miah</v>
          </cell>
          <cell r="F362" t="str">
            <v>M</v>
          </cell>
          <cell r="G362" t="str">
            <v>Rakib Ahsan</v>
          </cell>
        </row>
        <row r="363">
          <cell r="C363">
            <v>171745</v>
          </cell>
          <cell r="D363" t="str">
            <v>GenexJ056</v>
          </cell>
          <cell r="E363" t="str">
            <v>Md. Tanzim Ahmed</v>
          </cell>
          <cell r="F363" t="str">
            <v>M</v>
          </cell>
          <cell r="G363" t="str">
            <v>Abu MD. Rifat Imtiaz</v>
          </cell>
        </row>
        <row r="364">
          <cell r="C364">
            <v>171746</v>
          </cell>
          <cell r="D364" t="str">
            <v>GenexJ057</v>
          </cell>
          <cell r="E364" t="str">
            <v>Utsha Sarkar Ananda</v>
          </cell>
          <cell r="F364" t="str">
            <v>M</v>
          </cell>
          <cell r="G364" t="str">
            <v>Abu MD. Rifat Imtiaz</v>
          </cell>
        </row>
        <row r="365">
          <cell r="C365">
            <v>171750</v>
          </cell>
          <cell r="D365" t="str">
            <v>GenexJ061</v>
          </cell>
          <cell r="E365" t="str">
            <v>Nabil Ahmed</v>
          </cell>
          <cell r="F365" t="str">
            <v>M</v>
          </cell>
          <cell r="G365" t="str">
            <v>Md. Tanjir Ahmed</v>
          </cell>
        </row>
        <row r="366">
          <cell r="C366">
            <v>171752</v>
          </cell>
          <cell r="D366" t="str">
            <v>GenexJ063</v>
          </cell>
          <cell r="E366" t="str">
            <v>Sharuar Hossan</v>
          </cell>
          <cell r="F366" t="str">
            <v>M</v>
          </cell>
          <cell r="G366" t="str">
            <v>Nasir Uddin</v>
          </cell>
        </row>
        <row r="367">
          <cell r="C367">
            <v>171753</v>
          </cell>
          <cell r="D367" t="str">
            <v>GenexJ064</v>
          </cell>
          <cell r="E367" t="str">
            <v>Ahmed sabbir</v>
          </cell>
          <cell r="F367" t="str">
            <v>M</v>
          </cell>
          <cell r="G367" t="str">
            <v>Abu MD. Rifat Imtiaz</v>
          </cell>
        </row>
        <row r="368">
          <cell r="C368">
            <v>171755</v>
          </cell>
          <cell r="D368" t="str">
            <v>GenexJ066</v>
          </cell>
          <cell r="E368" t="str">
            <v>Md. Zubayer Al Mahmud</v>
          </cell>
          <cell r="F368" t="str">
            <v>M</v>
          </cell>
          <cell r="G368" t="str">
            <v>Rakib Ahsan</v>
          </cell>
        </row>
        <row r="369">
          <cell r="C369">
            <v>171995</v>
          </cell>
          <cell r="D369" t="str">
            <v>Genex327</v>
          </cell>
          <cell r="E369" t="str">
            <v>Khandaker Nurul Arifin</v>
          </cell>
          <cell r="F369" t="str">
            <v>M</v>
          </cell>
          <cell r="G369" t="str">
            <v>Md. Tanjir Ahmed</v>
          </cell>
        </row>
        <row r="370">
          <cell r="C370">
            <v>171993</v>
          </cell>
          <cell r="D370" t="str">
            <v>Genex325</v>
          </cell>
          <cell r="E370" t="str">
            <v xml:space="preserve">Istiaque Ahamed </v>
          </cell>
          <cell r="F370" t="str">
            <v>M</v>
          </cell>
          <cell r="G370" t="str">
            <v>Nasir Uddin</v>
          </cell>
        </row>
        <row r="371">
          <cell r="C371">
            <v>171992</v>
          </cell>
          <cell r="D371" t="str">
            <v>Genex324</v>
          </cell>
          <cell r="E371" t="str">
            <v xml:space="preserve">Liton Kumar Biswas </v>
          </cell>
          <cell r="F371" t="str">
            <v>M</v>
          </cell>
          <cell r="G371" t="str">
            <v>Abu MD. Rifat Imtiaz</v>
          </cell>
        </row>
        <row r="372">
          <cell r="C372">
            <v>171994</v>
          </cell>
          <cell r="D372" t="str">
            <v>Genex326</v>
          </cell>
          <cell r="E372" t="str">
            <v>MD.FAISAL</v>
          </cell>
          <cell r="F372" t="str">
            <v>M</v>
          </cell>
          <cell r="G372" t="str">
            <v>Mohammad Joshim</v>
          </cell>
        </row>
        <row r="373">
          <cell r="C373">
            <v>171997</v>
          </cell>
          <cell r="D373" t="str">
            <v>Genex329</v>
          </cell>
          <cell r="E373" t="str">
            <v>Md. Jahid Hasan Prince</v>
          </cell>
          <cell r="F373" t="str">
            <v>M</v>
          </cell>
          <cell r="G373" t="str">
            <v>Rakib Ahsan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6" Type="http://schemas.openxmlformats.org/officeDocument/2006/relationships/hyperlink" Target="mailto:ornopislam1915@gmail.com" TargetMode="External"/><Relationship Id="rId111" Type="http://schemas.openxmlformats.org/officeDocument/2006/relationships/hyperlink" Target="mailto:foysal0427@gmail.com" TargetMode="External"/><Relationship Id="rId98" Type="http://schemas.openxmlformats.org/officeDocument/2006/relationships/hyperlink" Target="mailto:jahidrahman267@gmail.com" TargetMode="External"/><Relationship Id="rId90" Type="http://schemas.openxmlformats.org/officeDocument/2006/relationships/hyperlink" Target="mailto:shahoriarnasimrc@gmail.com" TargetMode="External"/><Relationship Id="rId85" Type="http://schemas.openxmlformats.org/officeDocument/2006/relationships/hyperlink" Target="mailto:sharifhuseinbd@gmail.com" TargetMode="External"/><Relationship Id="rId82" Type="http://schemas.openxmlformats.org/officeDocument/2006/relationships/hyperlink" Target="mailto:mdmehedi.hasan@genex.com.bd" TargetMode="External"/><Relationship Id="rId77" Type="http://schemas.openxmlformats.org/officeDocument/2006/relationships/hyperlink" Target="mailto:mohammademon640@gmail.com" TargetMode="External"/><Relationship Id="rId69" Type="http://schemas.openxmlformats.org/officeDocument/2006/relationships/hyperlink" Target="mailto:tanjir.ahmed@genex.com.bd" TargetMode="External"/><Relationship Id="rId125" Type="http://schemas.openxmlformats.org/officeDocument/2006/relationships/hyperlink" Target="mailto:dinislamtansen11@gmail.com" TargetMode="External"/><Relationship Id="rId130" Type="http://schemas.openxmlformats.org/officeDocument/2006/relationships/hyperlink" Target="mailto:durjoy.jeansfellow@gmail.com" TargetMode="External"/><Relationship Id="rId116" Type="http://schemas.openxmlformats.org/officeDocument/2006/relationships/hyperlink" Target="mailto:sheikhsayfullahjnu06@gmail.com" TargetMode="External"/><Relationship Id="rId103" Type="http://schemas.openxmlformats.org/officeDocument/2006/relationships/hyperlink" Target="mailto:iqbal858627@gmail.com" TargetMode="External"/><Relationship Id="rId121" Type="http://schemas.openxmlformats.org/officeDocument/2006/relationships/hyperlink" Target="mailto:sohansahadat49@gmail.com" TargetMode="External"/><Relationship Id="rId108" Type="http://schemas.openxmlformats.org/officeDocument/2006/relationships/hyperlink" Target="mailto:scsingh588@gmail.com" TargetMode="External"/><Relationship Id="rId100" Type="http://schemas.openxmlformats.org/officeDocument/2006/relationships/hyperlink" Target="mailto:rownakaljami191919@gmail.com" TargetMode="External"/><Relationship Id="rId95" Type="http://schemas.openxmlformats.org/officeDocument/2006/relationships/hyperlink" Target="mailto:mahadishihab306@gmail.com" TargetMode="External"/><Relationship Id="rId92" Type="http://schemas.openxmlformats.org/officeDocument/2006/relationships/hyperlink" Target="mailto:sinaahmed968@gmail.com" TargetMode="External"/><Relationship Id="rId87" Type="http://schemas.openxmlformats.org/officeDocument/2006/relationships/hyperlink" Target="mailto:litoneee866@gmail.com" TargetMode="External"/><Relationship Id="rId79" Type="http://schemas.openxmlformats.org/officeDocument/2006/relationships/hyperlink" Target="mailto:debojitkarmaker1998@gmail.com" TargetMode="External"/><Relationship Id="rId74" Type="http://schemas.openxmlformats.org/officeDocument/2006/relationships/hyperlink" Target="mailto:joysarker191@gmail.com" TargetMode="External"/><Relationship Id="rId66" Type="http://schemas.openxmlformats.org/officeDocument/2006/relationships/drawing" Target="../drawings/drawing1.xml"/><Relationship Id="rId127" Type="http://schemas.openxmlformats.org/officeDocument/2006/relationships/hyperlink" Target="mailto:rhtabedin@gmail.com" TargetMode="External"/><Relationship Id="rId71" Type="http://schemas.openxmlformats.org/officeDocument/2006/relationships/hyperlink" Target="http://b.sc/" TargetMode="External"/><Relationship Id="rId113" Type="http://schemas.openxmlformats.org/officeDocument/2006/relationships/hyperlink" Target="mailto:imdadulhaquemilon80@gmail.com" TargetMode="External"/><Relationship Id="rId118" Type="http://schemas.openxmlformats.org/officeDocument/2006/relationships/hyperlink" Target="mailto:siffatkhan00@gmail.com" TargetMode="External"/><Relationship Id="rId110" Type="http://schemas.openxmlformats.org/officeDocument/2006/relationships/hyperlink" Target="mailto:vaskar.ovi@gmail.com" TargetMode="External"/><Relationship Id="rId105" Type="http://schemas.openxmlformats.org/officeDocument/2006/relationships/hyperlink" Target="mailto:mdnayemeee@gmail.com" TargetMode="External"/><Relationship Id="rId102" Type="http://schemas.openxmlformats.org/officeDocument/2006/relationships/hyperlink" Target="http://m.sc/" TargetMode="External"/><Relationship Id="rId97" Type="http://schemas.openxmlformats.org/officeDocument/2006/relationships/hyperlink" Target="mailto:akash.mahadihasan@gmail.com" TargetMode="External"/><Relationship Id="rId89" Type="http://schemas.openxmlformats.org/officeDocument/2006/relationships/hyperlink" Target="mailto:mdmohinuddin.cse@gmail.com" TargetMode="External"/><Relationship Id="rId84" Type="http://schemas.openxmlformats.org/officeDocument/2006/relationships/hyperlink" Target="mailto:rabiulalamsani32450@gmail.com" TargetMode="External"/><Relationship Id="rId76" Type="http://schemas.openxmlformats.org/officeDocument/2006/relationships/hyperlink" Target="mailto:mdalauddinkhanak181@gmail.com" TargetMode="External"/><Relationship Id="rId68" Type="http://schemas.openxmlformats.org/officeDocument/2006/relationships/hyperlink" Target="mailto:tanjirahmed.uibt@gmail.com" TargetMode="External"/><Relationship Id="rId124" Type="http://schemas.openxmlformats.org/officeDocument/2006/relationships/hyperlink" Target="mailto:ahmedmilon5577@gmail.com" TargetMode="External"/><Relationship Id="rId81" Type="http://schemas.openxmlformats.org/officeDocument/2006/relationships/hyperlink" Target="mailto:naimur.rahman@genex.com.bd" TargetMode="External"/><Relationship Id="rId129" Type="http://schemas.openxmlformats.org/officeDocument/2006/relationships/hyperlink" Target="mailto:asmkawsar.job@gmail.com" TargetMode="External"/><Relationship Id="rId120" Type="http://schemas.openxmlformats.org/officeDocument/2006/relationships/hyperlink" Target="mailto:romeo.romareo999@gmail.com" TargetMode="External"/><Relationship Id="rId115" Type="http://schemas.openxmlformats.org/officeDocument/2006/relationships/hyperlink" Target="mailto:jisansordar806@gmail.com" TargetMode="External"/><Relationship Id="rId107" Type="http://schemas.openxmlformats.org/officeDocument/2006/relationships/hyperlink" Target="mailto:jonyakanda655@gmail.com" TargetMode="External"/><Relationship Id="rId99" Type="http://schemas.openxmlformats.org/officeDocument/2006/relationships/hyperlink" Target="mailto:fazilpur33@gmail.com" TargetMode="External"/><Relationship Id="rId94" Type="http://schemas.openxmlformats.org/officeDocument/2006/relationships/hyperlink" Target="mailto:nayeemfahad795@gmail.com" TargetMode="External"/><Relationship Id="rId86" Type="http://schemas.openxmlformats.org/officeDocument/2006/relationships/hyperlink" Target="mailto:istiaqueahamed414@gmail.com" TargetMode="External"/><Relationship Id="rId73" Type="http://schemas.openxmlformats.org/officeDocument/2006/relationships/hyperlink" Target="mailto:amatulzinatt@gmail.com" TargetMode="External"/><Relationship Id="rId112" Type="http://schemas.openxmlformats.org/officeDocument/2006/relationships/hyperlink" Target="mailto:nehalhasan200@gmail.com" TargetMode="External"/><Relationship Id="rId91" Type="http://schemas.openxmlformats.org/officeDocument/2006/relationships/hyperlink" Target="mailto:sayedikhtiaz@gmail.com" TargetMode="External"/><Relationship Id="rId78" Type="http://schemas.openxmlformats.org/officeDocument/2006/relationships/hyperlink" Target="mailto:abdurrahim181878@gmail.com" TargetMode="External"/><Relationship Id="rId70" Type="http://schemas.openxmlformats.org/officeDocument/2006/relationships/hyperlink" Target="mailto:rifat.imtiaz@genex.com.bd" TargetMode="External"/><Relationship Id="rId131" Type="http://schemas.openxmlformats.org/officeDocument/2006/relationships/hyperlink" Target="mailto:mostafamorshed14@gmail.com" TargetMode="External"/><Relationship Id="rId126" Type="http://schemas.openxmlformats.org/officeDocument/2006/relationships/hyperlink" Target="mailto:sazidhasan3102@gmail.com" TargetMode="External"/><Relationship Id="rId117" Type="http://schemas.openxmlformats.org/officeDocument/2006/relationships/hyperlink" Target="mailto:azom323@gmail.com" TargetMode="External"/><Relationship Id="rId109" Type="http://schemas.openxmlformats.org/officeDocument/2006/relationships/hyperlink" Target="mailto:souravmazumdershuvo@gmail.com" TargetMode="External"/><Relationship Id="rId104" Type="http://schemas.openxmlformats.org/officeDocument/2006/relationships/hyperlink" Target="mailto:jahidulislam7434@gmail.com" TargetMode="External"/><Relationship Id="rId96" Type="http://schemas.openxmlformats.org/officeDocument/2006/relationships/hyperlink" Target="mailto:morshedulislam009@gmail.com" TargetMode="External"/><Relationship Id="rId83" Type="http://schemas.openxmlformats.org/officeDocument/2006/relationships/hyperlink" Target="mailto:md.mahmudulhasan648441@gmail.com" TargetMode="External"/><Relationship Id="rId75" Type="http://schemas.openxmlformats.org/officeDocument/2006/relationships/hyperlink" Target="mailto:arhamhridoy@gmail.com" TargetMode="External"/><Relationship Id="rId122" Type="http://schemas.openxmlformats.org/officeDocument/2006/relationships/hyperlink" Target="mailto:nayem575@yahoo.com" TargetMode="External"/><Relationship Id="rId101" Type="http://schemas.openxmlformats.org/officeDocument/2006/relationships/hyperlink" Target="mailto:refathosen671@gmail.com" TargetMode="External"/><Relationship Id="rId88" Type="http://schemas.openxmlformats.org/officeDocument/2006/relationships/hyperlink" Target="mailto:am.faisalmail@gmail.com" TargetMode="External"/><Relationship Id="rId80" Type="http://schemas.openxmlformats.org/officeDocument/2006/relationships/hyperlink" Target="http://m.sc/" TargetMode="External"/><Relationship Id="rId72" Type="http://schemas.openxmlformats.org/officeDocument/2006/relationships/hyperlink" Target="http://b.sc/" TargetMode="External"/><Relationship Id="rId67" Type="http://schemas.openxmlformats.org/officeDocument/2006/relationships/hyperlink" Target="mailto:m.joshim@genex.com.bd" TargetMode="External"/><Relationship Id="rId128" Type="http://schemas.openxmlformats.org/officeDocument/2006/relationships/hyperlink" Target="mailto:sayontalukdar85@gmail.com" TargetMode="External"/><Relationship Id="rId123" Type="http://schemas.openxmlformats.org/officeDocument/2006/relationships/hyperlink" Target="mailto:rimonhowlader01@gmail.com" TargetMode="External"/><Relationship Id="rId119" Type="http://schemas.openxmlformats.org/officeDocument/2006/relationships/hyperlink" Target="mailto:swapon.info1@gmail.com" TargetMode="External"/><Relationship Id="rId114" Type="http://schemas.openxmlformats.org/officeDocument/2006/relationships/hyperlink" Target="mailto:Ishtiaque199815@gmail.com" TargetMode="External"/><Relationship Id="rId93" Type="http://schemas.openxmlformats.org/officeDocument/2006/relationships/hyperlink" Target="mailto:hossainrafi71@gmail.com" TargetMode="External"/></Relationships>
</file>

<file path=xl/worksheets/_rels/sheet2.xml.rels><?xml version="1.0" encoding="UTF-8" standalone="yes"?><Relationships xmlns="http://schemas.openxmlformats.org/package/2006/relationships"><Relationship Id="rId37" Type="http://schemas.openxmlformats.org/officeDocument/2006/relationships/hyperlink" Target="mailto:abdurrahim181878@gmail.com" TargetMode="External"/><Relationship Id="rId32" Type="http://schemas.openxmlformats.org/officeDocument/2006/relationships/hyperlink" Target="mailto:amatulzinatt@gmail.com" TargetMode="External"/><Relationship Id="rId24" Type="http://schemas.openxmlformats.org/officeDocument/2006/relationships/hyperlink" Target="mailto:ibrahimjanyblgp@gmail.com" TargetMode="External"/><Relationship Id="rId11" Type="http://schemas.openxmlformats.org/officeDocument/2006/relationships/hyperlink" Target="mailto:meraj.hossain@genex.com.bd" TargetMode="External"/><Relationship Id="rId29" Type="http://schemas.openxmlformats.org/officeDocument/2006/relationships/hyperlink" Target="mailto:sharifhuseinbd@gmail.com" TargetMode="External"/><Relationship Id="rId16" Type="http://schemas.openxmlformats.org/officeDocument/2006/relationships/hyperlink" Target="mailto:saikul.alam@genex.com.bd" TargetMode="External"/><Relationship Id="rId8" Type="http://schemas.openxmlformats.org/officeDocument/2006/relationships/hyperlink" Target="mailto:nadira.antora@genex.com.bd" TargetMode="External"/><Relationship Id="rId3" Type="http://schemas.openxmlformats.org/officeDocument/2006/relationships/hyperlink" Target="mailto:md.rabby@genex.com.bd" TargetMode="External"/><Relationship Id="rId43" Type="http://schemas.openxmlformats.org/officeDocument/2006/relationships/hyperlink" Target="mailto:sharifhuseinbd@gmail.com" TargetMode="External"/><Relationship Id="rId48" Type="http://schemas.openxmlformats.org/officeDocument/2006/relationships/hyperlink" Target="mailto:rana99138@gamil.com" TargetMode="External"/><Relationship Id="rId34" Type="http://schemas.openxmlformats.org/officeDocument/2006/relationships/hyperlink" Target="mailto:arhamhridoy@gmail.com" TargetMode="External"/><Relationship Id="rId21" Type="http://schemas.openxmlformats.org/officeDocument/2006/relationships/hyperlink" Target="http://b.sc/" TargetMode="External"/><Relationship Id="rId39" Type="http://schemas.openxmlformats.org/officeDocument/2006/relationships/hyperlink" Target="http://m.sc/" TargetMode="External"/><Relationship Id="rId26" Type="http://schemas.openxmlformats.org/officeDocument/2006/relationships/hyperlink" Target="mailto:shorifulshanto1999@gmail.com" TargetMode="External"/><Relationship Id="rId18" Type="http://schemas.openxmlformats.org/officeDocument/2006/relationships/hyperlink" Target="mailto:jakiasultanasumi159@gmail.com" TargetMode="External"/><Relationship Id="rId13" Type="http://schemas.openxmlformats.org/officeDocument/2006/relationships/hyperlink" Target="mailto:sharaban.shammi@genex.com.bd" TargetMode="External"/><Relationship Id="rId10" Type="http://schemas.openxmlformats.org/officeDocument/2006/relationships/hyperlink" Target="mailto:mushfeka.hossain@genex.com.bd" TargetMode="External"/><Relationship Id="rId5" Type="http://schemas.openxmlformats.org/officeDocument/2006/relationships/hyperlink" Target="mailto:mahdir.hossain@genex.com.bd" TargetMode="External"/><Relationship Id="rId45" Type="http://schemas.openxmlformats.org/officeDocument/2006/relationships/hyperlink" Target="http://m.sc/" TargetMode="External"/><Relationship Id="rId35" Type="http://schemas.openxmlformats.org/officeDocument/2006/relationships/hyperlink" Target="mailto:mdalauddinkhanak181@gmail.com" TargetMode="External"/><Relationship Id="rId27" Type="http://schemas.openxmlformats.org/officeDocument/2006/relationships/hyperlink" Target="mailto:mdshifat.official146@gmail.com" TargetMode="External"/><Relationship Id="rId22" Type="http://schemas.openxmlformats.org/officeDocument/2006/relationships/hyperlink" Target="http://b.sc/" TargetMode="External"/><Relationship Id="rId14" Type="http://schemas.openxmlformats.org/officeDocument/2006/relationships/hyperlink" Target="mailto:nabilarahmanruma4@gmail.com" TargetMode="External"/><Relationship Id="rId1" Type="http://schemas.openxmlformats.org/officeDocument/2006/relationships/hyperlink" Target="mailto:khadiza.boby@genex.com.bd" TargetMode="External"/><Relationship Id="rId40" Type="http://schemas.openxmlformats.org/officeDocument/2006/relationships/hyperlink" Target="mailto:mdmehedi.hasan@genex.com.bd" TargetMode="External"/><Relationship Id="rId31" Type="http://schemas.openxmlformats.org/officeDocument/2006/relationships/hyperlink" Target="http://b.sc/" TargetMode="External"/><Relationship Id="rId19" Type="http://schemas.openxmlformats.org/officeDocument/2006/relationships/hyperlink" Target="http://m.sc/" TargetMode="External"/><Relationship Id="rId6" Type="http://schemas.openxmlformats.org/officeDocument/2006/relationships/hyperlink" Target="mailto:abdullah.khan@genex.com.bd" TargetMode="External"/><Relationship Id="rId46" Type="http://schemas.openxmlformats.org/officeDocument/2006/relationships/hyperlink" Target="mailto:jahid.official1555@gmail.com" TargetMode="External"/><Relationship Id="rId41" Type="http://schemas.openxmlformats.org/officeDocument/2006/relationships/hyperlink" Target="mailto:md.mahmudulhasan648441@gmail.com" TargetMode="External"/><Relationship Id="rId36" Type="http://schemas.openxmlformats.org/officeDocument/2006/relationships/hyperlink" Target="mailto:mohammademon640@gmail.com" TargetMode="External"/><Relationship Id="rId28" Type="http://schemas.openxmlformats.org/officeDocument/2006/relationships/hyperlink" Target="mailto:najibullahnajib758@gmail.com" TargetMode="External"/><Relationship Id="rId23" Type="http://schemas.openxmlformats.org/officeDocument/2006/relationships/hyperlink" Target="mailto:ahamedsabbir058@gmil.com" TargetMode="External"/><Relationship Id="rId20" Type="http://schemas.openxmlformats.org/officeDocument/2006/relationships/hyperlink" Target="http://m.sc/" TargetMode="External"/><Relationship Id="rId15" Type="http://schemas.openxmlformats.org/officeDocument/2006/relationships/hyperlink" Target="mailto:saikul.alam@genex.com.bd" TargetMode="External"/><Relationship Id="rId7" Type="http://schemas.openxmlformats.org/officeDocument/2006/relationships/hyperlink" Target="mailto:reyadul.islam@genex.com.bd" TargetMode="External"/><Relationship Id="rId2" Type="http://schemas.openxmlformats.org/officeDocument/2006/relationships/hyperlink" Target="mailto:sakil.ahmed@genex.com.bd" TargetMode="External"/><Relationship Id="rId42" Type="http://schemas.openxmlformats.org/officeDocument/2006/relationships/hyperlink" Target="mailto:rabiulalamsani32450@gmail.com" TargetMode="External"/><Relationship Id="rId47" Type="http://schemas.openxmlformats.org/officeDocument/2006/relationships/hyperlink" Target="mailto:rashedsharif.bd@gmail.com" TargetMode="External"/><Relationship Id="rId38" Type="http://schemas.openxmlformats.org/officeDocument/2006/relationships/hyperlink" Target="mailto:debojitkarmaker1998@gmail.com" TargetMode="External"/><Relationship Id="rId33" Type="http://schemas.openxmlformats.org/officeDocument/2006/relationships/hyperlink" Target="mailto:joysarker191@gmail.com" TargetMode="External"/><Relationship Id="rId25" Type="http://schemas.openxmlformats.org/officeDocument/2006/relationships/hyperlink" Target="mailto:himelkhan9990@gmail.com" TargetMode="External"/><Relationship Id="rId17" Type="http://schemas.openxmlformats.org/officeDocument/2006/relationships/hyperlink" Target="mailto:alaminhusain2686@gmail.com" TargetMode="External"/><Relationship Id="rId12" Type="http://schemas.openxmlformats.org/officeDocument/2006/relationships/hyperlink" Target="mailto:jannatul.ferdous@genex.com.bd" TargetMode="External"/><Relationship Id="rId4" Type="http://schemas.openxmlformats.org/officeDocument/2006/relationships/hyperlink" Target="mailto:yeasin.arafat@genex.com.bd" TargetMode="External"/><Relationship Id="rId30" Type="http://schemas.openxmlformats.org/officeDocument/2006/relationships/hyperlink" Target="mailto:shourovahmed154@gmail.com" TargetMode="External"/><Relationship Id="rId9" Type="http://schemas.openxmlformats.org/officeDocument/2006/relationships/hyperlink" Target="mailto:naznin.munni@genex.com.bd" TargetMode="External"/><Relationship Id="rId44" Type="http://schemas.openxmlformats.org/officeDocument/2006/relationships/hyperlink" Target="mailto:refathosen671@gmail.com" TargetMode="External"/></Relationships>
</file>

<file path=xl/worksheets/_rels/sheet5.xml.rels><?xml version="1.0" encoding="UTF-8" standalone="yes"?><Relationships xmlns="http://schemas.openxmlformats.org/package/2006/relationships"><Relationship Id="rId13" Type="http://schemas.openxmlformats.org/officeDocument/2006/relationships/hyperlink" Target="mailto:mahdir.hossain@genex.com.bd" TargetMode="External"/><Relationship Id="rId8" Type="http://schemas.openxmlformats.org/officeDocument/2006/relationships/hyperlink" Target="mailto:sakil.ahmed@genex.com.bd" TargetMode="External"/><Relationship Id="rId3" Type="http://schemas.openxmlformats.org/officeDocument/2006/relationships/hyperlink" Target="mailto:yeasin.arafat@genex.com.bd" TargetMode="External"/><Relationship Id="rId18" Type="http://schemas.openxmlformats.org/officeDocument/2006/relationships/hyperlink" Target="mailto:meraj.hossain@genex.com.bd" TargetMode="External"/><Relationship Id="rId14" Type="http://schemas.openxmlformats.org/officeDocument/2006/relationships/hyperlink" Target="mailto:nadira.antora@genex.com.bd" TargetMode="External"/><Relationship Id="rId9" Type="http://schemas.openxmlformats.org/officeDocument/2006/relationships/hyperlink" Target="mailto:md.rabby@genex.com.bd" TargetMode="External"/><Relationship Id="rId4" Type="http://schemas.openxmlformats.org/officeDocument/2006/relationships/hyperlink" Target="mailto:rammi.akter@genex.com.bd" TargetMode="External"/><Relationship Id="rId19" Type="http://schemas.openxmlformats.org/officeDocument/2006/relationships/hyperlink" Target="mailto:jannatul.ferdous@genex.com.bd" TargetMode="External"/><Relationship Id="rId5" Type="http://schemas.openxmlformats.org/officeDocument/2006/relationships/hyperlink" Target="mailto:tajim.nur@genex.com.bd" TargetMode="External"/><Relationship Id="rId1" Type="http://schemas.openxmlformats.org/officeDocument/2006/relationships/hyperlink" Target="mailto:fakrul.asif@genex.com.bd" TargetMode="External"/><Relationship Id="rId20" Type="http://schemas.openxmlformats.org/officeDocument/2006/relationships/hyperlink" Target="mailto:sharaban.shammi@genex.com.bd" TargetMode="External"/><Relationship Id="rId15" Type="http://schemas.openxmlformats.org/officeDocument/2006/relationships/hyperlink" Target="mailto:promit.ovi@genex.com.bd" TargetMode="External"/><Relationship Id="rId10" Type="http://schemas.openxmlformats.org/officeDocument/2006/relationships/hyperlink" Target="mailto:yeasin.arafat@genex.com.bd" TargetMode="External"/><Relationship Id="rId16" Type="http://schemas.openxmlformats.org/officeDocument/2006/relationships/hyperlink" Target="mailto:naznin.munni@genex.com.bd" TargetMode="External"/><Relationship Id="rId6" Type="http://schemas.openxmlformats.org/officeDocument/2006/relationships/hyperlink" Target="mailto:touhiduzzaman.bhuiyan@genex.com.bd" TargetMode="External"/><Relationship Id="rId11" Type="http://schemas.openxmlformats.org/officeDocument/2006/relationships/hyperlink" Target="mailto:abdullah.khan@genex.com.bd" TargetMode="External"/><Relationship Id="rId2" Type="http://schemas.openxmlformats.org/officeDocument/2006/relationships/hyperlink" Target="mailto:riad.abdullah@genex.com.bd" TargetMode="External"/><Relationship Id="rId17" Type="http://schemas.openxmlformats.org/officeDocument/2006/relationships/hyperlink" Target="mailto:mushfeka.hossain@genex.com.bd" TargetMode="External"/><Relationship Id="rId12" Type="http://schemas.openxmlformats.org/officeDocument/2006/relationships/hyperlink" Target="mailto:reyadul.islam@genex.com.bd" TargetMode="External"/><Relationship Id="rId7" Type="http://schemas.openxmlformats.org/officeDocument/2006/relationships/hyperlink" Target="mailto:khadiza.boby@genex.com.bd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mailto:mehedi.hasan3@genex.com.bd" TargetMode="External"/><Relationship Id="rId2" Type="http://schemas.openxmlformats.org/officeDocument/2006/relationships/hyperlink" Target="mailto:tanjirahmed.uibt@gmail.com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mailto:ksr62704@gmai.com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386"/>
  <sheetViews>
    <sheetView showGridLines="0" zoomScale="68" zoomScaleNormal="68" workbookViewId="0">
      <pane xSplit="7" ySplit="1" topLeftCell="H2" activePane="bottomRight" state="frozen"/>
      <selection pane="topRight"/>
      <selection pane="bottomLeft"/>
      <selection pane="bottomRight" activeCell="A2" sqref="A2:A386"/>
    </sheetView>
  </sheetViews>
  <sheetFormatPr defaultColWidth="9.109375" defaultRowHeight="25.05" customHeight="1"/>
  <cols>
    <col min="1" max="1" width="16.77734375" customWidth="1" style="67"/>
    <col min="2" max="2" width="18.77734375" customWidth="1" style="67"/>
    <col min="3" max="3" width="27.21875" customWidth="1" style="140"/>
    <col min="4" max="4" width="30.5546875" customWidth="1" style="67"/>
    <col min="5" max="5" width="12.77734375" customWidth="1" style="67"/>
    <col min="6" max="6" width="24.109375" customWidth="1" style="67"/>
    <col min="7" max="7" width="16.33203125" customWidth="1" style="67"/>
    <col min="8" max="8" width="32.77734375" customWidth="1" style="67"/>
    <col min="9" max="9" width="16.77734375" customWidth="1" style="67"/>
    <col min="10" max="10" width="42.6640625" customWidth="1" style="67"/>
    <col min="11" max="11" width="16.77734375" customWidth="1" style="67"/>
    <col min="12" max="12" width="21.21875" customWidth="1" style="67"/>
    <col min="13" max="13" width="32.77734375" customWidth="1" style="67"/>
    <col min="14" max="14" width="24.5546875" customWidth="1" style="67"/>
    <col min="15" max="15" width="21.44140625" customWidth="1" style="67"/>
    <col min="16" max="16" width="18.21875" customWidth="1" style="67"/>
    <col min="17" max="17" width="18.44140625" customWidth="1" style="67"/>
    <col min="18" max="18" width="15" customWidth="1" style="67"/>
    <col min="19" max="19" width="20" customWidth="1" style="67"/>
    <col min="20" max="20" bestFit="1" width="32.88671875" customWidth="1" style="67"/>
    <col min="21" max="21" width="17.77734375" customWidth="1" style="67"/>
    <col min="22" max="22" width="22.21875" customWidth="1" style="67"/>
    <col min="23" max="23" width="43.21875" customWidth="1" style="67"/>
    <col min="24" max="24" width="19.5546875" customWidth="1" style="67"/>
    <col min="25" max="25" width="19.21875" customWidth="1" style="141"/>
    <col min="26" max="26" bestFit="1" width="32.6640625" customWidth="1" style="67"/>
    <col min="27" max="27" width="22.77734375" customWidth="1" style="67"/>
    <col min="28" max="28" width="22.21875" customWidth="1" style="67"/>
    <col min="29" max="29" width="16.77734375" customWidth="1" style="67"/>
    <col min="30" max="30" width="17.5546875" customWidth="1" style="142"/>
    <col min="31" max="31" width="14.109375" customWidth="1" style="67"/>
    <col min="32" max="32" width="13.109375" customWidth="1" style="67"/>
    <col min="33" max="33" width="22.77734375" customWidth="1" style="67"/>
    <col min="34" max="34" width="21.21875" customWidth="1" style="67"/>
    <col min="35" max="35" width="40.44140625" customWidth="1" style="67"/>
    <col min="36" max="36" width="55.77734375" customWidth="1" style="67"/>
    <col min="37" max="37" width="18.77734375" customWidth="1" style="67"/>
    <col min="38" max="38" width="62.21875" customWidth="1" style="140"/>
    <col min="39" max="39" width="35" customWidth="1" style="67"/>
    <col min="40" max="40" width="31.77734375" customWidth="1" style="67"/>
    <col min="41" max="41" width="38.21875" customWidth="1" style="67"/>
    <col min="42" max="42" width="35.6640625" customWidth="1" style="67"/>
    <col min="43" max="43" width="41.77734375" customWidth="1" style="67"/>
    <col min="44" max="44" width="18.109375" customWidth="1" style="67"/>
    <col min="45" max="45" width="29.77734375" customWidth="1" style="67"/>
    <col min="46" max="46" width="21.33203125" customWidth="1" style="143"/>
    <col min="47" max="47" width="24.109375" customWidth="1" style="67"/>
    <col min="48" max="48" width="16.21875" customWidth="1" style="144"/>
    <col min="49" max="49" width="22.21875" customWidth="1" style="67"/>
    <col min="50" max="50" width="16.21875" customWidth="1" style="67"/>
    <col min="51" max="51" width="17.21875" customWidth="1" style="67"/>
    <col min="52" max="52" width="16.21875" customWidth="1" style="67"/>
    <col min="53" max="53" width="18.21875" customWidth="1" style="67"/>
    <col min="54" max="55" width="14" customWidth="1" style="67"/>
    <col min="56" max="56" width="19.5546875" customWidth="1" style="67"/>
    <col min="57" max="57" width="19.21875" customWidth="1" style="67"/>
    <col min="58" max="58" width="24.21875" customWidth="1" style="67"/>
    <col min="59" max="59" width="19.77734375" customWidth="1" style="67"/>
    <col min="60" max="60" width="17.21875" customWidth="1" style="67"/>
    <col min="61" max="61" width="21.44140625" customWidth="1" style="67"/>
    <col min="62" max="62" bestFit="1" width="30" customWidth="1" style="67"/>
    <col min="63" max="63" width="21" customWidth="1" style="67"/>
    <col min="64" max="64" width="42.33203125" customWidth="1" style="67"/>
    <col min="65" max="16384" width="9.109375" customWidth="1" style="67"/>
  </cols>
  <sheetData>
    <row r="1" ht="31.2">
      <c r="A1" s="145" t="s">
        <v>0</v>
      </c>
      <c r="B1" s="145" t="s">
        <v>1</v>
      </c>
      <c r="C1" s="145" t="s">
        <v>2</v>
      </c>
      <c r="D1" s="145" t="s">
        <v>3</v>
      </c>
      <c r="E1" s="145" t="s">
        <v>4</v>
      </c>
      <c r="F1" s="145" t="s">
        <v>5</v>
      </c>
      <c r="G1" s="145" t="s">
        <v>6</v>
      </c>
      <c r="H1" s="145" t="s">
        <v>7</v>
      </c>
      <c r="I1" s="145" t="s">
        <v>8</v>
      </c>
      <c r="J1" s="145" t="s">
        <v>9</v>
      </c>
      <c r="K1" s="145" t="s">
        <v>10</v>
      </c>
      <c r="L1" s="145" t="s">
        <v>11</v>
      </c>
      <c r="M1" s="145" t="s">
        <v>12</v>
      </c>
      <c r="N1" s="145" t="s">
        <v>13</v>
      </c>
      <c r="O1" s="145" t="s">
        <v>14</v>
      </c>
      <c r="P1" s="145" t="s">
        <v>15</v>
      </c>
      <c r="Q1" s="145" t="s">
        <v>16</v>
      </c>
      <c r="R1" s="145" t="s">
        <v>17</v>
      </c>
      <c r="S1" s="145" t="s">
        <v>18</v>
      </c>
      <c r="T1" s="145" t="s">
        <v>19</v>
      </c>
      <c r="U1" s="145" t="s">
        <v>20</v>
      </c>
      <c r="V1" s="145" t="s">
        <v>21</v>
      </c>
      <c r="W1" s="145" t="s">
        <v>22</v>
      </c>
      <c r="X1" s="145" t="s">
        <v>23</v>
      </c>
      <c r="Y1" s="146" t="s">
        <v>24</v>
      </c>
      <c r="Z1" s="145" t="s">
        <v>25</v>
      </c>
      <c r="AA1" s="145" t="s">
        <v>26</v>
      </c>
      <c r="AB1" s="145" t="s">
        <v>27</v>
      </c>
      <c r="AC1" s="145" t="s">
        <v>28</v>
      </c>
      <c r="AD1" s="147" t="s">
        <v>29</v>
      </c>
      <c r="AE1" s="145" t="s">
        <v>30</v>
      </c>
      <c r="AF1" s="145" t="s">
        <v>31</v>
      </c>
      <c r="AG1" s="145" t="s">
        <v>32</v>
      </c>
      <c r="AH1" s="145" t="s">
        <v>33</v>
      </c>
      <c r="AI1" s="145" t="s">
        <v>34</v>
      </c>
      <c r="AJ1" s="145" t="s">
        <v>35</v>
      </c>
      <c r="AK1" s="145" t="s">
        <v>36</v>
      </c>
      <c r="AL1" s="145" t="s">
        <v>37</v>
      </c>
      <c r="AM1" s="145" t="s">
        <v>38</v>
      </c>
      <c r="AN1" s="145" t="s">
        <v>39</v>
      </c>
      <c r="AO1" s="145" t="s">
        <v>40</v>
      </c>
      <c r="AP1" s="145" t="s">
        <v>41</v>
      </c>
      <c r="AQ1" s="145" t="s">
        <v>42</v>
      </c>
      <c r="AR1" s="145" t="s">
        <v>43</v>
      </c>
      <c r="AS1" s="145" t="s">
        <v>44</v>
      </c>
      <c r="AT1" s="148" t="s">
        <v>45</v>
      </c>
      <c r="AU1" s="145" t="s">
        <v>46</v>
      </c>
      <c r="AV1" s="149" t="s">
        <v>47</v>
      </c>
      <c r="AW1" s="145" t="s">
        <v>48</v>
      </c>
      <c r="AX1" s="145" t="s">
        <v>49</v>
      </c>
      <c r="AY1" s="145" t="s">
        <v>50</v>
      </c>
      <c r="AZ1" s="145" t="s">
        <v>51</v>
      </c>
      <c r="BA1" s="145" t="s">
        <v>52</v>
      </c>
      <c r="BB1" s="145" t="s">
        <v>53</v>
      </c>
      <c r="BC1" s="145" t="s">
        <v>54</v>
      </c>
      <c r="BD1" s="145" t="s">
        <v>55</v>
      </c>
      <c r="BE1" s="145" t="s">
        <v>56</v>
      </c>
      <c r="BF1" s="145" t="s">
        <v>57</v>
      </c>
      <c r="BG1" s="145" t="s">
        <v>58</v>
      </c>
      <c r="BH1" s="145" t="s">
        <v>59</v>
      </c>
      <c r="BI1" s="145" t="s">
        <v>60</v>
      </c>
      <c r="BJ1" s="145" t="s">
        <v>61</v>
      </c>
      <c r="BK1" s="145" t="s">
        <v>62</v>
      </c>
      <c r="BL1" s="145" t="s">
        <v>63</v>
      </c>
    </row>
    <row r="2" ht="19.95" customHeight="1">
      <c r="A2" s="4">
        <v>171160</v>
      </c>
      <c r="B2" s="4"/>
      <c r="C2" s="55" t="s">
        <v>64</v>
      </c>
      <c r="D2" s="4" t="s">
        <v>65</v>
      </c>
      <c r="E2" s="4" t="s">
        <v>66</v>
      </c>
      <c r="F2" s="55">
        <v>783543</v>
      </c>
      <c r="G2" s="4" t="s">
        <v>67</v>
      </c>
      <c r="H2" s="4" t="s">
        <v>68</v>
      </c>
      <c r="I2" s="4" t="s">
        <v>69</v>
      </c>
      <c r="J2" s="55" t="s">
        <v>70</v>
      </c>
      <c r="K2" s="4" t="s">
        <v>71</v>
      </c>
      <c r="L2" s="4" t="s">
        <v>72</v>
      </c>
      <c r="M2" s="4" t="s">
        <v>73</v>
      </c>
      <c r="N2" s="4" t="s">
        <v>74</v>
      </c>
      <c r="O2" s="4" t="s">
        <v>75</v>
      </c>
      <c r="P2" s="4">
        <v>2</v>
      </c>
      <c r="Q2" s="57">
        <v>45029</v>
      </c>
      <c r="R2" s="57">
        <v>45042</v>
      </c>
      <c r="S2" s="113"/>
      <c r="T2" s="113"/>
      <c r="U2" s="4"/>
      <c r="V2" s="4"/>
      <c r="W2" s="105" t="s">
        <v>76</v>
      </c>
      <c r="X2" s="114">
        <v>1817647164</v>
      </c>
      <c r="Y2" s="55"/>
      <c r="Z2" s="4" t="s">
        <v>77</v>
      </c>
      <c r="AA2" s="4">
        <v>1999087365</v>
      </c>
      <c r="AB2" s="4" t="s">
        <v>78</v>
      </c>
      <c r="AC2" s="4" t="s">
        <v>79</v>
      </c>
      <c r="AD2" s="113">
        <v>34800</v>
      </c>
      <c r="AE2" s="107">
        <f ref="AE2:AE23" t="shared" si="0" ca="1">((TODAY())-AD2)/365</f>
        <v>29.854794520547944</v>
      </c>
      <c r="AF2" s="4" t="s">
        <v>80</v>
      </c>
      <c r="AG2" s="114">
        <v>6854249239</v>
      </c>
      <c r="AH2" s="4" t="s">
        <v>81</v>
      </c>
      <c r="AI2" s="55" t="s">
        <v>82</v>
      </c>
      <c r="AJ2" s="55" t="s">
        <v>81</v>
      </c>
      <c r="AK2" s="55" t="s">
        <v>81</v>
      </c>
      <c r="AL2" s="4" t="s">
        <v>83</v>
      </c>
      <c r="AM2" s="4" t="s">
        <v>84</v>
      </c>
      <c r="AN2" s="4" t="s">
        <v>85</v>
      </c>
      <c r="AO2" s="4" t="s">
        <v>86</v>
      </c>
      <c r="AP2" s="4" t="s">
        <v>87</v>
      </c>
      <c r="AQ2" s="55" t="s">
        <v>88</v>
      </c>
      <c r="AR2" s="4" t="s">
        <v>89</v>
      </c>
      <c r="AS2" s="4"/>
      <c r="AT2" s="72"/>
      <c r="AU2" s="4"/>
      <c r="AV2" s="4"/>
      <c r="AW2" s="4"/>
      <c r="AX2" s="4"/>
      <c r="AY2" s="4"/>
      <c r="AZ2" s="4"/>
      <c r="BA2" s="4" t="s">
        <v>90</v>
      </c>
      <c r="BB2" s="4">
        <v>10800</v>
      </c>
      <c r="BC2" s="4">
        <v>2700</v>
      </c>
      <c r="BD2" s="4">
        <v>0</v>
      </c>
      <c r="BE2" s="4" t="s">
        <v>91</v>
      </c>
      <c r="BF2" s="4">
        <v>161563</v>
      </c>
      <c r="BG2" s="4" t="s">
        <v>92</v>
      </c>
      <c r="BH2" s="4" t="s">
        <v>93</v>
      </c>
      <c r="BI2" s="105"/>
      <c r="BJ2" s="105" t="s">
        <v>94</v>
      </c>
      <c r="BK2" s="4"/>
      <c r="BL2" s="105"/>
    </row>
    <row r="3" ht="19.95" customHeight="1">
      <c r="A3" s="4">
        <v>171033</v>
      </c>
      <c r="B3" s="4"/>
      <c r="C3" s="55" t="s">
        <v>95</v>
      </c>
      <c r="D3" s="4" t="s">
        <v>96</v>
      </c>
      <c r="E3" s="4" t="s">
        <v>66</v>
      </c>
      <c r="F3" s="55">
        <v>1410954595</v>
      </c>
      <c r="G3" s="4" t="s">
        <v>67</v>
      </c>
      <c r="H3" s="4" t="s">
        <v>68</v>
      </c>
      <c r="I3" s="4" t="s">
        <v>69</v>
      </c>
      <c r="J3" s="55" t="s">
        <v>97</v>
      </c>
      <c r="K3" s="4" t="s">
        <v>71</v>
      </c>
      <c r="L3" s="4" t="s">
        <v>72</v>
      </c>
      <c r="M3" s="4" t="s">
        <v>98</v>
      </c>
      <c r="N3" s="4" t="s">
        <v>74</v>
      </c>
      <c r="O3" s="4" t="s">
        <v>75</v>
      </c>
      <c r="P3" s="4">
        <v>3</v>
      </c>
      <c r="Q3" s="57">
        <v>45037</v>
      </c>
      <c r="R3" s="57">
        <v>45044</v>
      </c>
      <c r="S3" s="113"/>
      <c r="T3" s="113"/>
      <c r="U3" s="4"/>
      <c r="V3" s="4"/>
      <c r="W3" s="105" t="s">
        <v>99</v>
      </c>
      <c r="X3" s="114">
        <v>1954838818</v>
      </c>
      <c r="Y3" s="55"/>
      <c r="Z3" s="4" t="s">
        <v>100</v>
      </c>
      <c r="AA3" s="4">
        <v>1913177862</v>
      </c>
      <c r="AB3" s="4" t="s">
        <v>101</v>
      </c>
      <c r="AC3" s="4" t="s">
        <v>102</v>
      </c>
      <c r="AD3" s="113">
        <v>36632</v>
      </c>
      <c r="AE3" s="107">
        <f t="shared" si="0" ca="1"/>
        <v>24.835616438356166</v>
      </c>
      <c r="AF3" s="4" t="s">
        <v>80</v>
      </c>
      <c r="AG3" s="114">
        <v>7364948062</v>
      </c>
      <c r="AH3" s="4" t="s">
        <v>103</v>
      </c>
      <c r="AI3" s="55" t="s">
        <v>104</v>
      </c>
      <c r="AJ3" s="55" t="s">
        <v>105</v>
      </c>
      <c r="AK3" s="55">
        <v>2025</v>
      </c>
      <c r="AL3" s="4" t="s">
        <v>106</v>
      </c>
      <c r="AM3" s="4" t="s">
        <v>100</v>
      </c>
      <c r="AN3" s="4" t="s">
        <v>107</v>
      </c>
      <c r="AO3" s="4" t="s">
        <v>108</v>
      </c>
      <c r="AP3" s="4" t="s">
        <v>108</v>
      </c>
      <c r="AQ3" s="55" t="s">
        <v>109</v>
      </c>
      <c r="AR3" s="4" t="s">
        <v>110</v>
      </c>
      <c r="AS3" s="4"/>
      <c r="AT3" s="72"/>
      <c r="AU3" s="4"/>
      <c r="AV3" s="4"/>
      <c r="AW3" s="4"/>
      <c r="AX3" s="4"/>
      <c r="AY3" s="4"/>
      <c r="AZ3" s="4"/>
      <c r="BA3" s="4" t="s">
        <v>90</v>
      </c>
      <c r="BB3" s="4">
        <v>10800</v>
      </c>
      <c r="BC3" s="4">
        <v>2700</v>
      </c>
      <c r="BD3" s="4">
        <v>0</v>
      </c>
      <c r="BE3" s="4" t="s">
        <v>91</v>
      </c>
      <c r="BF3" s="4">
        <v>160673</v>
      </c>
      <c r="BG3" s="4" t="s">
        <v>92</v>
      </c>
      <c r="BH3" s="4" t="s">
        <v>93</v>
      </c>
      <c r="BI3" s="105"/>
      <c r="BJ3" s="105" t="s">
        <v>111</v>
      </c>
      <c r="BK3" s="4"/>
      <c r="BL3" s="105"/>
    </row>
    <row r="4" ht="19.95" customHeight="1">
      <c r="A4" s="4">
        <v>171036</v>
      </c>
      <c r="B4" s="4"/>
      <c r="C4" s="55" t="s">
        <v>112</v>
      </c>
      <c r="D4" s="4" t="s">
        <v>113</v>
      </c>
      <c r="E4" s="4" t="s">
        <v>114</v>
      </c>
      <c r="F4" s="55">
        <v>1410849604</v>
      </c>
      <c r="G4" s="4" t="s">
        <v>67</v>
      </c>
      <c r="H4" s="4" t="s">
        <v>68</v>
      </c>
      <c r="I4" s="4" t="s">
        <v>69</v>
      </c>
      <c r="J4" s="55" t="s">
        <v>70</v>
      </c>
      <c r="K4" s="4" t="s">
        <v>71</v>
      </c>
      <c r="L4" s="4" t="s">
        <v>72</v>
      </c>
      <c r="M4" s="4" t="s">
        <v>115</v>
      </c>
      <c r="N4" s="4" t="s">
        <v>74</v>
      </c>
      <c r="O4" s="4" t="s">
        <v>75</v>
      </c>
      <c r="P4" s="4">
        <v>3</v>
      </c>
      <c r="Q4" s="57">
        <v>45033</v>
      </c>
      <c r="R4" s="57">
        <v>45040</v>
      </c>
      <c r="S4" s="113"/>
      <c r="T4" s="113"/>
      <c r="U4" s="4"/>
      <c r="V4" s="4"/>
      <c r="W4" s="105" t="s">
        <v>116</v>
      </c>
      <c r="X4" s="114">
        <v>1762033779</v>
      </c>
      <c r="Y4" s="55"/>
      <c r="Z4" s="4" t="s">
        <v>117</v>
      </c>
      <c r="AA4" s="4">
        <v>1705307521</v>
      </c>
      <c r="AB4" s="4" t="s">
        <v>118</v>
      </c>
      <c r="AC4" s="4" t="s">
        <v>119</v>
      </c>
      <c r="AD4" s="113">
        <v>37111</v>
      </c>
      <c r="AE4" s="107">
        <f t="shared" si="0" ca="1"/>
        <v>23.523287671232875</v>
      </c>
      <c r="AF4" s="4" t="s">
        <v>80</v>
      </c>
      <c r="AG4" s="114">
        <v>8713943432</v>
      </c>
      <c r="AH4" s="4" t="s">
        <v>81</v>
      </c>
      <c r="AI4" s="55" t="s">
        <v>104</v>
      </c>
      <c r="AJ4" s="55" t="s">
        <v>120</v>
      </c>
      <c r="AK4" s="55">
        <v>2027</v>
      </c>
      <c r="AL4" s="4" t="s">
        <v>121</v>
      </c>
      <c r="AM4" s="4" t="s">
        <v>122</v>
      </c>
      <c r="AN4" s="4" t="s">
        <v>123</v>
      </c>
      <c r="AO4" s="4" t="s">
        <v>124</v>
      </c>
      <c r="AP4" s="4" t="s">
        <v>125</v>
      </c>
      <c r="AQ4" s="55" t="s">
        <v>126</v>
      </c>
      <c r="AR4" s="4" t="s">
        <v>110</v>
      </c>
      <c r="AS4" s="4"/>
      <c r="AT4" s="72"/>
      <c r="AU4" s="4"/>
      <c r="AV4" s="4"/>
      <c r="AW4" s="4"/>
      <c r="AX4" s="4"/>
      <c r="AY4" s="4"/>
      <c r="AZ4" s="4"/>
      <c r="BA4" s="4" t="s">
        <v>90</v>
      </c>
      <c r="BB4" s="4">
        <v>10800</v>
      </c>
      <c r="BC4" s="4">
        <v>2700</v>
      </c>
      <c r="BD4" s="4">
        <v>0</v>
      </c>
      <c r="BE4" s="4" t="s">
        <v>91</v>
      </c>
      <c r="BF4" s="4">
        <v>160230</v>
      </c>
      <c r="BG4" s="4" t="s">
        <v>92</v>
      </c>
      <c r="BH4" s="4" t="s">
        <v>93</v>
      </c>
      <c r="BI4" s="105"/>
      <c r="BJ4" s="105" t="s">
        <v>127</v>
      </c>
      <c r="BK4" s="4"/>
      <c r="BL4" s="105"/>
    </row>
    <row r="5" ht="19.95" customHeight="1">
      <c r="A5" s="4">
        <v>171046</v>
      </c>
      <c r="B5" s="4"/>
      <c r="C5" s="55" t="s">
        <v>128</v>
      </c>
      <c r="D5" s="4" t="s">
        <v>129</v>
      </c>
      <c r="E5" s="4" t="s">
        <v>114</v>
      </c>
      <c r="F5" s="55">
        <v>1410873646</v>
      </c>
      <c r="G5" s="4" t="s">
        <v>67</v>
      </c>
      <c r="H5" s="4" t="s">
        <v>68</v>
      </c>
      <c r="I5" s="4" t="s">
        <v>69</v>
      </c>
      <c r="J5" s="55" t="s">
        <v>70</v>
      </c>
      <c r="K5" s="4" t="s">
        <v>71</v>
      </c>
      <c r="L5" s="4" t="s">
        <v>72</v>
      </c>
      <c r="M5" s="4" t="s">
        <v>73</v>
      </c>
      <c r="N5" s="4" t="s">
        <v>74</v>
      </c>
      <c r="O5" s="4" t="s">
        <v>75</v>
      </c>
      <c r="P5" s="4">
        <v>3</v>
      </c>
      <c r="Q5" s="57">
        <v>45033</v>
      </c>
      <c r="R5" s="57">
        <v>45040</v>
      </c>
      <c r="S5" s="113"/>
      <c r="T5" s="113"/>
      <c r="U5" s="4"/>
      <c r="V5" s="4"/>
      <c r="W5" s="105" t="s">
        <v>130</v>
      </c>
      <c r="X5" s="114">
        <v>1991760252</v>
      </c>
      <c r="Y5" s="55"/>
      <c r="Z5" s="4" t="s">
        <v>131</v>
      </c>
      <c r="AA5" s="4">
        <v>1941684125</v>
      </c>
      <c r="AB5" s="4" t="s">
        <v>132</v>
      </c>
      <c r="AC5" s="4" t="s">
        <v>133</v>
      </c>
      <c r="AD5" s="113">
        <v>37552</v>
      </c>
      <c r="AE5" s="107">
        <f t="shared" si="0" ca="1"/>
        <v>22.315068493150687</v>
      </c>
      <c r="AF5" s="4" t="s">
        <v>80</v>
      </c>
      <c r="AG5" s="114">
        <v>1514915337</v>
      </c>
      <c r="AH5" s="4" t="s">
        <v>81</v>
      </c>
      <c r="AI5" s="55" t="s">
        <v>104</v>
      </c>
      <c r="AJ5" s="55" t="s">
        <v>120</v>
      </c>
      <c r="AK5" s="55">
        <v>2024</v>
      </c>
      <c r="AL5" s="4" t="s">
        <v>134</v>
      </c>
      <c r="AM5" s="4" t="s">
        <v>135</v>
      </c>
      <c r="AN5" s="4" t="s">
        <v>131</v>
      </c>
      <c r="AO5" s="4" t="s">
        <v>136</v>
      </c>
      <c r="AP5" s="4" t="s">
        <v>137</v>
      </c>
      <c r="AQ5" s="55" t="s">
        <v>138</v>
      </c>
      <c r="AR5" s="4" t="s">
        <v>110</v>
      </c>
      <c r="AS5" s="4"/>
      <c r="AT5" s="72"/>
      <c r="AU5" s="4"/>
      <c r="AV5" s="4"/>
      <c r="AW5" s="4"/>
      <c r="AX5" s="4"/>
      <c r="AY5" s="4"/>
      <c r="AZ5" s="4"/>
      <c r="BA5" s="4" t="s">
        <v>90</v>
      </c>
      <c r="BB5" s="4">
        <v>10800</v>
      </c>
      <c r="BC5" s="4">
        <v>2700</v>
      </c>
      <c r="BD5" s="4">
        <v>0</v>
      </c>
      <c r="BE5" s="4" t="s">
        <v>91</v>
      </c>
      <c r="BF5" s="4">
        <v>161096</v>
      </c>
      <c r="BG5" s="4" t="s">
        <v>92</v>
      </c>
      <c r="BH5" s="4" t="s">
        <v>93</v>
      </c>
      <c r="BI5" s="105"/>
      <c r="BJ5" s="105" t="s">
        <v>139</v>
      </c>
      <c r="BK5" s="4"/>
      <c r="BL5" s="105"/>
    </row>
    <row r="6" ht="19.95" customHeight="1">
      <c r="A6" s="4">
        <v>171061</v>
      </c>
      <c r="B6" s="4"/>
      <c r="C6" s="55" t="s">
        <v>140</v>
      </c>
      <c r="D6" s="4" t="s">
        <v>141</v>
      </c>
      <c r="E6" s="4" t="s">
        <v>66</v>
      </c>
      <c r="F6" s="55">
        <v>1310512668</v>
      </c>
      <c r="G6" s="4" t="s">
        <v>67</v>
      </c>
      <c r="H6" s="4" t="s">
        <v>68</v>
      </c>
      <c r="I6" s="4" t="s">
        <v>69</v>
      </c>
      <c r="J6" s="55" t="s">
        <v>70</v>
      </c>
      <c r="K6" s="4" t="s">
        <v>71</v>
      </c>
      <c r="L6" s="4" t="s">
        <v>72</v>
      </c>
      <c r="M6" s="4" t="s">
        <v>98</v>
      </c>
      <c r="N6" s="4" t="s">
        <v>74</v>
      </c>
      <c r="O6" s="4" t="s">
        <v>75</v>
      </c>
      <c r="P6" s="4">
        <v>3</v>
      </c>
      <c r="Q6" s="57">
        <v>45033</v>
      </c>
      <c r="R6" s="57">
        <v>45064</v>
      </c>
      <c r="S6" s="113"/>
      <c r="T6" s="113"/>
      <c r="U6" s="4"/>
      <c r="V6" s="4"/>
      <c r="W6" s="105" t="s">
        <v>142</v>
      </c>
      <c r="X6" s="114">
        <v>1874098722</v>
      </c>
      <c r="Y6" s="55">
        <v>1936508476</v>
      </c>
      <c r="Z6" s="4" t="s">
        <v>143</v>
      </c>
      <c r="AA6" s="4">
        <v>1725943061</v>
      </c>
      <c r="AB6" s="4" t="s">
        <v>144</v>
      </c>
      <c r="AC6" s="4" t="s">
        <v>133</v>
      </c>
      <c r="AD6" s="113">
        <v>36794</v>
      </c>
      <c r="AE6" s="107">
        <f t="shared" si="0" ca="1"/>
        <v>24.39178082191781</v>
      </c>
      <c r="AF6" s="4" t="s">
        <v>80</v>
      </c>
      <c r="AG6" s="114">
        <v>3764469205</v>
      </c>
      <c r="AH6" s="4" t="s">
        <v>81</v>
      </c>
      <c r="AI6" s="55" t="s">
        <v>104</v>
      </c>
      <c r="AJ6" s="55" t="s">
        <v>145</v>
      </c>
      <c r="AK6" s="55">
        <v>2024</v>
      </c>
      <c r="AL6" s="4" t="s">
        <v>146</v>
      </c>
      <c r="AM6" s="4" t="s">
        <v>147</v>
      </c>
      <c r="AN6" s="4" t="s">
        <v>148</v>
      </c>
      <c r="AO6" s="4" t="s">
        <v>149</v>
      </c>
      <c r="AP6" s="4" t="s">
        <v>150</v>
      </c>
      <c r="AQ6" s="55" t="s">
        <v>151</v>
      </c>
      <c r="AR6" s="4" t="s">
        <v>110</v>
      </c>
      <c r="AS6" s="4"/>
      <c r="AT6" s="72"/>
      <c r="AU6" s="4"/>
      <c r="AV6" s="4"/>
      <c r="AW6" s="4"/>
      <c r="AX6" s="4"/>
      <c r="AY6" s="4"/>
      <c r="AZ6" s="4"/>
      <c r="BA6" s="4" t="s">
        <v>90</v>
      </c>
      <c r="BB6" s="4">
        <v>10800</v>
      </c>
      <c r="BC6" s="4">
        <v>2700</v>
      </c>
      <c r="BD6" s="4">
        <v>0</v>
      </c>
      <c r="BE6" s="4" t="s">
        <v>91</v>
      </c>
      <c r="BF6" s="4">
        <v>161316</v>
      </c>
      <c r="BG6" s="4" t="s">
        <v>92</v>
      </c>
      <c r="BH6" s="4" t="s">
        <v>93</v>
      </c>
      <c r="BI6" s="105"/>
      <c r="BJ6" s="105" t="s">
        <v>152</v>
      </c>
      <c r="BK6" s="4"/>
      <c r="BL6" s="105"/>
    </row>
    <row r="7" ht="19.95" customHeight="1">
      <c r="A7" s="4">
        <v>171070</v>
      </c>
      <c r="B7" s="4"/>
      <c r="C7" s="55" t="s">
        <v>153</v>
      </c>
      <c r="D7" s="4" t="s">
        <v>154</v>
      </c>
      <c r="E7" s="4" t="s">
        <v>114</v>
      </c>
      <c r="F7" s="55">
        <v>1115216787</v>
      </c>
      <c r="G7" s="4" t="s">
        <v>67</v>
      </c>
      <c r="H7" s="4" t="s">
        <v>68</v>
      </c>
      <c r="I7" s="4" t="s">
        <v>69</v>
      </c>
      <c r="J7" s="55" t="s">
        <v>155</v>
      </c>
      <c r="K7" s="4" t="s">
        <v>71</v>
      </c>
      <c r="L7" s="4" t="s">
        <v>72</v>
      </c>
      <c r="M7" s="4" t="s">
        <v>156</v>
      </c>
      <c r="N7" s="4" t="s">
        <v>74</v>
      </c>
      <c r="O7" s="4" t="s">
        <v>75</v>
      </c>
      <c r="P7" s="4">
        <v>8</v>
      </c>
      <c r="Q7" s="57">
        <v>45077</v>
      </c>
      <c r="R7" s="57">
        <v>45093</v>
      </c>
      <c r="S7" s="113"/>
      <c r="T7" s="113"/>
      <c r="U7" s="4"/>
      <c r="V7" s="4"/>
      <c r="W7" s="105" t="s">
        <v>157</v>
      </c>
      <c r="X7" s="114">
        <v>1580817238</v>
      </c>
      <c r="Y7" s="55"/>
      <c r="Z7" s="4" t="s">
        <v>158</v>
      </c>
      <c r="AA7" s="4">
        <v>1771487331</v>
      </c>
      <c r="AB7" s="4" t="s">
        <v>101</v>
      </c>
      <c r="AC7" s="4" t="s">
        <v>79</v>
      </c>
      <c r="AD7" s="113">
        <v>36050</v>
      </c>
      <c r="AE7" s="107">
        <f t="shared" si="0" ca="1"/>
        <v>26.43013698630137</v>
      </c>
      <c r="AF7" s="4" t="s">
        <v>80</v>
      </c>
      <c r="AG7" s="114">
        <v>7802264635</v>
      </c>
      <c r="AH7" s="4" t="s">
        <v>159</v>
      </c>
      <c r="AI7" s="55" t="s">
        <v>160</v>
      </c>
      <c r="AJ7" s="55" t="s">
        <v>81</v>
      </c>
      <c r="AK7" s="55" t="s">
        <v>81</v>
      </c>
      <c r="AL7" s="4" t="s">
        <v>161</v>
      </c>
      <c r="AM7" s="4" t="s">
        <v>158</v>
      </c>
      <c r="AN7" s="4" t="s">
        <v>162</v>
      </c>
      <c r="AO7" s="4" t="s">
        <v>163</v>
      </c>
      <c r="AP7" s="4" t="s">
        <v>164</v>
      </c>
      <c r="AQ7" s="55" t="s">
        <v>165</v>
      </c>
      <c r="AR7" s="4" t="s">
        <v>110</v>
      </c>
      <c r="AS7" s="4"/>
      <c r="AT7" s="72"/>
      <c r="AU7" s="4"/>
      <c r="AV7" s="4"/>
      <c r="AW7" s="4"/>
      <c r="AX7" s="4"/>
      <c r="AY7" s="4"/>
      <c r="AZ7" s="4"/>
      <c r="BA7" s="4" t="s">
        <v>90</v>
      </c>
      <c r="BB7" s="4">
        <v>10800</v>
      </c>
      <c r="BC7" s="4">
        <v>2700</v>
      </c>
      <c r="BD7" s="4">
        <v>1000</v>
      </c>
      <c r="BE7" s="4" t="s">
        <v>166</v>
      </c>
      <c r="BF7" s="4" t="s">
        <v>167</v>
      </c>
      <c r="BG7" s="4" t="s">
        <v>167</v>
      </c>
      <c r="BH7" s="4" t="s">
        <v>168</v>
      </c>
      <c r="BI7" s="105"/>
      <c r="BJ7" s="105" t="s">
        <v>81</v>
      </c>
      <c r="BK7" s="4"/>
      <c r="BL7" s="105"/>
    </row>
    <row r="8" ht="19.95" customHeight="1">
      <c r="A8" s="4">
        <v>171079</v>
      </c>
      <c r="B8" s="4"/>
      <c r="C8" s="55" t="s">
        <v>169</v>
      </c>
      <c r="D8" s="4" t="s">
        <v>170</v>
      </c>
      <c r="E8" s="4" t="s">
        <v>114</v>
      </c>
      <c r="F8" s="55">
        <v>1010997028</v>
      </c>
      <c r="G8" s="4" t="s">
        <v>67</v>
      </c>
      <c r="H8" s="4" t="s">
        <v>68</v>
      </c>
      <c r="I8" s="4" t="s">
        <v>69</v>
      </c>
      <c r="J8" s="55" t="s">
        <v>155</v>
      </c>
      <c r="K8" s="4" t="s">
        <v>71</v>
      </c>
      <c r="L8" s="4" t="s">
        <v>72</v>
      </c>
      <c r="M8" s="4" t="s">
        <v>171</v>
      </c>
      <c r="N8" s="4" t="s">
        <v>74</v>
      </c>
      <c r="O8" s="4" t="s">
        <v>75</v>
      </c>
      <c r="P8" s="4">
        <v>8</v>
      </c>
      <c r="Q8" s="57">
        <v>45077</v>
      </c>
      <c r="R8" s="57">
        <v>45090</v>
      </c>
      <c r="S8" s="113"/>
      <c r="T8" s="113"/>
      <c r="U8" s="4"/>
      <c r="V8" s="4"/>
      <c r="W8" s="105" t="s">
        <v>172</v>
      </c>
      <c r="X8" s="114">
        <v>1823686283</v>
      </c>
      <c r="Y8" s="55">
        <v>1838419319</v>
      </c>
      <c r="Z8" s="4" t="s">
        <v>173</v>
      </c>
      <c r="AA8" s="4">
        <v>1904450040</v>
      </c>
      <c r="AB8" s="4" t="s">
        <v>101</v>
      </c>
      <c r="AC8" s="4" t="s">
        <v>79</v>
      </c>
      <c r="AD8" s="113">
        <v>35942</v>
      </c>
      <c r="AE8" s="107">
        <f t="shared" si="0" ca="1"/>
        <v>26.726027397260275</v>
      </c>
      <c r="AF8" s="4" t="s">
        <v>80</v>
      </c>
      <c r="AG8" s="114">
        <v>3305207247</v>
      </c>
      <c r="AH8" s="4" t="s">
        <v>81</v>
      </c>
      <c r="AI8" s="55" t="s">
        <v>160</v>
      </c>
      <c r="AJ8" s="55" t="s">
        <v>81</v>
      </c>
      <c r="AK8" s="55" t="s">
        <v>81</v>
      </c>
      <c r="AL8" s="4" t="s">
        <v>161</v>
      </c>
      <c r="AM8" s="4" t="s">
        <v>174</v>
      </c>
      <c r="AN8" s="4" t="s">
        <v>175</v>
      </c>
      <c r="AO8" s="4" t="s">
        <v>176</v>
      </c>
      <c r="AP8" s="4" t="s">
        <v>177</v>
      </c>
      <c r="AQ8" s="55" t="s">
        <v>178</v>
      </c>
      <c r="AR8" s="4" t="s">
        <v>89</v>
      </c>
      <c r="AS8" s="4" t="s">
        <v>179</v>
      </c>
      <c r="AT8" s="72">
        <v>37814</v>
      </c>
      <c r="AU8" s="4"/>
      <c r="AV8" s="4"/>
      <c r="AW8" s="4"/>
      <c r="AX8" s="4"/>
      <c r="AY8" s="4"/>
      <c r="AZ8" s="4"/>
      <c r="BA8" s="4" t="s">
        <v>90</v>
      </c>
      <c r="BB8" s="4">
        <v>10800</v>
      </c>
      <c r="BC8" s="4">
        <v>2700</v>
      </c>
      <c r="BD8" s="4">
        <v>1000</v>
      </c>
      <c r="BE8" s="4" t="s">
        <v>166</v>
      </c>
      <c r="BF8" s="4" t="s">
        <v>167</v>
      </c>
      <c r="BG8" s="4" t="s">
        <v>167</v>
      </c>
      <c r="BH8" s="4" t="s">
        <v>168</v>
      </c>
      <c r="BI8" s="105"/>
      <c r="BJ8" s="105" t="s">
        <v>81</v>
      </c>
      <c r="BK8" s="4"/>
      <c r="BL8" s="105"/>
    </row>
    <row r="9" ht="19.95" customHeight="1">
      <c r="A9" s="4">
        <v>171080</v>
      </c>
      <c r="B9" s="4" t="s">
        <v>180</v>
      </c>
      <c r="C9" s="55" t="s">
        <v>181</v>
      </c>
      <c r="D9" s="4" t="s">
        <v>182</v>
      </c>
      <c r="E9" s="4" t="s">
        <v>114</v>
      </c>
      <c r="F9" s="55">
        <v>409458</v>
      </c>
      <c r="G9" s="4" t="s">
        <v>67</v>
      </c>
      <c r="H9" s="4" t="s">
        <v>68</v>
      </c>
      <c r="I9" s="4" t="s">
        <v>69</v>
      </c>
      <c r="J9" s="55" t="s">
        <v>155</v>
      </c>
      <c r="K9" s="4" t="s">
        <v>71</v>
      </c>
      <c r="L9" s="4" t="s">
        <v>72</v>
      </c>
      <c r="M9" s="4" t="s">
        <v>183</v>
      </c>
      <c r="N9" s="4" t="s">
        <v>74</v>
      </c>
      <c r="O9" s="4" t="s">
        <v>75</v>
      </c>
      <c r="P9" s="4">
        <v>8</v>
      </c>
      <c r="Q9" s="57">
        <v>45077</v>
      </c>
      <c r="R9" s="57">
        <v>45093</v>
      </c>
      <c r="S9" s="113"/>
      <c r="T9" s="113"/>
      <c r="U9" s="4"/>
      <c r="V9" s="4"/>
      <c r="W9" s="105" t="s">
        <v>184</v>
      </c>
      <c r="X9" s="114">
        <v>1533970670</v>
      </c>
      <c r="Y9" s="55">
        <v>1838801744</v>
      </c>
      <c r="Z9" s="4" t="s">
        <v>185</v>
      </c>
      <c r="AA9" s="4">
        <v>1737029346</v>
      </c>
      <c r="AB9" s="4" t="s">
        <v>186</v>
      </c>
      <c r="AC9" s="4" t="s">
        <v>102</v>
      </c>
      <c r="AD9" s="113">
        <v>34860</v>
      </c>
      <c r="AE9" s="107">
        <f t="shared" si="0" ca="1"/>
        <v>29.69041095890411</v>
      </c>
      <c r="AF9" s="4" t="s">
        <v>80</v>
      </c>
      <c r="AG9" s="114">
        <v>3278966514</v>
      </c>
      <c r="AH9" s="4" t="s">
        <v>81</v>
      </c>
      <c r="AI9" s="55" t="s">
        <v>187</v>
      </c>
      <c r="AJ9" s="55" t="s">
        <v>81</v>
      </c>
      <c r="AK9" s="55" t="s">
        <v>81</v>
      </c>
      <c r="AL9" s="4" t="s">
        <v>188</v>
      </c>
      <c r="AM9" s="4" t="s">
        <v>189</v>
      </c>
      <c r="AN9" s="4" t="s">
        <v>190</v>
      </c>
      <c r="AO9" s="4" t="s">
        <v>191</v>
      </c>
      <c r="AP9" s="4" t="s">
        <v>192</v>
      </c>
      <c r="AQ9" s="55" t="s">
        <v>88</v>
      </c>
      <c r="AR9" s="4" t="s">
        <v>89</v>
      </c>
      <c r="AS9" s="4" t="s">
        <v>193</v>
      </c>
      <c r="AT9" s="72">
        <v>36974</v>
      </c>
      <c r="AU9" s="4"/>
      <c r="AV9" s="4"/>
      <c r="AW9" s="4"/>
      <c r="AX9" s="4"/>
      <c r="AY9" s="4"/>
      <c r="AZ9" s="4"/>
      <c r="BA9" s="4" t="s">
        <v>90</v>
      </c>
      <c r="BB9" s="4">
        <v>10800</v>
      </c>
      <c r="BC9" s="4">
        <v>2700</v>
      </c>
      <c r="BD9" s="4">
        <v>1000</v>
      </c>
      <c r="BE9" s="4" t="s">
        <v>166</v>
      </c>
      <c r="BF9" s="4" t="s">
        <v>167</v>
      </c>
      <c r="BG9" s="4" t="s">
        <v>167</v>
      </c>
      <c r="BH9" s="4" t="s">
        <v>168</v>
      </c>
      <c r="BI9" s="105"/>
      <c r="BJ9" s="105" t="s">
        <v>81</v>
      </c>
      <c r="BK9" s="4"/>
      <c r="BL9" s="105"/>
    </row>
    <row r="10" ht="19.95" customHeight="1">
      <c r="A10" s="4">
        <v>171083</v>
      </c>
      <c r="B10" s="4"/>
      <c r="C10" s="55" t="s">
        <v>194</v>
      </c>
      <c r="D10" s="4" t="s">
        <v>195</v>
      </c>
      <c r="E10" s="4" t="s">
        <v>114</v>
      </c>
      <c r="F10" s="55">
        <v>983930</v>
      </c>
      <c r="G10" s="4" t="s">
        <v>67</v>
      </c>
      <c r="H10" s="4" t="s">
        <v>68</v>
      </c>
      <c r="I10" s="4" t="s">
        <v>69</v>
      </c>
      <c r="J10" s="55" t="s">
        <v>155</v>
      </c>
      <c r="K10" s="4" t="s">
        <v>71</v>
      </c>
      <c r="L10" s="4" t="s">
        <v>72</v>
      </c>
      <c r="M10" s="4" t="s">
        <v>196</v>
      </c>
      <c r="N10" s="4" t="s">
        <v>74</v>
      </c>
      <c r="O10" s="4" t="s">
        <v>75</v>
      </c>
      <c r="P10" s="4">
        <v>8</v>
      </c>
      <c r="Q10" s="57">
        <v>45077</v>
      </c>
      <c r="R10" s="57">
        <v>45090</v>
      </c>
      <c r="S10" s="113"/>
      <c r="T10" s="113"/>
      <c r="U10" s="4"/>
      <c r="V10" s="4"/>
      <c r="W10" s="105" t="s">
        <v>197</v>
      </c>
      <c r="X10" s="114">
        <v>1918182328</v>
      </c>
      <c r="Y10" s="55">
        <v>1677266500</v>
      </c>
      <c r="Z10" s="4" t="s">
        <v>198</v>
      </c>
      <c r="AA10" s="4">
        <v>1772074726</v>
      </c>
      <c r="AB10" s="4" t="s">
        <v>132</v>
      </c>
      <c r="AC10" s="4" t="s">
        <v>79</v>
      </c>
      <c r="AD10" s="113">
        <v>34611</v>
      </c>
      <c r="AE10" s="107">
        <f t="shared" si="0" ca="1"/>
        <v>30.372602739726027</v>
      </c>
      <c r="AF10" s="4" t="s">
        <v>80</v>
      </c>
      <c r="AG10" s="114">
        <v>19943922901000000</v>
      </c>
      <c r="AH10" s="4" t="s">
        <v>81</v>
      </c>
      <c r="AI10" s="55" t="s">
        <v>187</v>
      </c>
      <c r="AJ10" s="55" t="s">
        <v>81</v>
      </c>
      <c r="AK10" s="55" t="s">
        <v>81</v>
      </c>
      <c r="AL10" s="4" t="s">
        <v>83</v>
      </c>
      <c r="AM10" s="4" t="s">
        <v>199</v>
      </c>
      <c r="AN10" s="4" t="s">
        <v>200</v>
      </c>
      <c r="AO10" s="4" t="s">
        <v>201</v>
      </c>
      <c r="AP10" s="4" t="s">
        <v>202</v>
      </c>
      <c r="AQ10" s="55" t="s">
        <v>203</v>
      </c>
      <c r="AR10" s="4" t="s">
        <v>110</v>
      </c>
      <c r="AS10" s="4"/>
      <c r="AT10" s="72"/>
      <c r="AU10" s="4"/>
      <c r="AV10" s="4"/>
      <c r="AW10" s="4"/>
      <c r="AX10" s="4"/>
      <c r="AY10" s="4"/>
      <c r="AZ10" s="4"/>
      <c r="BA10" s="4" t="s">
        <v>90</v>
      </c>
      <c r="BB10" s="4">
        <v>10800</v>
      </c>
      <c r="BC10" s="4">
        <v>2700</v>
      </c>
      <c r="BD10" s="4">
        <v>1000</v>
      </c>
      <c r="BE10" s="4" t="s">
        <v>166</v>
      </c>
      <c r="BF10" s="4" t="s">
        <v>167</v>
      </c>
      <c r="BG10" s="4" t="s">
        <v>167</v>
      </c>
      <c r="BH10" s="4" t="s">
        <v>168</v>
      </c>
      <c r="BI10" s="105"/>
      <c r="BJ10" s="105" t="s">
        <v>81</v>
      </c>
      <c r="BK10" s="4"/>
      <c r="BL10" s="105"/>
    </row>
    <row r="11" ht="19.95" customHeight="1">
      <c r="A11" s="4">
        <v>171084</v>
      </c>
      <c r="B11" s="4"/>
      <c r="C11" s="55" t="s">
        <v>204</v>
      </c>
      <c r="D11" s="4" t="s">
        <v>205</v>
      </c>
      <c r="E11" s="4" t="s">
        <v>114</v>
      </c>
      <c r="F11" s="55">
        <v>444434</v>
      </c>
      <c r="G11" s="4" t="s">
        <v>67</v>
      </c>
      <c r="H11" s="4" t="s">
        <v>68</v>
      </c>
      <c r="I11" s="4" t="s">
        <v>69</v>
      </c>
      <c r="J11" s="55" t="s">
        <v>155</v>
      </c>
      <c r="K11" s="4" t="s">
        <v>71</v>
      </c>
      <c r="L11" s="4" t="s">
        <v>72</v>
      </c>
      <c r="M11" s="4" t="s">
        <v>183</v>
      </c>
      <c r="N11" s="4" t="s">
        <v>74</v>
      </c>
      <c r="O11" s="4" t="s">
        <v>75</v>
      </c>
      <c r="P11" s="4">
        <v>8</v>
      </c>
      <c r="Q11" s="57">
        <v>45077</v>
      </c>
      <c r="R11" s="57">
        <v>45090</v>
      </c>
      <c r="S11" s="113"/>
      <c r="T11" s="113"/>
      <c r="U11" s="4"/>
      <c r="V11" s="4"/>
      <c r="W11" s="105" t="s">
        <v>206</v>
      </c>
      <c r="X11" s="114">
        <v>1763369092</v>
      </c>
      <c r="Y11" s="55">
        <v>1942908139</v>
      </c>
      <c r="Z11" s="4" t="s">
        <v>207</v>
      </c>
      <c r="AA11" s="4">
        <v>1674937436</v>
      </c>
      <c r="AB11" s="4" t="s">
        <v>132</v>
      </c>
      <c r="AC11" s="4" t="s">
        <v>119</v>
      </c>
      <c r="AD11" s="113">
        <v>35005</v>
      </c>
      <c r="AE11" s="107">
        <f t="shared" si="0" ca="1"/>
        <v>29.293150684931508</v>
      </c>
      <c r="AF11" s="4" t="s">
        <v>80</v>
      </c>
      <c r="AG11" s="114">
        <v>3269692459</v>
      </c>
      <c r="AH11" s="4" t="s">
        <v>81</v>
      </c>
      <c r="AI11" s="55" t="s">
        <v>208</v>
      </c>
      <c r="AJ11" s="55" t="s">
        <v>81</v>
      </c>
      <c r="AK11" s="55" t="s">
        <v>81</v>
      </c>
      <c r="AL11" s="4" t="s">
        <v>209</v>
      </c>
      <c r="AM11" s="4" t="s">
        <v>210</v>
      </c>
      <c r="AN11" s="4" t="s">
        <v>207</v>
      </c>
      <c r="AO11" s="4" t="s">
        <v>211</v>
      </c>
      <c r="AP11" s="4" t="s">
        <v>211</v>
      </c>
      <c r="AQ11" s="55" t="s">
        <v>212</v>
      </c>
      <c r="AR11" s="4" t="s">
        <v>110</v>
      </c>
      <c r="AS11" s="4"/>
      <c r="AT11" s="72"/>
      <c r="AU11" s="4"/>
      <c r="AV11" s="4"/>
      <c r="AW11" s="4"/>
      <c r="AX11" s="4"/>
      <c r="AY11" s="4"/>
      <c r="AZ11" s="4"/>
      <c r="BA11" s="4" t="s">
        <v>90</v>
      </c>
      <c r="BB11" s="4">
        <v>10800</v>
      </c>
      <c r="BC11" s="4">
        <v>2700</v>
      </c>
      <c r="BD11" s="4">
        <v>1000</v>
      </c>
      <c r="BE11" s="4" t="s">
        <v>166</v>
      </c>
      <c r="BF11" s="4" t="s">
        <v>167</v>
      </c>
      <c r="BG11" s="4" t="s">
        <v>167</v>
      </c>
      <c r="BH11" s="4" t="s">
        <v>168</v>
      </c>
      <c r="BI11" s="105"/>
      <c r="BJ11" s="105" t="s">
        <v>81</v>
      </c>
      <c r="BK11" s="4"/>
      <c r="BL11" s="105"/>
    </row>
    <row r="12" ht="19.95" customHeight="1">
      <c r="A12" s="4">
        <v>171088</v>
      </c>
      <c r="B12" s="4"/>
      <c r="C12" s="55"/>
      <c r="D12" s="4" t="s">
        <v>213</v>
      </c>
      <c r="E12" s="4" t="s">
        <v>114</v>
      </c>
      <c r="F12" s="55">
        <v>753417</v>
      </c>
      <c r="G12" s="4" t="s">
        <v>67</v>
      </c>
      <c r="H12" s="4" t="s">
        <v>68</v>
      </c>
      <c r="I12" s="4" t="s">
        <v>69</v>
      </c>
      <c r="J12" s="55" t="s">
        <v>214</v>
      </c>
      <c r="K12" s="4" t="s">
        <v>71</v>
      </c>
      <c r="L12" s="4" t="s">
        <v>72</v>
      </c>
      <c r="M12" s="4" t="s">
        <v>73</v>
      </c>
      <c r="N12" s="4" t="s">
        <v>74</v>
      </c>
      <c r="O12" s="4" t="s">
        <v>75</v>
      </c>
      <c r="P12" s="4">
        <v>10</v>
      </c>
      <c r="Q12" s="57">
        <v>45110</v>
      </c>
      <c r="R12" s="57">
        <v>45113</v>
      </c>
      <c r="S12" s="113"/>
      <c r="T12" s="113"/>
      <c r="U12" s="4"/>
      <c r="V12" s="4"/>
      <c r="W12" s="105" t="s">
        <v>215</v>
      </c>
      <c r="X12" s="114">
        <v>1575014017</v>
      </c>
      <c r="Y12" s="55">
        <v>1642428374</v>
      </c>
      <c r="Z12" s="4" t="s">
        <v>216</v>
      </c>
      <c r="AA12" s="4">
        <v>1724227590</v>
      </c>
      <c r="AB12" s="4" t="s">
        <v>118</v>
      </c>
      <c r="AC12" s="4" t="s">
        <v>79</v>
      </c>
      <c r="AD12" s="113">
        <v>35642</v>
      </c>
      <c r="AE12" s="107">
        <f t="shared" si="0" ca="1"/>
        <v>27.54794520547945</v>
      </c>
      <c r="AF12" s="4" t="s">
        <v>80</v>
      </c>
      <c r="AG12" s="114">
        <v>1951661667</v>
      </c>
      <c r="AH12" s="4" t="s">
        <v>81</v>
      </c>
      <c r="AI12" s="55" t="s">
        <v>217</v>
      </c>
      <c r="AJ12" s="55" t="s">
        <v>81</v>
      </c>
      <c r="AK12" s="55" t="s">
        <v>81</v>
      </c>
      <c r="AL12" s="4" t="s">
        <v>218</v>
      </c>
      <c r="AM12" s="4" t="s">
        <v>219</v>
      </c>
      <c r="AN12" s="4" t="s">
        <v>220</v>
      </c>
      <c r="AO12" s="4" t="s">
        <v>221</v>
      </c>
      <c r="AP12" s="4" t="s">
        <v>222</v>
      </c>
      <c r="AQ12" s="55" t="s">
        <v>223</v>
      </c>
      <c r="AR12" s="4" t="s">
        <v>224</v>
      </c>
      <c r="AS12" s="4"/>
      <c r="AT12" s="72"/>
      <c r="AU12" s="4"/>
      <c r="AV12" s="4"/>
      <c r="AW12" s="4"/>
      <c r="AX12" s="4"/>
      <c r="AY12" s="4"/>
      <c r="AZ12" s="4"/>
      <c r="BA12" s="4" t="s">
        <v>90</v>
      </c>
      <c r="BB12" s="4">
        <v>10800</v>
      </c>
      <c r="BC12" s="4">
        <v>2700</v>
      </c>
      <c r="BD12" s="4">
        <v>0</v>
      </c>
      <c r="BE12" s="4" t="s">
        <v>91</v>
      </c>
      <c r="BF12" s="4" t="s">
        <v>167</v>
      </c>
      <c r="BG12" s="4" t="s">
        <v>167</v>
      </c>
      <c r="BH12" s="4" t="s">
        <v>168</v>
      </c>
      <c r="BI12" s="105"/>
      <c r="BJ12" s="105" t="s">
        <v>81</v>
      </c>
      <c r="BK12" s="4"/>
      <c r="BL12" s="105"/>
    </row>
    <row r="13" ht="19.95" customHeight="1">
      <c r="A13" s="4">
        <v>171101</v>
      </c>
      <c r="B13" s="4"/>
      <c r="C13" s="55"/>
      <c r="D13" s="4" t="s">
        <v>183</v>
      </c>
      <c r="E13" s="4" t="s">
        <v>114</v>
      </c>
      <c r="F13" s="55">
        <v>665061</v>
      </c>
      <c r="G13" s="4" t="s">
        <v>225</v>
      </c>
      <c r="H13" s="4" t="s">
        <v>226</v>
      </c>
      <c r="I13" s="4" t="s">
        <v>69</v>
      </c>
      <c r="J13" s="55" t="s">
        <v>214</v>
      </c>
      <c r="K13" s="4" t="s">
        <v>71</v>
      </c>
      <c r="L13" s="4" t="s">
        <v>72</v>
      </c>
      <c r="M13" s="4" t="s">
        <v>196</v>
      </c>
      <c r="N13" s="4" t="s">
        <v>74</v>
      </c>
      <c r="O13" s="4" t="s">
        <v>75</v>
      </c>
      <c r="P13" s="4">
        <v>10</v>
      </c>
      <c r="Q13" s="57">
        <v>45110</v>
      </c>
      <c r="R13" s="57">
        <v>45113</v>
      </c>
      <c r="S13" s="113">
        <v>45367</v>
      </c>
      <c r="T13" s="113"/>
      <c r="U13" s="4"/>
      <c r="V13" s="4"/>
      <c r="W13" s="105" t="s">
        <v>227</v>
      </c>
      <c r="X13" s="114">
        <v>1909686492</v>
      </c>
      <c r="Y13" s="55">
        <v>1909686497</v>
      </c>
      <c r="Z13" s="4" t="s">
        <v>228</v>
      </c>
      <c r="AA13" s="4">
        <v>1734836888</v>
      </c>
      <c r="AB13" s="4" t="s">
        <v>132</v>
      </c>
      <c r="AC13" s="4" t="s">
        <v>102</v>
      </c>
      <c r="AD13" s="113">
        <v>34996</v>
      </c>
      <c r="AE13" s="107">
        <f t="shared" si="0" ca="1"/>
        <v>29.317808219178083</v>
      </c>
      <c r="AF13" s="4" t="s">
        <v>80</v>
      </c>
      <c r="AG13" s="114">
        <v>2356972600</v>
      </c>
      <c r="AH13" s="4" t="s">
        <v>81</v>
      </c>
      <c r="AI13" s="55" t="s">
        <v>229</v>
      </c>
      <c r="AJ13" s="55" t="s">
        <v>81</v>
      </c>
      <c r="AK13" s="55" t="s">
        <v>81</v>
      </c>
      <c r="AL13" s="4" t="s">
        <v>230</v>
      </c>
      <c r="AM13" s="4" t="s">
        <v>231</v>
      </c>
      <c r="AN13" s="4" t="s">
        <v>228</v>
      </c>
      <c r="AO13" s="4" t="s">
        <v>232</v>
      </c>
      <c r="AP13" s="4" t="s">
        <v>233</v>
      </c>
      <c r="AQ13" s="55" t="s">
        <v>223</v>
      </c>
      <c r="AR13" s="4" t="s">
        <v>224</v>
      </c>
      <c r="AS13" s="4"/>
      <c r="AT13" s="72"/>
      <c r="AU13" s="4"/>
      <c r="AV13" s="4"/>
      <c r="AW13" s="4"/>
      <c r="AX13" s="4"/>
      <c r="AY13" s="4"/>
      <c r="AZ13" s="4"/>
      <c r="BA13" s="4" t="s">
        <v>90</v>
      </c>
      <c r="BB13" s="4">
        <v>14500</v>
      </c>
      <c r="BC13" s="4">
        <v>3500</v>
      </c>
      <c r="BD13" s="4">
        <v>2000</v>
      </c>
      <c r="BE13" s="4" t="s">
        <v>166</v>
      </c>
      <c r="BF13" s="4" t="s">
        <v>167</v>
      </c>
      <c r="BG13" s="4" t="s">
        <v>167</v>
      </c>
      <c r="BH13" s="4" t="s">
        <v>168</v>
      </c>
      <c r="BI13" s="105"/>
      <c r="BJ13" s="105" t="s">
        <v>234</v>
      </c>
      <c r="BK13" s="4"/>
      <c r="BL13" s="105"/>
    </row>
    <row r="14" ht="19.95" customHeight="1">
      <c r="A14" s="4">
        <v>171113</v>
      </c>
      <c r="B14" s="4"/>
      <c r="C14" s="55" t="s">
        <v>235</v>
      </c>
      <c r="D14" s="4" t="s">
        <v>236</v>
      </c>
      <c r="E14" s="4" t="s">
        <v>114</v>
      </c>
      <c r="F14" s="55">
        <v>941507</v>
      </c>
      <c r="G14" s="4" t="s">
        <v>67</v>
      </c>
      <c r="H14" s="4" t="s">
        <v>68</v>
      </c>
      <c r="I14" s="4" t="s">
        <v>69</v>
      </c>
      <c r="J14" s="55" t="s">
        <v>237</v>
      </c>
      <c r="K14" s="4" t="s">
        <v>71</v>
      </c>
      <c r="L14" s="4" t="s">
        <v>72</v>
      </c>
      <c r="M14" s="4" t="s">
        <v>115</v>
      </c>
      <c r="N14" s="4" t="s">
        <v>238</v>
      </c>
      <c r="O14" s="4" t="s">
        <v>75</v>
      </c>
      <c r="P14" s="4">
        <v>11</v>
      </c>
      <c r="Q14" s="57">
        <v>45116</v>
      </c>
      <c r="R14" s="57">
        <v>45124</v>
      </c>
      <c r="S14" s="113"/>
      <c r="T14" s="113"/>
      <c r="U14" s="4"/>
      <c r="V14" s="4"/>
      <c r="W14" s="105" t="s">
        <v>239</v>
      </c>
      <c r="X14" s="114">
        <v>1819492684</v>
      </c>
      <c r="Y14" s="55">
        <v>1684640110</v>
      </c>
      <c r="Z14" s="4" t="s">
        <v>240</v>
      </c>
      <c r="AA14" s="4">
        <v>1684640110</v>
      </c>
      <c r="AB14" s="4" t="s">
        <v>132</v>
      </c>
      <c r="AC14" s="4" t="s">
        <v>79</v>
      </c>
      <c r="AD14" s="113">
        <v>35784</v>
      </c>
      <c r="AE14" s="107">
        <f t="shared" si="0" ca="1"/>
        <v>27.15890410958904</v>
      </c>
      <c r="AF14" s="4" t="s">
        <v>80</v>
      </c>
      <c r="AG14" s="114">
        <v>2402200170</v>
      </c>
      <c r="AH14" s="4" t="s">
        <v>81</v>
      </c>
      <c r="AI14" s="55" t="s">
        <v>241</v>
      </c>
      <c r="AJ14" s="55" t="s">
        <v>81</v>
      </c>
      <c r="AK14" s="55" t="s">
        <v>242</v>
      </c>
      <c r="AL14" s="4" t="s">
        <v>243</v>
      </c>
      <c r="AM14" s="4" t="s">
        <v>244</v>
      </c>
      <c r="AN14" s="4" t="s">
        <v>240</v>
      </c>
      <c r="AO14" s="4" t="s">
        <v>245</v>
      </c>
      <c r="AP14" s="4" t="s">
        <v>246</v>
      </c>
      <c r="AQ14" s="55" t="s">
        <v>247</v>
      </c>
      <c r="AR14" s="4" t="s">
        <v>110</v>
      </c>
      <c r="AS14" s="4"/>
      <c r="AT14" s="72"/>
      <c r="AU14" s="4"/>
      <c r="AV14" s="4"/>
      <c r="AW14" s="4"/>
      <c r="AX14" s="4"/>
      <c r="AY14" s="4"/>
      <c r="AZ14" s="4"/>
      <c r="BA14" s="4" t="s">
        <v>90</v>
      </c>
      <c r="BB14" s="4">
        <v>10800</v>
      </c>
      <c r="BC14" s="4">
        <v>2700</v>
      </c>
      <c r="BD14" s="4">
        <v>0</v>
      </c>
      <c r="BE14" s="4" t="s">
        <v>91</v>
      </c>
      <c r="BF14" s="4" t="s">
        <v>167</v>
      </c>
      <c r="BG14" s="4" t="s">
        <v>167</v>
      </c>
      <c r="BH14" s="4" t="s">
        <v>168</v>
      </c>
      <c r="BI14" s="105"/>
      <c r="BJ14" s="105" t="s">
        <v>81</v>
      </c>
      <c r="BK14" s="4"/>
      <c r="BL14" s="105"/>
    </row>
    <row r="15" ht="19.95" customHeight="1">
      <c r="A15" s="4">
        <v>171116</v>
      </c>
      <c r="B15" s="4"/>
      <c r="C15" s="55" t="s">
        <v>248</v>
      </c>
      <c r="D15" s="4" t="s">
        <v>249</v>
      </c>
      <c r="E15" s="4" t="s">
        <v>114</v>
      </c>
      <c r="F15" s="55">
        <v>869701</v>
      </c>
      <c r="G15" s="4" t="s">
        <v>67</v>
      </c>
      <c r="H15" s="4" t="s">
        <v>68</v>
      </c>
      <c r="I15" s="4" t="s">
        <v>69</v>
      </c>
      <c r="J15" s="55" t="s">
        <v>214</v>
      </c>
      <c r="K15" s="4" t="s">
        <v>71</v>
      </c>
      <c r="L15" s="4" t="s">
        <v>72</v>
      </c>
      <c r="M15" s="4" t="s">
        <v>115</v>
      </c>
      <c r="N15" s="4" t="s">
        <v>238</v>
      </c>
      <c r="O15" s="4" t="s">
        <v>75</v>
      </c>
      <c r="P15" s="4">
        <v>11</v>
      </c>
      <c r="Q15" s="57">
        <v>45116</v>
      </c>
      <c r="R15" s="57">
        <v>45121</v>
      </c>
      <c r="S15" s="113"/>
      <c r="T15" s="113"/>
      <c r="U15" s="4"/>
      <c r="V15" s="4"/>
      <c r="W15" s="105" t="s">
        <v>250</v>
      </c>
      <c r="X15" s="114">
        <v>1944875561</v>
      </c>
      <c r="Y15" s="55" t="s">
        <v>251</v>
      </c>
      <c r="Z15" s="4" t="s">
        <v>252</v>
      </c>
      <c r="AA15" s="4" t="s">
        <v>251</v>
      </c>
      <c r="AB15" s="4" t="s">
        <v>252</v>
      </c>
      <c r="AC15" s="4" t="s">
        <v>79</v>
      </c>
      <c r="AD15" s="113">
        <v>35289</v>
      </c>
      <c r="AE15" s="107">
        <f t="shared" si="0" ca="1"/>
        <v>28.515068493150686</v>
      </c>
      <c r="AF15" s="4" t="s">
        <v>80</v>
      </c>
      <c r="AG15" s="114">
        <v>8711787646</v>
      </c>
      <c r="AH15" s="4" t="s">
        <v>81</v>
      </c>
      <c r="AI15" s="55" t="s">
        <v>253</v>
      </c>
      <c r="AJ15" s="55" t="s">
        <v>254</v>
      </c>
      <c r="AK15" s="55">
        <v>2023</v>
      </c>
      <c r="AL15" s="4" t="s">
        <v>255</v>
      </c>
      <c r="AM15" s="4" t="s">
        <v>256</v>
      </c>
      <c r="AN15" s="4" t="s">
        <v>257</v>
      </c>
      <c r="AO15" s="4" t="s">
        <v>258</v>
      </c>
      <c r="AP15" s="4" t="s">
        <v>258</v>
      </c>
      <c r="AQ15" s="55" t="s">
        <v>259</v>
      </c>
      <c r="AR15" s="4" t="s">
        <v>260</v>
      </c>
      <c r="AS15" s="4"/>
      <c r="AT15" s="72"/>
      <c r="AU15" s="4"/>
      <c r="AV15" s="4"/>
      <c r="AW15" s="4"/>
      <c r="AX15" s="4"/>
      <c r="AY15" s="4"/>
      <c r="AZ15" s="4"/>
      <c r="BA15" s="4" t="s">
        <v>90</v>
      </c>
      <c r="BB15" s="4">
        <v>10800</v>
      </c>
      <c r="BC15" s="4">
        <v>2700</v>
      </c>
      <c r="BD15" s="4">
        <v>0</v>
      </c>
      <c r="BE15" s="4" t="s">
        <v>91</v>
      </c>
      <c r="BF15" s="4" t="s">
        <v>167</v>
      </c>
      <c r="BG15" s="4" t="s">
        <v>167</v>
      </c>
      <c r="BH15" s="4" t="s">
        <v>168</v>
      </c>
      <c r="BI15" s="105"/>
      <c r="BJ15" s="105" t="s">
        <v>81</v>
      </c>
      <c r="BK15" s="4"/>
      <c r="BL15" s="105"/>
    </row>
    <row r="16" ht="19.95" customHeight="1">
      <c r="A16" s="4">
        <v>171117</v>
      </c>
      <c r="B16" s="4"/>
      <c r="C16" s="55" t="s">
        <v>261</v>
      </c>
      <c r="D16" s="4" t="s">
        <v>262</v>
      </c>
      <c r="E16" s="4" t="s">
        <v>114</v>
      </c>
      <c r="F16" s="55">
        <v>869625</v>
      </c>
      <c r="G16" s="4" t="s">
        <v>67</v>
      </c>
      <c r="H16" s="4" t="s">
        <v>68</v>
      </c>
      <c r="I16" s="4" t="s">
        <v>69</v>
      </c>
      <c r="J16" s="55" t="s">
        <v>214</v>
      </c>
      <c r="K16" s="4" t="s">
        <v>71</v>
      </c>
      <c r="L16" s="4" t="s">
        <v>72</v>
      </c>
      <c r="M16" s="4" t="s">
        <v>98</v>
      </c>
      <c r="N16" s="4" t="s">
        <v>238</v>
      </c>
      <c r="O16" s="4" t="s">
        <v>75</v>
      </c>
      <c r="P16" s="4">
        <v>11</v>
      </c>
      <c r="Q16" s="57">
        <v>45116</v>
      </c>
      <c r="R16" s="57">
        <v>45121</v>
      </c>
      <c r="S16" s="113"/>
      <c r="T16" s="113"/>
      <c r="U16" s="4"/>
      <c r="V16" s="4"/>
      <c r="W16" s="105" t="s">
        <v>263</v>
      </c>
      <c r="X16" s="114">
        <v>1627393180</v>
      </c>
      <c r="Y16" s="55">
        <v>1922920547</v>
      </c>
      <c r="Z16" s="4" t="s">
        <v>264</v>
      </c>
      <c r="AA16" s="4">
        <v>1641845257</v>
      </c>
      <c r="AB16" s="4" t="s">
        <v>252</v>
      </c>
      <c r="AC16" s="4" t="s">
        <v>119</v>
      </c>
      <c r="AD16" s="113">
        <v>35407</v>
      </c>
      <c r="AE16" s="107">
        <f t="shared" si="0" ca="1"/>
        <v>28.19178082191781</v>
      </c>
      <c r="AF16" s="4" t="s">
        <v>80</v>
      </c>
      <c r="AG16" s="114">
        <v>8685695705</v>
      </c>
      <c r="AH16" s="4" t="s">
        <v>81</v>
      </c>
      <c r="AI16" s="55" t="s">
        <v>265</v>
      </c>
      <c r="AJ16" s="55" t="s">
        <v>81</v>
      </c>
      <c r="AK16" s="55" t="s">
        <v>81</v>
      </c>
      <c r="AL16" s="4" t="s">
        <v>266</v>
      </c>
      <c r="AM16" s="4" t="s">
        <v>267</v>
      </c>
      <c r="AN16" s="4" t="s">
        <v>268</v>
      </c>
      <c r="AO16" s="4" t="s">
        <v>269</v>
      </c>
      <c r="AP16" s="4" t="s">
        <v>269</v>
      </c>
      <c r="AQ16" s="55" t="s">
        <v>259</v>
      </c>
      <c r="AR16" s="4" t="s">
        <v>260</v>
      </c>
      <c r="AS16" s="4"/>
      <c r="AT16" s="72"/>
      <c r="AU16" s="4"/>
      <c r="AV16" s="4"/>
      <c r="AW16" s="4"/>
      <c r="AX16" s="4"/>
      <c r="AY16" s="4"/>
      <c r="AZ16" s="4"/>
      <c r="BA16" s="4" t="s">
        <v>90</v>
      </c>
      <c r="BB16" s="4">
        <v>10800</v>
      </c>
      <c r="BC16" s="4">
        <v>2700</v>
      </c>
      <c r="BD16" s="4">
        <v>0</v>
      </c>
      <c r="BE16" s="4" t="s">
        <v>91</v>
      </c>
      <c r="BF16" s="4" t="s">
        <v>167</v>
      </c>
      <c r="BG16" s="4" t="s">
        <v>167</v>
      </c>
      <c r="BH16" s="4" t="s">
        <v>168</v>
      </c>
      <c r="BI16" s="105"/>
      <c r="BJ16" s="105" t="s">
        <v>81</v>
      </c>
      <c r="BK16" s="4"/>
      <c r="BL16" s="105"/>
    </row>
    <row r="17" ht="19.95" customHeight="1">
      <c r="A17" s="4">
        <v>171135</v>
      </c>
      <c r="B17" s="4"/>
      <c r="C17" s="55" t="s">
        <v>270</v>
      </c>
      <c r="D17" s="4" t="s">
        <v>271</v>
      </c>
      <c r="E17" s="4" t="s">
        <v>114</v>
      </c>
      <c r="F17" s="55">
        <v>1310589431</v>
      </c>
      <c r="G17" s="4" t="s">
        <v>225</v>
      </c>
      <c r="H17" s="4" t="s">
        <v>226</v>
      </c>
      <c r="I17" s="4" t="s">
        <v>69</v>
      </c>
      <c r="J17" s="55" t="s">
        <v>155</v>
      </c>
      <c r="K17" s="4" t="s">
        <v>71</v>
      </c>
      <c r="L17" s="4" t="s">
        <v>72</v>
      </c>
      <c r="M17" s="4" t="s">
        <v>74</v>
      </c>
      <c r="N17" s="4"/>
      <c r="O17" s="4" t="s">
        <v>75</v>
      </c>
      <c r="P17" s="4">
        <v>13</v>
      </c>
      <c r="Q17" s="57">
        <v>45154</v>
      </c>
      <c r="R17" s="57">
        <v>45163</v>
      </c>
      <c r="S17" s="113">
        <v>45459</v>
      </c>
      <c r="T17" s="113"/>
      <c r="U17" s="4"/>
      <c r="V17" s="4">
        <v>1847270310</v>
      </c>
      <c r="W17" s="105" t="s">
        <v>272</v>
      </c>
      <c r="X17" s="114">
        <v>1628439640</v>
      </c>
      <c r="Y17" s="55" t="s">
        <v>273</v>
      </c>
      <c r="Z17" s="4" t="s">
        <v>274</v>
      </c>
      <c r="AA17" s="4">
        <v>1818371637</v>
      </c>
      <c r="AB17" s="4" t="s">
        <v>275</v>
      </c>
      <c r="AC17" s="4" t="s">
        <v>119</v>
      </c>
      <c r="AD17" s="113">
        <v>36755</v>
      </c>
      <c r="AE17" s="107">
        <f t="shared" si="0" ca="1"/>
        <v>24.4986301369863</v>
      </c>
      <c r="AF17" s="4" t="s">
        <v>80</v>
      </c>
      <c r="AG17" s="114" t="s">
        <v>276</v>
      </c>
      <c r="AH17" s="4" t="s">
        <v>277</v>
      </c>
      <c r="AI17" s="55" t="s">
        <v>278</v>
      </c>
      <c r="AJ17" s="55" t="s">
        <v>279</v>
      </c>
      <c r="AK17" s="55">
        <v>2023</v>
      </c>
      <c r="AL17" s="4" t="s">
        <v>280</v>
      </c>
      <c r="AM17" s="4" t="s">
        <v>281</v>
      </c>
      <c r="AN17" s="4" t="s">
        <v>282</v>
      </c>
      <c r="AO17" s="4" t="s">
        <v>283</v>
      </c>
      <c r="AP17" s="4" t="s">
        <v>284</v>
      </c>
      <c r="AQ17" s="55" t="s">
        <v>285</v>
      </c>
      <c r="AR17" s="4" t="s">
        <v>260</v>
      </c>
      <c r="AS17" s="4"/>
      <c r="AT17" s="72"/>
      <c r="AU17" s="4"/>
      <c r="AV17" s="4"/>
      <c r="AW17" s="4"/>
      <c r="AX17" s="4"/>
      <c r="AY17" s="4"/>
      <c r="AZ17" s="4"/>
      <c r="BA17" s="4" t="s">
        <v>90</v>
      </c>
      <c r="BB17" s="4">
        <v>14500</v>
      </c>
      <c r="BC17" s="4">
        <v>3500</v>
      </c>
      <c r="BD17" s="4">
        <v>2000</v>
      </c>
      <c r="BE17" s="4" t="s">
        <v>166</v>
      </c>
      <c r="BF17" s="4">
        <v>160350</v>
      </c>
      <c r="BG17" s="4" t="s">
        <v>92</v>
      </c>
      <c r="BH17" s="4" t="s">
        <v>168</v>
      </c>
      <c r="BI17" s="105"/>
      <c r="BJ17" s="105" t="s">
        <v>286</v>
      </c>
      <c r="BK17" s="4"/>
      <c r="BL17" s="105"/>
    </row>
    <row r="18" ht="19.95" customHeight="1">
      <c r="A18" s="4">
        <v>171160</v>
      </c>
      <c r="B18" s="4"/>
      <c r="C18" s="55"/>
      <c r="D18" s="4" t="s">
        <v>287</v>
      </c>
      <c r="E18" s="4" t="s">
        <v>114</v>
      </c>
      <c r="F18" s="55">
        <v>666193</v>
      </c>
      <c r="G18" s="4" t="s">
        <v>225</v>
      </c>
      <c r="H18" s="4" t="s">
        <v>226</v>
      </c>
      <c r="I18" s="4" t="s">
        <v>69</v>
      </c>
      <c r="J18" s="55" t="s">
        <v>214</v>
      </c>
      <c r="K18" s="4" t="s">
        <v>71</v>
      </c>
      <c r="L18" s="4" t="s">
        <v>72</v>
      </c>
      <c r="M18" s="4" t="s">
        <v>74</v>
      </c>
      <c r="N18" s="4" t="s">
        <v>74</v>
      </c>
      <c r="O18" s="4" t="s">
        <v>75</v>
      </c>
      <c r="P18" s="4">
        <v>16</v>
      </c>
      <c r="Q18" s="57">
        <v>45206</v>
      </c>
      <c r="R18" s="57">
        <v>45215</v>
      </c>
      <c r="S18" s="113"/>
      <c r="T18" s="113"/>
      <c r="U18" s="4"/>
      <c r="V18" s="4"/>
      <c r="W18" s="105" t="s">
        <v>288</v>
      </c>
      <c r="X18" s="114">
        <v>1714517836</v>
      </c>
      <c r="Y18" s="55">
        <v>1867547635</v>
      </c>
      <c r="Z18" s="4" t="s">
        <v>289</v>
      </c>
      <c r="AA18" s="4">
        <v>1731819698</v>
      </c>
      <c r="AB18" s="4" t="s">
        <v>186</v>
      </c>
      <c r="AC18" s="4" t="s">
        <v>119</v>
      </c>
      <c r="AD18" s="113">
        <v>35226</v>
      </c>
      <c r="AE18" s="107">
        <f t="shared" si="0" ca="1"/>
        <v>28.687671232876713</v>
      </c>
      <c r="AF18" s="4" t="s">
        <v>80</v>
      </c>
      <c r="AG18" s="114">
        <v>1003812771</v>
      </c>
      <c r="AH18" s="4" t="s">
        <v>81</v>
      </c>
      <c r="AI18" s="55" t="s">
        <v>290</v>
      </c>
      <c r="AJ18" s="55" t="s">
        <v>81</v>
      </c>
      <c r="AK18" s="55">
        <v>2020</v>
      </c>
      <c r="AL18" s="4" t="s">
        <v>291</v>
      </c>
      <c r="AM18" s="4" t="s">
        <v>292</v>
      </c>
      <c r="AN18" s="4" t="s">
        <v>293</v>
      </c>
      <c r="AO18" s="4" t="s">
        <v>294</v>
      </c>
      <c r="AP18" s="4" t="s">
        <v>295</v>
      </c>
      <c r="AQ18" s="55" t="s">
        <v>151</v>
      </c>
      <c r="AR18" s="4" t="s">
        <v>89</v>
      </c>
      <c r="AS18" s="4" t="s">
        <v>289</v>
      </c>
      <c r="AT18" s="72"/>
      <c r="AU18" s="4"/>
      <c r="AV18" s="4"/>
      <c r="AW18" s="4"/>
      <c r="AX18" s="4"/>
      <c r="AY18" s="4"/>
      <c r="AZ18" s="4"/>
      <c r="BA18" s="4" t="s">
        <v>90</v>
      </c>
      <c r="BB18" s="4">
        <v>14500</v>
      </c>
      <c r="BC18" s="4">
        <v>3500</v>
      </c>
      <c r="BD18" s="4">
        <v>0</v>
      </c>
      <c r="BE18" s="4" t="s">
        <v>296</v>
      </c>
      <c r="BF18" s="4"/>
      <c r="BG18" s="4"/>
      <c r="BH18" s="4" t="s">
        <v>168</v>
      </c>
      <c r="BI18" s="105"/>
      <c r="BJ18" s="105"/>
      <c r="BK18" s="4"/>
      <c r="BL18" s="105"/>
    </row>
    <row r="19" ht="19.95" customHeight="1">
      <c r="A19" s="4">
        <v>171161</v>
      </c>
      <c r="B19" s="4"/>
      <c r="C19" s="55"/>
      <c r="D19" s="4" t="s">
        <v>289</v>
      </c>
      <c r="E19" s="4" t="s">
        <v>66</v>
      </c>
      <c r="F19" s="55">
        <v>1112805345</v>
      </c>
      <c r="G19" s="4" t="s">
        <v>67</v>
      </c>
      <c r="H19" s="4" t="s">
        <v>68</v>
      </c>
      <c r="I19" s="4" t="s">
        <v>69</v>
      </c>
      <c r="J19" s="55" t="s">
        <v>297</v>
      </c>
      <c r="K19" s="4" t="s">
        <v>71</v>
      </c>
      <c r="L19" s="4" t="s">
        <v>72</v>
      </c>
      <c r="M19" s="4" t="s">
        <v>73</v>
      </c>
      <c r="N19" s="4" t="s">
        <v>74</v>
      </c>
      <c r="O19" s="4" t="s">
        <v>75</v>
      </c>
      <c r="P19" s="4">
        <v>16</v>
      </c>
      <c r="Q19" s="57">
        <v>45206</v>
      </c>
      <c r="R19" s="57">
        <v>45211</v>
      </c>
      <c r="S19" s="113"/>
      <c r="T19" s="113"/>
      <c r="U19" s="4"/>
      <c r="V19" s="4"/>
      <c r="W19" s="105" t="s">
        <v>298</v>
      </c>
      <c r="X19" s="114">
        <v>1731819698</v>
      </c>
      <c r="Y19" s="55">
        <v>1521705675</v>
      </c>
      <c r="Z19" s="4" t="s">
        <v>287</v>
      </c>
      <c r="AA19" s="4">
        <v>1714517836</v>
      </c>
      <c r="AB19" s="4" t="s">
        <v>78</v>
      </c>
      <c r="AC19" s="4" t="s">
        <v>79</v>
      </c>
      <c r="AD19" s="113">
        <v>36083</v>
      </c>
      <c r="AE19" s="107">
        <f t="shared" si="0" ca="1"/>
        <v>26.339726027397262</v>
      </c>
      <c r="AF19" s="4" t="s">
        <v>80</v>
      </c>
      <c r="AG19" s="114">
        <v>8254540548</v>
      </c>
      <c r="AH19" s="4" t="s">
        <v>81</v>
      </c>
      <c r="AI19" s="55" t="s">
        <v>290</v>
      </c>
      <c r="AJ19" s="55" t="s">
        <v>299</v>
      </c>
      <c r="AK19" s="55">
        <v>2023</v>
      </c>
      <c r="AL19" s="4" t="s">
        <v>300</v>
      </c>
      <c r="AM19" s="4" t="s">
        <v>301</v>
      </c>
      <c r="AN19" s="4" t="s">
        <v>302</v>
      </c>
      <c r="AO19" s="4" t="s">
        <v>303</v>
      </c>
      <c r="AP19" s="4" t="s">
        <v>304</v>
      </c>
      <c r="AQ19" s="55" t="s">
        <v>88</v>
      </c>
      <c r="AR19" s="4" t="s">
        <v>89</v>
      </c>
      <c r="AS19" s="4" t="s">
        <v>287</v>
      </c>
      <c r="AT19" s="72"/>
      <c r="AU19" s="4"/>
      <c r="AV19" s="4"/>
      <c r="AW19" s="4"/>
      <c r="AX19" s="4"/>
      <c r="AY19" s="4"/>
      <c r="AZ19" s="4"/>
      <c r="BA19" s="4" t="s">
        <v>90</v>
      </c>
      <c r="BB19" s="4">
        <v>10800</v>
      </c>
      <c r="BC19" s="4">
        <v>2700</v>
      </c>
      <c r="BD19" s="4">
        <v>0</v>
      </c>
      <c r="BE19" s="4" t="s">
        <v>296</v>
      </c>
      <c r="BF19" s="4"/>
      <c r="BG19" s="4"/>
      <c r="BH19" s="4" t="s">
        <v>168</v>
      </c>
      <c r="BI19" s="105"/>
      <c r="BJ19" s="105"/>
      <c r="BK19" s="4"/>
      <c r="BL19" s="105"/>
    </row>
    <row r="20" ht="19.95" customHeight="1">
      <c r="A20" s="4">
        <v>171163</v>
      </c>
      <c r="B20" s="4"/>
      <c r="C20" s="55" t="s">
        <v>305</v>
      </c>
      <c r="D20" s="4" t="s">
        <v>306</v>
      </c>
      <c r="E20" s="4" t="s">
        <v>114</v>
      </c>
      <c r="F20" s="55">
        <v>397830</v>
      </c>
      <c r="G20" s="4" t="s">
        <v>67</v>
      </c>
      <c r="H20" s="4" t="s">
        <v>68</v>
      </c>
      <c r="I20" s="4" t="s">
        <v>69</v>
      </c>
      <c r="J20" s="55" t="s">
        <v>307</v>
      </c>
      <c r="K20" s="4" t="s">
        <v>71</v>
      </c>
      <c r="L20" s="4" t="s">
        <v>72</v>
      </c>
      <c r="M20" s="4" t="s">
        <v>308</v>
      </c>
      <c r="N20" s="4" t="s">
        <v>74</v>
      </c>
      <c r="O20" s="4" t="s">
        <v>75</v>
      </c>
      <c r="P20" s="4">
        <v>16</v>
      </c>
      <c r="Q20" s="57">
        <v>45207</v>
      </c>
      <c r="R20" s="57">
        <v>45211</v>
      </c>
      <c r="S20" s="113"/>
      <c r="T20" s="113"/>
      <c r="U20" s="4"/>
      <c r="V20" s="4"/>
      <c r="W20" s="105" t="s">
        <v>309</v>
      </c>
      <c r="X20" s="114">
        <v>1736204330</v>
      </c>
      <c r="Y20" s="55">
        <v>1934816042</v>
      </c>
      <c r="Z20" s="4" t="s">
        <v>310</v>
      </c>
      <c r="AA20" s="4">
        <v>1934816042</v>
      </c>
      <c r="AB20" s="4" t="s">
        <v>311</v>
      </c>
      <c r="AC20" s="4" t="s">
        <v>133</v>
      </c>
      <c r="AD20" s="113">
        <v>34315</v>
      </c>
      <c r="AE20" s="107">
        <f t="shared" si="0" ca="1"/>
        <v>31.183561643835617</v>
      </c>
      <c r="AF20" s="4" t="s">
        <v>80</v>
      </c>
      <c r="AG20" s="114">
        <v>9561555658</v>
      </c>
      <c r="AH20" s="4" t="s">
        <v>81</v>
      </c>
      <c r="AI20" s="55" t="s">
        <v>312</v>
      </c>
      <c r="AJ20" s="55" t="s">
        <v>81</v>
      </c>
      <c r="AK20" s="55">
        <v>2023</v>
      </c>
      <c r="AL20" s="4" t="s">
        <v>313</v>
      </c>
      <c r="AM20" s="4" t="s">
        <v>314</v>
      </c>
      <c r="AN20" s="4" t="s">
        <v>220</v>
      </c>
      <c r="AO20" s="4" t="s">
        <v>315</v>
      </c>
      <c r="AP20" s="4" t="s">
        <v>316</v>
      </c>
      <c r="AQ20" s="55" t="s">
        <v>317</v>
      </c>
      <c r="AR20" s="4" t="s">
        <v>110</v>
      </c>
      <c r="AS20" s="4"/>
      <c r="AT20" s="72"/>
      <c r="AU20" s="4"/>
      <c r="AV20" s="4"/>
      <c r="AW20" s="4"/>
      <c r="AX20" s="4"/>
      <c r="AY20" s="4"/>
      <c r="AZ20" s="4"/>
      <c r="BA20" s="4" t="s">
        <v>90</v>
      </c>
      <c r="BB20" s="4">
        <v>10800</v>
      </c>
      <c r="BC20" s="4">
        <v>2700</v>
      </c>
      <c r="BD20" s="4">
        <v>0</v>
      </c>
      <c r="BE20" s="4" t="s">
        <v>296</v>
      </c>
      <c r="BF20" s="4"/>
      <c r="BG20" s="4"/>
      <c r="BH20" s="4" t="s">
        <v>168</v>
      </c>
      <c r="BI20" s="105"/>
      <c r="BJ20" s="105"/>
      <c r="BK20" s="4"/>
      <c r="BL20" s="105"/>
    </row>
    <row r="21" ht="19.95" customHeight="1">
      <c r="A21" s="4">
        <v>171168</v>
      </c>
      <c r="B21" s="4"/>
      <c r="C21" s="55"/>
      <c r="D21" s="4" t="s">
        <v>318</v>
      </c>
      <c r="E21" s="4" t="s">
        <v>66</v>
      </c>
      <c r="F21" s="55">
        <v>1010895851</v>
      </c>
      <c r="G21" s="4" t="s">
        <v>67</v>
      </c>
      <c r="H21" s="4" t="s">
        <v>68</v>
      </c>
      <c r="I21" s="4" t="s">
        <v>69</v>
      </c>
      <c r="J21" s="55" t="s">
        <v>319</v>
      </c>
      <c r="K21" s="4" t="s">
        <v>71</v>
      </c>
      <c r="L21" s="4" t="s">
        <v>72</v>
      </c>
      <c r="M21" s="4" t="s">
        <v>73</v>
      </c>
      <c r="N21" s="4" t="s">
        <v>74</v>
      </c>
      <c r="O21" s="4" t="s">
        <v>75</v>
      </c>
      <c r="P21" s="4">
        <v>16</v>
      </c>
      <c r="Q21" s="57">
        <v>45206</v>
      </c>
      <c r="R21" s="57">
        <v>45211</v>
      </c>
      <c r="S21" s="113"/>
      <c r="T21" s="113"/>
      <c r="U21" s="4"/>
      <c r="V21" s="4"/>
      <c r="W21" s="105" t="s">
        <v>320</v>
      </c>
      <c r="X21" s="114">
        <v>1626817339</v>
      </c>
      <c r="Y21" s="55"/>
      <c r="Z21" s="4" t="s">
        <v>321</v>
      </c>
      <c r="AA21" s="4">
        <v>1951741116</v>
      </c>
      <c r="AB21" s="4" t="s">
        <v>132</v>
      </c>
      <c r="AC21" s="4" t="s">
        <v>133</v>
      </c>
      <c r="AD21" s="113">
        <v>35373</v>
      </c>
      <c r="AE21" s="107">
        <f t="shared" si="0" ca="1"/>
        <v>28.284931506849315</v>
      </c>
      <c r="AF21" s="4" t="s">
        <v>80</v>
      </c>
      <c r="AG21" s="114">
        <v>6452970400</v>
      </c>
      <c r="AH21" s="4" t="s">
        <v>81</v>
      </c>
      <c r="AI21" s="55" t="s">
        <v>322</v>
      </c>
      <c r="AJ21" s="55" t="s">
        <v>81</v>
      </c>
      <c r="AK21" s="55">
        <v>2019</v>
      </c>
      <c r="AL21" s="4" t="s">
        <v>323</v>
      </c>
      <c r="AM21" s="4" t="s">
        <v>324</v>
      </c>
      <c r="AN21" s="4" t="s">
        <v>325</v>
      </c>
      <c r="AO21" s="4" t="s">
        <v>326</v>
      </c>
      <c r="AP21" s="4" t="s">
        <v>327</v>
      </c>
      <c r="AQ21" s="55" t="s">
        <v>328</v>
      </c>
      <c r="AR21" s="4" t="s">
        <v>260</v>
      </c>
      <c r="AS21" s="4"/>
      <c r="AT21" s="72"/>
      <c r="AU21" s="4"/>
      <c r="AV21" s="4"/>
      <c r="AW21" s="4"/>
      <c r="AX21" s="4"/>
      <c r="AY21" s="4"/>
      <c r="AZ21" s="4"/>
      <c r="BA21" s="4" t="s">
        <v>90</v>
      </c>
      <c r="BB21" s="4">
        <v>10800</v>
      </c>
      <c r="BC21" s="4">
        <v>2700</v>
      </c>
      <c r="BD21" s="4">
        <v>0</v>
      </c>
      <c r="BE21" s="4" t="s">
        <v>296</v>
      </c>
      <c r="BF21" s="4"/>
      <c r="BG21" s="4"/>
      <c r="BH21" s="4" t="s">
        <v>168</v>
      </c>
      <c r="BI21" s="105"/>
      <c r="BJ21" s="105"/>
      <c r="BK21" s="4"/>
      <c r="BL21" s="105"/>
    </row>
    <row r="22" ht="19.95" customHeight="1">
      <c r="A22" s="4">
        <v>171170</v>
      </c>
      <c r="B22" s="4"/>
      <c r="C22" s="55" t="s">
        <v>329</v>
      </c>
      <c r="D22" s="4" t="s">
        <v>330</v>
      </c>
      <c r="E22" s="4" t="s">
        <v>66</v>
      </c>
      <c r="F22" s="55">
        <v>1110152653</v>
      </c>
      <c r="G22" s="4" t="s">
        <v>67</v>
      </c>
      <c r="H22" s="4" t="s">
        <v>68</v>
      </c>
      <c r="I22" s="4" t="s">
        <v>69</v>
      </c>
      <c r="J22" s="55" t="s">
        <v>307</v>
      </c>
      <c r="K22" s="4" t="s">
        <v>71</v>
      </c>
      <c r="L22" s="4" t="s">
        <v>72</v>
      </c>
      <c r="M22" s="4" t="s">
        <v>98</v>
      </c>
      <c r="N22" s="4" t="s">
        <v>74</v>
      </c>
      <c r="O22" s="4" t="s">
        <v>75</v>
      </c>
      <c r="P22" s="4">
        <v>16</v>
      </c>
      <c r="Q22" s="57">
        <v>45206</v>
      </c>
      <c r="R22" s="57">
        <v>45211</v>
      </c>
      <c r="S22" s="113"/>
      <c r="T22" s="113"/>
      <c r="U22" s="4"/>
      <c r="V22" s="4"/>
      <c r="W22" s="105" t="s">
        <v>331</v>
      </c>
      <c r="X22" s="114">
        <v>1853069639</v>
      </c>
      <c r="Y22" s="55">
        <v>1872366337</v>
      </c>
      <c r="Z22" s="4" t="s">
        <v>101</v>
      </c>
      <c r="AA22" s="4">
        <v>1816111194</v>
      </c>
      <c r="AB22" s="4" t="s">
        <v>101</v>
      </c>
      <c r="AC22" s="4" t="s">
        <v>79</v>
      </c>
      <c r="AD22" s="113">
        <v>35533</v>
      </c>
      <c r="AE22" s="107">
        <f t="shared" si="0" ca="1"/>
        <v>27.846575342465755</v>
      </c>
      <c r="AF22" s="4" t="s">
        <v>80</v>
      </c>
      <c r="AG22" s="114">
        <v>6451816927</v>
      </c>
      <c r="AH22" s="4" t="s">
        <v>81</v>
      </c>
      <c r="AI22" s="55" t="s">
        <v>332</v>
      </c>
      <c r="AJ22" s="55" t="s">
        <v>333</v>
      </c>
      <c r="AK22" s="55">
        <v>2020</v>
      </c>
      <c r="AL22" s="4" t="s">
        <v>106</v>
      </c>
      <c r="AM22" s="4" t="s">
        <v>334</v>
      </c>
      <c r="AN22" s="4" t="s">
        <v>335</v>
      </c>
      <c r="AO22" s="4" t="s">
        <v>336</v>
      </c>
      <c r="AP22" s="4" t="s">
        <v>337</v>
      </c>
      <c r="AQ22" s="55" t="s">
        <v>338</v>
      </c>
      <c r="AR22" s="4" t="s">
        <v>110</v>
      </c>
      <c r="AS22" s="4"/>
      <c r="AT22" s="72"/>
      <c r="AU22" s="4"/>
      <c r="AV22" s="4"/>
      <c r="AW22" s="4"/>
      <c r="AX22" s="4"/>
      <c r="AY22" s="4"/>
      <c r="AZ22" s="4"/>
      <c r="BA22" s="4" t="s">
        <v>90</v>
      </c>
      <c r="BB22" s="4">
        <v>10800</v>
      </c>
      <c r="BC22" s="4">
        <v>2700</v>
      </c>
      <c r="BD22" s="4">
        <v>0</v>
      </c>
      <c r="BE22" s="4" t="s">
        <v>296</v>
      </c>
      <c r="BF22" s="4"/>
      <c r="BG22" s="4"/>
      <c r="BH22" s="4" t="s">
        <v>168</v>
      </c>
      <c r="BI22" s="105"/>
      <c r="BJ22" s="105"/>
      <c r="BK22" s="4"/>
      <c r="BL22" s="105"/>
    </row>
    <row r="23" ht="19.95" customHeight="1">
      <c r="A23" s="4">
        <v>171173</v>
      </c>
      <c r="B23" s="4"/>
      <c r="C23" s="55" t="s">
        <v>339</v>
      </c>
      <c r="D23" s="4" t="s">
        <v>340</v>
      </c>
      <c r="E23" s="4" t="s">
        <v>114</v>
      </c>
      <c r="F23" s="55">
        <v>1310262823</v>
      </c>
      <c r="G23" s="4" t="s">
        <v>67</v>
      </c>
      <c r="H23" s="4" t="s">
        <v>68</v>
      </c>
      <c r="I23" s="4" t="s">
        <v>69</v>
      </c>
      <c r="J23" s="55" t="s">
        <v>341</v>
      </c>
      <c r="K23" s="4" t="s">
        <v>71</v>
      </c>
      <c r="L23" s="4" t="s">
        <v>72</v>
      </c>
      <c r="M23" s="4" t="s">
        <v>342</v>
      </c>
      <c r="N23" s="4" t="s">
        <v>74</v>
      </c>
      <c r="O23" s="4" t="s">
        <v>75</v>
      </c>
      <c r="P23" s="4">
        <v>16</v>
      </c>
      <c r="Q23" s="57">
        <v>45206</v>
      </c>
      <c r="R23" s="57">
        <v>45211</v>
      </c>
      <c r="S23" s="113"/>
      <c r="T23" s="113"/>
      <c r="U23" s="4"/>
      <c r="V23" s="4"/>
      <c r="W23" s="105" t="s">
        <v>343</v>
      </c>
      <c r="X23" s="114">
        <v>1618393569</v>
      </c>
      <c r="Y23" s="55"/>
      <c r="Z23" s="4" t="s">
        <v>344</v>
      </c>
      <c r="AA23" s="4" t="s">
        <v>345</v>
      </c>
      <c r="AB23" s="4" t="s">
        <v>252</v>
      </c>
      <c r="AC23" s="4" t="s">
        <v>79</v>
      </c>
      <c r="AD23" s="113">
        <v>36031</v>
      </c>
      <c r="AE23" s="107">
        <f t="shared" si="0" ca="1"/>
        <v>26.482191780821918</v>
      </c>
      <c r="AF23" s="4" t="s">
        <v>80</v>
      </c>
      <c r="AG23" s="114" t="s">
        <v>346</v>
      </c>
      <c r="AH23" s="4" t="s">
        <v>81</v>
      </c>
      <c r="AI23" s="55" t="s">
        <v>347</v>
      </c>
      <c r="AJ23" s="55" t="s">
        <v>81</v>
      </c>
      <c r="AK23" s="55">
        <v>2022</v>
      </c>
      <c r="AL23" s="4" t="s">
        <v>348</v>
      </c>
      <c r="AM23" s="4" t="s">
        <v>349</v>
      </c>
      <c r="AN23" s="4" t="s">
        <v>350</v>
      </c>
      <c r="AO23" s="4" t="s">
        <v>351</v>
      </c>
      <c r="AP23" s="4" t="s">
        <v>352</v>
      </c>
      <c r="AQ23" s="55" t="s">
        <v>353</v>
      </c>
      <c r="AR23" s="4" t="s">
        <v>110</v>
      </c>
      <c r="AS23" s="4"/>
      <c r="AT23" s="72"/>
      <c r="AU23" s="4"/>
      <c r="AV23" s="4"/>
      <c r="AW23" s="4"/>
      <c r="AX23" s="4"/>
      <c r="AY23" s="4"/>
      <c r="AZ23" s="4"/>
      <c r="BA23" s="4" t="s">
        <v>90</v>
      </c>
      <c r="BB23" s="4">
        <v>10800</v>
      </c>
      <c r="BC23" s="4">
        <v>2700</v>
      </c>
      <c r="BD23" s="4">
        <v>0</v>
      </c>
      <c r="BE23" s="4" t="s">
        <v>296</v>
      </c>
      <c r="BF23" s="4"/>
      <c r="BG23" s="4"/>
      <c r="BH23" s="4" t="s">
        <v>168</v>
      </c>
      <c r="BI23" s="105"/>
      <c r="BJ23" s="105"/>
      <c r="BK23" s="4"/>
      <c r="BL23" s="105"/>
    </row>
    <row r="24" ht="19.95" customHeight="1">
      <c r="A24" s="4">
        <v>171181</v>
      </c>
      <c r="B24" s="4"/>
      <c r="C24" s="55" t="s">
        <v>354</v>
      </c>
      <c r="D24" s="4" t="s">
        <v>355</v>
      </c>
      <c r="E24" s="4" t="s">
        <v>356</v>
      </c>
      <c r="F24" s="55">
        <v>701608</v>
      </c>
      <c r="G24" s="4" t="s">
        <v>67</v>
      </c>
      <c r="H24" s="4" t="s">
        <v>68</v>
      </c>
      <c r="I24" s="4" t="s">
        <v>69</v>
      </c>
      <c r="J24" s="55" t="s">
        <v>319</v>
      </c>
      <c r="K24" s="4" t="s">
        <v>71</v>
      </c>
      <c r="L24" s="4" t="s">
        <v>72</v>
      </c>
      <c r="M24" s="4" t="s">
        <v>73</v>
      </c>
      <c r="N24" s="4" t="s">
        <v>74</v>
      </c>
      <c r="O24" s="4" t="s">
        <v>75</v>
      </c>
      <c r="P24" s="4">
        <v>16</v>
      </c>
      <c r="Q24" s="57">
        <v>45207</v>
      </c>
      <c r="R24" s="57">
        <v>45211</v>
      </c>
      <c r="S24" s="113"/>
      <c r="T24" s="113"/>
      <c r="U24" s="4"/>
      <c r="V24" s="4"/>
      <c r="W24" s="105" t="s">
        <v>357</v>
      </c>
      <c r="X24" s="114">
        <v>1752483561</v>
      </c>
      <c r="Y24" s="55">
        <v>1713742583</v>
      </c>
      <c r="Z24" s="4" t="s">
        <v>358</v>
      </c>
      <c r="AA24" s="4">
        <v>1713742583</v>
      </c>
      <c r="AB24" s="4" t="s">
        <v>359</v>
      </c>
      <c r="AC24" s="4" t="s">
        <v>133</v>
      </c>
      <c r="AD24" s="113">
        <v>34405</v>
      </c>
      <c r="AE24" s="107">
        <f ref="AE24:AE55" t="shared" si="1" ca="1">((TODAY())-AD24)/365</f>
        <v>30.936986301369863</v>
      </c>
      <c r="AF24" s="4" t="s">
        <v>360</v>
      </c>
      <c r="AG24" s="114">
        <v>19947618366000100</v>
      </c>
      <c r="AH24" s="4" t="s">
        <v>81</v>
      </c>
      <c r="AI24" s="55" t="s">
        <v>361</v>
      </c>
      <c r="AJ24" s="55" t="s">
        <v>81</v>
      </c>
      <c r="AK24" s="55">
        <v>2016</v>
      </c>
      <c r="AL24" s="4" t="s">
        <v>362</v>
      </c>
      <c r="AM24" s="4" t="s">
        <v>358</v>
      </c>
      <c r="AN24" s="4" t="s">
        <v>363</v>
      </c>
      <c r="AO24" s="4" t="s">
        <v>364</v>
      </c>
      <c r="AP24" s="4" t="s">
        <v>365</v>
      </c>
      <c r="AQ24" s="55" t="s">
        <v>366</v>
      </c>
      <c r="AR24" s="4" t="s">
        <v>367</v>
      </c>
      <c r="AS24" s="4" t="s">
        <v>368</v>
      </c>
      <c r="AT24" s="72"/>
      <c r="AU24" s="4"/>
      <c r="AV24" s="4"/>
      <c r="AW24" s="4"/>
      <c r="AX24" s="4"/>
      <c r="AY24" s="4"/>
      <c r="AZ24" s="4"/>
      <c r="BA24" s="4" t="s">
        <v>90</v>
      </c>
      <c r="BB24" s="4">
        <v>10800</v>
      </c>
      <c r="BC24" s="4">
        <v>2700</v>
      </c>
      <c r="BD24" s="4">
        <v>0</v>
      </c>
      <c r="BE24" s="4" t="s">
        <v>296</v>
      </c>
      <c r="BF24" s="4"/>
      <c r="BG24" s="4"/>
      <c r="BH24" s="4" t="s">
        <v>168</v>
      </c>
      <c r="BI24" s="105"/>
      <c r="BJ24" s="105"/>
      <c r="BK24" s="4"/>
      <c r="BL24" s="105"/>
    </row>
    <row r="25" ht="19.95" customHeight="1">
      <c r="A25" s="4">
        <v>171182</v>
      </c>
      <c r="B25" s="4"/>
      <c r="C25" s="55"/>
      <c r="D25" s="4" t="s">
        <v>369</v>
      </c>
      <c r="E25" s="4" t="s">
        <v>114</v>
      </c>
      <c r="F25" s="55">
        <v>1210692310</v>
      </c>
      <c r="G25" s="4" t="s">
        <v>225</v>
      </c>
      <c r="H25" s="4" t="s">
        <v>226</v>
      </c>
      <c r="I25" s="4" t="s">
        <v>69</v>
      </c>
      <c r="J25" s="55" t="s">
        <v>214</v>
      </c>
      <c r="K25" s="4" t="s">
        <v>71</v>
      </c>
      <c r="L25" s="4" t="s">
        <v>72</v>
      </c>
      <c r="M25" s="4" t="s">
        <v>74</v>
      </c>
      <c r="N25" s="4" t="s">
        <v>74</v>
      </c>
      <c r="O25" s="4" t="s">
        <v>75</v>
      </c>
      <c r="P25" s="4">
        <v>16</v>
      </c>
      <c r="Q25" s="57">
        <v>45207</v>
      </c>
      <c r="R25" s="57">
        <v>45211</v>
      </c>
      <c r="S25" s="113"/>
      <c r="T25" s="113"/>
      <c r="U25" s="4"/>
      <c r="V25" s="4"/>
      <c r="W25" s="105" t="s">
        <v>370</v>
      </c>
      <c r="X25" s="114">
        <v>1732784466</v>
      </c>
      <c r="Y25" s="55">
        <v>1964547614</v>
      </c>
      <c r="Z25" s="4" t="s">
        <v>371</v>
      </c>
      <c r="AA25" s="4">
        <v>1575500082</v>
      </c>
      <c r="AB25" s="4" t="s">
        <v>252</v>
      </c>
      <c r="AC25" s="4" t="s">
        <v>79</v>
      </c>
      <c r="AD25" s="113">
        <v>36160</v>
      </c>
      <c r="AE25" s="107">
        <f t="shared" si="1" ca="1"/>
        <v>26.12876712328767</v>
      </c>
      <c r="AF25" s="4" t="s">
        <v>80</v>
      </c>
      <c r="AG25" s="114">
        <v>8708000057</v>
      </c>
      <c r="AH25" s="4" t="s">
        <v>81</v>
      </c>
      <c r="AI25" s="55" t="s">
        <v>290</v>
      </c>
      <c r="AJ25" s="55" t="s">
        <v>81</v>
      </c>
      <c r="AK25" s="55">
        <v>2023</v>
      </c>
      <c r="AL25" s="4" t="s">
        <v>372</v>
      </c>
      <c r="AM25" s="4" t="s">
        <v>373</v>
      </c>
      <c r="AN25" s="4" t="s">
        <v>374</v>
      </c>
      <c r="AO25" s="4" t="s">
        <v>375</v>
      </c>
      <c r="AP25" s="4" t="s">
        <v>376</v>
      </c>
      <c r="AQ25" s="55" t="s">
        <v>377</v>
      </c>
      <c r="AR25" s="4" t="s">
        <v>110</v>
      </c>
      <c r="AS25" s="4"/>
      <c r="AT25" s="72"/>
      <c r="AU25" s="4"/>
      <c r="AV25" s="4"/>
      <c r="AW25" s="4"/>
      <c r="AX25" s="4"/>
      <c r="AY25" s="4"/>
      <c r="AZ25" s="4"/>
      <c r="BA25" s="4" t="s">
        <v>90</v>
      </c>
      <c r="BB25" s="4">
        <v>14500</v>
      </c>
      <c r="BC25" s="4">
        <v>3500</v>
      </c>
      <c r="BD25" s="4">
        <v>0</v>
      </c>
      <c r="BE25" s="4" t="s">
        <v>296</v>
      </c>
      <c r="BF25" s="4"/>
      <c r="BG25" s="4"/>
      <c r="BH25" s="4" t="s">
        <v>168</v>
      </c>
      <c r="BI25" s="105"/>
      <c r="BJ25" s="105"/>
      <c r="BK25" s="4"/>
      <c r="BL25" s="105"/>
    </row>
    <row r="26" ht="19.95" customHeight="1">
      <c r="A26" s="4">
        <v>171186</v>
      </c>
      <c r="B26" s="4"/>
      <c r="C26" s="55" t="s">
        <v>378</v>
      </c>
      <c r="D26" s="4" t="s">
        <v>379</v>
      </c>
      <c r="E26" s="4" t="s">
        <v>114</v>
      </c>
      <c r="F26" s="55">
        <v>1013134916</v>
      </c>
      <c r="G26" s="4" t="s">
        <v>67</v>
      </c>
      <c r="H26" s="4" t="s">
        <v>68</v>
      </c>
      <c r="I26" s="4" t="s">
        <v>69</v>
      </c>
      <c r="J26" s="55" t="s">
        <v>297</v>
      </c>
      <c r="K26" s="4" t="s">
        <v>71</v>
      </c>
      <c r="L26" s="4" t="s">
        <v>72</v>
      </c>
      <c r="M26" s="4" t="s">
        <v>73</v>
      </c>
      <c r="N26" s="4" t="s">
        <v>74</v>
      </c>
      <c r="O26" s="4" t="s">
        <v>75</v>
      </c>
      <c r="P26" s="4">
        <v>16</v>
      </c>
      <c r="Q26" s="57">
        <v>45208</v>
      </c>
      <c r="R26" s="57">
        <v>45211</v>
      </c>
      <c r="S26" s="113"/>
      <c r="T26" s="113"/>
      <c r="U26" s="4"/>
      <c r="V26" s="4"/>
      <c r="W26" s="105" t="s">
        <v>380</v>
      </c>
      <c r="X26" s="114">
        <v>1771744281</v>
      </c>
      <c r="Y26" s="55">
        <v>1910826006</v>
      </c>
      <c r="Z26" s="4" t="s">
        <v>381</v>
      </c>
      <c r="AA26" s="4">
        <v>1787440266</v>
      </c>
      <c r="AB26" s="4" t="s">
        <v>382</v>
      </c>
      <c r="AC26" s="4" t="s">
        <v>133</v>
      </c>
      <c r="AD26" s="113">
        <v>35432</v>
      </c>
      <c r="AE26" s="107">
        <f t="shared" si="1" ca="1"/>
        <v>28.123287671232877</v>
      </c>
      <c r="AF26" s="4" t="s">
        <v>80</v>
      </c>
      <c r="AG26" s="114">
        <v>8706441071</v>
      </c>
      <c r="AH26" s="4" t="s">
        <v>81</v>
      </c>
      <c r="AI26" s="55" t="s">
        <v>254</v>
      </c>
      <c r="AJ26" s="55" t="s">
        <v>81</v>
      </c>
      <c r="AK26" s="55">
        <v>2020</v>
      </c>
      <c r="AL26" s="4" t="s">
        <v>383</v>
      </c>
      <c r="AM26" s="4" t="s">
        <v>384</v>
      </c>
      <c r="AN26" s="4" t="s">
        <v>385</v>
      </c>
      <c r="AO26" s="4" t="s">
        <v>386</v>
      </c>
      <c r="AP26" s="4" t="s">
        <v>387</v>
      </c>
      <c r="AQ26" s="55" t="s">
        <v>88</v>
      </c>
      <c r="AR26" s="4" t="s">
        <v>110</v>
      </c>
      <c r="AS26" s="4"/>
      <c r="AT26" s="72"/>
      <c r="AU26" s="4"/>
      <c r="AV26" s="4"/>
      <c r="AW26" s="4"/>
      <c r="AX26" s="4"/>
      <c r="AY26" s="4"/>
      <c r="AZ26" s="4"/>
      <c r="BA26" s="4" t="s">
        <v>90</v>
      </c>
      <c r="BB26" s="4">
        <v>10800</v>
      </c>
      <c r="BC26" s="4">
        <v>2700</v>
      </c>
      <c r="BD26" s="4">
        <v>0</v>
      </c>
      <c r="BE26" s="4" t="s">
        <v>296</v>
      </c>
      <c r="BF26" s="4"/>
      <c r="BG26" s="4"/>
      <c r="BH26" s="4" t="s">
        <v>168</v>
      </c>
      <c r="BI26" s="105"/>
      <c r="BJ26" s="105"/>
      <c r="BK26" s="4"/>
      <c r="BL26" s="105"/>
    </row>
    <row r="27" ht="19.95" customHeight="1">
      <c r="A27" s="4">
        <v>171189</v>
      </c>
      <c r="B27" s="4"/>
      <c r="C27" s="55" t="s">
        <v>388</v>
      </c>
      <c r="D27" s="4" t="s">
        <v>389</v>
      </c>
      <c r="E27" s="4" t="s">
        <v>66</v>
      </c>
      <c r="F27" s="55">
        <v>944413</v>
      </c>
      <c r="G27" s="4" t="s">
        <v>67</v>
      </c>
      <c r="H27" s="4" t="s">
        <v>68</v>
      </c>
      <c r="I27" s="4" t="s">
        <v>69</v>
      </c>
      <c r="J27" s="55" t="s">
        <v>297</v>
      </c>
      <c r="K27" s="4" t="s">
        <v>71</v>
      </c>
      <c r="L27" s="4" t="s">
        <v>72</v>
      </c>
      <c r="M27" s="4" t="s">
        <v>115</v>
      </c>
      <c r="N27" s="4" t="s">
        <v>74</v>
      </c>
      <c r="O27" s="4" t="s">
        <v>75</v>
      </c>
      <c r="P27" s="4">
        <v>16</v>
      </c>
      <c r="Q27" s="57">
        <v>45208</v>
      </c>
      <c r="R27" s="57">
        <v>45211</v>
      </c>
      <c r="S27" s="113"/>
      <c r="T27" s="113"/>
      <c r="U27" s="4"/>
      <c r="V27" s="4"/>
      <c r="W27" s="105" t="s">
        <v>390</v>
      </c>
      <c r="X27" s="114">
        <v>1999223191</v>
      </c>
      <c r="Y27" s="55"/>
      <c r="Z27" s="4" t="s">
        <v>391</v>
      </c>
      <c r="AA27" s="4">
        <v>1402517624</v>
      </c>
      <c r="AB27" s="4" t="s">
        <v>275</v>
      </c>
      <c r="AC27" s="4" t="s">
        <v>119</v>
      </c>
      <c r="AD27" s="113">
        <v>35718</v>
      </c>
      <c r="AE27" s="107">
        <f t="shared" si="1" ca="1"/>
        <v>27.339726027397262</v>
      </c>
      <c r="AF27" s="4" t="s">
        <v>80</v>
      </c>
      <c r="AG27" s="114">
        <v>2853835862</v>
      </c>
      <c r="AH27" s="4" t="s">
        <v>81</v>
      </c>
      <c r="AI27" s="55" t="s">
        <v>322</v>
      </c>
      <c r="AJ27" s="55" t="s">
        <v>81</v>
      </c>
      <c r="AK27" s="55">
        <v>2018</v>
      </c>
      <c r="AL27" s="4" t="s">
        <v>392</v>
      </c>
      <c r="AM27" s="4" t="s">
        <v>393</v>
      </c>
      <c r="AN27" s="4" t="s">
        <v>394</v>
      </c>
      <c r="AO27" s="4" t="s">
        <v>395</v>
      </c>
      <c r="AP27" s="4" t="s">
        <v>396</v>
      </c>
      <c r="AQ27" s="55" t="s">
        <v>397</v>
      </c>
      <c r="AR27" s="4" t="s">
        <v>110</v>
      </c>
      <c r="AS27" s="4"/>
      <c r="AT27" s="72"/>
      <c r="AU27" s="4"/>
      <c r="AV27" s="4"/>
      <c r="AW27" s="4"/>
      <c r="AX27" s="4"/>
      <c r="AY27" s="4"/>
      <c r="AZ27" s="4"/>
      <c r="BA27" s="4" t="s">
        <v>90</v>
      </c>
      <c r="BB27" s="4">
        <v>10800</v>
      </c>
      <c r="BC27" s="4">
        <v>2700</v>
      </c>
      <c r="BD27" s="4">
        <v>0</v>
      </c>
      <c r="BE27" s="4" t="s">
        <v>296</v>
      </c>
      <c r="BF27" s="4"/>
      <c r="BG27" s="4"/>
      <c r="BH27" s="4" t="s">
        <v>168</v>
      </c>
      <c r="BI27" s="105"/>
      <c r="BJ27" s="105"/>
      <c r="BK27" s="4"/>
      <c r="BL27" s="105"/>
    </row>
    <row r="28" ht="19.95" customHeight="1">
      <c r="A28" s="4">
        <v>171191</v>
      </c>
      <c r="B28" s="4"/>
      <c r="C28" s="55" t="s">
        <v>398</v>
      </c>
      <c r="D28" s="4" t="s">
        <v>399</v>
      </c>
      <c r="E28" s="4" t="s">
        <v>66</v>
      </c>
      <c r="F28" s="55">
        <v>1111472238</v>
      </c>
      <c r="G28" s="4" t="s">
        <v>67</v>
      </c>
      <c r="H28" s="4" t="s">
        <v>68</v>
      </c>
      <c r="I28" s="4" t="s">
        <v>69</v>
      </c>
      <c r="J28" s="55" t="s">
        <v>319</v>
      </c>
      <c r="K28" s="4" t="s">
        <v>71</v>
      </c>
      <c r="L28" s="4" t="s">
        <v>72</v>
      </c>
      <c r="M28" s="4" t="s">
        <v>73</v>
      </c>
      <c r="N28" s="4" t="s">
        <v>74</v>
      </c>
      <c r="O28" s="4" t="s">
        <v>75</v>
      </c>
      <c r="P28" s="4">
        <v>16</v>
      </c>
      <c r="Q28" s="57">
        <v>45208</v>
      </c>
      <c r="R28" s="57">
        <v>45211</v>
      </c>
      <c r="S28" s="113"/>
      <c r="T28" s="113"/>
      <c r="U28" s="4"/>
      <c r="V28" s="4"/>
      <c r="W28" s="105" t="s">
        <v>400</v>
      </c>
      <c r="X28" s="114">
        <v>1728198067</v>
      </c>
      <c r="Y28" s="55"/>
      <c r="Z28" s="4" t="s">
        <v>401</v>
      </c>
      <c r="AA28" s="4">
        <v>1810845234</v>
      </c>
      <c r="AB28" s="4" t="s">
        <v>118</v>
      </c>
      <c r="AC28" s="4" t="s">
        <v>133</v>
      </c>
      <c r="AD28" s="113">
        <v>36390</v>
      </c>
      <c r="AE28" s="107">
        <f t="shared" si="1" ca="1"/>
        <v>25.4986301369863</v>
      </c>
      <c r="AF28" s="4" t="s">
        <v>80</v>
      </c>
      <c r="AG28" s="114">
        <v>7365611347</v>
      </c>
      <c r="AH28" s="4" t="s">
        <v>81</v>
      </c>
      <c r="AI28" s="55" t="s">
        <v>347</v>
      </c>
      <c r="AJ28" s="55" t="s">
        <v>81</v>
      </c>
      <c r="AK28" s="55">
        <v>2020</v>
      </c>
      <c r="AL28" s="4" t="s">
        <v>402</v>
      </c>
      <c r="AM28" s="4" t="s">
        <v>403</v>
      </c>
      <c r="AN28" s="4" t="s">
        <v>131</v>
      </c>
      <c r="AO28" s="4" t="s">
        <v>404</v>
      </c>
      <c r="AP28" s="4" t="s">
        <v>405</v>
      </c>
      <c r="AQ28" s="55" t="s">
        <v>285</v>
      </c>
      <c r="AR28" s="4" t="s">
        <v>110</v>
      </c>
      <c r="AS28" s="4"/>
      <c r="AT28" s="72"/>
      <c r="AU28" s="4"/>
      <c r="AV28" s="4"/>
      <c r="AW28" s="4"/>
      <c r="AX28" s="4"/>
      <c r="AY28" s="4"/>
      <c r="AZ28" s="4"/>
      <c r="BA28" s="4" t="s">
        <v>90</v>
      </c>
      <c r="BB28" s="4">
        <v>10800</v>
      </c>
      <c r="BC28" s="4">
        <v>2700</v>
      </c>
      <c r="BD28" s="4">
        <v>0</v>
      </c>
      <c r="BE28" s="4" t="s">
        <v>296</v>
      </c>
      <c r="BF28" s="4"/>
      <c r="BG28" s="4"/>
      <c r="BH28" s="4" t="s">
        <v>168</v>
      </c>
      <c r="BI28" s="105"/>
      <c r="BJ28" s="105"/>
      <c r="BK28" s="4"/>
      <c r="BL28" s="105"/>
    </row>
    <row r="29" ht="19.95" customHeight="1">
      <c r="A29" s="4">
        <v>171192</v>
      </c>
      <c r="B29" s="4"/>
      <c r="C29" s="55"/>
      <c r="D29" s="4" t="s">
        <v>406</v>
      </c>
      <c r="E29" s="4" t="s">
        <v>66</v>
      </c>
      <c r="F29" s="55">
        <v>1110583805</v>
      </c>
      <c r="G29" s="4" t="s">
        <v>67</v>
      </c>
      <c r="H29" s="4" t="s">
        <v>68</v>
      </c>
      <c r="I29" s="4" t="s">
        <v>69</v>
      </c>
      <c r="J29" s="55" t="s">
        <v>407</v>
      </c>
      <c r="K29" s="4" t="s">
        <v>71</v>
      </c>
      <c r="L29" s="4" t="s">
        <v>72</v>
      </c>
      <c r="M29" s="4" t="s">
        <v>73</v>
      </c>
      <c r="N29" s="4" t="s">
        <v>74</v>
      </c>
      <c r="O29" s="4" t="s">
        <v>75</v>
      </c>
      <c r="P29" s="4">
        <v>17</v>
      </c>
      <c r="Q29" s="57">
        <v>45224</v>
      </c>
      <c r="R29" s="57">
        <v>45235</v>
      </c>
      <c r="S29" s="113"/>
      <c r="T29" s="113"/>
      <c r="U29" s="4"/>
      <c r="V29" s="4"/>
      <c r="W29" s="105" t="s">
        <v>408</v>
      </c>
      <c r="X29" s="114">
        <v>1629133146</v>
      </c>
      <c r="Y29" s="55"/>
      <c r="Z29" s="4" t="s">
        <v>409</v>
      </c>
      <c r="AA29" s="4">
        <v>1682823507</v>
      </c>
      <c r="AB29" s="4" t="s">
        <v>410</v>
      </c>
      <c r="AC29" s="4" t="s">
        <v>133</v>
      </c>
      <c r="AD29" s="113">
        <v>36130</v>
      </c>
      <c r="AE29" s="107">
        <f t="shared" si="1" ca="1"/>
        <v>26.21095890410959</v>
      </c>
      <c r="AF29" s="4" t="s">
        <v>80</v>
      </c>
      <c r="AG29" s="114">
        <v>6454397537</v>
      </c>
      <c r="AH29" s="4" t="s">
        <v>411</v>
      </c>
      <c r="AI29" s="55" t="s">
        <v>322</v>
      </c>
      <c r="AJ29" s="55" t="s">
        <v>81</v>
      </c>
      <c r="AK29" s="55"/>
      <c r="AL29" s="4" t="s">
        <v>412</v>
      </c>
      <c r="AM29" s="4" t="s">
        <v>413</v>
      </c>
      <c r="AN29" s="4" t="s">
        <v>414</v>
      </c>
      <c r="AO29" s="4" t="s">
        <v>415</v>
      </c>
      <c r="AP29" s="4" t="s">
        <v>416</v>
      </c>
      <c r="AQ29" s="55" t="s">
        <v>417</v>
      </c>
      <c r="AR29" s="4" t="s">
        <v>89</v>
      </c>
      <c r="AS29" s="4" t="s">
        <v>409</v>
      </c>
      <c r="AT29" s="72">
        <v>34670</v>
      </c>
      <c r="AU29" s="4" t="s">
        <v>81</v>
      </c>
      <c r="AV29" s="4" t="s">
        <v>81</v>
      </c>
      <c r="AW29" s="4"/>
      <c r="AX29" s="4"/>
      <c r="AY29" s="4"/>
      <c r="AZ29" s="4"/>
      <c r="BA29" s="4" t="s">
        <v>90</v>
      </c>
      <c r="BB29" s="4">
        <v>10800</v>
      </c>
      <c r="BC29" s="4">
        <v>2700</v>
      </c>
      <c r="BD29" s="4">
        <v>0</v>
      </c>
      <c r="BE29" s="4" t="s">
        <v>296</v>
      </c>
      <c r="BF29" s="4"/>
      <c r="BG29" s="4"/>
      <c r="BH29" s="4" t="s">
        <v>168</v>
      </c>
      <c r="BI29" s="105"/>
      <c r="BJ29" s="105"/>
      <c r="BK29" s="4"/>
      <c r="BL29" s="105"/>
    </row>
    <row r="30" ht="19.95" customHeight="1">
      <c r="A30" s="4">
        <v>171195</v>
      </c>
      <c r="B30" s="4"/>
      <c r="C30" s="55"/>
      <c r="D30" s="4" t="s">
        <v>418</v>
      </c>
      <c r="E30" s="4" t="s">
        <v>66</v>
      </c>
      <c r="F30" s="55">
        <v>1115244614</v>
      </c>
      <c r="G30" s="4" t="s">
        <v>67</v>
      </c>
      <c r="H30" s="4" t="s">
        <v>68</v>
      </c>
      <c r="I30" s="4" t="s">
        <v>69</v>
      </c>
      <c r="J30" s="55" t="s">
        <v>319</v>
      </c>
      <c r="K30" s="4" t="s">
        <v>71</v>
      </c>
      <c r="L30" s="4" t="s">
        <v>72</v>
      </c>
      <c r="M30" s="4" t="s">
        <v>115</v>
      </c>
      <c r="N30" s="4" t="s">
        <v>74</v>
      </c>
      <c r="O30" s="4" t="s">
        <v>75</v>
      </c>
      <c r="P30" s="4">
        <v>17</v>
      </c>
      <c r="Q30" s="57">
        <v>45225</v>
      </c>
      <c r="R30" s="57">
        <v>45235</v>
      </c>
      <c r="S30" s="113"/>
      <c r="T30" s="113"/>
      <c r="U30" s="4"/>
      <c r="V30" s="4"/>
      <c r="W30" s="105" t="s">
        <v>419</v>
      </c>
      <c r="X30" s="114">
        <v>1823369317</v>
      </c>
      <c r="Y30" s="55">
        <v>1631128694</v>
      </c>
      <c r="Z30" s="4" t="s">
        <v>78</v>
      </c>
      <c r="AA30" s="4">
        <v>1881338680</v>
      </c>
      <c r="AB30" s="4" t="s">
        <v>420</v>
      </c>
      <c r="AC30" s="4" t="s">
        <v>133</v>
      </c>
      <c r="AD30" s="113">
        <v>36502</v>
      </c>
      <c r="AE30" s="107">
        <f t="shared" si="1" ca="1"/>
        <v>25.19178082191781</v>
      </c>
      <c r="AF30" s="4" t="s">
        <v>80</v>
      </c>
      <c r="AG30" s="114">
        <v>4654159088</v>
      </c>
      <c r="AH30" s="4" t="s">
        <v>81</v>
      </c>
      <c r="AI30" s="55" t="s">
        <v>421</v>
      </c>
      <c r="AJ30" s="55" t="s">
        <v>422</v>
      </c>
      <c r="AK30" s="55">
        <v>2020</v>
      </c>
      <c r="AL30" s="4" t="s">
        <v>423</v>
      </c>
      <c r="AM30" s="4" t="s">
        <v>424</v>
      </c>
      <c r="AN30" s="4" t="s">
        <v>425</v>
      </c>
      <c r="AO30" s="4" t="s">
        <v>426</v>
      </c>
      <c r="AP30" s="4" t="s">
        <v>427</v>
      </c>
      <c r="AQ30" s="55" t="s">
        <v>428</v>
      </c>
      <c r="AR30" s="4" t="s">
        <v>89</v>
      </c>
      <c r="AS30" s="4" t="s">
        <v>429</v>
      </c>
      <c r="AT30" s="72">
        <v>35952</v>
      </c>
      <c r="AU30" s="4" t="s">
        <v>81</v>
      </c>
      <c r="AV30" s="4" t="s">
        <v>81</v>
      </c>
      <c r="AW30" s="4"/>
      <c r="AX30" s="4"/>
      <c r="AY30" s="4"/>
      <c r="AZ30" s="4"/>
      <c r="BA30" s="4" t="s">
        <v>90</v>
      </c>
      <c r="BB30" s="4">
        <v>10800</v>
      </c>
      <c r="BC30" s="4">
        <v>2700</v>
      </c>
      <c r="BD30" s="4">
        <v>0</v>
      </c>
      <c r="BE30" s="4" t="s">
        <v>296</v>
      </c>
      <c r="BF30" s="4"/>
      <c r="BG30" s="4"/>
      <c r="BH30" s="4" t="s">
        <v>168</v>
      </c>
      <c r="BI30" s="105"/>
      <c r="BJ30" s="105"/>
      <c r="BK30" s="4"/>
      <c r="BL30" s="105"/>
    </row>
    <row r="31" ht="19.95" customHeight="1">
      <c r="A31" s="4">
        <v>171196</v>
      </c>
      <c r="B31" s="4"/>
      <c r="C31" s="55"/>
      <c r="D31" s="4" t="s">
        <v>430</v>
      </c>
      <c r="E31" s="4" t="s">
        <v>66</v>
      </c>
      <c r="F31" s="55">
        <v>221315</v>
      </c>
      <c r="G31" s="4" t="s">
        <v>67</v>
      </c>
      <c r="H31" s="4" t="s">
        <v>68</v>
      </c>
      <c r="I31" s="4" t="s">
        <v>69</v>
      </c>
      <c r="J31" s="55" t="s">
        <v>307</v>
      </c>
      <c r="K31" s="4" t="s">
        <v>71</v>
      </c>
      <c r="L31" s="4" t="s">
        <v>72</v>
      </c>
      <c r="M31" s="4" t="s">
        <v>98</v>
      </c>
      <c r="N31" s="4" t="s">
        <v>74</v>
      </c>
      <c r="O31" s="4" t="s">
        <v>75</v>
      </c>
      <c r="P31" s="4">
        <v>17</v>
      </c>
      <c r="Q31" s="57">
        <v>45224</v>
      </c>
      <c r="R31" s="57">
        <v>45235</v>
      </c>
      <c r="S31" s="113"/>
      <c r="T31" s="113"/>
      <c r="U31" s="4"/>
      <c r="V31" s="4"/>
      <c r="W31" s="105" t="s">
        <v>431</v>
      </c>
      <c r="X31" s="114">
        <v>1306777070</v>
      </c>
      <c r="Y31" s="55">
        <v>1782618205</v>
      </c>
      <c r="Z31" s="4" t="s">
        <v>432</v>
      </c>
      <c r="AA31" s="4">
        <v>1782618205</v>
      </c>
      <c r="AB31" s="4" t="s">
        <v>433</v>
      </c>
      <c r="AC31" s="4" t="s">
        <v>79</v>
      </c>
      <c r="AD31" s="113">
        <v>34039</v>
      </c>
      <c r="AE31" s="107">
        <f t="shared" si="1" ca="1"/>
        <v>31.93972602739726</v>
      </c>
      <c r="AF31" s="4" t="s">
        <v>80</v>
      </c>
      <c r="AG31" s="114">
        <v>6464967550</v>
      </c>
      <c r="AH31" s="4" t="s">
        <v>81</v>
      </c>
      <c r="AI31" s="55" t="s">
        <v>434</v>
      </c>
      <c r="AJ31" s="55" t="s">
        <v>81</v>
      </c>
      <c r="AK31" s="55">
        <v>2015</v>
      </c>
      <c r="AL31" s="4" t="s">
        <v>435</v>
      </c>
      <c r="AM31" s="4" t="s">
        <v>436</v>
      </c>
      <c r="AN31" s="4" t="s">
        <v>325</v>
      </c>
      <c r="AO31" s="4" t="s">
        <v>437</v>
      </c>
      <c r="AP31" s="4" t="s">
        <v>438</v>
      </c>
      <c r="AQ31" s="55" t="s">
        <v>439</v>
      </c>
      <c r="AR31" s="4" t="s">
        <v>89</v>
      </c>
      <c r="AS31" s="4" t="s">
        <v>440</v>
      </c>
      <c r="AT31" s="72"/>
      <c r="AU31" s="4" t="s">
        <v>81</v>
      </c>
      <c r="AV31" s="4" t="s">
        <v>81</v>
      </c>
      <c r="AW31" s="4"/>
      <c r="AX31" s="4"/>
      <c r="AY31" s="4"/>
      <c r="AZ31" s="4"/>
      <c r="BA31" s="4" t="s">
        <v>90</v>
      </c>
      <c r="BB31" s="4">
        <v>10800</v>
      </c>
      <c r="BC31" s="4">
        <v>2700</v>
      </c>
      <c r="BD31" s="4">
        <v>0</v>
      </c>
      <c r="BE31" s="4" t="s">
        <v>296</v>
      </c>
      <c r="BF31" s="4"/>
      <c r="BG31" s="4"/>
      <c r="BH31" s="4" t="s">
        <v>168</v>
      </c>
      <c r="BI31" s="105"/>
      <c r="BJ31" s="105"/>
      <c r="BK31" s="4"/>
      <c r="BL31" s="105"/>
    </row>
    <row r="32" ht="19.95" customHeight="1">
      <c r="A32" s="4">
        <v>171219</v>
      </c>
      <c r="B32" s="4"/>
      <c r="C32" s="55" t="s">
        <v>441</v>
      </c>
      <c r="D32" s="4" t="s">
        <v>442</v>
      </c>
      <c r="E32" s="4" t="s">
        <v>114</v>
      </c>
      <c r="F32" s="55">
        <v>1210880961</v>
      </c>
      <c r="G32" s="4" t="s">
        <v>67</v>
      </c>
      <c r="H32" s="4" t="s">
        <v>68</v>
      </c>
      <c r="I32" s="4" t="s">
        <v>69</v>
      </c>
      <c r="J32" s="55" t="s">
        <v>155</v>
      </c>
      <c r="K32" s="4" t="s">
        <v>71</v>
      </c>
      <c r="L32" s="4" t="s">
        <v>72</v>
      </c>
      <c r="M32" s="4" t="s">
        <v>271</v>
      </c>
      <c r="N32" s="4" t="s">
        <v>74</v>
      </c>
      <c r="O32" s="4" t="s">
        <v>75</v>
      </c>
      <c r="P32" s="4">
        <v>18</v>
      </c>
      <c r="Q32" s="57">
        <v>45246</v>
      </c>
      <c r="R32" s="57">
        <v>45265</v>
      </c>
      <c r="S32" s="113"/>
      <c r="T32" s="113"/>
      <c r="U32" s="4"/>
      <c r="V32" s="4"/>
      <c r="W32" s="105" t="s">
        <v>443</v>
      </c>
      <c r="X32" s="114">
        <v>1793931848</v>
      </c>
      <c r="Y32" s="55"/>
      <c r="Z32" s="4" t="s">
        <v>444</v>
      </c>
      <c r="AA32" s="4">
        <v>1819671474</v>
      </c>
      <c r="AB32" s="4" t="s">
        <v>101</v>
      </c>
      <c r="AC32" s="4" t="s">
        <v>79</v>
      </c>
      <c r="AD32" s="113">
        <v>36474</v>
      </c>
      <c r="AE32" s="107">
        <f t="shared" si="1" ca="1"/>
        <v>25.268493150684932</v>
      </c>
      <c r="AF32" s="4" t="s">
        <v>80</v>
      </c>
      <c r="AG32" s="114">
        <v>7804447634</v>
      </c>
      <c r="AH32" s="4" t="s">
        <v>81</v>
      </c>
      <c r="AI32" s="55" t="s">
        <v>445</v>
      </c>
      <c r="AJ32" s="55" t="s">
        <v>81</v>
      </c>
      <c r="AK32" s="55">
        <v>2022</v>
      </c>
      <c r="AL32" s="4" t="s">
        <v>161</v>
      </c>
      <c r="AM32" s="4" t="s">
        <v>444</v>
      </c>
      <c r="AN32" s="4" t="s">
        <v>446</v>
      </c>
      <c r="AO32" s="4" t="s">
        <v>447</v>
      </c>
      <c r="AP32" s="4" t="s">
        <v>448</v>
      </c>
      <c r="AQ32" s="55" t="s">
        <v>449</v>
      </c>
      <c r="AR32" s="4" t="s">
        <v>110</v>
      </c>
      <c r="AS32" s="4" t="s">
        <v>81</v>
      </c>
      <c r="AT32" s="72" t="s">
        <v>81</v>
      </c>
      <c r="AU32" s="4" t="s">
        <v>81</v>
      </c>
      <c r="AV32" s="4" t="s">
        <v>81</v>
      </c>
      <c r="AW32" s="4" t="s">
        <v>81</v>
      </c>
      <c r="AX32" s="4" t="s">
        <v>81</v>
      </c>
      <c r="AY32" s="4"/>
      <c r="AZ32" s="4"/>
      <c r="BA32" s="4" t="s">
        <v>90</v>
      </c>
      <c r="BB32" s="4">
        <v>10800</v>
      </c>
      <c r="BC32" s="4">
        <v>2700</v>
      </c>
      <c r="BD32" s="4">
        <v>1000</v>
      </c>
      <c r="BE32" s="4" t="s">
        <v>166</v>
      </c>
      <c r="BF32" s="4"/>
      <c r="BG32" s="4"/>
      <c r="BH32" s="4" t="s">
        <v>168</v>
      </c>
      <c r="BI32" s="105"/>
      <c r="BJ32" s="105"/>
      <c r="BK32" s="4"/>
      <c r="BL32" s="105"/>
    </row>
    <row r="33" ht="19.95" customHeight="1">
      <c r="A33" s="4">
        <v>171233</v>
      </c>
      <c r="B33" s="4"/>
      <c r="C33" s="55" t="s">
        <v>450</v>
      </c>
      <c r="D33" s="4" t="s">
        <v>451</v>
      </c>
      <c r="E33" s="4" t="s">
        <v>114</v>
      </c>
      <c r="F33" s="55">
        <v>1110225403</v>
      </c>
      <c r="G33" s="4" t="s">
        <v>67</v>
      </c>
      <c r="H33" s="4" t="s">
        <v>68</v>
      </c>
      <c r="I33" s="4" t="s">
        <v>69</v>
      </c>
      <c r="J33" s="55" t="s">
        <v>155</v>
      </c>
      <c r="K33" s="4" t="s">
        <v>71</v>
      </c>
      <c r="L33" s="4" t="s">
        <v>72</v>
      </c>
      <c r="M33" s="4" t="s">
        <v>183</v>
      </c>
      <c r="N33" s="4" t="s">
        <v>74</v>
      </c>
      <c r="O33" s="4" t="s">
        <v>75</v>
      </c>
      <c r="P33" s="4">
        <v>18</v>
      </c>
      <c r="Q33" s="57">
        <v>45246</v>
      </c>
      <c r="R33" s="57">
        <v>45264</v>
      </c>
      <c r="S33" s="113"/>
      <c r="T33" s="113"/>
      <c r="U33" s="4"/>
      <c r="V33" s="4"/>
      <c r="W33" s="105" t="s">
        <v>443</v>
      </c>
      <c r="X33" s="114">
        <v>1521124841</v>
      </c>
      <c r="Y33" s="55"/>
      <c r="Z33" s="4" t="s">
        <v>452</v>
      </c>
      <c r="AA33" s="4">
        <v>1954090450</v>
      </c>
      <c r="AB33" s="4" t="s">
        <v>101</v>
      </c>
      <c r="AC33" s="4" t="s">
        <v>79</v>
      </c>
      <c r="AD33" s="113">
        <v>36028</v>
      </c>
      <c r="AE33" s="107">
        <f t="shared" si="1" ca="1"/>
        <v>26.49041095890411</v>
      </c>
      <c r="AF33" s="4" t="s">
        <v>80</v>
      </c>
      <c r="AG33" s="114">
        <v>6454317246</v>
      </c>
      <c r="AH33" s="4" t="s">
        <v>81</v>
      </c>
      <c r="AI33" s="55" t="s">
        <v>290</v>
      </c>
      <c r="AJ33" s="55" t="s">
        <v>81</v>
      </c>
      <c r="AK33" s="55">
        <v>2020</v>
      </c>
      <c r="AL33" s="4" t="s">
        <v>453</v>
      </c>
      <c r="AM33" s="4" t="s">
        <v>452</v>
      </c>
      <c r="AN33" s="4" t="s">
        <v>454</v>
      </c>
      <c r="AO33" s="4" t="s">
        <v>455</v>
      </c>
      <c r="AP33" s="4" t="s">
        <v>456</v>
      </c>
      <c r="AQ33" s="55" t="s">
        <v>457</v>
      </c>
      <c r="AR33" s="4" t="s">
        <v>110</v>
      </c>
      <c r="AS33" s="4" t="s">
        <v>81</v>
      </c>
      <c r="AT33" s="72" t="s">
        <v>81</v>
      </c>
      <c r="AU33" s="4" t="s">
        <v>81</v>
      </c>
      <c r="AV33" s="4" t="s">
        <v>81</v>
      </c>
      <c r="AW33" s="4" t="s">
        <v>81</v>
      </c>
      <c r="AX33" s="4" t="s">
        <v>81</v>
      </c>
      <c r="AY33" s="4"/>
      <c r="AZ33" s="4"/>
      <c r="BA33" s="4" t="s">
        <v>90</v>
      </c>
      <c r="BB33" s="4">
        <v>10800</v>
      </c>
      <c r="BC33" s="4">
        <v>2700</v>
      </c>
      <c r="BD33" s="4">
        <v>1000</v>
      </c>
      <c r="BE33" s="4" t="s">
        <v>166</v>
      </c>
      <c r="BF33" s="4"/>
      <c r="BG33" s="4"/>
      <c r="BH33" s="4" t="s">
        <v>168</v>
      </c>
      <c r="BI33" s="105"/>
      <c r="BJ33" s="105"/>
      <c r="BK33" s="4"/>
      <c r="BL33" s="105"/>
    </row>
    <row r="34" ht="19.95" customHeight="1">
      <c r="A34" s="4">
        <v>171244</v>
      </c>
      <c r="B34" s="4"/>
      <c r="C34" s="55"/>
      <c r="D34" s="4" t="s">
        <v>458</v>
      </c>
      <c r="E34" s="4" t="s">
        <v>66</v>
      </c>
      <c r="F34" s="55" t="s">
        <v>459</v>
      </c>
      <c r="G34" s="4" t="s">
        <v>225</v>
      </c>
      <c r="H34" s="4" t="s">
        <v>226</v>
      </c>
      <c r="I34" s="4" t="s">
        <v>69</v>
      </c>
      <c r="J34" s="55" t="s">
        <v>214</v>
      </c>
      <c r="K34" s="4" t="s">
        <v>71</v>
      </c>
      <c r="L34" s="4" t="s">
        <v>72</v>
      </c>
      <c r="M34" s="4" t="s">
        <v>74</v>
      </c>
      <c r="N34" s="4" t="s">
        <v>74</v>
      </c>
      <c r="O34" s="4" t="s">
        <v>75</v>
      </c>
      <c r="P34" s="4">
        <v>19</v>
      </c>
      <c r="Q34" s="57">
        <v>45251</v>
      </c>
      <c r="R34" s="57">
        <v>45256</v>
      </c>
      <c r="S34" s="113"/>
      <c r="T34" s="113"/>
      <c r="U34" s="4"/>
      <c r="V34" s="4"/>
      <c r="W34" s="105" t="s">
        <v>460</v>
      </c>
      <c r="X34" s="114">
        <v>1626675115</v>
      </c>
      <c r="Y34" s="55"/>
      <c r="Z34" s="4" t="s">
        <v>461</v>
      </c>
      <c r="AA34" s="4">
        <v>1617677799</v>
      </c>
      <c r="AB34" s="4" t="s">
        <v>78</v>
      </c>
      <c r="AC34" s="4" t="s">
        <v>133</v>
      </c>
      <c r="AD34" s="113">
        <v>35374</v>
      </c>
      <c r="AE34" s="107">
        <f t="shared" si="1" ca="1"/>
        <v>28.28219178082192</v>
      </c>
      <c r="AF34" s="4" t="s">
        <v>80</v>
      </c>
      <c r="AG34" s="114" t="s">
        <v>462</v>
      </c>
      <c r="AH34" s="4" t="s">
        <v>81</v>
      </c>
      <c r="AI34" s="55" t="s">
        <v>463</v>
      </c>
      <c r="AJ34" s="55" t="s">
        <v>81</v>
      </c>
      <c r="AK34" s="55">
        <v>2022</v>
      </c>
      <c r="AL34" s="4" t="s">
        <v>464</v>
      </c>
      <c r="AM34" s="4" t="s">
        <v>465</v>
      </c>
      <c r="AN34" s="4" t="s">
        <v>466</v>
      </c>
      <c r="AO34" s="4" t="s">
        <v>467</v>
      </c>
      <c r="AP34" s="4" t="s">
        <v>468</v>
      </c>
      <c r="AQ34" s="55" t="s">
        <v>469</v>
      </c>
      <c r="AR34" s="4" t="s">
        <v>89</v>
      </c>
      <c r="AS34" s="4" t="s">
        <v>461</v>
      </c>
      <c r="AT34" s="72">
        <v>34907</v>
      </c>
      <c r="AU34" s="4" t="s">
        <v>81</v>
      </c>
      <c r="AV34" s="4" t="s">
        <v>81</v>
      </c>
      <c r="AW34" s="4" t="s">
        <v>81</v>
      </c>
      <c r="AX34" s="4" t="s">
        <v>81</v>
      </c>
      <c r="AY34" s="4"/>
      <c r="AZ34" s="4"/>
      <c r="BA34" s="4" t="s">
        <v>90</v>
      </c>
      <c r="BB34" s="4">
        <v>14500</v>
      </c>
      <c r="BC34" s="4">
        <v>3500</v>
      </c>
      <c r="BD34" s="4">
        <v>0</v>
      </c>
      <c r="BE34" s="4" t="s">
        <v>91</v>
      </c>
      <c r="BF34" s="4"/>
      <c r="BG34" s="4"/>
      <c r="BH34" s="4" t="s">
        <v>168</v>
      </c>
      <c r="BI34" s="105"/>
      <c r="BJ34" s="105"/>
      <c r="BK34" s="4"/>
      <c r="BL34" s="105"/>
    </row>
    <row r="35" ht="19.95" customHeight="1">
      <c r="A35" s="4">
        <v>171251</v>
      </c>
      <c r="B35" s="4"/>
      <c r="C35" s="55" t="s">
        <v>470</v>
      </c>
      <c r="D35" s="4" t="s">
        <v>471</v>
      </c>
      <c r="E35" s="4" t="s">
        <v>114</v>
      </c>
      <c r="F35" s="55" t="s">
        <v>81</v>
      </c>
      <c r="G35" s="4" t="s">
        <v>67</v>
      </c>
      <c r="H35" s="4" t="s">
        <v>68</v>
      </c>
      <c r="I35" s="4" t="s">
        <v>69</v>
      </c>
      <c r="J35" s="55" t="s">
        <v>155</v>
      </c>
      <c r="K35" s="4" t="s">
        <v>71</v>
      </c>
      <c r="L35" s="4" t="s">
        <v>72</v>
      </c>
      <c r="M35" s="4" t="s">
        <v>156</v>
      </c>
      <c r="N35" s="4" t="s">
        <v>74</v>
      </c>
      <c r="O35" s="4" t="s">
        <v>75</v>
      </c>
      <c r="P35" s="4">
        <v>19</v>
      </c>
      <c r="Q35" s="57">
        <v>45251</v>
      </c>
      <c r="R35" s="57">
        <v>45268</v>
      </c>
      <c r="S35" s="113"/>
      <c r="T35" s="113"/>
      <c r="U35" s="4"/>
      <c r="V35" s="4"/>
      <c r="W35" s="105" t="s">
        <v>472</v>
      </c>
      <c r="X35" s="114">
        <v>1318795129</v>
      </c>
      <c r="Y35" s="55"/>
      <c r="Z35" s="4" t="s">
        <v>473</v>
      </c>
      <c r="AA35" s="4">
        <v>1768776161</v>
      </c>
      <c r="AB35" s="4" t="s">
        <v>101</v>
      </c>
      <c r="AC35" s="4" t="s">
        <v>133</v>
      </c>
      <c r="AD35" s="113">
        <v>36335</v>
      </c>
      <c r="AE35" s="107">
        <f t="shared" si="1" ca="1"/>
        <v>25.649315068493152</v>
      </c>
      <c r="AF35" s="4" t="s">
        <v>80</v>
      </c>
      <c r="AG35" s="114">
        <v>4655222992</v>
      </c>
      <c r="AH35" s="4" t="s">
        <v>81</v>
      </c>
      <c r="AI35" s="55" t="s">
        <v>322</v>
      </c>
      <c r="AJ35" s="55" t="s">
        <v>81</v>
      </c>
      <c r="AK35" s="55">
        <v>2023</v>
      </c>
      <c r="AL35" s="4" t="s">
        <v>474</v>
      </c>
      <c r="AM35" s="4" t="s">
        <v>473</v>
      </c>
      <c r="AN35" s="4" t="s">
        <v>475</v>
      </c>
      <c r="AO35" s="4" t="s">
        <v>476</v>
      </c>
      <c r="AP35" s="4" t="s">
        <v>477</v>
      </c>
      <c r="AQ35" s="55" t="s">
        <v>478</v>
      </c>
      <c r="AR35" s="4" t="s">
        <v>110</v>
      </c>
      <c r="AS35" s="4" t="s">
        <v>81</v>
      </c>
      <c r="AT35" s="72" t="s">
        <v>81</v>
      </c>
      <c r="AU35" s="4" t="s">
        <v>81</v>
      </c>
      <c r="AV35" s="4" t="s">
        <v>81</v>
      </c>
      <c r="AW35" s="4" t="s">
        <v>81</v>
      </c>
      <c r="AX35" s="4" t="s">
        <v>81</v>
      </c>
      <c r="AY35" s="4"/>
      <c r="AZ35" s="4"/>
      <c r="BA35" s="4" t="s">
        <v>90</v>
      </c>
      <c r="BB35" s="4">
        <v>10800</v>
      </c>
      <c r="BC35" s="4">
        <v>2700</v>
      </c>
      <c r="BD35" s="4">
        <v>1000</v>
      </c>
      <c r="BE35" s="4" t="s">
        <v>166</v>
      </c>
      <c r="BF35" s="4"/>
      <c r="BG35" s="4"/>
      <c r="BH35" s="4" t="s">
        <v>168</v>
      </c>
      <c r="BI35" s="105"/>
      <c r="BJ35" s="105"/>
      <c r="BK35" s="4"/>
      <c r="BL35" s="105"/>
    </row>
    <row r="36" ht="19.95" customHeight="1">
      <c r="A36" s="4">
        <v>171255</v>
      </c>
      <c r="B36" s="4"/>
      <c r="C36" s="55" t="s">
        <v>479</v>
      </c>
      <c r="D36" s="4" t="s">
        <v>480</v>
      </c>
      <c r="E36" s="4" t="s">
        <v>114</v>
      </c>
      <c r="F36" s="55">
        <v>1210979339</v>
      </c>
      <c r="G36" s="4" t="s">
        <v>67</v>
      </c>
      <c r="H36" s="4" t="s">
        <v>68</v>
      </c>
      <c r="I36" s="4" t="s">
        <v>69</v>
      </c>
      <c r="J36" s="55" t="s">
        <v>155</v>
      </c>
      <c r="K36" s="4" t="s">
        <v>71</v>
      </c>
      <c r="L36" s="4" t="s">
        <v>72</v>
      </c>
      <c r="M36" s="4" t="s">
        <v>196</v>
      </c>
      <c r="N36" s="4" t="s">
        <v>74</v>
      </c>
      <c r="O36" s="4" t="s">
        <v>75</v>
      </c>
      <c r="P36" s="4">
        <v>19</v>
      </c>
      <c r="Q36" s="57">
        <v>45251</v>
      </c>
      <c r="R36" s="57">
        <v>45268</v>
      </c>
      <c r="S36" s="113"/>
      <c r="T36" s="113"/>
      <c r="U36" s="4"/>
      <c r="V36" s="4"/>
      <c r="W36" s="105" t="s">
        <v>481</v>
      </c>
      <c r="X36" s="114">
        <v>1310439784</v>
      </c>
      <c r="Y36" s="55"/>
      <c r="Z36" s="4" t="s">
        <v>482</v>
      </c>
      <c r="AA36" s="4">
        <v>1710885450</v>
      </c>
      <c r="AB36" s="4" t="s">
        <v>101</v>
      </c>
      <c r="AC36" s="4" t="s">
        <v>119</v>
      </c>
      <c r="AD36" s="113">
        <v>36512</v>
      </c>
      <c r="AE36" s="107">
        <f t="shared" si="1" ca="1"/>
        <v>25.164383561643834</v>
      </c>
      <c r="AF36" s="4" t="s">
        <v>80</v>
      </c>
      <c r="AG36" s="114">
        <v>6454925576</v>
      </c>
      <c r="AH36" s="4" t="s">
        <v>81</v>
      </c>
      <c r="AI36" s="55" t="s">
        <v>322</v>
      </c>
      <c r="AJ36" s="55" t="s">
        <v>81</v>
      </c>
      <c r="AK36" s="55">
        <v>2023</v>
      </c>
      <c r="AL36" s="4" t="s">
        <v>483</v>
      </c>
      <c r="AM36" s="4" t="s">
        <v>484</v>
      </c>
      <c r="AN36" s="4" t="s">
        <v>485</v>
      </c>
      <c r="AO36" s="4" t="s">
        <v>486</v>
      </c>
      <c r="AP36" s="4" t="s">
        <v>486</v>
      </c>
      <c r="AQ36" s="55" t="s">
        <v>487</v>
      </c>
      <c r="AR36" s="4" t="s">
        <v>110</v>
      </c>
      <c r="AS36" s="4" t="s">
        <v>81</v>
      </c>
      <c r="AT36" s="72" t="s">
        <v>81</v>
      </c>
      <c r="AU36" s="4" t="s">
        <v>81</v>
      </c>
      <c r="AV36" s="4" t="s">
        <v>81</v>
      </c>
      <c r="AW36" s="4" t="s">
        <v>81</v>
      </c>
      <c r="AX36" s="4" t="s">
        <v>81</v>
      </c>
      <c r="AY36" s="4"/>
      <c r="AZ36" s="4"/>
      <c r="BA36" s="4" t="s">
        <v>90</v>
      </c>
      <c r="BB36" s="4">
        <v>10800</v>
      </c>
      <c r="BC36" s="4">
        <v>2700</v>
      </c>
      <c r="BD36" s="4">
        <v>1000</v>
      </c>
      <c r="BE36" s="4" t="s">
        <v>166</v>
      </c>
      <c r="BF36" s="4"/>
      <c r="BG36" s="4"/>
      <c r="BH36" s="4" t="s">
        <v>168</v>
      </c>
      <c r="BI36" s="105"/>
      <c r="BJ36" s="105"/>
      <c r="BK36" s="4"/>
      <c r="BL36" s="105"/>
    </row>
    <row r="37" ht="19.95" customHeight="1">
      <c r="A37" s="4">
        <v>171264</v>
      </c>
      <c r="B37" s="4"/>
      <c r="C37" s="55" t="s">
        <v>488</v>
      </c>
      <c r="D37" s="4" t="s">
        <v>489</v>
      </c>
      <c r="E37" s="4" t="s">
        <v>66</v>
      </c>
      <c r="F37" s="55">
        <v>868338</v>
      </c>
      <c r="G37" s="4" t="s">
        <v>67</v>
      </c>
      <c r="H37" s="4" t="s">
        <v>68</v>
      </c>
      <c r="I37" s="4" t="s">
        <v>69</v>
      </c>
      <c r="J37" s="55" t="s">
        <v>297</v>
      </c>
      <c r="K37" s="4" t="s">
        <v>71</v>
      </c>
      <c r="L37" s="4" t="s">
        <v>72</v>
      </c>
      <c r="M37" s="4" t="s">
        <v>342</v>
      </c>
      <c r="N37" s="4" t="s">
        <v>74</v>
      </c>
      <c r="O37" s="4" t="s">
        <v>75</v>
      </c>
      <c r="P37" s="4">
        <v>19</v>
      </c>
      <c r="Q37" s="57">
        <v>45251</v>
      </c>
      <c r="R37" s="57">
        <v>45256</v>
      </c>
      <c r="S37" s="113"/>
      <c r="T37" s="113"/>
      <c r="U37" s="4"/>
      <c r="V37" s="4"/>
      <c r="W37" s="105" t="s">
        <v>490</v>
      </c>
      <c r="X37" s="114">
        <v>1556746243</v>
      </c>
      <c r="Y37" s="55">
        <v>1763399247</v>
      </c>
      <c r="Z37" s="4" t="s">
        <v>491</v>
      </c>
      <c r="AA37" s="4">
        <v>1556770615</v>
      </c>
      <c r="AB37" s="4" t="s">
        <v>101</v>
      </c>
      <c r="AC37" s="4" t="s">
        <v>119</v>
      </c>
      <c r="AD37" s="113">
        <v>33916</v>
      </c>
      <c r="AE37" s="107">
        <f t="shared" si="1" ca="1"/>
        <v>32.276712328767125</v>
      </c>
      <c r="AF37" s="4" t="s">
        <v>492</v>
      </c>
      <c r="AG37" s="114" t="s">
        <v>493</v>
      </c>
      <c r="AH37" s="4" t="s">
        <v>81</v>
      </c>
      <c r="AI37" s="55" t="s">
        <v>494</v>
      </c>
      <c r="AJ37" s="55" t="s">
        <v>81</v>
      </c>
      <c r="AK37" s="55">
        <v>2019</v>
      </c>
      <c r="AL37" s="4" t="s">
        <v>495</v>
      </c>
      <c r="AM37" s="4" t="s">
        <v>491</v>
      </c>
      <c r="AN37" s="4" t="s">
        <v>496</v>
      </c>
      <c r="AO37" s="4" t="s">
        <v>497</v>
      </c>
      <c r="AP37" s="4" t="s">
        <v>498</v>
      </c>
      <c r="AQ37" s="55" t="s">
        <v>499</v>
      </c>
      <c r="AR37" s="4" t="s">
        <v>110</v>
      </c>
      <c r="AS37" s="4" t="s">
        <v>81</v>
      </c>
      <c r="AT37" s="72" t="s">
        <v>81</v>
      </c>
      <c r="AU37" s="4" t="s">
        <v>81</v>
      </c>
      <c r="AV37" s="4" t="s">
        <v>81</v>
      </c>
      <c r="AW37" s="4" t="s">
        <v>81</v>
      </c>
      <c r="AX37" s="4" t="s">
        <v>81</v>
      </c>
      <c r="AY37" s="4"/>
      <c r="AZ37" s="4"/>
      <c r="BA37" s="4" t="s">
        <v>90</v>
      </c>
      <c r="BB37" s="4">
        <v>10800</v>
      </c>
      <c r="BC37" s="4">
        <v>2700</v>
      </c>
      <c r="BD37" s="4">
        <v>0</v>
      </c>
      <c r="BE37" s="4" t="s">
        <v>91</v>
      </c>
      <c r="BF37" s="4"/>
      <c r="BG37" s="4"/>
      <c r="BH37" s="4" t="s">
        <v>168</v>
      </c>
      <c r="BI37" s="105"/>
      <c r="BJ37" s="105"/>
      <c r="BK37" s="4"/>
      <c r="BL37" s="105"/>
    </row>
    <row r="38" ht="19.95" customHeight="1">
      <c r="A38" s="4">
        <v>171269</v>
      </c>
      <c r="B38" s="4"/>
      <c r="C38" s="55" t="s">
        <v>500</v>
      </c>
      <c r="D38" s="4" t="s">
        <v>501</v>
      </c>
      <c r="E38" s="4" t="s">
        <v>114</v>
      </c>
      <c r="F38" s="55">
        <v>1413305509</v>
      </c>
      <c r="G38" s="4" t="s">
        <v>67</v>
      </c>
      <c r="H38" s="4" t="s">
        <v>68</v>
      </c>
      <c r="I38" s="4" t="s">
        <v>69</v>
      </c>
      <c r="J38" s="55" t="s">
        <v>341</v>
      </c>
      <c r="K38" s="4" t="s">
        <v>71</v>
      </c>
      <c r="L38" s="4" t="s">
        <v>72</v>
      </c>
      <c r="M38" s="4" t="s">
        <v>342</v>
      </c>
      <c r="N38" s="4" t="s">
        <v>74</v>
      </c>
      <c r="O38" s="4" t="s">
        <v>75</v>
      </c>
      <c r="P38" s="4">
        <v>20</v>
      </c>
      <c r="Q38" s="57">
        <v>45256</v>
      </c>
      <c r="R38" s="57">
        <v>45261</v>
      </c>
      <c r="S38" s="113"/>
      <c r="T38" s="113"/>
      <c r="U38" s="4"/>
      <c r="V38" s="4"/>
      <c r="W38" s="105" t="s">
        <v>502</v>
      </c>
      <c r="X38" s="114">
        <v>1732833401</v>
      </c>
      <c r="Y38" s="55">
        <v>1827271372</v>
      </c>
      <c r="Z38" s="4" t="s">
        <v>503</v>
      </c>
      <c r="AA38" s="4">
        <v>1936313761</v>
      </c>
      <c r="AB38" s="4" t="s">
        <v>101</v>
      </c>
      <c r="AC38" s="4" t="s">
        <v>119</v>
      </c>
      <c r="AD38" s="113">
        <v>36625</v>
      </c>
      <c r="AE38" s="107">
        <f t="shared" si="1" ca="1"/>
        <v>24.854794520547944</v>
      </c>
      <c r="AF38" s="4" t="s">
        <v>80</v>
      </c>
      <c r="AG38" s="114">
        <v>6460643205</v>
      </c>
      <c r="AH38" s="4" t="s">
        <v>81</v>
      </c>
      <c r="AI38" s="55" t="s">
        <v>504</v>
      </c>
      <c r="AJ38" s="55" t="s">
        <v>81</v>
      </c>
      <c r="AK38" s="55">
        <v>2023</v>
      </c>
      <c r="AL38" s="4" t="s">
        <v>505</v>
      </c>
      <c r="AM38" s="4" t="s">
        <v>503</v>
      </c>
      <c r="AN38" s="4" t="s">
        <v>506</v>
      </c>
      <c r="AO38" s="4" t="s">
        <v>507</v>
      </c>
      <c r="AP38" s="4" t="s">
        <v>508</v>
      </c>
      <c r="AQ38" s="55" t="s">
        <v>499</v>
      </c>
      <c r="AR38" s="4" t="s">
        <v>110</v>
      </c>
      <c r="AS38" s="4" t="s">
        <v>81</v>
      </c>
      <c r="AT38" s="72" t="s">
        <v>81</v>
      </c>
      <c r="AU38" s="4" t="s">
        <v>81</v>
      </c>
      <c r="AV38" s="4" t="s">
        <v>81</v>
      </c>
      <c r="AW38" s="4" t="s">
        <v>81</v>
      </c>
      <c r="AX38" s="4" t="s">
        <v>81</v>
      </c>
      <c r="AY38" s="4"/>
      <c r="AZ38" s="4"/>
      <c r="BA38" s="4" t="s">
        <v>90</v>
      </c>
      <c r="BB38" s="4">
        <v>10800</v>
      </c>
      <c r="BC38" s="4">
        <v>2700</v>
      </c>
      <c r="BD38" s="4">
        <v>0</v>
      </c>
      <c r="BE38" s="4" t="s">
        <v>91</v>
      </c>
      <c r="BF38" s="4"/>
      <c r="BG38" s="4"/>
      <c r="BH38" s="4" t="s">
        <v>168</v>
      </c>
      <c r="BI38" s="105"/>
      <c r="BJ38" s="105"/>
      <c r="BK38" s="4"/>
      <c r="BL38" s="105"/>
    </row>
    <row r="39" ht="19.95" customHeight="1">
      <c r="A39" s="4">
        <v>171278</v>
      </c>
      <c r="B39" s="4"/>
      <c r="C39" s="55" t="s">
        <v>509</v>
      </c>
      <c r="D39" s="4" t="s">
        <v>510</v>
      </c>
      <c r="E39" s="4" t="s">
        <v>66</v>
      </c>
      <c r="F39" s="55" t="s">
        <v>81</v>
      </c>
      <c r="G39" s="4" t="s">
        <v>67</v>
      </c>
      <c r="H39" s="4" t="s">
        <v>68</v>
      </c>
      <c r="I39" s="4" t="s">
        <v>69</v>
      </c>
      <c r="J39" s="55" t="s">
        <v>297</v>
      </c>
      <c r="K39" s="4" t="s">
        <v>71</v>
      </c>
      <c r="L39" s="4" t="s">
        <v>72</v>
      </c>
      <c r="M39" s="4" t="s">
        <v>115</v>
      </c>
      <c r="N39" s="4" t="s">
        <v>74</v>
      </c>
      <c r="O39" s="4" t="s">
        <v>75</v>
      </c>
      <c r="P39" s="4">
        <v>20</v>
      </c>
      <c r="Q39" s="57">
        <v>45256</v>
      </c>
      <c r="R39" s="57">
        <v>45261</v>
      </c>
      <c r="S39" s="113"/>
      <c r="T39" s="113"/>
      <c r="U39" s="4"/>
      <c r="V39" s="4"/>
      <c r="W39" s="105" t="s">
        <v>511</v>
      </c>
      <c r="X39" s="114">
        <v>1317118434</v>
      </c>
      <c r="Y39" s="55">
        <v>1798174131</v>
      </c>
      <c r="Z39" s="4" t="s">
        <v>512</v>
      </c>
      <c r="AA39" s="4">
        <v>1798174131</v>
      </c>
      <c r="AB39" s="4" t="s">
        <v>78</v>
      </c>
      <c r="AC39" s="4" t="s">
        <v>79</v>
      </c>
      <c r="AD39" s="113">
        <v>36404</v>
      </c>
      <c r="AE39" s="107">
        <f t="shared" si="1" ca="1"/>
        <v>25.46027397260274</v>
      </c>
      <c r="AF39" s="4" t="s">
        <v>80</v>
      </c>
      <c r="AG39" s="114">
        <v>7354237898</v>
      </c>
      <c r="AH39" s="4" t="s">
        <v>81</v>
      </c>
      <c r="AI39" s="55" t="s">
        <v>513</v>
      </c>
      <c r="AJ39" s="55" t="s">
        <v>81</v>
      </c>
      <c r="AK39" s="55">
        <v>2023</v>
      </c>
      <c r="AL39" s="4" t="s">
        <v>514</v>
      </c>
      <c r="AM39" s="4" t="s">
        <v>515</v>
      </c>
      <c r="AN39" s="4" t="s">
        <v>516</v>
      </c>
      <c r="AO39" s="4" t="s">
        <v>517</v>
      </c>
      <c r="AP39" s="4" t="s">
        <v>518</v>
      </c>
      <c r="AQ39" s="55" t="s">
        <v>88</v>
      </c>
      <c r="AR39" s="4" t="s">
        <v>89</v>
      </c>
      <c r="AS39" s="4" t="s">
        <v>512</v>
      </c>
      <c r="AT39" s="72">
        <v>35638</v>
      </c>
      <c r="AU39" s="4" t="s">
        <v>81</v>
      </c>
      <c r="AV39" s="4" t="s">
        <v>81</v>
      </c>
      <c r="AW39" s="4" t="s">
        <v>81</v>
      </c>
      <c r="AX39" s="4" t="s">
        <v>81</v>
      </c>
      <c r="AY39" s="4"/>
      <c r="AZ39" s="4"/>
      <c r="BA39" s="4" t="s">
        <v>90</v>
      </c>
      <c r="BB39" s="4">
        <v>10800</v>
      </c>
      <c r="BC39" s="4">
        <v>2700</v>
      </c>
      <c r="BD39" s="4">
        <v>0</v>
      </c>
      <c r="BE39" s="4" t="s">
        <v>91</v>
      </c>
      <c r="BF39" s="4"/>
      <c r="BG39" s="4"/>
      <c r="BH39" s="4" t="s">
        <v>168</v>
      </c>
      <c r="BI39" s="105"/>
      <c r="BJ39" s="105"/>
      <c r="BK39" s="4"/>
      <c r="BL39" s="105"/>
    </row>
    <row r="40" ht="19.95" customHeight="1">
      <c r="A40" s="4">
        <v>171286</v>
      </c>
      <c r="B40" s="4"/>
      <c r="C40" s="55" t="s">
        <v>519</v>
      </c>
      <c r="D40" s="4" t="s">
        <v>520</v>
      </c>
      <c r="E40" s="4" t="s">
        <v>66</v>
      </c>
      <c r="F40" s="55">
        <v>1110586404</v>
      </c>
      <c r="G40" s="4" t="s">
        <v>67</v>
      </c>
      <c r="H40" s="4" t="s">
        <v>68</v>
      </c>
      <c r="I40" s="4" t="s">
        <v>69</v>
      </c>
      <c r="J40" s="55" t="s">
        <v>297</v>
      </c>
      <c r="K40" s="4" t="s">
        <v>71</v>
      </c>
      <c r="L40" s="4" t="s">
        <v>72</v>
      </c>
      <c r="M40" s="4" t="s">
        <v>115</v>
      </c>
      <c r="N40" s="4" t="s">
        <v>74</v>
      </c>
      <c r="O40" s="4" t="s">
        <v>75</v>
      </c>
      <c r="P40" s="4">
        <v>20</v>
      </c>
      <c r="Q40" s="57">
        <v>45256</v>
      </c>
      <c r="R40" s="57">
        <v>45261</v>
      </c>
      <c r="S40" s="113"/>
      <c r="T40" s="113"/>
      <c r="U40" s="4"/>
      <c r="V40" s="4"/>
      <c r="W40" s="105" t="s">
        <v>521</v>
      </c>
      <c r="X40" s="114">
        <v>1993494933</v>
      </c>
      <c r="Y40" s="55"/>
      <c r="Z40" s="4" t="s">
        <v>522</v>
      </c>
      <c r="AA40" s="4">
        <v>1400523277</v>
      </c>
      <c r="AB40" s="4" t="s">
        <v>78</v>
      </c>
      <c r="AC40" s="4" t="s">
        <v>79</v>
      </c>
      <c r="AD40" s="113">
        <v>36402</v>
      </c>
      <c r="AE40" s="107">
        <f t="shared" si="1" ca="1"/>
        <v>25.465753424657535</v>
      </c>
      <c r="AF40" s="4" t="s">
        <v>80</v>
      </c>
      <c r="AG40" s="114">
        <v>5114875874</v>
      </c>
      <c r="AH40" s="4" t="s">
        <v>81</v>
      </c>
      <c r="AI40" s="55" t="s">
        <v>523</v>
      </c>
      <c r="AJ40" s="55" t="s">
        <v>81</v>
      </c>
      <c r="AK40" s="55">
        <v>2021</v>
      </c>
      <c r="AL40" s="4" t="s">
        <v>524</v>
      </c>
      <c r="AM40" s="4" t="s">
        <v>525</v>
      </c>
      <c r="AN40" s="4" t="s">
        <v>526</v>
      </c>
      <c r="AO40" s="4" t="s">
        <v>527</v>
      </c>
      <c r="AP40" s="4" t="s">
        <v>527</v>
      </c>
      <c r="AQ40" s="55" t="s">
        <v>528</v>
      </c>
      <c r="AR40" s="4" t="s">
        <v>89</v>
      </c>
      <c r="AS40" s="4" t="s">
        <v>522</v>
      </c>
      <c r="AT40" s="72">
        <v>34860</v>
      </c>
      <c r="AU40" s="4" t="s">
        <v>81</v>
      </c>
      <c r="AV40" s="4" t="s">
        <v>81</v>
      </c>
      <c r="AW40" s="4" t="s">
        <v>81</v>
      </c>
      <c r="AX40" s="4" t="s">
        <v>81</v>
      </c>
      <c r="AY40" s="4"/>
      <c r="AZ40" s="4"/>
      <c r="BA40" s="4" t="s">
        <v>90</v>
      </c>
      <c r="BB40" s="4">
        <v>10800</v>
      </c>
      <c r="BC40" s="4">
        <v>2700</v>
      </c>
      <c r="BD40" s="4">
        <v>0</v>
      </c>
      <c r="BE40" s="4" t="s">
        <v>91</v>
      </c>
      <c r="BF40" s="4"/>
      <c r="BG40" s="4"/>
      <c r="BH40" s="4" t="s">
        <v>168</v>
      </c>
      <c r="BI40" s="105"/>
      <c r="BJ40" s="105"/>
      <c r="BK40" s="4"/>
      <c r="BL40" s="105"/>
    </row>
    <row r="41" ht="19.95" customHeight="1">
      <c r="A41" s="4">
        <v>171288</v>
      </c>
      <c r="B41" s="4"/>
      <c r="C41" s="55" t="s">
        <v>529</v>
      </c>
      <c r="D41" s="4" t="s">
        <v>530</v>
      </c>
      <c r="E41" s="4" t="s">
        <v>114</v>
      </c>
      <c r="F41" s="55">
        <v>949999</v>
      </c>
      <c r="G41" s="4" t="s">
        <v>67</v>
      </c>
      <c r="H41" s="4" t="s">
        <v>68</v>
      </c>
      <c r="I41" s="4" t="s">
        <v>69</v>
      </c>
      <c r="J41" s="55" t="s">
        <v>341</v>
      </c>
      <c r="K41" s="4" t="s">
        <v>71</v>
      </c>
      <c r="L41" s="4" t="s">
        <v>72</v>
      </c>
      <c r="M41" s="4" t="s">
        <v>342</v>
      </c>
      <c r="N41" s="4" t="s">
        <v>74</v>
      </c>
      <c r="O41" s="4" t="s">
        <v>75</v>
      </c>
      <c r="P41" s="4">
        <v>20</v>
      </c>
      <c r="Q41" s="57">
        <v>45256</v>
      </c>
      <c r="R41" s="57">
        <v>45261</v>
      </c>
      <c r="S41" s="113"/>
      <c r="T41" s="113"/>
      <c r="U41" s="4"/>
      <c r="V41" s="4"/>
      <c r="W41" s="105" t="s">
        <v>531</v>
      </c>
      <c r="X41" s="114">
        <v>1828428803</v>
      </c>
      <c r="Y41" s="55">
        <v>1918179030</v>
      </c>
      <c r="Z41" s="4" t="s">
        <v>532</v>
      </c>
      <c r="AA41" s="4">
        <v>1918179030</v>
      </c>
      <c r="AB41" s="4" t="s">
        <v>132</v>
      </c>
      <c r="AC41" s="4" t="s">
        <v>119</v>
      </c>
      <c r="AD41" s="113">
        <v>35476</v>
      </c>
      <c r="AE41" s="107">
        <f t="shared" si="1" ca="1"/>
        <v>28.002739726027396</v>
      </c>
      <c r="AF41" s="4" t="s">
        <v>80</v>
      </c>
      <c r="AG41" s="114">
        <v>8265246986</v>
      </c>
      <c r="AH41" s="4" t="s">
        <v>533</v>
      </c>
      <c r="AI41" s="55" t="s">
        <v>322</v>
      </c>
      <c r="AJ41" s="55" t="s">
        <v>265</v>
      </c>
      <c r="AK41" s="55">
        <v>2018</v>
      </c>
      <c r="AL41" s="4" t="s">
        <v>534</v>
      </c>
      <c r="AM41" s="4" t="s">
        <v>535</v>
      </c>
      <c r="AN41" s="4" t="s">
        <v>532</v>
      </c>
      <c r="AO41" s="4" t="s">
        <v>536</v>
      </c>
      <c r="AP41" s="4" t="s">
        <v>537</v>
      </c>
      <c r="AQ41" s="55" t="s">
        <v>285</v>
      </c>
      <c r="AR41" s="4" t="s">
        <v>110</v>
      </c>
      <c r="AS41" s="4" t="s">
        <v>81</v>
      </c>
      <c r="AT41" s="72" t="s">
        <v>81</v>
      </c>
      <c r="AU41" s="4" t="s">
        <v>81</v>
      </c>
      <c r="AV41" s="4" t="s">
        <v>81</v>
      </c>
      <c r="AW41" s="4" t="s">
        <v>81</v>
      </c>
      <c r="AX41" s="4" t="s">
        <v>81</v>
      </c>
      <c r="AY41" s="4"/>
      <c r="AZ41" s="4"/>
      <c r="BA41" s="4" t="s">
        <v>90</v>
      </c>
      <c r="BB41" s="4">
        <v>10800</v>
      </c>
      <c r="BC41" s="4">
        <v>2700</v>
      </c>
      <c r="BD41" s="4">
        <v>0</v>
      </c>
      <c r="BE41" s="4" t="s">
        <v>91</v>
      </c>
      <c r="BF41" s="4"/>
      <c r="BG41" s="4"/>
      <c r="BH41" s="4" t="s">
        <v>168</v>
      </c>
      <c r="BI41" s="105"/>
      <c r="BJ41" s="105"/>
      <c r="BK41" s="4"/>
      <c r="BL41" s="105"/>
    </row>
    <row r="42" ht="19.95" customHeight="1">
      <c r="A42" s="4">
        <v>171295</v>
      </c>
      <c r="B42" s="4"/>
      <c r="C42" s="55" t="s">
        <v>538</v>
      </c>
      <c r="D42" s="4" t="s">
        <v>539</v>
      </c>
      <c r="E42" s="4" t="s">
        <v>66</v>
      </c>
      <c r="F42" s="55">
        <v>649834</v>
      </c>
      <c r="G42" s="4" t="s">
        <v>67</v>
      </c>
      <c r="H42" s="4" t="s">
        <v>68</v>
      </c>
      <c r="I42" s="4" t="s">
        <v>69</v>
      </c>
      <c r="J42" s="55" t="s">
        <v>341</v>
      </c>
      <c r="K42" s="4" t="s">
        <v>71</v>
      </c>
      <c r="L42" s="4" t="s">
        <v>72</v>
      </c>
      <c r="M42" s="4" t="s">
        <v>342</v>
      </c>
      <c r="N42" s="4" t="s">
        <v>74</v>
      </c>
      <c r="O42" s="4" t="s">
        <v>75</v>
      </c>
      <c r="P42" s="4">
        <v>21</v>
      </c>
      <c r="Q42" s="57">
        <v>45267</v>
      </c>
      <c r="R42" s="57">
        <v>45289</v>
      </c>
      <c r="S42" s="113"/>
      <c r="T42" s="113"/>
      <c r="U42" s="4"/>
      <c r="V42" s="4"/>
      <c r="W42" s="105" t="s">
        <v>540</v>
      </c>
      <c r="X42" s="114">
        <v>1842813430</v>
      </c>
      <c r="Y42" s="55">
        <v>1724100232</v>
      </c>
      <c r="Z42" s="4" t="s">
        <v>541</v>
      </c>
      <c r="AA42" s="4">
        <v>1712060054</v>
      </c>
      <c r="AB42" s="4" t="s">
        <v>132</v>
      </c>
      <c r="AC42" s="4" t="s">
        <v>119</v>
      </c>
      <c r="AD42" s="113">
        <v>35134</v>
      </c>
      <c r="AE42" s="107">
        <f t="shared" si="1" ca="1"/>
        <v>28.93972602739726</v>
      </c>
      <c r="AF42" s="4" t="s">
        <v>80</v>
      </c>
      <c r="AG42" s="114">
        <v>5555506681</v>
      </c>
      <c r="AH42" s="4" t="s">
        <v>81</v>
      </c>
      <c r="AI42" s="55" t="s">
        <v>542</v>
      </c>
      <c r="AJ42" s="55" t="s">
        <v>81</v>
      </c>
      <c r="AK42" s="55">
        <v>2020</v>
      </c>
      <c r="AL42" s="4" t="s">
        <v>423</v>
      </c>
      <c r="AM42" s="4" t="s">
        <v>543</v>
      </c>
      <c r="AN42" s="4" t="s">
        <v>541</v>
      </c>
      <c r="AO42" s="4" t="s">
        <v>544</v>
      </c>
      <c r="AP42" s="4" t="s">
        <v>545</v>
      </c>
      <c r="AQ42" s="55" t="s">
        <v>499</v>
      </c>
      <c r="AR42" s="4" t="s">
        <v>110</v>
      </c>
      <c r="AS42" s="4" t="s">
        <v>81</v>
      </c>
      <c r="AT42" s="72" t="s">
        <v>81</v>
      </c>
      <c r="AU42" s="4" t="s">
        <v>81</v>
      </c>
      <c r="AV42" s="4" t="s">
        <v>81</v>
      </c>
      <c r="AW42" s="4" t="s">
        <v>81</v>
      </c>
      <c r="AX42" s="4" t="s">
        <v>81</v>
      </c>
      <c r="AY42" s="4"/>
      <c r="AZ42" s="4"/>
      <c r="BA42" s="4" t="s">
        <v>90</v>
      </c>
      <c r="BB42" s="4">
        <v>10800</v>
      </c>
      <c r="BC42" s="4">
        <v>2700</v>
      </c>
      <c r="BD42" s="4">
        <v>0</v>
      </c>
      <c r="BE42" s="4" t="s">
        <v>91</v>
      </c>
      <c r="BF42" s="4"/>
      <c r="BG42" s="4"/>
      <c r="BH42" s="4" t="s">
        <v>168</v>
      </c>
      <c r="BI42" s="4">
        <v>1724100232</v>
      </c>
      <c r="BJ42" s="105"/>
      <c r="BK42" s="4"/>
      <c r="BL42" s="105"/>
    </row>
    <row r="43" ht="19.95" customHeight="1">
      <c r="A43" s="4">
        <v>171297</v>
      </c>
      <c r="B43" s="4"/>
      <c r="C43" s="55" t="s">
        <v>546</v>
      </c>
      <c r="D43" s="4" t="s">
        <v>547</v>
      </c>
      <c r="E43" s="4" t="s">
        <v>114</v>
      </c>
      <c r="F43" s="55">
        <v>787361</v>
      </c>
      <c r="G43" s="4" t="s">
        <v>67</v>
      </c>
      <c r="H43" s="4" t="s">
        <v>68</v>
      </c>
      <c r="I43" s="4" t="s">
        <v>69</v>
      </c>
      <c r="J43" s="55" t="s">
        <v>341</v>
      </c>
      <c r="K43" s="4" t="s">
        <v>71</v>
      </c>
      <c r="L43" s="4" t="s">
        <v>72</v>
      </c>
      <c r="M43" s="4" t="s">
        <v>342</v>
      </c>
      <c r="N43" s="4" t="s">
        <v>74</v>
      </c>
      <c r="O43" s="4" t="s">
        <v>75</v>
      </c>
      <c r="P43" s="4">
        <v>21</v>
      </c>
      <c r="Q43" s="57">
        <v>45267</v>
      </c>
      <c r="R43" s="57">
        <v>45292</v>
      </c>
      <c r="S43" s="113"/>
      <c r="T43" s="113"/>
      <c r="U43" s="4"/>
      <c r="V43" s="4"/>
      <c r="W43" s="105" t="s">
        <v>548</v>
      </c>
      <c r="X43" s="114">
        <v>1985225998</v>
      </c>
      <c r="Y43" s="55">
        <v>151833558</v>
      </c>
      <c r="Z43" s="4" t="s">
        <v>549</v>
      </c>
      <c r="AA43" s="4">
        <v>1518335558</v>
      </c>
      <c r="AB43" s="4" t="s">
        <v>252</v>
      </c>
      <c r="AC43" s="4" t="s">
        <v>133</v>
      </c>
      <c r="AD43" s="113">
        <v>35736</v>
      </c>
      <c r="AE43" s="107">
        <f t="shared" si="1" ca="1"/>
        <v>27.29041095890411</v>
      </c>
      <c r="AF43" s="4" t="s">
        <v>360</v>
      </c>
      <c r="AG43" s="114">
        <v>8251520246</v>
      </c>
      <c r="AH43" s="4" t="s">
        <v>81</v>
      </c>
      <c r="AI43" s="55" t="s">
        <v>253</v>
      </c>
      <c r="AJ43" s="55" t="s">
        <v>81</v>
      </c>
      <c r="AK43" s="55">
        <v>2018</v>
      </c>
      <c r="AL43" s="4" t="s">
        <v>550</v>
      </c>
      <c r="AM43" s="4" t="s">
        <v>551</v>
      </c>
      <c r="AN43" s="4" t="s">
        <v>552</v>
      </c>
      <c r="AO43" s="4" t="s">
        <v>553</v>
      </c>
      <c r="AP43" s="4" t="s">
        <v>554</v>
      </c>
      <c r="AQ43" s="55" t="s">
        <v>555</v>
      </c>
      <c r="AR43" s="4" t="s">
        <v>110</v>
      </c>
      <c r="AS43" s="4" t="s">
        <v>81</v>
      </c>
      <c r="AT43" s="72" t="s">
        <v>81</v>
      </c>
      <c r="AU43" s="4" t="s">
        <v>81</v>
      </c>
      <c r="AV43" s="4" t="s">
        <v>81</v>
      </c>
      <c r="AW43" s="4" t="s">
        <v>81</v>
      </c>
      <c r="AX43" s="4" t="s">
        <v>81</v>
      </c>
      <c r="AY43" s="4"/>
      <c r="AZ43" s="4"/>
      <c r="BA43" s="4" t="s">
        <v>90</v>
      </c>
      <c r="BB43" s="4">
        <v>10800</v>
      </c>
      <c r="BC43" s="4">
        <v>2700</v>
      </c>
      <c r="BD43" s="4">
        <v>0</v>
      </c>
      <c r="BE43" s="4" t="s">
        <v>91</v>
      </c>
      <c r="BF43" s="4"/>
      <c r="BG43" s="4"/>
      <c r="BH43" s="4" t="s">
        <v>168</v>
      </c>
      <c r="BI43" s="4">
        <v>1985225998</v>
      </c>
      <c r="BJ43" s="105"/>
      <c r="BK43" s="4"/>
      <c r="BL43" s="105"/>
    </row>
    <row r="44" ht="19.95" customHeight="1">
      <c r="A44" s="4">
        <v>171299</v>
      </c>
      <c r="B44" s="4"/>
      <c r="C44" s="55"/>
      <c r="D44" s="4" t="s">
        <v>556</v>
      </c>
      <c r="E44" s="4" t="s">
        <v>66</v>
      </c>
      <c r="F44" s="55" t="s">
        <v>81</v>
      </c>
      <c r="G44" s="4" t="s">
        <v>67</v>
      </c>
      <c r="H44" s="4" t="s">
        <v>68</v>
      </c>
      <c r="I44" s="4" t="s">
        <v>69</v>
      </c>
      <c r="J44" s="55" t="s">
        <v>341</v>
      </c>
      <c r="K44" s="4" t="s">
        <v>71</v>
      </c>
      <c r="L44" s="4" t="s">
        <v>72</v>
      </c>
      <c r="M44" s="4" t="s">
        <v>342</v>
      </c>
      <c r="N44" s="4" t="s">
        <v>74</v>
      </c>
      <c r="O44" s="4" t="s">
        <v>75</v>
      </c>
      <c r="P44" s="4">
        <v>21</v>
      </c>
      <c r="Q44" s="57">
        <v>45267</v>
      </c>
      <c r="R44" s="57">
        <v>45292</v>
      </c>
      <c r="S44" s="113"/>
      <c r="T44" s="113"/>
      <c r="U44" s="4"/>
      <c r="V44" s="4"/>
      <c r="W44" s="105" t="s">
        <v>557</v>
      </c>
      <c r="X44" s="114">
        <v>1707904853</v>
      </c>
      <c r="Y44" s="55"/>
      <c r="Z44" s="4" t="s">
        <v>558</v>
      </c>
      <c r="AA44" s="4">
        <v>1922451055</v>
      </c>
      <c r="AB44" s="4" t="s">
        <v>78</v>
      </c>
      <c r="AC44" s="4" t="s">
        <v>79</v>
      </c>
      <c r="AD44" s="113">
        <v>34925</v>
      </c>
      <c r="AE44" s="107">
        <f t="shared" si="1" ca="1"/>
        <v>29.512328767123286</v>
      </c>
      <c r="AF44" s="4" t="s">
        <v>360</v>
      </c>
      <c r="AG44" s="114">
        <v>4617550340</v>
      </c>
      <c r="AH44" s="4" t="s">
        <v>242</v>
      </c>
      <c r="AI44" s="55" t="s">
        <v>254</v>
      </c>
      <c r="AJ44" s="55" t="s">
        <v>81</v>
      </c>
      <c r="AK44" s="55">
        <v>2020</v>
      </c>
      <c r="AL44" s="4" t="s">
        <v>559</v>
      </c>
      <c r="AM44" s="4" t="s">
        <v>560</v>
      </c>
      <c r="AN44" s="4" t="s">
        <v>561</v>
      </c>
      <c r="AO44" s="4" t="s">
        <v>562</v>
      </c>
      <c r="AP44" s="4" t="s">
        <v>563</v>
      </c>
      <c r="AQ44" s="55" t="s">
        <v>242</v>
      </c>
      <c r="AR44" s="4" t="s">
        <v>89</v>
      </c>
      <c r="AS44" s="4" t="s">
        <v>564</v>
      </c>
      <c r="AT44" s="72">
        <v>33905</v>
      </c>
      <c r="AU44" s="4" t="s">
        <v>81</v>
      </c>
      <c r="AV44" s="4" t="s">
        <v>81</v>
      </c>
      <c r="AW44" s="4" t="s">
        <v>81</v>
      </c>
      <c r="AX44" s="4" t="s">
        <v>81</v>
      </c>
      <c r="AY44" s="4"/>
      <c r="AZ44" s="4"/>
      <c r="BA44" s="4" t="s">
        <v>90</v>
      </c>
      <c r="BB44" s="4">
        <v>10800</v>
      </c>
      <c r="BC44" s="4">
        <v>2700</v>
      </c>
      <c r="BD44" s="4">
        <v>0</v>
      </c>
      <c r="BE44" s="4" t="s">
        <v>91</v>
      </c>
      <c r="BF44" s="4"/>
      <c r="BG44" s="4"/>
      <c r="BH44" s="4" t="s">
        <v>168</v>
      </c>
      <c r="BI44" s="4">
        <v>1922451055</v>
      </c>
      <c r="BJ44" s="105"/>
      <c r="BK44" s="4"/>
      <c r="BL44" s="105"/>
    </row>
    <row r="45" ht="19.95" customHeight="1">
      <c r="A45" s="4">
        <v>171303</v>
      </c>
      <c r="B45" s="4"/>
      <c r="C45" s="55" t="s">
        <v>565</v>
      </c>
      <c r="D45" s="4" t="s">
        <v>566</v>
      </c>
      <c r="E45" s="4" t="s">
        <v>66</v>
      </c>
      <c r="F45" s="55">
        <v>657768</v>
      </c>
      <c r="G45" s="4" t="s">
        <v>67</v>
      </c>
      <c r="H45" s="4" t="s">
        <v>68</v>
      </c>
      <c r="I45" s="4" t="s">
        <v>69</v>
      </c>
      <c r="J45" s="55" t="s">
        <v>341</v>
      </c>
      <c r="K45" s="4" t="s">
        <v>71</v>
      </c>
      <c r="L45" s="4" t="s">
        <v>72</v>
      </c>
      <c r="M45" s="4" t="s">
        <v>342</v>
      </c>
      <c r="N45" s="4" t="s">
        <v>74</v>
      </c>
      <c r="O45" s="4" t="s">
        <v>75</v>
      </c>
      <c r="P45" s="4">
        <v>21</v>
      </c>
      <c r="Q45" s="57">
        <v>45267</v>
      </c>
      <c r="R45" s="57">
        <v>45289</v>
      </c>
      <c r="S45" s="113"/>
      <c r="T45" s="113"/>
      <c r="U45" s="4"/>
      <c r="V45" s="4"/>
      <c r="W45" s="105" t="s">
        <v>567</v>
      </c>
      <c r="X45" s="114">
        <v>1327421910</v>
      </c>
      <c r="Y45" s="55">
        <v>1818094420</v>
      </c>
      <c r="Z45" s="4" t="s">
        <v>568</v>
      </c>
      <c r="AA45" s="4">
        <v>1710228343</v>
      </c>
      <c r="AB45" s="4" t="s">
        <v>252</v>
      </c>
      <c r="AC45" s="4" t="s">
        <v>133</v>
      </c>
      <c r="AD45" s="113">
        <v>35514</v>
      </c>
      <c r="AE45" s="107">
        <f t="shared" si="1" ca="1"/>
        <v>27.898630136986302</v>
      </c>
      <c r="AF45" s="4" t="s">
        <v>80</v>
      </c>
      <c r="AG45" s="114">
        <v>7807063081</v>
      </c>
      <c r="AH45" s="4" t="s">
        <v>81</v>
      </c>
      <c r="AI45" s="55" t="s">
        <v>312</v>
      </c>
      <c r="AJ45" s="55" t="s">
        <v>81</v>
      </c>
      <c r="AK45" s="55">
        <v>2023</v>
      </c>
      <c r="AL45" s="4" t="s">
        <v>569</v>
      </c>
      <c r="AM45" s="4" t="s">
        <v>570</v>
      </c>
      <c r="AN45" s="4" t="s">
        <v>571</v>
      </c>
      <c r="AO45" s="4" t="s">
        <v>572</v>
      </c>
      <c r="AP45" s="4" t="s">
        <v>573</v>
      </c>
      <c r="AQ45" s="55" t="s">
        <v>499</v>
      </c>
      <c r="AR45" s="4" t="s">
        <v>110</v>
      </c>
      <c r="AS45" s="4" t="s">
        <v>81</v>
      </c>
      <c r="AT45" s="72" t="s">
        <v>81</v>
      </c>
      <c r="AU45" s="4" t="s">
        <v>81</v>
      </c>
      <c r="AV45" s="4" t="s">
        <v>81</v>
      </c>
      <c r="AW45" s="4" t="s">
        <v>81</v>
      </c>
      <c r="AX45" s="4" t="s">
        <v>81</v>
      </c>
      <c r="AY45" s="4"/>
      <c r="AZ45" s="4"/>
      <c r="BA45" s="4" t="s">
        <v>90</v>
      </c>
      <c r="BB45" s="4">
        <v>10800</v>
      </c>
      <c r="BC45" s="4">
        <v>2700</v>
      </c>
      <c r="BD45" s="4">
        <v>0</v>
      </c>
      <c r="BE45" s="4" t="s">
        <v>91</v>
      </c>
      <c r="BF45" s="4"/>
      <c r="BG45" s="4"/>
      <c r="BH45" s="4" t="s">
        <v>168</v>
      </c>
      <c r="BI45" s="4">
        <v>1327421910</v>
      </c>
      <c r="BJ45" s="105"/>
      <c r="BK45" s="4"/>
      <c r="BL45" s="105"/>
    </row>
    <row r="46" ht="19.95" customHeight="1">
      <c r="A46" s="4">
        <v>171305</v>
      </c>
      <c r="B46" s="4"/>
      <c r="C46" s="55" t="s">
        <v>574</v>
      </c>
      <c r="D46" s="4" t="s">
        <v>575</v>
      </c>
      <c r="E46" s="4" t="s">
        <v>114</v>
      </c>
      <c r="F46" s="55">
        <v>1211724432</v>
      </c>
      <c r="G46" s="4" t="s">
        <v>67</v>
      </c>
      <c r="H46" s="4" t="s">
        <v>68</v>
      </c>
      <c r="I46" s="4" t="s">
        <v>69</v>
      </c>
      <c r="J46" s="55" t="s">
        <v>576</v>
      </c>
      <c r="K46" s="4" t="s">
        <v>71</v>
      </c>
      <c r="L46" s="4" t="s">
        <v>72</v>
      </c>
      <c r="M46" s="4" t="s">
        <v>115</v>
      </c>
      <c r="N46" s="4" t="s">
        <v>74</v>
      </c>
      <c r="O46" s="4" t="s">
        <v>75</v>
      </c>
      <c r="P46" s="4">
        <v>21</v>
      </c>
      <c r="Q46" s="57">
        <v>45267</v>
      </c>
      <c r="R46" s="57">
        <v>45289</v>
      </c>
      <c r="S46" s="113"/>
      <c r="T46" s="113"/>
      <c r="U46" s="4"/>
      <c r="V46" s="4"/>
      <c r="W46" s="105" t="s">
        <v>577</v>
      </c>
      <c r="X46" s="114">
        <v>1843128701</v>
      </c>
      <c r="Y46" s="55">
        <v>1568475010</v>
      </c>
      <c r="Z46" s="4" t="s">
        <v>578</v>
      </c>
      <c r="AA46" s="4">
        <v>1839717370</v>
      </c>
      <c r="AB46" s="4" t="s">
        <v>132</v>
      </c>
      <c r="AC46" s="4" t="s">
        <v>133</v>
      </c>
      <c r="AD46" s="113">
        <v>36352</v>
      </c>
      <c r="AE46" s="107">
        <f t="shared" si="1" ca="1"/>
        <v>25.602739726027398</v>
      </c>
      <c r="AF46" s="4" t="s">
        <v>360</v>
      </c>
      <c r="AG46" s="114">
        <v>6004163769</v>
      </c>
      <c r="AH46" s="4" t="s">
        <v>579</v>
      </c>
      <c r="AI46" s="55" t="s">
        <v>290</v>
      </c>
      <c r="AJ46" s="55" t="s">
        <v>81</v>
      </c>
      <c r="AK46" s="55">
        <v>2022</v>
      </c>
      <c r="AL46" s="4" t="s">
        <v>580</v>
      </c>
      <c r="AM46" s="4" t="s">
        <v>581</v>
      </c>
      <c r="AN46" s="4" t="s">
        <v>578</v>
      </c>
      <c r="AO46" s="4" t="s">
        <v>582</v>
      </c>
      <c r="AP46" s="4" t="s">
        <v>583</v>
      </c>
      <c r="AQ46" s="55" t="s">
        <v>499</v>
      </c>
      <c r="AR46" s="4" t="s">
        <v>110</v>
      </c>
      <c r="AS46" s="4" t="s">
        <v>81</v>
      </c>
      <c r="AT46" s="72" t="s">
        <v>81</v>
      </c>
      <c r="AU46" s="4" t="s">
        <v>81</v>
      </c>
      <c r="AV46" s="4" t="s">
        <v>81</v>
      </c>
      <c r="AW46" s="4" t="s">
        <v>81</v>
      </c>
      <c r="AX46" s="4" t="s">
        <v>81</v>
      </c>
      <c r="AY46" s="4"/>
      <c r="AZ46" s="4"/>
      <c r="BA46" s="4" t="s">
        <v>90</v>
      </c>
      <c r="BB46" s="4">
        <v>10800</v>
      </c>
      <c r="BC46" s="4">
        <v>2700</v>
      </c>
      <c r="BD46" s="4">
        <v>0</v>
      </c>
      <c r="BE46" s="4" t="s">
        <v>91</v>
      </c>
      <c r="BF46" s="4"/>
      <c r="BG46" s="4"/>
      <c r="BH46" s="4" t="s">
        <v>168</v>
      </c>
      <c r="BI46" s="4">
        <v>1843128701</v>
      </c>
      <c r="BJ46" s="105"/>
      <c r="BK46" s="4"/>
      <c r="BL46" s="105"/>
    </row>
    <row r="47" ht="19.95" customHeight="1">
      <c r="A47" s="4">
        <v>171306</v>
      </c>
      <c r="B47" s="4"/>
      <c r="C47" s="55" t="s">
        <v>584</v>
      </c>
      <c r="D47" s="4" t="s">
        <v>585</v>
      </c>
      <c r="E47" s="4" t="s">
        <v>66</v>
      </c>
      <c r="F47" s="55">
        <v>1210932408</v>
      </c>
      <c r="G47" s="4" t="s">
        <v>67</v>
      </c>
      <c r="H47" s="4" t="s">
        <v>68</v>
      </c>
      <c r="I47" s="4" t="s">
        <v>69</v>
      </c>
      <c r="J47" s="55" t="s">
        <v>307</v>
      </c>
      <c r="K47" s="4" t="s">
        <v>71</v>
      </c>
      <c r="L47" s="4" t="s">
        <v>72</v>
      </c>
      <c r="M47" s="4" t="s">
        <v>98</v>
      </c>
      <c r="N47" s="4" t="s">
        <v>74</v>
      </c>
      <c r="O47" s="4" t="s">
        <v>75</v>
      </c>
      <c r="P47" s="4">
        <v>21</v>
      </c>
      <c r="Q47" s="57">
        <v>45267</v>
      </c>
      <c r="R47" s="57">
        <v>45289</v>
      </c>
      <c r="S47" s="113"/>
      <c r="T47" s="113"/>
      <c r="U47" s="4"/>
      <c r="V47" s="4"/>
      <c r="W47" s="105" t="s">
        <v>586</v>
      </c>
      <c r="X47" s="114">
        <v>1937344423</v>
      </c>
      <c r="Y47" s="55">
        <v>1890371528</v>
      </c>
      <c r="Z47" s="4" t="s">
        <v>587</v>
      </c>
      <c r="AA47" s="4">
        <v>1712235771</v>
      </c>
      <c r="AB47" s="4" t="s">
        <v>132</v>
      </c>
      <c r="AC47" s="4" t="s">
        <v>119</v>
      </c>
      <c r="AD47" s="113">
        <v>36571</v>
      </c>
      <c r="AE47" s="107">
        <f t="shared" si="1" ca="1"/>
        <v>25.002739726027396</v>
      </c>
      <c r="AF47" s="4" t="s">
        <v>360</v>
      </c>
      <c r="AG47" s="114">
        <v>9163437248</v>
      </c>
      <c r="AH47" s="4" t="s">
        <v>81</v>
      </c>
      <c r="AI47" s="55" t="s">
        <v>322</v>
      </c>
      <c r="AJ47" s="55" t="s">
        <v>81</v>
      </c>
      <c r="AK47" s="55">
        <v>2023</v>
      </c>
      <c r="AL47" s="4" t="s">
        <v>588</v>
      </c>
      <c r="AM47" s="4" t="s">
        <v>589</v>
      </c>
      <c r="AN47" s="4" t="s">
        <v>587</v>
      </c>
      <c r="AO47" s="4" t="s">
        <v>590</v>
      </c>
      <c r="AP47" s="4" t="s">
        <v>591</v>
      </c>
      <c r="AQ47" s="55" t="s">
        <v>499</v>
      </c>
      <c r="AR47" s="4" t="s">
        <v>110</v>
      </c>
      <c r="AS47" s="4" t="s">
        <v>81</v>
      </c>
      <c r="AT47" s="72" t="s">
        <v>81</v>
      </c>
      <c r="AU47" s="4" t="s">
        <v>81</v>
      </c>
      <c r="AV47" s="4" t="s">
        <v>81</v>
      </c>
      <c r="AW47" s="4" t="s">
        <v>81</v>
      </c>
      <c r="AX47" s="4" t="s">
        <v>81</v>
      </c>
      <c r="AY47" s="4"/>
      <c r="AZ47" s="4"/>
      <c r="BA47" s="4" t="s">
        <v>90</v>
      </c>
      <c r="BB47" s="4">
        <v>10800</v>
      </c>
      <c r="BC47" s="4">
        <v>2700</v>
      </c>
      <c r="BD47" s="4">
        <v>0</v>
      </c>
      <c r="BE47" s="4" t="s">
        <v>91</v>
      </c>
      <c r="BF47" s="4"/>
      <c r="BG47" s="4"/>
      <c r="BH47" s="4" t="s">
        <v>168</v>
      </c>
      <c r="BI47" s="4">
        <v>1937344423</v>
      </c>
      <c r="BJ47" s="105"/>
      <c r="BK47" s="4"/>
      <c r="BL47" s="105"/>
    </row>
    <row r="48" ht="19.95" customHeight="1">
      <c r="A48" s="4">
        <v>171307</v>
      </c>
      <c r="B48" s="4"/>
      <c r="C48" s="55" t="s">
        <v>592</v>
      </c>
      <c r="D48" s="4" t="s">
        <v>593</v>
      </c>
      <c r="E48" s="4" t="s">
        <v>66</v>
      </c>
      <c r="F48" s="55">
        <v>1011234674</v>
      </c>
      <c r="G48" s="4" t="s">
        <v>67</v>
      </c>
      <c r="H48" s="4" t="s">
        <v>68</v>
      </c>
      <c r="I48" s="4" t="s">
        <v>69</v>
      </c>
      <c r="J48" s="55" t="s">
        <v>341</v>
      </c>
      <c r="K48" s="4" t="s">
        <v>71</v>
      </c>
      <c r="L48" s="4" t="s">
        <v>72</v>
      </c>
      <c r="M48" s="4" t="s">
        <v>342</v>
      </c>
      <c r="N48" s="4" t="s">
        <v>74</v>
      </c>
      <c r="O48" s="4" t="s">
        <v>75</v>
      </c>
      <c r="P48" s="4">
        <v>21</v>
      </c>
      <c r="Q48" s="57">
        <v>45267</v>
      </c>
      <c r="R48" s="57">
        <v>45289</v>
      </c>
      <c r="S48" s="113"/>
      <c r="T48" s="113"/>
      <c r="U48" s="4"/>
      <c r="V48" s="4"/>
      <c r="W48" s="105" t="s">
        <v>594</v>
      </c>
      <c r="X48" s="114">
        <v>1935422298</v>
      </c>
      <c r="Y48" s="55"/>
      <c r="Z48" s="4" t="s">
        <v>595</v>
      </c>
      <c r="AA48" s="4">
        <v>1813044084</v>
      </c>
      <c r="AB48" s="4" t="s">
        <v>101</v>
      </c>
      <c r="AC48" s="4" t="s">
        <v>119</v>
      </c>
      <c r="AD48" s="113">
        <v>35609</v>
      </c>
      <c r="AE48" s="107">
        <f t="shared" si="1" ca="1"/>
        <v>27.638356164383563</v>
      </c>
      <c r="AF48" s="4" t="s">
        <v>80</v>
      </c>
      <c r="AG48" s="114">
        <v>4652721764</v>
      </c>
      <c r="AH48" s="4" t="s">
        <v>81</v>
      </c>
      <c r="AI48" s="55" t="s">
        <v>254</v>
      </c>
      <c r="AJ48" s="55" t="s">
        <v>81</v>
      </c>
      <c r="AK48" s="55">
        <v>2020</v>
      </c>
      <c r="AL48" s="4" t="s">
        <v>596</v>
      </c>
      <c r="AM48" s="4" t="s">
        <v>595</v>
      </c>
      <c r="AN48" s="4" t="s">
        <v>597</v>
      </c>
      <c r="AO48" s="4" t="s">
        <v>598</v>
      </c>
      <c r="AP48" s="4" t="s">
        <v>599</v>
      </c>
      <c r="AQ48" s="55" t="s">
        <v>600</v>
      </c>
      <c r="AR48" s="4" t="s">
        <v>110</v>
      </c>
      <c r="AS48" s="4" t="s">
        <v>81</v>
      </c>
      <c r="AT48" s="72" t="s">
        <v>81</v>
      </c>
      <c r="AU48" s="4" t="s">
        <v>81</v>
      </c>
      <c r="AV48" s="4" t="s">
        <v>81</v>
      </c>
      <c r="AW48" s="4" t="s">
        <v>81</v>
      </c>
      <c r="AX48" s="4" t="s">
        <v>81</v>
      </c>
      <c r="AY48" s="4"/>
      <c r="AZ48" s="4"/>
      <c r="BA48" s="4" t="s">
        <v>90</v>
      </c>
      <c r="BB48" s="4">
        <v>10800</v>
      </c>
      <c r="BC48" s="4">
        <v>2700</v>
      </c>
      <c r="BD48" s="4">
        <v>0</v>
      </c>
      <c r="BE48" s="4" t="s">
        <v>91</v>
      </c>
      <c r="BF48" s="4"/>
      <c r="BG48" s="4"/>
      <c r="BH48" s="4" t="s">
        <v>168</v>
      </c>
      <c r="BI48" s="4">
        <v>1935422298</v>
      </c>
      <c r="BJ48" s="105"/>
      <c r="BK48" s="4"/>
      <c r="BL48" s="105"/>
    </row>
    <row r="49" ht="19.95" customHeight="1">
      <c r="A49" s="4">
        <v>171308</v>
      </c>
      <c r="B49" s="4"/>
      <c r="C49" s="55" t="s">
        <v>601</v>
      </c>
      <c r="D49" s="4" t="s">
        <v>602</v>
      </c>
      <c r="E49" s="4" t="s">
        <v>66</v>
      </c>
      <c r="F49" s="55">
        <v>1010780608</v>
      </c>
      <c r="G49" s="4" t="s">
        <v>67</v>
      </c>
      <c r="H49" s="4" t="s">
        <v>68</v>
      </c>
      <c r="I49" s="4" t="s">
        <v>69</v>
      </c>
      <c r="J49" s="55" t="s">
        <v>319</v>
      </c>
      <c r="K49" s="4" t="s">
        <v>71</v>
      </c>
      <c r="L49" s="4" t="s">
        <v>72</v>
      </c>
      <c r="M49" s="4" t="s">
        <v>287</v>
      </c>
      <c r="N49" s="4" t="s">
        <v>74</v>
      </c>
      <c r="O49" s="4" t="s">
        <v>75</v>
      </c>
      <c r="P49" s="4">
        <v>21</v>
      </c>
      <c r="Q49" s="57">
        <v>45267</v>
      </c>
      <c r="R49" s="57">
        <v>45289</v>
      </c>
      <c r="S49" s="113"/>
      <c r="T49" s="113"/>
      <c r="U49" s="4"/>
      <c r="V49" s="4"/>
      <c r="W49" s="105" t="s">
        <v>603</v>
      </c>
      <c r="X49" s="114">
        <v>1747918926</v>
      </c>
      <c r="Y49" s="55">
        <v>1852585914</v>
      </c>
      <c r="Z49" s="4" t="s">
        <v>604</v>
      </c>
      <c r="AA49" s="4">
        <v>1891688633</v>
      </c>
      <c r="AB49" s="4" t="s">
        <v>252</v>
      </c>
      <c r="AC49" s="4" t="s">
        <v>119</v>
      </c>
      <c r="AD49" s="113">
        <v>35409</v>
      </c>
      <c r="AE49" s="107">
        <f t="shared" si="1" ca="1"/>
        <v>28.186301369863013</v>
      </c>
      <c r="AF49" s="4" t="s">
        <v>80</v>
      </c>
      <c r="AG49" s="114">
        <v>7811143390</v>
      </c>
      <c r="AH49" s="4" t="s">
        <v>81</v>
      </c>
      <c r="AI49" s="55" t="s">
        <v>322</v>
      </c>
      <c r="AJ49" s="55" t="s">
        <v>333</v>
      </c>
      <c r="AK49" s="55">
        <v>2020</v>
      </c>
      <c r="AL49" s="4" t="s">
        <v>605</v>
      </c>
      <c r="AM49" s="4" t="s">
        <v>606</v>
      </c>
      <c r="AN49" s="4" t="s">
        <v>607</v>
      </c>
      <c r="AO49" s="4" t="s">
        <v>608</v>
      </c>
      <c r="AP49" s="4" t="s">
        <v>609</v>
      </c>
      <c r="AQ49" s="55" t="s">
        <v>610</v>
      </c>
      <c r="AR49" s="4" t="s">
        <v>110</v>
      </c>
      <c r="AS49" s="4" t="s">
        <v>81</v>
      </c>
      <c r="AT49" s="72" t="s">
        <v>81</v>
      </c>
      <c r="AU49" s="4" t="s">
        <v>81</v>
      </c>
      <c r="AV49" s="4" t="s">
        <v>81</v>
      </c>
      <c r="AW49" s="4" t="s">
        <v>81</v>
      </c>
      <c r="AX49" s="4" t="s">
        <v>81</v>
      </c>
      <c r="AY49" s="4"/>
      <c r="AZ49" s="4"/>
      <c r="BA49" s="4" t="s">
        <v>90</v>
      </c>
      <c r="BB49" s="4">
        <v>10800</v>
      </c>
      <c r="BC49" s="4">
        <v>2700</v>
      </c>
      <c r="BD49" s="4">
        <v>0</v>
      </c>
      <c r="BE49" s="4" t="s">
        <v>91</v>
      </c>
      <c r="BF49" s="4"/>
      <c r="BG49" s="4"/>
      <c r="BH49" s="4" t="s">
        <v>168</v>
      </c>
      <c r="BI49" s="4">
        <v>1747918926</v>
      </c>
      <c r="BJ49" s="105"/>
      <c r="BK49" s="4"/>
      <c r="BL49" s="105"/>
    </row>
    <row r="50" ht="19.95" customHeight="1">
      <c r="A50" s="4">
        <v>171312</v>
      </c>
      <c r="B50" s="4"/>
      <c r="C50" s="55" t="s">
        <v>611</v>
      </c>
      <c r="D50" s="4" t="s">
        <v>612</v>
      </c>
      <c r="E50" s="4" t="s">
        <v>66</v>
      </c>
      <c r="F50" s="55">
        <v>1110453708</v>
      </c>
      <c r="G50" s="4" t="s">
        <v>67</v>
      </c>
      <c r="H50" s="4" t="s">
        <v>68</v>
      </c>
      <c r="I50" s="4" t="s">
        <v>69</v>
      </c>
      <c r="J50" s="55" t="s">
        <v>307</v>
      </c>
      <c r="K50" s="4" t="s">
        <v>71</v>
      </c>
      <c r="L50" s="4" t="s">
        <v>72</v>
      </c>
      <c r="M50" s="4" t="s">
        <v>98</v>
      </c>
      <c r="N50" s="4" t="s">
        <v>74</v>
      </c>
      <c r="O50" s="4" t="s">
        <v>75</v>
      </c>
      <c r="P50" s="4">
        <v>21</v>
      </c>
      <c r="Q50" s="57">
        <v>45267</v>
      </c>
      <c r="R50" s="57">
        <v>45292</v>
      </c>
      <c r="S50" s="113"/>
      <c r="T50" s="113"/>
      <c r="U50" s="4"/>
      <c r="V50" s="4"/>
      <c r="W50" s="105" t="s">
        <v>613</v>
      </c>
      <c r="X50" s="114">
        <v>1706218145</v>
      </c>
      <c r="Y50" s="55"/>
      <c r="Z50" s="4" t="s">
        <v>614</v>
      </c>
      <c r="AA50" s="4">
        <v>1859298138</v>
      </c>
      <c r="AB50" s="4" t="s">
        <v>101</v>
      </c>
      <c r="AC50" s="4" t="s">
        <v>119</v>
      </c>
      <c r="AD50" s="113">
        <v>35507</v>
      </c>
      <c r="AE50" s="107">
        <f t="shared" si="1" ca="1"/>
        <v>27.91780821917808</v>
      </c>
      <c r="AF50" s="4" t="s">
        <v>80</v>
      </c>
      <c r="AG50" s="114">
        <v>6003996383</v>
      </c>
      <c r="AH50" s="4" t="s">
        <v>81</v>
      </c>
      <c r="AI50" s="55" t="s">
        <v>290</v>
      </c>
      <c r="AJ50" s="55" t="s">
        <v>81</v>
      </c>
      <c r="AK50" s="55">
        <v>2021</v>
      </c>
      <c r="AL50" s="4" t="s">
        <v>615</v>
      </c>
      <c r="AM50" s="4" t="s">
        <v>614</v>
      </c>
      <c r="AN50" s="4" t="s">
        <v>616</v>
      </c>
      <c r="AO50" s="4" t="s">
        <v>617</v>
      </c>
      <c r="AP50" s="4" t="s">
        <v>618</v>
      </c>
      <c r="AQ50" s="55" t="s">
        <v>619</v>
      </c>
      <c r="AR50" s="4" t="s">
        <v>110</v>
      </c>
      <c r="AS50" s="4" t="s">
        <v>81</v>
      </c>
      <c r="AT50" s="72" t="s">
        <v>81</v>
      </c>
      <c r="AU50" s="4" t="s">
        <v>81</v>
      </c>
      <c r="AV50" s="4" t="s">
        <v>81</v>
      </c>
      <c r="AW50" s="4" t="s">
        <v>81</v>
      </c>
      <c r="AX50" s="4" t="s">
        <v>81</v>
      </c>
      <c r="AY50" s="4"/>
      <c r="AZ50" s="4"/>
      <c r="BA50" s="4" t="s">
        <v>90</v>
      </c>
      <c r="BB50" s="4">
        <v>10800</v>
      </c>
      <c r="BC50" s="4">
        <v>2700</v>
      </c>
      <c r="BD50" s="4">
        <v>0</v>
      </c>
      <c r="BE50" s="4" t="s">
        <v>91</v>
      </c>
      <c r="BF50" s="4"/>
      <c r="BG50" s="4"/>
      <c r="BH50" s="4" t="s">
        <v>168</v>
      </c>
      <c r="BI50" s="4">
        <v>1706218145</v>
      </c>
      <c r="BJ50" s="105"/>
      <c r="BK50" s="4"/>
      <c r="BL50" s="105"/>
    </row>
    <row r="51" ht="19.95" customHeight="1">
      <c r="A51" s="4">
        <v>171313</v>
      </c>
      <c r="B51" s="4"/>
      <c r="C51" s="55" t="s">
        <v>620</v>
      </c>
      <c r="D51" s="4" t="s">
        <v>171</v>
      </c>
      <c r="E51" s="4" t="s">
        <v>114</v>
      </c>
      <c r="F51" s="55">
        <v>652863</v>
      </c>
      <c r="G51" s="4" t="s">
        <v>225</v>
      </c>
      <c r="H51" s="4" t="s">
        <v>226</v>
      </c>
      <c r="I51" s="4" t="s">
        <v>69</v>
      </c>
      <c r="J51" s="55" t="s">
        <v>155</v>
      </c>
      <c r="K51" s="4" t="s">
        <v>71</v>
      </c>
      <c r="L51" s="4" t="s">
        <v>72</v>
      </c>
      <c r="M51" s="4" t="s">
        <v>74</v>
      </c>
      <c r="N51" s="4"/>
      <c r="O51" s="4" t="s">
        <v>75</v>
      </c>
      <c r="P51" s="4">
        <v>21</v>
      </c>
      <c r="Q51" s="57">
        <v>45267</v>
      </c>
      <c r="R51" s="57">
        <v>45292</v>
      </c>
      <c r="S51" s="113">
        <v>45459</v>
      </c>
      <c r="T51" s="113"/>
      <c r="U51" s="4"/>
      <c r="V51" s="4">
        <v>1847227160</v>
      </c>
      <c r="W51" s="105" t="s">
        <v>621</v>
      </c>
      <c r="X51" s="114">
        <v>1736093813</v>
      </c>
      <c r="Y51" s="55">
        <v>1319397994</v>
      </c>
      <c r="Z51" s="4" t="s">
        <v>622</v>
      </c>
      <c r="AA51" s="4">
        <v>1936791169</v>
      </c>
      <c r="AB51" s="4" t="s">
        <v>101</v>
      </c>
      <c r="AC51" s="4" t="s">
        <v>102</v>
      </c>
      <c r="AD51" s="113">
        <v>35600</v>
      </c>
      <c r="AE51" s="107">
        <f t="shared" si="1" ca="1"/>
        <v>27.663013698630138</v>
      </c>
      <c r="AF51" s="4" t="s">
        <v>80</v>
      </c>
      <c r="AG51" s="114">
        <v>2851955043</v>
      </c>
      <c r="AH51" s="4" t="s">
        <v>623</v>
      </c>
      <c r="AI51" s="55" t="s">
        <v>253</v>
      </c>
      <c r="AJ51" s="55" t="s">
        <v>81</v>
      </c>
      <c r="AK51" s="55">
        <v>2021</v>
      </c>
      <c r="AL51" s="4" t="s">
        <v>624</v>
      </c>
      <c r="AM51" s="4" t="s">
        <v>625</v>
      </c>
      <c r="AN51" s="4" t="s">
        <v>626</v>
      </c>
      <c r="AO51" s="4" t="s">
        <v>627</v>
      </c>
      <c r="AP51" s="4" t="s">
        <v>628</v>
      </c>
      <c r="AQ51" s="55" t="s">
        <v>629</v>
      </c>
      <c r="AR51" s="4" t="s">
        <v>110</v>
      </c>
      <c r="AS51" s="4"/>
      <c r="AT51" s="72"/>
      <c r="AU51" s="4" t="s">
        <v>81</v>
      </c>
      <c r="AV51" s="4" t="s">
        <v>81</v>
      </c>
      <c r="AW51" s="4" t="s">
        <v>81</v>
      </c>
      <c r="AX51" s="4" t="s">
        <v>81</v>
      </c>
      <c r="AY51" s="4"/>
      <c r="AZ51" s="4"/>
      <c r="BA51" s="4" t="s">
        <v>90</v>
      </c>
      <c r="BB51" s="4">
        <v>14500</v>
      </c>
      <c r="BC51" s="4">
        <v>3500</v>
      </c>
      <c r="BD51" s="4">
        <v>2000</v>
      </c>
      <c r="BE51" s="4" t="s">
        <v>166</v>
      </c>
      <c r="BF51" s="4"/>
      <c r="BG51" s="4"/>
      <c r="BH51" s="4" t="s">
        <v>168</v>
      </c>
      <c r="BI51" s="4">
        <v>1319397994</v>
      </c>
      <c r="BJ51" s="105" t="s">
        <v>630</v>
      </c>
      <c r="BK51" s="4"/>
      <c r="BL51" s="105"/>
    </row>
    <row r="52" ht="19.95" customHeight="1">
      <c r="A52" s="4">
        <v>171316</v>
      </c>
      <c r="B52" s="4"/>
      <c r="C52" s="55" t="s">
        <v>631</v>
      </c>
      <c r="D52" s="4" t="s">
        <v>632</v>
      </c>
      <c r="E52" s="4" t="s">
        <v>66</v>
      </c>
      <c r="F52" s="55" t="s">
        <v>633</v>
      </c>
      <c r="G52" s="4" t="s">
        <v>67</v>
      </c>
      <c r="H52" s="4" t="s">
        <v>68</v>
      </c>
      <c r="I52" s="4" t="s">
        <v>69</v>
      </c>
      <c r="J52" s="55" t="s">
        <v>307</v>
      </c>
      <c r="K52" s="4" t="s">
        <v>71</v>
      </c>
      <c r="L52" s="4" t="s">
        <v>72</v>
      </c>
      <c r="M52" s="4" t="s">
        <v>458</v>
      </c>
      <c r="N52" s="4" t="s">
        <v>74</v>
      </c>
      <c r="O52" s="4" t="s">
        <v>75</v>
      </c>
      <c r="P52" s="4">
        <v>22</v>
      </c>
      <c r="Q52" s="57">
        <v>45323</v>
      </c>
      <c r="R52" s="57">
        <v>45333</v>
      </c>
      <c r="S52" s="113"/>
      <c r="T52" s="113"/>
      <c r="U52" s="4"/>
      <c r="V52" s="4"/>
      <c r="W52" s="105" t="s">
        <v>634</v>
      </c>
      <c r="X52" s="114">
        <v>1983746716</v>
      </c>
      <c r="Y52" s="55">
        <v>1629011992</v>
      </c>
      <c r="Z52" s="4" t="s">
        <v>635</v>
      </c>
      <c r="AA52" s="4">
        <v>1819052435</v>
      </c>
      <c r="AB52" s="4" t="s">
        <v>132</v>
      </c>
      <c r="AC52" s="4" t="s">
        <v>119</v>
      </c>
      <c r="AD52" s="113">
        <v>34270</v>
      </c>
      <c r="AE52" s="107">
        <f t="shared" si="1" ca="1"/>
        <v>31.306849315068494</v>
      </c>
      <c r="AF52" s="4" t="s">
        <v>80</v>
      </c>
      <c r="AG52" s="114">
        <v>8245313344</v>
      </c>
      <c r="AH52" s="4" t="s">
        <v>81</v>
      </c>
      <c r="AI52" s="55" t="s">
        <v>217</v>
      </c>
      <c r="AJ52" s="55" t="s">
        <v>81</v>
      </c>
      <c r="AK52" s="55">
        <v>2023</v>
      </c>
      <c r="AL52" s="4" t="s">
        <v>636</v>
      </c>
      <c r="AM52" s="4" t="s">
        <v>637</v>
      </c>
      <c r="AN52" s="4" t="s">
        <v>635</v>
      </c>
      <c r="AO52" s="4" t="s">
        <v>638</v>
      </c>
      <c r="AP52" s="4" t="s">
        <v>639</v>
      </c>
      <c r="AQ52" s="55" t="s">
        <v>88</v>
      </c>
      <c r="AR52" s="4" t="s">
        <v>89</v>
      </c>
      <c r="AS52" s="4" t="s">
        <v>640</v>
      </c>
      <c r="AT52" s="72">
        <v>33555</v>
      </c>
      <c r="AU52" s="4" t="s">
        <v>81</v>
      </c>
      <c r="AV52" s="4" t="s">
        <v>81</v>
      </c>
      <c r="AW52" s="4" t="s">
        <v>81</v>
      </c>
      <c r="AX52" s="4" t="s">
        <v>81</v>
      </c>
      <c r="AY52" s="4"/>
      <c r="AZ52" s="4"/>
      <c r="BA52" s="4" t="s">
        <v>90</v>
      </c>
      <c r="BB52" s="4">
        <v>10800</v>
      </c>
      <c r="BC52" s="4">
        <v>2700</v>
      </c>
      <c r="BD52" s="4">
        <v>0</v>
      </c>
      <c r="BE52" s="4" t="s">
        <v>91</v>
      </c>
      <c r="BF52" s="4"/>
      <c r="BG52" s="4"/>
      <c r="BH52" s="105"/>
      <c r="BI52" s="4">
        <v>1983746716</v>
      </c>
      <c r="BJ52" s="105"/>
      <c r="BK52" s="4"/>
      <c r="BL52" s="105"/>
    </row>
    <row r="53" ht="19.95" customHeight="1">
      <c r="A53" s="4">
        <v>171317</v>
      </c>
      <c r="B53" s="4"/>
      <c r="C53" s="55" t="s">
        <v>641</v>
      </c>
      <c r="D53" s="4" t="s">
        <v>642</v>
      </c>
      <c r="E53" s="4" t="s">
        <v>66</v>
      </c>
      <c r="F53" s="55">
        <v>1110152143</v>
      </c>
      <c r="G53" s="4" t="s">
        <v>67</v>
      </c>
      <c r="H53" s="4" t="s">
        <v>68</v>
      </c>
      <c r="I53" s="4" t="s">
        <v>69</v>
      </c>
      <c r="J53" s="55" t="s">
        <v>576</v>
      </c>
      <c r="K53" s="4" t="s">
        <v>71</v>
      </c>
      <c r="L53" s="4" t="s">
        <v>72</v>
      </c>
      <c r="M53" s="4" t="s">
        <v>115</v>
      </c>
      <c r="N53" s="4" t="s">
        <v>74</v>
      </c>
      <c r="O53" s="4" t="s">
        <v>75</v>
      </c>
      <c r="P53" s="4">
        <v>22</v>
      </c>
      <c r="Q53" s="57">
        <v>45323</v>
      </c>
      <c r="R53" s="57">
        <v>45333</v>
      </c>
      <c r="S53" s="113"/>
      <c r="T53" s="113"/>
      <c r="U53" s="4"/>
      <c r="V53" s="4"/>
      <c r="W53" s="105" t="s">
        <v>643</v>
      </c>
      <c r="X53" s="114">
        <v>1754126059</v>
      </c>
      <c r="Y53" s="55">
        <v>1678092647</v>
      </c>
      <c r="Z53" s="4" t="s">
        <v>644</v>
      </c>
      <c r="AA53" s="4">
        <v>1678092647</v>
      </c>
      <c r="AB53" s="4" t="s">
        <v>101</v>
      </c>
      <c r="AC53" s="4" t="s">
        <v>79</v>
      </c>
      <c r="AD53" s="113">
        <v>36188</v>
      </c>
      <c r="AE53" s="107">
        <f t="shared" si="1" ca="1"/>
        <v>26.052054794520547</v>
      </c>
      <c r="AF53" s="4" t="s">
        <v>80</v>
      </c>
      <c r="AG53" s="114">
        <v>6004980840</v>
      </c>
      <c r="AH53" s="4" t="s">
        <v>81</v>
      </c>
      <c r="AI53" s="55" t="s">
        <v>265</v>
      </c>
      <c r="AJ53" s="55" t="s">
        <v>81</v>
      </c>
      <c r="AK53" s="55">
        <v>2023</v>
      </c>
      <c r="AL53" s="4" t="s">
        <v>645</v>
      </c>
      <c r="AM53" s="4" t="s">
        <v>644</v>
      </c>
      <c r="AN53" s="4" t="s">
        <v>646</v>
      </c>
      <c r="AO53" s="4" t="s">
        <v>647</v>
      </c>
      <c r="AP53" s="4" t="s">
        <v>648</v>
      </c>
      <c r="AQ53" s="55" t="s">
        <v>88</v>
      </c>
      <c r="AR53" s="4" t="s">
        <v>110</v>
      </c>
      <c r="AS53" s="4" t="s">
        <v>81</v>
      </c>
      <c r="AT53" s="72" t="s">
        <v>81</v>
      </c>
      <c r="AU53" s="4" t="s">
        <v>81</v>
      </c>
      <c r="AV53" s="4" t="s">
        <v>81</v>
      </c>
      <c r="AW53" s="4" t="s">
        <v>81</v>
      </c>
      <c r="AX53" s="4" t="s">
        <v>81</v>
      </c>
      <c r="AY53" s="4"/>
      <c r="AZ53" s="4"/>
      <c r="BA53" s="4" t="s">
        <v>90</v>
      </c>
      <c r="BB53" s="4">
        <v>10800</v>
      </c>
      <c r="BC53" s="4">
        <v>2700</v>
      </c>
      <c r="BD53" s="4">
        <v>0</v>
      </c>
      <c r="BE53" s="4" t="s">
        <v>91</v>
      </c>
      <c r="BF53" s="4"/>
      <c r="BG53" s="4"/>
      <c r="BH53" s="105"/>
      <c r="BI53" s="4">
        <v>1754126059</v>
      </c>
      <c r="BJ53" s="105"/>
      <c r="BK53" s="4"/>
      <c r="BL53" s="105"/>
    </row>
    <row r="54" ht="19.95" customHeight="1">
      <c r="A54" s="4">
        <v>171319</v>
      </c>
      <c r="B54" s="4"/>
      <c r="C54" s="55" t="s">
        <v>649</v>
      </c>
      <c r="D54" s="4" t="s">
        <v>650</v>
      </c>
      <c r="E54" s="4" t="s">
        <v>66</v>
      </c>
      <c r="F54" s="55" t="s">
        <v>651</v>
      </c>
      <c r="G54" s="4" t="s">
        <v>67</v>
      </c>
      <c r="H54" s="4" t="s">
        <v>68</v>
      </c>
      <c r="I54" s="4" t="s">
        <v>69</v>
      </c>
      <c r="J54" s="55" t="s">
        <v>341</v>
      </c>
      <c r="K54" s="4" t="s">
        <v>71</v>
      </c>
      <c r="L54" s="4" t="s">
        <v>72</v>
      </c>
      <c r="M54" s="4" t="s">
        <v>342</v>
      </c>
      <c r="N54" s="4" t="s">
        <v>74</v>
      </c>
      <c r="O54" s="4" t="s">
        <v>75</v>
      </c>
      <c r="P54" s="4">
        <v>22</v>
      </c>
      <c r="Q54" s="57">
        <v>45323</v>
      </c>
      <c r="R54" s="57">
        <v>45333</v>
      </c>
      <c r="S54" s="113"/>
      <c r="T54" s="113"/>
      <c r="U54" s="4"/>
      <c r="V54" s="4"/>
      <c r="W54" s="105" t="s">
        <v>652</v>
      </c>
      <c r="X54" s="114">
        <v>1710184151</v>
      </c>
      <c r="Y54" s="55">
        <v>1913957436</v>
      </c>
      <c r="Z54" s="4" t="s">
        <v>653</v>
      </c>
      <c r="AA54" s="4">
        <v>1673251923</v>
      </c>
      <c r="AB54" s="4" t="s">
        <v>132</v>
      </c>
      <c r="AC54" s="4" t="s">
        <v>119</v>
      </c>
      <c r="AD54" s="113">
        <v>36903</v>
      </c>
      <c r="AE54" s="107">
        <f t="shared" si="1" ca="1"/>
        <v>24.09315068493151</v>
      </c>
      <c r="AF54" s="4" t="s">
        <v>80</v>
      </c>
      <c r="AG54" s="114">
        <v>7818910049</v>
      </c>
      <c r="AH54" s="4" t="s">
        <v>81</v>
      </c>
      <c r="AI54" s="55" t="s">
        <v>654</v>
      </c>
      <c r="AJ54" s="55" t="s">
        <v>81</v>
      </c>
      <c r="AK54" s="55">
        <v>2023</v>
      </c>
      <c r="AL54" s="4" t="s">
        <v>655</v>
      </c>
      <c r="AM54" s="4" t="s">
        <v>653</v>
      </c>
      <c r="AN54" s="4" t="s">
        <v>656</v>
      </c>
      <c r="AO54" s="4" t="s">
        <v>657</v>
      </c>
      <c r="AP54" s="4" t="s">
        <v>658</v>
      </c>
      <c r="AQ54" s="55" t="s">
        <v>88</v>
      </c>
      <c r="AR54" s="4" t="s">
        <v>110</v>
      </c>
      <c r="AS54" s="4" t="s">
        <v>81</v>
      </c>
      <c r="AT54" s="72" t="s">
        <v>81</v>
      </c>
      <c r="AU54" s="4" t="s">
        <v>81</v>
      </c>
      <c r="AV54" s="4" t="s">
        <v>81</v>
      </c>
      <c r="AW54" s="4" t="s">
        <v>81</v>
      </c>
      <c r="AX54" s="4" t="s">
        <v>81</v>
      </c>
      <c r="AY54" s="4"/>
      <c r="AZ54" s="4"/>
      <c r="BA54" s="4" t="s">
        <v>90</v>
      </c>
      <c r="BB54" s="4">
        <v>10800</v>
      </c>
      <c r="BC54" s="4">
        <v>2700</v>
      </c>
      <c r="BD54" s="4">
        <v>0</v>
      </c>
      <c r="BE54" s="4" t="s">
        <v>91</v>
      </c>
      <c r="BF54" s="4"/>
      <c r="BG54" s="4"/>
      <c r="BH54" s="105"/>
      <c r="BI54" s="4">
        <v>1710184151</v>
      </c>
      <c r="BJ54" s="105"/>
      <c r="BK54" s="4"/>
      <c r="BL54" s="105"/>
    </row>
    <row r="55" ht="19.95" customHeight="1">
      <c r="A55" s="4">
        <v>171320</v>
      </c>
      <c r="B55" s="4"/>
      <c r="C55" s="55" t="s">
        <v>659</v>
      </c>
      <c r="D55" s="4" t="s">
        <v>660</v>
      </c>
      <c r="E55" s="4" t="s">
        <v>66</v>
      </c>
      <c r="F55" s="55">
        <v>1010936732</v>
      </c>
      <c r="G55" s="4" t="s">
        <v>67</v>
      </c>
      <c r="H55" s="4" t="s">
        <v>68</v>
      </c>
      <c r="I55" s="4" t="s">
        <v>69</v>
      </c>
      <c r="J55" s="55" t="s">
        <v>341</v>
      </c>
      <c r="K55" s="4" t="s">
        <v>71</v>
      </c>
      <c r="L55" s="4" t="s">
        <v>72</v>
      </c>
      <c r="M55" s="4" t="s">
        <v>342</v>
      </c>
      <c r="N55" s="4" t="s">
        <v>74</v>
      </c>
      <c r="O55" s="4" t="s">
        <v>75</v>
      </c>
      <c r="P55" s="4">
        <v>22</v>
      </c>
      <c r="Q55" s="57">
        <v>45323</v>
      </c>
      <c r="R55" s="57">
        <v>45333</v>
      </c>
      <c r="S55" s="113"/>
      <c r="T55" s="113"/>
      <c r="U55" s="4"/>
      <c r="V55" s="4"/>
      <c r="W55" s="105" t="s">
        <v>661</v>
      </c>
      <c r="X55" s="114">
        <v>1610778992</v>
      </c>
      <c r="Y55" s="55"/>
      <c r="Z55" s="4" t="s">
        <v>662</v>
      </c>
      <c r="AA55" s="4">
        <v>1602597726</v>
      </c>
      <c r="AB55" s="4" t="s">
        <v>78</v>
      </c>
      <c r="AC55" s="4" t="s">
        <v>119</v>
      </c>
      <c r="AD55" s="113">
        <v>35799</v>
      </c>
      <c r="AE55" s="107">
        <f t="shared" si="1" ca="1"/>
        <v>27.117808219178084</v>
      </c>
      <c r="AF55" s="4" t="s">
        <v>80</v>
      </c>
      <c r="AG55" s="114">
        <v>7804777923</v>
      </c>
      <c r="AH55" s="4" t="s">
        <v>81</v>
      </c>
      <c r="AI55" s="55" t="s">
        <v>663</v>
      </c>
      <c r="AJ55" s="55" t="s">
        <v>81</v>
      </c>
      <c r="AK55" s="55">
        <v>2019</v>
      </c>
      <c r="AL55" s="4" t="s">
        <v>106</v>
      </c>
      <c r="AM55" s="4" t="s">
        <v>664</v>
      </c>
      <c r="AN55" s="4" t="s">
        <v>131</v>
      </c>
      <c r="AO55" s="4" t="s">
        <v>665</v>
      </c>
      <c r="AP55" s="4" t="s">
        <v>665</v>
      </c>
      <c r="AQ55" s="55" t="s">
        <v>666</v>
      </c>
      <c r="AR55" s="4" t="s">
        <v>89</v>
      </c>
      <c r="AS55" s="4" t="s">
        <v>667</v>
      </c>
      <c r="AT55" s="72">
        <v>33599</v>
      </c>
      <c r="AU55" s="4" t="s">
        <v>668</v>
      </c>
      <c r="AV55" s="4">
        <v>44628</v>
      </c>
      <c r="AW55" s="4" t="s">
        <v>81</v>
      </c>
      <c r="AX55" s="4" t="s">
        <v>81</v>
      </c>
      <c r="AY55" s="4"/>
      <c r="AZ55" s="4"/>
      <c r="BA55" s="4" t="s">
        <v>90</v>
      </c>
      <c r="BB55" s="4">
        <v>10800</v>
      </c>
      <c r="BC55" s="4">
        <v>2700</v>
      </c>
      <c r="BD55" s="4">
        <v>0</v>
      </c>
      <c r="BE55" s="4" t="s">
        <v>91</v>
      </c>
      <c r="BF55" s="4"/>
      <c r="BG55" s="4"/>
      <c r="BH55" s="105"/>
      <c r="BI55" s="4">
        <v>1953635894</v>
      </c>
      <c r="BJ55" s="105"/>
      <c r="BK55" s="4"/>
      <c r="BL55" s="105"/>
    </row>
    <row r="56" ht="19.95" customHeight="1">
      <c r="A56" s="4">
        <v>171324</v>
      </c>
      <c r="B56" s="4"/>
      <c r="C56" s="55" t="s">
        <v>669</v>
      </c>
      <c r="D56" s="4" t="s">
        <v>670</v>
      </c>
      <c r="E56" s="4" t="s">
        <v>66</v>
      </c>
      <c r="F56" s="55">
        <v>1110571790</v>
      </c>
      <c r="G56" s="4" t="s">
        <v>67</v>
      </c>
      <c r="H56" s="4" t="s">
        <v>68</v>
      </c>
      <c r="I56" s="4" t="s">
        <v>69</v>
      </c>
      <c r="J56" s="55" t="s">
        <v>341</v>
      </c>
      <c r="K56" s="4" t="s">
        <v>71</v>
      </c>
      <c r="L56" s="4" t="s">
        <v>72</v>
      </c>
      <c r="M56" s="4" t="s">
        <v>342</v>
      </c>
      <c r="N56" s="4" t="s">
        <v>74</v>
      </c>
      <c r="O56" s="4" t="s">
        <v>75</v>
      </c>
      <c r="P56" s="4">
        <v>22</v>
      </c>
      <c r="Q56" s="57">
        <v>45323</v>
      </c>
      <c r="R56" s="57">
        <v>45333</v>
      </c>
      <c r="S56" s="113"/>
      <c r="T56" s="113"/>
      <c r="U56" s="4"/>
      <c r="V56" s="4"/>
      <c r="W56" s="105" t="s">
        <v>671</v>
      </c>
      <c r="X56" s="114">
        <v>1969114903</v>
      </c>
      <c r="Y56" s="55">
        <v>1302328461</v>
      </c>
      <c r="Z56" s="4" t="s">
        <v>672</v>
      </c>
      <c r="AA56" s="4">
        <v>1302328461</v>
      </c>
      <c r="AB56" s="4" t="s">
        <v>132</v>
      </c>
      <c r="AC56" s="4" t="s">
        <v>133</v>
      </c>
      <c r="AD56" s="113">
        <v>35700</v>
      </c>
      <c r="AE56" s="107">
        <f ref="AE56:AE87" t="shared" si="2" ca="1">((TODAY())-AD56)/365</f>
        <v>27.389041095890413</v>
      </c>
      <c r="AF56" s="4" t="s">
        <v>673</v>
      </c>
      <c r="AG56" s="114">
        <v>6002096789</v>
      </c>
      <c r="AH56" s="4" t="s">
        <v>81</v>
      </c>
      <c r="AI56" s="55" t="s">
        <v>322</v>
      </c>
      <c r="AJ56" s="55" t="s">
        <v>81</v>
      </c>
      <c r="AK56" s="55">
        <v>2020</v>
      </c>
      <c r="AL56" s="4" t="s">
        <v>674</v>
      </c>
      <c r="AM56" s="4" t="s">
        <v>675</v>
      </c>
      <c r="AN56" s="4" t="s">
        <v>672</v>
      </c>
      <c r="AO56" s="4" t="s">
        <v>676</v>
      </c>
      <c r="AP56" s="4" t="s">
        <v>677</v>
      </c>
      <c r="AQ56" s="55" t="s">
        <v>678</v>
      </c>
      <c r="AR56" s="4" t="s">
        <v>110</v>
      </c>
      <c r="AS56" s="4" t="s">
        <v>81</v>
      </c>
      <c r="AT56" s="72" t="s">
        <v>81</v>
      </c>
      <c r="AU56" s="4" t="s">
        <v>81</v>
      </c>
      <c r="AV56" s="4" t="s">
        <v>81</v>
      </c>
      <c r="AW56" s="4" t="s">
        <v>81</v>
      </c>
      <c r="AX56" s="4" t="s">
        <v>81</v>
      </c>
      <c r="AY56" s="4"/>
      <c r="AZ56" s="4"/>
      <c r="BA56" s="4" t="s">
        <v>90</v>
      </c>
      <c r="BB56" s="4">
        <v>10800</v>
      </c>
      <c r="BC56" s="4">
        <v>2700</v>
      </c>
      <c r="BD56" s="4">
        <v>0</v>
      </c>
      <c r="BE56" s="4" t="s">
        <v>91</v>
      </c>
      <c r="BF56" s="4"/>
      <c r="BG56" s="4"/>
      <c r="BH56" s="105"/>
      <c r="BI56" s="4">
        <v>1825992271</v>
      </c>
      <c r="BJ56" s="105"/>
      <c r="BK56" s="4"/>
      <c r="BL56" s="105"/>
    </row>
    <row r="57" ht="19.95" customHeight="1">
      <c r="A57" s="4">
        <v>171326</v>
      </c>
      <c r="B57" s="4"/>
      <c r="C57" s="55" t="s">
        <v>679</v>
      </c>
      <c r="D57" s="4" t="s">
        <v>680</v>
      </c>
      <c r="E57" s="4" t="s">
        <v>66</v>
      </c>
      <c r="F57" s="55">
        <v>328223</v>
      </c>
      <c r="G57" s="4" t="s">
        <v>67</v>
      </c>
      <c r="H57" s="4" t="s">
        <v>68</v>
      </c>
      <c r="I57" s="4" t="s">
        <v>69</v>
      </c>
      <c r="J57" s="55" t="s">
        <v>319</v>
      </c>
      <c r="K57" s="4" t="s">
        <v>71</v>
      </c>
      <c r="L57" s="4" t="s">
        <v>72</v>
      </c>
      <c r="M57" s="4" t="s">
        <v>458</v>
      </c>
      <c r="N57" s="4" t="s">
        <v>74</v>
      </c>
      <c r="O57" s="4" t="s">
        <v>75</v>
      </c>
      <c r="P57" s="4">
        <v>22</v>
      </c>
      <c r="Q57" s="57">
        <v>45323</v>
      </c>
      <c r="R57" s="57">
        <v>45333</v>
      </c>
      <c r="S57" s="113"/>
      <c r="T57" s="113"/>
      <c r="U57" s="4"/>
      <c r="V57" s="4"/>
      <c r="W57" s="105" t="s">
        <v>681</v>
      </c>
      <c r="X57" s="114">
        <v>1761416502</v>
      </c>
      <c r="Y57" s="55">
        <v>1720448126</v>
      </c>
      <c r="Z57" s="4" t="s">
        <v>682</v>
      </c>
      <c r="AA57" s="4">
        <v>1720448126</v>
      </c>
      <c r="AB57" s="4" t="s">
        <v>78</v>
      </c>
      <c r="AC57" s="4" t="s">
        <v>102</v>
      </c>
      <c r="AD57" s="113">
        <v>34196</v>
      </c>
      <c r="AE57" s="107">
        <f t="shared" si="2" ca="1"/>
        <v>31.50958904109589</v>
      </c>
      <c r="AF57" s="4" t="s">
        <v>80</v>
      </c>
      <c r="AG57" s="114">
        <v>5986350691</v>
      </c>
      <c r="AH57" s="4" t="s">
        <v>81</v>
      </c>
      <c r="AI57" s="55" t="s">
        <v>683</v>
      </c>
      <c r="AJ57" s="55" t="s">
        <v>81</v>
      </c>
      <c r="AK57" s="55">
        <v>2016</v>
      </c>
      <c r="AL57" s="4" t="s">
        <v>684</v>
      </c>
      <c r="AM57" s="4" t="s">
        <v>685</v>
      </c>
      <c r="AN57" s="4" t="s">
        <v>686</v>
      </c>
      <c r="AO57" s="4" t="s">
        <v>687</v>
      </c>
      <c r="AP57" s="4" t="s">
        <v>687</v>
      </c>
      <c r="AQ57" s="55" t="s">
        <v>688</v>
      </c>
      <c r="AR57" s="4" t="s">
        <v>89</v>
      </c>
      <c r="AS57" s="4" t="s">
        <v>682</v>
      </c>
      <c r="AT57" s="72">
        <v>31371</v>
      </c>
      <c r="AU57" s="4" t="s">
        <v>689</v>
      </c>
      <c r="AV57" s="4">
        <v>44415</v>
      </c>
      <c r="AW57" s="4" t="s">
        <v>81</v>
      </c>
      <c r="AX57" s="4" t="s">
        <v>81</v>
      </c>
      <c r="AY57" s="4"/>
      <c r="AZ57" s="4"/>
      <c r="BA57" s="4" t="s">
        <v>90</v>
      </c>
      <c r="BB57" s="4">
        <v>10800</v>
      </c>
      <c r="BC57" s="4">
        <v>2700</v>
      </c>
      <c r="BD57" s="4">
        <v>0</v>
      </c>
      <c r="BE57" s="4" t="s">
        <v>91</v>
      </c>
      <c r="BF57" s="4"/>
      <c r="BG57" s="4"/>
      <c r="BH57" s="105"/>
      <c r="BI57" s="4">
        <v>1761416502</v>
      </c>
      <c r="BJ57" s="105"/>
      <c r="BK57" s="4"/>
      <c r="BL57" s="105"/>
    </row>
    <row r="58" ht="19.95" customHeight="1">
      <c r="A58" s="4">
        <v>171329</v>
      </c>
      <c r="B58" s="4"/>
      <c r="C58" s="55" t="s">
        <v>690</v>
      </c>
      <c r="D58" s="4" t="s">
        <v>691</v>
      </c>
      <c r="E58" s="4" t="s">
        <v>114</v>
      </c>
      <c r="F58" s="55">
        <v>271132</v>
      </c>
      <c r="G58" s="4" t="s">
        <v>67</v>
      </c>
      <c r="H58" s="4" t="s">
        <v>68</v>
      </c>
      <c r="I58" s="4" t="s">
        <v>69</v>
      </c>
      <c r="J58" s="55" t="s">
        <v>155</v>
      </c>
      <c r="K58" s="4" t="s">
        <v>71</v>
      </c>
      <c r="L58" s="4" t="s">
        <v>72</v>
      </c>
      <c r="M58" s="4" t="s">
        <v>171</v>
      </c>
      <c r="N58" s="4" t="s">
        <v>74</v>
      </c>
      <c r="O58" s="4" t="s">
        <v>75</v>
      </c>
      <c r="P58" s="4">
        <v>22</v>
      </c>
      <c r="Q58" s="57">
        <v>45323</v>
      </c>
      <c r="R58" s="57">
        <v>45339</v>
      </c>
      <c r="S58" s="113"/>
      <c r="T58" s="113"/>
      <c r="U58" s="4"/>
      <c r="V58" s="4"/>
      <c r="W58" s="105" t="s">
        <v>692</v>
      </c>
      <c r="X58" s="114">
        <v>1920648706</v>
      </c>
      <c r="Y58" s="55">
        <v>1519610419</v>
      </c>
      <c r="Z58" s="4" t="s">
        <v>693</v>
      </c>
      <c r="AA58" s="4">
        <v>1981543154</v>
      </c>
      <c r="AB58" s="4" t="s">
        <v>78</v>
      </c>
      <c r="AC58" s="4" t="s">
        <v>102</v>
      </c>
      <c r="AD58" s="113">
        <v>35591</v>
      </c>
      <c r="AE58" s="107">
        <f t="shared" si="2" ca="1"/>
        <v>27.687671232876713</v>
      </c>
      <c r="AF58" s="4" t="s">
        <v>80</v>
      </c>
      <c r="AG58" s="114">
        <v>6902904371</v>
      </c>
      <c r="AH58" s="4" t="s">
        <v>81</v>
      </c>
      <c r="AI58" s="55" t="s">
        <v>253</v>
      </c>
      <c r="AJ58" s="55" t="s">
        <v>81</v>
      </c>
      <c r="AK58" s="55">
        <v>2019</v>
      </c>
      <c r="AL58" s="4" t="s">
        <v>313</v>
      </c>
      <c r="AM58" s="4" t="s">
        <v>694</v>
      </c>
      <c r="AN58" s="4" t="s">
        <v>695</v>
      </c>
      <c r="AO58" s="4" t="s">
        <v>696</v>
      </c>
      <c r="AP58" s="4" t="s">
        <v>697</v>
      </c>
      <c r="AQ58" s="55" t="s">
        <v>698</v>
      </c>
      <c r="AR58" s="4" t="s">
        <v>89</v>
      </c>
      <c r="AS58" s="4" t="s">
        <v>693</v>
      </c>
      <c r="AT58" s="72">
        <v>35098</v>
      </c>
      <c r="AU58" s="4" t="s">
        <v>699</v>
      </c>
      <c r="AV58" s="4">
        <v>45284</v>
      </c>
      <c r="AW58" s="4" t="s">
        <v>81</v>
      </c>
      <c r="AX58" s="4" t="s">
        <v>81</v>
      </c>
      <c r="AY58" s="4"/>
      <c r="AZ58" s="4"/>
      <c r="BA58" s="4" t="s">
        <v>90</v>
      </c>
      <c r="BB58" s="4">
        <v>10800</v>
      </c>
      <c r="BC58" s="4">
        <v>2700</v>
      </c>
      <c r="BD58" s="4">
        <v>1000</v>
      </c>
      <c r="BE58" s="4" t="s">
        <v>166</v>
      </c>
      <c r="BF58" s="4"/>
      <c r="BG58" s="4"/>
      <c r="BH58" s="105"/>
      <c r="BI58" s="4">
        <v>1920648706</v>
      </c>
      <c r="BJ58" s="105"/>
      <c r="BK58" s="4"/>
      <c r="BL58" s="105"/>
    </row>
    <row r="59" ht="19.95" customHeight="1">
      <c r="A59" s="4">
        <v>171333</v>
      </c>
      <c r="B59" s="4"/>
      <c r="C59" s="55" t="s">
        <v>700</v>
      </c>
      <c r="D59" s="4" t="s">
        <v>701</v>
      </c>
      <c r="E59" s="4" t="s">
        <v>114</v>
      </c>
      <c r="F59" s="55">
        <v>1110250032</v>
      </c>
      <c r="G59" s="4" t="s">
        <v>67</v>
      </c>
      <c r="H59" s="4" t="s">
        <v>68</v>
      </c>
      <c r="I59" s="4" t="s">
        <v>69</v>
      </c>
      <c r="J59" s="55" t="s">
        <v>155</v>
      </c>
      <c r="K59" s="4" t="s">
        <v>71</v>
      </c>
      <c r="L59" s="4" t="s">
        <v>72</v>
      </c>
      <c r="M59" s="4" t="s">
        <v>183</v>
      </c>
      <c r="N59" s="4" t="s">
        <v>74</v>
      </c>
      <c r="O59" s="4" t="s">
        <v>75</v>
      </c>
      <c r="P59" s="4">
        <v>22</v>
      </c>
      <c r="Q59" s="57">
        <v>45323</v>
      </c>
      <c r="R59" s="57">
        <v>45339</v>
      </c>
      <c r="S59" s="113"/>
      <c r="T59" s="113"/>
      <c r="U59" s="4"/>
      <c r="V59" s="4"/>
      <c r="W59" s="105" t="s">
        <v>702</v>
      </c>
      <c r="X59" s="114">
        <v>1931927483</v>
      </c>
      <c r="Y59" s="55"/>
      <c r="Z59" s="4" t="s">
        <v>703</v>
      </c>
      <c r="AA59" s="4">
        <v>1815469068</v>
      </c>
      <c r="AB59" s="4" t="s">
        <v>132</v>
      </c>
      <c r="AC59" s="4" t="s">
        <v>79</v>
      </c>
      <c r="AD59" s="113">
        <v>36280</v>
      </c>
      <c r="AE59" s="107">
        <f t="shared" si="2" ca="1"/>
        <v>25.8</v>
      </c>
      <c r="AF59" s="4" t="s">
        <v>80</v>
      </c>
      <c r="AG59" s="114">
        <v>5557822524</v>
      </c>
      <c r="AH59" s="4" t="s">
        <v>81</v>
      </c>
      <c r="AI59" s="55" t="s">
        <v>290</v>
      </c>
      <c r="AJ59" s="55" t="s">
        <v>81</v>
      </c>
      <c r="AK59" s="55">
        <v>2021</v>
      </c>
      <c r="AL59" s="4" t="s">
        <v>704</v>
      </c>
      <c r="AM59" s="4" t="s">
        <v>705</v>
      </c>
      <c r="AN59" s="4" t="s">
        <v>706</v>
      </c>
      <c r="AO59" s="4" t="s">
        <v>707</v>
      </c>
      <c r="AP59" s="4" t="s">
        <v>708</v>
      </c>
      <c r="AQ59" s="55" t="s">
        <v>709</v>
      </c>
      <c r="AR59" s="4" t="s">
        <v>110</v>
      </c>
      <c r="AS59" s="4" t="s">
        <v>81</v>
      </c>
      <c r="AT59" s="72" t="s">
        <v>81</v>
      </c>
      <c r="AU59" s="4" t="s">
        <v>81</v>
      </c>
      <c r="AV59" s="4" t="s">
        <v>81</v>
      </c>
      <c r="AW59" s="4" t="s">
        <v>81</v>
      </c>
      <c r="AX59" s="4" t="s">
        <v>81</v>
      </c>
      <c r="AY59" s="4"/>
      <c r="AZ59" s="4"/>
      <c r="BA59" s="4" t="s">
        <v>90</v>
      </c>
      <c r="BB59" s="4">
        <v>10800</v>
      </c>
      <c r="BC59" s="4">
        <v>2700</v>
      </c>
      <c r="BD59" s="4">
        <v>1000</v>
      </c>
      <c r="BE59" s="4" t="s">
        <v>166</v>
      </c>
      <c r="BF59" s="4"/>
      <c r="BG59" s="4"/>
      <c r="BH59" s="105"/>
      <c r="BI59" s="4">
        <v>1931927483</v>
      </c>
      <c r="BJ59" s="105"/>
      <c r="BK59" s="4"/>
      <c r="BL59" s="105"/>
    </row>
    <row r="60" ht="19.95" customHeight="1">
      <c r="A60" s="4">
        <v>171334</v>
      </c>
      <c r="B60" s="4"/>
      <c r="C60" s="55" t="s">
        <v>710</v>
      </c>
      <c r="D60" s="4" t="s">
        <v>711</v>
      </c>
      <c r="E60" s="4" t="s">
        <v>114</v>
      </c>
      <c r="F60" s="55">
        <v>470926</v>
      </c>
      <c r="G60" s="4" t="s">
        <v>67</v>
      </c>
      <c r="H60" s="4" t="s">
        <v>68</v>
      </c>
      <c r="I60" s="4" t="s">
        <v>69</v>
      </c>
      <c r="J60" s="55" t="s">
        <v>155</v>
      </c>
      <c r="K60" s="4" t="s">
        <v>71</v>
      </c>
      <c r="L60" s="4" t="s">
        <v>72</v>
      </c>
      <c r="M60" s="4" t="s">
        <v>271</v>
      </c>
      <c r="N60" s="4" t="s">
        <v>74</v>
      </c>
      <c r="O60" s="4" t="s">
        <v>75</v>
      </c>
      <c r="P60" s="4">
        <v>22</v>
      </c>
      <c r="Q60" s="57">
        <v>45323</v>
      </c>
      <c r="R60" s="57">
        <v>45339</v>
      </c>
      <c r="S60" s="113"/>
      <c r="T60" s="113"/>
      <c r="U60" s="4"/>
      <c r="V60" s="4"/>
      <c r="W60" s="105" t="s">
        <v>712</v>
      </c>
      <c r="X60" s="114">
        <v>1929176475</v>
      </c>
      <c r="Y60" s="55">
        <v>1759666566</v>
      </c>
      <c r="Z60" s="4" t="s">
        <v>713</v>
      </c>
      <c r="AA60" s="4">
        <v>1858136637</v>
      </c>
      <c r="AB60" s="4" t="s">
        <v>186</v>
      </c>
      <c r="AC60" s="4" t="s">
        <v>133</v>
      </c>
      <c r="AD60" s="113">
        <v>34617</v>
      </c>
      <c r="AE60" s="107">
        <f t="shared" si="2" ca="1"/>
        <v>30.356164383561644</v>
      </c>
      <c r="AF60" s="4" t="s">
        <v>80</v>
      </c>
      <c r="AG60" s="114">
        <v>7327373747</v>
      </c>
      <c r="AH60" s="4" t="s">
        <v>81</v>
      </c>
      <c r="AI60" s="55" t="s">
        <v>322</v>
      </c>
      <c r="AJ60" s="55" t="s">
        <v>81</v>
      </c>
      <c r="AK60" s="55">
        <v>2016</v>
      </c>
      <c r="AL60" s="4" t="s">
        <v>524</v>
      </c>
      <c r="AM60" s="4" t="s">
        <v>714</v>
      </c>
      <c r="AN60" s="4" t="s">
        <v>715</v>
      </c>
      <c r="AO60" s="4" t="s">
        <v>716</v>
      </c>
      <c r="AP60" s="4" t="s">
        <v>717</v>
      </c>
      <c r="AQ60" s="55" t="s">
        <v>88</v>
      </c>
      <c r="AR60" s="4" t="s">
        <v>89</v>
      </c>
      <c r="AS60" s="4" t="s">
        <v>713</v>
      </c>
      <c r="AT60" s="72">
        <v>34875</v>
      </c>
      <c r="AU60" s="4" t="s">
        <v>81</v>
      </c>
      <c r="AV60" s="4" t="s">
        <v>81</v>
      </c>
      <c r="AW60" s="4" t="s">
        <v>81</v>
      </c>
      <c r="AX60" s="4" t="s">
        <v>81</v>
      </c>
      <c r="AY60" s="4"/>
      <c r="AZ60" s="4"/>
      <c r="BA60" s="4" t="s">
        <v>90</v>
      </c>
      <c r="BB60" s="4">
        <v>10800</v>
      </c>
      <c r="BC60" s="4">
        <v>2700</v>
      </c>
      <c r="BD60" s="4">
        <v>1000</v>
      </c>
      <c r="BE60" s="4" t="s">
        <v>166</v>
      </c>
      <c r="BF60" s="4"/>
      <c r="BG60" s="4"/>
      <c r="BH60" s="105"/>
      <c r="BI60" s="4">
        <v>1759666566</v>
      </c>
      <c r="BJ60" s="105"/>
      <c r="BK60" s="4"/>
      <c r="BL60" s="105"/>
    </row>
    <row r="61" ht="19.95" customHeight="1">
      <c r="A61" s="4">
        <v>171338</v>
      </c>
      <c r="B61" s="4"/>
      <c r="C61" s="55" t="s">
        <v>718</v>
      </c>
      <c r="D61" s="4" t="s">
        <v>719</v>
      </c>
      <c r="E61" s="4" t="s">
        <v>114</v>
      </c>
      <c r="F61" s="55">
        <v>1110207249</v>
      </c>
      <c r="G61" s="4" t="s">
        <v>67</v>
      </c>
      <c r="H61" s="4" t="s">
        <v>68</v>
      </c>
      <c r="I61" s="4" t="s">
        <v>69</v>
      </c>
      <c r="J61" s="55" t="s">
        <v>319</v>
      </c>
      <c r="K61" s="4" t="s">
        <v>71</v>
      </c>
      <c r="L61" s="4" t="s">
        <v>72</v>
      </c>
      <c r="M61" s="4" t="s">
        <v>73</v>
      </c>
      <c r="N61" s="4" t="s">
        <v>74</v>
      </c>
      <c r="O61" s="4" t="s">
        <v>75</v>
      </c>
      <c r="P61" s="4">
        <v>23</v>
      </c>
      <c r="Q61" s="57">
        <v>45338</v>
      </c>
      <c r="R61" s="57">
        <v>45356</v>
      </c>
      <c r="S61" s="113"/>
      <c r="T61" s="113"/>
      <c r="U61" s="4"/>
      <c r="V61" s="4"/>
      <c r="W61" s="105" t="s">
        <v>720</v>
      </c>
      <c r="X61" s="114">
        <v>1322401716</v>
      </c>
      <c r="Y61" s="55">
        <v>1922912009</v>
      </c>
      <c r="Z61" s="4" t="s">
        <v>721</v>
      </c>
      <c r="AA61" s="4">
        <v>1922912009</v>
      </c>
      <c r="AB61" s="4" t="s">
        <v>252</v>
      </c>
      <c r="AC61" s="4" t="s">
        <v>133</v>
      </c>
      <c r="AD61" s="113">
        <v>36017</v>
      </c>
      <c r="AE61" s="107">
        <f t="shared" si="2" ca="1"/>
        <v>26.52054794520548</v>
      </c>
      <c r="AF61" s="4" t="s">
        <v>80</v>
      </c>
      <c r="AG61" s="114" t="s">
        <v>722</v>
      </c>
      <c r="AH61" s="4" t="s">
        <v>81</v>
      </c>
      <c r="AI61" s="55" t="s">
        <v>723</v>
      </c>
      <c r="AJ61" s="55" t="s">
        <v>81</v>
      </c>
      <c r="AK61" s="55">
        <v>2021</v>
      </c>
      <c r="AL61" s="4" t="s">
        <v>724</v>
      </c>
      <c r="AM61" s="4" t="s">
        <v>721</v>
      </c>
      <c r="AN61" s="4" t="s">
        <v>725</v>
      </c>
      <c r="AO61" s="4" t="s">
        <v>726</v>
      </c>
      <c r="AP61" s="4" t="s">
        <v>726</v>
      </c>
      <c r="AQ61" s="55" t="s">
        <v>727</v>
      </c>
      <c r="AR61" s="4" t="s">
        <v>110</v>
      </c>
      <c r="AS61" s="4" t="s">
        <v>81</v>
      </c>
      <c r="AT61" s="72" t="s">
        <v>81</v>
      </c>
      <c r="AU61" s="4" t="s">
        <v>81</v>
      </c>
      <c r="AV61" s="4" t="s">
        <v>81</v>
      </c>
      <c r="AW61" s="4" t="s">
        <v>81</v>
      </c>
      <c r="AX61" s="4" t="s">
        <v>81</v>
      </c>
      <c r="AY61" s="4"/>
      <c r="AZ61" s="4"/>
      <c r="BA61" s="4" t="s">
        <v>90</v>
      </c>
      <c r="BB61" s="4">
        <v>10800</v>
      </c>
      <c r="BC61" s="4">
        <v>2700</v>
      </c>
      <c r="BD61" s="4">
        <v>0</v>
      </c>
      <c r="BE61" s="4" t="s">
        <v>91</v>
      </c>
      <c r="BF61" s="4"/>
      <c r="BG61" s="4"/>
      <c r="BH61" s="105"/>
      <c r="BI61" s="4">
        <v>1712442547</v>
      </c>
      <c r="BJ61" s="105"/>
      <c r="BK61" s="4"/>
      <c r="BL61" s="105"/>
    </row>
    <row r="62" ht="19.95" customHeight="1">
      <c r="A62" s="4">
        <v>171341</v>
      </c>
      <c r="B62" s="4"/>
      <c r="C62" s="55" t="s">
        <v>728</v>
      </c>
      <c r="D62" s="4" t="s">
        <v>729</v>
      </c>
      <c r="E62" s="4" t="s">
        <v>114</v>
      </c>
      <c r="F62" s="55">
        <v>685511</v>
      </c>
      <c r="G62" s="4" t="s">
        <v>67</v>
      </c>
      <c r="H62" s="4" t="s">
        <v>68</v>
      </c>
      <c r="I62" s="4" t="s">
        <v>69</v>
      </c>
      <c r="J62" s="55" t="s">
        <v>341</v>
      </c>
      <c r="K62" s="4" t="s">
        <v>71</v>
      </c>
      <c r="L62" s="4" t="s">
        <v>72</v>
      </c>
      <c r="M62" s="4" t="s">
        <v>308</v>
      </c>
      <c r="N62" s="4" t="s">
        <v>74</v>
      </c>
      <c r="O62" s="4" t="s">
        <v>75</v>
      </c>
      <c r="P62" s="4">
        <v>23</v>
      </c>
      <c r="Q62" s="57">
        <v>45338</v>
      </c>
      <c r="R62" s="57">
        <v>45356</v>
      </c>
      <c r="S62" s="113"/>
      <c r="T62" s="113"/>
      <c r="U62" s="4"/>
      <c r="V62" s="4"/>
      <c r="W62" s="105" t="s">
        <v>730</v>
      </c>
      <c r="X62" s="114">
        <v>1872118083</v>
      </c>
      <c r="Y62" s="55">
        <v>1572167261</v>
      </c>
      <c r="Z62" s="4" t="s">
        <v>731</v>
      </c>
      <c r="AA62" s="4">
        <v>1742042944</v>
      </c>
      <c r="AB62" s="4" t="s">
        <v>132</v>
      </c>
      <c r="AC62" s="4" t="s">
        <v>79</v>
      </c>
      <c r="AD62" s="113">
        <v>35125</v>
      </c>
      <c r="AE62" s="107">
        <f t="shared" si="2" ca="1"/>
        <v>28.964383561643835</v>
      </c>
      <c r="AF62" s="4" t="s">
        <v>80</v>
      </c>
      <c r="AG62" s="114">
        <v>5969627255</v>
      </c>
      <c r="AH62" s="4" t="s">
        <v>81</v>
      </c>
      <c r="AI62" s="55" t="s">
        <v>265</v>
      </c>
      <c r="AJ62" s="55" t="s">
        <v>81</v>
      </c>
      <c r="AK62" s="55">
        <v>2023</v>
      </c>
      <c r="AL62" s="4" t="s">
        <v>732</v>
      </c>
      <c r="AM62" s="4" t="s">
        <v>733</v>
      </c>
      <c r="AN62" s="4" t="s">
        <v>731</v>
      </c>
      <c r="AO62" s="4" t="s">
        <v>734</v>
      </c>
      <c r="AP62" s="4" t="s">
        <v>735</v>
      </c>
      <c r="AQ62" s="55" t="s">
        <v>499</v>
      </c>
      <c r="AR62" s="4" t="s">
        <v>110</v>
      </c>
      <c r="AS62" s="4" t="s">
        <v>81</v>
      </c>
      <c r="AT62" s="72" t="s">
        <v>81</v>
      </c>
      <c r="AU62" s="4" t="s">
        <v>81</v>
      </c>
      <c r="AV62" s="4" t="s">
        <v>81</v>
      </c>
      <c r="AW62" s="4" t="s">
        <v>81</v>
      </c>
      <c r="AX62" s="4" t="s">
        <v>81</v>
      </c>
      <c r="AY62" s="4"/>
      <c r="AZ62" s="4"/>
      <c r="BA62" s="4" t="s">
        <v>90</v>
      </c>
      <c r="BB62" s="4">
        <v>10800</v>
      </c>
      <c r="BC62" s="4">
        <v>2700</v>
      </c>
      <c r="BD62" s="4">
        <v>0</v>
      </c>
      <c r="BE62" s="4" t="s">
        <v>91</v>
      </c>
      <c r="BF62" s="4"/>
      <c r="BG62" s="4"/>
      <c r="BH62" s="105"/>
      <c r="BI62" s="4">
        <v>1872118083</v>
      </c>
      <c r="BJ62" s="105"/>
      <c r="BK62" s="4"/>
      <c r="BL62" s="105"/>
    </row>
    <row r="63" ht="19.95" customHeight="1">
      <c r="A63" s="4">
        <v>171343</v>
      </c>
      <c r="B63" s="4"/>
      <c r="C63" s="55" t="s">
        <v>81</v>
      </c>
      <c r="D63" s="4" t="s">
        <v>736</v>
      </c>
      <c r="E63" s="4" t="s">
        <v>114</v>
      </c>
      <c r="F63" s="55">
        <v>343988</v>
      </c>
      <c r="G63" s="4" t="s">
        <v>67</v>
      </c>
      <c r="H63" s="4" t="s">
        <v>68</v>
      </c>
      <c r="I63" s="4" t="s">
        <v>69</v>
      </c>
      <c r="J63" s="55" t="s">
        <v>407</v>
      </c>
      <c r="K63" s="4" t="s">
        <v>71</v>
      </c>
      <c r="L63" s="4" t="s">
        <v>72</v>
      </c>
      <c r="M63" s="4" t="s">
        <v>73</v>
      </c>
      <c r="N63" s="4" t="s">
        <v>74</v>
      </c>
      <c r="O63" s="4" t="s">
        <v>75</v>
      </c>
      <c r="P63" s="4">
        <v>23</v>
      </c>
      <c r="Q63" s="57">
        <v>45338</v>
      </c>
      <c r="R63" s="57">
        <v>45356</v>
      </c>
      <c r="S63" s="113"/>
      <c r="T63" s="113"/>
      <c r="U63" s="4"/>
      <c r="V63" s="4"/>
      <c r="W63" s="105" t="s">
        <v>737</v>
      </c>
      <c r="X63" s="114">
        <v>1732764492</v>
      </c>
      <c r="Y63" s="55"/>
      <c r="Z63" s="4" t="s">
        <v>738</v>
      </c>
      <c r="AA63" s="4">
        <v>1672667834</v>
      </c>
      <c r="AB63" s="4" t="s">
        <v>359</v>
      </c>
      <c r="AC63" s="4" t="s">
        <v>119</v>
      </c>
      <c r="AD63" s="113">
        <v>34230</v>
      </c>
      <c r="AE63" s="107">
        <f t="shared" si="2" ca="1"/>
        <v>31.416438356164385</v>
      </c>
      <c r="AF63" s="4" t="s">
        <v>80</v>
      </c>
      <c r="AG63" s="114">
        <v>7758184290</v>
      </c>
      <c r="AH63" s="4" t="s">
        <v>81</v>
      </c>
      <c r="AI63" s="55" t="s">
        <v>739</v>
      </c>
      <c r="AJ63" s="55" t="s">
        <v>81</v>
      </c>
      <c r="AK63" s="55">
        <v>2023</v>
      </c>
      <c r="AL63" s="4" t="s">
        <v>740</v>
      </c>
      <c r="AM63" s="4" t="s">
        <v>741</v>
      </c>
      <c r="AN63" s="4" t="s">
        <v>742</v>
      </c>
      <c r="AO63" s="4" t="s">
        <v>743</v>
      </c>
      <c r="AP63" s="4" t="s">
        <v>743</v>
      </c>
      <c r="AQ63" s="55" t="s">
        <v>744</v>
      </c>
      <c r="AR63" s="4" t="s">
        <v>110</v>
      </c>
      <c r="AS63" s="4" t="s">
        <v>81</v>
      </c>
      <c r="AT63" s="72" t="s">
        <v>81</v>
      </c>
      <c r="AU63" s="4" t="s">
        <v>81</v>
      </c>
      <c r="AV63" s="4" t="s">
        <v>81</v>
      </c>
      <c r="AW63" s="4" t="s">
        <v>81</v>
      </c>
      <c r="AX63" s="4" t="s">
        <v>81</v>
      </c>
      <c r="AY63" s="4"/>
      <c r="AZ63" s="4"/>
      <c r="BA63" s="4" t="s">
        <v>90</v>
      </c>
      <c r="BB63" s="4">
        <v>10800</v>
      </c>
      <c r="BC63" s="4">
        <v>2700</v>
      </c>
      <c r="BD63" s="4">
        <v>0</v>
      </c>
      <c r="BE63" s="4" t="s">
        <v>91</v>
      </c>
      <c r="BF63" s="4"/>
      <c r="BG63" s="4"/>
      <c r="BH63" s="105"/>
      <c r="BI63" s="4">
        <v>1732764492</v>
      </c>
      <c r="BJ63" s="105"/>
      <c r="BK63" s="4"/>
      <c r="BL63" s="105"/>
    </row>
    <row r="64" ht="19.95" customHeight="1">
      <c r="A64" s="4">
        <v>171345</v>
      </c>
      <c r="B64" s="4"/>
      <c r="C64" s="55" t="s">
        <v>745</v>
      </c>
      <c r="D64" s="4" t="s">
        <v>746</v>
      </c>
      <c r="E64" s="4" t="s">
        <v>114</v>
      </c>
      <c r="F64" s="55">
        <v>1412807616</v>
      </c>
      <c r="G64" s="4" t="s">
        <v>67</v>
      </c>
      <c r="H64" s="4" t="s">
        <v>68</v>
      </c>
      <c r="I64" s="4" t="s">
        <v>69</v>
      </c>
      <c r="J64" s="55" t="s">
        <v>341</v>
      </c>
      <c r="K64" s="4" t="s">
        <v>71</v>
      </c>
      <c r="L64" s="4" t="s">
        <v>72</v>
      </c>
      <c r="M64" s="4" t="s">
        <v>342</v>
      </c>
      <c r="N64" s="4" t="s">
        <v>74</v>
      </c>
      <c r="O64" s="4" t="s">
        <v>75</v>
      </c>
      <c r="P64" s="4">
        <v>23</v>
      </c>
      <c r="Q64" s="57">
        <v>45338</v>
      </c>
      <c r="R64" s="57">
        <v>45356</v>
      </c>
      <c r="S64" s="113"/>
      <c r="T64" s="113"/>
      <c r="U64" s="4"/>
      <c r="V64" s="4"/>
      <c r="W64" s="105" t="s">
        <v>747</v>
      </c>
      <c r="X64" s="114">
        <v>1728583881</v>
      </c>
      <c r="Y64" s="55">
        <v>1921477314</v>
      </c>
      <c r="Z64" s="4" t="s">
        <v>748</v>
      </c>
      <c r="AA64" s="4">
        <v>1745214577</v>
      </c>
      <c r="AB64" s="4" t="s">
        <v>132</v>
      </c>
      <c r="AC64" s="4" t="s">
        <v>133</v>
      </c>
      <c r="AD64" s="113">
        <v>37207</v>
      </c>
      <c r="AE64" s="107">
        <f t="shared" si="2" ca="1"/>
        <v>23.26027397260274</v>
      </c>
      <c r="AF64" s="4" t="s">
        <v>80</v>
      </c>
      <c r="AG64" s="114">
        <v>7815270231</v>
      </c>
      <c r="AH64" s="4" t="s">
        <v>81</v>
      </c>
      <c r="AI64" s="55" t="s">
        <v>290</v>
      </c>
      <c r="AJ64" s="55" t="s">
        <v>81</v>
      </c>
      <c r="AK64" s="55">
        <v>2023</v>
      </c>
      <c r="AL64" s="4" t="s">
        <v>749</v>
      </c>
      <c r="AM64" s="4" t="s">
        <v>750</v>
      </c>
      <c r="AN64" s="4" t="s">
        <v>748</v>
      </c>
      <c r="AO64" s="4" t="s">
        <v>751</v>
      </c>
      <c r="AP64" s="4" t="s">
        <v>752</v>
      </c>
      <c r="AQ64" s="55" t="s">
        <v>499</v>
      </c>
      <c r="AR64" s="4" t="s">
        <v>110</v>
      </c>
      <c r="AS64" s="4" t="s">
        <v>81</v>
      </c>
      <c r="AT64" s="72" t="s">
        <v>81</v>
      </c>
      <c r="AU64" s="4" t="s">
        <v>81</v>
      </c>
      <c r="AV64" s="4" t="s">
        <v>81</v>
      </c>
      <c r="AW64" s="4" t="s">
        <v>81</v>
      </c>
      <c r="AX64" s="4" t="s">
        <v>81</v>
      </c>
      <c r="AY64" s="4"/>
      <c r="AZ64" s="4"/>
      <c r="BA64" s="4" t="s">
        <v>90</v>
      </c>
      <c r="BB64" s="4">
        <v>10800</v>
      </c>
      <c r="BC64" s="4">
        <v>2700</v>
      </c>
      <c r="BD64" s="4">
        <v>0</v>
      </c>
      <c r="BE64" s="4" t="s">
        <v>91</v>
      </c>
      <c r="BF64" s="4"/>
      <c r="BG64" s="4"/>
      <c r="BH64" s="105"/>
      <c r="BI64" s="4">
        <v>1728583881</v>
      </c>
      <c r="BJ64" s="105"/>
      <c r="BK64" s="4"/>
      <c r="BL64" s="105"/>
    </row>
    <row r="65" ht="19.95" customHeight="1">
      <c r="A65" s="4">
        <v>171356</v>
      </c>
      <c r="B65" s="4"/>
      <c r="C65" s="55" t="s">
        <v>753</v>
      </c>
      <c r="D65" s="4" t="s">
        <v>754</v>
      </c>
      <c r="E65" s="4" t="s">
        <v>114</v>
      </c>
      <c r="F65" s="55">
        <v>1412792757</v>
      </c>
      <c r="G65" s="4" t="s">
        <v>67</v>
      </c>
      <c r="H65" s="4" t="s">
        <v>68</v>
      </c>
      <c r="I65" s="4" t="s">
        <v>69</v>
      </c>
      <c r="J65" s="55" t="s">
        <v>319</v>
      </c>
      <c r="K65" s="4" t="s">
        <v>71</v>
      </c>
      <c r="L65" s="4" t="s">
        <v>72</v>
      </c>
      <c r="M65" s="4" t="s">
        <v>287</v>
      </c>
      <c r="N65" s="4" t="s">
        <v>74</v>
      </c>
      <c r="O65" s="4" t="s">
        <v>75</v>
      </c>
      <c r="P65" s="4">
        <v>23</v>
      </c>
      <c r="Q65" s="57">
        <v>45338</v>
      </c>
      <c r="R65" s="57">
        <v>45362</v>
      </c>
      <c r="S65" s="113"/>
      <c r="T65" s="113"/>
      <c r="U65" s="4"/>
      <c r="V65" s="4"/>
      <c r="W65" s="105" t="s">
        <v>755</v>
      </c>
      <c r="X65" s="114">
        <v>1701508792</v>
      </c>
      <c r="Y65" s="55">
        <v>1568466646</v>
      </c>
      <c r="Z65" s="4" t="s">
        <v>756</v>
      </c>
      <c r="AA65" s="4">
        <v>1749456602</v>
      </c>
      <c r="AB65" s="4" t="s">
        <v>252</v>
      </c>
      <c r="AC65" s="4" t="s">
        <v>133</v>
      </c>
      <c r="AD65" s="113">
        <v>37514</v>
      </c>
      <c r="AE65" s="107">
        <f t="shared" si="2" ca="1"/>
        <v>22.41917808219178</v>
      </c>
      <c r="AF65" s="4" t="s">
        <v>80</v>
      </c>
      <c r="AG65" s="114">
        <v>1962379754</v>
      </c>
      <c r="AH65" s="4" t="s">
        <v>81</v>
      </c>
      <c r="AI65" s="55" t="s">
        <v>757</v>
      </c>
      <c r="AJ65" s="55" t="s">
        <v>81</v>
      </c>
      <c r="AK65" s="55">
        <v>2023</v>
      </c>
      <c r="AL65" s="4" t="s">
        <v>161</v>
      </c>
      <c r="AM65" s="4" t="s">
        <v>758</v>
      </c>
      <c r="AN65" s="4" t="s">
        <v>759</v>
      </c>
      <c r="AO65" s="4" t="s">
        <v>760</v>
      </c>
      <c r="AP65" s="4" t="s">
        <v>761</v>
      </c>
      <c r="AQ65" s="55" t="s">
        <v>762</v>
      </c>
      <c r="AR65" s="4" t="s">
        <v>110</v>
      </c>
      <c r="AS65" s="4" t="s">
        <v>81</v>
      </c>
      <c r="AT65" s="72" t="s">
        <v>81</v>
      </c>
      <c r="AU65" s="4" t="s">
        <v>81</v>
      </c>
      <c r="AV65" s="4" t="s">
        <v>81</v>
      </c>
      <c r="AW65" s="4" t="s">
        <v>81</v>
      </c>
      <c r="AX65" s="4" t="s">
        <v>81</v>
      </c>
      <c r="AY65" s="4"/>
      <c r="AZ65" s="4"/>
      <c r="BA65" s="4" t="s">
        <v>90</v>
      </c>
      <c r="BB65" s="4">
        <v>10800</v>
      </c>
      <c r="BC65" s="4">
        <v>2700</v>
      </c>
      <c r="BD65" s="4">
        <v>0</v>
      </c>
      <c r="BE65" s="4" t="s">
        <v>91</v>
      </c>
      <c r="BF65" s="4"/>
      <c r="BG65" s="4"/>
      <c r="BH65" s="105"/>
      <c r="BI65" s="4">
        <v>1701508792</v>
      </c>
      <c r="BJ65" s="105"/>
      <c r="BK65" s="4"/>
      <c r="BL65" s="105"/>
    </row>
    <row r="66" ht="19.95" customHeight="1">
      <c r="A66" s="4">
        <v>171359</v>
      </c>
      <c r="B66" s="4"/>
      <c r="C66" s="55" t="s">
        <v>763</v>
      </c>
      <c r="D66" s="4" t="s">
        <v>764</v>
      </c>
      <c r="E66" s="4" t="s">
        <v>114</v>
      </c>
      <c r="F66" s="55">
        <v>384727</v>
      </c>
      <c r="G66" s="4" t="s">
        <v>67</v>
      </c>
      <c r="H66" s="4" t="s">
        <v>68</v>
      </c>
      <c r="I66" s="4" t="s">
        <v>69</v>
      </c>
      <c r="J66" s="55" t="s">
        <v>155</v>
      </c>
      <c r="K66" s="4" t="s">
        <v>71</v>
      </c>
      <c r="L66" s="4" t="s">
        <v>72</v>
      </c>
      <c r="M66" s="4" t="s">
        <v>183</v>
      </c>
      <c r="N66" s="4" t="s">
        <v>74</v>
      </c>
      <c r="O66" s="4" t="s">
        <v>75</v>
      </c>
      <c r="P66" s="4">
        <v>23</v>
      </c>
      <c r="Q66" s="57">
        <v>45338</v>
      </c>
      <c r="R66" s="57">
        <v>45363</v>
      </c>
      <c r="S66" s="113"/>
      <c r="T66" s="113"/>
      <c r="U66" s="4"/>
      <c r="V66" s="4"/>
      <c r="W66" s="105" t="s">
        <v>765</v>
      </c>
      <c r="X66" s="114">
        <v>1611793511</v>
      </c>
      <c r="Y66" s="55">
        <v>1404354684</v>
      </c>
      <c r="Z66" s="4" t="s">
        <v>766</v>
      </c>
      <c r="AA66" s="4">
        <v>1791309409</v>
      </c>
      <c r="AB66" s="4" t="s">
        <v>252</v>
      </c>
      <c r="AC66" s="4" t="s">
        <v>133</v>
      </c>
      <c r="AD66" s="113">
        <v>34699</v>
      </c>
      <c r="AE66" s="107">
        <f t="shared" si="2" ca="1"/>
        <v>30.13150684931507</v>
      </c>
      <c r="AF66" s="4" t="s">
        <v>80</v>
      </c>
      <c r="AG66" s="114" t="s">
        <v>767</v>
      </c>
      <c r="AH66" s="4" t="s">
        <v>81</v>
      </c>
      <c r="AI66" s="55" t="s">
        <v>322</v>
      </c>
      <c r="AJ66" s="55" t="s">
        <v>81</v>
      </c>
      <c r="AK66" s="55">
        <v>2019</v>
      </c>
      <c r="AL66" s="4" t="s">
        <v>768</v>
      </c>
      <c r="AM66" s="4" t="s">
        <v>769</v>
      </c>
      <c r="AN66" s="4" t="s">
        <v>770</v>
      </c>
      <c r="AO66" s="4" t="s">
        <v>771</v>
      </c>
      <c r="AP66" s="4" t="s">
        <v>772</v>
      </c>
      <c r="AQ66" s="55" t="s">
        <v>285</v>
      </c>
      <c r="AR66" s="4" t="s">
        <v>89</v>
      </c>
      <c r="AS66" s="4" t="s">
        <v>773</v>
      </c>
      <c r="AT66" s="72">
        <v>37064</v>
      </c>
      <c r="AU66" s="4" t="s">
        <v>774</v>
      </c>
      <c r="AV66" s="4">
        <v>45295</v>
      </c>
      <c r="AW66" s="4" t="s">
        <v>81</v>
      </c>
      <c r="AX66" s="4" t="s">
        <v>81</v>
      </c>
      <c r="AY66" s="4"/>
      <c r="AZ66" s="4"/>
      <c r="BA66" s="4" t="s">
        <v>90</v>
      </c>
      <c r="BB66" s="4">
        <v>10800</v>
      </c>
      <c r="BC66" s="4">
        <v>2700</v>
      </c>
      <c r="BD66" s="4">
        <v>1000</v>
      </c>
      <c r="BE66" s="4" t="s">
        <v>166</v>
      </c>
      <c r="BF66" s="4"/>
      <c r="BG66" s="4"/>
      <c r="BH66" s="105"/>
      <c r="BI66" s="4">
        <v>1611793511</v>
      </c>
      <c r="BJ66" s="105"/>
      <c r="BK66" s="4"/>
      <c r="BL66" s="105"/>
    </row>
    <row r="67" ht="19.95" customHeight="1">
      <c r="A67" s="4">
        <v>171367</v>
      </c>
      <c r="B67" s="4"/>
      <c r="C67" s="55" t="s">
        <v>775</v>
      </c>
      <c r="D67" s="4" t="s">
        <v>776</v>
      </c>
      <c r="E67" s="4" t="s">
        <v>114</v>
      </c>
      <c r="F67" s="55">
        <v>1112816137</v>
      </c>
      <c r="G67" s="4" t="s">
        <v>67</v>
      </c>
      <c r="H67" s="4" t="s">
        <v>68</v>
      </c>
      <c r="I67" s="4" t="s">
        <v>69</v>
      </c>
      <c r="J67" s="55" t="s">
        <v>155</v>
      </c>
      <c r="K67" s="4" t="s">
        <v>71</v>
      </c>
      <c r="L67" s="4" t="s">
        <v>72</v>
      </c>
      <c r="M67" s="4" t="s">
        <v>171</v>
      </c>
      <c r="N67" s="4" t="s">
        <v>74</v>
      </c>
      <c r="O67" s="4" t="s">
        <v>75</v>
      </c>
      <c r="P67" s="4">
        <v>24</v>
      </c>
      <c r="Q67" s="57">
        <v>45353</v>
      </c>
      <c r="R67" s="57">
        <v>45369</v>
      </c>
      <c r="S67" s="113"/>
      <c r="T67" s="113"/>
      <c r="U67" s="4"/>
      <c r="V67" s="4"/>
      <c r="W67" s="105" t="s">
        <v>777</v>
      </c>
      <c r="X67" s="114">
        <v>1735362957</v>
      </c>
      <c r="Y67" s="55">
        <v>1754644878</v>
      </c>
      <c r="Z67" s="4" t="s">
        <v>778</v>
      </c>
      <c r="AA67" s="4">
        <v>1722377590</v>
      </c>
      <c r="AB67" s="4" t="s">
        <v>101</v>
      </c>
      <c r="AC67" s="4" t="s">
        <v>133</v>
      </c>
      <c r="AD67" s="113">
        <v>35775</v>
      </c>
      <c r="AE67" s="107">
        <f t="shared" si="2" ca="1"/>
        <v>27.183561643835617</v>
      </c>
      <c r="AF67" s="4" t="s">
        <v>80</v>
      </c>
      <c r="AG67" s="114">
        <v>2403729649</v>
      </c>
      <c r="AH67" s="4" t="s">
        <v>81</v>
      </c>
      <c r="AI67" s="55" t="s">
        <v>779</v>
      </c>
      <c r="AJ67" s="55" t="s">
        <v>81</v>
      </c>
      <c r="AK67" s="55">
        <v>2022</v>
      </c>
      <c r="AL67" s="4" t="s">
        <v>780</v>
      </c>
      <c r="AM67" s="4" t="s">
        <v>778</v>
      </c>
      <c r="AN67" s="4" t="s">
        <v>781</v>
      </c>
      <c r="AO67" s="4" t="s">
        <v>782</v>
      </c>
      <c r="AP67" s="4" t="s">
        <v>783</v>
      </c>
      <c r="AQ67" s="55" t="s">
        <v>784</v>
      </c>
      <c r="AR67" s="4" t="s">
        <v>110</v>
      </c>
      <c r="AS67" s="4" t="s">
        <v>81</v>
      </c>
      <c r="AT67" s="72" t="s">
        <v>81</v>
      </c>
      <c r="AU67" s="4" t="s">
        <v>81</v>
      </c>
      <c r="AV67" s="4" t="s">
        <v>81</v>
      </c>
      <c r="AW67" s="4" t="s">
        <v>81</v>
      </c>
      <c r="AX67" s="4" t="s">
        <v>81</v>
      </c>
      <c r="AY67" s="4"/>
      <c r="AZ67" s="4"/>
      <c r="BA67" s="4" t="s">
        <v>90</v>
      </c>
      <c r="BB67" s="4">
        <v>10800</v>
      </c>
      <c r="BC67" s="4">
        <v>2700</v>
      </c>
      <c r="BD67" s="4">
        <v>1000</v>
      </c>
      <c r="BE67" s="4" t="s">
        <v>166</v>
      </c>
      <c r="BF67" s="4"/>
      <c r="BG67" s="4"/>
      <c r="BH67" s="105"/>
      <c r="BI67" s="4">
        <v>1754644878</v>
      </c>
      <c r="BJ67" s="105"/>
      <c r="BK67" s="4"/>
      <c r="BL67" s="105"/>
    </row>
    <row r="68" ht="19.95" customHeight="1">
      <c r="A68" s="4">
        <v>171368</v>
      </c>
      <c r="B68" s="4"/>
      <c r="C68" s="55" t="s">
        <v>785</v>
      </c>
      <c r="D68" s="4" t="s">
        <v>786</v>
      </c>
      <c r="E68" s="4" t="s">
        <v>114</v>
      </c>
      <c r="F68" s="55">
        <v>1310438471</v>
      </c>
      <c r="G68" s="4" t="s">
        <v>67</v>
      </c>
      <c r="H68" s="4" t="s">
        <v>68</v>
      </c>
      <c r="I68" s="4" t="s">
        <v>69</v>
      </c>
      <c r="J68" s="55" t="s">
        <v>155</v>
      </c>
      <c r="K68" s="4" t="s">
        <v>71</v>
      </c>
      <c r="L68" s="4" t="s">
        <v>72</v>
      </c>
      <c r="M68" s="4" t="s">
        <v>196</v>
      </c>
      <c r="N68" s="4" t="s">
        <v>74</v>
      </c>
      <c r="O68" s="4" t="s">
        <v>75</v>
      </c>
      <c r="P68" s="4">
        <v>24</v>
      </c>
      <c r="Q68" s="57">
        <v>45353</v>
      </c>
      <c r="R68" s="57">
        <v>45367</v>
      </c>
      <c r="S68" s="113"/>
      <c r="T68" s="113"/>
      <c r="U68" s="4"/>
      <c r="V68" s="4"/>
      <c r="W68" s="105" t="s">
        <v>787</v>
      </c>
      <c r="X68" s="114">
        <v>1622585929</v>
      </c>
      <c r="Y68" s="55">
        <v>1796802256</v>
      </c>
      <c r="Z68" s="4" t="s">
        <v>788</v>
      </c>
      <c r="AA68" s="4">
        <v>1746079086</v>
      </c>
      <c r="AB68" s="4" t="s">
        <v>789</v>
      </c>
      <c r="AC68" s="4" t="s">
        <v>133</v>
      </c>
      <c r="AD68" s="113">
        <v>36161</v>
      </c>
      <c r="AE68" s="107">
        <f t="shared" si="2" ca="1"/>
        <v>26.126027397260273</v>
      </c>
      <c r="AF68" s="4" t="s">
        <v>80</v>
      </c>
      <c r="AG68" s="114">
        <v>3314151196</v>
      </c>
      <c r="AH68" s="4" t="s">
        <v>790</v>
      </c>
      <c r="AI68" s="55" t="s">
        <v>791</v>
      </c>
      <c r="AJ68" s="55" t="s">
        <v>81</v>
      </c>
      <c r="AK68" s="55">
        <v>2021</v>
      </c>
      <c r="AL68" s="4" t="s">
        <v>347</v>
      </c>
      <c r="AM68" s="4" t="s">
        <v>792</v>
      </c>
      <c r="AN68" s="4" t="s">
        <v>788</v>
      </c>
      <c r="AO68" s="4" t="s">
        <v>793</v>
      </c>
      <c r="AP68" s="4" t="s">
        <v>794</v>
      </c>
      <c r="AQ68" s="55" t="s">
        <v>151</v>
      </c>
      <c r="AR68" s="4" t="s">
        <v>110</v>
      </c>
      <c r="AS68" s="4" t="s">
        <v>795</v>
      </c>
      <c r="AT68" s="72" t="s">
        <v>795</v>
      </c>
      <c r="AU68" s="4" t="s">
        <v>81</v>
      </c>
      <c r="AV68" s="4" t="s">
        <v>81</v>
      </c>
      <c r="AW68" s="4" t="s">
        <v>81</v>
      </c>
      <c r="AX68" s="4" t="s">
        <v>81</v>
      </c>
      <c r="AY68" s="4"/>
      <c r="AZ68" s="4"/>
      <c r="BA68" s="4" t="s">
        <v>90</v>
      </c>
      <c r="BB68" s="4">
        <v>10800</v>
      </c>
      <c r="BC68" s="4">
        <v>2700</v>
      </c>
      <c r="BD68" s="4">
        <v>1000</v>
      </c>
      <c r="BE68" s="4" t="s">
        <v>166</v>
      </c>
      <c r="BF68" s="4"/>
      <c r="BG68" s="4"/>
      <c r="BH68" s="105"/>
      <c r="BI68" s="4">
        <v>1796802256</v>
      </c>
      <c r="BJ68" s="105"/>
      <c r="BK68" s="4"/>
      <c r="BL68" s="105"/>
    </row>
    <row r="69" ht="19.95" customHeight="1">
      <c r="A69" s="4">
        <v>171374</v>
      </c>
      <c r="B69" s="4"/>
      <c r="C69" s="55" t="s">
        <v>796</v>
      </c>
      <c r="D69" s="4" t="s">
        <v>797</v>
      </c>
      <c r="E69" s="4" t="s">
        <v>114</v>
      </c>
      <c r="F69" s="55">
        <v>1010801492</v>
      </c>
      <c r="G69" s="4" t="s">
        <v>67</v>
      </c>
      <c r="H69" s="4" t="s">
        <v>68</v>
      </c>
      <c r="I69" s="4" t="s">
        <v>69</v>
      </c>
      <c r="J69" s="55" t="s">
        <v>155</v>
      </c>
      <c r="K69" s="4" t="s">
        <v>71</v>
      </c>
      <c r="L69" s="4" t="s">
        <v>72</v>
      </c>
      <c r="M69" s="4" t="s">
        <v>171</v>
      </c>
      <c r="N69" s="4" t="s">
        <v>74</v>
      </c>
      <c r="O69" s="4" t="s">
        <v>75</v>
      </c>
      <c r="P69" s="4">
        <v>24</v>
      </c>
      <c r="Q69" s="57">
        <v>45353</v>
      </c>
      <c r="R69" s="57">
        <v>45369</v>
      </c>
      <c r="S69" s="113"/>
      <c r="T69" s="113"/>
      <c r="U69" s="4"/>
      <c r="V69" s="4"/>
      <c r="W69" s="105" t="s">
        <v>798</v>
      </c>
      <c r="X69" s="114">
        <v>1724521255</v>
      </c>
      <c r="Y69" s="55"/>
      <c r="Z69" s="4" t="s">
        <v>799</v>
      </c>
      <c r="AA69" s="4">
        <v>1728650410</v>
      </c>
      <c r="AB69" s="4" t="s">
        <v>359</v>
      </c>
      <c r="AC69" s="4" t="s">
        <v>102</v>
      </c>
      <c r="AD69" s="113">
        <v>35545</v>
      </c>
      <c r="AE69" s="107">
        <f t="shared" si="2" ca="1"/>
        <v>27.813698630136987</v>
      </c>
      <c r="AF69" s="4" t="s">
        <v>80</v>
      </c>
      <c r="AG69" s="114">
        <v>6903790423</v>
      </c>
      <c r="AH69" s="4" t="s">
        <v>81</v>
      </c>
      <c r="AI69" s="55" t="s">
        <v>800</v>
      </c>
      <c r="AJ69" s="55" t="s">
        <v>81</v>
      </c>
      <c r="AK69" s="55">
        <v>2021</v>
      </c>
      <c r="AL69" s="4" t="s">
        <v>801</v>
      </c>
      <c r="AM69" s="4" t="s">
        <v>799</v>
      </c>
      <c r="AN69" s="4" t="s">
        <v>802</v>
      </c>
      <c r="AO69" s="4" t="s">
        <v>803</v>
      </c>
      <c r="AP69" s="4" t="s">
        <v>804</v>
      </c>
      <c r="AQ69" s="55" t="s">
        <v>366</v>
      </c>
      <c r="AR69" s="4" t="s">
        <v>110</v>
      </c>
      <c r="AS69" s="4" t="s">
        <v>81</v>
      </c>
      <c r="AT69" s="72" t="s">
        <v>81</v>
      </c>
      <c r="AU69" s="4" t="s">
        <v>81</v>
      </c>
      <c r="AV69" s="4" t="s">
        <v>81</v>
      </c>
      <c r="AW69" s="4" t="s">
        <v>81</v>
      </c>
      <c r="AX69" s="4" t="s">
        <v>81</v>
      </c>
      <c r="AY69" s="4"/>
      <c r="AZ69" s="4"/>
      <c r="BA69" s="4" t="s">
        <v>90</v>
      </c>
      <c r="BB69" s="4">
        <v>10800</v>
      </c>
      <c r="BC69" s="4">
        <v>2700</v>
      </c>
      <c r="BD69" s="4">
        <v>1000</v>
      </c>
      <c r="BE69" s="4" t="s">
        <v>166</v>
      </c>
      <c r="BF69" s="4"/>
      <c r="BG69" s="4"/>
      <c r="BH69" s="105"/>
      <c r="BI69" s="4">
        <v>1724521255</v>
      </c>
      <c r="BJ69" s="105"/>
      <c r="BK69" s="4"/>
      <c r="BL69" s="105"/>
    </row>
    <row r="70" ht="19.95" customHeight="1">
      <c r="A70" s="4">
        <v>171384</v>
      </c>
      <c r="B70" s="4"/>
      <c r="C70" s="55" t="s">
        <v>805</v>
      </c>
      <c r="D70" s="4" t="s">
        <v>806</v>
      </c>
      <c r="E70" s="4" t="s">
        <v>114</v>
      </c>
      <c r="F70" s="55">
        <v>440227</v>
      </c>
      <c r="G70" s="4" t="s">
        <v>67</v>
      </c>
      <c r="H70" s="4" t="s">
        <v>68</v>
      </c>
      <c r="I70" s="4" t="s">
        <v>69</v>
      </c>
      <c r="J70" s="55" t="s">
        <v>155</v>
      </c>
      <c r="K70" s="4" t="s">
        <v>71</v>
      </c>
      <c r="L70" s="4" t="s">
        <v>72</v>
      </c>
      <c r="M70" s="4" t="s">
        <v>156</v>
      </c>
      <c r="N70" s="4" t="s">
        <v>74</v>
      </c>
      <c r="O70" s="4" t="s">
        <v>75</v>
      </c>
      <c r="P70" s="4">
        <v>24</v>
      </c>
      <c r="Q70" s="57">
        <v>45353</v>
      </c>
      <c r="R70" s="57">
        <v>45367</v>
      </c>
      <c r="S70" s="113"/>
      <c r="T70" s="113"/>
      <c r="U70" s="4"/>
      <c r="V70" s="4"/>
      <c r="W70" s="105" t="s">
        <v>807</v>
      </c>
      <c r="X70" s="114">
        <v>1408648899</v>
      </c>
      <c r="Y70" s="55">
        <v>1951866525</v>
      </c>
      <c r="Z70" s="4" t="s">
        <v>808</v>
      </c>
      <c r="AA70" s="4">
        <v>1845054819</v>
      </c>
      <c r="AB70" s="4" t="s">
        <v>132</v>
      </c>
      <c r="AC70" s="4" t="s">
        <v>79</v>
      </c>
      <c r="AD70" s="113">
        <v>35032</v>
      </c>
      <c r="AE70" s="107">
        <f t="shared" si="2" ca="1"/>
        <v>29.21917808219178</v>
      </c>
      <c r="AF70" s="4" t="s">
        <v>80</v>
      </c>
      <c r="AG70" s="114">
        <v>1919977098</v>
      </c>
      <c r="AH70" s="4" t="s">
        <v>81</v>
      </c>
      <c r="AI70" s="55" t="s">
        <v>739</v>
      </c>
      <c r="AJ70" s="55" t="s">
        <v>81</v>
      </c>
      <c r="AK70" s="55">
        <v>2023</v>
      </c>
      <c r="AL70" s="4" t="s">
        <v>809</v>
      </c>
      <c r="AM70" s="4" t="s">
        <v>810</v>
      </c>
      <c r="AN70" s="4" t="s">
        <v>808</v>
      </c>
      <c r="AO70" s="4" t="s">
        <v>811</v>
      </c>
      <c r="AP70" s="4" t="s">
        <v>812</v>
      </c>
      <c r="AQ70" s="55" t="s">
        <v>151</v>
      </c>
      <c r="AR70" s="4" t="s">
        <v>110</v>
      </c>
      <c r="AS70" s="4" t="s">
        <v>81</v>
      </c>
      <c r="AT70" s="72" t="s">
        <v>81</v>
      </c>
      <c r="AU70" s="4" t="s">
        <v>81</v>
      </c>
      <c r="AV70" s="4" t="s">
        <v>81</v>
      </c>
      <c r="AW70" s="4" t="s">
        <v>81</v>
      </c>
      <c r="AX70" s="4" t="s">
        <v>81</v>
      </c>
      <c r="AY70" s="4"/>
      <c r="AZ70" s="4"/>
      <c r="BA70" s="4" t="s">
        <v>90</v>
      </c>
      <c r="BB70" s="4">
        <v>10800</v>
      </c>
      <c r="BC70" s="4">
        <v>2700</v>
      </c>
      <c r="BD70" s="4">
        <v>1000</v>
      </c>
      <c r="BE70" s="4" t="s">
        <v>166</v>
      </c>
      <c r="BF70" s="4"/>
      <c r="BG70" s="4"/>
      <c r="BH70" s="105"/>
      <c r="BI70" s="4">
        <v>1408648899</v>
      </c>
      <c r="BJ70" s="105"/>
      <c r="BK70" s="4"/>
      <c r="BL70" s="105"/>
    </row>
    <row r="71" ht="19.95" customHeight="1">
      <c r="A71" s="4">
        <v>171387</v>
      </c>
      <c r="B71" s="4"/>
      <c r="C71" s="55" t="s">
        <v>813</v>
      </c>
      <c r="D71" s="4" t="s">
        <v>814</v>
      </c>
      <c r="E71" s="4" t="s">
        <v>114</v>
      </c>
      <c r="F71" s="55">
        <v>1310295823</v>
      </c>
      <c r="G71" s="4" t="s">
        <v>67</v>
      </c>
      <c r="H71" s="4" t="s">
        <v>68</v>
      </c>
      <c r="I71" s="4" t="s">
        <v>69</v>
      </c>
      <c r="J71" s="55" t="s">
        <v>155</v>
      </c>
      <c r="K71" s="4" t="s">
        <v>71</v>
      </c>
      <c r="L71" s="4" t="s">
        <v>72</v>
      </c>
      <c r="M71" s="4" t="s">
        <v>196</v>
      </c>
      <c r="N71" s="4" t="s">
        <v>74</v>
      </c>
      <c r="O71" s="4" t="s">
        <v>75</v>
      </c>
      <c r="P71" s="4">
        <v>24</v>
      </c>
      <c r="Q71" s="57">
        <v>45353</v>
      </c>
      <c r="R71" s="57">
        <v>45367</v>
      </c>
      <c r="S71" s="113"/>
      <c r="T71" s="113"/>
      <c r="U71" s="4"/>
      <c r="V71" s="4"/>
      <c r="W71" s="105" t="s">
        <v>815</v>
      </c>
      <c r="X71" s="114">
        <v>1760059260</v>
      </c>
      <c r="Y71" s="55">
        <v>1307990308</v>
      </c>
      <c r="Z71" s="4" t="s">
        <v>816</v>
      </c>
      <c r="AA71" s="4">
        <v>171059628</v>
      </c>
      <c r="AB71" s="4" t="s">
        <v>252</v>
      </c>
      <c r="AC71" s="4" t="s">
        <v>102</v>
      </c>
      <c r="AD71" s="113">
        <v>36534</v>
      </c>
      <c r="AE71" s="107">
        <f t="shared" si="2" ca="1"/>
        <v>25.104109589041094</v>
      </c>
      <c r="AF71" s="4" t="s">
        <v>80</v>
      </c>
      <c r="AG71" s="114">
        <v>1961309356</v>
      </c>
      <c r="AH71" s="4" t="s">
        <v>81</v>
      </c>
      <c r="AI71" s="55" t="s">
        <v>817</v>
      </c>
      <c r="AJ71" s="55" t="s">
        <v>81</v>
      </c>
      <c r="AK71" s="55">
        <v>2023</v>
      </c>
      <c r="AL71" s="4" t="s">
        <v>818</v>
      </c>
      <c r="AM71" s="4" t="s">
        <v>819</v>
      </c>
      <c r="AN71" s="4" t="s">
        <v>820</v>
      </c>
      <c r="AO71" s="4" t="s">
        <v>821</v>
      </c>
      <c r="AP71" s="4" t="s">
        <v>822</v>
      </c>
      <c r="AQ71" s="55" t="s">
        <v>285</v>
      </c>
      <c r="AR71" s="4" t="s">
        <v>110</v>
      </c>
      <c r="AS71" s="4" t="s">
        <v>81</v>
      </c>
      <c r="AT71" s="72" t="s">
        <v>81</v>
      </c>
      <c r="AU71" s="4" t="s">
        <v>81</v>
      </c>
      <c r="AV71" s="4" t="s">
        <v>81</v>
      </c>
      <c r="AW71" s="4" t="s">
        <v>81</v>
      </c>
      <c r="AX71" s="4" t="s">
        <v>81</v>
      </c>
      <c r="AY71" s="4"/>
      <c r="AZ71" s="4"/>
      <c r="BA71" s="4" t="s">
        <v>90</v>
      </c>
      <c r="BB71" s="4">
        <v>10800</v>
      </c>
      <c r="BC71" s="4">
        <v>2700</v>
      </c>
      <c r="BD71" s="4">
        <v>1000</v>
      </c>
      <c r="BE71" s="4" t="s">
        <v>166</v>
      </c>
      <c r="BF71" s="4"/>
      <c r="BG71" s="4"/>
      <c r="BH71" s="105"/>
      <c r="BI71" s="4">
        <v>1307990307</v>
      </c>
      <c r="BJ71" s="105"/>
      <c r="BK71" s="4"/>
      <c r="BL71" s="105"/>
    </row>
    <row r="72" ht="19.95" customHeight="1">
      <c r="A72" s="4">
        <v>171390</v>
      </c>
      <c r="B72" s="4"/>
      <c r="C72" s="55" t="s">
        <v>823</v>
      </c>
      <c r="D72" s="4" t="s">
        <v>824</v>
      </c>
      <c r="E72" s="4" t="s">
        <v>66</v>
      </c>
      <c r="F72" s="55"/>
      <c r="G72" s="4" t="s">
        <v>67</v>
      </c>
      <c r="H72" s="4" t="s">
        <v>68</v>
      </c>
      <c r="I72" s="4" t="s">
        <v>69</v>
      </c>
      <c r="J72" s="55" t="s">
        <v>297</v>
      </c>
      <c r="K72" s="4" t="s">
        <v>71</v>
      </c>
      <c r="L72" s="4" t="s">
        <v>72</v>
      </c>
      <c r="M72" s="4" t="s">
        <v>115</v>
      </c>
      <c r="N72" s="4" t="s">
        <v>74</v>
      </c>
      <c r="O72" s="4" t="s">
        <v>75</v>
      </c>
      <c r="P72" s="4">
        <v>25</v>
      </c>
      <c r="Q72" s="57">
        <v>45371</v>
      </c>
      <c r="R72" s="57">
        <v>45384</v>
      </c>
      <c r="S72" s="113"/>
      <c r="T72" s="113"/>
      <c r="U72" s="4"/>
      <c r="V72" s="4"/>
      <c r="W72" s="105" t="s">
        <v>825</v>
      </c>
      <c r="X72" s="114">
        <v>19636398060</v>
      </c>
      <c r="Y72" s="55">
        <v>1885673826</v>
      </c>
      <c r="Z72" s="4" t="s">
        <v>826</v>
      </c>
      <c r="AA72" s="4">
        <v>1885673826</v>
      </c>
      <c r="AB72" s="4" t="s">
        <v>78</v>
      </c>
      <c r="AC72" s="4" t="s">
        <v>133</v>
      </c>
      <c r="AD72" s="113">
        <v>35743</v>
      </c>
      <c r="AE72" s="107">
        <f t="shared" si="2" ca="1"/>
        <v>27.27123287671233</v>
      </c>
      <c r="AF72" s="4" t="s">
        <v>80</v>
      </c>
      <c r="AG72" s="114">
        <v>6002883665</v>
      </c>
      <c r="AH72" s="4" t="s">
        <v>81</v>
      </c>
      <c r="AI72" s="55" t="s">
        <v>723</v>
      </c>
      <c r="AJ72" s="55" t="s">
        <v>81</v>
      </c>
      <c r="AK72" s="55">
        <v>2020</v>
      </c>
      <c r="AL72" s="4" t="s">
        <v>827</v>
      </c>
      <c r="AM72" s="4" t="s">
        <v>828</v>
      </c>
      <c r="AN72" s="4" t="s">
        <v>829</v>
      </c>
      <c r="AO72" s="4" t="s">
        <v>830</v>
      </c>
      <c r="AP72" s="4" t="s">
        <v>831</v>
      </c>
      <c r="AQ72" s="55" t="s">
        <v>832</v>
      </c>
      <c r="AR72" s="4" t="s">
        <v>89</v>
      </c>
      <c r="AS72" s="4" t="s">
        <v>833</v>
      </c>
      <c r="AT72" s="72">
        <v>34820</v>
      </c>
      <c r="AU72" s="4" t="s">
        <v>81</v>
      </c>
      <c r="AV72" s="4" t="s">
        <v>81</v>
      </c>
      <c r="AW72" s="4" t="s">
        <v>81</v>
      </c>
      <c r="AX72" s="4" t="s">
        <v>81</v>
      </c>
      <c r="AY72" s="4"/>
      <c r="AZ72" s="4"/>
      <c r="BA72" s="4" t="s">
        <v>90</v>
      </c>
      <c r="BB72" s="4">
        <v>10800</v>
      </c>
      <c r="BC72" s="4">
        <v>2700</v>
      </c>
      <c r="BD72" s="4">
        <v>0</v>
      </c>
      <c r="BE72" s="4" t="s">
        <v>91</v>
      </c>
      <c r="BF72" s="4"/>
      <c r="BG72" s="4"/>
      <c r="BH72" s="105"/>
      <c r="BI72" s="105"/>
      <c r="BJ72" s="105"/>
      <c r="BK72" s="4"/>
      <c r="BL72" s="105"/>
    </row>
    <row r="73" ht="19.95" customHeight="1">
      <c r="A73" s="4">
        <v>171392</v>
      </c>
      <c r="B73" s="4"/>
      <c r="C73" s="55" t="s">
        <v>834</v>
      </c>
      <c r="D73" s="4" t="s">
        <v>835</v>
      </c>
      <c r="E73" s="4" t="s">
        <v>66</v>
      </c>
      <c r="F73" s="55"/>
      <c r="G73" s="4" t="s">
        <v>67</v>
      </c>
      <c r="H73" s="4" t="s">
        <v>68</v>
      </c>
      <c r="I73" s="4" t="s">
        <v>69</v>
      </c>
      <c r="J73" s="55" t="s">
        <v>307</v>
      </c>
      <c r="K73" s="4" t="s">
        <v>71</v>
      </c>
      <c r="L73" s="4" t="s">
        <v>72</v>
      </c>
      <c r="M73" s="4" t="s">
        <v>458</v>
      </c>
      <c r="N73" s="4" t="s">
        <v>74</v>
      </c>
      <c r="O73" s="4" t="s">
        <v>75</v>
      </c>
      <c r="P73" s="4">
        <v>25</v>
      </c>
      <c r="Q73" s="57">
        <v>45371</v>
      </c>
      <c r="R73" s="57">
        <v>45384</v>
      </c>
      <c r="S73" s="113"/>
      <c r="T73" s="113"/>
      <c r="U73" s="4"/>
      <c r="V73" s="4"/>
      <c r="W73" s="105" t="s">
        <v>81</v>
      </c>
      <c r="X73" s="114">
        <v>1797060969</v>
      </c>
      <c r="Y73" s="55">
        <v>1704778875</v>
      </c>
      <c r="Z73" s="4" t="s">
        <v>836</v>
      </c>
      <c r="AA73" s="4">
        <v>1704778875</v>
      </c>
      <c r="AB73" s="4" t="s">
        <v>252</v>
      </c>
      <c r="AC73" s="4" t="s">
        <v>133</v>
      </c>
      <c r="AD73" s="113">
        <v>32241</v>
      </c>
      <c r="AE73" s="107">
        <f t="shared" si="2" ca="1"/>
        <v>36.865753424657534</v>
      </c>
      <c r="AF73" s="4" t="s">
        <v>80</v>
      </c>
      <c r="AG73" s="114">
        <v>7795085849</v>
      </c>
      <c r="AH73" s="4" t="s">
        <v>81</v>
      </c>
      <c r="AI73" s="55" t="s">
        <v>347</v>
      </c>
      <c r="AJ73" s="55" t="s">
        <v>81</v>
      </c>
      <c r="AK73" s="55">
        <v>2010</v>
      </c>
      <c r="AL73" s="4" t="s">
        <v>837</v>
      </c>
      <c r="AM73" s="4" t="s">
        <v>838</v>
      </c>
      <c r="AN73" s="4" t="s">
        <v>839</v>
      </c>
      <c r="AO73" s="4" t="s">
        <v>840</v>
      </c>
      <c r="AP73" s="4" t="s">
        <v>841</v>
      </c>
      <c r="AQ73" s="55" t="s">
        <v>842</v>
      </c>
      <c r="AR73" s="4" t="s">
        <v>110</v>
      </c>
      <c r="AS73" s="4" t="s">
        <v>81</v>
      </c>
      <c r="AT73" s="72" t="s">
        <v>81</v>
      </c>
      <c r="AU73" s="4" t="s">
        <v>81</v>
      </c>
      <c r="AV73" s="4" t="s">
        <v>81</v>
      </c>
      <c r="AW73" s="4" t="s">
        <v>81</v>
      </c>
      <c r="AX73" s="4" t="s">
        <v>81</v>
      </c>
      <c r="AY73" s="4"/>
      <c r="AZ73" s="4"/>
      <c r="BA73" s="4" t="s">
        <v>90</v>
      </c>
      <c r="BB73" s="4">
        <v>10800</v>
      </c>
      <c r="BC73" s="4">
        <v>2700</v>
      </c>
      <c r="BD73" s="4">
        <v>0</v>
      </c>
      <c r="BE73" s="4" t="s">
        <v>91</v>
      </c>
      <c r="BF73" s="4"/>
      <c r="BG73" s="4"/>
      <c r="BH73" s="105"/>
      <c r="BI73" s="105"/>
      <c r="BJ73" s="105"/>
      <c r="BK73" s="4"/>
      <c r="BL73" s="105"/>
    </row>
    <row r="74" ht="19.95" customHeight="1">
      <c r="A74" s="4">
        <v>171409</v>
      </c>
      <c r="B74" s="4"/>
      <c r="C74" s="55" t="s">
        <v>843</v>
      </c>
      <c r="D74" s="4" t="s">
        <v>844</v>
      </c>
      <c r="E74" s="4" t="s">
        <v>66</v>
      </c>
      <c r="F74" s="55">
        <v>436447</v>
      </c>
      <c r="G74" s="4" t="s">
        <v>67</v>
      </c>
      <c r="H74" s="4" t="s">
        <v>68</v>
      </c>
      <c r="I74" s="4" t="s">
        <v>69</v>
      </c>
      <c r="J74" s="55" t="s">
        <v>297</v>
      </c>
      <c r="K74" s="4" t="s">
        <v>71</v>
      </c>
      <c r="L74" s="4" t="s">
        <v>72</v>
      </c>
      <c r="M74" s="4" t="s">
        <v>287</v>
      </c>
      <c r="N74" s="4" t="s">
        <v>74</v>
      </c>
      <c r="O74" s="4" t="s">
        <v>75</v>
      </c>
      <c r="P74" s="4">
        <v>26</v>
      </c>
      <c r="Q74" s="57">
        <v>45397</v>
      </c>
      <c r="R74" s="57">
        <v>45405</v>
      </c>
      <c r="S74" s="113"/>
      <c r="T74" s="113"/>
      <c r="U74" s="4"/>
      <c r="V74" s="4"/>
      <c r="W74" s="105" t="s">
        <v>845</v>
      </c>
      <c r="X74" s="114">
        <v>1771523027</v>
      </c>
      <c r="Y74" s="55">
        <v>1771523027</v>
      </c>
      <c r="Z74" s="4" t="s">
        <v>846</v>
      </c>
      <c r="AA74" s="4">
        <v>1521444218</v>
      </c>
      <c r="AB74" s="4" t="s">
        <v>78</v>
      </c>
      <c r="AC74" s="4" t="s">
        <v>133</v>
      </c>
      <c r="AD74" s="113">
        <v>34791</v>
      </c>
      <c r="AE74" s="107">
        <f t="shared" si="2" ca="1"/>
        <v>29.87945205479452</v>
      </c>
      <c r="AF74" s="4" t="s">
        <v>360</v>
      </c>
      <c r="AG74" s="114">
        <v>9139055249</v>
      </c>
      <c r="AH74" s="4" t="s">
        <v>81</v>
      </c>
      <c r="AI74" s="55" t="s">
        <v>847</v>
      </c>
      <c r="AJ74" s="55" t="s">
        <v>81</v>
      </c>
      <c r="AK74" s="55">
        <v>2017</v>
      </c>
      <c r="AL74" s="4" t="s">
        <v>848</v>
      </c>
      <c r="AM74" s="4" t="s">
        <v>849</v>
      </c>
      <c r="AN74" s="4" t="s">
        <v>850</v>
      </c>
      <c r="AO74" s="4" t="s">
        <v>851</v>
      </c>
      <c r="AP74" s="4" t="s">
        <v>852</v>
      </c>
      <c r="AQ74" s="55" t="s">
        <v>853</v>
      </c>
      <c r="AR74" s="4" t="s">
        <v>89</v>
      </c>
      <c r="AS74" s="4" t="s">
        <v>846</v>
      </c>
      <c r="AT74" s="72">
        <v>35354</v>
      </c>
      <c r="AU74" s="4" t="s">
        <v>81</v>
      </c>
      <c r="AV74" s="4" t="s">
        <v>81</v>
      </c>
      <c r="AW74" s="4" t="s">
        <v>81</v>
      </c>
      <c r="AX74" s="4" t="s">
        <v>81</v>
      </c>
      <c r="AY74" s="4" t="s">
        <v>81</v>
      </c>
      <c r="AZ74" s="4" t="s">
        <v>81</v>
      </c>
      <c r="BA74" s="4" t="s">
        <v>90</v>
      </c>
      <c r="BB74" s="4">
        <v>10800</v>
      </c>
      <c r="BC74" s="4">
        <v>2700</v>
      </c>
      <c r="BD74" s="4">
        <v>0</v>
      </c>
      <c r="BE74" s="4" t="s">
        <v>91</v>
      </c>
      <c r="BF74" s="4"/>
      <c r="BG74" s="4"/>
      <c r="BH74" s="105"/>
      <c r="BI74" s="105"/>
      <c r="BJ74" s="105"/>
      <c r="BK74" s="4"/>
      <c r="BL74" s="105"/>
    </row>
    <row r="75" ht="19.95" customHeight="1">
      <c r="A75" s="4">
        <v>171410</v>
      </c>
      <c r="B75" s="4"/>
      <c r="C75" s="55" t="s">
        <v>854</v>
      </c>
      <c r="D75" s="4" t="s">
        <v>855</v>
      </c>
      <c r="E75" s="4" t="s">
        <v>66</v>
      </c>
      <c r="F75" s="55">
        <v>1117626213</v>
      </c>
      <c r="G75" s="4" t="s">
        <v>67</v>
      </c>
      <c r="H75" s="4" t="s">
        <v>68</v>
      </c>
      <c r="I75" s="4" t="s">
        <v>69</v>
      </c>
      <c r="J75" s="55" t="s">
        <v>297</v>
      </c>
      <c r="K75" s="4" t="s">
        <v>71</v>
      </c>
      <c r="L75" s="4" t="s">
        <v>72</v>
      </c>
      <c r="M75" s="4" t="s">
        <v>115</v>
      </c>
      <c r="N75" s="4" t="s">
        <v>74</v>
      </c>
      <c r="O75" s="4" t="s">
        <v>75</v>
      </c>
      <c r="P75" s="4">
        <v>26</v>
      </c>
      <c r="Q75" s="57">
        <v>45397</v>
      </c>
      <c r="R75" s="57">
        <v>45405</v>
      </c>
      <c r="S75" s="113"/>
      <c r="T75" s="113"/>
      <c r="U75" s="4"/>
      <c r="V75" s="4"/>
      <c r="W75" s="105" t="s">
        <v>856</v>
      </c>
      <c r="X75" s="114">
        <v>1521463212</v>
      </c>
      <c r="Y75" s="55"/>
      <c r="Z75" s="4" t="s">
        <v>857</v>
      </c>
      <c r="AA75" s="4">
        <v>1723729402</v>
      </c>
      <c r="AB75" s="4" t="s">
        <v>78</v>
      </c>
      <c r="AC75" s="4" t="s">
        <v>119</v>
      </c>
      <c r="AD75" s="113">
        <v>36285</v>
      </c>
      <c r="AE75" s="107">
        <f t="shared" si="2" ca="1"/>
        <v>25.786301369863015</v>
      </c>
      <c r="AF75" s="4" t="s">
        <v>80</v>
      </c>
      <c r="AG75" s="114">
        <v>1504385129</v>
      </c>
      <c r="AH75" s="4" t="s">
        <v>81</v>
      </c>
      <c r="AI75" s="55" t="s">
        <v>723</v>
      </c>
      <c r="AJ75" s="55" t="s">
        <v>81</v>
      </c>
      <c r="AK75" s="55">
        <v>2021</v>
      </c>
      <c r="AL75" s="4" t="s">
        <v>858</v>
      </c>
      <c r="AM75" s="4" t="s">
        <v>859</v>
      </c>
      <c r="AN75" s="4" t="s">
        <v>860</v>
      </c>
      <c r="AO75" s="4" t="s">
        <v>861</v>
      </c>
      <c r="AP75" s="4" t="s">
        <v>862</v>
      </c>
      <c r="AQ75" s="55" t="s">
        <v>863</v>
      </c>
      <c r="AR75" s="4" t="s">
        <v>89</v>
      </c>
      <c r="AS75" s="4" t="s">
        <v>857</v>
      </c>
      <c r="AT75" s="72">
        <v>34332</v>
      </c>
      <c r="AU75" s="4" t="s">
        <v>81</v>
      </c>
      <c r="AV75" s="4" t="s">
        <v>81</v>
      </c>
      <c r="AW75" s="4" t="s">
        <v>81</v>
      </c>
      <c r="AX75" s="4" t="s">
        <v>81</v>
      </c>
      <c r="AY75" s="4" t="s">
        <v>81</v>
      </c>
      <c r="AZ75" s="4" t="s">
        <v>81</v>
      </c>
      <c r="BA75" s="4" t="s">
        <v>90</v>
      </c>
      <c r="BB75" s="4">
        <v>10800</v>
      </c>
      <c r="BC75" s="4">
        <v>2700</v>
      </c>
      <c r="BD75" s="4">
        <v>0</v>
      </c>
      <c r="BE75" s="4" t="s">
        <v>91</v>
      </c>
      <c r="BF75" s="4"/>
      <c r="BG75" s="4"/>
      <c r="BH75" s="105"/>
      <c r="BI75" s="105"/>
      <c r="BJ75" s="105"/>
      <c r="BK75" s="4"/>
      <c r="BL75" s="105"/>
    </row>
    <row r="76" ht="19.95" customHeight="1">
      <c r="A76" s="4">
        <v>171411</v>
      </c>
      <c r="B76" s="4"/>
      <c r="C76" s="55" t="s">
        <v>864</v>
      </c>
      <c r="D76" s="4" t="s">
        <v>865</v>
      </c>
      <c r="E76" s="4" t="s">
        <v>66</v>
      </c>
      <c r="F76" s="55">
        <v>526594</v>
      </c>
      <c r="G76" s="4" t="s">
        <v>67</v>
      </c>
      <c r="H76" s="4" t="s">
        <v>68</v>
      </c>
      <c r="I76" s="4" t="s">
        <v>69</v>
      </c>
      <c r="J76" s="55" t="s">
        <v>297</v>
      </c>
      <c r="K76" s="4" t="s">
        <v>71</v>
      </c>
      <c r="L76" s="4" t="s">
        <v>72</v>
      </c>
      <c r="M76" s="4" t="s">
        <v>287</v>
      </c>
      <c r="N76" s="4" t="s">
        <v>74</v>
      </c>
      <c r="O76" s="4" t="s">
        <v>75</v>
      </c>
      <c r="P76" s="4">
        <v>26</v>
      </c>
      <c r="Q76" s="57">
        <v>45397</v>
      </c>
      <c r="R76" s="57">
        <v>45405</v>
      </c>
      <c r="S76" s="113"/>
      <c r="T76" s="113"/>
      <c r="U76" s="4"/>
      <c r="V76" s="4"/>
      <c r="W76" s="105" t="s">
        <v>866</v>
      </c>
      <c r="X76" s="114">
        <v>1924440638</v>
      </c>
      <c r="Y76" s="55"/>
      <c r="Z76" s="4" t="s">
        <v>867</v>
      </c>
      <c r="AA76" s="4">
        <v>1763297995</v>
      </c>
      <c r="AB76" s="4" t="s">
        <v>118</v>
      </c>
      <c r="AC76" s="4" t="s">
        <v>79</v>
      </c>
      <c r="AD76" s="113">
        <v>35072</v>
      </c>
      <c r="AE76" s="107">
        <f t="shared" si="2" ca="1"/>
        <v>29.10958904109589</v>
      </c>
      <c r="AF76" s="4" t="s">
        <v>80</v>
      </c>
      <c r="AG76" s="114">
        <v>7796202252</v>
      </c>
      <c r="AH76" s="4" t="s">
        <v>868</v>
      </c>
      <c r="AI76" s="55" t="s">
        <v>333</v>
      </c>
      <c r="AJ76" s="55" t="s">
        <v>81</v>
      </c>
      <c r="AK76" s="55">
        <v>2019</v>
      </c>
      <c r="AL76" s="4" t="s">
        <v>209</v>
      </c>
      <c r="AM76" s="4" t="s">
        <v>869</v>
      </c>
      <c r="AN76" s="4" t="s">
        <v>870</v>
      </c>
      <c r="AO76" s="4" t="s">
        <v>871</v>
      </c>
      <c r="AP76" s="4" t="s">
        <v>872</v>
      </c>
      <c r="AQ76" s="55" t="s">
        <v>88</v>
      </c>
      <c r="AR76" s="4" t="s">
        <v>110</v>
      </c>
      <c r="AS76" s="4" t="s">
        <v>81</v>
      </c>
      <c r="AT76" s="72" t="s">
        <v>81</v>
      </c>
      <c r="AU76" s="4" t="s">
        <v>81</v>
      </c>
      <c r="AV76" s="4" t="s">
        <v>81</v>
      </c>
      <c r="AW76" s="4" t="s">
        <v>81</v>
      </c>
      <c r="AX76" s="4" t="s">
        <v>81</v>
      </c>
      <c r="AY76" s="4" t="s">
        <v>81</v>
      </c>
      <c r="AZ76" s="4" t="s">
        <v>81</v>
      </c>
      <c r="BA76" s="4" t="s">
        <v>90</v>
      </c>
      <c r="BB76" s="4">
        <v>10800</v>
      </c>
      <c r="BC76" s="4">
        <v>2700</v>
      </c>
      <c r="BD76" s="4">
        <v>0</v>
      </c>
      <c r="BE76" s="4" t="s">
        <v>91</v>
      </c>
      <c r="BF76" s="4"/>
      <c r="BG76" s="4"/>
      <c r="BH76" s="105"/>
      <c r="BI76" s="105"/>
      <c r="BJ76" s="105"/>
      <c r="BK76" s="4"/>
      <c r="BL76" s="105"/>
    </row>
    <row r="77" ht="19.95" customHeight="1">
      <c r="A77" s="4">
        <v>171412</v>
      </c>
      <c r="B77" s="4"/>
      <c r="C77" s="55" t="s">
        <v>873</v>
      </c>
      <c r="D77" s="4" t="s">
        <v>874</v>
      </c>
      <c r="E77" s="4" t="s">
        <v>66</v>
      </c>
      <c r="F77" s="55">
        <v>785276</v>
      </c>
      <c r="G77" s="4" t="s">
        <v>67</v>
      </c>
      <c r="H77" s="4" t="s">
        <v>68</v>
      </c>
      <c r="I77" s="4" t="s">
        <v>69</v>
      </c>
      <c r="J77" s="55" t="s">
        <v>297</v>
      </c>
      <c r="K77" s="4" t="s">
        <v>71</v>
      </c>
      <c r="L77" s="4" t="s">
        <v>72</v>
      </c>
      <c r="M77" s="4" t="s">
        <v>287</v>
      </c>
      <c r="N77" s="4" t="s">
        <v>74</v>
      </c>
      <c r="O77" s="4" t="s">
        <v>75</v>
      </c>
      <c r="P77" s="4">
        <v>26</v>
      </c>
      <c r="Q77" s="57">
        <v>45397</v>
      </c>
      <c r="R77" s="57">
        <v>45405</v>
      </c>
      <c r="S77" s="113"/>
      <c r="T77" s="113"/>
      <c r="U77" s="4"/>
      <c r="V77" s="4"/>
      <c r="W77" s="105" t="s">
        <v>875</v>
      </c>
      <c r="X77" s="114">
        <v>1727462231</v>
      </c>
      <c r="Y77" s="55"/>
      <c r="Z77" s="4" t="s">
        <v>876</v>
      </c>
      <c r="AA77" s="4">
        <v>1720264473</v>
      </c>
      <c r="AB77" s="4" t="s">
        <v>101</v>
      </c>
      <c r="AC77" s="4" t="s">
        <v>79</v>
      </c>
      <c r="AD77" s="113">
        <v>34858</v>
      </c>
      <c r="AE77" s="107">
        <f t="shared" si="2" ca="1"/>
        <v>29.695890410958903</v>
      </c>
      <c r="AF77" s="4" t="s">
        <v>80</v>
      </c>
      <c r="AG77" s="114">
        <v>4643081856</v>
      </c>
      <c r="AH77" s="4" t="s">
        <v>81</v>
      </c>
      <c r="AI77" s="55" t="s">
        <v>347</v>
      </c>
      <c r="AJ77" s="55" t="s">
        <v>81</v>
      </c>
      <c r="AK77" s="55">
        <v>2020</v>
      </c>
      <c r="AL77" s="4" t="s">
        <v>83</v>
      </c>
      <c r="AM77" s="4" t="s">
        <v>876</v>
      </c>
      <c r="AN77" s="4" t="s">
        <v>877</v>
      </c>
      <c r="AO77" s="4" t="s">
        <v>878</v>
      </c>
      <c r="AP77" s="4" t="s">
        <v>879</v>
      </c>
      <c r="AQ77" s="55" t="s">
        <v>880</v>
      </c>
      <c r="AR77" s="4" t="s">
        <v>110</v>
      </c>
      <c r="AS77" s="4" t="s">
        <v>81</v>
      </c>
      <c r="AT77" s="72" t="s">
        <v>81</v>
      </c>
      <c r="AU77" s="4" t="s">
        <v>81</v>
      </c>
      <c r="AV77" s="4" t="s">
        <v>81</v>
      </c>
      <c r="AW77" s="4" t="s">
        <v>81</v>
      </c>
      <c r="AX77" s="4" t="s">
        <v>81</v>
      </c>
      <c r="AY77" s="4" t="s">
        <v>81</v>
      </c>
      <c r="AZ77" s="4" t="s">
        <v>81</v>
      </c>
      <c r="BA77" s="4" t="s">
        <v>90</v>
      </c>
      <c r="BB77" s="4">
        <v>10800</v>
      </c>
      <c r="BC77" s="4">
        <v>2700</v>
      </c>
      <c r="BD77" s="4">
        <v>0</v>
      </c>
      <c r="BE77" s="4" t="s">
        <v>91</v>
      </c>
      <c r="BF77" s="4"/>
      <c r="BG77" s="4"/>
      <c r="BH77" s="105"/>
      <c r="BI77" s="105"/>
      <c r="BJ77" s="105"/>
      <c r="BK77" s="4"/>
      <c r="BL77" s="105"/>
    </row>
    <row r="78" ht="19.95" customHeight="1">
      <c r="A78" s="4">
        <v>171417</v>
      </c>
      <c r="B78" s="4"/>
      <c r="C78" s="55" t="s">
        <v>881</v>
      </c>
      <c r="D78" s="4" t="s">
        <v>882</v>
      </c>
      <c r="E78" s="4" t="s">
        <v>66</v>
      </c>
      <c r="F78" s="55">
        <v>1110492986</v>
      </c>
      <c r="G78" s="4" t="s">
        <v>67</v>
      </c>
      <c r="H78" s="4" t="s">
        <v>68</v>
      </c>
      <c r="I78" s="4" t="s">
        <v>69</v>
      </c>
      <c r="J78" s="55" t="s">
        <v>307</v>
      </c>
      <c r="K78" s="4" t="s">
        <v>71</v>
      </c>
      <c r="L78" s="4" t="s">
        <v>72</v>
      </c>
      <c r="M78" s="4" t="s">
        <v>458</v>
      </c>
      <c r="N78" s="4" t="s">
        <v>74</v>
      </c>
      <c r="O78" s="4" t="s">
        <v>75</v>
      </c>
      <c r="P78" s="4">
        <v>26</v>
      </c>
      <c r="Q78" s="57">
        <v>45397</v>
      </c>
      <c r="R78" s="57">
        <v>45405</v>
      </c>
      <c r="S78" s="113"/>
      <c r="T78" s="113"/>
      <c r="U78" s="4"/>
      <c r="V78" s="4"/>
      <c r="W78" s="105" t="s">
        <v>883</v>
      </c>
      <c r="X78" s="114">
        <v>1758892823</v>
      </c>
      <c r="Y78" s="55"/>
      <c r="Z78" s="4" t="s">
        <v>884</v>
      </c>
      <c r="AA78" s="4">
        <v>1648431839</v>
      </c>
      <c r="AB78" s="4" t="s">
        <v>252</v>
      </c>
      <c r="AC78" s="4" t="s">
        <v>119</v>
      </c>
      <c r="AD78" s="113">
        <v>36125</v>
      </c>
      <c r="AE78" s="107">
        <f t="shared" si="2" ca="1"/>
        <v>26.224657534246575</v>
      </c>
      <c r="AF78" s="4" t="s">
        <v>80</v>
      </c>
      <c r="AG78" s="114">
        <v>6458488688</v>
      </c>
      <c r="AH78" s="4" t="s">
        <v>885</v>
      </c>
      <c r="AI78" s="55" t="s">
        <v>886</v>
      </c>
      <c r="AJ78" s="55" t="s">
        <v>81</v>
      </c>
      <c r="AK78" s="55">
        <v>2023</v>
      </c>
      <c r="AL78" s="4" t="s">
        <v>887</v>
      </c>
      <c r="AM78" s="4" t="s">
        <v>884</v>
      </c>
      <c r="AN78" s="4" t="s">
        <v>888</v>
      </c>
      <c r="AO78" s="4" t="s">
        <v>889</v>
      </c>
      <c r="AP78" s="4" t="s">
        <v>890</v>
      </c>
      <c r="AQ78" s="55" t="s">
        <v>88</v>
      </c>
      <c r="AR78" s="4" t="s">
        <v>110</v>
      </c>
      <c r="AS78" s="4" t="s">
        <v>81</v>
      </c>
      <c r="AT78" s="72" t="s">
        <v>81</v>
      </c>
      <c r="AU78" s="4" t="s">
        <v>81</v>
      </c>
      <c r="AV78" s="4" t="s">
        <v>81</v>
      </c>
      <c r="AW78" s="4" t="s">
        <v>81</v>
      </c>
      <c r="AX78" s="4" t="s">
        <v>81</v>
      </c>
      <c r="AY78" s="4" t="s">
        <v>81</v>
      </c>
      <c r="AZ78" s="4" t="s">
        <v>81</v>
      </c>
      <c r="BA78" s="4" t="s">
        <v>90</v>
      </c>
      <c r="BB78" s="4">
        <v>10800</v>
      </c>
      <c r="BC78" s="4">
        <v>2700</v>
      </c>
      <c r="BD78" s="4">
        <v>0</v>
      </c>
      <c r="BE78" s="4" t="s">
        <v>91</v>
      </c>
      <c r="BF78" s="4"/>
      <c r="BG78" s="4"/>
      <c r="BH78" s="105"/>
      <c r="BI78" s="105"/>
      <c r="BJ78" s="105"/>
      <c r="BK78" s="4"/>
      <c r="BL78" s="105"/>
    </row>
    <row r="79" ht="19.95" customHeight="1">
      <c r="A79" s="4">
        <v>171418</v>
      </c>
      <c r="B79" s="4"/>
      <c r="C79" s="55" t="s">
        <v>891</v>
      </c>
      <c r="D79" s="4" t="s">
        <v>892</v>
      </c>
      <c r="E79" s="4" t="s">
        <v>66</v>
      </c>
      <c r="F79" s="55">
        <v>920583</v>
      </c>
      <c r="G79" s="4" t="s">
        <v>67</v>
      </c>
      <c r="H79" s="4" t="s">
        <v>68</v>
      </c>
      <c r="I79" s="4" t="s">
        <v>69</v>
      </c>
      <c r="J79" s="55" t="s">
        <v>341</v>
      </c>
      <c r="K79" s="4" t="s">
        <v>71</v>
      </c>
      <c r="L79" s="4" t="s">
        <v>72</v>
      </c>
      <c r="M79" s="4" t="s">
        <v>308</v>
      </c>
      <c r="N79" s="4" t="s">
        <v>74</v>
      </c>
      <c r="O79" s="4" t="s">
        <v>75</v>
      </c>
      <c r="P79" s="4">
        <v>26</v>
      </c>
      <c r="Q79" s="57">
        <v>45397</v>
      </c>
      <c r="R79" s="57">
        <v>45405</v>
      </c>
      <c r="S79" s="113"/>
      <c r="T79" s="113"/>
      <c r="U79" s="4"/>
      <c r="V79" s="4"/>
      <c r="W79" s="105" t="s">
        <v>893</v>
      </c>
      <c r="X79" s="114">
        <v>1643482760</v>
      </c>
      <c r="Y79" s="55"/>
      <c r="Z79" s="4" t="s">
        <v>894</v>
      </c>
      <c r="AA79" s="4">
        <v>1613384837</v>
      </c>
      <c r="AB79" s="4" t="s">
        <v>101</v>
      </c>
      <c r="AC79" s="4" t="s">
        <v>895</v>
      </c>
      <c r="AD79" s="113">
        <v>34441</v>
      </c>
      <c r="AE79" s="107">
        <f t="shared" si="2" ca="1"/>
        <v>30.838356164383562</v>
      </c>
      <c r="AF79" s="4" t="s">
        <v>80</v>
      </c>
      <c r="AG79" s="114">
        <v>2397906369</v>
      </c>
      <c r="AH79" s="4" t="s">
        <v>81</v>
      </c>
      <c r="AI79" s="55" t="s">
        <v>896</v>
      </c>
      <c r="AJ79" s="55" t="s">
        <v>81</v>
      </c>
      <c r="AK79" s="55">
        <v>2014</v>
      </c>
      <c r="AL79" s="4" t="s">
        <v>897</v>
      </c>
      <c r="AM79" s="4" t="s">
        <v>898</v>
      </c>
      <c r="AN79" s="4" t="s">
        <v>899</v>
      </c>
      <c r="AO79" s="4" t="s">
        <v>900</v>
      </c>
      <c r="AP79" s="4" t="s">
        <v>901</v>
      </c>
      <c r="AQ79" s="55" t="s">
        <v>328</v>
      </c>
      <c r="AR79" s="4" t="s">
        <v>110</v>
      </c>
      <c r="AS79" s="4" t="s">
        <v>81</v>
      </c>
      <c r="AT79" s="72" t="s">
        <v>81</v>
      </c>
      <c r="AU79" s="4" t="s">
        <v>81</v>
      </c>
      <c r="AV79" s="4" t="s">
        <v>81</v>
      </c>
      <c r="AW79" s="4" t="s">
        <v>81</v>
      </c>
      <c r="AX79" s="4" t="s">
        <v>81</v>
      </c>
      <c r="AY79" s="4" t="s">
        <v>81</v>
      </c>
      <c r="AZ79" s="4" t="s">
        <v>81</v>
      </c>
      <c r="BA79" s="4" t="s">
        <v>90</v>
      </c>
      <c r="BB79" s="4">
        <v>10800</v>
      </c>
      <c r="BC79" s="4">
        <v>2700</v>
      </c>
      <c r="BD79" s="4">
        <v>0</v>
      </c>
      <c r="BE79" s="4" t="s">
        <v>91</v>
      </c>
      <c r="BF79" s="4"/>
      <c r="BG79" s="4"/>
      <c r="BH79" s="105"/>
      <c r="BI79" s="105"/>
      <c r="BJ79" s="105"/>
      <c r="BK79" s="4">
        <v>1911930001</v>
      </c>
      <c r="BL79" s="105"/>
    </row>
    <row r="80" ht="19.95" customHeight="1">
      <c r="A80" s="4">
        <v>171419</v>
      </c>
      <c r="B80" s="4"/>
      <c r="C80" s="55" t="s">
        <v>902</v>
      </c>
      <c r="D80" s="4" t="s">
        <v>903</v>
      </c>
      <c r="E80" s="4" t="s">
        <v>66</v>
      </c>
      <c r="F80" s="55">
        <v>1112865300</v>
      </c>
      <c r="G80" s="4" t="s">
        <v>67</v>
      </c>
      <c r="H80" s="4" t="s">
        <v>68</v>
      </c>
      <c r="I80" s="4" t="s">
        <v>69</v>
      </c>
      <c r="J80" s="55" t="s">
        <v>341</v>
      </c>
      <c r="K80" s="4" t="s">
        <v>71</v>
      </c>
      <c r="L80" s="4" t="s">
        <v>72</v>
      </c>
      <c r="M80" s="4" t="s">
        <v>342</v>
      </c>
      <c r="N80" s="4" t="s">
        <v>74</v>
      </c>
      <c r="O80" s="4" t="s">
        <v>75</v>
      </c>
      <c r="P80" s="4">
        <v>26</v>
      </c>
      <c r="Q80" s="57">
        <v>45397</v>
      </c>
      <c r="R80" s="57">
        <v>45405</v>
      </c>
      <c r="S80" s="113"/>
      <c r="T80" s="113"/>
      <c r="U80" s="4"/>
      <c r="V80" s="4"/>
      <c r="W80" s="105" t="s">
        <v>904</v>
      </c>
      <c r="X80" s="114">
        <v>1604487328</v>
      </c>
      <c r="Y80" s="55"/>
      <c r="Z80" s="4" t="s">
        <v>905</v>
      </c>
      <c r="AA80" s="4">
        <v>1925608282</v>
      </c>
      <c r="AB80" s="4" t="s">
        <v>101</v>
      </c>
      <c r="AC80" s="4" t="s">
        <v>133</v>
      </c>
      <c r="AD80" s="113">
        <v>36285</v>
      </c>
      <c r="AE80" s="107">
        <f t="shared" si="2" ca="1"/>
        <v>25.786301369863015</v>
      </c>
      <c r="AF80" s="4" t="s">
        <v>80</v>
      </c>
      <c r="AG80" s="114">
        <v>7811317820</v>
      </c>
      <c r="AH80" s="4" t="s">
        <v>81</v>
      </c>
      <c r="AI80" s="55" t="s">
        <v>290</v>
      </c>
      <c r="AJ80" s="55" t="s">
        <v>81</v>
      </c>
      <c r="AK80" s="55">
        <v>2022</v>
      </c>
      <c r="AL80" s="4" t="s">
        <v>906</v>
      </c>
      <c r="AM80" s="4" t="s">
        <v>905</v>
      </c>
      <c r="AN80" s="4" t="s">
        <v>907</v>
      </c>
      <c r="AO80" s="4" t="s">
        <v>908</v>
      </c>
      <c r="AP80" s="4" t="s">
        <v>909</v>
      </c>
      <c r="AQ80" s="55" t="s">
        <v>910</v>
      </c>
      <c r="AR80" s="4" t="s">
        <v>110</v>
      </c>
      <c r="AS80" s="4" t="s">
        <v>81</v>
      </c>
      <c r="AT80" s="72" t="s">
        <v>81</v>
      </c>
      <c r="AU80" s="4" t="s">
        <v>81</v>
      </c>
      <c r="AV80" s="4" t="s">
        <v>81</v>
      </c>
      <c r="AW80" s="4" t="s">
        <v>81</v>
      </c>
      <c r="AX80" s="4" t="s">
        <v>81</v>
      </c>
      <c r="AY80" s="4" t="s">
        <v>81</v>
      </c>
      <c r="AZ80" s="4" t="s">
        <v>81</v>
      </c>
      <c r="BA80" s="4" t="s">
        <v>90</v>
      </c>
      <c r="BB80" s="4">
        <v>10800</v>
      </c>
      <c r="BC80" s="4">
        <v>2700</v>
      </c>
      <c r="BD80" s="4">
        <v>0</v>
      </c>
      <c r="BE80" s="4" t="s">
        <v>91</v>
      </c>
      <c r="BF80" s="4"/>
      <c r="BG80" s="4"/>
      <c r="BH80" s="105"/>
      <c r="BI80" s="105"/>
      <c r="BJ80" s="105"/>
      <c r="BK80" s="4"/>
      <c r="BL80" s="105"/>
    </row>
    <row r="81" ht="19.95" customHeight="1">
      <c r="A81" s="207">
        <v>171421</v>
      </c>
      <c r="B81" s="207"/>
      <c r="C81" s="208" t="s">
        <v>911</v>
      </c>
      <c r="D81" s="207" t="s">
        <v>912</v>
      </c>
      <c r="E81" s="207" t="s">
        <v>66</v>
      </c>
      <c r="F81" s="208">
        <v>981559</v>
      </c>
      <c r="G81" s="207" t="s">
        <v>67</v>
      </c>
      <c r="H81" s="207" t="s">
        <v>68</v>
      </c>
      <c r="I81" s="207" t="s">
        <v>69</v>
      </c>
      <c r="J81" s="208" t="s">
        <v>307</v>
      </c>
      <c r="K81" s="207" t="s">
        <v>71</v>
      </c>
      <c r="L81" s="207" t="s">
        <v>72</v>
      </c>
      <c r="M81" s="4" t="s">
        <v>458</v>
      </c>
      <c r="N81" s="207" t="s">
        <v>74</v>
      </c>
      <c r="O81" s="207" t="s">
        <v>75</v>
      </c>
      <c r="P81" s="207">
        <v>26</v>
      </c>
      <c r="Q81" s="209">
        <v>45397</v>
      </c>
      <c r="R81" s="209">
        <v>45413</v>
      </c>
      <c r="S81" s="210"/>
      <c r="T81" s="210"/>
      <c r="U81" s="207"/>
      <c r="V81" s="207"/>
      <c r="W81" s="105" t="s">
        <v>913</v>
      </c>
      <c r="X81" s="211">
        <v>1629541617</v>
      </c>
      <c r="Y81" s="208">
        <v>1751764858</v>
      </c>
      <c r="Z81" s="207" t="s">
        <v>914</v>
      </c>
      <c r="AA81" s="207">
        <v>1751764868</v>
      </c>
      <c r="AB81" s="207" t="s">
        <v>101</v>
      </c>
      <c r="AC81" s="207" t="s">
        <v>79</v>
      </c>
      <c r="AD81" s="210">
        <v>35626</v>
      </c>
      <c r="AE81" s="212">
        <f t="shared" si="2" ca="1"/>
        <v>27.59178082191781</v>
      </c>
      <c r="AF81" s="207" t="s">
        <v>80</v>
      </c>
      <c r="AG81" s="211">
        <v>8258716367</v>
      </c>
      <c r="AH81" s="207" t="s">
        <v>81</v>
      </c>
      <c r="AI81" s="208" t="s">
        <v>915</v>
      </c>
      <c r="AJ81" s="208" t="s">
        <v>81</v>
      </c>
      <c r="AK81" s="208">
        <v>2022</v>
      </c>
      <c r="AL81" s="207" t="s">
        <v>916</v>
      </c>
      <c r="AM81" s="207" t="s">
        <v>914</v>
      </c>
      <c r="AN81" s="207" t="s">
        <v>917</v>
      </c>
      <c r="AO81" s="207" t="s">
        <v>918</v>
      </c>
      <c r="AP81" s="207" t="s">
        <v>919</v>
      </c>
      <c r="AQ81" s="208" t="s">
        <v>920</v>
      </c>
      <c r="AR81" s="207" t="s">
        <v>110</v>
      </c>
      <c r="AS81" s="207" t="s">
        <v>81</v>
      </c>
      <c r="AT81" s="213" t="s">
        <v>81</v>
      </c>
      <c r="AU81" s="207" t="s">
        <v>81</v>
      </c>
      <c r="AV81" s="207" t="s">
        <v>81</v>
      </c>
      <c r="AW81" s="207" t="s">
        <v>81</v>
      </c>
      <c r="AX81" s="207" t="s">
        <v>81</v>
      </c>
      <c r="AY81" s="207" t="s">
        <v>81</v>
      </c>
      <c r="AZ81" s="207" t="s">
        <v>81</v>
      </c>
      <c r="BA81" s="207" t="s">
        <v>90</v>
      </c>
      <c r="BB81" s="207">
        <v>10800</v>
      </c>
      <c r="BC81" s="207">
        <v>2700</v>
      </c>
      <c r="BD81" s="207">
        <v>0</v>
      </c>
      <c r="BE81" s="207" t="s">
        <v>91</v>
      </c>
      <c r="BF81" s="207"/>
      <c r="BG81" s="207"/>
      <c r="BH81" s="105"/>
      <c r="BI81" s="105"/>
      <c r="BJ81" s="105"/>
      <c r="BK81" s="207"/>
      <c r="BL81" s="105"/>
    </row>
    <row r="82" ht="19.95" customHeight="1">
      <c r="A82" s="207">
        <v>171424</v>
      </c>
      <c r="B82" s="207"/>
      <c r="C82" s="208" t="s">
        <v>921</v>
      </c>
      <c r="D82" s="207" t="s">
        <v>922</v>
      </c>
      <c r="E82" s="207" t="s">
        <v>114</v>
      </c>
      <c r="F82" s="208">
        <v>1210566990</v>
      </c>
      <c r="G82" s="207" t="s">
        <v>67</v>
      </c>
      <c r="H82" s="207" t="s">
        <v>68</v>
      </c>
      <c r="I82" s="207" t="s">
        <v>69</v>
      </c>
      <c r="J82" s="208" t="s">
        <v>155</v>
      </c>
      <c r="K82" s="207" t="s">
        <v>71</v>
      </c>
      <c r="L82" s="207" t="s">
        <v>72</v>
      </c>
      <c r="M82" s="4" t="s">
        <v>196</v>
      </c>
      <c r="N82" s="207" t="s">
        <v>74</v>
      </c>
      <c r="O82" s="207" t="s">
        <v>75</v>
      </c>
      <c r="P82" s="207">
        <v>26</v>
      </c>
      <c r="Q82" s="209">
        <v>45397</v>
      </c>
      <c r="R82" s="209">
        <v>45423</v>
      </c>
      <c r="S82" s="210"/>
      <c r="T82" s="210"/>
      <c r="U82" s="207"/>
      <c r="V82" s="207"/>
      <c r="W82" s="105" t="s">
        <v>923</v>
      </c>
      <c r="X82" s="211">
        <v>1904071323</v>
      </c>
      <c r="Y82" s="208">
        <v>1969766616</v>
      </c>
      <c r="Z82" s="207" t="s">
        <v>924</v>
      </c>
      <c r="AA82" s="207">
        <v>1969766616</v>
      </c>
      <c r="AB82" s="207" t="s">
        <v>101</v>
      </c>
      <c r="AC82" s="207" t="s">
        <v>119</v>
      </c>
      <c r="AD82" s="210">
        <v>36227</v>
      </c>
      <c r="AE82" s="212">
        <f t="shared" si="2" ca="1"/>
        <v>25.945205479452056</v>
      </c>
      <c r="AF82" s="207" t="s">
        <v>80</v>
      </c>
      <c r="AG82" s="211">
        <v>1505034981</v>
      </c>
      <c r="AH82" s="207" t="s">
        <v>81</v>
      </c>
      <c r="AI82" s="208" t="s">
        <v>925</v>
      </c>
      <c r="AJ82" s="208" t="s">
        <v>81</v>
      </c>
      <c r="AK82" s="208">
        <v>2021</v>
      </c>
      <c r="AL82" s="207" t="s">
        <v>209</v>
      </c>
      <c r="AM82" s="207" t="s">
        <v>924</v>
      </c>
      <c r="AN82" s="207" t="s">
        <v>926</v>
      </c>
      <c r="AO82" s="207" t="s">
        <v>927</v>
      </c>
      <c r="AP82" s="207" t="s">
        <v>928</v>
      </c>
      <c r="AQ82" s="208" t="s">
        <v>929</v>
      </c>
      <c r="AR82" s="207" t="s">
        <v>110</v>
      </c>
      <c r="AS82" s="207" t="s">
        <v>81</v>
      </c>
      <c r="AT82" s="213" t="s">
        <v>242</v>
      </c>
      <c r="AU82" s="207" t="s">
        <v>81</v>
      </c>
      <c r="AV82" s="207" t="s">
        <v>81</v>
      </c>
      <c r="AW82" s="207" t="s">
        <v>81</v>
      </c>
      <c r="AX82" s="207" t="s">
        <v>81</v>
      </c>
      <c r="AY82" s="207" t="s">
        <v>81</v>
      </c>
      <c r="AZ82" s="207" t="s">
        <v>81</v>
      </c>
      <c r="BA82" s="207" t="s">
        <v>90</v>
      </c>
      <c r="BB82" s="207">
        <v>10800</v>
      </c>
      <c r="BC82" s="207">
        <v>2700</v>
      </c>
      <c r="BD82" s="207">
        <v>1000</v>
      </c>
      <c r="BE82" s="207" t="s">
        <v>166</v>
      </c>
      <c r="BF82" s="207"/>
      <c r="BG82" s="207"/>
      <c r="BH82" s="105"/>
      <c r="BI82" s="105"/>
      <c r="BJ82" s="105"/>
      <c r="BK82" s="207"/>
      <c r="BL82" s="105"/>
    </row>
    <row r="83" ht="19.95" customHeight="1">
      <c r="A83" s="207">
        <v>171425</v>
      </c>
      <c r="B83" s="207"/>
      <c r="C83" s="208" t="s">
        <v>930</v>
      </c>
      <c r="D83" s="207" t="s">
        <v>931</v>
      </c>
      <c r="E83" s="207" t="s">
        <v>114</v>
      </c>
      <c r="F83" s="208">
        <v>882925</v>
      </c>
      <c r="G83" s="207" t="s">
        <v>67</v>
      </c>
      <c r="H83" s="207" t="s">
        <v>68</v>
      </c>
      <c r="I83" s="207" t="s">
        <v>69</v>
      </c>
      <c r="J83" s="208" t="s">
        <v>155</v>
      </c>
      <c r="K83" s="207" t="s">
        <v>71</v>
      </c>
      <c r="L83" s="207" t="s">
        <v>72</v>
      </c>
      <c r="M83" s="4" t="s">
        <v>271</v>
      </c>
      <c r="N83" s="207" t="s">
        <v>74</v>
      </c>
      <c r="O83" s="207" t="s">
        <v>75</v>
      </c>
      <c r="P83" s="207">
        <v>26</v>
      </c>
      <c r="Q83" s="209">
        <v>45397</v>
      </c>
      <c r="R83" s="209">
        <v>45423</v>
      </c>
      <c r="S83" s="210"/>
      <c r="T83" s="210"/>
      <c r="U83" s="207"/>
      <c r="V83" s="207"/>
      <c r="W83" s="105" t="s">
        <v>932</v>
      </c>
      <c r="X83" s="211">
        <v>1850400615</v>
      </c>
      <c r="Y83" s="208">
        <v>1850400615</v>
      </c>
      <c r="Z83" s="207" t="s">
        <v>933</v>
      </c>
      <c r="AA83" s="207">
        <v>1711576563</v>
      </c>
      <c r="AB83" s="207" t="s">
        <v>101</v>
      </c>
      <c r="AC83" s="207" t="s">
        <v>133</v>
      </c>
      <c r="AD83" s="210">
        <v>32935</v>
      </c>
      <c r="AE83" s="212">
        <f t="shared" si="2" ca="1"/>
        <v>34.964383561643835</v>
      </c>
      <c r="AF83" s="207" t="s">
        <v>80</v>
      </c>
      <c r="AG83" s="211">
        <v>3286958016</v>
      </c>
      <c r="AH83" s="207" t="s">
        <v>81</v>
      </c>
      <c r="AI83" s="208" t="s">
        <v>265</v>
      </c>
      <c r="AJ83" s="208" t="s">
        <v>81</v>
      </c>
      <c r="AK83" s="208">
        <v>2015</v>
      </c>
      <c r="AL83" s="207" t="s">
        <v>209</v>
      </c>
      <c r="AM83" s="207" t="s">
        <v>933</v>
      </c>
      <c r="AN83" s="207" t="s">
        <v>934</v>
      </c>
      <c r="AO83" s="207" t="s">
        <v>935</v>
      </c>
      <c r="AP83" s="207" t="s">
        <v>936</v>
      </c>
      <c r="AQ83" s="208" t="s">
        <v>842</v>
      </c>
      <c r="AR83" s="207" t="s">
        <v>89</v>
      </c>
      <c r="AS83" s="207" t="s">
        <v>937</v>
      </c>
      <c r="AT83" s="213">
        <v>44959</v>
      </c>
      <c r="AU83" s="207" t="s">
        <v>81</v>
      </c>
      <c r="AV83" s="207" t="s">
        <v>81</v>
      </c>
      <c r="AW83" s="207" t="s">
        <v>81</v>
      </c>
      <c r="AX83" s="207" t="s">
        <v>81</v>
      </c>
      <c r="AY83" s="207" t="s">
        <v>81</v>
      </c>
      <c r="AZ83" s="207" t="s">
        <v>81</v>
      </c>
      <c r="BA83" s="207" t="s">
        <v>90</v>
      </c>
      <c r="BB83" s="207">
        <v>10800</v>
      </c>
      <c r="BC83" s="207">
        <v>2700</v>
      </c>
      <c r="BD83" s="207">
        <v>1000</v>
      </c>
      <c r="BE83" s="207" t="s">
        <v>166</v>
      </c>
      <c r="BF83" s="207"/>
      <c r="BG83" s="207"/>
      <c r="BH83" s="105"/>
      <c r="BI83" s="105"/>
      <c r="BJ83" s="105"/>
      <c r="BK83" s="207"/>
      <c r="BL83" s="105"/>
    </row>
    <row r="84" ht="19.95" customHeight="1">
      <c r="A84" s="207">
        <v>171430</v>
      </c>
      <c r="B84" s="207"/>
      <c r="C84" s="208" t="s">
        <v>938</v>
      </c>
      <c r="D84" s="207" t="s">
        <v>939</v>
      </c>
      <c r="E84" s="207" t="s">
        <v>114</v>
      </c>
      <c r="F84" s="208">
        <v>1111469551</v>
      </c>
      <c r="G84" s="207" t="s">
        <v>67</v>
      </c>
      <c r="H84" s="207" t="s">
        <v>68</v>
      </c>
      <c r="I84" s="207" t="s">
        <v>69</v>
      </c>
      <c r="J84" s="208" t="s">
        <v>155</v>
      </c>
      <c r="K84" s="207" t="s">
        <v>71</v>
      </c>
      <c r="L84" s="207" t="s">
        <v>72</v>
      </c>
      <c r="M84" s="4" t="s">
        <v>183</v>
      </c>
      <c r="N84" s="207" t="s">
        <v>74</v>
      </c>
      <c r="O84" s="207" t="s">
        <v>75</v>
      </c>
      <c r="P84" s="207">
        <v>26</v>
      </c>
      <c r="Q84" s="209">
        <v>45397</v>
      </c>
      <c r="R84" s="209">
        <v>45416</v>
      </c>
      <c r="S84" s="210"/>
      <c r="T84" s="210"/>
      <c r="U84" s="207"/>
      <c r="V84" s="207"/>
      <c r="W84" s="105" t="s">
        <v>940</v>
      </c>
      <c r="X84" s="211">
        <v>1830848193</v>
      </c>
      <c r="Y84" s="208"/>
      <c r="Z84" s="207" t="s">
        <v>941</v>
      </c>
      <c r="AA84" s="207" t="s">
        <v>942</v>
      </c>
      <c r="AB84" s="207" t="s">
        <v>252</v>
      </c>
      <c r="AC84" s="207" t="s">
        <v>102</v>
      </c>
      <c r="AD84" s="210">
        <v>35756</v>
      </c>
      <c r="AE84" s="212">
        <f t="shared" si="2" ca="1"/>
        <v>27.235616438356164</v>
      </c>
      <c r="AF84" s="207" t="s">
        <v>360</v>
      </c>
      <c r="AG84" s="211">
        <v>6002998653</v>
      </c>
      <c r="AH84" s="207" t="s">
        <v>81</v>
      </c>
      <c r="AI84" s="208" t="s">
        <v>322</v>
      </c>
      <c r="AJ84" s="208" t="s">
        <v>81</v>
      </c>
      <c r="AK84" s="208">
        <v>2021</v>
      </c>
      <c r="AL84" s="207" t="s">
        <v>943</v>
      </c>
      <c r="AM84" s="207" t="s">
        <v>944</v>
      </c>
      <c r="AN84" s="207" t="s">
        <v>945</v>
      </c>
      <c r="AO84" s="207" t="s">
        <v>946</v>
      </c>
      <c r="AP84" s="207" t="s">
        <v>947</v>
      </c>
      <c r="AQ84" s="208" t="s">
        <v>88</v>
      </c>
      <c r="AR84" s="207" t="s">
        <v>110</v>
      </c>
      <c r="AS84" s="207" t="s">
        <v>81</v>
      </c>
      <c r="AT84" s="213" t="s">
        <v>81</v>
      </c>
      <c r="AU84" s="207" t="s">
        <v>81</v>
      </c>
      <c r="AV84" s="207" t="s">
        <v>81</v>
      </c>
      <c r="AW84" s="207" t="s">
        <v>81</v>
      </c>
      <c r="AX84" s="207" t="s">
        <v>81</v>
      </c>
      <c r="AY84" s="207" t="s">
        <v>81</v>
      </c>
      <c r="AZ84" s="207" t="s">
        <v>81</v>
      </c>
      <c r="BA84" s="207" t="s">
        <v>90</v>
      </c>
      <c r="BB84" s="207">
        <v>10800</v>
      </c>
      <c r="BC84" s="207">
        <v>2700</v>
      </c>
      <c r="BD84" s="207">
        <v>1000</v>
      </c>
      <c r="BE84" s="207" t="s">
        <v>166</v>
      </c>
      <c r="BF84" s="207"/>
      <c r="BG84" s="207"/>
      <c r="BH84" s="105"/>
      <c r="BI84" s="105"/>
      <c r="BJ84" s="105"/>
      <c r="BK84" s="207"/>
      <c r="BL84" s="105"/>
    </row>
    <row r="85" ht="19.95" customHeight="1">
      <c r="A85" s="207">
        <v>171431</v>
      </c>
      <c r="B85" s="207"/>
      <c r="C85" s="208" t="s">
        <v>948</v>
      </c>
      <c r="D85" s="207" t="s">
        <v>949</v>
      </c>
      <c r="E85" s="207" t="s">
        <v>114</v>
      </c>
      <c r="F85" s="208">
        <v>1111441391</v>
      </c>
      <c r="G85" s="207" t="s">
        <v>67</v>
      </c>
      <c r="H85" s="207" t="s">
        <v>68</v>
      </c>
      <c r="I85" s="207" t="s">
        <v>69</v>
      </c>
      <c r="J85" s="208" t="s">
        <v>155</v>
      </c>
      <c r="K85" s="207" t="s">
        <v>71</v>
      </c>
      <c r="L85" s="207" t="s">
        <v>72</v>
      </c>
      <c r="M85" s="4" t="s">
        <v>196</v>
      </c>
      <c r="N85" s="207" t="s">
        <v>74</v>
      </c>
      <c r="O85" s="207" t="s">
        <v>75</v>
      </c>
      <c r="P85" s="207">
        <v>26</v>
      </c>
      <c r="Q85" s="209">
        <v>45397</v>
      </c>
      <c r="R85" s="209">
        <v>45415</v>
      </c>
      <c r="S85" s="210"/>
      <c r="T85" s="210"/>
      <c r="U85" s="207"/>
      <c r="V85" s="207"/>
      <c r="W85" s="105" t="s">
        <v>950</v>
      </c>
      <c r="X85" s="211">
        <v>1817939836</v>
      </c>
      <c r="Y85" s="208">
        <v>1330858545</v>
      </c>
      <c r="Z85" s="207" t="s">
        <v>951</v>
      </c>
      <c r="AA85" s="207">
        <v>1624754005</v>
      </c>
      <c r="AB85" s="207" t="s">
        <v>252</v>
      </c>
      <c r="AC85" s="207" t="s">
        <v>79</v>
      </c>
      <c r="AD85" s="210">
        <v>35996</v>
      </c>
      <c r="AE85" s="212">
        <f t="shared" si="2" ca="1"/>
        <v>26.578082191780823</v>
      </c>
      <c r="AF85" s="207" t="s">
        <v>360</v>
      </c>
      <c r="AG85" s="211" t="s">
        <v>952</v>
      </c>
      <c r="AH85" s="207" t="s">
        <v>81</v>
      </c>
      <c r="AI85" s="208" t="s">
        <v>953</v>
      </c>
      <c r="AJ85" s="208" t="s">
        <v>81</v>
      </c>
      <c r="AK85" s="208">
        <v>2021</v>
      </c>
      <c r="AL85" s="207" t="s">
        <v>209</v>
      </c>
      <c r="AM85" s="207" t="s">
        <v>954</v>
      </c>
      <c r="AN85" s="207" t="s">
        <v>955</v>
      </c>
      <c r="AO85" s="207" t="s">
        <v>151</v>
      </c>
      <c r="AP85" s="207" t="s">
        <v>956</v>
      </c>
      <c r="AQ85" s="208" t="s">
        <v>88</v>
      </c>
      <c r="AR85" s="207" t="s">
        <v>110</v>
      </c>
      <c r="AS85" s="207" t="s">
        <v>81</v>
      </c>
      <c r="AT85" s="213" t="s">
        <v>81</v>
      </c>
      <c r="AU85" s="207" t="s">
        <v>81</v>
      </c>
      <c r="AV85" s="207" t="s">
        <v>81</v>
      </c>
      <c r="AW85" s="207" t="s">
        <v>81</v>
      </c>
      <c r="AX85" s="207" t="s">
        <v>81</v>
      </c>
      <c r="AY85" s="207" t="s">
        <v>81</v>
      </c>
      <c r="AZ85" s="207" t="s">
        <v>81</v>
      </c>
      <c r="BA85" s="207" t="s">
        <v>90</v>
      </c>
      <c r="BB85" s="207">
        <v>10800</v>
      </c>
      <c r="BC85" s="207">
        <v>2700</v>
      </c>
      <c r="BD85" s="207">
        <v>1000</v>
      </c>
      <c r="BE85" s="207" t="s">
        <v>166</v>
      </c>
      <c r="BF85" s="207"/>
      <c r="BG85" s="207"/>
      <c r="BH85" s="105"/>
      <c r="BI85" s="105"/>
      <c r="BJ85" s="105"/>
      <c r="BK85" s="207"/>
      <c r="BL85" s="105"/>
    </row>
    <row r="86" ht="19.95" customHeight="1">
      <c r="A86" s="207">
        <v>171440</v>
      </c>
      <c r="B86" s="207"/>
      <c r="C86" s="208" t="s">
        <v>957</v>
      </c>
      <c r="D86" s="207" t="s">
        <v>958</v>
      </c>
      <c r="E86" s="207" t="s">
        <v>66</v>
      </c>
      <c r="F86" s="208">
        <v>1010940108</v>
      </c>
      <c r="G86" s="207" t="s">
        <v>67</v>
      </c>
      <c r="H86" s="207" t="s">
        <v>68</v>
      </c>
      <c r="I86" s="207" t="s">
        <v>69</v>
      </c>
      <c r="J86" s="208" t="s">
        <v>319</v>
      </c>
      <c r="K86" s="207" t="s">
        <v>71</v>
      </c>
      <c r="L86" s="207" t="s">
        <v>72</v>
      </c>
      <c r="M86" s="4" t="s">
        <v>458</v>
      </c>
      <c r="N86" s="207" t="s">
        <v>74</v>
      </c>
      <c r="O86" s="207" t="s">
        <v>75</v>
      </c>
      <c r="P86" s="207">
        <v>27</v>
      </c>
      <c r="Q86" s="209">
        <v>45408</v>
      </c>
      <c r="R86" s="209">
        <v>45415</v>
      </c>
      <c r="S86" s="210"/>
      <c r="T86" s="210"/>
      <c r="U86" s="207"/>
      <c r="V86" s="207"/>
      <c r="W86" s="105" t="s">
        <v>959</v>
      </c>
      <c r="X86" s="211">
        <v>1644336594</v>
      </c>
      <c r="Y86" s="208"/>
      <c r="Z86" s="207" t="s">
        <v>391</v>
      </c>
      <c r="AA86" s="207">
        <v>1764129022</v>
      </c>
      <c r="AB86" s="207" t="s">
        <v>132</v>
      </c>
      <c r="AC86" s="207" t="s">
        <v>79</v>
      </c>
      <c r="AD86" s="210">
        <v>35657</v>
      </c>
      <c r="AE86" s="212">
        <f t="shared" si="2" ca="1"/>
        <v>27.506849315068493</v>
      </c>
      <c r="AF86" s="207" t="s">
        <v>80</v>
      </c>
      <c r="AG86" s="211">
        <v>6915004342</v>
      </c>
      <c r="AH86" s="207" t="s">
        <v>81</v>
      </c>
      <c r="AI86" s="208" t="s">
        <v>322</v>
      </c>
      <c r="AJ86" s="208" t="s">
        <v>81</v>
      </c>
      <c r="AK86" s="208">
        <v>2022</v>
      </c>
      <c r="AL86" s="207" t="s">
        <v>960</v>
      </c>
      <c r="AM86" s="207" t="s">
        <v>961</v>
      </c>
      <c r="AN86" s="207" t="s">
        <v>391</v>
      </c>
      <c r="AO86" s="207" t="s">
        <v>962</v>
      </c>
      <c r="AP86" s="207" t="s">
        <v>963</v>
      </c>
      <c r="AQ86" s="208" t="s">
        <v>666</v>
      </c>
      <c r="AR86" s="207" t="s">
        <v>110</v>
      </c>
      <c r="AS86" s="207" t="s">
        <v>81</v>
      </c>
      <c r="AT86" s="213" t="s">
        <v>81</v>
      </c>
      <c r="AU86" s="207" t="s">
        <v>81</v>
      </c>
      <c r="AV86" s="207" t="s">
        <v>81</v>
      </c>
      <c r="AW86" s="207" t="s">
        <v>81</v>
      </c>
      <c r="AX86" s="207" t="s">
        <v>81</v>
      </c>
      <c r="AY86" s="207" t="s">
        <v>81</v>
      </c>
      <c r="AZ86" s="207" t="s">
        <v>81</v>
      </c>
      <c r="BA86" s="207" t="s">
        <v>90</v>
      </c>
      <c r="BB86" s="207">
        <v>10800</v>
      </c>
      <c r="BC86" s="207">
        <v>2700</v>
      </c>
      <c r="BD86" s="207">
        <v>0</v>
      </c>
      <c r="BE86" s="207" t="s">
        <v>91</v>
      </c>
      <c r="BF86" s="207"/>
      <c r="BG86" s="207"/>
      <c r="BH86" s="105"/>
      <c r="BI86" s="105"/>
      <c r="BJ86" s="105"/>
      <c r="BK86" s="207"/>
      <c r="BL86" s="105"/>
    </row>
    <row r="87" ht="19.95" customHeight="1">
      <c r="A87" s="207">
        <v>171441</v>
      </c>
      <c r="B87" s="207"/>
      <c r="C87" s="208"/>
      <c r="D87" s="207" t="s">
        <v>964</v>
      </c>
      <c r="E87" s="207" t="s">
        <v>114</v>
      </c>
      <c r="F87" s="208">
        <v>437658</v>
      </c>
      <c r="G87" s="207" t="s">
        <v>67</v>
      </c>
      <c r="H87" s="207" t="s">
        <v>68</v>
      </c>
      <c r="I87" s="207" t="s">
        <v>69</v>
      </c>
      <c r="J87" s="208" t="s">
        <v>297</v>
      </c>
      <c r="K87" s="207" t="s">
        <v>71</v>
      </c>
      <c r="L87" s="207" t="s">
        <v>72</v>
      </c>
      <c r="M87" s="4" t="s">
        <v>287</v>
      </c>
      <c r="N87" s="207" t="s">
        <v>74</v>
      </c>
      <c r="O87" s="207" t="s">
        <v>75</v>
      </c>
      <c r="P87" s="207">
        <v>27</v>
      </c>
      <c r="Q87" s="209">
        <v>45408</v>
      </c>
      <c r="R87" s="209">
        <v>45417</v>
      </c>
      <c r="S87" s="210"/>
      <c r="T87" s="210"/>
      <c r="U87" s="207"/>
      <c r="V87" s="207"/>
      <c r="W87" s="105" t="s">
        <v>965</v>
      </c>
      <c r="X87" s="211">
        <v>1935965685</v>
      </c>
      <c r="Y87" s="208">
        <v>1985781008</v>
      </c>
      <c r="Z87" s="207" t="s">
        <v>966</v>
      </c>
      <c r="AA87" s="207">
        <v>1985781008</v>
      </c>
      <c r="AB87" s="207" t="s">
        <v>101</v>
      </c>
      <c r="AC87" s="207" t="s">
        <v>133</v>
      </c>
      <c r="AD87" s="210">
        <v>35348</v>
      </c>
      <c r="AE87" s="212">
        <f t="shared" si="2" ca="1"/>
        <v>28.353424657534248</v>
      </c>
      <c r="AF87" s="207" t="s">
        <v>80</v>
      </c>
      <c r="AG87" s="211">
        <v>9552941826</v>
      </c>
      <c r="AH87" s="207" t="s">
        <v>81</v>
      </c>
      <c r="AI87" s="208" t="s">
        <v>967</v>
      </c>
      <c r="AJ87" s="208" t="s">
        <v>81</v>
      </c>
      <c r="AK87" s="208">
        <v>2020</v>
      </c>
      <c r="AL87" s="207" t="s">
        <v>968</v>
      </c>
      <c r="AM87" s="207" t="s">
        <v>966</v>
      </c>
      <c r="AN87" s="207" t="s">
        <v>969</v>
      </c>
      <c r="AO87" s="207" t="s">
        <v>970</v>
      </c>
      <c r="AP87" s="207" t="s">
        <v>971</v>
      </c>
      <c r="AQ87" s="208" t="s">
        <v>666</v>
      </c>
      <c r="AR87" s="207" t="s">
        <v>110</v>
      </c>
      <c r="AS87" s="207" t="s">
        <v>81</v>
      </c>
      <c r="AT87" s="213" t="s">
        <v>81</v>
      </c>
      <c r="AU87" s="207" t="s">
        <v>81</v>
      </c>
      <c r="AV87" s="207" t="s">
        <v>81</v>
      </c>
      <c r="AW87" s="207" t="s">
        <v>81</v>
      </c>
      <c r="AX87" s="207" t="s">
        <v>81</v>
      </c>
      <c r="AY87" s="207" t="s">
        <v>81</v>
      </c>
      <c r="AZ87" s="207" t="s">
        <v>81</v>
      </c>
      <c r="BA87" s="207" t="s">
        <v>90</v>
      </c>
      <c r="BB87" s="207">
        <v>10800</v>
      </c>
      <c r="BC87" s="207">
        <v>2700</v>
      </c>
      <c r="BD87" s="207">
        <v>0</v>
      </c>
      <c r="BE87" s="207" t="s">
        <v>91</v>
      </c>
      <c r="BF87" s="207"/>
      <c r="BG87" s="207"/>
      <c r="BH87" s="105"/>
      <c r="BI87" s="105"/>
      <c r="BJ87" s="105"/>
      <c r="BK87" s="207"/>
      <c r="BL87" s="105"/>
    </row>
    <row r="88" ht="19.95" customHeight="1">
      <c r="A88" s="207">
        <v>171447</v>
      </c>
      <c r="B88" s="207"/>
      <c r="C88" s="208" t="s">
        <v>972</v>
      </c>
      <c r="D88" s="207" t="s">
        <v>973</v>
      </c>
      <c r="E88" s="207" t="s">
        <v>66</v>
      </c>
      <c r="F88" s="208">
        <v>1110249913</v>
      </c>
      <c r="G88" s="207" t="s">
        <v>67</v>
      </c>
      <c r="H88" s="207" t="s">
        <v>68</v>
      </c>
      <c r="I88" s="207" t="s">
        <v>69</v>
      </c>
      <c r="J88" s="208" t="s">
        <v>341</v>
      </c>
      <c r="K88" s="207" t="s">
        <v>71</v>
      </c>
      <c r="L88" s="207" t="s">
        <v>72</v>
      </c>
      <c r="M88" s="4" t="s">
        <v>342</v>
      </c>
      <c r="N88" s="207" t="s">
        <v>74</v>
      </c>
      <c r="O88" s="207" t="s">
        <v>75</v>
      </c>
      <c r="P88" s="207">
        <v>27</v>
      </c>
      <c r="Q88" s="209">
        <v>45408</v>
      </c>
      <c r="R88" s="209">
        <v>45413</v>
      </c>
      <c r="S88" s="210"/>
      <c r="T88" s="210"/>
      <c r="U88" s="207"/>
      <c r="V88" s="207"/>
      <c r="W88" s="105" t="s">
        <v>974</v>
      </c>
      <c r="X88" s="211">
        <v>1533058698</v>
      </c>
      <c r="Y88" s="208"/>
      <c r="Z88" s="207" t="s">
        <v>975</v>
      </c>
      <c r="AA88" s="207">
        <v>1567832406</v>
      </c>
      <c r="AB88" s="207" t="s">
        <v>78</v>
      </c>
      <c r="AC88" s="207" t="s">
        <v>79</v>
      </c>
      <c r="AD88" s="210">
        <v>35933</v>
      </c>
      <c r="AE88" s="212">
        <f ref="AE88:AE119" t="shared" si="3" ca="1">((TODAY())-AD88)/365</f>
        <v>26.75068493150685</v>
      </c>
      <c r="AF88" s="207" t="s">
        <v>80</v>
      </c>
      <c r="AG88" s="211">
        <v>3754904336</v>
      </c>
      <c r="AH88" s="207" t="s">
        <v>81</v>
      </c>
      <c r="AI88" s="208" t="s">
        <v>322</v>
      </c>
      <c r="AJ88" s="208" t="s">
        <v>81</v>
      </c>
      <c r="AK88" s="208">
        <v>2020</v>
      </c>
      <c r="AL88" s="207" t="s">
        <v>976</v>
      </c>
      <c r="AM88" s="207" t="s">
        <v>977</v>
      </c>
      <c r="AN88" s="207" t="s">
        <v>131</v>
      </c>
      <c r="AO88" s="207" t="s">
        <v>978</v>
      </c>
      <c r="AP88" s="207" t="s">
        <v>979</v>
      </c>
      <c r="AQ88" s="208" t="s">
        <v>980</v>
      </c>
      <c r="AR88" s="207" t="s">
        <v>89</v>
      </c>
      <c r="AS88" s="207" t="s">
        <v>975</v>
      </c>
      <c r="AT88" s="213">
        <v>36400</v>
      </c>
      <c r="AU88" s="207" t="s">
        <v>81</v>
      </c>
      <c r="AV88" s="207" t="s">
        <v>81</v>
      </c>
      <c r="AW88" s="207" t="s">
        <v>81</v>
      </c>
      <c r="AX88" s="207" t="s">
        <v>81</v>
      </c>
      <c r="AY88" s="207" t="s">
        <v>81</v>
      </c>
      <c r="AZ88" s="207" t="s">
        <v>81</v>
      </c>
      <c r="BA88" s="207" t="s">
        <v>90</v>
      </c>
      <c r="BB88" s="207">
        <v>10800</v>
      </c>
      <c r="BC88" s="207">
        <v>2700</v>
      </c>
      <c r="BD88" s="207">
        <v>0</v>
      </c>
      <c r="BE88" s="207" t="s">
        <v>91</v>
      </c>
      <c r="BF88" s="207"/>
      <c r="BG88" s="207"/>
      <c r="BH88" s="105"/>
      <c r="BI88" s="105"/>
      <c r="BJ88" s="105"/>
      <c r="BK88" s="207"/>
      <c r="BL88" s="105"/>
    </row>
    <row r="89" ht="19.95" customHeight="1">
      <c r="A89" s="207">
        <v>171450</v>
      </c>
      <c r="B89" s="207"/>
      <c r="C89" s="208" t="s">
        <v>981</v>
      </c>
      <c r="D89" s="207" t="s">
        <v>982</v>
      </c>
      <c r="E89" s="207" t="s">
        <v>114</v>
      </c>
      <c r="F89" s="208">
        <v>376301</v>
      </c>
      <c r="G89" s="207" t="s">
        <v>67</v>
      </c>
      <c r="H89" s="207" t="s">
        <v>68</v>
      </c>
      <c r="I89" s="207" t="s">
        <v>69</v>
      </c>
      <c r="J89" s="208" t="s">
        <v>319</v>
      </c>
      <c r="K89" s="207" t="s">
        <v>71</v>
      </c>
      <c r="L89" s="207" t="s">
        <v>72</v>
      </c>
      <c r="M89" s="4" t="s">
        <v>73</v>
      </c>
      <c r="N89" s="207" t="s">
        <v>74</v>
      </c>
      <c r="O89" s="207" t="s">
        <v>75</v>
      </c>
      <c r="P89" s="207">
        <v>27</v>
      </c>
      <c r="Q89" s="209">
        <v>45408</v>
      </c>
      <c r="R89" s="209">
        <v>45413</v>
      </c>
      <c r="S89" s="210"/>
      <c r="T89" s="210"/>
      <c r="U89" s="207"/>
      <c r="V89" s="207"/>
      <c r="W89" s="105" t="s">
        <v>983</v>
      </c>
      <c r="X89" s="211">
        <v>1818573788</v>
      </c>
      <c r="Y89" s="208">
        <v>1533894296</v>
      </c>
      <c r="Z89" s="207" t="s">
        <v>984</v>
      </c>
      <c r="AA89" s="207">
        <v>1533894296</v>
      </c>
      <c r="AB89" s="207" t="s">
        <v>101</v>
      </c>
      <c r="AC89" s="207" t="s">
        <v>119</v>
      </c>
      <c r="AD89" s="210">
        <v>34429</v>
      </c>
      <c r="AE89" s="212">
        <f t="shared" si="3" ca="1"/>
        <v>30.87123287671233</v>
      </c>
      <c r="AF89" s="207" t="s">
        <v>360</v>
      </c>
      <c r="AG89" s="211">
        <v>19944462495000000</v>
      </c>
      <c r="AH89" s="207" t="s">
        <v>985</v>
      </c>
      <c r="AI89" s="208" t="s">
        <v>513</v>
      </c>
      <c r="AJ89" s="208" t="s">
        <v>81</v>
      </c>
      <c r="AK89" s="208">
        <v>2021</v>
      </c>
      <c r="AL89" s="207" t="s">
        <v>986</v>
      </c>
      <c r="AM89" s="207" t="s">
        <v>984</v>
      </c>
      <c r="AN89" s="207" t="s">
        <v>987</v>
      </c>
      <c r="AO89" s="207" t="s">
        <v>988</v>
      </c>
      <c r="AP89" s="207" t="s">
        <v>989</v>
      </c>
      <c r="AQ89" s="208" t="s">
        <v>499</v>
      </c>
      <c r="AR89" s="207" t="s">
        <v>110</v>
      </c>
      <c r="AS89" s="207" t="s">
        <v>985</v>
      </c>
      <c r="AT89" s="213" t="s">
        <v>985</v>
      </c>
      <c r="AU89" s="207" t="s">
        <v>985</v>
      </c>
      <c r="AV89" s="207" t="s">
        <v>985</v>
      </c>
      <c r="AW89" s="207" t="s">
        <v>81</v>
      </c>
      <c r="AX89" s="207" t="s">
        <v>81</v>
      </c>
      <c r="AY89" s="207" t="s">
        <v>81</v>
      </c>
      <c r="AZ89" s="207" t="s">
        <v>81</v>
      </c>
      <c r="BA89" s="207" t="s">
        <v>90</v>
      </c>
      <c r="BB89" s="207">
        <v>10800</v>
      </c>
      <c r="BC89" s="207">
        <v>2700</v>
      </c>
      <c r="BD89" s="207">
        <v>0</v>
      </c>
      <c r="BE89" s="207" t="s">
        <v>91</v>
      </c>
      <c r="BF89" s="207"/>
      <c r="BG89" s="207"/>
      <c r="BH89" s="105"/>
      <c r="BI89" s="105"/>
      <c r="BJ89" s="105"/>
      <c r="BK89" s="207">
        <v>1818573788</v>
      </c>
      <c r="BL89" s="105"/>
    </row>
    <row r="90" ht="19.95" customHeight="1">
      <c r="A90" s="207">
        <v>171454</v>
      </c>
      <c r="B90" s="207"/>
      <c r="C90" s="208" t="s">
        <v>990</v>
      </c>
      <c r="D90" s="207" t="s">
        <v>991</v>
      </c>
      <c r="E90" s="207" t="s">
        <v>66</v>
      </c>
      <c r="F90" s="208">
        <v>1310536028</v>
      </c>
      <c r="G90" s="207" t="s">
        <v>67</v>
      </c>
      <c r="H90" s="207" t="s">
        <v>68</v>
      </c>
      <c r="I90" s="207" t="s">
        <v>69</v>
      </c>
      <c r="J90" s="208" t="s">
        <v>341</v>
      </c>
      <c r="K90" s="207" t="s">
        <v>71</v>
      </c>
      <c r="L90" s="207" t="s">
        <v>72</v>
      </c>
      <c r="M90" s="4" t="s">
        <v>342</v>
      </c>
      <c r="N90" s="207" t="s">
        <v>74</v>
      </c>
      <c r="O90" s="207" t="s">
        <v>75</v>
      </c>
      <c r="P90" s="207">
        <v>27</v>
      </c>
      <c r="Q90" s="209">
        <v>45408</v>
      </c>
      <c r="R90" s="209">
        <v>45413</v>
      </c>
      <c r="S90" s="210"/>
      <c r="T90" s="210"/>
      <c r="U90" s="207"/>
      <c r="V90" s="207"/>
      <c r="W90" s="105" t="s">
        <v>992</v>
      </c>
      <c r="X90" s="211">
        <v>1942551040</v>
      </c>
      <c r="Y90" s="208">
        <v>1942551040</v>
      </c>
      <c r="Z90" s="207" t="s">
        <v>993</v>
      </c>
      <c r="AA90" s="207">
        <v>1317020309</v>
      </c>
      <c r="AB90" s="207" t="s">
        <v>382</v>
      </c>
      <c r="AC90" s="207" t="s">
        <v>119</v>
      </c>
      <c r="AD90" s="210">
        <v>36515</v>
      </c>
      <c r="AE90" s="212">
        <f t="shared" si="3" ca="1"/>
        <v>25.156164383561645</v>
      </c>
      <c r="AF90" s="207" t="s">
        <v>80</v>
      </c>
      <c r="AG90" s="211">
        <v>7804450430</v>
      </c>
      <c r="AH90" s="207" t="s">
        <v>81</v>
      </c>
      <c r="AI90" s="208" t="s">
        <v>994</v>
      </c>
      <c r="AJ90" s="208" t="s">
        <v>81</v>
      </c>
      <c r="AK90" s="208">
        <v>2024</v>
      </c>
      <c r="AL90" s="207" t="s">
        <v>995</v>
      </c>
      <c r="AM90" s="207" t="s">
        <v>996</v>
      </c>
      <c r="AN90" s="207" t="s">
        <v>997</v>
      </c>
      <c r="AO90" s="207" t="s">
        <v>998</v>
      </c>
      <c r="AP90" s="207" t="s">
        <v>999</v>
      </c>
      <c r="AQ90" s="208" t="s">
        <v>1000</v>
      </c>
      <c r="AR90" s="207" t="s">
        <v>110</v>
      </c>
      <c r="AS90" s="207" t="s">
        <v>81</v>
      </c>
      <c r="AT90" s="213" t="s">
        <v>81</v>
      </c>
      <c r="AU90" s="207" t="s">
        <v>81</v>
      </c>
      <c r="AV90" s="207" t="s">
        <v>81</v>
      </c>
      <c r="AW90" s="207" t="s">
        <v>81</v>
      </c>
      <c r="AX90" s="207" t="s">
        <v>81</v>
      </c>
      <c r="AY90" s="207" t="s">
        <v>81</v>
      </c>
      <c r="AZ90" s="207" t="s">
        <v>81</v>
      </c>
      <c r="BA90" s="207" t="s">
        <v>90</v>
      </c>
      <c r="BB90" s="207">
        <v>10800</v>
      </c>
      <c r="BC90" s="207">
        <v>2700</v>
      </c>
      <c r="BD90" s="207">
        <v>0</v>
      </c>
      <c r="BE90" s="207" t="s">
        <v>91</v>
      </c>
      <c r="BF90" s="207"/>
      <c r="BG90" s="207"/>
      <c r="BH90" s="105"/>
      <c r="BI90" s="105"/>
      <c r="BJ90" s="105"/>
      <c r="BK90" s="207"/>
      <c r="BL90" s="105"/>
    </row>
    <row r="91" ht="19.95" customHeight="1">
      <c r="A91" s="207">
        <v>171457</v>
      </c>
      <c r="B91" s="207"/>
      <c r="C91" s="208" t="s">
        <v>1001</v>
      </c>
      <c r="D91" s="207" t="s">
        <v>1002</v>
      </c>
      <c r="E91" s="207" t="s">
        <v>66</v>
      </c>
      <c r="F91" s="208">
        <v>1212611783</v>
      </c>
      <c r="G91" s="207" t="s">
        <v>67</v>
      </c>
      <c r="H91" s="207" t="s">
        <v>68</v>
      </c>
      <c r="I91" s="207" t="s">
        <v>69</v>
      </c>
      <c r="J91" s="208" t="s">
        <v>319</v>
      </c>
      <c r="K91" s="207" t="s">
        <v>71</v>
      </c>
      <c r="L91" s="207" t="s">
        <v>72</v>
      </c>
      <c r="M91" s="4" t="s">
        <v>73</v>
      </c>
      <c r="N91" s="207" t="s">
        <v>74</v>
      </c>
      <c r="O91" s="207" t="s">
        <v>75</v>
      </c>
      <c r="P91" s="207">
        <v>27</v>
      </c>
      <c r="Q91" s="209">
        <v>45408</v>
      </c>
      <c r="R91" s="209">
        <v>45413</v>
      </c>
      <c r="S91" s="210"/>
      <c r="T91" s="210"/>
      <c r="U91" s="207"/>
      <c r="V91" s="207"/>
      <c r="W91" s="105" t="s">
        <v>1003</v>
      </c>
      <c r="X91" s="211">
        <v>1957750288</v>
      </c>
      <c r="Y91" s="208"/>
      <c r="Z91" s="207" t="s">
        <v>1004</v>
      </c>
      <c r="AA91" s="207">
        <v>1784070801</v>
      </c>
      <c r="AB91" s="207" t="s">
        <v>78</v>
      </c>
      <c r="AC91" s="207" t="s">
        <v>79</v>
      </c>
      <c r="AD91" s="210">
        <v>36892</v>
      </c>
      <c r="AE91" s="212">
        <f t="shared" si="3" ca="1"/>
        <v>24.123287671232877</v>
      </c>
      <c r="AF91" s="207" t="s">
        <v>80</v>
      </c>
      <c r="AG91" s="211">
        <v>1511067322</v>
      </c>
      <c r="AH91" s="207" t="s">
        <v>81</v>
      </c>
      <c r="AI91" s="208" t="s">
        <v>1005</v>
      </c>
      <c r="AJ91" s="208" t="s">
        <v>81</v>
      </c>
      <c r="AK91" s="208">
        <v>2022</v>
      </c>
      <c r="AL91" s="207" t="s">
        <v>1006</v>
      </c>
      <c r="AM91" s="207" t="s">
        <v>1007</v>
      </c>
      <c r="AN91" s="207" t="s">
        <v>1008</v>
      </c>
      <c r="AO91" s="207" t="s">
        <v>1009</v>
      </c>
      <c r="AP91" s="207" t="s">
        <v>1010</v>
      </c>
      <c r="AQ91" s="208" t="s">
        <v>499</v>
      </c>
      <c r="AR91" s="207" t="s">
        <v>89</v>
      </c>
      <c r="AS91" s="207" t="s">
        <v>1004</v>
      </c>
      <c r="AT91" s="213">
        <v>36234</v>
      </c>
      <c r="AU91" s="207" t="s">
        <v>81</v>
      </c>
      <c r="AV91" s="207" t="s">
        <v>81</v>
      </c>
      <c r="AW91" s="207" t="s">
        <v>81</v>
      </c>
      <c r="AX91" s="207" t="s">
        <v>81</v>
      </c>
      <c r="AY91" s="207" t="s">
        <v>81</v>
      </c>
      <c r="AZ91" s="207" t="s">
        <v>81</v>
      </c>
      <c r="BA91" s="207" t="s">
        <v>90</v>
      </c>
      <c r="BB91" s="207">
        <v>10800</v>
      </c>
      <c r="BC91" s="207">
        <v>2700</v>
      </c>
      <c r="BD91" s="207">
        <v>0</v>
      </c>
      <c r="BE91" s="207" t="s">
        <v>91</v>
      </c>
      <c r="BF91" s="207"/>
      <c r="BG91" s="207"/>
      <c r="BH91" s="105"/>
      <c r="BI91" s="105"/>
      <c r="BJ91" s="105"/>
      <c r="BK91" s="207"/>
      <c r="BL91" s="105"/>
    </row>
    <row r="92" ht="19.95" customHeight="1">
      <c r="A92" s="207">
        <v>171458</v>
      </c>
      <c r="B92" s="207"/>
      <c r="C92" s="208" t="s">
        <v>1011</v>
      </c>
      <c r="D92" s="207" t="s">
        <v>1012</v>
      </c>
      <c r="E92" s="207" t="s">
        <v>66</v>
      </c>
      <c r="F92" s="208">
        <v>1212605247</v>
      </c>
      <c r="G92" s="207" t="s">
        <v>67</v>
      </c>
      <c r="H92" s="207" t="s">
        <v>68</v>
      </c>
      <c r="I92" s="207" t="s">
        <v>69</v>
      </c>
      <c r="J92" s="208" t="s">
        <v>576</v>
      </c>
      <c r="K92" s="207" t="s">
        <v>71</v>
      </c>
      <c r="L92" s="207" t="s">
        <v>72</v>
      </c>
      <c r="M92" s="4" t="s">
        <v>115</v>
      </c>
      <c r="N92" s="207" t="s">
        <v>74</v>
      </c>
      <c r="O92" s="207" t="s">
        <v>75</v>
      </c>
      <c r="P92" s="207">
        <v>27</v>
      </c>
      <c r="Q92" s="209">
        <v>45408</v>
      </c>
      <c r="R92" s="209">
        <v>45413</v>
      </c>
      <c r="S92" s="210"/>
      <c r="T92" s="210"/>
      <c r="U92" s="207"/>
      <c r="V92" s="207"/>
      <c r="W92" s="105" t="s">
        <v>1013</v>
      </c>
      <c r="X92" s="211">
        <v>1755118705</v>
      </c>
      <c r="Y92" s="208"/>
      <c r="Z92" s="207" t="s">
        <v>1014</v>
      </c>
      <c r="AA92" s="207">
        <v>1300331014</v>
      </c>
      <c r="AB92" s="207" t="s">
        <v>118</v>
      </c>
      <c r="AC92" s="207" t="s">
        <v>102</v>
      </c>
      <c r="AD92" s="210">
        <v>36786</v>
      </c>
      <c r="AE92" s="212">
        <f t="shared" si="3" ca="1"/>
        <v>24.413698630136988</v>
      </c>
      <c r="AF92" s="207" t="s">
        <v>80</v>
      </c>
      <c r="AG92" s="211">
        <v>2859902963</v>
      </c>
      <c r="AH92" s="207" t="s">
        <v>81</v>
      </c>
      <c r="AI92" s="208" t="s">
        <v>347</v>
      </c>
      <c r="AJ92" s="208" t="s">
        <v>81</v>
      </c>
      <c r="AK92" s="208">
        <v>2023</v>
      </c>
      <c r="AL92" s="207" t="s">
        <v>1015</v>
      </c>
      <c r="AM92" s="207" t="s">
        <v>1016</v>
      </c>
      <c r="AN92" s="207" t="s">
        <v>1014</v>
      </c>
      <c r="AO92" s="207" t="s">
        <v>1017</v>
      </c>
      <c r="AP92" s="207" t="s">
        <v>1018</v>
      </c>
      <c r="AQ92" s="208" t="s">
        <v>727</v>
      </c>
      <c r="AR92" s="207" t="s">
        <v>110</v>
      </c>
      <c r="AS92" s="207" t="s">
        <v>81</v>
      </c>
      <c r="AT92" s="213" t="s">
        <v>81</v>
      </c>
      <c r="AU92" s="207" t="s">
        <v>81</v>
      </c>
      <c r="AV92" s="207" t="s">
        <v>81</v>
      </c>
      <c r="AW92" s="207" t="s">
        <v>81</v>
      </c>
      <c r="AX92" s="207" t="s">
        <v>81</v>
      </c>
      <c r="AY92" s="207" t="s">
        <v>81</v>
      </c>
      <c r="AZ92" s="207" t="s">
        <v>81</v>
      </c>
      <c r="BA92" s="207" t="s">
        <v>90</v>
      </c>
      <c r="BB92" s="207">
        <v>10800</v>
      </c>
      <c r="BC92" s="207">
        <v>2700</v>
      </c>
      <c r="BD92" s="207">
        <v>0</v>
      </c>
      <c r="BE92" s="207" t="s">
        <v>91</v>
      </c>
      <c r="BF92" s="207"/>
      <c r="BG92" s="207"/>
      <c r="BH92" s="105"/>
      <c r="BI92" s="105"/>
      <c r="BJ92" s="105"/>
      <c r="BK92" s="207"/>
      <c r="BL92" s="105"/>
    </row>
    <row r="93" ht="19.95" customHeight="1">
      <c r="A93" s="207">
        <v>171460</v>
      </c>
      <c r="B93" s="207"/>
      <c r="C93" s="208" t="s">
        <v>1019</v>
      </c>
      <c r="D93" s="207" t="s">
        <v>1020</v>
      </c>
      <c r="E93" s="207" t="s">
        <v>114</v>
      </c>
      <c r="F93" s="208">
        <v>581711</v>
      </c>
      <c r="G93" s="207" t="s">
        <v>67</v>
      </c>
      <c r="H93" s="207" t="s">
        <v>68</v>
      </c>
      <c r="I93" s="207" t="s">
        <v>69</v>
      </c>
      <c r="J93" s="208" t="s">
        <v>297</v>
      </c>
      <c r="K93" s="207" t="s">
        <v>71</v>
      </c>
      <c r="L93" s="207" t="s">
        <v>72</v>
      </c>
      <c r="M93" s="4" t="s">
        <v>287</v>
      </c>
      <c r="N93" s="207" t="s">
        <v>74</v>
      </c>
      <c r="O93" s="207" t="s">
        <v>75</v>
      </c>
      <c r="P93" s="207">
        <v>27</v>
      </c>
      <c r="Q93" s="209">
        <v>45408</v>
      </c>
      <c r="R93" s="209">
        <v>45413</v>
      </c>
      <c r="S93" s="210"/>
      <c r="T93" s="210"/>
      <c r="U93" s="207"/>
      <c r="V93" s="207"/>
      <c r="W93" s="105" t="s">
        <v>1021</v>
      </c>
      <c r="X93" s="211">
        <v>1836738378</v>
      </c>
      <c r="Y93" s="208"/>
      <c r="Z93" s="207" t="s">
        <v>1022</v>
      </c>
      <c r="AA93" s="207">
        <v>1600369413</v>
      </c>
      <c r="AB93" s="207" t="s">
        <v>382</v>
      </c>
      <c r="AC93" s="207" t="s">
        <v>119</v>
      </c>
      <c r="AD93" s="210">
        <v>32509</v>
      </c>
      <c r="AE93" s="212">
        <f t="shared" si="3" ca="1"/>
        <v>36.131506849315066</v>
      </c>
      <c r="AF93" s="207" t="s">
        <v>80</v>
      </c>
      <c r="AG93" s="211">
        <v>7793387361</v>
      </c>
      <c r="AH93" s="207" t="s">
        <v>81</v>
      </c>
      <c r="AI93" s="208" t="s">
        <v>1023</v>
      </c>
      <c r="AJ93" s="208" t="s">
        <v>81</v>
      </c>
      <c r="AK93" s="208">
        <v>2019</v>
      </c>
      <c r="AL93" s="207" t="s">
        <v>1024</v>
      </c>
      <c r="AM93" s="207" t="s">
        <v>1025</v>
      </c>
      <c r="AN93" s="207" t="s">
        <v>1026</v>
      </c>
      <c r="AO93" s="207" t="s">
        <v>1027</v>
      </c>
      <c r="AP93" s="207" t="s">
        <v>1028</v>
      </c>
      <c r="AQ93" s="208" t="s">
        <v>499</v>
      </c>
      <c r="AR93" s="207" t="s">
        <v>110</v>
      </c>
      <c r="AS93" s="207" t="s">
        <v>81</v>
      </c>
      <c r="AT93" s="213" t="s">
        <v>81</v>
      </c>
      <c r="AU93" s="207" t="s">
        <v>81</v>
      </c>
      <c r="AV93" s="207" t="s">
        <v>81</v>
      </c>
      <c r="AW93" s="207" t="s">
        <v>81</v>
      </c>
      <c r="AX93" s="207" t="s">
        <v>81</v>
      </c>
      <c r="AY93" s="207" t="s">
        <v>81</v>
      </c>
      <c r="AZ93" s="207" t="s">
        <v>81</v>
      </c>
      <c r="BA93" s="207" t="s">
        <v>90</v>
      </c>
      <c r="BB93" s="207">
        <v>10800</v>
      </c>
      <c r="BC93" s="207">
        <v>2700</v>
      </c>
      <c r="BD93" s="207">
        <v>0</v>
      </c>
      <c r="BE93" s="207" t="s">
        <v>91</v>
      </c>
      <c r="BF93" s="207"/>
      <c r="BG93" s="207"/>
      <c r="BH93" s="105"/>
      <c r="BI93" s="105"/>
      <c r="BJ93" s="105"/>
      <c r="BK93" s="207"/>
      <c r="BL93" s="105"/>
    </row>
    <row r="94" ht="19.95" customHeight="1">
      <c r="A94" s="207">
        <v>171461</v>
      </c>
      <c r="B94" s="207"/>
      <c r="C94" s="208" t="s">
        <v>1029</v>
      </c>
      <c r="D94" s="207" t="s">
        <v>1030</v>
      </c>
      <c r="E94" s="207" t="s">
        <v>66</v>
      </c>
      <c r="F94" s="208">
        <v>1310588269</v>
      </c>
      <c r="G94" s="207" t="s">
        <v>67</v>
      </c>
      <c r="H94" s="207" t="s">
        <v>68</v>
      </c>
      <c r="I94" s="207" t="s">
        <v>69</v>
      </c>
      <c r="J94" s="208" t="s">
        <v>319</v>
      </c>
      <c r="K94" s="207" t="s">
        <v>71</v>
      </c>
      <c r="L94" s="207" t="s">
        <v>72</v>
      </c>
      <c r="M94" s="4" t="s">
        <v>73</v>
      </c>
      <c r="N94" s="207" t="s">
        <v>74</v>
      </c>
      <c r="O94" s="207" t="s">
        <v>75</v>
      </c>
      <c r="P94" s="207">
        <v>27</v>
      </c>
      <c r="Q94" s="209">
        <v>45408</v>
      </c>
      <c r="R94" s="209">
        <v>45413</v>
      </c>
      <c r="S94" s="210"/>
      <c r="T94" s="210"/>
      <c r="U94" s="207"/>
      <c r="V94" s="207"/>
      <c r="W94" s="105" t="s">
        <v>1031</v>
      </c>
      <c r="X94" s="211">
        <v>1767125882</v>
      </c>
      <c r="Y94" s="208">
        <v>1929739806</v>
      </c>
      <c r="Z94" s="207" t="s">
        <v>1032</v>
      </c>
      <c r="AA94" s="207">
        <v>1929739806</v>
      </c>
      <c r="AB94" s="207" t="s">
        <v>132</v>
      </c>
      <c r="AC94" s="207" t="s">
        <v>133</v>
      </c>
      <c r="AD94" s="210">
        <v>36795</v>
      </c>
      <c r="AE94" s="212">
        <f t="shared" si="3" ca="1"/>
        <v>24.389041095890413</v>
      </c>
      <c r="AF94" s="207" t="s">
        <v>80</v>
      </c>
      <c r="AG94" s="211">
        <v>6914521510</v>
      </c>
      <c r="AH94" s="207" t="s">
        <v>81</v>
      </c>
      <c r="AI94" s="208" t="s">
        <v>1033</v>
      </c>
      <c r="AJ94" s="208" t="s">
        <v>81</v>
      </c>
      <c r="AK94" s="208">
        <v>2023</v>
      </c>
      <c r="AL94" s="207" t="s">
        <v>1034</v>
      </c>
      <c r="AM94" s="207" t="s">
        <v>1035</v>
      </c>
      <c r="AN94" s="207" t="s">
        <v>1032</v>
      </c>
      <c r="AO94" s="207" t="s">
        <v>1036</v>
      </c>
      <c r="AP94" s="207" t="s">
        <v>1037</v>
      </c>
      <c r="AQ94" s="208" t="s">
        <v>666</v>
      </c>
      <c r="AR94" s="207" t="s">
        <v>110</v>
      </c>
      <c r="AS94" s="207" t="s">
        <v>81</v>
      </c>
      <c r="AT94" s="213" t="s">
        <v>81</v>
      </c>
      <c r="AU94" s="207" t="s">
        <v>81</v>
      </c>
      <c r="AV94" s="207" t="s">
        <v>81</v>
      </c>
      <c r="AW94" s="207" t="s">
        <v>81</v>
      </c>
      <c r="AX94" s="207" t="s">
        <v>81</v>
      </c>
      <c r="AY94" s="207" t="s">
        <v>81</v>
      </c>
      <c r="AZ94" s="207" t="s">
        <v>81</v>
      </c>
      <c r="BA94" s="207" t="s">
        <v>90</v>
      </c>
      <c r="BB94" s="207">
        <v>10800</v>
      </c>
      <c r="BC94" s="207">
        <v>2700</v>
      </c>
      <c r="BD94" s="207">
        <v>0</v>
      </c>
      <c r="BE94" s="207" t="s">
        <v>91</v>
      </c>
      <c r="BF94" s="207"/>
      <c r="BG94" s="207"/>
      <c r="BH94" s="105"/>
      <c r="BI94" s="105"/>
      <c r="BJ94" s="105"/>
      <c r="BK94" s="207">
        <v>1767125882</v>
      </c>
      <c r="BL94" s="105"/>
    </row>
    <row r="95" ht="19.95" customHeight="1">
      <c r="A95" s="207">
        <v>171462</v>
      </c>
      <c r="B95" s="207"/>
      <c r="C95" s="208" t="s">
        <v>1038</v>
      </c>
      <c r="D95" s="207" t="s">
        <v>1039</v>
      </c>
      <c r="E95" s="207" t="s">
        <v>66</v>
      </c>
      <c r="F95" s="208">
        <v>332539</v>
      </c>
      <c r="G95" s="207" t="s">
        <v>67</v>
      </c>
      <c r="H95" s="207" t="s">
        <v>68</v>
      </c>
      <c r="I95" s="207" t="s">
        <v>69</v>
      </c>
      <c r="J95" s="208" t="s">
        <v>341</v>
      </c>
      <c r="K95" s="207" t="s">
        <v>71</v>
      </c>
      <c r="L95" s="207" t="s">
        <v>72</v>
      </c>
      <c r="M95" s="4" t="s">
        <v>342</v>
      </c>
      <c r="N95" s="207" t="s">
        <v>74</v>
      </c>
      <c r="O95" s="207" t="s">
        <v>75</v>
      </c>
      <c r="P95" s="207">
        <v>27</v>
      </c>
      <c r="Q95" s="209">
        <v>45408</v>
      </c>
      <c r="R95" s="209">
        <v>45415</v>
      </c>
      <c r="S95" s="210"/>
      <c r="T95" s="210"/>
      <c r="U95" s="207"/>
      <c r="V95" s="207"/>
      <c r="W95" s="105" t="s">
        <v>1040</v>
      </c>
      <c r="X95" s="211">
        <v>1739803012</v>
      </c>
      <c r="Y95" s="208"/>
      <c r="Z95" s="207" t="s">
        <v>1041</v>
      </c>
      <c r="AA95" s="207" t="s">
        <v>1042</v>
      </c>
      <c r="AB95" s="207" t="s">
        <v>1043</v>
      </c>
      <c r="AC95" s="207" t="s">
        <v>79</v>
      </c>
      <c r="AD95" s="210">
        <v>34319</v>
      </c>
      <c r="AE95" s="212">
        <f t="shared" si="3" ca="1"/>
        <v>31.172602739726027</v>
      </c>
      <c r="AF95" s="207" t="s">
        <v>80</v>
      </c>
      <c r="AG95" s="211">
        <v>5084621340</v>
      </c>
      <c r="AH95" s="207" t="s">
        <v>81</v>
      </c>
      <c r="AI95" s="208" t="s">
        <v>241</v>
      </c>
      <c r="AJ95" s="208" t="s">
        <v>81</v>
      </c>
      <c r="AK95" s="208">
        <v>2021</v>
      </c>
      <c r="AL95" s="207" t="s">
        <v>1044</v>
      </c>
      <c r="AM95" s="207" t="s">
        <v>1045</v>
      </c>
      <c r="AN95" s="207" t="s">
        <v>1046</v>
      </c>
      <c r="AO95" s="207" t="s">
        <v>1047</v>
      </c>
      <c r="AP95" s="207" t="s">
        <v>1048</v>
      </c>
      <c r="AQ95" s="208" t="s">
        <v>1049</v>
      </c>
      <c r="AR95" s="207" t="s">
        <v>110</v>
      </c>
      <c r="AS95" s="207" t="s">
        <v>81</v>
      </c>
      <c r="AT95" s="213" t="s">
        <v>81</v>
      </c>
      <c r="AU95" s="207" t="s">
        <v>81</v>
      </c>
      <c r="AV95" s="207" t="s">
        <v>81</v>
      </c>
      <c r="AW95" s="207" t="s">
        <v>81</v>
      </c>
      <c r="AX95" s="207" t="s">
        <v>81</v>
      </c>
      <c r="AY95" s="207" t="s">
        <v>81</v>
      </c>
      <c r="AZ95" s="207" t="s">
        <v>81</v>
      </c>
      <c r="BA95" s="207" t="s">
        <v>90</v>
      </c>
      <c r="BB95" s="207">
        <v>10800</v>
      </c>
      <c r="BC95" s="207">
        <v>2700</v>
      </c>
      <c r="BD95" s="207">
        <v>0</v>
      </c>
      <c r="BE95" s="207" t="s">
        <v>91</v>
      </c>
      <c r="BF95" s="207"/>
      <c r="BG95" s="207"/>
      <c r="BH95" s="105"/>
      <c r="BI95" s="105"/>
      <c r="BJ95" s="105"/>
      <c r="BK95" s="207">
        <v>1739803012</v>
      </c>
      <c r="BL95" s="105"/>
    </row>
    <row r="96" ht="19.95" customHeight="1">
      <c r="A96" s="207">
        <v>171465</v>
      </c>
      <c r="B96" s="207"/>
      <c r="C96" s="208" t="s">
        <v>1050</v>
      </c>
      <c r="D96" s="207" t="s">
        <v>1051</v>
      </c>
      <c r="E96" s="207" t="s">
        <v>66</v>
      </c>
      <c r="F96" s="208">
        <v>530082</v>
      </c>
      <c r="G96" s="207" t="s">
        <v>67</v>
      </c>
      <c r="H96" s="207" t="s">
        <v>68</v>
      </c>
      <c r="I96" s="207" t="s">
        <v>69</v>
      </c>
      <c r="J96" s="208" t="s">
        <v>341</v>
      </c>
      <c r="K96" s="207" t="s">
        <v>71</v>
      </c>
      <c r="L96" s="207" t="s">
        <v>72</v>
      </c>
      <c r="M96" s="4" t="s">
        <v>342</v>
      </c>
      <c r="N96" s="207" t="s">
        <v>74</v>
      </c>
      <c r="O96" s="207" t="s">
        <v>75</v>
      </c>
      <c r="P96" s="207">
        <v>28</v>
      </c>
      <c r="Q96" s="209">
        <v>45419</v>
      </c>
      <c r="R96" s="209">
        <v>45434</v>
      </c>
      <c r="S96" s="210"/>
      <c r="T96" s="210"/>
      <c r="U96" s="207"/>
      <c r="V96" s="207"/>
      <c r="W96" s="105" t="s">
        <v>1052</v>
      </c>
      <c r="X96" s="211">
        <v>1756009301</v>
      </c>
      <c r="Y96" s="208">
        <v>1945742674</v>
      </c>
      <c r="Z96" s="207" t="s">
        <v>1053</v>
      </c>
      <c r="AA96" s="207">
        <v>1945742674</v>
      </c>
      <c r="AB96" s="207" t="s">
        <v>101</v>
      </c>
      <c r="AC96" s="207" t="s">
        <v>79</v>
      </c>
      <c r="AD96" s="210">
        <v>33409</v>
      </c>
      <c r="AE96" s="212">
        <f t="shared" si="3" ca="1"/>
        <v>33.66575342465753</v>
      </c>
      <c r="AF96" s="207" t="s">
        <v>80</v>
      </c>
      <c r="AG96" s="211">
        <v>5085056967</v>
      </c>
      <c r="AH96" s="207" t="s">
        <v>81</v>
      </c>
      <c r="AI96" s="208" t="s">
        <v>322</v>
      </c>
      <c r="AJ96" s="208" t="s">
        <v>81</v>
      </c>
      <c r="AK96" s="208">
        <v>2015</v>
      </c>
      <c r="AL96" s="207" t="s">
        <v>1054</v>
      </c>
      <c r="AM96" s="207" t="s">
        <v>1055</v>
      </c>
      <c r="AN96" s="207" t="s">
        <v>1056</v>
      </c>
      <c r="AO96" s="207" t="s">
        <v>1057</v>
      </c>
      <c r="AP96" s="207" t="s">
        <v>1057</v>
      </c>
      <c r="AQ96" s="208" t="s">
        <v>1058</v>
      </c>
      <c r="AR96" s="207" t="s">
        <v>110</v>
      </c>
      <c r="AS96" s="207" t="s">
        <v>81</v>
      </c>
      <c r="AT96" s="213" t="s">
        <v>81</v>
      </c>
      <c r="AU96" s="207" t="s">
        <v>81</v>
      </c>
      <c r="AV96" s="207" t="s">
        <v>81</v>
      </c>
      <c r="AW96" s="207" t="s">
        <v>81</v>
      </c>
      <c r="AX96" s="207" t="s">
        <v>81</v>
      </c>
      <c r="AY96" s="207" t="s">
        <v>81</v>
      </c>
      <c r="AZ96" s="207" t="s">
        <v>81</v>
      </c>
      <c r="BA96" s="207" t="s">
        <v>90</v>
      </c>
      <c r="BB96" s="207">
        <v>10800</v>
      </c>
      <c r="BC96" s="207">
        <v>2700</v>
      </c>
      <c r="BD96" s="207">
        <v>0</v>
      </c>
      <c r="BE96" s="207" t="s">
        <v>91</v>
      </c>
      <c r="BF96" s="207"/>
      <c r="BG96" s="207"/>
      <c r="BH96" s="105"/>
      <c r="BI96" s="105"/>
      <c r="BJ96" s="105"/>
      <c r="BK96" s="207">
        <v>1911118298</v>
      </c>
      <c r="BL96" s="105"/>
    </row>
    <row r="97" ht="19.95" customHeight="1">
      <c r="A97" s="207">
        <v>171468</v>
      </c>
      <c r="B97" s="207"/>
      <c r="C97" s="208" t="s">
        <v>1059</v>
      </c>
      <c r="D97" s="207" t="s">
        <v>1060</v>
      </c>
      <c r="E97" s="207" t="s">
        <v>114</v>
      </c>
      <c r="F97" s="208">
        <v>397603</v>
      </c>
      <c r="G97" s="207" t="s">
        <v>67</v>
      </c>
      <c r="H97" s="207" t="s">
        <v>68</v>
      </c>
      <c r="I97" s="207" t="s">
        <v>69</v>
      </c>
      <c r="J97" s="208" t="s">
        <v>307</v>
      </c>
      <c r="K97" s="207" t="s">
        <v>71</v>
      </c>
      <c r="L97" s="207" t="s">
        <v>72</v>
      </c>
      <c r="M97" s="4" t="s">
        <v>458</v>
      </c>
      <c r="N97" s="207" t="s">
        <v>74</v>
      </c>
      <c r="O97" s="207" t="s">
        <v>75</v>
      </c>
      <c r="P97" s="207">
        <v>28</v>
      </c>
      <c r="Q97" s="209">
        <v>45419</v>
      </c>
      <c r="R97" s="209">
        <v>45434</v>
      </c>
      <c r="S97" s="210"/>
      <c r="T97" s="210"/>
      <c r="U97" s="207"/>
      <c r="V97" s="207"/>
      <c r="W97" s="105" t="s">
        <v>1061</v>
      </c>
      <c r="X97" s="211">
        <v>1937150947</v>
      </c>
      <c r="Y97" s="208">
        <v>1710928221</v>
      </c>
      <c r="Z97" s="207" t="s">
        <v>132</v>
      </c>
      <c r="AA97" s="207">
        <v>1721252203</v>
      </c>
      <c r="AB97" s="207" t="s">
        <v>132</v>
      </c>
      <c r="AC97" s="207" t="s">
        <v>133</v>
      </c>
      <c r="AD97" s="210">
        <v>31734</v>
      </c>
      <c r="AE97" s="212">
        <f t="shared" si="3" ca="1"/>
        <v>38.25479452054795</v>
      </c>
      <c r="AF97" s="207" t="s">
        <v>360</v>
      </c>
      <c r="AG97" s="211">
        <v>1943442770</v>
      </c>
      <c r="AH97" s="207" t="s">
        <v>81</v>
      </c>
      <c r="AI97" s="208" t="s">
        <v>1062</v>
      </c>
      <c r="AJ97" s="208" t="s">
        <v>81</v>
      </c>
      <c r="AK97" s="208">
        <v>2015</v>
      </c>
      <c r="AL97" s="207" t="s">
        <v>1063</v>
      </c>
      <c r="AM97" s="207" t="s">
        <v>1064</v>
      </c>
      <c r="AN97" s="207" t="s">
        <v>1065</v>
      </c>
      <c r="AO97" s="207" t="s">
        <v>1066</v>
      </c>
      <c r="AP97" s="207" t="s">
        <v>1067</v>
      </c>
      <c r="AQ97" s="208" t="s">
        <v>1068</v>
      </c>
      <c r="AR97" s="207" t="s">
        <v>89</v>
      </c>
      <c r="AS97" s="207" t="s">
        <v>81</v>
      </c>
      <c r="AT97" s="213" t="s">
        <v>1069</v>
      </c>
      <c r="AU97" s="207" t="s">
        <v>1070</v>
      </c>
      <c r="AV97" s="207" t="s">
        <v>81</v>
      </c>
      <c r="AW97" s="207" t="s">
        <v>81</v>
      </c>
      <c r="AX97" s="207" t="s">
        <v>81</v>
      </c>
      <c r="AY97" s="207" t="s">
        <v>81</v>
      </c>
      <c r="AZ97" s="207" t="s">
        <v>81</v>
      </c>
      <c r="BA97" s="207" t="s">
        <v>90</v>
      </c>
      <c r="BB97" s="207">
        <v>10800</v>
      </c>
      <c r="BC97" s="207">
        <v>2700</v>
      </c>
      <c r="BD97" s="207">
        <v>0</v>
      </c>
      <c r="BE97" s="207" t="s">
        <v>91</v>
      </c>
      <c r="BF97" s="207"/>
      <c r="BG97" s="207"/>
      <c r="BH97" s="105"/>
      <c r="BI97" s="105"/>
      <c r="BJ97" s="105"/>
      <c r="BK97" s="207">
        <v>1937150947</v>
      </c>
      <c r="BL97" s="105"/>
    </row>
    <row r="98" ht="19.95" customHeight="1">
      <c r="A98" s="207">
        <v>171471</v>
      </c>
      <c r="B98" s="207"/>
      <c r="C98" s="208" t="s">
        <v>1071</v>
      </c>
      <c r="D98" s="207" t="s">
        <v>1072</v>
      </c>
      <c r="E98" s="207" t="s">
        <v>114</v>
      </c>
      <c r="F98" s="208">
        <v>1410949036</v>
      </c>
      <c r="G98" s="207" t="s">
        <v>67</v>
      </c>
      <c r="H98" s="207" t="s">
        <v>68</v>
      </c>
      <c r="I98" s="207" t="s">
        <v>69</v>
      </c>
      <c r="J98" s="208" t="s">
        <v>97</v>
      </c>
      <c r="K98" s="207" t="s">
        <v>71</v>
      </c>
      <c r="L98" s="207" t="s">
        <v>72</v>
      </c>
      <c r="M98" s="4" t="s">
        <v>73</v>
      </c>
      <c r="N98" s="207" t="s">
        <v>74</v>
      </c>
      <c r="O98" s="207" t="s">
        <v>75</v>
      </c>
      <c r="P98" s="207">
        <v>28</v>
      </c>
      <c r="Q98" s="209">
        <v>45419</v>
      </c>
      <c r="R98" s="209">
        <v>45428</v>
      </c>
      <c r="S98" s="210"/>
      <c r="T98" s="210"/>
      <c r="U98" s="207"/>
      <c r="V98" s="207"/>
      <c r="W98" s="105" t="s">
        <v>1073</v>
      </c>
      <c r="X98" s="211">
        <v>1521326041</v>
      </c>
      <c r="Y98" s="208">
        <v>1819486114</v>
      </c>
      <c r="Z98" s="207" t="s">
        <v>1074</v>
      </c>
      <c r="AA98" s="207">
        <v>1819486114</v>
      </c>
      <c r="AB98" s="207" t="s">
        <v>132</v>
      </c>
      <c r="AC98" s="207" t="s">
        <v>79</v>
      </c>
      <c r="AD98" s="210">
        <v>36954</v>
      </c>
      <c r="AE98" s="212">
        <f t="shared" si="3" ca="1"/>
        <v>23.953424657534246</v>
      </c>
      <c r="AF98" s="207" t="s">
        <v>80</v>
      </c>
      <c r="AG98" s="211">
        <v>1964270464</v>
      </c>
      <c r="AH98" s="207" t="s">
        <v>81</v>
      </c>
      <c r="AI98" s="208" t="s">
        <v>290</v>
      </c>
      <c r="AJ98" s="208" t="s">
        <v>81</v>
      </c>
      <c r="AK98" s="208">
        <v>2024</v>
      </c>
      <c r="AL98" s="207" t="s">
        <v>995</v>
      </c>
      <c r="AM98" s="207" t="s">
        <v>1075</v>
      </c>
      <c r="AN98" s="207" t="s">
        <v>1074</v>
      </c>
      <c r="AO98" s="207" t="s">
        <v>1076</v>
      </c>
      <c r="AP98" s="207" t="s">
        <v>1076</v>
      </c>
      <c r="AQ98" s="208" t="s">
        <v>203</v>
      </c>
      <c r="AR98" s="207" t="s">
        <v>110</v>
      </c>
      <c r="AS98" s="207" t="s">
        <v>1077</v>
      </c>
      <c r="AT98" s="213" t="s">
        <v>81</v>
      </c>
      <c r="AU98" s="207" t="s">
        <v>81</v>
      </c>
      <c r="AV98" s="207" t="s">
        <v>81</v>
      </c>
      <c r="AW98" s="207" t="s">
        <v>81</v>
      </c>
      <c r="AX98" s="207" t="s">
        <v>81</v>
      </c>
      <c r="AY98" s="207" t="s">
        <v>81</v>
      </c>
      <c r="AZ98" s="207" t="s">
        <v>81</v>
      </c>
      <c r="BA98" s="207" t="s">
        <v>90</v>
      </c>
      <c r="BB98" s="207">
        <v>10800</v>
      </c>
      <c r="BC98" s="207">
        <v>2700</v>
      </c>
      <c r="BD98" s="207">
        <v>0</v>
      </c>
      <c r="BE98" s="207" t="s">
        <v>91</v>
      </c>
      <c r="BF98" s="207"/>
      <c r="BG98" s="207"/>
      <c r="BH98" s="105"/>
      <c r="BI98" s="105"/>
      <c r="BJ98" s="105"/>
      <c r="BK98" s="207">
        <v>1973941344</v>
      </c>
      <c r="BL98" s="105"/>
    </row>
    <row r="99" ht="19.95" customHeight="1">
      <c r="A99" s="207">
        <v>171472</v>
      </c>
      <c r="B99" s="207"/>
      <c r="C99" s="208" t="s">
        <v>1078</v>
      </c>
      <c r="D99" s="207" t="s">
        <v>1079</v>
      </c>
      <c r="E99" s="207" t="s">
        <v>114</v>
      </c>
      <c r="F99" s="208">
        <v>1410461651</v>
      </c>
      <c r="G99" s="207" t="s">
        <v>67</v>
      </c>
      <c r="H99" s="207" t="s">
        <v>68</v>
      </c>
      <c r="I99" s="207" t="s">
        <v>69</v>
      </c>
      <c r="J99" s="208" t="s">
        <v>297</v>
      </c>
      <c r="K99" s="207" t="s">
        <v>71</v>
      </c>
      <c r="L99" s="207" t="s">
        <v>72</v>
      </c>
      <c r="M99" s="4" t="s">
        <v>287</v>
      </c>
      <c r="N99" s="207" t="s">
        <v>74</v>
      </c>
      <c r="O99" s="207" t="s">
        <v>75</v>
      </c>
      <c r="P99" s="207">
        <v>28</v>
      </c>
      <c r="Q99" s="209">
        <v>45419</v>
      </c>
      <c r="R99" s="209">
        <v>45434</v>
      </c>
      <c r="S99" s="210"/>
      <c r="T99" s="210"/>
      <c r="U99" s="207"/>
      <c r="V99" s="207"/>
      <c r="W99" s="105" t="s">
        <v>1080</v>
      </c>
      <c r="X99" s="211">
        <v>1711139417</v>
      </c>
      <c r="Y99" s="208"/>
      <c r="Z99" s="207" t="s">
        <v>1081</v>
      </c>
      <c r="AA99" s="207">
        <v>1970601552</v>
      </c>
      <c r="AB99" s="207" t="s">
        <v>101</v>
      </c>
      <c r="AC99" s="207" t="s">
        <v>79</v>
      </c>
      <c r="AD99" s="210">
        <v>36545</v>
      </c>
      <c r="AE99" s="212">
        <f t="shared" si="3" ca="1"/>
        <v>25.073972602739726</v>
      </c>
      <c r="AF99" s="207" t="s">
        <v>80</v>
      </c>
      <c r="AG99" s="211">
        <v>1030575151</v>
      </c>
      <c r="AH99" s="207" t="s">
        <v>81</v>
      </c>
      <c r="AI99" s="208" t="s">
        <v>1082</v>
      </c>
      <c r="AJ99" s="208" t="s">
        <v>81</v>
      </c>
      <c r="AK99" s="208">
        <v>2023</v>
      </c>
      <c r="AL99" s="207" t="s">
        <v>1083</v>
      </c>
      <c r="AM99" s="207" t="s">
        <v>1081</v>
      </c>
      <c r="AN99" s="207" t="s">
        <v>1084</v>
      </c>
      <c r="AO99" s="207" t="s">
        <v>1085</v>
      </c>
      <c r="AP99" s="207" t="s">
        <v>1086</v>
      </c>
      <c r="AQ99" s="208" t="s">
        <v>1087</v>
      </c>
      <c r="AR99" s="207" t="s">
        <v>110</v>
      </c>
      <c r="AS99" s="207" t="s">
        <v>81</v>
      </c>
      <c r="AT99" s="213" t="s">
        <v>81</v>
      </c>
      <c r="AU99" s="207" t="s">
        <v>81</v>
      </c>
      <c r="AV99" s="207" t="s">
        <v>81</v>
      </c>
      <c r="AW99" s="207" t="s">
        <v>81</v>
      </c>
      <c r="AX99" s="207" t="s">
        <v>81</v>
      </c>
      <c r="AY99" s="207" t="s">
        <v>81</v>
      </c>
      <c r="AZ99" s="207" t="s">
        <v>81</v>
      </c>
      <c r="BA99" s="207" t="s">
        <v>90</v>
      </c>
      <c r="BB99" s="207">
        <v>10800</v>
      </c>
      <c r="BC99" s="207">
        <v>2700</v>
      </c>
      <c r="BD99" s="207">
        <v>0</v>
      </c>
      <c r="BE99" s="207" t="s">
        <v>91</v>
      </c>
      <c r="BF99" s="207"/>
      <c r="BG99" s="207"/>
      <c r="BH99" s="105"/>
      <c r="BI99" s="105"/>
      <c r="BJ99" s="105"/>
      <c r="BK99" s="207">
        <v>1711139417</v>
      </c>
      <c r="BL99" s="105"/>
    </row>
    <row r="100" ht="19.95" customHeight="1">
      <c r="A100" s="207">
        <v>171474</v>
      </c>
      <c r="B100" s="207"/>
      <c r="C100" s="208"/>
      <c r="D100" s="207" t="s">
        <v>1088</v>
      </c>
      <c r="E100" s="207" t="s">
        <v>114</v>
      </c>
      <c r="F100" s="208">
        <v>566701</v>
      </c>
      <c r="G100" s="207" t="s">
        <v>67</v>
      </c>
      <c r="H100" s="207" t="s">
        <v>68</v>
      </c>
      <c r="I100" s="207" t="s">
        <v>69</v>
      </c>
      <c r="J100" s="208" t="s">
        <v>297</v>
      </c>
      <c r="K100" s="207" t="s">
        <v>71</v>
      </c>
      <c r="L100" s="207" t="s">
        <v>72</v>
      </c>
      <c r="M100" s="4" t="s">
        <v>73</v>
      </c>
      <c r="N100" s="207" t="s">
        <v>74</v>
      </c>
      <c r="O100" s="207" t="s">
        <v>75</v>
      </c>
      <c r="P100" s="207">
        <v>28</v>
      </c>
      <c r="Q100" s="209">
        <v>45419</v>
      </c>
      <c r="R100" s="209">
        <v>45434</v>
      </c>
      <c r="S100" s="210"/>
      <c r="T100" s="210"/>
      <c r="U100" s="207"/>
      <c r="V100" s="207"/>
      <c r="W100" s="105" t="s">
        <v>1089</v>
      </c>
      <c r="X100" s="211">
        <v>1819148012</v>
      </c>
      <c r="Y100" s="208"/>
      <c r="Z100" s="207" t="s">
        <v>1090</v>
      </c>
      <c r="AA100" s="207">
        <v>1303131139</v>
      </c>
      <c r="AB100" s="207" t="s">
        <v>252</v>
      </c>
      <c r="AC100" s="207" t="s">
        <v>79</v>
      </c>
      <c r="AD100" s="210">
        <v>35267</v>
      </c>
      <c r="AE100" s="212">
        <f t="shared" si="3" ca="1"/>
        <v>28.575342465753426</v>
      </c>
      <c r="AF100" s="207" t="s">
        <v>80</v>
      </c>
      <c r="AG100" s="211">
        <v>8703314487</v>
      </c>
      <c r="AH100" s="207" t="s">
        <v>81</v>
      </c>
      <c r="AI100" s="208" t="s">
        <v>683</v>
      </c>
      <c r="AJ100" s="208" t="s">
        <v>81</v>
      </c>
      <c r="AK100" s="208">
        <v>2019</v>
      </c>
      <c r="AL100" s="207" t="s">
        <v>1091</v>
      </c>
      <c r="AM100" s="207" t="s">
        <v>1092</v>
      </c>
      <c r="AN100" s="207" t="s">
        <v>1093</v>
      </c>
      <c r="AO100" s="207" t="s">
        <v>1094</v>
      </c>
      <c r="AP100" s="207" t="s">
        <v>1095</v>
      </c>
      <c r="AQ100" s="208" t="s">
        <v>1096</v>
      </c>
      <c r="AR100" s="207" t="s">
        <v>110</v>
      </c>
      <c r="AS100" s="207" t="s">
        <v>81</v>
      </c>
      <c r="AT100" s="213" t="s">
        <v>81</v>
      </c>
      <c r="AU100" s="207" t="s">
        <v>81</v>
      </c>
      <c r="AV100" s="207" t="s">
        <v>81</v>
      </c>
      <c r="AW100" s="207" t="s">
        <v>81</v>
      </c>
      <c r="AX100" s="207" t="s">
        <v>81</v>
      </c>
      <c r="AY100" s="207" t="s">
        <v>81</v>
      </c>
      <c r="AZ100" s="207" t="s">
        <v>81</v>
      </c>
      <c r="BA100" s="207" t="s">
        <v>90</v>
      </c>
      <c r="BB100" s="207">
        <v>10800</v>
      </c>
      <c r="BC100" s="207">
        <v>2700</v>
      </c>
      <c r="BD100" s="207">
        <v>0</v>
      </c>
      <c r="BE100" s="207" t="s">
        <v>91</v>
      </c>
      <c r="BF100" s="207"/>
      <c r="BG100" s="207"/>
      <c r="BH100" s="105"/>
      <c r="BI100" s="105"/>
      <c r="BJ100" s="105"/>
      <c r="BK100" s="207">
        <v>1819148012</v>
      </c>
      <c r="BL100" s="105"/>
    </row>
    <row r="101" ht="19.95" customHeight="1">
      <c r="A101" s="207">
        <v>171476</v>
      </c>
      <c r="B101" s="207"/>
      <c r="C101" s="208" t="s">
        <v>1097</v>
      </c>
      <c r="D101" s="207" t="s">
        <v>1098</v>
      </c>
      <c r="E101" s="207" t="s">
        <v>66</v>
      </c>
      <c r="F101" s="208">
        <v>1210864593</v>
      </c>
      <c r="G101" s="207" t="s">
        <v>67</v>
      </c>
      <c r="H101" s="207" t="s">
        <v>68</v>
      </c>
      <c r="I101" s="207" t="s">
        <v>69</v>
      </c>
      <c r="J101" s="208" t="s">
        <v>319</v>
      </c>
      <c r="K101" s="207" t="s">
        <v>71</v>
      </c>
      <c r="L101" s="207" t="s">
        <v>72</v>
      </c>
      <c r="M101" s="4" t="s">
        <v>73</v>
      </c>
      <c r="N101" s="207" t="s">
        <v>74</v>
      </c>
      <c r="O101" s="207" t="s">
        <v>75</v>
      </c>
      <c r="P101" s="207">
        <v>28</v>
      </c>
      <c r="Q101" s="209">
        <v>45419</v>
      </c>
      <c r="R101" s="209">
        <v>45434</v>
      </c>
      <c r="S101" s="210"/>
      <c r="T101" s="210"/>
      <c r="U101" s="207"/>
      <c r="V101" s="207"/>
      <c r="W101" s="105" t="s">
        <v>1099</v>
      </c>
      <c r="X101" s="211">
        <v>1533954125</v>
      </c>
      <c r="Y101" s="208">
        <v>1944001291</v>
      </c>
      <c r="Z101" s="207" t="s">
        <v>1100</v>
      </c>
      <c r="AA101" s="207">
        <v>1725327280</v>
      </c>
      <c r="AB101" s="207" t="s">
        <v>101</v>
      </c>
      <c r="AC101" s="207" t="s">
        <v>133</v>
      </c>
      <c r="AD101" s="210">
        <v>36243</v>
      </c>
      <c r="AE101" s="212">
        <f t="shared" si="3" ca="1"/>
        <v>25.9013698630137</v>
      </c>
      <c r="AF101" s="207" t="s">
        <v>360</v>
      </c>
      <c r="AG101" s="211">
        <v>5107629122</v>
      </c>
      <c r="AH101" s="207" t="s">
        <v>81</v>
      </c>
      <c r="AI101" s="208" t="s">
        <v>1101</v>
      </c>
      <c r="AJ101" s="208" t="s">
        <v>81</v>
      </c>
      <c r="AK101" s="208">
        <v>2024</v>
      </c>
      <c r="AL101" s="207" t="s">
        <v>1102</v>
      </c>
      <c r="AM101" s="207" t="s">
        <v>1100</v>
      </c>
      <c r="AN101" s="207" t="s">
        <v>1103</v>
      </c>
      <c r="AO101" s="207" t="s">
        <v>1104</v>
      </c>
      <c r="AP101" s="207" t="s">
        <v>1104</v>
      </c>
      <c r="AQ101" s="208" t="s">
        <v>666</v>
      </c>
      <c r="AR101" s="207" t="s">
        <v>110</v>
      </c>
      <c r="AS101" s="207" t="s">
        <v>81</v>
      </c>
      <c r="AT101" s="213" t="s">
        <v>81</v>
      </c>
      <c r="AU101" s="207" t="s">
        <v>81</v>
      </c>
      <c r="AV101" s="207" t="s">
        <v>81</v>
      </c>
      <c r="AW101" s="207" t="s">
        <v>81</v>
      </c>
      <c r="AX101" s="207" t="s">
        <v>81</v>
      </c>
      <c r="AY101" s="207" t="s">
        <v>81</v>
      </c>
      <c r="AZ101" s="207" t="s">
        <v>81</v>
      </c>
      <c r="BA101" s="207" t="s">
        <v>90</v>
      </c>
      <c r="BB101" s="207">
        <v>10800</v>
      </c>
      <c r="BC101" s="207">
        <v>2700</v>
      </c>
      <c r="BD101" s="207">
        <v>0</v>
      </c>
      <c r="BE101" s="207" t="s">
        <v>91</v>
      </c>
      <c r="BF101" s="207"/>
      <c r="BG101" s="207"/>
      <c r="BH101" s="105"/>
      <c r="BI101" s="105"/>
      <c r="BJ101" s="105"/>
      <c r="BK101" s="207">
        <v>1533954125</v>
      </c>
      <c r="BL101" s="105"/>
    </row>
    <row r="102" ht="19.95" customHeight="1">
      <c r="A102" s="207">
        <v>171483</v>
      </c>
      <c r="B102" s="207"/>
      <c r="C102" s="208" t="s">
        <v>1105</v>
      </c>
      <c r="D102" s="207" t="s">
        <v>1106</v>
      </c>
      <c r="E102" s="207" t="s">
        <v>114</v>
      </c>
      <c r="F102" s="208">
        <v>1410849212</v>
      </c>
      <c r="G102" s="207" t="s">
        <v>67</v>
      </c>
      <c r="H102" s="207" t="s">
        <v>68</v>
      </c>
      <c r="I102" s="207" t="s">
        <v>69</v>
      </c>
      <c r="J102" s="208" t="s">
        <v>155</v>
      </c>
      <c r="K102" s="207" t="s">
        <v>71</v>
      </c>
      <c r="L102" s="207" t="s">
        <v>72</v>
      </c>
      <c r="M102" s="4" t="s">
        <v>171</v>
      </c>
      <c r="N102" s="207" t="s">
        <v>74</v>
      </c>
      <c r="O102" s="207" t="s">
        <v>75</v>
      </c>
      <c r="P102" s="207">
        <v>28</v>
      </c>
      <c r="Q102" s="209">
        <v>45419</v>
      </c>
      <c r="R102" s="209">
        <v>45438</v>
      </c>
      <c r="S102" s="210"/>
      <c r="T102" s="210"/>
      <c r="U102" s="207"/>
      <c r="V102" s="207"/>
      <c r="W102" s="105" t="s">
        <v>1107</v>
      </c>
      <c r="X102" s="211">
        <v>1956090283</v>
      </c>
      <c r="Y102" s="208">
        <v>1954943389</v>
      </c>
      <c r="Z102" s="207" t="s">
        <v>1108</v>
      </c>
      <c r="AA102" s="207">
        <v>1954943389</v>
      </c>
      <c r="AB102" s="207" t="s">
        <v>132</v>
      </c>
      <c r="AC102" s="207" t="s">
        <v>1109</v>
      </c>
      <c r="AD102" s="210">
        <v>37285</v>
      </c>
      <c r="AE102" s="212">
        <f t="shared" si="3" ca="1"/>
        <v>23.046575342465754</v>
      </c>
      <c r="AF102" s="207" t="s">
        <v>80</v>
      </c>
      <c r="AG102" s="211">
        <v>1963920572</v>
      </c>
      <c r="AH102" s="207" t="s">
        <v>81</v>
      </c>
      <c r="AI102" s="208" t="s">
        <v>322</v>
      </c>
      <c r="AJ102" s="208" t="s">
        <v>81</v>
      </c>
      <c r="AK102" s="208">
        <v>2024</v>
      </c>
      <c r="AL102" s="207" t="s">
        <v>106</v>
      </c>
      <c r="AM102" s="207" t="s">
        <v>1110</v>
      </c>
      <c r="AN102" s="207" t="s">
        <v>1108</v>
      </c>
      <c r="AO102" s="207" t="s">
        <v>1111</v>
      </c>
      <c r="AP102" s="207" t="s">
        <v>1112</v>
      </c>
      <c r="AQ102" s="208" t="s">
        <v>328</v>
      </c>
      <c r="AR102" s="207" t="s">
        <v>110</v>
      </c>
      <c r="AS102" s="207" t="s">
        <v>81</v>
      </c>
      <c r="AT102" s="213" t="s">
        <v>81</v>
      </c>
      <c r="AU102" s="207" t="s">
        <v>81</v>
      </c>
      <c r="AV102" s="207" t="s">
        <v>81</v>
      </c>
      <c r="AW102" s="207" t="s">
        <v>81</v>
      </c>
      <c r="AX102" s="207" t="s">
        <v>81</v>
      </c>
      <c r="AY102" s="207" t="s">
        <v>81</v>
      </c>
      <c r="AZ102" s="207" t="s">
        <v>81</v>
      </c>
      <c r="BA102" s="207" t="s">
        <v>90</v>
      </c>
      <c r="BB102" s="207">
        <v>10800</v>
      </c>
      <c r="BC102" s="207">
        <v>2700</v>
      </c>
      <c r="BD102" s="207">
        <v>1000</v>
      </c>
      <c r="BE102" s="207" t="s">
        <v>166</v>
      </c>
      <c r="BF102" s="207"/>
      <c r="BG102" s="207"/>
      <c r="BH102" s="105"/>
      <c r="BI102" s="105"/>
      <c r="BJ102" s="105"/>
      <c r="BK102" s="207">
        <v>1739511788</v>
      </c>
      <c r="BL102" s="105"/>
    </row>
    <row r="103" ht="19.95" customHeight="1">
      <c r="A103" s="207">
        <v>171484</v>
      </c>
      <c r="B103" s="207"/>
      <c r="C103" s="208" t="s">
        <v>1113</v>
      </c>
      <c r="D103" s="207" t="s">
        <v>1114</v>
      </c>
      <c r="E103" s="207" t="s">
        <v>114</v>
      </c>
      <c r="F103" s="208">
        <v>1118802135</v>
      </c>
      <c r="G103" s="207" t="s">
        <v>67</v>
      </c>
      <c r="H103" s="207" t="s">
        <v>68</v>
      </c>
      <c r="I103" s="207" t="s">
        <v>69</v>
      </c>
      <c r="J103" s="208" t="s">
        <v>319</v>
      </c>
      <c r="K103" s="207" t="s">
        <v>71</v>
      </c>
      <c r="L103" s="207" t="s">
        <v>72</v>
      </c>
      <c r="M103" s="4" t="s">
        <v>73</v>
      </c>
      <c r="N103" s="207" t="s">
        <v>74</v>
      </c>
      <c r="O103" s="207" t="s">
        <v>75</v>
      </c>
      <c r="P103" s="207">
        <v>29</v>
      </c>
      <c r="Q103" s="209">
        <v>45432</v>
      </c>
      <c r="R103" s="209">
        <v>45444</v>
      </c>
      <c r="S103" s="210"/>
      <c r="T103" s="210"/>
      <c r="U103" s="207"/>
      <c r="V103" s="207"/>
      <c r="W103" s="105" t="s">
        <v>1115</v>
      </c>
      <c r="X103" s="211">
        <v>1937393525</v>
      </c>
      <c r="Y103" s="208"/>
      <c r="Z103" s="207" t="s">
        <v>1116</v>
      </c>
      <c r="AA103" s="207">
        <v>1931315076</v>
      </c>
      <c r="AB103" s="207" t="s">
        <v>252</v>
      </c>
      <c r="AC103" s="207" t="s">
        <v>133</v>
      </c>
      <c r="AD103" s="210">
        <v>35967</v>
      </c>
      <c r="AE103" s="212">
        <f t="shared" si="3" ca="1"/>
        <v>26.65753424657534</v>
      </c>
      <c r="AF103" s="207" t="s">
        <v>80</v>
      </c>
      <c r="AG103" s="211">
        <v>2861037832</v>
      </c>
      <c r="AH103" s="207" t="s">
        <v>1117</v>
      </c>
      <c r="AI103" s="208" t="s">
        <v>347</v>
      </c>
      <c r="AJ103" s="208" t="s">
        <v>1118</v>
      </c>
      <c r="AK103" s="208">
        <v>2020</v>
      </c>
      <c r="AL103" s="207" t="s">
        <v>1118</v>
      </c>
      <c r="AM103" s="207" t="s">
        <v>1119</v>
      </c>
      <c r="AN103" s="207" t="s">
        <v>888</v>
      </c>
      <c r="AO103" s="207" t="s">
        <v>1120</v>
      </c>
      <c r="AP103" s="207" t="s">
        <v>1121</v>
      </c>
      <c r="AQ103" s="208" t="s">
        <v>1122</v>
      </c>
      <c r="AR103" s="207" t="s">
        <v>110</v>
      </c>
      <c r="AS103" s="207" t="s">
        <v>81</v>
      </c>
      <c r="AT103" s="213" t="s">
        <v>81</v>
      </c>
      <c r="AU103" s="207" t="s">
        <v>81</v>
      </c>
      <c r="AV103" s="207" t="s">
        <v>81</v>
      </c>
      <c r="AW103" s="207" t="s">
        <v>81</v>
      </c>
      <c r="AX103" s="207" t="s">
        <v>81</v>
      </c>
      <c r="AY103" s="207" t="s">
        <v>81</v>
      </c>
      <c r="AZ103" s="207" t="s">
        <v>81</v>
      </c>
      <c r="BA103" s="207" t="s">
        <v>90</v>
      </c>
      <c r="BB103" s="207">
        <v>10800</v>
      </c>
      <c r="BC103" s="207">
        <v>2700</v>
      </c>
      <c r="BD103" s="207">
        <v>0</v>
      </c>
      <c r="BE103" s="207" t="s">
        <v>91</v>
      </c>
      <c r="BF103" s="207"/>
      <c r="BG103" s="207"/>
      <c r="BH103" s="105"/>
      <c r="BI103" s="105"/>
      <c r="BJ103" s="105"/>
      <c r="BK103" s="207">
        <v>1937393525</v>
      </c>
      <c r="BL103" s="105"/>
    </row>
    <row r="104" ht="19.95" customHeight="1">
      <c r="A104" s="207">
        <v>171486</v>
      </c>
      <c r="B104" s="207"/>
      <c r="C104" s="208" t="s">
        <v>1123</v>
      </c>
      <c r="D104" s="207" t="s">
        <v>1124</v>
      </c>
      <c r="E104" s="207" t="s">
        <v>66</v>
      </c>
      <c r="F104" s="208">
        <v>1010655917</v>
      </c>
      <c r="G104" s="207" t="s">
        <v>67</v>
      </c>
      <c r="H104" s="207" t="s">
        <v>68</v>
      </c>
      <c r="I104" s="207" t="s">
        <v>69</v>
      </c>
      <c r="J104" s="208" t="s">
        <v>297</v>
      </c>
      <c r="K104" s="207" t="s">
        <v>71</v>
      </c>
      <c r="L104" s="207" t="s">
        <v>72</v>
      </c>
      <c r="M104" s="4" t="s">
        <v>287</v>
      </c>
      <c r="N104" s="207" t="s">
        <v>74</v>
      </c>
      <c r="O104" s="207" t="s">
        <v>75</v>
      </c>
      <c r="P104" s="207">
        <v>29</v>
      </c>
      <c r="Q104" s="209">
        <v>45432</v>
      </c>
      <c r="R104" s="209">
        <v>45444</v>
      </c>
      <c r="S104" s="210"/>
      <c r="T104" s="210"/>
      <c r="U104" s="207"/>
      <c r="V104" s="207"/>
      <c r="W104" s="105" t="s">
        <v>1125</v>
      </c>
      <c r="X104" s="211">
        <v>1880836177</v>
      </c>
      <c r="Y104" s="208"/>
      <c r="Z104" s="207" t="s">
        <v>1126</v>
      </c>
      <c r="AA104" s="207">
        <v>1913775791</v>
      </c>
      <c r="AB104" s="207" t="s">
        <v>118</v>
      </c>
      <c r="AC104" s="207" t="s">
        <v>79</v>
      </c>
      <c r="AD104" s="210">
        <v>35792</v>
      </c>
      <c r="AE104" s="212">
        <f t="shared" si="3" ca="1"/>
        <v>27.136986301369863</v>
      </c>
      <c r="AF104" s="207" t="s">
        <v>80</v>
      </c>
      <c r="AG104" s="211">
        <v>6912962153</v>
      </c>
      <c r="AH104" s="207" t="s">
        <v>81</v>
      </c>
      <c r="AI104" s="208" t="s">
        <v>925</v>
      </c>
      <c r="AJ104" s="208" t="s">
        <v>81</v>
      </c>
      <c r="AK104" s="208">
        <v>2019</v>
      </c>
      <c r="AL104" s="207" t="s">
        <v>1127</v>
      </c>
      <c r="AM104" s="207" t="s">
        <v>1128</v>
      </c>
      <c r="AN104" s="207" t="s">
        <v>1129</v>
      </c>
      <c r="AO104" s="207" t="s">
        <v>1130</v>
      </c>
      <c r="AP104" s="207" t="s">
        <v>1131</v>
      </c>
      <c r="AQ104" s="208" t="s">
        <v>1132</v>
      </c>
      <c r="AR104" s="207" t="s">
        <v>110</v>
      </c>
      <c r="AS104" s="207" t="s">
        <v>81</v>
      </c>
      <c r="AT104" s="213" t="s">
        <v>81</v>
      </c>
      <c r="AU104" s="207" t="s">
        <v>81</v>
      </c>
      <c r="AV104" s="207" t="s">
        <v>81</v>
      </c>
      <c r="AW104" s="207" t="s">
        <v>81</v>
      </c>
      <c r="AX104" s="207" t="s">
        <v>81</v>
      </c>
      <c r="AY104" s="207" t="s">
        <v>81</v>
      </c>
      <c r="AZ104" s="207" t="s">
        <v>81</v>
      </c>
      <c r="BA104" s="207" t="s">
        <v>90</v>
      </c>
      <c r="BB104" s="207">
        <v>10800</v>
      </c>
      <c r="BC104" s="207">
        <v>2700</v>
      </c>
      <c r="BD104" s="207">
        <v>0</v>
      </c>
      <c r="BE104" s="207" t="s">
        <v>91</v>
      </c>
      <c r="BF104" s="207"/>
      <c r="BG104" s="207"/>
      <c r="BH104" s="105"/>
      <c r="BI104" s="105"/>
      <c r="BJ104" s="105"/>
      <c r="BK104" s="207">
        <v>1880836177</v>
      </c>
      <c r="BL104" s="105"/>
    </row>
    <row r="105" ht="19.95" customHeight="1">
      <c r="A105" s="207">
        <v>171487</v>
      </c>
      <c r="B105" s="207"/>
      <c r="C105" s="208" t="s">
        <v>1133</v>
      </c>
      <c r="D105" s="207" t="s">
        <v>1134</v>
      </c>
      <c r="E105" s="207" t="s">
        <v>114</v>
      </c>
      <c r="F105" s="208">
        <v>1010788009</v>
      </c>
      <c r="G105" s="207" t="s">
        <v>67</v>
      </c>
      <c r="H105" s="207" t="s">
        <v>68</v>
      </c>
      <c r="I105" s="207" t="s">
        <v>69</v>
      </c>
      <c r="J105" s="208" t="s">
        <v>297</v>
      </c>
      <c r="K105" s="207" t="s">
        <v>71</v>
      </c>
      <c r="L105" s="207" t="s">
        <v>72</v>
      </c>
      <c r="M105" s="4" t="s">
        <v>287</v>
      </c>
      <c r="N105" s="207" t="s">
        <v>74</v>
      </c>
      <c r="O105" s="207" t="s">
        <v>75</v>
      </c>
      <c r="P105" s="207">
        <v>29</v>
      </c>
      <c r="Q105" s="209">
        <v>45432</v>
      </c>
      <c r="R105" s="209">
        <v>45444</v>
      </c>
      <c r="S105" s="210"/>
      <c r="T105" s="210"/>
      <c r="U105" s="207"/>
      <c r="V105" s="207"/>
      <c r="W105" s="105" t="s">
        <v>1135</v>
      </c>
      <c r="X105" s="211">
        <v>1875599808</v>
      </c>
      <c r="Y105" s="208">
        <v>1875599808</v>
      </c>
      <c r="Z105" s="207" t="s">
        <v>1136</v>
      </c>
      <c r="AA105" s="207">
        <v>1795868096</v>
      </c>
      <c r="AB105" s="207" t="s">
        <v>81</v>
      </c>
      <c r="AC105" s="207" t="s">
        <v>79</v>
      </c>
      <c r="AD105" s="210">
        <v>35431</v>
      </c>
      <c r="AE105" s="212">
        <f t="shared" si="3" ca="1"/>
        <v>28.126027397260273</v>
      </c>
      <c r="AF105" s="207" t="s">
        <v>80</v>
      </c>
      <c r="AG105" s="211">
        <v>1503857086</v>
      </c>
      <c r="AH105" s="207" t="s">
        <v>81</v>
      </c>
      <c r="AI105" s="208" t="s">
        <v>265</v>
      </c>
      <c r="AJ105" s="208" t="s">
        <v>81</v>
      </c>
      <c r="AK105" s="208">
        <v>2022</v>
      </c>
      <c r="AL105" s="207" t="s">
        <v>1137</v>
      </c>
      <c r="AM105" s="207" t="s">
        <v>1138</v>
      </c>
      <c r="AN105" s="207" t="s">
        <v>1139</v>
      </c>
      <c r="AO105" s="207" t="s">
        <v>1140</v>
      </c>
      <c r="AP105" s="207" t="s">
        <v>1141</v>
      </c>
      <c r="AQ105" s="208" t="s">
        <v>1142</v>
      </c>
      <c r="AR105" s="207" t="s">
        <v>110</v>
      </c>
      <c r="AS105" s="207" t="s">
        <v>81</v>
      </c>
      <c r="AT105" s="213" t="s">
        <v>81</v>
      </c>
      <c r="AU105" s="207" t="s">
        <v>81</v>
      </c>
      <c r="AV105" s="207" t="s">
        <v>81</v>
      </c>
      <c r="AW105" s="207" t="s">
        <v>81</v>
      </c>
      <c r="AX105" s="207" t="s">
        <v>81</v>
      </c>
      <c r="AY105" s="207" t="s">
        <v>81</v>
      </c>
      <c r="AZ105" s="207" t="s">
        <v>81</v>
      </c>
      <c r="BA105" s="207" t="s">
        <v>90</v>
      </c>
      <c r="BB105" s="207">
        <v>10800</v>
      </c>
      <c r="BC105" s="207">
        <v>2700</v>
      </c>
      <c r="BD105" s="207">
        <v>0</v>
      </c>
      <c r="BE105" s="207" t="s">
        <v>91</v>
      </c>
      <c r="BF105" s="207"/>
      <c r="BG105" s="207"/>
      <c r="BH105" s="105"/>
      <c r="BI105" s="105"/>
      <c r="BJ105" s="105"/>
      <c r="BK105" s="207">
        <v>1875599808</v>
      </c>
      <c r="BL105" s="105"/>
    </row>
    <row r="106" ht="19.95" customHeight="1">
      <c r="A106" s="207">
        <v>171488</v>
      </c>
      <c r="B106" s="207"/>
      <c r="C106" s="208" t="s">
        <v>1143</v>
      </c>
      <c r="D106" s="207" t="s">
        <v>1144</v>
      </c>
      <c r="E106" s="207" t="s">
        <v>66</v>
      </c>
      <c r="F106" s="208">
        <v>1310589823</v>
      </c>
      <c r="G106" s="207" t="s">
        <v>67</v>
      </c>
      <c r="H106" s="207" t="s">
        <v>68</v>
      </c>
      <c r="I106" s="207" t="s">
        <v>69</v>
      </c>
      <c r="J106" s="208" t="s">
        <v>1145</v>
      </c>
      <c r="K106" s="207" t="s">
        <v>71</v>
      </c>
      <c r="L106" s="207" t="s">
        <v>72</v>
      </c>
      <c r="M106" s="4" t="s">
        <v>458</v>
      </c>
      <c r="N106" s="207" t="s">
        <v>74</v>
      </c>
      <c r="O106" s="207" t="s">
        <v>75</v>
      </c>
      <c r="P106" s="207">
        <v>29</v>
      </c>
      <c r="Q106" s="209">
        <v>45432</v>
      </c>
      <c r="R106" s="209">
        <v>45444</v>
      </c>
      <c r="S106" s="210"/>
      <c r="T106" s="210"/>
      <c r="U106" s="207"/>
      <c r="V106" s="207"/>
      <c r="W106" s="105" t="s">
        <v>1146</v>
      </c>
      <c r="X106" s="211">
        <v>1880247826</v>
      </c>
      <c r="Y106" s="208"/>
      <c r="Z106" s="207" t="s">
        <v>1147</v>
      </c>
      <c r="AA106" s="207">
        <v>1731775872</v>
      </c>
      <c r="AB106" s="207" t="s">
        <v>252</v>
      </c>
      <c r="AC106" s="207" t="s">
        <v>79</v>
      </c>
      <c r="AD106" s="210">
        <v>36067</v>
      </c>
      <c r="AE106" s="212">
        <f t="shared" si="3" ca="1"/>
        <v>26.383561643835616</v>
      </c>
      <c r="AF106" s="207" t="s">
        <v>80</v>
      </c>
      <c r="AG106" s="211">
        <v>1954876270</v>
      </c>
      <c r="AH106" s="207" t="s">
        <v>81</v>
      </c>
      <c r="AI106" s="208" t="s">
        <v>1148</v>
      </c>
      <c r="AJ106" s="208" t="s">
        <v>81</v>
      </c>
      <c r="AK106" s="208">
        <v>2022</v>
      </c>
      <c r="AL106" s="207" t="s">
        <v>1149</v>
      </c>
      <c r="AM106" s="207" t="s">
        <v>1150</v>
      </c>
      <c r="AN106" s="207" t="s">
        <v>1151</v>
      </c>
      <c r="AO106" s="207" t="s">
        <v>1152</v>
      </c>
      <c r="AP106" s="207" t="s">
        <v>1153</v>
      </c>
      <c r="AQ106" s="208" t="s">
        <v>285</v>
      </c>
      <c r="AR106" s="207" t="s">
        <v>110</v>
      </c>
      <c r="AS106" s="207" t="s">
        <v>1151</v>
      </c>
      <c r="AT106" s="213" t="s">
        <v>1154</v>
      </c>
      <c r="AU106" s="207" t="s">
        <v>81</v>
      </c>
      <c r="AV106" s="207" t="s">
        <v>81</v>
      </c>
      <c r="AW106" s="207" t="s">
        <v>81</v>
      </c>
      <c r="AX106" s="207" t="s">
        <v>81</v>
      </c>
      <c r="AY106" s="207" t="s">
        <v>81</v>
      </c>
      <c r="AZ106" s="207" t="s">
        <v>81</v>
      </c>
      <c r="BA106" s="207" t="s">
        <v>90</v>
      </c>
      <c r="BB106" s="207">
        <v>10800</v>
      </c>
      <c r="BC106" s="207">
        <v>2700</v>
      </c>
      <c r="BD106" s="207">
        <v>0</v>
      </c>
      <c r="BE106" s="207" t="s">
        <v>91</v>
      </c>
      <c r="BF106" s="207"/>
      <c r="BG106" s="207"/>
      <c r="BH106" s="105"/>
      <c r="BI106" s="105"/>
      <c r="BJ106" s="105"/>
      <c r="BK106" s="207">
        <v>1880247826</v>
      </c>
      <c r="BL106" s="105"/>
    </row>
    <row r="107" ht="19.95" customHeight="1">
      <c r="A107" s="207">
        <v>171492</v>
      </c>
      <c r="B107" s="207"/>
      <c r="C107" s="208" t="s">
        <v>1155</v>
      </c>
      <c r="D107" s="207" t="s">
        <v>1156</v>
      </c>
      <c r="E107" s="207" t="s">
        <v>114</v>
      </c>
      <c r="F107" s="208">
        <v>1110376688</v>
      </c>
      <c r="G107" s="207" t="s">
        <v>67</v>
      </c>
      <c r="H107" s="207" t="s">
        <v>68</v>
      </c>
      <c r="I107" s="207" t="s">
        <v>69</v>
      </c>
      <c r="J107" s="208" t="s">
        <v>307</v>
      </c>
      <c r="K107" s="207" t="s">
        <v>71</v>
      </c>
      <c r="L107" s="207" t="s">
        <v>72</v>
      </c>
      <c r="M107" s="4" t="s">
        <v>308</v>
      </c>
      <c r="N107" s="207" t="s">
        <v>74</v>
      </c>
      <c r="O107" s="207" t="s">
        <v>75</v>
      </c>
      <c r="P107" s="207">
        <v>29</v>
      </c>
      <c r="Q107" s="209">
        <v>45432</v>
      </c>
      <c r="R107" s="209">
        <v>45444</v>
      </c>
      <c r="S107" s="210"/>
      <c r="T107" s="210"/>
      <c r="U107" s="207"/>
      <c r="V107" s="207"/>
      <c r="W107" s="105" t="s">
        <v>1157</v>
      </c>
      <c r="X107" s="211">
        <v>1575200219</v>
      </c>
      <c r="Y107" s="208">
        <v>1741137979</v>
      </c>
      <c r="Z107" s="207" t="s">
        <v>101</v>
      </c>
      <c r="AA107" s="207">
        <v>1740644413</v>
      </c>
      <c r="AB107" s="207" t="s">
        <v>81</v>
      </c>
      <c r="AC107" s="207" t="s">
        <v>133</v>
      </c>
      <c r="AD107" s="210">
        <v>34997</v>
      </c>
      <c r="AE107" s="212">
        <f t="shared" si="3" ca="1"/>
        <v>29.315068493150687</v>
      </c>
      <c r="AF107" s="207" t="s">
        <v>360</v>
      </c>
      <c r="AG107" s="211">
        <v>2401534819</v>
      </c>
      <c r="AH107" s="207" t="s">
        <v>81</v>
      </c>
      <c r="AI107" s="208" t="s">
        <v>513</v>
      </c>
      <c r="AJ107" s="208" t="s">
        <v>81</v>
      </c>
      <c r="AK107" s="208">
        <v>2023</v>
      </c>
      <c r="AL107" s="207" t="s">
        <v>1158</v>
      </c>
      <c r="AM107" s="207" t="s">
        <v>1159</v>
      </c>
      <c r="AN107" s="207" t="s">
        <v>1160</v>
      </c>
      <c r="AO107" s="207" t="s">
        <v>1161</v>
      </c>
      <c r="AP107" s="207" t="s">
        <v>1162</v>
      </c>
      <c r="AQ107" s="208" t="s">
        <v>88</v>
      </c>
      <c r="AR107" s="207" t="s">
        <v>110</v>
      </c>
      <c r="AS107" s="207" t="s">
        <v>81</v>
      </c>
      <c r="AT107" s="213" t="s">
        <v>81</v>
      </c>
      <c r="AU107" s="207" t="s">
        <v>81</v>
      </c>
      <c r="AV107" s="207" t="s">
        <v>81</v>
      </c>
      <c r="AW107" s="207" t="s">
        <v>81</v>
      </c>
      <c r="AX107" s="207" t="s">
        <v>81</v>
      </c>
      <c r="AY107" s="207" t="s">
        <v>81</v>
      </c>
      <c r="AZ107" s="207" t="s">
        <v>81</v>
      </c>
      <c r="BA107" s="207" t="s">
        <v>90</v>
      </c>
      <c r="BB107" s="207">
        <v>10800</v>
      </c>
      <c r="BC107" s="207">
        <v>2700</v>
      </c>
      <c r="BD107" s="207">
        <v>0</v>
      </c>
      <c r="BE107" s="207" t="s">
        <v>91</v>
      </c>
      <c r="BF107" s="207"/>
      <c r="BG107" s="207"/>
      <c r="BH107" s="105"/>
      <c r="BI107" s="105"/>
      <c r="BJ107" s="105"/>
      <c r="BK107" s="207">
        <v>1948737070</v>
      </c>
      <c r="BL107" s="105"/>
    </row>
    <row r="108" ht="19.95" customHeight="1">
      <c r="A108" s="207">
        <v>171493</v>
      </c>
      <c r="B108" s="207"/>
      <c r="C108" s="208" t="s">
        <v>1163</v>
      </c>
      <c r="D108" s="207" t="s">
        <v>1164</v>
      </c>
      <c r="E108" s="207" t="s">
        <v>114</v>
      </c>
      <c r="F108" s="208">
        <v>1110152055</v>
      </c>
      <c r="G108" s="207" t="s">
        <v>67</v>
      </c>
      <c r="H108" s="207" t="s">
        <v>68</v>
      </c>
      <c r="I108" s="207" t="s">
        <v>69</v>
      </c>
      <c r="J108" s="208" t="s">
        <v>319</v>
      </c>
      <c r="K108" s="207" t="s">
        <v>71</v>
      </c>
      <c r="L108" s="207" t="s">
        <v>72</v>
      </c>
      <c r="M108" s="4" t="s">
        <v>308</v>
      </c>
      <c r="N108" s="207" t="s">
        <v>74</v>
      </c>
      <c r="O108" s="207" t="s">
        <v>75</v>
      </c>
      <c r="P108" s="207">
        <v>29</v>
      </c>
      <c r="Q108" s="209">
        <v>45432</v>
      </c>
      <c r="R108" s="209">
        <v>45444</v>
      </c>
      <c r="S108" s="210"/>
      <c r="T108" s="210"/>
      <c r="U108" s="207"/>
      <c r="V108" s="207"/>
      <c r="W108" s="105" t="s">
        <v>1165</v>
      </c>
      <c r="X108" s="211">
        <v>1407092229</v>
      </c>
      <c r="Y108" s="208">
        <v>1607323267</v>
      </c>
      <c r="Z108" s="207" t="s">
        <v>1166</v>
      </c>
      <c r="AA108" s="207">
        <v>1927924071</v>
      </c>
      <c r="AB108" s="207" t="s">
        <v>132</v>
      </c>
      <c r="AC108" s="207" t="s">
        <v>79</v>
      </c>
      <c r="AD108" s="210">
        <v>36156</v>
      </c>
      <c r="AE108" s="212">
        <f t="shared" si="3" ca="1"/>
        <v>26.13972602739726</v>
      </c>
      <c r="AF108" s="207" t="s">
        <v>80</v>
      </c>
      <c r="AG108" s="211">
        <v>6454948495</v>
      </c>
      <c r="AH108" s="207" t="s">
        <v>81</v>
      </c>
      <c r="AI108" s="208" t="s">
        <v>1148</v>
      </c>
      <c r="AJ108" s="208" t="s">
        <v>81</v>
      </c>
      <c r="AK108" s="208">
        <v>2020</v>
      </c>
      <c r="AL108" s="207" t="s">
        <v>1167</v>
      </c>
      <c r="AM108" s="207" t="s">
        <v>1168</v>
      </c>
      <c r="AN108" s="207" t="s">
        <v>1166</v>
      </c>
      <c r="AO108" s="207" t="s">
        <v>1169</v>
      </c>
      <c r="AP108" s="207" t="s">
        <v>1169</v>
      </c>
      <c r="AQ108" s="208" t="s">
        <v>88</v>
      </c>
      <c r="AR108" s="207" t="s">
        <v>110</v>
      </c>
      <c r="AS108" s="207" t="s">
        <v>81</v>
      </c>
      <c r="AT108" s="213" t="s">
        <v>81</v>
      </c>
      <c r="AU108" s="207" t="s">
        <v>81</v>
      </c>
      <c r="AV108" s="207" t="s">
        <v>81</v>
      </c>
      <c r="AW108" s="207" t="s">
        <v>81</v>
      </c>
      <c r="AX108" s="207" t="s">
        <v>81</v>
      </c>
      <c r="AY108" s="207" t="s">
        <v>81</v>
      </c>
      <c r="AZ108" s="207" t="s">
        <v>81</v>
      </c>
      <c r="BA108" s="207" t="s">
        <v>90</v>
      </c>
      <c r="BB108" s="207">
        <v>10800</v>
      </c>
      <c r="BC108" s="207">
        <v>2700</v>
      </c>
      <c r="BD108" s="207">
        <v>0</v>
      </c>
      <c r="BE108" s="207" t="s">
        <v>91</v>
      </c>
      <c r="BF108" s="207"/>
      <c r="BG108" s="207"/>
      <c r="BH108" s="105"/>
      <c r="BI108" s="105"/>
      <c r="BJ108" s="105"/>
      <c r="BK108" s="207">
        <v>1927924071</v>
      </c>
      <c r="BL108" s="105"/>
    </row>
    <row r="109" ht="19.95" customHeight="1">
      <c r="A109" s="207">
        <v>171494</v>
      </c>
      <c r="B109" s="207"/>
      <c r="C109" s="208" t="s">
        <v>1170</v>
      </c>
      <c r="D109" s="207" t="s">
        <v>1171</v>
      </c>
      <c r="E109" s="207" t="s">
        <v>66</v>
      </c>
      <c r="F109" s="208">
        <v>1312715781</v>
      </c>
      <c r="G109" s="207" t="s">
        <v>67</v>
      </c>
      <c r="H109" s="207" t="s">
        <v>68</v>
      </c>
      <c r="I109" s="207" t="s">
        <v>69</v>
      </c>
      <c r="J109" s="208" t="s">
        <v>319</v>
      </c>
      <c r="K109" s="207" t="s">
        <v>71</v>
      </c>
      <c r="L109" s="207" t="s">
        <v>72</v>
      </c>
      <c r="M109" s="4" t="s">
        <v>308</v>
      </c>
      <c r="N109" s="207" t="s">
        <v>74</v>
      </c>
      <c r="O109" s="207" t="s">
        <v>75</v>
      </c>
      <c r="P109" s="207">
        <v>29</v>
      </c>
      <c r="Q109" s="209">
        <v>45432</v>
      </c>
      <c r="R109" s="209">
        <v>45444</v>
      </c>
      <c r="S109" s="210"/>
      <c r="T109" s="210"/>
      <c r="U109" s="207"/>
      <c r="V109" s="207"/>
      <c r="W109" s="105" t="s">
        <v>1172</v>
      </c>
      <c r="X109" s="211">
        <v>1322375485</v>
      </c>
      <c r="Y109" s="208">
        <v>1605021597</v>
      </c>
      <c r="Z109" s="207" t="s">
        <v>118</v>
      </c>
      <c r="AA109" s="207">
        <v>1618183411</v>
      </c>
      <c r="AB109" s="207" t="s">
        <v>118</v>
      </c>
      <c r="AC109" s="207" t="s">
        <v>119</v>
      </c>
      <c r="AD109" s="210">
        <v>36744</v>
      </c>
      <c r="AE109" s="212">
        <f t="shared" si="3" ca="1"/>
        <v>24.528767123287672</v>
      </c>
      <c r="AF109" s="207" t="s">
        <v>80</v>
      </c>
      <c r="AG109" s="211">
        <v>1962893143</v>
      </c>
      <c r="AH109" s="207" t="s">
        <v>81</v>
      </c>
      <c r="AI109" s="208" t="s">
        <v>967</v>
      </c>
      <c r="AJ109" s="208" t="s">
        <v>81</v>
      </c>
      <c r="AK109" s="208">
        <v>2021</v>
      </c>
      <c r="AL109" s="207" t="s">
        <v>1173</v>
      </c>
      <c r="AM109" s="207" t="s">
        <v>1174</v>
      </c>
      <c r="AN109" s="207" t="s">
        <v>1175</v>
      </c>
      <c r="AO109" s="207" t="s">
        <v>1176</v>
      </c>
      <c r="AP109" s="207" t="s">
        <v>1177</v>
      </c>
      <c r="AQ109" s="208" t="s">
        <v>1178</v>
      </c>
      <c r="AR109" s="207" t="s">
        <v>110</v>
      </c>
      <c r="AS109" s="207" t="s">
        <v>81</v>
      </c>
      <c r="AT109" s="213" t="s">
        <v>81</v>
      </c>
      <c r="AU109" s="207" t="s">
        <v>81</v>
      </c>
      <c r="AV109" s="207" t="s">
        <v>81</v>
      </c>
      <c r="AW109" s="207" t="s">
        <v>81</v>
      </c>
      <c r="AX109" s="207" t="s">
        <v>81</v>
      </c>
      <c r="AY109" s="207" t="s">
        <v>81</v>
      </c>
      <c r="AZ109" s="207" t="s">
        <v>81</v>
      </c>
      <c r="BA109" s="207" t="s">
        <v>90</v>
      </c>
      <c r="BB109" s="207">
        <v>10800</v>
      </c>
      <c r="BC109" s="207">
        <v>2700</v>
      </c>
      <c r="BD109" s="207">
        <v>0</v>
      </c>
      <c r="BE109" s="207" t="s">
        <v>91</v>
      </c>
      <c r="BF109" s="207"/>
      <c r="BG109" s="207"/>
      <c r="BH109" s="105"/>
      <c r="BI109" s="105"/>
      <c r="BJ109" s="105"/>
      <c r="BK109" s="207">
        <v>1322375485</v>
      </c>
      <c r="BL109" s="105"/>
    </row>
    <row r="110" ht="19.95" customHeight="1">
      <c r="A110" s="207">
        <v>171495</v>
      </c>
      <c r="B110" s="207"/>
      <c r="C110" s="208"/>
      <c r="D110" s="207" t="s">
        <v>1179</v>
      </c>
      <c r="E110" s="207" t="s">
        <v>66</v>
      </c>
      <c r="F110" s="208">
        <v>1313741866</v>
      </c>
      <c r="G110" s="207" t="s">
        <v>67</v>
      </c>
      <c r="H110" s="207" t="s">
        <v>68</v>
      </c>
      <c r="I110" s="207" t="s">
        <v>69</v>
      </c>
      <c r="J110" s="208" t="s">
        <v>1145</v>
      </c>
      <c r="K110" s="207" t="s">
        <v>71</v>
      </c>
      <c r="L110" s="207" t="s">
        <v>72</v>
      </c>
      <c r="M110" s="4" t="s">
        <v>287</v>
      </c>
      <c r="N110" s="207" t="s">
        <v>74</v>
      </c>
      <c r="O110" s="207" t="s">
        <v>75</v>
      </c>
      <c r="P110" s="207">
        <v>29</v>
      </c>
      <c r="Q110" s="209">
        <v>45432</v>
      </c>
      <c r="R110" s="209">
        <v>45444</v>
      </c>
      <c r="S110" s="210"/>
      <c r="T110" s="210"/>
      <c r="U110" s="207"/>
      <c r="V110" s="207"/>
      <c r="W110" s="105" t="s">
        <v>1180</v>
      </c>
      <c r="X110" s="211">
        <v>1709248116</v>
      </c>
      <c r="Y110" s="208">
        <v>1705172202</v>
      </c>
      <c r="Z110" s="207" t="s">
        <v>1181</v>
      </c>
      <c r="AA110" s="207">
        <v>1987142636</v>
      </c>
      <c r="AB110" s="207" t="s">
        <v>78</v>
      </c>
      <c r="AC110" s="207" t="s">
        <v>133</v>
      </c>
      <c r="AD110" s="210">
        <v>36519</v>
      </c>
      <c r="AE110" s="212">
        <f t="shared" si="3" ca="1"/>
        <v>25.145205479452056</v>
      </c>
      <c r="AF110" s="207" t="s">
        <v>80</v>
      </c>
      <c r="AG110" s="211">
        <v>2412832699</v>
      </c>
      <c r="AH110" s="207" t="s">
        <v>81</v>
      </c>
      <c r="AI110" s="208" t="s">
        <v>1182</v>
      </c>
      <c r="AJ110" s="208" t="s">
        <v>81</v>
      </c>
      <c r="AK110" s="208">
        <v>2023</v>
      </c>
      <c r="AL110" s="207" t="s">
        <v>1183</v>
      </c>
      <c r="AM110" s="207" t="s">
        <v>1184</v>
      </c>
      <c r="AN110" s="207" t="s">
        <v>1185</v>
      </c>
      <c r="AO110" s="207" t="s">
        <v>1186</v>
      </c>
      <c r="AP110" s="207" t="s">
        <v>1187</v>
      </c>
      <c r="AQ110" s="208" t="s">
        <v>1188</v>
      </c>
      <c r="AR110" s="207" t="s">
        <v>89</v>
      </c>
      <c r="AS110" s="207" t="s">
        <v>1181</v>
      </c>
      <c r="AT110" s="213">
        <v>36763</v>
      </c>
      <c r="AU110" s="207" t="s">
        <v>81</v>
      </c>
      <c r="AV110" s="207" t="s">
        <v>81</v>
      </c>
      <c r="AW110" s="207" t="s">
        <v>81</v>
      </c>
      <c r="AX110" s="207" t="s">
        <v>81</v>
      </c>
      <c r="AY110" s="207" t="s">
        <v>81</v>
      </c>
      <c r="AZ110" s="207" t="s">
        <v>81</v>
      </c>
      <c r="BA110" s="207" t="s">
        <v>90</v>
      </c>
      <c r="BB110" s="207">
        <v>10800</v>
      </c>
      <c r="BC110" s="207">
        <v>2700</v>
      </c>
      <c r="BD110" s="207">
        <v>0</v>
      </c>
      <c r="BE110" s="207" t="s">
        <v>91</v>
      </c>
      <c r="BF110" s="207"/>
      <c r="BG110" s="207"/>
      <c r="BH110" s="105"/>
      <c r="BI110" s="105"/>
      <c r="BJ110" s="105"/>
      <c r="BK110" s="207">
        <v>1709248116</v>
      </c>
      <c r="BL110" s="105"/>
    </row>
    <row r="111" ht="19.95" customHeight="1">
      <c r="A111" s="207">
        <v>171496</v>
      </c>
      <c r="B111" s="207"/>
      <c r="C111" s="208" t="s">
        <v>1189</v>
      </c>
      <c r="D111" s="207" t="s">
        <v>1190</v>
      </c>
      <c r="E111" s="207" t="s">
        <v>114</v>
      </c>
      <c r="F111" s="208">
        <v>1117599050</v>
      </c>
      <c r="G111" s="207" t="s">
        <v>67</v>
      </c>
      <c r="H111" s="207" t="s">
        <v>68</v>
      </c>
      <c r="I111" s="207" t="s">
        <v>69</v>
      </c>
      <c r="J111" s="208" t="s">
        <v>297</v>
      </c>
      <c r="K111" s="207" t="s">
        <v>71</v>
      </c>
      <c r="L111" s="207" t="s">
        <v>72</v>
      </c>
      <c r="M111" s="4" t="s">
        <v>287</v>
      </c>
      <c r="N111" s="207" t="s">
        <v>74</v>
      </c>
      <c r="O111" s="207" t="s">
        <v>75</v>
      </c>
      <c r="P111" s="207">
        <v>29</v>
      </c>
      <c r="Q111" s="209">
        <v>45432</v>
      </c>
      <c r="R111" s="209">
        <v>45444</v>
      </c>
      <c r="S111" s="210"/>
      <c r="T111" s="210"/>
      <c r="U111" s="207"/>
      <c r="V111" s="207"/>
      <c r="W111" s="105" t="s">
        <v>1191</v>
      </c>
      <c r="X111" s="211">
        <v>1836897675</v>
      </c>
      <c r="Y111" s="208">
        <v>1767735373</v>
      </c>
      <c r="Z111" s="207" t="s">
        <v>1192</v>
      </c>
      <c r="AA111" s="207">
        <v>1827446994</v>
      </c>
      <c r="AB111" s="207" t="s">
        <v>252</v>
      </c>
      <c r="AC111" s="207" t="s">
        <v>119</v>
      </c>
      <c r="AD111" s="210">
        <v>35746</v>
      </c>
      <c r="AE111" s="212">
        <f t="shared" si="3" ca="1"/>
        <v>27.263013698630136</v>
      </c>
      <c r="AF111" s="207" t="s">
        <v>80</v>
      </c>
      <c r="AG111" s="211">
        <v>4651541072</v>
      </c>
      <c r="AH111" s="207" t="s">
        <v>81</v>
      </c>
      <c r="AI111" s="208" t="s">
        <v>1193</v>
      </c>
      <c r="AJ111" s="208" t="s">
        <v>81</v>
      </c>
      <c r="AK111" s="208">
        <v>2021</v>
      </c>
      <c r="AL111" s="207" t="s">
        <v>1194</v>
      </c>
      <c r="AM111" s="207" t="s">
        <v>1195</v>
      </c>
      <c r="AN111" s="207" t="s">
        <v>1196</v>
      </c>
      <c r="AO111" s="207" t="s">
        <v>1197</v>
      </c>
      <c r="AP111" s="207" t="s">
        <v>1198</v>
      </c>
      <c r="AQ111" s="208" t="s">
        <v>1199</v>
      </c>
      <c r="AR111" s="207" t="s">
        <v>1200</v>
      </c>
      <c r="AS111" s="207" t="s">
        <v>81</v>
      </c>
      <c r="AT111" s="213" t="s">
        <v>81</v>
      </c>
      <c r="AU111" s="207" t="s">
        <v>81</v>
      </c>
      <c r="AV111" s="207" t="s">
        <v>81</v>
      </c>
      <c r="AW111" s="207" t="s">
        <v>81</v>
      </c>
      <c r="AX111" s="207" t="s">
        <v>81</v>
      </c>
      <c r="AY111" s="207" t="s">
        <v>81</v>
      </c>
      <c r="AZ111" s="207" t="s">
        <v>81</v>
      </c>
      <c r="BA111" s="207" t="s">
        <v>90</v>
      </c>
      <c r="BB111" s="207">
        <v>10800</v>
      </c>
      <c r="BC111" s="207">
        <v>2700</v>
      </c>
      <c r="BD111" s="207">
        <v>0</v>
      </c>
      <c r="BE111" s="207" t="s">
        <v>91</v>
      </c>
      <c r="BF111" s="207"/>
      <c r="BG111" s="207"/>
      <c r="BH111" s="105"/>
      <c r="BI111" s="105"/>
      <c r="BJ111" s="105"/>
      <c r="BK111" s="207">
        <v>1836897675</v>
      </c>
      <c r="BL111" s="105"/>
    </row>
    <row r="112" ht="19.95" customHeight="1">
      <c r="A112" s="207">
        <v>171497</v>
      </c>
      <c r="B112" s="207"/>
      <c r="C112" s="208" t="s">
        <v>1201</v>
      </c>
      <c r="D112" s="207" t="s">
        <v>1202</v>
      </c>
      <c r="E112" s="207" t="s">
        <v>66</v>
      </c>
      <c r="F112" s="208">
        <v>1113355766</v>
      </c>
      <c r="G112" s="207" t="s">
        <v>67</v>
      </c>
      <c r="H112" s="207" t="s">
        <v>68</v>
      </c>
      <c r="I112" s="207" t="s">
        <v>69</v>
      </c>
      <c r="J112" s="208" t="s">
        <v>319</v>
      </c>
      <c r="K112" s="207" t="s">
        <v>71</v>
      </c>
      <c r="L112" s="207" t="s">
        <v>72</v>
      </c>
      <c r="M112" s="4" t="s">
        <v>308</v>
      </c>
      <c r="N112" s="207" t="s">
        <v>74</v>
      </c>
      <c r="O112" s="207" t="s">
        <v>75</v>
      </c>
      <c r="P112" s="207">
        <v>29</v>
      </c>
      <c r="Q112" s="209">
        <v>45432</v>
      </c>
      <c r="R112" s="209">
        <v>45444</v>
      </c>
      <c r="S112" s="210"/>
      <c r="T112" s="210"/>
      <c r="U112" s="207"/>
      <c r="V112" s="207"/>
      <c r="W112" s="105" t="s">
        <v>1203</v>
      </c>
      <c r="X112" s="211">
        <v>1884326829</v>
      </c>
      <c r="Y112" s="208">
        <v>1715625839</v>
      </c>
      <c r="Z112" s="207" t="s">
        <v>1204</v>
      </c>
      <c r="AA112" s="207">
        <v>1990550899</v>
      </c>
      <c r="AB112" s="207" t="s">
        <v>252</v>
      </c>
      <c r="AC112" s="207" t="s">
        <v>133</v>
      </c>
      <c r="AD112" s="210">
        <v>36050</v>
      </c>
      <c r="AE112" s="212">
        <f t="shared" si="3" ca="1"/>
        <v>26.43013698630137</v>
      </c>
      <c r="AF112" s="207" t="s">
        <v>80</v>
      </c>
      <c r="AG112" s="211">
        <v>7804567803</v>
      </c>
      <c r="AH112" s="207" t="s">
        <v>81</v>
      </c>
      <c r="AI112" s="208" t="s">
        <v>322</v>
      </c>
      <c r="AJ112" s="208" t="s">
        <v>1044</v>
      </c>
      <c r="AK112" s="208">
        <v>2022</v>
      </c>
      <c r="AL112" s="207" t="s">
        <v>265</v>
      </c>
      <c r="AM112" s="207" t="s">
        <v>1205</v>
      </c>
      <c r="AN112" s="207" t="s">
        <v>1206</v>
      </c>
      <c r="AO112" s="207" t="s">
        <v>1207</v>
      </c>
      <c r="AP112" s="207" t="s">
        <v>1208</v>
      </c>
      <c r="AQ112" s="208" t="s">
        <v>1209</v>
      </c>
      <c r="AR112" s="207" t="s">
        <v>1200</v>
      </c>
      <c r="AS112" s="207" t="s">
        <v>81</v>
      </c>
      <c r="AT112" s="213" t="s">
        <v>81</v>
      </c>
      <c r="AU112" s="207" t="s">
        <v>81</v>
      </c>
      <c r="AV112" s="207" t="s">
        <v>81</v>
      </c>
      <c r="AW112" s="207" t="s">
        <v>81</v>
      </c>
      <c r="AX112" s="207" t="s">
        <v>81</v>
      </c>
      <c r="AY112" s="207" t="s">
        <v>81</v>
      </c>
      <c r="AZ112" s="207" t="s">
        <v>81</v>
      </c>
      <c r="BA112" s="207" t="s">
        <v>90</v>
      </c>
      <c r="BB112" s="207">
        <v>10800</v>
      </c>
      <c r="BC112" s="207">
        <v>2700</v>
      </c>
      <c r="BD112" s="207">
        <v>0</v>
      </c>
      <c r="BE112" s="207" t="s">
        <v>91</v>
      </c>
      <c r="BF112" s="207"/>
      <c r="BG112" s="207"/>
      <c r="BH112" s="105"/>
      <c r="BI112" s="105"/>
      <c r="BJ112" s="105"/>
      <c r="BK112" s="207">
        <v>1884326829</v>
      </c>
      <c r="BL112" s="105"/>
    </row>
    <row r="113" ht="19.95" customHeight="1">
      <c r="A113" s="207">
        <v>171498</v>
      </c>
      <c r="B113" s="207"/>
      <c r="C113" s="208" t="s">
        <v>1210</v>
      </c>
      <c r="D113" s="207" t="s">
        <v>1211</v>
      </c>
      <c r="E113" s="207" t="s">
        <v>66</v>
      </c>
      <c r="F113" s="208">
        <v>1010792557</v>
      </c>
      <c r="G113" s="207" t="s">
        <v>67</v>
      </c>
      <c r="H113" s="207" t="s">
        <v>68</v>
      </c>
      <c r="I113" s="207" t="s">
        <v>69</v>
      </c>
      <c r="J113" s="208" t="s">
        <v>341</v>
      </c>
      <c r="K113" s="207" t="s">
        <v>71</v>
      </c>
      <c r="L113" s="207" t="s">
        <v>72</v>
      </c>
      <c r="M113" s="4" t="s">
        <v>342</v>
      </c>
      <c r="N113" s="207" t="s">
        <v>74</v>
      </c>
      <c r="O113" s="207" t="s">
        <v>75</v>
      </c>
      <c r="P113" s="207">
        <v>29</v>
      </c>
      <c r="Q113" s="209">
        <v>45432</v>
      </c>
      <c r="R113" s="209">
        <v>45444</v>
      </c>
      <c r="S113" s="210"/>
      <c r="T113" s="210"/>
      <c r="U113" s="207"/>
      <c r="V113" s="207"/>
      <c r="W113" s="105" t="s">
        <v>1212</v>
      </c>
      <c r="X113" s="211">
        <v>1700525743</v>
      </c>
      <c r="Y113" s="208"/>
      <c r="Z113" s="207" t="s">
        <v>1213</v>
      </c>
      <c r="AA113" s="207">
        <v>1917926144</v>
      </c>
      <c r="AB113" s="207" t="s">
        <v>118</v>
      </c>
      <c r="AC113" s="207" t="s">
        <v>79</v>
      </c>
      <c r="AD113" s="210">
        <v>35893</v>
      </c>
      <c r="AE113" s="212">
        <f t="shared" si="3" ca="1"/>
        <v>26.86027397260274</v>
      </c>
      <c r="AF113" s="207" t="s">
        <v>80</v>
      </c>
      <c r="AG113" s="211">
        <v>1954737480</v>
      </c>
      <c r="AH113" s="207" t="s">
        <v>81</v>
      </c>
      <c r="AI113" s="208" t="s">
        <v>1214</v>
      </c>
      <c r="AJ113" s="208" t="s">
        <v>81</v>
      </c>
      <c r="AK113" s="208">
        <v>2020</v>
      </c>
      <c r="AL113" s="207" t="s">
        <v>1215</v>
      </c>
      <c r="AM113" s="207" t="s">
        <v>1216</v>
      </c>
      <c r="AN113" s="207" t="s">
        <v>1217</v>
      </c>
      <c r="AO113" s="207" t="s">
        <v>1218</v>
      </c>
      <c r="AP113" s="207" t="s">
        <v>1219</v>
      </c>
      <c r="AQ113" s="208" t="s">
        <v>88</v>
      </c>
      <c r="AR113" s="207" t="s">
        <v>1200</v>
      </c>
      <c r="AS113" s="207" t="s">
        <v>81</v>
      </c>
      <c r="AT113" s="213" t="s">
        <v>81</v>
      </c>
      <c r="AU113" s="207" t="s">
        <v>81</v>
      </c>
      <c r="AV113" s="207" t="s">
        <v>81</v>
      </c>
      <c r="AW113" s="207" t="s">
        <v>81</v>
      </c>
      <c r="AX113" s="207" t="s">
        <v>81</v>
      </c>
      <c r="AY113" s="207" t="s">
        <v>81</v>
      </c>
      <c r="AZ113" s="207" t="s">
        <v>81</v>
      </c>
      <c r="BA113" s="207" t="s">
        <v>90</v>
      </c>
      <c r="BB113" s="207">
        <v>10800</v>
      </c>
      <c r="BC113" s="207">
        <v>2700</v>
      </c>
      <c r="BD113" s="207">
        <v>0</v>
      </c>
      <c r="BE113" s="207" t="s">
        <v>91</v>
      </c>
      <c r="BF113" s="207"/>
      <c r="BG113" s="207"/>
      <c r="BH113" s="105"/>
      <c r="BI113" s="105"/>
      <c r="BJ113" s="105"/>
      <c r="BK113" s="207">
        <v>1641360225</v>
      </c>
      <c r="BL113" s="105"/>
    </row>
    <row r="114" ht="19.95" customHeight="1">
      <c r="A114" s="207">
        <v>171499</v>
      </c>
      <c r="B114" s="207"/>
      <c r="C114" s="208" t="s">
        <v>1220</v>
      </c>
      <c r="D114" s="207" t="s">
        <v>1221</v>
      </c>
      <c r="E114" s="207" t="s">
        <v>114</v>
      </c>
      <c r="F114" s="208">
        <v>1310637401</v>
      </c>
      <c r="G114" s="207" t="s">
        <v>67</v>
      </c>
      <c r="H114" s="207" t="s">
        <v>68</v>
      </c>
      <c r="I114" s="207" t="s">
        <v>69</v>
      </c>
      <c r="J114" s="208" t="s">
        <v>319</v>
      </c>
      <c r="K114" s="207" t="s">
        <v>71</v>
      </c>
      <c r="L114" s="207" t="s">
        <v>72</v>
      </c>
      <c r="M114" s="4" t="s">
        <v>308</v>
      </c>
      <c r="N114" s="207" t="s">
        <v>74</v>
      </c>
      <c r="O114" s="207" t="s">
        <v>75</v>
      </c>
      <c r="P114" s="207">
        <v>29</v>
      </c>
      <c r="Q114" s="209">
        <v>45432</v>
      </c>
      <c r="R114" s="209">
        <v>45444</v>
      </c>
      <c r="S114" s="210"/>
      <c r="T114" s="210"/>
      <c r="U114" s="207"/>
      <c r="V114" s="207"/>
      <c r="W114" s="105" t="s">
        <v>1222</v>
      </c>
      <c r="X114" s="211">
        <v>1602253377</v>
      </c>
      <c r="Y114" s="208">
        <v>1719686330</v>
      </c>
      <c r="Z114" s="207" t="s">
        <v>1223</v>
      </c>
      <c r="AA114" s="207">
        <v>1749476787</v>
      </c>
      <c r="AB114" s="207" t="s">
        <v>252</v>
      </c>
      <c r="AC114" s="207" t="s">
        <v>133</v>
      </c>
      <c r="AD114" s="210">
        <v>36787</v>
      </c>
      <c r="AE114" s="212">
        <f t="shared" si="3" ca="1"/>
        <v>24.410958904109588</v>
      </c>
      <c r="AF114" s="207" t="s">
        <v>80</v>
      </c>
      <c r="AG114" s="211">
        <v>7364766464</v>
      </c>
      <c r="AH114" s="207" t="s">
        <v>1224</v>
      </c>
      <c r="AI114" s="208" t="s">
        <v>1101</v>
      </c>
      <c r="AJ114" s="208" t="s">
        <v>1225</v>
      </c>
      <c r="AK114" s="208">
        <v>2022</v>
      </c>
      <c r="AL114" s="207" t="s">
        <v>1226</v>
      </c>
      <c r="AM114" s="207" t="s">
        <v>1227</v>
      </c>
      <c r="AN114" s="207" t="s">
        <v>1228</v>
      </c>
      <c r="AO114" s="207" t="s">
        <v>1229</v>
      </c>
      <c r="AP114" s="207" t="s">
        <v>1230</v>
      </c>
      <c r="AQ114" s="208" t="s">
        <v>1231</v>
      </c>
      <c r="AR114" s="207" t="s">
        <v>1200</v>
      </c>
      <c r="AS114" s="207" t="s">
        <v>81</v>
      </c>
      <c r="AT114" s="213" t="s">
        <v>81</v>
      </c>
      <c r="AU114" s="207" t="s">
        <v>81</v>
      </c>
      <c r="AV114" s="207" t="s">
        <v>81</v>
      </c>
      <c r="AW114" s="207" t="s">
        <v>81</v>
      </c>
      <c r="AX114" s="207" t="s">
        <v>81</v>
      </c>
      <c r="AY114" s="207" t="s">
        <v>81</v>
      </c>
      <c r="AZ114" s="207" t="s">
        <v>81</v>
      </c>
      <c r="BA114" s="207" t="s">
        <v>90</v>
      </c>
      <c r="BB114" s="207">
        <v>10800</v>
      </c>
      <c r="BC114" s="207">
        <v>2700</v>
      </c>
      <c r="BD114" s="207">
        <v>0</v>
      </c>
      <c r="BE114" s="207" t="s">
        <v>91</v>
      </c>
      <c r="BF114" s="207"/>
      <c r="BG114" s="207"/>
      <c r="BH114" s="105"/>
      <c r="BI114" s="105"/>
      <c r="BJ114" s="105"/>
      <c r="BK114" s="207">
        <v>1719686330</v>
      </c>
      <c r="BL114" s="105"/>
    </row>
    <row r="115" ht="19.95" customHeight="1">
      <c r="A115" s="207">
        <v>171500</v>
      </c>
      <c r="B115" s="207"/>
      <c r="C115" s="208" t="s">
        <v>1232</v>
      </c>
      <c r="D115" s="207" t="s">
        <v>1233</v>
      </c>
      <c r="E115" s="207" t="s">
        <v>66</v>
      </c>
      <c r="F115" s="208">
        <v>997843</v>
      </c>
      <c r="G115" s="207" t="s">
        <v>67</v>
      </c>
      <c r="H115" s="207" t="s">
        <v>68</v>
      </c>
      <c r="I115" s="207" t="s">
        <v>69</v>
      </c>
      <c r="J115" s="208" t="s">
        <v>341</v>
      </c>
      <c r="K115" s="207" t="s">
        <v>71</v>
      </c>
      <c r="L115" s="207" t="s">
        <v>72</v>
      </c>
      <c r="M115" s="4" t="s">
        <v>308</v>
      </c>
      <c r="N115" s="207" t="s">
        <v>74</v>
      </c>
      <c r="O115" s="207" t="s">
        <v>75</v>
      </c>
      <c r="P115" s="207">
        <v>29</v>
      </c>
      <c r="Q115" s="209">
        <v>45432</v>
      </c>
      <c r="R115" s="209">
        <v>45444</v>
      </c>
      <c r="S115" s="210"/>
      <c r="T115" s="210"/>
      <c r="U115" s="207"/>
      <c r="V115" s="207"/>
      <c r="W115" s="105" t="s">
        <v>1234</v>
      </c>
      <c r="X115" s="211">
        <v>1788658849</v>
      </c>
      <c r="Y115" s="208">
        <v>1788658849</v>
      </c>
      <c r="Z115" s="207" t="s">
        <v>1235</v>
      </c>
      <c r="AA115" s="207">
        <v>1681231225</v>
      </c>
      <c r="AB115" s="207" t="s">
        <v>252</v>
      </c>
      <c r="AC115" s="207" t="s">
        <v>119</v>
      </c>
      <c r="AD115" s="210">
        <v>34665</v>
      </c>
      <c r="AE115" s="212">
        <f t="shared" si="3" ca="1"/>
        <v>30.224657534246575</v>
      </c>
      <c r="AF115" s="207" t="s">
        <v>80</v>
      </c>
      <c r="AG115" s="211">
        <v>9133828914</v>
      </c>
      <c r="AH115" s="207" t="s">
        <v>81</v>
      </c>
      <c r="AI115" s="208" t="s">
        <v>1236</v>
      </c>
      <c r="AJ115" s="208" t="s">
        <v>1024</v>
      </c>
      <c r="AK115" s="208">
        <v>2021</v>
      </c>
      <c r="AL115" s="207" t="s">
        <v>1024</v>
      </c>
      <c r="AM115" s="207" t="s">
        <v>1237</v>
      </c>
      <c r="AN115" s="207" t="s">
        <v>220</v>
      </c>
      <c r="AO115" s="207" t="s">
        <v>1238</v>
      </c>
      <c r="AP115" s="207" t="s">
        <v>1239</v>
      </c>
      <c r="AQ115" s="208" t="s">
        <v>88</v>
      </c>
      <c r="AR115" s="207" t="s">
        <v>89</v>
      </c>
      <c r="AS115" s="207" t="s">
        <v>1240</v>
      </c>
      <c r="AT115" s="213">
        <v>33130</v>
      </c>
      <c r="AU115" s="207" t="s">
        <v>81</v>
      </c>
      <c r="AV115" s="207" t="s">
        <v>81</v>
      </c>
      <c r="AW115" s="207" t="s">
        <v>81</v>
      </c>
      <c r="AX115" s="207" t="s">
        <v>81</v>
      </c>
      <c r="AY115" s="207" t="s">
        <v>81</v>
      </c>
      <c r="AZ115" s="207" t="s">
        <v>81</v>
      </c>
      <c r="BA115" s="207" t="s">
        <v>90</v>
      </c>
      <c r="BB115" s="207">
        <v>10800</v>
      </c>
      <c r="BC115" s="207">
        <v>2700</v>
      </c>
      <c r="BD115" s="207">
        <v>0</v>
      </c>
      <c r="BE115" s="207" t="s">
        <v>91</v>
      </c>
      <c r="BF115" s="207"/>
      <c r="BG115" s="207"/>
      <c r="BH115" s="105"/>
      <c r="BI115" s="105"/>
      <c r="BJ115" s="105"/>
      <c r="BK115" s="207">
        <v>1788658849</v>
      </c>
      <c r="BL115" s="105"/>
    </row>
    <row r="116" ht="19.95" customHeight="1">
      <c r="A116" s="207">
        <v>171502</v>
      </c>
      <c r="B116" s="207"/>
      <c r="C116" s="208" t="s">
        <v>1241</v>
      </c>
      <c r="D116" s="207" t="s">
        <v>1242</v>
      </c>
      <c r="E116" s="207" t="s">
        <v>66</v>
      </c>
      <c r="F116" s="208">
        <v>521722</v>
      </c>
      <c r="G116" s="207" t="s">
        <v>67</v>
      </c>
      <c r="H116" s="207" t="s">
        <v>68</v>
      </c>
      <c r="I116" s="207" t="s">
        <v>69</v>
      </c>
      <c r="J116" s="208" t="s">
        <v>319</v>
      </c>
      <c r="K116" s="207" t="s">
        <v>71</v>
      </c>
      <c r="L116" s="207" t="s">
        <v>72</v>
      </c>
      <c r="M116" s="4" t="s">
        <v>287</v>
      </c>
      <c r="N116" s="207" t="s">
        <v>74</v>
      </c>
      <c r="O116" s="207" t="s">
        <v>75</v>
      </c>
      <c r="P116" s="207">
        <v>29</v>
      </c>
      <c r="Q116" s="209">
        <v>45432</v>
      </c>
      <c r="R116" s="209">
        <v>45444</v>
      </c>
      <c r="S116" s="210"/>
      <c r="T116" s="210"/>
      <c r="U116" s="207"/>
      <c r="V116" s="207"/>
      <c r="W116" s="105" t="s">
        <v>1243</v>
      </c>
      <c r="X116" s="211">
        <v>1606174638</v>
      </c>
      <c r="Y116" s="208">
        <v>1887481124</v>
      </c>
      <c r="Z116" s="207" t="s">
        <v>1244</v>
      </c>
      <c r="AA116" s="207">
        <v>1915455239</v>
      </c>
      <c r="AB116" s="207" t="s">
        <v>101</v>
      </c>
      <c r="AC116" s="207" t="s">
        <v>79</v>
      </c>
      <c r="AD116" s="210">
        <v>35245</v>
      </c>
      <c r="AE116" s="212">
        <f t="shared" si="3" ca="1"/>
        <v>28.635616438356163</v>
      </c>
      <c r="AF116" s="207" t="s">
        <v>80</v>
      </c>
      <c r="AG116" s="211">
        <v>1491451728</v>
      </c>
      <c r="AH116" s="207" t="s">
        <v>1245</v>
      </c>
      <c r="AI116" s="208" t="s">
        <v>265</v>
      </c>
      <c r="AJ116" s="208" t="s">
        <v>1246</v>
      </c>
      <c r="AK116" s="208">
        <v>2018</v>
      </c>
      <c r="AL116" s="207" t="s">
        <v>1247</v>
      </c>
      <c r="AM116" s="207" t="s">
        <v>1248</v>
      </c>
      <c r="AN116" s="207" t="s">
        <v>1249</v>
      </c>
      <c r="AO116" s="207" t="s">
        <v>1250</v>
      </c>
      <c r="AP116" s="207" t="s">
        <v>1251</v>
      </c>
      <c r="AQ116" s="208" t="s">
        <v>1252</v>
      </c>
      <c r="AR116" s="207" t="s">
        <v>110</v>
      </c>
      <c r="AS116" s="207" t="s">
        <v>81</v>
      </c>
      <c r="AT116" s="213" t="s">
        <v>81</v>
      </c>
      <c r="AU116" s="207" t="s">
        <v>81</v>
      </c>
      <c r="AV116" s="207" t="s">
        <v>81</v>
      </c>
      <c r="AW116" s="207" t="s">
        <v>81</v>
      </c>
      <c r="AX116" s="207" t="s">
        <v>81</v>
      </c>
      <c r="AY116" s="207" t="s">
        <v>81</v>
      </c>
      <c r="AZ116" s="207" t="s">
        <v>81</v>
      </c>
      <c r="BA116" s="207" t="s">
        <v>90</v>
      </c>
      <c r="BB116" s="207">
        <v>10800</v>
      </c>
      <c r="BC116" s="207">
        <v>2700</v>
      </c>
      <c r="BD116" s="207">
        <v>0</v>
      </c>
      <c r="BE116" s="207" t="s">
        <v>91</v>
      </c>
      <c r="BF116" s="207"/>
      <c r="BG116" s="207"/>
      <c r="BH116" s="105"/>
      <c r="BI116" s="105"/>
      <c r="BJ116" s="105"/>
      <c r="BK116" s="207">
        <v>1887481124</v>
      </c>
      <c r="BL116" s="105"/>
    </row>
    <row r="117" ht="19.95" customHeight="1">
      <c r="A117" s="207">
        <v>171505</v>
      </c>
      <c r="B117" s="207"/>
      <c r="C117" s="208" t="s">
        <v>1253</v>
      </c>
      <c r="D117" s="207" t="s">
        <v>1254</v>
      </c>
      <c r="E117" s="207" t="s">
        <v>66</v>
      </c>
      <c r="F117" s="208">
        <v>855909</v>
      </c>
      <c r="G117" s="207" t="s">
        <v>67</v>
      </c>
      <c r="H117" s="207" t="s">
        <v>68</v>
      </c>
      <c r="I117" s="207" t="s">
        <v>69</v>
      </c>
      <c r="J117" s="208" t="s">
        <v>341</v>
      </c>
      <c r="K117" s="207" t="s">
        <v>71</v>
      </c>
      <c r="L117" s="207" t="s">
        <v>72</v>
      </c>
      <c r="M117" s="4" t="s">
        <v>342</v>
      </c>
      <c r="N117" s="207" t="s">
        <v>74</v>
      </c>
      <c r="O117" s="207" t="s">
        <v>75</v>
      </c>
      <c r="P117" s="207">
        <v>29</v>
      </c>
      <c r="Q117" s="209">
        <v>45432</v>
      </c>
      <c r="R117" s="209">
        <v>45444</v>
      </c>
      <c r="S117" s="210"/>
      <c r="T117" s="210"/>
      <c r="U117" s="207"/>
      <c r="V117" s="207"/>
      <c r="W117" s="105" t="s">
        <v>1255</v>
      </c>
      <c r="X117" s="211">
        <v>1995177113</v>
      </c>
      <c r="Y117" s="208">
        <v>1799724055</v>
      </c>
      <c r="Z117" s="207" t="s">
        <v>1256</v>
      </c>
      <c r="AA117" s="207" t="s">
        <v>1257</v>
      </c>
      <c r="AB117" s="207" t="s">
        <v>144</v>
      </c>
      <c r="AC117" s="207" t="s">
        <v>79</v>
      </c>
      <c r="AD117" s="210">
        <v>35462</v>
      </c>
      <c r="AE117" s="212">
        <f t="shared" si="3" ca="1"/>
        <v>28.041095890410958</v>
      </c>
      <c r="AF117" s="207" t="s">
        <v>80</v>
      </c>
      <c r="AG117" s="211">
        <v>1951975059</v>
      </c>
      <c r="AH117" s="207" t="s">
        <v>81</v>
      </c>
      <c r="AI117" s="208" t="s">
        <v>723</v>
      </c>
      <c r="AJ117" s="208" t="s">
        <v>1258</v>
      </c>
      <c r="AK117" s="208">
        <v>2019</v>
      </c>
      <c r="AL117" s="207" t="s">
        <v>1259</v>
      </c>
      <c r="AM117" s="207" t="s">
        <v>1055</v>
      </c>
      <c r="AN117" s="207" t="s">
        <v>1260</v>
      </c>
      <c r="AO117" s="207" t="s">
        <v>1261</v>
      </c>
      <c r="AP117" s="207" t="s">
        <v>1262</v>
      </c>
      <c r="AQ117" s="208" t="s">
        <v>910</v>
      </c>
      <c r="AR117" s="207" t="s">
        <v>110</v>
      </c>
      <c r="AS117" s="207" t="s">
        <v>81</v>
      </c>
      <c r="AT117" s="213" t="s">
        <v>81</v>
      </c>
      <c r="AU117" s="207" t="s">
        <v>81</v>
      </c>
      <c r="AV117" s="207" t="s">
        <v>81</v>
      </c>
      <c r="AW117" s="207" t="s">
        <v>81</v>
      </c>
      <c r="AX117" s="207" t="s">
        <v>81</v>
      </c>
      <c r="AY117" s="207" t="s">
        <v>81</v>
      </c>
      <c r="AZ117" s="207" t="s">
        <v>81</v>
      </c>
      <c r="BA117" s="207" t="s">
        <v>90</v>
      </c>
      <c r="BB117" s="207">
        <v>10800</v>
      </c>
      <c r="BC117" s="207">
        <v>2700</v>
      </c>
      <c r="BD117" s="207">
        <v>0</v>
      </c>
      <c r="BE117" s="207" t="s">
        <v>91</v>
      </c>
      <c r="BF117" s="207"/>
      <c r="BG117" s="207"/>
      <c r="BH117" s="105"/>
      <c r="BI117" s="105"/>
      <c r="BJ117" s="105"/>
      <c r="BK117" s="207">
        <v>1995177113</v>
      </c>
      <c r="BL117" s="105"/>
    </row>
    <row r="118" ht="19.95" customHeight="1">
      <c r="A118" s="207">
        <v>171506</v>
      </c>
      <c r="B118" s="207"/>
      <c r="C118" s="208" t="s">
        <v>1263</v>
      </c>
      <c r="D118" s="207" t="s">
        <v>1264</v>
      </c>
      <c r="E118" s="207" t="s">
        <v>66</v>
      </c>
      <c r="F118" s="208">
        <v>1415131367</v>
      </c>
      <c r="G118" s="207" t="s">
        <v>67</v>
      </c>
      <c r="H118" s="207" t="s">
        <v>68</v>
      </c>
      <c r="I118" s="207" t="s">
        <v>69</v>
      </c>
      <c r="J118" s="208" t="s">
        <v>319</v>
      </c>
      <c r="K118" s="207" t="s">
        <v>71</v>
      </c>
      <c r="L118" s="207" t="s">
        <v>72</v>
      </c>
      <c r="M118" s="4" t="s">
        <v>287</v>
      </c>
      <c r="N118" s="207" t="s">
        <v>74</v>
      </c>
      <c r="O118" s="207" t="s">
        <v>75</v>
      </c>
      <c r="P118" s="207">
        <v>29</v>
      </c>
      <c r="Q118" s="209">
        <v>45432</v>
      </c>
      <c r="R118" s="209">
        <v>45444</v>
      </c>
      <c r="S118" s="210"/>
      <c r="T118" s="210"/>
      <c r="U118" s="207"/>
      <c r="V118" s="207"/>
      <c r="W118" s="105" t="s">
        <v>1265</v>
      </c>
      <c r="X118" s="211">
        <v>1879881368</v>
      </c>
      <c r="Y118" s="208">
        <v>1965079755</v>
      </c>
      <c r="Z118" s="207" t="s">
        <v>1266</v>
      </c>
      <c r="AA118" s="207">
        <v>1891814288</v>
      </c>
      <c r="AB118" s="207" t="s">
        <v>252</v>
      </c>
      <c r="AC118" s="207" t="s">
        <v>119</v>
      </c>
      <c r="AD118" s="210">
        <v>37619</v>
      </c>
      <c r="AE118" s="212">
        <f t="shared" si="3" ca="1"/>
        <v>22.13150684931507</v>
      </c>
      <c r="AF118" s="207" t="s">
        <v>80</v>
      </c>
      <c r="AG118" s="211">
        <v>1512174606</v>
      </c>
      <c r="AH118" s="207" t="s">
        <v>81</v>
      </c>
      <c r="AI118" s="208" t="s">
        <v>723</v>
      </c>
      <c r="AJ118" s="208" t="s">
        <v>81</v>
      </c>
      <c r="AK118" s="208">
        <v>2023</v>
      </c>
      <c r="AL118" s="207" t="s">
        <v>1267</v>
      </c>
      <c r="AM118" s="207" t="s">
        <v>1268</v>
      </c>
      <c r="AN118" s="207" t="s">
        <v>1269</v>
      </c>
      <c r="AO118" s="207" t="s">
        <v>1270</v>
      </c>
      <c r="AP118" s="207" t="s">
        <v>1271</v>
      </c>
      <c r="AQ118" s="208" t="s">
        <v>285</v>
      </c>
      <c r="AR118" s="207" t="s">
        <v>110</v>
      </c>
      <c r="AS118" s="207" t="s">
        <v>81</v>
      </c>
      <c r="AT118" s="213" t="s">
        <v>81</v>
      </c>
      <c r="AU118" s="207" t="s">
        <v>81</v>
      </c>
      <c r="AV118" s="207" t="s">
        <v>81</v>
      </c>
      <c r="AW118" s="207" t="s">
        <v>81</v>
      </c>
      <c r="AX118" s="207" t="s">
        <v>81</v>
      </c>
      <c r="AY118" s="207" t="s">
        <v>81</v>
      </c>
      <c r="AZ118" s="207" t="s">
        <v>81</v>
      </c>
      <c r="BA118" s="207" t="s">
        <v>90</v>
      </c>
      <c r="BB118" s="207">
        <v>10800</v>
      </c>
      <c r="BC118" s="207">
        <v>2700</v>
      </c>
      <c r="BD118" s="207">
        <v>0</v>
      </c>
      <c r="BE118" s="207" t="s">
        <v>91</v>
      </c>
      <c r="BF118" s="207"/>
      <c r="BG118" s="207"/>
      <c r="BH118" s="105"/>
      <c r="BI118" s="105"/>
      <c r="BJ118" s="105"/>
      <c r="BK118" s="207">
        <v>1879881368</v>
      </c>
      <c r="BL118" s="105"/>
    </row>
    <row r="119" ht="19.95" customHeight="1">
      <c r="A119" s="207">
        <v>171507</v>
      </c>
      <c r="B119" s="207"/>
      <c r="C119" s="208" t="s">
        <v>1272</v>
      </c>
      <c r="D119" s="207" t="s">
        <v>1273</v>
      </c>
      <c r="E119" s="207" t="s">
        <v>66</v>
      </c>
      <c r="F119" s="208">
        <v>1017688258</v>
      </c>
      <c r="G119" s="207" t="s">
        <v>67</v>
      </c>
      <c r="H119" s="207" t="s">
        <v>68</v>
      </c>
      <c r="I119" s="207" t="s">
        <v>69</v>
      </c>
      <c r="J119" s="208" t="s">
        <v>576</v>
      </c>
      <c r="K119" s="207" t="s">
        <v>71</v>
      </c>
      <c r="L119" s="207" t="s">
        <v>72</v>
      </c>
      <c r="M119" s="4" t="s">
        <v>115</v>
      </c>
      <c r="N119" s="207" t="s">
        <v>74</v>
      </c>
      <c r="O119" s="207" t="s">
        <v>75</v>
      </c>
      <c r="P119" s="207">
        <v>29</v>
      </c>
      <c r="Q119" s="209">
        <v>45432</v>
      </c>
      <c r="R119" s="209">
        <v>45444</v>
      </c>
      <c r="S119" s="210"/>
      <c r="T119" s="210"/>
      <c r="U119" s="207"/>
      <c r="V119" s="207"/>
      <c r="W119" s="105" t="s">
        <v>1274</v>
      </c>
      <c r="X119" s="211">
        <v>1714386077</v>
      </c>
      <c r="Y119" s="208">
        <v>1793819896</v>
      </c>
      <c r="Z119" s="207" t="s">
        <v>1275</v>
      </c>
      <c r="AA119" s="207">
        <v>1718818549</v>
      </c>
      <c r="AB119" s="207" t="s">
        <v>101</v>
      </c>
      <c r="AC119" s="207" t="s">
        <v>79</v>
      </c>
      <c r="AD119" s="210">
        <v>35736</v>
      </c>
      <c r="AE119" s="212">
        <f t="shared" si="3" ca="1"/>
        <v>27.29041095890411</v>
      </c>
      <c r="AF119" s="207" t="s">
        <v>80</v>
      </c>
      <c r="AG119" s="211">
        <v>2855438996</v>
      </c>
      <c r="AH119" s="207" t="s">
        <v>1276</v>
      </c>
      <c r="AI119" s="208" t="s">
        <v>847</v>
      </c>
      <c r="AJ119" s="208" t="s">
        <v>81</v>
      </c>
      <c r="AK119" s="208">
        <v>2022</v>
      </c>
      <c r="AL119" s="207" t="s">
        <v>1277</v>
      </c>
      <c r="AM119" s="207" t="s">
        <v>1278</v>
      </c>
      <c r="AN119" s="207" t="s">
        <v>1279</v>
      </c>
      <c r="AO119" s="207" t="s">
        <v>1280</v>
      </c>
      <c r="AP119" s="207" t="s">
        <v>1281</v>
      </c>
      <c r="AQ119" s="208" t="s">
        <v>1282</v>
      </c>
      <c r="AR119" s="207" t="s">
        <v>110</v>
      </c>
      <c r="AS119" s="207" t="s">
        <v>81</v>
      </c>
      <c r="AT119" s="213" t="s">
        <v>1283</v>
      </c>
      <c r="AU119" s="207" t="s">
        <v>81</v>
      </c>
      <c r="AV119" s="207" t="s">
        <v>81</v>
      </c>
      <c r="AW119" s="207" t="s">
        <v>81</v>
      </c>
      <c r="AX119" s="207" t="s">
        <v>81</v>
      </c>
      <c r="AY119" s="207" t="s">
        <v>81</v>
      </c>
      <c r="AZ119" s="207" t="s">
        <v>81</v>
      </c>
      <c r="BA119" s="207" t="s">
        <v>90</v>
      </c>
      <c r="BB119" s="207">
        <v>10800</v>
      </c>
      <c r="BC119" s="207">
        <v>2700</v>
      </c>
      <c r="BD119" s="207">
        <v>0</v>
      </c>
      <c r="BE119" s="207" t="s">
        <v>91</v>
      </c>
      <c r="BF119" s="207"/>
      <c r="BG119" s="207"/>
      <c r="BH119" s="105"/>
      <c r="BI119" s="105"/>
      <c r="BJ119" s="105"/>
      <c r="BK119" s="207">
        <v>1793819896</v>
      </c>
      <c r="BL119" s="105"/>
    </row>
    <row r="120" ht="19.95" customHeight="1">
      <c r="A120" s="207">
        <v>171538</v>
      </c>
      <c r="B120" s="207"/>
      <c r="C120" s="208" t="s">
        <v>1284</v>
      </c>
      <c r="D120" s="207" t="s">
        <v>882</v>
      </c>
      <c r="E120" s="207" t="s">
        <v>66</v>
      </c>
      <c r="F120" s="208">
        <v>5010944112</v>
      </c>
      <c r="G120" s="207" t="s">
        <v>67</v>
      </c>
      <c r="H120" s="207" t="s">
        <v>68</v>
      </c>
      <c r="I120" s="207" t="s">
        <v>69</v>
      </c>
      <c r="J120" s="208" t="s">
        <v>1285</v>
      </c>
      <c r="K120" s="207" t="s">
        <v>71</v>
      </c>
      <c r="L120" s="207" t="s">
        <v>72</v>
      </c>
      <c r="M120" s="4" t="s">
        <v>369</v>
      </c>
      <c r="N120" s="207" t="s">
        <v>74</v>
      </c>
      <c r="O120" s="207" t="s">
        <v>75</v>
      </c>
      <c r="P120" s="207">
        <v>31</v>
      </c>
      <c r="Q120" s="209">
        <v>45447</v>
      </c>
      <c r="R120" s="209">
        <v>45453</v>
      </c>
      <c r="S120" s="210"/>
      <c r="T120" s="210"/>
      <c r="U120" s="207"/>
      <c r="V120" s="207"/>
      <c r="W120" s="105" t="s">
        <v>1286</v>
      </c>
      <c r="X120" s="211">
        <v>1912465897</v>
      </c>
      <c r="Y120" s="208">
        <v>1737221176</v>
      </c>
      <c r="Z120" s="207" t="s">
        <v>406</v>
      </c>
      <c r="AA120" s="207">
        <v>1737221176</v>
      </c>
      <c r="AB120" s="207" t="s">
        <v>118</v>
      </c>
      <c r="AC120" s="207" t="s">
        <v>119</v>
      </c>
      <c r="AD120" s="210">
        <v>31879</v>
      </c>
      <c r="AE120" s="212">
        <f ref="AE120:AE141" t="shared" si="4" ca="1">((TODAY())-AD120)/365</f>
        <v>37.85753424657534</v>
      </c>
      <c r="AF120" s="207" t="s">
        <v>80</v>
      </c>
      <c r="AG120" s="211">
        <v>4193121193</v>
      </c>
      <c r="AH120" s="207" t="s">
        <v>81</v>
      </c>
      <c r="AI120" s="208" t="s">
        <v>683</v>
      </c>
      <c r="AJ120" s="208" t="s">
        <v>81</v>
      </c>
      <c r="AK120" s="208">
        <v>2016</v>
      </c>
      <c r="AL120" s="207" t="s">
        <v>1287</v>
      </c>
      <c r="AM120" s="207" t="s">
        <v>1288</v>
      </c>
      <c r="AN120" s="207" t="s">
        <v>1289</v>
      </c>
      <c r="AO120" s="207" t="s">
        <v>1290</v>
      </c>
      <c r="AP120" s="207" t="s">
        <v>1291</v>
      </c>
      <c r="AQ120" s="208" t="s">
        <v>1292</v>
      </c>
      <c r="AR120" s="207" t="s">
        <v>1200</v>
      </c>
      <c r="AS120" s="207" t="s">
        <v>81</v>
      </c>
      <c r="AT120" s="213" t="s">
        <v>81</v>
      </c>
      <c r="AU120" s="207" t="s">
        <v>81</v>
      </c>
      <c r="AV120" s="207" t="s">
        <v>81</v>
      </c>
      <c r="AW120" s="207" t="s">
        <v>81</v>
      </c>
      <c r="AX120" s="207" t="s">
        <v>81</v>
      </c>
      <c r="AY120" s="207" t="s">
        <v>81</v>
      </c>
      <c r="AZ120" s="207" t="s">
        <v>81</v>
      </c>
      <c r="BA120" s="207" t="s">
        <v>90</v>
      </c>
      <c r="BB120" s="207">
        <v>10800</v>
      </c>
      <c r="BC120" s="207">
        <v>2700</v>
      </c>
      <c r="BD120" s="207">
        <v>0</v>
      </c>
      <c r="BE120" s="207" t="s">
        <v>91</v>
      </c>
      <c r="BF120" s="207"/>
      <c r="BG120" s="207"/>
      <c r="BH120" s="105"/>
      <c r="BI120" s="105"/>
      <c r="BJ120" s="105"/>
      <c r="BK120" s="207">
        <v>1912465897</v>
      </c>
      <c r="BL120" s="105"/>
    </row>
    <row r="121" ht="19.95" customHeight="1">
      <c r="A121" s="207">
        <v>171542</v>
      </c>
      <c r="B121" s="207"/>
      <c r="C121" s="208" t="s">
        <v>1293</v>
      </c>
      <c r="D121" s="207" t="s">
        <v>1294</v>
      </c>
      <c r="E121" s="207" t="s">
        <v>66</v>
      </c>
      <c r="F121" s="208">
        <v>1110214560</v>
      </c>
      <c r="G121" s="207" t="s">
        <v>67</v>
      </c>
      <c r="H121" s="207" t="s">
        <v>68</v>
      </c>
      <c r="I121" s="207" t="s">
        <v>69</v>
      </c>
      <c r="J121" s="208" t="s">
        <v>1285</v>
      </c>
      <c r="K121" s="207" t="s">
        <v>71</v>
      </c>
      <c r="L121" s="207" t="s">
        <v>72</v>
      </c>
      <c r="M121" s="4" t="s">
        <v>369</v>
      </c>
      <c r="N121" s="207" t="s">
        <v>74</v>
      </c>
      <c r="O121" s="207" t="s">
        <v>75</v>
      </c>
      <c r="P121" s="207">
        <v>31</v>
      </c>
      <c r="Q121" s="209">
        <v>45447</v>
      </c>
      <c r="R121" s="209">
        <v>45453</v>
      </c>
      <c r="S121" s="210"/>
      <c r="T121" s="210"/>
      <c r="U121" s="207"/>
      <c r="V121" s="207"/>
      <c r="W121" s="105" t="s">
        <v>1295</v>
      </c>
      <c r="X121" s="211">
        <v>1629560356</v>
      </c>
      <c r="Y121" s="208"/>
      <c r="Z121" s="207" t="s">
        <v>132</v>
      </c>
      <c r="AA121" s="207">
        <v>1680361740</v>
      </c>
      <c r="AB121" s="207" t="s">
        <v>132</v>
      </c>
      <c r="AC121" s="207" t="s">
        <v>79</v>
      </c>
      <c r="AD121" s="210">
        <v>35209</v>
      </c>
      <c r="AE121" s="212">
        <f t="shared" si="4" ca="1"/>
        <v>28.734246575342464</v>
      </c>
      <c r="AF121" s="207" t="s">
        <v>80</v>
      </c>
      <c r="AG121" s="211">
        <v>1910572245</v>
      </c>
      <c r="AH121" s="207" t="s">
        <v>81</v>
      </c>
      <c r="AI121" s="208" t="s">
        <v>299</v>
      </c>
      <c r="AJ121" s="208" t="s">
        <v>81</v>
      </c>
      <c r="AK121" s="208">
        <v>2021</v>
      </c>
      <c r="AL121" s="207" t="s">
        <v>1296</v>
      </c>
      <c r="AM121" s="207" t="s">
        <v>1297</v>
      </c>
      <c r="AN121" s="207" t="s">
        <v>1298</v>
      </c>
      <c r="AO121" s="207" t="s">
        <v>1299</v>
      </c>
      <c r="AP121" s="207" t="s">
        <v>1299</v>
      </c>
      <c r="AQ121" s="208" t="s">
        <v>1300</v>
      </c>
      <c r="AR121" s="207" t="s">
        <v>89</v>
      </c>
      <c r="AS121" s="207" t="s">
        <v>1301</v>
      </c>
      <c r="AT121" s="213">
        <v>33997</v>
      </c>
      <c r="AU121" s="207" t="s">
        <v>81</v>
      </c>
      <c r="AV121" s="207" t="s">
        <v>81</v>
      </c>
      <c r="AW121" s="207" t="s">
        <v>81</v>
      </c>
      <c r="AX121" s="207" t="s">
        <v>81</v>
      </c>
      <c r="AY121" s="207" t="s">
        <v>81</v>
      </c>
      <c r="AZ121" s="207" t="s">
        <v>81</v>
      </c>
      <c r="BA121" s="207" t="s">
        <v>90</v>
      </c>
      <c r="BB121" s="207">
        <v>10800</v>
      </c>
      <c r="BC121" s="207">
        <v>2700</v>
      </c>
      <c r="BD121" s="207">
        <v>0</v>
      </c>
      <c r="BE121" s="207" t="s">
        <v>91</v>
      </c>
      <c r="BF121" s="207"/>
      <c r="BG121" s="207"/>
      <c r="BH121" s="105"/>
      <c r="BI121" s="105"/>
      <c r="BJ121" s="105"/>
      <c r="BK121" s="207">
        <v>1641590950</v>
      </c>
      <c r="BL121" s="105"/>
    </row>
    <row r="122" ht="19.95" customHeight="1">
      <c r="A122" s="207">
        <v>171543</v>
      </c>
      <c r="B122" s="207"/>
      <c r="C122" s="208" t="s">
        <v>1302</v>
      </c>
      <c r="D122" s="207" t="s">
        <v>1303</v>
      </c>
      <c r="E122" s="207" t="s">
        <v>66</v>
      </c>
      <c r="F122" s="208">
        <v>1005170392</v>
      </c>
      <c r="G122" s="207" t="s">
        <v>67</v>
      </c>
      <c r="H122" s="207" t="s">
        <v>68</v>
      </c>
      <c r="I122" s="207" t="s">
        <v>69</v>
      </c>
      <c r="J122" s="208" t="s">
        <v>1285</v>
      </c>
      <c r="K122" s="207" t="s">
        <v>71</v>
      </c>
      <c r="L122" s="207" t="s">
        <v>72</v>
      </c>
      <c r="M122" s="4" t="s">
        <v>1304</v>
      </c>
      <c r="N122" s="207" t="s">
        <v>74</v>
      </c>
      <c r="O122" s="207" t="s">
        <v>75</v>
      </c>
      <c r="P122" s="207">
        <v>31</v>
      </c>
      <c r="Q122" s="209">
        <v>45447</v>
      </c>
      <c r="R122" s="209">
        <v>45453</v>
      </c>
      <c r="S122" s="210"/>
      <c r="T122" s="210"/>
      <c r="U122" s="207"/>
      <c r="V122" s="207"/>
      <c r="W122" s="105" t="s">
        <v>1305</v>
      </c>
      <c r="X122" s="211">
        <v>1846124905</v>
      </c>
      <c r="Y122" s="208">
        <v>1826592608</v>
      </c>
      <c r="Z122" s="207" t="s">
        <v>1306</v>
      </c>
      <c r="AA122" s="207">
        <v>1748141628</v>
      </c>
      <c r="AB122" s="207" t="s">
        <v>252</v>
      </c>
      <c r="AC122" s="207" t="s">
        <v>119</v>
      </c>
      <c r="AD122" s="210">
        <v>35822</v>
      </c>
      <c r="AE122" s="212">
        <f t="shared" si="4" ca="1"/>
        <v>27.054794520547944</v>
      </c>
      <c r="AF122" s="207" t="s">
        <v>80</v>
      </c>
      <c r="AG122" s="211">
        <v>4202092401</v>
      </c>
      <c r="AH122" s="207" t="s">
        <v>81</v>
      </c>
      <c r="AI122" s="208" t="s">
        <v>312</v>
      </c>
      <c r="AJ122" s="208" t="s">
        <v>81</v>
      </c>
      <c r="AK122" s="208">
        <v>2020</v>
      </c>
      <c r="AL122" s="207" t="s">
        <v>1307</v>
      </c>
      <c r="AM122" s="207" t="s">
        <v>1308</v>
      </c>
      <c r="AN122" s="207" t="s">
        <v>1309</v>
      </c>
      <c r="AO122" s="207" t="s">
        <v>1310</v>
      </c>
      <c r="AP122" s="207" t="s">
        <v>1311</v>
      </c>
      <c r="AQ122" s="208" t="s">
        <v>1312</v>
      </c>
      <c r="AR122" s="207" t="s">
        <v>110</v>
      </c>
      <c r="AS122" s="207" t="s">
        <v>81</v>
      </c>
      <c r="AT122" s="213" t="s">
        <v>81</v>
      </c>
      <c r="AU122" s="207" t="s">
        <v>81</v>
      </c>
      <c r="AV122" s="207" t="s">
        <v>81</v>
      </c>
      <c r="AW122" s="207" t="s">
        <v>81</v>
      </c>
      <c r="AX122" s="207" t="s">
        <v>81</v>
      </c>
      <c r="AY122" s="207" t="s">
        <v>81</v>
      </c>
      <c r="AZ122" s="207" t="s">
        <v>81</v>
      </c>
      <c r="BA122" s="207" t="s">
        <v>90</v>
      </c>
      <c r="BB122" s="207">
        <v>10800</v>
      </c>
      <c r="BC122" s="207">
        <v>2700</v>
      </c>
      <c r="BD122" s="207">
        <v>0</v>
      </c>
      <c r="BE122" s="207" t="s">
        <v>91</v>
      </c>
      <c r="BF122" s="207"/>
      <c r="BG122" s="207"/>
      <c r="BH122" s="105"/>
      <c r="BI122" s="105"/>
      <c r="BJ122" s="105"/>
      <c r="BK122" s="207">
        <v>1826592608</v>
      </c>
      <c r="BL122" s="105"/>
    </row>
    <row r="123" ht="19.95" customHeight="1">
      <c r="A123" s="207">
        <v>171544</v>
      </c>
      <c r="B123" s="207"/>
      <c r="C123" s="208" t="s">
        <v>1313</v>
      </c>
      <c r="D123" s="207" t="s">
        <v>1314</v>
      </c>
      <c r="E123" s="207" t="s">
        <v>66</v>
      </c>
      <c r="F123" s="208">
        <v>1013145428</v>
      </c>
      <c r="G123" s="207" t="s">
        <v>67</v>
      </c>
      <c r="H123" s="207" t="s">
        <v>68</v>
      </c>
      <c r="I123" s="207" t="s">
        <v>69</v>
      </c>
      <c r="J123" s="208" t="s">
        <v>1285</v>
      </c>
      <c r="K123" s="207" t="s">
        <v>71</v>
      </c>
      <c r="L123" s="207" t="s">
        <v>72</v>
      </c>
      <c r="M123" s="4" t="s">
        <v>1304</v>
      </c>
      <c r="N123" s="207" t="s">
        <v>74</v>
      </c>
      <c r="O123" s="207" t="s">
        <v>75</v>
      </c>
      <c r="P123" s="207">
        <v>31</v>
      </c>
      <c r="Q123" s="209">
        <v>45447</v>
      </c>
      <c r="R123" s="209">
        <v>45453</v>
      </c>
      <c r="S123" s="210"/>
      <c r="T123" s="210"/>
      <c r="U123" s="207"/>
      <c r="V123" s="207"/>
      <c r="W123" s="105" t="s">
        <v>1315</v>
      </c>
      <c r="X123" s="211">
        <v>1306796166</v>
      </c>
      <c r="Y123" s="208"/>
      <c r="Z123" s="207" t="s">
        <v>1316</v>
      </c>
      <c r="AA123" s="207">
        <v>1986574969</v>
      </c>
      <c r="AB123" s="207" t="s">
        <v>118</v>
      </c>
      <c r="AC123" s="207" t="s">
        <v>119</v>
      </c>
      <c r="AD123" s="210">
        <v>35991</v>
      </c>
      <c r="AE123" s="212">
        <f t="shared" si="4" ca="1"/>
        <v>26.59178082191781</v>
      </c>
      <c r="AF123" s="207" t="s">
        <v>360</v>
      </c>
      <c r="AG123" s="211">
        <v>8258197527</v>
      </c>
      <c r="AH123" s="207" t="s">
        <v>81</v>
      </c>
      <c r="AI123" s="208" t="s">
        <v>513</v>
      </c>
      <c r="AJ123" s="208" t="s">
        <v>81</v>
      </c>
      <c r="AK123" s="208">
        <v>2024</v>
      </c>
      <c r="AL123" s="207" t="s">
        <v>1317</v>
      </c>
      <c r="AM123" s="207" t="s">
        <v>1318</v>
      </c>
      <c r="AN123" s="207" t="s">
        <v>1319</v>
      </c>
      <c r="AO123" s="207" t="s">
        <v>1320</v>
      </c>
      <c r="AP123" s="207" t="s">
        <v>1321</v>
      </c>
      <c r="AQ123" s="208" t="s">
        <v>1322</v>
      </c>
      <c r="AR123" s="207" t="s">
        <v>110</v>
      </c>
      <c r="AS123" s="207" t="s">
        <v>81</v>
      </c>
      <c r="AT123" s="213" t="s">
        <v>81</v>
      </c>
      <c r="AU123" s="207" t="s">
        <v>81</v>
      </c>
      <c r="AV123" s="207" t="s">
        <v>81</v>
      </c>
      <c r="AW123" s="207" t="s">
        <v>81</v>
      </c>
      <c r="AX123" s="207" t="s">
        <v>81</v>
      </c>
      <c r="AY123" s="207" t="s">
        <v>81</v>
      </c>
      <c r="AZ123" s="207" t="s">
        <v>81</v>
      </c>
      <c r="BA123" s="207" t="s">
        <v>90</v>
      </c>
      <c r="BB123" s="207">
        <v>10800</v>
      </c>
      <c r="BC123" s="207">
        <v>2700</v>
      </c>
      <c r="BD123" s="207">
        <v>0</v>
      </c>
      <c r="BE123" s="207" t="s">
        <v>91</v>
      </c>
      <c r="BF123" s="207"/>
      <c r="BG123" s="207"/>
      <c r="BH123" s="105"/>
      <c r="BI123" s="105"/>
      <c r="BJ123" s="105"/>
      <c r="BK123" s="207">
        <v>1405241875</v>
      </c>
      <c r="BL123" s="105"/>
    </row>
    <row r="124" ht="19.95" customHeight="1">
      <c r="A124" s="207">
        <v>171547</v>
      </c>
      <c r="B124" s="207"/>
      <c r="C124" s="208" t="s">
        <v>1323</v>
      </c>
      <c r="D124" s="207" t="s">
        <v>1324</v>
      </c>
      <c r="E124" s="207" t="s">
        <v>66</v>
      </c>
      <c r="F124" s="208">
        <v>1010869571</v>
      </c>
      <c r="G124" s="207" t="s">
        <v>67</v>
      </c>
      <c r="H124" s="207" t="s">
        <v>68</v>
      </c>
      <c r="I124" s="207" t="s">
        <v>69</v>
      </c>
      <c r="J124" s="208" t="s">
        <v>1285</v>
      </c>
      <c r="K124" s="207" t="s">
        <v>71</v>
      </c>
      <c r="L124" s="207" t="s">
        <v>72</v>
      </c>
      <c r="M124" s="4" t="s">
        <v>73</v>
      </c>
      <c r="N124" s="207" t="s">
        <v>74</v>
      </c>
      <c r="O124" s="207" t="s">
        <v>75</v>
      </c>
      <c r="P124" s="207">
        <v>31</v>
      </c>
      <c r="Q124" s="209">
        <v>45447</v>
      </c>
      <c r="R124" s="209">
        <v>45453</v>
      </c>
      <c r="S124" s="210"/>
      <c r="T124" s="210"/>
      <c r="U124" s="207"/>
      <c r="V124" s="207"/>
      <c r="W124" s="105" t="s">
        <v>1325</v>
      </c>
      <c r="X124" s="211">
        <v>1303154463</v>
      </c>
      <c r="Y124" s="208">
        <v>1618511610</v>
      </c>
      <c r="Z124" s="207" t="s">
        <v>410</v>
      </c>
      <c r="AA124" s="207">
        <v>1618511610</v>
      </c>
      <c r="AB124" s="207" t="s">
        <v>78</v>
      </c>
      <c r="AC124" s="207" t="s">
        <v>79</v>
      </c>
      <c r="AD124" s="210">
        <v>35466</v>
      </c>
      <c r="AE124" s="212">
        <f t="shared" si="4" ca="1"/>
        <v>28.03013698630137</v>
      </c>
      <c r="AF124" s="207" t="s">
        <v>80</v>
      </c>
      <c r="AG124" s="211">
        <v>4653224693</v>
      </c>
      <c r="AH124" s="207" t="s">
        <v>1326</v>
      </c>
      <c r="AI124" s="208" t="s">
        <v>1327</v>
      </c>
      <c r="AJ124" s="208" t="s">
        <v>81</v>
      </c>
      <c r="AK124" s="208">
        <v>2019</v>
      </c>
      <c r="AL124" s="207" t="s">
        <v>1328</v>
      </c>
      <c r="AM124" s="207" t="s">
        <v>1329</v>
      </c>
      <c r="AN124" s="207" t="s">
        <v>1330</v>
      </c>
      <c r="AO124" s="207" t="s">
        <v>1331</v>
      </c>
      <c r="AP124" s="207" t="s">
        <v>1332</v>
      </c>
      <c r="AQ124" s="208" t="s">
        <v>88</v>
      </c>
      <c r="AR124" s="207" t="s">
        <v>89</v>
      </c>
      <c r="AS124" s="207" t="s">
        <v>1333</v>
      </c>
      <c r="AT124" s="213">
        <v>36040</v>
      </c>
      <c r="AU124" s="207" t="s">
        <v>1334</v>
      </c>
      <c r="AV124" s="207" t="s">
        <v>1334</v>
      </c>
      <c r="AW124" s="207" t="s">
        <v>81</v>
      </c>
      <c r="AX124" s="207" t="s">
        <v>81</v>
      </c>
      <c r="AY124" s="207" t="s">
        <v>81</v>
      </c>
      <c r="AZ124" s="207" t="s">
        <v>81</v>
      </c>
      <c r="BA124" s="207" t="s">
        <v>90</v>
      </c>
      <c r="BB124" s="207">
        <v>10800</v>
      </c>
      <c r="BC124" s="207">
        <v>2700</v>
      </c>
      <c r="BD124" s="207">
        <v>0</v>
      </c>
      <c r="BE124" s="207" t="s">
        <v>91</v>
      </c>
      <c r="BF124" s="207"/>
      <c r="BG124" s="207"/>
      <c r="BH124" s="105"/>
      <c r="BI124" s="105"/>
      <c r="BJ124" s="105"/>
      <c r="BK124" s="207">
        <v>1303154463</v>
      </c>
      <c r="BL124" s="105"/>
    </row>
    <row r="125" ht="19.95" customHeight="1">
      <c r="A125" s="207">
        <v>171548</v>
      </c>
      <c r="B125" s="207"/>
      <c r="C125" s="208" t="s">
        <v>1335</v>
      </c>
      <c r="D125" s="207" t="s">
        <v>1336</v>
      </c>
      <c r="E125" s="207" t="s">
        <v>66</v>
      </c>
      <c r="F125" s="208">
        <v>849686</v>
      </c>
      <c r="G125" s="207" t="s">
        <v>67</v>
      </c>
      <c r="H125" s="207" t="s">
        <v>68</v>
      </c>
      <c r="I125" s="207" t="s">
        <v>69</v>
      </c>
      <c r="J125" s="208" t="s">
        <v>307</v>
      </c>
      <c r="K125" s="207" t="s">
        <v>71</v>
      </c>
      <c r="L125" s="207" t="s">
        <v>72</v>
      </c>
      <c r="M125" s="4" t="s">
        <v>308</v>
      </c>
      <c r="N125" s="207" t="s">
        <v>74</v>
      </c>
      <c r="O125" s="207" t="s">
        <v>75</v>
      </c>
      <c r="P125" s="207">
        <v>31</v>
      </c>
      <c r="Q125" s="209">
        <v>45447</v>
      </c>
      <c r="R125" s="209">
        <v>45453</v>
      </c>
      <c r="S125" s="210"/>
      <c r="T125" s="210"/>
      <c r="U125" s="207"/>
      <c r="V125" s="207"/>
      <c r="W125" s="105" t="s">
        <v>1337</v>
      </c>
      <c r="X125" s="211">
        <v>1794175122</v>
      </c>
      <c r="Y125" s="208"/>
      <c r="Z125" s="207" t="s">
        <v>1338</v>
      </c>
      <c r="AA125" s="207">
        <v>1913180397</v>
      </c>
      <c r="AB125" s="207" t="s">
        <v>410</v>
      </c>
      <c r="AC125" s="207" t="s">
        <v>133</v>
      </c>
      <c r="AD125" s="210">
        <v>35226</v>
      </c>
      <c r="AE125" s="212">
        <f t="shared" si="4" ca="1"/>
        <v>28.687671232876713</v>
      </c>
      <c r="AF125" s="207" t="s">
        <v>80</v>
      </c>
      <c r="AG125" s="211">
        <v>5984198738</v>
      </c>
      <c r="AH125" s="207" t="s">
        <v>81</v>
      </c>
      <c r="AI125" s="208" t="s">
        <v>1339</v>
      </c>
      <c r="AJ125" s="208" t="s">
        <v>81</v>
      </c>
      <c r="AK125" s="208">
        <v>2017</v>
      </c>
      <c r="AL125" s="207" t="s">
        <v>209</v>
      </c>
      <c r="AM125" s="207" t="s">
        <v>1340</v>
      </c>
      <c r="AN125" s="207" t="s">
        <v>1341</v>
      </c>
      <c r="AO125" s="207" t="s">
        <v>1342</v>
      </c>
      <c r="AP125" s="207" t="s">
        <v>1343</v>
      </c>
      <c r="AQ125" s="208" t="s">
        <v>555</v>
      </c>
      <c r="AR125" s="207" t="s">
        <v>89</v>
      </c>
      <c r="AS125" s="207" t="s">
        <v>1338</v>
      </c>
      <c r="AT125" s="213">
        <v>32919</v>
      </c>
      <c r="AU125" s="207" t="s">
        <v>81</v>
      </c>
      <c r="AV125" s="207" t="s">
        <v>81</v>
      </c>
      <c r="AW125" s="207" t="s">
        <v>81</v>
      </c>
      <c r="AX125" s="207" t="s">
        <v>81</v>
      </c>
      <c r="AY125" s="207" t="s">
        <v>81</v>
      </c>
      <c r="AZ125" s="207" t="s">
        <v>81</v>
      </c>
      <c r="BA125" s="207" t="s">
        <v>90</v>
      </c>
      <c r="BB125" s="207">
        <v>10800</v>
      </c>
      <c r="BC125" s="207">
        <v>2700</v>
      </c>
      <c r="BD125" s="207">
        <v>0</v>
      </c>
      <c r="BE125" s="207" t="s">
        <v>91</v>
      </c>
      <c r="BF125" s="207"/>
      <c r="BG125" s="207"/>
      <c r="BH125" s="105"/>
      <c r="BI125" s="105"/>
      <c r="BJ125" s="105"/>
      <c r="BK125" s="207">
        <v>1741384213</v>
      </c>
      <c r="BL125" s="105"/>
    </row>
    <row r="126" ht="19.95" customHeight="1">
      <c r="A126" s="207">
        <v>171552</v>
      </c>
      <c r="B126" s="207"/>
      <c r="C126" s="208" t="s">
        <v>1344</v>
      </c>
      <c r="D126" s="207" t="s">
        <v>1345</v>
      </c>
      <c r="E126" s="207" t="s">
        <v>66</v>
      </c>
      <c r="F126" s="208">
        <v>1010999709</v>
      </c>
      <c r="G126" s="207" t="s">
        <v>67</v>
      </c>
      <c r="H126" s="207" t="s">
        <v>68</v>
      </c>
      <c r="I126" s="207" t="s">
        <v>69</v>
      </c>
      <c r="J126" s="208" t="s">
        <v>1285</v>
      </c>
      <c r="K126" s="207" t="s">
        <v>71</v>
      </c>
      <c r="L126" s="207" t="s">
        <v>72</v>
      </c>
      <c r="M126" s="4" t="s">
        <v>1304</v>
      </c>
      <c r="N126" s="207" t="s">
        <v>74</v>
      </c>
      <c r="O126" s="207" t="s">
        <v>75</v>
      </c>
      <c r="P126" s="207">
        <v>31</v>
      </c>
      <c r="Q126" s="209">
        <v>45447</v>
      </c>
      <c r="R126" s="209">
        <v>45453</v>
      </c>
      <c r="S126" s="210"/>
      <c r="T126" s="210"/>
      <c r="U126" s="207"/>
      <c r="V126" s="207"/>
      <c r="W126" s="105" t="s">
        <v>1346</v>
      </c>
      <c r="X126" s="211">
        <v>1610600936</v>
      </c>
      <c r="Y126" s="208">
        <v>1631142618</v>
      </c>
      <c r="Z126" s="207" t="s">
        <v>1347</v>
      </c>
      <c r="AA126" s="207">
        <v>1705703008</v>
      </c>
      <c r="AB126" s="207" t="s">
        <v>78</v>
      </c>
      <c r="AC126" s="207" t="s">
        <v>133</v>
      </c>
      <c r="AD126" s="210">
        <v>35678</v>
      </c>
      <c r="AE126" s="212">
        <f t="shared" si="4" ca="1"/>
        <v>27.44931506849315</v>
      </c>
      <c r="AF126" s="207" t="s">
        <v>80</v>
      </c>
      <c r="AG126" s="211">
        <v>7352467398</v>
      </c>
      <c r="AH126" s="207" t="s">
        <v>81</v>
      </c>
      <c r="AI126" s="208" t="s">
        <v>322</v>
      </c>
      <c r="AJ126" s="208" t="s">
        <v>81</v>
      </c>
      <c r="AK126" s="208">
        <v>2019</v>
      </c>
      <c r="AL126" s="207" t="s">
        <v>1348</v>
      </c>
      <c r="AM126" s="207" t="s">
        <v>1349</v>
      </c>
      <c r="AN126" s="207" t="s">
        <v>1350</v>
      </c>
      <c r="AO126" s="207" t="s">
        <v>1351</v>
      </c>
      <c r="AP126" s="207" t="s">
        <v>1352</v>
      </c>
      <c r="AQ126" s="208" t="s">
        <v>1353</v>
      </c>
      <c r="AR126" s="207" t="s">
        <v>89</v>
      </c>
      <c r="AS126" s="207" t="s">
        <v>1347</v>
      </c>
      <c r="AT126" s="213">
        <v>35066</v>
      </c>
      <c r="AU126" s="207" t="s">
        <v>81</v>
      </c>
      <c r="AV126" s="207" t="s">
        <v>81</v>
      </c>
      <c r="AW126" s="207" t="s">
        <v>81</v>
      </c>
      <c r="AX126" s="207" t="s">
        <v>81</v>
      </c>
      <c r="AY126" s="207" t="s">
        <v>81</v>
      </c>
      <c r="AZ126" s="207" t="s">
        <v>81</v>
      </c>
      <c r="BA126" s="207" t="s">
        <v>90</v>
      </c>
      <c r="BB126" s="207">
        <v>10800</v>
      </c>
      <c r="BC126" s="207">
        <v>2700</v>
      </c>
      <c r="BD126" s="207">
        <v>0</v>
      </c>
      <c r="BE126" s="207" t="s">
        <v>91</v>
      </c>
      <c r="BF126" s="207"/>
      <c r="BG126" s="207"/>
      <c r="BH126" s="105"/>
      <c r="BI126" s="105"/>
      <c r="BJ126" s="105"/>
      <c r="BK126" s="207">
        <v>1631142618</v>
      </c>
      <c r="BL126" s="105"/>
    </row>
    <row r="127" ht="19.95" customHeight="1">
      <c r="A127" s="207">
        <v>171553</v>
      </c>
      <c r="B127" s="207"/>
      <c r="C127" s="208" t="s">
        <v>1354</v>
      </c>
      <c r="D127" s="207" t="s">
        <v>1355</v>
      </c>
      <c r="E127" s="207" t="s">
        <v>66</v>
      </c>
      <c r="F127" s="208">
        <v>904892</v>
      </c>
      <c r="G127" s="207" t="s">
        <v>67</v>
      </c>
      <c r="H127" s="207" t="s">
        <v>68</v>
      </c>
      <c r="I127" s="207" t="s">
        <v>69</v>
      </c>
      <c r="J127" s="208" t="s">
        <v>1285</v>
      </c>
      <c r="K127" s="207" t="s">
        <v>71</v>
      </c>
      <c r="L127" s="207" t="s">
        <v>72</v>
      </c>
      <c r="M127" s="4" t="s">
        <v>369</v>
      </c>
      <c r="N127" s="207" t="s">
        <v>74</v>
      </c>
      <c r="O127" s="207" t="s">
        <v>75</v>
      </c>
      <c r="P127" s="207">
        <v>31</v>
      </c>
      <c r="Q127" s="209">
        <v>45447</v>
      </c>
      <c r="R127" s="209">
        <v>45453</v>
      </c>
      <c r="S127" s="210"/>
      <c r="T127" s="210"/>
      <c r="U127" s="207"/>
      <c r="V127" s="207"/>
      <c r="W127" s="105" t="s">
        <v>1356</v>
      </c>
      <c r="X127" s="211">
        <v>1676573972</v>
      </c>
      <c r="Y127" s="208">
        <v>1511666809</v>
      </c>
      <c r="Z127" s="207" t="s">
        <v>1357</v>
      </c>
      <c r="AA127" s="207">
        <v>1552447293</v>
      </c>
      <c r="AB127" s="207" t="s">
        <v>118</v>
      </c>
      <c r="AC127" s="207" t="s">
        <v>79</v>
      </c>
      <c r="AD127" s="210">
        <v>34632</v>
      </c>
      <c r="AE127" s="212">
        <f t="shared" si="4" ca="1"/>
        <v>30.315068493150687</v>
      </c>
      <c r="AF127" s="207" t="s">
        <v>80</v>
      </c>
      <c r="AG127" s="211">
        <v>6421552495</v>
      </c>
      <c r="AH127" s="207" t="s">
        <v>81</v>
      </c>
      <c r="AI127" s="208" t="s">
        <v>265</v>
      </c>
      <c r="AJ127" s="208" t="s">
        <v>81</v>
      </c>
      <c r="AK127" s="208">
        <v>2016</v>
      </c>
      <c r="AL127" s="207" t="s">
        <v>1358</v>
      </c>
      <c r="AM127" s="207" t="s">
        <v>1359</v>
      </c>
      <c r="AN127" s="207" t="s">
        <v>1360</v>
      </c>
      <c r="AO127" s="207" t="s">
        <v>1361</v>
      </c>
      <c r="AP127" s="207" t="s">
        <v>1362</v>
      </c>
      <c r="AQ127" s="208" t="s">
        <v>223</v>
      </c>
      <c r="AR127" s="207" t="s">
        <v>1363</v>
      </c>
      <c r="AS127" s="207" t="s">
        <v>81</v>
      </c>
      <c r="AT127" s="213" t="s">
        <v>81</v>
      </c>
      <c r="AU127" s="207" t="s">
        <v>81</v>
      </c>
      <c r="AV127" s="207" t="s">
        <v>81</v>
      </c>
      <c r="AW127" s="207" t="s">
        <v>81</v>
      </c>
      <c r="AX127" s="207" t="s">
        <v>81</v>
      </c>
      <c r="AY127" s="207" t="s">
        <v>81</v>
      </c>
      <c r="AZ127" s="207" t="s">
        <v>81</v>
      </c>
      <c r="BA127" s="207" t="s">
        <v>90</v>
      </c>
      <c r="BB127" s="207">
        <v>10800</v>
      </c>
      <c r="BC127" s="207">
        <v>2700</v>
      </c>
      <c r="BD127" s="207">
        <v>0</v>
      </c>
      <c r="BE127" s="207" t="s">
        <v>91</v>
      </c>
      <c r="BF127" s="207"/>
      <c r="BG127" s="207"/>
      <c r="BH127" s="105"/>
      <c r="BI127" s="105"/>
      <c r="BJ127" s="105"/>
      <c r="BK127" s="207">
        <v>1720602263</v>
      </c>
      <c r="BL127" s="105"/>
    </row>
    <row r="128" ht="19.95" customHeight="1">
      <c r="A128" s="207">
        <v>171554</v>
      </c>
      <c r="B128" s="207"/>
      <c r="C128" s="208" t="s">
        <v>1364</v>
      </c>
      <c r="D128" s="207" t="s">
        <v>1365</v>
      </c>
      <c r="E128" s="207" t="s">
        <v>66</v>
      </c>
      <c r="F128" s="208">
        <v>1117518513</v>
      </c>
      <c r="G128" s="207" t="s">
        <v>67</v>
      </c>
      <c r="H128" s="207" t="s">
        <v>68</v>
      </c>
      <c r="I128" s="207" t="s">
        <v>69</v>
      </c>
      <c r="J128" s="208" t="s">
        <v>1285</v>
      </c>
      <c r="K128" s="207" t="s">
        <v>71</v>
      </c>
      <c r="L128" s="207" t="s">
        <v>72</v>
      </c>
      <c r="M128" s="4" t="s">
        <v>369</v>
      </c>
      <c r="N128" s="207" t="s">
        <v>74</v>
      </c>
      <c r="O128" s="207" t="s">
        <v>75</v>
      </c>
      <c r="P128" s="207">
        <v>31</v>
      </c>
      <c r="Q128" s="209">
        <v>45447</v>
      </c>
      <c r="R128" s="209">
        <v>45453</v>
      </c>
      <c r="S128" s="210"/>
      <c r="T128" s="210"/>
      <c r="U128" s="207"/>
      <c r="V128" s="207"/>
      <c r="W128" s="105" t="s">
        <v>1366</v>
      </c>
      <c r="X128" s="211">
        <v>1719187158</v>
      </c>
      <c r="Y128" s="208">
        <v>1755267884</v>
      </c>
      <c r="Z128" s="207" t="s">
        <v>1367</v>
      </c>
      <c r="AA128" s="207">
        <v>1750959509</v>
      </c>
      <c r="AB128" s="207" t="s">
        <v>132</v>
      </c>
      <c r="AC128" s="207" t="s">
        <v>79</v>
      </c>
      <c r="AD128" s="210">
        <v>35718</v>
      </c>
      <c r="AE128" s="212">
        <f t="shared" si="4" ca="1"/>
        <v>27.339726027397262</v>
      </c>
      <c r="AF128" s="207" t="s">
        <v>360</v>
      </c>
      <c r="AG128" s="211">
        <v>7354564085</v>
      </c>
      <c r="AH128" s="207" t="s">
        <v>81</v>
      </c>
      <c r="AI128" s="208" t="s">
        <v>1368</v>
      </c>
      <c r="AJ128" s="208" t="s">
        <v>81</v>
      </c>
      <c r="AK128" s="208">
        <v>2021</v>
      </c>
      <c r="AL128" s="207" t="s">
        <v>1369</v>
      </c>
      <c r="AM128" s="207" t="s">
        <v>1370</v>
      </c>
      <c r="AN128" s="207" t="s">
        <v>1367</v>
      </c>
      <c r="AO128" s="207" t="s">
        <v>1371</v>
      </c>
      <c r="AP128" s="207" t="s">
        <v>1372</v>
      </c>
      <c r="AQ128" s="208" t="s">
        <v>88</v>
      </c>
      <c r="AR128" s="207" t="s">
        <v>110</v>
      </c>
      <c r="AS128" s="207" t="s">
        <v>81</v>
      </c>
      <c r="AT128" s="213" t="s">
        <v>81</v>
      </c>
      <c r="AU128" s="207" t="s">
        <v>81</v>
      </c>
      <c r="AV128" s="207" t="s">
        <v>81</v>
      </c>
      <c r="AW128" s="207" t="s">
        <v>81</v>
      </c>
      <c r="AX128" s="207" t="s">
        <v>81</v>
      </c>
      <c r="AY128" s="207" t="s">
        <v>81</v>
      </c>
      <c r="AZ128" s="207" t="s">
        <v>81</v>
      </c>
      <c r="BA128" s="207" t="s">
        <v>90</v>
      </c>
      <c r="BB128" s="207">
        <v>10800</v>
      </c>
      <c r="BC128" s="207">
        <v>2700</v>
      </c>
      <c r="BD128" s="207">
        <v>0</v>
      </c>
      <c r="BE128" s="207" t="s">
        <v>91</v>
      </c>
      <c r="BF128" s="207"/>
      <c r="BG128" s="207"/>
      <c r="BH128" s="105"/>
      <c r="BI128" s="105"/>
      <c r="BJ128" s="105"/>
      <c r="BK128" s="207">
        <v>1719187158</v>
      </c>
      <c r="BL128" s="105"/>
    </row>
    <row r="129" ht="19.95" customHeight="1">
      <c r="A129" s="207">
        <v>171555</v>
      </c>
      <c r="B129" s="207"/>
      <c r="C129" s="208" t="s">
        <v>1373</v>
      </c>
      <c r="D129" s="207" t="s">
        <v>1374</v>
      </c>
      <c r="E129" s="207" t="s">
        <v>66</v>
      </c>
      <c r="F129" s="208">
        <v>413030</v>
      </c>
      <c r="G129" s="207" t="s">
        <v>67</v>
      </c>
      <c r="H129" s="207" t="s">
        <v>68</v>
      </c>
      <c r="I129" s="207" t="s">
        <v>69</v>
      </c>
      <c r="J129" s="208" t="s">
        <v>307</v>
      </c>
      <c r="K129" s="207" t="s">
        <v>71</v>
      </c>
      <c r="L129" s="207" t="s">
        <v>72</v>
      </c>
      <c r="M129" s="4" t="s">
        <v>308</v>
      </c>
      <c r="N129" s="207" t="s">
        <v>74</v>
      </c>
      <c r="O129" s="207" t="s">
        <v>75</v>
      </c>
      <c r="P129" s="207">
        <v>31</v>
      </c>
      <c r="Q129" s="209">
        <v>45447</v>
      </c>
      <c r="R129" s="209">
        <v>45453</v>
      </c>
      <c r="S129" s="210"/>
      <c r="T129" s="210"/>
      <c r="U129" s="207"/>
      <c r="V129" s="207"/>
      <c r="W129" s="105" t="s">
        <v>1375</v>
      </c>
      <c r="X129" s="211">
        <v>1531799269</v>
      </c>
      <c r="Y129" s="208"/>
      <c r="Z129" s="207" t="s">
        <v>1376</v>
      </c>
      <c r="AA129" s="207">
        <v>1796336546</v>
      </c>
      <c r="AB129" s="207" t="s">
        <v>132</v>
      </c>
      <c r="AC129" s="207" t="s">
        <v>79</v>
      </c>
      <c r="AD129" s="210">
        <v>35082</v>
      </c>
      <c r="AE129" s="212">
        <f t="shared" si="4" ca="1"/>
        <v>29.08219178082192</v>
      </c>
      <c r="AF129" s="207" t="s">
        <v>80</v>
      </c>
      <c r="AG129" s="211">
        <v>7352541937</v>
      </c>
      <c r="AH129" s="207" t="s">
        <v>1377</v>
      </c>
      <c r="AI129" s="208" t="s">
        <v>82</v>
      </c>
      <c r="AJ129" s="208" t="s">
        <v>81</v>
      </c>
      <c r="AK129" s="208">
        <v>2020</v>
      </c>
      <c r="AL129" s="207" t="s">
        <v>1378</v>
      </c>
      <c r="AM129" s="207" t="s">
        <v>1379</v>
      </c>
      <c r="AN129" s="207" t="s">
        <v>1376</v>
      </c>
      <c r="AO129" s="207" t="s">
        <v>1380</v>
      </c>
      <c r="AP129" s="207" t="s">
        <v>1381</v>
      </c>
      <c r="AQ129" s="208" t="s">
        <v>1382</v>
      </c>
      <c r="AR129" s="207" t="s">
        <v>110</v>
      </c>
      <c r="AS129" s="207" t="s">
        <v>1377</v>
      </c>
      <c r="AT129" s="213" t="s">
        <v>1377</v>
      </c>
      <c r="AU129" s="207" t="s">
        <v>1377</v>
      </c>
      <c r="AV129" s="207" t="s">
        <v>1377</v>
      </c>
      <c r="AW129" s="207" t="s">
        <v>81</v>
      </c>
      <c r="AX129" s="207" t="s">
        <v>81</v>
      </c>
      <c r="AY129" s="207" t="s">
        <v>81</v>
      </c>
      <c r="AZ129" s="207" t="s">
        <v>81</v>
      </c>
      <c r="BA129" s="207" t="s">
        <v>90</v>
      </c>
      <c r="BB129" s="207">
        <v>10800</v>
      </c>
      <c r="BC129" s="207">
        <v>2700</v>
      </c>
      <c r="BD129" s="207">
        <v>0</v>
      </c>
      <c r="BE129" s="207" t="s">
        <v>91</v>
      </c>
      <c r="BF129" s="207"/>
      <c r="BG129" s="207"/>
      <c r="BH129" s="105"/>
      <c r="BI129" s="105"/>
      <c r="BJ129" s="105"/>
      <c r="BK129" s="207">
        <v>1796336546</v>
      </c>
      <c r="BL129" s="105"/>
    </row>
    <row r="130" ht="19.95" customHeight="1">
      <c r="A130" s="207">
        <v>171557</v>
      </c>
      <c r="B130" s="207"/>
      <c r="C130" s="208" t="s">
        <v>1383</v>
      </c>
      <c r="D130" s="207" t="s">
        <v>1384</v>
      </c>
      <c r="E130" s="207" t="s">
        <v>66</v>
      </c>
      <c r="F130" s="208">
        <v>1210961856</v>
      </c>
      <c r="G130" s="207" t="s">
        <v>67</v>
      </c>
      <c r="H130" s="207" t="s">
        <v>68</v>
      </c>
      <c r="I130" s="207" t="s">
        <v>69</v>
      </c>
      <c r="J130" s="208" t="s">
        <v>1285</v>
      </c>
      <c r="K130" s="207" t="s">
        <v>71</v>
      </c>
      <c r="L130" s="207" t="s">
        <v>72</v>
      </c>
      <c r="M130" s="4" t="s">
        <v>369</v>
      </c>
      <c r="N130" s="207" t="s">
        <v>74</v>
      </c>
      <c r="O130" s="207" t="s">
        <v>75</v>
      </c>
      <c r="P130" s="207">
        <v>31</v>
      </c>
      <c r="Q130" s="209">
        <v>45447</v>
      </c>
      <c r="R130" s="209">
        <v>45453</v>
      </c>
      <c r="S130" s="210"/>
      <c r="T130" s="210"/>
      <c r="U130" s="207"/>
      <c r="V130" s="207"/>
      <c r="W130" s="105" t="s">
        <v>1385</v>
      </c>
      <c r="X130" s="211">
        <v>1620589818</v>
      </c>
      <c r="Y130" s="208"/>
      <c r="Z130" s="207" t="s">
        <v>1386</v>
      </c>
      <c r="AA130" s="207" t="s">
        <v>1387</v>
      </c>
      <c r="AB130" s="207" t="s">
        <v>410</v>
      </c>
      <c r="AC130" s="207" t="s">
        <v>79</v>
      </c>
      <c r="AD130" s="210">
        <v>36374</v>
      </c>
      <c r="AE130" s="212">
        <f t="shared" si="4" ca="1"/>
        <v>25.542465753424658</v>
      </c>
      <c r="AF130" s="207" t="s">
        <v>80</v>
      </c>
      <c r="AG130" s="211">
        <v>9154809496</v>
      </c>
      <c r="AH130" s="207" t="s">
        <v>242</v>
      </c>
      <c r="AI130" s="208" t="s">
        <v>886</v>
      </c>
      <c r="AJ130" s="208" t="s">
        <v>81</v>
      </c>
      <c r="AK130" s="208">
        <v>2021</v>
      </c>
      <c r="AL130" s="207" t="s">
        <v>1388</v>
      </c>
      <c r="AM130" s="207" t="s">
        <v>1389</v>
      </c>
      <c r="AN130" s="207" t="s">
        <v>107</v>
      </c>
      <c r="AO130" s="207" t="s">
        <v>1390</v>
      </c>
      <c r="AP130" s="207" t="s">
        <v>1391</v>
      </c>
      <c r="AQ130" s="208" t="s">
        <v>285</v>
      </c>
      <c r="AR130" s="207" t="s">
        <v>89</v>
      </c>
      <c r="AS130" s="207" t="s">
        <v>1392</v>
      </c>
      <c r="AT130" s="213">
        <v>35869</v>
      </c>
      <c r="AU130" s="207" t="s">
        <v>1377</v>
      </c>
      <c r="AV130" s="207" t="s">
        <v>1377</v>
      </c>
      <c r="AW130" s="207" t="s">
        <v>81</v>
      </c>
      <c r="AX130" s="207" t="s">
        <v>81</v>
      </c>
      <c r="AY130" s="207" t="s">
        <v>81</v>
      </c>
      <c r="AZ130" s="207" t="s">
        <v>81</v>
      </c>
      <c r="BA130" s="207" t="s">
        <v>90</v>
      </c>
      <c r="BB130" s="207">
        <v>10800</v>
      </c>
      <c r="BC130" s="207">
        <v>2700</v>
      </c>
      <c r="BD130" s="207">
        <v>0</v>
      </c>
      <c r="BE130" s="207" t="s">
        <v>91</v>
      </c>
      <c r="BF130" s="207"/>
      <c r="BG130" s="207"/>
      <c r="BH130" s="105"/>
      <c r="BI130" s="105"/>
      <c r="BJ130" s="105"/>
      <c r="BK130" s="207">
        <v>1928970007</v>
      </c>
      <c r="BL130" s="105"/>
    </row>
    <row r="131" ht="19.95" customHeight="1">
      <c r="A131" s="207">
        <v>171558</v>
      </c>
      <c r="B131" s="207"/>
      <c r="C131" s="208" t="s">
        <v>1393</v>
      </c>
      <c r="D131" s="207" t="s">
        <v>1394</v>
      </c>
      <c r="E131" s="207" t="s">
        <v>66</v>
      </c>
      <c r="F131" s="208">
        <v>1210848992</v>
      </c>
      <c r="G131" s="207" t="s">
        <v>67</v>
      </c>
      <c r="H131" s="207" t="s">
        <v>68</v>
      </c>
      <c r="I131" s="207" t="s">
        <v>69</v>
      </c>
      <c r="J131" s="208" t="s">
        <v>1285</v>
      </c>
      <c r="K131" s="207" t="s">
        <v>71</v>
      </c>
      <c r="L131" s="207" t="s">
        <v>72</v>
      </c>
      <c r="M131" s="4" t="s">
        <v>1304</v>
      </c>
      <c r="N131" s="207" t="s">
        <v>74</v>
      </c>
      <c r="O131" s="207" t="s">
        <v>75</v>
      </c>
      <c r="P131" s="207">
        <v>31</v>
      </c>
      <c r="Q131" s="209">
        <v>45447</v>
      </c>
      <c r="R131" s="209">
        <v>45453</v>
      </c>
      <c r="S131" s="210"/>
      <c r="T131" s="210"/>
      <c r="U131" s="207"/>
      <c r="V131" s="207"/>
      <c r="W131" s="105" t="s">
        <v>1395</v>
      </c>
      <c r="X131" s="211">
        <v>1630362191</v>
      </c>
      <c r="Y131" s="208"/>
      <c r="Z131" s="207" t="s">
        <v>101</v>
      </c>
      <c r="AA131" s="207">
        <v>1753521076</v>
      </c>
      <c r="AB131" s="207" t="s">
        <v>1396</v>
      </c>
      <c r="AC131" s="207" t="s">
        <v>79</v>
      </c>
      <c r="AD131" s="210">
        <v>36296</v>
      </c>
      <c r="AE131" s="212">
        <f t="shared" si="4" ca="1"/>
        <v>25.756164383561643</v>
      </c>
      <c r="AF131" s="207" t="s">
        <v>80</v>
      </c>
      <c r="AG131" s="211">
        <v>6904380679</v>
      </c>
      <c r="AH131" s="207" t="s">
        <v>81</v>
      </c>
      <c r="AI131" s="208" t="s">
        <v>925</v>
      </c>
      <c r="AJ131" s="208" t="s">
        <v>81</v>
      </c>
      <c r="AK131" s="208">
        <v>2022</v>
      </c>
      <c r="AL131" s="207" t="s">
        <v>1397</v>
      </c>
      <c r="AM131" s="207" t="s">
        <v>1398</v>
      </c>
      <c r="AN131" s="207" t="s">
        <v>1399</v>
      </c>
      <c r="AO131" s="207" t="s">
        <v>1400</v>
      </c>
      <c r="AP131" s="207" t="s">
        <v>1401</v>
      </c>
      <c r="AQ131" s="208" t="s">
        <v>223</v>
      </c>
      <c r="AR131" s="207" t="s">
        <v>110</v>
      </c>
      <c r="AS131" s="207" t="s">
        <v>81</v>
      </c>
      <c r="AT131" s="213" t="s">
        <v>81</v>
      </c>
      <c r="AU131" s="207" t="s">
        <v>81</v>
      </c>
      <c r="AV131" s="207" t="s">
        <v>81</v>
      </c>
      <c r="AW131" s="207" t="s">
        <v>81</v>
      </c>
      <c r="AX131" s="207" t="s">
        <v>81</v>
      </c>
      <c r="AY131" s="207" t="s">
        <v>81</v>
      </c>
      <c r="AZ131" s="207" t="s">
        <v>81</v>
      </c>
      <c r="BA131" s="207" t="s">
        <v>90</v>
      </c>
      <c r="BB131" s="207">
        <v>10800</v>
      </c>
      <c r="BC131" s="207">
        <v>2700</v>
      </c>
      <c r="BD131" s="207">
        <v>0</v>
      </c>
      <c r="BE131" s="207" t="s">
        <v>91</v>
      </c>
      <c r="BF131" s="207"/>
      <c r="BG131" s="207"/>
      <c r="BH131" s="105"/>
      <c r="BI131" s="105"/>
      <c r="BJ131" s="105"/>
      <c r="BK131" s="207">
        <v>1766235835</v>
      </c>
      <c r="BL131" s="105"/>
    </row>
    <row r="132" ht="19.95" customHeight="1">
      <c r="A132" s="207">
        <v>171559</v>
      </c>
      <c r="B132" s="207"/>
      <c r="C132" s="208" t="s">
        <v>1402</v>
      </c>
      <c r="D132" s="207" t="s">
        <v>1403</v>
      </c>
      <c r="E132" s="207" t="s">
        <v>66</v>
      </c>
      <c r="F132" s="208">
        <v>1218791870</v>
      </c>
      <c r="G132" s="207" t="s">
        <v>67</v>
      </c>
      <c r="H132" s="207" t="s">
        <v>68</v>
      </c>
      <c r="I132" s="207" t="s">
        <v>69</v>
      </c>
      <c r="J132" s="208" t="s">
        <v>1285</v>
      </c>
      <c r="K132" s="207" t="s">
        <v>71</v>
      </c>
      <c r="L132" s="207" t="s">
        <v>72</v>
      </c>
      <c r="M132" s="4" t="s">
        <v>369</v>
      </c>
      <c r="N132" s="207" t="s">
        <v>74</v>
      </c>
      <c r="O132" s="207" t="s">
        <v>75</v>
      </c>
      <c r="P132" s="207">
        <v>31</v>
      </c>
      <c r="Q132" s="209">
        <v>45447</v>
      </c>
      <c r="R132" s="209">
        <v>45453</v>
      </c>
      <c r="S132" s="210"/>
      <c r="T132" s="210"/>
      <c r="U132" s="207"/>
      <c r="V132" s="207"/>
      <c r="W132" s="105" t="s">
        <v>1404</v>
      </c>
      <c r="X132" s="211">
        <v>1950123026</v>
      </c>
      <c r="Y132" s="208">
        <v>1708578680</v>
      </c>
      <c r="Z132" s="207" t="s">
        <v>101</v>
      </c>
      <c r="AA132" s="207">
        <v>1708674810</v>
      </c>
      <c r="AB132" s="207" t="s">
        <v>101</v>
      </c>
      <c r="AC132" s="207" t="s">
        <v>133</v>
      </c>
      <c r="AD132" s="210">
        <v>36018</v>
      </c>
      <c r="AE132" s="212">
        <f t="shared" si="4" ca="1"/>
        <v>26.517808219178082</v>
      </c>
      <c r="AF132" s="207" t="s">
        <v>80</v>
      </c>
      <c r="AG132" s="211">
        <v>3755688623</v>
      </c>
      <c r="AH132" s="207" t="s">
        <v>1377</v>
      </c>
      <c r="AI132" s="208" t="s">
        <v>347</v>
      </c>
      <c r="AJ132" s="208" t="s">
        <v>81</v>
      </c>
      <c r="AK132" s="208">
        <v>2021</v>
      </c>
      <c r="AL132" s="207" t="s">
        <v>1405</v>
      </c>
      <c r="AM132" s="207" t="s">
        <v>1406</v>
      </c>
      <c r="AN132" s="207" t="s">
        <v>1407</v>
      </c>
      <c r="AO132" s="207" t="s">
        <v>88</v>
      </c>
      <c r="AP132" s="207" t="s">
        <v>1408</v>
      </c>
      <c r="AQ132" s="208" t="s">
        <v>88</v>
      </c>
      <c r="AR132" s="207" t="s">
        <v>110</v>
      </c>
      <c r="AS132" s="207" t="s">
        <v>1377</v>
      </c>
      <c r="AT132" s="213" t="s">
        <v>1377</v>
      </c>
      <c r="AU132" s="207" t="s">
        <v>1377</v>
      </c>
      <c r="AV132" s="207" t="s">
        <v>1377</v>
      </c>
      <c r="AW132" s="207" t="s">
        <v>81</v>
      </c>
      <c r="AX132" s="207" t="s">
        <v>81</v>
      </c>
      <c r="AY132" s="207" t="s">
        <v>81</v>
      </c>
      <c r="AZ132" s="207" t="s">
        <v>81</v>
      </c>
      <c r="BA132" s="207" t="s">
        <v>90</v>
      </c>
      <c r="BB132" s="207">
        <v>10800</v>
      </c>
      <c r="BC132" s="207">
        <v>2700</v>
      </c>
      <c r="BD132" s="207">
        <v>0</v>
      </c>
      <c r="BE132" s="207" t="s">
        <v>91</v>
      </c>
      <c r="BF132" s="207"/>
      <c r="BG132" s="207"/>
      <c r="BH132" s="105"/>
      <c r="BI132" s="105"/>
      <c r="BJ132" s="105"/>
      <c r="BK132" s="207">
        <v>1708578680</v>
      </c>
      <c r="BL132" s="105"/>
    </row>
    <row r="133" ht="19.95" customHeight="1">
      <c r="A133" s="207">
        <v>171560</v>
      </c>
      <c r="B133" s="207"/>
      <c r="C133" s="208" t="s">
        <v>1409</v>
      </c>
      <c r="D133" s="207" t="s">
        <v>1410</v>
      </c>
      <c r="E133" s="207" t="s">
        <v>66</v>
      </c>
      <c r="F133" s="208">
        <v>1110213813</v>
      </c>
      <c r="G133" s="207" t="s">
        <v>67</v>
      </c>
      <c r="H133" s="207" t="s">
        <v>68</v>
      </c>
      <c r="I133" s="207" t="s">
        <v>69</v>
      </c>
      <c r="J133" s="208" t="s">
        <v>1285</v>
      </c>
      <c r="K133" s="207" t="s">
        <v>71</v>
      </c>
      <c r="L133" s="207" t="s">
        <v>72</v>
      </c>
      <c r="M133" s="4" t="s">
        <v>369</v>
      </c>
      <c r="N133" s="207" t="s">
        <v>74</v>
      </c>
      <c r="O133" s="207" t="s">
        <v>75</v>
      </c>
      <c r="P133" s="207">
        <v>31</v>
      </c>
      <c r="Q133" s="209">
        <v>45447</v>
      </c>
      <c r="R133" s="209">
        <v>45453</v>
      </c>
      <c r="S133" s="210"/>
      <c r="T133" s="210"/>
      <c r="U133" s="207"/>
      <c r="V133" s="207"/>
      <c r="W133" s="105" t="s">
        <v>1411</v>
      </c>
      <c r="X133" s="211">
        <v>1729017011</v>
      </c>
      <c r="Y133" s="208"/>
      <c r="Z133" s="207" t="s">
        <v>1412</v>
      </c>
      <c r="AA133" s="207">
        <v>1715770787</v>
      </c>
      <c r="AB133" s="207" t="s">
        <v>132</v>
      </c>
      <c r="AC133" s="207" t="s">
        <v>79</v>
      </c>
      <c r="AD133" s="210">
        <v>35930</v>
      </c>
      <c r="AE133" s="212">
        <f t="shared" si="4" ca="1"/>
        <v>26.75890410958904</v>
      </c>
      <c r="AF133" s="207" t="s">
        <v>80</v>
      </c>
      <c r="AG133" s="211">
        <v>5557243838</v>
      </c>
      <c r="AH133" s="207" t="s">
        <v>81</v>
      </c>
      <c r="AI133" s="208" t="s">
        <v>1413</v>
      </c>
      <c r="AJ133" s="208" t="s">
        <v>81</v>
      </c>
      <c r="AK133" s="208">
        <v>2020</v>
      </c>
      <c r="AL133" s="207" t="s">
        <v>1414</v>
      </c>
      <c r="AM133" s="207" t="s">
        <v>1415</v>
      </c>
      <c r="AN133" s="207" t="s">
        <v>1412</v>
      </c>
      <c r="AO133" s="207" t="s">
        <v>1416</v>
      </c>
      <c r="AP133" s="207" t="s">
        <v>1417</v>
      </c>
      <c r="AQ133" s="208" t="s">
        <v>1418</v>
      </c>
      <c r="AR133" s="207" t="s">
        <v>110</v>
      </c>
      <c r="AS133" s="207" t="s">
        <v>81</v>
      </c>
      <c r="AT133" s="213" t="s">
        <v>81</v>
      </c>
      <c r="AU133" s="207" t="s">
        <v>81</v>
      </c>
      <c r="AV133" s="207" t="s">
        <v>81</v>
      </c>
      <c r="AW133" s="207" t="s">
        <v>81</v>
      </c>
      <c r="AX133" s="207" t="s">
        <v>81</v>
      </c>
      <c r="AY133" s="207" t="s">
        <v>81</v>
      </c>
      <c r="AZ133" s="207" t="s">
        <v>81</v>
      </c>
      <c r="BA133" s="207" t="s">
        <v>90</v>
      </c>
      <c r="BB133" s="207">
        <v>10800</v>
      </c>
      <c r="BC133" s="207">
        <v>2700</v>
      </c>
      <c r="BD133" s="207">
        <v>0</v>
      </c>
      <c r="BE133" s="207" t="s">
        <v>91</v>
      </c>
      <c r="BF133" s="207"/>
      <c r="BG133" s="207"/>
      <c r="BH133" s="105"/>
      <c r="BI133" s="105"/>
      <c r="BJ133" s="105"/>
      <c r="BK133" s="207">
        <v>1729017011</v>
      </c>
      <c r="BL133" s="105"/>
    </row>
    <row r="134" ht="19.95" customHeight="1">
      <c r="A134" s="207">
        <v>171561</v>
      </c>
      <c r="B134" s="207"/>
      <c r="C134" s="208" t="s">
        <v>1419</v>
      </c>
      <c r="D134" s="207" t="s">
        <v>1420</v>
      </c>
      <c r="E134" s="207" t="s">
        <v>66</v>
      </c>
      <c r="F134" s="208">
        <v>620578</v>
      </c>
      <c r="G134" s="207" t="s">
        <v>67</v>
      </c>
      <c r="H134" s="207" t="s">
        <v>68</v>
      </c>
      <c r="I134" s="207" t="s">
        <v>69</v>
      </c>
      <c r="J134" s="208" t="s">
        <v>1285</v>
      </c>
      <c r="K134" s="207" t="s">
        <v>71</v>
      </c>
      <c r="L134" s="207" t="s">
        <v>72</v>
      </c>
      <c r="M134" s="4" t="s">
        <v>1304</v>
      </c>
      <c r="N134" s="207" t="s">
        <v>74</v>
      </c>
      <c r="O134" s="207" t="s">
        <v>75</v>
      </c>
      <c r="P134" s="207">
        <v>31</v>
      </c>
      <c r="Q134" s="209">
        <v>45447</v>
      </c>
      <c r="R134" s="209">
        <v>45453</v>
      </c>
      <c r="S134" s="210"/>
      <c r="T134" s="210"/>
      <c r="U134" s="207"/>
      <c r="V134" s="207"/>
      <c r="W134" s="105" t="s">
        <v>1421</v>
      </c>
      <c r="X134" s="211">
        <v>1734742602</v>
      </c>
      <c r="Y134" s="208"/>
      <c r="Z134" s="207" t="s">
        <v>1422</v>
      </c>
      <c r="AA134" s="207">
        <v>1307445366</v>
      </c>
      <c r="AB134" s="207" t="s">
        <v>118</v>
      </c>
      <c r="AC134" s="207" t="s">
        <v>119</v>
      </c>
      <c r="AD134" s="210">
        <v>35553</v>
      </c>
      <c r="AE134" s="212">
        <f t="shared" si="4" ca="1"/>
        <v>27.791780821917808</v>
      </c>
      <c r="AF134" s="207" t="s">
        <v>80</v>
      </c>
      <c r="AG134" s="211">
        <v>9152984283</v>
      </c>
      <c r="AH134" s="207" t="s">
        <v>81</v>
      </c>
      <c r="AI134" s="208" t="s">
        <v>1423</v>
      </c>
      <c r="AJ134" s="208" t="s">
        <v>81</v>
      </c>
      <c r="AK134" s="208">
        <v>2017</v>
      </c>
      <c r="AL134" s="207" t="s">
        <v>1424</v>
      </c>
      <c r="AM134" s="207" t="s">
        <v>1425</v>
      </c>
      <c r="AN134" s="207" t="s">
        <v>1426</v>
      </c>
      <c r="AO134" s="207" t="s">
        <v>1427</v>
      </c>
      <c r="AP134" s="207" t="s">
        <v>1428</v>
      </c>
      <c r="AQ134" s="208" t="s">
        <v>499</v>
      </c>
      <c r="AR134" s="207" t="s">
        <v>110</v>
      </c>
      <c r="AS134" s="207" t="s">
        <v>81</v>
      </c>
      <c r="AT134" s="213" t="s">
        <v>81</v>
      </c>
      <c r="AU134" s="207" t="s">
        <v>81</v>
      </c>
      <c r="AV134" s="207" t="s">
        <v>81</v>
      </c>
      <c r="AW134" s="207" t="s">
        <v>81</v>
      </c>
      <c r="AX134" s="207" t="s">
        <v>81</v>
      </c>
      <c r="AY134" s="207" t="s">
        <v>81</v>
      </c>
      <c r="AZ134" s="207" t="s">
        <v>81</v>
      </c>
      <c r="BA134" s="207" t="s">
        <v>90</v>
      </c>
      <c r="BB134" s="207">
        <v>10800</v>
      </c>
      <c r="BC134" s="207">
        <v>2700</v>
      </c>
      <c r="BD134" s="207">
        <v>0</v>
      </c>
      <c r="BE134" s="207" t="s">
        <v>91</v>
      </c>
      <c r="BF134" s="207"/>
      <c r="BG134" s="207"/>
      <c r="BH134" s="105"/>
      <c r="BI134" s="105"/>
      <c r="BJ134" s="105"/>
      <c r="BK134" s="207">
        <v>1734742602</v>
      </c>
      <c r="BL134" s="105"/>
    </row>
    <row r="135" ht="19.95" customHeight="1">
      <c r="A135" s="207">
        <v>171563</v>
      </c>
      <c r="B135" s="207"/>
      <c r="C135" s="208" t="s">
        <v>1429</v>
      </c>
      <c r="D135" s="207" t="s">
        <v>1430</v>
      </c>
      <c r="E135" s="207" t="s">
        <v>66</v>
      </c>
      <c r="F135" s="208">
        <v>1018860999</v>
      </c>
      <c r="G135" s="207" t="s">
        <v>67</v>
      </c>
      <c r="H135" s="207" t="s">
        <v>68</v>
      </c>
      <c r="I135" s="207" t="s">
        <v>69</v>
      </c>
      <c r="J135" s="208" t="s">
        <v>1285</v>
      </c>
      <c r="K135" s="207" t="s">
        <v>71</v>
      </c>
      <c r="L135" s="207" t="s">
        <v>72</v>
      </c>
      <c r="M135" s="4" t="s">
        <v>369</v>
      </c>
      <c r="N135" s="207" t="s">
        <v>74</v>
      </c>
      <c r="O135" s="207" t="s">
        <v>75</v>
      </c>
      <c r="P135" s="207">
        <v>31</v>
      </c>
      <c r="Q135" s="209">
        <v>45447</v>
      </c>
      <c r="R135" s="209">
        <v>45453</v>
      </c>
      <c r="S135" s="210"/>
      <c r="T135" s="210"/>
      <c r="U135" s="207"/>
      <c r="V135" s="207"/>
      <c r="W135" s="105" t="s">
        <v>1431</v>
      </c>
      <c r="X135" s="211">
        <v>1952005121</v>
      </c>
      <c r="Y135" s="208">
        <v>1540370851</v>
      </c>
      <c r="Z135" s="207" t="s">
        <v>1432</v>
      </c>
      <c r="AA135" s="207">
        <v>1735785827</v>
      </c>
      <c r="AB135" s="207" t="s">
        <v>78</v>
      </c>
      <c r="AC135" s="207" t="s">
        <v>133</v>
      </c>
      <c r="AD135" s="210">
        <v>35829</v>
      </c>
      <c r="AE135" s="212">
        <f t="shared" si="4" ca="1"/>
        <v>27.035616438356165</v>
      </c>
      <c r="AF135" s="207" t="s">
        <v>80</v>
      </c>
      <c r="AG135" s="211">
        <v>5113785280</v>
      </c>
      <c r="AH135" s="207" t="s">
        <v>81</v>
      </c>
      <c r="AI135" s="208" t="s">
        <v>312</v>
      </c>
      <c r="AJ135" s="208" t="s">
        <v>81</v>
      </c>
      <c r="AK135" s="208">
        <v>2021</v>
      </c>
      <c r="AL135" s="207" t="s">
        <v>1433</v>
      </c>
      <c r="AM135" s="207" t="s">
        <v>1434</v>
      </c>
      <c r="AN135" s="207" t="s">
        <v>1435</v>
      </c>
      <c r="AO135" s="207" t="s">
        <v>1436</v>
      </c>
      <c r="AP135" s="207" t="s">
        <v>1437</v>
      </c>
      <c r="AQ135" s="208" t="s">
        <v>88</v>
      </c>
      <c r="AR135" s="207" t="s">
        <v>89</v>
      </c>
      <c r="AS135" s="207" t="s">
        <v>1438</v>
      </c>
      <c r="AT135" s="213">
        <v>30584</v>
      </c>
      <c r="AU135" s="207" t="s">
        <v>81</v>
      </c>
      <c r="AV135" s="207" t="s">
        <v>81</v>
      </c>
      <c r="AW135" s="207" t="s">
        <v>81</v>
      </c>
      <c r="AX135" s="207" t="s">
        <v>81</v>
      </c>
      <c r="AY135" s="207" t="s">
        <v>81</v>
      </c>
      <c r="AZ135" s="207" t="s">
        <v>81</v>
      </c>
      <c r="BA135" s="207" t="s">
        <v>90</v>
      </c>
      <c r="BB135" s="207">
        <v>10800</v>
      </c>
      <c r="BC135" s="207">
        <v>2700</v>
      </c>
      <c r="BD135" s="207">
        <v>0</v>
      </c>
      <c r="BE135" s="207" t="s">
        <v>91</v>
      </c>
      <c r="BF135" s="207"/>
      <c r="BG135" s="207"/>
      <c r="BH135" s="105"/>
      <c r="BI135" s="105"/>
      <c r="BJ135" s="105"/>
      <c r="BK135" s="207">
        <v>1952005121</v>
      </c>
      <c r="BL135" s="105"/>
    </row>
    <row r="136" ht="19.95" customHeight="1">
      <c r="A136" s="207">
        <v>171565</v>
      </c>
      <c r="B136" s="207"/>
      <c r="C136" s="208" t="s">
        <v>1439</v>
      </c>
      <c r="D136" s="207" t="s">
        <v>1440</v>
      </c>
      <c r="E136" s="207" t="s">
        <v>66</v>
      </c>
      <c r="F136" s="208">
        <v>710335</v>
      </c>
      <c r="G136" s="207" t="s">
        <v>67</v>
      </c>
      <c r="H136" s="207" t="s">
        <v>68</v>
      </c>
      <c r="I136" s="207" t="s">
        <v>69</v>
      </c>
      <c r="J136" s="208" t="s">
        <v>1285</v>
      </c>
      <c r="K136" s="207" t="s">
        <v>71</v>
      </c>
      <c r="L136" s="207" t="s">
        <v>72</v>
      </c>
      <c r="M136" s="4" t="s">
        <v>369</v>
      </c>
      <c r="N136" s="207" t="s">
        <v>74</v>
      </c>
      <c r="O136" s="207" t="s">
        <v>75</v>
      </c>
      <c r="P136" s="207">
        <v>31</v>
      </c>
      <c r="Q136" s="209">
        <v>45447</v>
      </c>
      <c r="R136" s="209">
        <v>45453</v>
      </c>
      <c r="S136" s="210"/>
      <c r="T136" s="210"/>
      <c r="U136" s="207"/>
      <c r="V136" s="207"/>
      <c r="W136" s="105" t="s">
        <v>1441</v>
      </c>
      <c r="X136" s="211">
        <v>1709205384</v>
      </c>
      <c r="Y136" s="208">
        <v>1712407284</v>
      </c>
      <c r="Z136" s="207" t="s">
        <v>1442</v>
      </c>
      <c r="AA136" s="207">
        <v>1712407284</v>
      </c>
      <c r="AB136" s="207" t="s">
        <v>132</v>
      </c>
      <c r="AC136" s="207" t="s">
        <v>79</v>
      </c>
      <c r="AD136" s="210">
        <v>34618</v>
      </c>
      <c r="AE136" s="212">
        <f t="shared" si="4" ca="1"/>
        <v>30.353424657534248</v>
      </c>
      <c r="AF136" s="207" t="s">
        <v>80</v>
      </c>
      <c r="AG136" s="211">
        <v>1906365323</v>
      </c>
      <c r="AH136" s="207" t="s">
        <v>81</v>
      </c>
      <c r="AI136" s="208" t="s">
        <v>683</v>
      </c>
      <c r="AJ136" s="208" t="s">
        <v>81</v>
      </c>
      <c r="AK136" s="208">
        <v>2022</v>
      </c>
      <c r="AL136" s="207" t="s">
        <v>1443</v>
      </c>
      <c r="AM136" s="207" t="s">
        <v>1444</v>
      </c>
      <c r="AN136" s="207" t="s">
        <v>1442</v>
      </c>
      <c r="AO136" s="207" t="s">
        <v>1445</v>
      </c>
      <c r="AP136" s="207" t="s">
        <v>1446</v>
      </c>
      <c r="AQ136" s="208" t="s">
        <v>1188</v>
      </c>
      <c r="AR136" s="207" t="s">
        <v>110</v>
      </c>
      <c r="AS136" s="207" t="s">
        <v>81</v>
      </c>
      <c r="AT136" s="213" t="s">
        <v>81</v>
      </c>
      <c r="AU136" s="207" t="s">
        <v>81</v>
      </c>
      <c r="AV136" s="207" t="s">
        <v>81</v>
      </c>
      <c r="AW136" s="207" t="s">
        <v>81</v>
      </c>
      <c r="AX136" s="207" t="s">
        <v>81</v>
      </c>
      <c r="AY136" s="207" t="s">
        <v>81</v>
      </c>
      <c r="AZ136" s="207" t="s">
        <v>81</v>
      </c>
      <c r="BA136" s="207" t="s">
        <v>90</v>
      </c>
      <c r="BB136" s="207">
        <v>10800</v>
      </c>
      <c r="BC136" s="207">
        <v>2700</v>
      </c>
      <c r="BD136" s="207">
        <v>0</v>
      </c>
      <c r="BE136" s="207" t="s">
        <v>91</v>
      </c>
      <c r="BF136" s="207"/>
      <c r="BG136" s="207"/>
      <c r="BH136" s="105"/>
      <c r="BI136" s="105"/>
      <c r="BJ136" s="105"/>
      <c r="BK136" s="207">
        <v>1743054510</v>
      </c>
      <c r="BL136" s="105"/>
    </row>
    <row r="137" ht="19.95" customHeight="1">
      <c r="A137" s="207">
        <v>171566</v>
      </c>
      <c r="B137" s="207"/>
      <c r="C137" s="208" t="s">
        <v>1447</v>
      </c>
      <c r="D137" s="207" t="s">
        <v>1294</v>
      </c>
      <c r="E137" s="207" t="s">
        <v>66</v>
      </c>
      <c r="F137" s="208">
        <v>1311294405</v>
      </c>
      <c r="G137" s="207" t="s">
        <v>67</v>
      </c>
      <c r="H137" s="207" t="s">
        <v>68</v>
      </c>
      <c r="I137" s="207" t="s">
        <v>69</v>
      </c>
      <c r="J137" s="208" t="s">
        <v>341</v>
      </c>
      <c r="K137" s="207" t="s">
        <v>71</v>
      </c>
      <c r="L137" s="207" t="s">
        <v>72</v>
      </c>
      <c r="M137" s="4" t="s">
        <v>342</v>
      </c>
      <c r="N137" s="207" t="s">
        <v>74</v>
      </c>
      <c r="O137" s="207" t="s">
        <v>75</v>
      </c>
      <c r="P137" s="207">
        <v>31</v>
      </c>
      <c r="Q137" s="209">
        <v>45447</v>
      </c>
      <c r="R137" s="209">
        <v>45453</v>
      </c>
      <c r="S137" s="210"/>
      <c r="T137" s="210"/>
      <c r="U137" s="207"/>
      <c r="V137" s="207"/>
      <c r="W137" s="105" t="s">
        <v>1448</v>
      </c>
      <c r="X137" s="211">
        <v>1318162628</v>
      </c>
      <c r="Y137" s="208"/>
      <c r="Z137" s="207" t="s">
        <v>1449</v>
      </c>
      <c r="AA137" s="207">
        <v>1766235835</v>
      </c>
      <c r="AB137" s="207" t="s">
        <v>132</v>
      </c>
      <c r="AC137" s="207" t="s">
        <v>1450</v>
      </c>
      <c r="AD137" s="210">
        <v>36519</v>
      </c>
      <c r="AE137" s="212">
        <f t="shared" si="4" ca="1"/>
        <v>25.145205479452056</v>
      </c>
      <c r="AF137" s="207" t="s">
        <v>80</v>
      </c>
      <c r="AG137" s="211">
        <v>7804118334</v>
      </c>
      <c r="AH137" s="207" t="s">
        <v>81</v>
      </c>
      <c r="AI137" s="208" t="s">
        <v>925</v>
      </c>
      <c r="AJ137" s="208" t="s">
        <v>81</v>
      </c>
      <c r="AK137" s="208">
        <v>2022</v>
      </c>
      <c r="AL137" s="207" t="s">
        <v>218</v>
      </c>
      <c r="AM137" s="207" t="s">
        <v>1451</v>
      </c>
      <c r="AN137" s="207" t="s">
        <v>1449</v>
      </c>
      <c r="AO137" s="207" t="s">
        <v>1452</v>
      </c>
      <c r="AP137" s="207" t="s">
        <v>1453</v>
      </c>
      <c r="AQ137" s="208" t="s">
        <v>223</v>
      </c>
      <c r="AR137" s="207" t="s">
        <v>110</v>
      </c>
      <c r="AS137" s="207" t="s">
        <v>81</v>
      </c>
      <c r="AT137" s="213" t="s">
        <v>81</v>
      </c>
      <c r="AU137" s="207" t="s">
        <v>81</v>
      </c>
      <c r="AV137" s="207" t="s">
        <v>81</v>
      </c>
      <c r="AW137" s="207" t="s">
        <v>81</v>
      </c>
      <c r="AX137" s="207" t="s">
        <v>81</v>
      </c>
      <c r="AY137" s="207" t="s">
        <v>81</v>
      </c>
      <c r="AZ137" s="207" t="s">
        <v>81</v>
      </c>
      <c r="BA137" s="207" t="s">
        <v>90</v>
      </c>
      <c r="BB137" s="207">
        <v>10800</v>
      </c>
      <c r="BC137" s="207">
        <v>2700</v>
      </c>
      <c r="BD137" s="207">
        <v>0</v>
      </c>
      <c r="BE137" s="207" t="s">
        <v>91</v>
      </c>
      <c r="BF137" s="207"/>
      <c r="BG137" s="207"/>
      <c r="BH137" s="105"/>
      <c r="BI137" s="105"/>
      <c r="BJ137" s="105"/>
      <c r="BK137" s="207">
        <v>1766235835</v>
      </c>
      <c r="BL137" s="105"/>
    </row>
    <row r="138" ht="19.95" customHeight="1">
      <c r="A138" s="207">
        <v>171567</v>
      </c>
      <c r="B138" s="207"/>
      <c r="C138" s="208" t="s">
        <v>1454</v>
      </c>
      <c r="D138" s="207" t="s">
        <v>1455</v>
      </c>
      <c r="E138" s="207" t="s">
        <v>66</v>
      </c>
      <c r="F138" s="208">
        <v>1310588912</v>
      </c>
      <c r="G138" s="207" t="s">
        <v>67</v>
      </c>
      <c r="H138" s="207" t="s">
        <v>68</v>
      </c>
      <c r="I138" s="207" t="s">
        <v>69</v>
      </c>
      <c r="J138" s="208" t="s">
        <v>1285</v>
      </c>
      <c r="K138" s="207" t="s">
        <v>71</v>
      </c>
      <c r="L138" s="207" t="s">
        <v>72</v>
      </c>
      <c r="M138" s="4" t="s">
        <v>369</v>
      </c>
      <c r="N138" s="207" t="s">
        <v>74</v>
      </c>
      <c r="O138" s="207" t="s">
        <v>75</v>
      </c>
      <c r="P138" s="207">
        <v>31</v>
      </c>
      <c r="Q138" s="209">
        <v>45447</v>
      </c>
      <c r="R138" s="209">
        <v>45453</v>
      </c>
      <c r="S138" s="210"/>
      <c r="T138" s="210"/>
      <c r="U138" s="207"/>
      <c r="V138" s="207"/>
      <c r="W138" s="105" t="s">
        <v>1456</v>
      </c>
      <c r="X138" s="211">
        <v>1686051127</v>
      </c>
      <c r="Y138" s="208">
        <v>1944783957</v>
      </c>
      <c r="Z138" s="207" t="s">
        <v>1457</v>
      </c>
      <c r="AA138" s="207">
        <v>1816413989</v>
      </c>
      <c r="AB138" s="207" t="s">
        <v>132</v>
      </c>
      <c r="AC138" s="207" t="s">
        <v>79</v>
      </c>
      <c r="AD138" s="210">
        <v>37190</v>
      </c>
      <c r="AE138" s="212">
        <f t="shared" si="4" ca="1"/>
        <v>23.306849315068494</v>
      </c>
      <c r="AF138" s="207" t="s">
        <v>80</v>
      </c>
      <c r="AG138" s="211">
        <v>2414944005</v>
      </c>
      <c r="AH138" s="207" t="s">
        <v>81</v>
      </c>
      <c r="AI138" s="208" t="s">
        <v>723</v>
      </c>
      <c r="AJ138" s="208" t="s">
        <v>81</v>
      </c>
      <c r="AK138" s="208">
        <v>2022</v>
      </c>
      <c r="AL138" s="207" t="s">
        <v>524</v>
      </c>
      <c r="AM138" s="207" t="s">
        <v>1458</v>
      </c>
      <c r="AN138" s="207" t="s">
        <v>1457</v>
      </c>
      <c r="AO138" s="207" t="s">
        <v>1459</v>
      </c>
      <c r="AP138" s="207" t="s">
        <v>1459</v>
      </c>
      <c r="AQ138" s="208" t="s">
        <v>1460</v>
      </c>
      <c r="AR138" s="207" t="s">
        <v>110</v>
      </c>
      <c r="AS138" s="207" t="s">
        <v>81</v>
      </c>
      <c r="AT138" s="213" t="s">
        <v>81</v>
      </c>
      <c r="AU138" s="207" t="s">
        <v>81</v>
      </c>
      <c r="AV138" s="207" t="s">
        <v>81</v>
      </c>
      <c r="AW138" s="207" t="s">
        <v>81</v>
      </c>
      <c r="AX138" s="207" t="s">
        <v>81</v>
      </c>
      <c r="AY138" s="207" t="s">
        <v>81</v>
      </c>
      <c r="AZ138" s="207" t="s">
        <v>81</v>
      </c>
      <c r="BA138" s="207" t="s">
        <v>90</v>
      </c>
      <c r="BB138" s="207">
        <v>10800</v>
      </c>
      <c r="BC138" s="207">
        <v>2700</v>
      </c>
      <c r="BD138" s="207">
        <v>0</v>
      </c>
      <c r="BE138" s="207" t="s">
        <v>91</v>
      </c>
      <c r="BF138" s="207"/>
      <c r="BG138" s="207"/>
      <c r="BH138" s="105"/>
      <c r="BI138" s="105"/>
      <c r="BJ138" s="105"/>
      <c r="BK138" s="207">
        <v>1944783957</v>
      </c>
      <c r="BL138" s="105"/>
    </row>
    <row r="139" ht="19.95" customHeight="1">
      <c r="A139" s="207">
        <v>171569</v>
      </c>
      <c r="B139" s="207"/>
      <c r="C139" s="208" t="s">
        <v>1461</v>
      </c>
      <c r="D139" s="207" t="s">
        <v>1462</v>
      </c>
      <c r="E139" s="207" t="s">
        <v>66</v>
      </c>
      <c r="F139" s="208">
        <v>372741</v>
      </c>
      <c r="G139" s="207" t="s">
        <v>67</v>
      </c>
      <c r="H139" s="207" t="s">
        <v>68</v>
      </c>
      <c r="I139" s="207" t="s">
        <v>69</v>
      </c>
      <c r="J139" s="208" t="s">
        <v>1285</v>
      </c>
      <c r="K139" s="207" t="s">
        <v>71</v>
      </c>
      <c r="L139" s="207" t="s">
        <v>72</v>
      </c>
      <c r="M139" s="4" t="s">
        <v>1304</v>
      </c>
      <c r="N139" s="207" t="s">
        <v>74</v>
      </c>
      <c r="O139" s="207" t="s">
        <v>75</v>
      </c>
      <c r="P139" s="207">
        <v>31</v>
      </c>
      <c r="Q139" s="209">
        <v>45447</v>
      </c>
      <c r="R139" s="209">
        <v>45453</v>
      </c>
      <c r="S139" s="210"/>
      <c r="T139" s="210"/>
      <c r="U139" s="207"/>
      <c r="V139" s="207"/>
      <c r="W139" s="105" t="s">
        <v>1463</v>
      </c>
      <c r="X139" s="211">
        <v>1865069833</v>
      </c>
      <c r="Y139" s="208">
        <v>1763808633</v>
      </c>
      <c r="Z139" s="207" t="s">
        <v>1464</v>
      </c>
      <c r="AA139" s="207">
        <v>1763808633</v>
      </c>
      <c r="AB139" s="207" t="s">
        <v>132</v>
      </c>
      <c r="AC139" s="207" t="s">
        <v>133</v>
      </c>
      <c r="AD139" s="210">
        <v>33942</v>
      </c>
      <c r="AE139" s="212">
        <f t="shared" si="4" ca="1"/>
        <v>32.205479452054796</v>
      </c>
      <c r="AF139" s="207" t="s">
        <v>80</v>
      </c>
      <c r="AG139" s="211">
        <v>1929788972</v>
      </c>
      <c r="AH139" s="207" t="s">
        <v>81</v>
      </c>
      <c r="AI139" s="208" t="s">
        <v>1182</v>
      </c>
      <c r="AJ139" s="208" t="s">
        <v>81</v>
      </c>
      <c r="AK139" s="208">
        <v>2013</v>
      </c>
      <c r="AL139" s="207" t="s">
        <v>1465</v>
      </c>
      <c r="AM139" s="207" t="s">
        <v>1466</v>
      </c>
      <c r="AN139" s="207" t="s">
        <v>1464</v>
      </c>
      <c r="AO139" s="207" t="s">
        <v>1467</v>
      </c>
      <c r="AP139" s="207" t="s">
        <v>1468</v>
      </c>
      <c r="AQ139" s="208" t="s">
        <v>449</v>
      </c>
      <c r="AR139" s="207" t="s">
        <v>110</v>
      </c>
      <c r="AS139" s="207" t="s">
        <v>81</v>
      </c>
      <c r="AT139" s="213" t="s">
        <v>81</v>
      </c>
      <c r="AU139" s="207" t="s">
        <v>81</v>
      </c>
      <c r="AV139" s="207" t="s">
        <v>81</v>
      </c>
      <c r="AW139" s="207" t="s">
        <v>81</v>
      </c>
      <c r="AX139" s="207" t="s">
        <v>81</v>
      </c>
      <c r="AY139" s="207" t="s">
        <v>81</v>
      </c>
      <c r="AZ139" s="207" t="s">
        <v>81</v>
      </c>
      <c r="BA139" s="207" t="s">
        <v>90</v>
      </c>
      <c r="BB139" s="207">
        <v>10800</v>
      </c>
      <c r="BC139" s="207">
        <v>2700</v>
      </c>
      <c r="BD139" s="207">
        <v>0</v>
      </c>
      <c r="BE139" s="207" t="s">
        <v>91</v>
      </c>
      <c r="BF139" s="207"/>
      <c r="BG139" s="207"/>
      <c r="BH139" s="105"/>
      <c r="BI139" s="105"/>
      <c r="BJ139" s="105"/>
      <c r="BK139" s="207">
        <v>1763808633</v>
      </c>
      <c r="BL139" s="105"/>
    </row>
    <row r="140" ht="19.95" customHeight="1">
      <c r="A140" s="207">
        <v>171570</v>
      </c>
      <c r="B140" s="207"/>
      <c r="C140" s="208" t="s">
        <v>1469</v>
      </c>
      <c r="D140" s="207" t="s">
        <v>1470</v>
      </c>
      <c r="E140" s="207" t="s">
        <v>66</v>
      </c>
      <c r="F140" s="208">
        <v>1012756088</v>
      </c>
      <c r="G140" s="207" t="s">
        <v>67</v>
      </c>
      <c r="H140" s="207" t="s">
        <v>68</v>
      </c>
      <c r="I140" s="207" t="s">
        <v>69</v>
      </c>
      <c r="J140" s="208" t="s">
        <v>1285</v>
      </c>
      <c r="K140" s="207" t="s">
        <v>71</v>
      </c>
      <c r="L140" s="207" t="s">
        <v>72</v>
      </c>
      <c r="M140" s="4" t="s">
        <v>369</v>
      </c>
      <c r="N140" s="207" t="s">
        <v>74</v>
      </c>
      <c r="O140" s="207" t="s">
        <v>75</v>
      </c>
      <c r="P140" s="207">
        <v>31</v>
      </c>
      <c r="Q140" s="209">
        <v>45447</v>
      </c>
      <c r="R140" s="209">
        <v>45453</v>
      </c>
      <c r="S140" s="210"/>
      <c r="T140" s="210"/>
      <c r="U140" s="207"/>
      <c r="V140" s="207"/>
      <c r="W140" s="105" t="s">
        <v>1471</v>
      </c>
      <c r="X140" s="211">
        <v>1515226204</v>
      </c>
      <c r="Y140" s="208">
        <v>1737980917</v>
      </c>
      <c r="Z140" s="207" t="s">
        <v>1472</v>
      </c>
      <c r="AA140" s="207">
        <v>1737133220</v>
      </c>
      <c r="AB140" s="207" t="s">
        <v>252</v>
      </c>
      <c r="AC140" s="207" t="s">
        <v>119</v>
      </c>
      <c r="AD140" s="210">
        <v>35279</v>
      </c>
      <c r="AE140" s="212">
        <f t="shared" si="4" ca="1"/>
        <v>28.542465753424658</v>
      </c>
      <c r="AF140" s="207" t="s">
        <v>80</v>
      </c>
      <c r="AG140" s="211">
        <v>6903038013</v>
      </c>
      <c r="AH140" s="207" t="s">
        <v>81</v>
      </c>
      <c r="AI140" s="208" t="s">
        <v>683</v>
      </c>
      <c r="AJ140" s="208" t="s">
        <v>81</v>
      </c>
      <c r="AK140" s="208">
        <v>2020</v>
      </c>
      <c r="AL140" s="207" t="s">
        <v>1473</v>
      </c>
      <c r="AM140" s="207" t="s">
        <v>1474</v>
      </c>
      <c r="AN140" s="207" t="s">
        <v>1475</v>
      </c>
      <c r="AO140" s="207" t="s">
        <v>1476</v>
      </c>
      <c r="AP140" s="207" t="s">
        <v>1477</v>
      </c>
      <c r="AQ140" s="208" t="s">
        <v>1231</v>
      </c>
      <c r="AR140" s="207" t="s">
        <v>110</v>
      </c>
      <c r="AS140" s="207" t="s">
        <v>81</v>
      </c>
      <c r="AT140" s="213" t="s">
        <v>81</v>
      </c>
      <c r="AU140" s="207" t="s">
        <v>81</v>
      </c>
      <c r="AV140" s="207" t="s">
        <v>81</v>
      </c>
      <c r="AW140" s="207" t="s">
        <v>81</v>
      </c>
      <c r="AX140" s="207" t="s">
        <v>81</v>
      </c>
      <c r="AY140" s="207" t="s">
        <v>81</v>
      </c>
      <c r="AZ140" s="207" t="s">
        <v>81</v>
      </c>
      <c r="BA140" s="207" t="s">
        <v>90</v>
      </c>
      <c r="BB140" s="207">
        <v>10800</v>
      </c>
      <c r="BC140" s="207">
        <v>2700</v>
      </c>
      <c r="BD140" s="207">
        <v>0</v>
      </c>
      <c r="BE140" s="207" t="s">
        <v>91</v>
      </c>
      <c r="BF140" s="207"/>
      <c r="BG140" s="207"/>
      <c r="BH140" s="105"/>
      <c r="BI140" s="105"/>
      <c r="BJ140" s="105"/>
      <c r="BK140" s="207">
        <v>1515226204</v>
      </c>
      <c r="BL140" s="105"/>
    </row>
    <row r="141" ht="19.95" customHeight="1">
      <c r="A141" s="207">
        <v>171509</v>
      </c>
      <c r="B141" s="207"/>
      <c r="C141" s="208" t="s">
        <v>1478</v>
      </c>
      <c r="D141" s="207" t="s">
        <v>1479</v>
      </c>
      <c r="E141" s="207" t="s">
        <v>114</v>
      </c>
      <c r="F141" s="208">
        <v>1010881792</v>
      </c>
      <c r="G141" s="207" t="s">
        <v>67</v>
      </c>
      <c r="H141" s="207" t="s">
        <v>68</v>
      </c>
      <c r="I141" s="207" t="s">
        <v>69</v>
      </c>
      <c r="J141" s="208" t="s">
        <v>155</v>
      </c>
      <c r="K141" s="207" t="s">
        <v>71</v>
      </c>
      <c r="L141" s="207" t="s">
        <v>72</v>
      </c>
      <c r="M141" s="4" t="s">
        <v>271</v>
      </c>
      <c r="N141" s="207" t="s">
        <v>74</v>
      </c>
      <c r="O141" s="207" t="s">
        <v>75</v>
      </c>
      <c r="P141" s="207">
        <v>29</v>
      </c>
      <c r="Q141" s="209">
        <v>45432</v>
      </c>
      <c r="R141" s="209">
        <v>45454</v>
      </c>
      <c r="S141" s="210"/>
      <c r="T141" s="210"/>
      <c r="U141" s="207"/>
      <c r="V141" s="207"/>
      <c r="W141" s="105" t="s">
        <v>1480</v>
      </c>
      <c r="X141" s="211">
        <v>1988158465</v>
      </c>
      <c r="Y141" s="208">
        <v>1730625174</v>
      </c>
      <c r="Z141" s="207" t="s">
        <v>1481</v>
      </c>
      <c r="AA141" s="207">
        <v>1933223727</v>
      </c>
      <c r="AB141" s="207" t="s">
        <v>132</v>
      </c>
      <c r="AC141" s="207" t="s">
        <v>102</v>
      </c>
      <c r="AD141" s="210">
        <v>35148</v>
      </c>
      <c r="AE141" s="212">
        <f t="shared" si="4" ca="1"/>
        <v>28.9013698630137</v>
      </c>
      <c r="AF141" s="207" t="s">
        <v>80</v>
      </c>
      <c r="AG141" s="211">
        <v>9132671869</v>
      </c>
      <c r="AH141" s="207" t="s">
        <v>81</v>
      </c>
      <c r="AI141" s="208" t="s">
        <v>513</v>
      </c>
      <c r="AJ141" s="208" t="s">
        <v>81</v>
      </c>
      <c r="AK141" s="208">
        <v>2018</v>
      </c>
      <c r="AL141" s="207" t="s">
        <v>218</v>
      </c>
      <c r="AM141" s="207" t="s">
        <v>1482</v>
      </c>
      <c r="AN141" s="207" t="s">
        <v>1481</v>
      </c>
      <c r="AO141" s="207" t="s">
        <v>1483</v>
      </c>
      <c r="AP141" s="207" t="s">
        <v>1484</v>
      </c>
      <c r="AQ141" s="208" t="s">
        <v>1188</v>
      </c>
      <c r="AR141" s="207" t="s">
        <v>1363</v>
      </c>
      <c r="AS141" s="207" t="s">
        <v>81</v>
      </c>
      <c r="AT141" s="213" t="s">
        <v>1283</v>
      </c>
      <c r="AU141" s="207" t="s">
        <v>81</v>
      </c>
      <c r="AV141" s="207" t="s">
        <v>81</v>
      </c>
      <c r="AW141" s="207" t="s">
        <v>81</v>
      </c>
      <c r="AX141" s="207" t="s">
        <v>81</v>
      </c>
      <c r="AY141" s="207" t="s">
        <v>81</v>
      </c>
      <c r="AZ141" s="207" t="s">
        <v>81</v>
      </c>
      <c r="BA141" s="207" t="s">
        <v>90</v>
      </c>
      <c r="BB141" s="207">
        <v>10800</v>
      </c>
      <c r="BC141" s="207">
        <v>2700</v>
      </c>
      <c r="BD141" s="207">
        <v>1000</v>
      </c>
      <c r="BE141" s="207" t="s">
        <v>166</v>
      </c>
      <c r="BF141" s="207"/>
      <c r="BG141" s="207"/>
      <c r="BH141" s="105"/>
      <c r="BI141" s="105"/>
      <c r="BJ141" s="105"/>
      <c r="BK141" s="207">
        <v>1730625174</v>
      </c>
      <c r="BL141" s="105"/>
    </row>
    <row r="142" ht="19.95" customHeight="1">
      <c r="A142" s="207">
        <v>171516</v>
      </c>
      <c r="B142" s="207"/>
      <c r="C142" s="208" t="s">
        <v>1485</v>
      </c>
      <c r="D142" s="207" t="s">
        <v>1486</v>
      </c>
      <c r="E142" s="207" t="s">
        <v>114</v>
      </c>
      <c r="F142" s="208">
        <v>701468</v>
      </c>
      <c r="G142" s="207" t="s">
        <v>67</v>
      </c>
      <c r="H142" s="207" t="s">
        <v>68</v>
      </c>
      <c r="I142" s="207" t="s">
        <v>69</v>
      </c>
      <c r="J142" s="208" t="s">
        <v>155</v>
      </c>
      <c r="K142" s="207" t="s">
        <v>71</v>
      </c>
      <c r="L142" s="207" t="s">
        <v>72</v>
      </c>
      <c r="M142" s="4" t="s">
        <v>156</v>
      </c>
      <c r="N142" s="207" t="s">
        <v>74</v>
      </c>
      <c r="O142" s="207" t="s">
        <v>75</v>
      </c>
      <c r="P142" s="207">
        <v>30</v>
      </c>
      <c r="Q142" s="209">
        <v>45442</v>
      </c>
      <c r="R142" s="209">
        <v>45456</v>
      </c>
      <c r="S142" s="210"/>
      <c r="T142" s="210"/>
      <c r="U142" s="207"/>
      <c r="V142" s="207"/>
      <c r="W142" s="105" t="s">
        <v>1487</v>
      </c>
      <c r="X142" s="211">
        <v>1880249836</v>
      </c>
      <c r="Y142" s="208">
        <v>1793544241</v>
      </c>
      <c r="Z142" s="207" t="s">
        <v>1488</v>
      </c>
      <c r="AA142" s="207">
        <v>1743162759</v>
      </c>
      <c r="AB142" s="207" t="s">
        <v>101</v>
      </c>
      <c r="AC142" s="207" t="s">
        <v>119</v>
      </c>
      <c r="AD142" s="210">
        <v>35318</v>
      </c>
      <c r="AE142" s="212"/>
      <c r="AF142" s="207" t="s">
        <v>80</v>
      </c>
      <c r="AG142" s="211">
        <v>8253189529</v>
      </c>
      <c r="AH142" s="207" t="s">
        <v>1489</v>
      </c>
      <c r="AI142" s="208" t="s">
        <v>513</v>
      </c>
      <c r="AJ142" s="208" t="s">
        <v>1490</v>
      </c>
      <c r="AK142" s="208">
        <v>2021</v>
      </c>
      <c r="AL142" s="207" t="s">
        <v>1102</v>
      </c>
      <c r="AM142" s="207" t="s">
        <v>1488</v>
      </c>
      <c r="AN142" s="207" t="s">
        <v>1491</v>
      </c>
      <c r="AO142" s="207" t="s">
        <v>1492</v>
      </c>
      <c r="AP142" s="207" t="s">
        <v>1493</v>
      </c>
      <c r="AQ142" s="208" t="s">
        <v>285</v>
      </c>
      <c r="AR142" s="207" t="s">
        <v>1494</v>
      </c>
      <c r="AS142" s="207" t="s">
        <v>81</v>
      </c>
      <c r="AT142" s="213" t="s">
        <v>81</v>
      </c>
      <c r="AU142" s="207" t="s">
        <v>81</v>
      </c>
      <c r="AV142" s="207" t="s">
        <v>81</v>
      </c>
      <c r="AW142" s="207" t="s">
        <v>81</v>
      </c>
      <c r="AX142" s="207" t="s">
        <v>81</v>
      </c>
      <c r="AY142" s="207" t="s">
        <v>81</v>
      </c>
      <c r="AZ142" s="207" t="s">
        <v>81</v>
      </c>
      <c r="BA142" s="207" t="s">
        <v>90</v>
      </c>
      <c r="BB142" s="207">
        <v>10800</v>
      </c>
      <c r="BC142" s="207">
        <v>2700</v>
      </c>
      <c r="BD142" s="207">
        <v>1000</v>
      </c>
      <c r="BE142" s="207" t="s">
        <v>166</v>
      </c>
      <c r="BF142" s="207"/>
      <c r="BG142" s="207"/>
      <c r="BH142" s="105"/>
      <c r="BI142" s="105"/>
      <c r="BJ142" s="105"/>
      <c r="BK142" s="207">
        <v>1880249836</v>
      </c>
      <c r="BL142" s="105">
        <v>1880249836</v>
      </c>
    </row>
    <row r="143" ht="19.95" customHeight="1">
      <c r="A143" s="207">
        <v>171522</v>
      </c>
      <c r="B143" s="207"/>
      <c r="C143" s="208" t="s">
        <v>1495</v>
      </c>
      <c r="D143" s="207" t="s">
        <v>1496</v>
      </c>
      <c r="E143" s="207" t="s">
        <v>114</v>
      </c>
      <c r="F143" s="208">
        <v>1210761068</v>
      </c>
      <c r="G143" s="207" t="s">
        <v>67</v>
      </c>
      <c r="H143" s="207" t="s">
        <v>68</v>
      </c>
      <c r="I143" s="207" t="s">
        <v>69</v>
      </c>
      <c r="J143" s="208" t="s">
        <v>155</v>
      </c>
      <c r="K143" s="207" t="s">
        <v>71</v>
      </c>
      <c r="L143" s="207" t="s">
        <v>72</v>
      </c>
      <c r="M143" s="4" t="s">
        <v>171</v>
      </c>
      <c r="N143" s="207" t="s">
        <v>74</v>
      </c>
      <c r="O143" s="207" t="s">
        <v>75</v>
      </c>
      <c r="P143" s="207">
        <v>30</v>
      </c>
      <c r="Q143" s="209">
        <v>45442</v>
      </c>
      <c r="R143" s="209">
        <v>45456</v>
      </c>
      <c r="S143" s="210"/>
      <c r="T143" s="210"/>
      <c r="U143" s="207"/>
      <c r="V143" s="207"/>
      <c r="W143" s="105" t="s">
        <v>1497</v>
      </c>
      <c r="X143" s="211">
        <v>1789088348</v>
      </c>
      <c r="Y143" s="208">
        <v>1789088348</v>
      </c>
      <c r="Z143" s="207"/>
      <c r="AA143" s="207">
        <v>1789088348</v>
      </c>
      <c r="AB143" s="207" t="s">
        <v>81</v>
      </c>
      <c r="AC143" s="207" t="s">
        <v>79</v>
      </c>
      <c r="AD143" s="210">
        <v>36275</v>
      </c>
      <c r="AE143" s="212"/>
      <c r="AF143" s="207" t="s">
        <v>80</v>
      </c>
      <c r="AG143" s="211">
        <v>2854720758</v>
      </c>
      <c r="AH143" s="207" t="s">
        <v>81</v>
      </c>
      <c r="AI143" s="208" t="s">
        <v>322</v>
      </c>
      <c r="AJ143" s="208" t="s">
        <v>322</v>
      </c>
      <c r="AK143" s="208">
        <v>2023</v>
      </c>
      <c r="AL143" s="207" t="s">
        <v>322</v>
      </c>
      <c r="AM143" s="207" t="s">
        <v>1498</v>
      </c>
      <c r="AN143" s="207" t="s">
        <v>1499</v>
      </c>
      <c r="AO143" s="207" t="s">
        <v>1500</v>
      </c>
      <c r="AP143" s="207" t="s">
        <v>1501</v>
      </c>
      <c r="AQ143" s="208" t="s">
        <v>1502</v>
      </c>
      <c r="AR143" s="207" t="s">
        <v>81</v>
      </c>
      <c r="AS143" s="207" t="s">
        <v>81</v>
      </c>
      <c r="AT143" s="213" t="s">
        <v>81</v>
      </c>
      <c r="AU143" s="207" t="s">
        <v>81</v>
      </c>
      <c r="AV143" s="207" t="s">
        <v>81</v>
      </c>
      <c r="AW143" s="207" t="s">
        <v>81</v>
      </c>
      <c r="AX143" s="207" t="s">
        <v>81</v>
      </c>
      <c r="AY143" s="207" t="s">
        <v>81</v>
      </c>
      <c r="AZ143" s="207" t="s">
        <v>81</v>
      </c>
      <c r="BA143" s="207" t="s">
        <v>90</v>
      </c>
      <c r="BB143" s="207">
        <v>10800</v>
      </c>
      <c r="BC143" s="207">
        <v>2700</v>
      </c>
      <c r="BD143" s="207">
        <v>1000</v>
      </c>
      <c r="BE143" s="207" t="s">
        <v>166</v>
      </c>
      <c r="BF143" s="207"/>
      <c r="BG143" s="207"/>
      <c r="BH143" s="105"/>
      <c r="BI143" s="105"/>
      <c r="BJ143" s="105"/>
      <c r="BK143" s="207" t="s">
        <v>1503</v>
      </c>
      <c r="BL143" s="105"/>
    </row>
    <row r="144" ht="19.95" customHeight="1">
      <c r="A144" s="207">
        <v>171533</v>
      </c>
      <c r="B144" s="207"/>
      <c r="C144" s="208" t="s">
        <v>1504</v>
      </c>
      <c r="D144" s="207" t="s">
        <v>1505</v>
      </c>
      <c r="E144" s="207" t="s">
        <v>114</v>
      </c>
      <c r="F144" s="208" t="s">
        <v>81</v>
      </c>
      <c r="G144" s="207" t="s">
        <v>67</v>
      </c>
      <c r="H144" s="207" t="s">
        <v>68</v>
      </c>
      <c r="I144" s="207" t="s">
        <v>69</v>
      </c>
      <c r="J144" s="208" t="s">
        <v>155</v>
      </c>
      <c r="K144" s="207" t="s">
        <v>71</v>
      </c>
      <c r="L144" s="207" t="s">
        <v>72</v>
      </c>
      <c r="M144" s="4" t="s">
        <v>196</v>
      </c>
      <c r="N144" s="207" t="s">
        <v>74</v>
      </c>
      <c r="O144" s="207" t="s">
        <v>75</v>
      </c>
      <c r="P144" s="207">
        <v>30</v>
      </c>
      <c r="Q144" s="209">
        <v>45442</v>
      </c>
      <c r="R144" s="209">
        <v>45456</v>
      </c>
      <c r="S144" s="210"/>
      <c r="T144" s="210"/>
      <c r="U144" s="207"/>
      <c r="V144" s="207"/>
      <c r="W144" s="105" t="s">
        <v>1506</v>
      </c>
      <c r="X144" s="211">
        <v>1776498429</v>
      </c>
      <c r="Y144" s="208">
        <v>1305248006</v>
      </c>
      <c r="Z144" s="207" t="s">
        <v>1507</v>
      </c>
      <c r="AA144" s="207">
        <v>1737590068</v>
      </c>
      <c r="AB144" s="207" t="s">
        <v>132</v>
      </c>
      <c r="AC144" s="207" t="s">
        <v>119</v>
      </c>
      <c r="AD144" s="210">
        <v>35202</v>
      </c>
      <c r="AE144" s="212"/>
      <c r="AF144" s="207" t="s">
        <v>80</v>
      </c>
      <c r="AG144" s="211">
        <v>1483788442</v>
      </c>
      <c r="AH144" s="207" t="s">
        <v>81</v>
      </c>
      <c r="AI144" s="208" t="s">
        <v>265</v>
      </c>
      <c r="AJ144" s="208" t="s">
        <v>81</v>
      </c>
      <c r="AK144" s="208">
        <v>2022</v>
      </c>
      <c r="AL144" s="207" t="s">
        <v>1508</v>
      </c>
      <c r="AM144" s="207" t="s">
        <v>1509</v>
      </c>
      <c r="AN144" s="207" t="s">
        <v>1507</v>
      </c>
      <c r="AO144" s="207" t="s">
        <v>1510</v>
      </c>
      <c r="AP144" s="207" t="s">
        <v>1511</v>
      </c>
      <c r="AQ144" s="208" t="s">
        <v>1512</v>
      </c>
      <c r="AR144" s="207" t="s">
        <v>81</v>
      </c>
      <c r="AS144" s="207" t="s">
        <v>81</v>
      </c>
      <c r="AT144" s="213" t="s">
        <v>81</v>
      </c>
      <c r="AU144" s="207" t="s">
        <v>81</v>
      </c>
      <c r="AV144" s="207" t="s">
        <v>81</v>
      </c>
      <c r="AW144" s="207" t="s">
        <v>81</v>
      </c>
      <c r="AX144" s="207" t="s">
        <v>81</v>
      </c>
      <c r="AY144" s="207" t="s">
        <v>81</v>
      </c>
      <c r="AZ144" s="207" t="s">
        <v>81</v>
      </c>
      <c r="BA144" s="207" t="s">
        <v>90</v>
      </c>
      <c r="BB144" s="207">
        <v>10800</v>
      </c>
      <c r="BC144" s="207">
        <v>2700</v>
      </c>
      <c r="BD144" s="207">
        <v>1000</v>
      </c>
      <c r="BE144" s="207" t="s">
        <v>166</v>
      </c>
      <c r="BF144" s="207"/>
      <c r="BG144" s="207"/>
      <c r="BH144" s="105"/>
      <c r="BI144" s="105"/>
      <c r="BJ144" s="105"/>
      <c r="BK144" s="207" t="s">
        <v>1513</v>
      </c>
      <c r="BL144" s="105"/>
    </row>
    <row r="145" ht="19.95" customHeight="1">
      <c r="A145" s="207">
        <v>171539</v>
      </c>
      <c r="B145" s="207"/>
      <c r="C145" s="208" t="s">
        <v>1514</v>
      </c>
      <c r="D145" s="207" t="s">
        <v>1515</v>
      </c>
      <c r="E145" s="207" t="s">
        <v>66</v>
      </c>
      <c r="F145" s="208">
        <v>1110215700</v>
      </c>
      <c r="G145" s="207" t="s">
        <v>67</v>
      </c>
      <c r="H145" s="207" t="s">
        <v>68</v>
      </c>
      <c r="I145" s="207" t="s">
        <v>69</v>
      </c>
      <c r="J145" s="208" t="s">
        <v>1285</v>
      </c>
      <c r="K145" s="207" t="s">
        <v>71</v>
      </c>
      <c r="L145" s="207" t="s">
        <v>72</v>
      </c>
      <c r="M145" s="4" t="s">
        <v>369</v>
      </c>
      <c r="N145" s="207" t="s">
        <v>74</v>
      </c>
      <c r="O145" s="207" t="s">
        <v>75</v>
      </c>
      <c r="P145" s="207">
        <v>31</v>
      </c>
      <c r="Q145" s="209">
        <v>45447</v>
      </c>
      <c r="R145" s="209">
        <v>45456</v>
      </c>
      <c r="S145" s="210"/>
      <c r="T145" s="210"/>
      <c r="U145" s="207"/>
      <c r="V145" s="207"/>
      <c r="W145" s="105" t="s">
        <v>1516</v>
      </c>
      <c r="X145" s="211">
        <v>1810760395</v>
      </c>
      <c r="Y145" s="208">
        <v>1629943181</v>
      </c>
      <c r="Z145" s="207" t="s">
        <v>646</v>
      </c>
      <c r="AA145" s="207">
        <v>1745728136</v>
      </c>
      <c r="AB145" s="207" t="s">
        <v>132</v>
      </c>
      <c r="AC145" s="207" t="s">
        <v>119</v>
      </c>
      <c r="AD145" s="210">
        <v>36079</v>
      </c>
      <c r="AE145" s="212">
        <f>((TODAY())-AD145)/365</f>
        <v>26.350684931506848</v>
      </c>
      <c r="AF145" s="207" t="s">
        <v>80</v>
      </c>
      <c r="AG145" s="211">
        <v>8263947031</v>
      </c>
      <c r="AH145" s="207" t="s">
        <v>81</v>
      </c>
      <c r="AI145" s="208" t="s">
        <v>1517</v>
      </c>
      <c r="AJ145" s="208" t="s">
        <v>81</v>
      </c>
      <c r="AK145" s="208">
        <v>2023</v>
      </c>
      <c r="AL145" s="207" t="s">
        <v>1518</v>
      </c>
      <c r="AM145" s="207" t="s">
        <v>1519</v>
      </c>
      <c r="AN145" s="207" t="s">
        <v>1520</v>
      </c>
      <c r="AO145" s="207" t="s">
        <v>1521</v>
      </c>
      <c r="AP145" s="207" t="s">
        <v>1521</v>
      </c>
      <c r="AQ145" s="208" t="s">
        <v>1522</v>
      </c>
      <c r="AR145" s="207" t="s">
        <v>110</v>
      </c>
      <c r="AS145" s="207" t="s">
        <v>81</v>
      </c>
      <c r="AT145" s="213" t="s">
        <v>81</v>
      </c>
      <c r="AU145" s="207" t="s">
        <v>81</v>
      </c>
      <c r="AV145" s="207" t="s">
        <v>81</v>
      </c>
      <c r="AW145" s="207" t="s">
        <v>81</v>
      </c>
      <c r="AX145" s="207" t="s">
        <v>81</v>
      </c>
      <c r="AY145" s="207" t="s">
        <v>81</v>
      </c>
      <c r="AZ145" s="207" t="s">
        <v>81</v>
      </c>
      <c r="BA145" s="207" t="s">
        <v>90</v>
      </c>
      <c r="BB145" s="207">
        <v>10800</v>
      </c>
      <c r="BC145" s="207">
        <v>2700</v>
      </c>
      <c r="BD145" s="207">
        <v>0</v>
      </c>
      <c r="BE145" s="207" t="s">
        <v>91</v>
      </c>
      <c r="BF145" s="207"/>
      <c r="BG145" s="207"/>
      <c r="BH145" s="105"/>
      <c r="BI145" s="105"/>
      <c r="BJ145" s="105"/>
      <c r="BK145" s="207">
        <v>1810760395</v>
      </c>
      <c r="BL145" s="105">
        <v>1810760395</v>
      </c>
    </row>
    <row r="146" ht="19.95" customHeight="1">
      <c r="A146" s="207">
        <v>171562</v>
      </c>
      <c r="B146" s="207"/>
      <c r="C146" s="208" t="s">
        <v>1523</v>
      </c>
      <c r="D146" s="207" t="s">
        <v>1524</v>
      </c>
      <c r="E146" s="207" t="s">
        <v>66</v>
      </c>
      <c r="F146" s="208">
        <v>745987</v>
      </c>
      <c r="G146" s="207" t="s">
        <v>67</v>
      </c>
      <c r="H146" s="207" t="s">
        <v>68</v>
      </c>
      <c r="I146" s="207" t="s">
        <v>69</v>
      </c>
      <c r="J146" s="208" t="s">
        <v>1285</v>
      </c>
      <c r="K146" s="207" t="s">
        <v>71</v>
      </c>
      <c r="L146" s="207" t="s">
        <v>72</v>
      </c>
      <c r="M146" s="4" t="s">
        <v>369</v>
      </c>
      <c r="N146" s="207" t="s">
        <v>74</v>
      </c>
      <c r="O146" s="207" t="s">
        <v>75</v>
      </c>
      <c r="P146" s="207">
        <v>31</v>
      </c>
      <c r="Q146" s="209">
        <v>45447</v>
      </c>
      <c r="R146" s="209">
        <v>45456</v>
      </c>
      <c r="S146" s="210"/>
      <c r="T146" s="210"/>
      <c r="U146" s="207"/>
      <c r="V146" s="207"/>
      <c r="W146" s="105" t="s">
        <v>1525</v>
      </c>
      <c r="X146" s="211">
        <v>1313166674</v>
      </c>
      <c r="Y146" s="208">
        <v>1721242016</v>
      </c>
      <c r="Z146" s="207" t="s">
        <v>1526</v>
      </c>
      <c r="AA146" s="207">
        <v>1721242016</v>
      </c>
      <c r="AB146" s="207" t="s">
        <v>252</v>
      </c>
      <c r="AC146" s="207" t="s">
        <v>133</v>
      </c>
      <c r="AD146" s="210">
        <v>33973</v>
      </c>
      <c r="AE146" s="212">
        <f>((TODAY())-AD146)/365</f>
        <v>32.12054794520548</v>
      </c>
      <c r="AF146" s="207" t="s">
        <v>80</v>
      </c>
      <c r="AG146" s="211">
        <v>6445014290</v>
      </c>
      <c r="AH146" s="207" t="s">
        <v>81</v>
      </c>
      <c r="AI146" s="208" t="s">
        <v>265</v>
      </c>
      <c r="AJ146" s="208" t="s">
        <v>81</v>
      </c>
      <c r="AK146" s="208">
        <v>2015</v>
      </c>
      <c r="AL146" s="207" t="s">
        <v>1527</v>
      </c>
      <c r="AM146" s="207" t="s">
        <v>1528</v>
      </c>
      <c r="AN146" s="207" t="s">
        <v>1529</v>
      </c>
      <c r="AO146" s="207" t="s">
        <v>1530</v>
      </c>
      <c r="AP146" s="207" t="s">
        <v>1531</v>
      </c>
      <c r="AQ146" s="208" t="s">
        <v>1096</v>
      </c>
      <c r="AR146" s="207" t="s">
        <v>110</v>
      </c>
      <c r="AS146" s="207" t="s">
        <v>81</v>
      </c>
      <c r="AT146" s="213" t="s">
        <v>81</v>
      </c>
      <c r="AU146" s="207" t="s">
        <v>81</v>
      </c>
      <c r="AV146" s="207" t="s">
        <v>81</v>
      </c>
      <c r="AW146" s="207" t="s">
        <v>81</v>
      </c>
      <c r="AX146" s="207" t="s">
        <v>81</v>
      </c>
      <c r="AY146" s="207" t="s">
        <v>81</v>
      </c>
      <c r="AZ146" s="207" t="s">
        <v>81</v>
      </c>
      <c r="BA146" s="207" t="s">
        <v>90</v>
      </c>
      <c r="BB146" s="207">
        <v>10800</v>
      </c>
      <c r="BC146" s="207">
        <v>2700</v>
      </c>
      <c r="BD146" s="207">
        <v>0</v>
      </c>
      <c r="BE146" s="207" t="s">
        <v>91</v>
      </c>
      <c r="BF146" s="207"/>
      <c r="BG146" s="207"/>
      <c r="BH146" s="105"/>
      <c r="BI146" s="105"/>
      <c r="BJ146" s="105"/>
      <c r="BK146" s="207">
        <v>1721242016</v>
      </c>
      <c r="BL146" s="105"/>
    </row>
    <row r="147" ht="19.95" customHeight="1">
      <c r="A147" s="207">
        <v>171568</v>
      </c>
      <c r="B147" s="207"/>
      <c r="C147" s="208" t="s">
        <v>1532</v>
      </c>
      <c r="D147" s="207" t="s">
        <v>1533</v>
      </c>
      <c r="E147" s="207" t="s">
        <v>66</v>
      </c>
      <c r="F147" s="208">
        <v>611423</v>
      </c>
      <c r="G147" s="207" t="s">
        <v>67</v>
      </c>
      <c r="H147" s="207" t="s">
        <v>68</v>
      </c>
      <c r="I147" s="207" t="s">
        <v>69</v>
      </c>
      <c r="J147" s="208" t="s">
        <v>1285</v>
      </c>
      <c r="K147" s="207" t="s">
        <v>71</v>
      </c>
      <c r="L147" s="207" t="s">
        <v>72</v>
      </c>
      <c r="M147" s="4" t="s">
        <v>369</v>
      </c>
      <c r="N147" s="207" t="s">
        <v>74</v>
      </c>
      <c r="O147" s="207" t="s">
        <v>75</v>
      </c>
      <c r="P147" s="207">
        <v>31</v>
      </c>
      <c r="Q147" s="209">
        <v>45447</v>
      </c>
      <c r="R147" s="209">
        <v>45456</v>
      </c>
      <c r="S147" s="210"/>
      <c r="T147" s="210"/>
      <c r="U147" s="207"/>
      <c r="V147" s="207"/>
      <c r="W147" s="105" t="s">
        <v>1534</v>
      </c>
      <c r="X147" s="211">
        <v>1789024755</v>
      </c>
      <c r="Y147" s="208">
        <v>1955986615</v>
      </c>
      <c r="Z147" s="207" t="s">
        <v>1535</v>
      </c>
      <c r="AA147" s="207">
        <v>1789447508</v>
      </c>
      <c r="AB147" s="207" t="s">
        <v>252</v>
      </c>
      <c r="AC147" s="207" t="s">
        <v>119</v>
      </c>
      <c r="AD147" s="210">
        <v>35034</v>
      </c>
      <c r="AE147" s="212">
        <f>((TODAY())-AD147)/365</f>
        <v>29.213698630136985</v>
      </c>
      <c r="AF147" s="207" t="s">
        <v>80</v>
      </c>
      <c r="AG147" s="211">
        <v>9552035165</v>
      </c>
      <c r="AH147" s="207" t="s">
        <v>81</v>
      </c>
      <c r="AI147" s="208" t="s">
        <v>683</v>
      </c>
      <c r="AJ147" s="208" t="s">
        <v>81</v>
      </c>
      <c r="AK147" s="208">
        <v>2019</v>
      </c>
      <c r="AL147" s="207" t="s">
        <v>1536</v>
      </c>
      <c r="AM147" s="207" t="s">
        <v>1537</v>
      </c>
      <c r="AN147" s="207" t="s">
        <v>1538</v>
      </c>
      <c r="AO147" s="207" t="s">
        <v>1539</v>
      </c>
      <c r="AP147" s="207" t="s">
        <v>1540</v>
      </c>
      <c r="AQ147" s="208" t="s">
        <v>499</v>
      </c>
      <c r="AR147" s="207" t="s">
        <v>110</v>
      </c>
      <c r="AS147" s="207" t="s">
        <v>81</v>
      </c>
      <c r="AT147" s="213" t="s">
        <v>81</v>
      </c>
      <c r="AU147" s="207" t="s">
        <v>81</v>
      </c>
      <c r="AV147" s="207" t="s">
        <v>81</v>
      </c>
      <c r="AW147" s="207" t="s">
        <v>81</v>
      </c>
      <c r="AX147" s="207" t="s">
        <v>81</v>
      </c>
      <c r="AY147" s="207" t="s">
        <v>81</v>
      </c>
      <c r="AZ147" s="207" t="s">
        <v>81</v>
      </c>
      <c r="BA147" s="207" t="s">
        <v>90</v>
      </c>
      <c r="BB147" s="207">
        <v>10800</v>
      </c>
      <c r="BC147" s="207">
        <v>2700</v>
      </c>
      <c r="BD147" s="207">
        <v>0</v>
      </c>
      <c r="BE147" s="207" t="s">
        <v>91</v>
      </c>
      <c r="BF147" s="207"/>
      <c r="BG147" s="207"/>
      <c r="BH147" s="105"/>
      <c r="BI147" s="105"/>
      <c r="BJ147" s="105"/>
      <c r="BK147" s="207">
        <v>1789024755</v>
      </c>
      <c r="BL147" s="105"/>
    </row>
    <row r="148" ht="19.95" customHeight="1">
      <c r="A148" s="207">
        <v>171512</v>
      </c>
      <c r="B148" s="207"/>
      <c r="C148" s="208" t="s">
        <v>1541</v>
      </c>
      <c r="D148" s="207" t="s">
        <v>1542</v>
      </c>
      <c r="E148" s="207" t="s">
        <v>114</v>
      </c>
      <c r="F148" s="208"/>
      <c r="G148" s="207" t="s">
        <v>67</v>
      </c>
      <c r="H148" s="207" t="s">
        <v>68</v>
      </c>
      <c r="I148" s="207" t="s">
        <v>69</v>
      </c>
      <c r="J148" s="208" t="s">
        <v>155</v>
      </c>
      <c r="K148" s="207" t="s">
        <v>71</v>
      </c>
      <c r="L148" s="207" t="s">
        <v>72</v>
      </c>
      <c r="M148" s="4" t="s">
        <v>271</v>
      </c>
      <c r="N148" s="207" t="s">
        <v>74</v>
      </c>
      <c r="O148" s="207" t="s">
        <v>75</v>
      </c>
      <c r="P148" s="207">
        <v>29</v>
      </c>
      <c r="Q148" s="209">
        <v>45432</v>
      </c>
      <c r="R148" s="209">
        <v>45457</v>
      </c>
      <c r="S148" s="210"/>
      <c r="T148" s="210"/>
      <c r="U148" s="207"/>
      <c r="V148" s="207"/>
      <c r="W148" s="105"/>
      <c r="X148" s="211">
        <v>1739688308</v>
      </c>
      <c r="Y148" s="208"/>
      <c r="Z148" s="207" t="s">
        <v>1543</v>
      </c>
      <c r="AA148" s="207">
        <v>1763645281</v>
      </c>
      <c r="AB148" s="207" t="s">
        <v>101</v>
      </c>
      <c r="AC148" s="207" t="s">
        <v>133</v>
      </c>
      <c r="AD148" s="210">
        <v>35930</v>
      </c>
      <c r="AE148" s="212"/>
      <c r="AF148" s="207" t="s">
        <v>80</v>
      </c>
      <c r="AG148" s="211">
        <v>4204260642</v>
      </c>
      <c r="AH148" s="207" t="s">
        <v>81</v>
      </c>
      <c r="AI148" s="208" t="s">
        <v>1101</v>
      </c>
      <c r="AJ148" s="208" t="s">
        <v>1334</v>
      </c>
      <c r="AK148" s="208">
        <v>2023</v>
      </c>
      <c r="AL148" s="207" t="s">
        <v>986</v>
      </c>
      <c r="AM148" s="207" t="s">
        <v>1543</v>
      </c>
      <c r="AN148" s="207" t="s">
        <v>1544</v>
      </c>
      <c r="AO148" s="207" t="s">
        <v>1545</v>
      </c>
      <c r="AP148" s="207" t="s">
        <v>1546</v>
      </c>
      <c r="AQ148" s="208" t="s">
        <v>353</v>
      </c>
      <c r="AR148" s="207" t="s">
        <v>110</v>
      </c>
      <c r="AS148" s="207" t="s">
        <v>81</v>
      </c>
      <c r="AT148" s="213" t="s">
        <v>1334</v>
      </c>
      <c r="AU148" s="207" t="s">
        <v>81</v>
      </c>
      <c r="AV148" s="207" t="s">
        <v>81</v>
      </c>
      <c r="AW148" s="207" t="s">
        <v>81</v>
      </c>
      <c r="AX148" s="207" t="s">
        <v>81</v>
      </c>
      <c r="AY148" s="207" t="s">
        <v>81</v>
      </c>
      <c r="AZ148" s="207" t="s">
        <v>81</v>
      </c>
      <c r="BA148" s="207" t="s">
        <v>90</v>
      </c>
      <c r="BB148" s="207">
        <v>10800</v>
      </c>
      <c r="BC148" s="207">
        <v>2700</v>
      </c>
      <c r="BD148" s="207">
        <v>1000</v>
      </c>
      <c r="BE148" s="207" t="s">
        <v>166</v>
      </c>
      <c r="BF148" s="207"/>
      <c r="BG148" s="207"/>
      <c r="BH148" s="105"/>
      <c r="BI148" s="105"/>
      <c r="BJ148" s="105"/>
      <c r="BK148" s="207">
        <v>1739688308</v>
      </c>
      <c r="BL148" s="105"/>
    </row>
    <row r="149" ht="19.95" customHeight="1">
      <c r="A149" s="207">
        <v>171515</v>
      </c>
      <c r="B149" s="207"/>
      <c r="C149" s="208" t="s">
        <v>1547</v>
      </c>
      <c r="D149" s="207" t="s">
        <v>1548</v>
      </c>
      <c r="E149" s="207" t="s">
        <v>114</v>
      </c>
      <c r="F149" s="208" t="s">
        <v>1549</v>
      </c>
      <c r="G149" s="207" t="s">
        <v>67</v>
      </c>
      <c r="H149" s="207" t="s">
        <v>68</v>
      </c>
      <c r="I149" s="207" t="s">
        <v>69</v>
      </c>
      <c r="J149" s="208" t="s">
        <v>155</v>
      </c>
      <c r="K149" s="207" t="s">
        <v>71</v>
      </c>
      <c r="L149" s="207" t="s">
        <v>72</v>
      </c>
      <c r="M149" s="4" t="s">
        <v>271</v>
      </c>
      <c r="N149" s="207" t="s">
        <v>74</v>
      </c>
      <c r="O149" s="207" t="s">
        <v>75</v>
      </c>
      <c r="P149" s="207">
        <v>30</v>
      </c>
      <c r="Q149" s="209">
        <v>45442</v>
      </c>
      <c r="R149" s="209">
        <v>45458</v>
      </c>
      <c r="S149" s="210"/>
      <c r="T149" s="210"/>
      <c r="U149" s="207"/>
      <c r="V149" s="207"/>
      <c r="W149" s="105" t="s">
        <v>81</v>
      </c>
      <c r="X149" s="211">
        <v>1837738626</v>
      </c>
      <c r="Y149" s="208"/>
      <c r="Z149" s="207" t="s">
        <v>1550</v>
      </c>
      <c r="AA149" s="207">
        <v>1857619156</v>
      </c>
      <c r="AB149" s="207" t="s">
        <v>132</v>
      </c>
      <c r="AC149" s="207" t="s">
        <v>133</v>
      </c>
      <c r="AD149" s="210">
        <v>35696</v>
      </c>
      <c r="AE149" s="212"/>
      <c r="AF149" s="207" t="s">
        <v>80</v>
      </c>
      <c r="AG149" s="211">
        <v>8252805976</v>
      </c>
      <c r="AH149" s="207" t="s">
        <v>81</v>
      </c>
      <c r="AI149" s="208" t="s">
        <v>265</v>
      </c>
      <c r="AJ149" s="208" t="s">
        <v>265</v>
      </c>
      <c r="AK149" s="208">
        <v>2023</v>
      </c>
      <c r="AL149" s="207" t="s">
        <v>1551</v>
      </c>
      <c r="AM149" s="207" t="s">
        <v>1550</v>
      </c>
      <c r="AN149" s="207" t="s">
        <v>1550</v>
      </c>
      <c r="AO149" s="207" t="s">
        <v>1552</v>
      </c>
      <c r="AP149" s="207" t="s">
        <v>1552</v>
      </c>
      <c r="AQ149" s="208" t="s">
        <v>1553</v>
      </c>
      <c r="AR149" s="207" t="s">
        <v>110</v>
      </c>
      <c r="AS149" s="207" t="s">
        <v>81</v>
      </c>
      <c r="AT149" s="213" t="s">
        <v>81</v>
      </c>
      <c r="AU149" s="207" t="s">
        <v>81</v>
      </c>
      <c r="AV149" s="207" t="s">
        <v>81</v>
      </c>
      <c r="AW149" s="207" t="s">
        <v>81</v>
      </c>
      <c r="AX149" s="207" t="s">
        <v>81</v>
      </c>
      <c r="AY149" s="207" t="s">
        <v>81</v>
      </c>
      <c r="AZ149" s="207" t="s">
        <v>81</v>
      </c>
      <c r="BA149" s="207" t="s">
        <v>90</v>
      </c>
      <c r="BB149" s="207">
        <v>10800</v>
      </c>
      <c r="BC149" s="207">
        <v>2700</v>
      </c>
      <c r="BD149" s="207">
        <v>1000</v>
      </c>
      <c r="BE149" s="207" t="s">
        <v>166</v>
      </c>
      <c r="BF149" s="207"/>
      <c r="BG149" s="207"/>
      <c r="BH149" s="105"/>
      <c r="BI149" s="105"/>
      <c r="BJ149" s="105"/>
      <c r="BK149" s="207">
        <v>1837738626</v>
      </c>
      <c r="BL149" s="105"/>
    </row>
    <row r="150" ht="19.95" customHeight="1">
      <c r="A150" s="207">
        <v>171597</v>
      </c>
      <c r="B150" s="207"/>
      <c r="C150" s="208" t="s">
        <v>1554</v>
      </c>
      <c r="D150" s="207" t="s">
        <v>1555</v>
      </c>
      <c r="E150" s="207" t="s">
        <v>114</v>
      </c>
      <c r="F150" s="208">
        <v>1218726521</v>
      </c>
      <c r="G150" s="207" t="s">
        <v>67</v>
      </c>
      <c r="H150" s="207" t="s">
        <v>68</v>
      </c>
      <c r="I150" s="207" t="s">
        <v>69</v>
      </c>
      <c r="J150" s="208" t="s">
        <v>1285</v>
      </c>
      <c r="K150" s="207" t="s">
        <v>71</v>
      </c>
      <c r="L150" s="207" t="s">
        <v>72</v>
      </c>
      <c r="M150" s="4" t="s">
        <v>1304</v>
      </c>
      <c r="N150" s="207" t="s">
        <v>74</v>
      </c>
      <c r="O150" s="207" t="s">
        <v>75</v>
      </c>
      <c r="P150" s="207">
        <v>32</v>
      </c>
      <c r="Q150" s="209">
        <v>45449</v>
      </c>
      <c r="R150" s="209">
        <v>45458</v>
      </c>
      <c r="S150" s="210"/>
      <c r="T150" s="210"/>
      <c r="U150" s="207"/>
      <c r="V150" s="207"/>
      <c r="W150" s="105" t="s">
        <v>1556</v>
      </c>
      <c r="X150" s="211">
        <v>1331095080</v>
      </c>
      <c r="Y150" s="208">
        <v>1521533911</v>
      </c>
      <c r="Z150" s="207" t="s">
        <v>1557</v>
      </c>
      <c r="AA150" s="207">
        <v>1681616208</v>
      </c>
      <c r="AB150" s="207" t="s">
        <v>118</v>
      </c>
      <c r="AC150" s="207" t="s">
        <v>133</v>
      </c>
      <c r="AD150" s="210">
        <v>36515</v>
      </c>
      <c r="AE150" s="212"/>
      <c r="AF150" s="207" t="s">
        <v>80</v>
      </c>
      <c r="AG150" s="211">
        <v>8708381010</v>
      </c>
      <c r="AH150" s="207" t="s">
        <v>81</v>
      </c>
      <c r="AI150" s="208" t="s">
        <v>1517</v>
      </c>
      <c r="AJ150" s="208" t="s">
        <v>81</v>
      </c>
      <c r="AK150" s="208">
        <v>2023</v>
      </c>
      <c r="AL150" s="207" t="s">
        <v>1558</v>
      </c>
      <c r="AM150" s="207" t="s">
        <v>1559</v>
      </c>
      <c r="AN150" s="207" t="s">
        <v>1560</v>
      </c>
      <c r="AO150" s="207" t="s">
        <v>1561</v>
      </c>
      <c r="AP150" s="207" t="s">
        <v>1562</v>
      </c>
      <c r="AQ150" s="208" t="s">
        <v>1563</v>
      </c>
      <c r="AR150" s="207" t="s">
        <v>110</v>
      </c>
      <c r="AS150" s="207" t="s">
        <v>81</v>
      </c>
      <c r="AT150" s="213" t="s">
        <v>81</v>
      </c>
      <c r="AU150" s="207" t="s">
        <v>81</v>
      </c>
      <c r="AV150" s="207" t="s">
        <v>81</v>
      </c>
      <c r="AW150" s="207" t="s">
        <v>81</v>
      </c>
      <c r="AX150" s="207" t="s">
        <v>81</v>
      </c>
      <c r="AY150" s="207" t="s">
        <v>81</v>
      </c>
      <c r="AZ150" s="207" t="s">
        <v>81</v>
      </c>
      <c r="BA150" s="207" t="s">
        <v>90</v>
      </c>
      <c r="BB150" s="207">
        <v>10800</v>
      </c>
      <c r="BC150" s="207">
        <v>2700</v>
      </c>
      <c r="BD150" s="207">
        <v>0</v>
      </c>
      <c r="BE150" s="207" t="s">
        <v>91</v>
      </c>
      <c r="BF150" s="207"/>
      <c r="BG150" s="207"/>
      <c r="BH150" s="105"/>
      <c r="BI150" s="105"/>
      <c r="BJ150" s="105"/>
      <c r="BK150" s="207">
        <v>1331095080</v>
      </c>
      <c r="BL150" s="105"/>
    </row>
    <row r="151" ht="19.95" customHeight="1">
      <c r="A151" s="207">
        <v>171599</v>
      </c>
      <c r="B151" s="207"/>
      <c r="C151" s="208"/>
      <c r="D151" s="207" t="s">
        <v>1564</v>
      </c>
      <c r="E151" s="207" t="s">
        <v>114</v>
      </c>
      <c r="F151" s="208">
        <v>1110584055</v>
      </c>
      <c r="G151" s="207" t="s">
        <v>67</v>
      </c>
      <c r="H151" s="207" t="s">
        <v>68</v>
      </c>
      <c r="I151" s="207" t="s">
        <v>69</v>
      </c>
      <c r="J151" s="208" t="s">
        <v>1285</v>
      </c>
      <c r="K151" s="207" t="s">
        <v>71</v>
      </c>
      <c r="L151" s="207" t="s">
        <v>72</v>
      </c>
      <c r="M151" s="4" t="s">
        <v>342</v>
      </c>
      <c r="N151" s="207" t="s">
        <v>74</v>
      </c>
      <c r="O151" s="207" t="s">
        <v>75</v>
      </c>
      <c r="P151" s="207">
        <v>32</v>
      </c>
      <c r="Q151" s="209">
        <v>45449</v>
      </c>
      <c r="R151" s="209">
        <v>45458</v>
      </c>
      <c r="S151" s="210"/>
      <c r="T151" s="210"/>
      <c r="U151" s="207"/>
      <c r="V151" s="207"/>
      <c r="W151" s="105" t="s">
        <v>1565</v>
      </c>
      <c r="X151" s="211">
        <v>1624414903</v>
      </c>
      <c r="Y151" s="208">
        <v>1823278821</v>
      </c>
      <c r="Z151" s="207" t="s">
        <v>1181</v>
      </c>
      <c r="AA151" s="207">
        <v>1950804603</v>
      </c>
      <c r="AB151" s="207" t="s">
        <v>252</v>
      </c>
      <c r="AC151" s="207" t="s">
        <v>119</v>
      </c>
      <c r="AD151" s="210">
        <v>35890</v>
      </c>
      <c r="AE151" s="212"/>
      <c r="AF151" s="207" t="s">
        <v>80</v>
      </c>
      <c r="AG151" s="211">
        <v>6454417103</v>
      </c>
      <c r="AH151" s="207" t="s">
        <v>81</v>
      </c>
      <c r="AI151" s="208" t="s">
        <v>322</v>
      </c>
      <c r="AJ151" s="208" t="s">
        <v>81</v>
      </c>
      <c r="AK151" s="208">
        <v>2020</v>
      </c>
      <c r="AL151" s="207" t="s">
        <v>1566</v>
      </c>
      <c r="AM151" s="207" t="s">
        <v>1567</v>
      </c>
      <c r="AN151" s="207" t="s">
        <v>1568</v>
      </c>
      <c r="AO151" s="207" t="s">
        <v>1569</v>
      </c>
      <c r="AP151" s="207" t="s">
        <v>1570</v>
      </c>
      <c r="AQ151" s="208" t="s">
        <v>328</v>
      </c>
      <c r="AR151" s="207" t="s">
        <v>110</v>
      </c>
      <c r="AS151" s="207" t="s">
        <v>81</v>
      </c>
      <c r="AT151" s="213" t="s">
        <v>81</v>
      </c>
      <c r="AU151" s="207" t="s">
        <v>81</v>
      </c>
      <c r="AV151" s="207" t="s">
        <v>81</v>
      </c>
      <c r="AW151" s="207" t="s">
        <v>81</v>
      </c>
      <c r="AX151" s="207" t="s">
        <v>81</v>
      </c>
      <c r="AY151" s="207" t="s">
        <v>81</v>
      </c>
      <c r="AZ151" s="207" t="s">
        <v>81</v>
      </c>
      <c r="BA151" s="207" t="s">
        <v>90</v>
      </c>
      <c r="BB151" s="207">
        <v>10800</v>
      </c>
      <c r="BC151" s="207">
        <v>2700</v>
      </c>
      <c r="BD151" s="207">
        <v>0</v>
      </c>
      <c r="BE151" s="207" t="s">
        <v>91</v>
      </c>
      <c r="BF151" s="207"/>
      <c r="BG151" s="207"/>
      <c r="BH151" s="105"/>
      <c r="BI151" s="105"/>
      <c r="BJ151" s="105"/>
      <c r="BK151" s="207">
        <v>1950804603</v>
      </c>
      <c r="BL151" s="105"/>
    </row>
    <row r="152" ht="19.95" customHeight="1">
      <c r="A152" s="207">
        <v>171604</v>
      </c>
      <c r="B152" s="207"/>
      <c r="C152" s="208" t="s">
        <v>1571</v>
      </c>
      <c r="D152" s="207" t="s">
        <v>1572</v>
      </c>
      <c r="E152" s="207" t="s">
        <v>114</v>
      </c>
      <c r="F152" s="208">
        <v>243692</v>
      </c>
      <c r="G152" s="207" t="s">
        <v>67</v>
      </c>
      <c r="H152" s="207" t="s">
        <v>68</v>
      </c>
      <c r="I152" s="207" t="s">
        <v>69</v>
      </c>
      <c r="J152" s="208" t="s">
        <v>1285</v>
      </c>
      <c r="K152" s="207" t="s">
        <v>71</v>
      </c>
      <c r="L152" s="207" t="s">
        <v>72</v>
      </c>
      <c r="M152" s="4" t="s">
        <v>369</v>
      </c>
      <c r="N152" s="207" t="s">
        <v>74</v>
      </c>
      <c r="O152" s="207" t="s">
        <v>75</v>
      </c>
      <c r="P152" s="207">
        <v>32</v>
      </c>
      <c r="Q152" s="209">
        <v>45449</v>
      </c>
      <c r="R152" s="209">
        <v>45458</v>
      </c>
      <c r="S152" s="210"/>
      <c r="T152" s="210"/>
      <c r="U152" s="207"/>
      <c r="V152" s="207"/>
      <c r="W152" s="105" t="s">
        <v>1573</v>
      </c>
      <c r="X152" s="211">
        <v>1733478772</v>
      </c>
      <c r="Y152" s="208"/>
      <c r="Z152" s="207" t="s">
        <v>1574</v>
      </c>
      <c r="AA152" s="207">
        <v>1795688532</v>
      </c>
      <c r="AB152" s="207" t="s">
        <v>101</v>
      </c>
      <c r="AC152" s="207" t="s">
        <v>102</v>
      </c>
      <c r="AD152" s="210">
        <v>35052</v>
      </c>
      <c r="AE152" s="212"/>
      <c r="AF152" s="207" t="s">
        <v>360</v>
      </c>
      <c r="AG152" s="211">
        <v>5064650996</v>
      </c>
      <c r="AH152" s="207" t="s">
        <v>81</v>
      </c>
      <c r="AI152" s="208" t="s">
        <v>1182</v>
      </c>
      <c r="AJ152" s="208" t="s">
        <v>81</v>
      </c>
      <c r="AK152" s="208">
        <v>2015</v>
      </c>
      <c r="AL152" s="207" t="s">
        <v>1575</v>
      </c>
      <c r="AM152" s="207" t="s">
        <v>1574</v>
      </c>
      <c r="AN152" s="207" t="s">
        <v>1576</v>
      </c>
      <c r="AO152" s="207" t="s">
        <v>1577</v>
      </c>
      <c r="AP152" s="207" t="s">
        <v>1578</v>
      </c>
      <c r="AQ152" s="208" t="s">
        <v>1579</v>
      </c>
      <c r="AR152" s="207" t="s">
        <v>1580</v>
      </c>
      <c r="AS152" s="207" t="s">
        <v>81</v>
      </c>
      <c r="AT152" s="213" t="s">
        <v>81</v>
      </c>
      <c r="AU152" s="207" t="s">
        <v>81</v>
      </c>
      <c r="AV152" s="207" t="s">
        <v>81</v>
      </c>
      <c r="AW152" s="207" t="s">
        <v>81</v>
      </c>
      <c r="AX152" s="207" t="s">
        <v>81</v>
      </c>
      <c r="AY152" s="207" t="s">
        <v>81</v>
      </c>
      <c r="AZ152" s="207" t="s">
        <v>81</v>
      </c>
      <c r="BA152" s="207" t="s">
        <v>90</v>
      </c>
      <c r="BB152" s="207">
        <v>10800</v>
      </c>
      <c r="BC152" s="207">
        <v>2700</v>
      </c>
      <c r="BD152" s="207">
        <v>0</v>
      </c>
      <c r="BE152" s="207" t="s">
        <v>91</v>
      </c>
      <c r="BF152" s="207"/>
      <c r="BG152" s="207"/>
      <c r="BH152" s="105"/>
      <c r="BI152" s="105"/>
      <c r="BJ152" s="105"/>
      <c r="BK152" s="207">
        <v>1733478772</v>
      </c>
      <c r="BL152" s="105"/>
    </row>
    <row r="153" ht="19.95" customHeight="1">
      <c r="A153" s="207">
        <v>171607</v>
      </c>
      <c r="B153" s="207"/>
      <c r="C153" s="208" t="s">
        <v>1581</v>
      </c>
      <c r="D153" s="207" t="s">
        <v>1582</v>
      </c>
      <c r="E153" s="207" t="s">
        <v>66</v>
      </c>
      <c r="F153" s="208">
        <v>1110584934</v>
      </c>
      <c r="G153" s="207" t="s">
        <v>67</v>
      </c>
      <c r="H153" s="207" t="s">
        <v>68</v>
      </c>
      <c r="I153" s="207" t="s">
        <v>69</v>
      </c>
      <c r="J153" s="208" t="s">
        <v>1285</v>
      </c>
      <c r="K153" s="207" t="s">
        <v>71</v>
      </c>
      <c r="L153" s="207" t="s">
        <v>72</v>
      </c>
      <c r="M153" s="4" t="s">
        <v>369</v>
      </c>
      <c r="N153" s="207" t="s">
        <v>74</v>
      </c>
      <c r="O153" s="207" t="s">
        <v>75</v>
      </c>
      <c r="P153" s="207">
        <v>32</v>
      </c>
      <c r="Q153" s="209">
        <v>45449</v>
      </c>
      <c r="R153" s="209">
        <v>45458</v>
      </c>
      <c r="S153" s="210"/>
      <c r="T153" s="210"/>
      <c r="U153" s="207"/>
      <c r="V153" s="207"/>
      <c r="W153" s="105" t="s">
        <v>1583</v>
      </c>
      <c r="X153" s="211">
        <v>1953525746</v>
      </c>
      <c r="Y153" s="208">
        <v>1624728901</v>
      </c>
      <c r="Z153" s="207" t="s">
        <v>1584</v>
      </c>
      <c r="AA153" s="207">
        <v>1624728901</v>
      </c>
      <c r="AB153" s="207" t="s">
        <v>118</v>
      </c>
      <c r="AC153" s="207" t="s">
        <v>119</v>
      </c>
      <c r="AD153" s="210">
        <v>35898</v>
      </c>
      <c r="AE153" s="212"/>
      <c r="AF153" s="207" t="s">
        <v>80</v>
      </c>
      <c r="AG153" s="211">
        <v>6454395366</v>
      </c>
      <c r="AH153" s="207" t="s">
        <v>81</v>
      </c>
      <c r="AI153" s="208" t="s">
        <v>1585</v>
      </c>
      <c r="AJ153" s="208" t="s">
        <v>81</v>
      </c>
      <c r="AK153" s="208">
        <v>2022</v>
      </c>
      <c r="AL153" s="207" t="s">
        <v>209</v>
      </c>
      <c r="AM153" s="207" t="s">
        <v>1586</v>
      </c>
      <c r="AN153" s="207" t="s">
        <v>1587</v>
      </c>
      <c r="AO153" s="207" t="s">
        <v>1588</v>
      </c>
      <c r="AP153" s="207" t="s">
        <v>1589</v>
      </c>
      <c r="AQ153" s="208" t="s">
        <v>328</v>
      </c>
      <c r="AR153" s="207" t="s">
        <v>110</v>
      </c>
      <c r="AS153" s="207" t="s">
        <v>81</v>
      </c>
      <c r="AT153" s="213" t="s">
        <v>81</v>
      </c>
      <c r="AU153" s="207" t="s">
        <v>81</v>
      </c>
      <c r="AV153" s="207" t="s">
        <v>81</v>
      </c>
      <c r="AW153" s="207" t="s">
        <v>81</v>
      </c>
      <c r="AX153" s="207" t="s">
        <v>81</v>
      </c>
      <c r="AY153" s="207" t="s">
        <v>81</v>
      </c>
      <c r="AZ153" s="207" t="s">
        <v>81</v>
      </c>
      <c r="BA153" s="207" t="s">
        <v>90</v>
      </c>
      <c r="BB153" s="207">
        <v>10800</v>
      </c>
      <c r="BC153" s="207">
        <v>2700</v>
      </c>
      <c r="BD153" s="207">
        <v>0</v>
      </c>
      <c r="BE153" s="207" t="s">
        <v>91</v>
      </c>
      <c r="BF153" s="207"/>
      <c r="BG153" s="207"/>
      <c r="BH153" s="105"/>
      <c r="BI153" s="105"/>
      <c r="BJ153" s="105"/>
      <c r="BK153" s="207">
        <v>1630761956</v>
      </c>
      <c r="BL153" s="105"/>
    </row>
    <row r="154" ht="19.95" customHeight="1">
      <c r="A154" s="207">
        <v>171608</v>
      </c>
      <c r="B154" s="207"/>
      <c r="C154" s="208" t="s">
        <v>1590</v>
      </c>
      <c r="D154" s="207" t="s">
        <v>1591</v>
      </c>
      <c r="E154" s="207" t="s">
        <v>66</v>
      </c>
      <c r="F154" s="208">
        <v>1217606681</v>
      </c>
      <c r="G154" s="207" t="s">
        <v>67</v>
      </c>
      <c r="H154" s="207" t="s">
        <v>68</v>
      </c>
      <c r="I154" s="207" t="s">
        <v>69</v>
      </c>
      <c r="J154" s="208" t="s">
        <v>1285</v>
      </c>
      <c r="K154" s="207" t="s">
        <v>71</v>
      </c>
      <c r="L154" s="207" t="s">
        <v>72</v>
      </c>
      <c r="M154" s="4" t="s">
        <v>1304</v>
      </c>
      <c r="N154" s="207" t="s">
        <v>74</v>
      </c>
      <c r="O154" s="207" t="s">
        <v>75</v>
      </c>
      <c r="P154" s="207">
        <v>32</v>
      </c>
      <c r="Q154" s="209">
        <v>45449</v>
      </c>
      <c r="R154" s="209">
        <v>45458</v>
      </c>
      <c r="S154" s="210"/>
      <c r="T154" s="210"/>
      <c r="U154" s="207"/>
      <c r="V154" s="207"/>
      <c r="W154" s="105" t="s">
        <v>1592</v>
      </c>
      <c r="X154" s="211">
        <v>1709113673</v>
      </c>
      <c r="Y154" s="208">
        <v>1706810329</v>
      </c>
      <c r="Z154" s="207" t="s">
        <v>1593</v>
      </c>
      <c r="AA154" s="207">
        <v>1706810329</v>
      </c>
      <c r="AB154" s="207" t="s">
        <v>78</v>
      </c>
      <c r="AC154" s="207" t="s">
        <v>133</v>
      </c>
      <c r="AD154" s="210">
        <v>36127</v>
      </c>
      <c r="AE154" s="212"/>
      <c r="AF154" s="207" t="s">
        <v>80</v>
      </c>
      <c r="AG154" s="211">
        <v>1504266089</v>
      </c>
      <c r="AH154" s="207" t="s">
        <v>81</v>
      </c>
      <c r="AI154" s="208" t="s">
        <v>1594</v>
      </c>
      <c r="AJ154" s="208" t="s">
        <v>81</v>
      </c>
      <c r="AK154" s="208">
        <v>2023</v>
      </c>
      <c r="AL154" s="207" t="s">
        <v>1102</v>
      </c>
      <c r="AM154" s="207" t="s">
        <v>1595</v>
      </c>
      <c r="AN154" s="207" t="s">
        <v>1596</v>
      </c>
      <c r="AO154" s="207" t="s">
        <v>1597</v>
      </c>
      <c r="AP154" s="207" t="s">
        <v>1597</v>
      </c>
      <c r="AQ154" s="208" t="s">
        <v>449</v>
      </c>
      <c r="AR154" s="207" t="s">
        <v>89</v>
      </c>
      <c r="AS154" s="207" t="s">
        <v>1593</v>
      </c>
      <c r="AT154" s="213">
        <v>36049</v>
      </c>
      <c r="AU154" s="207" t="s">
        <v>81</v>
      </c>
      <c r="AV154" s="207" t="s">
        <v>81</v>
      </c>
      <c r="AW154" s="207" t="s">
        <v>81</v>
      </c>
      <c r="AX154" s="207" t="s">
        <v>81</v>
      </c>
      <c r="AY154" s="207" t="s">
        <v>81</v>
      </c>
      <c r="AZ154" s="207" t="s">
        <v>81</v>
      </c>
      <c r="BA154" s="207" t="s">
        <v>90</v>
      </c>
      <c r="BB154" s="207">
        <v>10800</v>
      </c>
      <c r="BC154" s="207">
        <v>2700</v>
      </c>
      <c r="BD154" s="207">
        <v>0</v>
      </c>
      <c r="BE154" s="207" t="s">
        <v>91</v>
      </c>
      <c r="BF154" s="207"/>
      <c r="BG154" s="207"/>
      <c r="BH154" s="105"/>
      <c r="BI154" s="105"/>
      <c r="BJ154" s="105"/>
      <c r="BK154" s="207">
        <v>1709113673</v>
      </c>
      <c r="BL154" s="105">
        <v>1709113673</v>
      </c>
    </row>
    <row r="155" ht="19.95" customHeight="1">
      <c r="A155" s="207">
        <v>171613</v>
      </c>
      <c r="B155" s="207"/>
      <c r="C155" s="208" t="s">
        <v>1598</v>
      </c>
      <c r="D155" s="207" t="s">
        <v>1599</v>
      </c>
      <c r="E155" s="207" t="s">
        <v>114</v>
      </c>
      <c r="F155" s="208">
        <v>736156</v>
      </c>
      <c r="G155" s="207" t="s">
        <v>67</v>
      </c>
      <c r="H155" s="207" t="s">
        <v>68</v>
      </c>
      <c r="I155" s="207" t="s">
        <v>69</v>
      </c>
      <c r="J155" s="208" t="s">
        <v>1285</v>
      </c>
      <c r="K155" s="207" t="s">
        <v>71</v>
      </c>
      <c r="L155" s="207" t="s">
        <v>72</v>
      </c>
      <c r="M155" s="4" t="s">
        <v>1304</v>
      </c>
      <c r="N155" s="207" t="s">
        <v>74</v>
      </c>
      <c r="O155" s="207" t="s">
        <v>75</v>
      </c>
      <c r="P155" s="207">
        <v>32</v>
      </c>
      <c r="Q155" s="209">
        <v>45449</v>
      </c>
      <c r="R155" s="209">
        <v>45458</v>
      </c>
      <c r="S155" s="210"/>
      <c r="T155" s="210"/>
      <c r="U155" s="207"/>
      <c r="V155" s="207"/>
      <c r="W155" s="105" t="s">
        <v>1600</v>
      </c>
      <c r="X155" s="211">
        <v>1719234979</v>
      </c>
      <c r="Y155" s="208"/>
      <c r="Z155" s="207" t="s">
        <v>1601</v>
      </c>
      <c r="AA155" s="207">
        <v>1714429902</v>
      </c>
      <c r="AB155" s="207" t="s">
        <v>101</v>
      </c>
      <c r="AC155" s="207" t="s">
        <v>119</v>
      </c>
      <c r="AD155" s="210">
        <v>33041</v>
      </c>
      <c r="AE155" s="212"/>
      <c r="AF155" s="207" t="s">
        <v>673</v>
      </c>
      <c r="AG155" s="211">
        <v>1010146239</v>
      </c>
      <c r="AH155" s="207" t="s">
        <v>81</v>
      </c>
      <c r="AI155" s="208" t="s">
        <v>1602</v>
      </c>
      <c r="AJ155" s="208" t="s">
        <v>81</v>
      </c>
      <c r="AK155" s="208">
        <v>2020</v>
      </c>
      <c r="AL155" s="207" t="s">
        <v>495</v>
      </c>
      <c r="AM155" s="207" t="s">
        <v>1601</v>
      </c>
      <c r="AN155" s="207" t="s">
        <v>1603</v>
      </c>
      <c r="AO155" s="207" t="s">
        <v>1604</v>
      </c>
      <c r="AP155" s="207" t="s">
        <v>1605</v>
      </c>
      <c r="AQ155" s="208" t="s">
        <v>1606</v>
      </c>
      <c r="AR155" s="207" t="s">
        <v>110</v>
      </c>
      <c r="AS155" s="207" t="s">
        <v>81</v>
      </c>
      <c r="AT155" s="213" t="s">
        <v>81</v>
      </c>
      <c r="AU155" s="207" t="s">
        <v>81</v>
      </c>
      <c r="AV155" s="207" t="s">
        <v>81</v>
      </c>
      <c r="AW155" s="207" t="s">
        <v>81</v>
      </c>
      <c r="AX155" s="207" t="s">
        <v>81</v>
      </c>
      <c r="AY155" s="207" t="s">
        <v>81</v>
      </c>
      <c r="AZ155" s="207" t="s">
        <v>81</v>
      </c>
      <c r="BA155" s="207" t="s">
        <v>90</v>
      </c>
      <c r="BB155" s="207">
        <v>10800</v>
      </c>
      <c r="BC155" s="207">
        <v>2700</v>
      </c>
      <c r="BD155" s="207">
        <v>0</v>
      </c>
      <c r="BE155" s="207" t="s">
        <v>91</v>
      </c>
      <c r="BF155" s="207"/>
      <c r="BG155" s="207"/>
      <c r="BH155" s="105"/>
      <c r="BI155" s="105"/>
      <c r="BJ155" s="105"/>
      <c r="BK155" s="207">
        <v>1719234979</v>
      </c>
      <c r="BL155" s="105"/>
    </row>
    <row r="156" ht="19.95" customHeight="1">
      <c r="A156" s="207">
        <v>171618</v>
      </c>
      <c r="B156" s="207"/>
      <c r="C156" s="208" t="s">
        <v>1607</v>
      </c>
      <c r="D156" s="207" t="s">
        <v>1608</v>
      </c>
      <c r="E156" s="207" t="s">
        <v>114</v>
      </c>
      <c r="F156" s="208">
        <v>1212715249</v>
      </c>
      <c r="G156" s="207" t="s">
        <v>67</v>
      </c>
      <c r="H156" s="207" t="s">
        <v>68</v>
      </c>
      <c r="I156" s="207" t="s">
        <v>69</v>
      </c>
      <c r="J156" s="208" t="s">
        <v>1285</v>
      </c>
      <c r="K156" s="207" t="s">
        <v>71</v>
      </c>
      <c r="L156" s="207" t="s">
        <v>72</v>
      </c>
      <c r="M156" s="4" t="s">
        <v>369</v>
      </c>
      <c r="N156" s="207" t="s">
        <v>74</v>
      </c>
      <c r="O156" s="207" t="s">
        <v>75</v>
      </c>
      <c r="P156" s="207">
        <v>32</v>
      </c>
      <c r="Q156" s="209">
        <v>45449</v>
      </c>
      <c r="R156" s="209">
        <v>45458</v>
      </c>
      <c r="S156" s="210"/>
      <c r="T156" s="210"/>
      <c r="U156" s="207"/>
      <c r="V156" s="207"/>
      <c r="W156" s="105" t="s">
        <v>1609</v>
      </c>
      <c r="X156" s="211">
        <v>1776274063</v>
      </c>
      <c r="Y156" s="208"/>
      <c r="Z156" s="207" t="s">
        <v>1610</v>
      </c>
      <c r="AA156" s="207">
        <v>1799929074</v>
      </c>
      <c r="AB156" s="207" t="s">
        <v>252</v>
      </c>
      <c r="AC156" s="207" t="s">
        <v>79</v>
      </c>
      <c r="AD156" s="210"/>
      <c r="AE156" s="212"/>
      <c r="AF156" s="207" t="s">
        <v>80</v>
      </c>
      <c r="AG156" s="211">
        <v>9154591201</v>
      </c>
      <c r="AH156" s="207" t="s">
        <v>81</v>
      </c>
      <c r="AI156" s="208" t="s">
        <v>663</v>
      </c>
      <c r="AJ156" s="208" t="s">
        <v>81</v>
      </c>
      <c r="AK156" s="208">
        <v>2021</v>
      </c>
      <c r="AL156" s="207" t="s">
        <v>1287</v>
      </c>
      <c r="AM156" s="207" t="s">
        <v>1611</v>
      </c>
      <c r="AN156" s="207" t="s">
        <v>1612</v>
      </c>
      <c r="AO156" s="207" t="s">
        <v>1613</v>
      </c>
      <c r="AP156" s="207" t="s">
        <v>1614</v>
      </c>
      <c r="AQ156" s="208" t="s">
        <v>1615</v>
      </c>
      <c r="AR156" s="207" t="s">
        <v>110</v>
      </c>
      <c r="AS156" s="207" t="s">
        <v>81</v>
      </c>
      <c r="AT156" s="213" t="s">
        <v>81</v>
      </c>
      <c r="AU156" s="207" t="s">
        <v>81</v>
      </c>
      <c r="AV156" s="207" t="s">
        <v>81</v>
      </c>
      <c r="AW156" s="207" t="s">
        <v>81</v>
      </c>
      <c r="AX156" s="207" t="s">
        <v>81</v>
      </c>
      <c r="AY156" s="207" t="s">
        <v>81</v>
      </c>
      <c r="AZ156" s="207" t="s">
        <v>81</v>
      </c>
      <c r="BA156" s="207" t="s">
        <v>90</v>
      </c>
      <c r="BB156" s="207">
        <v>10800</v>
      </c>
      <c r="BC156" s="207">
        <v>2700</v>
      </c>
      <c r="BD156" s="207">
        <v>0</v>
      </c>
      <c r="BE156" s="207" t="s">
        <v>91</v>
      </c>
      <c r="BF156" s="207"/>
      <c r="BG156" s="207"/>
      <c r="BH156" s="105"/>
      <c r="BI156" s="105"/>
      <c r="BJ156" s="105"/>
      <c r="BK156" s="207">
        <v>1810831801</v>
      </c>
      <c r="BL156" s="105"/>
    </row>
    <row r="157" ht="19.95" customHeight="1">
      <c r="A157" s="207">
        <v>171622</v>
      </c>
      <c r="B157" s="207"/>
      <c r="C157" s="208"/>
      <c r="D157" s="207" t="s">
        <v>1616</v>
      </c>
      <c r="E157" s="207" t="s">
        <v>66</v>
      </c>
      <c r="F157" s="208">
        <v>1010666017</v>
      </c>
      <c r="G157" s="207" t="s">
        <v>67</v>
      </c>
      <c r="H157" s="207" t="s">
        <v>68</v>
      </c>
      <c r="I157" s="207" t="s">
        <v>69</v>
      </c>
      <c r="J157" s="208" t="s">
        <v>1285</v>
      </c>
      <c r="K157" s="207" t="s">
        <v>71</v>
      </c>
      <c r="L157" s="207" t="s">
        <v>72</v>
      </c>
      <c r="M157" s="4" t="s">
        <v>73</v>
      </c>
      <c r="N157" s="207" t="s">
        <v>74</v>
      </c>
      <c r="O157" s="207" t="s">
        <v>75</v>
      </c>
      <c r="P157" s="207">
        <v>32</v>
      </c>
      <c r="Q157" s="209">
        <v>45449</v>
      </c>
      <c r="R157" s="209">
        <v>45458</v>
      </c>
      <c r="S157" s="210"/>
      <c r="T157" s="210"/>
      <c r="U157" s="207"/>
      <c r="V157" s="207"/>
      <c r="W157" s="105" t="s">
        <v>1617</v>
      </c>
      <c r="X157" s="211">
        <v>1906873823</v>
      </c>
      <c r="Y157" s="208"/>
      <c r="Z157" s="207" t="s">
        <v>1618</v>
      </c>
      <c r="AA157" s="207">
        <v>1632999161</v>
      </c>
      <c r="AB157" s="207" t="s">
        <v>118</v>
      </c>
      <c r="AC157" s="207" t="s">
        <v>79</v>
      </c>
      <c r="AD157" s="210">
        <v>35287</v>
      </c>
      <c r="AE157" s="212"/>
      <c r="AF157" s="207" t="s">
        <v>360</v>
      </c>
      <c r="AG157" s="211">
        <v>2407699459</v>
      </c>
      <c r="AH157" s="207" t="s">
        <v>81</v>
      </c>
      <c r="AI157" s="208" t="s">
        <v>1619</v>
      </c>
      <c r="AJ157" s="208" t="s">
        <v>81</v>
      </c>
      <c r="AK157" s="208">
        <v>2020</v>
      </c>
      <c r="AL157" s="207" t="s">
        <v>1620</v>
      </c>
      <c r="AM157" s="207" t="s">
        <v>1621</v>
      </c>
      <c r="AN157" s="207" t="s">
        <v>1622</v>
      </c>
      <c r="AO157" s="207" t="s">
        <v>1623</v>
      </c>
      <c r="AP157" s="207" t="s">
        <v>1624</v>
      </c>
      <c r="AQ157" s="208" t="s">
        <v>88</v>
      </c>
      <c r="AR157" s="207" t="s">
        <v>110</v>
      </c>
      <c r="AS157" s="207" t="s">
        <v>81</v>
      </c>
      <c r="AT157" s="213" t="s">
        <v>81</v>
      </c>
      <c r="AU157" s="207" t="s">
        <v>81</v>
      </c>
      <c r="AV157" s="207" t="s">
        <v>81</v>
      </c>
      <c r="AW157" s="207" t="s">
        <v>81</v>
      </c>
      <c r="AX157" s="207" t="s">
        <v>81</v>
      </c>
      <c r="AY157" s="207" t="s">
        <v>81</v>
      </c>
      <c r="AZ157" s="207" t="s">
        <v>81</v>
      </c>
      <c r="BA157" s="207" t="s">
        <v>90</v>
      </c>
      <c r="BB157" s="207">
        <v>10800</v>
      </c>
      <c r="BC157" s="207">
        <v>2700</v>
      </c>
      <c r="BD157" s="207">
        <v>0</v>
      </c>
      <c r="BE157" s="207" t="s">
        <v>91</v>
      </c>
      <c r="BF157" s="207"/>
      <c r="BG157" s="207"/>
      <c r="BH157" s="105"/>
      <c r="BI157" s="105"/>
      <c r="BJ157" s="105"/>
      <c r="BK157" s="207">
        <v>1778444802</v>
      </c>
      <c r="BL157" s="105"/>
    </row>
    <row r="158" ht="19.95" customHeight="1">
      <c r="A158" s="207">
        <v>171625</v>
      </c>
      <c r="B158" s="207"/>
      <c r="C158" s="208" t="s">
        <v>1625</v>
      </c>
      <c r="D158" s="207" t="s">
        <v>1626</v>
      </c>
      <c r="E158" s="207" t="s">
        <v>66</v>
      </c>
      <c r="F158" s="208">
        <v>1013198458</v>
      </c>
      <c r="G158" s="207" t="s">
        <v>67</v>
      </c>
      <c r="H158" s="207" t="s">
        <v>68</v>
      </c>
      <c r="I158" s="207" t="s">
        <v>69</v>
      </c>
      <c r="J158" s="208" t="s">
        <v>1285</v>
      </c>
      <c r="K158" s="207" t="s">
        <v>71</v>
      </c>
      <c r="L158" s="207" t="s">
        <v>72</v>
      </c>
      <c r="M158" s="4" t="s">
        <v>1304</v>
      </c>
      <c r="N158" s="207" t="s">
        <v>74</v>
      </c>
      <c r="O158" s="207" t="s">
        <v>75</v>
      </c>
      <c r="P158" s="207">
        <v>32</v>
      </c>
      <c r="Q158" s="209">
        <v>45449</v>
      </c>
      <c r="R158" s="209">
        <v>45458</v>
      </c>
      <c r="S158" s="210"/>
      <c r="T158" s="210"/>
      <c r="U158" s="207"/>
      <c r="V158" s="207"/>
      <c r="W158" s="105" t="s">
        <v>1627</v>
      </c>
      <c r="X158" s="211">
        <v>1715243105</v>
      </c>
      <c r="Y158" s="208">
        <v>1712073553</v>
      </c>
      <c r="Z158" s="207" t="s">
        <v>1628</v>
      </c>
      <c r="AA158" s="207">
        <v>1712073553</v>
      </c>
      <c r="AB158" s="207" t="s">
        <v>78</v>
      </c>
      <c r="AC158" s="207" t="s">
        <v>102</v>
      </c>
      <c r="AD158" s="210">
        <v>35753</v>
      </c>
      <c r="AE158" s="212"/>
      <c r="AF158" s="207" t="s">
        <v>80</v>
      </c>
      <c r="AG158" s="211">
        <v>4651640619</v>
      </c>
      <c r="AH158" s="207" t="s">
        <v>81</v>
      </c>
      <c r="AI158" s="208" t="s">
        <v>265</v>
      </c>
      <c r="AJ158" s="208" t="s">
        <v>81</v>
      </c>
      <c r="AK158" s="208">
        <v>2022</v>
      </c>
      <c r="AL158" s="207" t="s">
        <v>209</v>
      </c>
      <c r="AM158" s="207" t="s">
        <v>1629</v>
      </c>
      <c r="AN158" s="207" t="s">
        <v>1630</v>
      </c>
      <c r="AO158" s="207" t="s">
        <v>1631</v>
      </c>
      <c r="AP158" s="207" t="s">
        <v>1632</v>
      </c>
      <c r="AQ158" s="208" t="s">
        <v>1633</v>
      </c>
      <c r="AR158" s="207" t="s">
        <v>89</v>
      </c>
      <c r="AS158" s="207" t="s">
        <v>1628</v>
      </c>
      <c r="AT158" s="213">
        <v>33858</v>
      </c>
      <c r="AU158" s="207" t="s">
        <v>81</v>
      </c>
      <c r="AV158" s="207" t="s">
        <v>81</v>
      </c>
      <c r="AW158" s="207" t="s">
        <v>81</v>
      </c>
      <c r="AX158" s="207" t="s">
        <v>81</v>
      </c>
      <c r="AY158" s="207" t="s">
        <v>81</v>
      </c>
      <c r="AZ158" s="207" t="s">
        <v>81</v>
      </c>
      <c r="BA158" s="207" t="s">
        <v>90</v>
      </c>
      <c r="BB158" s="207">
        <v>10800</v>
      </c>
      <c r="BC158" s="207">
        <v>2700</v>
      </c>
      <c r="BD158" s="207">
        <v>0</v>
      </c>
      <c r="BE158" s="207" t="s">
        <v>91</v>
      </c>
      <c r="BF158" s="207"/>
      <c r="BG158" s="207"/>
      <c r="BH158" s="105"/>
      <c r="BI158" s="105"/>
      <c r="BJ158" s="105"/>
      <c r="BK158" s="207">
        <v>1712073553</v>
      </c>
      <c r="BL158" s="105"/>
    </row>
    <row r="159" ht="19.95" customHeight="1">
      <c r="A159" s="207">
        <v>171628</v>
      </c>
      <c r="B159" s="207"/>
      <c r="C159" s="208" t="s">
        <v>1634</v>
      </c>
      <c r="D159" s="207" t="s">
        <v>1635</v>
      </c>
      <c r="E159" s="207" t="s">
        <v>66</v>
      </c>
      <c r="F159" s="208">
        <v>1317651348</v>
      </c>
      <c r="G159" s="207" t="s">
        <v>67</v>
      </c>
      <c r="H159" s="207" t="s">
        <v>68</v>
      </c>
      <c r="I159" s="207" t="s">
        <v>69</v>
      </c>
      <c r="J159" s="208" t="s">
        <v>1285</v>
      </c>
      <c r="K159" s="207" t="s">
        <v>71</v>
      </c>
      <c r="L159" s="207" t="s">
        <v>72</v>
      </c>
      <c r="M159" s="4" t="s">
        <v>369</v>
      </c>
      <c r="N159" s="207" t="s">
        <v>74</v>
      </c>
      <c r="O159" s="207" t="s">
        <v>75</v>
      </c>
      <c r="P159" s="207">
        <v>32</v>
      </c>
      <c r="Q159" s="209">
        <v>45449</v>
      </c>
      <c r="R159" s="209">
        <v>45458</v>
      </c>
      <c r="S159" s="210"/>
      <c r="T159" s="210"/>
      <c r="U159" s="207"/>
      <c r="V159" s="207"/>
      <c r="W159" s="105" t="s">
        <v>1636</v>
      </c>
      <c r="X159" s="211">
        <v>1722054950</v>
      </c>
      <c r="Y159" s="208"/>
      <c r="Z159" s="207"/>
      <c r="AA159" s="207">
        <v>1742654228</v>
      </c>
      <c r="AB159" s="207" t="s">
        <v>78</v>
      </c>
      <c r="AC159" s="207" t="s">
        <v>119</v>
      </c>
      <c r="AD159" s="210">
        <v>36689</v>
      </c>
      <c r="AE159" s="212"/>
      <c r="AF159" s="207" t="s">
        <v>80</v>
      </c>
      <c r="AG159" s="211" t="s">
        <v>1637</v>
      </c>
      <c r="AH159" s="207" t="s">
        <v>81</v>
      </c>
      <c r="AI159" s="208" t="s">
        <v>421</v>
      </c>
      <c r="AJ159" s="208" t="s">
        <v>421</v>
      </c>
      <c r="AK159" s="208">
        <v>2023</v>
      </c>
      <c r="AL159" s="207" t="s">
        <v>1638</v>
      </c>
      <c r="AM159" s="207" t="s">
        <v>1639</v>
      </c>
      <c r="AN159" s="207" t="s">
        <v>1640</v>
      </c>
      <c r="AO159" s="207" t="s">
        <v>1641</v>
      </c>
      <c r="AP159" s="207" t="s">
        <v>1642</v>
      </c>
      <c r="AQ159" s="208" t="s">
        <v>1209</v>
      </c>
      <c r="AR159" s="207" t="s">
        <v>89</v>
      </c>
      <c r="AS159" s="207" t="s">
        <v>1643</v>
      </c>
      <c r="AT159" s="213" t="s">
        <v>1644</v>
      </c>
      <c r="AU159" s="207" t="s">
        <v>81</v>
      </c>
      <c r="AV159" s="207" t="s">
        <v>81</v>
      </c>
      <c r="AW159" s="207" t="s">
        <v>81</v>
      </c>
      <c r="AX159" s="207" t="s">
        <v>81</v>
      </c>
      <c r="AY159" s="207" t="s">
        <v>81</v>
      </c>
      <c r="AZ159" s="207" t="s">
        <v>81</v>
      </c>
      <c r="BA159" s="207" t="s">
        <v>90</v>
      </c>
      <c r="BB159" s="207">
        <v>10800</v>
      </c>
      <c r="BC159" s="207">
        <v>2700</v>
      </c>
      <c r="BD159" s="207">
        <v>0</v>
      </c>
      <c r="BE159" s="207" t="s">
        <v>91</v>
      </c>
      <c r="BF159" s="207"/>
      <c r="BG159" s="207"/>
      <c r="BH159" s="105"/>
      <c r="BI159" s="105"/>
      <c r="BJ159" s="105"/>
      <c r="BK159" s="207">
        <v>1722054950</v>
      </c>
      <c r="BL159" s="105"/>
    </row>
    <row r="160" ht="19.95" customHeight="1">
      <c r="A160" s="207">
        <v>171629</v>
      </c>
      <c r="B160" s="207"/>
      <c r="C160" s="208" t="s">
        <v>1645</v>
      </c>
      <c r="D160" s="207" t="s">
        <v>1646</v>
      </c>
      <c r="E160" s="207" t="s">
        <v>114</v>
      </c>
      <c r="F160" s="208">
        <v>1110283654</v>
      </c>
      <c r="G160" s="207" t="s">
        <v>67</v>
      </c>
      <c r="H160" s="207" t="s">
        <v>68</v>
      </c>
      <c r="I160" s="207" t="s">
        <v>69</v>
      </c>
      <c r="J160" s="208" t="s">
        <v>1285</v>
      </c>
      <c r="K160" s="207" t="s">
        <v>71</v>
      </c>
      <c r="L160" s="207" t="s">
        <v>72</v>
      </c>
      <c r="M160" s="4" t="s">
        <v>369</v>
      </c>
      <c r="N160" s="207" t="s">
        <v>74</v>
      </c>
      <c r="O160" s="207" t="s">
        <v>75</v>
      </c>
      <c r="P160" s="207">
        <v>32</v>
      </c>
      <c r="Q160" s="209">
        <v>45449</v>
      </c>
      <c r="R160" s="209">
        <v>45458</v>
      </c>
      <c r="S160" s="210"/>
      <c r="T160" s="210"/>
      <c r="U160" s="207"/>
      <c r="V160" s="207"/>
      <c r="W160" s="105" t="s">
        <v>1647</v>
      </c>
      <c r="X160" s="211">
        <v>1795583396</v>
      </c>
      <c r="Y160" s="208"/>
      <c r="Z160" s="207" t="s">
        <v>1648</v>
      </c>
      <c r="AA160" s="207">
        <v>1717083379</v>
      </c>
      <c r="AB160" s="207" t="s">
        <v>118</v>
      </c>
      <c r="AC160" s="207" t="s">
        <v>119</v>
      </c>
      <c r="AD160" s="210">
        <v>35796</v>
      </c>
      <c r="AE160" s="212"/>
      <c r="AF160" s="207" t="s">
        <v>80</v>
      </c>
      <c r="AG160" s="211">
        <v>8715327378</v>
      </c>
      <c r="AH160" s="207" t="s">
        <v>81</v>
      </c>
      <c r="AI160" s="208" t="s">
        <v>253</v>
      </c>
      <c r="AJ160" s="208" t="s">
        <v>81</v>
      </c>
      <c r="AK160" s="208">
        <v>2022</v>
      </c>
      <c r="AL160" s="207" t="s">
        <v>1649</v>
      </c>
      <c r="AM160" s="207" t="s">
        <v>1650</v>
      </c>
      <c r="AN160" s="207" t="s">
        <v>1651</v>
      </c>
      <c r="AO160" s="207" t="s">
        <v>1652</v>
      </c>
      <c r="AP160" s="207" t="s">
        <v>1653</v>
      </c>
      <c r="AQ160" s="208" t="s">
        <v>1654</v>
      </c>
      <c r="AR160" s="207" t="s">
        <v>110</v>
      </c>
      <c r="AS160" s="207" t="s">
        <v>81</v>
      </c>
      <c r="AT160" s="213" t="s">
        <v>81</v>
      </c>
      <c r="AU160" s="207" t="s">
        <v>81</v>
      </c>
      <c r="AV160" s="207" t="s">
        <v>81</v>
      </c>
      <c r="AW160" s="207" t="s">
        <v>81</v>
      </c>
      <c r="AX160" s="207" t="s">
        <v>81</v>
      </c>
      <c r="AY160" s="207" t="s">
        <v>81</v>
      </c>
      <c r="AZ160" s="207" t="s">
        <v>81</v>
      </c>
      <c r="BA160" s="207" t="s">
        <v>90</v>
      </c>
      <c r="BB160" s="207">
        <v>10800</v>
      </c>
      <c r="BC160" s="207">
        <v>2700</v>
      </c>
      <c r="BD160" s="207">
        <v>0</v>
      </c>
      <c r="BE160" s="207" t="s">
        <v>91</v>
      </c>
      <c r="BF160" s="207"/>
      <c r="BG160" s="207"/>
      <c r="BH160" s="105"/>
      <c r="BI160" s="105"/>
      <c r="BJ160" s="105"/>
      <c r="BK160" s="207">
        <v>1795583396</v>
      </c>
      <c r="BL160" s="105"/>
    </row>
    <row r="161" ht="19.95" customHeight="1">
      <c r="A161" s="207">
        <v>171631</v>
      </c>
      <c r="B161" s="207"/>
      <c r="C161" s="208" t="s">
        <v>1655</v>
      </c>
      <c r="D161" s="207" t="s">
        <v>1656</v>
      </c>
      <c r="E161" s="207" t="s">
        <v>114</v>
      </c>
      <c r="F161" s="208">
        <v>471716</v>
      </c>
      <c r="G161" s="207" t="s">
        <v>67</v>
      </c>
      <c r="H161" s="207" t="s">
        <v>68</v>
      </c>
      <c r="I161" s="207" t="s">
        <v>69</v>
      </c>
      <c r="J161" s="208" t="s">
        <v>1285</v>
      </c>
      <c r="K161" s="207" t="s">
        <v>71</v>
      </c>
      <c r="L161" s="207" t="s">
        <v>72</v>
      </c>
      <c r="M161" s="4" t="s">
        <v>1304</v>
      </c>
      <c r="N161" s="207" t="s">
        <v>74</v>
      </c>
      <c r="O161" s="207" t="s">
        <v>75</v>
      </c>
      <c r="P161" s="207">
        <v>32</v>
      </c>
      <c r="Q161" s="209">
        <v>45449</v>
      </c>
      <c r="R161" s="209">
        <v>45458</v>
      </c>
      <c r="S161" s="210"/>
      <c r="T161" s="210"/>
      <c r="U161" s="207"/>
      <c r="V161" s="207"/>
      <c r="W161" s="105" t="s">
        <v>1657</v>
      </c>
      <c r="X161" s="211">
        <v>1917814916</v>
      </c>
      <c r="Y161" s="208"/>
      <c r="Z161" s="207" t="s">
        <v>1658</v>
      </c>
      <c r="AA161" s="207">
        <v>1558900012</v>
      </c>
      <c r="AB161" s="207" t="s">
        <v>101</v>
      </c>
      <c r="AC161" s="207" t="s">
        <v>133</v>
      </c>
      <c r="AD161" s="210">
        <v>33969</v>
      </c>
      <c r="AE161" s="212"/>
      <c r="AF161" s="207" t="s">
        <v>360</v>
      </c>
      <c r="AG161" s="211">
        <v>2352925529</v>
      </c>
      <c r="AH161" s="207" t="s">
        <v>81</v>
      </c>
      <c r="AI161" s="208" t="s">
        <v>1659</v>
      </c>
      <c r="AJ161" s="208" t="s">
        <v>81</v>
      </c>
      <c r="AK161" s="208">
        <v>2016</v>
      </c>
      <c r="AL161" s="207" t="s">
        <v>188</v>
      </c>
      <c r="AM161" s="207" t="s">
        <v>1658</v>
      </c>
      <c r="AN161" s="207" t="s">
        <v>1660</v>
      </c>
      <c r="AO161" s="207" t="s">
        <v>1661</v>
      </c>
      <c r="AP161" s="207" t="s">
        <v>1662</v>
      </c>
      <c r="AQ161" s="208" t="s">
        <v>285</v>
      </c>
      <c r="AR161" s="207" t="s">
        <v>110</v>
      </c>
      <c r="AS161" s="207" t="s">
        <v>81</v>
      </c>
      <c r="AT161" s="213" t="s">
        <v>81</v>
      </c>
      <c r="AU161" s="207" t="s">
        <v>81</v>
      </c>
      <c r="AV161" s="207" t="s">
        <v>81</v>
      </c>
      <c r="AW161" s="207" t="s">
        <v>81</v>
      </c>
      <c r="AX161" s="207" t="s">
        <v>81</v>
      </c>
      <c r="AY161" s="207" t="s">
        <v>81</v>
      </c>
      <c r="AZ161" s="207" t="s">
        <v>81</v>
      </c>
      <c r="BA161" s="207" t="s">
        <v>90</v>
      </c>
      <c r="BB161" s="207">
        <v>10800</v>
      </c>
      <c r="BC161" s="207">
        <v>2700</v>
      </c>
      <c r="BD161" s="207">
        <v>0</v>
      </c>
      <c r="BE161" s="207" t="s">
        <v>91</v>
      </c>
      <c r="BF161" s="207"/>
      <c r="BG161" s="207"/>
      <c r="BH161" s="105"/>
      <c r="BI161" s="105"/>
      <c r="BJ161" s="105"/>
      <c r="BK161" s="207">
        <v>1917814916</v>
      </c>
      <c r="BL161" s="105"/>
    </row>
    <row r="162" ht="19.95" customHeight="1">
      <c r="A162" s="207">
        <v>171633</v>
      </c>
      <c r="B162" s="207"/>
      <c r="C162" s="208" t="s">
        <v>1663</v>
      </c>
      <c r="D162" s="207" t="s">
        <v>409</v>
      </c>
      <c r="E162" s="207" t="s">
        <v>114</v>
      </c>
      <c r="F162" s="208" t="s">
        <v>1664</v>
      </c>
      <c r="G162" s="207" t="s">
        <v>67</v>
      </c>
      <c r="H162" s="207" t="s">
        <v>68</v>
      </c>
      <c r="I162" s="207" t="s">
        <v>69</v>
      </c>
      <c r="J162" s="208" t="s">
        <v>1285</v>
      </c>
      <c r="K162" s="207" t="s">
        <v>71</v>
      </c>
      <c r="L162" s="207" t="s">
        <v>72</v>
      </c>
      <c r="M162" s="4" t="s">
        <v>369</v>
      </c>
      <c r="N162" s="207" t="s">
        <v>74</v>
      </c>
      <c r="O162" s="207" t="s">
        <v>75</v>
      </c>
      <c r="P162" s="207">
        <v>32</v>
      </c>
      <c r="Q162" s="209">
        <v>45449</v>
      </c>
      <c r="R162" s="209">
        <v>45458</v>
      </c>
      <c r="S162" s="210"/>
      <c r="T162" s="210"/>
      <c r="U162" s="207"/>
      <c r="V162" s="207"/>
      <c r="W162" s="105" t="s">
        <v>1665</v>
      </c>
      <c r="X162" s="211">
        <v>1731018669</v>
      </c>
      <c r="Y162" s="208"/>
      <c r="Z162" s="207" t="s">
        <v>1666</v>
      </c>
      <c r="AA162" s="207">
        <v>1675355291</v>
      </c>
      <c r="AB162" s="207" t="s">
        <v>252</v>
      </c>
      <c r="AC162" s="207" t="s">
        <v>119</v>
      </c>
      <c r="AD162" s="210">
        <v>34373</v>
      </c>
      <c r="AE162" s="212"/>
      <c r="AF162" s="207" t="s">
        <v>80</v>
      </c>
      <c r="AG162" s="211">
        <v>1001128824</v>
      </c>
      <c r="AH162" s="207" t="s">
        <v>1667</v>
      </c>
      <c r="AI162" s="208" t="s">
        <v>322</v>
      </c>
      <c r="AJ162" s="208" t="s">
        <v>81</v>
      </c>
      <c r="AK162" s="208">
        <v>2020</v>
      </c>
      <c r="AL162" s="207" t="s">
        <v>1102</v>
      </c>
      <c r="AM162" s="207" t="s">
        <v>1668</v>
      </c>
      <c r="AN162" s="207" t="s">
        <v>1669</v>
      </c>
      <c r="AO162" s="207" t="s">
        <v>1670</v>
      </c>
      <c r="AP162" s="207" t="s">
        <v>1671</v>
      </c>
      <c r="AQ162" s="208" t="s">
        <v>353</v>
      </c>
      <c r="AR162" s="207" t="s">
        <v>89</v>
      </c>
      <c r="AS162" s="207" t="s">
        <v>1672</v>
      </c>
      <c r="AT162" s="213">
        <v>38394</v>
      </c>
      <c r="AU162" s="207" t="s">
        <v>81</v>
      </c>
      <c r="AV162" s="207" t="s">
        <v>81</v>
      </c>
      <c r="AW162" s="207" t="s">
        <v>81</v>
      </c>
      <c r="AX162" s="207" t="s">
        <v>81</v>
      </c>
      <c r="AY162" s="207" t="s">
        <v>81</v>
      </c>
      <c r="AZ162" s="207" t="s">
        <v>81</v>
      </c>
      <c r="BA162" s="207" t="s">
        <v>90</v>
      </c>
      <c r="BB162" s="207">
        <v>10800</v>
      </c>
      <c r="BC162" s="207">
        <v>2700</v>
      </c>
      <c r="BD162" s="207">
        <v>0</v>
      </c>
      <c r="BE162" s="207" t="s">
        <v>91</v>
      </c>
      <c r="BF162" s="207"/>
      <c r="BG162" s="207"/>
      <c r="BH162" s="105"/>
      <c r="BI162" s="105"/>
      <c r="BJ162" s="105"/>
      <c r="BK162" s="207">
        <v>1731018669</v>
      </c>
      <c r="BL162" s="105"/>
    </row>
    <row r="163" ht="19.95" customHeight="1">
      <c r="A163" s="207">
        <v>171635</v>
      </c>
      <c r="B163" s="207"/>
      <c r="C163" s="208" t="s">
        <v>1673</v>
      </c>
      <c r="D163" s="207" t="s">
        <v>1674</v>
      </c>
      <c r="E163" s="207" t="s">
        <v>66</v>
      </c>
      <c r="F163" s="208">
        <v>524080</v>
      </c>
      <c r="G163" s="207" t="s">
        <v>67</v>
      </c>
      <c r="H163" s="207" t="s">
        <v>68</v>
      </c>
      <c r="I163" s="207" t="s">
        <v>69</v>
      </c>
      <c r="J163" s="208" t="s">
        <v>1285</v>
      </c>
      <c r="K163" s="207" t="s">
        <v>71</v>
      </c>
      <c r="L163" s="207" t="s">
        <v>72</v>
      </c>
      <c r="M163" s="4" t="s">
        <v>1304</v>
      </c>
      <c r="N163" s="207" t="s">
        <v>74</v>
      </c>
      <c r="O163" s="207" t="s">
        <v>75</v>
      </c>
      <c r="P163" s="207">
        <v>32</v>
      </c>
      <c r="Q163" s="209">
        <v>45449</v>
      </c>
      <c r="R163" s="209">
        <v>45458</v>
      </c>
      <c r="S163" s="210"/>
      <c r="T163" s="210"/>
      <c r="U163" s="207"/>
      <c r="V163" s="207"/>
      <c r="W163" s="105" t="s">
        <v>1675</v>
      </c>
      <c r="X163" s="211">
        <v>1731941175</v>
      </c>
      <c r="Y163" s="208">
        <v>1753676825</v>
      </c>
      <c r="Z163" s="207" t="s">
        <v>1676</v>
      </c>
      <c r="AA163" s="207">
        <v>1712332250</v>
      </c>
      <c r="AB163" s="207" t="s">
        <v>101</v>
      </c>
      <c r="AC163" s="207" t="s">
        <v>79</v>
      </c>
      <c r="AD163" s="210">
        <v>34673</v>
      </c>
      <c r="AE163" s="212"/>
      <c r="AF163" s="207" t="s">
        <v>80</v>
      </c>
      <c r="AG163" s="211">
        <v>19949322804000000</v>
      </c>
      <c r="AH163" s="207" t="s">
        <v>81</v>
      </c>
      <c r="AI163" s="208" t="s">
        <v>1677</v>
      </c>
      <c r="AJ163" s="208" t="s">
        <v>81</v>
      </c>
      <c r="AK163" s="208">
        <v>2018</v>
      </c>
      <c r="AL163" s="207" t="s">
        <v>684</v>
      </c>
      <c r="AM163" s="207" t="s">
        <v>1676</v>
      </c>
      <c r="AN163" s="207" t="s">
        <v>1678</v>
      </c>
      <c r="AO163" s="207" t="s">
        <v>1679</v>
      </c>
      <c r="AP163" s="207" t="s">
        <v>1680</v>
      </c>
      <c r="AQ163" s="208" t="s">
        <v>328</v>
      </c>
      <c r="AR163" s="207" t="s">
        <v>110</v>
      </c>
      <c r="AS163" s="207" t="s">
        <v>81</v>
      </c>
      <c r="AT163" s="213" t="s">
        <v>81</v>
      </c>
      <c r="AU163" s="207" t="s">
        <v>81</v>
      </c>
      <c r="AV163" s="207" t="s">
        <v>81</v>
      </c>
      <c r="AW163" s="207" t="s">
        <v>81</v>
      </c>
      <c r="AX163" s="207" t="s">
        <v>81</v>
      </c>
      <c r="AY163" s="207" t="s">
        <v>81</v>
      </c>
      <c r="AZ163" s="207" t="s">
        <v>81</v>
      </c>
      <c r="BA163" s="207" t="s">
        <v>90</v>
      </c>
      <c r="BB163" s="207">
        <v>10800</v>
      </c>
      <c r="BC163" s="207">
        <v>2700</v>
      </c>
      <c r="BD163" s="207">
        <v>0</v>
      </c>
      <c r="BE163" s="207" t="s">
        <v>91</v>
      </c>
      <c r="BF163" s="207"/>
      <c r="BG163" s="207"/>
      <c r="BH163" s="105"/>
      <c r="BI163" s="105"/>
      <c r="BJ163" s="105"/>
      <c r="BK163" s="207">
        <v>1731941175</v>
      </c>
      <c r="BL163" s="105">
        <v>1731941175</v>
      </c>
    </row>
    <row r="164" ht="19.95" customHeight="1">
      <c r="A164" s="207">
        <v>171546</v>
      </c>
      <c r="B164" s="207"/>
      <c r="C164" s="208" t="s">
        <v>1681</v>
      </c>
      <c r="D164" s="207" t="s">
        <v>1682</v>
      </c>
      <c r="E164" s="207" t="s">
        <v>66</v>
      </c>
      <c r="F164" s="208">
        <v>1010869571</v>
      </c>
      <c r="G164" s="207" t="s">
        <v>67</v>
      </c>
      <c r="H164" s="207" t="s">
        <v>68</v>
      </c>
      <c r="I164" s="207" t="s">
        <v>69</v>
      </c>
      <c r="J164" s="208" t="s">
        <v>297</v>
      </c>
      <c r="K164" s="207" t="s">
        <v>71</v>
      </c>
      <c r="L164" s="207" t="s">
        <v>72</v>
      </c>
      <c r="M164" s="4" t="s">
        <v>287</v>
      </c>
      <c r="N164" s="207" t="s">
        <v>74</v>
      </c>
      <c r="O164" s="207" t="s">
        <v>75</v>
      </c>
      <c r="P164" s="207">
        <v>31</v>
      </c>
      <c r="Q164" s="209">
        <v>45447</v>
      </c>
      <c r="R164" s="209">
        <v>45459</v>
      </c>
      <c r="S164" s="210"/>
      <c r="T164" s="210"/>
      <c r="U164" s="207"/>
      <c r="V164" s="207"/>
      <c r="W164" s="105"/>
      <c r="X164" s="211">
        <v>1873916880</v>
      </c>
      <c r="Y164" s="208"/>
      <c r="Z164" s="207" t="s">
        <v>1683</v>
      </c>
      <c r="AA164" s="207"/>
      <c r="AB164" s="207" t="s">
        <v>101</v>
      </c>
      <c r="AC164" s="207" t="s">
        <v>133</v>
      </c>
      <c r="AD164" s="210">
        <v>35949</v>
      </c>
      <c r="AE164" s="212">
        <f>((TODAY())-AD164)/365</f>
        <v>26.706849315068492</v>
      </c>
      <c r="AF164" s="207" t="s">
        <v>80</v>
      </c>
      <c r="AG164" s="211" t="s">
        <v>1684</v>
      </c>
      <c r="AH164" s="207" t="s">
        <v>81</v>
      </c>
      <c r="AI164" s="208" t="s">
        <v>322</v>
      </c>
      <c r="AJ164" s="208" t="s">
        <v>81</v>
      </c>
      <c r="AK164" s="208">
        <v>2019</v>
      </c>
      <c r="AL164" s="207" t="s">
        <v>1685</v>
      </c>
      <c r="AM164" s="207" t="s">
        <v>1683</v>
      </c>
      <c r="AN164" s="207" t="s">
        <v>1686</v>
      </c>
      <c r="AO164" s="207" t="s">
        <v>1687</v>
      </c>
      <c r="AP164" s="207" t="s">
        <v>1688</v>
      </c>
      <c r="AQ164" s="208" t="s">
        <v>88</v>
      </c>
      <c r="AR164" s="207" t="s">
        <v>110</v>
      </c>
      <c r="AS164" s="207" t="s">
        <v>1334</v>
      </c>
      <c r="AT164" s="213" t="s">
        <v>1334</v>
      </c>
      <c r="AU164" s="207" t="s">
        <v>1334</v>
      </c>
      <c r="AV164" s="207" t="s">
        <v>1334</v>
      </c>
      <c r="AW164" s="207" t="s">
        <v>81</v>
      </c>
      <c r="AX164" s="207" t="s">
        <v>81</v>
      </c>
      <c r="AY164" s="207" t="s">
        <v>81</v>
      </c>
      <c r="AZ164" s="207" t="s">
        <v>81</v>
      </c>
      <c r="BA164" s="207" t="s">
        <v>90</v>
      </c>
      <c r="BB164" s="207">
        <v>10800</v>
      </c>
      <c r="BC164" s="207">
        <v>2700</v>
      </c>
      <c r="BD164" s="207">
        <v>0</v>
      </c>
      <c r="BE164" s="207" t="s">
        <v>91</v>
      </c>
      <c r="BF164" s="207"/>
      <c r="BG164" s="207"/>
      <c r="BH164" s="105"/>
      <c r="BI164" s="105"/>
      <c r="BJ164" s="105"/>
      <c r="BK164" s="207">
        <v>1813284853</v>
      </c>
      <c r="BL164" s="105"/>
    </row>
    <row r="165" ht="19.95" customHeight="1">
      <c r="A165" s="207">
        <v>171606</v>
      </c>
      <c r="B165" s="207"/>
      <c r="C165" s="208" t="s">
        <v>1689</v>
      </c>
      <c r="D165" s="207" t="s">
        <v>1690</v>
      </c>
      <c r="E165" s="207" t="s">
        <v>66</v>
      </c>
      <c r="F165" s="208">
        <v>795785</v>
      </c>
      <c r="G165" s="207" t="s">
        <v>67</v>
      </c>
      <c r="H165" s="207" t="s">
        <v>68</v>
      </c>
      <c r="I165" s="207" t="s">
        <v>69</v>
      </c>
      <c r="J165" s="208" t="s">
        <v>1285</v>
      </c>
      <c r="K165" s="207" t="s">
        <v>71</v>
      </c>
      <c r="L165" s="207" t="s">
        <v>72</v>
      </c>
      <c r="M165" s="4" t="s">
        <v>369</v>
      </c>
      <c r="N165" s="207" t="s">
        <v>74</v>
      </c>
      <c r="O165" s="207" t="s">
        <v>75</v>
      </c>
      <c r="P165" s="207">
        <v>32</v>
      </c>
      <c r="Q165" s="209">
        <v>45449</v>
      </c>
      <c r="R165" s="209">
        <v>45459</v>
      </c>
      <c r="S165" s="210"/>
      <c r="T165" s="210"/>
      <c r="U165" s="207"/>
      <c r="V165" s="207"/>
      <c r="W165" s="105" t="s">
        <v>1691</v>
      </c>
      <c r="X165" s="211">
        <v>1406502264</v>
      </c>
      <c r="Y165" s="208">
        <v>1710767949</v>
      </c>
      <c r="Z165" s="207"/>
      <c r="AA165" s="207">
        <v>1710767949</v>
      </c>
      <c r="AB165" s="207" t="s">
        <v>78</v>
      </c>
      <c r="AC165" s="207" t="s">
        <v>79</v>
      </c>
      <c r="AD165" s="210">
        <v>33578</v>
      </c>
      <c r="AE165" s="212"/>
      <c r="AF165" s="207" t="s">
        <v>80</v>
      </c>
      <c r="AG165" s="211">
        <v>8242785502</v>
      </c>
      <c r="AH165" s="207" t="s">
        <v>81</v>
      </c>
      <c r="AI165" s="208" t="s">
        <v>1692</v>
      </c>
      <c r="AJ165" s="208" t="s">
        <v>81</v>
      </c>
      <c r="AK165" s="208">
        <v>2020</v>
      </c>
      <c r="AL165" s="207" t="s">
        <v>1693</v>
      </c>
      <c r="AM165" s="207" t="s">
        <v>1694</v>
      </c>
      <c r="AN165" s="207" t="s">
        <v>1695</v>
      </c>
      <c r="AO165" s="207" t="s">
        <v>1696</v>
      </c>
      <c r="AP165" s="207" t="s">
        <v>1697</v>
      </c>
      <c r="AQ165" s="208" t="s">
        <v>88</v>
      </c>
      <c r="AR165" s="207" t="s">
        <v>89</v>
      </c>
      <c r="AS165" s="207" t="s">
        <v>1698</v>
      </c>
      <c r="AT165" s="213">
        <v>34222</v>
      </c>
      <c r="AU165" s="207" t="s">
        <v>81</v>
      </c>
      <c r="AV165" s="207" t="s">
        <v>81</v>
      </c>
      <c r="AW165" s="207" t="s">
        <v>81</v>
      </c>
      <c r="AX165" s="207" t="s">
        <v>81</v>
      </c>
      <c r="AY165" s="207" t="s">
        <v>81</v>
      </c>
      <c r="AZ165" s="207" t="s">
        <v>81</v>
      </c>
      <c r="BA165" s="207" t="s">
        <v>90</v>
      </c>
      <c r="BB165" s="207">
        <v>10800</v>
      </c>
      <c r="BC165" s="207">
        <v>2700</v>
      </c>
      <c r="BD165" s="207">
        <v>0</v>
      </c>
      <c r="BE165" s="207" t="s">
        <v>91</v>
      </c>
      <c r="BF165" s="207"/>
      <c r="BG165" s="207"/>
      <c r="BH165" s="105"/>
      <c r="BI165" s="105"/>
      <c r="BJ165" s="105"/>
      <c r="BK165" s="207">
        <v>1759111013</v>
      </c>
      <c r="BL165" s="105"/>
    </row>
    <row r="166" ht="19.95" customHeight="1">
      <c r="A166" s="207">
        <v>171610</v>
      </c>
      <c r="B166" s="207"/>
      <c r="C166" s="208" t="s">
        <v>1699</v>
      </c>
      <c r="D166" s="207" t="s">
        <v>1700</v>
      </c>
      <c r="E166" s="207" t="s">
        <v>114</v>
      </c>
      <c r="F166" s="208">
        <v>1217630351</v>
      </c>
      <c r="G166" s="207" t="s">
        <v>67</v>
      </c>
      <c r="H166" s="207" t="s">
        <v>68</v>
      </c>
      <c r="I166" s="207" t="s">
        <v>69</v>
      </c>
      <c r="J166" s="208" t="s">
        <v>341</v>
      </c>
      <c r="K166" s="207" t="s">
        <v>71</v>
      </c>
      <c r="L166" s="207" t="s">
        <v>72</v>
      </c>
      <c r="M166" s="4" t="s">
        <v>458</v>
      </c>
      <c r="N166" s="207" t="s">
        <v>74</v>
      </c>
      <c r="O166" s="207" t="s">
        <v>75</v>
      </c>
      <c r="P166" s="207">
        <v>32</v>
      </c>
      <c r="Q166" s="209">
        <v>45449</v>
      </c>
      <c r="R166" s="209">
        <v>45459</v>
      </c>
      <c r="S166" s="210"/>
      <c r="T166" s="210"/>
      <c r="U166" s="207"/>
      <c r="V166" s="207"/>
      <c r="W166" s="105" t="s">
        <v>1701</v>
      </c>
      <c r="X166" s="211">
        <v>1307334887</v>
      </c>
      <c r="Y166" s="208">
        <v>1963823771</v>
      </c>
      <c r="Z166" s="207" t="s">
        <v>1702</v>
      </c>
      <c r="AA166" s="207">
        <v>1714723615</v>
      </c>
      <c r="AB166" s="207" t="s">
        <v>132</v>
      </c>
      <c r="AC166" s="207" t="s">
        <v>119</v>
      </c>
      <c r="AD166" s="210">
        <v>36201</v>
      </c>
      <c r="AE166" s="212"/>
      <c r="AF166" s="207" t="s">
        <v>80</v>
      </c>
      <c r="AG166" s="211">
        <v>4204549515</v>
      </c>
      <c r="AH166" s="207" t="s">
        <v>81</v>
      </c>
      <c r="AI166" s="208" t="s">
        <v>723</v>
      </c>
      <c r="AJ166" s="208" t="s">
        <v>81</v>
      </c>
      <c r="AK166" s="208">
        <v>2024</v>
      </c>
      <c r="AL166" s="207" t="s">
        <v>995</v>
      </c>
      <c r="AM166" s="207" t="s">
        <v>1703</v>
      </c>
      <c r="AN166" s="207" t="s">
        <v>1704</v>
      </c>
      <c r="AO166" s="207" t="s">
        <v>1705</v>
      </c>
      <c r="AP166" s="207" t="s">
        <v>1706</v>
      </c>
      <c r="AQ166" s="208" t="s">
        <v>1418</v>
      </c>
      <c r="AR166" s="207" t="s">
        <v>260</v>
      </c>
      <c r="AS166" s="207" t="s">
        <v>81</v>
      </c>
      <c r="AT166" s="213" t="s">
        <v>81</v>
      </c>
      <c r="AU166" s="207" t="s">
        <v>81</v>
      </c>
      <c r="AV166" s="207" t="s">
        <v>81</v>
      </c>
      <c r="AW166" s="207" t="s">
        <v>81</v>
      </c>
      <c r="AX166" s="207" t="s">
        <v>81</v>
      </c>
      <c r="AY166" s="207" t="s">
        <v>81</v>
      </c>
      <c r="AZ166" s="207" t="s">
        <v>81</v>
      </c>
      <c r="BA166" s="207" t="s">
        <v>90</v>
      </c>
      <c r="BB166" s="207">
        <v>10800</v>
      </c>
      <c r="BC166" s="207">
        <v>2700</v>
      </c>
      <c r="BD166" s="207">
        <v>0</v>
      </c>
      <c r="BE166" s="207" t="s">
        <v>91</v>
      </c>
      <c r="BF166" s="207"/>
      <c r="BG166" s="207"/>
      <c r="BH166" s="105"/>
      <c r="BI166" s="105"/>
      <c r="BJ166" s="105"/>
      <c r="BK166" s="207">
        <v>1307334887</v>
      </c>
      <c r="BL166" s="105"/>
    </row>
    <row r="167" ht="19.95" customHeight="1">
      <c r="A167" s="207">
        <v>171617</v>
      </c>
      <c r="B167" s="207"/>
      <c r="C167" s="208" t="s">
        <v>1707</v>
      </c>
      <c r="D167" s="207" t="s">
        <v>1708</v>
      </c>
      <c r="E167" s="207" t="s">
        <v>114</v>
      </c>
      <c r="F167" s="208">
        <v>796610</v>
      </c>
      <c r="G167" s="207" t="s">
        <v>67</v>
      </c>
      <c r="H167" s="207" t="s">
        <v>68</v>
      </c>
      <c r="I167" s="207" t="s">
        <v>69</v>
      </c>
      <c r="J167" s="208" t="s">
        <v>1285</v>
      </c>
      <c r="K167" s="207" t="s">
        <v>71</v>
      </c>
      <c r="L167" s="207" t="s">
        <v>72</v>
      </c>
      <c r="M167" s="4" t="s">
        <v>1304</v>
      </c>
      <c r="N167" s="207" t="s">
        <v>74</v>
      </c>
      <c r="O167" s="207" t="s">
        <v>75</v>
      </c>
      <c r="P167" s="207">
        <v>32</v>
      </c>
      <c r="Q167" s="209">
        <v>45449</v>
      </c>
      <c r="R167" s="209">
        <v>45459</v>
      </c>
      <c r="S167" s="210"/>
      <c r="T167" s="210"/>
      <c r="U167" s="207"/>
      <c r="V167" s="207"/>
      <c r="W167" s="105" t="s">
        <v>1709</v>
      </c>
      <c r="X167" s="211">
        <v>1773360903</v>
      </c>
      <c r="Y167" s="208">
        <v>1581733193</v>
      </c>
      <c r="Z167" s="207" t="s">
        <v>1710</v>
      </c>
      <c r="AA167" s="207">
        <v>1787918373</v>
      </c>
      <c r="AB167" s="207" t="s">
        <v>1710</v>
      </c>
      <c r="AC167" s="207" t="s">
        <v>133</v>
      </c>
      <c r="AD167" s="210">
        <v>35292</v>
      </c>
      <c r="AE167" s="212"/>
      <c r="AF167" s="207" t="s">
        <v>80</v>
      </c>
      <c r="AG167" s="211">
        <v>5085738168</v>
      </c>
      <c r="AH167" s="207" t="s">
        <v>1377</v>
      </c>
      <c r="AI167" s="208" t="s">
        <v>779</v>
      </c>
      <c r="AJ167" s="208" t="s">
        <v>1711</v>
      </c>
      <c r="AK167" s="208">
        <v>2018</v>
      </c>
      <c r="AL167" s="207" t="s">
        <v>732</v>
      </c>
      <c r="AM167" s="207" t="s">
        <v>1712</v>
      </c>
      <c r="AN167" s="207" t="s">
        <v>1713</v>
      </c>
      <c r="AO167" s="207" t="s">
        <v>1714</v>
      </c>
      <c r="AP167" s="207" t="s">
        <v>1715</v>
      </c>
      <c r="AQ167" s="208" t="s">
        <v>499</v>
      </c>
      <c r="AR167" s="207" t="s">
        <v>110</v>
      </c>
      <c r="AS167" s="207" t="s">
        <v>1377</v>
      </c>
      <c r="AT167" s="213" t="s">
        <v>1377</v>
      </c>
      <c r="AU167" s="207" t="s">
        <v>81</v>
      </c>
      <c r="AV167" s="207" t="s">
        <v>81</v>
      </c>
      <c r="AW167" s="207" t="s">
        <v>81</v>
      </c>
      <c r="AX167" s="207" t="s">
        <v>81</v>
      </c>
      <c r="AY167" s="207" t="s">
        <v>81</v>
      </c>
      <c r="AZ167" s="207" t="s">
        <v>81</v>
      </c>
      <c r="BA167" s="207" t="s">
        <v>90</v>
      </c>
      <c r="BB167" s="207">
        <v>10800</v>
      </c>
      <c r="BC167" s="207">
        <v>2700</v>
      </c>
      <c r="BD167" s="207">
        <v>0</v>
      </c>
      <c r="BE167" s="207" t="s">
        <v>91</v>
      </c>
      <c r="BF167" s="207"/>
      <c r="BG167" s="207"/>
      <c r="BH167" s="105"/>
      <c r="BI167" s="105"/>
      <c r="BJ167" s="105"/>
      <c r="BK167" s="207">
        <v>1581733193</v>
      </c>
      <c r="BL167" s="105"/>
    </row>
    <row r="168" ht="19.95" customHeight="1">
      <c r="A168" s="207">
        <v>171623</v>
      </c>
      <c r="B168" s="207"/>
      <c r="C168" s="208" t="s">
        <v>1716</v>
      </c>
      <c r="D168" s="207" t="s">
        <v>1717</v>
      </c>
      <c r="E168" s="207" t="s">
        <v>66</v>
      </c>
      <c r="F168" s="208">
        <v>1010962459</v>
      </c>
      <c r="G168" s="207" t="s">
        <v>67</v>
      </c>
      <c r="H168" s="207" t="s">
        <v>68</v>
      </c>
      <c r="I168" s="207" t="s">
        <v>69</v>
      </c>
      <c r="J168" s="208" t="s">
        <v>1285</v>
      </c>
      <c r="K168" s="207" t="s">
        <v>71</v>
      </c>
      <c r="L168" s="207" t="s">
        <v>72</v>
      </c>
      <c r="M168" s="4" t="s">
        <v>1304</v>
      </c>
      <c r="N168" s="207" t="s">
        <v>74</v>
      </c>
      <c r="O168" s="207" t="s">
        <v>75</v>
      </c>
      <c r="P168" s="207">
        <v>32</v>
      </c>
      <c r="Q168" s="209">
        <v>45449</v>
      </c>
      <c r="R168" s="209">
        <v>45459</v>
      </c>
      <c r="S168" s="210"/>
      <c r="T168" s="210"/>
      <c r="U168" s="207"/>
      <c r="V168" s="207"/>
      <c r="W168" s="105" t="s">
        <v>1718</v>
      </c>
      <c r="X168" s="211">
        <v>1610746157</v>
      </c>
      <c r="Y168" s="208">
        <v>1936394796</v>
      </c>
      <c r="Z168" s="207" t="s">
        <v>1719</v>
      </c>
      <c r="AA168" s="207">
        <v>1951468384</v>
      </c>
      <c r="AB168" s="207" t="s">
        <v>118</v>
      </c>
      <c r="AC168" s="207" t="s">
        <v>133</v>
      </c>
      <c r="AD168" s="210">
        <v>36005</v>
      </c>
      <c r="AE168" s="212"/>
      <c r="AF168" s="207" t="s">
        <v>80</v>
      </c>
      <c r="AG168" s="211">
        <v>5107694324</v>
      </c>
      <c r="AH168" s="207" t="s">
        <v>81</v>
      </c>
      <c r="AI168" s="208" t="s">
        <v>265</v>
      </c>
      <c r="AJ168" s="208" t="s">
        <v>81</v>
      </c>
      <c r="AK168" s="208">
        <v>2024</v>
      </c>
      <c r="AL168" s="207" t="s">
        <v>1720</v>
      </c>
      <c r="AM168" s="207" t="s">
        <v>1721</v>
      </c>
      <c r="AN168" s="207" t="s">
        <v>1722</v>
      </c>
      <c r="AO168" s="207" t="s">
        <v>1723</v>
      </c>
      <c r="AP168" s="207" t="s">
        <v>1724</v>
      </c>
      <c r="AQ168" s="208" t="s">
        <v>328</v>
      </c>
      <c r="AR168" s="207" t="s">
        <v>260</v>
      </c>
      <c r="AS168" s="207" t="s">
        <v>81</v>
      </c>
      <c r="AT168" s="213" t="s">
        <v>81</v>
      </c>
      <c r="AU168" s="207" t="s">
        <v>81</v>
      </c>
      <c r="AV168" s="207" t="s">
        <v>81</v>
      </c>
      <c r="AW168" s="207" t="s">
        <v>81</v>
      </c>
      <c r="AX168" s="207" t="s">
        <v>81</v>
      </c>
      <c r="AY168" s="207" t="s">
        <v>81</v>
      </c>
      <c r="AZ168" s="207" t="s">
        <v>81</v>
      </c>
      <c r="BA168" s="207" t="s">
        <v>90</v>
      </c>
      <c r="BB168" s="207">
        <v>10800</v>
      </c>
      <c r="BC168" s="207">
        <v>2700</v>
      </c>
      <c r="BD168" s="207">
        <v>0</v>
      </c>
      <c r="BE168" s="207" t="s">
        <v>91</v>
      </c>
      <c r="BF168" s="207"/>
      <c r="BG168" s="207"/>
      <c r="BH168" s="105"/>
      <c r="BI168" s="105"/>
      <c r="BJ168" s="105"/>
      <c r="BK168" s="207">
        <v>1936394796</v>
      </c>
      <c r="BL168" s="105"/>
    </row>
    <row r="169" ht="19.95" customHeight="1">
      <c r="A169" s="207">
        <v>171636</v>
      </c>
      <c r="B169" s="207"/>
      <c r="C169" s="208"/>
      <c r="D169" s="207" t="s">
        <v>1304</v>
      </c>
      <c r="E169" s="207" t="s">
        <v>114</v>
      </c>
      <c r="F169" s="208"/>
      <c r="G169" s="207" t="s">
        <v>225</v>
      </c>
      <c r="H169" s="207" t="s">
        <v>226</v>
      </c>
      <c r="I169" s="207" t="s">
        <v>69</v>
      </c>
      <c r="J169" s="208" t="s">
        <v>1725</v>
      </c>
      <c r="K169" s="207" t="s">
        <v>71</v>
      </c>
      <c r="L169" s="207" t="s">
        <v>72</v>
      </c>
      <c r="M169" s="207" t="s">
        <v>74</v>
      </c>
      <c r="N169" s="207"/>
      <c r="O169" s="207" t="s">
        <v>75</v>
      </c>
      <c r="P169" s="207"/>
      <c r="Q169" s="209">
        <v>45459</v>
      </c>
      <c r="R169" s="209">
        <v>45459</v>
      </c>
      <c r="S169" s="210"/>
      <c r="T169" s="210"/>
      <c r="U169" s="207"/>
      <c r="V169" s="207"/>
      <c r="W169" s="105"/>
      <c r="X169" s="211">
        <v>1723594727</v>
      </c>
      <c r="Y169" s="208"/>
      <c r="Z169" s="207" t="s">
        <v>1726</v>
      </c>
      <c r="AA169" s="207">
        <v>1744808801</v>
      </c>
      <c r="AB169" s="207" t="s">
        <v>252</v>
      </c>
      <c r="AC169" s="207" t="s">
        <v>133</v>
      </c>
      <c r="AD169" s="210">
        <v>35432</v>
      </c>
      <c r="AE169" s="212"/>
      <c r="AF169" s="207" t="s">
        <v>80</v>
      </c>
      <c r="AG169" s="211">
        <v>8252607315</v>
      </c>
      <c r="AH169" s="207"/>
      <c r="AI169" s="208" t="s">
        <v>683</v>
      </c>
      <c r="AJ169" s="208" t="s">
        <v>81</v>
      </c>
      <c r="AK169" s="208">
        <v>2020</v>
      </c>
      <c r="AL169" s="207" t="s">
        <v>1727</v>
      </c>
      <c r="AM169" s="207" t="s">
        <v>1728</v>
      </c>
      <c r="AN169" s="207" t="s">
        <v>1729</v>
      </c>
      <c r="AO169" s="207" t="s">
        <v>1730</v>
      </c>
      <c r="AP169" s="207" t="s">
        <v>1731</v>
      </c>
      <c r="AQ169" s="208" t="s">
        <v>88</v>
      </c>
      <c r="AR169" s="207" t="s">
        <v>110</v>
      </c>
      <c r="AS169" s="207" t="s">
        <v>81</v>
      </c>
      <c r="AT169" s="213" t="s">
        <v>81</v>
      </c>
      <c r="AU169" s="207" t="s">
        <v>81</v>
      </c>
      <c r="AV169" s="207" t="s">
        <v>81</v>
      </c>
      <c r="AW169" s="207" t="s">
        <v>81</v>
      </c>
      <c r="AX169" s="207" t="s">
        <v>81</v>
      </c>
      <c r="AY169" s="207" t="s">
        <v>81</v>
      </c>
      <c r="AZ169" s="207" t="s">
        <v>81</v>
      </c>
      <c r="BA169" s="207" t="s">
        <v>90</v>
      </c>
      <c r="BB169" s="207">
        <v>14500</v>
      </c>
      <c r="BC169" s="207">
        <v>3500</v>
      </c>
      <c r="BD169" s="207">
        <v>0</v>
      </c>
      <c r="BE169" s="207" t="s">
        <v>91</v>
      </c>
      <c r="BF169" s="207" t="s">
        <v>242</v>
      </c>
      <c r="BG169" s="207" t="s">
        <v>242</v>
      </c>
      <c r="BH169" s="105"/>
      <c r="BI169" s="105"/>
      <c r="BJ169" s="105" t="s">
        <v>242</v>
      </c>
      <c r="BK169" s="207">
        <v>1723594727</v>
      </c>
      <c r="BL169" s="105"/>
    </row>
    <row r="170" ht="19.95" customHeight="1">
      <c r="A170" s="207">
        <v>171526</v>
      </c>
      <c r="B170" s="207"/>
      <c r="C170" s="208" t="s">
        <v>1732</v>
      </c>
      <c r="D170" s="207" t="s">
        <v>1733</v>
      </c>
      <c r="E170" s="207" t="s">
        <v>114</v>
      </c>
      <c r="F170" s="208">
        <v>1210647802</v>
      </c>
      <c r="G170" s="207" t="s">
        <v>67</v>
      </c>
      <c r="H170" s="207" t="s">
        <v>68</v>
      </c>
      <c r="I170" s="207" t="s">
        <v>69</v>
      </c>
      <c r="J170" s="208" t="s">
        <v>155</v>
      </c>
      <c r="K170" s="207" t="s">
        <v>71</v>
      </c>
      <c r="L170" s="207" t="s">
        <v>72</v>
      </c>
      <c r="M170" s="4" t="s">
        <v>196</v>
      </c>
      <c r="N170" s="207" t="s">
        <v>74</v>
      </c>
      <c r="O170" s="207" t="s">
        <v>75</v>
      </c>
      <c r="P170" s="207">
        <v>30</v>
      </c>
      <c r="Q170" s="209">
        <v>45442</v>
      </c>
      <c r="R170" s="209">
        <v>45460</v>
      </c>
      <c r="S170" s="210"/>
      <c r="T170" s="210"/>
      <c r="U170" s="207"/>
      <c r="V170" s="207"/>
      <c r="W170" s="105" t="s">
        <v>1734</v>
      </c>
      <c r="X170" s="211">
        <v>1723023678</v>
      </c>
      <c r="Y170" s="208">
        <v>1676816324</v>
      </c>
      <c r="Z170" s="207" t="s">
        <v>1735</v>
      </c>
      <c r="AA170" s="207">
        <v>1761622334</v>
      </c>
      <c r="AB170" s="207" t="s">
        <v>101</v>
      </c>
      <c r="AC170" s="207" t="s">
        <v>133</v>
      </c>
      <c r="AD170" s="210">
        <v>35857</v>
      </c>
      <c r="AE170" s="212"/>
      <c r="AF170" s="207" t="s">
        <v>80</v>
      </c>
      <c r="AG170" s="211">
        <v>6454588523</v>
      </c>
      <c r="AH170" s="207" t="s">
        <v>81</v>
      </c>
      <c r="AI170" s="208" t="s">
        <v>1736</v>
      </c>
      <c r="AJ170" s="208" t="s">
        <v>81</v>
      </c>
      <c r="AK170" s="208">
        <v>2021</v>
      </c>
      <c r="AL170" s="207" t="s">
        <v>1737</v>
      </c>
      <c r="AM170" s="207" t="s">
        <v>1738</v>
      </c>
      <c r="AN170" s="207" t="s">
        <v>1739</v>
      </c>
      <c r="AO170" s="207" t="s">
        <v>1740</v>
      </c>
      <c r="AP170" s="207" t="s">
        <v>1741</v>
      </c>
      <c r="AQ170" s="208" t="s">
        <v>285</v>
      </c>
      <c r="AR170" s="207" t="s">
        <v>110</v>
      </c>
      <c r="AS170" s="207" t="s">
        <v>81</v>
      </c>
      <c r="AT170" s="213" t="s">
        <v>81</v>
      </c>
      <c r="AU170" s="207" t="s">
        <v>81</v>
      </c>
      <c r="AV170" s="207" t="s">
        <v>81</v>
      </c>
      <c r="AW170" s="207" t="s">
        <v>81</v>
      </c>
      <c r="AX170" s="207" t="s">
        <v>81</v>
      </c>
      <c r="AY170" s="207" t="s">
        <v>81</v>
      </c>
      <c r="AZ170" s="207" t="s">
        <v>81</v>
      </c>
      <c r="BA170" s="207" t="s">
        <v>90</v>
      </c>
      <c r="BB170" s="207">
        <v>10800</v>
      </c>
      <c r="BC170" s="207">
        <v>2700</v>
      </c>
      <c r="BD170" s="207">
        <v>1000</v>
      </c>
      <c r="BE170" s="207" t="s">
        <v>166</v>
      </c>
      <c r="BF170" s="207"/>
      <c r="BG170" s="207"/>
      <c r="BH170" s="105"/>
      <c r="BI170" s="105"/>
      <c r="BJ170" s="105"/>
      <c r="BK170" s="207" t="s">
        <v>1742</v>
      </c>
      <c r="BL170" s="105"/>
    </row>
    <row r="171" ht="19.95" customHeight="1">
      <c r="A171" s="207">
        <v>171528</v>
      </c>
      <c r="B171" s="207"/>
      <c r="C171" s="208" t="s">
        <v>1743</v>
      </c>
      <c r="D171" s="207" t="s">
        <v>1744</v>
      </c>
      <c r="E171" s="207" t="s">
        <v>114</v>
      </c>
      <c r="F171" s="208">
        <v>1210869182</v>
      </c>
      <c r="G171" s="207" t="s">
        <v>67</v>
      </c>
      <c r="H171" s="207" t="s">
        <v>68</v>
      </c>
      <c r="I171" s="207" t="s">
        <v>69</v>
      </c>
      <c r="J171" s="208" t="s">
        <v>155</v>
      </c>
      <c r="K171" s="207" t="s">
        <v>71</v>
      </c>
      <c r="L171" s="207" t="s">
        <v>72</v>
      </c>
      <c r="M171" s="4" t="s">
        <v>196</v>
      </c>
      <c r="N171" s="207" t="s">
        <v>74</v>
      </c>
      <c r="O171" s="207" t="s">
        <v>75</v>
      </c>
      <c r="P171" s="207">
        <v>30</v>
      </c>
      <c r="Q171" s="209">
        <v>45442</v>
      </c>
      <c r="R171" s="209">
        <v>45460</v>
      </c>
      <c r="S171" s="210"/>
      <c r="T171" s="210"/>
      <c r="U171" s="207"/>
      <c r="V171" s="207"/>
      <c r="W171" s="105" t="s">
        <v>1745</v>
      </c>
      <c r="X171" s="211">
        <v>1942979541</v>
      </c>
      <c r="Y171" s="208">
        <v>1867206168</v>
      </c>
      <c r="Z171" s="207" t="s">
        <v>1746</v>
      </c>
      <c r="AA171" s="207">
        <v>1937045841</v>
      </c>
      <c r="AB171" s="207" t="s">
        <v>252</v>
      </c>
      <c r="AC171" s="207" t="s">
        <v>102</v>
      </c>
      <c r="AD171" s="210">
        <v>36237</v>
      </c>
      <c r="AE171" s="212"/>
      <c r="AF171" s="207" t="s">
        <v>80</v>
      </c>
      <c r="AG171" s="211">
        <v>2404414498</v>
      </c>
      <c r="AH171" s="207" t="s">
        <v>81</v>
      </c>
      <c r="AI171" s="208" t="s">
        <v>290</v>
      </c>
      <c r="AJ171" s="208" t="s">
        <v>81</v>
      </c>
      <c r="AK171" s="208">
        <v>2023</v>
      </c>
      <c r="AL171" s="207" t="s">
        <v>580</v>
      </c>
      <c r="AM171" s="207" t="s">
        <v>1747</v>
      </c>
      <c r="AN171" s="207" t="s">
        <v>1748</v>
      </c>
      <c r="AO171" s="207" t="s">
        <v>1749</v>
      </c>
      <c r="AP171" s="207" t="s">
        <v>1750</v>
      </c>
      <c r="AQ171" s="208" t="s">
        <v>1751</v>
      </c>
      <c r="AR171" s="207" t="s">
        <v>1752</v>
      </c>
      <c r="AS171" s="207" t="s">
        <v>81</v>
      </c>
      <c r="AT171" s="213" t="s">
        <v>81</v>
      </c>
      <c r="AU171" s="207" t="s">
        <v>81</v>
      </c>
      <c r="AV171" s="207" t="s">
        <v>81</v>
      </c>
      <c r="AW171" s="207" t="s">
        <v>81</v>
      </c>
      <c r="AX171" s="207" t="s">
        <v>81</v>
      </c>
      <c r="AY171" s="207" t="s">
        <v>81</v>
      </c>
      <c r="AZ171" s="207" t="s">
        <v>81</v>
      </c>
      <c r="BA171" s="207" t="s">
        <v>90</v>
      </c>
      <c r="BB171" s="207">
        <v>10800</v>
      </c>
      <c r="BC171" s="207">
        <v>2700</v>
      </c>
      <c r="BD171" s="207">
        <v>1000</v>
      </c>
      <c r="BE171" s="207" t="s">
        <v>166</v>
      </c>
      <c r="BF171" s="207"/>
      <c r="BG171" s="207"/>
      <c r="BH171" s="105"/>
      <c r="BI171" s="105"/>
      <c r="BJ171" s="105"/>
      <c r="BK171" s="207">
        <v>1942979541</v>
      </c>
      <c r="BL171" s="105"/>
    </row>
    <row r="172" ht="19.95" customHeight="1">
      <c r="A172" s="207">
        <v>171632</v>
      </c>
      <c r="B172" s="207"/>
      <c r="C172" s="208" t="s">
        <v>1753</v>
      </c>
      <c r="D172" s="207" t="s">
        <v>1754</v>
      </c>
      <c r="E172" s="207" t="s">
        <v>66</v>
      </c>
      <c r="F172" s="208">
        <v>1217649035</v>
      </c>
      <c r="G172" s="207" t="s">
        <v>67</v>
      </c>
      <c r="H172" s="207" t="s">
        <v>68</v>
      </c>
      <c r="I172" s="207" t="s">
        <v>69</v>
      </c>
      <c r="J172" s="208" t="s">
        <v>407</v>
      </c>
      <c r="K172" s="207" t="s">
        <v>71</v>
      </c>
      <c r="L172" s="207" t="s">
        <v>72</v>
      </c>
      <c r="M172" s="4" t="s">
        <v>73</v>
      </c>
      <c r="N172" s="207" t="s">
        <v>74</v>
      </c>
      <c r="O172" s="207" t="s">
        <v>75</v>
      </c>
      <c r="P172" s="207">
        <v>32</v>
      </c>
      <c r="Q172" s="209">
        <v>45449</v>
      </c>
      <c r="R172" s="209">
        <v>45463</v>
      </c>
      <c r="S172" s="210"/>
      <c r="T172" s="210"/>
      <c r="U172" s="207"/>
      <c r="V172" s="207"/>
      <c r="W172" s="105" t="s">
        <v>1755</v>
      </c>
      <c r="X172" s="211">
        <v>1770501629</v>
      </c>
      <c r="Y172" s="208">
        <v>1318050581</v>
      </c>
      <c r="Z172" s="207" t="s">
        <v>1756</v>
      </c>
      <c r="AA172" s="207">
        <v>1774236570</v>
      </c>
      <c r="AB172" s="207" t="s">
        <v>132</v>
      </c>
      <c r="AC172" s="207" t="s">
        <v>79</v>
      </c>
      <c r="AD172" s="210">
        <v>36220</v>
      </c>
      <c r="AE172" s="212"/>
      <c r="AF172" s="207" t="s">
        <v>360</v>
      </c>
      <c r="AG172" s="211">
        <v>3756723593</v>
      </c>
      <c r="AH172" s="207" t="s">
        <v>1377</v>
      </c>
      <c r="AI172" s="208" t="s">
        <v>1757</v>
      </c>
      <c r="AJ172" s="208" t="s">
        <v>333</v>
      </c>
      <c r="AK172" s="208">
        <v>2021</v>
      </c>
      <c r="AL172" s="207" t="s">
        <v>1758</v>
      </c>
      <c r="AM172" s="207" t="s">
        <v>1759</v>
      </c>
      <c r="AN172" s="207" t="s">
        <v>1760</v>
      </c>
      <c r="AO172" s="207" t="s">
        <v>1761</v>
      </c>
      <c r="AP172" s="207" t="s">
        <v>1762</v>
      </c>
      <c r="AQ172" s="208" t="s">
        <v>499</v>
      </c>
      <c r="AR172" s="207" t="s">
        <v>110</v>
      </c>
      <c r="AS172" s="207" t="s">
        <v>1377</v>
      </c>
      <c r="AT172" s="213" t="s">
        <v>1377</v>
      </c>
      <c r="AU172" s="207" t="s">
        <v>81</v>
      </c>
      <c r="AV172" s="207" t="s">
        <v>81</v>
      </c>
      <c r="AW172" s="207" t="s">
        <v>81</v>
      </c>
      <c r="AX172" s="207" t="s">
        <v>81</v>
      </c>
      <c r="AY172" s="207" t="s">
        <v>81</v>
      </c>
      <c r="AZ172" s="207" t="s">
        <v>81</v>
      </c>
      <c r="BA172" s="207" t="s">
        <v>90</v>
      </c>
      <c r="BB172" s="207">
        <v>10800</v>
      </c>
      <c r="BC172" s="207">
        <v>2700</v>
      </c>
      <c r="BD172" s="207">
        <v>0</v>
      </c>
      <c r="BE172" s="207" t="s">
        <v>91</v>
      </c>
      <c r="BF172" s="207"/>
      <c r="BG172" s="207"/>
      <c r="BH172" s="105"/>
      <c r="BI172" s="105"/>
      <c r="BJ172" s="105"/>
      <c r="BK172" s="207">
        <v>1318050581</v>
      </c>
      <c r="BL172" s="105"/>
    </row>
    <row r="173" ht="19.95" customHeight="1">
      <c r="A173" s="207">
        <v>171583</v>
      </c>
      <c r="B173" s="207"/>
      <c r="C173" s="208" t="s">
        <v>1763</v>
      </c>
      <c r="D173" s="207" t="s">
        <v>1764</v>
      </c>
      <c r="E173" s="207" t="s">
        <v>1765</v>
      </c>
      <c r="F173" s="208">
        <v>131050827</v>
      </c>
      <c r="G173" s="207" t="s">
        <v>67</v>
      </c>
      <c r="H173" s="207" t="s">
        <v>68</v>
      </c>
      <c r="I173" s="207" t="s">
        <v>69</v>
      </c>
      <c r="J173" s="208" t="s">
        <v>155</v>
      </c>
      <c r="K173" s="207" t="s">
        <v>1766</v>
      </c>
      <c r="L173" s="207" t="s">
        <v>1767</v>
      </c>
      <c r="M173" s="4" t="s">
        <v>271</v>
      </c>
      <c r="N173" s="207" t="s">
        <v>74</v>
      </c>
      <c r="O173" s="207" t="s">
        <v>75</v>
      </c>
      <c r="P173" s="207">
        <v>33</v>
      </c>
      <c r="Q173" s="209">
        <v>45451</v>
      </c>
      <c r="R173" s="209">
        <v>45468</v>
      </c>
      <c r="S173" s="210" t="s">
        <v>242</v>
      </c>
      <c r="T173" s="210" t="s">
        <v>242</v>
      </c>
      <c r="U173" s="207" t="s">
        <v>242</v>
      </c>
      <c r="V173" s="207" t="s">
        <v>242</v>
      </c>
      <c r="W173" s="105" t="s">
        <v>1768</v>
      </c>
      <c r="X173" s="211">
        <v>1611518935</v>
      </c>
      <c r="Y173" s="208">
        <v>1611518935</v>
      </c>
      <c r="Z173" s="207" t="s">
        <v>1769</v>
      </c>
      <c r="AA173" s="207">
        <v>1916768870</v>
      </c>
      <c r="AB173" s="207" t="s">
        <v>101</v>
      </c>
      <c r="AC173" s="207" t="s">
        <v>102</v>
      </c>
      <c r="AD173" s="210">
        <v>37242</v>
      </c>
      <c r="AE173" s="212">
        <v>24</v>
      </c>
      <c r="AF173" s="207" t="s">
        <v>80</v>
      </c>
      <c r="AG173" s="211">
        <v>2863684979</v>
      </c>
      <c r="AH173" s="207" t="s">
        <v>81</v>
      </c>
      <c r="AI173" s="208" t="s">
        <v>322</v>
      </c>
      <c r="AJ173" s="208"/>
      <c r="AK173" s="208">
        <v>2024</v>
      </c>
      <c r="AL173" s="207" t="s">
        <v>1770</v>
      </c>
      <c r="AM173" s="207" t="s">
        <v>1771</v>
      </c>
      <c r="AN173" s="207" t="s">
        <v>1772</v>
      </c>
      <c r="AO173" s="207" t="s">
        <v>1773</v>
      </c>
      <c r="AP173" s="207" t="s">
        <v>1773</v>
      </c>
      <c r="AQ173" s="208" t="s">
        <v>449</v>
      </c>
      <c r="AR173" s="207" t="s">
        <v>1774</v>
      </c>
      <c r="AS173" s="207" t="s">
        <v>81</v>
      </c>
      <c r="AT173" s="213" t="s">
        <v>81</v>
      </c>
      <c r="AU173" s="207" t="s">
        <v>81</v>
      </c>
      <c r="AV173" s="207" t="s">
        <v>81</v>
      </c>
      <c r="AW173" s="207" t="s">
        <v>81</v>
      </c>
      <c r="AX173" s="207" t="s">
        <v>81</v>
      </c>
      <c r="AY173" s="207" t="s">
        <v>81</v>
      </c>
      <c r="AZ173" s="207" t="s">
        <v>81</v>
      </c>
      <c r="BA173" s="207" t="s">
        <v>90</v>
      </c>
      <c r="BB173" s="207">
        <v>10800</v>
      </c>
      <c r="BC173" s="207">
        <v>2700</v>
      </c>
      <c r="BD173" s="207">
        <v>1000</v>
      </c>
      <c r="BE173" s="207" t="s">
        <v>166</v>
      </c>
      <c r="BF173" s="207" t="s">
        <v>242</v>
      </c>
      <c r="BG173" s="207" t="s">
        <v>242</v>
      </c>
      <c r="BH173" s="105"/>
      <c r="BI173" s="105"/>
      <c r="BJ173" s="105" t="s">
        <v>242</v>
      </c>
      <c r="BK173" s="207">
        <v>1611518935</v>
      </c>
      <c r="BL173" s="105"/>
    </row>
    <row r="174" ht="19.95" customHeight="1">
      <c r="A174" s="207">
        <v>171601</v>
      </c>
      <c r="B174" s="207"/>
      <c r="C174" s="208" t="s">
        <v>1775</v>
      </c>
      <c r="D174" s="207" t="s">
        <v>1776</v>
      </c>
      <c r="E174" s="207" t="s">
        <v>114</v>
      </c>
      <c r="F174" s="208"/>
      <c r="G174" s="207" t="s">
        <v>67</v>
      </c>
      <c r="H174" s="207" t="s">
        <v>68</v>
      </c>
      <c r="I174" s="207" t="s">
        <v>69</v>
      </c>
      <c r="J174" s="208" t="s">
        <v>307</v>
      </c>
      <c r="K174" s="207" t="s">
        <v>71</v>
      </c>
      <c r="L174" s="207" t="s">
        <v>72</v>
      </c>
      <c r="M174" s="4" t="s">
        <v>98</v>
      </c>
      <c r="N174" s="207" t="s">
        <v>74</v>
      </c>
      <c r="O174" s="207" t="s">
        <v>75</v>
      </c>
      <c r="P174" s="207">
        <v>32</v>
      </c>
      <c r="Q174" s="209">
        <v>45449</v>
      </c>
      <c r="R174" s="209">
        <v>45471</v>
      </c>
      <c r="S174" s="210"/>
      <c r="T174" s="210"/>
      <c r="U174" s="207"/>
      <c r="V174" s="207"/>
      <c r="W174" s="105"/>
      <c r="X174" s="211">
        <v>1996052336</v>
      </c>
      <c r="Y174" s="208"/>
      <c r="Z174" s="207" t="s">
        <v>1777</v>
      </c>
      <c r="AA174" s="207">
        <v>1996052336</v>
      </c>
      <c r="AB174" s="207" t="s">
        <v>132</v>
      </c>
      <c r="AC174" s="207" t="s">
        <v>133</v>
      </c>
      <c r="AD174" s="210">
        <v>35521</v>
      </c>
      <c r="AE174" s="212"/>
      <c r="AF174" s="207" t="s">
        <v>80</v>
      </c>
      <c r="AG174" s="211">
        <v>1964031619</v>
      </c>
      <c r="AH174" s="207" t="s">
        <v>81</v>
      </c>
      <c r="AI174" s="208" t="s">
        <v>1101</v>
      </c>
      <c r="AJ174" s="208" t="s">
        <v>81</v>
      </c>
      <c r="AK174" s="208">
        <v>2024</v>
      </c>
      <c r="AL174" s="207" t="s">
        <v>986</v>
      </c>
      <c r="AM174" s="207" t="s">
        <v>1778</v>
      </c>
      <c r="AN174" s="207" t="s">
        <v>1779</v>
      </c>
      <c r="AO174" s="207" t="s">
        <v>1780</v>
      </c>
      <c r="AP174" s="207" t="s">
        <v>1781</v>
      </c>
      <c r="AQ174" s="208" t="s">
        <v>285</v>
      </c>
      <c r="AR174" s="207" t="s">
        <v>110</v>
      </c>
      <c r="AS174" s="207" t="s">
        <v>242</v>
      </c>
      <c r="AT174" s="213" t="s">
        <v>242</v>
      </c>
      <c r="AU174" s="207" t="s">
        <v>81</v>
      </c>
      <c r="AV174" s="207" t="s">
        <v>81</v>
      </c>
      <c r="AW174" s="207" t="s">
        <v>81</v>
      </c>
      <c r="AX174" s="207" t="s">
        <v>81</v>
      </c>
      <c r="AY174" s="207" t="s">
        <v>81</v>
      </c>
      <c r="AZ174" s="207" t="s">
        <v>81</v>
      </c>
      <c r="BA174" s="207" t="s">
        <v>90</v>
      </c>
      <c r="BB174" s="207">
        <v>10800</v>
      </c>
      <c r="BC174" s="207">
        <v>2700</v>
      </c>
      <c r="BD174" s="207">
        <v>0</v>
      </c>
      <c r="BE174" s="207" t="s">
        <v>91</v>
      </c>
      <c r="BF174" s="207"/>
      <c r="BG174" s="207"/>
      <c r="BH174" s="105"/>
      <c r="BI174" s="105"/>
      <c r="BJ174" s="105"/>
      <c r="BK174" s="207">
        <v>1558078759</v>
      </c>
      <c r="BL174" s="105"/>
    </row>
    <row r="175" ht="19.95" customHeight="1">
      <c r="A175" s="207">
        <v>171620</v>
      </c>
      <c r="B175" s="207"/>
      <c r="C175" s="208" t="s">
        <v>1782</v>
      </c>
      <c r="D175" s="207" t="s">
        <v>1783</v>
      </c>
      <c r="E175" s="207" t="s">
        <v>66</v>
      </c>
      <c r="F175" s="208"/>
      <c r="G175" s="207" t="s">
        <v>67</v>
      </c>
      <c r="H175" s="207" t="s">
        <v>68</v>
      </c>
      <c r="I175" s="207" t="s">
        <v>69</v>
      </c>
      <c r="J175" s="208" t="s">
        <v>307</v>
      </c>
      <c r="K175" s="207" t="s">
        <v>71</v>
      </c>
      <c r="L175" s="207" t="s">
        <v>72</v>
      </c>
      <c r="M175" s="4" t="s">
        <v>98</v>
      </c>
      <c r="N175" s="207" t="s">
        <v>74</v>
      </c>
      <c r="O175" s="207" t="s">
        <v>75</v>
      </c>
      <c r="P175" s="207">
        <v>32</v>
      </c>
      <c r="Q175" s="209">
        <v>45449</v>
      </c>
      <c r="R175" s="209">
        <v>45471</v>
      </c>
      <c r="S175" s="210"/>
      <c r="T175" s="210"/>
      <c r="U175" s="207"/>
      <c r="V175" s="207"/>
      <c r="W175" s="105"/>
      <c r="X175" s="211">
        <v>1753361538</v>
      </c>
      <c r="Y175" s="208"/>
      <c r="Z175" s="207" t="s">
        <v>1784</v>
      </c>
      <c r="AA175" s="207">
        <v>1796102203</v>
      </c>
      <c r="AB175" s="207" t="s">
        <v>252</v>
      </c>
      <c r="AC175" s="207" t="s">
        <v>133</v>
      </c>
      <c r="AD175" s="210">
        <v>35267</v>
      </c>
      <c r="AE175" s="212"/>
      <c r="AF175" s="207" t="s">
        <v>80</v>
      </c>
      <c r="AG175" s="211">
        <v>5553786202</v>
      </c>
      <c r="AH175" s="207" t="s">
        <v>81</v>
      </c>
      <c r="AI175" s="208" t="s">
        <v>322</v>
      </c>
      <c r="AJ175" s="208" t="s">
        <v>81</v>
      </c>
      <c r="AK175" s="208">
        <v>2022</v>
      </c>
      <c r="AL175" s="207" t="s">
        <v>209</v>
      </c>
      <c r="AM175" s="207" t="s">
        <v>1528</v>
      </c>
      <c r="AN175" s="207" t="s">
        <v>1785</v>
      </c>
      <c r="AO175" s="207" t="s">
        <v>1786</v>
      </c>
      <c r="AP175" s="207" t="s">
        <v>1787</v>
      </c>
      <c r="AQ175" s="208" t="s">
        <v>1788</v>
      </c>
      <c r="AR175" s="207" t="s">
        <v>110</v>
      </c>
      <c r="AS175" s="207" t="s">
        <v>81</v>
      </c>
      <c r="AT175" s="213" t="s">
        <v>81</v>
      </c>
      <c r="AU175" s="207" t="s">
        <v>81</v>
      </c>
      <c r="AV175" s="207" t="s">
        <v>81</v>
      </c>
      <c r="AW175" s="207" t="s">
        <v>81</v>
      </c>
      <c r="AX175" s="207" t="s">
        <v>81</v>
      </c>
      <c r="AY175" s="207" t="s">
        <v>81</v>
      </c>
      <c r="AZ175" s="207" t="s">
        <v>81</v>
      </c>
      <c r="BA175" s="207" t="s">
        <v>90</v>
      </c>
      <c r="BB175" s="207">
        <v>10800</v>
      </c>
      <c r="BC175" s="207">
        <v>2700</v>
      </c>
      <c r="BD175" s="207">
        <v>0</v>
      </c>
      <c r="BE175" s="207" t="s">
        <v>91</v>
      </c>
      <c r="BF175" s="207"/>
      <c r="BG175" s="207"/>
      <c r="BH175" s="105"/>
      <c r="BI175" s="105"/>
      <c r="BJ175" s="105"/>
      <c r="BK175" s="207">
        <v>1753361538</v>
      </c>
      <c r="BL175" s="105"/>
    </row>
    <row r="176" ht="19.95" customHeight="1">
      <c r="A176" s="207">
        <v>171626</v>
      </c>
      <c r="B176" s="207"/>
      <c r="C176" s="208" t="s">
        <v>1789</v>
      </c>
      <c r="D176" s="207" t="s">
        <v>1790</v>
      </c>
      <c r="E176" s="207" t="s">
        <v>66</v>
      </c>
      <c r="F176" s="208"/>
      <c r="G176" s="207" t="s">
        <v>67</v>
      </c>
      <c r="H176" s="207" t="s">
        <v>68</v>
      </c>
      <c r="I176" s="207" t="s">
        <v>69</v>
      </c>
      <c r="J176" s="208" t="s">
        <v>576</v>
      </c>
      <c r="K176" s="207" t="s">
        <v>71</v>
      </c>
      <c r="L176" s="207" t="s">
        <v>72</v>
      </c>
      <c r="M176" s="4" t="s">
        <v>115</v>
      </c>
      <c r="N176" s="207" t="s">
        <v>74</v>
      </c>
      <c r="O176" s="207" t="s">
        <v>75</v>
      </c>
      <c r="P176" s="207">
        <v>32</v>
      </c>
      <c r="Q176" s="209">
        <v>45449</v>
      </c>
      <c r="R176" s="209">
        <v>45471</v>
      </c>
      <c r="S176" s="210"/>
      <c r="T176" s="210"/>
      <c r="U176" s="207"/>
      <c r="V176" s="207"/>
      <c r="W176" s="105" t="s">
        <v>1791</v>
      </c>
      <c r="X176" s="211">
        <v>1715119851</v>
      </c>
      <c r="Y176" s="208"/>
      <c r="Z176" s="207" t="s">
        <v>1792</v>
      </c>
      <c r="AA176" s="207">
        <v>1714007908</v>
      </c>
      <c r="AB176" s="207" t="s">
        <v>252</v>
      </c>
      <c r="AC176" s="207" t="s">
        <v>79</v>
      </c>
      <c r="AD176" s="210">
        <v>32717</v>
      </c>
      <c r="AE176" s="212"/>
      <c r="AF176" s="207" t="s">
        <v>80</v>
      </c>
      <c r="AG176" s="211">
        <v>8669367008</v>
      </c>
      <c r="AH176" s="207" t="s">
        <v>81</v>
      </c>
      <c r="AI176" s="208" t="s">
        <v>1339</v>
      </c>
      <c r="AJ176" s="208" t="s">
        <v>81</v>
      </c>
      <c r="AK176" s="208">
        <v>2020</v>
      </c>
      <c r="AL176" s="207" t="s">
        <v>209</v>
      </c>
      <c r="AM176" s="207" t="s">
        <v>1793</v>
      </c>
      <c r="AN176" s="207" t="s">
        <v>1794</v>
      </c>
      <c r="AO176" s="207" t="s">
        <v>1795</v>
      </c>
      <c r="AP176" s="207" t="s">
        <v>1796</v>
      </c>
      <c r="AQ176" s="208" t="s">
        <v>285</v>
      </c>
      <c r="AR176" s="207" t="s">
        <v>110</v>
      </c>
      <c r="AS176" s="207" t="s">
        <v>81</v>
      </c>
      <c r="AT176" s="213" t="s">
        <v>81</v>
      </c>
      <c r="AU176" s="207" t="s">
        <v>81</v>
      </c>
      <c r="AV176" s="207" t="s">
        <v>81</v>
      </c>
      <c r="AW176" s="207" t="s">
        <v>81</v>
      </c>
      <c r="AX176" s="207" t="s">
        <v>81</v>
      </c>
      <c r="AY176" s="207" t="s">
        <v>81</v>
      </c>
      <c r="AZ176" s="207" t="s">
        <v>81</v>
      </c>
      <c r="BA176" s="207" t="s">
        <v>90</v>
      </c>
      <c r="BB176" s="207">
        <v>10800</v>
      </c>
      <c r="BC176" s="207">
        <v>2700</v>
      </c>
      <c r="BD176" s="207">
        <v>0</v>
      </c>
      <c r="BE176" s="207" t="s">
        <v>91</v>
      </c>
      <c r="BF176" s="207"/>
      <c r="BG176" s="207"/>
      <c r="BH176" s="105"/>
      <c r="BI176" s="105"/>
      <c r="BJ176" s="105"/>
      <c r="BK176" s="207">
        <v>1715119851</v>
      </c>
      <c r="BL176" s="105"/>
    </row>
    <row r="177" ht="19.95" customHeight="1">
      <c r="A177" s="207">
        <v>171571</v>
      </c>
      <c r="B177" s="207"/>
      <c r="C177" s="208" t="s">
        <v>1797</v>
      </c>
      <c r="D177" s="207" t="s">
        <v>1798</v>
      </c>
      <c r="E177" s="207" t="s">
        <v>114</v>
      </c>
      <c r="F177" s="208">
        <v>1210879195</v>
      </c>
      <c r="G177" s="207" t="s">
        <v>67</v>
      </c>
      <c r="H177" s="207" t="s">
        <v>68</v>
      </c>
      <c r="I177" s="207" t="s">
        <v>69</v>
      </c>
      <c r="J177" s="208" t="s">
        <v>155</v>
      </c>
      <c r="K177" s="207" t="s">
        <v>71</v>
      </c>
      <c r="L177" s="207" t="s">
        <v>72</v>
      </c>
      <c r="M177" s="4" t="s">
        <v>183</v>
      </c>
      <c r="N177" s="207" t="s">
        <v>74</v>
      </c>
      <c r="O177" s="207" t="s">
        <v>75</v>
      </c>
      <c r="P177" s="207">
        <v>33</v>
      </c>
      <c r="Q177" s="209">
        <v>45451</v>
      </c>
      <c r="R177" s="209">
        <v>45474</v>
      </c>
      <c r="S177" s="210"/>
      <c r="T177" s="210"/>
      <c r="U177" s="207"/>
      <c r="V177" s="207"/>
      <c r="W177" s="105" t="s">
        <v>1799</v>
      </c>
      <c r="X177" s="211">
        <v>1703064634</v>
      </c>
      <c r="Y177" s="208">
        <v>1625004540</v>
      </c>
      <c r="Z177" s="207" t="s">
        <v>1800</v>
      </c>
      <c r="AA177" s="207">
        <v>1625004540</v>
      </c>
      <c r="AB177" s="207" t="s">
        <v>252</v>
      </c>
      <c r="AC177" s="207" t="s">
        <v>119</v>
      </c>
      <c r="AD177" s="210">
        <v>35943</v>
      </c>
      <c r="AE177" s="212"/>
      <c r="AF177" s="207" t="s">
        <v>80</v>
      </c>
      <c r="AG177" s="211">
        <v>1507890059</v>
      </c>
      <c r="AH177" s="207" t="s">
        <v>81</v>
      </c>
      <c r="AI177" s="208" t="s">
        <v>1801</v>
      </c>
      <c r="AJ177" s="208" t="s">
        <v>81</v>
      </c>
      <c r="AK177" s="208">
        <v>2023</v>
      </c>
      <c r="AL177" s="207" t="s">
        <v>188</v>
      </c>
      <c r="AM177" s="207" t="s">
        <v>1802</v>
      </c>
      <c r="AN177" s="207" t="s">
        <v>1803</v>
      </c>
      <c r="AO177" s="207" t="s">
        <v>1804</v>
      </c>
      <c r="AP177" s="207" t="s">
        <v>1804</v>
      </c>
      <c r="AQ177" s="208" t="s">
        <v>328</v>
      </c>
      <c r="AR177" s="207" t="s">
        <v>260</v>
      </c>
      <c r="AS177" s="207" t="s">
        <v>81</v>
      </c>
      <c r="AT177" s="213" t="s">
        <v>81</v>
      </c>
      <c r="AU177" s="207" t="s">
        <v>81</v>
      </c>
      <c r="AV177" s="207" t="s">
        <v>81</v>
      </c>
      <c r="AW177" s="207" t="s">
        <v>81</v>
      </c>
      <c r="AX177" s="207" t="s">
        <v>81</v>
      </c>
      <c r="AY177" s="207" t="s">
        <v>81</v>
      </c>
      <c r="AZ177" s="207" t="s">
        <v>81</v>
      </c>
      <c r="BA177" s="207" t="s">
        <v>90</v>
      </c>
      <c r="BB177" s="207">
        <v>10800</v>
      </c>
      <c r="BC177" s="207">
        <v>2700</v>
      </c>
      <c r="BD177" s="207">
        <v>1000</v>
      </c>
      <c r="BE177" s="207" t="s">
        <v>166</v>
      </c>
      <c r="BF177" s="207"/>
      <c r="BG177" s="207"/>
      <c r="BH177" s="105"/>
      <c r="BI177" s="105"/>
      <c r="BJ177" s="105"/>
      <c r="BK177" s="207">
        <v>1703064634</v>
      </c>
      <c r="BL177" s="105"/>
    </row>
    <row r="178" ht="19.95" customHeight="1">
      <c r="A178" s="207">
        <v>171572</v>
      </c>
      <c r="B178" s="207"/>
      <c r="C178" s="208" t="s">
        <v>1805</v>
      </c>
      <c r="D178" s="207" t="s">
        <v>1806</v>
      </c>
      <c r="E178" s="207" t="s">
        <v>114</v>
      </c>
      <c r="F178" s="208">
        <v>453426</v>
      </c>
      <c r="G178" s="207" t="s">
        <v>67</v>
      </c>
      <c r="H178" s="207" t="s">
        <v>68</v>
      </c>
      <c r="I178" s="207" t="s">
        <v>69</v>
      </c>
      <c r="J178" s="208" t="s">
        <v>155</v>
      </c>
      <c r="K178" s="207" t="s">
        <v>71</v>
      </c>
      <c r="L178" s="207" t="s">
        <v>72</v>
      </c>
      <c r="M178" s="4" t="s">
        <v>171</v>
      </c>
      <c r="N178" s="207" t="s">
        <v>74</v>
      </c>
      <c r="O178" s="207" t="s">
        <v>75</v>
      </c>
      <c r="P178" s="207">
        <v>33</v>
      </c>
      <c r="Q178" s="209">
        <v>45451</v>
      </c>
      <c r="R178" s="209">
        <v>45474</v>
      </c>
      <c r="S178" s="210"/>
      <c r="T178" s="210"/>
      <c r="U178" s="207"/>
      <c r="V178" s="207"/>
      <c r="W178" s="105" t="s">
        <v>1807</v>
      </c>
      <c r="X178" s="211">
        <v>1838152161</v>
      </c>
      <c r="Y178" s="208">
        <v>1680183591</v>
      </c>
      <c r="Z178" s="207" t="s">
        <v>1808</v>
      </c>
      <c r="AA178" s="207">
        <v>1716417894</v>
      </c>
      <c r="AB178" s="207" t="s">
        <v>101</v>
      </c>
      <c r="AC178" s="207" t="s">
        <v>119</v>
      </c>
      <c r="AD178" s="210">
        <v>35233</v>
      </c>
      <c r="AE178" s="212"/>
      <c r="AF178" s="207" t="s">
        <v>80</v>
      </c>
      <c r="AG178" s="211">
        <v>7802273990</v>
      </c>
      <c r="AH178" s="207" t="s">
        <v>81</v>
      </c>
      <c r="AI178" s="208" t="s">
        <v>265</v>
      </c>
      <c r="AJ178" s="208" t="s">
        <v>81</v>
      </c>
      <c r="AK178" s="208">
        <v>2020</v>
      </c>
      <c r="AL178" s="207" t="s">
        <v>1809</v>
      </c>
      <c r="AM178" s="207" t="s">
        <v>1808</v>
      </c>
      <c r="AN178" s="207" t="s">
        <v>1810</v>
      </c>
      <c r="AO178" s="207" t="s">
        <v>1811</v>
      </c>
      <c r="AP178" s="207" t="s">
        <v>1812</v>
      </c>
      <c r="AQ178" s="208" t="s">
        <v>499</v>
      </c>
      <c r="AR178" s="207" t="s">
        <v>260</v>
      </c>
      <c r="AS178" s="207" t="s">
        <v>81</v>
      </c>
      <c r="AT178" s="213" t="s">
        <v>81</v>
      </c>
      <c r="AU178" s="207" t="s">
        <v>242</v>
      </c>
      <c r="AV178" s="207" t="s">
        <v>81</v>
      </c>
      <c r="AW178" s="207" t="s">
        <v>81</v>
      </c>
      <c r="AX178" s="207" t="s">
        <v>81</v>
      </c>
      <c r="AY178" s="207" t="s">
        <v>81</v>
      </c>
      <c r="AZ178" s="207" t="s">
        <v>81</v>
      </c>
      <c r="BA178" s="207" t="s">
        <v>90</v>
      </c>
      <c r="BB178" s="207">
        <v>10800</v>
      </c>
      <c r="BC178" s="207">
        <v>2700</v>
      </c>
      <c r="BD178" s="207">
        <v>1000</v>
      </c>
      <c r="BE178" s="207" t="s">
        <v>166</v>
      </c>
      <c r="BF178" s="207" t="s">
        <v>242</v>
      </c>
      <c r="BG178" s="207" t="s">
        <v>242</v>
      </c>
      <c r="BH178" s="105"/>
      <c r="BI178" s="105"/>
      <c r="BJ178" s="105" t="s">
        <v>242</v>
      </c>
      <c r="BK178" s="207">
        <v>1838152161</v>
      </c>
      <c r="BL178" s="105"/>
    </row>
    <row r="179" ht="19.95" customHeight="1">
      <c r="A179" s="207">
        <v>171592</v>
      </c>
      <c r="B179" s="207"/>
      <c r="C179" s="208" t="s">
        <v>1813</v>
      </c>
      <c r="D179" s="207" t="s">
        <v>1814</v>
      </c>
      <c r="E179" s="207" t="s">
        <v>1765</v>
      </c>
      <c r="F179" s="208">
        <v>1111317223</v>
      </c>
      <c r="G179" s="207" t="s">
        <v>67</v>
      </c>
      <c r="H179" s="207" t="s">
        <v>68</v>
      </c>
      <c r="I179" s="207" t="s">
        <v>69</v>
      </c>
      <c r="J179" s="208" t="s">
        <v>155</v>
      </c>
      <c r="K179" s="207" t="s">
        <v>1766</v>
      </c>
      <c r="L179" s="207" t="s">
        <v>1767</v>
      </c>
      <c r="M179" s="4" t="s">
        <v>271</v>
      </c>
      <c r="N179" s="207" t="s">
        <v>74</v>
      </c>
      <c r="O179" s="207" t="s">
        <v>75</v>
      </c>
      <c r="P179" s="207">
        <v>33</v>
      </c>
      <c r="Q179" s="209">
        <v>45451</v>
      </c>
      <c r="R179" s="209">
        <v>45474</v>
      </c>
      <c r="S179" s="210" t="s">
        <v>242</v>
      </c>
      <c r="T179" s="210" t="s">
        <v>242</v>
      </c>
      <c r="U179" s="207" t="s">
        <v>242</v>
      </c>
      <c r="V179" s="207" t="s">
        <v>242</v>
      </c>
      <c r="W179" s="105" t="s">
        <v>1815</v>
      </c>
      <c r="X179" s="211">
        <v>1601260060</v>
      </c>
      <c r="Y179" s="208">
        <v>1601260060</v>
      </c>
      <c r="Z179" s="207" t="s">
        <v>1816</v>
      </c>
      <c r="AA179" s="207">
        <v>1624902023</v>
      </c>
      <c r="AB179" s="207" t="s">
        <v>118</v>
      </c>
      <c r="AC179" s="207" t="s">
        <v>79</v>
      </c>
      <c r="AD179" s="210">
        <v>35531</v>
      </c>
      <c r="AE179" s="212">
        <v>26</v>
      </c>
      <c r="AF179" s="207" t="s">
        <v>360</v>
      </c>
      <c r="AG179" s="211">
        <v>4203086733</v>
      </c>
      <c r="AH179" s="207" t="s">
        <v>81</v>
      </c>
      <c r="AI179" s="208" t="s">
        <v>322</v>
      </c>
      <c r="AJ179" s="208"/>
      <c r="AK179" s="208">
        <v>2021</v>
      </c>
      <c r="AL179" s="207" t="s">
        <v>1817</v>
      </c>
      <c r="AM179" s="207" t="s">
        <v>1818</v>
      </c>
      <c r="AN179" s="207" t="s">
        <v>1819</v>
      </c>
      <c r="AO179" s="207" t="s">
        <v>1820</v>
      </c>
      <c r="AP179" s="207" t="s">
        <v>1821</v>
      </c>
      <c r="AQ179" s="208" t="s">
        <v>1822</v>
      </c>
      <c r="AR179" s="207" t="s">
        <v>1774</v>
      </c>
      <c r="AS179" s="207" t="s">
        <v>81</v>
      </c>
      <c r="AT179" s="213" t="s">
        <v>81</v>
      </c>
      <c r="AU179" s="207" t="s">
        <v>81</v>
      </c>
      <c r="AV179" s="207" t="s">
        <v>81</v>
      </c>
      <c r="AW179" s="207" t="s">
        <v>81</v>
      </c>
      <c r="AX179" s="207" t="s">
        <v>81</v>
      </c>
      <c r="AY179" s="207" t="s">
        <v>81</v>
      </c>
      <c r="AZ179" s="207" t="s">
        <v>81</v>
      </c>
      <c r="BA179" s="207" t="s">
        <v>90</v>
      </c>
      <c r="BB179" s="207">
        <v>10800</v>
      </c>
      <c r="BC179" s="207">
        <v>2700</v>
      </c>
      <c r="BD179" s="207">
        <v>1000</v>
      </c>
      <c r="BE179" s="207" t="s">
        <v>166</v>
      </c>
      <c r="BF179" s="207" t="s">
        <v>242</v>
      </c>
      <c r="BG179" s="207" t="s">
        <v>242</v>
      </c>
      <c r="BH179" s="105"/>
      <c r="BI179" s="105"/>
      <c r="BJ179" s="105" t="s">
        <v>242</v>
      </c>
      <c r="BK179" s="207">
        <v>1601260060</v>
      </c>
      <c r="BL179" s="105"/>
    </row>
    <row r="180" ht="19.95" customHeight="1">
      <c r="A180" s="207">
        <v>171646</v>
      </c>
      <c r="B180" s="207"/>
      <c r="C180" s="208" t="s">
        <v>1823</v>
      </c>
      <c r="D180" s="207" t="s">
        <v>1824</v>
      </c>
      <c r="E180" s="207" t="s">
        <v>1765</v>
      </c>
      <c r="F180" s="208">
        <v>1110151555</v>
      </c>
      <c r="G180" s="207" t="s">
        <v>67</v>
      </c>
      <c r="H180" s="207" t="s">
        <v>68</v>
      </c>
      <c r="I180" s="207" t="s">
        <v>69</v>
      </c>
      <c r="J180" s="208" t="s">
        <v>155</v>
      </c>
      <c r="K180" s="207" t="s">
        <v>1766</v>
      </c>
      <c r="L180" s="207" t="s">
        <v>1767</v>
      </c>
      <c r="M180" s="4" t="s">
        <v>196</v>
      </c>
      <c r="N180" s="207" t="s">
        <v>74</v>
      </c>
      <c r="O180" s="207" t="s">
        <v>75</v>
      </c>
      <c r="P180" s="207">
        <v>33</v>
      </c>
      <c r="Q180" s="209">
        <v>45455</v>
      </c>
      <c r="R180" s="209">
        <v>45474</v>
      </c>
      <c r="S180" s="210" t="s">
        <v>242</v>
      </c>
      <c r="T180" s="210" t="s">
        <v>242</v>
      </c>
      <c r="U180" s="207" t="s">
        <v>242</v>
      </c>
      <c r="V180" s="207" t="s">
        <v>242</v>
      </c>
      <c r="W180" s="105" t="s">
        <v>1825</v>
      </c>
      <c r="X180" s="211">
        <v>1677714264</v>
      </c>
      <c r="Y180" s="208">
        <v>1844840904</v>
      </c>
      <c r="Z180" s="207" t="s">
        <v>1826</v>
      </c>
      <c r="AA180" s="207">
        <v>1686609889</v>
      </c>
      <c r="AB180" s="207" t="s">
        <v>101</v>
      </c>
      <c r="AC180" s="207" t="s">
        <v>119</v>
      </c>
      <c r="AD180" s="210">
        <v>36171</v>
      </c>
      <c r="AE180" s="212">
        <v>25</v>
      </c>
      <c r="AF180" s="207" t="s">
        <v>80</v>
      </c>
      <c r="AG180" s="211">
        <v>8257924178</v>
      </c>
      <c r="AH180" s="207" t="s">
        <v>81</v>
      </c>
      <c r="AI180" s="208" t="s">
        <v>1182</v>
      </c>
      <c r="AJ180" s="208"/>
      <c r="AK180" s="208">
        <v>2024</v>
      </c>
      <c r="AL180" s="207" t="s">
        <v>1827</v>
      </c>
      <c r="AM180" s="207" t="s">
        <v>1828</v>
      </c>
      <c r="AN180" s="207" t="s">
        <v>1829</v>
      </c>
      <c r="AO180" s="207" t="s">
        <v>1830</v>
      </c>
      <c r="AP180" s="207" t="s">
        <v>1831</v>
      </c>
      <c r="AQ180" s="208" t="s">
        <v>88</v>
      </c>
      <c r="AR180" s="207" t="s">
        <v>89</v>
      </c>
      <c r="AS180" s="207" t="s">
        <v>1832</v>
      </c>
      <c r="AT180" s="213" t="s">
        <v>1833</v>
      </c>
      <c r="AU180" s="207" t="s">
        <v>1834</v>
      </c>
      <c r="AV180" s="207" t="s">
        <v>81</v>
      </c>
      <c r="AW180" s="207" t="s">
        <v>81</v>
      </c>
      <c r="AX180" s="207" t="s">
        <v>81</v>
      </c>
      <c r="AY180" s="207" t="s">
        <v>81</v>
      </c>
      <c r="AZ180" s="207" t="s">
        <v>81</v>
      </c>
      <c r="BA180" s="207" t="s">
        <v>90</v>
      </c>
      <c r="BB180" s="207">
        <v>10800</v>
      </c>
      <c r="BC180" s="207">
        <v>2700</v>
      </c>
      <c r="BD180" s="207">
        <v>1000</v>
      </c>
      <c r="BE180" s="207" t="s">
        <v>166</v>
      </c>
      <c r="BF180" s="207" t="s">
        <v>242</v>
      </c>
      <c r="BG180" s="207" t="s">
        <v>242</v>
      </c>
      <c r="BH180" s="105"/>
      <c r="BI180" s="105"/>
      <c r="BJ180" s="105" t="s">
        <v>242</v>
      </c>
      <c r="BK180" s="207">
        <v>1677714264</v>
      </c>
      <c r="BL180" s="105"/>
    </row>
    <row r="181" ht="19.95" customHeight="1">
      <c r="A181" s="207">
        <v>171638</v>
      </c>
      <c r="B181" s="207"/>
      <c r="C181" s="208" t="s">
        <v>1835</v>
      </c>
      <c r="D181" s="207" t="s">
        <v>1836</v>
      </c>
      <c r="E181" s="207" t="s">
        <v>66</v>
      </c>
      <c r="F181" s="208">
        <v>516441</v>
      </c>
      <c r="G181" s="207" t="s">
        <v>67</v>
      </c>
      <c r="H181" s="207" t="s">
        <v>68</v>
      </c>
      <c r="I181" s="207" t="s">
        <v>69</v>
      </c>
      <c r="J181" s="208" t="s">
        <v>1725</v>
      </c>
      <c r="K181" s="207" t="s">
        <v>71</v>
      </c>
      <c r="L181" s="207" t="s">
        <v>72</v>
      </c>
      <c r="M181" s="4" t="s">
        <v>1304</v>
      </c>
      <c r="N181" s="207" t="s">
        <v>74</v>
      </c>
      <c r="O181" s="207" t="s">
        <v>75</v>
      </c>
      <c r="P181" s="207">
        <v>34</v>
      </c>
      <c r="Q181" s="209">
        <v>45455</v>
      </c>
      <c r="R181" s="209">
        <v>45475</v>
      </c>
      <c r="S181" s="210"/>
      <c r="T181" s="210"/>
      <c r="U181" s="207"/>
      <c r="V181" s="207"/>
      <c r="W181" s="105" t="s">
        <v>1837</v>
      </c>
      <c r="X181" s="211">
        <v>1814542945</v>
      </c>
      <c r="Y181" s="208">
        <v>1406705202</v>
      </c>
      <c r="Z181" s="207"/>
      <c r="AA181" s="207">
        <v>1775275031</v>
      </c>
      <c r="AB181" s="207" t="s">
        <v>118</v>
      </c>
      <c r="AC181" s="207" t="s">
        <v>79</v>
      </c>
      <c r="AD181" s="210">
        <v>35323</v>
      </c>
      <c r="AE181" s="212"/>
      <c r="AF181" s="207" t="s">
        <v>80</v>
      </c>
      <c r="AG181" s="211">
        <v>7314192852</v>
      </c>
      <c r="AH181" s="207" t="s">
        <v>81</v>
      </c>
      <c r="AI181" s="208" t="s">
        <v>265</v>
      </c>
      <c r="AJ181" s="208" t="s">
        <v>81</v>
      </c>
      <c r="AK181" s="208">
        <v>2021</v>
      </c>
      <c r="AL181" s="207" t="s">
        <v>1838</v>
      </c>
      <c r="AM181" s="207" t="s">
        <v>1839</v>
      </c>
      <c r="AN181" s="207" t="s">
        <v>1840</v>
      </c>
      <c r="AO181" s="207" t="s">
        <v>1841</v>
      </c>
      <c r="AP181" s="207" t="s">
        <v>1842</v>
      </c>
      <c r="AQ181" s="208" t="s">
        <v>1843</v>
      </c>
      <c r="AR181" s="207" t="s">
        <v>110</v>
      </c>
      <c r="AS181" s="207" t="s">
        <v>81</v>
      </c>
      <c r="AT181" s="213" t="s">
        <v>81</v>
      </c>
      <c r="AU181" s="207" t="s">
        <v>81</v>
      </c>
      <c r="AV181" s="207" t="s">
        <v>81</v>
      </c>
      <c r="AW181" s="207" t="s">
        <v>81</v>
      </c>
      <c r="AX181" s="207" t="s">
        <v>81</v>
      </c>
      <c r="AY181" s="207" t="s">
        <v>81</v>
      </c>
      <c r="AZ181" s="207" t="s">
        <v>81</v>
      </c>
      <c r="BA181" s="207" t="s">
        <v>90</v>
      </c>
      <c r="BB181" s="207">
        <v>10800</v>
      </c>
      <c r="BC181" s="207">
        <v>2700</v>
      </c>
      <c r="BD181" s="207">
        <v>0</v>
      </c>
      <c r="BE181" s="207" t="s">
        <v>91</v>
      </c>
      <c r="BF181" s="207"/>
      <c r="BG181" s="207"/>
      <c r="BH181" s="105"/>
      <c r="BI181" s="105"/>
      <c r="BJ181" s="105"/>
      <c r="BK181" s="207">
        <v>1814542945</v>
      </c>
      <c r="BL181" s="105"/>
    </row>
    <row r="182" ht="19.95" customHeight="1">
      <c r="A182" s="207">
        <v>171639</v>
      </c>
      <c r="B182" s="207"/>
      <c r="C182" s="208" t="s">
        <v>1844</v>
      </c>
      <c r="D182" s="207" t="s">
        <v>1845</v>
      </c>
      <c r="E182" s="207" t="s">
        <v>66</v>
      </c>
      <c r="F182" s="208">
        <v>1210821603</v>
      </c>
      <c r="G182" s="207" t="s">
        <v>67</v>
      </c>
      <c r="H182" s="207" t="s">
        <v>68</v>
      </c>
      <c r="I182" s="207" t="s">
        <v>69</v>
      </c>
      <c r="J182" s="208" t="s">
        <v>1846</v>
      </c>
      <c r="K182" s="207" t="s">
        <v>71</v>
      </c>
      <c r="L182" s="207" t="s">
        <v>72</v>
      </c>
      <c r="M182" s="4" t="s">
        <v>1304</v>
      </c>
      <c r="N182" s="207" t="s">
        <v>74</v>
      </c>
      <c r="O182" s="207" t="s">
        <v>75</v>
      </c>
      <c r="P182" s="207">
        <v>34</v>
      </c>
      <c r="Q182" s="209">
        <v>45455</v>
      </c>
      <c r="R182" s="209">
        <v>45475</v>
      </c>
      <c r="S182" s="210"/>
      <c r="T182" s="210"/>
      <c r="U182" s="207"/>
      <c r="V182" s="207"/>
      <c r="W182" s="105" t="s">
        <v>1847</v>
      </c>
      <c r="X182" s="211">
        <v>1810653423</v>
      </c>
      <c r="Y182" s="208">
        <v>1707724994</v>
      </c>
      <c r="Z182" s="207" t="s">
        <v>1848</v>
      </c>
      <c r="AA182" s="207">
        <v>1795307366</v>
      </c>
      <c r="AB182" s="207" t="s">
        <v>132</v>
      </c>
      <c r="AC182" s="207" t="s">
        <v>119</v>
      </c>
      <c r="AD182" s="210">
        <v>36427</v>
      </c>
      <c r="AE182" s="212"/>
      <c r="AF182" s="207" t="s">
        <v>80</v>
      </c>
      <c r="AG182" s="211">
        <v>7364272331</v>
      </c>
      <c r="AH182" s="207" t="s">
        <v>1849</v>
      </c>
      <c r="AI182" s="208" t="s">
        <v>1023</v>
      </c>
      <c r="AJ182" s="208" t="s">
        <v>1850</v>
      </c>
      <c r="AK182" s="208">
        <v>2024</v>
      </c>
      <c r="AL182" s="207" t="s">
        <v>1851</v>
      </c>
      <c r="AM182" s="207" t="s">
        <v>1852</v>
      </c>
      <c r="AN182" s="207" t="s">
        <v>1848</v>
      </c>
      <c r="AO182" s="207" t="s">
        <v>1853</v>
      </c>
      <c r="AP182" s="207" t="s">
        <v>1854</v>
      </c>
      <c r="AQ182" s="208" t="s">
        <v>499</v>
      </c>
      <c r="AR182" s="207" t="s">
        <v>89</v>
      </c>
      <c r="AS182" s="207" t="s">
        <v>1855</v>
      </c>
      <c r="AT182" s="213">
        <v>32489</v>
      </c>
      <c r="AU182" s="207" t="s">
        <v>1856</v>
      </c>
      <c r="AV182" s="207" t="s">
        <v>1856</v>
      </c>
      <c r="AW182" s="207" t="s">
        <v>81</v>
      </c>
      <c r="AX182" s="207" t="s">
        <v>81</v>
      </c>
      <c r="AY182" s="207" t="s">
        <v>81</v>
      </c>
      <c r="AZ182" s="207" t="s">
        <v>81</v>
      </c>
      <c r="BA182" s="207" t="s">
        <v>90</v>
      </c>
      <c r="BB182" s="207">
        <v>10800</v>
      </c>
      <c r="BC182" s="207">
        <v>2700</v>
      </c>
      <c r="BD182" s="207">
        <v>0</v>
      </c>
      <c r="BE182" s="207" t="s">
        <v>91</v>
      </c>
      <c r="BF182" s="207"/>
      <c r="BG182" s="207"/>
      <c r="BH182" s="105"/>
      <c r="BI182" s="105"/>
      <c r="BJ182" s="105"/>
      <c r="BK182" s="207">
        <v>1614944260</v>
      </c>
      <c r="BL182" s="105"/>
    </row>
    <row r="183" ht="19.95" customHeight="1">
      <c r="A183" s="207">
        <v>171642</v>
      </c>
      <c r="B183" s="207"/>
      <c r="C183" s="208" t="s">
        <v>1857</v>
      </c>
      <c r="D183" s="207" t="s">
        <v>1858</v>
      </c>
      <c r="E183" s="207" t="s">
        <v>66</v>
      </c>
      <c r="F183" s="208">
        <v>683828</v>
      </c>
      <c r="G183" s="207" t="s">
        <v>67</v>
      </c>
      <c r="H183" s="207" t="s">
        <v>68</v>
      </c>
      <c r="I183" s="207" t="s">
        <v>69</v>
      </c>
      <c r="J183" s="208" t="s">
        <v>1725</v>
      </c>
      <c r="K183" s="207" t="s">
        <v>71</v>
      </c>
      <c r="L183" s="207" t="s">
        <v>72</v>
      </c>
      <c r="M183" s="4" t="s">
        <v>1304</v>
      </c>
      <c r="N183" s="207" t="s">
        <v>74</v>
      </c>
      <c r="O183" s="207" t="s">
        <v>75</v>
      </c>
      <c r="P183" s="207">
        <v>34</v>
      </c>
      <c r="Q183" s="209">
        <v>45455</v>
      </c>
      <c r="R183" s="209">
        <v>45475</v>
      </c>
      <c r="S183" s="210"/>
      <c r="T183" s="210"/>
      <c r="U183" s="207"/>
      <c r="V183" s="207"/>
      <c r="W183" s="105" t="s">
        <v>1859</v>
      </c>
      <c r="X183" s="211">
        <v>1314942736</v>
      </c>
      <c r="Y183" s="208">
        <v>1810653423</v>
      </c>
      <c r="Z183" s="207" t="s">
        <v>1860</v>
      </c>
      <c r="AA183" s="207">
        <v>1871969936</v>
      </c>
      <c r="AB183" s="207" t="s">
        <v>433</v>
      </c>
      <c r="AC183" s="207" t="s">
        <v>102</v>
      </c>
      <c r="AD183" s="210">
        <v>35324</v>
      </c>
      <c r="AE183" s="212"/>
      <c r="AF183" s="207" t="s">
        <v>1861</v>
      </c>
      <c r="AG183" s="211">
        <v>3745003982</v>
      </c>
      <c r="AH183" s="207" t="s">
        <v>81</v>
      </c>
      <c r="AI183" s="208" t="s">
        <v>254</v>
      </c>
      <c r="AJ183" s="208" t="s">
        <v>81</v>
      </c>
      <c r="AK183" s="208">
        <v>2020</v>
      </c>
      <c r="AL183" s="207" t="s">
        <v>1862</v>
      </c>
      <c r="AM183" s="207" t="s">
        <v>1863</v>
      </c>
      <c r="AN183" s="207" t="s">
        <v>1864</v>
      </c>
      <c r="AO183" s="207" t="s">
        <v>1865</v>
      </c>
      <c r="AP183" s="207" t="s">
        <v>1866</v>
      </c>
      <c r="AQ183" s="208" t="s">
        <v>1867</v>
      </c>
      <c r="AR183" s="207" t="s">
        <v>367</v>
      </c>
      <c r="AS183" s="207" t="s">
        <v>1860</v>
      </c>
      <c r="AT183" s="213">
        <v>35058</v>
      </c>
      <c r="AU183" s="207" t="s">
        <v>81</v>
      </c>
      <c r="AV183" s="207" t="s">
        <v>81</v>
      </c>
      <c r="AW183" s="207" t="s">
        <v>81</v>
      </c>
      <c r="AX183" s="207" t="s">
        <v>81</v>
      </c>
      <c r="AY183" s="207" t="s">
        <v>81</v>
      </c>
      <c r="AZ183" s="207" t="s">
        <v>81</v>
      </c>
      <c r="BA183" s="207" t="s">
        <v>90</v>
      </c>
      <c r="BB183" s="207">
        <v>10800</v>
      </c>
      <c r="BC183" s="207">
        <v>2700</v>
      </c>
      <c r="BD183" s="207">
        <v>0</v>
      </c>
      <c r="BE183" s="207" t="s">
        <v>91</v>
      </c>
      <c r="BF183" s="207"/>
      <c r="BG183" s="207"/>
      <c r="BH183" s="105"/>
      <c r="BI183" s="105"/>
      <c r="BJ183" s="105"/>
      <c r="BK183" s="207">
        <v>1517800212</v>
      </c>
      <c r="BL183" s="105"/>
    </row>
    <row r="184" ht="19.95" customHeight="1">
      <c r="A184" s="207">
        <v>171666</v>
      </c>
      <c r="B184" s="207"/>
      <c r="C184" s="208" t="s">
        <v>1868</v>
      </c>
      <c r="D184" s="207" t="s">
        <v>1869</v>
      </c>
      <c r="E184" s="207" t="s">
        <v>66</v>
      </c>
      <c r="F184" s="208">
        <v>499130</v>
      </c>
      <c r="G184" s="207" t="s">
        <v>67</v>
      </c>
      <c r="H184" s="207" t="s">
        <v>68</v>
      </c>
      <c r="I184" s="207" t="s">
        <v>69</v>
      </c>
      <c r="J184" s="208" t="s">
        <v>1846</v>
      </c>
      <c r="K184" s="207" t="s">
        <v>71</v>
      </c>
      <c r="L184" s="207" t="s">
        <v>72</v>
      </c>
      <c r="M184" s="4" t="s">
        <v>369</v>
      </c>
      <c r="N184" s="207" t="s">
        <v>74</v>
      </c>
      <c r="O184" s="207" t="s">
        <v>75</v>
      </c>
      <c r="P184" s="207">
        <v>35</v>
      </c>
      <c r="Q184" s="209">
        <v>45466</v>
      </c>
      <c r="R184" s="209">
        <v>45475</v>
      </c>
      <c r="S184" s="210"/>
      <c r="T184" s="210"/>
      <c r="U184" s="207"/>
      <c r="V184" s="207"/>
      <c r="W184" s="105" t="s">
        <v>1870</v>
      </c>
      <c r="X184" s="211">
        <v>1625007459</v>
      </c>
      <c r="Y184" s="208">
        <v>1926807912</v>
      </c>
      <c r="Z184" s="207" t="s">
        <v>1330</v>
      </c>
      <c r="AA184" s="207">
        <v>1931799557</v>
      </c>
      <c r="AB184" s="207" t="s">
        <v>132</v>
      </c>
      <c r="AC184" s="207" t="s">
        <v>133</v>
      </c>
      <c r="AD184" s="210">
        <v>34289</v>
      </c>
      <c r="AE184" s="212"/>
      <c r="AF184" s="207" t="s">
        <v>80</v>
      </c>
      <c r="AG184" s="211">
        <v>3294703271</v>
      </c>
      <c r="AH184" s="207" t="s">
        <v>81</v>
      </c>
      <c r="AI184" s="208" t="s">
        <v>333</v>
      </c>
      <c r="AJ184" s="208" t="s">
        <v>81</v>
      </c>
      <c r="AK184" s="208">
        <v>2018</v>
      </c>
      <c r="AL184" s="207" t="s">
        <v>1871</v>
      </c>
      <c r="AM184" s="207" t="s">
        <v>1872</v>
      </c>
      <c r="AN184" s="207" t="s">
        <v>1330</v>
      </c>
      <c r="AO184" s="207" t="s">
        <v>1873</v>
      </c>
      <c r="AP184" s="207" t="s">
        <v>1874</v>
      </c>
      <c r="AQ184" s="208" t="s">
        <v>223</v>
      </c>
      <c r="AR184" s="207" t="s">
        <v>110</v>
      </c>
      <c r="AS184" s="207" t="s">
        <v>81</v>
      </c>
      <c r="AT184" s="213" t="s">
        <v>81</v>
      </c>
      <c r="AU184" s="207" t="s">
        <v>81</v>
      </c>
      <c r="AV184" s="207" t="s">
        <v>81</v>
      </c>
      <c r="AW184" s="207" t="s">
        <v>81</v>
      </c>
      <c r="AX184" s="207" t="s">
        <v>81</v>
      </c>
      <c r="AY184" s="207" t="s">
        <v>81</v>
      </c>
      <c r="AZ184" s="207" t="s">
        <v>81</v>
      </c>
      <c r="BA184" s="207" t="s">
        <v>90</v>
      </c>
      <c r="BB184" s="207">
        <v>10800</v>
      </c>
      <c r="BC184" s="207">
        <v>2700</v>
      </c>
      <c r="BD184" s="207">
        <v>0</v>
      </c>
      <c r="BE184" s="207" t="s">
        <v>91</v>
      </c>
      <c r="BF184" s="207" t="s">
        <v>242</v>
      </c>
      <c r="BG184" s="207" t="s">
        <v>242</v>
      </c>
      <c r="BH184" s="105"/>
      <c r="BI184" s="105"/>
      <c r="BJ184" s="105" t="s">
        <v>242</v>
      </c>
      <c r="BK184" s="207">
        <v>1625007459</v>
      </c>
      <c r="BL184" s="105"/>
    </row>
    <row r="185" ht="19.95" customHeight="1">
      <c r="A185" s="207">
        <v>171667</v>
      </c>
      <c r="B185" s="207"/>
      <c r="C185" s="208" t="s">
        <v>1875</v>
      </c>
      <c r="D185" s="207" t="s">
        <v>1876</v>
      </c>
      <c r="E185" s="207" t="s">
        <v>114</v>
      </c>
      <c r="F185" s="208">
        <v>913292</v>
      </c>
      <c r="G185" s="207" t="s">
        <v>67</v>
      </c>
      <c r="H185" s="207" t="s">
        <v>68</v>
      </c>
      <c r="I185" s="207" t="s">
        <v>69</v>
      </c>
      <c r="J185" s="208" t="s">
        <v>1846</v>
      </c>
      <c r="K185" s="207" t="s">
        <v>71</v>
      </c>
      <c r="L185" s="207" t="s">
        <v>72</v>
      </c>
      <c r="M185" s="4" t="s">
        <v>369</v>
      </c>
      <c r="N185" s="207" t="s">
        <v>74</v>
      </c>
      <c r="O185" s="207" t="s">
        <v>75</v>
      </c>
      <c r="P185" s="207">
        <v>35</v>
      </c>
      <c r="Q185" s="209">
        <v>45466</v>
      </c>
      <c r="R185" s="209">
        <v>45475</v>
      </c>
      <c r="S185" s="210"/>
      <c r="T185" s="210"/>
      <c r="U185" s="207"/>
      <c r="V185" s="207"/>
      <c r="W185" s="105" t="s">
        <v>1877</v>
      </c>
      <c r="X185" s="211">
        <v>1710355308</v>
      </c>
      <c r="Y185" s="208">
        <v>1880385277</v>
      </c>
      <c r="Z185" s="207" t="s">
        <v>101</v>
      </c>
      <c r="AA185" s="207">
        <v>1925885180</v>
      </c>
      <c r="AB185" s="207" t="s">
        <v>101</v>
      </c>
      <c r="AC185" s="207" t="s">
        <v>79</v>
      </c>
      <c r="AD185" s="210">
        <v>35281</v>
      </c>
      <c r="AE185" s="212"/>
      <c r="AF185" s="207" t="s">
        <v>80</v>
      </c>
      <c r="AG185" s="211">
        <v>9565137735</v>
      </c>
      <c r="AH185" s="207" t="s">
        <v>81</v>
      </c>
      <c r="AI185" s="208" t="s">
        <v>723</v>
      </c>
      <c r="AJ185" s="208" t="s">
        <v>81</v>
      </c>
      <c r="AK185" s="208">
        <v>2020</v>
      </c>
      <c r="AL185" s="207" t="s">
        <v>1878</v>
      </c>
      <c r="AM185" s="207" t="s">
        <v>1879</v>
      </c>
      <c r="AN185" s="207" t="s">
        <v>1880</v>
      </c>
      <c r="AO185" s="207" t="s">
        <v>1881</v>
      </c>
      <c r="AP185" s="207" t="s">
        <v>1882</v>
      </c>
      <c r="AQ185" s="208" t="s">
        <v>1883</v>
      </c>
      <c r="AR185" s="207" t="s">
        <v>110</v>
      </c>
      <c r="AS185" s="207" t="s">
        <v>81</v>
      </c>
      <c r="AT185" s="213" t="s">
        <v>81</v>
      </c>
      <c r="AU185" s="207" t="s">
        <v>81</v>
      </c>
      <c r="AV185" s="207" t="s">
        <v>81</v>
      </c>
      <c r="AW185" s="207" t="s">
        <v>81</v>
      </c>
      <c r="AX185" s="207" t="s">
        <v>81</v>
      </c>
      <c r="AY185" s="207" t="s">
        <v>81</v>
      </c>
      <c r="AZ185" s="207" t="s">
        <v>81</v>
      </c>
      <c r="BA185" s="207" t="s">
        <v>90</v>
      </c>
      <c r="BB185" s="207">
        <v>10800</v>
      </c>
      <c r="BC185" s="207">
        <v>2700</v>
      </c>
      <c r="BD185" s="207">
        <v>0</v>
      </c>
      <c r="BE185" s="207" t="s">
        <v>91</v>
      </c>
      <c r="BF185" s="207"/>
      <c r="BG185" s="207"/>
      <c r="BH185" s="105"/>
      <c r="BI185" s="105"/>
      <c r="BJ185" s="105"/>
      <c r="BK185" s="207">
        <v>1957906714</v>
      </c>
      <c r="BL185" s="105">
        <v>1957906714</v>
      </c>
    </row>
    <row r="186" ht="19.95" customHeight="1">
      <c r="A186" s="207">
        <v>171668</v>
      </c>
      <c r="B186" s="207"/>
      <c r="C186" s="208" t="s">
        <v>1884</v>
      </c>
      <c r="D186" s="207" t="s">
        <v>1885</v>
      </c>
      <c r="E186" s="207" t="s">
        <v>114</v>
      </c>
      <c r="F186" s="208" t="s">
        <v>1886</v>
      </c>
      <c r="G186" s="207" t="s">
        <v>67</v>
      </c>
      <c r="H186" s="207" t="s">
        <v>68</v>
      </c>
      <c r="I186" s="207" t="s">
        <v>69</v>
      </c>
      <c r="J186" s="208" t="s">
        <v>1846</v>
      </c>
      <c r="K186" s="207" t="s">
        <v>71</v>
      </c>
      <c r="L186" s="207" t="s">
        <v>72</v>
      </c>
      <c r="M186" s="4" t="s">
        <v>369</v>
      </c>
      <c r="N186" s="207" t="s">
        <v>74</v>
      </c>
      <c r="O186" s="207" t="s">
        <v>75</v>
      </c>
      <c r="P186" s="207">
        <v>35</v>
      </c>
      <c r="Q186" s="209">
        <v>45466</v>
      </c>
      <c r="R186" s="209">
        <v>45475</v>
      </c>
      <c r="S186" s="210"/>
      <c r="T186" s="210"/>
      <c r="U186" s="207"/>
      <c r="V186" s="207"/>
      <c r="W186" s="105" t="s">
        <v>1887</v>
      </c>
      <c r="X186" s="211">
        <v>1717034661</v>
      </c>
      <c r="Y186" s="208">
        <v>1581226265</v>
      </c>
      <c r="Z186" s="207" t="s">
        <v>101</v>
      </c>
      <c r="AA186" s="207">
        <v>1711954448</v>
      </c>
      <c r="AB186" s="207" t="s">
        <v>101</v>
      </c>
      <c r="AC186" s="207" t="s">
        <v>102</v>
      </c>
      <c r="AD186" s="210"/>
      <c r="AE186" s="212"/>
      <c r="AF186" s="207" t="s">
        <v>80</v>
      </c>
      <c r="AG186" s="211">
        <v>4204976353</v>
      </c>
      <c r="AH186" s="207" t="s">
        <v>242</v>
      </c>
      <c r="AI186" s="208" t="s">
        <v>347</v>
      </c>
      <c r="AJ186" s="208" t="s">
        <v>242</v>
      </c>
      <c r="AK186" s="208">
        <v>2023</v>
      </c>
      <c r="AL186" s="207" t="s">
        <v>347</v>
      </c>
      <c r="AM186" s="207" t="s">
        <v>1888</v>
      </c>
      <c r="AN186" s="207" t="s">
        <v>190</v>
      </c>
      <c r="AO186" s="207" t="s">
        <v>1889</v>
      </c>
      <c r="AP186" s="207" t="s">
        <v>1889</v>
      </c>
      <c r="AQ186" s="208" t="s">
        <v>499</v>
      </c>
      <c r="AR186" s="207" t="s">
        <v>89</v>
      </c>
      <c r="AS186" s="207" t="s">
        <v>1890</v>
      </c>
      <c r="AT186" s="213">
        <v>37470</v>
      </c>
      <c r="AU186" s="207" t="s">
        <v>242</v>
      </c>
      <c r="AV186" s="207" t="s">
        <v>242</v>
      </c>
      <c r="AW186" s="207" t="s">
        <v>81</v>
      </c>
      <c r="AX186" s="207" t="s">
        <v>81</v>
      </c>
      <c r="AY186" s="207" t="s">
        <v>81</v>
      </c>
      <c r="AZ186" s="207" t="s">
        <v>81</v>
      </c>
      <c r="BA186" s="207" t="s">
        <v>90</v>
      </c>
      <c r="BB186" s="207">
        <v>10800</v>
      </c>
      <c r="BC186" s="207">
        <v>2700</v>
      </c>
      <c r="BD186" s="207">
        <v>0</v>
      </c>
      <c r="BE186" s="207" t="s">
        <v>91</v>
      </c>
      <c r="BF186" s="207"/>
      <c r="BG186" s="207"/>
      <c r="BH186" s="105"/>
      <c r="BI186" s="105"/>
      <c r="BJ186" s="105"/>
      <c r="BK186" s="207">
        <v>1677818874</v>
      </c>
      <c r="BL186" s="105"/>
    </row>
    <row r="187" ht="19.95" customHeight="1">
      <c r="A187" s="207">
        <v>171672</v>
      </c>
      <c r="B187" s="207"/>
      <c r="C187" s="208" t="s">
        <v>1891</v>
      </c>
      <c r="D187" s="207" t="s">
        <v>1892</v>
      </c>
      <c r="E187" s="207" t="s">
        <v>66</v>
      </c>
      <c r="F187" s="208">
        <v>1110586502</v>
      </c>
      <c r="G187" s="207" t="s">
        <v>67</v>
      </c>
      <c r="H187" s="207" t="s">
        <v>68</v>
      </c>
      <c r="I187" s="207" t="s">
        <v>69</v>
      </c>
      <c r="J187" s="208" t="s">
        <v>1846</v>
      </c>
      <c r="K187" s="207" t="s">
        <v>71</v>
      </c>
      <c r="L187" s="207" t="s">
        <v>72</v>
      </c>
      <c r="M187" s="4" t="s">
        <v>369</v>
      </c>
      <c r="N187" s="207" t="s">
        <v>74</v>
      </c>
      <c r="O187" s="207" t="s">
        <v>75</v>
      </c>
      <c r="P187" s="207">
        <v>35</v>
      </c>
      <c r="Q187" s="209">
        <v>45466</v>
      </c>
      <c r="R187" s="209">
        <v>45475</v>
      </c>
      <c r="S187" s="210"/>
      <c r="T187" s="210"/>
      <c r="U187" s="207"/>
      <c r="V187" s="207"/>
      <c r="W187" s="105" t="s">
        <v>1893</v>
      </c>
      <c r="X187" s="211">
        <v>1730902734</v>
      </c>
      <c r="Y187" s="208">
        <v>1988350481</v>
      </c>
      <c r="Z187" s="207" t="s">
        <v>132</v>
      </c>
      <c r="AA187" s="207">
        <v>1988350481</v>
      </c>
      <c r="AB187" s="207" t="s">
        <v>132</v>
      </c>
      <c r="AC187" s="207" t="s">
        <v>102</v>
      </c>
      <c r="AD187" s="210">
        <v>36445</v>
      </c>
      <c r="AE187" s="212"/>
      <c r="AF187" s="207" t="s">
        <v>80</v>
      </c>
      <c r="AG187" s="211">
        <v>7365290985</v>
      </c>
      <c r="AH187" s="207" t="s">
        <v>81</v>
      </c>
      <c r="AI187" s="208" t="s">
        <v>723</v>
      </c>
      <c r="AJ187" s="208" t="s">
        <v>81</v>
      </c>
      <c r="AK187" s="208">
        <v>2021</v>
      </c>
      <c r="AL187" s="207" t="s">
        <v>81</v>
      </c>
      <c r="AM187" s="207" t="s">
        <v>1894</v>
      </c>
      <c r="AN187" s="207" t="s">
        <v>1895</v>
      </c>
      <c r="AO187" s="207" t="s">
        <v>1896</v>
      </c>
      <c r="AP187" s="207" t="s">
        <v>1897</v>
      </c>
      <c r="AQ187" s="208" t="s">
        <v>1898</v>
      </c>
      <c r="AR187" s="207" t="s">
        <v>89</v>
      </c>
      <c r="AS187" s="207" t="s">
        <v>1899</v>
      </c>
      <c r="AT187" s="213" t="s">
        <v>81</v>
      </c>
      <c r="AU187" s="207" t="s">
        <v>81</v>
      </c>
      <c r="AV187" s="207" t="s">
        <v>81</v>
      </c>
      <c r="AW187" s="207" t="s">
        <v>81</v>
      </c>
      <c r="AX187" s="207" t="s">
        <v>81</v>
      </c>
      <c r="AY187" s="207" t="s">
        <v>81</v>
      </c>
      <c r="AZ187" s="207" t="s">
        <v>81</v>
      </c>
      <c r="BA187" s="207" t="s">
        <v>90</v>
      </c>
      <c r="BB187" s="207">
        <v>10800</v>
      </c>
      <c r="BC187" s="207">
        <v>2700</v>
      </c>
      <c r="BD187" s="207">
        <v>0</v>
      </c>
      <c r="BE187" s="207" t="s">
        <v>91</v>
      </c>
      <c r="BF187" s="207"/>
      <c r="BG187" s="207"/>
      <c r="BH187" s="105"/>
      <c r="BI187" s="105"/>
      <c r="BJ187" s="105"/>
      <c r="BK187" s="207">
        <v>1988350481</v>
      </c>
      <c r="BL187" s="105"/>
    </row>
    <row r="188" ht="19.95" customHeight="1">
      <c r="A188" s="207">
        <v>171673</v>
      </c>
      <c r="B188" s="207"/>
      <c r="C188" s="208" t="s">
        <v>1900</v>
      </c>
      <c r="D188" s="207" t="s">
        <v>1901</v>
      </c>
      <c r="E188" s="207" t="s">
        <v>114</v>
      </c>
      <c r="F188" s="208">
        <v>908898</v>
      </c>
      <c r="G188" s="207" t="s">
        <v>67</v>
      </c>
      <c r="H188" s="207" t="s">
        <v>68</v>
      </c>
      <c r="I188" s="207" t="s">
        <v>69</v>
      </c>
      <c r="J188" s="208" t="s">
        <v>1846</v>
      </c>
      <c r="K188" s="207" t="s">
        <v>71</v>
      </c>
      <c r="L188" s="207" t="s">
        <v>72</v>
      </c>
      <c r="M188" s="4" t="s">
        <v>369</v>
      </c>
      <c r="N188" s="207" t="s">
        <v>74</v>
      </c>
      <c r="O188" s="207" t="s">
        <v>75</v>
      </c>
      <c r="P188" s="207">
        <v>35</v>
      </c>
      <c r="Q188" s="209">
        <v>45466</v>
      </c>
      <c r="R188" s="209">
        <v>45475</v>
      </c>
      <c r="S188" s="210"/>
      <c r="T188" s="210"/>
      <c r="U188" s="207"/>
      <c r="V188" s="207"/>
      <c r="W188" s="105" t="s">
        <v>1902</v>
      </c>
      <c r="X188" s="211">
        <v>1953393882</v>
      </c>
      <c r="Y188" s="208">
        <v>1688309066</v>
      </c>
      <c r="Z188" s="207" t="s">
        <v>1903</v>
      </c>
      <c r="AA188" s="207">
        <v>1688309066</v>
      </c>
      <c r="AB188" s="207" t="s">
        <v>78</v>
      </c>
      <c r="AC188" s="207" t="s">
        <v>1904</v>
      </c>
      <c r="AD188" s="210">
        <v>35286</v>
      </c>
      <c r="AE188" s="212"/>
      <c r="AF188" s="207" t="s">
        <v>80</v>
      </c>
      <c r="AG188" s="211">
        <v>1478661976</v>
      </c>
      <c r="AH188" s="207" t="s">
        <v>81</v>
      </c>
      <c r="AI188" s="208" t="s">
        <v>347</v>
      </c>
      <c r="AJ188" s="208" t="s">
        <v>81</v>
      </c>
      <c r="AK188" s="208">
        <v>2019</v>
      </c>
      <c r="AL188" s="207" t="s">
        <v>1905</v>
      </c>
      <c r="AM188" s="207" t="s">
        <v>1906</v>
      </c>
      <c r="AN188" s="207" t="s">
        <v>715</v>
      </c>
      <c r="AO188" s="207" t="s">
        <v>1907</v>
      </c>
      <c r="AP188" s="207" t="s">
        <v>1908</v>
      </c>
      <c r="AQ188" s="208" t="s">
        <v>1909</v>
      </c>
      <c r="AR188" s="207" t="s">
        <v>89</v>
      </c>
      <c r="AS188" s="207" t="s">
        <v>1903</v>
      </c>
      <c r="AT188" s="213">
        <v>35328</v>
      </c>
      <c r="AU188" s="207" t="s">
        <v>1910</v>
      </c>
      <c r="AV188" s="207">
        <v>43422</v>
      </c>
      <c r="AW188" s="207" t="s">
        <v>81</v>
      </c>
      <c r="AX188" s="207" t="s">
        <v>81</v>
      </c>
      <c r="AY188" s="207" t="s">
        <v>81</v>
      </c>
      <c r="AZ188" s="207" t="s">
        <v>81</v>
      </c>
      <c r="BA188" s="207" t="s">
        <v>90</v>
      </c>
      <c r="BB188" s="207">
        <v>10800</v>
      </c>
      <c r="BC188" s="207">
        <v>2700</v>
      </c>
      <c r="BD188" s="207">
        <v>0</v>
      </c>
      <c r="BE188" s="207" t="s">
        <v>91</v>
      </c>
      <c r="BF188" s="207"/>
      <c r="BG188" s="207"/>
      <c r="BH188" s="105"/>
      <c r="BI188" s="105"/>
      <c r="BJ188" s="105"/>
      <c r="BK188" s="207">
        <v>1688309066</v>
      </c>
      <c r="BL188" s="105"/>
    </row>
    <row r="189" ht="19.95" customHeight="1">
      <c r="A189" s="207">
        <v>171674</v>
      </c>
      <c r="B189" s="207"/>
      <c r="C189" s="208" t="s">
        <v>1911</v>
      </c>
      <c r="D189" s="207" t="s">
        <v>1912</v>
      </c>
      <c r="E189" s="207" t="s">
        <v>66</v>
      </c>
      <c r="F189" s="208" t="s">
        <v>81</v>
      </c>
      <c r="G189" s="207" t="s">
        <v>67</v>
      </c>
      <c r="H189" s="207" t="s">
        <v>68</v>
      </c>
      <c r="I189" s="207" t="s">
        <v>69</v>
      </c>
      <c r="J189" s="208" t="s">
        <v>1846</v>
      </c>
      <c r="K189" s="207" t="s">
        <v>71</v>
      </c>
      <c r="L189" s="207" t="s">
        <v>72</v>
      </c>
      <c r="M189" s="4" t="s">
        <v>369</v>
      </c>
      <c r="N189" s="207" t="s">
        <v>74</v>
      </c>
      <c r="O189" s="207" t="s">
        <v>75</v>
      </c>
      <c r="P189" s="207">
        <v>35</v>
      </c>
      <c r="Q189" s="209">
        <v>45466</v>
      </c>
      <c r="R189" s="209">
        <v>45475</v>
      </c>
      <c r="S189" s="210"/>
      <c r="T189" s="210"/>
      <c r="U189" s="207"/>
      <c r="V189" s="207"/>
      <c r="W189" s="105" t="s">
        <v>1913</v>
      </c>
      <c r="X189" s="211">
        <v>1795846519</v>
      </c>
      <c r="Y189" s="208"/>
      <c r="Z189" s="207" t="s">
        <v>1914</v>
      </c>
      <c r="AA189" s="207">
        <v>1714441518</v>
      </c>
      <c r="AB189" s="207" t="s">
        <v>132</v>
      </c>
      <c r="AC189" s="207" t="s">
        <v>133</v>
      </c>
      <c r="AD189" s="210">
        <v>35753</v>
      </c>
      <c r="AE189" s="212"/>
      <c r="AF189" s="207" t="s">
        <v>80</v>
      </c>
      <c r="AG189" s="211">
        <v>5555639789</v>
      </c>
      <c r="AH189" s="207" t="s">
        <v>81</v>
      </c>
      <c r="AI189" s="208" t="s">
        <v>332</v>
      </c>
      <c r="AJ189" s="208" t="s">
        <v>81</v>
      </c>
      <c r="AK189" s="208">
        <v>2020</v>
      </c>
      <c r="AL189" s="207" t="s">
        <v>1915</v>
      </c>
      <c r="AM189" s="207" t="s">
        <v>1916</v>
      </c>
      <c r="AN189" s="207" t="s">
        <v>1914</v>
      </c>
      <c r="AO189" s="207" t="s">
        <v>1917</v>
      </c>
      <c r="AP189" s="207" t="s">
        <v>1917</v>
      </c>
      <c r="AQ189" s="208" t="s">
        <v>88</v>
      </c>
      <c r="AR189" s="207" t="s">
        <v>110</v>
      </c>
      <c r="AS189" s="207" t="s">
        <v>81</v>
      </c>
      <c r="AT189" s="213" t="s">
        <v>81</v>
      </c>
      <c r="AU189" s="207" t="s">
        <v>81</v>
      </c>
      <c r="AV189" s="207" t="s">
        <v>81</v>
      </c>
      <c r="AW189" s="207" t="s">
        <v>81</v>
      </c>
      <c r="AX189" s="207" t="s">
        <v>81</v>
      </c>
      <c r="AY189" s="207" t="s">
        <v>81</v>
      </c>
      <c r="AZ189" s="207" t="s">
        <v>81</v>
      </c>
      <c r="BA189" s="207" t="s">
        <v>90</v>
      </c>
      <c r="BB189" s="207">
        <v>10800</v>
      </c>
      <c r="BC189" s="207">
        <v>2700</v>
      </c>
      <c r="BD189" s="207">
        <v>0</v>
      </c>
      <c r="BE189" s="207" t="s">
        <v>91</v>
      </c>
      <c r="BF189" s="207" t="s">
        <v>242</v>
      </c>
      <c r="BG189" s="207" t="s">
        <v>242</v>
      </c>
      <c r="BH189" s="105"/>
      <c r="BI189" s="105"/>
      <c r="BJ189" s="105" t="s">
        <v>242</v>
      </c>
      <c r="BK189" s="207">
        <v>1714441518</v>
      </c>
      <c r="BL189" s="105"/>
    </row>
    <row r="190" ht="19.95" customHeight="1">
      <c r="A190" s="207">
        <v>171681</v>
      </c>
      <c r="B190" s="207"/>
      <c r="C190" s="208" t="s">
        <v>1918</v>
      </c>
      <c r="D190" s="207" t="s">
        <v>1919</v>
      </c>
      <c r="E190" s="207" t="s">
        <v>66</v>
      </c>
      <c r="F190" s="208">
        <v>1110342206</v>
      </c>
      <c r="G190" s="207" t="s">
        <v>67</v>
      </c>
      <c r="H190" s="207" t="s">
        <v>68</v>
      </c>
      <c r="I190" s="207" t="s">
        <v>69</v>
      </c>
      <c r="J190" s="208" t="s">
        <v>1725</v>
      </c>
      <c r="K190" s="207" t="s">
        <v>71</v>
      </c>
      <c r="L190" s="207" t="s">
        <v>72</v>
      </c>
      <c r="M190" s="4" t="s">
        <v>369</v>
      </c>
      <c r="N190" s="207" t="s">
        <v>74</v>
      </c>
      <c r="O190" s="207" t="s">
        <v>75</v>
      </c>
      <c r="P190" s="207">
        <v>35</v>
      </c>
      <c r="Q190" s="209">
        <v>45466</v>
      </c>
      <c r="R190" s="209">
        <v>45475</v>
      </c>
      <c r="S190" s="210"/>
      <c r="T190" s="210"/>
      <c r="U190" s="207"/>
      <c r="V190" s="207"/>
      <c r="W190" s="105" t="s">
        <v>1920</v>
      </c>
      <c r="X190" s="211">
        <v>1642152093</v>
      </c>
      <c r="Y190" s="208">
        <v>1710355308</v>
      </c>
      <c r="Z190" s="207"/>
      <c r="AA190" s="207">
        <v>1729863670</v>
      </c>
      <c r="AB190" s="207" t="s">
        <v>81</v>
      </c>
      <c r="AC190" s="207" t="s">
        <v>119</v>
      </c>
      <c r="AD190" s="210">
        <v>36120</v>
      </c>
      <c r="AE190" s="212"/>
      <c r="AF190" s="207" t="s">
        <v>80</v>
      </c>
      <c r="AG190" s="211">
        <v>2405108305</v>
      </c>
      <c r="AH190" s="207" t="s">
        <v>81</v>
      </c>
      <c r="AI190" s="208" t="s">
        <v>1921</v>
      </c>
      <c r="AJ190" s="208" t="s">
        <v>81</v>
      </c>
      <c r="AK190" s="208" t="s">
        <v>81</v>
      </c>
      <c r="AL190" s="207" t="s">
        <v>1921</v>
      </c>
      <c r="AM190" s="207" t="s">
        <v>1922</v>
      </c>
      <c r="AN190" s="207" t="s">
        <v>1923</v>
      </c>
      <c r="AO190" s="207" t="s">
        <v>1924</v>
      </c>
      <c r="AP190" s="207" t="s">
        <v>1925</v>
      </c>
      <c r="AQ190" s="208" t="s">
        <v>1209</v>
      </c>
      <c r="AR190" s="207" t="s">
        <v>260</v>
      </c>
      <c r="AS190" s="207" t="s">
        <v>81</v>
      </c>
      <c r="AT190" s="213" t="s">
        <v>81</v>
      </c>
      <c r="AU190" s="207" t="s">
        <v>81</v>
      </c>
      <c r="AV190" s="207" t="s">
        <v>81</v>
      </c>
      <c r="AW190" s="207" t="s">
        <v>81</v>
      </c>
      <c r="AX190" s="207" t="s">
        <v>81</v>
      </c>
      <c r="AY190" s="207" t="s">
        <v>81</v>
      </c>
      <c r="AZ190" s="207" t="s">
        <v>81</v>
      </c>
      <c r="BA190" s="207" t="s">
        <v>90</v>
      </c>
      <c r="BB190" s="207">
        <v>10800</v>
      </c>
      <c r="BC190" s="207">
        <v>2700</v>
      </c>
      <c r="BD190" s="207">
        <v>0</v>
      </c>
      <c r="BE190" s="207" t="s">
        <v>91</v>
      </c>
      <c r="BF190" s="207" t="s">
        <v>242</v>
      </c>
      <c r="BG190" s="207" t="s">
        <v>242</v>
      </c>
      <c r="BH190" s="105"/>
      <c r="BI190" s="105"/>
      <c r="BJ190" s="105" t="s">
        <v>242</v>
      </c>
      <c r="BK190" s="207">
        <v>1957906714</v>
      </c>
      <c r="BL190" s="105"/>
    </row>
    <row r="191" ht="19.95" customHeight="1">
      <c r="A191" s="207">
        <v>171682</v>
      </c>
      <c r="B191" s="207"/>
      <c r="C191" s="208" t="s">
        <v>1926</v>
      </c>
      <c r="D191" s="207" t="s">
        <v>882</v>
      </c>
      <c r="E191" s="207" t="s">
        <v>66</v>
      </c>
      <c r="F191" s="208">
        <v>172394</v>
      </c>
      <c r="G191" s="207" t="s">
        <v>67</v>
      </c>
      <c r="H191" s="207" t="s">
        <v>68</v>
      </c>
      <c r="I191" s="207" t="s">
        <v>69</v>
      </c>
      <c r="J191" s="208" t="s">
        <v>1725</v>
      </c>
      <c r="K191" s="207" t="s">
        <v>71</v>
      </c>
      <c r="L191" s="207" t="s">
        <v>72</v>
      </c>
      <c r="M191" s="4" t="s">
        <v>1304</v>
      </c>
      <c r="N191" s="207" t="s">
        <v>74</v>
      </c>
      <c r="O191" s="207" t="s">
        <v>75</v>
      </c>
      <c r="P191" s="207">
        <v>35</v>
      </c>
      <c r="Q191" s="209">
        <v>45466</v>
      </c>
      <c r="R191" s="209">
        <v>45475</v>
      </c>
      <c r="S191" s="210"/>
      <c r="T191" s="210"/>
      <c r="U191" s="207"/>
      <c r="V191" s="207"/>
      <c r="W191" s="105" t="s">
        <v>1927</v>
      </c>
      <c r="X191" s="211">
        <v>1732732753</v>
      </c>
      <c r="Y191" s="208">
        <v>1886034655</v>
      </c>
      <c r="Z191" s="207" t="s">
        <v>1928</v>
      </c>
      <c r="AA191" s="207">
        <v>1717034667</v>
      </c>
      <c r="AB191" s="207" t="s">
        <v>410</v>
      </c>
      <c r="AC191" s="207" t="s">
        <v>119</v>
      </c>
      <c r="AD191" s="210">
        <v>34123</v>
      </c>
      <c r="AE191" s="212"/>
      <c r="AF191" s="207" t="s">
        <v>80</v>
      </c>
      <c r="AG191" s="211">
        <v>1450751613</v>
      </c>
      <c r="AH191" s="207" t="s">
        <v>81</v>
      </c>
      <c r="AI191" s="208" t="s">
        <v>1929</v>
      </c>
      <c r="AJ191" s="208" t="s">
        <v>81</v>
      </c>
      <c r="AK191" s="208">
        <v>2019</v>
      </c>
      <c r="AL191" s="207" t="s">
        <v>1930</v>
      </c>
      <c r="AM191" s="207" t="s">
        <v>1931</v>
      </c>
      <c r="AN191" s="207" t="s">
        <v>1932</v>
      </c>
      <c r="AO191" s="207" t="s">
        <v>1933</v>
      </c>
      <c r="AP191" s="207" t="s">
        <v>1934</v>
      </c>
      <c r="AQ191" s="208" t="s">
        <v>555</v>
      </c>
      <c r="AR191" s="207" t="s">
        <v>89</v>
      </c>
      <c r="AS191" s="207" t="s">
        <v>1928</v>
      </c>
      <c r="AT191" s="213">
        <v>34031</v>
      </c>
      <c r="AU191" s="207" t="s">
        <v>81</v>
      </c>
      <c r="AV191" s="207" t="s">
        <v>81</v>
      </c>
      <c r="AW191" s="207" t="s">
        <v>81</v>
      </c>
      <c r="AX191" s="207" t="s">
        <v>81</v>
      </c>
      <c r="AY191" s="207" t="s">
        <v>81</v>
      </c>
      <c r="AZ191" s="207" t="s">
        <v>81</v>
      </c>
      <c r="BA191" s="207" t="s">
        <v>90</v>
      </c>
      <c r="BB191" s="207">
        <v>10800</v>
      </c>
      <c r="BC191" s="207">
        <v>2700</v>
      </c>
      <c r="BD191" s="207">
        <v>0</v>
      </c>
      <c r="BE191" s="207" t="s">
        <v>91</v>
      </c>
      <c r="BF191" s="207" t="s">
        <v>242</v>
      </c>
      <c r="BG191" s="207" t="s">
        <v>242</v>
      </c>
      <c r="BH191" s="105"/>
      <c r="BI191" s="105"/>
      <c r="BJ191" s="105" t="s">
        <v>242</v>
      </c>
      <c r="BK191" s="207">
        <v>1717034661</v>
      </c>
      <c r="BL191" s="105"/>
    </row>
    <row r="192" ht="19.95" customHeight="1">
      <c r="A192" s="207">
        <v>171684</v>
      </c>
      <c r="B192" s="207"/>
      <c r="C192" s="208" t="s">
        <v>1935</v>
      </c>
      <c r="D192" s="207" t="s">
        <v>1936</v>
      </c>
      <c r="E192" s="207" t="s">
        <v>66</v>
      </c>
      <c r="F192" s="208">
        <v>1210533041</v>
      </c>
      <c r="G192" s="207" t="s">
        <v>67</v>
      </c>
      <c r="H192" s="207" t="s">
        <v>68</v>
      </c>
      <c r="I192" s="207" t="s">
        <v>69</v>
      </c>
      <c r="J192" s="208" t="s">
        <v>1725</v>
      </c>
      <c r="K192" s="207" t="s">
        <v>71</v>
      </c>
      <c r="L192" s="207" t="s">
        <v>72</v>
      </c>
      <c r="M192" s="4" t="s">
        <v>1304</v>
      </c>
      <c r="N192" s="207" t="s">
        <v>74</v>
      </c>
      <c r="O192" s="207" t="s">
        <v>75</v>
      </c>
      <c r="P192" s="207">
        <v>35</v>
      </c>
      <c r="Q192" s="209">
        <v>45466</v>
      </c>
      <c r="R192" s="209">
        <v>45475</v>
      </c>
      <c r="S192" s="210"/>
      <c r="T192" s="210"/>
      <c r="U192" s="207"/>
      <c r="V192" s="207"/>
      <c r="W192" s="105" t="s">
        <v>1937</v>
      </c>
      <c r="X192" s="211">
        <v>1832955464</v>
      </c>
      <c r="Y192" s="208">
        <v>1762691699</v>
      </c>
      <c r="Z192" s="207" t="s">
        <v>1938</v>
      </c>
      <c r="AA192" s="207">
        <v>1762691699</v>
      </c>
      <c r="AB192" s="207" t="s">
        <v>252</v>
      </c>
      <c r="AC192" s="207" t="s">
        <v>119</v>
      </c>
      <c r="AD192" s="210">
        <v>36351</v>
      </c>
      <c r="AE192" s="212"/>
      <c r="AF192" s="207" t="s">
        <v>673</v>
      </c>
      <c r="AG192" s="211">
        <v>2862222250</v>
      </c>
      <c r="AH192" s="207" t="s">
        <v>81</v>
      </c>
      <c r="AI192" s="208" t="s">
        <v>1939</v>
      </c>
      <c r="AJ192" s="208" t="s">
        <v>1940</v>
      </c>
      <c r="AK192" s="208">
        <v>2022</v>
      </c>
      <c r="AL192" s="207" t="s">
        <v>1941</v>
      </c>
      <c r="AM192" s="207" t="s">
        <v>1942</v>
      </c>
      <c r="AN192" s="207" t="s">
        <v>1943</v>
      </c>
      <c r="AO192" s="207" t="s">
        <v>1944</v>
      </c>
      <c r="AP192" s="207" t="s">
        <v>1945</v>
      </c>
      <c r="AQ192" s="208" t="s">
        <v>1946</v>
      </c>
      <c r="AR192" s="207" t="s">
        <v>81</v>
      </c>
      <c r="AS192" s="207" t="s">
        <v>81</v>
      </c>
      <c r="AT192" s="213" t="s">
        <v>81</v>
      </c>
      <c r="AU192" s="207" t="s">
        <v>81</v>
      </c>
      <c r="AV192" s="207" t="s">
        <v>81</v>
      </c>
      <c r="AW192" s="207" t="s">
        <v>81</v>
      </c>
      <c r="AX192" s="207" t="s">
        <v>81</v>
      </c>
      <c r="AY192" s="207" t="s">
        <v>81</v>
      </c>
      <c r="AZ192" s="207" t="s">
        <v>81</v>
      </c>
      <c r="BA192" s="207" t="s">
        <v>90</v>
      </c>
      <c r="BB192" s="207">
        <v>10800</v>
      </c>
      <c r="BC192" s="207">
        <v>2700</v>
      </c>
      <c r="BD192" s="207">
        <v>0</v>
      </c>
      <c r="BE192" s="207" t="s">
        <v>91</v>
      </c>
      <c r="BF192" s="207" t="s">
        <v>242</v>
      </c>
      <c r="BG192" s="207" t="s">
        <v>242</v>
      </c>
      <c r="BH192" s="105"/>
      <c r="BI192" s="105"/>
      <c r="BJ192" s="105" t="s">
        <v>242</v>
      </c>
      <c r="BK192" s="207">
        <v>1765280697</v>
      </c>
      <c r="BL192" s="105"/>
    </row>
    <row r="193" ht="19.95" customHeight="1">
      <c r="A193" s="207">
        <v>171686</v>
      </c>
      <c r="B193" s="207"/>
      <c r="C193" s="208" t="s">
        <v>1947</v>
      </c>
      <c r="D193" s="207" t="s">
        <v>1948</v>
      </c>
      <c r="E193" s="207" t="s">
        <v>66</v>
      </c>
      <c r="F193" s="208">
        <v>1210881392</v>
      </c>
      <c r="G193" s="207" t="s">
        <v>67</v>
      </c>
      <c r="H193" s="207" t="s">
        <v>68</v>
      </c>
      <c r="I193" s="207" t="s">
        <v>69</v>
      </c>
      <c r="J193" s="208" t="s">
        <v>1725</v>
      </c>
      <c r="K193" s="207" t="s">
        <v>71</v>
      </c>
      <c r="L193" s="207" t="s">
        <v>72</v>
      </c>
      <c r="M193" s="4" t="s">
        <v>1304</v>
      </c>
      <c r="N193" s="207" t="s">
        <v>74</v>
      </c>
      <c r="O193" s="207" t="s">
        <v>75</v>
      </c>
      <c r="P193" s="207">
        <v>35</v>
      </c>
      <c r="Q193" s="209">
        <v>45466</v>
      </c>
      <c r="R193" s="209">
        <v>45475</v>
      </c>
      <c r="S193" s="210"/>
      <c r="T193" s="210"/>
      <c r="U193" s="207"/>
      <c r="V193" s="207"/>
      <c r="W193" s="105" t="s">
        <v>1949</v>
      </c>
      <c r="X193" s="211">
        <v>1765681839</v>
      </c>
      <c r="Y193" s="208">
        <v>1942642669</v>
      </c>
      <c r="Z193" s="207" t="s">
        <v>1950</v>
      </c>
      <c r="AA193" s="207">
        <v>1933754636</v>
      </c>
      <c r="AB193" s="207" t="s">
        <v>132</v>
      </c>
      <c r="AC193" s="207" t="s">
        <v>79</v>
      </c>
      <c r="AD193" s="210">
        <v>36220</v>
      </c>
      <c r="AE193" s="212"/>
      <c r="AF193" s="207" t="s">
        <v>360</v>
      </c>
      <c r="AG193" s="211">
        <v>4654457433</v>
      </c>
      <c r="AH193" s="207" t="s">
        <v>81</v>
      </c>
      <c r="AI193" s="208" t="s">
        <v>1951</v>
      </c>
      <c r="AJ193" s="208" t="s">
        <v>1952</v>
      </c>
      <c r="AK193" s="208">
        <v>2021</v>
      </c>
      <c r="AL193" s="207" t="s">
        <v>1953</v>
      </c>
      <c r="AM193" s="207" t="s">
        <v>1954</v>
      </c>
      <c r="AN193" s="207" t="s">
        <v>1950</v>
      </c>
      <c r="AO193" s="207" t="s">
        <v>1955</v>
      </c>
      <c r="AP193" s="207" t="s">
        <v>1956</v>
      </c>
      <c r="AQ193" s="208" t="s">
        <v>1957</v>
      </c>
      <c r="AR193" s="207" t="s">
        <v>110</v>
      </c>
      <c r="AS193" s="207" t="s">
        <v>81</v>
      </c>
      <c r="AT193" s="213" t="s">
        <v>81</v>
      </c>
      <c r="AU193" s="207" t="s">
        <v>81</v>
      </c>
      <c r="AV193" s="207" t="s">
        <v>81</v>
      </c>
      <c r="AW193" s="207" t="s">
        <v>81</v>
      </c>
      <c r="AX193" s="207" t="s">
        <v>81</v>
      </c>
      <c r="AY193" s="207" t="s">
        <v>81</v>
      </c>
      <c r="AZ193" s="207" t="s">
        <v>81</v>
      </c>
      <c r="BA193" s="207" t="s">
        <v>90</v>
      </c>
      <c r="BB193" s="207">
        <v>10800</v>
      </c>
      <c r="BC193" s="207">
        <v>2700</v>
      </c>
      <c r="BD193" s="207">
        <v>0</v>
      </c>
      <c r="BE193" s="207" t="s">
        <v>91</v>
      </c>
      <c r="BF193" s="207" t="s">
        <v>242</v>
      </c>
      <c r="BG193" s="207" t="s">
        <v>242</v>
      </c>
      <c r="BH193" s="105"/>
      <c r="BI193" s="105"/>
      <c r="BJ193" s="105" t="s">
        <v>242</v>
      </c>
      <c r="BK193" s="207">
        <v>1953393882</v>
      </c>
      <c r="BL193" s="105"/>
    </row>
    <row r="194" ht="19.95" customHeight="1">
      <c r="A194" s="207">
        <v>171687</v>
      </c>
      <c r="B194" s="207"/>
      <c r="C194" s="208" t="s">
        <v>1958</v>
      </c>
      <c r="D194" s="207" t="s">
        <v>1959</v>
      </c>
      <c r="E194" s="207" t="s">
        <v>66</v>
      </c>
      <c r="F194" s="208" t="s">
        <v>1960</v>
      </c>
      <c r="G194" s="207" t="s">
        <v>67</v>
      </c>
      <c r="H194" s="207" t="s">
        <v>68</v>
      </c>
      <c r="I194" s="207" t="s">
        <v>69</v>
      </c>
      <c r="J194" s="208" t="s">
        <v>1725</v>
      </c>
      <c r="K194" s="207" t="s">
        <v>71</v>
      </c>
      <c r="L194" s="207" t="s">
        <v>72</v>
      </c>
      <c r="M194" s="4" t="s">
        <v>1304</v>
      </c>
      <c r="N194" s="207" t="s">
        <v>74</v>
      </c>
      <c r="O194" s="207" t="s">
        <v>75</v>
      </c>
      <c r="P194" s="207">
        <v>35</v>
      </c>
      <c r="Q194" s="209">
        <v>45466</v>
      </c>
      <c r="R194" s="209">
        <v>45475</v>
      </c>
      <c r="S194" s="210"/>
      <c r="T194" s="210"/>
      <c r="U194" s="207"/>
      <c r="V194" s="207"/>
      <c r="W194" s="105" t="s">
        <v>1961</v>
      </c>
      <c r="X194" s="211">
        <v>1785454260</v>
      </c>
      <c r="Y194" s="208">
        <v>1533403027</v>
      </c>
      <c r="Z194" s="207" t="s">
        <v>81</v>
      </c>
      <c r="AA194" s="207"/>
      <c r="AB194" s="207" t="s">
        <v>81</v>
      </c>
      <c r="AC194" s="207" t="s">
        <v>79</v>
      </c>
      <c r="AD194" s="210">
        <v>35442</v>
      </c>
      <c r="AE194" s="212"/>
      <c r="AF194" s="207" t="s">
        <v>80</v>
      </c>
      <c r="AG194" s="211">
        <v>6452894675</v>
      </c>
      <c r="AH194" s="207" t="s">
        <v>81</v>
      </c>
      <c r="AI194" s="208" t="s">
        <v>254</v>
      </c>
      <c r="AJ194" s="208" t="s">
        <v>1962</v>
      </c>
      <c r="AK194" s="208">
        <v>2024</v>
      </c>
      <c r="AL194" s="207" t="s">
        <v>1962</v>
      </c>
      <c r="AM194" s="207" t="s">
        <v>1963</v>
      </c>
      <c r="AN194" s="207" t="s">
        <v>1964</v>
      </c>
      <c r="AO194" s="207" t="s">
        <v>1965</v>
      </c>
      <c r="AP194" s="207" t="s">
        <v>81</v>
      </c>
      <c r="AQ194" s="208" t="s">
        <v>88</v>
      </c>
      <c r="AR194" s="207" t="s">
        <v>89</v>
      </c>
      <c r="AS194" s="207" t="s">
        <v>1966</v>
      </c>
      <c r="AT194" s="213">
        <v>33315</v>
      </c>
      <c r="AU194" s="207" t="s">
        <v>1967</v>
      </c>
      <c r="AV194" s="207">
        <v>43942</v>
      </c>
      <c r="AW194" s="207" t="s">
        <v>81</v>
      </c>
      <c r="AX194" s="207" t="s">
        <v>81</v>
      </c>
      <c r="AY194" s="207" t="s">
        <v>81</v>
      </c>
      <c r="AZ194" s="207" t="s">
        <v>81</v>
      </c>
      <c r="BA194" s="207" t="s">
        <v>90</v>
      </c>
      <c r="BB194" s="207">
        <v>10800</v>
      </c>
      <c r="BC194" s="207">
        <v>2700</v>
      </c>
      <c r="BD194" s="207">
        <v>0</v>
      </c>
      <c r="BE194" s="207" t="s">
        <v>91</v>
      </c>
      <c r="BF194" s="207" t="s">
        <v>242</v>
      </c>
      <c r="BG194" s="207" t="s">
        <v>242</v>
      </c>
      <c r="BH194" s="105"/>
      <c r="BI194" s="105"/>
      <c r="BJ194" s="105" t="s">
        <v>242</v>
      </c>
      <c r="BK194" s="207">
        <v>1740747041</v>
      </c>
      <c r="BL194" s="105"/>
    </row>
    <row r="195" ht="19.95" customHeight="1">
      <c r="A195" s="207">
        <v>171691</v>
      </c>
      <c r="B195" s="207"/>
      <c r="C195" s="208" t="s">
        <v>1968</v>
      </c>
      <c r="D195" s="207" t="s">
        <v>1969</v>
      </c>
      <c r="E195" s="207" t="s">
        <v>114</v>
      </c>
      <c r="F195" s="208">
        <v>1010684459</v>
      </c>
      <c r="G195" s="207" t="s">
        <v>67</v>
      </c>
      <c r="H195" s="207" t="s">
        <v>68</v>
      </c>
      <c r="I195" s="207" t="s">
        <v>69</v>
      </c>
      <c r="J195" s="208" t="s">
        <v>1970</v>
      </c>
      <c r="K195" s="207" t="s">
        <v>71</v>
      </c>
      <c r="L195" s="207" t="s">
        <v>72</v>
      </c>
      <c r="M195" s="4" t="s">
        <v>369</v>
      </c>
      <c r="N195" s="207" t="s">
        <v>74</v>
      </c>
      <c r="O195" s="207" t="s">
        <v>75</v>
      </c>
      <c r="P195" s="207">
        <v>35</v>
      </c>
      <c r="Q195" s="209">
        <v>45466</v>
      </c>
      <c r="R195" s="209">
        <v>45475</v>
      </c>
      <c r="S195" s="210"/>
      <c r="T195" s="210"/>
      <c r="U195" s="207"/>
      <c r="V195" s="207"/>
      <c r="W195" s="105" t="s">
        <v>1971</v>
      </c>
      <c r="X195" s="211">
        <v>1760906767</v>
      </c>
      <c r="Y195" s="208">
        <v>1879791669</v>
      </c>
      <c r="Z195" s="207" t="s">
        <v>1972</v>
      </c>
      <c r="AA195" s="207">
        <v>1734331304</v>
      </c>
      <c r="AB195" s="207" t="s">
        <v>132</v>
      </c>
      <c r="AC195" s="207" t="s">
        <v>133</v>
      </c>
      <c r="AD195" s="210">
        <v>35603</v>
      </c>
      <c r="AE195" s="212"/>
      <c r="AF195" s="207" t="s">
        <v>80</v>
      </c>
      <c r="AG195" s="211">
        <v>9576937420</v>
      </c>
      <c r="AH195" s="207" t="s">
        <v>81</v>
      </c>
      <c r="AI195" s="208" t="s">
        <v>347</v>
      </c>
      <c r="AJ195" s="208" t="s">
        <v>333</v>
      </c>
      <c r="AK195" s="208">
        <v>2020</v>
      </c>
      <c r="AL195" s="207" t="s">
        <v>209</v>
      </c>
      <c r="AM195" s="207" t="s">
        <v>1973</v>
      </c>
      <c r="AN195" s="207" t="s">
        <v>1972</v>
      </c>
      <c r="AO195" s="207" t="s">
        <v>1974</v>
      </c>
      <c r="AP195" s="207" t="s">
        <v>1975</v>
      </c>
      <c r="AQ195" s="208" t="s">
        <v>203</v>
      </c>
      <c r="AR195" s="207" t="s">
        <v>110</v>
      </c>
      <c r="AS195" s="207" t="s">
        <v>81</v>
      </c>
      <c r="AT195" s="213" t="s">
        <v>81</v>
      </c>
      <c r="AU195" s="207" t="s">
        <v>81</v>
      </c>
      <c r="AV195" s="207" t="s">
        <v>81</v>
      </c>
      <c r="AW195" s="207" t="s">
        <v>81</v>
      </c>
      <c r="AX195" s="207" t="s">
        <v>81</v>
      </c>
      <c r="AY195" s="207" t="s">
        <v>81</v>
      </c>
      <c r="AZ195" s="207" t="s">
        <v>81</v>
      </c>
      <c r="BA195" s="207" t="s">
        <v>90</v>
      </c>
      <c r="BB195" s="207">
        <v>10800</v>
      </c>
      <c r="BC195" s="207">
        <v>2700</v>
      </c>
      <c r="BD195" s="207">
        <v>0</v>
      </c>
      <c r="BE195" s="207" t="s">
        <v>91</v>
      </c>
      <c r="BF195" s="207" t="s">
        <v>242</v>
      </c>
      <c r="BG195" s="207" t="s">
        <v>242</v>
      </c>
      <c r="BH195" s="105"/>
      <c r="BI195" s="105"/>
      <c r="BJ195" s="105" t="s">
        <v>242</v>
      </c>
      <c r="BK195" s="207">
        <v>1879791669</v>
      </c>
      <c r="BL195" s="105"/>
    </row>
    <row r="196" ht="19.95" customHeight="1">
      <c r="A196" s="207">
        <v>171692</v>
      </c>
      <c r="B196" s="207"/>
      <c r="C196" s="208" t="s">
        <v>1976</v>
      </c>
      <c r="D196" s="207" t="s">
        <v>1977</v>
      </c>
      <c r="E196" s="207" t="s">
        <v>114</v>
      </c>
      <c r="F196" s="208">
        <v>810205</v>
      </c>
      <c r="G196" s="207" t="s">
        <v>67</v>
      </c>
      <c r="H196" s="207" t="s">
        <v>68</v>
      </c>
      <c r="I196" s="207" t="s">
        <v>69</v>
      </c>
      <c r="J196" s="208" t="s">
        <v>1970</v>
      </c>
      <c r="K196" s="207" t="s">
        <v>71</v>
      </c>
      <c r="L196" s="207" t="s">
        <v>72</v>
      </c>
      <c r="M196" s="4" t="s">
        <v>369</v>
      </c>
      <c r="N196" s="207" t="s">
        <v>74</v>
      </c>
      <c r="O196" s="207" t="s">
        <v>75</v>
      </c>
      <c r="P196" s="207">
        <v>35</v>
      </c>
      <c r="Q196" s="209">
        <v>45466</v>
      </c>
      <c r="R196" s="209">
        <v>45475</v>
      </c>
      <c r="S196" s="210"/>
      <c r="T196" s="210"/>
      <c r="U196" s="207"/>
      <c r="V196" s="207"/>
      <c r="W196" s="105" t="s">
        <v>1978</v>
      </c>
      <c r="X196" s="211">
        <v>1876886399</v>
      </c>
      <c r="Y196" s="208">
        <v>1911524113</v>
      </c>
      <c r="Z196" s="207" t="s">
        <v>1979</v>
      </c>
      <c r="AA196" s="207">
        <v>1955723051</v>
      </c>
      <c r="AB196" s="207" t="s">
        <v>1980</v>
      </c>
      <c r="AC196" s="207" t="s">
        <v>79</v>
      </c>
      <c r="AD196" s="210">
        <v>33704</v>
      </c>
      <c r="AE196" s="212"/>
      <c r="AF196" s="207" t="s">
        <v>80</v>
      </c>
      <c r="AG196" s="211">
        <v>19921996712000000</v>
      </c>
      <c r="AH196" s="207" t="s">
        <v>81</v>
      </c>
      <c r="AI196" s="208" t="s">
        <v>1981</v>
      </c>
      <c r="AJ196" s="208" t="s">
        <v>81</v>
      </c>
      <c r="AK196" s="208">
        <v>2017</v>
      </c>
      <c r="AL196" s="207" t="s">
        <v>1982</v>
      </c>
      <c r="AM196" s="207" t="s">
        <v>1983</v>
      </c>
      <c r="AN196" s="207" t="s">
        <v>1984</v>
      </c>
      <c r="AO196" s="207" t="s">
        <v>1985</v>
      </c>
      <c r="AP196" s="207" t="s">
        <v>1986</v>
      </c>
      <c r="AQ196" s="208" t="s">
        <v>1987</v>
      </c>
      <c r="AR196" s="207" t="s">
        <v>89</v>
      </c>
      <c r="AS196" s="207" t="s">
        <v>1979</v>
      </c>
      <c r="AT196" s="213">
        <v>34305</v>
      </c>
      <c r="AU196" s="207" t="s">
        <v>1988</v>
      </c>
      <c r="AV196" s="207">
        <v>44359</v>
      </c>
      <c r="AW196" s="207" t="s">
        <v>81</v>
      </c>
      <c r="AX196" s="207" t="s">
        <v>81</v>
      </c>
      <c r="AY196" s="207" t="s">
        <v>81</v>
      </c>
      <c r="AZ196" s="207" t="s">
        <v>81</v>
      </c>
      <c r="BA196" s="207" t="s">
        <v>90</v>
      </c>
      <c r="BB196" s="207">
        <v>10800</v>
      </c>
      <c r="BC196" s="207">
        <v>2700</v>
      </c>
      <c r="BD196" s="207">
        <v>0</v>
      </c>
      <c r="BE196" s="207" t="s">
        <v>91</v>
      </c>
      <c r="BF196" s="207" t="s">
        <v>242</v>
      </c>
      <c r="BG196" s="207" t="s">
        <v>242</v>
      </c>
      <c r="BH196" s="105"/>
      <c r="BI196" s="105"/>
      <c r="BJ196" s="105" t="s">
        <v>242</v>
      </c>
      <c r="BK196" s="207">
        <v>1957324808</v>
      </c>
      <c r="BL196" s="105"/>
    </row>
    <row r="197" ht="19.95" customHeight="1">
      <c r="A197" s="207">
        <v>171648</v>
      </c>
      <c r="B197" s="207"/>
      <c r="C197" s="208" t="s">
        <v>1989</v>
      </c>
      <c r="D197" s="207" t="s">
        <v>1990</v>
      </c>
      <c r="E197" s="207" t="s">
        <v>1765</v>
      </c>
      <c r="F197" s="208">
        <v>1111413354</v>
      </c>
      <c r="G197" s="207" t="s">
        <v>67</v>
      </c>
      <c r="H197" s="207" t="s">
        <v>68</v>
      </c>
      <c r="I197" s="207" t="s">
        <v>69</v>
      </c>
      <c r="J197" s="208" t="s">
        <v>155</v>
      </c>
      <c r="K197" s="207" t="s">
        <v>1766</v>
      </c>
      <c r="L197" s="207" t="s">
        <v>1767</v>
      </c>
      <c r="M197" s="4" t="s">
        <v>171</v>
      </c>
      <c r="N197" s="207" t="s">
        <v>74</v>
      </c>
      <c r="O197" s="207" t="s">
        <v>75</v>
      </c>
      <c r="P197" s="207">
        <v>33</v>
      </c>
      <c r="Q197" s="209">
        <v>45455</v>
      </c>
      <c r="R197" s="209">
        <v>45476</v>
      </c>
      <c r="S197" s="210" t="s">
        <v>242</v>
      </c>
      <c r="T197" s="210" t="s">
        <v>242</v>
      </c>
      <c r="U197" s="207" t="s">
        <v>242</v>
      </c>
      <c r="V197" s="207" t="s">
        <v>242</v>
      </c>
      <c r="W197" s="105" t="s">
        <v>1991</v>
      </c>
      <c r="X197" s="211">
        <v>1753383837</v>
      </c>
      <c r="Y197" s="208">
        <v>1707921338</v>
      </c>
      <c r="Z197" s="207" t="s">
        <v>1992</v>
      </c>
      <c r="AA197" s="207">
        <v>1744261640</v>
      </c>
      <c r="AB197" s="207" t="s">
        <v>252</v>
      </c>
      <c r="AC197" s="207" t="s">
        <v>119</v>
      </c>
      <c r="AD197" s="210">
        <v>36088</v>
      </c>
      <c r="AE197" s="212">
        <v>26</v>
      </c>
      <c r="AF197" s="207" t="s">
        <v>80</v>
      </c>
      <c r="AG197" s="211">
        <v>1954144240</v>
      </c>
      <c r="AH197" s="207" t="s">
        <v>81</v>
      </c>
      <c r="AI197" s="208" t="s">
        <v>1993</v>
      </c>
      <c r="AJ197" s="208"/>
      <c r="AK197" s="208">
        <v>2024</v>
      </c>
      <c r="AL197" s="207" t="s">
        <v>1994</v>
      </c>
      <c r="AM197" s="207" t="s">
        <v>1995</v>
      </c>
      <c r="AN197" s="207" t="s">
        <v>1996</v>
      </c>
      <c r="AO197" s="207" t="s">
        <v>1997</v>
      </c>
      <c r="AP197" s="207" t="s">
        <v>1998</v>
      </c>
      <c r="AQ197" s="208" t="s">
        <v>151</v>
      </c>
      <c r="AR197" s="207" t="s">
        <v>1774</v>
      </c>
      <c r="AS197" s="207" t="s">
        <v>81</v>
      </c>
      <c r="AT197" s="213" t="s">
        <v>81</v>
      </c>
      <c r="AU197" s="207" t="s">
        <v>81</v>
      </c>
      <c r="AV197" s="207" t="s">
        <v>81</v>
      </c>
      <c r="AW197" s="207" t="s">
        <v>81</v>
      </c>
      <c r="AX197" s="207" t="s">
        <v>81</v>
      </c>
      <c r="AY197" s="207" t="s">
        <v>81</v>
      </c>
      <c r="AZ197" s="207" t="s">
        <v>81</v>
      </c>
      <c r="BA197" s="207" t="s">
        <v>90</v>
      </c>
      <c r="BB197" s="207">
        <v>10800</v>
      </c>
      <c r="BC197" s="207">
        <v>2700</v>
      </c>
      <c r="BD197" s="207">
        <v>1000</v>
      </c>
      <c r="BE197" s="207" t="s">
        <v>166</v>
      </c>
      <c r="BF197" s="207" t="s">
        <v>242</v>
      </c>
      <c r="BG197" s="207" t="s">
        <v>242</v>
      </c>
      <c r="BH197" s="105"/>
      <c r="BI197" s="105"/>
      <c r="BJ197" s="105" t="s">
        <v>242</v>
      </c>
      <c r="BK197" s="207">
        <v>1753383837</v>
      </c>
      <c r="BL197" s="105"/>
    </row>
    <row r="198" ht="19.95" customHeight="1">
      <c r="A198" s="207">
        <v>171652</v>
      </c>
      <c r="B198" s="207"/>
      <c r="C198" s="208" t="s">
        <v>1999</v>
      </c>
      <c r="D198" s="207" t="s">
        <v>2000</v>
      </c>
      <c r="E198" s="207" t="s">
        <v>1765</v>
      </c>
      <c r="F198" s="208">
        <v>1310591202</v>
      </c>
      <c r="G198" s="207" t="s">
        <v>67</v>
      </c>
      <c r="H198" s="207" t="s">
        <v>68</v>
      </c>
      <c r="I198" s="207" t="s">
        <v>69</v>
      </c>
      <c r="J198" s="208" t="s">
        <v>155</v>
      </c>
      <c r="K198" s="207" t="s">
        <v>1766</v>
      </c>
      <c r="L198" s="207" t="s">
        <v>1767</v>
      </c>
      <c r="M198" s="4" t="s">
        <v>171</v>
      </c>
      <c r="N198" s="207" t="s">
        <v>74</v>
      </c>
      <c r="O198" s="207" t="s">
        <v>75</v>
      </c>
      <c r="P198" s="207">
        <v>33</v>
      </c>
      <c r="Q198" s="209">
        <v>45455</v>
      </c>
      <c r="R198" s="209">
        <v>45476</v>
      </c>
      <c r="S198" s="210" t="s">
        <v>242</v>
      </c>
      <c r="T198" s="210" t="s">
        <v>242</v>
      </c>
      <c r="U198" s="207" t="s">
        <v>242</v>
      </c>
      <c r="V198" s="207" t="s">
        <v>242</v>
      </c>
      <c r="W198" s="105" t="s">
        <v>2001</v>
      </c>
      <c r="X198" s="211">
        <v>1304349814</v>
      </c>
      <c r="Y198" s="208">
        <v>1304349814</v>
      </c>
      <c r="Z198" s="207" t="s">
        <v>2002</v>
      </c>
      <c r="AA198" s="207">
        <v>1757454507</v>
      </c>
      <c r="AB198" s="207" t="s">
        <v>132</v>
      </c>
      <c r="AC198" s="207" t="s">
        <v>119</v>
      </c>
      <c r="AD198" s="210">
        <v>37237</v>
      </c>
      <c r="AE198" s="212">
        <v>24</v>
      </c>
      <c r="AF198" s="207" t="s">
        <v>80</v>
      </c>
      <c r="AG198" s="211">
        <v>4224123523</v>
      </c>
      <c r="AH198" s="207" t="s">
        <v>81</v>
      </c>
      <c r="AI198" s="208" t="s">
        <v>290</v>
      </c>
      <c r="AJ198" s="208"/>
      <c r="AK198" s="208">
        <v>2024</v>
      </c>
      <c r="AL198" s="207" t="s">
        <v>1994</v>
      </c>
      <c r="AM198" s="207" t="s">
        <v>2003</v>
      </c>
      <c r="AN198" s="207" t="s">
        <v>2004</v>
      </c>
      <c r="AO198" s="207" t="s">
        <v>2005</v>
      </c>
      <c r="AP198" s="207" t="s">
        <v>2005</v>
      </c>
      <c r="AQ198" s="208" t="s">
        <v>151</v>
      </c>
      <c r="AR198" s="207" t="s">
        <v>1774</v>
      </c>
      <c r="AS198" s="207" t="s">
        <v>81</v>
      </c>
      <c r="AT198" s="213" t="s">
        <v>81</v>
      </c>
      <c r="AU198" s="207" t="s">
        <v>81</v>
      </c>
      <c r="AV198" s="207" t="s">
        <v>81</v>
      </c>
      <c r="AW198" s="207" t="s">
        <v>81</v>
      </c>
      <c r="AX198" s="207" t="s">
        <v>81</v>
      </c>
      <c r="AY198" s="207" t="s">
        <v>81</v>
      </c>
      <c r="AZ198" s="207" t="s">
        <v>81</v>
      </c>
      <c r="BA198" s="207" t="s">
        <v>90</v>
      </c>
      <c r="BB198" s="207">
        <v>10800</v>
      </c>
      <c r="BC198" s="207">
        <v>2700</v>
      </c>
      <c r="BD198" s="207">
        <v>1000</v>
      </c>
      <c r="BE198" s="207" t="s">
        <v>166</v>
      </c>
      <c r="BF198" s="207" t="s">
        <v>242</v>
      </c>
      <c r="BG198" s="207" t="s">
        <v>242</v>
      </c>
      <c r="BH198" s="105"/>
      <c r="BI198" s="105"/>
      <c r="BJ198" s="105" t="s">
        <v>242</v>
      </c>
      <c r="BK198" s="207">
        <v>1304349814</v>
      </c>
      <c r="BL198" s="105"/>
    </row>
    <row r="199" ht="19.95" customHeight="1">
      <c r="A199" s="207">
        <v>171659</v>
      </c>
      <c r="B199" s="207"/>
      <c r="C199" s="208" t="s">
        <v>2006</v>
      </c>
      <c r="D199" s="207" t="s">
        <v>2007</v>
      </c>
      <c r="E199" s="207" t="s">
        <v>1765</v>
      </c>
      <c r="F199" s="208">
        <v>1311113204</v>
      </c>
      <c r="G199" s="207" t="s">
        <v>67</v>
      </c>
      <c r="H199" s="207" t="s">
        <v>68</v>
      </c>
      <c r="I199" s="207" t="s">
        <v>69</v>
      </c>
      <c r="J199" s="208" t="s">
        <v>155</v>
      </c>
      <c r="K199" s="207" t="s">
        <v>1766</v>
      </c>
      <c r="L199" s="207" t="s">
        <v>1767</v>
      </c>
      <c r="M199" s="4" t="s">
        <v>183</v>
      </c>
      <c r="N199" s="207" t="s">
        <v>74</v>
      </c>
      <c r="O199" s="207" t="s">
        <v>75</v>
      </c>
      <c r="P199" s="207">
        <v>33</v>
      </c>
      <c r="Q199" s="209">
        <v>45455</v>
      </c>
      <c r="R199" s="209">
        <v>45476</v>
      </c>
      <c r="S199" s="210" t="s">
        <v>242</v>
      </c>
      <c r="T199" s="210" t="s">
        <v>242</v>
      </c>
      <c r="U199" s="207" t="s">
        <v>242</v>
      </c>
      <c r="V199" s="207" t="s">
        <v>242</v>
      </c>
      <c r="W199" s="105" t="s">
        <v>2008</v>
      </c>
      <c r="X199" s="211">
        <v>1878605156</v>
      </c>
      <c r="Y199" s="208">
        <v>1878605156</v>
      </c>
      <c r="Z199" s="207" t="s">
        <v>2009</v>
      </c>
      <c r="AA199" s="207">
        <v>1301618300</v>
      </c>
      <c r="AB199" s="207" t="s">
        <v>101</v>
      </c>
      <c r="AC199" s="207" t="s">
        <v>133</v>
      </c>
      <c r="AD199" s="210">
        <v>36421</v>
      </c>
      <c r="AE199" s="212">
        <v>24</v>
      </c>
      <c r="AF199" s="207" t="s">
        <v>80</v>
      </c>
      <c r="AG199" s="211">
        <v>3773460997</v>
      </c>
      <c r="AH199" s="207" t="s">
        <v>81</v>
      </c>
      <c r="AI199" s="208" t="s">
        <v>290</v>
      </c>
      <c r="AJ199" s="208"/>
      <c r="AK199" s="208">
        <v>2022</v>
      </c>
      <c r="AL199" s="207" t="s">
        <v>2010</v>
      </c>
      <c r="AM199" s="207" t="s">
        <v>2009</v>
      </c>
      <c r="AN199" s="207" t="s">
        <v>2011</v>
      </c>
      <c r="AO199" s="207" t="s">
        <v>2012</v>
      </c>
      <c r="AP199" s="207" t="s">
        <v>2013</v>
      </c>
      <c r="AQ199" s="208" t="s">
        <v>2012</v>
      </c>
      <c r="AR199" s="207" t="s">
        <v>1774</v>
      </c>
      <c r="AS199" s="207" t="s">
        <v>81</v>
      </c>
      <c r="AT199" s="213" t="s">
        <v>81</v>
      </c>
      <c r="AU199" s="207" t="s">
        <v>81</v>
      </c>
      <c r="AV199" s="207" t="s">
        <v>81</v>
      </c>
      <c r="AW199" s="207" t="s">
        <v>81</v>
      </c>
      <c r="AX199" s="207" t="s">
        <v>81</v>
      </c>
      <c r="AY199" s="207" t="s">
        <v>81</v>
      </c>
      <c r="AZ199" s="207" t="s">
        <v>81</v>
      </c>
      <c r="BA199" s="207" t="s">
        <v>90</v>
      </c>
      <c r="BB199" s="207">
        <v>10800</v>
      </c>
      <c r="BC199" s="207">
        <v>2700</v>
      </c>
      <c r="BD199" s="207">
        <v>1000</v>
      </c>
      <c r="BE199" s="207" t="s">
        <v>166</v>
      </c>
      <c r="BF199" s="207" t="s">
        <v>242</v>
      </c>
      <c r="BG199" s="207" t="s">
        <v>242</v>
      </c>
      <c r="BH199" s="105"/>
      <c r="BI199" s="105"/>
      <c r="BJ199" s="105" t="s">
        <v>242</v>
      </c>
      <c r="BK199" s="207">
        <v>1932558595</v>
      </c>
      <c r="BL199" s="105"/>
    </row>
    <row r="200" ht="19.95" customHeight="1">
      <c r="A200" s="207">
        <v>171664</v>
      </c>
      <c r="B200" s="207"/>
      <c r="C200" s="208" t="s">
        <v>2014</v>
      </c>
      <c r="D200" s="207" t="s">
        <v>2015</v>
      </c>
      <c r="E200" s="207" t="s">
        <v>1765</v>
      </c>
      <c r="F200" s="208">
        <v>1115230635</v>
      </c>
      <c r="G200" s="207" t="s">
        <v>67</v>
      </c>
      <c r="H200" s="207" t="s">
        <v>68</v>
      </c>
      <c r="I200" s="207" t="s">
        <v>69</v>
      </c>
      <c r="J200" s="208" t="s">
        <v>155</v>
      </c>
      <c r="K200" s="207" t="s">
        <v>1766</v>
      </c>
      <c r="L200" s="207" t="s">
        <v>1767</v>
      </c>
      <c r="M200" s="4" t="s">
        <v>183</v>
      </c>
      <c r="N200" s="207" t="s">
        <v>74</v>
      </c>
      <c r="O200" s="207" t="s">
        <v>75</v>
      </c>
      <c r="P200" s="207">
        <v>33</v>
      </c>
      <c r="Q200" s="209">
        <v>45455</v>
      </c>
      <c r="R200" s="209">
        <v>45476</v>
      </c>
      <c r="S200" s="210" t="s">
        <v>242</v>
      </c>
      <c r="T200" s="210" t="s">
        <v>242</v>
      </c>
      <c r="U200" s="207" t="s">
        <v>242</v>
      </c>
      <c r="V200" s="207" t="s">
        <v>242</v>
      </c>
      <c r="W200" s="105" t="s">
        <v>2016</v>
      </c>
      <c r="X200" s="211">
        <v>1798495700</v>
      </c>
      <c r="Y200" s="208">
        <v>1798495700</v>
      </c>
      <c r="Z200" s="207" t="s">
        <v>2017</v>
      </c>
      <c r="AA200" s="207">
        <v>1711354528</v>
      </c>
      <c r="AB200" s="207" t="s">
        <v>101</v>
      </c>
      <c r="AC200" s="207" t="s">
        <v>102</v>
      </c>
      <c r="AD200" s="210">
        <v>35856</v>
      </c>
      <c r="AE200" s="212">
        <v>27</v>
      </c>
      <c r="AF200" s="207" t="s">
        <v>360</v>
      </c>
      <c r="AG200" s="211">
        <v>9154095302</v>
      </c>
      <c r="AH200" s="207" t="s">
        <v>81</v>
      </c>
      <c r="AI200" s="208" t="s">
        <v>322</v>
      </c>
      <c r="AJ200" s="208"/>
      <c r="AK200" s="208">
        <v>2020</v>
      </c>
      <c r="AL200" s="207" t="s">
        <v>2018</v>
      </c>
      <c r="AM200" s="207" t="s">
        <v>2017</v>
      </c>
      <c r="AN200" s="207" t="s">
        <v>2019</v>
      </c>
      <c r="AO200" s="207" t="s">
        <v>2020</v>
      </c>
      <c r="AP200" s="207" t="s">
        <v>2021</v>
      </c>
      <c r="AQ200" s="208" t="s">
        <v>2020</v>
      </c>
      <c r="AR200" s="207" t="s">
        <v>1774</v>
      </c>
      <c r="AS200" s="207" t="s">
        <v>81</v>
      </c>
      <c r="AT200" s="213" t="s">
        <v>81</v>
      </c>
      <c r="AU200" s="207" t="s">
        <v>81</v>
      </c>
      <c r="AV200" s="207" t="s">
        <v>81</v>
      </c>
      <c r="AW200" s="207" t="s">
        <v>81</v>
      </c>
      <c r="AX200" s="207" t="s">
        <v>81</v>
      </c>
      <c r="AY200" s="207" t="s">
        <v>81</v>
      </c>
      <c r="AZ200" s="207" t="s">
        <v>81</v>
      </c>
      <c r="BA200" s="207" t="s">
        <v>90</v>
      </c>
      <c r="BB200" s="207">
        <v>10800</v>
      </c>
      <c r="BC200" s="207">
        <v>2700</v>
      </c>
      <c r="BD200" s="207">
        <v>1000</v>
      </c>
      <c r="BE200" s="207" t="s">
        <v>166</v>
      </c>
      <c r="BF200" s="207" t="s">
        <v>242</v>
      </c>
      <c r="BG200" s="207" t="s">
        <v>242</v>
      </c>
      <c r="BH200" s="105"/>
      <c r="BI200" s="105"/>
      <c r="BJ200" s="105" t="s">
        <v>242</v>
      </c>
      <c r="BK200" s="207">
        <v>1798495700</v>
      </c>
      <c r="BL200" s="105"/>
    </row>
    <row r="201" ht="19.95" customHeight="1">
      <c r="A201" s="207">
        <v>171742</v>
      </c>
      <c r="B201" s="207"/>
      <c r="C201" s="208" t="s">
        <v>2022</v>
      </c>
      <c r="D201" s="207" t="s">
        <v>2023</v>
      </c>
      <c r="E201" s="207" t="s">
        <v>114</v>
      </c>
      <c r="F201" s="208">
        <v>1010936144</v>
      </c>
      <c r="G201" s="207" t="s">
        <v>67</v>
      </c>
      <c r="H201" s="207" t="s">
        <v>68</v>
      </c>
      <c r="I201" s="207" t="s">
        <v>69</v>
      </c>
      <c r="J201" s="208" t="s">
        <v>155</v>
      </c>
      <c r="K201" s="207" t="s">
        <v>1766</v>
      </c>
      <c r="L201" s="207" t="s">
        <v>1767</v>
      </c>
      <c r="M201" s="4" t="s">
        <v>196</v>
      </c>
      <c r="N201" s="207" t="s">
        <v>238</v>
      </c>
      <c r="O201" s="207" t="s">
        <v>2024</v>
      </c>
      <c r="P201" s="207">
        <v>38</v>
      </c>
      <c r="Q201" s="209">
        <v>45482</v>
      </c>
      <c r="R201" s="209">
        <v>45505</v>
      </c>
      <c r="S201" s="210" t="s">
        <v>81</v>
      </c>
      <c r="T201" s="210" t="s">
        <v>81</v>
      </c>
      <c r="U201" s="207" t="s">
        <v>81</v>
      </c>
      <c r="V201" s="207" t="s">
        <v>242</v>
      </c>
      <c r="W201" s="105" t="s">
        <v>2025</v>
      </c>
      <c r="X201" s="211">
        <v>1687083624</v>
      </c>
      <c r="Y201" s="208">
        <v>1534700027</v>
      </c>
      <c r="Z201" s="207" t="s">
        <v>2026</v>
      </c>
      <c r="AA201" s="207">
        <v>1677122101</v>
      </c>
      <c r="AB201" s="207" t="s">
        <v>252</v>
      </c>
      <c r="AC201" s="207" t="s">
        <v>119</v>
      </c>
      <c r="AD201" s="210">
        <v>36129</v>
      </c>
      <c r="AE201" s="212"/>
      <c r="AF201" s="207" t="s">
        <v>80</v>
      </c>
      <c r="AG201" s="211">
        <v>4654795352</v>
      </c>
      <c r="AH201" s="207" t="s">
        <v>81</v>
      </c>
      <c r="AI201" s="208" t="s">
        <v>2027</v>
      </c>
      <c r="AJ201" s="208" t="s">
        <v>81</v>
      </c>
      <c r="AK201" s="208" t="s">
        <v>81</v>
      </c>
      <c r="AL201" s="207" t="s">
        <v>2028</v>
      </c>
      <c r="AM201" s="207" t="s">
        <v>2029</v>
      </c>
      <c r="AN201" s="207" t="s">
        <v>2030</v>
      </c>
      <c r="AO201" s="207" t="s">
        <v>2031</v>
      </c>
      <c r="AP201" s="207" t="s">
        <v>2032</v>
      </c>
      <c r="AQ201" s="208" t="s">
        <v>2033</v>
      </c>
      <c r="AR201" s="207" t="s">
        <v>110</v>
      </c>
      <c r="AS201" s="207" t="s">
        <v>81</v>
      </c>
      <c r="AT201" s="213" t="s">
        <v>81</v>
      </c>
      <c r="AU201" s="207" t="s">
        <v>81</v>
      </c>
      <c r="AV201" s="207" t="s">
        <v>81</v>
      </c>
      <c r="AW201" s="207" t="s">
        <v>81</v>
      </c>
      <c r="AX201" s="207" t="s">
        <v>81</v>
      </c>
      <c r="AY201" s="207" t="s">
        <v>81</v>
      </c>
      <c r="AZ201" s="207" t="s">
        <v>81</v>
      </c>
      <c r="BA201" s="207" t="s">
        <v>90</v>
      </c>
      <c r="BB201" s="207">
        <v>10800</v>
      </c>
      <c r="BC201" s="207">
        <v>2700</v>
      </c>
      <c r="BD201" s="207">
        <v>1000</v>
      </c>
      <c r="BE201" s="207"/>
      <c r="BF201" s="207"/>
      <c r="BG201" s="207"/>
      <c r="BH201" s="105"/>
      <c r="BI201" s="207">
        <v>1687083624</v>
      </c>
      <c r="BJ201" s="105"/>
      <c r="BK201" s="207">
        <v>1687083624</v>
      </c>
      <c r="BL201" s="105">
        <v>1687083624</v>
      </c>
    </row>
    <row r="202" ht="19.95" customHeight="1">
      <c r="A202" s="207">
        <v>171753</v>
      </c>
      <c r="B202" s="207"/>
      <c r="C202" s="208" t="s">
        <v>2034</v>
      </c>
      <c r="D202" s="207" t="s">
        <v>2035</v>
      </c>
      <c r="E202" s="207" t="s">
        <v>114</v>
      </c>
      <c r="F202" s="208">
        <v>1117603641</v>
      </c>
      <c r="G202" s="207" t="s">
        <v>67</v>
      </c>
      <c r="H202" s="207" t="s">
        <v>68</v>
      </c>
      <c r="I202" s="207" t="s">
        <v>69</v>
      </c>
      <c r="J202" s="208" t="s">
        <v>155</v>
      </c>
      <c r="K202" s="207" t="s">
        <v>1766</v>
      </c>
      <c r="L202" s="207" t="s">
        <v>1767</v>
      </c>
      <c r="M202" s="4" t="s">
        <v>171</v>
      </c>
      <c r="N202" s="207" t="s">
        <v>74</v>
      </c>
      <c r="O202" s="207" t="s">
        <v>2024</v>
      </c>
      <c r="P202" s="207">
        <v>38</v>
      </c>
      <c r="Q202" s="209">
        <v>45482</v>
      </c>
      <c r="R202" s="209">
        <v>45505</v>
      </c>
      <c r="S202" s="210" t="s">
        <v>81</v>
      </c>
      <c r="T202" s="210" t="s">
        <v>81</v>
      </c>
      <c r="U202" s="207" t="s">
        <v>81</v>
      </c>
      <c r="V202" s="207" t="s">
        <v>242</v>
      </c>
      <c r="W202" s="105" t="s">
        <v>2036</v>
      </c>
      <c r="X202" s="211">
        <v>1726538375</v>
      </c>
      <c r="Y202" s="208">
        <v>1521424898</v>
      </c>
      <c r="Z202" s="207" t="s">
        <v>2037</v>
      </c>
      <c r="AA202" s="207">
        <v>1747116622</v>
      </c>
      <c r="AB202" s="207" t="s">
        <v>118</v>
      </c>
      <c r="AC202" s="207" t="s">
        <v>119</v>
      </c>
      <c r="AD202" s="210">
        <v>36175</v>
      </c>
      <c r="AE202" s="212"/>
      <c r="AF202" s="207" t="s">
        <v>80</v>
      </c>
      <c r="AG202" s="211">
        <v>9154311543</v>
      </c>
      <c r="AH202" s="207" t="s">
        <v>81</v>
      </c>
      <c r="AI202" s="208" t="s">
        <v>2038</v>
      </c>
      <c r="AJ202" s="208" t="s">
        <v>2039</v>
      </c>
      <c r="AK202" s="208">
        <v>2023</v>
      </c>
      <c r="AL202" s="207" t="s">
        <v>2010</v>
      </c>
      <c r="AM202" s="207" t="s">
        <v>2040</v>
      </c>
      <c r="AN202" s="207" t="s">
        <v>2041</v>
      </c>
      <c r="AO202" s="207" t="s">
        <v>2042</v>
      </c>
      <c r="AP202" s="207" t="s">
        <v>2043</v>
      </c>
      <c r="AQ202" s="208" t="s">
        <v>1096</v>
      </c>
      <c r="AR202" s="207" t="s">
        <v>89</v>
      </c>
      <c r="AS202" s="207" t="s">
        <v>2044</v>
      </c>
      <c r="AT202" s="213">
        <v>36887</v>
      </c>
      <c r="AU202" s="207" t="s">
        <v>81</v>
      </c>
      <c r="AV202" s="207" t="s">
        <v>81</v>
      </c>
      <c r="AW202" s="207" t="s">
        <v>81</v>
      </c>
      <c r="AX202" s="207" t="s">
        <v>81</v>
      </c>
      <c r="AY202" s="207" t="s">
        <v>81</v>
      </c>
      <c r="AZ202" s="207" t="s">
        <v>81</v>
      </c>
      <c r="BA202" s="207" t="s">
        <v>90</v>
      </c>
      <c r="BB202" s="207">
        <v>10800</v>
      </c>
      <c r="BC202" s="207">
        <v>2700</v>
      </c>
      <c r="BD202" s="207">
        <v>1000</v>
      </c>
      <c r="BE202" s="207"/>
      <c r="BF202" s="207"/>
      <c r="BG202" s="207"/>
      <c r="BH202" s="105"/>
      <c r="BI202" s="207">
        <v>1726538375</v>
      </c>
      <c r="BJ202" s="105"/>
      <c r="BK202" s="207">
        <v>1726538375</v>
      </c>
      <c r="BL202" s="105">
        <v>1726538375</v>
      </c>
    </row>
    <row r="203" ht="19.95" customHeight="1">
      <c r="A203" s="207">
        <v>171755</v>
      </c>
      <c r="B203" s="207"/>
      <c r="C203" s="208" t="s">
        <v>2045</v>
      </c>
      <c r="D203" s="207" t="s">
        <v>2046</v>
      </c>
      <c r="E203" s="207" t="s">
        <v>114</v>
      </c>
      <c r="F203" s="208">
        <v>1117511142</v>
      </c>
      <c r="G203" s="207" t="s">
        <v>67</v>
      </c>
      <c r="H203" s="207" t="s">
        <v>68</v>
      </c>
      <c r="I203" s="207" t="s">
        <v>69</v>
      </c>
      <c r="J203" s="208" t="s">
        <v>155</v>
      </c>
      <c r="K203" s="207" t="s">
        <v>1766</v>
      </c>
      <c r="L203" s="207" t="s">
        <v>1767</v>
      </c>
      <c r="M203" s="4" t="s">
        <v>196</v>
      </c>
      <c r="N203" s="207" t="s">
        <v>74</v>
      </c>
      <c r="O203" s="207" t="s">
        <v>2024</v>
      </c>
      <c r="P203" s="207">
        <v>38</v>
      </c>
      <c r="Q203" s="209">
        <v>45482</v>
      </c>
      <c r="R203" s="209">
        <v>45505</v>
      </c>
      <c r="S203" s="210" t="s">
        <v>81</v>
      </c>
      <c r="T203" s="210" t="s">
        <v>81</v>
      </c>
      <c r="U203" s="207" t="s">
        <v>81</v>
      </c>
      <c r="V203" s="207" t="s">
        <v>242</v>
      </c>
      <c r="W203" s="105" t="s">
        <v>2047</v>
      </c>
      <c r="X203" s="211">
        <v>1794954838</v>
      </c>
      <c r="Y203" s="208">
        <v>1607313834</v>
      </c>
      <c r="Z203" s="207" t="s">
        <v>2048</v>
      </c>
      <c r="AA203" s="207">
        <v>1533667328</v>
      </c>
      <c r="AB203" s="207" t="s">
        <v>252</v>
      </c>
      <c r="AC203" s="207" t="s">
        <v>79</v>
      </c>
      <c r="AD203" s="210">
        <v>36111</v>
      </c>
      <c r="AE203" s="212"/>
      <c r="AF203" s="207" t="s">
        <v>80</v>
      </c>
      <c r="AG203" s="211">
        <v>1954686208</v>
      </c>
      <c r="AH203" s="207" t="s">
        <v>81</v>
      </c>
      <c r="AI203" s="208" t="s">
        <v>2049</v>
      </c>
      <c r="AJ203" s="208" t="s">
        <v>81</v>
      </c>
      <c r="AK203" s="208" t="s">
        <v>81</v>
      </c>
      <c r="AL203" s="207" t="s">
        <v>2050</v>
      </c>
      <c r="AM203" s="207" t="s">
        <v>2051</v>
      </c>
      <c r="AN203" s="207" t="s">
        <v>2052</v>
      </c>
      <c r="AO203" s="207" t="s">
        <v>2053</v>
      </c>
      <c r="AP203" s="207" t="s">
        <v>2054</v>
      </c>
      <c r="AQ203" s="208" t="s">
        <v>88</v>
      </c>
      <c r="AR203" s="207" t="s">
        <v>110</v>
      </c>
      <c r="AS203" s="207" t="s">
        <v>81</v>
      </c>
      <c r="AT203" s="213" t="s">
        <v>81</v>
      </c>
      <c r="AU203" s="207" t="s">
        <v>81</v>
      </c>
      <c r="AV203" s="207" t="s">
        <v>81</v>
      </c>
      <c r="AW203" s="207" t="s">
        <v>81</v>
      </c>
      <c r="AX203" s="207" t="s">
        <v>81</v>
      </c>
      <c r="AY203" s="207" t="s">
        <v>81</v>
      </c>
      <c r="AZ203" s="207" t="s">
        <v>81</v>
      </c>
      <c r="BA203" s="207" t="s">
        <v>90</v>
      </c>
      <c r="BB203" s="207">
        <v>10800</v>
      </c>
      <c r="BC203" s="207">
        <v>2700</v>
      </c>
      <c r="BD203" s="207">
        <v>1000</v>
      </c>
      <c r="BE203" s="207"/>
      <c r="BF203" s="207"/>
      <c r="BG203" s="207"/>
      <c r="BH203" s="105"/>
      <c r="BI203" s="207">
        <v>1794954838</v>
      </c>
      <c r="BJ203" s="105"/>
      <c r="BK203" s="207">
        <v>1794954838</v>
      </c>
      <c r="BL203" s="105"/>
    </row>
    <row r="204" ht="19.95" customHeight="1">
      <c r="A204" s="207">
        <v>171746</v>
      </c>
      <c r="B204" s="207"/>
      <c r="C204" s="208" t="s">
        <v>2055</v>
      </c>
      <c r="D204" s="207" t="s">
        <v>2056</v>
      </c>
      <c r="E204" s="207" t="s">
        <v>114</v>
      </c>
      <c r="F204" s="208">
        <v>162533</v>
      </c>
      <c r="G204" s="207" t="s">
        <v>67</v>
      </c>
      <c r="H204" s="207" t="s">
        <v>68</v>
      </c>
      <c r="I204" s="207" t="s">
        <v>69</v>
      </c>
      <c r="J204" s="208" t="s">
        <v>155</v>
      </c>
      <c r="K204" s="207" t="s">
        <v>1766</v>
      </c>
      <c r="L204" s="207" t="s">
        <v>1767</v>
      </c>
      <c r="M204" s="4" t="s">
        <v>171</v>
      </c>
      <c r="N204" s="207" t="s">
        <v>74</v>
      </c>
      <c r="O204" s="207" t="s">
        <v>2024</v>
      </c>
      <c r="P204" s="207">
        <v>38</v>
      </c>
      <c r="Q204" s="209">
        <v>45482</v>
      </c>
      <c r="R204" s="209">
        <v>45505</v>
      </c>
      <c r="S204" s="210" t="s">
        <v>81</v>
      </c>
      <c r="T204" s="210" t="s">
        <v>81</v>
      </c>
      <c r="U204" s="207" t="s">
        <v>81</v>
      </c>
      <c r="V204" s="207" t="s">
        <v>242</v>
      </c>
      <c r="W204" s="105" t="s">
        <v>2057</v>
      </c>
      <c r="X204" s="211">
        <v>1642052132</v>
      </c>
      <c r="Y204" s="208">
        <v>1642228131</v>
      </c>
      <c r="Z204" s="207" t="s">
        <v>2058</v>
      </c>
      <c r="AA204" s="207">
        <v>1303206148</v>
      </c>
      <c r="AB204" s="207" t="s">
        <v>2059</v>
      </c>
      <c r="AC204" s="207" t="s">
        <v>102</v>
      </c>
      <c r="AD204" s="210">
        <v>35065</v>
      </c>
      <c r="AE204" s="212"/>
      <c r="AF204" s="207" t="s">
        <v>80</v>
      </c>
      <c r="AG204" s="211">
        <v>6002001458</v>
      </c>
      <c r="AH204" s="207" t="s">
        <v>81</v>
      </c>
      <c r="AI204" s="208">
        <v>2019</v>
      </c>
      <c r="AJ204" s="208" t="s">
        <v>81</v>
      </c>
      <c r="AK204" s="208" t="s">
        <v>81</v>
      </c>
      <c r="AL204" s="207" t="s">
        <v>2060</v>
      </c>
      <c r="AM204" s="207" t="s">
        <v>2061</v>
      </c>
      <c r="AN204" s="207" t="s">
        <v>2062</v>
      </c>
      <c r="AO204" s="207" t="s">
        <v>2063</v>
      </c>
      <c r="AP204" s="207" t="s">
        <v>2064</v>
      </c>
      <c r="AQ204" s="208" t="s">
        <v>88</v>
      </c>
      <c r="AR204" s="207" t="s">
        <v>2065</v>
      </c>
      <c r="AS204" s="207" t="s">
        <v>2058</v>
      </c>
      <c r="AT204" s="213">
        <v>35319</v>
      </c>
      <c r="AU204" s="207">
        <v>8251995380</v>
      </c>
      <c r="AV204" s="207" t="s">
        <v>81</v>
      </c>
      <c r="AW204" s="207" t="s">
        <v>81</v>
      </c>
      <c r="AX204" s="207" t="s">
        <v>81</v>
      </c>
      <c r="AY204" s="207" t="s">
        <v>81</v>
      </c>
      <c r="AZ204" s="207" t="s">
        <v>81</v>
      </c>
      <c r="BA204" s="207" t="s">
        <v>90</v>
      </c>
      <c r="BB204" s="207">
        <v>10800</v>
      </c>
      <c r="BC204" s="207">
        <v>2700</v>
      </c>
      <c r="BD204" s="207">
        <v>1000</v>
      </c>
      <c r="BE204" s="207"/>
      <c r="BF204" s="207"/>
      <c r="BG204" s="207"/>
      <c r="BH204" s="105"/>
      <c r="BI204" s="207">
        <v>1642052132</v>
      </c>
      <c r="BJ204" s="105"/>
      <c r="BK204" s="207">
        <v>1642052132</v>
      </c>
      <c r="BL204" s="105">
        <v>1642052132</v>
      </c>
    </row>
    <row r="205" ht="19.95" customHeight="1">
      <c r="A205" s="207">
        <v>171757</v>
      </c>
      <c r="B205" s="207"/>
      <c r="C205" s="208" t="s">
        <v>2066</v>
      </c>
      <c r="D205" s="207" t="s">
        <v>2067</v>
      </c>
      <c r="E205" s="207" t="s">
        <v>114</v>
      </c>
      <c r="F205" s="208">
        <v>1210881065</v>
      </c>
      <c r="G205" s="207" t="s">
        <v>67</v>
      </c>
      <c r="H205" s="207" t="s">
        <v>68</v>
      </c>
      <c r="I205" s="207" t="s">
        <v>69</v>
      </c>
      <c r="J205" s="208" t="s">
        <v>297</v>
      </c>
      <c r="K205" s="207" t="s">
        <v>71</v>
      </c>
      <c r="L205" s="207" t="s">
        <v>1767</v>
      </c>
      <c r="M205" s="4" t="s">
        <v>287</v>
      </c>
      <c r="N205" s="207" t="s">
        <v>74</v>
      </c>
      <c r="O205" s="207" t="s">
        <v>2068</v>
      </c>
      <c r="P205" s="207">
        <v>39</v>
      </c>
      <c r="Q205" s="209">
        <v>45633</v>
      </c>
      <c r="R205" s="209">
        <v>45498</v>
      </c>
      <c r="S205" s="210" t="s">
        <v>81</v>
      </c>
      <c r="T205" s="210" t="s">
        <v>81</v>
      </c>
      <c r="U205" s="207" t="s">
        <v>81</v>
      </c>
      <c r="V205" s="207"/>
      <c r="W205" s="105" t="s">
        <v>2069</v>
      </c>
      <c r="X205" s="211">
        <v>1874076565</v>
      </c>
      <c r="Y205" s="208">
        <v>1712251742</v>
      </c>
      <c r="Z205" s="207" t="s">
        <v>2070</v>
      </c>
      <c r="AA205" s="207">
        <v>1874076565</v>
      </c>
      <c r="AB205" s="207" t="s">
        <v>789</v>
      </c>
      <c r="AC205" s="207" t="s">
        <v>102</v>
      </c>
      <c r="AD205" s="210">
        <v>36542</v>
      </c>
      <c r="AE205" s="212"/>
      <c r="AF205" s="207" t="s">
        <v>80</v>
      </c>
      <c r="AG205" s="211">
        <v>1031445743</v>
      </c>
      <c r="AH205" s="207" t="s">
        <v>81</v>
      </c>
      <c r="AI205" s="208" t="s">
        <v>2071</v>
      </c>
      <c r="AJ205" s="208" t="s">
        <v>81</v>
      </c>
      <c r="AK205" s="208">
        <v>2021</v>
      </c>
      <c r="AL205" s="207" t="s">
        <v>2072</v>
      </c>
      <c r="AM205" s="207" t="s">
        <v>2073</v>
      </c>
      <c r="AN205" s="207" t="s">
        <v>2070</v>
      </c>
      <c r="AO205" s="207" t="s">
        <v>2074</v>
      </c>
      <c r="AP205" s="207" t="s">
        <v>2074</v>
      </c>
      <c r="AQ205" s="208" t="s">
        <v>2074</v>
      </c>
      <c r="AR205" s="207" t="s">
        <v>110</v>
      </c>
      <c r="AS205" s="207" t="s">
        <v>81</v>
      </c>
      <c r="AT205" s="213" t="s">
        <v>81</v>
      </c>
      <c r="AU205" s="207" t="s">
        <v>81</v>
      </c>
      <c r="AV205" s="207" t="s">
        <v>81</v>
      </c>
      <c r="AW205" s="207" t="s">
        <v>81</v>
      </c>
      <c r="AX205" s="207" t="s">
        <v>81</v>
      </c>
      <c r="AY205" s="207" t="s">
        <v>81</v>
      </c>
      <c r="AZ205" s="207" t="s">
        <v>81</v>
      </c>
      <c r="BA205" s="207" t="s">
        <v>90</v>
      </c>
      <c r="BB205" s="207">
        <v>10800</v>
      </c>
      <c r="BC205" s="207">
        <v>2700</v>
      </c>
      <c r="BD205" s="207"/>
      <c r="BE205" s="207" t="s">
        <v>91</v>
      </c>
      <c r="BF205" s="207" t="s">
        <v>81</v>
      </c>
      <c r="BG205" s="207" t="s">
        <v>81</v>
      </c>
      <c r="BH205" s="105"/>
      <c r="BI205" s="105"/>
      <c r="BJ205" s="105"/>
      <c r="BK205" s="207">
        <v>1874076565</v>
      </c>
      <c r="BL205" s="105"/>
    </row>
    <row r="206" ht="19.95" customHeight="1">
      <c r="A206" s="207">
        <v>171768</v>
      </c>
      <c r="B206" s="207"/>
      <c r="C206" s="208" t="s">
        <v>2075</v>
      </c>
      <c r="D206" s="207" t="s">
        <v>2076</v>
      </c>
      <c r="E206" s="207" t="s">
        <v>66</v>
      </c>
      <c r="F206" s="208">
        <v>1310579340</v>
      </c>
      <c r="G206" s="207" t="s">
        <v>67</v>
      </c>
      <c r="H206" s="207" t="s">
        <v>68</v>
      </c>
      <c r="I206" s="207" t="s">
        <v>69</v>
      </c>
      <c r="J206" s="208" t="s">
        <v>297</v>
      </c>
      <c r="K206" s="207" t="s">
        <v>71</v>
      </c>
      <c r="L206" s="207" t="s">
        <v>1767</v>
      </c>
      <c r="M206" s="4" t="s">
        <v>115</v>
      </c>
      <c r="N206" s="207" t="s">
        <v>74</v>
      </c>
      <c r="O206" s="207" t="s">
        <v>2068</v>
      </c>
      <c r="P206" s="207">
        <v>39</v>
      </c>
      <c r="Q206" s="209">
        <v>45633</v>
      </c>
      <c r="R206" s="209">
        <v>45498</v>
      </c>
      <c r="S206" s="210" t="s">
        <v>81</v>
      </c>
      <c r="T206" s="210" t="s">
        <v>81</v>
      </c>
      <c r="U206" s="207" t="s">
        <v>81</v>
      </c>
      <c r="V206" s="207"/>
      <c r="W206" s="105" t="s">
        <v>2077</v>
      </c>
      <c r="X206" s="211">
        <v>1765903031</v>
      </c>
      <c r="Y206" s="208">
        <v>1970057513</v>
      </c>
      <c r="Z206" s="207" t="s">
        <v>2078</v>
      </c>
      <c r="AA206" s="207">
        <v>1970057513</v>
      </c>
      <c r="AB206" s="207" t="s">
        <v>118</v>
      </c>
      <c r="AC206" s="207" t="s">
        <v>102</v>
      </c>
      <c r="AD206" s="210">
        <v>36312</v>
      </c>
      <c r="AE206" s="212"/>
      <c r="AF206" s="207" t="s">
        <v>80</v>
      </c>
      <c r="AG206" s="211">
        <v>6915221359</v>
      </c>
      <c r="AH206" s="207" t="s">
        <v>81</v>
      </c>
      <c r="AI206" s="208" t="s">
        <v>290</v>
      </c>
      <c r="AJ206" s="208" t="s">
        <v>81</v>
      </c>
      <c r="AK206" s="208" t="s">
        <v>81</v>
      </c>
      <c r="AL206" s="207" t="s">
        <v>188</v>
      </c>
      <c r="AM206" s="207" t="s">
        <v>2078</v>
      </c>
      <c r="AN206" s="207" t="s">
        <v>2079</v>
      </c>
      <c r="AO206" s="207" t="s">
        <v>2080</v>
      </c>
      <c r="AP206" s="207" t="s">
        <v>2081</v>
      </c>
      <c r="AQ206" s="208" t="s">
        <v>2082</v>
      </c>
      <c r="AR206" s="207" t="s">
        <v>110</v>
      </c>
      <c r="AS206" s="207" t="s">
        <v>81</v>
      </c>
      <c r="AT206" s="213" t="s">
        <v>81</v>
      </c>
      <c r="AU206" s="207" t="s">
        <v>81</v>
      </c>
      <c r="AV206" s="207" t="s">
        <v>81</v>
      </c>
      <c r="AW206" s="207" t="s">
        <v>81</v>
      </c>
      <c r="AX206" s="207" t="s">
        <v>81</v>
      </c>
      <c r="AY206" s="207" t="s">
        <v>81</v>
      </c>
      <c r="AZ206" s="207" t="s">
        <v>81</v>
      </c>
      <c r="BA206" s="207" t="s">
        <v>90</v>
      </c>
      <c r="BB206" s="207">
        <v>10800</v>
      </c>
      <c r="BC206" s="207">
        <v>2700</v>
      </c>
      <c r="BD206" s="207"/>
      <c r="BE206" s="207" t="s">
        <v>91</v>
      </c>
      <c r="BF206" s="207" t="s">
        <v>81</v>
      </c>
      <c r="BG206" s="207" t="s">
        <v>81</v>
      </c>
      <c r="BH206" s="105"/>
      <c r="BI206" s="105"/>
      <c r="BJ206" s="105"/>
      <c r="BK206" s="207">
        <v>1997733575</v>
      </c>
      <c r="BL206" s="105"/>
    </row>
    <row r="207" ht="19.95" customHeight="1">
      <c r="A207" s="207">
        <v>171769</v>
      </c>
      <c r="B207" s="207"/>
      <c r="C207" s="208" t="s">
        <v>2083</v>
      </c>
      <c r="D207" s="207" t="s">
        <v>2084</v>
      </c>
      <c r="E207" s="207" t="s">
        <v>2085</v>
      </c>
      <c r="F207" s="208">
        <v>1018803808</v>
      </c>
      <c r="G207" s="207" t="s">
        <v>67</v>
      </c>
      <c r="H207" s="207" t="s">
        <v>68</v>
      </c>
      <c r="I207" s="207" t="s">
        <v>69</v>
      </c>
      <c r="J207" s="208" t="s">
        <v>297</v>
      </c>
      <c r="K207" s="207" t="s">
        <v>71</v>
      </c>
      <c r="L207" s="207" t="s">
        <v>1767</v>
      </c>
      <c r="M207" s="4" t="s">
        <v>73</v>
      </c>
      <c r="N207" s="207" t="s">
        <v>74</v>
      </c>
      <c r="O207" s="207" t="s">
        <v>2068</v>
      </c>
      <c r="P207" s="207">
        <v>39</v>
      </c>
      <c r="Q207" s="209">
        <v>45633</v>
      </c>
      <c r="R207" s="209">
        <v>45498</v>
      </c>
      <c r="S207" s="210" t="s">
        <v>81</v>
      </c>
      <c r="T207" s="210" t="s">
        <v>81</v>
      </c>
      <c r="U207" s="207" t="s">
        <v>81</v>
      </c>
      <c r="V207" s="207"/>
      <c r="W207" s="105" t="s">
        <v>2086</v>
      </c>
      <c r="X207" s="211">
        <v>1725540041</v>
      </c>
      <c r="Y207" s="208">
        <v>1518424835</v>
      </c>
      <c r="Z207" s="207" t="s">
        <v>2087</v>
      </c>
      <c r="AA207" s="207">
        <v>1518424835</v>
      </c>
      <c r="AB207" s="207" t="s">
        <v>252</v>
      </c>
      <c r="AC207" s="207" t="s">
        <v>102</v>
      </c>
      <c r="AD207" s="210">
        <v>35801</v>
      </c>
      <c r="AE207" s="212"/>
      <c r="AF207" s="207" t="s">
        <v>80</v>
      </c>
      <c r="AG207" s="211">
        <v>7355828281</v>
      </c>
      <c r="AH207" s="207" t="s">
        <v>790</v>
      </c>
      <c r="AI207" s="208" t="s">
        <v>254</v>
      </c>
      <c r="AJ207" s="208" t="s">
        <v>81</v>
      </c>
      <c r="AK207" s="208" t="s">
        <v>81</v>
      </c>
      <c r="AL207" s="207" t="s">
        <v>2088</v>
      </c>
      <c r="AM207" s="207" t="s">
        <v>2089</v>
      </c>
      <c r="AN207" s="207" t="s">
        <v>73</v>
      </c>
      <c r="AO207" s="207" t="s">
        <v>2090</v>
      </c>
      <c r="AP207" s="207" t="s">
        <v>2090</v>
      </c>
      <c r="AQ207" s="208" t="s">
        <v>2091</v>
      </c>
      <c r="AR207" s="207" t="s">
        <v>110</v>
      </c>
      <c r="AS207" s="207" t="s">
        <v>790</v>
      </c>
      <c r="AT207" s="213" t="s">
        <v>790</v>
      </c>
      <c r="AU207" s="207" t="s">
        <v>790</v>
      </c>
      <c r="AV207" s="207" t="s">
        <v>790</v>
      </c>
      <c r="AW207" s="207" t="s">
        <v>790</v>
      </c>
      <c r="AX207" s="207" t="s">
        <v>790</v>
      </c>
      <c r="AY207" s="207" t="s">
        <v>790</v>
      </c>
      <c r="AZ207" s="207" t="s">
        <v>790</v>
      </c>
      <c r="BA207" s="207" t="s">
        <v>90</v>
      </c>
      <c r="BB207" s="207">
        <v>10800</v>
      </c>
      <c r="BC207" s="207">
        <v>2700</v>
      </c>
      <c r="BD207" s="207"/>
      <c r="BE207" s="207" t="s">
        <v>91</v>
      </c>
      <c r="BF207" s="207" t="s">
        <v>81</v>
      </c>
      <c r="BG207" s="207" t="s">
        <v>81</v>
      </c>
      <c r="BH207" s="105"/>
      <c r="BI207" s="105"/>
      <c r="BJ207" s="105"/>
      <c r="BK207" s="207">
        <v>1725540041</v>
      </c>
      <c r="BL207" s="105"/>
    </row>
    <row r="208" ht="19.95" customHeight="1">
      <c r="A208" s="207">
        <v>171771</v>
      </c>
      <c r="B208" s="207"/>
      <c r="C208" s="208" t="s">
        <v>2092</v>
      </c>
      <c r="D208" s="207" t="s">
        <v>2093</v>
      </c>
      <c r="E208" s="207" t="s">
        <v>2094</v>
      </c>
      <c r="F208" s="208" t="s">
        <v>2095</v>
      </c>
      <c r="G208" s="207" t="s">
        <v>67</v>
      </c>
      <c r="H208" s="207" t="s">
        <v>68</v>
      </c>
      <c r="I208" s="207" t="s">
        <v>69</v>
      </c>
      <c r="J208" s="208" t="s">
        <v>297</v>
      </c>
      <c r="K208" s="207" t="s">
        <v>71</v>
      </c>
      <c r="L208" s="207" t="s">
        <v>1767</v>
      </c>
      <c r="M208" s="4" t="s">
        <v>73</v>
      </c>
      <c r="N208" s="207" t="s">
        <v>74</v>
      </c>
      <c r="O208" s="207" t="s">
        <v>2068</v>
      </c>
      <c r="P208" s="207">
        <v>39</v>
      </c>
      <c r="Q208" s="209">
        <v>45633</v>
      </c>
      <c r="R208" s="209">
        <v>45498</v>
      </c>
      <c r="S208" s="210" t="s">
        <v>81</v>
      </c>
      <c r="T208" s="210" t="s">
        <v>81</v>
      </c>
      <c r="U208" s="207" t="s">
        <v>81</v>
      </c>
      <c r="V208" s="207"/>
      <c r="W208" s="105" t="s">
        <v>2096</v>
      </c>
      <c r="X208" s="211">
        <v>1790629845</v>
      </c>
      <c r="Y208" s="208">
        <v>1790629845</v>
      </c>
      <c r="Z208" s="207" t="s">
        <v>2097</v>
      </c>
      <c r="AA208" s="207">
        <v>1720572690</v>
      </c>
      <c r="AB208" s="207" t="s">
        <v>101</v>
      </c>
      <c r="AC208" s="207" t="s">
        <v>133</v>
      </c>
      <c r="AD208" s="210">
        <v>35297</v>
      </c>
      <c r="AE208" s="212"/>
      <c r="AF208" s="207" t="s">
        <v>80</v>
      </c>
      <c r="AG208" s="211">
        <v>9153003141</v>
      </c>
      <c r="AH208" s="207" t="s">
        <v>81</v>
      </c>
      <c r="AI208" s="208" t="s">
        <v>82</v>
      </c>
      <c r="AJ208" s="208" t="s">
        <v>81</v>
      </c>
      <c r="AK208" s="208" t="s">
        <v>81</v>
      </c>
      <c r="AL208" s="207" t="s">
        <v>2098</v>
      </c>
      <c r="AM208" s="207" t="s">
        <v>2099</v>
      </c>
      <c r="AN208" s="207" t="s">
        <v>2100</v>
      </c>
      <c r="AO208" s="207" t="s">
        <v>2101</v>
      </c>
      <c r="AP208" s="207" t="s">
        <v>2102</v>
      </c>
      <c r="AQ208" s="208" t="s">
        <v>1209</v>
      </c>
      <c r="AR208" s="207" t="s">
        <v>110</v>
      </c>
      <c r="AS208" s="207" t="s">
        <v>81</v>
      </c>
      <c r="AT208" s="213" t="s">
        <v>81</v>
      </c>
      <c r="AU208" s="207" t="s">
        <v>81</v>
      </c>
      <c r="AV208" s="207" t="s">
        <v>81</v>
      </c>
      <c r="AW208" s="207" t="s">
        <v>81</v>
      </c>
      <c r="AX208" s="207" t="s">
        <v>81</v>
      </c>
      <c r="AY208" s="207" t="s">
        <v>81</v>
      </c>
      <c r="AZ208" s="207" t="s">
        <v>81</v>
      </c>
      <c r="BA208" s="207" t="s">
        <v>90</v>
      </c>
      <c r="BB208" s="207">
        <v>10800</v>
      </c>
      <c r="BC208" s="207">
        <v>2700</v>
      </c>
      <c r="BD208" s="207"/>
      <c r="BE208" s="207" t="s">
        <v>91</v>
      </c>
      <c r="BF208" s="207" t="s">
        <v>81</v>
      </c>
      <c r="BG208" s="207" t="s">
        <v>81</v>
      </c>
      <c r="BH208" s="105"/>
      <c r="BI208" s="105"/>
      <c r="BJ208" s="105"/>
      <c r="BK208" s="207">
        <v>1790629845</v>
      </c>
      <c r="BL208" s="105">
        <v>1790629845</v>
      </c>
    </row>
    <row r="209" ht="19.95" customHeight="1">
      <c r="A209" s="207">
        <v>171776</v>
      </c>
      <c r="B209" s="207"/>
      <c r="C209" s="208" t="s">
        <v>2103</v>
      </c>
      <c r="D209" s="207" t="s">
        <v>2104</v>
      </c>
      <c r="E209" s="207" t="s">
        <v>2085</v>
      </c>
      <c r="F209" s="208">
        <v>414674</v>
      </c>
      <c r="G209" s="207" t="s">
        <v>67</v>
      </c>
      <c r="H209" s="207" t="s">
        <v>68</v>
      </c>
      <c r="I209" s="207" t="s">
        <v>69</v>
      </c>
      <c r="J209" s="208" t="s">
        <v>297</v>
      </c>
      <c r="K209" s="207" t="s">
        <v>71</v>
      </c>
      <c r="L209" s="207" t="s">
        <v>1767</v>
      </c>
      <c r="M209" s="4" t="s">
        <v>73</v>
      </c>
      <c r="N209" s="207" t="s">
        <v>74</v>
      </c>
      <c r="O209" s="207" t="s">
        <v>2068</v>
      </c>
      <c r="P209" s="207">
        <v>39</v>
      </c>
      <c r="Q209" s="209">
        <v>45633</v>
      </c>
      <c r="R209" s="209">
        <v>45498</v>
      </c>
      <c r="S209" s="210" t="s">
        <v>81</v>
      </c>
      <c r="T209" s="210" t="s">
        <v>81</v>
      </c>
      <c r="U209" s="207" t="s">
        <v>81</v>
      </c>
      <c r="V209" s="207"/>
      <c r="W209" s="105" t="s">
        <v>2105</v>
      </c>
      <c r="X209" s="211">
        <v>1930461777</v>
      </c>
      <c r="Y209" s="208">
        <v>1763268764</v>
      </c>
      <c r="Z209" s="207" t="s">
        <v>2106</v>
      </c>
      <c r="AA209" s="207">
        <v>1763268764</v>
      </c>
      <c r="AB209" s="207" t="s">
        <v>81</v>
      </c>
      <c r="AC209" s="207" t="s">
        <v>79</v>
      </c>
      <c r="AD209" s="210">
        <v>35268</v>
      </c>
      <c r="AE209" s="212"/>
      <c r="AF209" s="207" t="s">
        <v>80</v>
      </c>
      <c r="AG209" s="211">
        <v>5072525149</v>
      </c>
      <c r="AH209" s="207" t="s">
        <v>81</v>
      </c>
      <c r="AI209" s="208" t="s">
        <v>1182</v>
      </c>
      <c r="AJ209" s="208" t="s">
        <v>265</v>
      </c>
      <c r="AK209" s="208">
        <v>2024</v>
      </c>
      <c r="AL209" s="207" t="s">
        <v>2107</v>
      </c>
      <c r="AM209" s="207" t="s">
        <v>2106</v>
      </c>
      <c r="AN209" s="207" t="s">
        <v>2108</v>
      </c>
      <c r="AO209" s="207" t="s">
        <v>2109</v>
      </c>
      <c r="AP209" s="207" t="s">
        <v>2110</v>
      </c>
      <c r="AQ209" s="208" t="s">
        <v>2111</v>
      </c>
      <c r="AR209" s="207" t="s">
        <v>110</v>
      </c>
      <c r="AS209" s="207" t="s">
        <v>81</v>
      </c>
      <c r="AT209" s="213" t="s">
        <v>81</v>
      </c>
      <c r="AU209" s="207" t="s">
        <v>81</v>
      </c>
      <c r="AV209" s="207" t="s">
        <v>81</v>
      </c>
      <c r="AW209" s="207" t="s">
        <v>81</v>
      </c>
      <c r="AX209" s="207" t="s">
        <v>81</v>
      </c>
      <c r="AY209" s="207" t="s">
        <v>81</v>
      </c>
      <c r="AZ209" s="207" t="s">
        <v>81</v>
      </c>
      <c r="BA209" s="207" t="s">
        <v>90</v>
      </c>
      <c r="BB209" s="207">
        <v>10800</v>
      </c>
      <c r="BC209" s="207">
        <v>2700</v>
      </c>
      <c r="BD209" s="207"/>
      <c r="BE209" s="207" t="s">
        <v>91</v>
      </c>
      <c r="BF209" s="207" t="s">
        <v>81</v>
      </c>
      <c r="BG209" s="207" t="s">
        <v>81</v>
      </c>
      <c r="BH209" s="105"/>
      <c r="BI209" s="105"/>
      <c r="BJ209" s="105"/>
      <c r="BK209" s="207">
        <v>1930461777</v>
      </c>
      <c r="BL209" s="105"/>
    </row>
    <row r="210" ht="19.95" customHeight="1">
      <c r="A210" s="207">
        <v>171778</v>
      </c>
      <c r="B210" s="207"/>
      <c r="C210" s="208" t="s">
        <v>2112</v>
      </c>
      <c r="D210" s="207" t="s">
        <v>2113</v>
      </c>
      <c r="E210" s="207" t="s">
        <v>114</v>
      </c>
      <c r="F210" s="208" t="s">
        <v>2114</v>
      </c>
      <c r="G210" s="207" t="s">
        <v>67</v>
      </c>
      <c r="H210" s="207" t="s">
        <v>68</v>
      </c>
      <c r="I210" s="207" t="s">
        <v>69</v>
      </c>
      <c r="J210" s="208" t="s">
        <v>297</v>
      </c>
      <c r="K210" s="207" t="s">
        <v>71</v>
      </c>
      <c r="L210" s="207" t="s">
        <v>1767</v>
      </c>
      <c r="M210" s="4" t="s">
        <v>73</v>
      </c>
      <c r="N210" s="207" t="s">
        <v>74</v>
      </c>
      <c r="O210" s="207" t="s">
        <v>2068</v>
      </c>
      <c r="P210" s="207">
        <v>39</v>
      </c>
      <c r="Q210" s="209">
        <v>45633</v>
      </c>
      <c r="R210" s="209">
        <v>45498</v>
      </c>
      <c r="S210" s="210" t="s">
        <v>81</v>
      </c>
      <c r="T210" s="210" t="s">
        <v>81</v>
      </c>
      <c r="U210" s="207" t="s">
        <v>81</v>
      </c>
      <c r="V210" s="207"/>
      <c r="W210" s="105" t="s">
        <v>2115</v>
      </c>
      <c r="X210" s="211">
        <v>1908500795</v>
      </c>
      <c r="Y210" s="208">
        <v>1627808973</v>
      </c>
      <c r="Z210" s="207" t="s">
        <v>2116</v>
      </c>
      <c r="AA210" s="207">
        <v>1627808973</v>
      </c>
      <c r="AB210" s="207" t="s">
        <v>242</v>
      </c>
      <c r="AC210" s="207" t="s">
        <v>119</v>
      </c>
      <c r="AD210" s="210">
        <v>37534</v>
      </c>
      <c r="AE210" s="212"/>
      <c r="AF210" s="207" t="s">
        <v>80</v>
      </c>
      <c r="AG210" s="211">
        <v>7363987418</v>
      </c>
      <c r="AH210" s="207" t="s">
        <v>2117</v>
      </c>
      <c r="AI210" s="208" t="s">
        <v>925</v>
      </c>
      <c r="AJ210" s="208" t="s">
        <v>2118</v>
      </c>
      <c r="AK210" s="208">
        <v>2024</v>
      </c>
      <c r="AL210" s="207" t="s">
        <v>995</v>
      </c>
      <c r="AM210" s="207" t="s">
        <v>2119</v>
      </c>
      <c r="AN210" s="207" t="s">
        <v>2116</v>
      </c>
      <c r="AO210" s="207" t="s">
        <v>2120</v>
      </c>
      <c r="AP210" s="207" t="s">
        <v>2120</v>
      </c>
      <c r="AQ210" s="208" t="s">
        <v>1209</v>
      </c>
      <c r="AR210" s="207" t="s">
        <v>110</v>
      </c>
      <c r="AS210" s="207" t="s">
        <v>242</v>
      </c>
      <c r="AT210" s="213" t="s">
        <v>242</v>
      </c>
      <c r="AU210" s="207" t="s">
        <v>242</v>
      </c>
      <c r="AV210" s="207" t="s">
        <v>242</v>
      </c>
      <c r="AW210" s="207" t="s">
        <v>242</v>
      </c>
      <c r="AX210" s="207" t="s">
        <v>242</v>
      </c>
      <c r="AY210" s="207" t="s">
        <v>242</v>
      </c>
      <c r="AZ210" s="207" t="s">
        <v>242</v>
      </c>
      <c r="BA210" s="207" t="s">
        <v>90</v>
      </c>
      <c r="BB210" s="207">
        <v>10800</v>
      </c>
      <c r="BC210" s="207">
        <v>2700</v>
      </c>
      <c r="BD210" s="207"/>
      <c r="BE210" s="207" t="s">
        <v>91</v>
      </c>
      <c r="BF210" s="207" t="s">
        <v>81</v>
      </c>
      <c r="BG210" s="207" t="s">
        <v>81</v>
      </c>
      <c r="BH210" s="105"/>
      <c r="BI210" s="105"/>
      <c r="BJ210" s="105"/>
      <c r="BK210" s="207">
        <v>1908500795</v>
      </c>
      <c r="BL210" s="105">
        <v>1908500795</v>
      </c>
    </row>
    <row r="211" ht="19.95" customHeight="1">
      <c r="A211" s="207">
        <v>171699</v>
      </c>
      <c r="B211" s="207"/>
      <c r="C211" s="208" t="s">
        <v>2121</v>
      </c>
      <c r="D211" s="207" t="s">
        <v>2122</v>
      </c>
      <c r="E211" s="207" t="s">
        <v>114</v>
      </c>
      <c r="F211" s="208">
        <v>615300</v>
      </c>
      <c r="G211" s="207" t="s">
        <v>67</v>
      </c>
      <c r="H211" s="207" t="s">
        <v>68</v>
      </c>
      <c r="I211" s="207" t="s">
        <v>69</v>
      </c>
      <c r="J211" s="208" t="s">
        <v>155</v>
      </c>
      <c r="K211" s="207" t="s">
        <v>71</v>
      </c>
      <c r="L211" s="207" t="s">
        <v>72</v>
      </c>
      <c r="M211" s="4" t="s">
        <v>183</v>
      </c>
      <c r="N211" s="207" t="s">
        <v>74</v>
      </c>
      <c r="O211" s="207" t="s">
        <v>75</v>
      </c>
      <c r="P211" s="207">
        <v>36</v>
      </c>
      <c r="Q211" s="209">
        <v>45475</v>
      </c>
      <c r="R211" s="209">
        <v>45491</v>
      </c>
      <c r="S211" s="210"/>
      <c r="T211" s="210"/>
      <c r="U211" s="207"/>
      <c r="V211" s="207"/>
      <c r="W211" s="105" t="s">
        <v>2123</v>
      </c>
      <c r="X211" s="211">
        <v>1880873639</v>
      </c>
      <c r="Y211" s="208">
        <v>1880873639</v>
      </c>
      <c r="Z211" s="207" t="s">
        <v>2124</v>
      </c>
      <c r="AA211" s="207">
        <v>1632121926</v>
      </c>
      <c r="AB211" s="207" t="s">
        <v>186</v>
      </c>
      <c r="AC211" s="207" t="s">
        <v>79</v>
      </c>
      <c r="AD211" s="210">
        <v>35314</v>
      </c>
      <c r="AE211" s="212"/>
      <c r="AF211" s="207" t="s">
        <v>80</v>
      </c>
      <c r="AG211" s="211">
        <v>5102403622</v>
      </c>
      <c r="AH211" s="207" t="s">
        <v>81</v>
      </c>
      <c r="AI211" s="208" t="s">
        <v>2125</v>
      </c>
      <c r="AJ211" s="208" t="s">
        <v>2126</v>
      </c>
      <c r="AK211" s="208">
        <v>2025</v>
      </c>
      <c r="AL211" s="207" t="s">
        <v>2127</v>
      </c>
      <c r="AM211" s="207" t="s">
        <v>2128</v>
      </c>
      <c r="AN211" s="207" t="s">
        <v>2129</v>
      </c>
      <c r="AO211" s="207" t="s">
        <v>2130</v>
      </c>
      <c r="AP211" s="207" t="s">
        <v>2131</v>
      </c>
      <c r="AQ211" s="208" t="s">
        <v>1188</v>
      </c>
      <c r="AR211" s="207" t="s">
        <v>2132</v>
      </c>
      <c r="AS211" s="207" t="s">
        <v>2124</v>
      </c>
      <c r="AT211" s="213">
        <v>35602</v>
      </c>
      <c r="AU211" s="207" t="s">
        <v>81</v>
      </c>
      <c r="AV211" s="207" t="s">
        <v>81</v>
      </c>
      <c r="AW211" s="207" t="s">
        <v>81</v>
      </c>
      <c r="AX211" s="207" t="s">
        <v>81</v>
      </c>
      <c r="AY211" s="207" t="s">
        <v>81</v>
      </c>
      <c r="AZ211" s="207" t="s">
        <v>81</v>
      </c>
      <c r="BA211" s="207" t="s">
        <v>90</v>
      </c>
      <c r="BB211" s="207">
        <v>10800</v>
      </c>
      <c r="BC211" s="207">
        <v>2700</v>
      </c>
      <c r="BD211" s="207">
        <v>1000</v>
      </c>
      <c r="BE211" s="207" t="s">
        <v>166</v>
      </c>
      <c r="BF211" s="207"/>
      <c r="BG211" s="207"/>
      <c r="BH211" s="105"/>
      <c r="BI211" s="105"/>
      <c r="BJ211" s="105"/>
      <c r="BK211" s="207">
        <v>1880873639</v>
      </c>
      <c r="BL211" s="105"/>
    </row>
    <row r="212" ht="19.95" customHeight="1">
      <c r="A212" s="207">
        <v>171745</v>
      </c>
      <c r="B212" s="207"/>
      <c r="C212" s="208" t="s">
        <v>2133</v>
      </c>
      <c r="D212" s="207" t="s">
        <v>2134</v>
      </c>
      <c r="E212" s="207" t="s">
        <v>114</v>
      </c>
      <c r="F212" s="208">
        <v>1010941703</v>
      </c>
      <c r="G212" s="207" t="s">
        <v>67</v>
      </c>
      <c r="H212" s="207" t="s">
        <v>68</v>
      </c>
      <c r="I212" s="207" t="s">
        <v>69</v>
      </c>
      <c r="J212" s="208" t="s">
        <v>155</v>
      </c>
      <c r="K212" s="207" t="s">
        <v>71</v>
      </c>
      <c r="L212" s="207" t="s">
        <v>72</v>
      </c>
      <c r="M212" s="4" t="s">
        <v>171</v>
      </c>
      <c r="N212" s="207" t="s">
        <v>74</v>
      </c>
      <c r="O212" s="207" t="s">
        <v>75</v>
      </c>
      <c r="P212" s="207">
        <v>38</v>
      </c>
      <c r="Q212" s="209">
        <v>45482</v>
      </c>
      <c r="R212" s="209">
        <v>45507</v>
      </c>
      <c r="S212" s="210"/>
      <c r="T212" s="210"/>
      <c r="U212" s="207"/>
      <c r="V212" s="207"/>
      <c r="W212" s="105" t="s">
        <v>2135</v>
      </c>
      <c r="X212" s="211">
        <v>1956845082</v>
      </c>
      <c r="Y212" s="208">
        <v>1326268949</v>
      </c>
      <c r="Z212" s="207" t="s">
        <v>2136</v>
      </c>
      <c r="AA212" s="207">
        <v>1948232901</v>
      </c>
      <c r="AB212" s="207" t="s">
        <v>101</v>
      </c>
      <c r="AC212" s="207" t="s">
        <v>1904</v>
      </c>
      <c r="AD212" s="210">
        <v>35647</v>
      </c>
      <c r="AE212" s="212">
        <v>27</v>
      </c>
      <c r="AF212" s="207" t="s">
        <v>80</v>
      </c>
      <c r="AG212" s="211">
        <v>6902158069</v>
      </c>
      <c r="AH212" s="207" t="s">
        <v>242</v>
      </c>
      <c r="AI212" s="208" t="s">
        <v>925</v>
      </c>
      <c r="AJ212" s="208" t="s">
        <v>242</v>
      </c>
      <c r="AK212" s="208">
        <v>2023</v>
      </c>
      <c r="AL212" s="207" t="s">
        <v>2137</v>
      </c>
      <c r="AM212" s="207" t="s">
        <v>2136</v>
      </c>
      <c r="AN212" s="207" t="s">
        <v>2138</v>
      </c>
      <c r="AO212" s="207" t="s">
        <v>1654</v>
      </c>
      <c r="AP212" s="207" t="s">
        <v>1654</v>
      </c>
      <c r="AQ212" s="208" t="s">
        <v>1654</v>
      </c>
      <c r="AR212" s="207" t="s">
        <v>110</v>
      </c>
      <c r="AS212" s="207" t="s">
        <v>81</v>
      </c>
      <c r="AT212" s="213" t="s">
        <v>81</v>
      </c>
      <c r="AU212" s="207" t="s">
        <v>81</v>
      </c>
      <c r="AV212" s="207" t="s">
        <v>81</v>
      </c>
      <c r="AW212" s="207" t="s">
        <v>81</v>
      </c>
      <c r="AX212" s="207" t="s">
        <v>81</v>
      </c>
      <c r="AY212" s="207" t="s">
        <v>81</v>
      </c>
      <c r="AZ212" s="207" t="s">
        <v>81</v>
      </c>
      <c r="BA212" s="207" t="s">
        <v>90</v>
      </c>
      <c r="BB212" s="207">
        <v>10800</v>
      </c>
      <c r="BC212" s="207">
        <v>2700</v>
      </c>
      <c r="BD212" s="207">
        <v>1000</v>
      </c>
      <c r="BE212" s="207" t="s">
        <v>166</v>
      </c>
      <c r="BF212" s="207"/>
      <c r="BG212" s="207"/>
      <c r="BH212" s="105"/>
      <c r="BI212" s="207">
        <v>1956845082</v>
      </c>
      <c r="BJ212" s="105"/>
      <c r="BK212" s="207">
        <v>1956845082</v>
      </c>
      <c r="BL212" s="105">
        <v>1956845082</v>
      </c>
    </row>
    <row r="213" ht="19.95" customHeight="1">
      <c r="A213" s="207">
        <v>171743</v>
      </c>
      <c r="B213" s="207"/>
      <c r="C213" s="208" t="s">
        <v>2139</v>
      </c>
      <c r="D213" s="207" t="s">
        <v>2140</v>
      </c>
      <c r="E213" s="207" t="s">
        <v>114</v>
      </c>
      <c r="F213" s="208">
        <v>1110460084</v>
      </c>
      <c r="G213" s="207" t="s">
        <v>67</v>
      </c>
      <c r="H213" s="207" t="s">
        <v>68</v>
      </c>
      <c r="I213" s="207" t="s">
        <v>69</v>
      </c>
      <c r="J213" s="208" t="s">
        <v>155</v>
      </c>
      <c r="K213" s="207" t="s">
        <v>71</v>
      </c>
      <c r="L213" s="207" t="s">
        <v>72</v>
      </c>
      <c r="M213" s="4" t="s">
        <v>196</v>
      </c>
      <c r="N213" s="207" t="s">
        <v>74</v>
      </c>
      <c r="O213" s="207" t="s">
        <v>75</v>
      </c>
      <c r="P213" s="207">
        <v>38</v>
      </c>
      <c r="Q213" s="209">
        <v>45482</v>
      </c>
      <c r="R213" s="209">
        <v>45507</v>
      </c>
      <c r="S213" s="210"/>
      <c r="T213" s="210"/>
      <c r="U213" s="207"/>
      <c r="V213" s="207"/>
      <c r="W213" s="105" t="s">
        <v>2141</v>
      </c>
      <c r="X213" s="211">
        <v>1682906550</v>
      </c>
      <c r="Y213" s="208">
        <v>1682906550</v>
      </c>
      <c r="Z213" s="207" t="s">
        <v>2142</v>
      </c>
      <c r="AA213" s="207">
        <v>1758377114</v>
      </c>
      <c r="AB213" s="207" t="s">
        <v>252</v>
      </c>
      <c r="AC213" s="207" t="s">
        <v>79</v>
      </c>
      <c r="AD213" s="210">
        <v>35672</v>
      </c>
      <c r="AE213" s="212">
        <v>27</v>
      </c>
      <c r="AF213" s="207" t="s">
        <v>80</v>
      </c>
      <c r="AG213" s="211">
        <v>3304641370</v>
      </c>
      <c r="AH213" s="207" t="s">
        <v>242</v>
      </c>
      <c r="AI213" s="208" t="s">
        <v>925</v>
      </c>
      <c r="AJ213" s="208" t="s">
        <v>242</v>
      </c>
      <c r="AK213" s="208">
        <v>2020</v>
      </c>
      <c r="AL213" s="207" t="s">
        <v>2143</v>
      </c>
      <c r="AM213" s="207" t="s">
        <v>2144</v>
      </c>
      <c r="AN213" s="207" t="s">
        <v>2145</v>
      </c>
      <c r="AO213" s="207" t="s">
        <v>1188</v>
      </c>
      <c r="AP213" s="207" t="s">
        <v>2146</v>
      </c>
      <c r="AQ213" s="208" t="s">
        <v>1188</v>
      </c>
      <c r="AR213" s="207" t="s">
        <v>110</v>
      </c>
      <c r="AS213" s="207" t="s">
        <v>81</v>
      </c>
      <c r="AT213" s="213" t="s">
        <v>81</v>
      </c>
      <c r="AU213" s="207" t="s">
        <v>81</v>
      </c>
      <c r="AV213" s="207" t="s">
        <v>81</v>
      </c>
      <c r="AW213" s="207" t="s">
        <v>81</v>
      </c>
      <c r="AX213" s="207" t="s">
        <v>81</v>
      </c>
      <c r="AY213" s="207" t="s">
        <v>81</v>
      </c>
      <c r="AZ213" s="207" t="s">
        <v>81</v>
      </c>
      <c r="BA213" s="207" t="s">
        <v>90</v>
      </c>
      <c r="BB213" s="207">
        <v>10800</v>
      </c>
      <c r="BC213" s="207">
        <v>2700</v>
      </c>
      <c r="BD213" s="207">
        <v>1000</v>
      </c>
      <c r="BE213" s="207" t="s">
        <v>166</v>
      </c>
      <c r="BF213" s="207"/>
      <c r="BG213" s="207"/>
      <c r="BH213" s="105"/>
      <c r="BI213" s="207">
        <v>1682906550</v>
      </c>
      <c r="BJ213" s="105"/>
      <c r="BK213" s="207">
        <v>1682906550</v>
      </c>
      <c r="BL213" s="105">
        <v>1682906550</v>
      </c>
    </row>
    <row r="214" ht="19.95" customHeight="1">
      <c r="A214" s="207">
        <v>171752</v>
      </c>
      <c r="B214" s="207"/>
      <c r="C214" s="208" t="s">
        <v>2147</v>
      </c>
      <c r="D214" s="207" t="s">
        <v>2148</v>
      </c>
      <c r="E214" s="207" t="s">
        <v>114</v>
      </c>
      <c r="F214" s="208">
        <v>1110369503</v>
      </c>
      <c r="G214" s="207" t="s">
        <v>67</v>
      </c>
      <c r="H214" s="207" t="s">
        <v>68</v>
      </c>
      <c r="I214" s="207" t="s">
        <v>69</v>
      </c>
      <c r="J214" s="208" t="s">
        <v>155</v>
      </c>
      <c r="K214" s="207" t="s">
        <v>71</v>
      </c>
      <c r="L214" s="207" t="s">
        <v>72</v>
      </c>
      <c r="M214" s="4" t="s">
        <v>156</v>
      </c>
      <c r="N214" s="207" t="s">
        <v>74</v>
      </c>
      <c r="O214" s="207" t="s">
        <v>75</v>
      </c>
      <c r="P214" s="207">
        <v>38</v>
      </c>
      <c r="Q214" s="209">
        <v>45482</v>
      </c>
      <c r="R214" s="209">
        <v>45507</v>
      </c>
      <c r="S214" s="210"/>
      <c r="T214" s="210"/>
      <c r="U214" s="207"/>
      <c r="V214" s="207"/>
      <c r="W214" s="105" t="s">
        <v>2149</v>
      </c>
      <c r="X214" s="211">
        <v>1739876969</v>
      </c>
      <c r="Y214" s="208">
        <v>1739876969</v>
      </c>
      <c r="Z214" s="207" t="s">
        <v>2150</v>
      </c>
      <c r="AA214" s="207">
        <v>1732874142</v>
      </c>
      <c r="AB214" s="207" t="s">
        <v>252</v>
      </c>
      <c r="AC214" s="207" t="s">
        <v>79</v>
      </c>
      <c r="AD214" s="210">
        <v>36193</v>
      </c>
      <c r="AE214" s="212">
        <v>25</v>
      </c>
      <c r="AF214" s="207" t="s">
        <v>80</v>
      </c>
      <c r="AG214" s="211">
        <v>1955276595</v>
      </c>
      <c r="AH214" s="207" t="s">
        <v>242</v>
      </c>
      <c r="AI214" s="208" t="s">
        <v>925</v>
      </c>
      <c r="AJ214" s="208" t="s">
        <v>242</v>
      </c>
      <c r="AK214" s="208">
        <v>2020</v>
      </c>
      <c r="AL214" s="207" t="s">
        <v>2151</v>
      </c>
      <c r="AM214" s="207" t="s">
        <v>2152</v>
      </c>
      <c r="AN214" s="207" t="s">
        <v>2153</v>
      </c>
      <c r="AO214" s="207" t="s">
        <v>1188</v>
      </c>
      <c r="AP214" s="207" t="s">
        <v>2154</v>
      </c>
      <c r="AQ214" s="208" t="s">
        <v>1188</v>
      </c>
      <c r="AR214" s="207" t="s">
        <v>110</v>
      </c>
      <c r="AS214" s="207" t="s">
        <v>81</v>
      </c>
      <c r="AT214" s="213" t="s">
        <v>81</v>
      </c>
      <c r="AU214" s="207" t="s">
        <v>81</v>
      </c>
      <c r="AV214" s="207" t="s">
        <v>81</v>
      </c>
      <c r="AW214" s="207" t="s">
        <v>81</v>
      </c>
      <c r="AX214" s="207" t="s">
        <v>81</v>
      </c>
      <c r="AY214" s="207" t="s">
        <v>81</v>
      </c>
      <c r="AZ214" s="207" t="s">
        <v>81</v>
      </c>
      <c r="BA214" s="207" t="s">
        <v>90</v>
      </c>
      <c r="BB214" s="207">
        <v>10800</v>
      </c>
      <c r="BC214" s="207">
        <v>2700</v>
      </c>
      <c r="BD214" s="207">
        <v>1000</v>
      </c>
      <c r="BE214" s="207" t="s">
        <v>166</v>
      </c>
      <c r="BF214" s="207"/>
      <c r="BG214" s="207"/>
      <c r="BH214" s="105"/>
      <c r="BI214" s="207">
        <v>1739876969</v>
      </c>
      <c r="BJ214" s="105"/>
      <c r="BK214" s="207">
        <v>1739876969</v>
      </c>
      <c r="BL214" s="105">
        <v>1739876969</v>
      </c>
    </row>
    <row r="215" ht="19.95" customHeight="1">
      <c r="A215" s="207">
        <v>171750</v>
      </c>
      <c r="B215" s="207"/>
      <c r="C215" s="208" t="s">
        <v>2155</v>
      </c>
      <c r="D215" s="207" t="s">
        <v>2156</v>
      </c>
      <c r="E215" s="207" t="s">
        <v>114</v>
      </c>
      <c r="F215" s="208">
        <v>1210879191</v>
      </c>
      <c r="G215" s="207" t="s">
        <v>67</v>
      </c>
      <c r="H215" s="207" t="s">
        <v>68</v>
      </c>
      <c r="I215" s="207" t="s">
        <v>69</v>
      </c>
      <c r="J215" s="208" t="s">
        <v>155</v>
      </c>
      <c r="K215" s="207" t="s">
        <v>71</v>
      </c>
      <c r="L215" s="207" t="s">
        <v>72</v>
      </c>
      <c r="M215" s="4" t="s">
        <v>271</v>
      </c>
      <c r="N215" s="207" t="s">
        <v>74</v>
      </c>
      <c r="O215" s="207" t="s">
        <v>75</v>
      </c>
      <c r="P215" s="207">
        <v>38</v>
      </c>
      <c r="Q215" s="209">
        <v>45482</v>
      </c>
      <c r="R215" s="209">
        <v>45507</v>
      </c>
      <c r="S215" s="210"/>
      <c r="T215" s="210"/>
      <c r="U215" s="207"/>
      <c r="V215" s="207"/>
      <c r="W215" s="105" t="s">
        <v>2157</v>
      </c>
      <c r="X215" s="211">
        <v>1795078065</v>
      </c>
      <c r="Y215" s="208">
        <v>1795078065</v>
      </c>
      <c r="Z215" s="207" t="s">
        <v>2158</v>
      </c>
      <c r="AA215" s="207">
        <v>1715032121</v>
      </c>
      <c r="AB215" s="207" t="s">
        <v>101</v>
      </c>
      <c r="AC215" s="207" t="s">
        <v>119</v>
      </c>
      <c r="AD215" s="210">
        <v>36477</v>
      </c>
      <c r="AE215" s="212">
        <v>24</v>
      </c>
      <c r="AF215" s="207" t="s">
        <v>80</v>
      </c>
      <c r="AG215" s="211">
        <v>2412817476</v>
      </c>
      <c r="AH215" s="207" t="s">
        <v>242</v>
      </c>
      <c r="AI215" s="208" t="s">
        <v>925</v>
      </c>
      <c r="AJ215" s="208" t="s">
        <v>242</v>
      </c>
      <c r="AK215" s="208">
        <v>2021</v>
      </c>
      <c r="AL215" s="207" t="s">
        <v>524</v>
      </c>
      <c r="AM215" s="207" t="s">
        <v>2158</v>
      </c>
      <c r="AN215" s="207" t="s">
        <v>2159</v>
      </c>
      <c r="AO215" s="207" t="s">
        <v>328</v>
      </c>
      <c r="AP215" s="207" t="s">
        <v>2160</v>
      </c>
      <c r="AQ215" s="208" t="s">
        <v>328</v>
      </c>
      <c r="AR215" s="207" t="s">
        <v>110</v>
      </c>
      <c r="AS215" s="207" t="s">
        <v>81</v>
      </c>
      <c r="AT215" s="213" t="s">
        <v>81</v>
      </c>
      <c r="AU215" s="207" t="s">
        <v>81</v>
      </c>
      <c r="AV215" s="207" t="s">
        <v>81</v>
      </c>
      <c r="AW215" s="207" t="s">
        <v>81</v>
      </c>
      <c r="AX215" s="207" t="s">
        <v>81</v>
      </c>
      <c r="AY215" s="207" t="s">
        <v>81</v>
      </c>
      <c r="AZ215" s="207" t="s">
        <v>81</v>
      </c>
      <c r="BA215" s="207" t="s">
        <v>90</v>
      </c>
      <c r="BB215" s="207">
        <v>10800</v>
      </c>
      <c r="BC215" s="207">
        <v>2700</v>
      </c>
      <c r="BD215" s="207">
        <v>1000</v>
      </c>
      <c r="BE215" s="207" t="s">
        <v>166</v>
      </c>
      <c r="BF215" s="207"/>
      <c r="BG215" s="207"/>
      <c r="BH215" s="105"/>
      <c r="BI215" s="207">
        <v>1795078065</v>
      </c>
      <c r="BJ215" s="105"/>
      <c r="BK215" s="207">
        <v>1795078065</v>
      </c>
      <c r="BL215" s="105">
        <v>1795078065</v>
      </c>
    </row>
    <row r="216" ht="19.95" customHeight="1">
      <c r="A216" s="207">
        <v>171806</v>
      </c>
      <c r="B216" s="207"/>
      <c r="C216" s="208"/>
      <c r="D216" s="207" t="s">
        <v>2161</v>
      </c>
      <c r="E216" s="207" t="s">
        <v>66</v>
      </c>
      <c r="F216" s="208">
        <v>1310628225</v>
      </c>
      <c r="G216" s="207" t="s">
        <v>67</v>
      </c>
      <c r="H216" s="207" t="s">
        <v>68</v>
      </c>
      <c r="I216" s="207" t="s">
        <v>69</v>
      </c>
      <c r="J216" s="208" t="s">
        <v>2162</v>
      </c>
      <c r="K216" s="207" t="s">
        <v>71</v>
      </c>
      <c r="L216" s="207" t="s">
        <v>72</v>
      </c>
      <c r="M216" s="4" t="s">
        <v>115</v>
      </c>
      <c r="N216" s="207" t="s">
        <v>74</v>
      </c>
      <c r="O216" s="207" t="s">
        <v>75</v>
      </c>
      <c r="P216" s="207">
        <v>41</v>
      </c>
      <c r="Q216" s="209">
        <v>45506</v>
      </c>
      <c r="R216" s="209">
        <v>45517</v>
      </c>
      <c r="S216" s="210"/>
      <c r="T216" s="210"/>
      <c r="U216" s="207"/>
      <c r="V216" s="207"/>
      <c r="W216" s="105"/>
      <c r="X216" s="211">
        <v>1716300392</v>
      </c>
      <c r="Y216" s="208"/>
      <c r="Z216" s="207" t="s">
        <v>2163</v>
      </c>
      <c r="AA216" s="207">
        <v>1921561987</v>
      </c>
      <c r="AB216" s="207" t="s">
        <v>132</v>
      </c>
      <c r="AC216" s="207" t="s">
        <v>133</v>
      </c>
      <c r="AD216" s="210" t="s">
        <v>2164</v>
      </c>
      <c r="AE216" s="212"/>
      <c r="AF216" s="207" t="s">
        <v>80</v>
      </c>
      <c r="AG216" s="211" t="s">
        <v>2165</v>
      </c>
      <c r="AH216" s="207" t="s">
        <v>81</v>
      </c>
      <c r="AI216" s="208" t="s">
        <v>322</v>
      </c>
      <c r="AJ216" s="208"/>
      <c r="AK216" s="208"/>
      <c r="AL216" s="207"/>
      <c r="AM216" s="207" t="s">
        <v>2166</v>
      </c>
      <c r="AN216" s="207" t="s">
        <v>2163</v>
      </c>
      <c r="AO216" s="207" t="s">
        <v>2167</v>
      </c>
      <c r="AP216" s="207" t="s">
        <v>2167</v>
      </c>
      <c r="AQ216" s="208" t="s">
        <v>499</v>
      </c>
      <c r="AR216" s="207"/>
      <c r="AS216" s="207"/>
      <c r="AT216" s="213"/>
      <c r="AU216" s="207"/>
      <c r="AV216" s="207"/>
      <c r="AW216" s="207"/>
      <c r="AX216" s="207"/>
      <c r="AY216" s="207"/>
      <c r="AZ216" s="207"/>
      <c r="BA216" s="207" t="s">
        <v>90</v>
      </c>
      <c r="BB216" s="207">
        <v>10800</v>
      </c>
      <c r="BC216" s="207">
        <v>2700</v>
      </c>
      <c r="BD216" s="207">
        <v>0</v>
      </c>
      <c r="BE216" s="207" t="s">
        <v>91</v>
      </c>
      <c r="BF216" s="207"/>
      <c r="BG216" s="207"/>
      <c r="BH216" s="105"/>
      <c r="BI216" s="105"/>
      <c r="BJ216" s="105"/>
      <c r="BK216" s="207">
        <v>1864362960</v>
      </c>
      <c r="BL216" s="105"/>
    </row>
    <row r="217" ht="19.95" customHeight="1">
      <c r="A217" s="207">
        <v>171809</v>
      </c>
      <c r="B217" s="207"/>
      <c r="C217" s="208"/>
      <c r="D217" s="207" t="s">
        <v>882</v>
      </c>
      <c r="E217" s="207" t="s">
        <v>66</v>
      </c>
      <c r="F217" s="208" t="s">
        <v>2168</v>
      </c>
      <c r="G217" s="207" t="s">
        <v>67</v>
      </c>
      <c r="H217" s="207" t="s">
        <v>68</v>
      </c>
      <c r="I217" s="207" t="s">
        <v>69</v>
      </c>
      <c r="J217" s="208" t="s">
        <v>2162</v>
      </c>
      <c r="K217" s="207" t="s">
        <v>71</v>
      </c>
      <c r="L217" s="207" t="s">
        <v>72</v>
      </c>
      <c r="M217" s="4" t="s">
        <v>98</v>
      </c>
      <c r="N217" s="207" t="s">
        <v>74</v>
      </c>
      <c r="O217" s="207" t="s">
        <v>75</v>
      </c>
      <c r="P217" s="207">
        <v>41</v>
      </c>
      <c r="Q217" s="209">
        <v>45506</v>
      </c>
      <c r="R217" s="209">
        <v>45517</v>
      </c>
      <c r="S217" s="210"/>
      <c r="T217" s="210"/>
      <c r="U217" s="207"/>
      <c r="V217" s="207"/>
      <c r="W217" s="105"/>
      <c r="X217" s="211">
        <v>1873339498</v>
      </c>
      <c r="Y217" s="208"/>
      <c r="Z217" s="207" t="s">
        <v>2169</v>
      </c>
      <c r="AA217" s="207">
        <v>1731504267</v>
      </c>
      <c r="AB217" s="207" t="s">
        <v>132</v>
      </c>
      <c r="AC217" s="207" t="s">
        <v>133</v>
      </c>
      <c r="AD217" s="210">
        <v>34362</v>
      </c>
      <c r="AE217" s="212"/>
      <c r="AF217" s="207" t="s">
        <v>80</v>
      </c>
      <c r="AG217" s="211">
        <v>1000898138</v>
      </c>
      <c r="AH217" s="207" t="s">
        <v>81</v>
      </c>
      <c r="AI217" s="208" t="s">
        <v>322</v>
      </c>
      <c r="AJ217" s="208"/>
      <c r="AK217" s="208"/>
      <c r="AL217" s="207"/>
      <c r="AM217" s="207" t="s">
        <v>2170</v>
      </c>
      <c r="AN217" s="207" t="s">
        <v>2169</v>
      </c>
      <c r="AO217" s="207" t="s">
        <v>2171</v>
      </c>
      <c r="AP217" s="207" t="s">
        <v>2171</v>
      </c>
      <c r="AQ217" s="208" t="s">
        <v>2172</v>
      </c>
      <c r="AR217" s="207"/>
      <c r="AS217" s="207"/>
      <c r="AT217" s="213"/>
      <c r="AU217" s="207"/>
      <c r="AV217" s="207"/>
      <c r="AW217" s="207"/>
      <c r="AX217" s="207"/>
      <c r="AY217" s="207"/>
      <c r="AZ217" s="207"/>
      <c r="BA217" s="207" t="s">
        <v>90</v>
      </c>
      <c r="BB217" s="207">
        <v>10800</v>
      </c>
      <c r="BC217" s="207">
        <v>2700</v>
      </c>
      <c r="BD217" s="207">
        <v>0</v>
      </c>
      <c r="BE217" s="207" t="s">
        <v>91</v>
      </c>
      <c r="BF217" s="207"/>
      <c r="BG217" s="207"/>
      <c r="BH217" s="105"/>
      <c r="BI217" s="105"/>
      <c r="BJ217" s="105"/>
      <c r="BK217" s="207"/>
      <c r="BL217" s="105"/>
    </row>
    <row r="218" ht="19.95" customHeight="1">
      <c r="A218" s="207">
        <v>171817</v>
      </c>
      <c r="B218" s="207"/>
      <c r="C218" s="208"/>
      <c r="D218" s="207" t="s">
        <v>2173</v>
      </c>
      <c r="E218" s="207" t="s">
        <v>114</v>
      </c>
      <c r="F218" s="208">
        <v>80392220092010</v>
      </c>
      <c r="G218" s="207" t="s">
        <v>67</v>
      </c>
      <c r="H218" s="207" t="s">
        <v>68</v>
      </c>
      <c r="I218" s="207" t="s">
        <v>69</v>
      </c>
      <c r="J218" s="208" t="s">
        <v>2162</v>
      </c>
      <c r="K218" s="207" t="s">
        <v>71</v>
      </c>
      <c r="L218" s="207" t="s">
        <v>72</v>
      </c>
      <c r="M218" s="4" t="s">
        <v>115</v>
      </c>
      <c r="N218" s="207" t="s">
        <v>74</v>
      </c>
      <c r="O218" s="207" t="s">
        <v>75</v>
      </c>
      <c r="P218" s="207">
        <v>41</v>
      </c>
      <c r="Q218" s="209">
        <v>45506</v>
      </c>
      <c r="R218" s="209">
        <v>45517</v>
      </c>
      <c r="S218" s="210"/>
      <c r="T218" s="210"/>
      <c r="U218" s="207"/>
      <c r="V218" s="207"/>
      <c r="W218" s="105"/>
      <c r="X218" s="211">
        <v>1723166236</v>
      </c>
      <c r="Y218" s="208"/>
      <c r="Z218" s="207" t="s">
        <v>2174</v>
      </c>
      <c r="AA218" s="207">
        <v>1716872187</v>
      </c>
      <c r="AB218" s="207" t="s">
        <v>101</v>
      </c>
      <c r="AC218" s="207" t="s">
        <v>133</v>
      </c>
      <c r="AD218" s="210">
        <v>35225</v>
      </c>
      <c r="AE218" s="212"/>
      <c r="AF218" s="207" t="s">
        <v>80</v>
      </c>
      <c r="AG218" s="211">
        <v>2392417560</v>
      </c>
      <c r="AH218" s="207" t="s">
        <v>242</v>
      </c>
      <c r="AI218" s="208" t="s">
        <v>322</v>
      </c>
      <c r="AJ218" s="208"/>
      <c r="AK218" s="208"/>
      <c r="AL218" s="207"/>
      <c r="AM218" s="207" t="s">
        <v>2174</v>
      </c>
      <c r="AN218" s="207" t="s">
        <v>2175</v>
      </c>
      <c r="AO218" s="207" t="s">
        <v>1282</v>
      </c>
      <c r="AP218" s="207" t="s">
        <v>2176</v>
      </c>
      <c r="AQ218" s="208" t="s">
        <v>499</v>
      </c>
      <c r="AR218" s="207"/>
      <c r="AS218" s="207"/>
      <c r="AT218" s="213"/>
      <c r="AU218" s="207"/>
      <c r="AV218" s="207"/>
      <c r="AW218" s="207"/>
      <c r="AX218" s="207"/>
      <c r="AY218" s="207"/>
      <c r="AZ218" s="207"/>
      <c r="BA218" s="207" t="s">
        <v>90</v>
      </c>
      <c r="BB218" s="207">
        <v>10800</v>
      </c>
      <c r="BC218" s="207">
        <v>2700</v>
      </c>
      <c r="BD218" s="207">
        <v>0</v>
      </c>
      <c r="BE218" s="207" t="s">
        <v>91</v>
      </c>
      <c r="BF218" s="207"/>
      <c r="BG218" s="207"/>
      <c r="BH218" s="105"/>
      <c r="BI218" s="105"/>
      <c r="BJ218" s="105"/>
      <c r="BK218" s="207">
        <v>1723166236</v>
      </c>
      <c r="BL218" s="105"/>
    </row>
    <row r="219" ht="19.95" customHeight="1">
      <c r="A219" s="207">
        <v>171829</v>
      </c>
      <c r="B219" s="207"/>
      <c r="C219" s="208"/>
      <c r="D219" s="207" t="s">
        <v>1181</v>
      </c>
      <c r="E219" s="207" t="s">
        <v>114</v>
      </c>
      <c r="F219" s="208">
        <v>678897</v>
      </c>
      <c r="G219" s="207" t="s">
        <v>67</v>
      </c>
      <c r="H219" s="207" t="s">
        <v>68</v>
      </c>
      <c r="I219" s="207" t="s">
        <v>69</v>
      </c>
      <c r="J219" s="208" t="s">
        <v>2162</v>
      </c>
      <c r="K219" s="207" t="s">
        <v>71</v>
      </c>
      <c r="L219" s="207" t="s">
        <v>72</v>
      </c>
      <c r="M219" s="4" t="s">
        <v>115</v>
      </c>
      <c r="N219" s="207" t="s">
        <v>74</v>
      </c>
      <c r="O219" s="207" t="s">
        <v>75</v>
      </c>
      <c r="P219" s="207">
        <v>41</v>
      </c>
      <c r="Q219" s="209">
        <v>45506</v>
      </c>
      <c r="R219" s="209">
        <v>45517</v>
      </c>
      <c r="S219" s="210"/>
      <c r="T219" s="210"/>
      <c r="U219" s="207"/>
      <c r="V219" s="207"/>
      <c r="W219" s="105"/>
      <c r="X219" s="211">
        <v>1701484635</v>
      </c>
      <c r="Y219" s="208"/>
      <c r="Z219" s="207" t="s">
        <v>2177</v>
      </c>
      <c r="AA219" s="207">
        <v>1301089378</v>
      </c>
      <c r="AB219" s="207" t="s">
        <v>186</v>
      </c>
      <c r="AC219" s="207" t="s">
        <v>133</v>
      </c>
      <c r="AD219" s="210">
        <v>33913</v>
      </c>
      <c r="AE219" s="212"/>
      <c r="AF219" s="207" t="s">
        <v>80</v>
      </c>
      <c r="AG219" s="211">
        <v>6418584000142</v>
      </c>
      <c r="AH219" s="207" t="s">
        <v>81</v>
      </c>
      <c r="AI219" s="208" t="s">
        <v>217</v>
      </c>
      <c r="AJ219" s="208"/>
      <c r="AK219" s="208"/>
      <c r="AL219" s="207"/>
      <c r="AM219" s="207" t="s">
        <v>2178</v>
      </c>
      <c r="AN219" s="207" t="s">
        <v>2179</v>
      </c>
      <c r="AO219" s="207" t="s">
        <v>2180</v>
      </c>
      <c r="AP219" s="207" t="s">
        <v>2181</v>
      </c>
      <c r="AQ219" s="208" t="s">
        <v>666</v>
      </c>
      <c r="AR219" s="207"/>
      <c r="AS219" s="207"/>
      <c r="AT219" s="213"/>
      <c r="AU219" s="207"/>
      <c r="AV219" s="207"/>
      <c r="AW219" s="207"/>
      <c r="AX219" s="207"/>
      <c r="AY219" s="207"/>
      <c r="AZ219" s="207"/>
      <c r="BA219" s="207" t="s">
        <v>90</v>
      </c>
      <c r="BB219" s="207">
        <v>10800</v>
      </c>
      <c r="BC219" s="207">
        <v>2700</v>
      </c>
      <c r="BD219" s="207">
        <v>0</v>
      </c>
      <c r="BE219" s="207" t="s">
        <v>91</v>
      </c>
      <c r="BF219" s="207"/>
      <c r="BG219" s="207"/>
      <c r="BH219" s="105"/>
      <c r="BI219" s="105"/>
      <c r="BJ219" s="105"/>
      <c r="BK219" s="207">
        <v>1701484635</v>
      </c>
      <c r="BL219" s="105"/>
    </row>
    <row r="220" ht="19.95" customHeight="1">
      <c r="A220" s="207">
        <v>171830</v>
      </c>
      <c r="B220" s="207"/>
      <c r="C220" s="208"/>
      <c r="D220" s="207" t="s">
        <v>2182</v>
      </c>
      <c r="E220" s="207" t="s">
        <v>66</v>
      </c>
      <c r="F220" s="208" t="s">
        <v>81</v>
      </c>
      <c r="G220" s="207" t="s">
        <v>67</v>
      </c>
      <c r="H220" s="207" t="s">
        <v>68</v>
      </c>
      <c r="I220" s="207" t="s">
        <v>69</v>
      </c>
      <c r="J220" s="208" t="s">
        <v>2162</v>
      </c>
      <c r="K220" s="207" t="s">
        <v>71</v>
      </c>
      <c r="L220" s="207" t="s">
        <v>72</v>
      </c>
      <c r="M220" s="4" t="s">
        <v>1304</v>
      </c>
      <c r="N220" s="207" t="s">
        <v>74</v>
      </c>
      <c r="O220" s="207" t="s">
        <v>75</v>
      </c>
      <c r="P220" s="207">
        <v>41</v>
      </c>
      <c r="Q220" s="209">
        <v>45506</v>
      </c>
      <c r="R220" s="209">
        <v>45517</v>
      </c>
      <c r="S220" s="210"/>
      <c r="T220" s="210"/>
      <c r="U220" s="207"/>
      <c r="V220" s="207"/>
      <c r="W220" s="105"/>
      <c r="X220" s="211">
        <v>1952114663</v>
      </c>
      <c r="Y220" s="208"/>
      <c r="Z220" s="207" t="s">
        <v>81</v>
      </c>
      <c r="AA220" s="207">
        <v>1793528572</v>
      </c>
      <c r="AB220" s="207" t="s">
        <v>2183</v>
      </c>
      <c r="AC220" s="207" t="s">
        <v>2184</v>
      </c>
      <c r="AD220" s="210">
        <v>35175</v>
      </c>
      <c r="AE220" s="212"/>
      <c r="AF220" s="207" t="s">
        <v>2185</v>
      </c>
      <c r="AG220" s="211">
        <v>5103416383</v>
      </c>
      <c r="AH220" s="207" t="s">
        <v>81</v>
      </c>
      <c r="AI220" s="208" t="s">
        <v>1339</v>
      </c>
      <c r="AJ220" s="208"/>
      <c r="AK220" s="208"/>
      <c r="AL220" s="207"/>
      <c r="AM220" s="207" t="s">
        <v>2186</v>
      </c>
      <c r="AN220" s="207" t="s">
        <v>2187</v>
      </c>
      <c r="AO220" s="207" t="s">
        <v>2188</v>
      </c>
      <c r="AP220" s="207" t="s">
        <v>2189</v>
      </c>
      <c r="AQ220" s="208" t="s">
        <v>223</v>
      </c>
      <c r="AR220" s="207"/>
      <c r="AS220" s="207"/>
      <c r="AT220" s="213"/>
      <c r="AU220" s="207"/>
      <c r="AV220" s="207"/>
      <c r="AW220" s="207"/>
      <c r="AX220" s="207"/>
      <c r="AY220" s="207"/>
      <c r="AZ220" s="207"/>
      <c r="BA220" s="207" t="s">
        <v>90</v>
      </c>
      <c r="BB220" s="207">
        <v>10800</v>
      </c>
      <c r="BC220" s="207">
        <v>2700</v>
      </c>
      <c r="BD220" s="207">
        <v>0</v>
      </c>
      <c r="BE220" s="207" t="s">
        <v>91</v>
      </c>
      <c r="BF220" s="207"/>
      <c r="BG220" s="207"/>
      <c r="BH220" s="105"/>
      <c r="BI220" s="105"/>
      <c r="BJ220" s="105"/>
      <c r="BK220" s="207">
        <v>1952114663</v>
      </c>
      <c r="BL220" s="105"/>
    </row>
    <row r="221" ht="19.95" customHeight="1">
      <c r="A221" s="207">
        <v>171364</v>
      </c>
      <c r="B221" s="207"/>
      <c r="C221" s="208" t="s">
        <v>2190</v>
      </c>
      <c r="D221" s="207" t="s">
        <v>2191</v>
      </c>
      <c r="E221" s="207" t="s">
        <v>114</v>
      </c>
      <c r="F221" s="208" t="s">
        <v>81</v>
      </c>
      <c r="G221" s="207" t="s">
        <v>67</v>
      </c>
      <c r="H221" s="207" t="s">
        <v>68</v>
      </c>
      <c r="I221" s="207" t="s">
        <v>69</v>
      </c>
      <c r="J221" s="208" t="s">
        <v>155</v>
      </c>
      <c r="K221" s="207" t="s">
        <v>71</v>
      </c>
      <c r="L221" s="207" t="s">
        <v>72</v>
      </c>
      <c r="M221" s="4" t="s">
        <v>156</v>
      </c>
      <c r="N221" s="207" t="s">
        <v>74</v>
      </c>
      <c r="O221" s="207" t="s">
        <v>75</v>
      </c>
      <c r="P221" s="207">
        <v>23</v>
      </c>
      <c r="Q221" s="209">
        <v>45338</v>
      </c>
      <c r="R221" s="209">
        <v>45357</v>
      </c>
      <c r="S221" s="210"/>
      <c r="T221" s="210"/>
      <c r="U221" s="207"/>
      <c r="V221" s="207"/>
      <c r="W221" s="105" t="s">
        <v>2192</v>
      </c>
      <c r="X221" s="211">
        <v>1637018069</v>
      </c>
      <c r="Y221" s="208"/>
      <c r="Z221" s="207" t="s">
        <v>2193</v>
      </c>
      <c r="AA221" s="207">
        <v>1626904548</v>
      </c>
      <c r="AB221" s="207" t="s">
        <v>252</v>
      </c>
      <c r="AC221" s="207" t="s">
        <v>79</v>
      </c>
      <c r="AD221" s="210">
        <v>36870</v>
      </c>
      <c r="AE221" s="212">
        <f>((TODAY())-AD221)/365</f>
        <v>24.183561643835617</v>
      </c>
      <c r="AF221" s="207" t="s">
        <v>80</v>
      </c>
      <c r="AG221" s="211">
        <v>3764102624</v>
      </c>
      <c r="AH221" s="207" t="s">
        <v>81</v>
      </c>
      <c r="AI221" s="208" t="s">
        <v>322</v>
      </c>
      <c r="AJ221" s="208" t="s">
        <v>81</v>
      </c>
      <c r="AK221" s="208">
        <v>2021</v>
      </c>
      <c r="AL221" s="207" t="s">
        <v>2194</v>
      </c>
      <c r="AM221" s="207" t="s">
        <v>2195</v>
      </c>
      <c r="AN221" s="207" t="s">
        <v>2196</v>
      </c>
      <c r="AO221" s="207" t="s">
        <v>2197</v>
      </c>
      <c r="AP221" s="207" t="s">
        <v>2197</v>
      </c>
      <c r="AQ221" s="208" t="s">
        <v>203</v>
      </c>
      <c r="AR221" s="207" t="s">
        <v>110</v>
      </c>
      <c r="AS221" s="207" t="s">
        <v>81</v>
      </c>
      <c r="AT221" s="213" t="s">
        <v>81</v>
      </c>
      <c r="AU221" s="207" t="s">
        <v>81</v>
      </c>
      <c r="AV221" s="207" t="s">
        <v>81</v>
      </c>
      <c r="AW221" s="207" t="s">
        <v>81</v>
      </c>
      <c r="AX221" s="207" t="s">
        <v>81</v>
      </c>
      <c r="AY221" s="207"/>
      <c r="AZ221" s="207"/>
      <c r="BA221" s="207" t="s">
        <v>90</v>
      </c>
      <c r="BB221" s="207">
        <v>10800</v>
      </c>
      <c r="BC221" s="207">
        <v>2700</v>
      </c>
      <c r="BD221" s="207">
        <v>1000</v>
      </c>
      <c r="BE221" s="207" t="s">
        <v>166</v>
      </c>
      <c r="BF221" s="207"/>
      <c r="BG221" s="207"/>
      <c r="BH221" s="105"/>
      <c r="BI221" s="105"/>
      <c r="BJ221" s="105"/>
      <c r="BK221" s="207"/>
      <c r="BL221" s="105"/>
    </row>
    <row r="222" ht="19.95" customHeight="1">
      <c r="A222" s="207">
        <v>171711</v>
      </c>
      <c r="B222" s="207"/>
      <c r="C222" s="208" t="s">
        <v>2198</v>
      </c>
      <c r="D222" s="207" t="s">
        <v>2199</v>
      </c>
      <c r="E222" s="207" t="s">
        <v>66</v>
      </c>
      <c r="F222" s="208">
        <v>496458</v>
      </c>
      <c r="G222" s="207" t="s">
        <v>67</v>
      </c>
      <c r="H222" s="207" t="s">
        <v>68</v>
      </c>
      <c r="I222" s="207" t="s">
        <v>69</v>
      </c>
      <c r="J222" s="208" t="s">
        <v>1725</v>
      </c>
      <c r="K222" s="207" t="s">
        <v>71</v>
      </c>
      <c r="L222" s="207" t="s">
        <v>72</v>
      </c>
      <c r="M222" s="4" t="s">
        <v>1304</v>
      </c>
      <c r="N222" s="207" t="s">
        <v>74</v>
      </c>
      <c r="O222" s="207" t="s">
        <v>75</v>
      </c>
      <c r="P222" s="207">
        <v>37</v>
      </c>
      <c r="Q222" s="209">
        <v>45476</v>
      </c>
      <c r="R222" s="209">
        <v>45485</v>
      </c>
      <c r="S222" s="210" t="s">
        <v>242</v>
      </c>
      <c r="T222" s="210" t="s">
        <v>242</v>
      </c>
      <c r="U222" s="207" t="s">
        <v>242</v>
      </c>
      <c r="V222" s="207" t="s">
        <v>242</v>
      </c>
      <c r="W222" s="105" t="s">
        <v>2200</v>
      </c>
      <c r="X222" s="211">
        <v>1799552123</v>
      </c>
      <c r="Y222" s="208">
        <v>1721138894</v>
      </c>
      <c r="Z222" s="207" t="s">
        <v>2201</v>
      </c>
      <c r="AA222" s="207">
        <v>1721138894</v>
      </c>
      <c r="AB222" s="207" t="s">
        <v>101</v>
      </c>
      <c r="AC222" s="207" t="s">
        <v>102</v>
      </c>
      <c r="AD222" s="210">
        <v>34683</v>
      </c>
      <c r="AE222" s="212"/>
      <c r="AF222" s="207" t="s">
        <v>80</v>
      </c>
      <c r="AG222" s="211">
        <v>9591820395</v>
      </c>
      <c r="AH222" s="207" t="s">
        <v>81</v>
      </c>
      <c r="AI222" s="208" t="s">
        <v>2202</v>
      </c>
      <c r="AJ222" s="208" t="s">
        <v>81</v>
      </c>
      <c r="AK222" s="208">
        <v>2019</v>
      </c>
      <c r="AL222" s="207" t="s">
        <v>2203</v>
      </c>
      <c r="AM222" s="207" t="s">
        <v>2201</v>
      </c>
      <c r="AN222" s="207" t="s">
        <v>2204</v>
      </c>
      <c r="AO222" s="207" t="s">
        <v>2205</v>
      </c>
      <c r="AP222" s="207" t="s">
        <v>2206</v>
      </c>
      <c r="AQ222" s="208" t="s">
        <v>223</v>
      </c>
      <c r="AR222" s="207" t="s">
        <v>110</v>
      </c>
      <c r="AS222" s="207" t="s">
        <v>81</v>
      </c>
      <c r="AT222" s="213" t="s">
        <v>81</v>
      </c>
      <c r="AU222" s="207" t="s">
        <v>81</v>
      </c>
      <c r="AV222" s="207" t="s">
        <v>81</v>
      </c>
      <c r="AW222" s="207" t="s">
        <v>81</v>
      </c>
      <c r="AX222" s="207" t="s">
        <v>81</v>
      </c>
      <c r="AY222" s="207" t="s">
        <v>81</v>
      </c>
      <c r="AZ222" s="207" t="s">
        <v>81</v>
      </c>
      <c r="BA222" s="207" t="s">
        <v>90</v>
      </c>
      <c r="BB222" s="207">
        <v>10800</v>
      </c>
      <c r="BC222" s="207">
        <v>2700</v>
      </c>
      <c r="BD222" s="207">
        <v>0</v>
      </c>
      <c r="BE222" s="207" t="s">
        <v>91</v>
      </c>
      <c r="BF222" s="207" t="s">
        <v>242</v>
      </c>
      <c r="BG222" s="207" t="s">
        <v>242</v>
      </c>
      <c r="BH222" s="105"/>
      <c r="BI222" s="105"/>
      <c r="BJ222" s="105" t="s">
        <v>242</v>
      </c>
      <c r="BK222" s="207">
        <v>1799552123</v>
      </c>
      <c r="BL222" s="105"/>
    </row>
    <row r="223" ht="19.95" customHeight="1">
      <c r="A223" s="207">
        <v>171712</v>
      </c>
      <c r="B223" s="207"/>
      <c r="C223" s="208" t="s">
        <v>2207</v>
      </c>
      <c r="D223" s="207" t="s">
        <v>2208</v>
      </c>
      <c r="E223" s="207" t="s">
        <v>66</v>
      </c>
      <c r="F223" s="208">
        <v>725286</v>
      </c>
      <c r="G223" s="207" t="s">
        <v>67</v>
      </c>
      <c r="H223" s="207" t="s">
        <v>68</v>
      </c>
      <c r="I223" s="207" t="s">
        <v>69</v>
      </c>
      <c r="J223" s="208" t="s">
        <v>341</v>
      </c>
      <c r="K223" s="207" t="s">
        <v>71</v>
      </c>
      <c r="L223" s="207" t="s">
        <v>72</v>
      </c>
      <c r="M223" s="4" t="s">
        <v>342</v>
      </c>
      <c r="N223" s="207" t="s">
        <v>74</v>
      </c>
      <c r="O223" s="207" t="s">
        <v>75</v>
      </c>
      <c r="P223" s="207">
        <v>37</v>
      </c>
      <c r="Q223" s="209">
        <v>45476</v>
      </c>
      <c r="R223" s="209">
        <v>45485</v>
      </c>
      <c r="S223" s="210" t="s">
        <v>242</v>
      </c>
      <c r="T223" s="210" t="s">
        <v>242</v>
      </c>
      <c r="U223" s="207" t="s">
        <v>242</v>
      </c>
      <c r="V223" s="207" t="s">
        <v>242</v>
      </c>
      <c r="W223" s="105" t="s">
        <v>2209</v>
      </c>
      <c r="X223" s="211">
        <v>1767643007</v>
      </c>
      <c r="Y223" s="208">
        <v>1926806839</v>
      </c>
      <c r="Z223" s="207" t="s">
        <v>2210</v>
      </c>
      <c r="AA223" s="207">
        <v>1739815898</v>
      </c>
      <c r="AB223" s="207" t="s">
        <v>118</v>
      </c>
      <c r="AC223" s="207" t="s">
        <v>79</v>
      </c>
      <c r="AD223" s="210">
        <v>33270</v>
      </c>
      <c r="AE223" s="212"/>
      <c r="AF223" s="207" t="s">
        <v>80</v>
      </c>
      <c r="AG223" s="211">
        <v>4607276674</v>
      </c>
      <c r="AH223" s="207" t="s">
        <v>242</v>
      </c>
      <c r="AI223" s="208" t="s">
        <v>2211</v>
      </c>
      <c r="AJ223" s="208" t="s">
        <v>242</v>
      </c>
      <c r="AK223" s="208">
        <v>2017</v>
      </c>
      <c r="AL223" s="207" t="s">
        <v>2212</v>
      </c>
      <c r="AM223" s="207" t="s">
        <v>2213</v>
      </c>
      <c r="AN223" s="207" t="s">
        <v>2214</v>
      </c>
      <c r="AO223" s="207" t="s">
        <v>2215</v>
      </c>
      <c r="AP223" s="207" t="s">
        <v>2216</v>
      </c>
      <c r="AQ223" s="208" t="s">
        <v>1292</v>
      </c>
      <c r="AR223" s="207" t="s">
        <v>110</v>
      </c>
      <c r="AS223" s="207" t="s">
        <v>242</v>
      </c>
      <c r="AT223" s="213" t="s">
        <v>242</v>
      </c>
      <c r="AU223" s="207" t="s">
        <v>242</v>
      </c>
      <c r="AV223" s="207" t="s">
        <v>242</v>
      </c>
      <c r="AW223" s="207" t="s">
        <v>81</v>
      </c>
      <c r="AX223" s="207" t="s">
        <v>81</v>
      </c>
      <c r="AY223" s="207" t="s">
        <v>81</v>
      </c>
      <c r="AZ223" s="207" t="s">
        <v>81</v>
      </c>
      <c r="BA223" s="207" t="s">
        <v>90</v>
      </c>
      <c r="BB223" s="207">
        <v>10800</v>
      </c>
      <c r="BC223" s="207">
        <v>2700</v>
      </c>
      <c r="BD223" s="207">
        <v>0</v>
      </c>
      <c r="BE223" s="207" t="s">
        <v>91</v>
      </c>
      <c r="BF223" s="207" t="s">
        <v>242</v>
      </c>
      <c r="BG223" s="207" t="s">
        <v>242</v>
      </c>
      <c r="BH223" s="105"/>
      <c r="BI223" s="105"/>
      <c r="BJ223" s="105" t="s">
        <v>242</v>
      </c>
      <c r="BK223" s="207">
        <v>1926806839</v>
      </c>
      <c r="BL223" s="105"/>
    </row>
    <row r="224" ht="19.95" customHeight="1">
      <c r="A224" s="207">
        <v>171714</v>
      </c>
      <c r="B224" s="207"/>
      <c r="C224" s="208" t="s">
        <v>2217</v>
      </c>
      <c r="D224" s="207" t="s">
        <v>2218</v>
      </c>
      <c r="E224" s="207" t="s">
        <v>66</v>
      </c>
      <c r="F224" s="208">
        <v>1210961977</v>
      </c>
      <c r="G224" s="207" t="s">
        <v>67</v>
      </c>
      <c r="H224" s="207" t="s">
        <v>68</v>
      </c>
      <c r="I224" s="207" t="s">
        <v>69</v>
      </c>
      <c r="J224" s="208" t="s">
        <v>1725</v>
      </c>
      <c r="K224" s="207" t="s">
        <v>71</v>
      </c>
      <c r="L224" s="207" t="s">
        <v>72</v>
      </c>
      <c r="M224" s="4" t="s">
        <v>1304</v>
      </c>
      <c r="N224" s="207" t="s">
        <v>74</v>
      </c>
      <c r="O224" s="207" t="s">
        <v>75</v>
      </c>
      <c r="P224" s="207">
        <v>37</v>
      </c>
      <c r="Q224" s="209">
        <v>45476</v>
      </c>
      <c r="R224" s="209">
        <v>45485</v>
      </c>
      <c r="S224" s="210" t="s">
        <v>242</v>
      </c>
      <c r="T224" s="210" t="s">
        <v>242</v>
      </c>
      <c r="U224" s="207" t="s">
        <v>242</v>
      </c>
      <c r="V224" s="207" t="s">
        <v>242</v>
      </c>
      <c r="W224" s="105" t="s">
        <v>2219</v>
      </c>
      <c r="X224" s="211">
        <v>1615245024</v>
      </c>
      <c r="Y224" s="208">
        <v>1676235414</v>
      </c>
      <c r="Z224" s="207" t="s">
        <v>2220</v>
      </c>
      <c r="AA224" s="207">
        <v>1676235414</v>
      </c>
      <c r="AB224" s="207" t="s">
        <v>101</v>
      </c>
      <c r="AC224" s="207" t="s">
        <v>133</v>
      </c>
      <c r="AD224" s="210">
        <v>36184</v>
      </c>
      <c r="AE224" s="212"/>
      <c r="AF224" s="207" t="s">
        <v>80</v>
      </c>
      <c r="AG224" s="211">
        <v>8254748117</v>
      </c>
      <c r="AH224" s="207" t="s">
        <v>81</v>
      </c>
      <c r="AI224" s="208" t="s">
        <v>265</v>
      </c>
      <c r="AJ224" s="208" t="s">
        <v>81</v>
      </c>
      <c r="AK224" s="208">
        <v>2022</v>
      </c>
      <c r="AL224" s="207" t="s">
        <v>2221</v>
      </c>
      <c r="AM224" s="207" t="s">
        <v>2220</v>
      </c>
      <c r="AN224" s="207" t="s">
        <v>2222</v>
      </c>
      <c r="AO224" s="207" t="s">
        <v>2223</v>
      </c>
      <c r="AP224" s="207" t="s">
        <v>2223</v>
      </c>
      <c r="AQ224" s="208" t="s">
        <v>285</v>
      </c>
      <c r="AR224" s="207" t="s">
        <v>110</v>
      </c>
      <c r="AS224" s="207" t="s">
        <v>81</v>
      </c>
      <c r="AT224" s="213" t="s">
        <v>81</v>
      </c>
      <c r="AU224" s="207" t="s">
        <v>81</v>
      </c>
      <c r="AV224" s="207" t="s">
        <v>81</v>
      </c>
      <c r="AW224" s="207" t="s">
        <v>81</v>
      </c>
      <c r="AX224" s="207" t="s">
        <v>81</v>
      </c>
      <c r="AY224" s="207" t="s">
        <v>81</v>
      </c>
      <c r="AZ224" s="207" t="s">
        <v>81</v>
      </c>
      <c r="BA224" s="207" t="s">
        <v>90</v>
      </c>
      <c r="BB224" s="207">
        <v>10800</v>
      </c>
      <c r="BC224" s="207">
        <v>2700</v>
      </c>
      <c r="BD224" s="207">
        <v>0</v>
      </c>
      <c r="BE224" s="207" t="s">
        <v>91</v>
      </c>
      <c r="BF224" s="207" t="s">
        <v>242</v>
      </c>
      <c r="BG224" s="207" t="s">
        <v>242</v>
      </c>
      <c r="BH224" s="105"/>
      <c r="BI224" s="105"/>
      <c r="BJ224" s="105" t="s">
        <v>242</v>
      </c>
      <c r="BK224" s="207">
        <v>1615245024</v>
      </c>
      <c r="BL224" s="105"/>
    </row>
    <row r="225" ht="19.95" customHeight="1">
      <c r="A225" s="207">
        <v>171715</v>
      </c>
      <c r="B225" s="207"/>
      <c r="C225" s="208" t="s">
        <v>2224</v>
      </c>
      <c r="D225" s="207" t="s">
        <v>2225</v>
      </c>
      <c r="E225" s="207" t="s">
        <v>66</v>
      </c>
      <c r="F225" s="208">
        <v>1410999495</v>
      </c>
      <c r="G225" s="207" t="s">
        <v>67</v>
      </c>
      <c r="H225" s="207" t="s">
        <v>68</v>
      </c>
      <c r="I225" s="207" t="s">
        <v>69</v>
      </c>
      <c r="J225" s="208" t="s">
        <v>1725</v>
      </c>
      <c r="K225" s="207" t="s">
        <v>71</v>
      </c>
      <c r="L225" s="207" t="s">
        <v>72</v>
      </c>
      <c r="M225" s="4" t="s">
        <v>1304</v>
      </c>
      <c r="N225" s="207" t="s">
        <v>74</v>
      </c>
      <c r="O225" s="207" t="s">
        <v>75</v>
      </c>
      <c r="P225" s="207">
        <v>37</v>
      </c>
      <c r="Q225" s="209">
        <v>45476</v>
      </c>
      <c r="R225" s="209">
        <v>45485</v>
      </c>
      <c r="S225" s="210" t="s">
        <v>242</v>
      </c>
      <c r="T225" s="210" t="s">
        <v>242</v>
      </c>
      <c r="U225" s="207" t="s">
        <v>242</v>
      </c>
      <c r="V225" s="207" t="s">
        <v>242</v>
      </c>
      <c r="W225" s="105" t="s">
        <v>2226</v>
      </c>
      <c r="X225" s="211">
        <v>1688813551</v>
      </c>
      <c r="Y225" s="208">
        <v>1308347479</v>
      </c>
      <c r="Z225" s="207" t="s">
        <v>2227</v>
      </c>
      <c r="AA225" s="207">
        <v>1308347480</v>
      </c>
      <c r="AB225" s="207" t="s">
        <v>118</v>
      </c>
      <c r="AC225" s="207" t="s">
        <v>133</v>
      </c>
      <c r="AD225" s="210">
        <v>37133</v>
      </c>
      <c r="AE225" s="212"/>
      <c r="AF225" s="207" t="s">
        <v>80</v>
      </c>
      <c r="AG225" s="211">
        <v>5573295176</v>
      </c>
      <c r="AH225" s="207" t="s">
        <v>81</v>
      </c>
      <c r="AI225" s="208" t="s">
        <v>2228</v>
      </c>
      <c r="AJ225" s="208" t="s">
        <v>2229</v>
      </c>
      <c r="AK225" s="208">
        <v>2023</v>
      </c>
      <c r="AL225" s="207" t="s">
        <v>2230</v>
      </c>
      <c r="AM225" s="207" t="s">
        <v>2231</v>
      </c>
      <c r="AN225" s="207" t="s">
        <v>2232</v>
      </c>
      <c r="AO225" s="207" t="s">
        <v>2233</v>
      </c>
      <c r="AP225" s="207" t="s">
        <v>2234</v>
      </c>
      <c r="AQ225" s="208" t="s">
        <v>2235</v>
      </c>
      <c r="AR225" s="207" t="s">
        <v>110</v>
      </c>
      <c r="AS225" s="207" t="s">
        <v>81</v>
      </c>
      <c r="AT225" s="213" t="s">
        <v>81</v>
      </c>
      <c r="AU225" s="207" t="s">
        <v>81</v>
      </c>
      <c r="AV225" s="207" t="s">
        <v>81</v>
      </c>
      <c r="AW225" s="207" t="s">
        <v>81</v>
      </c>
      <c r="AX225" s="207" t="s">
        <v>81</v>
      </c>
      <c r="AY225" s="207" t="s">
        <v>81</v>
      </c>
      <c r="AZ225" s="207" t="s">
        <v>81</v>
      </c>
      <c r="BA225" s="207" t="s">
        <v>90</v>
      </c>
      <c r="BB225" s="207">
        <v>10800</v>
      </c>
      <c r="BC225" s="207">
        <v>2700</v>
      </c>
      <c r="BD225" s="207">
        <v>0</v>
      </c>
      <c r="BE225" s="207" t="s">
        <v>91</v>
      </c>
      <c r="BF225" s="207" t="s">
        <v>242</v>
      </c>
      <c r="BG225" s="207" t="s">
        <v>242</v>
      </c>
      <c r="BH225" s="105"/>
      <c r="BI225" s="105"/>
      <c r="BJ225" s="105" t="s">
        <v>242</v>
      </c>
      <c r="BK225" s="207">
        <v>1308347479</v>
      </c>
      <c r="BL225" s="105"/>
    </row>
    <row r="226" ht="19.95" customHeight="1">
      <c r="A226" s="207">
        <v>171716</v>
      </c>
      <c r="B226" s="207"/>
      <c r="C226" s="208" t="s">
        <v>2236</v>
      </c>
      <c r="D226" s="207" t="s">
        <v>2237</v>
      </c>
      <c r="E226" s="207" t="s">
        <v>66</v>
      </c>
      <c r="F226" s="208">
        <v>481892</v>
      </c>
      <c r="G226" s="207" t="s">
        <v>67</v>
      </c>
      <c r="H226" s="207" t="s">
        <v>68</v>
      </c>
      <c r="I226" s="207" t="s">
        <v>69</v>
      </c>
      <c r="J226" s="208" t="s">
        <v>341</v>
      </c>
      <c r="K226" s="207" t="s">
        <v>71</v>
      </c>
      <c r="L226" s="207" t="s">
        <v>72</v>
      </c>
      <c r="M226" s="4" t="s">
        <v>342</v>
      </c>
      <c r="N226" s="207" t="s">
        <v>74</v>
      </c>
      <c r="O226" s="207" t="s">
        <v>75</v>
      </c>
      <c r="P226" s="207">
        <v>37</v>
      </c>
      <c r="Q226" s="209">
        <v>45476</v>
      </c>
      <c r="R226" s="209">
        <v>45485</v>
      </c>
      <c r="S226" s="210" t="s">
        <v>242</v>
      </c>
      <c r="T226" s="210" t="s">
        <v>242</v>
      </c>
      <c r="U226" s="207" t="s">
        <v>242</v>
      </c>
      <c r="V226" s="207" t="s">
        <v>242</v>
      </c>
      <c r="W226" s="105" t="s">
        <v>2238</v>
      </c>
      <c r="X226" s="211">
        <v>1740876840</v>
      </c>
      <c r="Y226" s="208">
        <v>1923305952</v>
      </c>
      <c r="Z226" s="207" t="s">
        <v>2239</v>
      </c>
      <c r="AA226" s="207">
        <v>1714221005</v>
      </c>
      <c r="AB226" s="207" t="s">
        <v>78</v>
      </c>
      <c r="AC226" s="207" t="s">
        <v>119</v>
      </c>
      <c r="AD226" s="210">
        <v>33602</v>
      </c>
      <c r="AE226" s="212"/>
      <c r="AF226" s="207" t="s">
        <v>80</v>
      </c>
      <c r="AG226" s="211">
        <v>7792058526</v>
      </c>
      <c r="AH226" s="207" t="s">
        <v>242</v>
      </c>
      <c r="AI226" s="208" t="s">
        <v>265</v>
      </c>
      <c r="AJ226" s="208" t="s">
        <v>242</v>
      </c>
      <c r="AK226" s="208">
        <v>2015</v>
      </c>
      <c r="AL226" s="207" t="s">
        <v>2240</v>
      </c>
      <c r="AM226" s="207" t="s">
        <v>2241</v>
      </c>
      <c r="AN226" s="207" t="s">
        <v>2242</v>
      </c>
      <c r="AO226" s="207" t="s">
        <v>2243</v>
      </c>
      <c r="AP226" s="207" t="s">
        <v>2244</v>
      </c>
      <c r="AQ226" s="208" t="s">
        <v>2245</v>
      </c>
      <c r="AR226" s="207" t="s">
        <v>89</v>
      </c>
      <c r="AS226" s="207" t="s">
        <v>2239</v>
      </c>
      <c r="AT226" s="213">
        <v>20021983</v>
      </c>
      <c r="AU226" s="207" t="s">
        <v>242</v>
      </c>
      <c r="AV226" s="207" t="s">
        <v>242</v>
      </c>
      <c r="AW226" s="207" t="s">
        <v>81</v>
      </c>
      <c r="AX226" s="207" t="s">
        <v>81</v>
      </c>
      <c r="AY226" s="207" t="s">
        <v>81</v>
      </c>
      <c r="AZ226" s="207" t="s">
        <v>81</v>
      </c>
      <c r="BA226" s="207" t="s">
        <v>90</v>
      </c>
      <c r="BB226" s="207">
        <v>10800</v>
      </c>
      <c r="BC226" s="207">
        <v>2700</v>
      </c>
      <c r="BD226" s="207">
        <v>0</v>
      </c>
      <c r="BE226" s="207" t="s">
        <v>91</v>
      </c>
      <c r="BF226" s="207" t="s">
        <v>242</v>
      </c>
      <c r="BG226" s="207" t="s">
        <v>242</v>
      </c>
      <c r="BH226" s="105"/>
      <c r="BI226" s="105"/>
      <c r="BJ226" s="105" t="s">
        <v>242</v>
      </c>
      <c r="BK226" s="207">
        <v>1740876840</v>
      </c>
      <c r="BL226" s="105"/>
    </row>
    <row r="227" ht="19.95" customHeight="1">
      <c r="A227" s="207">
        <v>171717</v>
      </c>
      <c r="B227" s="207"/>
      <c r="C227" s="208" t="s">
        <v>2246</v>
      </c>
      <c r="D227" s="207" t="s">
        <v>2247</v>
      </c>
      <c r="E227" s="207" t="s">
        <v>66</v>
      </c>
      <c r="F227" s="208">
        <v>1110214219</v>
      </c>
      <c r="G227" s="207" t="s">
        <v>67</v>
      </c>
      <c r="H227" s="207" t="s">
        <v>68</v>
      </c>
      <c r="I227" s="207" t="s">
        <v>69</v>
      </c>
      <c r="J227" s="208" t="s">
        <v>1725</v>
      </c>
      <c r="K227" s="207" t="s">
        <v>71</v>
      </c>
      <c r="L227" s="207" t="s">
        <v>72</v>
      </c>
      <c r="M227" s="4" t="s">
        <v>369</v>
      </c>
      <c r="N227" s="207" t="s">
        <v>74</v>
      </c>
      <c r="O227" s="207" t="s">
        <v>75</v>
      </c>
      <c r="P227" s="207">
        <v>37</v>
      </c>
      <c r="Q227" s="209">
        <v>45476</v>
      </c>
      <c r="R227" s="209">
        <v>45485</v>
      </c>
      <c r="S227" s="210" t="s">
        <v>242</v>
      </c>
      <c r="T227" s="210" t="s">
        <v>242</v>
      </c>
      <c r="U227" s="207" t="s">
        <v>242</v>
      </c>
      <c r="V227" s="207" t="s">
        <v>242</v>
      </c>
      <c r="W227" s="105" t="s">
        <v>2248</v>
      </c>
      <c r="X227" s="211">
        <v>1781468772</v>
      </c>
      <c r="Y227" s="208">
        <v>1776228858</v>
      </c>
      <c r="Z227" s="207" t="s">
        <v>2249</v>
      </c>
      <c r="AA227" s="207">
        <v>1781468772</v>
      </c>
      <c r="AB227" s="207" t="s">
        <v>132</v>
      </c>
      <c r="AC227" s="207"/>
      <c r="AD227" s="210">
        <v>36106</v>
      </c>
      <c r="AE227" s="212"/>
      <c r="AF227" s="207" t="s">
        <v>80</v>
      </c>
      <c r="AG227" s="211">
        <v>7807901157</v>
      </c>
      <c r="AH227" s="207" t="s">
        <v>81</v>
      </c>
      <c r="AI227" s="208" t="s">
        <v>82</v>
      </c>
      <c r="AJ227" s="208" t="s">
        <v>81</v>
      </c>
      <c r="AK227" s="208">
        <v>2023</v>
      </c>
      <c r="AL227" s="207" t="s">
        <v>2250</v>
      </c>
      <c r="AM227" s="207" t="s">
        <v>2251</v>
      </c>
      <c r="AN227" s="207" t="s">
        <v>2252</v>
      </c>
      <c r="AO227" s="207" t="s">
        <v>2253</v>
      </c>
      <c r="AP227" s="207" t="s">
        <v>2253</v>
      </c>
      <c r="AQ227" s="208" t="s">
        <v>2254</v>
      </c>
      <c r="AR227" s="207" t="s">
        <v>110</v>
      </c>
      <c r="AS227" s="207" t="s">
        <v>81</v>
      </c>
      <c r="AT227" s="213" t="s">
        <v>81</v>
      </c>
      <c r="AU227" s="207" t="s">
        <v>81</v>
      </c>
      <c r="AV227" s="207" t="s">
        <v>81</v>
      </c>
      <c r="AW227" s="207" t="s">
        <v>81</v>
      </c>
      <c r="AX227" s="207" t="s">
        <v>81</v>
      </c>
      <c r="AY227" s="207" t="s">
        <v>81</v>
      </c>
      <c r="AZ227" s="207" t="s">
        <v>81</v>
      </c>
      <c r="BA227" s="207" t="s">
        <v>90</v>
      </c>
      <c r="BB227" s="207">
        <v>10800</v>
      </c>
      <c r="BC227" s="207">
        <v>2700</v>
      </c>
      <c r="BD227" s="207">
        <v>0</v>
      </c>
      <c r="BE227" s="207" t="s">
        <v>91</v>
      </c>
      <c r="BF227" s="207" t="s">
        <v>242</v>
      </c>
      <c r="BG227" s="207" t="s">
        <v>242</v>
      </c>
      <c r="BH227" s="105"/>
      <c r="BI227" s="105"/>
      <c r="BJ227" s="105" t="s">
        <v>242</v>
      </c>
      <c r="BK227" s="207">
        <v>1719446574</v>
      </c>
      <c r="BL227" s="105"/>
    </row>
    <row r="228" ht="19.95" customHeight="1">
      <c r="A228" s="207">
        <v>171718</v>
      </c>
      <c r="B228" s="207"/>
      <c r="C228" s="208" t="s">
        <v>2255</v>
      </c>
      <c r="D228" s="207" t="s">
        <v>2256</v>
      </c>
      <c r="E228" s="207" t="s">
        <v>66</v>
      </c>
      <c r="F228" s="208">
        <v>1310589768</v>
      </c>
      <c r="G228" s="207" t="s">
        <v>67</v>
      </c>
      <c r="H228" s="207" t="s">
        <v>68</v>
      </c>
      <c r="I228" s="207" t="s">
        <v>69</v>
      </c>
      <c r="J228" s="208" t="s">
        <v>1725</v>
      </c>
      <c r="K228" s="207" t="s">
        <v>71</v>
      </c>
      <c r="L228" s="207" t="s">
        <v>72</v>
      </c>
      <c r="M228" s="4" t="s">
        <v>369</v>
      </c>
      <c r="N228" s="207" t="s">
        <v>74</v>
      </c>
      <c r="O228" s="207" t="s">
        <v>75</v>
      </c>
      <c r="P228" s="207">
        <v>37</v>
      </c>
      <c r="Q228" s="209">
        <v>45476</v>
      </c>
      <c r="R228" s="209">
        <v>45485</v>
      </c>
      <c r="S228" s="210" t="s">
        <v>242</v>
      </c>
      <c r="T228" s="210" t="s">
        <v>242</v>
      </c>
      <c r="U228" s="207" t="s">
        <v>242</v>
      </c>
      <c r="V228" s="207" t="s">
        <v>242</v>
      </c>
      <c r="W228" s="105" t="s">
        <v>2257</v>
      </c>
      <c r="X228" s="211">
        <v>1630884725</v>
      </c>
      <c r="Y228" s="208">
        <v>1671742166</v>
      </c>
      <c r="Z228" s="207" t="s">
        <v>2258</v>
      </c>
      <c r="AA228" s="207">
        <v>1671742166</v>
      </c>
      <c r="AB228" s="207" t="s">
        <v>101</v>
      </c>
      <c r="AC228" s="207" t="s">
        <v>79</v>
      </c>
      <c r="AD228" s="210">
        <v>37227</v>
      </c>
      <c r="AE228" s="212"/>
      <c r="AF228" s="207" t="s">
        <v>80</v>
      </c>
      <c r="AG228" s="211" t="s">
        <v>81</v>
      </c>
      <c r="AH228" s="207" t="s">
        <v>81</v>
      </c>
      <c r="AI228" s="208" t="s">
        <v>723</v>
      </c>
      <c r="AJ228" s="208" t="s">
        <v>333</v>
      </c>
      <c r="AK228" s="208">
        <v>2023</v>
      </c>
      <c r="AL228" s="207" t="s">
        <v>2259</v>
      </c>
      <c r="AM228" s="207" t="s">
        <v>2258</v>
      </c>
      <c r="AN228" s="207" t="s">
        <v>2260</v>
      </c>
      <c r="AO228" s="207" t="s">
        <v>2261</v>
      </c>
      <c r="AP228" s="207" t="s">
        <v>2262</v>
      </c>
      <c r="AQ228" s="208" t="s">
        <v>2263</v>
      </c>
      <c r="AR228" s="207" t="s">
        <v>110</v>
      </c>
      <c r="AS228" s="207" t="s">
        <v>81</v>
      </c>
      <c r="AT228" s="213" t="s">
        <v>81</v>
      </c>
      <c r="AU228" s="207" t="s">
        <v>81</v>
      </c>
      <c r="AV228" s="207" t="s">
        <v>81</v>
      </c>
      <c r="AW228" s="207" t="s">
        <v>81</v>
      </c>
      <c r="AX228" s="207" t="s">
        <v>81</v>
      </c>
      <c r="AY228" s="207" t="s">
        <v>81</v>
      </c>
      <c r="AZ228" s="207" t="s">
        <v>81</v>
      </c>
      <c r="BA228" s="207" t="s">
        <v>90</v>
      </c>
      <c r="BB228" s="207">
        <v>10800</v>
      </c>
      <c r="BC228" s="207">
        <v>2700</v>
      </c>
      <c r="BD228" s="207">
        <v>0</v>
      </c>
      <c r="BE228" s="207" t="s">
        <v>91</v>
      </c>
      <c r="BF228" s="207" t="s">
        <v>242</v>
      </c>
      <c r="BG228" s="207" t="s">
        <v>242</v>
      </c>
      <c r="BH228" s="105"/>
      <c r="BI228" s="105"/>
      <c r="BJ228" s="105" t="s">
        <v>242</v>
      </c>
      <c r="BK228" s="207">
        <v>1671742166</v>
      </c>
      <c r="BL228" s="105"/>
    </row>
    <row r="229" ht="19.95" customHeight="1">
      <c r="A229" s="207">
        <v>171719</v>
      </c>
      <c r="B229" s="207"/>
      <c r="C229" s="208" t="s">
        <v>2264</v>
      </c>
      <c r="D229" s="207" t="s">
        <v>2265</v>
      </c>
      <c r="E229" s="207" t="s">
        <v>66</v>
      </c>
      <c r="F229" s="208">
        <v>942080</v>
      </c>
      <c r="G229" s="207" t="s">
        <v>67</v>
      </c>
      <c r="H229" s="207" t="s">
        <v>68</v>
      </c>
      <c r="I229" s="207" t="s">
        <v>69</v>
      </c>
      <c r="J229" s="208" t="s">
        <v>1725</v>
      </c>
      <c r="K229" s="207" t="s">
        <v>71</v>
      </c>
      <c r="L229" s="207" t="s">
        <v>72</v>
      </c>
      <c r="M229" s="4" t="s">
        <v>369</v>
      </c>
      <c r="N229" s="207" t="s">
        <v>74</v>
      </c>
      <c r="O229" s="207" t="s">
        <v>75</v>
      </c>
      <c r="P229" s="207">
        <v>37</v>
      </c>
      <c r="Q229" s="209">
        <v>45476</v>
      </c>
      <c r="R229" s="209">
        <v>45485</v>
      </c>
      <c r="S229" s="210" t="s">
        <v>242</v>
      </c>
      <c r="T229" s="210" t="s">
        <v>242</v>
      </c>
      <c r="U229" s="207" t="s">
        <v>242</v>
      </c>
      <c r="V229" s="207" t="s">
        <v>242</v>
      </c>
      <c r="W229" s="105" t="s">
        <v>2266</v>
      </c>
      <c r="X229" s="211">
        <v>1632121926</v>
      </c>
      <c r="Y229" s="208">
        <v>1521256879</v>
      </c>
      <c r="Z229" s="207" t="s">
        <v>2122</v>
      </c>
      <c r="AA229" s="207">
        <v>1799100930</v>
      </c>
      <c r="AB229" s="207" t="s">
        <v>78</v>
      </c>
      <c r="AC229" s="207" t="s">
        <v>79</v>
      </c>
      <c r="AD229" s="210">
        <v>35602</v>
      </c>
      <c r="AE229" s="212"/>
      <c r="AF229" s="207" t="s">
        <v>80</v>
      </c>
      <c r="AG229" s="211">
        <v>9163933154</v>
      </c>
      <c r="AH229" s="207" t="s">
        <v>2267</v>
      </c>
      <c r="AI229" s="208" t="s">
        <v>322</v>
      </c>
      <c r="AJ229" s="208" t="s">
        <v>81</v>
      </c>
      <c r="AK229" s="208" t="s">
        <v>322</v>
      </c>
      <c r="AL229" s="207" t="s">
        <v>2268</v>
      </c>
      <c r="AM229" s="207" t="s">
        <v>2269</v>
      </c>
      <c r="AN229" s="207" t="s">
        <v>2270</v>
      </c>
      <c r="AO229" s="207" t="s">
        <v>2271</v>
      </c>
      <c r="AP229" s="207" t="s">
        <v>2272</v>
      </c>
      <c r="AQ229" s="208" t="s">
        <v>2273</v>
      </c>
      <c r="AR229" s="207" t="s">
        <v>89</v>
      </c>
      <c r="AS229" s="207" t="s">
        <v>2122</v>
      </c>
      <c r="AT229" s="213">
        <v>35314</v>
      </c>
      <c r="AU229" s="207" t="s">
        <v>81</v>
      </c>
      <c r="AV229" s="207" t="s">
        <v>81</v>
      </c>
      <c r="AW229" s="207" t="s">
        <v>81</v>
      </c>
      <c r="AX229" s="207" t="s">
        <v>81</v>
      </c>
      <c r="AY229" s="207" t="s">
        <v>81</v>
      </c>
      <c r="AZ229" s="207" t="s">
        <v>81</v>
      </c>
      <c r="BA229" s="207" t="s">
        <v>90</v>
      </c>
      <c r="BB229" s="207">
        <v>10800</v>
      </c>
      <c r="BC229" s="207">
        <v>2700</v>
      </c>
      <c r="BD229" s="207">
        <v>0</v>
      </c>
      <c r="BE229" s="207" t="s">
        <v>91</v>
      </c>
      <c r="BF229" s="207" t="s">
        <v>242</v>
      </c>
      <c r="BG229" s="207" t="s">
        <v>242</v>
      </c>
      <c r="BH229" s="105"/>
      <c r="BI229" s="105"/>
      <c r="BJ229" s="105" t="s">
        <v>242</v>
      </c>
      <c r="BK229" s="207">
        <v>1632121926</v>
      </c>
      <c r="BL229" s="105"/>
    </row>
    <row r="230" ht="19.95" customHeight="1">
      <c r="A230" s="207">
        <v>171720</v>
      </c>
      <c r="B230" s="207"/>
      <c r="C230" s="208" t="s">
        <v>2274</v>
      </c>
      <c r="D230" s="207" t="s">
        <v>2275</v>
      </c>
      <c r="E230" s="207" t="s">
        <v>66</v>
      </c>
      <c r="F230" s="208">
        <v>1210759808</v>
      </c>
      <c r="G230" s="207" t="s">
        <v>67</v>
      </c>
      <c r="H230" s="207" t="s">
        <v>68</v>
      </c>
      <c r="I230" s="207" t="s">
        <v>69</v>
      </c>
      <c r="J230" s="208" t="s">
        <v>1725</v>
      </c>
      <c r="K230" s="207" t="s">
        <v>71</v>
      </c>
      <c r="L230" s="207" t="s">
        <v>72</v>
      </c>
      <c r="M230" s="4" t="s">
        <v>369</v>
      </c>
      <c r="N230" s="207" t="s">
        <v>74</v>
      </c>
      <c r="O230" s="207" t="s">
        <v>75</v>
      </c>
      <c r="P230" s="207">
        <v>37</v>
      </c>
      <c r="Q230" s="209">
        <v>45476</v>
      </c>
      <c r="R230" s="209">
        <v>45485</v>
      </c>
      <c r="S230" s="210" t="s">
        <v>242</v>
      </c>
      <c r="T230" s="210" t="s">
        <v>242</v>
      </c>
      <c r="U230" s="207" t="s">
        <v>242</v>
      </c>
      <c r="V230" s="207" t="s">
        <v>242</v>
      </c>
      <c r="W230" s="105" t="s">
        <v>2276</v>
      </c>
      <c r="X230" s="211">
        <v>1409015720</v>
      </c>
      <c r="Y230" s="208">
        <v>1758828976</v>
      </c>
      <c r="Z230" s="207" t="s">
        <v>2277</v>
      </c>
      <c r="AA230" s="207">
        <v>1758828976</v>
      </c>
      <c r="AB230" s="207" t="s">
        <v>101</v>
      </c>
      <c r="AC230" s="207" t="s">
        <v>119</v>
      </c>
      <c r="AD230" s="210"/>
      <c r="AE230" s="212"/>
      <c r="AF230" s="207" t="s">
        <v>360</v>
      </c>
      <c r="AG230" s="211">
        <v>8704667974</v>
      </c>
      <c r="AH230" s="207" t="s">
        <v>81</v>
      </c>
      <c r="AI230" s="208" t="s">
        <v>542</v>
      </c>
      <c r="AJ230" s="208" t="s">
        <v>81</v>
      </c>
      <c r="AK230" s="208">
        <v>2024</v>
      </c>
      <c r="AL230" s="207" t="s">
        <v>2278</v>
      </c>
      <c r="AM230" s="207" t="s">
        <v>2277</v>
      </c>
      <c r="AN230" s="207" t="s">
        <v>2279</v>
      </c>
      <c r="AO230" s="207" t="s">
        <v>2280</v>
      </c>
      <c r="AP230" s="207" t="s">
        <v>2281</v>
      </c>
      <c r="AQ230" s="208" t="s">
        <v>285</v>
      </c>
      <c r="AR230" s="207" t="s">
        <v>260</v>
      </c>
      <c r="AS230" s="207" t="s">
        <v>81</v>
      </c>
      <c r="AT230" s="213" t="s">
        <v>81</v>
      </c>
      <c r="AU230" s="207" t="s">
        <v>81</v>
      </c>
      <c r="AV230" s="207" t="s">
        <v>81</v>
      </c>
      <c r="AW230" s="207" t="s">
        <v>81</v>
      </c>
      <c r="AX230" s="207" t="s">
        <v>81</v>
      </c>
      <c r="AY230" s="207" t="s">
        <v>81</v>
      </c>
      <c r="AZ230" s="207" t="s">
        <v>81</v>
      </c>
      <c r="BA230" s="207" t="s">
        <v>90</v>
      </c>
      <c r="BB230" s="207">
        <v>10800</v>
      </c>
      <c r="BC230" s="207">
        <v>2700</v>
      </c>
      <c r="BD230" s="207">
        <v>0</v>
      </c>
      <c r="BE230" s="207" t="s">
        <v>91</v>
      </c>
      <c r="BF230" s="207" t="s">
        <v>242</v>
      </c>
      <c r="BG230" s="207" t="s">
        <v>242</v>
      </c>
      <c r="BH230" s="105"/>
      <c r="BI230" s="105"/>
      <c r="BJ230" s="105" t="s">
        <v>242</v>
      </c>
      <c r="BK230" s="207">
        <v>1409015720</v>
      </c>
      <c r="BL230" s="105"/>
    </row>
    <row r="231" ht="19.95" customHeight="1">
      <c r="A231" s="207">
        <v>171721</v>
      </c>
      <c r="B231" s="207"/>
      <c r="C231" s="208" t="s">
        <v>2282</v>
      </c>
      <c r="D231" s="207" t="s">
        <v>2283</v>
      </c>
      <c r="E231" s="207" t="s">
        <v>66</v>
      </c>
      <c r="F231" s="208">
        <v>1310634013</v>
      </c>
      <c r="G231" s="207" t="s">
        <v>67</v>
      </c>
      <c r="H231" s="207" t="s">
        <v>68</v>
      </c>
      <c r="I231" s="207" t="s">
        <v>69</v>
      </c>
      <c r="J231" s="208" t="s">
        <v>1725</v>
      </c>
      <c r="K231" s="207" t="s">
        <v>71</v>
      </c>
      <c r="L231" s="207" t="s">
        <v>72</v>
      </c>
      <c r="M231" s="4" t="s">
        <v>369</v>
      </c>
      <c r="N231" s="207" t="s">
        <v>74</v>
      </c>
      <c r="O231" s="207" t="s">
        <v>75</v>
      </c>
      <c r="P231" s="207">
        <v>37</v>
      </c>
      <c r="Q231" s="209">
        <v>45476</v>
      </c>
      <c r="R231" s="209">
        <v>45485</v>
      </c>
      <c r="S231" s="210" t="s">
        <v>242</v>
      </c>
      <c r="T231" s="210" t="s">
        <v>242</v>
      </c>
      <c r="U231" s="207" t="s">
        <v>242</v>
      </c>
      <c r="V231" s="207" t="s">
        <v>242</v>
      </c>
      <c r="W231" s="105" t="s">
        <v>2284</v>
      </c>
      <c r="X231" s="211">
        <v>1873885336</v>
      </c>
      <c r="Y231" s="208">
        <v>1304059733</v>
      </c>
      <c r="Z231" s="207" t="s">
        <v>2285</v>
      </c>
      <c r="AA231" s="207">
        <v>1304059733</v>
      </c>
      <c r="AB231" s="207" t="s">
        <v>132</v>
      </c>
      <c r="AC231" s="207" t="s">
        <v>79</v>
      </c>
      <c r="AD231" s="210">
        <v>36172</v>
      </c>
      <c r="AE231" s="212"/>
      <c r="AF231" s="207" t="s">
        <v>80</v>
      </c>
      <c r="AG231" s="211">
        <v>7357847776</v>
      </c>
      <c r="AH231" s="207" t="s">
        <v>81</v>
      </c>
      <c r="AI231" s="208" t="s">
        <v>2286</v>
      </c>
      <c r="AJ231" s="208" t="s">
        <v>347</v>
      </c>
      <c r="AK231" s="208">
        <v>2023</v>
      </c>
      <c r="AL231" s="207" t="s">
        <v>2287</v>
      </c>
      <c r="AM231" s="207" t="s">
        <v>2288</v>
      </c>
      <c r="AN231" s="207" t="s">
        <v>2285</v>
      </c>
      <c r="AO231" s="207" t="s">
        <v>2289</v>
      </c>
      <c r="AP231" s="207" t="s">
        <v>2290</v>
      </c>
      <c r="AQ231" s="208" t="s">
        <v>499</v>
      </c>
      <c r="AR231" s="207" t="s">
        <v>260</v>
      </c>
      <c r="AS231" s="207" t="s">
        <v>81</v>
      </c>
      <c r="AT231" s="213" t="s">
        <v>81</v>
      </c>
      <c r="AU231" s="207" t="s">
        <v>81</v>
      </c>
      <c r="AV231" s="207" t="s">
        <v>81</v>
      </c>
      <c r="AW231" s="207" t="s">
        <v>81</v>
      </c>
      <c r="AX231" s="207" t="s">
        <v>81</v>
      </c>
      <c r="AY231" s="207" t="s">
        <v>81</v>
      </c>
      <c r="AZ231" s="207" t="s">
        <v>81</v>
      </c>
      <c r="BA231" s="207" t="s">
        <v>90</v>
      </c>
      <c r="BB231" s="207">
        <v>10800</v>
      </c>
      <c r="BC231" s="207">
        <v>2700</v>
      </c>
      <c r="BD231" s="207">
        <v>0</v>
      </c>
      <c r="BE231" s="207" t="s">
        <v>91</v>
      </c>
      <c r="BF231" s="207" t="s">
        <v>242</v>
      </c>
      <c r="BG231" s="207" t="s">
        <v>242</v>
      </c>
      <c r="BH231" s="105"/>
      <c r="BI231" s="105"/>
      <c r="BJ231" s="105" t="s">
        <v>242</v>
      </c>
      <c r="BK231" s="207">
        <v>1873885336</v>
      </c>
      <c r="BL231" s="105"/>
    </row>
    <row r="232" ht="19.95" customHeight="1">
      <c r="A232" s="207">
        <v>171722</v>
      </c>
      <c r="B232" s="207"/>
      <c r="C232" s="208" t="s">
        <v>2291</v>
      </c>
      <c r="D232" s="207" t="s">
        <v>2292</v>
      </c>
      <c r="E232" s="207" t="s">
        <v>66</v>
      </c>
      <c r="F232" s="208">
        <v>1010944082</v>
      </c>
      <c r="G232" s="207" t="s">
        <v>67</v>
      </c>
      <c r="H232" s="207" t="s">
        <v>68</v>
      </c>
      <c r="I232" s="207" t="s">
        <v>69</v>
      </c>
      <c r="J232" s="208" t="s">
        <v>1725</v>
      </c>
      <c r="K232" s="207" t="s">
        <v>71</v>
      </c>
      <c r="L232" s="207" t="s">
        <v>72</v>
      </c>
      <c r="M232" s="4" t="s">
        <v>369</v>
      </c>
      <c r="N232" s="207" t="s">
        <v>74</v>
      </c>
      <c r="O232" s="207" t="s">
        <v>75</v>
      </c>
      <c r="P232" s="207">
        <v>37</v>
      </c>
      <c r="Q232" s="209">
        <v>45476</v>
      </c>
      <c r="R232" s="209">
        <v>45485</v>
      </c>
      <c r="S232" s="210" t="s">
        <v>242</v>
      </c>
      <c r="T232" s="210" t="s">
        <v>242</v>
      </c>
      <c r="U232" s="207" t="s">
        <v>242</v>
      </c>
      <c r="V232" s="207" t="s">
        <v>242</v>
      </c>
      <c r="W232" s="105" t="s">
        <v>2293</v>
      </c>
      <c r="X232" s="211">
        <v>1688327785</v>
      </c>
      <c r="Y232" s="208">
        <v>1969411324</v>
      </c>
      <c r="Z232" s="207" t="s">
        <v>2294</v>
      </c>
      <c r="AA232" s="207">
        <v>1681590162</v>
      </c>
      <c r="AB232" s="207" t="s">
        <v>132</v>
      </c>
      <c r="AC232" s="207" t="s">
        <v>1904</v>
      </c>
      <c r="AD232" s="210">
        <v>35930</v>
      </c>
      <c r="AE232" s="212"/>
      <c r="AF232" s="207" t="s">
        <v>80</v>
      </c>
      <c r="AG232" s="211" t="s">
        <v>2295</v>
      </c>
      <c r="AH232" s="207" t="s">
        <v>81</v>
      </c>
      <c r="AI232" s="208" t="s">
        <v>2296</v>
      </c>
      <c r="AJ232" s="208" t="s">
        <v>81</v>
      </c>
      <c r="AK232" s="208">
        <v>2020</v>
      </c>
      <c r="AL232" s="207" t="s">
        <v>2297</v>
      </c>
      <c r="AM232" s="207" t="s">
        <v>2298</v>
      </c>
      <c r="AN232" s="207" t="s">
        <v>2299</v>
      </c>
      <c r="AO232" s="207" t="s">
        <v>2300</v>
      </c>
      <c r="AP232" s="207" t="s">
        <v>2301</v>
      </c>
      <c r="AQ232" s="208" t="s">
        <v>88</v>
      </c>
      <c r="AR232" s="207" t="s">
        <v>89</v>
      </c>
      <c r="AS232" s="207" t="s">
        <v>2302</v>
      </c>
      <c r="AT232" s="213" t="s">
        <v>81</v>
      </c>
      <c r="AU232" s="207" t="s">
        <v>2303</v>
      </c>
      <c r="AV232" s="207">
        <v>44483</v>
      </c>
      <c r="AW232" s="207" t="s">
        <v>81</v>
      </c>
      <c r="AX232" s="207" t="s">
        <v>81</v>
      </c>
      <c r="AY232" s="207" t="s">
        <v>81</v>
      </c>
      <c r="AZ232" s="207" t="s">
        <v>81</v>
      </c>
      <c r="BA232" s="207" t="s">
        <v>90</v>
      </c>
      <c r="BB232" s="207">
        <v>10800</v>
      </c>
      <c r="BC232" s="207">
        <v>2700</v>
      </c>
      <c r="BD232" s="207">
        <v>0</v>
      </c>
      <c r="BE232" s="207" t="s">
        <v>91</v>
      </c>
      <c r="BF232" s="207" t="s">
        <v>242</v>
      </c>
      <c r="BG232" s="207" t="s">
        <v>242</v>
      </c>
      <c r="BH232" s="105"/>
      <c r="BI232" s="105"/>
      <c r="BJ232" s="105" t="s">
        <v>242</v>
      </c>
      <c r="BK232" s="207">
        <v>1688327785</v>
      </c>
      <c r="BL232" s="105"/>
    </row>
    <row r="233" ht="19.95" customHeight="1">
      <c r="A233" s="207">
        <v>171723</v>
      </c>
      <c r="B233" s="207"/>
      <c r="C233" s="208" t="s">
        <v>2304</v>
      </c>
      <c r="D233" s="207" t="s">
        <v>2305</v>
      </c>
      <c r="E233" s="207" t="s">
        <v>66</v>
      </c>
      <c r="F233" s="208">
        <v>232737</v>
      </c>
      <c r="G233" s="207" t="s">
        <v>67</v>
      </c>
      <c r="H233" s="207" t="s">
        <v>68</v>
      </c>
      <c r="I233" s="207" t="s">
        <v>69</v>
      </c>
      <c r="J233" s="208" t="s">
        <v>1725</v>
      </c>
      <c r="K233" s="207" t="s">
        <v>71</v>
      </c>
      <c r="L233" s="207" t="s">
        <v>72</v>
      </c>
      <c r="M233" s="4" t="s">
        <v>369</v>
      </c>
      <c r="N233" s="207" t="s">
        <v>74</v>
      </c>
      <c r="O233" s="207" t="s">
        <v>75</v>
      </c>
      <c r="P233" s="207">
        <v>37</v>
      </c>
      <c r="Q233" s="209">
        <v>45476</v>
      </c>
      <c r="R233" s="209">
        <v>45485</v>
      </c>
      <c r="S233" s="210" t="s">
        <v>242</v>
      </c>
      <c r="T233" s="210" t="s">
        <v>242</v>
      </c>
      <c r="U233" s="207" t="s">
        <v>242</v>
      </c>
      <c r="V233" s="207" t="s">
        <v>242</v>
      </c>
      <c r="W233" s="105" t="s">
        <v>2306</v>
      </c>
      <c r="X233" s="211">
        <v>1979691477</v>
      </c>
      <c r="Y233" s="208">
        <v>1931132787</v>
      </c>
      <c r="Z233" s="207" t="s">
        <v>2307</v>
      </c>
      <c r="AA233" s="207">
        <v>1931132787</v>
      </c>
      <c r="AB233" s="207" t="s">
        <v>78</v>
      </c>
      <c r="AC233" s="207" t="s">
        <v>79</v>
      </c>
      <c r="AD233" s="210">
        <v>34335</v>
      </c>
      <c r="AE233" s="212"/>
      <c r="AF233" s="207" t="s">
        <v>80</v>
      </c>
      <c r="AG233" s="211" t="s">
        <v>2308</v>
      </c>
      <c r="AH233" s="207" t="s">
        <v>81</v>
      </c>
      <c r="AI233" s="208" t="s">
        <v>2309</v>
      </c>
      <c r="AJ233" s="208" t="s">
        <v>81</v>
      </c>
      <c r="AK233" s="208">
        <v>2017</v>
      </c>
      <c r="AL233" s="207" t="s">
        <v>596</v>
      </c>
      <c r="AM233" s="207" t="s">
        <v>2310</v>
      </c>
      <c r="AN233" s="207" t="s">
        <v>2311</v>
      </c>
      <c r="AO233" s="207" t="s">
        <v>2312</v>
      </c>
      <c r="AP233" s="207" t="s">
        <v>2313</v>
      </c>
      <c r="AQ233" s="208" t="s">
        <v>223</v>
      </c>
      <c r="AR233" s="207" t="s">
        <v>89</v>
      </c>
      <c r="AS233" s="207" t="s">
        <v>2314</v>
      </c>
      <c r="AT233" s="213">
        <v>30262</v>
      </c>
      <c r="AU233" s="207" t="s">
        <v>2315</v>
      </c>
      <c r="AV233" s="207">
        <v>43270</v>
      </c>
      <c r="AW233" s="207" t="s">
        <v>81</v>
      </c>
      <c r="AX233" s="207" t="s">
        <v>81</v>
      </c>
      <c r="AY233" s="207" t="s">
        <v>81</v>
      </c>
      <c r="AZ233" s="207" t="s">
        <v>81</v>
      </c>
      <c r="BA233" s="207" t="s">
        <v>90</v>
      </c>
      <c r="BB233" s="207">
        <v>10800</v>
      </c>
      <c r="BC233" s="207">
        <v>2700</v>
      </c>
      <c r="BD233" s="207">
        <v>0</v>
      </c>
      <c r="BE233" s="207" t="s">
        <v>91</v>
      </c>
      <c r="BF233" s="207" t="s">
        <v>242</v>
      </c>
      <c r="BG233" s="207" t="s">
        <v>242</v>
      </c>
      <c r="BH233" s="105"/>
      <c r="BI233" s="105"/>
      <c r="BJ233" s="105" t="s">
        <v>242</v>
      </c>
      <c r="BK233" s="207">
        <v>1979691477</v>
      </c>
      <c r="BL233" s="105"/>
    </row>
    <row r="234" ht="19.95" customHeight="1">
      <c r="A234" s="207">
        <v>171724</v>
      </c>
      <c r="B234" s="207"/>
      <c r="C234" s="208" t="s">
        <v>2316</v>
      </c>
      <c r="D234" s="207" t="s">
        <v>2317</v>
      </c>
      <c r="E234" s="207" t="s">
        <v>66</v>
      </c>
      <c r="F234" s="208">
        <v>654432</v>
      </c>
      <c r="G234" s="207" t="s">
        <v>67</v>
      </c>
      <c r="H234" s="207" t="s">
        <v>68</v>
      </c>
      <c r="I234" s="207" t="s">
        <v>69</v>
      </c>
      <c r="J234" s="208" t="s">
        <v>1725</v>
      </c>
      <c r="K234" s="207" t="s">
        <v>71</v>
      </c>
      <c r="L234" s="207" t="s">
        <v>72</v>
      </c>
      <c r="M234" s="4" t="s">
        <v>369</v>
      </c>
      <c r="N234" s="207" t="s">
        <v>74</v>
      </c>
      <c r="O234" s="207" t="s">
        <v>75</v>
      </c>
      <c r="P234" s="207">
        <v>37</v>
      </c>
      <c r="Q234" s="209">
        <v>45476</v>
      </c>
      <c r="R234" s="209">
        <v>45485</v>
      </c>
      <c r="S234" s="210" t="s">
        <v>242</v>
      </c>
      <c r="T234" s="210" t="s">
        <v>242</v>
      </c>
      <c r="U234" s="207" t="s">
        <v>242</v>
      </c>
      <c r="V234" s="207" t="s">
        <v>242</v>
      </c>
      <c r="W234" s="105" t="s">
        <v>2318</v>
      </c>
      <c r="X234" s="211">
        <v>1303206148</v>
      </c>
      <c r="Y234" s="208">
        <v>1303206148</v>
      </c>
      <c r="Z234" s="207" t="s">
        <v>2056</v>
      </c>
      <c r="AA234" s="207">
        <v>1642052132</v>
      </c>
      <c r="AB234" s="207" t="s">
        <v>78</v>
      </c>
      <c r="AC234" s="207" t="s">
        <v>79</v>
      </c>
      <c r="AD234" s="210">
        <v>35378</v>
      </c>
      <c r="AE234" s="212"/>
      <c r="AF234" s="207" t="s">
        <v>80</v>
      </c>
      <c r="AG234" s="211">
        <v>8251995380</v>
      </c>
      <c r="AH234" s="207" t="s">
        <v>81</v>
      </c>
      <c r="AI234" s="208" t="s">
        <v>2319</v>
      </c>
      <c r="AJ234" s="208" t="s">
        <v>81</v>
      </c>
      <c r="AK234" s="208">
        <v>2019</v>
      </c>
      <c r="AL234" s="207" t="s">
        <v>2320</v>
      </c>
      <c r="AM234" s="207" t="s">
        <v>2321</v>
      </c>
      <c r="AN234" s="207" t="s">
        <v>2322</v>
      </c>
      <c r="AO234" s="207" t="s">
        <v>2323</v>
      </c>
      <c r="AP234" s="207" t="s">
        <v>2324</v>
      </c>
      <c r="AQ234" s="208" t="s">
        <v>88</v>
      </c>
      <c r="AR234" s="207" t="s">
        <v>89</v>
      </c>
      <c r="AS234" s="207" t="s">
        <v>2056</v>
      </c>
      <c r="AT234" s="213">
        <v>35065</v>
      </c>
      <c r="AU234" s="207" t="s">
        <v>81</v>
      </c>
      <c r="AV234" s="207" t="s">
        <v>81</v>
      </c>
      <c r="AW234" s="207" t="s">
        <v>81</v>
      </c>
      <c r="AX234" s="207" t="s">
        <v>81</v>
      </c>
      <c r="AY234" s="207" t="s">
        <v>81</v>
      </c>
      <c r="AZ234" s="207" t="s">
        <v>81</v>
      </c>
      <c r="BA234" s="207" t="s">
        <v>90</v>
      </c>
      <c r="BB234" s="207">
        <v>10800</v>
      </c>
      <c r="BC234" s="207">
        <v>2700</v>
      </c>
      <c r="BD234" s="207">
        <v>0</v>
      </c>
      <c r="BE234" s="207" t="s">
        <v>91</v>
      </c>
      <c r="BF234" s="207" t="s">
        <v>242</v>
      </c>
      <c r="BG234" s="207" t="s">
        <v>242</v>
      </c>
      <c r="BH234" s="105"/>
      <c r="BI234" s="105"/>
      <c r="BJ234" s="105" t="s">
        <v>242</v>
      </c>
      <c r="BK234" s="207">
        <v>1303206148</v>
      </c>
      <c r="BL234" s="105"/>
    </row>
    <row r="235" ht="19.95" customHeight="1">
      <c r="A235" s="207">
        <v>171729</v>
      </c>
      <c r="B235" s="207"/>
      <c r="C235" s="208" t="s">
        <v>2325</v>
      </c>
      <c r="D235" s="207" t="s">
        <v>1273</v>
      </c>
      <c r="E235" s="207" t="s">
        <v>66</v>
      </c>
      <c r="F235" s="208" t="s">
        <v>81</v>
      </c>
      <c r="G235" s="207" t="s">
        <v>67</v>
      </c>
      <c r="H235" s="207" t="s">
        <v>68</v>
      </c>
      <c r="I235" s="207" t="s">
        <v>69</v>
      </c>
      <c r="J235" s="208" t="s">
        <v>1846</v>
      </c>
      <c r="K235" s="207" t="s">
        <v>71</v>
      </c>
      <c r="L235" s="207" t="s">
        <v>72</v>
      </c>
      <c r="M235" s="4" t="s">
        <v>1304</v>
      </c>
      <c r="N235" s="207" t="s">
        <v>74</v>
      </c>
      <c r="O235" s="207" t="s">
        <v>75</v>
      </c>
      <c r="P235" s="207">
        <v>37</v>
      </c>
      <c r="Q235" s="209">
        <v>45476</v>
      </c>
      <c r="R235" s="209">
        <v>45485</v>
      </c>
      <c r="S235" s="210" t="s">
        <v>242</v>
      </c>
      <c r="T235" s="210" t="s">
        <v>242</v>
      </c>
      <c r="U235" s="207" t="s">
        <v>242</v>
      </c>
      <c r="V235" s="207" t="s">
        <v>242</v>
      </c>
      <c r="W235" s="105" t="s">
        <v>2326</v>
      </c>
      <c r="X235" s="211">
        <v>1318423410</v>
      </c>
      <c r="Y235" s="208">
        <v>1609859173</v>
      </c>
      <c r="Z235" s="207" t="s">
        <v>2327</v>
      </c>
      <c r="AA235" s="207">
        <v>1625227991</v>
      </c>
      <c r="AB235" s="207" t="s">
        <v>101</v>
      </c>
      <c r="AC235" s="207" t="s">
        <v>133</v>
      </c>
      <c r="AD235" s="210">
        <v>36032</v>
      </c>
      <c r="AE235" s="212"/>
      <c r="AF235" s="207" t="s">
        <v>80</v>
      </c>
      <c r="AG235" s="211">
        <v>2854409089</v>
      </c>
      <c r="AH235" s="207" t="s">
        <v>1334</v>
      </c>
      <c r="AI235" s="208" t="s">
        <v>779</v>
      </c>
      <c r="AJ235" s="208" t="s">
        <v>1334</v>
      </c>
      <c r="AK235" s="208">
        <v>2021</v>
      </c>
      <c r="AL235" s="207" t="s">
        <v>83</v>
      </c>
      <c r="AM235" s="207" t="s">
        <v>2328</v>
      </c>
      <c r="AN235" s="207" t="s">
        <v>2329</v>
      </c>
      <c r="AO235" s="207" t="s">
        <v>2330</v>
      </c>
      <c r="AP235" s="207" t="s">
        <v>2331</v>
      </c>
      <c r="AQ235" s="208" t="s">
        <v>2332</v>
      </c>
      <c r="AR235" s="207" t="s">
        <v>89</v>
      </c>
      <c r="AS235" s="207" t="s">
        <v>2333</v>
      </c>
      <c r="AT235" s="213">
        <v>36431</v>
      </c>
      <c r="AU235" s="207" t="s">
        <v>1334</v>
      </c>
      <c r="AV235" s="207" t="s">
        <v>1334</v>
      </c>
      <c r="AW235" s="207" t="s">
        <v>81</v>
      </c>
      <c r="AX235" s="207" t="s">
        <v>81</v>
      </c>
      <c r="AY235" s="207" t="s">
        <v>81</v>
      </c>
      <c r="AZ235" s="207" t="s">
        <v>81</v>
      </c>
      <c r="BA235" s="207" t="s">
        <v>90</v>
      </c>
      <c r="BB235" s="207">
        <v>10800</v>
      </c>
      <c r="BC235" s="207">
        <v>2700</v>
      </c>
      <c r="BD235" s="207">
        <v>0</v>
      </c>
      <c r="BE235" s="207" t="s">
        <v>91</v>
      </c>
      <c r="BF235" s="207" t="s">
        <v>242</v>
      </c>
      <c r="BG235" s="207" t="s">
        <v>242</v>
      </c>
      <c r="BH235" s="105"/>
      <c r="BI235" s="105"/>
      <c r="BJ235" s="105" t="s">
        <v>242</v>
      </c>
      <c r="BK235" s="207">
        <v>1318423410</v>
      </c>
      <c r="BL235" s="105"/>
    </row>
    <row r="236" ht="19.95" customHeight="1">
      <c r="A236" s="207">
        <v>171732</v>
      </c>
      <c r="B236" s="207" t="s">
        <v>2334</v>
      </c>
      <c r="C236" s="208"/>
      <c r="D236" s="207" t="s">
        <v>2335</v>
      </c>
      <c r="E236" s="207" t="s">
        <v>114</v>
      </c>
      <c r="F236" s="208">
        <v>1214223582</v>
      </c>
      <c r="G236" s="207" t="s">
        <v>67</v>
      </c>
      <c r="H236" s="207" t="s">
        <v>68</v>
      </c>
      <c r="I236" s="207" t="s">
        <v>69</v>
      </c>
      <c r="J236" s="208" t="s">
        <v>307</v>
      </c>
      <c r="K236" s="207" t="s">
        <v>71</v>
      </c>
      <c r="L236" s="207" t="s">
        <v>72</v>
      </c>
      <c r="M236" s="4" t="s">
        <v>98</v>
      </c>
      <c r="N236" s="207" t="s">
        <v>238</v>
      </c>
      <c r="O236" s="207" t="s">
        <v>2336</v>
      </c>
      <c r="P236" s="207">
        <v>37</v>
      </c>
      <c r="Q236" s="209">
        <v>45476</v>
      </c>
      <c r="R236" s="209">
        <v>45485</v>
      </c>
      <c r="S236" s="210" t="s">
        <v>81</v>
      </c>
      <c r="T236" s="210" t="s">
        <v>242</v>
      </c>
      <c r="U236" s="207" t="s">
        <v>242</v>
      </c>
      <c r="V236" s="207" t="s">
        <v>242</v>
      </c>
      <c r="W236" s="105" t="s">
        <v>2337</v>
      </c>
      <c r="X236" s="211">
        <v>1571402089</v>
      </c>
      <c r="Y236" s="208"/>
      <c r="Z236" s="207" t="s">
        <v>2338</v>
      </c>
      <c r="AA236" s="207"/>
      <c r="AB236" s="207" t="s">
        <v>101</v>
      </c>
      <c r="AC236" s="207" t="s">
        <v>79</v>
      </c>
      <c r="AD236" s="210">
        <v>36252</v>
      </c>
      <c r="AE236" s="212"/>
      <c r="AF236" s="207" t="s">
        <v>80</v>
      </c>
      <c r="AG236" s="211">
        <v>1034588352</v>
      </c>
      <c r="AH236" s="207" t="s">
        <v>81</v>
      </c>
      <c r="AI236" s="208" t="s">
        <v>2339</v>
      </c>
      <c r="AJ236" s="208" t="s">
        <v>81</v>
      </c>
      <c r="AK236" s="208" t="s">
        <v>81</v>
      </c>
      <c r="AL236" s="207" t="s">
        <v>2339</v>
      </c>
      <c r="AM236" s="207" t="s">
        <v>2338</v>
      </c>
      <c r="AN236" s="207" t="s">
        <v>2340</v>
      </c>
      <c r="AO236" s="207" t="s">
        <v>2341</v>
      </c>
      <c r="AP236" s="207" t="s">
        <v>2342</v>
      </c>
      <c r="AQ236" s="208" t="s">
        <v>1898</v>
      </c>
      <c r="AR236" s="207" t="s">
        <v>2343</v>
      </c>
      <c r="AS236" s="207" t="s">
        <v>81</v>
      </c>
      <c r="AT236" s="213" t="s">
        <v>81</v>
      </c>
      <c r="AU236" s="207" t="s">
        <v>81</v>
      </c>
      <c r="AV236" s="207" t="s">
        <v>81</v>
      </c>
      <c r="AW236" s="207" t="s">
        <v>81</v>
      </c>
      <c r="AX236" s="207" t="s">
        <v>81</v>
      </c>
      <c r="AY236" s="207" t="s">
        <v>81</v>
      </c>
      <c r="AZ236" s="207" t="s">
        <v>81</v>
      </c>
      <c r="BA236" s="207" t="s">
        <v>90</v>
      </c>
      <c r="BB236" s="207">
        <v>10800</v>
      </c>
      <c r="BC236" s="207">
        <v>2700</v>
      </c>
      <c r="BD236" s="207">
        <v>0</v>
      </c>
      <c r="BE236" s="207" t="s">
        <v>91</v>
      </c>
      <c r="BF236" s="207" t="s">
        <v>81</v>
      </c>
      <c r="BG236" s="207" t="s">
        <v>81</v>
      </c>
      <c r="BH236" s="105"/>
      <c r="BI236" s="105"/>
      <c r="BJ236" s="105" t="s">
        <v>242</v>
      </c>
      <c r="BK236" s="207">
        <v>1646236218</v>
      </c>
      <c r="BL236" s="105"/>
    </row>
    <row r="237" ht="19.95" customHeight="1">
      <c r="A237" s="207">
        <v>171734</v>
      </c>
      <c r="B237" s="207"/>
      <c r="C237" s="208" t="s">
        <v>2344</v>
      </c>
      <c r="D237" s="207" t="s">
        <v>2345</v>
      </c>
      <c r="E237" s="207" t="s">
        <v>66</v>
      </c>
      <c r="F237" s="208">
        <v>1010876391</v>
      </c>
      <c r="G237" s="207" t="s">
        <v>67</v>
      </c>
      <c r="H237" s="207" t="s">
        <v>68</v>
      </c>
      <c r="I237" s="207" t="s">
        <v>69</v>
      </c>
      <c r="J237" s="208" t="s">
        <v>341</v>
      </c>
      <c r="K237" s="207" t="s">
        <v>71</v>
      </c>
      <c r="L237" s="207" t="s">
        <v>72</v>
      </c>
      <c r="M237" s="4" t="s">
        <v>308</v>
      </c>
      <c r="N237" s="207" t="s">
        <v>238</v>
      </c>
      <c r="O237" s="207" t="s">
        <v>2346</v>
      </c>
      <c r="P237" s="207">
        <v>37</v>
      </c>
      <c r="Q237" s="209">
        <v>45476</v>
      </c>
      <c r="R237" s="209">
        <v>45485</v>
      </c>
      <c r="S237" s="210" t="s">
        <v>81</v>
      </c>
      <c r="T237" s="210" t="s">
        <v>242</v>
      </c>
      <c r="U237" s="207" t="s">
        <v>242</v>
      </c>
      <c r="V237" s="207" t="s">
        <v>242</v>
      </c>
      <c r="W237" s="105" t="s">
        <v>2347</v>
      </c>
      <c r="X237" s="211">
        <v>1798043290</v>
      </c>
      <c r="Y237" s="208">
        <v>1918996136</v>
      </c>
      <c r="Z237" s="207" t="s">
        <v>2348</v>
      </c>
      <c r="AA237" s="207">
        <v>1858522994</v>
      </c>
      <c r="AB237" s="207" t="s">
        <v>132</v>
      </c>
      <c r="AC237" s="207" t="s">
        <v>79</v>
      </c>
      <c r="AD237" s="210">
        <v>35667</v>
      </c>
      <c r="AE237" s="212"/>
      <c r="AF237" s="207" t="s">
        <v>80</v>
      </c>
      <c r="AG237" s="211">
        <v>2403006147</v>
      </c>
      <c r="AH237" s="207" t="s">
        <v>81</v>
      </c>
      <c r="AI237" s="208" t="s">
        <v>2349</v>
      </c>
      <c r="AJ237" s="208" t="s">
        <v>2350</v>
      </c>
      <c r="AK237" s="208">
        <v>2021</v>
      </c>
      <c r="AL237" s="207" t="s">
        <v>2351</v>
      </c>
      <c r="AM237" s="207" t="s">
        <v>2352</v>
      </c>
      <c r="AN237" s="207" t="s">
        <v>2348</v>
      </c>
      <c r="AO237" s="207" t="s">
        <v>2353</v>
      </c>
      <c r="AP237" s="207" t="s">
        <v>2354</v>
      </c>
      <c r="AQ237" s="208" t="s">
        <v>88</v>
      </c>
      <c r="AR237" s="207" t="s">
        <v>81</v>
      </c>
      <c r="AS237" s="207" t="s">
        <v>81</v>
      </c>
      <c r="AT237" s="213" t="s">
        <v>81</v>
      </c>
      <c r="AU237" s="207" t="s">
        <v>81</v>
      </c>
      <c r="AV237" s="207" t="s">
        <v>81</v>
      </c>
      <c r="AW237" s="207" t="s">
        <v>81</v>
      </c>
      <c r="AX237" s="207" t="s">
        <v>81</v>
      </c>
      <c r="AY237" s="207" t="s">
        <v>81</v>
      </c>
      <c r="AZ237" s="207" t="s">
        <v>81</v>
      </c>
      <c r="BA237" s="207" t="s">
        <v>90</v>
      </c>
      <c r="BB237" s="207">
        <v>10800</v>
      </c>
      <c r="BC237" s="207">
        <v>2700</v>
      </c>
      <c r="BD237" s="207">
        <v>0</v>
      </c>
      <c r="BE237" s="207" t="s">
        <v>91</v>
      </c>
      <c r="BF237" s="207" t="s">
        <v>81</v>
      </c>
      <c r="BG237" s="207" t="s">
        <v>81</v>
      </c>
      <c r="BH237" s="105"/>
      <c r="BI237" s="105"/>
      <c r="BJ237" s="105" t="s">
        <v>242</v>
      </c>
      <c r="BK237" s="207">
        <v>1798043290</v>
      </c>
      <c r="BL237" s="105"/>
    </row>
    <row r="238" ht="19.95" customHeight="1">
      <c r="A238" s="207">
        <v>171733</v>
      </c>
      <c r="B238" s="207"/>
      <c r="C238" s="208" t="s">
        <v>2355</v>
      </c>
      <c r="D238" s="207" t="s">
        <v>2356</v>
      </c>
      <c r="E238" s="207" t="s">
        <v>114</v>
      </c>
      <c r="F238" s="208">
        <v>1117506799</v>
      </c>
      <c r="G238" s="207" t="s">
        <v>67</v>
      </c>
      <c r="H238" s="207" t="s">
        <v>68</v>
      </c>
      <c r="I238" s="207" t="s">
        <v>69</v>
      </c>
      <c r="J238" s="208" t="s">
        <v>1846</v>
      </c>
      <c r="K238" s="207" t="s">
        <v>71</v>
      </c>
      <c r="L238" s="207" t="s">
        <v>72</v>
      </c>
      <c r="M238" s="4" t="s">
        <v>369</v>
      </c>
      <c r="N238" s="207" t="s">
        <v>238</v>
      </c>
      <c r="O238" s="207" t="s">
        <v>2346</v>
      </c>
      <c r="P238" s="207">
        <v>37</v>
      </c>
      <c r="Q238" s="209">
        <v>45476</v>
      </c>
      <c r="R238" s="209">
        <v>45485</v>
      </c>
      <c r="S238" s="210" t="s">
        <v>81</v>
      </c>
      <c r="T238" s="210" t="s">
        <v>242</v>
      </c>
      <c r="U238" s="207" t="s">
        <v>242</v>
      </c>
      <c r="V238" s="207" t="s">
        <v>242</v>
      </c>
      <c r="W238" s="105" t="s">
        <v>2357</v>
      </c>
      <c r="X238" s="211">
        <v>1788177948</v>
      </c>
      <c r="Y238" s="208">
        <v>1743196051</v>
      </c>
      <c r="Z238" s="207" t="s">
        <v>2358</v>
      </c>
      <c r="AA238" s="207">
        <v>1743196051</v>
      </c>
      <c r="AB238" s="207" t="s">
        <v>252</v>
      </c>
      <c r="AC238" s="207" t="s">
        <v>79</v>
      </c>
      <c r="AD238" s="210">
        <v>36322</v>
      </c>
      <c r="AE238" s="212"/>
      <c r="AF238" s="207" t="s">
        <v>80</v>
      </c>
      <c r="AG238" s="211">
        <v>4204583704</v>
      </c>
      <c r="AH238" s="207" t="s">
        <v>81</v>
      </c>
      <c r="AI238" s="208" t="s">
        <v>994</v>
      </c>
      <c r="AJ238" s="208" t="s">
        <v>81</v>
      </c>
      <c r="AK238" s="208" t="s">
        <v>81</v>
      </c>
      <c r="AL238" s="207" t="s">
        <v>2359</v>
      </c>
      <c r="AM238" s="207" t="s">
        <v>2360</v>
      </c>
      <c r="AN238" s="207" t="s">
        <v>2361</v>
      </c>
      <c r="AO238" s="207" t="s">
        <v>2362</v>
      </c>
      <c r="AP238" s="207" t="s">
        <v>2363</v>
      </c>
      <c r="AQ238" s="208" t="s">
        <v>910</v>
      </c>
      <c r="AR238" s="207" t="s">
        <v>2364</v>
      </c>
      <c r="AS238" s="207" t="s">
        <v>2365</v>
      </c>
      <c r="AT238" s="213">
        <v>36475</v>
      </c>
      <c r="AU238" s="207" t="s">
        <v>2366</v>
      </c>
      <c r="AV238" s="207" t="s">
        <v>2367</v>
      </c>
      <c r="AW238" s="207">
        <v>45247</v>
      </c>
      <c r="AX238" s="207" t="s">
        <v>81</v>
      </c>
      <c r="AY238" s="207" t="s">
        <v>81</v>
      </c>
      <c r="AZ238" s="207" t="s">
        <v>81</v>
      </c>
      <c r="BA238" s="207" t="s">
        <v>90</v>
      </c>
      <c r="BB238" s="207">
        <v>10800</v>
      </c>
      <c r="BC238" s="207">
        <v>2700</v>
      </c>
      <c r="BD238" s="207">
        <v>0</v>
      </c>
      <c r="BE238" s="207" t="s">
        <v>91</v>
      </c>
      <c r="BF238" s="207" t="s">
        <v>81</v>
      </c>
      <c r="BG238" s="207" t="s">
        <v>81</v>
      </c>
      <c r="BH238" s="105"/>
      <c r="BI238" s="105"/>
      <c r="BJ238" s="105" t="s">
        <v>242</v>
      </c>
      <c r="BK238" s="207">
        <v>1743196051</v>
      </c>
      <c r="BL238" s="105"/>
    </row>
    <row r="239" ht="19.95" customHeight="1">
      <c r="A239" s="207">
        <v>171779</v>
      </c>
      <c r="B239" s="207"/>
      <c r="C239" s="208"/>
      <c r="D239" s="207" t="s">
        <v>2368</v>
      </c>
      <c r="E239" s="207" t="s">
        <v>114</v>
      </c>
      <c r="F239" s="208"/>
      <c r="G239" s="207" t="s">
        <v>225</v>
      </c>
      <c r="H239" s="207" t="s">
        <v>2369</v>
      </c>
      <c r="I239" s="207" t="s">
        <v>69</v>
      </c>
      <c r="J239" s="208" t="s">
        <v>214</v>
      </c>
      <c r="K239" s="207" t="s">
        <v>71</v>
      </c>
      <c r="L239" s="207" t="s">
        <v>72</v>
      </c>
      <c r="M239" s="207" t="s">
        <v>238</v>
      </c>
      <c r="N239" s="207"/>
      <c r="O239" s="207" t="s">
        <v>2346</v>
      </c>
      <c r="P239" s="207">
        <v>38</v>
      </c>
      <c r="Q239" s="209">
        <v>45482</v>
      </c>
      <c r="R239" s="209">
        <v>45489</v>
      </c>
      <c r="S239" s="210"/>
      <c r="T239" s="210"/>
      <c r="U239" s="207"/>
      <c r="V239" s="207"/>
      <c r="W239" s="105" t="s">
        <v>2370</v>
      </c>
      <c r="X239" s="211">
        <v>1700640211</v>
      </c>
      <c r="Y239" s="208"/>
      <c r="Z239" s="207"/>
      <c r="AA239" s="207"/>
      <c r="AB239" s="207"/>
      <c r="AC239" s="207" t="s">
        <v>133</v>
      </c>
      <c r="AD239" s="210">
        <v>37060</v>
      </c>
      <c r="AE239" s="212"/>
      <c r="AF239" s="207" t="s">
        <v>80</v>
      </c>
      <c r="AG239" s="211">
        <v>6463777067</v>
      </c>
      <c r="AH239" s="207" t="s">
        <v>81</v>
      </c>
      <c r="AI239" s="208" t="s">
        <v>513</v>
      </c>
      <c r="AJ239" s="208">
        <v>2023</v>
      </c>
      <c r="AK239" s="208"/>
      <c r="AL239" s="207"/>
      <c r="AM239" s="207" t="s">
        <v>2371</v>
      </c>
      <c r="AN239" s="207" t="s">
        <v>2372</v>
      </c>
      <c r="AO239" s="207" t="s">
        <v>2373</v>
      </c>
      <c r="AP239" s="207" t="s">
        <v>2373</v>
      </c>
      <c r="AQ239" s="208" t="s">
        <v>88</v>
      </c>
      <c r="AR239" s="207"/>
      <c r="AS239" s="207"/>
      <c r="AT239" s="213"/>
      <c r="AU239" s="207"/>
      <c r="AV239" s="207"/>
      <c r="AW239" s="207"/>
      <c r="AX239" s="207"/>
      <c r="AY239" s="207"/>
      <c r="AZ239" s="207"/>
      <c r="BA239" s="207" t="s">
        <v>90</v>
      </c>
      <c r="BB239" s="207">
        <v>14500</v>
      </c>
      <c r="BC239" s="207">
        <v>3500</v>
      </c>
      <c r="BD239" s="207">
        <v>2000</v>
      </c>
      <c r="BE239" s="306" t="s">
        <v>166</v>
      </c>
      <c r="BF239" s="207"/>
      <c r="BG239" s="207"/>
      <c r="BH239" s="105"/>
      <c r="BI239" s="105"/>
      <c r="BJ239" s="105"/>
      <c r="BK239" s="207">
        <v>1621888763</v>
      </c>
      <c r="BL239" s="105" t="s">
        <v>2374</v>
      </c>
    </row>
    <row r="240" ht="19.95" customHeight="1">
      <c r="A240" s="207">
        <v>171780</v>
      </c>
      <c r="B240" s="207"/>
      <c r="C240" s="208"/>
      <c r="D240" s="207" t="s">
        <v>2375</v>
      </c>
      <c r="E240" s="207" t="s">
        <v>114</v>
      </c>
      <c r="F240" s="208"/>
      <c r="G240" s="207" t="s">
        <v>225</v>
      </c>
      <c r="H240" s="207" t="s">
        <v>226</v>
      </c>
      <c r="I240" s="207" t="s">
        <v>69</v>
      </c>
      <c r="J240" s="208" t="s">
        <v>214</v>
      </c>
      <c r="K240" s="207" t="s">
        <v>71</v>
      </c>
      <c r="L240" s="207" t="s">
        <v>72</v>
      </c>
      <c r="M240" s="207" t="s">
        <v>238</v>
      </c>
      <c r="N240" s="207"/>
      <c r="O240" s="207" t="s">
        <v>2346</v>
      </c>
      <c r="P240" s="207">
        <v>38</v>
      </c>
      <c r="Q240" s="209">
        <v>45482</v>
      </c>
      <c r="R240" s="209">
        <v>45498</v>
      </c>
      <c r="S240" s="210"/>
      <c r="T240" s="210"/>
      <c r="U240" s="207"/>
      <c r="V240" s="207"/>
      <c r="W240" s="105" t="s">
        <v>2376</v>
      </c>
      <c r="X240" s="211">
        <v>1628647268</v>
      </c>
      <c r="Y240" s="208">
        <v>1577181134</v>
      </c>
      <c r="Z240" s="207"/>
      <c r="AA240" s="207"/>
      <c r="AB240" s="207"/>
      <c r="AC240" s="207" t="s">
        <v>79</v>
      </c>
      <c r="AD240" s="210" t="s">
        <v>2377</v>
      </c>
      <c r="AE240" s="212"/>
      <c r="AF240" s="207" t="s">
        <v>80</v>
      </c>
      <c r="AG240" s="211">
        <v>8252171981</v>
      </c>
      <c r="AH240" s="207" t="s">
        <v>81</v>
      </c>
      <c r="AI240" s="208" t="s">
        <v>2378</v>
      </c>
      <c r="AJ240" s="208"/>
      <c r="AK240" s="208">
        <v>2023</v>
      </c>
      <c r="AL240" s="207"/>
      <c r="AM240" s="207" t="s">
        <v>2379</v>
      </c>
      <c r="AN240" s="207" t="s">
        <v>2380</v>
      </c>
      <c r="AO240" s="207" t="s">
        <v>2381</v>
      </c>
      <c r="AP240" s="207" t="s">
        <v>2381</v>
      </c>
      <c r="AQ240" s="208" t="s">
        <v>88</v>
      </c>
      <c r="AR240" s="207"/>
      <c r="AS240" s="207"/>
      <c r="AT240" s="213"/>
      <c r="AU240" s="207"/>
      <c r="AV240" s="207"/>
      <c r="AW240" s="207"/>
      <c r="AX240" s="207"/>
      <c r="AY240" s="207"/>
      <c r="AZ240" s="207"/>
      <c r="BA240" s="207" t="s">
        <v>90</v>
      </c>
      <c r="BB240" s="207">
        <v>14500</v>
      </c>
      <c r="BC240" s="207">
        <v>3500</v>
      </c>
      <c r="BD240" s="207"/>
      <c r="BE240" s="207"/>
      <c r="BF240" s="207"/>
      <c r="BG240" s="207"/>
      <c r="BH240" s="105"/>
      <c r="BI240" s="105"/>
      <c r="BJ240" s="105"/>
      <c r="BK240" s="207">
        <v>1628647268</v>
      </c>
      <c r="BL240" s="105" t="s">
        <v>2382</v>
      </c>
    </row>
    <row r="241" ht="19.95" customHeight="1">
      <c r="A241" s="207">
        <v>171789</v>
      </c>
      <c r="B241" s="207" t="s">
        <v>2383</v>
      </c>
      <c r="C241" s="208" t="s">
        <v>2384</v>
      </c>
      <c r="D241" s="207" t="s">
        <v>2384</v>
      </c>
      <c r="E241" s="207" t="s">
        <v>114</v>
      </c>
      <c r="F241" s="208">
        <v>1013228433</v>
      </c>
      <c r="G241" s="207" t="s">
        <v>67</v>
      </c>
      <c r="H241" s="207" t="s">
        <v>68</v>
      </c>
      <c r="I241" s="207" t="s">
        <v>69</v>
      </c>
      <c r="J241" s="208" t="s">
        <v>214</v>
      </c>
      <c r="K241" s="207" t="s">
        <v>71</v>
      </c>
      <c r="L241" s="207" t="s">
        <v>1767</v>
      </c>
      <c r="M241" s="4" t="s">
        <v>1304</v>
      </c>
      <c r="N241" s="207" t="s">
        <v>74</v>
      </c>
      <c r="O241" s="207" t="s">
        <v>2068</v>
      </c>
      <c r="P241" s="207">
        <v>40</v>
      </c>
      <c r="Q241" s="209">
        <v>45492</v>
      </c>
      <c r="R241" s="209">
        <v>45505</v>
      </c>
      <c r="S241" s="210"/>
      <c r="T241" s="210"/>
      <c r="U241" s="207"/>
      <c r="V241" s="207"/>
      <c r="W241" s="105"/>
      <c r="X241" s="211">
        <v>1409072422</v>
      </c>
      <c r="Y241" s="208"/>
      <c r="Z241" s="207" t="s">
        <v>2385</v>
      </c>
      <c r="AA241" s="207">
        <v>1739963030</v>
      </c>
      <c r="AB241" s="207" t="s">
        <v>101</v>
      </c>
      <c r="AC241" s="207" t="s">
        <v>133</v>
      </c>
      <c r="AD241" s="210">
        <v>35074</v>
      </c>
      <c r="AE241" s="212"/>
      <c r="AF241" s="207" t="s">
        <v>80</v>
      </c>
      <c r="AG241" s="211">
        <v>8696489510</v>
      </c>
      <c r="AH241" s="207"/>
      <c r="AI241" s="208" t="s">
        <v>265</v>
      </c>
      <c r="AJ241" s="208"/>
      <c r="AK241" s="208"/>
      <c r="AL241" s="207"/>
      <c r="AM241" s="207" t="s">
        <v>2385</v>
      </c>
      <c r="AN241" s="207" t="s">
        <v>2386</v>
      </c>
      <c r="AO241" s="207" t="s">
        <v>2387</v>
      </c>
      <c r="AP241" s="207" t="s">
        <v>2388</v>
      </c>
      <c r="AQ241" s="208" t="s">
        <v>88</v>
      </c>
      <c r="AR241" s="207"/>
      <c r="AS241" s="207"/>
      <c r="AT241" s="213"/>
      <c r="AU241" s="207"/>
      <c r="AV241" s="207"/>
      <c r="AW241" s="207"/>
      <c r="AX241" s="207"/>
      <c r="AY241" s="207"/>
      <c r="AZ241" s="207"/>
      <c r="BA241" s="207" t="s">
        <v>90</v>
      </c>
      <c r="BB241" s="207">
        <v>10800</v>
      </c>
      <c r="BC241" s="207">
        <v>2700</v>
      </c>
      <c r="BD241" s="207"/>
      <c r="BE241" s="207" t="s">
        <v>91</v>
      </c>
      <c r="BF241" s="207"/>
      <c r="BG241" s="207"/>
      <c r="BH241" s="105"/>
      <c r="BI241" s="105"/>
      <c r="BJ241" s="105"/>
      <c r="BK241" s="207">
        <v>1409072422</v>
      </c>
      <c r="BL241" s="105"/>
    </row>
    <row r="242" ht="19.95" customHeight="1">
      <c r="A242" s="207">
        <v>171794</v>
      </c>
      <c r="B242" s="207" t="s">
        <v>2389</v>
      </c>
      <c r="C242" s="208" t="s">
        <v>2390</v>
      </c>
      <c r="D242" s="207" t="s">
        <v>2390</v>
      </c>
      <c r="E242" s="207" t="s">
        <v>66</v>
      </c>
      <c r="F242" s="208">
        <v>1210880317</v>
      </c>
      <c r="G242" s="207" t="s">
        <v>67</v>
      </c>
      <c r="H242" s="207" t="s">
        <v>68</v>
      </c>
      <c r="I242" s="207" t="s">
        <v>69</v>
      </c>
      <c r="J242" s="208" t="s">
        <v>214</v>
      </c>
      <c r="K242" s="207" t="s">
        <v>71</v>
      </c>
      <c r="L242" s="207" t="s">
        <v>1767</v>
      </c>
      <c r="M242" s="4" t="s">
        <v>1304</v>
      </c>
      <c r="N242" s="207" t="s">
        <v>74</v>
      </c>
      <c r="O242" s="207" t="s">
        <v>2068</v>
      </c>
      <c r="P242" s="207">
        <v>40</v>
      </c>
      <c r="Q242" s="209">
        <v>45492</v>
      </c>
      <c r="R242" s="209">
        <v>45505</v>
      </c>
      <c r="S242" s="210"/>
      <c r="T242" s="210"/>
      <c r="U242" s="207"/>
      <c r="V242" s="207"/>
      <c r="W242" s="105"/>
      <c r="X242" s="211">
        <v>1316873478</v>
      </c>
      <c r="Y242" s="208"/>
      <c r="Z242" s="207" t="s">
        <v>2391</v>
      </c>
      <c r="AA242" s="207">
        <v>1628352752</v>
      </c>
      <c r="AB242" s="207" t="s">
        <v>252</v>
      </c>
      <c r="AC242" s="207" t="s">
        <v>119</v>
      </c>
      <c r="AD242" s="210" t="s">
        <v>2392</v>
      </c>
      <c r="AE242" s="212"/>
      <c r="AF242" s="207" t="s">
        <v>80</v>
      </c>
      <c r="AG242" s="211">
        <v>2403935576</v>
      </c>
      <c r="AH242" s="207"/>
      <c r="AI242" s="208" t="s">
        <v>347</v>
      </c>
      <c r="AJ242" s="208"/>
      <c r="AK242" s="208"/>
      <c r="AL242" s="207"/>
      <c r="AM242" s="207" t="s">
        <v>2393</v>
      </c>
      <c r="AN242" s="207" t="s">
        <v>2394</v>
      </c>
      <c r="AO242" s="207" t="s">
        <v>2395</v>
      </c>
      <c r="AP242" s="207" t="s">
        <v>2395</v>
      </c>
      <c r="AQ242" s="208" t="s">
        <v>449</v>
      </c>
      <c r="AR242" s="207"/>
      <c r="AS242" s="207"/>
      <c r="AT242" s="213"/>
      <c r="AU242" s="207"/>
      <c r="AV242" s="207"/>
      <c r="AW242" s="207"/>
      <c r="AX242" s="207"/>
      <c r="AY242" s="207"/>
      <c r="AZ242" s="207"/>
      <c r="BA242" s="207" t="s">
        <v>90</v>
      </c>
      <c r="BB242" s="207">
        <v>10800</v>
      </c>
      <c r="BC242" s="207">
        <v>2700</v>
      </c>
      <c r="BD242" s="207"/>
      <c r="BE242" s="207" t="s">
        <v>91</v>
      </c>
      <c r="BF242" s="207"/>
      <c r="BG242" s="207"/>
      <c r="BH242" s="105"/>
      <c r="BI242" s="105"/>
      <c r="BJ242" s="105"/>
      <c r="BK242" s="207">
        <v>1609260451</v>
      </c>
      <c r="BL242" s="105">
        <v>1609260451</v>
      </c>
    </row>
    <row r="243" ht="19.95" customHeight="1">
      <c r="A243" s="207">
        <v>171800</v>
      </c>
      <c r="B243" s="207" t="s">
        <v>2396</v>
      </c>
      <c r="C243" s="208" t="s">
        <v>2397</v>
      </c>
      <c r="D243" s="207" t="s">
        <v>2397</v>
      </c>
      <c r="E243" s="207" t="s">
        <v>66</v>
      </c>
      <c r="F243" s="208">
        <v>752562</v>
      </c>
      <c r="G243" s="207" t="s">
        <v>67</v>
      </c>
      <c r="H243" s="207" t="s">
        <v>68</v>
      </c>
      <c r="I243" s="207" t="s">
        <v>69</v>
      </c>
      <c r="J243" s="208" t="s">
        <v>214</v>
      </c>
      <c r="K243" s="207" t="s">
        <v>71</v>
      </c>
      <c r="L243" s="207" t="s">
        <v>1767</v>
      </c>
      <c r="M243" s="4" t="s">
        <v>1304</v>
      </c>
      <c r="N243" s="207" t="s">
        <v>74</v>
      </c>
      <c r="O243" s="207" t="s">
        <v>2068</v>
      </c>
      <c r="P243" s="207">
        <v>40</v>
      </c>
      <c r="Q243" s="209">
        <v>45492</v>
      </c>
      <c r="R243" s="209">
        <v>45505</v>
      </c>
      <c r="S243" s="210"/>
      <c r="T243" s="210"/>
      <c r="U243" s="207"/>
      <c r="V243" s="207"/>
      <c r="W243" s="105"/>
      <c r="X243" s="211">
        <v>1980600637</v>
      </c>
      <c r="Y243" s="208"/>
      <c r="Z243" s="207" t="s">
        <v>2398</v>
      </c>
      <c r="AA243" s="207">
        <v>1315412744</v>
      </c>
      <c r="AB243" s="207" t="s">
        <v>132</v>
      </c>
      <c r="AC243" s="207" t="s">
        <v>79</v>
      </c>
      <c r="AD243" s="210">
        <v>35554</v>
      </c>
      <c r="AE243" s="212"/>
      <c r="AF243" s="207" t="s">
        <v>80</v>
      </c>
      <c r="AG243" s="211">
        <v>19931915428000100</v>
      </c>
      <c r="AH243" s="207"/>
      <c r="AI243" s="208" t="s">
        <v>265</v>
      </c>
      <c r="AJ243" s="208"/>
      <c r="AK243" s="208"/>
      <c r="AL243" s="207"/>
      <c r="AM243" s="207" t="s">
        <v>2399</v>
      </c>
      <c r="AN243" s="207" t="s">
        <v>2398</v>
      </c>
      <c r="AO243" s="207" t="s">
        <v>2400</v>
      </c>
      <c r="AP243" s="207" t="s">
        <v>2401</v>
      </c>
      <c r="AQ243" s="208" t="s">
        <v>285</v>
      </c>
      <c r="AR243" s="207"/>
      <c r="AS243" s="207"/>
      <c r="AT243" s="213"/>
      <c r="AU243" s="207"/>
      <c r="AV243" s="207"/>
      <c r="AW243" s="207"/>
      <c r="AX243" s="207"/>
      <c r="AY243" s="207"/>
      <c r="AZ243" s="207"/>
      <c r="BA243" s="207" t="s">
        <v>90</v>
      </c>
      <c r="BB243" s="207">
        <v>10800</v>
      </c>
      <c r="BC243" s="207">
        <v>2700</v>
      </c>
      <c r="BD243" s="207"/>
      <c r="BE243" s="207" t="s">
        <v>91</v>
      </c>
      <c r="BF243" s="207"/>
      <c r="BG243" s="207"/>
      <c r="BH243" s="105"/>
      <c r="BI243" s="105"/>
      <c r="BJ243" s="105"/>
      <c r="BK243" s="207">
        <v>1952337974</v>
      </c>
      <c r="BL243" s="105">
        <v>1952337974</v>
      </c>
    </row>
    <row r="244" ht="19.95" customHeight="1">
      <c r="A244" s="207">
        <v>171783</v>
      </c>
      <c r="B244" s="207"/>
      <c r="C244" s="208" t="s">
        <v>2402</v>
      </c>
      <c r="D244" s="207" t="s">
        <v>2402</v>
      </c>
      <c r="E244" s="207" t="s">
        <v>114</v>
      </c>
      <c r="F244" s="208">
        <v>1010665375</v>
      </c>
      <c r="G244" s="207" t="s">
        <v>67</v>
      </c>
      <c r="H244" s="207" t="s">
        <v>68</v>
      </c>
      <c r="I244" s="207" t="s">
        <v>69</v>
      </c>
      <c r="J244" s="208" t="s">
        <v>214</v>
      </c>
      <c r="K244" s="207" t="s">
        <v>71</v>
      </c>
      <c r="L244" s="207" t="s">
        <v>1767</v>
      </c>
      <c r="M244" s="4" t="s">
        <v>1304</v>
      </c>
      <c r="N244" s="207" t="s">
        <v>74</v>
      </c>
      <c r="O244" s="207" t="s">
        <v>2068</v>
      </c>
      <c r="P244" s="207">
        <v>40</v>
      </c>
      <c r="Q244" s="209">
        <v>45492</v>
      </c>
      <c r="R244" s="209">
        <v>45505</v>
      </c>
      <c r="S244" s="210"/>
      <c r="T244" s="210"/>
      <c r="U244" s="207"/>
      <c r="V244" s="207"/>
      <c r="W244" s="105"/>
      <c r="X244" s="211">
        <v>1734019831</v>
      </c>
      <c r="Y244" s="208"/>
      <c r="Z244" s="207">
        <v>1715808621</v>
      </c>
      <c r="AA244" s="207">
        <v>1715808621</v>
      </c>
      <c r="AB244" s="207" t="s">
        <v>252</v>
      </c>
      <c r="AC244" s="207" t="s">
        <v>102</v>
      </c>
      <c r="AD244" s="210" t="s">
        <v>2403</v>
      </c>
      <c r="AE244" s="212"/>
      <c r="AF244" s="207" t="s">
        <v>80</v>
      </c>
      <c r="AG244" s="211">
        <v>8704583809</v>
      </c>
      <c r="AH244" s="207"/>
      <c r="AI244" s="208" t="s">
        <v>322</v>
      </c>
      <c r="AJ244" s="208"/>
      <c r="AK244" s="208"/>
      <c r="AL244" s="207"/>
      <c r="AM244" s="207" t="s">
        <v>2404</v>
      </c>
      <c r="AN244" s="207" t="s">
        <v>2405</v>
      </c>
      <c r="AO244" s="207" t="s">
        <v>2406</v>
      </c>
      <c r="AP244" s="207" t="s">
        <v>2407</v>
      </c>
      <c r="AQ244" s="208" t="s">
        <v>2408</v>
      </c>
      <c r="AR244" s="207"/>
      <c r="AS244" s="207"/>
      <c r="AT244" s="213"/>
      <c r="AU244" s="207"/>
      <c r="AV244" s="207"/>
      <c r="AW244" s="207"/>
      <c r="AX244" s="207"/>
      <c r="AY244" s="207"/>
      <c r="AZ244" s="207"/>
      <c r="BA244" s="207" t="s">
        <v>90</v>
      </c>
      <c r="BB244" s="207">
        <v>10800</v>
      </c>
      <c r="BC244" s="207">
        <v>2700</v>
      </c>
      <c r="BD244" s="207"/>
      <c r="BE244" s="207" t="s">
        <v>91</v>
      </c>
      <c r="BF244" s="207"/>
      <c r="BG244" s="207"/>
      <c r="BH244" s="105"/>
      <c r="BI244" s="105"/>
      <c r="BJ244" s="105"/>
      <c r="BK244" s="207">
        <v>1734019831</v>
      </c>
      <c r="BL244" s="105">
        <v>1734019831</v>
      </c>
    </row>
    <row r="245" ht="19.95" customHeight="1">
      <c r="A245" s="207">
        <v>171784</v>
      </c>
      <c r="B245" s="207" t="s">
        <v>2409</v>
      </c>
      <c r="C245" s="208" t="s">
        <v>2410</v>
      </c>
      <c r="D245" s="207" t="s">
        <v>2410</v>
      </c>
      <c r="E245" s="207" t="s">
        <v>66</v>
      </c>
      <c r="F245" s="208">
        <v>423813</v>
      </c>
      <c r="G245" s="207" t="s">
        <v>67</v>
      </c>
      <c r="H245" s="207" t="s">
        <v>68</v>
      </c>
      <c r="I245" s="207" t="s">
        <v>69</v>
      </c>
      <c r="J245" s="208" t="s">
        <v>214</v>
      </c>
      <c r="K245" s="207" t="s">
        <v>71</v>
      </c>
      <c r="L245" s="207" t="s">
        <v>1767</v>
      </c>
      <c r="M245" s="4" t="s">
        <v>1304</v>
      </c>
      <c r="N245" s="207" t="s">
        <v>74</v>
      </c>
      <c r="O245" s="207" t="s">
        <v>2068</v>
      </c>
      <c r="P245" s="207">
        <v>40</v>
      </c>
      <c r="Q245" s="209">
        <v>45492</v>
      </c>
      <c r="R245" s="209">
        <v>45505</v>
      </c>
      <c r="S245" s="210"/>
      <c r="T245" s="210"/>
      <c r="U245" s="207"/>
      <c r="V245" s="207"/>
      <c r="W245" s="105"/>
      <c r="X245" s="211">
        <v>1680859636</v>
      </c>
      <c r="Y245" s="208"/>
      <c r="Z245" s="207" t="s">
        <v>2411</v>
      </c>
      <c r="AA245" s="207">
        <v>1954044053</v>
      </c>
      <c r="AB245" s="207" t="s">
        <v>118</v>
      </c>
      <c r="AC245" s="207" t="s">
        <v>119</v>
      </c>
      <c r="AD245" s="210">
        <v>34101</v>
      </c>
      <c r="AE245" s="212"/>
      <c r="AF245" s="207" t="s">
        <v>80</v>
      </c>
      <c r="AG245" s="211" t="s">
        <v>2412</v>
      </c>
      <c r="AH245" s="207"/>
      <c r="AI245" s="208" t="s">
        <v>322</v>
      </c>
      <c r="AJ245" s="208"/>
      <c r="AK245" s="208"/>
      <c r="AL245" s="207"/>
      <c r="AM245" s="207" t="s">
        <v>2413</v>
      </c>
      <c r="AN245" s="207" t="s">
        <v>2414</v>
      </c>
      <c r="AO245" s="207" t="s">
        <v>2415</v>
      </c>
      <c r="AP245" s="207" t="s">
        <v>2416</v>
      </c>
      <c r="AQ245" s="208" t="s">
        <v>2417</v>
      </c>
      <c r="AR245" s="207"/>
      <c r="AS245" s="207"/>
      <c r="AT245" s="213"/>
      <c r="AU245" s="207"/>
      <c r="AV245" s="207"/>
      <c r="AW245" s="207"/>
      <c r="AX245" s="207"/>
      <c r="AY245" s="207"/>
      <c r="AZ245" s="207"/>
      <c r="BA245" s="207" t="s">
        <v>90</v>
      </c>
      <c r="BB245" s="207">
        <v>10800</v>
      </c>
      <c r="BC245" s="207">
        <v>2700</v>
      </c>
      <c r="BD245" s="207"/>
      <c r="BE245" s="207" t="s">
        <v>91</v>
      </c>
      <c r="BF245" s="207"/>
      <c r="BG245" s="207"/>
      <c r="BH245" s="105"/>
      <c r="BI245" s="105"/>
      <c r="BJ245" s="105"/>
      <c r="BK245" s="207">
        <v>1680859636</v>
      </c>
      <c r="BL245" s="105"/>
    </row>
    <row r="246" ht="19.95" customHeight="1">
      <c r="A246" s="207">
        <v>171785</v>
      </c>
      <c r="B246" s="207"/>
      <c r="C246" s="208" t="s">
        <v>2418</v>
      </c>
      <c r="D246" s="207" t="s">
        <v>2419</v>
      </c>
      <c r="E246" s="207" t="s">
        <v>114</v>
      </c>
      <c r="F246" s="208">
        <v>1112807306</v>
      </c>
      <c r="G246" s="207" t="s">
        <v>67</v>
      </c>
      <c r="H246" s="207" t="s">
        <v>68</v>
      </c>
      <c r="I246" s="207" t="s">
        <v>69</v>
      </c>
      <c r="J246" s="208" t="s">
        <v>214</v>
      </c>
      <c r="K246" s="207" t="s">
        <v>71</v>
      </c>
      <c r="L246" s="207" t="s">
        <v>72</v>
      </c>
      <c r="M246" s="4" t="s">
        <v>287</v>
      </c>
      <c r="N246" s="207" t="s">
        <v>74</v>
      </c>
      <c r="O246" s="207" t="s">
        <v>2068</v>
      </c>
      <c r="P246" s="207">
        <v>40</v>
      </c>
      <c r="Q246" s="209">
        <v>45492</v>
      </c>
      <c r="R246" s="209">
        <v>45504</v>
      </c>
      <c r="S246" s="210"/>
      <c r="T246" s="210"/>
      <c r="U246" s="207"/>
      <c r="V246" s="207"/>
      <c r="W246" s="105"/>
      <c r="X246" s="211">
        <v>1712053703</v>
      </c>
      <c r="Y246" s="208"/>
      <c r="Z246" s="207" t="s">
        <v>2420</v>
      </c>
      <c r="AA246" s="207">
        <v>1717423981</v>
      </c>
      <c r="AB246" s="207" t="s">
        <v>252</v>
      </c>
      <c r="AC246" s="207" t="s">
        <v>102</v>
      </c>
      <c r="AD246" s="210">
        <v>35831</v>
      </c>
      <c r="AE246" s="212"/>
      <c r="AF246" s="207" t="s">
        <v>80</v>
      </c>
      <c r="AG246" s="211">
        <v>1503850933</v>
      </c>
      <c r="AH246" s="207"/>
      <c r="AI246" s="208" t="s">
        <v>322</v>
      </c>
      <c r="AJ246" s="208"/>
      <c r="AK246" s="208"/>
      <c r="AL246" s="207"/>
      <c r="AM246" s="207" t="s">
        <v>2421</v>
      </c>
      <c r="AN246" s="207" t="s">
        <v>2422</v>
      </c>
      <c r="AO246" s="207" t="s">
        <v>2423</v>
      </c>
      <c r="AP246" s="207" t="s">
        <v>2424</v>
      </c>
      <c r="AQ246" s="208" t="s">
        <v>1188</v>
      </c>
      <c r="AR246" s="207"/>
      <c r="AS246" s="207"/>
      <c r="AT246" s="213"/>
      <c r="AU246" s="207"/>
      <c r="AV246" s="207"/>
      <c r="AW246" s="207"/>
      <c r="AX246" s="207"/>
      <c r="AY246" s="207"/>
      <c r="AZ246" s="207"/>
      <c r="BA246" s="207" t="s">
        <v>90</v>
      </c>
      <c r="BB246" s="207">
        <v>10800</v>
      </c>
      <c r="BC246" s="207">
        <v>2700</v>
      </c>
      <c r="BD246" s="207">
        <v>0</v>
      </c>
      <c r="BE246" s="207" t="s">
        <v>91</v>
      </c>
      <c r="BF246" s="207"/>
      <c r="BG246" s="207"/>
      <c r="BH246" s="105"/>
      <c r="BI246" s="105"/>
      <c r="BJ246" s="105"/>
      <c r="BK246" s="207">
        <v>1617328562</v>
      </c>
      <c r="BL246" s="105"/>
    </row>
    <row r="247" ht="19.95" customHeight="1">
      <c r="A247" s="207">
        <v>171786</v>
      </c>
      <c r="B247" s="207"/>
      <c r="C247" s="208" t="s">
        <v>2425</v>
      </c>
      <c r="D247" s="207" t="s">
        <v>2426</v>
      </c>
      <c r="E247" s="207" t="s">
        <v>114</v>
      </c>
      <c r="F247" s="208">
        <v>1316545483</v>
      </c>
      <c r="G247" s="207" t="s">
        <v>67</v>
      </c>
      <c r="H247" s="207" t="s">
        <v>68</v>
      </c>
      <c r="I247" s="207" t="s">
        <v>69</v>
      </c>
      <c r="J247" s="208" t="s">
        <v>214</v>
      </c>
      <c r="K247" s="207" t="s">
        <v>71</v>
      </c>
      <c r="L247" s="207" t="s">
        <v>72</v>
      </c>
      <c r="M247" s="4" t="s">
        <v>287</v>
      </c>
      <c r="N247" s="207" t="s">
        <v>74</v>
      </c>
      <c r="O247" s="207" t="s">
        <v>2068</v>
      </c>
      <c r="P247" s="207">
        <v>40</v>
      </c>
      <c r="Q247" s="209">
        <v>45492</v>
      </c>
      <c r="R247" s="209">
        <v>45504</v>
      </c>
      <c r="S247" s="210"/>
      <c r="T247" s="210"/>
      <c r="U247" s="207"/>
      <c r="V247" s="207"/>
      <c r="W247" s="105"/>
      <c r="X247" s="211">
        <v>1704048921</v>
      </c>
      <c r="Y247" s="208"/>
      <c r="Z247" s="207" t="s">
        <v>2427</v>
      </c>
      <c r="AA247" s="207" t="s">
        <v>2428</v>
      </c>
      <c r="AB247" s="207" t="s">
        <v>2429</v>
      </c>
      <c r="AC247" s="207" t="s">
        <v>79</v>
      </c>
      <c r="AD247" s="210" t="s">
        <v>2430</v>
      </c>
      <c r="AE247" s="212"/>
      <c r="AF247" s="207" t="s">
        <v>80</v>
      </c>
      <c r="AG247" s="211" t="s">
        <v>2431</v>
      </c>
      <c r="AH247" s="207"/>
      <c r="AI247" s="208" t="s">
        <v>1619</v>
      </c>
      <c r="AJ247" s="208"/>
      <c r="AK247" s="208"/>
      <c r="AL247" s="207"/>
      <c r="AM247" s="207" t="s">
        <v>2432</v>
      </c>
      <c r="AN247" s="207" t="s">
        <v>2433</v>
      </c>
      <c r="AO247" s="207" t="s">
        <v>2434</v>
      </c>
      <c r="AP247" s="207" t="s">
        <v>2435</v>
      </c>
      <c r="AQ247" s="208" t="s">
        <v>2434</v>
      </c>
      <c r="AR247" s="207"/>
      <c r="AS247" s="207"/>
      <c r="AT247" s="213"/>
      <c r="AU247" s="207"/>
      <c r="AV247" s="207"/>
      <c r="AW247" s="207"/>
      <c r="AX247" s="207"/>
      <c r="AY247" s="207"/>
      <c r="AZ247" s="207"/>
      <c r="BA247" s="207" t="s">
        <v>90</v>
      </c>
      <c r="BB247" s="207">
        <v>10800</v>
      </c>
      <c r="BC247" s="207">
        <v>2700</v>
      </c>
      <c r="BD247" s="207">
        <v>0</v>
      </c>
      <c r="BE247" s="207" t="s">
        <v>91</v>
      </c>
      <c r="BF247" s="207"/>
      <c r="BG247" s="207"/>
      <c r="BH247" s="105"/>
      <c r="BI247" s="105"/>
      <c r="BJ247" s="105"/>
      <c r="BK247" s="207">
        <v>1704048921</v>
      </c>
      <c r="BL247" s="105"/>
    </row>
    <row r="248" ht="19.95" customHeight="1">
      <c r="A248" s="207">
        <v>171797</v>
      </c>
      <c r="B248" s="207"/>
      <c r="C248" s="208" t="s">
        <v>2436</v>
      </c>
      <c r="D248" s="207" t="s">
        <v>2437</v>
      </c>
      <c r="E248" s="207" t="s">
        <v>114</v>
      </c>
      <c r="F248" s="208">
        <v>1217733392</v>
      </c>
      <c r="G248" s="207" t="s">
        <v>67</v>
      </c>
      <c r="H248" s="207" t="s">
        <v>68</v>
      </c>
      <c r="I248" s="207" t="s">
        <v>69</v>
      </c>
      <c r="J248" s="208" t="s">
        <v>214</v>
      </c>
      <c r="K248" s="207" t="s">
        <v>71</v>
      </c>
      <c r="L248" s="207" t="s">
        <v>72</v>
      </c>
      <c r="M248" s="4" t="s">
        <v>73</v>
      </c>
      <c r="N248" s="207" t="s">
        <v>74</v>
      </c>
      <c r="O248" s="207" t="s">
        <v>2068</v>
      </c>
      <c r="P248" s="207">
        <v>40</v>
      </c>
      <c r="Q248" s="209">
        <v>45492</v>
      </c>
      <c r="R248" s="209">
        <v>45504</v>
      </c>
      <c r="S248" s="210"/>
      <c r="T248" s="210"/>
      <c r="U248" s="207"/>
      <c r="V248" s="207"/>
      <c r="W248" s="105"/>
      <c r="X248" s="211">
        <v>1569161306</v>
      </c>
      <c r="Y248" s="208"/>
      <c r="Z248" s="207" t="s">
        <v>2438</v>
      </c>
      <c r="AA248" s="207">
        <v>1614009688</v>
      </c>
      <c r="AB248" s="207" t="s">
        <v>186</v>
      </c>
      <c r="AC248" s="207" t="s">
        <v>102</v>
      </c>
      <c r="AD248" s="210" t="s">
        <v>2439</v>
      </c>
      <c r="AE248" s="212"/>
      <c r="AF248" s="207" t="s">
        <v>80</v>
      </c>
      <c r="AG248" s="211">
        <v>3304395670</v>
      </c>
      <c r="AH248" s="207"/>
      <c r="AI248" s="208" t="s">
        <v>82</v>
      </c>
      <c r="AJ248" s="208"/>
      <c r="AK248" s="208"/>
      <c r="AL248" s="207"/>
      <c r="AM248" s="207" t="s">
        <v>2440</v>
      </c>
      <c r="AN248" s="207" t="s">
        <v>2441</v>
      </c>
      <c r="AO248" s="207" t="s">
        <v>2442</v>
      </c>
      <c r="AP248" s="207" t="s">
        <v>2443</v>
      </c>
      <c r="AQ248" s="208" t="s">
        <v>2444</v>
      </c>
      <c r="AR248" s="207"/>
      <c r="AS248" s="207"/>
      <c r="AT248" s="213"/>
      <c r="AU248" s="207"/>
      <c r="AV248" s="207"/>
      <c r="AW248" s="207"/>
      <c r="AX248" s="207"/>
      <c r="AY248" s="207"/>
      <c r="AZ248" s="207"/>
      <c r="BA248" s="207" t="s">
        <v>90</v>
      </c>
      <c r="BB248" s="207">
        <v>10800</v>
      </c>
      <c r="BC248" s="207">
        <v>2700</v>
      </c>
      <c r="BD248" s="207">
        <v>0</v>
      </c>
      <c r="BE248" s="207" t="s">
        <v>91</v>
      </c>
      <c r="BF248" s="207"/>
      <c r="BG248" s="207"/>
      <c r="BH248" s="105"/>
      <c r="BI248" s="105"/>
      <c r="BJ248" s="105"/>
      <c r="BK248" s="207">
        <v>1569161306</v>
      </c>
      <c r="BL248" s="105"/>
    </row>
    <row r="249" ht="19.95" customHeight="1">
      <c r="A249" s="207">
        <v>171799</v>
      </c>
      <c r="B249" s="207"/>
      <c r="C249" s="208" t="s">
        <v>2445</v>
      </c>
      <c r="D249" s="207" t="s">
        <v>2446</v>
      </c>
      <c r="E249" s="207" t="s">
        <v>114</v>
      </c>
      <c r="F249" s="208">
        <v>1212746896</v>
      </c>
      <c r="G249" s="207" t="s">
        <v>67</v>
      </c>
      <c r="H249" s="207" t="s">
        <v>68</v>
      </c>
      <c r="I249" s="207" t="s">
        <v>69</v>
      </c>
      <c r="J249" s="208" t="s">
        <v>214</v>
      </c>
      <c r="K249" s="207" t="s">
        <v>71</v>
      </c>
      <c r="L249" s="207" t="s">
        <v>72</v>
      </c>
      <c r="M249" s="4" t="s">
        <v>73</v>
      </c>
      <c r="N249" s="207" t="s">
        <v>74</v>
      </c>
      <c r="O249" s="207" t="s">
        <v>2068</v>
      </c>
      <c r="P249" s="207">
        <v>40</v>
      </c>
      <c r="Q249" s="209">
        <v>45492</v>
      </c>
      <c r="R249" s="209">
        <v>45504</v>
      </c>
      <c r="S249" s="210"/>
      <c r="T249" s="210"/>
      <c r="U249" s="207"/>
      <c r="V249" s="207"/>
      <c r="W249" s="105"/>
      <c r="X249" s="211">
        <v>1798159407</v>
      </c>
      <c r="Y249" s="208"/>
      <c r="Z249" s="207" t="s">
        <v>101</v>
      </c>
      <c r="AA249" s="207">
        <v>1736954155</v>
      </c>
      <c r="AB249" s="207" t="s">
        <v>101</v>
      </c>
      <c r="AC249" s="207" t="s">
        <v>2184</v>
      </c>
      <c r="AD249" s="210" t="s">
        <v>2447</v>
      </c>
      <c r="AE249" s="212"/>
      <c r="AF249" s="207" t="s">
        <v>80</v>
      </c>
      <c r="AG249" s="211"/>
      <c r="AH249" s="207"/>
      <c r="AI249" s="208"/>
      <c r="AJ249" s="208"/>
      <c r="AK249" s="208"/>
      <c r="AL249" s="207"/>
      <c r="AM249" s="207" t="s">
        <v>2448</v>
      </c>
      <c r="AN249" s="207" t="s">
        <v>2449</v>
      </c>
      <c r="AO249" s="207" t="s">
        <v>2450</v>
      </c>
      <c r="AP249" s="207" t="s">
        <v>2451</v>
      </c>
      <c r="AQ249" s="208" t="s">
        <v>242</v>
      </c>
      <c r="AR249" s="207"/>
      <c r="AS249" s="207"/>
      <c r="AT249" s="213"/>
      <c r="AU249" s="207"/>
      <c r="AV249" s="207"/>
      <c r="AW249" s="207"/>
      <c r="AX249" s="207"/>
      <c r="AY249" s="207"/>
      <c r="AZ249" s="207"/>
      <c r="BA249" s="207" t="s">
        <v>90</v>
      </c>
      <c r="BB249" s="207">
        <v>10800</v>
      </c>
      <c r="BC249" s="207">
        <v>2700</v>
      </c>
      <c r="BD249" s="207">
        <v>0</v>
      </c>
      <c r="BE249" s="207" t="s">
        <v>91</v>
      </c>
      <c r="BF249" s="207"/>
      <c r="BG249" s="207"/>
      <c r="BH249" s="105"/>
      <c r="BI249" s="105"/>
      <c r="BJ249" s="105"/>
      <c r="BK249" s="207">
        <v>1798159407</v>
      </c>
      <c r="BL249" s="105">
        <v>1798159407</v>
      </c>
    </row>
    <row r="250" ht="19.95" customHeight="1">
      <c r="A250" s="207">
        <v>171801</v>
      </c>
      <c r="B250" s="207"/>
      <c r="C250" s="208" t="s">
        <v>2452</v>
      </c>
      <c r="D250" s="207" t="s">
        <v>2453</v>
      </c>
      <c r="E250" s="207" t="s">
        <v>114</v>
      </c>
      <c r="F250" s="208">
        <v>711049</v>
      </c>
      <c r="G250" s="207" t="s">
        <v>67</v>
      </c>
      <c r="H250" s="207" t="s">
        <v>68</v>
      </c>
      <c r="I250" s="207" t="s">
        <v>69</v>
      </c>
      <c r="J250" s="208" t="s">
        <v>214</v>
      </c>
      <c r="K250" s="207" t="s">
        <v>71</v>
      </c>
      <c r="L250" s="207" t="s">
        <v>72</v>
      </c>
      <c r="M250" s="4" t="s">
        <v>73</v>
      </c>
      <c r="N250" s="207" t="s">
        <v>74</v>
      </c>
      <c r="O250" s="207" t="s">
        <v>2068</v>
      </c>
      <c r="P250" s="207">
        <v>40</v>
      </c>
      <c r="Q250" s="209">
        <v>45492</v>
      </c>
      <c r="R250" s="209">
        <v>45504</v>
      </c>
      <c r="S250" s="210"/>
      <c r="T250" s="210"/>
      <c r="U250" s="207"/>
      <c r="V250" s="207"/>
      <c r="W250" s="105"/>
      <c r="X250" s="211">
        <v>1737065156</v>
      </c>
      <c r="Y250" s="208"/>
      <c r="Z250" s="207" t="s">
        <v>2454</v>
      </c>
      <c r="AA250" s="207">
        <v>1630906990</v>
      </c>
      <c r="AB250" s="207" t="s">
        <v>2455</v>
      </c>
      <c r="AC250" s="207" t="s">
        <v>2456</v>
      </c>
      <c r="AD250" s="210" t="s">
        <v>2457</v>
      </c>
      <c r="AE250" s="212"/>
      <c r="AF250" s="207" t="s">
        <v>80</v>
      </c>
      <c r="AG250" s="211"/>
      <c r="AH250" s="207"/>
      <c r="AI250" s="208"/>
      <c r="AJ250" s="208"/>
      <c r="AK250" s="208"/>
      <c r="AL250" s="207"/>
      <c r="AM250" s="207" t="s">
        <v>2458</v>
      </c>
      <c r="AN250" s="207" t="s">
        <v>2459</v>
      </c>
      <c r="AO250" s="207" t="s">
        <v>2460</v>
      </c>
      <c r="AP250" s="207" t="s">
        <v>2461</v>
      </c>
      <c r="AQ250" s="208" t="s">
        <v>790</v>
      </c>
      <c r="AR250" s="207"/>
      <c r="AS250" s="207"/>
      <c r="AT250" s="213"/>
      <c r="AU250" s="207"/>
      <c r="AV250" s="207"/>
      <c r="AW250" s="207"/>
      <c r="AX250" s="207"/>
      <c r="AY250" s="207"/>
      <c r="AZ250" s="207"/>
      <c r="BA250" s="207" t="s">
        <v>90</v>
      </c>
      <c r="BB250" s="207">
        <v>10800</v>
      </c>
      <c r="BC250" s="207">
        <v>2700</v>
      </c>
      <c r="BD250" s="207">
        <v>0</v>
      </c>
      <c r="BE250" s="207" t="s">
        <v>91</v>
      </c>
      <c r="BF250" s="207"/>
      <c r="BG250" s="207"/>
      <c r="BH250" s="105"/>
      <c r="BI250" s="105"/>
      <c r="BJ250" s="105"/>
      <c r="BK250" s="207">
        <v>1737065156</v>
      </c>
      <c r="BL250" s="105">
        <v>1737065156</v>
      </c>
    </row>
    <row r="251" ht="19.95" customHeight="1">
      <c r="A251" s="207">
        <v>171827</v>
      </c>
      <c r="B251" s="207"/>
      <c r="C251" s="208" t="s">
        <v>2462</v>
      </c>
      <c r="D251" s="207" t="s">
        <v>2463</v>
      </c>
      <c r="E251" s="207" t="s">
        <v>114</v>
      </c>
      <c r="F251" s="208" t="s">
        <v>2464</v>
      </c>
      <c r="G251" s="207" t="s">
        <v>67</v>
      </c>
      <c r="H251" s="207" t="s">
        <v>2465</v>
      </c>
      <c r="I251" s="207" t="s">
        <v>69</v>
      </c>
      <c r="J251" s="208" t="s">
        <v>155</v>
      </c>
      <c r="K251" s="207" t="s">
        <v>1766</v>
      </c>
      <c r="L251" s="207" t="s">
        <v>2466</v>
      </c>
      <c r="M251" s="4" t="s">
        <v>156</v>
      </c>
      <c r="N251" s="207" t="s">
        <v>74</v>
      </c>
      <c r="O251" s="207" t="s">
        <v>75</v>
      </c>
      <c r="P251" s="207">
        <v>41</v>
      </c>
      <c r="Q251" s="209">
        <v>45507</v>
      </c>
      <c r="R251" s="209">
        <v>45530</v>
      </c>
      <c r="S251" s="210" t="s">
        <v>242</v>
      </c>
      <c r="T251" s="210" t="s">
        <v>242</v>
      </c>
      <c r="U251" s="207" t="s">
        <v>242</v>
      </c>
      <c r="V251" s="207" t="s">
        <v>242</v>
      </c>
      <c r="W251" s="105" t="s">
        <v>2467</v>
      </c>
      <c r="X251" s="211">
        <v>1969660958</v>
      </c>
      <c r="Y251" s="208">
        <v>1969660958</v>
      </c>
      <c r="Z251" s="207" t="s">
        <v>2468</v>
      </c>
      <c r="AA251" s="207">
        <v>1301323465</v>
      </c>
      <c r="AB251" s="207" t="s">
        <v>186</v>
      </c>
      <c r="AC251" s="207" t="s">
        <v>119</v>
      </c>
      <c r="AD251" s="210">
        <v>33972</v>
      </c>
      <c r="AE251" s="212">
        <v>31</v>
      </c>
      <c r="AF251" s="207" t="s">
        <v>80</v>
      </c>
      <c r="AG251" s="211">
        <v>9550661897</v>
      </c>
      <c r="AH251" s="207" t="s">
        <v>242</v>
      </c>
      <c r="AI251" s="208" t="s">
        <v>925</v>
      </c>
      <c r="AJ251" s="208" t="s">
        <v>242</v>
      </c>
      <c r="AK251" s="208">
        <v>2017</v>
      </c>
      <c r="AL251" s="207" t="s">
        <v>2469</v>
      </c>
      <c r="AM251" s="207" t="s">
        <v>2470</v>
      </c>
      <c r="AN251" s="207" t="s">
        <v>2471</v>
      </c>
      <c r="AO251" s="207" t="s">
        <v>2472</v>
      </c>
      <c r="AP251" s="207" t="s">
        <v>2472</v>
      </c>
      <c r="AQ251" s="208" t="s">
        <v>666</v>
      </c>
      <c r="AR251" s="207" t="s">
        <v>89</v>
      </c>
      <c r="AS251" s="207" t="s">
        <v>2468</v>
      </c>
      <c r="AT251" s="213">
        <v>45480</v>
      </c>
      <c r="AU251" s="207" t="s">
        <v>81</v>
      </c>
      <c r="AV251" s="207" t="s">
        <v>81</v>
      </c>
      <c r="AW251" s="207" t="s">
        <v>81</v>
      </c>
      <c r="AX251" s="207" t="s">
        <v>81</v>
      </c>
      <c r="AY251" s="207" t="s">
        <v>81</v>
      </c>
      <c r="AZ251" s="207" t="s">
        <v>81</v>
      </c>
      <c r="BA251" s="207" t="s">
        <v>90</v>
      </c>
      <c r="BB251" s="207">
        <v>10800</v>
      </c>
      <c r="BC251" s="207">
        <v>2700</v>
      </c>
      <c r="BD251" s="207">
        <v>1000</v>
      </c>
      <c r="BE251" s="207" t="s">
        <v>166</v>
      </c>
      <c r="BF251" s="207" t="s">
        <v>242</v>
      </c>
      <c r="BG251" s="207" t="s">
        <v>242</v>
      </c>
      <c r="BH251" s="105"/>
      <c r="BI251" s="105"/>
      <c r="BJ251" s="105" t="s">
        <v>242</v>
      </c>
      <c r="BK251" s="207">
        <v>1969660958</v>
      </c>
      <c r="BL251" s="105"/>
    </row>
    <row r="252" ht="19.95" customHeight="1">
      <c r="A252" s="207">
        <v>171911</v>
      </c>
      <c r="B252" s="207"/>
      <c r="C252" s="208" t="s">
        <v>2473</v>
      </c>
      <c r="D252" s="207" t="s">
        <v>2474</v>
      </c>
      <c r="E252" s="207" t="s">
        <v>114</v>
      </c>
      <c r="F252" s="208">
        <v>1310551878</v>
      </c>
      <c r="G252" s="207" t="s">
        <v>225</v>
      </c>
      <c r="H252" s="207" t="s">
        <v>226</v>
      </c>
      <c r="I252" s="207" t="s">
        <v>69</v>
      </c>
      <c r="J252" s="208" t="s">
        <v>1725</v>
      </c>
      <c r="K252" s="207" t="s">
        <v>71</v>
      </c>
      <c r="L252" s="207" t="s">
        <v>72</v>
      </c>
      <c r="M252" s="207" t="s">
        <v>74</v>
      </c>
      <c r="N252" s="207" t="s">
        <v>74</v>
      </c>
      <c r="O252" s="207" t="s">
        <v>2475</v>
      </c>
      <c r="P252" s="207">
        <v>44</v>
      </c>
      <c r="Q252" s="209">
        <v>45300</v>
      </c>
      <c r="R252" s="209">
        <v>45536</v>
      </c>
      <c r="S252" s="210"/>
      <c r="T252" s="210"/>
      <c r="U252" s="207"/>
      <c r="V252" s="207"/>
      <c r="W252" s="105" t="s">
        <v>2476</v>
      </c>
      <c r="X252" s="211">
        <v>1602987156</v>
      </c>
      <c r="Y252" s="208"/>
      <c r="Z252" s="207"/>
      <c r="AA252" s="207"/>
      <c r="AB252" s="207"/>
      <c r="AC252" s="207" t="s">
        <v>2477</v>
      </c>
      <c r="AD252" s="210">
        <v>36873</v>
      </c>
      <c r="AE252" s="212"/>
      <c r="AF252" s="207" t="s">
        <v>80</v>
      </c>
      <c r="AG252" s="211">
        <v>2873864652</v>
      </c>
      <c r="AH252" s="207" t="s">
        <v>81</v>
      </c>
      <c r="AI252" s="208" t="s">
        <v>421</v>
      </c>
      <c r="AJ252" s="208" t="s">
        <v>209</v>
      </c>
      <c r="AK252" s="208">
        <v>2024</v>
      </c>
      <c r="AL252" s="207"/>
      <c r="AM252" s="207" t="s">
        <v>2478</v>
      </c>
      <c r="AN252" s="207" t="s">
        <v>2479</v>
      </c>
      <c r="AO252" s="207" t="s">
        <v>2480</v>
      </c>
      <c r="AP252" s="207" t="s">
        <v>2481</v>
      </c>
      <c r="AQ252" s="208" t="s">
        <v>2482</v>
      </c>
      <c r="AR252" s="207"/>
      <c r="AS252" s="207"/>
      <c r="AT252" s="213"/>
      <c r="AU252" s="207"/>
      <c r="AV252" s="207"/>
      <c r="AW252" s="207"/>
      <c r="AX252" s="207"/>
      <c r="AY252" s="207"/>
      <c r="AZ252" s="207"/>
      <c r="BA252" s="207" t="s">
        <v>90</v>
      </c>
      <c r="BB252" s="207">
        <v>14450</v>
      </c>
      <c r="BC252" s="207">
        <v>2550</v>
      </c>
      <c r="BD252" s="207">
        <v>0</v>
      </c>
      <c r="BE252" s="207" t="s">
        <v>91</v>
      </c>
      <c r="BF252" s="207"/>
      <c r="BG252" s="207"/>
      <c r="BH252" s="105"/>
      <c r="BI252" s="105"/>
      <c r="BJ252" s="105"/>
      <c r="BK252" s="207"/>
      <c r="BL252" s="105" t="s">
        <v>2483</v>
      </c>
    </row>
    <row r="253" ht="19.95" customHeight="1">
      <c r="A253" s="207">
        <v>171912</v>
      </c>
      <c r="B253" s="207"/>
      <c r="C253" s="208" t="s">
        <v>2484</v>
      </c>
      <c r="D253" s="207" t="s">
        <v>2485</v>
      </c>
      <c r="E253" s="207" t="s">
        <v>114</v>
      </c>
      <c r="F253" s="208">
        <v>1310210211</v>
      </c>
      <c r="G253" s="207" t="s">
        <v>225</v>
      </c>
      <c r="H253" s="207" t="s">
        <v>226</v>
      </c>
      <c r="I253" s="207" t="s">
        <v>69</v>
      </c>
      <c r="J253" s="208" t="s">
        <v>1725</v>
      </c>
      <c r="K253" s="207" t="s">
        <v>71</v>
      </c>
      <c r="L253" s="207" t="s">
        <v>72</v>
      </c>
      <c r="M253" s="207" t="s">
        <v>74</v>
      </c>
      <c r="N253" s="207" t="s">
        <v>74</v>
      </c>
      <c r="O253" s="207" t="s">
        <v>2475</v>
      </c>
      <c r="P253" s="207">
        <v>44</v>
      </c>
      <c r="Q253" s="209">
        <v>45300</v>
      </c>
      <c r="R253" s="209">
        <v>45536</v>
      </c>
      <c r="S253" s="210"/>
      <c r="T253" s="210"/>
      <c r="U253" s="207"/>
      <c r="V253" s="207"/>
      <c r="W253" s="105" t="s">
        <v>2486</v>
      </c>
      <c r="X253" s="211">
        <v>1768282252</v>
      </c>
      <c r="Y253" s="208">
        <v>1977840079</v>
      </c>
      <c r="Z253" s="207" t="s">
        <v>2487</v>
      </c>
      <c r="AA253" s="207">
        <v>1716058542</v>
      </c>
      <c r="AB253" s="207" t="s">
        <v>101</v>
      </c>
      <c r="AC253" s="207" t="s">
        <v>119</v>
      </c>
      <c r="AD253" s="210">
        <v>36142</v>
      </c>
      <c r="AE253" s="212"/>
      <c r="AF253" s="207" t="s">
        <v>80</v>
      </c>
      <c r="AG253" s="211">
        <v>1960717682</v>
      </c>
      <c r="AH253" s="207" t="s">
        <v>81</v>
      </c>
      <c r="AI253" s="208"/>
      <c r="AJ253" s="208"/>
      <c r="AK253" s="208"/>
      <c r="AL253" s="207"/>
      <c r="AM253" s="207" t="s">
        <v>2487</v>
      </c>
      <c r="AN253" s="207" t="s">
        <v>2488</v>
      </c>
      <c r="AO253" s="207" t="s">
        <v>2489</v>
      </c>
      <c r="AP253" s="207" t="s">
        <v>2490</v>
      </c>
      <c r="AQ253" s="208" t="s">
        <v>1188</v>
      </c>
      <c r="AR253" s="207" t="s">
        <v>110</v>
      </c>
      <c r="AS253" s="207" t="s">
        <v>81</v>
      </c>
      <c r="AT253" s="213" t="s">
        <v>81</v>
      </c>
      <c r="AU253" s="207" t="s">
        <v>81</v>
      </c>
      <c r="AV253" s="207" t="s">
        <v>81</v>
      </c>
      <c r="AW253" s="207" t="s">
        <v>81</v>
      </c>
      <c r="AX253" s="207" t="s">
        <v>81</v>
      </c>
      <c r="AY253" s="207" t="s">
        <v>81</v>
      </c>
      <c r="AZ253" s="207" t="s">
        <v>81</v>
      </c>
      <c r="BA253" s="207" t="s">
        <v>90</v>
      </c>
      <c r="BB253" s="207">
        <v>14450</v>
      </c>
      <c r="BC253" s="207">
        <v>2550</v>
      </c>
      <c r="BD253" s="207">
        <v>0</v>
      </c>
      <c r="BE253" s="207" t="s">
        <v>91</v>
      </c>
      <c r="BF253" s="207"/>
      <c r="BG253" s="207"/>
      <c r="BH253" s="105"/>
      <c r="BI253" s="105"/>
      <c r="BJ253" s="105"/>
      <c r="BK253" s="207"/>
      <c r="BL253" s="105" t="s">
        <v>2491</v>
      </c>
    </row>
    <row r="254" ht="19.95" customHeight="1">
      <c r="A254" s="207">
        <v>171883</v>
      </c>
      <c r="B254" s="207"/>
      <c r="C254" s="208" t="s">
        <v>2492</v>
      </c>
      <c r="D254" s="207" t="s">
        <v>2493</v>
      </c>
      <c r="E254" s="207" t="s">
        <v>114</v>
      </c>
      <c r="F254" s="208"/>
      <c r="G254" s="207" t="s">
        <v>67</v>
      </c>
      <c r="H254" s="207" t="s">
        <v>68</v>
      </c>
      <c r="I254" s="207" t="s">
        <v>2494</v>
      </c>
      <c r="J254" s="208" t="s">
        <v>2495</v>
      </c>
      <c r="K254" s="207" t="s">
        <v>71</v>
      </c>
      <c r="L254" s="207" t="s">
        <v>72</v>
      </c>
      <c r="M254" s="4" t="s">
        <v>73</v>
      </c>
      <c r="N254" s="207" t="s">
        <v>74</v>
      </c>
      <c r="O254" s="207" t="s">
        <v>75</v>
      </c>
      <c r="P254" s="207">
        <v>43</v>
      </c>
      <c r="Q254" s="209">
        <v>45525</v>
      </c>
      <c r="R254" s="209">
        <v>45533</v>
      </c>
      <c r="S254" s="210"/>
      <c r="T254" s="210"/>
      <c r="U254" s="207"/>
      <c r="V254" s="207"/>
      <c r="W254" s="105"/>
      <c r="X254" s="211">
        <v>1581690599</v>
      </c>
      <c r="Y254" s="208"/>
      <c r="Z254" s="207"/>
      <c r="AA254" s="207"/>
      <c r="AB254" s="207"/>
      <c r="AC254" s="207"/>
      <c r="AD254" s="210">
        <v>36435</v>
      </c>
      <c r="AE254" s="212"/>
      <c r="AF254" s="207" t="s">
        <v>80</v>
      </c>
      <c r="AG254" s="211">
        <v>2854645534</v>
      </c>
      <c r="AH254" s="207"/>
      <c r="AI254" s="208"/>
      <c r="AJ254" s="208"/>
      <c r="AK254" s="208"/>
      <c r="AL254" s="207"/>
      <c r="AM254" s="207" t="s">
        <v>2496</v>
      </c>
      <c r="AN254" s="207" t="s">
        <v>2497</v>
      </c>
      <c r="AO254" s="207"/>
      <c r="AP254" s="207"/>
      <c r="AQ254" s="208"/>
      <c r="AR254" s="207"/>
      <c r="AS254" s="207"/>
      <c r="AT254" s="213"/>
      <c r="AU254" s="207"/>
      <c r="AV254" s="207"/>
      <c r="AW254" s="207"/>
      <c r="AX254" s="207"/>
      <c r="AY254" s="207"/>
      <c r="AZ254" s="207"/>
      <c r="BA254" s="207" t="s">
        <v>90</v>
      </c>
      <c r="BB254" s="207">
        <v>10800</v>
      </c>
      <c r="BC254" s="207">
        <v>2700</v>
      </c>
      <c r="BD254" s="207">
        <v>0</v>
      </c>
      <c r="BE254" s="207" t="s">
        <v>91</v>
      </c>
      <c r="BF254" s="207"/>
      <c r="BG254" s="207"/>
      <c r="BH254" s="105"/>
      <c r="BI254" s="105"/>
      <c r="BJ254" s="105"/>
      <c r="BK254" s="207"/>
      <c r="BL254" s="105"/>
    </row>
    <row r="255" ht="19.95" customHeight="1">
      <c r="A255" s="207">
        <v>171820</v>
      </c>
      <c r="B255" s="207"/>
      <c r="C255" s="208" t="s">
        <v>2498</v>
      </c>
      <c r="D255" s="207" t="s">
        <v>2499</v>
      </c>
      <c r="E255" s="207" t="s">
        <v>114</v>
      </c>
      <c r="F255" s="208" t="s">
        <v>2500</v>
      </c>
      <c r="G255" s="207" t="s">
        <v>67</v>
      </c>
      <c r="H255" s="207" t="s">
        <v>2465</v>
      </c>
      <c r="I255" s="207" t="s">
        <v>69</v>
      </c>
      <c r="J255" s="208" t="s">
        <v>155</v>
      </c>
      <c r="K255" s="207" t="s">
        <v>71</v>
      </c>
      <c r="L255" s="207" t="s">
        <v>72</v>
      </c>
      <c r="M255" s="4" t="s">
        <v>156</v>
      </c>
      <c r="N255" s="207" t="s">
        <v>74</v>
      </c>
      <c r="O255" s="207" t="s">
        <v>75</v>
      </c>
      <c r="P255" s="207">
        <v>41</v>
      </c>
      <c r="Q255" s="209">
        <v>45507</v>
      </c>
      <c r="R255" s="209">
        <v>45532</v>
      </c>
      <c r="S255" s="210" t="s">
        <v>242</v>
      </c>
      <c r="T255" s="210" t="s">
        <v>242</v>
      </c>
      <c r="U255" s="207" t="s">
        <v>242</v>
      </c>
      <c r="V255" s="207" t="s">
        <v>242</v>
      </c>
      <c r="W255" s="105" t="s">
        <v>2501</v>
      </c>
      <c r="X255" s="211">
        <v>1722908553</v>
      </c>
      <c r="Y255" s="208">
        <v>1722908553</v>
      </c>
      <c r="Z255" s="207" t="s">
        <v>2502</v>
      </c>
      <c r="AA255" s="207" t="s">
        <v>2503</v>
      </c>
      <c r="AB255" s="207" t="s">
        <v>132</v>
      </c>
      <c r="AC255" s="207" t="s">
        <v>102</v>
      </c>
      <c r="AD255" s="210">
        <v>34335</v>
      </c>
      <c r="AE255" s="212">
        <v>30</v>
      </c>
      <c r="AF255" s="207" t="s">
        <v>80</v>
      </c>
      <c r="AG255" s="211">
        <v>5988981873</v>
      </c>
      <c r="AH255" s="207" t="s">
        <v>242</v>
      </c>
      <c r="AI255" s="208" t="s">
        <v>925</v>
      </c>
      <c r="AJ255" s="208" t="s">
        <v>242</v>
      </c>
      <c r="AK255" s="208">
        <v>2015</v>
      </c>
      <c r="AL255" s="207" t="s">
        <v>2010</v>
      </c>
      <c r="AM255" s="207" t="s">
        <v>2504</v>
      </c>
      <c r="AN255" s="207" t="s">
        <v>2502</v>
      </c>
      <c r="AO255" s="207" t="s">
        <v>2505</v>
      </c>
      <c r="AP255" s="207" t="s">
        <v>2506</v>
      </c>
      <c r="AQ255" s="208" t="s">
        <v>88</v>
      </c>
      <c r="AR255" s="207" t="s">
        <v>110</v>
      </c>
      <c r="AS255" s="207" t="s">
        <v>81</v>
      </c>
      <c r="AT255" s="213" t="s">
        <v>81</v>
      </c>
      <c r="AU255" s="207" t="s">
        <v>81</v>
      </c>
      <c r="AV255" s="207" t="s">
        <v>81</v>
      </c>
      <c r="AW255" s="207" t="s">
        <v>81</v>
      </c>
      <c r="AX255" s="207" t="s">
        <v>81</v>
      </c>
      <c r="AY255" s="207" t="s">
        <v>81</v>
      </c>
      <c r="AZ255" s="207" t="s">
        <v>81</v>
      </c>
      <c r="BA255" s="207" t="s">
        <v>90</v>
      </c>
      <c r="BB255" s="207">
        <v>10800</v>
      </c>
      <c r="BC255" s="207">
        <v>2700</v>
      </c>
      <c r="BD255" s="207">
        <v>1000</v>
      </c>
      <c r="BE255" s="207" t="s">
        <v>166</v>
      </c>
      <c r="BF255" s="207" t="s">
        <v>242</v>
      </c>
      <c r="BG255" s="207" t="s">
        <v>242</v>
      </c>
      <c r="BH255" s="105"/>
      <c r="BI255" s="105"/>
      <c r="BJ255" s="105" t="s">
        <v>242</v>
      </c>
      <c r="BK255" s="207" t="s">
        <v>2507</v>
      </c>
      <c r="BL255" s="105"/>
    </row>
    <row r="256" ht="19.95" customHeight="1">
      <c r="A256" s="207">
        <v>171834</v>
      </c>
      <c r="B256" s="207"/>
      <c r="C256" s="208" t="s">
        <v>2508</v>
      </c>
      <c r="D256" s="207" t="s">
        <v>2509</v>
      </c>
      <c r="E256" s="207" t="s">
        <v>114</v>
      </c>
      <c r="F256" s="208">
        <v>1210611793</v>
      </c>
      <c r="G256" s="207" t="s">
        <v>67</v>
      </c>
      <c r="H256" s="207" t="s">
        <v>2465</v>
      </c>
      <c r="I256" s="207" t="s">
        <v>2494</v>
      </c>
      <c r="J256" s="208" t="s">
        <v>97</v>
      </c>
      <c r="K256" s="207" t="s">
        <v>71</v>
      </c>
      <c r="L256" s="207" t="s">
        <v>72</v>
      </c>
      <c r="M256" s="4" t="s">
        <v>73</v>
      </c>
      <c r="N256" s="207" t="s">
        <v>74</v>
      </c>
      <c r="O256" s="207" t="s">
        <v>75</v>
      </c>
      <c r="P256" s="207">
        <v>42</v>
      </c>
      <c r="Q256" s="209">
        <v>45518</v>
      </c>
      <c r="R256" s="209">
        <v>45525</v>
      </c>
      <c r="S256" s="210"/>
      <c r="T256" s="210"/>
      <c r="U256" s="207"/>
      <c r="V256" s="207"/>
      <c r="W256" s="105" t="s">
        <v>2510</v>
      </c>
      <c r="X256" s="211">
        <v>1625226537</v>
      </c>
      <c r="Y256" s="208">
        <v>1954540955</v>
      </c>
      <c r="Z256" s="207" t="s">
        <v>2511</v>
      </c>
      <c r="AA256" s="207">
        <v>1954606288</v>
      </c>
      <c r="AB256" s="207" t="s">
        <v>252</v>
      </c>
      <c r="AC256" s="207" t="s">
        <v>133</v>
      </c>
      <c r="AD256" s="210">
        <v>36188</v>
      </c>
      <c r="AE256" s="212"/>
      <c r="AF256" s="207" t="s">
        <v>80</v>
      </c>
      <c r="AG256" s="211">
        <v>3304722642</v>
      </c>
      <c r="AH256" s="207" t="s">
        <v>2512</v>
      </c>
      <c r="AI256" s="208" t="s">
        <v>2513</v>
      </c>
      <c r="AJ256" s="208" t="s">
        <v>81</v>
      </c>
      <c r="AK256" s="208"/>
      <c r="AL256" s="207" t="s">
        <v>2514</v>
      </c>
      <c r="AM256" s="207" t="s">
        <v>2515</v>
      </c>
      <c r="AN256" s="207" t="s">
        <v>2516</v>
      </c>
      <c r="AO256" s="207" t="s">
        <v>2517</v>
      </c>
      <c r="AP256" s="207" t="s">
        <v>2518</v>
      </c>
      <c r="AQ256" s="208" t="s">
        <v>317</v>
      </c>
      <c r="AR256" s="207" t="s">
        <v>110</v>
      </c>
      <c r="AS256" s="207" t="s">
        <v>81</v>
      </c>
      <c r="AT256" s="213" t="s">
        <v>81</v>
      </c>
      <c r="AU256" s="207" t="s">
        <v>81</v>
      </c>
      <c r="AV256" s="207" t="s">
        <v>81</v>
      </c>
      <c r="AW256" s="207" t="s">
        <v>81</v>
      </c>
      <c r="AX256" s="207" t="s">
        <v>81</v>
      </c>
      <c r="AY256" s="207" t="s">
        <v>81</v>
      </c>
      <c r="AZ256" s="207" t="s">
        <v>81</v>
      </c>
      <c r="BA256" s="207" t="s">
        <v>90</v>
      </c>
      <c r="BB256" s="207" t="s">
        <v>81</v>
      </c>
      <c r="BC256" s="207">
        <v>10800</v>
      </c>
      <c r="BD256" s="207">
        <v>2700</v>
      </c>
      <c r="BE256" s="207" t="s">
        <v>91</v>
      </c>
      <c r="BF256" s="207"/>
      <c r="BG256" s="207"/>
      <c r="BH256" s="105"/>
      <c r="BI256" s="105"/>
      <c r="BJ256" s="105"/>
      <c r="BK256" s="207">
        <v>1625226537</v>
      </c>
      <c r="BL256" s="105"/>
    </row>
    <row r="257" ht="19.95" customHeight="1">
      <c r="A257" s="207">
        <v>171837</v>
      </c>
      <c r="B257" s="207"/>
      <c r="C257" s="208" t="s">
        <v>81</v>
      </c>
      <c r="D257" s="207" t="s">
        <v>2519</v>
      </c>
      <c r="E257" s="207" t="s">
        <v>66</v>
      </c>
      <c r="F257" s="208">
        <v>1210739465</v>
      </c>
      <c r="G257" s="207" t="s">
        <v>67</v>
      </c>
      <c r="H257" s="207" t="s">
        <v>2465</v>
      </c>
      <c r="I257" s="207" t="s">
        <v>2494</v>
      </c>
      <c r="J257" s="208" t="s">
        <v>2520</v>
      </c>
      <c r="K257" s="207" t="s">
        <v>71</v>
      </c>
      <c r="L257" s="207" t="s">
        <v>72</v>
      </c>
      <c r="M257" s="4" t="s">
        <v>287</v>
      </c>
      <c r="N257" s="207" t="s">
        <v>74</v>
      </c>
      <c r="O257" s="207" t="s">
        <v>75</v>
      </c>
      <c r="P257" s="207">
        <v>42</v>
      </c>
      <c r="Q257" s="209">
        <v>45518</v>
      </c>
      <c r="R257" s="209">
        <v>45525</v>
      </c>
      <c r="S257" s="210"/>
      <c r="T257" s="210"/>
      <c r="U257" s="207"/>
      <c r="V257" s="207"/>
      <c r="W257" s="105" t="s">
        <v>2521</v>
      </c>
      <c r="X257" s="211">
        <v>1771245972</v>
      </c>
      <c r="Y257" s="208">
        <v>1627597868</v>
      </c>
      <c r="Z257" s="207" t="s">
        <v>2522</v>
      </c>
      <c r="AA257" s="207">
        <v>1703704942</v>
      </c>
      <c r="AB257" s="207" t="s">
        <v>101</v>
      </c>
      <c r="AC257" s="207" t="s">
        <v>133</v>
      </c>
      <c r="AD257" s="210">
        <v>35916</v>
      </c>
      <c r="AE257" s="212"/>
      <c r="AF257" s="207" t="s">
        <v>80</v>
      </c>
      <c r="AG257" s="211">
        <v>6464068169</v>
      </c>
      <c r="AH257" s="207" t="s">
        <v>81</v>
      </c>
      <c r="AI257" s="208" t="s">
        <v>2523</v>
      </c>
      <c r="AJ257" s="208" t="s">
        <v>81</v>
      </c>
      <c r="AK257" s="208"/>
      <c r="AL257" s="207" t="s">
        <v>1209</v>
      </c>
      <c r="AM257" s="207" t="s">
        <v>2522</v>
      </c>
      <c r="AN257" s="207" t="s">
        <v>2524</v>
      </c>
      <c r="AO257" s="207" t="s">
        <v>2525</v>
      </c>
      <c r="AP257" s="207" t="s">
        <v>2526</v>
      </c>
      <c r="AQ257" s="208" t="s">
        <v>2527</v>
      </c>
      <c r="AR257" s="207" t="s">
        <v>110</v>
      </c>
      <c r="AS257" s="207" t="s">
        <v>81</v>
      </c>
      <c r="AT257" s="213" t="s">
        <v>81</v>
      </c>
      <c r="AU257" s="207" t="s">
        <v>81</v>
      </c>
      <c r="AV257" s="207" t="s">
        <v>81</v>
      </c>
      <c r="AW257" s="207" t="s">
        <v>81</v>
      </c>
      <c r="AX257" s="207" t="s">
        <v>81</v>
      </c>
      <c r="AY257" s="207" t="s">
        <v>81</v>
      </c>
      <c r="AZ257" s="207" t="s">
        <v>81</v>
      </c>
      <c r="BA257" s="207" t="s">
        <v>90</v>
      </c>
      <c r="BB257" s="207" t="s">
        <v>81</v>
      </c>
      <c r="BC257" s="207">
        <v>10800</v>
      </c>
      <c r="BD257" s="207">
        <v>2700</v>
      </c>
      <c r="BE257" s="207" t="s">
        <v>91</v>
      </c>
      <c r="BF257" s="207"/>
      <c r="BG257" s="207"/>
      <c r="BH257" s="105"/>
      <c r="BI257" s="105"/>
      <c r="BJ257" s="105"/>
      <c r="BK257" s="207">
        <v>1771245972</v>
      </c>
      <c r="BL257" s="105"/>
    </row>
    <row r="258" ht="19.95" customHeight="1">
      <c r="A258" s="207">
        <v>171840</v>
      </c>
      <c r="B258" s="207"/>
      <c r="C258" s="208" t="s">
        <v>81</v>
      </c>
      <c r="D258" s="207" t="s">
        <v>2528</v>
      </c>
      <c r="E258" s="207" t="s">
        <v>66</v>
      </c>
      <c r="F258" s="208">
        <v>124457</v>
      </c>
      <c r="G258" s="207" t="s">
        <v>67</v>
      </c>
      <c r="H258" s="207" t="s">
        <v>2465</v>
      </c>
      <c r="I258" s="207" t="s">
        <v>2494</v>
      </c>
      <c r="J258" s="208" t="s">
        <v>2520</v>
      </c>
      <c r="K258" s="207" t="s">
        <v>71</v>
      </c>
      <c r="L258" s="207" t="s">
        <v>72</v>
      </c>
      <c r="M258" s="4" t="s">
        <v>287</v>
      </c>
      <c r="N258" s="207" t="s">
        <v>74</v>
      </c>
      <c r="O258" s="207" t="s">
        <v>75</v>
      </c>
      <c r="P258" s="207">
        <v>42</v>
      </c>
      <c r="Q258" s="209">
        <v>45518</v>
      </c>
      <c r="R258" s="209">
        <v>45525</v>
      </c>
      <c r="S258" s="210"/>
      <c r="T258" s="210"/>
      <c r="U258" s="207"/>
      <c r="V258" s="207"/>
      <c r="W258" s="105" t="s">
        <v>2529</v>
      </c>
      <c r="X258" s="211">
        <v>1303822580</v>
      </c>
      <c r="Y258" s="208">
        <v>1886907334</v>
      </c>
      <c r="Z258" s="207" t="s">
        <v>2530</v>
      </c>
      <c r="AA258" s="207">
        <v>1794907335</v>
      </c>
      <c r="AB258" s="207" t="s">
        <v>78</v>
      </c>
      <c r="AC258" s="207" t="s">
        <v>133</v>
      </c>
      <c r="AD258" s="210">
        <v>34257</v>
      </c>
      <c r="AE258" s="212"/>
      <c r="AF258" s="207" t="s">
        <v>80</v>
      </c>
      <c r="AG258" s="211">
        <v>5068186864</v>
      </c>
      <c r="AH258" s="207" t="s">
        <v>81</v>
      </c>
      <c r="AI258" s="208" t="s">
        <v>265</v>
      </c>
      <c r="AJ258" s="208" t="s">
        <v>81</v>
      </c>
      <c r="AK258" s="208"/>
      <c r="AL258" s="207" t="s">
        <v>818</v>
      </c>
      <c r="AM258" s="207" t="s">
        <v>2531</v>
      </c>
      <c r="AN258" s="207" t="s">
        <v>2532</v>
      </c>
      <c r="AO258" s="207" t="s">
        <v>2533</v>
      </c>
      <c r="AP258" s="207" t="s">
        <v>2534</v>
      </c>
      <c r="AQ258" s="208" t="s">
        <v>88</v>
      </c>
      <c r="AR258" s="207" t="s">
        <v>89</v>
      </c>
      <c r="AS258" s="207" t="s">
        <v>2530</v>
      </c>
      <c r="AT258" s="213">
        <v>34312</v>
      </c>
      <c r="AU258" s="207">
        <v>7755601189</v>
      </c>
      <c r="AV258" s="207" t="s">
        <v>81</v>
      </c>
      <c r="AW258" s="207" t="s">
        <v>81</v>
      </c>
      <c r="AX258" s="207" t="s">
        <v>81</v>
      </c>
      <c r="AY258" s="207" t="s">
        <v>81</v>
      </c>
      <c r="AZ258" s="207" t="s">
        <v>81</v>
      </c>
      <c r="BA258" s="207" t="s">
        <v>90</v>
      </c>
      <c r="BB258" s="207" t="s">
        <v>81</v>
      </c>
      <c r="BC258" s="207">
        <v>10800</v>
      </c>
      <c r="BD258" s="207">
        <v>2700</v>
      </c>
      <c r="BE258" s="207" t="s">
        <v>91</v>
      </c>
      <c r="BF258" s="207"/>
      <c r="BG258" s="207"/>
      <c r="BH258" s="105"/>
      <c r="BI258" s="105"/>
      <c r="BJ258" s="105"/>
      <c r="BK258" s="207">
        <v>1303822580</v>
      </c>
      <c r="BL258" s="105"/>
    </row>
    <row r="259" ht="19.95" customHeight="1">
      <c r="A259" s="207">
        <v>171854</v>
      </c>
      <c r="B259" s="207"/>
      <c r="C259" s="208" t="s">
        <v>81</v>
      </c>
      <c r="D259" s="207" t="s">
        <v>2535</v>
      </c>
      <c r="E259" s="207" t="s">
        <v>66</v>
      </c>
      <c r="F259" s="208">
        <v>1210959282</v>
      </c>
      <c r="G259" s="207" t="s">
        <v>67</v>
      </c>
      <c r="H259" s="207" t="s">
        <v>2465</v>
      </c>
      <c r="I259" s="207" t="s">
        <v>2494</v>
      </c>
      <c r="J259" s="208" t="s">
        <v>2520</v>
      </c>
      <c r="K259" s="207" t="s">
        <v>71</v>
      </c>
      <c r="L259" s="207" t="s">
        <v>72</v>
      </c>
      <c r="M259" s="4" t="s">
        <v>115</v>
      </c>
      <c r="N259" s="207" t="s">
        <v>74</v>
      </c>
      <c r="O259" s="207" t="s">
        <v>75</v>
      </c>
      <c r="P259" s="207">
        <v>42</v>
      </c>
      <c r="Q259" s="209">
        <v>45518</v>
      </c>
      <c r="R259" s="209">
        <v>45525</v>
      </c>
      <c r="S259" s="210"/>
      <c r="T259" s="210"/>
      <c r="U259" s="207"/>
      <c r="V259" s="207"/>
      <c r="W259" s="105" t="s">
        <v>81</v>
      </c>
      <c r="X259" s="211">
        <v>1740400155</v>
      </c>
      <c r="Y259" s="208">
        <v>1840223222</v>
      </c>
      <c r="Z259" s="207" t="s">
        <v>2536</v>
      </c>
      <c r="AA259" s="207">
        <v>1840223222</v>
      </c>
      <c r="AB259" s="207" t="s">
        <v>78</v>
      </c>
      <c r="AC259" s="207" t="s">
        <v>133</v>
      </c>
      <c r="AD259" s="210">
        <v>35962</v>
      </c>
      <c r="AE259" s="212"/>
      <c r="AF259" s="207" t="s">
        <v>80</v>
      </c>
      <c r="AG259" s="211">
        <v>7805227811</v>
      </c>
      <c r="AH259" s="207" t="s">
        <v>81</v>
      </c>
      <c r="AI259" s="208" t="s">
        <v>265</v>
      </c>
      <c r="AJ259" s="208" t="s">
        <v>81</v>
      </c>
      <c r="AK259" s="208">
        <v>2022</v>
      </c>
      <c r="AL259" s="207" t="s">
        <v>2537</v>
      </c>
      <c r="AM259" s="207" t="s">
        <v>2538</v>
      </c>
      <c r="AN259" s="207" t="s">
        <v>2539</v>
      </c>
      <c r="AO259" s="207" t="s">
        <v>2540</v>
      </c>
      <c r="AP259" s="207" t="s">
        <v>2541</v>
      </c>
      <c r="AQ259" s="208" t="s">
        <v>2527</v>
      </c>
      <c r="AR259" s="207" t="s">
        <v>89</v>
      </c>
      <c r="AS259" s="207" t="s">
        <v>2536</v>
      </c>
      <c r="AT259" s="213">
        <v>34267</v>
      </c>
      <c r="AU259" s="207">
        <v>5527243017</v>
      </c>
      <c r="AV259" s="207" t="s">
        <v>81</v>
      </c>
      <c r="AW259" s="207" t="s">
        <v>81</v>
      </c>
      <c r="AX259" s="207" t="s">
        <v>81</v>
      </c>
      <c r="AY259" s="207" t="s">
        <v>81</v>
      </c>
      <c r="AZ259" s="207" t="s">
        <v>81</v>
      </c>
      <c r="BA259" s="207" t="s">
        <v>90</v>
      </c>
      <c r="BB259" s="207" t="s">
        <v>81</v>
      </c>
      <c r="BC259" s="207">
        <v>10800</v>
      </c>
      <c r="BD259" s="207">
        <v>2700</v>
      </c>
      <c r="BE259" s="207" t="s">
        <v>91</v>
      </c>
      <c r="BF259" s="207"/>
      <c r="BG259" s="207"/>
      <c r="BH259" s="105"/>
      <c r="BI259" s="105"/>
      <c r="BJ259" s="105"/>
      <c r="BK259" s="207">
        <v>1740400155</v>
      </c>
      <c r="BL259" s="105"/>
    </row>
    <row r="260" ht="19.95" customHeight="1">
      <c r="A260" s="207">
        <v>171869</v>
      </c>
      <c r="B260" s="207"/>
      <c r="C260" s="208" t="s">
        <v>81</v>
      </c>
      <c r="D260" s="207" t="s">
        <v>2542</v>
      </c>
      <c r="E260" s="207" t="s">
        <v>66</v>
      </c>
      <c r="F260" s="208">
        <v>1113432398</v>
      </c>
      <c r="G260" s="207" t="s">
        <v>67</v>
      </c>
      <c r="H260" s="207" t="s">
        <v>2465</v>
      </c>
      <c r="I260" s="207" t="s">
        <v>2494</v>
      </c>
      <c r="J260" s="208" t="s">
        <v>2520</v>
      </c>
      <c r="K260" s="207" t="s">
        <v>71</v>
      </c>
      <c r="L260" s="207" t="s">
        <v>72</v>
      </c>
      <c r="M260" s="4" t="s">
        <v>73</v>
      </c>
      <c r="N260" s="207" t="s">
        <v>74</v>
      </c>
      <c r="O260" s="207" t="s">
        <v>75</v>
      </c>
      <c r="P260" s="207">
        <v>42</v>
      </c>
      <c r="Q260" s="209">
        <v>45518</v>
      </c>
      <c r="R260" s="209">
        <v>45525</v>
      </c>
      <c r="S260" s="210"/>
      <c r="T260" s="210"/>
      <c r="U260" s="207"/>
      <c r="V260" s="207"/>
      <c r="W260" s="105" t="s">
        <v>2543</v>
      </c>
      <c r="X260" s="211">
        <v>1629388424</v>
      </c>
      <c r="Y260" s="208">
        <v>1736283797</v>
      </c>
      <c r="Z260" s="207" t="s">
        <v>2544</v>
      </c>
      <c r="AA260" s="207">
        <v>1780322573</v>
      </c>
      <c r="AB260" s="207" t="s">
        <v>132</v>
      </c>
      <c r="AC260" s="207" t="s">
        <v>133</v>
      </c>
      <c r="AD260" s="210">
        <v>36379</v>
      </c>
      <c r="AE260" s="212"/>
      <c r="AF260" s="207" t="s">
        <v>80</v>
      </c>
      <c r="AG260" s="211">
        <v>9165050775</v>
      </c>
      <c r="AH260" s="207" t="s">
        <v>81</v>
      </c>
      <c r="AI260" s="208" t="s">
        <v>925</v>
      </c>
      <c r="AJ260" s="208" t="s">
        <v>81</v>
      </c>
      <c r="AK260" s="208"/>
      <c r="AL260" s="207" t="s">
        <v>2545</v>
      </c>
      <c r="AM260" s="207" t="s">
        <v>2546</v>
      </c>
      <c r="AN260" s="207" t="s">
        <v>2547</v>
      </c>
      <c r="AO260" s="207" t="s">
        <v>2548</v>
      </c>
      <c r="AP260" s="207" t="s">
        <v>2549</v>
      </c>
      <c r="AQ260" s="208" t="s">
        <v>285</v>
      </c>
      <c r="AR260" s="207" t="s">
        <v>110</v>
      </c>
      <c r="AS260" s="207" t="s">
        <v>81</v>
      </c>
      <c r="AT260" s="213" t="s">
        <v>81</v>
      </c>
      <c r="AU260" s="207" t="s">
        <v>81</v>
      </c>
      <c r="AV260" s="207" t="s">
        <v>81</v>
      </c>
      <c r="AW260" s="207" t="s">
        <v>81</v>
      </c>
      <c r="AX260" s="207" t="s">
        <v>81</v>
      </c>
      <c r="AY260" s="207" t="s">
        <v>81</v>
      </c>
      <c r="AZ260" s="207" t="s">
        <v>81</v>
      </c>
      <c r="BA260" s="207" t="s">
        <v>90</v>
      </c>
      <c r="BB260" s="207" t="s">
        <v>81</v>
      </c>
      <c r="BC260" s="207">
        <v>10800</v>
      </c>
      <c r="BD260" s="207">
        <v>2700</v>
      </c>
      <c r="BE260" s="207" t="s">
        <v>91</v>
      </c>
      <c r="BF260" s="207"/>
      <c r="BG260" s="207"/>
      <c r="BH260" s="105"/>
      <c r="BI260" s="105"/>
      <c r="BJ260" s="105"/>
      <c r="BK260" s="207">
        <v>1629388424</v>
      </c>
      <c r="BL260" s="105"/>
    </row>
    <row r="261" ht="19.95" customHeight="1">
      <c r="A261" s="207">
        <v>171841</v>
      </c>
      <c r="B261" s="207"/>
      <c r="C261" s="208" t="s">
        <v>2550</v>
      </c>
      <c r="D261" s="207" t="s">
        <v>2551</v>
      </c>
      <c r="E261" s="207" t="s">
        <v>114</v>
      </c>
      <c r="F261" s="208">
        <v>522527</v>
      </c>
      <c r="G261" s="207" t="s">
        <v>67</v>
      </c>
      <c r="H261" s="207" t="s">
        <v>2465</v>
      </c>
      <c r="I261" s="207" t="s">
        <v>2494</v>
      </c>
      <c r="J261" s="208" t="s">
        <v>307</v>
      </c>
      <c r="K261" s="207" t="s">
        <v>71</v>
      </c>
      <c r="L261" s="207" t="s">
        <v>72</v>
      </c>
      <c r="M261" s="4" t="s">
        <v>458</v>
      </c>
      <c r="N261" s="207" t="s">
        <v>74</v>
      </c>
      <c r="O261" s="207" t="s">
        <v>75</v>
      </c>
      <c r="P261" s="207">
        <v>42</v>
      </c>
      <c r="Q261" s="209">
        <v>45518</v>
      </c>
      <c r="R261" s="209">
        <v>45525</v>
      </c>
      <c r="S261" s="210"/>
      <c r="T261" s="210"/>
      <c r="U261" s="207"/>
      <c r="V261" s="207"/>
      <c r="W261" s="105" t="s">
        <v>2552</v>
      </c>
      <c r="X261" s="211">
        <v>1402322208</v>
      </c>
      <c r="Y261" s="208">
        <v>1937913016</v>
      </c>
      <c r="Z261" s="207"/>
      <c r="AA261" s="207">
        <v>1937913016</v>
      </c>
      <c r="AB261" s="207" t="s">
        <v>101</v>
      </c>
      <c r="AC261" s="207" t="s">
        <v>79</v>
      </c>
      <c r="AD261" s="210" t="s">
        <v>2553</v>
      </c>
      <c r="AE261" s="212"/>
      <c r="AF261" s="207" t="s">
        <v>80</v>
      </c>
      <c r="AG261" s="211">
        <v>4152349421</v>
      </c>
      <c r="AH261" s="207" t="s">
        <v>81</v>
      </c>
      <c r="AI261" s="208" t="s">
        <v>217</v>
      </c>
      <c r="AJ261" s="208" t="s">
        <v>1692</v>
      </c>
      <c r="AK261" s="208">
        <v>2019</v>
      </c>
      <c r="AL261" s="207" t="s">
        <v>2554</v>
      </c>
      <c r="AM261" s="207" t="s">
        <v>2555</v>
      </c>
      <c r="AN261" s="207" t="s">
        <v>425</v>
      </c>
      <c r="AO261" s="207" t="s">
        <v>2556</v>
      </c>
      <c r="AP261" s="207" t="s">
        <v>2557</v>
      </c>
      <c r="AQ261" s="208" t="s">
        <v>88</v>
      </c>
      <c r="AR261" s="207" t="s">
        <v>89</v>
      </c>
      <c r="AS261" s="207" t="s">
        <v>2558</v>
      </c>
      <c r="AT261" s="213" t="s">
        <v>2559</v>
      </c>
      <c r="AU261" s="207" t="s">
        <v>81</v>
      </c>
      <c r="AV261" s="207" t="s">
        <v>2560</v>
      </c>
      <c r="AW261" s="207" t="s">
        <v>2561</v>
      </c>
      <c r="AX261" s="207" t="s">
        <v>81</v>
      </c>
      <c r="AY261" s="207" t="s">
        <v>81</v>
      </c>
      <c r="AZ261" s="207" t="s">
        <v>81</v>
      </c>
      <c r="BA261" s="207" t="s">
        <v>90</v>
      </c>
      <c r="BB261" s="207" t="s">
        <v>81</v>
      </c>
      <c r="BC261" s="207">
        <v>10800</v>
      </c>
      <c r="BD261" s="207">
        <v>2700</v>
      </c>
      <c r="BE261" s="207" t="s">
        <v>91</v>
      </c>
      <c r="BF261" s="207"/>
      <c r="BG261" s="207"/>
      <c r="BH261" s="105"/>
      <c r="BI261" s="105"/>
      <c r="BJ261" s="105"/>
      <c r="BK261" s="207">
        <v>1402322208</v>
      </c>
      <c r="BL261" s="105"/>
    </row>
    <row r="262" ht="19.95" customHeight="1">
      <c r="A262" s="207">
        <v>171758</v>
      </c>
      <c r="B262" s="207"/>
      <c r="C262" s="208"/>
      <c r="D262" s="207" t="s">
        <v>2562</v>
      </c>
      <c r="E262" s="207" t="s">
        <v>114</v>
      </c>
      <c r="F262" s="208"/>
      <c r="G262" s="207" t="s">
        <v>67</v>
      </c>
      <c r="H262" s="207" t="s">
        <v>68</v>
      </c>
      <c r="I262" s="207" t="s">
        <v>69</v>
      </c>
      <c r="J262" s="208" t="s">
        <v>214</v>
      </c>
      <c r="K262" s="207" t="s">
        <v>71</v>
      </c>
      <c r="L262" s="207" t="s">
        <v>1767</v>
      </c>
      <c r="M262" s="4" t="s">
        <v>308</v>
      </c>
      <c r="N262" s="207" t="s">
        <v>74</v>
      </c>
      <c r="O262" s="207" t="s">
        <v>2068</v>
      </c>
      <c r="P262" s="207">
        <v>39</v>
      </c>
      <c r="Q262" s="209">
        <v>45485</v>
      </c>
      <c r="R262" s="209">
        <v>45505</v>
      </c>
      <c r="S262" s="210"/>
      <c r="T262" s="210"/>
      <c r="U262" s="207"/>
      <c r="V262" s="207"/>
      <c r="W262" s="105"/>
      <c r="X262" s="211">
        <v>1726006111</v>
      </c>
      <c r="Y262" s="208"/>
      <c r="Z262" s="207"/>
      <c r="AA262" s="207"/>
      <c r="AB262" s="207"/>
      <c r="AC262" s="207"/>
      <c r="AD262" s="210">
        <v>36225</v>
      </c>
      <c r="AE262" s="212"/>
      <c r="AF262" s="207" t="s">
        <v>80</v>
      </c>
      <c r="AG262" s="211">
        <v>1515296620</v>
      </c>
      <c r="AH262" s="207"/>
      <c r="AI262" s="208"/>
      <c r="AJ262" s="208"/>
      <c r="AK262" s="208"/>
      <c r="AL262" s="207"/>
      <c r="AM262" s="207" t="s">
        <v>2563</v>
      </c>
      <c r="AN262" s="207" t="s">
        <v>2564</v>
      </c>
      <c r="AO262" s="207"/>
      <c r="AP262" s="207"/>
      <c r="AQ262" s="208"/>
      <c r="AR262" s="207"/>
      <c r="AS262" s="207"/>
      <c r="AT262" s="213"/>
      <c r="AU262" s="207"/>
      <c r="AV262" s="207"/>
      <c r="AW262" s="207"/>
      <c r="AX262" s="207"/>
      <c r="AY262" s="207"/>
      <c r="AZ262" s="207"/>
      <c r="BA262" s="207" t="s">
        <v>90</v>
      </c>
      <c r="BB262" s="207">
        <v>10800</v>
      </c>
      <c r="BC262" s="207">
        <v>2700</v>
      </c>
      <c r="BD262" s="207"/>
      <c r="BE262" s="207" t="s">
        <v>91</v>
      </c>
      <c r="BF262" s="207"/>
      <c r="BG262" s="207"/>
      <c r="BH262" s="105"/>
      <c r="BI262" s="105"/>
      <c r="BJ262" s="105"/>
      <c r="BK262" s="207">
        <v>1726006111</v>
      </c>
      <c r="BL262" s="105"/>
    </row>
    <row r="263" ht="19.95" customHeight="1">
      <c r="A263" s="207">
        <v>171774</v>
      </c>
      <c r="B263" s="207"/>
      <c r="C263" s="208"/>
      <c r="D263" s="207" t="s">
        <v>2565</v>
      </c>
      <c r="E263" s="207" t="s">
        <v>114</v>
      </c>
      <c r="F263" s="208"/>
      <c r="G263" s="207" t="s">
        <v>67</v>
      </c>
      <c r="H263" s="207" t="s">
        <v>68</v>
      </c>
      <c r="I263" s="207" t="s">
        <v>69</v>
      </c>
      <c r="J263" s="208" t="s">
        <v>214</v>
      </c>
      <c r="K263" s="207" t="s">
        <v>71</v>
      </c>
      <c r="L263" s="207" t="s">
        <v>1767</v>
      </c>
      <c r="M263" s="4" t="s">
        <v>342</v>
      </c>
      <c r="N263" s="207" t="s">
        <v>74</v>
      </c>
      <c r="O263" s="207" t="s">
        <v>2068</v>
      </c>
      <c r="P263" s="207">
        <v>39</v>
      </c>
      <c r="Q263" s="209">
        <v>45485</v>
      </c>
      <c r="R263" s="209">
        <v>45505</v>
      </c>
      <c r="S263" s="210"/>
      <c r="T263" s="210"/>
      <c r="U263" s="207"/>
      <c r="V263" s="207"/>
      <c r="W263" s="105"/>
      <c r="X263" s="211">
        <v>1677179445</v>
      </c>
      <c r="Y263" s="208"/>
      <c r="Z263" s="207"/>
      <c r="AA263" s="207"/>
      <c r="AB263" s="207"/>
      <c r="AC263" s="207"/>
      <c r="AD263" s="210">
        <v>35350</v>
      </c>
      <c r="AE263" s="212"/>
      <c r="AF263" s="207" t="s">
        <v>80</v>
      </c>
      <c r="AG263" s="211">
        <v>6405777308</v>
      </c>
      <c r="AH263" s="207"/>
      <c r="AI263" s="208"/>
      <c r="AJ263" s="208"/>
      <c r="AK263" s="208"/>
      <c r="AL263" s="207"/>
      <c r="AM263" s="207" t="s">
        <v>2566</v>
      </c>
      <c r="AN263" s="207" t="s">
        <v>2567</v>
      </c>
      <c r="AO263" s="207"/>
      <c r="AP263" s="207"/>
      <c r="AQ263" s="208"/>
      <c r="AR263" s="207"/>
      <c r="AS263" s="207"/>
      <c r="AT263" s="213"/>
      <c r="AU263" s="207"/>
      <c r="AV263" s="207"/>
      <c r="AW263" s="207"/>
      <c r="AX263" s="207"/>
      <c r="AY263" s="207"/>
      <c r="AZ263" s="207"/>
      <c r="BA263" s="207" t="s">
        <v>90</v>
      </c>
      <c r="BB263" s="207">
        <v>10800</v>
      </c>
      <c r="BC263" s="207">
        <v>2700</v>
      </c>
      <c r="BD263" s="207"/>
      <c r="BE263" s="207" t="s">
        <v>91</v>
      </c>
      <c r="BF263" s="207"/>
      <c r="BG263" s="207"/>
      <c r="BH263" s="105"/>
      <c r="BI263" s="105"/>
      <c r="BJ263" s="105"/>
      <c r="BK263" s="207">
        <v>1986001255</v>
      </c>
      <c r="BL263" s="105"/>
    </row>
    <row r="264" ht="19.95" customHeight="1">
      <c r="A264" s="207">
        <v>171878</v>
      </c>
      <c r="B264" s="207"/>
      <c r="C264" s="208" t="s">
        <v>2568</v>
      </c>
      <c r="D264" s="207" t="s">
        <v>2569</v>
      </c>
      <c r="E264" s="207" t="s">
        <v>114</v>
      </c>
      <c r="F264" s="208"/>
      <c r="G264" s="207" t="s">
        <v>67</v>
      </c>
      <c r="H264" s="207" t="s">
        <v>68</v>
      </c>
      <c r="I264" s="207" t="s">
        <v>2494</v>
      </c>
      <c r="J264" s="208" t="s">
        <v>2495</v>
      </c>
      <c r="K264" s="207" t="s">
        <v>71</v>
      </c>
      <c r="L264" s="207" t="s">
        <v>72</v>
      </c>
      <c r="M264" s="4" t="s">
        <v>1304</v>
      </c>
      <c r="N264" s="207" t="s">
        <v>74</v>
      </c>
      <c r="O264" s="207" t="s">
        <v>75</v>
      </c>
      <c r="P264" s="207">
        <v>43</v>
      </c>
      <c r="Q264" s="209">
        <v>45525</v>
      </c>
      <c r="R264" s="209">
        <v>45533</v>
      </c>
      <c r="S264" s="210"/>
      <c r="T264" s="210"/>
      <c r="U264" s="207"/>
      <c r="V264" s="207"/>
      <c r="W264" s="105"/>
      <c r="X264" s="211">
        <v>1798593738</v>
      </c>
      <c r="Y264" s="208"/>
      <c r="Z264" s="207"/>
      <c r="AA264" s="207"/>
      <c r="AB264" s="207"/>
      <c r="AC264" s="207"/>
      <c r="AD264" s="210">
        <v>35794</v>
      </c>
      <c r="AE264" s="212"/>
      <c r="AF264" s="207" t="s">
        <v>80</v>
      </c>
      <c r="AG264" s="211">
        <v>9152214087</v>
      </c>
      <c r="AH264" s="207"/>
      <c r="AI264" s="208"/>
      <c r="AJ264" s="208"/>
      <c r="AK264" s="208"/>
      <c r="AL264" s="207"/>
      <c r="AM264" s="207" t="s">
        <v>2570</v>
      </c>
      <c r="AN264" s="207" t="s">
        <v>2571</v>
      </c>
      <c r="AO264" s="207"/>
      <c r="AP264" s="207"/>
      <c r="AQ264" s="208"/>
      <c r="AR264" s="207"/>
      <c r="AS264" s="207"/>
      <c r="AT264" s="213"/>
      <c r="AU264" s="207"/>
      <c r="AV264" s="207"/>
      <c r="AW264" s="207"/>
      <c r="AX264" s="207"/>
      <c r="AY264" s="207"/>
      <c r="AZ264" s="207"/>
      <c r="BA264" s="207" t="s">
        <v>90</v>
      </c>
      <c r="BB264" s="207">
        <v>10800</v>
      </c>
      <c r="BC264" s="207">
        <v>2700</v>
      </c>
      <c r="BD264" s="207">
        <v>0</v>
      </c>
      <c r="BE264" s="207" t="s">
        <v>91</v>
      </c>
      <c r="BF264" s="207"/>
      <c r="BG264" s="207"/>
      <c r="BH264" s="105"/>
      <c r="BI264" s="105"/>
      <c r="BJ264" s="105"/>
      <c r="BK264" s="207"/>
      <c r="BL264" s="214" t="s">
        <v>2572</v>
      </c>
    </row>
    <row r="265" ht="19.95" customHeight="1">
      <c r="A265" s="207">
        <v>171884</v>
      </c>
      <c r="B265" s="207"/>
      <c r="C265" s="208" t="s">
        <v>2573</v>
      </c>
      <c r="D265" s="207" t="s">
        <v>2574</v>
      </c>
      <c r="E265" s="207" t="s">
        <v>114</v>
      </c>
      <c r="F265" s="208"/>
      <c r="G265" s="207" t="s">
        <v>67</v>
      </c>
      <c r="H265" s="207" t="s">
        <v>68</v>
      </c>
      <c r="I265" s="207" t="s">
        <v>2494</v>
      </c>
      <c r="J265" s="208" t="s">
        <v>2495</v>
      </c>
      <c r="K265" s="207" t="s">
        <v>71</v>
      </c>
      <c r="L265" s="207" t="s">
        <v>72</v>
      </c>
      <c r="M265" s="4" t="s">
        <v>1304</v>
      </c>
      <c r="N265" s="207" t="s">
        <v>74</v>
      </c>
      <c r="O265" s="207" t="s">
        <v>75</v>
      </c>
      <c r="P265" s="207">
        <v>43</v>
      </c>
      <c r="Q265" s="209">
        <v>45525</v>
      </c>
      <c r="R265" s="209">
        <v>45533</v>
      </c>
      <c r="S265" s="210"/>
      <c r="T265" s="210"/>
      <c r="U265" s="207"/>
      <c r="V265" s="207"/>
      <c r="W265" s="105"/>
      <c r="X265" s="211">
        <v>1778854868</v>
      </c>
      <c r="Y265" s="208"/>
      <c r="Z265" s="207"/>
      <c r="AA265" s="207"/>
      <c r="AB265" s="207"/>
      <c r="AC265" s="207"/>
      <c r="AD265" s="210">
        <v>35442</v>
      </c>
      <c r="AE265" s="212"/>
      <c r="AF265" s="207" t="s">
        <v>80</v>
      </c>
      <c r="AG265" s="211">
        <v>5553071019</v>
      </c>
      <c r="AH265" s="207"/>
      <c r="AI265" s="208"/>
      <c r="AJ265" s="208"/>
      <c r="AK265" s="208"/>
      <c r="AL265" s="207"/>
      <c r="AM265" s="207" t="s">
        <v>2575</v>
      </c>
      <c r="AN265" s="207" t="s">
        <v>2576</v>
      </c>
      <c r="AO265" s="207"/>
      <c r="AP265" s="207"/>
      <c r="AQ265" s="208"/>
      <c r="AR265" s="207"/>
      <c r="AS265" s="207"/>
      <c r="AT265" s="213"/>
      <c r="AU265" s="207"/>
      <c r="AV265" s="207"/>
      <c r="AW265" s="207"/>
      <c r="AX265" s="207"/>
      <c r="AY265" s="207"/>
      <c r="AZ265" s="207"/>
      <c r="BA265" s="207" t="s">
        <v>90</v>
      </c>
      <c r="BB265" s="207">
        <v>10800</v>
      </c>
      <c r="BC265" s="207">
        <v>2700</v>
      </c>
      <c r="BD265" s="207">
        <v>0</v>
      </c>
      <c r="BE265" s="207" t="s">
        <v>91</v>
      </c>
      <c r="BF265" s="207"/>
      <c r="BG265" s="207"/>
      <c r="BH265" s="105"/>
      <c r="BI265" s="105"/>
      <c r="BJ265" s="105"/>
      <c r="BK265" s="207"/>
      <c r="BL265" s="105"/>
    </row>
    <row r="266" ht="19.95" customHeight="1">
      <c r="A266" s="207">
        <v>171872</v>
      </c>
      <c r="B266" s="207"/>
      <c r="C266" s="208" t="s">
        <v>2577</v>
      </c>
      <c r="D266" s="207" t="s">
        <v>2578</v>
      </c>
      <c r="E266" s="207" t="s">
        <v>66</v>
      </c>
      <c r="F266" s="208"/>
      <c r="G266" s="207" t="s">
        <v>67</v>
      </c>
      <c r="H266" s="207" t="s">
        <v>68</v>
      </c>
      <c r="I266" s="207" t="s">
        <v>2494</v>
      </c>
      <c r="J266" s="208" t="s">
        <v>2495</v>
      </c>
      <c r="K266" s="207" t="s">
        <v>71</v>
      </c>
      <c r="L266" s="207" t="s">
        <v>72</v>
      </c>
      <c r="M266" s="4" t="s">
        <v>287</v>
      </c>
      <c r="N266" s="207" t="s">
        <v>74</v>
      </c>
      <c r="O266" s="207" t="s">
        <v>75</v>
      </c>
      <c r="P266" s="207">
        <v>43</v>
      </c>
      <c r="Q266" s="209">
        <v>45525</v>
      </c>
      <c r="R266" s="209">
        <v>45533</v>
      </c>
      <c r="S266" s="210"/>
      <c r="T266" s="210"/>
      <c r="U266" s="207"/>
      <c r="V266" s="207"/>
      <c r="W266" s="105"/>
      <c r="X266" s="211">
        <v>1875128597</v>
      </c>
      <c r="Y266" s="208"/>
      <c r="Z266" s="207"/>
      <c r="AA266" s="207"/>
      <c r="AB266" s="207"/>
      <c r="AC266" s="207"/>
      <c r="AD266" s="210">
        <v>35896</v>
      </c>
      <c r="AE266" s="212"/>
      <c r="AF266" s="207" t="s">
        <v>80</v>
      </c>
      <c r="AG266" s="211">
        <v>8704087553</v>
      </c>
      <c r="AH266" s="207"/>
      <c r="AI266" s="208"/>
      <c r="AJ266" s="208"/>
      <c r="AK266" s="208"/>
      <c r="AL266" s="207"/>
      <c r="AM266" s="207" t="s">
        <v>2579</v>
      </c>
      <c r="AN266" s="207" t="s">
        <v>2580</v>
      </c>
      <c r="AO266" s="207"/>
      <c r="AP266" s="207"/>
      <c r="AQ266" s="208"/>
      <c r="AR266" s="207"/>
      <c r="AS266" s="207"/>
      <c r="AT266" s="213"/>
      <c r="AU266" s="207"/>
      <c r="AV266" s="207"/>
      <c r="AW266" s="207"/>
      <c r="AX266" s="207"/>
      <c r="AY266" s="207"/>
      <c r="AZ266" s="207"/>
      <c r="BA266" s="207" t="s">
        <v>90</v>
      </c>
      <c r="BB266" s="207">
        <v>10800</v>
      </c>
      <c r="BC266" s="207">
        <v>2700</v>
      </c>
      <c r="BD266" s="207">
        <v>0</v>
      </c>
      <c r="BE266" s="207" t="s">
        <v>91</v>
      </c>
      <c r="BF266" s="207"/>
      <c r="BG266" s="207"/>
      <c r="BH266" s="105"/>
      <c r="BI266" s="105"/>
      <c r="BJ266" s="105"/>
      <c r="BK266" s="207"/>
      <c r="BL266" s="105"/>
    </row>
    <row r="267" ht="19.95" customHeight="1">
      <c r="A267" s="207">
        <v>171887</v>
      </c>
      <c r="B267" s="207"/>
      <c r="C267" s="208" t="s">
        <v>2581</v>
      </c>
      <c r="D267" s="207" t="s">
        <v>2582</v>
      </c>
      <c r="E267" s="207" t="s">
        <v>66</v>
      </c>
      <c r="F267" s="208"/>
      <c r="G267" s="207" t="s">
        <v>67</v>
      </c>
      <c r="H267" s="207" t="s">
        <v>68</v>
      </c>
      <c r="I267" s="207" t="s">
        <v>2494</v>
      </c>
      <c r="J267" s="208" t="s">
        <v>2495</v>
      </c>
      <c r="K267" s="207" t="s">
        <v>71</v>
      </c>
      <c r="L267" s="207" t="s">
        <v>72</v>
      </c>
      <c r="M267" s="4" t="s">
        <v>73</v>
      </c>
      <c r="N267" s="207" t="s">
        <v>74</v>
      </c>
      <c r="O267" s="207" t="s">
        <v>75</v>
      </c>
      <c r="P267" s="207">
        <v>43</v>
      </c>
      <c r="Q267" s="209">
        <v>45525</v>
      </c>
      <c r="R267" s="209">
        <v>45533</v>
      </c>
      <c r="S267" s="210"/>
      <c r="T267" s="210"/>
      <c r="U267" s="207"/>
      <c r="V267" s="207"/>
      <c r="W267" s="105"/>
      <c r="X267" s="211">
        <v>1883448989</v>
      </c>
      <c r="Y267" s="208"/>
      <c r="Z267" s="207"/>
      <c r="AA267" s="207"/>
      <c r="AB267" s="207"/>
      <c r="AC267" s="207"/>
      <c r="AD267" s="210">
        <v>36442</v>
      </c>
      <c r="AE267" s="212"/>
      <c r="AF267" s="207" t="s">
        <v>360</v>
      </c>
      <c r="AG267" s="211">
        <v>6904457758</v>
      </c>
      <c r="AH267" s="207"/>
      <c r="AI267" s="208"/>
      <c r="AJ267" s="208"/>
      <c r="AK267" s="208"/>
      <c r="AL267" s="207"/>
      <c r="AM267" s="207" t="s">
        <v>2583</v>
      </c>
      <c r="AN267" s="207" t="s">
        <v>2584</v>
      </c>
      <c r="AO267" s="207"/>
      <c r="AP267" s="207"/>
      <c r="AQ267" s="208"/>
      <c r="AR267" s="207"/>
      <c r="AS267" s="207"/>
      <c r="AT267" s="213"/>
      <c r="AU267" s="207"/>
      <c r="AV267" s="207"/>
      <c r="AW267" s="207"/>
      <c r="AX267" s="207"/>
      <c r="AY267" s="207"/>
      <c r="AZ267" s="207"/>
      <c r="BA267" s="207" t="s">
        <v>90</v>
      </c>
      <c r="BB267" s="207">
        <v>10800</v>
      </c>
      <c r="BC267" s="207">
        <v>2700</v>
      </c>
      <c r="BD267" s="207">
        <v>0</v>
      </c>
      <c r="BE267" s="207" t="s">
        <v>91</v>
      </c>
      <c r="BF267" s="207"/>
      <c r="BG267" s="207"/>
      <c r="BH267" s="105"/>
      <c r="BI267" s="105"/>
      <c r="BJ267" s="105"/>
      <c r="BK267" s="207"/>
      <c r="BL267" s="105"/>
    </row>
    <row r="268" ht="19.95" customHeight="1">
      <c r="A268" s="207">
        <v>171871</v>
      </c>
      <c r="B268" s="207"/>
      <c r="C268" s="208" t="s">
        <v>2585</v>
      </c>
      <c r="D268" s="207" t="s">
        <v>2586</v>
      </c>
      <c r="E268" s="207" t="s">
        <v>66</v>
      </c>
      <c r="F268" s="208"/>
      <c r="G268" s="207" t="s">
        <v>67</v>
      </c>
      <c r="H268" s="207" t="s">
        <v>68</v>
      </c>
      <c r="I268" s="207" t="s">
        <v>2494</v>
      </c>
      <c r="J268" s="208" t="s">
        <v>2495</v>
      </c>
      <c r="K268" s="207" t="s">
        <v>71</v>
      </c>
      <c r="L268" s="207" t="s">
        <v>72</v>
      </c>
      <c r="M268" s="4" t="s">
        <v>287</v>
      </c>
      <c r="N268" s="207" t="s">
        <v>74</v>
      </c>
      <c r="O268" s="207" t="s">
        <v>75</v>
      </c>
      <c r="P268" s="207">
        <v>43</v>
      </c>
      <c r="Q268" s="209">
        <v>45525</v>
      </c>
      <c r="R268" s="209">
        <v>45533</v>
      </c>
      <c r="S268" s="210"/>
      <c r="T268" s="210"/>
      <c r="U268" s="207"/>
      <c r="V268" s="207"/>
      <c r="W268" s="105"/>
      <c r="X268" s="211">
        <v>1865329584</v>
      </c>
      <c r="Y268" s="208"/>
      <c r="Z268" s="207"/>
      <c r="AA268" s="207"/>
      <c r="AB268" s="207"/>
      <c r="AC268" s="207"/>
      <c r="AD268" s="210" t="s">
        <v>2587</v>
      </c>
      <c r="AE268" s="212"/>
      <c r="AF268" s="207" t="s">
        <v>360</v>
      </c>
      <c r="AG268" s="211">
        <v>2402641431</v>
      </c>
      <c r="AH268" s="207"/>
      <c r="AI268" s="208"/>
      <c r="AJ268" s="208"/>
      <c r="AK268" s="208"/>
      <c r="AL268" s="207"/>
      <c r="AM268" s="207" t="s">
        <v>2588</v>
      </c>
      <c r="AN268" s="207" t="s">
        <v>2589</v>
      </c>
      <c r="AO268" s="207"/>
      <c r="AP268" s="207"/>
      <c r="AQ268" s="208"/>
      <c r="AR268" s="207"/>
      <c r="AS268" s="207"/>
      <c r="AT268" s="213"/>
      <c r="AU268" s="207"/>
      <c r="AV268" s="207"/>
      <c r="AW268" s="207"/>
      <c r="AX268" s="207"/>
      <c r="AY268" s="207"/>
      <c r="AZ268" s="207"/>
      <c r="BA268" s="207" t="s">
        <v>90</v>
      </c>
      <c r="BB268" s="207">
        <v>10800</v>
      </c>
      <c r="BC268" s="207">
        <v>2700</v>
      </c>
      <c r="BD268" s="207">
        <v>0</v>
      </c>
      <c r="BE268" s="207" t="s">
        <v>91</v>
      </c>
      <c r="BF268" s="207"/>
      <c r="BG268" s="207"/>
      <c r="BH268" s="105"/>
      <c r="BI268" s="105"/>
      <c r="BJ268" s="105"/>
      <c r="BK268" s="207"/>
      <c r="BL268" s="105"/>
    </row>
    <row r="269" ht="19.95" customHeight="1">
      <c r="A269" s="207">
        <v>171875</v>
      </c>
      <c r="B269" s="207"/>
      <c r="C269" s="208" t="s">
        <v>2590</v>
      </c>
      <c r="D269" s="207" t="s">
        <v>2591</v>
      </c>
      <c r="E269" s="207" t="s">
        <v>66</v>
      </c>
      <c r="F269" s="208"/>
      <c r="G269" s="207" t="s">
        <v>67</v>
      </c>
      <c r="H269" s="207" t="s">
        <v>68</v>
      </c>
      <c r="I269" s="207" t="s">
        <v>2494</v>
      </c>
      <c r="J269" s="208" t="s">
        <v>2495</v>
      </c>
      <c r="K269" s="207" t="s">
        <v>71</v>
      </c>
      <c r="L269" s="207" t="s">
        <v>72</v>
      </c>
      <c r="M269" s="4" t="s">
        <v>115</v>
      </c>
      <c r="N269" s="207" t="s">
        <v>74</v>
      </c>
      <c r="O269" s="207" t="s">
        <v>75</v>
      </c>
      <c r="P269" s="207">
        <v>43</v>
      </c>
      <c r="Q269" s="209">
        <v>45525</v>
      </c>
      <c r="R269" s="209">
        <v>45533</v>
      </c>
      <c r="S269" s="210"/>
      <c r="T269" s="210"/>
      <c r="U269" s="207"/>
      <c r="V269" s="207"/>
      <c r="W269" s="105"/>
      <c r="X269" s="211">
        <v>1533609757</v>
      </c>
      <c r="Y269" s="208"/>
      <c r="Z269" s="207"/>
      <c r="AA269" s="207"/>
      <c r="AB269" s="207"/>
      <c r="AC269" s="207"/>
      <c r="AD269" s="210">
        <v>35285</v>
      </c>
      <c r="AE269" s="212"/>
      <c r="AF269" s="207" t="s">
        <v>80</v>
      </c>
      <c r="AG269" s="211">
        <v>4202162915</v>
      </c>
      <c r="AH269" s="207"/>
      <c r="AI269" s="208"/>
      <c r="AJ269" s="208"/>
      <c r="AK269" s="208"/>
      <c r="AL269" s="207"/>
      <c r="AM269" s="207" t="s">
        <v>2592</v>
      </c>
      <c r="AN269" s="207" t="s">
        <v>2593</v>
      </c>
      <c r="AO269" s="207"/>
      <c r="AP269" s="207"/>
      <c r="AQ269" s="208"/>
      <c r="AR269" s="207"/>
      <c r="AS269" s="207"/>
      <c r="AT269" s="213"/>
      <c r="AU269" s="207"/>
      <c r="AV269" s="207"/>
      <c r="AW269" s="207"/>
      <c r="AX269" s="207"/>
      <c r="AY269" s="207"/>
      <c r="AZ269" s="207"/>
      <c r="BA269" s="207" t="s">
        <v>90</v>
      </c>
      <c r="BB269" s="207">
        <v>10800</v>
      </c>
      <c r="BC269" s="207">
        <v>2700</v>
      </c>
      <c r="BD269" s="207">
        <v>0</v>
      </c>
      <c r="BE269" s="207" t="s">
        <v>91</v>
      </c>
      <c r="BF269" s="207"/>
      <c r="BG269" s="207"/>
      <c r="BH269" s="105"/>
      <c r="BI269" s="105"/>
      <c r="BJ269" s="105"/>
      <c r="BK269" s="207"/>
      <c r="BL269" s="105"/>
    </row>
    <row r="270" ht="19.95" customHeight="1">
      <c r="A270" s="207">
        <v>171881</v>
      </c>
      <c r="B270" s="207"/>
      <c r="C270" s="208" t="s">
        <v>2594</v>
      </c>
      <c r="D270" s="207" t="s">
        <v>2595</v>
      </c>
      <c r="E270" s="207" t="s">
        <v>114</v>
      </c>
      <c r="F270" s="208"/>
      <c r="G270" s="207" t="s">
        <v>67</v>
      </c>
      <c r="H270" s="207" t="s">
        <v>68</v>
      </c>
      <c r="I270" s="207" t="s">
        <v>2494</v>
      </c>
      <c r="J270" s="208" t="s">
        <v>2495</v>
      </c>
      <c r="K270" s="207" t="s">
        <v>71</v>
      </c>
      <c r="L270" s="207" t="s">
        <v>72</v>
      </c>
      <c r="M270" s="4" t="s">
        <v>115</v>
      </c>
      <c r="N270" s="207" t="s">
        <v>74</v>
      </c>
      <c r="O270" s="207" t="s">
        <v>75</v>
      </c>
      <c r="P270" s="207">
        <v>43</v>
      </c>
      <c r="Q270" s="209">
        <v>45525</v>
      </c>
      <c r="R270" s="209">
        <v>45533</v>
      </c>
      <c r="S270" s="210"/>
      <c r="T270" s="210"/>
      <c r="U270" s="207"/>
      <c r="V270" s="207"/>
      <c r="W270" s="105"/>
      <c r="X270" s="211">
        <v>1881344479</v>
      </c>
      <c r="Y270" s="208"/>
      <c r="Z270" s="207"/>
      <c r="AA270" s="207"/>
      <c r="AB270" s="207"/>
      <c r="AC270" s="207"/>
      <c r="AD270" s="210">
        <v>36315</v>
      </c>
      <c r="AE270" s="212"/>
      <c r="AF270" s="207" t="s">
        <v>80</v>
      </c>
      <c r="AG270" s="211">
        <v>4207720410</v>
      </c>
      <c r="AH270" s="207"/>
      <c r="AI270" s="208"/>
      <c r="AJ270" s="208"/>
      <c r="AK270" s="208"/>
      <c r="AL270" s="207"/>
      <c r="AM270" s="207" t="s">
        <v>2596</v>
      </c>
      <c r="AN270" s="207" t="s">
        <v>2597</v>
      </c>
      <c r="AO270" s="207"/>
      <c r="AP270" s="207"/>
      <c r="AQ270" s="208"/>
      <c r="AR270" s="207"/>
      <c r="AS270" s="207"/>
      <c r="AT270" s="213"/>
      <c r="AU270" s="207"/>
      <c r="AV270" s="207"/>
      <c r="AW270" s="207"/>
      <c r="AX270" s="207"/>
      <c r="AY270" s="207"/>
      <c r="AZ270" s="207"/>
      <c r="BA270" s="207" t="s">
        <v>90</v>
      </c>
      <c r="BB270" s="207">
        <v>10800</v>
      </c>
      <c r="BC270" s="207">
        <v>2700</v>
      </c>
      <c r="BD270" s="207">
        <v>0</v>
      </c>
      <c r="BE270" s="207" t="s">
        <v>91</v>
      </c>
      <c r="BF270" s="207"/>
      <c r="BG270" s="207"/>
      <c r="BH270" s="105"/>
      <c r="BI270" s="105"/>
      <c r="BJ270" s="105"/>
      <c r="BK270" s="207"/>
      <c r="BL270" s="105"/>
    </row>
    <row r="271" ht="19.95" customHeight="1">
      <c r="A271" s="207">
        <v>171766</v>
      </c>
      <c r="B271" s="207"/>
      <c r="C271" s="208"/>
      <c r="D271" s="207" t="s">
        <v>2598</v>
      </c>
      <c r="E271" s="207" t="s">
        <v>114</v>
      </c>
      <c r="F271" s="208"/>
      <c r="G271" s="207" t="s">
        <v>67</v>
      </c>
      <c r="H271" s="207" t="s">
        <v>68</v>
      </c>
      <c r="I271" s="207" t="s">
        <v>69</v>
      </c>
      <c r="J271" s="208" t="s">
        <v>214</v>
      </c>
      <c r="K271" s="207" t="s">
        <v>71</v>
      </c>
      <c r="L271" s="207" t="s">
        <v>1767</v>
      </c>
      <c r="M271" s="4" t="s">
        <v>98</v>
      </c>
      <c r="N271" s="207" t="s">
        <v>74</v>
      </c>
      <c r="O271" s="207" t="s">
        <v>2068</v>
      </c>
      <c r="P271" s="207">
        <v>39</v>
      </c>
      <c r="Q271" s="209">
        <v>45485</v>
      </c>
      <c r="R271" s="209">
        <v>45504</v>
      </c>
      <c r="S271" s="210"/>
      <c r="T271" s="210"/>
      <c r="U271" s="207"/>
      <c r="V271" s="207"/>
      <c r="W271" s="105"/>
      <c r="X271" s="211">
        <v>1791825935</v>
      </c>
      <c r="Y271" s="208"/>
      <c r="Z271" s="207"/>
      <c r="AA271" s="207"/>
      <c r="AB271" s="207"/>
      <c r="AC271" s="207"/>
      <c r="AD271" s="210">
        <v>28856</v>
      </c>
      <c r="AE271" s="212"/>
      <c r="AF271" s="207" t="s">
        <v>80</v>
      </c>
      <c r="AG271" s="211" t="s">
        <v>2599</v>
      </c>
      <c r="AH271" s="207"/>
      <c r="AI271" s="208"/>
      <c r="AJ271" s="208"/>
      <c r="AK271" s="208"/>
      <c r="AL271" s="207"/>
      <c r="AM271" s="207" t="s">
        <v>2600</v>
      </c>
      <c r="AN271" s="207" t="s">
        <v>2601</v>
      </c>
      <c r="AO271" s="207"/>
      <c r="AP271" s="207"/>
      <c r="AQ271" s="208"/>
      <c r="AR271" s="207"/>
      <c r="AS271" s="207"/>
      <c r="AT271" s="213"/>
      <c r="AU271" s="207"/>
      <c r="AV271" s="207"/>
      <c r="AW271" s="207"/>
      <c r="AX271" s="207"/>
      <c r="AY271" s="207"/>
      <c r="AZ271" s="207"/>
      <c r="BA271" s="207" t="s">
        <v>90</v>
      </c>
      <c r="BB271" s="207">
        <v>10800</v>
      </c>
      <c r="BC271" s="207">
        <v>2700</v>
      </c>
      <c r="BD271" s="207"/>
      <c r="BE271" s="207" t="s">
        <v>91</v>
      </c>
      <c r="BF271" s="207"/>
      <c r="BG271" s="207"/>
      <c r="BH271" s="105"/>
      <c r="BI271" s="105"/>
      <c r="BJ271" s="105"/>
      <c r="BK271" s="207">
        <v>1791825935</v>
      </c>
      <c r="BL271" s="105"/>
    </row>
    <row r="272" ht="19.95" customHeight="1">
      <c r="A272" s="207">
        <v>171880</v>
      </c>
      <c r="B272" s="207"/>
      <c r="C272" s="208" t="s">
        <v>2602</v>
      </c>
      <c r="D272" s="207" t="s">
        <v>2603</v>
      </c>
      <c r="E272" s="207" t="s">
        <v>114</v>
      </c>
      <c r="F272" s="208"/>
      <c r="G272" s="207" t="s">
        <v>67</v>
      </c>
      <c r="H272" s="207" t="s">
        <v>68</v>
      </c>
      <c r="I272" s="207" t="s">
        <v>2494</v>
      </c>
      <c r="J272" s="208" t="s">
        <v>2495</v>
      </c>
      <c r="K272" s="207" t="s">
        <v>71</v>
      </c>
      <c r="L272" s="207" t="s">
        <v>72</v>
      </c>
      <c r="M272" s="4" t="s">
        <v>308</v>
      </c>
      <c r="N272" s="207" t="s">
        <v>74</v>
      </c>
      <c r="O272" s="207" t="s">
        <v>75</v>
      </c>
      <c r="P272" s="207">
        <v>43</v>
      </c>
      <c r="Q272" s="209">
        <v>45525</v>
      </c>
      <c r="R272" s="209">
        <v>45533</v>
      </c>
      <c r="S272" s="210"/>
      <c r="T272" s="210"/>
      <c r="U272" s="207"/>
      <c r="V272" s="207"/>
      <c r="W272" s="105"/>
      <c r="X272" s="211">
        <v>1777849454</v>
      </c>
      <c r="Y272" s="208"/>
      <c r="Z272" s="207"/>
      <c r="AA272" s="207"/>
      <c r="AB272" s="207"/>
      <c r="AC272" s="207"/>
      <c r="AD272" s="210">
        <v>34982</v>
      </c>
      <c r="AE272" s="212"/>
      <c r="AF272" s="207" t="s">
        <v>80</v>
      </c>
      <c r="AG272" s="211">
        <v>3753523798</v>
      </c>
      <c r="AH272" s="207"/>
      <c r="AI272" s="208"/>
      <c r="AJ272" s="208"/>
      <c r="AK272" s="208"/>
      <c r="AL272" s="207"/>
      <c r="AM272" s="207" t="s">
        <v>2604</v>
      </c>
      <c r="AN272" s="207" t="s">
        <v>2605</v>
      </c>
      <c r="AO272" s="207"/>
      <c r="AP272" s="207"/>
      <c r="AQ272" s="208"/>
      <c r="AR272" s="207"/>
      <c r="AS272" s="207"/>
      <c r="AT272" s="213"/>
      <c r="AU272" s="207"/>
      <c r="AV272" s="207"/>
      <c r="AW272" s="207"/>
      <c r="AX272" s="207"/>
      <c r="AY272" s="207"/>
      <c r="AZ272" s="207"/>
      <c r="BA272" s="207" t="s">
        <v>90</v>
      </c>
      <c r="BB272" s="207">
        <v>10800</v>
      </c>
      <c r="BC272" s="207">
        <v>2700</v>
      </c>
      <c r="BD272" s="207">
        <v>0</v>
      </c>
      <c r="BE272" s="207" t="s">
        <v>91</v>
      </c>
      <c r="BF272" s="207"/>
      <c r="BG272" s="207"/>
      <c r="BH272" s="105"/>
      <c r="BI272" s="105"/>
      <c r="BJ272" s="105"/>
      <c r="BK272" s="207"/>
      <c r="BL272" s="105"/>
    </row>
    <row r="273" ht="19.95" customHeight="1">
      <c r="A273" s="207">
        <v>171874</v>
      </c>
      <c r="B273" s="207"/>
      <c r="C273" s="208" t="s">
        <v>2606</v>
      </c>
      <c r="D273" s="207" t="s">
        <v>2607</v>
      </c>
      <c r="E273" s="207" t="s">
        <v>66</v>
      </c>
      <c r="F273" s="208"/>
      <c r="G273" s="207" t="s">
        <v>67</v>
      </c>
      <c r="H273" s="207" t="s">
        <v>68</v>
      </c>
      <c r="I273" s="207" t="s">
        <v>2494</v>
      </c>
      <c r="J273" s="208" t="s">
        <v>2495</v>
      </c>
      <c r="K273" s="207" t="s">
        <v>71</v>
      </c>
      <c r="L273" s="207" t="s">
        <v>72</v>
      </c>
      <c r="M273" s="4" t="s">
        <v>287</v>
      </c>
      <c r="N273" s="207" t="s">
        <v>74</v>
      </c>
      <c r="O273" s="207" t="s">
        <v>75</v>
      </c>
      <c r="P273" s="207">
        <v>43</v>
      </c>
      <c r="Q273" s="209">
        <v>45525</v>
      </c>
      <c r="R273" s="209">
        <v>45533</v>
      </c>
      <c r="S273" s="210"/>
      <c r="T273" s="210"/>
      <c r="U273" s="207"/>
      <c r="V273" s="207"/>
      <c r="W273" s="105"/>
      <c r="X273" s="211">
        <v>1734934834</v>
      </c>
      <c r="Y273" s="208"/>
      <c r="Z273" s="207"/>
      <c r="AA273" s="207"/>
      <c r="AB273" s="207"/>
      <c r="AC273" s="207"/>
      <c r="AD273" s="210" t="s">
        <v>2608</v>
      </c>
      <c r="AE273" s="212"/>
      <c r="AF273" s="207" t="s">
        <v>80</v>
      </c>
      <c r="AG273" s="211">
        <v>5563955169</v>
      </c>
      <c r="AH273" s="207"/>
      <c r="AI273" s="208"/>
      <c r="AJ273" s="208"/>
      <c r="AK273" s="208"/>
      <c r="AL273" s="207"/>
      <c r="AM273" s="207" t="s">
        <v>2609</v>
      </c>
      <c r="AN273" s="207" t="s">
        <v>2610</v>
      </c>
      <c r="AO273" s="207"/>
      <c r="AP273" s="207"/>
      <c r="AQ273" s="208"/>
      <c r="AR273" s="207"/>
      <c r="AS273" s="207"/>
      <c r="AT273" s="213"/>
      <c r="AU273" s="207"/>
      <c r="AV273" s="207"/>
      <c r="AW273" s="207"/>
      <c r="AX273" s="207"/>
      <c r="AY273" s="207"/>
      <c r="AZ273" s="207"/>
      <c r="BA273" s="207" t="s">
        <v>90</v>
      </c>
      <c r="BB273" s="207">
        <v>10800</v>
      </c>
      <c r="BC273" s="207">
        <v>2700</v>
      </c>
      <c r="BD273" s="207">
        <v>0</v>
      </c>
      <c r="BE273" s="207" t="s">
        <v>91</v>
      </c>
      <c r="BF273" s="207"/>
      <c r="BG273" s="207"/>
      <c r="BH273" s="105"/>
      <c r="BI273" s="105"/>
      <c r="BJ273" s="105"/>
      <c r="BK273" s="207"/>
      <c r="BL273" s="105"/>
    </row>
    <row r="274" ht="19.95" customHeight="1">
      <c r="A274" s="207">
        <v>171710</v>
      </c>
      <c r="B274" s="207"/>
      <c r="C274" s="208" t="s">
        <v>2611</v>
      </c>
      <c r="D274" s="207" t="s">
        <v>100</v>
      </c>
      <c r="E274" s="207" t="s">
        <v>114</v>
      </c>
      <c r="F274" s="208"/>
      <c r="G274" s="207" t="s">
        <v>67</v>
      </c>
      <c r="H274" s="207" t="s">
        <v>68</v>
      </c>
      <c r="I274" s="207" t="s">
        <v>69</v>
      </c>
      <c r="J274" s="208" t="s">
        <v>155</v>
      </c>
      <c r="K274" s="207" t="s">
        <v>71</v>
      </c>
      <c r="L274" s="207" t="s">
        <v>72</v>
      </c>
      <c r="M274" s="4" t="s">
        <v>156</v>
      </c>
      <c r="N274" s="207" t="s">
        <v>74</v>
      </c>
      <c r="O274" s="207" t="s">
        <v>75</v>
      </c>
      <c r="P274" s="207">
        <v>36</v>
      </c>
      <c r="Q274" s="209">
        <v>45475</v>
      </c>
      <c r="R274" s="209">
        <v>45497</v>
      </c>
      <c r="S274" s="210"/>
      <c r="T274" s="210"/>
      <c r="U274" s="207"/>
      <c r="V274" s="207"/>
      <c r="W274" s="105"/>
      <c r="X274" s="211">
        <v>1306959818</v>
      </c>
      <c r="Y274" s="208"/>
      <c r="Z274" s="207"/>
      <c r="AA274" s="207"/>
      <c r="AB274" s="207"/>
      <c r="AC274" s="207"/>
      <c r="AD274" s="210">
        <v>36139</v>
      </c>
      <c r="AE274" s="212"/>
      <c r="AF274" s="207" t="s">
        <v>80</v>
      </c>
      <c r="AG274" s="211">
        <v>7807090563</v>
      </c>
      <c r="AH274" s="207"/>
      <c r="AI274" s="208"/>
      <c r="AJ274" s="208"/>
      <c r="AK274" s="208"/>
      <c r="AL274" s="207"/>
      <c r="AM274" s="207" t="s">
        <v>2612</v>
      </c>
      <c r="AN274" s="207" t="s">
        <v>2613</v>
      </c>
      <c r="AO274" s="207"/>
      <c r="AP274" s="207"/>
      <c r="AQ274" s="208"/>
      <c r="AR274" s="207"/>
      <c r="AS274" s="207"/>
      <c r="AT274" s="213"/>
      <c r="AU274" s="207"/>
      <c r="AV274" s="207"/>
      <c r="AW274" s="207"/>
      <c r="AX274" s="207"/>
      <c r="AY274" s="207"/>
      <c r="AZ274" s="207"/>
      <c r="BA274" s="207" t="s">
        <v>90</v>
      </c>
      <c r="BB274" s="207">
        <v>10800</v>
      </c>
      <c r="BC274" s="207">
        <v>2700</v>
      </c>
      <c r="BD274" s="207">
        <v>1000</v>
      </c>
      <c r="BE274" s="207" t="s">
        <v>166</v>
      </c>
      <c r="BF274" s="207"/>
      <c r="BG274" s="207"/>
      <c r="BH274" s="105"/>
      <c r="BI274" s="105"/>
      <c r="BJ274" s="105"/>
      <c r="BK274" s="207">
        <v>1306959818</v>
      </c>
      <c r="BL274" s="105"/>
    </row>
    <row r="275" ht="19.95" customHeight="1">
      <c r="A275" s="207">
        <v>171861</v>
      </c>
      <c r="B275" s="207">
        <v>171861</v>
      </c>
      <c r="C275" s="208" t="s">
        <v>2614</v>
      </c>
      <c r="D275" s="207" t="s">
        <v>2615</v>
      </c>
      <c r="E275" s="207" t="s">
        <v>114</v>
      </c>
      <c r="F275" s="208">
        <v>1218853952</v>
      </c>
      <c r="G275" s="207" t="s">
        <v>67</v>
      </c>
      <c r="H275" s="207" t="s">
        <v>2465</v>
      </c>
      <c r="I275" s="207" t="s">
        <v>69</v>
      </c>
      <c r="J275" s="208" t="s">
        <v>155</v>
      </c>
      <c r="K275" s="207" t="s">
        <v>1766</v>
      </c>
      <c r="L275" s="207" t="s">
        <v>2466</v>
      </c>
      <c r="M275" s="4" t="s">
        <v>171</v>
      </c>
      <c r="N275" s="207" t="s">
        <v>74</v>
      </c>
      <c r="O275" s="207" t="s">
        <v>75</v>
      </c>
      <c r="P275" s="207">
        <v>42</v>
      </c>
      <c r="Q275" s="209">
        <v>45518</v>
      </c>
      <c r="R275" s="209">
        <v>45535</v>
      </c>
      <c r="S275" s="210" t="s">
        <v>242</v>
      </c>
      <c r="T275" s="210" t="s">
        <v>242</v>
      </c>
      <c r="U275" s="207" t="s">
        <v>242</v>
      </c>
      <c r="V275" s="207" t="s">
        <v>242</v>
      </c>
      <c r="W275" s="105" t="s">
        <v>2616</v>
      </c>
      <c r="X275" s="211">
        <v>1521539964</v>
      </c>
      <c r="Y275" s="208" t="s">
        <v>242</v>
      </c>
      <c r="Z275" s="207" t="s">
        <v>2617</v>
      </c>
      <c r="AA275" s="207">
        <v>1305156009</v>
      </c>
      <c r="AB275" s="207" t="s">
        <v>2059</v>
      </c>
      <c r="AC275" s="207" t="s">
        <v>133</v>
      </c>
      <c r="AD275" s="210">
        <v>36262</v>
      </c>
      <c r="AE275" s="212">
        <v>25</v>
      </c>
      <c r="AF275" s="207" t="s">
        <v>2618</v>
      </c>
      <c r="AG275" s="211">
        <v>6914079444</v>
      </c>
      <c r="AH275" s="207" t="s">
        <v>795</v>
      </c>
      <c r="AI275" s="208" t="s">
        <v>925</v>
      </c>
      <c r="AJ275" s="208"/>
      <c r="AK275" s="208">
        <v>2023</v>
      </c>
      <c r="AL275" s="207" t="s">
        <v>2619</v>
      </c>
      <c r="AM275" s="207" t="s">
        <v>2620</v>
      </c>
      <c r="AN275" s="207" t="s">
        <v>2621</v>
      </c>
      <c r="AO275" s="207" t="s">
        <v>2622</v>
      </c>
      <c r="AP275" s="207" t="s">
        <v>2623</v>
      </c>
      <c r="AQ275" s="208" t="s">
        <v>2624</v>
      </c>
      <c r="AR275" s="207" t="s">
        <v>2625</v>
      </c>
      <c r="AS275" s="207" t="s">
        <v>81</v>
      </c>
      <c r="AT275" s="213" t="s">
        <v>81</v>
      </c>
      <c r="AU275" s="207" t="s">
        <v>81</v>
      </c>
      <c r="AV275" s="207" t="s">
        <v>81</v>
      </c>
      <c r="AW275" s="207" t="s">
        <v>81</v>
      </c>
      <c r="AX275" s="207" t="s">
        <v>81</v>
      </c>
      <c r="AY275" s="207" t="s">
        <v>81</v>
      </c>
      <c r="AZ275" s="207" t="s">
        <v>81</v>
      </c>
      <c r="BA275" s="207"/>
      <c r="BB275" s="207">
        <v>10800</v>
      </c>
      <c r="BC275" s="207">
        <v>2700</v>
      </c>
      <c r="BD275" s="207">
        <v>1000</v>
      </c>
      <c r="BE275" s="207" t="s">
        <v>166</v>
      </c>
      <c r="BF275" s="207" t="s">
        <v>242</v>
      </c>
      <c r="BG275" s="207" t="s">
        <v>242</v>
      </c>
      <c r="BH275" s="105"/>
      <c r="BI275" s="105"/>
      <c r="BJ275" s="105" t="s">
        <v>242</v>
      </c>
      <c r="BK275" s="207">
        <v>1521539964</v>
      </c>
      <c r="BL275" s="105"/>
    </row>
    <row r="276" ht="19.95" customHeight="1">
      <c r="A276" s="207">
        <v>171917</v>
      </c>
      <c r="B276" s="207"/>
      <c r="C276" s="208" t="s">
        <v>2626</v>
      </c>
      <c r="D276" s="207" t="s">
        <v>2627</v>
      </c>
      <c r="E276" s="207" t="s">
        <v>66</v>
      </c>
      <c r="F276" s="208"/>
      <c r="G276" s="207" t="s">
        <v>67</v>
      </c>
      <c r="H276" s="207" t="s">
        <v>68</v>
      </c>
      <c r="I276" s="207" t="s">
        <v>69</v>
      </c>
      <c r="J276" s="208" t="s">
        <v>2495</v>
      </c>
      <c r="K276" s="207" t="s">
        <v>71</v>
      </c>
      <c r="L276" s="207" t="s">
        <v>72</v>
      </c>
      <c r="M276" s="4" t="s">
        <v>308</v>
      </c>
      <c r="N276" s="207" t="s">
        <v>74</v>
      </c>
      <c r="O276" s="207" t="s">
        <v>75</v>
      </c>
      <c r="P276" s="207">
        <v>44</v>
      </c>
      <c r="Q276" s="209">
        <v>45533</v>
      </c>
      <c r="R276" s="209">
        <v>45541</v>
      </c>
      <c r="S276" s="210"/>
      <c r="T276" s="210"/>
      <c r="U276" s="207"/>
      <c r="V276" s="207"/>
      <c r="W276" s="105"/>
      <c r="X276" s="211">
        <v>1768529102</v>
      </c>
      <c r="Y276" s="208"/>
      <c r="Z276" s="207"/>
      <c r="AA276" s="207"/>
      <c r="AB276" s="207"/>
      <c r="AC276" s="207"/>
      <c r="AD276" s="210"/>
      <c r="AE276" s="212"/>
      <c r="AF276" s="207" t="s">
        <v>80</v>
      </c>
      <c r="AG276" s="211"/>
      <c r="AH276" s="207"/>
      <c r="AI276" s="208"/>
      <c r="AJ276" s="208"/>
      <c r="AK276" s="208"/>
      <c r="AL276" s="207"/>
      <c r="AM276" s="207"/>
      <c r="AN276" s="207"/>
      <c r="AO276" s="207"/>
      <c r="AP276" s="207"/>
      <c r="AQ276" s="208"/>
      <c r="AR276" s="207"/>
      <c r="AS276" s="207"/>
      <c r="AT276" s="213"/>
      <c r="AU276" s="207"/>
      <c r="AV276" s="207"/>
      <c r="AW276" s="207"/>
      <c r="AX276" s="207"/>
      <c r="AY276" s="207"/>
      <c r="AZ276" s="207"/>
      <c r="BA276" s="207" t="s">
        <v>90</v>
      </c>
      <c r="BB276" s="207">
        <v>10800</v>
      </c>
      <c r="BC276" s="207">
        <v>2700</v>
      </c>
      <c r="BD276" s="207">
        <v>0</v>
      </c>
      <c r="BE276" s="207" t="s">
        <v>91</v>
      </c>
      <c r="BF276" s="207"/>
      <c r="BG276" s="207"/>
      <c r="BH276" s="105"/>
      <c r="BI276" s="105"/>
      <c r="BJ276" s="105"/>
      <c r="BK276" s="207"/>
      <c r="BL276" s="105"/>
    </row>
    <row r="277" ht="19.95" customHeight="1">
      <c r="A277" s="207">
        <v>171923</v>
      </c>
      <c r="B277" s="207"/>
      <c r="C277" s="208" t="s">
        <v>2628</v>
      </c>
      <c r="D277" s="207" t="s">
        <v>2629</v>
      </c>
      <c r="E277" s="207" t="s">
        <v>114</v>
      </c>
      <c r="F277" s="208"/>
      <c r="G277" s="207" t="s">
        <v>67</v>
      </c>
      <c r="H277" s="207" t="s">
        <v>68</v>
      </c>
      <c r="I277" s="207" t="s">
        <v>69</v>
      </c>
      <c r="J277" s="208" t="s">
        <v>2495</v>
      </c>
      <c r="K277" s="207" t="s">
        <v>71</v>
      </c>
      <c r="L277" s="207" t="s">
        <v>72</v>
      </c>
      <c r="M277" s="4" t="s">
        <v>458</v>
      </c>
      <c r="N277" s="207" t="s">
        <v>74</v>
      </c>
      <c r="O277" s="207" t="s">
        <v>75</v>
      </c>
      <c r="P277" s="207">
        <v>44</v>
      </c>
      <c r="Q277" s="209">
        <v>45533</v>
      </c>
      <c r="R277" s="209">
        <v>45541</v>
      </c>
      <c r="S277" s="210"/>
      <c r="T277" s="210"/>
      <c r="U277" s="207"/>
      <c r="V277" s="207"/>
      <c r="W277" s="105"/>
      <c r="X277" s="211">
        <v>1709066428</v>
      </c>
      <c r="Y277" s="208"/>
      <c r="Z277" s="207"/>
      <c r="AA277" s="207"/>
      <c r="AB277" s="207"/>
      <c r="AC277" s="207"/>
      <c r="AD277" s="210"/>
      <c r="AE277" s="212"/>
      <c r="AF277" s="207" t="s">
        <v>80</v>
      </c>
      <c r="AG277" s="211"/>
      <c r="AH277" s="207"/>
      <c r="AI277" s="208"/>
      <c r="AJ277" s="208"/>
      <c r="AK277" s="208"/>
      <c r="AL277" s="207"/>
      <c r="AM277" s="207"/>
      <c r="AN277" s="207"/>
      <c r="AO277" s="207"/>
      <c r="AP277" s="207"/>
      <c r="AQ277" s="208"/>
      <c r="AR277" s="207"/>
      <c r="AS277" s="207"/>
      <c r="AT277" s="213"/>
      <c r="AU277" s="207"/>
      <c r="AV277" s="207"/>
      <c r="AW277" s="207"/>
      <c r="AX277" s="207"/>
      <c r="AY277" s="207"/>
      <c r="AZ277" s="207"/>
      <c r="BA277" s="207" t="s">
        <v>90</v>
      </c>
      <c r="BB277" s="207">
        <v>10800</v>
      </c>
      <c r="BC277" s="207">
        <v>2700</v>
      </c>
      <c r="BD277" s="207">
        <v>0</v>
      </c>
      <c r="BE277" s="207" t="s">
        <v>91</v>
      </c>
      <c r="BF277" s="207"/>
      <c r="BG277" s="207"/>
      <c r="BH277" s="105"/>
      <c r="BI277" s="105"/>
      <c r="BJ277" s="105"/>
      <c r="BK277" s="207"/>
      <c r="BL277" s="105" t="s">
        <v>2630</v>
      </c>
    </row>
    <row r="278" ht="19.95" customHeight="1">
      <c r="A278" s="207">
        <v>171925</v>
      </c>
      <c r="B278" s="207"/>
      <c r="C278" s="208" t="s">
        <v>1323</v>
      </c>
      <c r="D278" s="207" t="s">
        <v>2631</v>
      </c>
      <c r="E278" s="207" t="s">
        <v>114</v>
      </c>
      <c r="F278" s="208"/>
      <c r="G278" s="207" t="s">
        <v>67</v>
      </c>
      <c r="H278" s="207" t="s">
        <v>68</v>
      </c>
      <c r="I278" s="207" t="s">
        <v>69</v>
      </c>
      <c r="J278" s="208" t="s">
        <v>2495</v>
      </c>
      <c r="K278" s="207" t="s">
        <v>71</v>
      </c>
      <c r="L278" s="207" t="s">
        <v>72</v>
      </c>
      <c r="M278" s="4" t="s">
        <v>1304</v>
      </c>
      <c r="N278" s="207" t="s">
        <v>74</v>
      </c>
      <c r="O278" s="207" t="s">
        <v>75</v>
      </c>
      <c r="P278" s="207">
        <v>44</v>
      </c>
      <c r="Q278" s="209">
        <v>45533</v>
      </c>
      <c r="R278" s="209">
        <v>45541</v>
      </c>
      <c r="S278" s="210"/>
      <c r="T278" s="210"/>
      <c r="U278" s="207"/>
      <c r="V278" s="207"/>
      <c r="W278" s="105"/>
      <c r="X278" s="211">
        <v>1813777641</v>
      </c>
      <c r="Y278" s="208"/>
      <c r="Z278" s="207"/>
      <c r="AA278" s="207"/>
      <c r="AB278" s="207"/>
      <c r="AC278" s="207"/>
      <c r="AD278" s="210"/>
      <c r="AE278" s="212"/>
      <c r="AF278" s="207" t="s">
        <v>80</v>
      </c>
      <c r="AG278" s="211"/>
      <c r="AH278" s="207"/>
      <c r="AI278" s="208"/>
      <c r="AJ278" s="208"/>
      <c r="AK278" s="208"/>
      <c r="AL278" s="207"/>
      <c r="AM278" s="207"/>
      <c r="AN278" s="207"/>
      <c r="AO278" s="207"/>
      <c r="AP278" s="207"/>
      <c r="AQ278" s="208"/>
      <c r="AR278" s="207"/>
      <c r="AS278" s="207"/>
      <c r="AT278" s="213"/>
      <c r="AU278" s="207"/>
      <c r="AV278" s="207"/>
      <c r="AW278" s="207"/>
      <c r="AX278" s="207"/>
      <c r="AY278" s="207"/>
      <c r="AZ278" s="207"/>
      <c r="BA278" s="207" t="s">
        <v>90</v>
      </c>
      <c r="BB278" s="207">
        <v>10800</v>
      </c>
      <c r="BC278" s="207">
        <v>2700</v>
      </c>
      <c r="BD278" s="207">
        <v>0</v>
      </c>
      <c r="BE278" s="207" t="s">
        <v>91</v>
      </c>
      <c r="BF278" s="207"/>
      <c r="BG278" s="207"/>
      <c r="BH278" s="105"/>
      <c r="BI278" s="105"/>
      <c r="BJ278" s="105"/>
      <c r="BK278" s="207"/>
      <c r="BL278" s="105"/>
    </row>
    <row r="279" ht="19.95" customHeight="1">
      <c r="A279" s="207">
        <v>171926</v>
      </c>
      <c r="B279" s="207"/>
      <c r="C279" s="208" t="s">
        <v>2632</v>
      </c>
      <c r="D279" s="207" t="s">
        <v>2633</v>
      </c>
      <c r="E279" s="207" t="s">
        <v>114</v>
      </c>
      <c r="F279" s="208"/>
      <c r="G279" s="207" t="s">
        <v>67</v>
      </c>
      <c r="H279" s="207" t="s">
        <v>68</v>
      </c>
      <c r="I279" s="207" t="s">
        <v>69</v>
      </c>
      <c r="J279" s="208" t="s">
        <v>2495</v>
      </c>
      <c r="K279" s="207" t="s">
        <v>71</v>
      </c>
      <c r="L279" s="207" t="s">
        <v>72</v>
      </c>
      <c r="M279" s="4" t="s">
        <v>369</v>
      </c>
      <c r="N279" s="207" t="s">
        <v>74</v>
      </c>
      <c r="O279" s="207" t="s">
        <v>75</v>
      </c>
      <c r="P279" s="207">
        <v>44</v>
      </c>
      <c r="Q279" s="209">
        <v>45533</v>
      </c>
      <c r="R279" s="209">
        <v>45541</v>
      </c>
      <c r="S279" s="210"/>
      <c r="T279" s="210"/>
      <c r="U279" s="207"/>
      <c r="V279" s="207"/>
      <c r="W279" s="105"/>
      <c r="X279" s="211">
        <v>1756658563</v>
      </c>
      <c r="Y279" s="208"/>
      <c r="Z279" s="207"/>
      <c r="AA279" s="207"/>
      <c r="AB279" s="207"/>
      <c r="AC279" s="207"/>
      <c r="AD279" s="210"/>
      <c r="AE279" s="212"/>
      <c r="AF279" s="207" t="s">
        <v>80</v>
      </c>
      <c r="AG279" s="211"/>
      <c r="AH279" s="207"/>
      <c r="AI279" s="208"/>
      <c r="AJ279" s="208"/>
      <c r="AK279" s="208"/>
      <c r="AL279" s="207"/>
      <c r="AM279" s="207"/>
      <c r="AN279" s="207"/>
      <c r="AO279" s="207"/>
      <c r="AP279" s="207"/>
      <c r="AQ279" s="208"/>
      <c r="AR279" s="207"/>
      <c r="AS279" s="207"/>
      <c r="AT279" s="213"/>
      <c r="AU279" s="207"/>
      <c r="AV279" s="207"/>
      <c r="AW279" s="207"/>
      <c r="AX279" s="207"/>
      <c r="AY279" s="207"/>
      <c r="AZ279" s="207"/>
      <c r="BA279" s="207" t="s">
        <v>90</v>
      </c>
      <c r="BB279" s="207">
        <v>10800</v>
      </c>
      <c r="BC279" s="207">
        <v>2700</v>
      </c>
      <c r="BD279" s="207">
        <v>0</v>
      </c>
      <c r="BE279" s="207" t="s">
        <v>91</v>
      </c>
      <c r="BF279" s="207"/>
      <c r="BG279" s="207"/>
      <c r="BH279" s="105"/>
      <c r="BI279" s="105"/>
      <c r="BJ279" s="105"/>
      <c r="BK279" s="207"/>
      <c r="BL279" s="105"/>
    </row>
    <row r="280" ht="19.95" customHeight="1">
      <c r="A280" s="207">
        <v>171914</v>
      </c>
      <c r="B280" s="207"/>
      <c r="C280" s="208" t="s">
        <v>2634</v>
      </c>
      <c r="D280" s="207" t="s">
        <v>2635</v>
      </c>
      <c r="E280" s="207" t="s">
        <v>66</v>
      </c>
      <c r="F280" s="208"/>
      <c r="G280" s="207" t="s">
        <v>67</v>
      </c>
      <c r="H280" s="207" t="s">
        <v>68</v>
      </c>
      <c r="I280" s="207" t="s">
        <v>69</v>
      </c>
      <c r="J280" s="208" t="s">
        <v>2495</v>
      </c>
      <c r="K280" s="207" t="s">
        <v>71</v>
      </c>
      <c r="L280" s="207" t="s">
        <v>72</v>
      </c>
      <c r="M280" s="4" t="s">
        <v>115</v>
      </c>
      <c r="N280" s="207" t="s">
        <v>74</v>
      </c>
      <c r="O280" s="207" t="s">
        <v>75</v>
      </c>
      <c r="P280" s="207">
        <v>44</v>
      </c>
      <c r="Q280" s="209">
        <v>45533</v>
      </c>
      <c r="R280" s="209">
        <v>45541</v>
      </c>
      <c r="S280" s="210"/>
      <c r="T280" s="210"/>
      <c r="U280" s="207"/>
      <c r="V280" s="207"/>
      <c r="W280" s="105"/>
      <c r="X280" s="211">
        <v>1687147080</v>
      </c>
      <c r="Y280" s="208"/>
      <c r="Z280" s="207"/>
      <c r="AA280" s="207"/>
      <c r="AB280" s="207"/>
      <c r="AC280" s="207"/>
      <c r="AD280" s="210"/>
      <c r="AE280" s="212"/>
      <c r="AF280" s="207" t="s">
        <v>360</v>
      </c>
      <c r="AG280" s="211"/>
      <c r="AH280" s="207"/>
      <c r="AI280" s="208"/>
      <c r="AJ280" s="208"/>
      <c r="AK280" s="208"/>
      <c r="AL280" s="207"/>
      <c r="AM280" s="207"/>
      <c r="AN280" s="207"/>
      <c r="AO280" s="207"/>
      <c r="AP280" s="207"/>
      <c r="AQ280" s="208"/>
      <c r="AR280" s="207"/>
      <c r="AS280" s="207"/>
      <c r="AT280" s="213"/>
      <c r="AU280" s="207"/>
      <c r="AV280" s="207"/>
      <c r="AW280" s="207"/>
      <c r="AX280" s="207"/>
      <c r="AY280" s="207"/>
      <c r="AZ280" s="207"/>
      <c r="BA280" s="207" t="s">
        <v>90</v>
      </c>
      <c r="BB280" s="207">
        <v>10800</v>
      </c>
      <c r="BC280" s="207">
        <v>2700</v>
      </c>
      <c r="BD280" s="207">
        <v>0</v>
      </c>
      <c r="BE280" s="207" t="s">
        <v>91</v>
      </c>
      <c r="BF280" s="207"/>
      <c r="BG280" s="207"/>
      <c r="BH280" s="105"/>
      <c r="BI280" s="105"/>
      <c r="BJ280" s="105"/>
      <c r="BK280" s="207"/>
      <c r="BL280" s="105"/>
    </row>
    <row r="281" ht="19.95" customHeight="1">
      <c r="A281" s="207">
        <v>171915</v>
      </c>
      <c r="B281" s="207"/>
      <c r="C281" s="208" t="s">
        <v>2636</v>
      </c>
      <c r="D281" s="207" t="s">
        <v>2637</v>
      </c>
      <c r="E281" s="207" t="s">
        <v>114</v>
      </c>
      <c r="F281" s="208"/>
      <c r="G281" s="207" t="s">
        <v>67</v>
      </c>
      <c r="H281" s="207" t="s">
        <v>68</v>
      </c>
      <c r="I281" s="207" t="s">
        <v>69</v>
      </c>
      <c r="J281" s="208" t="s">
        <v>2495</v>
      </c>
      <c r="K281" s="207" t="s">
        <v>71</v>
      </c>
      <c r="L281" s="207" t="s">
        <v>72</v>
      </c>
      <c r="M281" s="4" t="s">
        <v>287</v>
      </c>
      <c r="N281" s="207" t="s">
        <v>74</v>
      </c>
      <c r="O281" s="207" t="s">
        <v>75</v>
      </c>
      <c r="P281" s="207">
        <v>44</v>
      </c>
      <c r="Q281" s="209">
        <v>45533</v>
      </c>
      <c r="R281" s="209">
        <v>45541</v>
      </c>
      <c r="S281" s="210"/>
      <c r="T281" s="210"/>
      <c r="U281" s="207"/>
      <c r="V281" s="207"/>
      <c r="W281" s="105"/>
      <c r="X281" s="211">
        <v>1756633461</v>
      </c>
      <c r="Y281" s="208"/>
      <c r="Z281" s="207"/>
      <c r="AA281" s="207"/>
      <c r="AB281" s="207"/>
      <c r="AC281" s="207"/>
      <c r="AD281" s="210"/>
      <c r="AE281" s="212"/>
      <c r="AF281" s="207" t="s">
        <v>80</v>
      </c>
      <c r="AG281" s="211"/>
      <c r="AH281" s="207"/>
      <c r="AI281" s="208"/>
      <c r="AJ281" s="208"/>
      <c r="AK281" s="208"/>
      <c r="AL281" s="207"/>
      <c r="AM281" s="207"/>
      <c r="AN281" s="207"/>
      <c r="AO281" s="207"/>
      <c r="AP281" s="207"/>
      <c r="AQ281" s="208"/>
      <c r="AR281" s="207"/>
      <c r="AS281" s="207"/>
      <c r="AT281" s="213"/>
      <c r="AU281" s="207"/>
      <c r="AV281" s="207"/>
      <c r="AW281" s="207"/>
      <c r="AX281" s="207"/>
      <c r="AY281" s="207"/>
      <c r="AZ281" s="207"/>
      <c r="BA281" s="207" t="s">
        <v>90</v>
      </c>
      <c r="BB281" s="207">
        <v>10800</v>
      </c>
      <c r="BC281" s="207">
        <v>2700</v>
      </c>
      <c r="BD281" s="207">
        <v>0</v>
      </c>
      <c r="BE281" s="207" t="s">
        <v>91</v>
      </c>
      <c r="BF281" s="207"/>
      <c r="BG281" s="207"/>
      <c r="BH281" s="105"/>
      <c r="BI281" s="105"/>
      <c r="BJ281" s="105"/>
      <c r="BK281" s="207"/>
      <c r="BL281" s="105"/>
    </row>
    <row r="282" ht="19.95" customHeight="1">
      <c r="A282" s="207">
        <v>171918</v>
      </c>
      <c r="B282" s="207"/>
      <c r="C282" s="208" t="s">
        <v>2638</v>
      </c>
      <c r="D282" s="207" t="s">
        <v>2639</v>
      </c>
      <c r="E282" s="207" t="s">
        <v>66</v>
      </c>
      <c r="F282" s="208"/>
      <c r="G282" s="207" t="s">
        <v>67</v>
      </c>
      <c r="H282" s="207" t="s">
        <v>68</v>
      </c>
      <c r="I282" s="207" t="s">
        <v>69</v>
      </c>
      <c r="J282" s="208" t="s">
        <v>2495</v>
      </c>
      <c r="K282" s="207" t="s">
        <v>71</v>
      </c>
      <c r="L282" s="207" t="s">
        <v>72</v>
      </c>
      <c r="M282" s="4" t="s">
        <v>115</v>
      </c>
      <c r="N282" s="207" t="s">
        <v>74</v>
      </c>
      <c r="O282" s="207" t="s">
        <v>75</v>
      </c>
      <c r="P282" s="207">
        <v>44</v>
      </c>
      <c r="Q282" s="209">
        <v>45533</v>
      </c>
      <c r="R282" s="209">
        <v>45541</v>
      </c>
      <c r="S282" s="210"/>
      <c r="T282" s="210"/>
      <c r="U282" s="207"/>
      <c r="V282" s="207"/>
      <c r="W282" s="105"/>
      <c r="X282" s="211">
        <v>1998455484</v>
      </c>
      <c r="Y282" s="208"/>
      <c r="Z282" s="207"/>
      <c r="AA282" s="207"/>
      <c r="AB282" s="207"/>
      <c r="AC282" s="207"/>
      <c r="AD282" s="210"/>
      <c r="AE282" s="212"/>
      <c r="AF282" s="207" t="s">
        <v>80</v>
      </c>
      <c r="AG282" s="211"/>
      <c r="AH282" s="207"/>
      <c r="AI282" s="208"/>
      <c r="AJ282" s="208"/>
      <c r="AK282" s="208"/>
      <c r="AL282" s="207"/>
      <c r="AM282" s="207"/>
      <c r="AN282" s="207"/>
      <c r="AO282" s="207"/>
      <c r="AP282" s="207"/>
      <c r="AQ282" s="208"/>
      <c r="AR282" s="207"/>
      <c r="AS282" s="207"/>
      <c r="AT282" s="213"/>
      <c r="AU282" s="207"/>
      <c r="AV282" s="207"/>
      <c r="AW282" s="207"/>
      <c r="AX282" s="207"/>
      <c r="AY282" s="207"/>
      <c r="AZ282" s="207"/>
      <c r="BA282" s="207" t="s">
        <v>90</v>
      </c>
      <c r="BB282" s="207">
        <v>10800</v>
      </c>
      <c r="BC282" s="207">
        <v>2700</v>
      </c>
      <c r="BD282" s="207">
        <v>0</v>
      </c>
      <c r="BE282" s="207" t="s">
        <v>91</v>
      </c>
      <c r="BF282" s="207"/>
      <c r="BG282" s="207"/>
      <c r="BH282" s="105"/>
      <c r="BI282" s="105"/>
      <c r="BJ282" s="105"/>
      <c r="BK282" s="207"/>
      <c r="BL282" s="105"/>
    </row>
    <row r="283" ht="19.95" customHeight="1">
      <c r="A283" s="207">
        <v>171920</v>
      </c>
      <c r="B283" s="207"/>
      <c r="C283" s="208" t="s">
        <v>2640</v>
      </c>
      <c r="D283" s="207" t="s">
        <v>2641</v>
      </c>
      <c r="E283" s="207" t="s">
        <v>66</v>
      </c>
      <c r="F283" s="208"/>
      <c r="G283" s="207" t="s">
        <v>67</v>
      </c>
      <c r="H283" s="207" t="s">
        <v>68</v>
      </c>
      <c r="I283" s="207" t="s">
        <v>69</v>
      </c>
      <c r="J283" s="208" t="s">
        <v>2495</v>
      </c>
      <c r="K283" s="207" t="s">
        <v>71</v>
      </c>
      <c r="L283" s="207" t="s">
        <v>72</v>
      </c>
      <c r="M283" s="4" t="s">
        <v>115</v>
      </c>
      <c r="N283" s="207" t="s">
        <v>74</v>
      </c>
      <c r="O283" s="207" t="s">
        <v>75</v>
      </c>
      <c r="P283" s="207">
        <v>44</v>
      </c>
      <c r="Q283" s="209">
        <v>45533</v>
      </c>
      <c r="R283" s="209">
        <v>45541</v>
      </c>
      <c r="S283" s="210"/>
      <c r="T283" s="210"/>
      <c r="U283" s="207"/>
      <c r="V283" s="207"/>
      <c r="W283" s="105"/>
      <c r="X283" s="211">
        <v>1618935662</v>
      </c>
      <c r="Y283" s="208"/>
      <c r="Z283" s="207"/>
      <c r="AA283" s="207"/>
      <c r="AB283" s="207"/>
      <c r="AC283" s="207"/>
      <c r="AD283" s="210"/>
      <c r="AE283" s="212"/>
      <c r="AF283" s="207" t="s">
        <v>80</v>
      </c>
      <c r="AG283" s="211"/>
      <c r="AH283" s="207"/>
      <c r="AI283" s="208"/>
      <c r="AJ283" s="208"/>
      <c r="AK283" s="208"/>
      <c r="AL283" s="207"/>
      <c r="AM283" s="207"/>
      <c r="AN283" s="207"/>
      <c r="AO283" s="207"/>
      <c r="AP283" s="207"/>
      <c r="AQ283" s="208"/>
      <c r="AR283" s="207"/>
      <c r="AS283" s="207"/>
      <c r="AT283" s="213"/>
      <c r="AU283" s="207"/>
      <c r="AV283" s="207"/>
      <c r="AW283" s="207"/>
      <c r="AX283" s="207"/>
      <c r="AY283" s="207"/>
      <c r="AZ283" s="207"/>
      <c r="BA283" s="207" t="s">
        <v>90</v>
      </c>
      <c r="BB283" s="207">
        <v>10800</v>
      </c>
      <c r="BC283" s="207">
        <v>2700</v>
      </c>
      <c r="BD283" s="207">
        <v>0</v>
      </c>
      <c r="BE283" s="207" t="s">
        <v>91</v>
      </c>
      <c r="BF283" s="207"/>
      <c r="BG283" s="207"/>
      <c r="BH283" s="105"/>
      <c r="BI283" s="105"/>
      <c r="BJ283" s="105"/>
      <c r="BK283" s="207"/>
      <c r="BL283" s="105"/>
    </row>
    <row r="284" ht="19.95" customHeight="1">
      <c r="A284" s="207">
        <v>171922</v>
      </c>
      <c r="B284" s="207"/>
      <c r="C284" s="208" t="s">
        <v>2642</v>
      </c>
      <c r="D284" s="207" t="s">
        <v>2643</v>
      </c>
      <c r="E284" s="207" t="s">
        <v>66</v>
      </c>
      <c r="F284" s="208"/>
      <c r="G284" s="207" t="s">
        <v>67</v>
      </c>
      <c r="H284" s="207" t="s">
        <v>68</v>
      </c>
      <c r="I284" s="207" t="s">
        <v>69</v>
      </c>
      <c r="J284" s="208" t="s">
        <v>2495</v>
      </c>
      <c r="K284" s="207" t="s">
        <v>71</v>
      </c>
      <c r="L284" s="207" t="s">
        <v>72</v>
      </c>
      <c r="M284" s="4" t="s">
        <v>2643</v>
      </c>
      <c r="N284" s="207" t="s">
        <v>74</v>
      </c>
      <c r="O284" s="207" t="s">
        <v>75</v>
      </c>
      <c r="P284" s="207">
        <v>44</v>
      </c>
      <c r="Q284" s="209">
        <v>45533</v>
      </c>
      <c r="R284" s="209">
        <v>45541</v>
      </c>
      <c r="S284" s="210"/>
      <c r="T284" s="210"/>
      <c r="U284" s="207"/>
      <c r="V284" s="207"/>
      <c r="W284" s="105"/>
      <c r="X284" s="211">
        <v>1780443645</v>
      </c>
      <c r="Y284" s="208"/>
      <c r="Z284" s="207"/>
      <c r="AA284" s="207"/>
      <c r="AB284" s="207"/>
      <c r="AC284" s="207"/>
      <c r="AD284" s="210"/>
      <c r="AE284" s="212"/>
      <c r="AF284" s="207" t="s">
        <v>80</v>
      </c>
      <c r="AG284" s="211"/>
      <c r="AH284" s="207"/>
      <c r="AI284" s="208"/>
      <c r="AJ284" s="208"/>
      <c r="AK284" s="208"/>
      <c r="AL284" s="207"/>
      <c r="AM284" s="207"/>
      <c r="AN284" s="207"/>
      <c r="AO284" s="207"/>
      <c r="AP284" s="207"/>
      <c r="AQ284" s="208"/>
      <c r="AR284" s="207"/>
      <c r="AS284" s="207"/>
      <c r="AT284" s="213"/>
      <c r="AU284" s="207"/>
      <c r="AV284" s="207"/>
      <c r="AW284" s="207"/>
      <c r="AX284" s="207"/>
      <c r="AY284" s="207"/>
      <c r="AZ284" s="207"/>
      <c r="BA284" s="207" t="s">
        <v>90</v>
      </c>
      <c r="BB284" s="207">
        <v>10800</v>
      </c>
      <c r="BC284" s="207">
        <v>2700</v>
      </c>
      <c r="BD284" s="207">
        <v>0</v>
      </c>
      <c r="BE284" s="207" t="s">
        <v>91</v>
      </c>
      <c r="BF284" s="207"/>
      <c r="BG284" s="207"/>
      <c r="BH284" s="105"/>
      <c r="BI284" s="105"/>
      <c r="BJ284" s="105"/>
      <c r="BK284" s="207"/>
      <c r="BL284" s="105"/>
    </row>
    <row r="285" ht="19.95" customHeight="1">
      <c r="A285" s="207">
        <v>171924</v>
      </c>
      <c r="B285" s="207"/>
      <c r="C285" s="208" t="s">
        <v>2644</v>
      </c>
      <c r="D285" s="207" t="s">
        <v>2645</v>
      </c>
      <c r="E285" s="207" t="s">
        <v>114</v>
      </c>
      <c r="F285" s="208"/>
      <c r="G285" s="207" t="s">
        <v>67</v>
      </c>
      <c r="H285" s="207" t="s">
        <v>68</v>
      </c>
      <c r="I285" s="207" t="s">
        <v>69</v>
      </c>
      <c r="J285" s="208" t="s">
        <v>2495</v>
      </c>
      <c r="K285" s="207" t="s">
        <v>71</v>
      </c>
      <c r="L285" s="207" t="s">
        <v>72</v>
      </c>
      <c r="M285" s="4" t="s">
        <v>287</v>
      </c>
      <c r="N285" s="207" t="s">
        <v>74</v>
      </c>
      <c r="O285" s="207" t="s">
        <v>75</v>
      </c>
      <c r="P285" s="207">
        <v>44</v>
      </c>
      <c r="Q285" s="209">
        <v>45533</v>
      </c>
      <c r="R285" s="209">
        <v>45541</v>
      </c>
      <c r="S285" s="210"/>
      <c r="T285" s="210"/>
      <c r="U285" s="207"/>
      <c r="V285" s="207"/>
      <c r="W285" s="105"/>
      <c r="X285" s="211">
        <v>1687387601</v>
      </c>
      <c r="Y285" s="208"/>
      <c r="Z285" s="207"/>
      <c r="AA285" s="207"/>
      <c r="AB285" s="207"/>
      <c r="AC285" s="207"/>
      <c r="AD285" s="210"/>
      <c r="AE285" s="212"/>
      <c r="AF285" s="207" t="s">
        <v>80</v>
      </c>
      <c r="AG285" s="211"/>
      <c r="AH285" s="207"/>
      <c r="AI285" s="208"/>
      <c r="AJ285" s="208"/>
      <c r="AK285" s="208"/>
      <c r="AL285" s="207"/>
      <c r="AM285" s="207"/>
      <c r="AN285" s="207"/>
      <c r="AO285" s="207"/>
      <c r="AP285" s="207"/>
      <c r="AQ285" s="208"/>
      <c r="AR285" s="207"/>
      <c r="AS285" s="207"/>
      <c r="AT285" s="213"/>
      <c r="AU285" s="207"/>
      <c r="AV285" s="207"/>
      <c r="AW285" s="207"/>
      <c r="AX285" s="207"/>
      <c r="AY285" s="207"/>
      <c r="AZ285" s="207"/>
      <c r="BA285" s="207" t="s">
        <v>90</v>
      </c>
      <c r="BB285" s="207">
        <v>10800</v>
      </c>
      <c r="BC285" s="207">
        <v>2700</v>
      </c>
      <c r="BD285" s="207">
        <v>0</v>
      </c>
      <c r="BE285" s="207" t="s">
        <v>91</v>
      </c>
      <c r="BF285" s="207"/>
      <c r="BG285" s="207"/>
      <c r="BH285" s="105"/>
      <c r="BI285" s="105"/>
      <c r="BJ285" s="105"/>
      <c r="BK285" s="207"/>
      <c r="BL285" s="105"/>
    </row>
    <row r="286" ht="19.95" customHeight="1">
      <c r="A286" s="207">
        <v>171895</v>
      </c>
      <c r="B286" s="207">
        <v>171895</v>
      </c>
      <c r="C286" s="208" t="s">
        <v>2646</v>
      </c>
      <c r="D286" s="207" t="s">
        <v>2647</v>
      </c>
      <c r="E286" s="207" t="s">
        <v>114</v>
      </c>
      <c r="F286" s="208">
        <v>11101514642</v>
      </c>
      <c r="G286" s="207" t="s">
        <v>67</v>
      </c>
      <c r="H286" s="207" t="s">
        <v>2465</v>
      </c>
      <c r="I286" s="207" t="s">
        <v>69</v>
      </c>
      <c r="J286" s="208" t="s">
        <v>155</v>
      </c>
      <c r="K286" s="207" t="s">
        <v>1766</v>
      </c>
      <c r="L286" s="207" t="s">
        <v>2466</v>
      </c>
      <c r="M286" s="4" t="s">
        <v>271</v>
      </c>
      <c r="N286" s="207" t="s">
        <v>74</v>
      </c>
      <c r="O286" s="207" t="s">
        <v>75</v>
      </c>
      <c r="P286" s="207">
        <v>43</v>
      </c>
      <c r="Q286" s="209">
        <v>45525</v>
      </c>
      <c r="R286" s="209">
        <v>45544</v>
      </c>
      <c r="S286" s="210" t="s">
        <v>242</v>
      </c>
      <c r="T286" s="210" t="s">
        <v>242</v>
      </c>
      <c r="U286" s="207" t="s">
        <v>242</v>
      </c>
      <c r="V286" s="207" t="s">
        <v>242</v>
      </c>
      <c r="W286" s="105" t="s">
        <v>2648</v>
      </c>
      <c r="X286" s="211">
        <v>1866120208</v>
      </c>
      <c r="Y286" s="208">
        <v>1647663559</v>
      </c>
      <c r="Z286" s="207" t="s">
        <v>2649</v>
      </c>
      <c r="AA286" s="207">
        <v>1946955606</v>
      </c>
      <c r="AB286" s="207" t="s">
        <v>101</v>
      </c>
      <c r="AC286" s="207" t="s">
        <v>133</v>
      </c>
      <c r="AD286" s="210">
        <v>36251</v>
      </c>
      <c r="AE286" s="212">
        <v>27</v>
      </c>
      <c r="AF286" s="207" t="s">
        <v>80</v>
      </c>
      <c r="AG286" s="211">
        <v>5104896260</v>
      </c>
      <c r="AH286" s="207" t="s">
        <v>242</v>
      </c>
      <c r="AI286" s="208" t="s">
        <v>925</v>
      </c>
      <c r="AJ286" s="208" t="s">
        <v>242</v>
      </c>
      <c r="AK286" s="208">
        <v>2022</v>
      </c>
      <c r="AL286" s="207" t="s">
        <v>2650</v>
      </c>
      <c r="AM286" s="207" t="s">
        <v>2651</v>
      </c>
      <c r="AN286" s="207" t="s">
        <v>2652</v>
      </c>
      <c r="AO286" s="207" t="s">
        <v>2653</v>
      </c>
      <c r="AP286" s="207" t="s">
        <v>2653</v>
      </c>
      <c r="AQ286" s="208" t="s">
        <v>88</v>
      </c>
      <c r="AR286" s="207" t="s">
        <v>2625</v>
      </c>
      <c r="AS286" s="207" t="s">
        <v>2654</v>
      </c>
      <c r="AT286" s="213" t="s">
        <v>81</v>
      </c>
      <c r="AU286" s="207" t="s">
        <v>2655</v>
      </c>
      <c r="AV286" s="207" t="s">
        <v>81</v>
      </c>
      <c r="AW286" s="207" t="s">
        <v>81</v>
      </c>
      <c r="AX286" s="207" t="s">
        <v>81</v>
      </c>
      <c r="AY286" s="207" t="s">
        <v>81</v>
      </c>
      <c r="AZ286" s="207" t="s">
        <v>81</v>
      </c>
      <c r="BA286" s="207"/>
      <c r="BB286" s="207">
        <v>10800</v>
      </c>
      <c r="BC286" s="207">
        <v>2700</v>
      </c>
      <c r="BD286" s="207">
        <v>1000</v>
      </c>
      <c r="BE286" s="207" t="s">
        <v>166</v>
      </c>
      <c r="BF286" s="207" t="s">
        <v>242</v>
      </c>
      <c r="BG286" s="207" t="s">
        <v>242</v>
      </c>
      <c r="BH286" s="105"/>
      <c r="BI286" s="105"/>
      <c r="BJ286" s="105" t="s">
        <v>242</v>
      </c>
      <c r="BK286" s="207">
        <v>1946955606</v>
      </c>
      <c r="BL286" s="105"/>
    </row>
    <row r="287" ht="19.95" customHeight="1">
      <c r="A287" s="207">
        <v>171905</v>
      </c>
      <c r="B287" s="207">
        <v>171905</v>
      </c>
      <c r="C287" s="208" t="s">
        <v>2656</v>
      </c>
      <c r="D287" s="207" t="s">
        <v>2657</v>
      </c>
      <c r="E287" s="207" t="s">
        <v>114</v>
      </c>
      <c r="F287" s="208">
        <v>1116472806</v>
      </c>
      <c r="G287" s="207" t="s">
        <v>67</v>
      </c>
      <c r="H287" s="207" t="s">
        <v>2465</v>
      </c>
      <c r="I287" s="207" t="s">
        <v>69</v>
      </c>
      <c r="J287" s="208" t="s">
        <v>155</v>
      </c>
      <c r="K287" s="207" t="s">
        <v>1766</v>
      </c>
      <c r="L287" s="207" t="s">
        <v>2466</v>
      </c>
      <c r="M287" s="4" t="s">
        <v>271</v>
      </c>
      <c r="N287" s="207" t="s">
        <v>74</v>
      </c>
      <c r="O287" s="207" t="s">
        <v>75</v>
      </c>
      <c r="P287" s="207">
        <v>43</v>
      </c>
      <c r="Q287" s="209">
        <v>45525</v>
      </c>
      <c r="R287" s="209">
        <v>45545</v>
      </c>
      <c r="S287" s="210" t="s">
        <v>242</v>
      </c>
      <c r="T287" s="210" t="s">
        <v>242</v>
      </c>
      <c r="U287" s="207" t="s">
        <v>242</v>
      </c>
      <c r="V287" s="207" t="s">
        <v>242</v>
      </c>
      <c r="W287" s="105" t="s">
        <v>2658</v>
      </c>
      <c r="X287" s="211">
        <v>1601965025</v>
      </c>
      <c r="Y287" s="208">
        <v>1601965025</v>
      </c>
      <c r="Z287" s="207" t="s">
        <v>2659</v>
      </c>
      <c r="AA287" s="207">
        <v>1726749555</v>
      </c>
      <c r="AB287" s="207" t="s">
        <v>252</v>
      </c>
      <c r="AC287" s="207" t="s">
        <v>79</v>
      </c>
      <c r="AD287" s="210" t="s">
        <v>2660</v>
      </c>
      <c r="AE287" s="212">
        <v>26</v>
      </c>
      <c r="AF287" s="207" t="s">
        <v>80</v>
      </c>
      <c r="AG287" s="211">
        <v>6915340704</v>
      </c>
      <c r="AH287" s="207" t="s">
        <v>242</v>
      </c>
      <c r="AI287" s="208" t="s">
        <v>925</v>
      </c>
      <c r="AJ287" s="208" t="s">
        <v>242</v>
      </c>
      <c r="AK287" s="208">
        <v>2020</v>
      </c>
      <c r="AL287" s="207" t="s">
        <v>2661</v>
      </c>
      <c r="AM287" s="207" t="s">
        <v>2662</v>
      </c>
      <c r="AN287" s="207" t="s">
        <v>2663</v>
      </c>
      <c r="AO287" s="207" t="s">
        <v>2664</v>
      </c>
      <c r="AP287" s="207" t="s">
        <v>2665</v>
      </c>
      <c r="AQ287" s="208" t="s">
        <v>457</v>
      </c>
      <c r="AR287" s="207" t="s">
        <v>110</v>
      </c>
      <c r="AS287" s="207" t="s">
        <v>81</v>
      </c>
      <c r="AT287" s="213" t="s">
        <v>81</v>
      </c>
      <c r="AU287" s="207" t="s">
        <v>81</v>
      </c>
      <c r="AV287" s="207" t="s">
        <v>81</v>
      </c>
      <c r="AW287" s="207" t="s">
        <v>81</v>
      </c>
      <c r="AX287" s="207" t="s">
        <v>81</v>
      </c>
      <c r="AY287" s="207" t="s">
        <v>81</v>
      </c>
      <c r="AZ287" s="207" t="s">
        <v>81</v>
      </c>
      <c r="BA287" s="207"/>
      <c r="BB287" s="207">
        <v>10800</v>
      </c>
      <c r="BC287" s="207">
        <v>2700</v>
      </c>
      <c r="BD287" s="207">
        <v>1000</v>
      </c>
      <c r="BE287" s="207" t="s">
        <v>166</v>
      </c>
      <c r="BF287" s="207" t="s">
        <v>242</v>
      </c>
      <c r="BG287" s="207" t="s">
        <v>242</v>
      </c>
      <c r="BH287" s="105"/>
      <c r="BI287" s="105"/>
      <c r="BJ287" s="105" t="s">
        <v>242</v>
      </c>
      <c r="BK287" s="207">
        <v>1601965025</v>
      </c>
      <c r="BL287" s="105"/>
    </row>
    <row r="288" ht="19.95" customHeight="1">
      <c r="A288" s="207">
        <v>171902</v>
      </c>
      <c r="B288" s="207"/>
      <c r="C288" s="208" t="s">
        <v>2666</v>
      </c>
      <c r="D288" s="207" t="s">
        <v>2667</v>
      </c>
      <c r="E288" s="207" t="s">
        <v>114</v>
      </c>
      <c r="F288" s="208">
        <v>1310661778</v>
      </c>
      <c r="G288" s="207" t="s">
        <v>67</v>
      </c>
      <c r="H288" s="207" t="s">
        <v>2465</v>
      </c>
      <c r="I288" s="207" t="s">
        <v>69</v>
      </c>
      <c r="J288" s="208" t="s">
        <v>155</v>
      </c>
      <c r="K288" s="207" t="s">
        <v>1766</v>
      </c>
      <c r="L288" s="207" t="s">
        <v>2466</v>
      </c>
      <c r="M288" s="4" t="s">
        <v>156</v>
      </c>
      <c r="N288" s="207" t="s">
        <v>74</v>
      </c>
      <c r="O288" s="207" t="s">
        <v>75</v>
      </c>
      <c r="P288" s="207">
        <v>43</v>
      </c>
      <c r="Q288" s="209">
        <v>45525</v>
      </c>
      <c r="R288" s="209">
        <v>45548</v>
      </c>
      <c r="S288" s="210" t="s">
        <v>242</v>
      </c>
      <c r="T288" s="210" t="s">
        <v>242</v>
      </c>
      <c r="U288" s="207" t="s">
        <v>242</v>
      </c>
      <c r="V288" s="207"/>
      <c r="W288" s="105" t="s">
        <v>2668</v>
      </c>
      <c r="X288" s="211">
        <v>1620108733</v>
      </c>
      <c r="Y288" s="208">
        <v>1620108733</v>
      </c>
      <c r="Z288" s="207" t="s">
        <v>115</v>
      </c>
      <c r="AA288" s="207">
        <v>1556334327</v>
      </c>
      <c r="AB288" s="207" t="s">
        <v>101</v>
      </c>
      <c r="AC288" s="207" t="s">
        <v>133</v>
      </c>
      <c r="AD288" s="210">
        <v>36392</v>
      </c>
      <c r="AE288" s="212">
        <v>26</v>
      </c>
      <c r="AF288" s="207" t="s">
        <v>80</v>
      </c>
      <c r="AG288" s="211">
        <v>5558069869</v>
      </c>
      <c r="AH288" s="207" t="s">
        <v>242</v>
      </c>
      <c r="AI288" s="208" t="s">
        <v>925</v>
      </c>
      <c r="AJ288" s="208" t="s">
        <v>242</v>
      </c>
      <c r="AK288" s="208">
        <v>2022</v>
      </c>
      <c r="AL288" s="207" t="s">
        <v>106</v>
      </c>
      <c r="AM288" s="207" t="s">
        <v>115</v>
      </c>
      <c r="AN288" s="207" t="s">
        <v>2669</v>
      </c>
      <c r="AO288" s="207" t="s">
        <v>2505</v>
      </c>
      <c r="AP288" s="207" t="s">
        <v>2505</v>
      </c>
      <c r="AQ288" s="208" t="s">
        <v>88</v>
      </c>
      <c r="AR288" s="207" t="s">
        <v>110</v>
      </c>
      <c r="AS288" s="207" t="s">
        <v>81</v>
      </c>
      <c r="AT288" s="213" t="s">
        <v>81</v>
      </c>
      <c r="AU288" s="207" t="s">
        <v>81</v>
      </c>
      <c r="AV288" s="207" t="s">
        <v>81</v>
      </c>
      <c r="AW288" s="207" t="s">
        <v>81</v>
      </c>
      <c r="AX288" s="207" t="s">
        <v>81</v>
      </c>
      <c r="AY288" s="207" t="s">
        <v>81</v>
      </c>
      <c r="AZ288" s="207" t="s">
        <v>81</v>
      </c>
      <c r="BA288" s="207" t="s">
        <v>90</v>
      </c>
      <c r="BB288" s="207">
        <v>10800</v>
      </c>
      <c r="BC288" s="207">
        <v>2700</v>
      </c>
      <c r="BD288" s="207">
        <v>1000</v>
      </c>
      <c r="BE288" s="207" t="s">
        <v>166</v>
      </c>
      <c r="BF288" s="207" t="s">
        <v>242</v>
      </c>
      <c r="BG288" s="207" t="s">
        <v>242</v>
      </c>
      <c r="BH288" s="105"/>
      <c r="BI288" s="105"/>
      <c r="BJ288" s="105" t="s">
        <v>242</v>
      </c>
      <c r="BK288" s="207"/>
      <c r="BL288" s="105" t="s">
        <v>2670</v>
      </c>
    </row>
    <row r="289" ht="19.95" customHeight="1">
      <c r="A289" s="207">
        <v>171927</v>
      </c>
      <c r="B289" s="207"/>
      <c r="C289" s="208" t="s">
        <v>2671</v>
      </c>
      <c r="D289" s="207" t="s">
        <v>2672</v>
      </c>
      <c r="E289" s="207" t="s">
        <v>114</v>
      </c>
      <c r="F289" s="208">
        <v>1210889626</v>
      </c>
      <c r="G289" s="207" t="s">
        <v>67</v>
      </c>
      <c r="H289" s="207" t="s">
        <v>2465</v>
      </c>
      <c r="I289" s="207" t="s">
        <v>69</v>
      </c>
      <c r="J289" s="208" t="s">
        <v>155</v>
      </c>
      <c r="K289" s="207" t="s">
        <v>1766</v>
      </c>
      <c r="L289" s="207" t="s">
        <v>2466</v>
      </c>
      <c r="M289" s="4" t="s">
        <v>171</v>
      </c>
      <c r="N289" s="207" t="s">
        <v>74</v>
      </c>
      <c r="O289" s="207" t="s">
        <v>75</v>
      </c>
      <c r="P289" s="207">
        <v>44</v>
      </c>
      <c r="Q289" s="209">
        <v>45532</v>
      </c>
      <c r="R289" s="209">
        <v>45551</v>
      </c>
      <c r="S289" s="210" t="s">
        <v>242</v>
      </c>
      <c r="T289" s="210" t="s">
        <v>242</v>
      </c>
      <c r="U289" s="207" t="s">
        <v>242</v>
      </c>
      <c r="V289" s="207" t="s">
        <v>242</v>
      </c>
      <c r="W289" s="105" t="s">
        <v>2673</v>
      </c>
      <c r="X289" s="211">
        <v>1944265133</v>
      </c>
      <c r="Y289" s="208">
        <v>1944265133</v>
      </c>
      <c r="Z289" s="207" t="s">
        <v>2674</v>
      </c>
      <c r="AA289" s="207">
        <v>1332415646</v>
      </c>
      <c r="AB289" s="207" t="s">
        <v>186</v>
      </c>
      <c r="AC289" s="207" t="s">
        <v>79</v>
      </c>
      <c r="AD289" s="210" t="s">
        <v>2675</v>
      </c>
      <c r="AE289" s="212">
        <v>25</v>
      </c>
      <c r="AF289" s="207" t="s">
        <v>80</v>
      </c>
      <c r="AG289" s="211">
        <v>3754333320</v>
      </c>
      <c r="AH289" s="207" t="s">
        <v>242</v>
      </c>
      <c r="AI289" s="208" t="s">
        <v>925</v>
      </c>
      <c r="AJ289" s="208" t="s">
        <v>242</v>
      </c>
      <c r="AK289" s="208">
        <v>2023</v>
      </c>
      <c r="AL289" s="207" t="s">
        <v>209</v>
      </c>
      <c r="AM289" s="207" t="s">
        <v>2676</v>
      </c>
      <c r="AN289" s="207" t="s">
        <v>2677</v>
      </c>
      <c r="AO289" s="207" t="s">
        <v>2505</v>
      </c>
      <c r="AP289" s="207" t="s">
        <v>2678</v>
      </c>
      <c r="AQ289" s="208" t="s">
        <v>88</v>
      </c>
      <c r="AR289" s="207" t="s">
        <v>89</v>
      </c>
      <c r="AS289" s="207" t="s">
        <v>2674</v>
      </c>
      <c r="AT289" s="213">
        <v>37633</v>
      </c>
      <c r="AU289" s="207" t="s">
        <v>2679</v>
      </c>
      <c r="AV289" s="207">
        <v>45328</v>
      </c>
      <c r="AW289" s="207" t="s">
        <v>81</v>
      </c>
      <c r="AX289" s="207" t="s">
        <v>81</v>
      </c>
      <c r="AY289" s="207" t="s">
        <v>81</v>
      </c>
      <c r="AZ289" s="207" t="s">
        <v>81</v>
      </c>
      <c r="BA289" s="207" t="s">
        <v>90</v>
      </c>
      <c r="BB289" s="207">
        <v>10800</v>
      </c>
      <c r="BC289" s="207">
        <v>2700</v>
      </c>
      <c r="BD289" s="207">
        <v>1000</v>
      </c>
      <c r="BE289" s="207" t="s">
        <v>166</v>
      </c>
      <c r="BF289" s="207" t="s">
        <v>242</v>
      </c>
      <c r="BG289" s="207" t="s">
        <v>242</v>
      </c>
      <c r="BH289" s="105"/>
      <c r="BI289" s="105"/>
      <c r="BJ289" s="105" t="s">
        <v>242</v>
      </c>
      <c r="BK289" s="207"/>
      <c r="BL289" s="105">
        <v>1944265133</v>
      </c>
    </row>
    <row r="290" ht="19.95" customHeight="1">
      <c r="A290" s="207">
        <v>171938</v>
      </c>
      <c r="B290" s="207"/>
      <c r="C290" s="208" t="s">
        <v>2680</v>
      </c>
      <c r="D290" s="207" t="s">
        <v>2681</v>
      </c>
      <c r="E290" s="207" t="s">
        <v>114</v>
      </c>
      <c r="F290" s="208">
        <v>742896</v>
      </c>
      <c r="G290" s="207" t="s">
        <v>67</v>
      </c>
      <c r="H290" s="207" t="s">
        <v>2465</v>
      </c>
      <c r="I290" s="207" t="s">
        <v>69</v>
      </c>
      <c r="J290" s="208" t="s">
        <v>155</v>
      </c>
      <c r="K290" s="207" t="s">
        <v>1766</v>
      </c>
      <c r="L290" s="207" t="s">
        <v>2466</v>
      </c>
      <c r="M290" s="4" t="s">
        <v>183</v>
      </c>
      <c r="N290" s="207" t="s">
        <v>74</v>
      </c>
      <c r="O290" s="207" t="s">
        <v>75</v>
      </c>
      <c r="P290" s="207">
        <v>44</v>
      </c>
      <c r="Q290" s="209">
        <v>45532</v>
      </c>
      <c r="R290" s="209">
        <v>45552</v>
      </c>
      <c r="S290" s="210" t="s">
        <v>242</v>
      </c>
      <c r="T290" s="210" t="s">
        <v>242</v>
      </c>
      <c r="U290" s="207" t="s">
        <v>242</v>
      </c>
      <c r="V290" s="207" t="s">
        <v>242</v>
      </c>
      <c r="W290" s="105" t="s">
        <v>2682</v>
      </c>
      <c r="X290" s="211">
        <v>1787878181</v>
      </c>
      <c r="Y290" s="208">
        <v>1915982366</v>
      </c>
      <c r="Z290" s="207" t="s">
        <v>2683</v>
      </c>
      <c r="AA290" s="207">
        <v>1781995745</v>
      </c>
      <c r="AB290" s="207" t="s">
        <v>382</v>
      </c>
      <c r="AC290" s="207" t="s">
        <v>133</v>
      </c>
      <c r="AD290" s="210" t="s">
        <v>2684</v>
      </c>
      <c r="AE290" s="212">
        <v>29</v>
      </c>
      <c r="AF290" s="207" t="s">
        <v>80</v>
      </c>
      <c r="AG290" s="211">
        <v>7759296580</v>
      </c>
      <c r="AH290" s="207" t="s">
        <v>242</v>
      </c>
      <c r="AI290" s="208" t="s">
        <v>2211</v>
      </c>
      <c r="AJ290" s="208" t="s">
        <v>242</v>
      </c>
      <c r="AK290" s="208">
        <v>2024</v>
      </c>
      <c r="AL290" s="207" t="s">
        <v>209</v>
      </c>
      <c r="AM290" s="207" t="s">
        <v>2685</v>
      </c>
      <c r="AN290" s="207" t="s">
        <v>2686</v>
      </c>
      <c r="AO290" s="207" t="s">
        <v>2687</v>
      </c>
      <c r="AP290" s="207" t="s">
        <v>2688</v>
      </c>
      <c r="AQ290" s="208" t="s">
        <v>2689</v>
      </c>
      <c r="AR290" s="207" t="s">
        <v>110</v>
      </c>
      <c r="AS290" s="207" t="s">
        <v>81</v>
      </c>
      <c r="AT290" s="213" t="s">
        <v>81</v>
      </c>
      <c r="AU290" s="207" t="s">
        <v>81</v>
      </c>
      <c r="AV290" s="207" t="s">
        <v>81</v>
      </c>
      <c r="AW290" s="207" t="s">
        <v>81</v>
      </c>
      <c r="AX290" s="207" t="s">
        <v>81</v>
      </c>
      <c r="AY290" s="207" t="s">
        <v>81</v>
      </c>
      <c r="AZ290" s="207" t="s">
        <v>81</v>
      </c>
      <c r="BA290" s="207" t="s">
        <v>90</v>
      </c>
      <c r="BB290" s="207">
        <v>10800</v>
      </c>
      <c r="BC290" s="207">
        <v>2700</v>
      </c>
      <c r="BD290" s="207">
        <v>1000</v>
      </c>
      <c r="BE290" s="207" t="s">
        <v>166</v>
      </c>
      <c r="BF290" s="207" t="s">
        <v>242</v>
      </c>
      <c r="BG290" s="207" t="s">
        <v>242</v>
      </c>
      <c r="BH290" s="105"/>
      <c r="BI290" s="105"/>
      <c r="BJ290" s="105" t="s">
        <v>242</v>
      </c>
      <c r="BK290" s="207"/>
      <c r="BL290" s="105">
        <v>1787878181</v>
      </c>
    </row>
    <row r="291" ht="19.95" customHeight="1">
      <c r="A291" s="207">
        <v>171953</v>
      </c>
      <c r="B291" s="207"/>
      <c r="C291" s="208" t="s">
        <v>2690</v>
      </c>
      <c r="D291" s="207" t="s">
        <v>2691</v>
      </c>
      <c r="E291" s="207" t="s">
        <v>66</v>
      </c>
      <c r="F291" s="208"/>
      <c r="G291" s="207" t="s">
        <v>67</v>
      </c>
      <c r="H291" s="207" t="s">
        <v>2465</v>
      </c>
      <c r="I291" s="207" t="s">
        <v>69</v>
      </c>
      <c r="J291" s="208" t="s">
        <v>2495</v>
      </c>
      <c r="K291" s="207" t="s">
        <v>1766</v>
      </c>
      <c r="L291" s="207" t="s">
        <v>2466</v>
      </c>
      <c r="M291" s="4" t="s">
        <v>458</v>
      </c>
      <c r="N291" s="207" t="s">
        <v>74</v>
      </c>
      <c r="O291" s="207" t="s">
        <v>75</v>
      </c>
      <c r="P291" s="207">
        <v>45</v>
      </c>
      <c r="Q291" s="209">
        <v>45541</v>
      </c>
      <c r="R291" s="209">
        <v>45551</v>
      </c>
      <c r="S291" s="210"/>
      <c r="T291" s="210"/>
      <c r="U291" s="207"/>
      <c r="V291" s="207"/>
      <c r="W291" s="105"/>
      <c r="X291" s="211"/>
      <c r="Y291" s="208"/>
      <c r="Z291" s="207"/>
      <c r="AA291" s="207"/>
      <c r="AB291" s="207"/>
      <c r="AC291" s="207"/>
      <c r="AD291" s="210"/>
      <c r="AE291" s="212"/>
      <c r="AF291" s="207" t="s">
        <v>80</v>
      </c>
      <c r="AG291" s="211"/>
      <c r="AH291" s="207"/>
      <c r="AI291" s="208"/>
      <c r="AJ291" s="208"/>
      <c r="AK291" s="208"/>
      <c r="AL291" s="207"/>
      <c r="AM291" s="207"/>
      <c r="AN291" s="207"/>
      <c r="AO291" s="207"/>
      <c r="AP291" s="207"/>
      <c r="AQ291" s="208"/>
      <c r="AR291" s="207"/>
      <c r="AS291" s="207"/>
      <c r="AT291" s="213"/>
      <c r="AU291" s="207"/>
      <c r="AV291" s="207"/>
      <c r="AW291" s="207"/>
      <c r="AX291" s="207"/>
      <c r="AY291" s="207"/>
      <c r="AZ291" s="207"/>
      <c r="BA291" s="207" t="s">
        <v>90</v>
      </c>
      <c r="BB291" s="207">
        <v>10800</v>
      </c>
      <c r="BC291" s="207">
        <v>2700</v>
      </c>
      <c r="BD291" s="207">
        <v>0</v>
      </c>
      <c r="BE291" s="207" t="s">
        <v>91</v>
      </c>
      <c r="BF291" s="207"/>
      <c r="BG291" s="207"/>
      <c r="BH291" s="105"/>
      <c r="BI291" s="105"/>
      <c r="BJ291" s="105"/>
      <c r="BK291" s="207"/>
      <c r="BL291" s="105"/>
    </row>
    <row r="292" ht="19.95" customHeight="1">
      <c r="A292" s="207">
        <v>171947</v>
      </c>
      <c r="B292" s="207"/>
      <c r="C292" s="208" t="s">
        <v>2692</v>
      </c>
      <c r="D292" s="207" t="s">
        <v>2693</v>
      </c>
      <c r="E292" s="207" t="s">
        <v>66</v>
      </c>
      <c r="F292" s="208"/>
      <c r="G292" s="207" t="s">
        <v>67</v>
      </c>
      <c r="H292" s="207" t="s">
        <v>2465</v>
      </c>
      <c r="I292" s="207" t="s">
        <v>69</v>
      </c>
      <c r="J292" s="208" t="s">
        <v>2495</v>
      </c>
      <c r="K292" s="207" t="s">
        <v>1766</v>
      </c>
      <c r="L292" s="207" t="s">
        <v>2466</v>
      </c>
      <c r="M292" s="4" t="s">
        <v>369</v>
      </c>
      <c r="N292" s="207" t="s">
        <v>74</v>
      </c>
      <c r="O292" s="207" t="s">
        <v>75</v>
      </c>
      <c r="P292" s="207">
        <v>45</v>
      </c>
      <c r="Q292" s="209">
        <v>45541</v>
      </c>
      <c r="R292" s="209">
        <v>45551</v>
      </c>
      <c r="S292" s="210"/>
      <c r="T292" s="210"/>
      <c r="U292" s="207"/>
      <c r="V292" s="207"/>
      <c r="W292" s="105"/>
      <c r="X292" s="211"/>
      <c r="Y292" s="208"/>
      <c r="Z292" s="207"/>
      <c r="AA292" s="207"/>
      <c r="AB292" s="207"/>
      <c r="AC292" s="207"/>
      <c r="AD292" s="210"/>
      <c r="AE292" s="212"/>
      <c r="AF292" s="207" t="s">
        <v>80</v>
      </c>
      <c r="AG292" s="211"/>
      <c r="AH292" s="207"/>
      <c r="AI292" s="208"/>
      <c r="AJ292" s="208"/>
      <c r="AK292" s="208"/>
      <c r="AL292" s="207"/>
      <c r="AM292" s="207"/>
      <c r="AN292" s="207"/>
      <c r="AO292" s="207"/>
      <c r="AP292" s="207"/>
      <c r="AQ292" s="208"/>
      <c r="AR292" s="207"/>
      <c r="AS292" s="207"/>
      <c r="AT292" s="213"/>
      <c r="AU292" s="207"/>
      <c r="AV292" s="207"/>
      <c r="AW292" s="207"/>
      <c r="AX292" s="207"/>
      <c r="AY292" s="207"/>
      <c r="AZ292" s="207"/>
      <c r="BA292" s="207" t="s">
        <v>90</v>
      </c>
      <c r="BB292" s="207">
        <v>10800</v>
      </c>
      <c r="BC292" s="207">
        <v>2700</v>
      </c>
      <c r="BD292" s="207">
        <v>0</v>
      </c>
      <c r="BE292" s="207" t="s">
        <v>91</v>
      </c>
      <c r="BF292" s="207"/>
      <c r="BG292" s="207"/>
      <c r="BH292" s="105"/>
      <c r="BI292" s="105"/>
      <c r="BJ292" s="105"/>
      <c r="BK292" s="207"/>
      <c r="BL292" s="105"/>
    </row>
    <row r="293" ht="19.95" customHeight="1">
      <c r="A293" s="207">
        <v>171948</v>
      </c>
      <c r="B293" s="207"/>
      <c r="C293" s="208" t="s">
        <v>2694</v>
      </c>
      <c r="D293" s="207" t="s">
        <v>2695</v>
      </c>
      <c r="E293" s="207" t="s">
        <v>66</v>
      </c>
      <c r="F293" s="208"/>
      <c r="G293" s="207" t="s">
        <v>67</v>
      </c>
      <c r="H293" s="207" t="s">
        <v>2465</v>
      </c>
      <c r="I293" s="207" t="s">
        <v>69</v>
      </c>
      <c r="J293" s="208" t="s">
        <v>2495</v>
      </c>
      <c r="K293" s="207" t="s">
        <v>1766</v>
      </c>
      <c r="L293" s="207" t="s">
        <v>2466</v>
      </c>
      <c r="M293" s="4" t="s">
        <v>1304</v>
      </c>
      <c r="N293" s="207" t="s">
        <v>74</v>
      </c>
      <c r="O293" s="207" t="s">
        <v>75</v>
      </c>
      <c r="P293" s="207">
        <v>45</v>
      </c>
      <c r="Q293" s="209">
        <v>45541</v>
      </c>
      <c r="R293" s="209">
        <v>45551</v>
      </c>
      <c r="S293" s="210"/>
      <c r="T293" s="210"/>
      <c r="U293" s="207"/>
      <c r="V293" s="207"/>
      <c r="W293" s="105"/>
      <c r="X293" s="211"/>
      <c r="Y293" s="208"/>
      <c r="Z293" s="207"/>
      <c r="AA293" s="207"/>
      <c r="AB293" s="207"/>
      <c r="AC293" s="207"/>
      <c r="AD293" s="210"/>
      <c r="AE293" s="212"/>
      <c r="AF293" s="207" t="s">
        <v>80</v>
      </c>
      <c r="AG293" s="211"/>
      <c r="AH293" s="207"/>
      <c r="AI293" s="208"/>
      <c r="AJ293" s="208"/>
      <c r="AK293" s="208"/>
      <c r="AL293" s="207"/>
      <c r="AM293" s="207"/>
      <c r="AN293" s="207"/>
      <c r="AO293" s="207"/>
      <c r="AP293" s="207"/>
      <c r="AQ293" s="208"/>
      <c r="AR293" s="207"/>
      <c r="AS293" s="207"/>
      <c r="AT293" s="213"/>
      <c r="AU293" s="207"/>
      <c r="AV293" s="207"/>
      <c r="AW293" s="207"/>
      <c r="AX293" s="207"/>
      <c r="AY293" s="207"/>
      <c r="AZ293" s="207"/>
      <c r="BA293" s="207" t="s">
        <v>90</v>
      </c>
      <c r="BB293" s="207">
        <v>10800</v>
      </c>
      <c r="BC293" s="207">
        <v>2700</v>
      </c>
      <c r="BD293" s="207">
        <v>0</v>
      </c>
      <c r="BE293" s="207" t="s">
        <v>91</v>
      </c>
      <c r="BF293" s="207"/>
      <c r="BG293" s="207"/>
      <c r="BH293" s="105"/>
      <c r="BI293" s="105"/>
      <c r="BJ293" s="105"/>
      <c r="BK293" s="207"/>
      <c r="BL293" s="105"/>
    </row>
    <row r="294" ht="19.95" customHeight="1">
      <c r="A294" s="207">
        <v>171950</v>
      </c>
      <c r="B294" s="207"/>
      <c r="C294" s="208" t="s">
        <v>2696</v>
      </c>
      <c r="D294" s="207" t="s">
        <v>2697</v>
      </c>
      <c r="E294" s="207" t="s">
        <v>66</v>
      </c>
      <c r="F294" s="208"/>
      <c r="G294" s="207" t="s">
        <v>67</v>
      </c>
      <c r="H294" s="207" t="s">
        <v>2465</v>
      </c>
      <c r="I294" s="207" t="s">
        <v>69</v>
      </c>
      <c r="J294" s="208" t="s">
        <v>2495</v>
      </c>
      <c r="K294" s="207" t="s">
        <v>1766</v>
      </c>
      <c r="L294" s="207" t="s">
        <v>2466</v>
      </c>
      <c r="M294" s="4" t="s">
        <v>1304</v>
      </c>
      <c r="N294" s="207" t="s">
        <v>74</v>
      </c>
      <c r="O294" s="207" t="s">
        <v>75</v>
      </c>
      <c r="P294" s="207">
        <v>45</v>
      </c>
      <c r="Q294" s="209">
        <v>45541</v>
      </c>
      <c r="R294" s="209">
        <v>45551</v>
      </c>
      <c r="S294" s="210"/>
      <c r="T294" s="210"/>
      <c r="U294" s="207"/>
      <c r="V294" s="207"/>
      <c r="W294" s="105"/>
      <c r="X294" s="211"/>
      <c r="Y294" s="208"/>
      <c r="Z294" s="207"/>
      <c r="AA294" s="207"/>
      <c r="AB294" s="207"/>
      <c r="AC294" s="207"/>
      <c r="AD294" s="210"/>
      <c r="AE294" s="212"/>
      <c r="AF294" s="207" t="s">
        <v>80</v>
      </c>
      <c r="AG294" s="211"/>
      <c r="AH294" s="207"/>
      <c r="AI294" s="208"/>
      <c r="AJ294" s="208"/>
      <c r="AK294" s="208"/>
      <c r="AL294" s="207"/>
      <c r="AM294" s="207"/>
      <c r="AN294" s="207"/>
      <c r="AO294" s="207"/>
      <c r="AP294" s="207"/>
      <c r="AQ294" s="208"/>
      <c r="AR294" s="207"/>
      <c r="AS294" s="207"/>
      <c r="AT294" s="213"/>
      <c r="AU294" s="207"/>
      <c r="AV294" s="207"/>
      <c r="AW294" s="207"/>
      <c r="AX294" s="207"/>
      <c r="AY294" s="207"/>
      <c r="AZ294" s="207"/>
      <c r="BA294" s="207" t="s">
        <v>90</v>
      </c>
      <c r="BB294" s="207">
        <v>10800</v>
      </c>
      <c r="BC294" s="207">
        <v>2700</v>
      </c>
      <c r="BD294" s="207">
        <v>0</v>
      </c>
      <c r="BE294" s="207" t="s">
        <v>91</v>
      </c>
      <c r="BF294" s="207"/>
      <c r="BG294" s="207"/>
      <c r="BH294" s="105"/>
      <c r="BI294" s="105"/>
      <c r="BJ294" s="105"/>
      <c r="BK294" s="207"/>
      <c r="BL294" s="105"/>
    </row>
    <row r="295" ht="19.95" customHeight="1">
      <c r="A295" s="207">
        <v>171955</v>
      </c>
      <c r="B295" s="207"/>
      <c r="C295" s="208" t="s">
        <v>2698</v>
      </c>
      <c r="D295" s="207" t="s">
        <v>2643</v>
      </c>
      <c r="E295" s="207" t="s">
        <v>66</v>
      </c>
      <c r="F295" s="208"/>
      <c r="G295" s="207" t="s">
        <v>67</v>
      </c>
      <c r="H295" s="207" t="s">
        <v>2465</v>
      </c>
      <c r="I295" s="207" t="s">
        <v>69</v>
      </c>
      <c r="J295" s="208" t="s">
        <v>2495</v>
      </c>
      <c r="K295" s="207" t="s">
        <v>1766</v>
      </c>
      <c r="L295" s="207" t="s">
        <v>2466</v>
      </c>
      <c r="M295" s="4" t="s">
        <v>369</v>
      </c>
      <c r="N295" s="207" t="s">
        <v>74</v>
      </c>
      <c r="O295" s="207" t="s">
        <v>75</v>
      </c>
      <c r="P295" s="207">
        <v>45</v>
      </c>
      <c r="Q295" s="209">
        <v>45541</v>
      </c>
      <c r="R295" s="209">
        <v>45551</v>
      </c>
      <c r="S295" s="210"/>
      <c r="T295" s="210"/>
      <c r="U295" s="207"/>
      <c r="V295" s="207"/>
      <c r="W295" s="105"/>
      <c r="X295" s="211"/>
      <c r="Y295" s="208"/>
      <c r="Z295" s="207"/>
      <c r="AA295" s="207"/>
      <c r="AB295" s="207"/>
      <c r="AC295" s="207"/>
      <c r="AD295" s="210"/>
      <c r="AE295" s="212"/>
      <c r="AF295" s="207" t="s">
        <v>80</v>
      </c>
      <c r="AG295" s="211"/>
      <c r="AH295" s="207"/>
      <c r="AI295" s="208"/>
      <c r="AJ295" s="208"/>
      <c r="AK295" s="208"/>
      <c r="AL295" s="207"/>
      <c r="AM295" s="207"/>
      <c r="AN295" s="207"/>
      <c r="AO295" s="207"/>
      <c r="AP295" s="207"/>
      <c r="AQ295" s="208"/>
      <c r="AR295" s="207"/>
      <c r="AS295" s="207"/>
      <c r="AT295" s="213"/>
      <c r="AU295" s="207"/>
      <c r="AV295" s="207"/>
      <c r="AW295" s="207"/>
      <c r="AX295" s="207"/>
      <c r="AY295" s="207"/>
      <c r="AZ295" s="207"/>
      <c r="BA295" s="207" t="s">
        <v>90</v>
      </c>
      <c r="BB295" s="207">
        <v>10800</v>
      </c>
      <c r="BC295" s="207">
        <v>2700</v>
      </c>
      <c r="BD295" s="207">
        <v>0</v>
      </c>
      <c r="BE295" s="207" t="s">
        <v>91</v>
      </c>
      <c r="BF295" s="207"/>
      <c r="BG295" s="207"/>
      <c r="BH295" s="105"/>
      <c r="BI295" s="105"/>
      <c r="BJ295" s="105"/>
      <c r="BK295" s="207"/>
      <c r="BL295" s="105"/>
    </row>
    <row r="296" ht="19.95" customHeight="1">
      <c r="A296" s="207">
        <v>171959</v>
      </c>
      <c r="B296" s="207"/>
      <c r="C296" s="208" t="s">
        <v>2699</v>
      </c>
      <c r="D296" s="207" t="s">
        <v>2700</v>
      </c>
      <c r="E296" s="207" t="s">
        <v>114</v>
      </c>
      <c r="F296" s="208"/>
      <c r="G296" s="207" t="s">
        <v>67</v>
      </c>
      <c r="H296" s="207" t="s">
        <v>2465</v>
      </c>
      <c r="I296" s="207" t="s">
        <v>69</v>
      </c>
      <c r="J296" s="208" t="s">
        <v>2495</v>
      </c>
      <c r="K296" s="207" t="s">
        <v>1766</v>
      </c>
      <c r="L296" s="207" t="s">
        <v>2466</v>
      </c>
      <c r="M296" s="4" t="s">
        <v>369</v>
      </c>
      <c r="N296" s="207" t="s">
        <v>74</v>
      </c>
      <c r="O296" s="207" t="s">
        <v>75</v>
      </c>
      <c r="P296" s="207">
        <v>45</v>
      </c>
      <c r="Q296" s="209">
        <v>45541</v>
      </c>
      <c r="R296" s="209">
        <v>45551</v>
      </c>
      <c r="S296" s="210"/>
      <c r="T296" s="210"/>
      <c r="U296" s="207"/>
      <c r="V296" s="207"/>
      <c r="W296" s="105"/>
      <c r="X296" s="211"/>
      <c r="Y296" s="208"/>
      <c r="Z296" s="207"/>
      <c r="AA296" s="207"/>
      <c r="AB296" s="207"/>
      <c r="AC296" s="207"/>
      <c r="AD296" s="210"/>
      <c r="AE296" s="212"/>
      <c r="AF296" s="207" t="s">
        <v>360</v>
      </c>
      <c r="AG296" s="211"/>
      <c r="AH296" s="207"/>
      <c r="AI296" s="208"/>
      <c r="AJ296" s="208"/>
      <c r="AK296" s="208"/>
      <c r="AL296" s="207"/>
      <c r="AM296" s="207"/>
      <c r="AN296" s="207"/>
      <c r="AO296" s="207"/>
      <c r="AP296" s="207"/>
      <c r="AQ296" s="208"/>
      <c r="AR296" s="207"/>
      <c r="AS296" s="207"/>
      <c r="AT296" s="213"/>
      <c r="AU296" s="207"/>
      <c r="AV296" s="207"/>
      <c r="AW296" s="207"/>
      <c r="AX296" s="207"/>
      <c r="AY296" s="207"/>
      <c r="AZ296" s="207"/>
      <c r="BA296" s="207" t="s">
        <v>90</v>
      </c>
      <c r="BB296" s="207">
        <v>10800</v>
      </c>
      <c r="BC296" s="207">
        <v>2700</v>
      </c>
      <c r="BD296" s="207">
        <v>0</v>
      </c>
      <c r="BE296" s="207" t="s">
        <v>91</v>
      </c>
      <c r="BF296" s="207"/>
      <c r="BG296" s="207"/>
      <c r="BH296" s="105"/>
      <c r="BI296" s="105"/>
      <c r="BJ296" s="105"/>
      <c r="BK296" s="207"/>
      <c r="BL296" s="105"/>
    </row>
    <row r="297" ht="19.95" customHeight="1">
      <c r="A297" s="207">
        <v>171943</v>
      </c>
      <c r="B297" s="207"/>
      <c r="C297" s="208" t="s">
        <v>2701</v>
      </c>
      <c r="D297" s="207" t="s">
        <v>2702</v>
      </c>
      <c r="E297" s="207" t="s">
        <v>114</v>
      </c>
      <c r="F297" s="208"/>
      <c r="G297" s="207" t="s">
        <v>67</v>
      </c>
      <c r="H297" s="207" t="s">
        <v>2465</v>
      </c>
      <c r="I297" s="207" t="s">
        <v>69</v>
      </c>
      <c r="J297" s="208" t="s">
        <v>2495</v>
      </c>
      <c r="K297" s="207" t="s">
        <v>1766</v>
      </c>
      <c r="L297" s="207" t="s">
        <v>2466</v>
      </c>
      <c r="M297" s="4" t="s">
        <v>73</v>
      </c>
      <c r="N297" s="207" t="s">
        <v>74</v>
      </c>
      <c r="O297" s="207" t="s">
        <v>75</v>
      </c>
      <c r="P297" s="207">
        <v>45</v>
      </c>
      <c r="Q297" s="209">
        <v>45541</v>
      </c>
      <c r="R297" s="209">
        <v>45551</v>
      </c>
      <c r="S297" s="210"/>
      <c r="T297" s="210"/>
      <c r="U297" s="207"/>
      <c r="V297" s="207"/>
      <c r="W297" s="105"/>
      <c r="X297" s="211"/>
      <c r="Y297" s="208"/>
      <c r="Z297" s="207"/>
      <c r="AA297" s="207"/>
      <c r="AB297" s="207"/>
      <c r="AC297" s="207"/>
      <c r="AD297" s="210"/>
      <c r="AE297" s="212"/>
      <c r="AF297" s="207" t="s">
        <v>80</v>
      </c>
      <c r="AG297" s="211"/>
      <c r="AH297" s="207"/>
      <c r="AI297" s="208"/>
      <c r="AJ297" s="208"/>
      <c r="AK297" s="208"/>
      <c r="AL297" s="207"/>
      <c r="AM297" s="207"/>
      <c r="AN297" s="207"/>
      <c r="AO297" s="207"/>
      <c r="AP297" s="207"/>
      <c r="AQ297" s="208"/>
      <c r="AR297" s="207"/>
      <c r="AS297" s="207"/>
      <c r="AT297" s="213"/>
      <c r="AU297" s="207"/>
      <c r="AV297" s="207"/>
      <c r="AW297" s="207"/>
      <c r="AX297" s="207"/>
      <c r="AY297" s="207"/>
      <c r="AZ297" s="207"/>
      <c r="BA297" s="207" t="s">
        <v>90</v>
      </c>
      <c r="BB297" s="207">
        <v>10800</v>
      </c>
      <c r="BC297" s="207">
        <v>2700</v>
      </c>
      <c r="BD297" s="207">
        <v>0</v>
      </c>
      <c r="BE297" s="207" t="s">
        <v>91</v>
      </c>
      <c r="BF297" s="207"/>
      <c r="BG297" s="207"/>
      <c r="BH297" s="105"/>
      <c r="BI297" s="105"/>
      <c r="BJ297" s="105"/>
      <c r="BK297" s="207"/>
      <c r="BL297" s="105"/>
    </row>
    <row r="298" ht="19.95" customHeight="1">
      <c r="A298" s="207">
        <v>171944</v>
      </c>
      <c r="B298" s="207"/>
      <c r="C298" s="208" t="s">
        <v>2703</v>
      </c>
      <c r="D298" s="207" t="s">
        <v>2704</v>
      </c>
      <c r="E298" s="207" t="s">
        <v>66</v>
      </c>
      <c r="F298" s="208"/>
      <c r="G298" s="207" t="s">
        <v>67</v>
      </c>
      <c r="H298" s="207" t="s">
        <v>2465</v>
      </c>
      <c r="I298" s="207" t="s">
        <v>69</v>
      </c>
      <c r="J298" s="208" t="s">
        <v>2495</v>
      </c>
      <c r="K298" s="207" t="s">
        <v>1766</v>
      </c>
      <c r="L298" s="207" t="s">
        <v>2466</v>
      </c>
      <c r="M298" s="4" t="s">
        <v>287</v>
      </c>
      <c r="N298" s="207" t="s">
        <v>74</v>
      </c>
      <c r="O298" s="207" t="s">
        <v>75</v>
      </c>
      <c r="P298" s="207">
        <v>45</v>
      </c>
      <c r="Q298" s="209">
        <v>45541</v>
      </c>
      <c r="R298" s="209">
        <v>45551</v>
      </c>
      <c r="S298" s="210"/>
      <c r="T298" s="210"/>
      <c r="U298" s="207"/>
      <c r="V298" s="207"/>
      <c r="W298" s="105"/>
      <c r="X298" s="211"/>
      <c r="Y298" s="208"/>
      <c r="Z298" s="207"/>
      <c r="AA298" s="207"/>
      <c r="AB298" s="207"/>
      <c r="AC298" s="207"/>
      <c r="AD298" s="210"/>
      <c r="AE298" s="212"/>
      <c r="AF298" s="207" t="s">
        <v>80</v>
      </c>
      <c r="AG298" s="211"/>
      <c r="AH298" s="207"/>
      <c r="AI298" s="208"/>
      <c r="AJ298" s="208"/>
      <c r="AK298" s="208"/>
      <c r="AL298" s="207"/>
      <c r="AM298" s="207"/>
      <c r="AN298" s="207"/>
      <c r="AO298" s="207"/>
      <c r="AP298" s="207"/>
      <c r="AQ298" s="208"/>
      <c r="AR298" s="207"/>
      <c r="AS298" s="207"/>
      <c r="AT298" s="213"/>
      <c r="AU298" s="207"/>
      <c r="AV298" s="207"/>
      <c r="AW298" s="207"/>
      <c r="AX298" s="207"/>
      <c r="AY298" s="207"/>
      <c r="AZ298" s="207"/>
      <c r="BA298" s="207" t="s">
        <v>90</v>
      </c>
      <c r="BB298" s="207">
        <v>10800</v>
      </c>
      <c r="BC298" s="207">
        <v>2700</v>
      </c>
      <c r="BD298" s="207">
        <v>0</v>
      </c>
      <c r="BE298" s="207" t="s">
        <v>91</v>
      </c>
      <c r="BF298" s="207"/>
      <c r="BG298" s="207"/>
      <c r="BH298" s="105"/>
      <c r="BI298" s="105"/>
      <c r="BJ298" s="105"/>
      <c r="BK298" s="207"/>
      <c r="BL298" s="105"/>
    </row>
    <row r="299" ht="19.95" customHeight="1">
      <c r="A299" s="207">
        <v>171945</v>
      </c>
      <c r="B299" s="207"/>
      <c r="C299" s="208" t="s">
        <v>2705</v>
      </c>
      <c r="D299" s="207" t="s">
        <v>2706</v>
      </c>
      <c r="E299" s="207" t="s">
        <v>66</v>
      </c>
      <c r="F299" s="208"/>
      <c r="G299" s="207" t="s">
        <v>67</v>
      </c>
      <c r="H299" s="207" t="s">
        <v>2465</v>
      </c>
      <c r="I299" s="207" t="s">
        <v>69</v>
      </c>
      <c r="J299" s="208" t="s">
        <v>2495</v>
      </c>
      <c r="K299" s="207" t="s">
        <v>1766</v>
      </c>
      <c r="L299" s="207" t="s">
        <v>2466</v>
      </c>
      <c r="M299" s="4" t="s">
        <v>287</v>
      </c>
      <c r="N299" s="207" t="s">
        <v>74</v>
      </c>
      <c r="O299" s="207" t="s">
        <v>75</v>
      </c>
      <c r="P299" s="207">
        <v>45</v>
      </c>
      <c r="Q299" s="209">
        <v>45541</v>
      </c>
      <c r="R299" s="209">
        <v>45551</v>
      </c>
      <c r="S299" s="210"/>
      <c r="T299" s="210"/>
      <c r="U299" s="207"/>
      <c r="V299" s="207"/>
      <c r="W299" s="105"/>
      <c r="X299" s="211"/>
      <c r="Y299" s="208"/>
      <c r="Z299" s="207"/>
      <c r="AA299" s="207"/>
      <c r="AB299" s="207"/>
      <c r="AC299" s="207"/>
      <c r="AD299" s="210"/>
      <c r="AE299" s="212"/>
      <c r="AF299" s="207" t="s">
        <v>80</v>
      </c>
      <c r="AG299" s="211"/>
      <c r="AH299" s="207"/>
      <c r="AI299" s="208"/>
      <c r="AJ299" s="208"/>
      <c r="AK299" s="208"/>
      <c r="AL299" s="207"/>
      <c r="AM299" s="207"/>
      <c r="AN299" s="207"/>
      <c r="AO299" s="207"/>
      <c r="AP299" s="207"/>
      <c r="AQ299" s="208"/>
      <c r="AR299" s="207"/>
      <c r="AS299" s="207"/>
      <c r="AT299" s="213"/>
      <c r="AU299" s="207"/>
      <c r="AV299" s="207"/>
      <c r="AW299" s="207"/>
      <c r="AX299" s="207"/>
      <c r="AY299" s="207"/>
      <c r="AZ299" s="207"/>
      <c r="BA299" s="207" t="s">
        <v>90</v>
      </c>
      <c r="BB299" s="207">
        <v>10800</v>
      </c>
      <c r="BC299" s="207">
        <v>2700</v>
      </c>
      <c r="BD299" s="207">
        <v>0</v>
      </c>
      <c r="BE299" s="207" t="s">
        <v>91</v>
      </c>
      <c r="BF299" s="207"/>
      <c r="BG299" s="207"/>
      <c r="BH299" s="105"/>
      <c r="BI299" s="105"/>
      <c r="BJ299" s="105"/>
      <c r="BK299" s="207"/>
      <c r="BL299" s="105"/>
    </row>
    <row r="300" ht="19.95" customHeight="1">
      <c r="A300" s="207">
        <v>171946</v>
      </c>
      <c r="B300" s="207"/>
      <c r="C300" s="208" t="s">
        <v>2707</v>
      </c>
      <c r="D300" s="207" t="s">
        <v>2708</v>
      </c>
      <c r="E300" s="207" t="s">
        <v>66</v>
      </c>
      <c r="F300" s="208"/>
      <c r="G300" s="207" t="s">
        <v>67</v>
      </c>
      <c r="H300" s="207" t="s">
        <v>2465</v>
      </c>
      <c r="I300" s="207" t="s">
        <v>69</v>
      </c>
      <c r="J300" s="208" t="s">
        <v>2495</v>
      </c>
      <c r="K300" s="207" t="s">
        <v>1766</v>
      </c>
      <c r="L300" s="207" t="s">
        <v>2466</v>
      </c>
      <c r="M300" s="4" t="s">
        <v>287</v>
      </c>
      <c r="N300" s="207" t="s">
        <v>74</v>
      </c>
      <c r="O300" s="207" t="s">
        <v>75</v>
      </c>
      <c r="P300" s="207">
        <v>45</v>
      </c>
      <c r="Q300" s="209">
        <v>45541</v>
      </c>
      <c r="R300" s="209">
        <v>45551</v>
      </c>
      <c r="S300" s="210"/>
      <c r="T300" s="210"/>
      <c r="U300" s="207"/>
      <c r="V300" s="207"/>
      <c r="W300" s="105"/>
      <c r="X300" s="211"/>
      <c r="Y300" s="208"/>
      <c r="Z300" s="207"/>
      <c r="AA300" s="207"/>
      <c r="AB300" s="207"/>
      <c r="AC300" s="207"/>
      <c r="AD300" s="210"/>
      <c r="AE300" s="212"/>
      <c r="AF300" s="207" t="s">
        <v>80</v>
      </c>
      <c r="AG300" s="211"/>
      <c r="AH300" s="207"/>
      <c r="AI300" s="208"/>
      <c r="AJ300" s="208"/>
      <c r="AK300" s="208"/>
      <c r="AL300" s="207"/>
      <c r="AM300" s="207"/>
      <c r="AN300" s="207"/>
      <c r="AO300" s="207"/>
      <c r="AP300" s="207"/>
      <c r="AQ300" s="208"/>
      <c r="AR300" s="207"/>
      <c r="AS300" s="207"/>
      <c r="AT300" s="213"/>
      <c r="AU300" s="207"/>
      <c r="AV300" s="207"/>
      <c r="AW300" s="207"/>
      <c r="AX300" s="207"/>
      <c r="AY300" s="207"/>
      <c r="AZ300" s="207"/>
      <c r="BA300" s="207" t="s">
        <v>90</v>
      </c>
      <c r="BB300" s="207">
        <v>10800</v>
      </c>
      <c r="BC300" s="207">
        <v>2700</v>
      </c>
      <c r="BD300" s="207">
        <v>0</v>
      </c>
      <c r="BE300" s="207" t="s">
        <v>91</v>
      </c>
      <c r="BF300" s="207"/>
      <c r="BG300" s="207"/>
      <c r="BH300" s="105"/>
      <c r="BI300" s="105"/>
      <c r="BJ300" s="105"/>
      <c r="BK300" s="207"/>
      <c r="BL300" s="105"/>
    </row>
    <row r="301" ht="19.95" customHeight="1">
      <c r="A301" s="207">
        <v>171952</v>
      </c>
      <c r="B301" s="207"/>
      <c r="C301" s="208" t="s">
        <v>2709</v>
      </c>
      <c r="D301" s="207" t="s">
        <v>2710</v>
      </c>
      <c r="E301" s="207" t="s">
        <v>66</v>
      </c>
      <c r="F301" s="208"/>
      <c r="G301" s="207" t="s">
        <v>67</v>
      </c>
      <c r="H301" s="207" t="s">
        <v>2465</v>
      </c>
      <c r="I301" s="207" t="s">
        <v>69</v>
      </c>
      <c r="J301" s="208" t="s">
        <v>2495</v>
      </c>
      <c r="K301" s="207" t="s">
        <v>1766</v>
      </c>
      <c r="L301" s="207" t="s">
        <v>2466</v>
      </c>
      <c r="M301" s="4" t="s">
        <v>73</v>
      </c>
      <c r="N301" s="207" t="s">
        <v>74</v>
      </c>
      <c r="O301" s="207" t="s">
        <v>75</v>
      </c>
      <c r="P301" s="207">
        <v>45</v>
      </c>
      <c r="Q301" s="209">
        <v>45541</v>
      </c>
      <c r="R301" s="209">
        <v>45551</v>
      </c>
      <c r="S301" s="210"/>
      <c r="T301" s="210"/>
      <c r="U301" s="207"/>
      <c r="V301" s="207"/>
      <c r="W301" s="105"/>
      <c r="X301" s="211"/>
      <c r="Y301" s="208"/>
      <c r="Z301" s="207"/>
      <c r="AA301" s="207"/>
      <c r="AB301" s="207"/>
      <c r="AC301" s="207"/>
      <c r="AD301" s="210"/>
      <c r="AE301" s="212"/>
      <c r="AF301" s="207" t="s">
        <v>80</v>
      </c>
      <c r="AG301" s="211"/>
      <c r="AH301" s="207"/>
      <c r="AI301" s="208"/>
      <c r="AJ301" s="208"/>
      <c r="AK301" s="208"/>
      <c r="AL301" s="207"/>
      <c r="AM301" s="207"/>
      <c r="AN301" s="207"/>
      <c r="AO301" s="207"/>
      <c r="AP301" s="207"/>
      <c r="AQ301" s="208"/>
      <c r="AR301" s="207"/>
      <c r="AS301" s="207"/>
      <c r="AT301" s="213"/>
      <c r="AU301" s="207"/>
      <c r="AV301" s="207"/>
      <c r="AW301" s="207"/>
      <c r="AX301" s="207"/>
      <c r="AY301" s="207"/>
      <c r="AZ301" s="207"/>
      <c r="BA301" s="207" t="s">
        <v>90</v>
      </c>
      <c r="BB301" s="207">
        <v>10800</v>
      </c>
      <c r="BC301" s="207">
        <v>2700</v>
      </c>
      <c r="BD301" s="207">
        <v>0</v>
      </c>
      <c r="BE301" s="207" t="s">
        <v>91</v>
      </c>
      <c r="BF301" s="207"/>
      <c r="BG301" s="207"/>
      <c r="BH301" s="105"/>
      <c r="BI301" s="105"/>
      <c r="BJ301" s="105"/>
      <c r="BK301" s="207"/>
      <c r="BL301" s="105"/>
    </row>
    <row r="302" ht="19.95" customHeight="1">
      <c r="A302" s="207">
        <v>171956</v>
      </c>
      <c r="B302" s="207"/>
      <c r="C302" s="208" t="s">
        <v>2711</v>
      </c>
      <c r="D302" s="207" t="s">
        <v>2712</v>
      </c>
      <c r="E302" s="207" t="s">
        <v>66</v>
      </c>
      <c r="F302" s="208"/>
      <c r="G302" s="207" t="s">
        <v>67</v>
      </c>
      <c r="H302" s="207" t="s">
        <v>2465</v>
      </c>
      <c r="I302" s="207" t="s">
        <v>69</v>
      </c>
      <c r="J302" s="208" t="s">
        <v>2495</v>
      </c>
      <c r="K302" s="207" t="s">
        <v>1766</v>
      </c>
      <c r="L302" s="207" t="s">
        <v>2466</v>
      </c>
      <c r="M302" s="4" t="s">
        <v>115</v>
      </c>
      <c r="N302" s="207" t="s">
        <v>74</v>
      </c>
      <c r="O302" s="207" t="s">
        <v>75</v>
      </c>
      <c r="P302" s="207">
        <v>45</v>
      </c>
      <c r="Q302" s="209">
        <v>45541</v>
      </c>
      <c r="R302" s="209">
        <v>45551</v>
      </c>
      <c r="S302" s="210"/>
      <c r="T302" s="210"/>
      <c r="U302" s="207"/>
      <c r="V302" s="207"/>
      <c r="W302" s="105"/>
      <c r="X302" s="211"/>
      <c r="Y302" s="208"/>
      <c r="Z302" s="207"/>
      <c r="AA302" s="207"/>
      <c r="AB302" s="207"/>
      <c r="AC302" s="207"/>
      <c r="AD302" s="210"/>
      <c r="AE302" s="212"/>
      <c r="AF302" s="207" t="s">
        <v>80</v>
      </c>
      <c r="AG302" s="211"/>
      <c r="AH302" s="207"/>
      <c r="AI302" s="208"/>
      <c r="AJ302" s="208"/>
      <c r="AK302" s="208"/>
      <c r="AL302" s="207"/>
      <c r="AM302" s="207"/>
      <c r="AN302" s="207"/>
      <c r="AO302" s="207"/>
      <c r="AP302" s="207"/>
      <c r="AQ302" s="208"/>
      <c r="AR302" s="207"/>
      <c r="AS302" s="207"/>
      <c r="AT302" s="213"/>
      <c r="AU302" s="207"/>
      <c r="AV302" s="207"/>
      <c r="AW302" s="207"/>
      <c r="AX302" s="207"/>
      <c r="AY302" s="207"/>
      <c r="AZ302" s="207"/>
      <c r="BA302" s="207" t="s">
        <v>90</v>
      </c>
      <c r="BB302" s="207">
        <v>10800</v>
      </c>
      <c r="BC302" s="207">
        <v>2700</v>
      </c>
      <c r="BD302" s="207">
        <v>0</v>
      </c>
      <c r="BE302" s="207" t="s">
        <v>91</v>
      </c>
      <c r="BF302" s="207"/>
      <c r="BG302" s="207"/>
      <c r="BH302" s="105"/>
      <c r="BI302" s="105"/>
      <c r="BJ302" s="105"/>
      <c r="BK302" s="207"/>
      <c r="BL302" s="105"/>
    </row>
    <row r="303" ht="19.95" customHeight="1">
      <c r="A303" s="207">
        <v>171963</v>
      </c>
      <c r="B303" s="207">
        <v>171963</v>
      </c>
      <c r="C303" s="208" t="s">
        <v>2713</v>
      </c>
      <c r="D303" s="207" t="s">
        <v>2714</v>
      </c>
      <c r="E303" s="207" t="s">
        <v>114</v>
      </c>
      <c r="F303" s="208">
        <v>1312666935</v>
      </c>
      <c r="G303" s="207" t="s">
        <v>67</v>
      </c>
      <c r="H303" s="207" t="s">
        <v>2465</v>
      </c>
      <c r="I303" s="207" t="s">
        <v>69</v>
      </c>
      <c r="J303" s="208" t="s">
        <v>155</v>
      </c>
      <c r="K303" s="207" t="s">
        <v>1766</v>
      </c>
      <c r="L303" s="207" t="s">
        <v>2466</v>
      </c>
      <c r="M303" s="4" t="s">
        <v>156</v>
      </c>
      <c r="N303" s="207" t="s">
        <v>74</v>
      </c>
      <c r="O303" s="207" t="s">
        <v>75</v>
      </c>
      <c r="P303" s="207">
        <v>45</v>
      </c>
      <c r="Q303" s="209">
        <v>45540</v>
      </c>
      <c r="R303" s="209">
        <v>45558</v>
      </c>
      <c r="S303" s="210" t="s">
        <v>242</v>
      </c>
      <c r="T303" s="210" t="s">
        <v>242</v>
      </c>
      <c r="U303" s="207" t="s">
        <v>242</v>
      </c>
      <c r="V303" s="207" t="s">
        <v>242</v>
      </c>
      <c r="W303" s="105" t="s">
        <v>2715</v>
      </c>
      <c r="X303" s="211">
        <v>1896092696</v>
      </c>
      <c r="Y303" s="208">
        <v>1924675280</v>
      </c>
      <c r="Z303" s="207" t="s">
        <v>2716</v>
      </c>
      <c r="AA303" s="207">
        <v>1763053605</v>
      </c>
      <c r="AB303" s="207" t="s">
        <v>252</v>
      </c>
      <c r="AC303" s="207" t="s">
        <v>119</v>
      </c>
      <c r="AD303" s="210">
        <v>37173</v>
      </c>
      <c r="AE303" s="212">
        <v>24</v>
      </c>
      <c r="AF303" s="207" t="s">
        <v>80</v>
      </c>
      <c r="AG303" s="211">
        <v>9582009610</v>
      </c>
      <c r="AH303" s="207" t="s">
        <v>242</v>
      </c>
      <c r="AI303" s="208" t="s">
        <v>925</v>
      </c>
      <c r="AJ303" s="208" t="s">
        <v>242</v>
      </c>
      <c r="AK303" s="208">
        <v>2022</v>
      </c>
      <c r="AL303" s="207" t="s">
        <v>2010</v>
      </c>
      <c r="AM303" s="207" t="s">
        <v>2717</v>
      </c>
      <c r="AN303" s="207" t="s">
        <v>2718</v>
      </c>
      <c r="AO303" s="207" t="s">
        <v>2719</v>
      </c>
      <c r="AP303" s="207" t="s">
        <v>2720</v>
      </c>
      <c r="AQ303" s="208" t="s">
        <v>2721</v>
      </c>
      <c r="AR303" s="207" t="s">
        <v>110</v>
      </c>
      <c r="AS303" s="207" t="s">
        <v>81</v>
      </c>
      <c r="AT303" s="213" t="s">
        <v>81</v>
      </c>
      <c r="AU303" s="207" t="s">
        <v>81</v>
      </c>
      <c r="AV303" s="207" t="s">
        <v>81</v>
      </c>
      <c r="AW303" s="207" t="s">
        <v>81</v>
      </c>
      <c r="AX303" s="207" t="s">
        <v>81</v>
      </c>
      <c r="AY303" s="207" t="s">
        <v>81</v>
      </c>
      <c r="AZ303" s="207" t="s">
        <v>2722</v>
      </c>
      <c r="BA303" s="207"/>
      <c r="BB303" s="207">
        <v>10800</v>
      </c>
      <c r="BC303" s="207">
        <v>2700</v>
      </c>
      <c r="BD303" s="207">
        <v>1000</v>
      </c>
      <c r="BE303" s="207" t="s">
        <v>166</v>
      </c>
      <c r="BF303" s="207" t="s">
        <v>242</v>
      </c>
      <c r="BG303" s="207" t="s">
        <v>242</v>
      </c>
      <c r="BH303" s="105" t="s">
        <v>242</v>
      </c>
      <c r="BI303" s="105" t="s">
        <v>242</v>
      </c>
      <c r="BJ303" s="105" t="s">
        <v>242</v>
      </c>
      <c r="BK303" s="207">
        <v>1924675280</v>
      </c>
      <c r="BL303" s="105"/>
    </row>
    <row r="304" ht="19.95" customHeight="1">
      <c r="A304" s="207">
        <v>171968</v>
      </c>
      <c r="B304" s="207">
        <v>171968</v>
      </c>
      <c r="C304" s="208" t="s">
        <v>2723</v>
      </c>
      <c r="D304" s="207" t="s">
        <v>2724</v>
      </c>
      <c r="E304" s="207" t="s">
        <v>114</v>
      </c>
      <c r="F304" s="208">
        <v>1410899210</v>
      </c>
      <c r="G304" s="207" t="s">
        <v>67</v>
      </c>
      <c r="H304" s="207" t="s">
        <v>2465</v>
      </c>
      <c r="I304" s="207" t="s">
        <v>69</v>
      </c>
      <c r="J304" s="208" t="s">
        <v>155</v>
      </c>
      <c r="K304" s="207" t="s">
        <v>1766</v>
      </c>
      <c r="L304" s="207" t="s">
        <v>2466</v>
      </c>
      <c r="M304" s="4" t="s">
        <v>183</v>
      </c>
      <c r="N304" s="207" t="s">
        <v>74</v>
      </c>
      <c r="O304" s="207" t="s">
        <v>75</v>
      </c>
      <c r="P304" s="207">
        <v>45</v>
      </c>
      <c r="Q304" s="209">
        <v>45540</v>
      </c>
      <c r="R304" s="209">
        <v>45558</v>
      </c>
      <c r="S304" s="210" t="s">
        <v>242</v>
      </c>
      <c r="T304" s="210" t="s">
        <v>242</v>
      </c>
      <c r="U304" s="207" t="s">
        <v>242</v>
      </c>
      <c r="V304" s="207" t="s">
        <v>242</v>
      </c>
      <c r="W304" s="105" t="s">
        <v>2725</v>
      </c>
      <c r="X304" s="211">
        <v>1918956338</v>
      </c>
      <c r="Y304" s="208">
        <v>1645056959</v>
      </c>
      <c r="Z304" s="207" t="s">
        <v>2726</v>
      </c>
      <c r="AA304" s="207">
        <v>1918956337</v>
      </c>
      <c r="AB304" s="207" t="s">
        <v>101</v>
      </c>
      <c r="AC304" s="207" t="s">
        <v>79</v>
      </c>
      <c r="AD304" s="210">
        <v>36291</v>
      </c>
      <c r="AE304" s="212">
        <v>24</v>
      </c>
      <c r="AF304" s="207" t="s">
        <v>80</v>
      </c>
      <c r="AG304" s="211">
        <v>4210773968</v>
      </c>
      <c r="AH304" s="207" t="s">
        <v>242</v>
      </c>
      <c r="AI304" s="208" t="s">
        <v>925</v>
      </c>
      <c r="AJ304" s="208" t="s">
        <v>242</v>
      </c>
      <c r="AK304" s="208">
        <v>2023</v>
      </c>
      <c r="AL304" s="207" t="s">
        <v>2727</v>
      </c>
      <c r="AM304" s="207" t="s">
        <v>2728</v>
      </c>
      <c r="AN304" s="207" t="s">
        <v>2729</v>
      </c>
      <c r="AO304" s="207" t="s">
        <v>2730</v>
      </c>
      <c r="AP304" s="207" t="s">
        <v>2730</v>
      </c>
      <c r="AQ304" s="208" t="s">
        <v>2731</v>
      </c>
      <c r="AR304" s="207" t="s">
        <v>89</v>
      </c>
      <c r="AS304" s="207" t="s">
        <v>2732</v>
      </c>
      <c r="AT304" s="213" t="s">
        <v>81</v>
      </c>
      <c r="AU304" s="207" t="s">
        <v>81</v>
      </c>
      <c r="AV304" s="207" t="s">
        <v>81</v>
      </c>
      <c r="AW304" s="207" t="s">
        <v>81</v>
      </c>
      <c r="AX304" s="207" t="s">
        <v>81</v>
      </c>
      <c r="AY304" s="207" t="s">
        <v>81</v>
      </c>
      <c r="AZ304" s="207" t="s">
        <v>81</v>
      </c>
      <c r="BA304" s="207"/>
      <c r="BB304" s="207">
        <v>10800</v>
      </c>
      <c r="BC304" s="207">
        <v>2700</v>
      </c>
      <c r="BD304" s="207">
        <v>1000</v>
      </c>
      <c r="BE304" s="207" t="s">
        <v>166</v>
      </c>
      <c r="BF304" s="207" t="s">
        <v>242</v>
      </c>
      <c r="BG304" s="207" t="s">
        <v>242</v>
      </c>
      <c r="BH304" s="105" t="s">
        <v>242</v>
      </c>
      <c r="BI304" s="105" t="s">
        <v>242</v>
      </c>
      <c r="BJ304" s="105" t="s">
        <v>242</v>
      </c>
      <c r="BK304" s="207">
        <v>1918956338</v>
      </c>
      <c r="BL304" s="105"/>
    </row>
    <row r="305" ht="19.95" customHeight="1">
      <c r="A305" s="207">
        <v>171964</v>
      </c>
      <c r="B305" s="207">
        <v>171964</v>
      </c>
      <c r="C305" s="208" t="s">
        <v>2733</v>
      </c>
      <c r="D305" s="207" t="s">
        <v>2734</v>
      </c>
      <c r="E305" s="207" t="s">
        <v>114</v>
      </c>
      <c r="F305" s="208">
        <v>1012692526</v>
      </c>
      <c r="G305" s="207" t="s">
        <v>67</v>
      </c>
      <c r="H305" s="207" t="s">
        <v>2465</v>
      </c>
      <c r="I305" s="207" t="s">
        <v>69</v>
      </c>
      <c r="J305" s="208" t="s">
        <v>155</v>
      </c>
      <c r="K305" s="207" t="s">
        <v>1766</v>
      </c>
      <c r="L305" s="207" t="s">
        <v>2466</v>
      </c>
      <c r="M305" s="4" t="s">
        <v>271</v>
      </c>
      <c r="N305" s="207" t="s">
        <v>74</v>
      </c>
      <c r="O305" s="207" t="s">
        <v>75</v>
      </c>
      <c r="P305" s="207">
        <v>45</v>
      </c>
      <c r="Q305" s="209">
        <v>45540</v>
      </c>
      <c r="R305" s="209">
        <v>45560</v>
      </c>
      <c r="S305" s="210" t="s">
        <v>242</v>
      </c>
      <c r="T305" s="210" t="s">
        <v>242</v>
      </c>
      <c r="U305" s="207" t="s">
        <v>242</v>
      </c>
      <c r="V305" s="207" t="s">
        <v>242</v>
      </c>
      <c r="W305" s="105" t="s">
        <v>2735</v>
      </c>
      <c r="X305" s="211">
        <v>1788260071</v>
      </c>
      <c r="Y305" s="208">
        <v>1788260071</v>
      </c>
      <c r="Z305" s="207" t="s">
        <v>2736</v>
      </c>
      <c r="AA305" s="207">
        <v>197244650</v>
      </c>
      <c r="AB305" s="207" t="s">
        <v>252</v>
      </c>
      <c r="AC305" s="207" t="s">
        <v>119</v>
      </c>
      <c r="AD305" s="210">
        <v>35776</v>
      </c>
      <c r="AE305" s="212">
        <v>26</v>
      </c>
      <c r="AF305" s="207" t="s">
        <v>80</v>
      </c>
      <c r="AG305" s="211">
        <v>1507191532</v>
      </c>
      <c r="AH305" s="207" t="s">
        <v>242</v>
      </c>
      <c r="AI305" s="208" t="s">
        <v>925</v>
      </c>
      <c r="AJ305" s="208" t="s">
        <v>242</v>
      </c>
      <c r="AK305" s="208">
        <v>2022</v>
      </c>
      <c r="AL305" s="207" t="s">
        <v>2737</v>
      </c>
      <c r="AM305" s="207" t="s">
        <v>2738</v>
      </c>
      <c r="AN305" s="207" t="s">
        <v>2739</v>
      </c>
      <c r="AO305" s="207" t="s">
        <v>2740</v>
      </c>
      <c r="AP305" s="207" t="s">
        <v>2741</v>
      </c>
      <c r="AQ305" s="208" t="s">
        <v>1188</v>
      </c>
      <c r="AR305" s="207" t="s">
        <v>110</v>
      </c>
      <c r="AS305" s="207" t="s">
        <v>81</v>
      </c>
      <c r="AT305" s="213" t="s">
        <v>81</v>
      </c>
      <c r="AU305" s="207" t="s">
        <v>81</v>
      </c>
      <c r="AV305" s="207" t="s">
        <v>81</v>
      </c>
      <c r="AW305" s="207" t="s">
        <v>81</v>
      </c>
      <c r="AX305" s="207" t="s">
        <v>81</v>
      </c>
      <c r="AY305" s="207" t="s">
        <v>81</v>
      </c>
      <c r="AZ305" s="207" t="s">
        <v>81</v>
      </c>
      <c r="BA305" s="207"/>
      <c r="BB305" s="207">
        <v>10800</v>
      </c>
      <c r="BC305" s="207">
        <v>2700</v>
      </c>
      <c r="BD305" s="207">
        <v>1000</v>
      </c>
      <c r="BE305" s="207" t="s">
        <v>166</v>
      </c>
      <c r="BF305" s="207" t="s">
        <v>242</v>
      </c>
      <c r="BG305" s="207" t="s">
        <v>242</v>
      </c>
      <c r="BH305" s="105" t="s">
        <v>242</v>
      </c>
      <c r="BI305" s="105" t="s">
        <v>242</v>
      </c>
      <c r="BJ305" s="105" t="s">
        <v>242</v>
      </c>
      <c r="BK305" s="207">
        <v>1788260071</v>
      </c>
      <c r="BL305" s="105"/>
    </row>
    <row r="306" ht="19.95" customHeight="1">
      <c r="A306" s="4">
        <v>171995</v>
      </c>
      <c r="B306" s="4">
        <v>171995</v>
      </c>
      <c r="C306" s="55" t="s">
        <v>2742</v>
      </c>
      <c r="D306" s="4" t="s">
        <v>2743</v>
      </c>
      <c r="E306" s="4" t="s">
        <v>114</v>
      </c>
      <c r="F306" s="55" t="s">
        <v>2744</v>
      </c>
      <c r="G306" s="4" t="s">
        <v>67</v>
      </c>
      <c r="H306" s="4" t="s">
        <v>2465</v>
      </c>
      <c r="I306" s="4" t="s">
        <v>69</v>
      </c>
      <c r="J306" s="55" t="s">
        <v>155</v>
      </c>
      <c r="K306" s="4" t="s">
        <v>1766</v>
      </c>
      <c r="L306" s="4" t="s">
        <v>2466</v>
      </c>
      <c r="M306" s="4" t="s">
        <v>271</v>
      </c>
      <c r="N306" s="4" t="s">
        <v>74</v>
      </c>
      <c r="O306" s="4" t="s">
        <v>75</v>
      </c>
      <c r="P306" s="4">
        <v>46</v>
      </c>
      <c r="Q306" s="57">
        <v>45553</v>
      </c>
      <c r="R306" s="57">
        <v>45571</v>
      </c>
      <c r="S306" s="113" t="s">
        <v>242</v>
      </c>
      <c r="T306" s="113" t="s">
        <v>242</v>
      </c>
      <c r="U306" s="4" t="s">
        <v>242</v>
      </c>
      <c r="V306" s="4" t="s">
        <v>242</v>
      </c>
      <c r="W306" s="105" t="s">
        <v>2745</v>
      </c>
      <c r="X306" s="114">
        <v>1730789927</v>
      </c>
      <c r="Y306" s="55">
        <v>1670423455</v>
      </c>
      <c r="Z306" s="4" t="s">
        <v>2746</v>
      </c>
      <c r="AA306" s="4">
        <v>1735444426</v>
      </c>
      <c r="AB306" s="4" t="s">
        <v>101</v>
      </c>
      <c r="AC306" s="4" t="s">
        <v>119</v>
      </c>
      <c r="AD306" s="113">
        <v>31657</v>
      </c>
      <c r="AE306" s="107">
        <v>38</v>
      </c>
      <c r="AF306" s="4" t="s">
        <v>80</v>
      </c>
      <c r="AG306" s="114">
        <v>7793742276</v>
      </c>
      <c r="AH306" s="4" t="s">
        <v>242</v>
      </c>
      <c r="AI306" s="55" t="s">
        <v>2747</v>
      </c>
      <c r="AJ306" s="55" t="s">
        <v>242</v>
      </c>
      <c r="AK306" s="55">
        <v>2011</v>
      </c>
      <c r="AL306" s="4" t="s">
        <v>1102</v>
      </c>
      <c r="AM306" s="4" t="s">
        <v>2746</v>
      </c>
      <c r="AN306" s="4" t="s">
        <v>2748</v>
      </c>
      <c r="AO306" s="4" t="s">
        <v>2749</v>
      </c>
      <c r="AP306" s="4" t="s">
        <v>2749</v>
      </c>
      <c r="AQ306" s="55" t="s">
        <v>88</v>
      </c>
      <c r="AR306" s="4" t="s">
        <v>89</v>
      </c>
      <c r="AS306" s="4" t="s">
        <v>2750</v>
      </c>
      <c r="AT306" s="72" t="s">
        <v>81</v>
      </c>
      <c r="AU306" s="4" t="s">
        <v>2751</v>
      </c>
      <c r="AV306" s="4">
        <v>42156</v>
      </c>
      <c r="AW306" s="4" t="s">
        <v>81</v>
      </c>
      <c r="AX306" s="4" t="s">
        <v>81</v>
      </c>
      <c r="AY306" s="4" t="s">
        <v>81</v>
      </c>
      <c r="AZ306" s="4" t="s">
        <v>81</v>
      </c>
      <c r="BA306" s="4" t="s">
        <v>90</v>
      </c>
      <c r="BB306" s="4">
        <v>10800</v>
      </c>
      <c r="BC306" s="4">
        <v>2700</v>
      </c>
      <c r="BD306" s="4">
        <v>1000</v>
      </c>
      <c r="BE306" s="4" t="s">
        <v>166</v>
      </c>
      <c r="BF306" s="4" t="s">
        <v>242</v>
      </c>
      <c r="BG306" s="4" t="s">
        <v>242</v>
      </c>
      <c r="BH306" s="105" t="s">
        <v>242</v>
      </c>
      <c r="BI306" s="105" t="s">
        <v>242</v>
      </c>
      <c r="BJ306" s="105" t="s">
        <v>242</v>
      </c>
      <c r="BK306" s="4">
        <v>1670423455</v>
      </c>
      <c r="BL306" s="105"/>
    </row>
    <row r="307" ht="19.95" customHeight="1">
      <c r="A307" s="4">
        <v>171993</v>
      </c>
      <c r="B307" s="4">
        <v>171993</v>
      </c>
      <c r="C307" s="55" t="s">
        <v>2752</v>
      </c>
      <c r="D307" s="4" t="s">
        <v>2753</v>
      </c>
      <c r="E307" s="4" t="s">
        <v>114</v>
      </c>
      <c r="F307" s="55">
        <v>1415193500</v>
      </c>
      <c r="G307" s="4" t="s">
        <v>67</v>
      </c>
      <c r="H307" s="4" t="s">
        <v>2465</v>
      </c>
      <c r="I307" s="4" t="s">
        <v>69</v>
      </c>
      <c r="J307" s="55" t="s">
        <v>155</v>
      </c>
      <c r="K307" s="4" t="s">
        <v>1766</v>
      </c>
      <c r="L307" s="4" t="s">
        <v>2466</v>
      </c>
      <c r="M307" s="4" t="s">
        <v>156</v>
      </c>
      <c r="N307" s="4" t="s">
        <v>74</v>
      </c>
      <c r="O307" s="4" t="s">
        <v>75</v>
      </c>
      <c r="P307" s="4">
        <v>46</v>
      </c>
      <c r="Q307" s="57">
        <v>45553</v>
      </c>
      <c r="R307" s="57">
        <v>45572</v>
      </c>
      <c r="S307" s="113" t="s">
        <v>242</v>
      </c>
      <c r="T307" s="113" t="s">
        <v>242</v>
      </c>
      <c r="U307" s="4" t="s">
        <v>242</v>
      </c>
      <c r="V307" s="4" t="s">
        <v>242</v>
      </c>
      <c r="W307" s="105" t="s">
        <v>2754</v>
      </c>
      <c r="X307" s="114">
        <v>1865384419</v>
      </c>
      <c r="Y307" s="55">
        <v>1865384419</v>
      </c>
      <c r="Z307" s="4" t="s">
        <v>2755</v>
      </c>
      <c r="AA307" s="4">
        <v>1726256666</v>
      </c>
      <c r="AB307" s="4" t="s">
        <v>2756</v>
      </c>
      <c r="AC307" s="4" t="s">
        <v>133</v>
      </c>
      <c r="AD307" s="113" t="s">
        <v>2757</v>
      </c>
      <c r="AE307" s="107">
        <v>23</v>
      </c>
      <c r="AF307" s="4" t="s">
        <v>80</v>
      </c>
      <c r="AG307" s="114">
        <v>2862202922</v>
      </c>
      <c r="AH307" s="4" t="s">
        <v>242</v>
      </c>
      <c r="AI307" s="55" t="s">
        <v>925</v>
      </c>
      <c r="AJ307" s="55" t="s">
        <v>242</v>
      </c>
      <c r="AK307" s="55">
        <v>2023</v>
      </c>
      <c r="AL307" s="4" t="s">
        <v>2758</v>
      </c>
      <c r="AM307" s="4" t="s">
        <v>2759</v>
      </c>
      <c r="AN307" s="4" t="s">
        <v>2760</v>
      </c>
      <c r="AO307" s="4" t="s">
        <v>2761</v>
      </c>
      <c r="AP307" s="4" t="s">
        <v>2762</v>
      </c>
      <c r="AQ307" s="55" t="s">
        <v>285</v>
      </c>
      <c r="AR307" s="4" t="s">
        <v>110</v>
      </c>
      <c r="AS307" s="4" t="s">
        <v>81</v>
      </c>
      <c r="AT307" s="72" t="s">
        <v>81</v>
      </c>
      <c r="AU307" s="4" t="s">
        <v>81</v>
      </c>
      <c r="AV307" s="4" t="s">
        <v>81</v>
      </c>
      <c r="AW307" s="4" t="s">
        <v>81</v>
      </c>
      <c r="AX307" s="4" t="s">
        <v>81</v>
      </c>
      <c r="AY307" s="4" t="s">
        <v>81</v>
      </c>
      <c r="AZ307" s="4" t="s">
        <v>81</v>
      </c>
      <c r="BA307" s="4" t="s">
        <v>90</v>
      </c>
      <c r="BB307" s="4">
        <v>10800</v>
      </c>
      <c r="BC307" s="4">
        <v>2700</v>
      </c>
      <c r="BD307" s="4">
        <v>1000</v>
      </c>
      <c r="BE307" s="4" t="s">
        <v>166</v>
      </c>
      <c r="BF307" s="4" t="s">
        <v>242</v>
      </c>
      <c r="BG307" s="4" t="s">
        <v>242</v>
      </c>
      <c r="BH307" s="105" t="s">
        <v>242</v>
      </c>
      <c r="BI307" s="105" t="s">
        <v>242</v>
      </c>
      <c r="BJ307" s="105" t="s">
        <v>242</v>
      </c>
      <c r="BK307" s="4">
        <v>1865384419</v>
      </c>
      <c r="BL307" s="105"/>
    </row>
    <row r="308" ht="19.95" customHeight="1">
      <c r="A308" s="4">
        <v>171992</v>
      </c>
      <c r="B308" s="4">
        <v>171992</v>
      </c>
      <c r="C308" s="55" t="s">
        <v>2763</v>
      </c>
      <c r="D308" s="4" t="s">
        <v>2764</v>
      </c>
      <c r="E308" s="4" t="s">
        <v>114</v>
      </c>
      <c r="F308" s="55">
        <v>668211</v>
      </c>
      <c r="G308" s="4" t="s">
        <v>67</v>
      </c>
      <c r="H308" s="4" t="s">
        <v>2465</v>
      </c>
      <c r="I308" s="4" t="s">
        <v>69</v>
      </c>
      <c r="J308" s="55" t="s">
        <v>155</v>
      </c>
      <c r="K308" s="4" t="s">
        <v>1766</v>
      </c>
      <c r="L308" s="4" t="s">
        <v>2466</v>
      </c>
      <c r="M308" s="4" t="s">
        <v>171</v>
      </c>
      <c r="N308" s="4" t="s">
        <v>74</v>
      </c>
      <c r="O308" s="4" t="s">
        <v>75</v>
      </c>
      <c r="P308" s="4">
        <v>46</v>
      </c>
      <c r="Q308" s="57">
        <v>45553</v>
      </c>
      <c r="R308" s="57">
        <v>45574</v>
      </c>
      <c r="S308" s="113" t="s">
        <v>242</v>
      </c>
      <c r="T308" s="113" t="s">
        <v>242</v>
      </c>
      <c r="U308" s="4" t="s">
        <v>242</v>
      </c>
      <c r="V308" s="4" t="s">
        <v>242</v>
      </c>
      <c r="W308" s="105" t="s">
        <v>2765</v>
      </c>
      <c r="X308" s="114">
        <v>1932698046</v>
      </c>
      <c r="Y308" s="55">
        <v>1754944864</v>
      </c>
      <c r="Z308" s="4" t="s">
        <v>2766</v>
      </c>
      <c r="AA308" s="4">
        <v>1710199647</v>
      </c>
      <c r="AB308" s="4" t="s">
        <v>2767</v>
      </c>
      <c r="AC308" s="4" t="s">
        <v>119</v>
      </c>
      <c r="AD308" s="113">
        <v>34461</v>
      </c>
      <c r="AE308" s="107">
        <v>30</v>
      </c>
      <c r="AF308" s="4" t="s">
        <v>360</v>
      </c>
      <c r="AG308" s="114">
        <v>5953743662</v>
      </c>
      <c r="AH308" s="4" t="s">
        <v>242</v>
      </c>
      <c r="AI308" s="55" t="s">
        <v>925</v>
      </c>
      <c r="AJ308" s="55" t="s">
        <v>242</v>
      </c>
      <c r="AK308" s="55">
        <v>2018</v>
      </c>
      <c r="AL308" s="4" t="s">
        <v>2768</v>
      </c>
      <c r="AM308" s="4" t="s">
        <v>2769</v>
      </c>
      <c r="AN308" s="4" t="s">
        <v>2770</v>
      </c>
      <c r="AO308" s="4" t="s">
        <v>2771</v>
      </c>
      <c r="AP308" s="4" t="s">
        <v>2772</v>
      </c>
      <c r="AQ308" s="55" t="s">
        <v>2773</v>
      </c>
      <c r="AR308" s="4" t="s">
        <v>110</v>
      </c>
      <c r="AS308" s="4" t="s">
        <v>81</v>
      </c>
      <c r="AT308" s="72" t="s">
        <v>81</v>
      </c>
      <c r="AU308" s="4" t="s">
        <v>81</v>
      </c>
      <c r="AV308" s="4" t="s">
        <v>81</v>
      </c>
      <c r="AW308" s="4" t="s">
        <v>81</v>
      </c>
      <c r="AX308" s="4" t="s">
        <v>81</v>
      </c>
      <c r="AY308" s="4" t="s">
        <v>81</v>
      </c>
      <c r="AZ308" s="4" t="s">
        <v>81</v>
      </c>
      <c r="BA308" s="4" t="s">
        <v>90</v>
      </c>
      <c r="BB308" s="4">
        <v>10800</v>
      </c>
      <c r="BC308" s="4">
        <v>2700</v>
      </c>
      <c r="BD308" s="4">
        <v>1000</v>
      </c>
      <c r="BE308" s="4" t="s">
        <v>166</v>
      </c>
      <c r="BF308" s="4" t="s">
        <v>242</v>
      </c>
      <c r="BG308" s="4" t="s">
        <v>242</v>
      </c>
      <c r="BH308" s="105" t="s">
        <v>242</v>
      </c>
      <c r="BI308" s="105" t="s">
        <v>242</v>
      </c>
      <c r="BJ308" s="105" t="s">
        <v>242</v>
      </c>
      <c r="BK308" s="4">
        <v>1754944864</v>
      </c>
      <c r="BL308" s="105"/>
    </row>
    <row r="309" ht="19.95" customHeight="1">
      <c r="A309" s="4">
        <v>171994</v>
      </c>
      <c r="B309" s="4">
        <v>171994</v>
      </c>
      <c r="C309" s="55" t="s">
        <v>2774</v>
      </c>
      <c r="D309" s="4" t="s">
        <v>2775</v>
      </c>
      <c r="E309" s="4" t="s">
        <v>114</v>
      </c>
      <c r="F309" s="55">
        <v>201605</v>
      </c>
      <c r="G309" s="4" t="s">
        <v>67</v>
      </c>
      <c r="H309" s="4" t="s">
        <v>2465</v>
      </c>
      <c r="I309" s="4" t="s">
        <v>69</v>
      </c>
      <c r="J309" s="55" t="s">
        <v>155</v>
      </c>
      <c r="K309" s="4" t="s">
        <v>1766</v>
      </c>
      <c r="L309" s="4" t="s">
        <v>2466</v>
      </c>
      <c r="M309" s="4" t="s">
        <v>183</v>
      </c>
      <c r="N309" s="4" t="s">
        <v>74</v>
      </c>
      <c r="O309" s="4" t="s">
        <v>75</v>
      </c>
      <c r="P309" s="4">
        <v>46</v>
      </c>
      <c r="Q309" s="57">
        <v>45553</v>
      </c>
      <c r="R309" s="57">
        <v>45572</v>
      </c>
      <c r="S309" s="113" t="s">
        <v>242</v>
      </c>
      <c r="T309" s="113" t="s">
        <v>242</v>
      </c>
      <c r="U309" s="4" t="s">
        <v>242</v>
      </c>
      <c r="V309" s="4" t="s">
        <v>242</v>
      </c>
      <c r="W309" s="105" t="s">
        <v>2776</v>
      </c>
      <c r="X309" s="114">
        <v>1712567808</v>
      </c>
      <c r="Y309" s="55">
        <v>1515246475</v>
      </c>
      <c r="Z309" s="4" t="s">
        <v>2777</v>
      </c>
      <c r="AA309" s="4">
        <v>1517848778</v>
      </c>
      <c r="AB309" s="4" t="s">
        <v>2778</v>
      </c>
      <c r="AC309" s="4" t="s">
        <v>133</v>
      </c>
      <c r="AD309" s="113">
        <v>32509</v>
      </c>
      <c r="AE309" s="107">
        <v>35</v>
      </c>
      <c r="AF309" s="4" t="s">
        <v>80</v>
      </c>
      <c r="AG309" s="114">
        <v>1942059252</v>
      </c>
      <c r="AH309" s="4" t="s">
        <v>242</v>
      </c>
      <c r="AI309" s="55" t="s">
        <v>925</v>
      </c>
      <c r="AJ309" s="55" t="s">
        <v>242</v>
      </c>
      <c r="AK309" s="55">
        <v>2010</v>
      </c>
      <c r="AL309" s="4" t="s">
        <v>83</v>
      </c>
      <c r="AM309" s="4" t="s">
        <v>2779</v>
      </c>
      <c r="AN309" s="4" t="s">
        <v>2780</v>
      </c>
      <c r="AO309" s="4" t="s">
        <v>2781</v>
      </c>
      <c r="AP309" s="4" t="s">
        <v>2782</v>
      </c>
      <c r="AQ309" s="55" t="s">
        <v>666</v>
      </c>
      <c r="AR309" s="4" t="s">
        <v>89</v>
      </c>
      <c r="AS309" s="4" t="s">
        <v>2783</v>
      </c>
      <c r="AT309" s="72" t="s">
        <v>81</v>
      </c>
      <c r="AU309" s="4" t="s">
        <v>81</v>
      </c>
      <c r="AV309" s="4" t="s">
        <v>81</v>
      </c>
      <c r="AW309" s="4" t="s">
        <v>81</v>
      </c>
      <c r="AX309" s="4" t="s">
        <v>81</v>
      </c>
      <c r="AY309" s="4" t="s">
        <v>81</v>
      </c>
      <c r="AZ309" s="4" t="s">
        <v>81</v>
      </c>
      <c r="BA309" s="4" t="s">
        <v>90</v>
      </c>
      <c r="BB309" s="4">
        <v>10800</v>
      </c>
      <c r="BC309" s="4">
        <v>2700</v>
      </c>
      <c r="BD309" s="4">
        <v>1000</v>
      </c>
      <c r="BE309" s="4" t="s">
        <v>166</v>
      </c>
      <c r="BF309" s="4" t="s">
        <v>242</v>
      </c>
      <c r="BG309" s="4" t="s">
        <v>242</v>
      </c>
      <c r="BH309" s="105" t="s">
        <v>242</v>
      </c>
      <c r="BI309" s="105" t="s">
        <v>242</v>
      </c>
      <c r="BJ309" s="105" t="s">
        <v>242</v>
      </c>
      <c r="BK309" s="4">
        <v>1712567808</v>
      </c>
      <c r="BL309" s="105"/>
    </row>
    <row r="310" ht="19.95" customHeight="1">
      <c r="A310" s="4">
        <v>171985</v>
      </c>
      <c r="B310" s="4">
        <v>171985</v>
      </c>
      <c r="C310" s="55" t="s">
        <v>2784</v>
      </c>
      <c r="D310" s="4" t="s">
        <v>2785</v>
      </c>
      <c r="E310" s="207" t="s">
        <v>66</v>
      </c>
      <c r="F310" s="55">
        <v>1010996936</v>
      </c>
      <c r="G310" s="4" t="s">
        <v>67</v>
      </c>
      <c r="H310" s="4" t="s">
        <v>2465</v>
      </c>
      <c r="I310" s="4" t="s">
        <v>2494</v>
      </c>
      <c r="J310" s="55" t="s">
        <v>307</v>
      </c>
      <c r="K310" s="4" t="s">
        <v>71</v>
      </c>
      <c r="L310" s="4" t="s">
        <v>2466</v>
      </c>
      <c r="M310" s="4" t="s">
        <v>308</v>
      </c>
      <c r="N310" s="4" t="s">
        <v>74</v>
      </c>
      <c r="O310" s="4" t="s">
        <v>2346</v>
      </c>
      <c r="P310" s="4">
        <v>46</v>
      </c>
      <c r="Q310" s="57">
        <v>45553</v>
      </c>
      <c r="R310" s="57">
        <v>45567</v>
      </c>
      <c r="S310" s="113" t="s">
        <v>81</v>
      </c>
      <c r="T310" s="113" t="s">
        <v>81</v>
      </c>
      <c r="U310" s="4" t="s">
        <v>81</v>
      </c>
      <c r="V310" s="4" t="s">
        <v>81</v>
      </c>
      <c r="W310" s="105" t="s">
        <v>2786</v>
      </c>
      <c r="X310" s="114">
        <v>1626852456</v>
      </c>
      <c r="Y310" s="55" t="s">
        <v>81</v>
      </c>
      <c r="Z310" s="4" t="s">
        <v>2787</v>
      </c>
      <c r="AA310" s="4">
        <v>1941320150</v>
      </c>
      <c r="AB310" s="4" t="s">
        <v>2788</v>
      </c>
      <c r="AC310" s="4" t="s">
        <v>133</v>
      </c>
      <c r="AD310" s="113">
        <v>35234</v>
      </c>
      <c r="AE310" s="107"/>
      <c r="AF310" s="4" t="s">
        <v>80</v>
      </c>
      <c r="AG310" s="114">
        <v>1958000000</v>
      </c>
      <c r="AH310" s="4" t="s">
        <v>81</v>
      </c>
      <c r="AI310" s="55" t="s">
        <v>241</v>
      </c>
      <c r="AJ310" s="55" t="s">
        <v>81</v>
      </c>
      <c r="AK310" s="55" t="s">
        <v>81</v>
      </c>
      <c r="AL310" s="4" t="s">
        <v>2789</v>
      </c>
      <c r="AM310" s="4" t="s">
        <v>2790</v>
      </c>
      <c r="AN310" s="4" t="s">
        <v>2479</v>
      </c>
      <c r="AO310" s="4" t="s">
        <v>2791</v>
      </c>
      <c r="AP310" s="4" t="s">
        <v>2792</v>
      </c>
      <c r="AQ310" s="55" t="s">
        <v>2188</v>
      </c>
      <c r="AR310" s="4" t="s">
        <v>110</v>
      </c>
      <c r="AS310" s="4" t="s">
        <v>81</v>
      </c>
      <c r="AT310" s="72" t="s">
        <v>81</v>
      </c>
      <c r="AU310" s="4" t="s">
        <v>81</v>
      </c>
      <c r="AV310" s="4" t="s">
        <v>81</v>
      </c>
      <c r="AW310" s="4" t="s">
        <v>81</v>
      </c>
      <c r="AX310" s="4" t="s">
        <v>81</v>
      </c>
      <c r="AY310" s="4" t="s">
        <v>81</v>
      </c>
      <c r="AZ310" s="4" t="s">
        <v>81</v>
      </c>
      <c r="BA310" s="4" t="s">
        <v>90</v>
      </c>
      <c r="BB310" s="4">
        <v>10800</v>
      </c>
      <c r="BC310" s="4">
        <v>2700</v>
      </c>
      <c r="BD310" s="4">
        <v>1000</v>
      </c>
      <c r="BE310" s="4" t="s">
        <v>91</v>
      </c>
      <c r="BF310" s="4" t="s">
        <v>242</v>
      </c>
      <c r="BG310" s="4" t="s">
        <v>242</v>
      </c>
      <c r="BH310" s="105" t="s">
        <v>242</v>
      </c>
      <c r="BI310" s="105" t="s">
        <v>242</v>
      </c>
      <c r="BJ310" s="105" t="s">
        <v>242</v>
      </c>
      <c r="BK310" s="4"/>
      <c r="BL310" s="105"/>
    </row>
    <row r="311" ht="19.95" customHeight="1">
      <c r="A311" s="4">
        <v>171989</v>
      </c>
      <c r="B311" s="4">
        <v>171989</v>
      </c>
      <c r="C311" s="55" t="s">
        <v>2793</v>
      </c>
      <c r="D311" s="4" t="s">
        <v>2794</v>
      </c>
      <c r="E311" s="207" t="s">
        <v>66</v>
      </c>
      <c r="F311" s="55">
        <v>503170</v>
      </c>
      <c r="G311" s="4" t="s">
        <v>67</v>
      </c>
      <c r="H311" s="4" t="s">
        <v>2465</v>
      </c>
      <c r="I311" s="4" t="s">
        <v>2494</v>
      </c>
      <c r="J311" s="55" t="s">
        <v>307</v>
      </c>
      <c r="K311" s="4" t="s">
        <v>71</v>
      </c>
      <c r="L311" s="4" t="s">
        <v>2466</v>
      </c>
      <c r="M311" s="4" t="s">
        <v>458</v>
      </c>
      <c r="N311" s="4" t="s">
        <v>74</v>
      </c>
      <c r="O311" s="4" t="s">
        <v>2346</v>
      </c>
      <c r="P311" s="4">
        <v>46</v>
      </c>
      <c r="Q311" s="57">
        <v>45553</v>
      </c>
      <c r="R311" s="57">
        <v>45567</v>
      </c>
      <c r="S311" s="113" t="s">
        <v>81</v>
      </c>
      <c r="T311" s="113" t="s">
        <v>81</v>
      </c>
      <c r="U311" s="4" t="s">
        <v>81</v>
      </c>
      <c r="V311" s="4" t="s">
        <v>81</v>
      </c>
      <c r="W311" s="105" t="s">
        <v>2795</v>
      </c>
      <c r="X311" s="114">
        <v>1632692678</v>
      </c>
      <c r="Y311" s="55">
        <v>1832497126</v>
      </c>
      <c r="Z311" s="4" t="s">
        <v>2294</v>
      </c>
      <c r="AA311" s="4">
        <v>1782354709</v>
      </c>
      <c r="AB311" s="4" t="s">
        <v>252</v>
      </c>
      <c r="AC311" s="4" t="s">
        <v>133</v>
      </c>
      <c r="AD311" s="113">
        <v>35177</v>
      </c>
      <c r="AE311" s="107"/>
      <c r="AF311" s="4" t="s">
        <v>80</v>
      </c>
      <c r="AG311" s="114">
        <v>8252820785</v>
      </c>
      <c r="AH311" s="4" t="s">
        <v>81</v>
      </c>
      <c r="AI311" s="55" t="s">
        <v>2523</v>
      </c>
      <c r="AJ311" s="55" t="s">
        <v>81</v>
      </c>
      <c r="AK311" s="55" t="s">
        <v>81</v>
      </c>
      <c r="AL311" s="4" t="s">
        <v>2796</v>
      </c>
      <c r="AM311" s="4" t="s">
        <v>2797</v>
      </c>
      <c r="AN311" s="4" t="s">
        <v>2798</v>
      </c>
      <c r="AO311" s="4" t="s">
        <v>2799</v>
      </c>
      <c r="AP311" s="4" t="s">
        <v>2800</v>
      </c>
      <c r="AQ311" s="55" t="s">
        <v>555</v>
      </c>
      <c r="AR311" s="4" t="s">
        <v>110</v>
      </c>
      <c r="AS311" s="4" t="s">
        <v>81</v>
      </c>
      <c r="AT311" s="72" t="s">
        <v>81</v>
      </c>
      <c r="AU311" s="4" t="s">
        <v>81</v>
      </c>
      <c r="AV311" s="4" t="s">
        <v>81</v>
      </c>
      <c r="AW311" s="4" t="s">
        <v>81</v>
      </c>
      <c r="AX311" s="4" t="s">
        <v>81</v>
      </c>
      <c r="AY311" s="4" t="s">
        <v>81</v>
      </c>
      <c r="AZ311" s="4" t="s">
        <v>81</v>
      </c>
      <c r="BA311" s="4" t="s">
        <v>90</v>
      </c>
      <c r="BB311" s="4">
        <v>10800</v>
      </c>
      <c r="BC311" s="4">
        <v>2700</v>
      </c>
      <c r="BD311" s="4">
        <v>1000</v>
      </c>
      <c r="BE311" s="4" t="s">
        <v>91</v>
      </c>
      <c r="BF311" s="4" t="s">
        <v>242</v>
      </c>
      <c r="BG311" s="4" t="s">
        <v>242</v>
      </c>
      <c r="BH311" s="105" t="s">
        <v>242</v>
      </c>
      <c r="BI311" s="105" t="s">
        <v>242</v>
      </c>
      <c r="BJ311" s="105" t="s">
        <v>242</v>
      </c>
      <c r="BK311" s="4"/>
      <c r="BL311" s="105"/>
    </row>
    <row r="312" ht="19.95" customHeight="1">
      <c r="A312" s="4">
        <v>171975</v>
      </c>
      <c r="B312" s="4">
        <v>171975</v>
      </c>
      <c r="C312" s="55" t="s">
        <v>2801</v>
      </c>
      <c r="D312" s="4" t="s">
        <v>2802</v>
      </c>
      <c r="E312" s="207" t="s">
        <v>66</v>
      </c>
      <c r="F312" s="55">
        <v>456335</v>
      </c>
      <c r="G312" s="4" t="s">
        <v>67</v>
      </c>
      <c r="H312" s="4" t="s">
        <v>2465</v>
      </c>
      <c r="I312" s="4" t="s">
        <v>2494</v>
      </c>
      <c r="J312" s="55" t="s">
        <v>2803</v>
      </c>
      <c r="K312" s="4" t="s">
        <v>71</v>
      </c>
      <c r="L312" s="4" t="s">
        <v>2466</v>
      </c>
      <c r="M312" s="4" t="s">
        <v>115</v>
      </c>
      <c r="N312" s="4" t="s">
        <v>74</v>
      </c>
      <c r="O312" s="4" t="s">
        <v>2346</v>
      </c>
      <c r="P312" s="4">
        <v>46</v>
      </c>
      <c r="Q312" s="57">
        <v>45553</v>
      </c>
      <c r="R312" s="57">
        <v>45568</v>
      </c>
      <c r="S312" s="113" t="s">
        <v>81</v>
      </c>
      <c r="T312" s="113" t="s">
        <v>81</v>
      </c>
      <c r="U312" s="4" t="s">
        <v>81</v>
      </c>
      <c r="V312" s="4" t="s">
        <v>81</v>
      </c>
      <c r="W312" s="105" t="s">
        <v>2804</v>
      </c>
      <c r="X312" s="114">
        <v>1775537307</v>
      </c>
      <c r="Y312" s="55" t="s">
        <v>81</v>
      </c>
      <c r="Z312" s="4" t="s">
        <v>1669</v>
      </c>
      <c r="AA312" s="4">
        <v>1922020497</v>
      </c>
      <c r="AB312" s="4" t="s">
        <v>132</v>
      </c>
      <c r="AC312" s="4" t="s">
        <v>133</v>
      </c>
      <c r="AD312" s="113">
        <v>35269</v>
      </c>
      <c r="AE312" s="107"/>
      <c r="AF312" s="4" t="s">
        <v>80</v>
      </c>
      <c r="AG312" s="114">
        <v>5552592916</v>
      </c>
      <c r="AH312" s="4" t="s">
        <v>81</v>
      </c>
      <c r="AI312" s="55" t="s">
        <v>265</v>
      </c>
      <c r="AJ312" s="55" t="s">
        <v>81</v>
      </c>
      <c r="AK312" s="55" t="s">
        <v>81</v>
      </c>
      <c r="AL312" s="4" t="s">
        <v>2805</v>
      </c>
      <c r="AM312" s="4" t="s">
        <v>2806</v>
      </c>
      <c r="AN312" s="4" t="s">
        <v>1669</v>
      </c>
      <c r="AO312" s="4" t="s">
        <v>2807</v>
      </c>
      <c r="AP312" s="4" t="s">
        <v>2807</v>
      </c>
      <c r="AQ312" s="55" t="s">
        <v>499</v>
      </c>
      <c r="AR312" s="4" t="s">
        <v>110</v>
      </c>
      <c r="AS312" s="4" t="s">
        <v>81</v>
      </c>
      <c r="AT312" s="72" t="s">
        <v>81</v>
      </c>
      <c r="AU312" s="4" t="s">
        <v>81</v>
      </c>
      <c r="AV312" s="4" t="s">
        <v>81</v>
      </c>
      <c r="AW312" s="4" t="s">
        <v>81</v>
      </c>
      <c r="AX312" s="4" t="s">
        <v>81</v>
      </c>
      <c r="AY312" s="4" t="s">
        <v>81</v>
      </c>
      <c r="AZ312" s="4" t="s">
        <v>81</v>
      </c>
      <c r="BA312" s="4" t="s">
        <v>90</v>
      </c>
      <c r="BB312" s="4">
        <v>10800</v>
      </c>
      <c r="BC312" s="4">
        <v>2700</v>
      </c>
      <c r="BD312" s="4">
        <v>1000</v>
      </c>
      <c r="BE312" s="4" t="s">
        <v>91</v>
      </c>
      <c r="BF312" s="4" t="s">
        <v>242</v>
      </c>
      <c r="BG312" s="4" t="s">
        <v>242</v>
      </c>
      <c r="BH312" s="105" t="s">
        <v>242</v>
      </c>
      <c r="BI312" s="105" t="s">
        <v>242</v>
      </c>
      <c r="BJ312" s="105" t="s">
        <v>242</v>
      </c>
      <c r="BK312" s="4"/>
      <c r="BL312" s="105"/>
    </row>
    <row r="313" ht="19.95" customHeight="1">
      <c r="A313" s="4">
        <v>171987</v>
      </c>
      <c r="B313" s="4">
        <v>171987</v>
      </c>
      <c r="C313" s="55" t="s">
        <v>2808</v>
      </c>
      <c r="D313" s="4" t="s">
        <v>2809</v>
      </c>
      <c r="E313" s="207" t="s">
        <v>66</v>
      </c>
      <c r="F313" s="55">
        <v>1110477365</v>
      </c>
      <c r="G313" s="4" t="s">
        <v>67</v>
      </c>
      <c r="H313" s="4" t="s">
        <v>2465</v>
      </c>
      <c r="I313" s="4" t="s">
        <v>2494</v>
      </c>
      <c r="J313" s="55" t="s">
        <v>2520</v>
      </c>
      <c r="K313" s="4" t="s">
        <v>71</v>
      </c>
      <c r="L313" s="4" t="s">
        <v>2466</v>
      </c>
      <c r="M313" s="4" t="s">
        <v>73</v>
      </c>
      <c r="N313" s="4" t="s">
        <v>74</v>
      </c>
      <c r="O313" s="4" t="s">
        <v>2346</v>
      </c>
      <c r="P313" s="4">
        <v>46</v>
      </c>
      <c r="Q313" s="57">
        <v>45553</v>
      </c>
      <c r="R313" s="57">
        <v>45569</v>
      </c>
      <c r="S313" s="113" t="s">
        <v>81</v>
      </c>
      <c r="T313" s="113" t="s">
        <v>81</v>
      </c>
      <c r="U313" s="4" t="s">
        <v>81</v>
      </c>
      <c r="V313" s="4" t="s">
        <v>81</v>
      </c>
      <c r="W313" s="105" t="s">
        <v>2810</v>
      </c>
      <c r="X313" s="114">
        <v>1860291330</v>
      </c>
      <c r="Y313" s="55">
        <v>1713545323</v>
      </c>
      <c r="Z313" s="4" t="s">
        <v>2811</v>
      </c>
      <c r="AA313" s="4">
        <v>1521219974</v>
      </c>
      <c r="AB313" s="4" t="s">
        <v>2812</v>
      </c>
      <c r="AC313" s="4" t="s">
        <v>133</v>
      </c>
      <c r="AD313" s="113" t="s">
        <v>2813</v>
      </c>
      <c r="AE313" s="107"/>
      <c r="AF313" s="4" t="s">
        <v>80</v>
      </c>
      <c r="AG313" s="114">
        <v>6454606721</v>
      </c>
      <c r="AH313" s="4" t="s">
        <v>81</v>
      </c>
      <c r="AI313" s="55" t="s">
        <v>265</v>
      </c>
      <c r="AJ313" s="55" t="s">
        <v>81</v>
      </c>
      <c r="AK313" s="55" t="s">
        <v>81</v>
      </c>
      <c r="AL313" s="4" t="s">
        <v>209</v>
      </c>
      <c r="AM313" s="4" t="s">
        <v>2814</v>
      </c>
      <c r="AN313" s="4" t="s">
        <v>2815</v>
      </c>
      <c r="AO313" s="4" t="s">
        <v>2816</v>
      </c>
      <c r="AP313" s="4" t="s">
        <v>2817</v>
      </c>
      <c r="AQ313" s="55" t="s">
        <v>2818</v>
      </c>
      <c r="AR313" s="4" t="s">
        <v>89</v>
      </c>
      <c r="AS313" s="4" t="s">
        <v>2811</v>
      </c>
      <c r="AT313" s="72" t="s">
        <v>2819</v>
      </c>
      <c r="AU313" s="4" t="s">
        <v>81</v>
      </c>
      <c r="AV313" s="4" t="s">
        <v>81</v>
      </c>
      <c r="AW313" s="4" t="s">
        <v>81</v>
      </c>
      <c r="AX313" s="4" t="s">
        <v>81</v>
      </c>
      <c r="AY313" s="4" t="s">
        <v>81</v>
      </c>
      <c r="AZ313" s="4" t="s">
        <v>81</v>
      </c>
      <c r="BA313" s="4" t="s">
        <v>90</v>
      </c>
      <c r="BB313" s="4">
        <v>10800</v>
      </c>
      <c r="BC313" s="4">
        <v>2700</v>
      </c>
      <c r="BD313" s="4">
        <v>1000</v>
      </c>
      <c r="BE313" s="4" t="s">
        <v>91</v>
      </c>
      <c r="BF313" s="4" t="s">
        <v>242</v>
      </c>
      <c r="BG313" s="4" t="s">
        <v>242</v>
      </c>
      <c r="BH313" s="105" t="s">
        <v>242</v>
      </c>
      <c r="BI313" s="105" t="s">
        <v>242</v>
      </c>
      <c r="BJ313" s="105" t="s">
        <v>242</v>
      </c>
      <c r="BK313" s="4"/>
      <c r="BL313" s="105"/>
    </row>
    <row r="314" ht="19.95" customHeight="1">
      <c r="A314" s="4">
        <v>171976</v>
      </c>
      <c r="B314" s="4">
        <v>171976</v>
      </c>
      <c r="C314" s="55" t="s">
        <v>2820</v>
      </c>
      <c r="D314" s="4" t="s">
        <v>2821</v>
      </c>
      <c r="E314" s="4" t="s">
        <v>114</v>
      </c>
      <c r="F314" s="55">
        <v>1411456889</v>
      </c>
      <c r="G314" s="4" t="s">
        <v>67</v>
      </c>
      <c r="H314" s="4" t="s">
        <v>2465</v>
      </c>
      <c r="I314" s="4" t="s">
        <v>2494</v>
      </c>
      <c r="J314" s="55" t="s">
        <v>2803</v>
      </c>
      <c r="K314" s="4" t="s">
        <v>71</v>
      </c>
      <c r="L314" s="4" t="s">
        <v>2466</v>
      </c>
      <c r="M314" s="4" t="s">
        <v>115</v>
      </c>
      <c r="N314" s="4" t="s">
        <v>74</v>
      </c>
      <c r="O314" s="4" t="s">
        <v>2346</v>
      </c>
      <c r="P314" s="4">
        <v>46</v>
      </c>
      <c r="Q314" s="57">
        <v>45553</v>
      </c>
      <c r="R314" s="57">
        <v>45569</v>
      </c>
      <c r="S314" s="113" t="s">
        <v>81</v>
      </c>
      <c r="T314" s="113" t="s">
        <v>81</v>
      </c>
      <c r="U314" s="4" t="s">
        <v>81</v>
      </c>
      <c r="V314" s="4" t="s">
        <v>81</v>
      </c>
      <c r="W314" s="105" t="s">
        <v>2822</v>
      </c>
      <c r="X314" s="114">
        <v>1812598482</v>
      </c>
      <c r="Y314" s="55">
        <v>1601001523</v>
      </c>
      <c r="Z314" s="4" t="s">
        <v>2823</v>
      </c>
      <c r="AA314" s="4">
        <v>1742895124</v>
      </c>
      <c r="AB314" s="4" t="s">
        <v>132</v>
      </c>
      <c r="AC314" s="4" t="s">
        <v>119</v>
      </c>
      <c r="AD314" s="113">
        <v>36840</v>
      </c>
      <c r="AE314" s="107"/>
      <c r="AF314" s="4" t="s">
        <v>80</v>
      </c>
      <c r="AG314" s="114">
        <v>8261275187</v>
      </c>
      <c r="AH314" s="4" t="s">
        <v>81</v>
      </c>
      <c r="AI314" s="55" t="s">
        <v>723</v>
      </c>
      <c r="AJ314" s="55" t="s">
        <v>81</v>
      </c>
      <c r="AK314" s="55" t="s">
        <v>81</v>
      </c>
      <c r="AL314" s="4" t="s">
        <v>2824</v>
      </c>
      <c r="AM314" s="4" t="s">
        <v>2825</v>
      </c>
      <c r="AN314" s="4" t="s">
        <v>2826</v>
      </c>
      <c r="AO314" s="4" t="s">
        <v>2827</v>
      </c>
      <c r="AP314" s="4" t="s">
        <v>2828</v>
      </c>
      <c r="AQ314" s="55" t="s">
        <v>2827</v>
      </c>
      <c r="AR314" s="4" t="s">
        <v>110</v>
      </c>
      <c r="AS314" s="4" t="s">
        <v>81</v>
      </c>
      <c r="AT314" s="72" t="s">
        <v>81</v>
      </c>
      <c r="AU314" s="4" t="s">
        <v>81</v>
      </c>
      <c r="AV314" s="4" t="s">
        <v>81</v>
      </c>
      <c r="AW314" s="4" t="s">
        <v>81</v>
      </c>
      <c r="AX314" s="4" t="s">
        <v>81</v>
      </c>
      <c r="AY314" s="4" t="s">
        <v>81</v>
      </c>
      <c r="AZ314" s="4" t="s">
        <v>81</v>
      </c>
      <c r="BA314" s="4" t="s">
        <v>90</v>
      </c>
      <c r="BB314" s="4">
        <v>10800</v>
      </c>
      <c r="BC314" s="4">
        <v>2700</v>
      </c>
      <c r="BD314" s="4">
        <v>1000</v>
      </c>
      <c r="BE314" s="4" t="s">
        <v>91</v>
      </c>
      <c r="BF314" s="4" t="s">
        <v>242</v>
      </c>
      <c r="BG314" s="4" t="s">
        <v>242</v>
      </c>
      <c r="BH314" s="105" t="s">
        <v>242</v>
      </c>
      <c r="BI314" s="105" t="s">
        <v>242</v>
      </c>
      <c r="BJ314" s="105" t="s">
        <v>242</v>
      </c>
      <c r="BK314" s="4"/>
      <c r="BL314" s="105"/>
    </row>
    <row r="315" ht="19.95" customHeight="1">
      <c r="A315" s="4">
        <v>171981</v>
      </c>
      <c r="B315" s="4">
        <v>171981</v>
      </c>
      <c r="C315" s="55" t="s">
        <v>2829</v>
      </c>
      <c r="D315" s="4" t="s">
        <v>2830</v>
      </c>
      <c r="E315" s="4" t="s">
        <v>114</v>
      </c>
      <c r="F315" s="55">
        <v>110120</v>
      </c>
      <c r="G315" s="4" t="s">
        <v>67</v>
      </c>
      <c r="H315" s="4" t="s">
        <v>2465</v>
      </c>
      <c r="I315" s="4" t="s">
        <v>2494</v>
      </c>
      <c r="J315" s="55" t="s">
        <v>1725</v>
      </c>
      <c r="K315" s="4" t="s">
        <v>71</v>
      </c>
      <c r="L315" s="4" t="s">
        <v>2466</v>
      </c>
      <c r="M315" s="4" t="s">
        <v>2831</v>
      </c>
      <c r="N315" s="4" t="s">
        <v>74</v>
      </c>
      <c r="O315" s="4" t="s">
        <v>2346</v>
      </c>
      <c r="P315" s="4">
        <v>46</v>
      </c>
      <c r="Q315" s="57">
        <v>45553</v>
      </c>
      <c r="R315" s="57">
        <v>45572</v>
      </c>
      <c r="S315" s="113" t="s">
        <v>81</v>
      </c>
      <c r="T315" s="113" t="s">
        <v>81</v>
      </c>
      <c r="U315" s="4" t="s">
        <v>81</v>
      </c>
      <c r="V315" s="4" t="s">
        <v>81</v>
      </c>
      <c r="W315" s="105" t="s">
        <v>2832</v>
      </c>
      <c r="X315" s="114">
        <v>1521359775</v>
      </c>
      <c r="Y315" s="55">
        <v>1971359775</v>
      </c>
      <c r="Z315" s="4" t="s">
        <v>2833</v>
      </c>
      <c r="AA315" s="4">
        <v>1571391719</v>
      </c>
      <c r="AB315" s="4" t="s">
        <v>186</v>
      </c>
      <c r="AC315" s="4" t="s">
        <v>79</v>
      </c>
      <c r="AD315" s="113">
        <v>34695</v>
      </c>
      <c r="AE315" s="107"/>
      <c r="AF315" s="4" t="s">
        <v>80</v>
      </c>
      <c r="AG315" s="114">
        <v>5959065177</v>
      </c>
      <c r="AH315" s="4" t="s">
        <v>81</v>
      </c>
      <c r="AI315" s="55" t="s">
        <v>683</v>
      </c>
      <c r="AJ315" s="55" t="s">
        <v>81</v>
      </c>
      <c r="AK315" s="55" t="s">
        <v>81</v>
      </c>
      <c r="AL315" s="4" t="s">
        <v>209</v>
      </c>
      <c r="AM315" s="4" t="s">
        <v>2834</v>
      </c>
      <c r="AN315" s="4" t="s">
        <v>1550</v>
      </c>
      <c r="AO315" s="4" t="s">
        <v>2835</v>
      </c>
      <c r="AP315" s="4" t="s">
        <v>2835</v>
      </c>
      <c r="AQ315" s="55" t="s">
        <v>2836</v>
      </c>
      <c r="AR315" s="4" t="s">
        <v>89</v>
      </c>
      <c r="AS315" s="4" t="s">
        <v>2833</v>
      </c>
      <c r="AT315" s="72">
        <v>36824</v>
      </c>
      <c r="AU315" s="4" t="s">
        <v>81</v>
      </c>
      <c r="AV315" s="4" t="s">
        <v>81</v>
      </c>
      <c r="AW315" s="4" t="s">
        <v>81</v>
      </c>
      <c r="AX315" s="4" t="s">
        <v>81</v>
      </c>
      <c r="AY315" s="4" t="s">
        <v>81</v>
      </c>
      <c r="AZ315" s="4" t="s">
        <v>81</v>
      </c>
      <c r="BA315" s="4" t="s">
        <v>90</v>
      </c>
      <c r="BB315" s="4">
        <v>10800</v>
      </c>
      <c r="BC315" s="4">
        <v>2700</v>
      </c>
      <c r="BD315" s="4">
        <v>1000</v>
      </c>
      <c r="BE315" s="4" t="s">
        <v>91</v>
      </c>
      <c r="BF315" s="4" t="s">
        <v>242</v>
      </c>
      <c r="BG315" s="4" t="s">
        <v>242</v>
      </c>
      <c r="BH315" s="105" t="s">
        <v>242</v>
      </c>
      <c r="BI315" s="105" t="s">
        <v>242</v>
      </c>
      <c r="BJ315" s="105" t="s">
        <v>242</v>
      </c>
      <c r="BK315" s="4"/>
      <c r="BL315" s="105"/>
    </row>
    <row r="316" ht="19.95" customHeight="1">
      <c r="A316" s="4">
        <v>171990</v>
      </c>
      <c r="B316" s="4">
        <v>171990</v>
      </c>
      <c r="C316" s="55" t="s">
        <v>2837</v>
      </c>
      <c r="D316" s="4" t="s">
        <v>2838</v>
      </c>
      <c r="E316" s="207" t="s">
        <v>66</v>
      </c>
      <c r="F316" s="55">
        <v>1010938094</v>
      </c>
      <c r="G316" s="4" t="s">
        <v>67</v>
      </c>
      <c r="H316" s="4" t="s">
        <v>2465</v>
      </c>
      <c r="I316" s="4" t="s">
        <v>2494</v>
      </c>
      <c r="J316" s="55" t="s">
        <v>1725</v>
      </c>
      <c r="K316" s="4" t="s">
        <v>71</v>
      </c>
      <c r="L316" s="4" t="s">
        <v>2466</v>
      </c>
      <c r="M316" s="4" t="s">
        <v>2474</v>
      </c>
      <c r="N316" s="4" t="s">
        <v>74</v>
      </c>
      <c r="O316" s="4" t="s">
        <v>2346</v>
      </c>
      <c r="P316" s="4">
        <v>46</v>
      </c>
      <c r="Q316" s="57">
        <v>45553</v>
      </c>
      <c r="R316" s="57">
        <v>45572</v>
      </c>
      <c r="S316" s="113" t="s">
        <v>81</v>
      </c>
      <c r="T316" s="113" t="s">
        <v>81</v>
      </c>
      <c r="U316" s="4" t="s">
        <v>81</v>
      </c>
      <c r="V316" s="4" t="s">
        <v>81</v>
      </c>
      <c r="W316" s="105" t="s">
        <v>2839</v>
      </c>
      <c r="X316" s="114">
        <v>1921194083</v>
      </c>
      <c r="Y316" s="55" t="s">
        <v>81</v>
      </c>
      <c r="Z316" s="4" t="s">
        <v>2840</v>
      </c>
      <c r="AA316" s="4">
        <v>1670022268</v>
      </c>
      <c r="AB316" s="4" t="s">
        <v>252</v>
      </c>
      <c r="AC316" s="4" t="s">
        <v>133</v>
      </c>
      <c r="AD316" s="113">
        <v>35585</v>
      </c>
      <c r="AE316" s="107"/>
      <c r="AF316" s="4" t="s">
        <v>80</v>
      </c>
      <c r="AG316" s="114">
        <v>7801840831</v>
      </c>
      <c r="AH316" s="4" t="s">
        <v>81</v>
      </c>
      <c r="AI316" s="55" t="s">
        <v>1182</v>
      </c>
      <c r="AJ316" s="55" t="s">
        <v>683</v>
      </c>
      <c r="AK316" s="55" t="s">
        <v>81</v>
      </c>
      <c r="AL316" s="4" t="s">
        <v>2841</v>
      </c>
      <c r="AM316" s="4" t="s">
        <v>2842</v>
      </c>
      <c r="AN316" s="4" t="s">
        <v>2843</v>
      </c>
      <c r="AO316" s="4" t="s">
        <v>2844</v>
      </c>
      <c r="AP316" s="4" t="s">
        <v>2845</v>
      </c>
      <c r="AQ316" s="55" t="s">
        <v>2527</v>
      </c>
      <c r="AR316" s="4" t="s">
        <v>110</v>
      </c>
      <c r="AS316" s="4" t="s">
        <v>81</v>
      </c>
      <c r="AT316" s="72" t="s">
        <v>81</v>
      </c>
      <c r="AU316" s="4" t="s">
        <v>81</v>
      </c>
      <c r="AV316" s="4" t="s">
        <v>81</v>
      </c>
      <c r="AW316" s="4" t="s">
        <v>81</v>
      </c>
      <c r="AX316" s="4" t="s">
        <v>81</v>
      </c>
      <c r="AY316" s="4" t="s">
        <v>81</v>
      </c>
      <c r="AZ316" s="4" t="s">
        <v>81</v>
      </c>
      <c r="BA316" s="4" t="s">
        <v>90</v>
      </c>
      <c r="BB316" s="4">
        <v>10800</v>
      </c>
      <c r="BC316" s="4">
        <v>2700</v>
      </c>
      <c r="BD316" s="4">
        <v>1000</v>
      </c>
      <c r="BE316" s="4" t="s">
        <v>91</v>
      </c>
      <c r="BF316" s="4" t="s">
        <v>242</v>
      </c>
      <c r="BG316" s="4" t="s">
        <v>242</v>
      </c>
      <c r="BH316" s="105" t="s">
        <v>242</v>
      </c>
      <c r="BI316" s="105" t="s">
        <v>242</v>
      </c>
      <c r="BJ316" s="105" t="s">
        <v>242</v>
      </c>
      <c r="BK316" s="4"/>
      <c r="BL316" s="105"/>
    </row>
    <row r="317" ht="19.95" customHeight="1">
      <c r="A317" s="4">
        <v>171988</v>
      </c>
      <c r="B317" s="4">
        <v>171988</v>
      </c>
      <c r="C317" s="55" t="s">
        <v>2846</v>
      </c>
      <c r="D317" s="4" t="s">
        <v>2847</v>
      </c>
      <c r="E317" s="4" t="s">
        <v>114</v>
      </c>
      <c r="F317" s="55">
        <v>1110474957</v>
      </c>
      <c r="G317" s="4" t="s">
        <v>67</v>
      </c>
      <c r="H317" s="4" t="s">
        <v>2465</v>
      </c>
      <c r="I317" s="4" t="s">
        <v>2494</v>
      </c>
      <c r="J317" s="55" t="s">
        <v>307</v>
      </c>
      <c r="K317" s="4" t="s">
        <v>71</v>
      </c>
      <c r="L317" s="4" t="s">
        <v>2466</v>
      </c>
      <c r="M317" s="4" t="s">
        <v>458</v>
      </c>
      <c r="N317" s="4" t="s">
        <v>74</v>
      </c>
      <c r="O317" s="4" t="s">
        <v>2346</v>
      </c>
      <c r="P317" s="4">
        <v>46</v>
      </c>
      <c r="Q317" s="57">
        <v>45553</v>
      </c>
      <c r="R317" s="57">
        <v>45575</v>
      </c>
      <c r="S317" s="113" t="s">
        <v>81</v>
      </c>
      <c r="T317" s="113" t="s">
        <v>81</v>
      </c>
      <c r="U317" s="4" t="s">
        <v>81</v>
      </c>
      <c r="V317" s="4" t="s">
        <v>81</v>
      </c>
      <c r="W317" s="105" t="s">
        <v>2848</v>
      </c>
      <c r="X317" s="114">
        <v>1521219974</v>
      </c>
      <c r="Y317" s="55">
        <v>1863459167</v>
      </c>
      <c r="Z317" s="4" t="s">
        <v>2849</v>
      </c>
      <c r="AA317" s="4">
        <v>1860291330</v>
      </c>
      <c r="AB317" s="4" t="s">
        <v>359</v>
      </c>
      <c r="AC317" s="4" t="s">
        <v>79</v>
      </c>
      <c r="AD317" s="113">
        <v>35833</v>
      </c>
      <c r="AE317" s="107"/>
      <c r="AF317" s="4" t="s">
        <v>80</v>
      </c>
      <c r="AG317" s="114">
        <v>7354821469</v>
      </c>
      <c r="AH317" s="4" t="s">
        <v>81</v>
      </c>
      <c r="AI317" s="55" t="s">
        <v>265</v>
      </c>
      <c r="AJ317" s="55" t="s">
        <v>81</v>
      </c>
      <c r="AK317" s="55" t="s">
        <v>81</v>
      </c>
      <c r="AL317" s="4" t="s">
        <v>2850</v>
      </c>
      <c r="AM317" s="4" t="s">
        <v>2849</v>
      </c>
      <c r="AN317" s="4" t="s">
        <v>2851</v>
      </c>
      <c r="AO317" s="4" t="s">
        <v>2852</v>
      </c>
      <c r="AP317" s="4" t="s">
        <v>2853</v>
      </c>
      <c r="AQ317" s="55" t="s">
        <v>2854</v>
      </c>
      <c r="AR317" s="4" t="s">
        <v>89</v>
      </c>
      <c r="AS317" s="4" t="s">
        <v>2855</v>
      </c>
      <c r="AT317" s="72" t="s">
        <v>81</v>
      </c>
      <c r="AU317" s="4" t="s">
        <v>81</v>
      </c>
      <c r="AV317" s="4" t="s">
        <v>81</v>
      </c>
      <c r="AW317" s="4" t="s">
        <v>81</v>
      </c>
      <c r="AX317" s="4" t="s">
        <v>81</v>
      </c>
      <c r="AY317" s="4" t="s">
        <v>81</v>
      </c>
      <c r="AZ317" s="4" t="s">
        <v>81</v>
      </c>
      <c r="BA317" s="4" t="s">
        <v>90</v>
      </c>
      <c r="BB317" s="4">
        <v>10800</v>
      </c>
      <c r="BC317" s="4">
        <v>2700</v>
      </c>
      <c r="BD317" s="4">
        <v>1000</v>
      </c>
      <c r="BE317" s="4" t="s">
        <v>91</v>
      </c>
      <c r="BF317" s="4" t="s">
        <v>242</v>
      </c>
      <c r="BG317" s="4" t="s">
        <v>242</v>
      </c>
      <c r="BH317" s="105" t="s">
        <v>242</v>
      </c>
      <c r="BI317" s="105" t="s">
        <v>242</v>
      </c>
      <c r="BJ317" s="105" t="s">
        <v>242</v>
      </c>
      <c r="BK317" s="4"/>
      <c r="BL317" s="105"/>
    </row>
    <row r="318" ht="19.95" customHeight="1">
      <c r="A318" s="4">
        <v>171979</v>
      </c>
      <c r="B318" s="4">
        <v>171979</v>
      </c>
      <c r="C318" s="55" t="s">
        <v>2856</v>
      </c>
      <c r="D318" s="4" t="s">
        <v>2857</v>
      </c>
      <c r="E318" s="4" t="s">
        <v>114</v>
      </c>
      <c r="F318" s="55">
        <v>1410832746</v>
      </c>
      <c r="G318" s="4" t="s">
        <v>67</v>
      </c>
      <c r="H318" s="4" t="s">
        <v>2465</v>
      </c>
      <c r="I318" s="4" t="s">
        <v>2494</v>
      </c>
      <c r="J318" s="55" t="s">
        <v>2520</v>
      </c>
      <c r="K318" s="4" t="s">
        <v>71</v>
      </c>
      <c r="L318" s="4" t="s">
        <v>2466</v>
      </c>
      <c r="M318" s="4" t="s">
        <v>73</v>
      </c>
      <c r="N318" s="4" t="s">
        <v>74</v>
      </c>
      <c r="O318" s="4" t="s">
        <v>2346</v>
      </c>
      <c r="P318" s="4">
        <v>46</v>
      </c>
      <c r="Q318" s="57">
        <v>45553</v>
      </c>
      <c r="R318" s="57">
        <v>45570</v>
      </c>
      <c r="S318" s="113" t="s">
        <v>81</v>
      </c>
      <c r="T318" s="113" t="s">
        <v>81</v>
      </c>
      <c r="U318" s="4" t="s">
        <v>81</v>
      </c>
      <c r="V318" s="4" t="s">
        <v>81</v>
      </c>
      <c r="W318" s="105" t="s">
        <v>2858</v>
      </c>
      <c r="X318" s="114">
        <v>1864630213</v>
      </c>
      <c r="Y318" s="55">
        <v>1638640261</v>
      </c>
      <c r="Z318" s="4" t="s">
        <v>2859</v>
      </c>
      <c r="AA318" s="4">
        <v>1711040093</v>
      </c>
      <c r="AB318" s="4" t="s">
        <v>252</v>
      </c>
      <c r="AC318" s="4" t="s">
        <v>133</v>
      </c>
      <c r="AD318" s="113">
        <v>37220</v>
      </c>
      <c r="AE318" s="107"/>
      <c r="AF318" s="4" t="s">
        <v>80</v>
      </c>
      <c r="AG318" s="114">
        <v>3314896816</v>
      </c>
      <c r="AH318" s="4" t="s">
        <v>81</v>
      </c>
      <c r="AI318" s="55" t="s">
        <v>322</v>
      </c>
      <c r="AJ318" s="55" t="s">
        <v>81</v>
      </c>
      <c r="AK318" s="55" t="s">
        <v>81</v>
      </c>
      <c r="AL318" s="4" t="s">
        <v>2545</v>
      </c>
      <c r="AM318" s="4" t="s">
        <v>2860</v>
      </c>
      <c r="AN318" s="4" t="s">
        <v>2861</v>
      </c>
      <c r="AO318" s="4" t="s">
        <v>2862</v>
      </c>
      <c r="AP318" s="4" t="s">
        <v>2863</v>
      </c>
      <c r="AQ318" s="55" t="s">
        <v>2527</v>
      </c>
      <c r="AR318" s="4" t="s">
        <v>110</v>
      </c>
      <c r="AS318" s="4" t="s">
        <v>81</v>
      </c>
      <c r="AT318" s="72" t="s">
        <v>81</v>
      </c>
      <c r="AU318" s="4" t="s">
        <v>81</v>
      </c>
      <c r="AV318" s="4" t="s">
        <v>81</v>
      </c>
      <c r="AW318" s="4" t="s">
        <v>81</v>
      </c>
      <c r="AX318" s="4" t="s">
        <v>81</v>
      </c>
      <c r="AY318" s="4" t="s">
        <v>81</v>
      </c>
      <c r="AZ318" s="4" t="s">
        <v>81</v>
      </c>
      <c r="BA318" s="4" t="s">
        <v>90</v>
      </c>
      <c r="BB318" s="4">
        <v>10800</v>
      </c>
      <c r="BC318" s="4">
        <v>2700</v>
      </c>
      <c r="BD318" s="4">
        <v>1000</v>
      </c>
      <c r="BE318" s="4" t="s">
        <v>91</v>
      </c>
      <c r="BF318" s="4" t="s">
        <v>242</v>
      </c>
      <c r="BG318" s="4" t="s">
        <v>242</v>
      </c>
      <c r="BH318" s="105" t="s">
        <v>242</v>
      </c>
      <c r="BI318" s="105" t="s">
        <v>242</v>
      </c>
      <c r="BJ318" s="105" t="s">
        <v>242</v>
      </c>
      <c r="BK318" s="4"/>
      <c r="BL318" s="105"/>
    </row>
    <row r="319" ht="19.95" customHeight="1">
      <c r="A319" s="4">
        <v>171704</v>
      </c>
      <c r="B319" s="4" t="s">
        <v>2864</v>
      </c>
      <c r="C319" s="55"/>
      <c r="D319" s="4" t="s">
        <v>2865</v>
      </c>
      <c r="E319" s="4" t="s">
        <v>114</v>
      </c>
      <c r="F319" s="55"/>
      <c r="G319" s="4" t="s">
        <v>67</v>
      </c>
      <c r="H319" s="4" t="s">
        <v>2465</v>
      </c>
      <c r="I319" s="4" t="s">
        <v>2494</v>
      </c>
      <c r="J319" s="55" t="s">
        <v>155</v>
      </c>
      <c r="K319" s="4"/>
      <c r="L319" s="4"/>
      <c r="M319" s="272" t="s">
        <v>2866</v>
      </c>
      <c r="N319" s="4"/>
      <c r="O319" s="4"/>
      <c r="P319" s="4"/>
      <c r="Q319" s="57"/>
      <c r="R319" s="57"/>
      <c r="S319" s="113"/>
      <c r="T319" s="113"/>
      <c r="U319" s="4"/>
      <c r="V319" s="4"/>
      <c r="W319" s="105"/>
      <c r="X319" s="114"/>
      <c r="Y319" s="55"/>
      <c r="Z319" s="4"/>
      <c r="AA319" s="4"/>
      <c r="AB319" s="4"/>
      <c r="AC319" s="4"/>
      <c r="AD319" s="113"/>
      <c r="AE319" s="107"/>
      <c r="AF319" s="4"/>
      <c r="AG319" s="114"/>
      <c r="AH319" s="4"/>
      <c r="AI319" s="55"/>
      <c r="AJ319" s="55"/>
      <c r="AK319" s="55"/>
      <c r="AL319" s="4"/>
      <c r="AM319" s="4"/>
      <c r="AN319" s="4"/>
      <c r="AO319" s="4"/>
      <c r="AP319" s="4"/>
      <c r="AQ319" s="55"/>
      <c r="AR319" s="4"/>
      <c r="AS319" s="4"/>
      <c r="AT319" s="72"/>
      <c r="AU319" s="4"/>
      <c r="AV319" s="4"/>
      <c r="AW319" s="4"/>
      <c r="AX319" s="4"/>
      <c r="AY319" s="4"/>
      <c r="AZ319" s="4"/>
      <c r="BA319" s="4" t="s">
        <v>90</v>
      </c>
      <c r="BB319" s="4"/>
      <c r="BC319" s="4"/>
      <c r="BD319" s="4"/>
      <c r="BE319" s="4"/>
      <c r="BF319" s="4"/>
      <c r="BG319" s="4"/>
      <c r="BH319" s="105"/>
      <c r="BI319" s="105"/>
      <c r="BJ319" s="105"/>
      <c r="BK319" s="4"/>
      <c r="BL319" s="105"/>
    </row>
    <row r="320" ht="19.95" customHeight="1">
      <c r="A320" s="4">
        <v>171813</v>
      </c>
      <c r="B320" s="4"/>
      <c r="C320" s="55"/>
      <c r="D320" s="4" t="s">
        <v>2867</v>
      </c>
      <c r="E320" s="4" t="s">
        <v>114</v>
      </c>
      <c r="F320" s="55"/>
      <c r="G320" s="4" t="s">
        <v>67</v>
      </c>
      <c r="H320" s="4" t="s">
        <v>68</v>
      </c>
      <c r="I320" s="4" t="s">
        <v>69</v>
      </c>
      <c r="J320" s="55" t="s">
        <v>2162</v>
      </c>
      <c r="K320" s="4" t="s">
        <v>71</v>
      </c>
      <c r="L320" s="4" t="s">
        <v>72</v>
      </c>
      <c r="M320" s="4" t="s">
        <v>73</v>
      </c>
      <c r="N320" s="4" t="s">
        <v>74</v>
      </c>
      <c r="O320" s="4" t="s">
        <v>75</v>
      </c>
      <c r="P320" s="4">
        <v>41</v>
      </c>
      <c r="Q320" s="57">
        <v>45506</v>
      </c>
      <c r="R320" s="57">
        <v>45517</v>
      </c>
      <c r="S320" s="113"/>
      <c r="T320" s="113"/>
      <c r="U320" s="4"/>
      <c r="V320" s="4"/>
      <c r="W320" s="105"/>
      <c r="X320" s="114">
        <v>1910379165</v>
      </c>
      <c r="Y320" s="55"/>
      <c r="Z320" s="4"/>
      <c r="AA320" s="4"/>
      <c r="AB320" s="4"/>
      <c r="AC320" s="4"/>
      <c r="AD320" s="113"/>
      <c r="AE320" s="107"/>
      <c r="AF320" s="4" t="s">
        <v>80</v>
      </c>
      <c r="AG320" s="114"/>
      <c r="AH320" s="4"/>
      <c r="AI320" s="55"/>
      <c r="AJ320" s="55"/>
      <c r="AK320" s="55"/>
      <c r="AL320" s="4"/>
      <c r="AM320" s="4"/>
      <c r="AN320" s="4"/>
      <c r="AO320" s="4"/>
      <c r="AP320" s="4"/>
      <c r="AQ320" s="55"/>
      <c r="AR320" s="4"/>
      <c r="AS320" s="4"/>
      <c r="AT320" s="72"/>
      <c r="AU320" s="4"/>
      <c r="AV320" s="4"/>
      <c r="AW320" s="4"/>
      <c r="AX320" s="4"/>
      <c r="AY320" s="4"/>
      <c r="AZ320" s="4"/>
      <c r="BA320" s="4" t="s">
        <v>90</v>
      </c>
      <c r="BB320" s="4">
        <v>10800</v>
      </c>
      <c r="BC320" s="4">
        <v>2700</v>
      </c>
      <c r="BD320" s="4">
        <v>0</v>
      </c>
      <c r="BE320" s="4" t="s">
        <v>91</v>
      </c>
      <c r="BF320" s="4"/>
      <c r="BG320" s="4"/>
      <c r="BH320" s="4"/>
      <c r="BI320" s="113">
        <v>45520</v>
      </c>
      <c r="BJ320" s="154" t="s">
        <v>2868</v>
      </c>
      <c r="BK320" s="4"/>
      <c r="BL320" s="105"/>
    </row>
    <row r="321" ht="19.95" customHeight="1">
      <c r="A321" s="4">
        <v>172031</v>
      </c>
      <c r="B321" s="4">
        <v>172031</v>
      </c>
      <c r="C321" s="55" t="s">
        <v>2869</v>
      </c>
      <c r="D321" s="4" t="s">
        <v>2870</v>
      </c>
      <c r="E321" s="4" t="s">
        <v>114</v>
      </c>
      <c r="F321" s="55">
        <v>1014015982</v>
      </c>
      <c r="G321" s="4" t="s">
        <v>67</v>
      </c>
      <c r="H321" s="4" t="s">
        <v>2465</v>
      </c>
      <c r="I321" s="4" t="s">
        <v>69</v>
      </c>
      <c r="J321" s="55" t="s">
        <v>155</v>
      </c>
      <c r="K321" s="4" t="s">
        <v>1766</v>
      </c>
      <c r="L321" s="4" t="s">
        <v>2466</v>
      </c>
      <c r="M321" s="4" t="s">
        <v>196</v>
      </c>
      <c r="N321" s="4" t="s">
        <v>74</v>
      </c>
      <c r="O321" s="4" t="s">
        <v>75</v>
      </c>
      <c r="P321" s="4">
        <v>48</v>
      </c>
      <c r="Q321" s="57">
        <v>45571</v>
      </c>
      <c r="R321" s="57">
        <v>45588</v>
      </c>
      <c r="S321" s="113" t="s">
        <v>242</v>
      </c>
      <c r="T321" s="113" t="s">
        <v>242</v>
      </c>
      <c r="U321" s="4" t="s">
        <v>242</v>
      </c>
      <c r="V321" s="4" t="s">
        <v>242</v>
      </c>
      <c r="W321" s="105" t="s">
        <v>2871</v>
      </c>
      <c r="X321" s="114">
        <v>1833088879</v>
      </c>
      <c r="Y321" s="55">
        <v>1825285752</v>
      </c>
      <c r="Z321" s="4" t="s">
        <v>2872</v>
      </c>
      <c r="AA321" s="4">
        <v>1824389828</v>
      </c>
      <c r="AB321" s="4" t="s">
        <v>382</v>
      </c>
      <c r="AC321" s="4" t="s">
        <v>79</v>
      </c>
      <c r="AD321" s="113" t="s">
        <v>2873</v>
      </c>
      <c r="AE321" s="107">
        <v>27</v>
      </c>
      <c r="AF321" s="4" t="s">
        <v>80</v>
      </c>
      <c r="AG321" s="114">
        <v>1953544242</v>
      </c>
      <c r="AH321" s="4" t="s">
        <v>242</v>
      </c>
      <c r="AI321" s="55" t="s">
        <v>925</v>
      </c>
      <c r="AJ321" s="55"/>
      <c r="AK321" s="55">
        <v>2023</v>
      </c>
      <c r="AL321" s="4" t="s">
        <v>2874</v>
      </c>
      <c r="AM321" s="4" t="s">
        <v>2875</v>
      </c>
      <c r="AN321" s="4" t="s">
        <v>1803</v>
      </c>
      <c r="AO321" s="4" t="s">
        <v>2876</v>
      </c>
      <c r="AP321" s="4" t="s">
        <v>2877</v>
      </c>
      <c r="AQ321" s="55" t="s">
        <v>88</v>
      </c>
      <c r="AR321" s="4" t="s">
        <v>2878</v>
      </c>
      <c r="AS321" s="4" t="s">
        <v>242</v>
      </c>
      <c r="AT321" s="72" t="s">
        <v>242</v>
      </c>
      <c r="AU321" s="4" t="s">
        <v>242</v>
      </c>
      <c r="AV321" s="4" t="s">
        <v>242</v>
      </c>
      <c r="AW321" s="4" t="s">
        <v>81</v>
      </c>
      <c r="AX321" s="4" t="s">
        <v>81</v>
      </c>
      <c r="AY321" s="4" t="s">
        <v>81</v>
      </c>
      <c r="AZ321" s="4" t="s">
        <v>81</v>
      </c>
      <c r="BA321" s="4" t="s">
        <v>90</v>
      </c>
      <c r="BB321" s="4">
        <v>10800</v>
      </c>
      <c r="BC321" s="4">
        <v>2700</v>
      </c>
      <c r="BD321" s="4">
        <v>1000</v>
      </c>
      <c r="BE321" s="4" t="s">
        <v>166</v>
      </c>
      <c r="BF321" s="4" t="s">
        <v>242</v>
      </c>
      <c r="BG321" s="4" t="s">
        <v>242</v>
      </c>
      <c r="BH321" s="4" t="s">
        <v>242</v>
      </c>
      <c r="BI321" s="113" t="s">
        <v>242</v>
      </c>
      <c r="BJ321" s="105" t="s">
        <v>242</v>
      </c>
      <c r="BK321" s="4">
        <v>1833088879</v>
      </c>
      <c r="BL321" s="105"/>
    </row>
    <row r="322" ht="19.95" customHeight="1">
      <c r="A322" s="4">
        <v>172024</v>
      </c>
      <c r="B322" s="4">
        <v>172024</v>
      </c>
      <c r="C322" s="55" t="s">
        <v>2879</v>
      </c>
      <c r="D322" s="4" t="s">
        <v>2880</v>
      </c>
      <c r="E322" s="4" t="s">
        <v>114</v>
      </c>
      <c r="F322" s="55">
        <v>1112780076</v>
      </c>
      <c r="G322" s="4" t="s">
        <v>67</v>
      </c>
      <c r="H322" s="4" t="s">
        <v>2465</v>
      </c>
      <c r="I322" s="4" t="s">
        <v>69</v>
      </c>
      <c r="J322" s="55" t="s">
        <v>155</v>
      </c>
      <c r="K322" s="4" t="s">
        <v>1766</v>
      </c>
      <c r="L322" s="4" t="s">
        <v>2466</v>
      </c>
      <c r="M322" s="4" t="s">
        <v>196</v>
      </c>
      <c r="N322" s="4" t="s">
        <v>74</v>
      </c>
      <c r="O322" s="4" t="s">
        <v>75</v>
      </c>
      <c r="P322" s="4">
        <v>48</v>
      </c>
      <c r="Q322" s="57">
        <v>45571</v>
      </c>
      <c r="R322" s="57">
        <v>45588</v>
      </c>
      <c r="S322" s="113" t="s">
        <v>242</v>
      </c>
      <c r="T322" s="113" t="s">
        <v>242</v>
      </c>
      <c r="U322" s="4" t="s">
        <v>242</v>
      </c>
      <c r="V322" s="4" t="s">
        <v>242</v>
      </c>
      <c r="W322" s="105" t="s">
        <v>2881</v>
      </c>
      <c r="X322" s="114">
        <v>1334180121</v>
      </c>
      <c r="Y322" s="55">
        <v>1614357276</v>
      </c>
      <c r="Z322" s="4" t="s">
        <v>2882</v>
      </c>
      <c r="AA322" s="4">
        <v>1723560152</v>
      </c>
      <c r="AB322" s="4" t="s">
        <v>2767</v>
      </c>
      <c r="AC322" s="4" t="s">
        <v>133</v>
      </c>
      <c r="AD322" s="113" t="s">
        <v>2883</v>
      </c>
      <c r="AE322" s="107">
        <v>27</v>
      </c>
      <c r="AF322" s="4" t="s">
        <v>80</v>
      </c>
      <c r="AG322" s="114">
        <v>6453149756</v>
      </c>
      <c r="AH322" s="4" t="s">
        <v>242</v>
      </c>
      <c r="AI322" s="55" t="s">
        <v>925</v>
      </c>
      <c r="AJ322" s="55"/>
      <c r="AK322" s="55">
        <v>2021</v>
      </c>
      <c r="AL322" s="4" t="s">
        <v>2884</v>
      </c>
      <c r="AM322" s="4" t="s">
        <v>2885</v>
      </c>
      <c r="AN322" s="4" t="s">
        <v>2886</v>
      </c>
      <c r="AO322" s="4" t="s">
        <v>2887</v>
      </c>
      <c r="AP322" s="4" t="s">
        <v>2888</v>
      </c>
      <c r="AQ322" s="55" t="s">
        <v>1188</v>
      </c>
      <c r="AR322" s="4" t="s">
        <v>2878</v>
      </c>
      <c r="AS322" s="4" t="s">
        <v>242</v>
      </c>
      <c r="AT322" s="72" t="s">
        <v>242</v>
      </c>
      <c r="AU322" s="4" t="s">
        <v>242</v>
      </c>
      <c r="AV322" s="4" t="s">
        <v>242</v>
      </c>
      <c r="AW322" s="4" t="s">
        <v>81</v>
      </c>
      <c r="AX322" s="4" t="s">
        <v>81</v>
      </c>
      <c r="AY322" s="4" t="s">
        <v>81</v>
      </c>
      <c r="AZ322" s="4" t="s">
        <v>81</v>
      </c>
      <c r="BA322" s="4" t="s">
        <v>90</v>
      </c>
      <c r="BB322" s="4">
        <v>10800</v>
      </c>
      <c r="BC322" s="4">
        <v>2700</v>
      </c>
      <c r="BD322" s="4">
        <v>1000</v>
      </c>
      <c r="BE322" s="4" t="s">
        <v>166</v>
      </c>
      <c r="BF322" s="4" t="s">
        <v>242</v>
      </c>
      <c r="BG322" s="4" t="s">
        <v>242</v>
      </c>
      <c r="BH322" s="4" t="s">
        <v>242</v>
      </c>
      <c r="BI322" s="113" t="s">
        <v>242</v>
      </c>
      <c r="BJ322" s="105" t="s">
        <v>242</v>
      </c>
      <c r="BK322" s="4">
        <v>1880142239</v>
      </c>
      <c r="BL322" s="105"/>
    </row>
    <row r="323" ht="19.95" customHeight="1">
      <c r="A323" s="4">
        <v>172030</v>
      </c>
      <c r="B323" s="4">
        <v>172030</v>
      </c>
      <c r="C323" s="55" t="s">
        <v>2869</v>
      </c>
      <c r="D323" s="4" t="s">
        <v>2889</v>
      </c>
      <c r="E323" s="4" t="s">
        <v>114</v>
      </c>
      <c r="F323" s="55">
        <v>1110305924</v>
      </c>
      <c r="G323" s="4" t="s">
        <v>67</v>
      </c>
      <c r="H323" s="4" t="s">
        <v>2465</v>
      </c>
      <c r="I323" s="4" t="s">
        <v>69</v>
      </c>
      <c r="J323" s="55" t="s">
        <v>155</v>
      </c>
      <c r="K323" s="4" t="s">
        <v>1766</v>
      </c>
      <c r="L323" s="4" t="s">
        <v>2466</v>
      </c>
      <c r="M323" s="4" t="s">
        <v>271</v>
      </c>
      <c r="N323" s="4" t="s">
        <v>74</v>
      </c>
      <c r="O323" s="4" t="s">
        <v>75</v>
      </c>
      <c r="P323" s="4">
        <v>48</v>
      </c>
      <c r="Q323" s="57">
        <v>45571</v>
      </c>
      <c r="R323" s="57">
        <v>45588</v>
      </c>
      <c r="S323" s="113" t="s">
        <v>242</v>
      </c>
      <c r="T323" s="113" t="s">
        <v>242</v>
      </c>
      <c r="U323" s="4" t="s">
        <v>242</v>
      </c>
      <c r="V323" s="4" t="s">
        <v>242</v>
      </c>
      <c r="W323" s="105" t="s">
        <v>2890</v>
      </c>
      <c r="X323" s="114">
        <v>1957999395</v>
      </c>
      <c r="Y323" s="55">
        <v>1608247454</v>
      </c>
      <c r="Z323" s="4" t="s">
        <v>2891</v>
      </c>
      <c r="AA323" s="4">
        <v>1714260950</v>
      </c>
      <c r="AB323" s="4" t="s">
        <v>2892</v>
      </c>
      <c r="AC323" s="4" t="s">
        <v>133</v>
      </c>
      <c r="AD323" s="113" t="s">
        <v>2893</v>
      </c>
      <c r="AE323" s="107">
        <v>26</v>
      </c>
      <c r="AF323" s="4" t="s">
        <v>80</v>
      </c>
      <c r="AG323" s="114">
        <v>7803973192</v>
      </c>
      <c r="AH323" s="4" t="s">
        <v>242</v>
      </c>
      <c r="AI323" s="55" t="s">
        <v>925</v>
      </c>
      <c r="AJ323" s="55"/>
      <c r="AK323" s="55">
        <v>2021</v>
      </c>
      <c r="AL323" s="4" t="s">
        <v>2894</v>
      </c>
      <c r="AM323" s="4" t="s">
        <v>2891</v>
      </c>
      <c r="AN323" s="4" t="s">
        <v>2895</v>
      </c>
      <c r="AO323" s="4" t="s">
        <v>2896</v>
      </c>
      <c r="AP323" s="4" t="s">
        <v>2897</v>
      </c>
      <c r="AQ323" s="55" t="s">
        <v>2898</v>
      </c>
      <c r="AR323" s="4" t="s">
        <v>2878</v>
      </c>
      <c r="AS323" s="4" t="s">
        <v>242</v>
      </c>
      <c r="AT323" s="72" t="s">
        <v>242</v>
      </c>
      <c r="AU323" s="4" t="s">
        <v>242</v>
      </c>
      <c r="AV323" s="4" t="s">
        <v>242</v>
      </c>
      <c r="AW323" s="4" t="s">
        <v>81</v>
      </c>
      <c r="AX323" s="4" t="s">
        <v>81</v>
      </c>
      <c r="AY323" s="4" t="s">
        <v>81</v>
      </c>
      <c r="AZ323" s="4" t="s">
        <v>81</v>
      </c>
      <c r="BA323" s="4" t="s">
        <v>90</v>
      </c>
      <c r="BB323" s="4">
        <v>10800</v>
      </c>
      <c r="BC323" s="4">
        <v>2700</v>
      </c>
      <c r="BD323" s="4">
        <v>1000</v>
      </c>
      <c r="BE323" s="4" t="s">
        <v>166</v>
      </c>
      <c r="BF323" s="4" t="s">
        <v>242</v>
      </c>
      <c r="BG323" s="4" t="s">
        <v>242</v>
      </c>
      <c r="BH323" s="4" t="s">
        <v>242</v>
      </c>
      <c r="BI323" s="113" t="s">
        <v>242</v>
      </c>
      <c r="BJ323" s="105" t="s">
        <v>242</v>
      </c>
      <c r="BK323" s="4">
        <v>1957999395</v>
      </c>
      <c r="BL323" s="105"/>
    </row>
    <row r="324" ht="19.95" customHeight="1">
      <c r="A324" s="4">
        <v>172025</v>
      </c>
      <c r="B324" s="4">
        <v>172025</v>
      </c>
      <c r="C324" s="55" t="s">
        <v>2899</v>
      </c>
      <c r="D324" s="4" t="s">
        <v>2900</v>
      </c>
      <c r="E324" s="4" t="s">
        <v>114</v>
      </c>
      <c r="F324" s="55">
        <v>1510494208</v>
      </c>
      <c r="G324" s="4" t="s">
        <v>67</v>
      </c>
      <c r="H324" s="4" t="s">
        <v>2465</v>
      </c>
      <c r="I324" s="4" t="s">
        <v>69</v>
      </c>
      <c r="J324" s="55" t="s">
        <v>155</v>
      </c>
      <c r="K324" s="4" t="s">
        <v>1766</v>
      </c>
      <c r="L324" s="4" t="s">
        <v>2466</v>
      </c>
      <c r="M324" s="4" t="s">
        <v>2901</v>
      </c>
      <c r="N324" s="4" t="s">
        <v>74</v>
      </c>
      <c r="O324" s="4" t="s">
        <v>75</v>
      </c>
      <c r="P324" s="4">
        <v>48</v>
      </c>
      <c r="Q324" s="57">
        <v>45571</v>
      </c>
      <c r="R324" s="57">
        <v>45588</v>
      </c>
      <c r="S324" s="113" t="s">
        <v>242</v>
      </c>
      <c r="T324" s="113" t="s">
        <v>242</v>
      </c>
      <c r="U324" s="4" t="s">
        <v>242</v>
      </c>
      <c r="V324" s="4" t="s">
        <v>242</v>
      </c>
      <c r="W324" s="105" t="s">
        <v>2902</v>
      </c>
      <c r="X324" s="114">
        <v>1755391595</v>
      </c>
      <c r="Y324" s="55">
        <v>1606667361</v>
      </c>
      <c r="Z324" s="4" t="s">
        <v>2903</v>
      </c>
      <c r="AA324" s="4">
        <v>1750528870</v>
      </c>
      <c r="AB324" s="4" t="s">
        <v>2767</v>
      </c>
      <c r="AC324" s="4" t="s">
        <v>133</v>
      </c>
      <c r="AD324" s="113" t="s">
        <v>2904</v>
      </c>
      <c r="AE324" s="107">
        <v>21</v>
      </c>
      <c r="AF324" s="4" t="s">
        <v>2618</v>
      </c>
      <c r="AG324" s="114">
        <v>3765392851</v>
      </c>
      <c r="AH324" s="4" t="s">
        <v>2905</v>
      </c>
      <c r="AI324" s="55" t="s">
        <v>925</v>
      </c>
      <c r="AJ324" s="55"/>
      <c r="AK324" s="55">
        <v>2023</v>
      </c>
      <c r="AL324" s="4" t="s">
        <v>2906</v>
      </c>
      <c r="AM324" s="4" t="s">
        <v>2907</v>
      </c>
      <c r="AN324" s="4" t="s">
        <v>2908</v>
      </c>
      <c r="AO324" s="4" t="s">
        <v>2740</v>
      </c>
      <c r="AP324" s="4" t="s">
        <v>2909</v>
      </c>
      <c r="AQ324" s="55" t="s">
        <v>2910</v>
      </c>
      <c r="AR324" s="4" t="s">
        <v>2878</v>
      </c>
      <c r="AS324" s="4" t="s">
        <v>242</v>
      </c>
      <c r="AT324" s="72" t="s">
        <v>242</v>
      </c>
      <c r="AU324" s="4" t="s">
        <v>242</v>
      </c>
      <c r="AV324" s="4" t="s">
        <v>242</v>
      </c>
      <c r="AW324" s="4" t="s">
        <v>81</v>
      </c>
      <c r="AX324" s="4" t="s">
        <v>81</v>
      </c>
      <c r="AY324" s="4" t="s">
        <v>81</v>
      </c>
      <c r="AZ324" s="4" t="s">
        <v>81</v>
      </c>
      <c r="BA324" s="4" t="s">
        <v>90</v>
      </c>
      <c r="BB324" s="4">
        <v>10800</v>
      </c>
      <c r="BC324" s="4">
        <v>2700</v>
      </c>
      <c r="BD324" s="4">
        <v>1000</v>
      </c>
      <c r="BE324" s="4" t="s">
        <v>166</v>
      </c>
      <c r="BF324" s="4" t="s">
        <v>242</v>
      </c>
      <c r="BG324" s="4" t="s">
        <v>242</v>
      </c>
      <c r="BH324" s="4" t="s">
        <v>242</v>
      </c>
      <c r="BI324" s="113" t="s">
        <v>242</v>
      </c>
      <c r="BJ324" s="105" t="s">
        <v>242</v>
      </c>
      <c r="BK324" s="4">
        <v>1755391595</v>
      </c>
      <c r="BL324" s="105"/>
    </row>
    <row r="325" ht="19.95" customHeight="1">
      <c r="A325" s="4">
        <v>172029</v>
      </c>
      <c r="B325" s="4">
        <v>172029</v>
      </c>
      <c r="C325" s="55" t="s">
        <v>2911</v>
      </c>
      <c r="D325" s="4" t="s">
        <v>2912</v>
      </c>
      <c r="E325" s="4" t="s">
        <v>114</v>
      </c>
      <c r="F325" s="55">
        <v>1215350877</v>
      </c>
      <c r="G325" s="4" t="s">
        <v>67</v>
      </c>
      <c r="H325" s="4" t="s">
        <v>2465</v>
      </c>
      <c r="I325" s="4" t="s">
        <v>69</v>
      </c>
      <c r="J325" s="55" t="s">
        <v>155</v>
      </c>
      <c r="K325" s="4" t="s">
        <v>1766</v>
      </c>
      <c r="L325" s="4" t="s">
        <v>2466</v>
      </c>
      <c r="M325" s="4" t="s">
        <v>271</v>
      </c>
      <c r="N325" s="4" t="s">
        <v>74</v>
      </c>
      <c r="O325" s="4" t="s">
        <v>75</v>
      </c>
      <c r="P325" s="4">
        <v>48</v>
      </c>
      <c r="Q325" s="57">
        <v>45571</v>
      </c>
      <c r="R325" s="57">
        <v>45590</v>
      </c>
      <c r="S325" s="113" t="s">
        <v>242</v>
      </c>
      <c r="T325" s="113" t="s">
        <v>242</v>
      </c>
      <c r="U325" s="4" t="s">
        <v>242</v>
      </c>
      <c r="V325" s="4" t="s">
        <v>242</v>
      </c>
      <c r="W325" s="105" t="s">
        <v>2913</v>
      </c>
      <c r="X325" s="114">
        <v>1623389795</v>
      </c>
      <c r="Y325" s="55">
        <v>1780606078</v>
      </c>
      <c r="Z325" s="4" t="s">
        <v>2914</v>
      </c>
      <c r="AA325" s="4">
        <v>1623612120</v>
      </c>
      <c r="AB325" s="4" t="s">
        <v>2767</v>
      </c>
      <c r="AC325" s="4" t="s">
        <v>133</v>
      </c>
      <c r="AD325" s="113">
        <v>36262</v>
      </c>
      <c r="AE325" s="107">
        <v>25</v>
      </c>
      <c r="AF325" s="4" t="s">
        <v>80</v>
      </c>
      <c r="AG325" s="114">
        <v>6453637917</v>
      </c>
      <c r="AH325" s="4" t="s">
        <v>242</v>
      </c>
      <c r="AI325" s="55" t="s">
        <v>925</v>
      </c>
      <c r="AJ325" s="55"/>
      <c r="AK325" s="55">
        <v>2022</v>
      </c>
      <c r="AL325" s="4" t="s">
        <v>2915</v>
      </c>
      <c r="AM325" s="4" t="s">
        <v>625</v>
      </c>
      <c r="AN325" s="4" t="s">
        <v>2916</v>
      </c>
      <c r="AO325" s="4" t="s">
        <v>2917</v>
      </c>
      <c r="AP325" s="4"/>
      <c r="AQ325" s="55" t="s">
        <v>2918</v>
      </c>
      <c r="AR325" s="4" t="s">
        <v>2878</v>
      </c>
      <c r="AS325" s="4" t="s">
        <v>242</v>
      </c>
      <c r="AT325" s="72" t="s">
        <v>242</v>
      </c>
      <c r="AU325" s="4" t="s">
        <v>242</v>
      </c>
      <c r="AV325" s="4" t="s">
        <v>242</v>
      </c>
      <c r="AW325" s="4" t="s">
        <v>81</v>
      </c>
      <c r="AX325" s="4" t="s">
        <v>81</v>
      </c>
      <c r="AY325" s="4" t="s">
        <v>81</v>
      </c>
      <c r="AZ325" s="4" t="s">
        <v>81</v>
      </c>
      <c r="BA325" s="4" t="s">
        <v>90</v>
      </c>
      <c r="BB325" s="4">
        <v>10800</v>
      </c>
      <c r="BC325" s="4">
        <v>2700</v>
      </c>
      <c r="BD325" s="4">
        <v>1000</v>
      </c>
      <c r="BE325" s="4" t="s">
        <v>166</v>
      </c>
      <c r="BF325" s="4" t="s">
        <v>242</v>
      </c>
      <c r="BG325" s="4" t="s">
        <v>242</v>
      </c>
      <c r="BH325" s="4" t="s">
        <v>242</v>
      </c>
      <c r="BI325" s="113" t="s">
        <v>242</v>
      </c>
      <c r="BJ325" s="105" t="s">
        <v>242</v>
      </c>
      <c r="BK325" s="4">
        <v>1780606078</v>
      </c>
      <c r="BL325" s="105"/>
    </row>
    <row r="326" ht="19.95" customHeight="1">
      <c r="A326" s="4">
        <v>172028</v>
      </c>
      <c r="B326" s="4">
        <v>172028</v>
      </c>
      <c r="C326" s="55" t="s">
        <v>2919</v>
      </c>
      <c r="D326" s="4" t="s">
        <v>2920</v>
      </c>
      <c r="E326" s="4" t="s">
        <v>114</v>
      </c>
      <c r="F326" s="55">
        <v>264710</v>
      </c>
      <c r="G326" s="4" t="s">
        <v>67</v>
      </c>
      <c r="H326" s="4" t="s">
        <v>2465</v>
      </c>
      <c r="I326" s="4" t="s">
        <v>69</v>
      </c>
      <c r="J326" s="55" t="s">
        <v>155</v>
      </c>
      <c r="K326" s="4" t="s">
        <v>1766</v>
      </c>
      <c r="L326" s="4" t="s">
        <v>2466</v>
      </c>
      <c r="M326" s="4" t="s">
        <v>183</v>
      </c>
      <c r="N326" s="4" t="s">
        <v>74</v>
      </c>
      <c r="O326" s="4" t="s">
        <v>75</v>
      </c>
      <c r="P326" s="4">
        <v>48</v>
      </c>
      <c r="Q326" s="57">
        <v>45571</v>
      </c>
      <c r="R326" s="57">
        <v>45588</v>
      </c>
      <c r="S326" s="113" t="s">
        <v>242</v>
      </c>
      <c r="T326" s="113" t="s">
        <v>242</v>
      </c>
      <c r="U326" s="4" t="s">
        <v>242</v>
      </c>
      <c r="V326" s="4" t="s">
        <v>242</v>
      </c>
      <c r="W326" s="105" t="s">
        <v>2921</v>
      </c>
      <c r="X326" s="114">
        <v>1775335616</v>
      </c>
      <c r="Y326" s="55">
        <v>1922757975</v>
      </c>
      <c r="Z326" s="4" t="s">
        <v>2922</v>
      </c>
      <c r="AA326" s="4">
        <v>1922757975</v>
      </c>
      <c r="AB326" s="4" t="s">
        <v>2923</v>
      </c>
      <c r="AC326" s="4" t="s">
        <v>2924</v>
      </c>
      <c r="AD326" s="113">
        <v>36110</v>
      </c>
      <c r="AE326" s="107">
        <v>25</v>
      </c>
      <c r="AF326" s="4" t="s">
        <v>2618</v>
      </c>
      <c r="AG326" s="114">
        <v>7354638483</v>
      </c>
      <c r="AH326" s="4" t="s">
        <v>795</v>
      </c>
      <c r="AI326" s="55" t="s">
        <v>925</v>
      </c>
      <c r="AJ326" s="55"/>
      <c r="AK326" s="55">
        <v>2021</v>
      </c>
      <c r="AL326" s="4" t="s">
        <v>2925</v>
      </c>
      <c r="AM326" s="4" t="s">
        <v>2926</v>
      </c>
      <c r="AN326" s="4" t="s">
        <v>2927</v>
      </c>
      <c r="AO326" s="4" t="s">
        <v>2928</v>
      </c>
      <c r="AP326" s="4" t="s">
        <v>2929</v>
      </c>
      <c r="AQ326" s="55" t="s">
        <v>1188</v>
      </c>
      <c r="AR326" s="4" t="s">
        <v>2878</v>
      </c>
      <c r="AS326" s="4" t="s">
        <v>242</v>
      </c>
      <c r="AT326" s="72" t="s">
        <v>242</v>
      </c>
      <c r="AU326" s="4" t="s">
        <v>242</v>
      </c>
      <c r="AV326" s="4" t="s">
        <v>242</v>
      </c>
      <c r="AW326" s="4" t="s">
        <v>81</v>
      </c>
      <c r="AX326" s="4" t="s">
        <v>81</v>
      </c>
      <c r="AY326" s="4" t="s">
        <v>81</v>
      </c>
      <c r="AZ326" s="4" t="s">
        <v>81</v>
      </c>
      <c r="BA326" s="4" t="s">
        <v>90</v>
      </c>
      <c r="BB326" s="4">
        <v>10800</v>
      </c>
      <c r="BC326" s="4">
        <v>2700</v>
      </c>
      <c r="BD326" s="4">
        <v>1000</v>
      </c>
      <c r="BE326" s="4" t="s">
        <v>166</v>
      </c>
      <c r="BF326" s="4" t="s">
        <v>242</v>
      </c>
      <c r="BG326" s="4" t="s">
        <v>242</v>
      </c>
      <c r="BH326" s="4" t="s">
        <v>242</v>
      </c>
      <c r="BI326" s="113" t="s">
        <v>242</v>
      </c>
      <c r="BJ326" s="105" t="s">
        <v>242</v>
      </c>
      <c r="BK326" s="4">
        <v>1922757975</v>
      </c>
      <c r="BL326" s="105"/>
    </row>
    <row r="327" ht="19.95" customHeight="1">
      <c r="A327" s="4">
        <v>172019</v>
      </c>
      <c r="B327" s="4">
        <v>172019</v>
      </c>
      <c r="C327" s="55" t="s">
        <v>2930</v>
      </c>
      <c r="D327" s="4" t="s">
        <v>2931</v>
      </c>
      <c r="E327" s="4" t="s">
        <v>114</v>
      </c>
      <c r="F327" s="55">
        <v>961150</v>
      </c>
      <c r="G327" s="4" t="s">
        <v>67</v>
      </c>
      <c r="H327" s="4" t="s">
        <v>2465</v>
      </c>
      <c r="I327" s="4" t="s">
        <v>69</v>
      </c>
      <c r="J327" s="55" t="s">
        <v>155</v>
      </c>
      <c r="K327" s="4" t="s">
        <v>1766</v>
      </c>
      <c r="L327" s="4" t="s">
        <v>2466</v>
      </c>
      <c r="M327" s="272" t="s">
        <v>171</v>
      </c>
      <c r="N327" s="4" t="s">
        <v>74</v>
      </c>
      <c r="O327" s="4" t="s">
        <v>75</v>
      </c>
      <c r="P327" s="4">
        <v>47</v>
      </c>
      <c r="Q327" s="57">
        <v>45563</v>
      </c>
      <c r="R327" s="57">
        <v>45580</v>
      </c>
      <c r="S327" s="113" t="s">
        <v>242</v>
      </c>
      <c r="T327" s="113" t="s">
        <v>242</v>
      </c>
      <c r="U327" s="4" t="s">
        <v>242</v>
      </c>
      <c r="V327" s="4" t="s">
        <v>242</v>
      </c>
      <c r="W327" s="105" t="s">
        <v>2932</v>
      </c>
      <c r="X327" s="114">
        <v>1575132645</v>
      </c>
      <c r="Y327" s="55">
        <v>1955687812</v>
      </c>
      <c r="Z327" s="4" t="s">
        <v>2933</v>
      </c>
      <c r="AA327" s="4">
        <v>1955687812</v>
      </c>
      <c r="AB327" s="4" t="s">
        <v>2767</v>
      </c>
      <c r="AC327" s="4" t="s">
        <v>133</v>
      </c>
      <c r="AD327" s="113" t="s">
        <v>2934</v>
      </c>
      <c r="AE327" s="107">
        <v>30</v>
      </c>
      <c r="AF327" s="4" t="s">
        <v>80</v>
      </c>
      <c r="AG327" s="114">
        <v>6873278284</v>
      </c>
      <c r="AH327" s="4" t="s">
        <v>242</v>
      </c>
      <c r="AI327" s="55" t="s">
        <v>925</v>
      </c>
      <c r="AJ327" s="55"/>
      <c r="AK327" s="55">
        <v>2015</v>
      </c>
      <c r="AL327" s="4" t="s">
        <v>2935</v>
      </c>
      <c r="AM327" s="4" t="s">
        <v>2936</v>
      </c>
      <c r="AN327" s="4" t="s">
        <v>2937</v>
      </c>
      <c r="AO327" s="4" t="s">
        <v>2938</v>
      </c>
      <c r="AP327" s="4" t="s">
        <v>2938</v>
      </c>
      <c r="AQ327" s="55" t="s">
        <v>499</v>
      </c>
      <c r="AR327" s="4" t="s">
        <v>110</v>
      </c>
      <c r="AS327" s="4" t="s">
        <v>81</v>
      </c>
      <c r="AT327" s="72" t="s">
        <v>81</v>
      </c>
      <c r="AU327" s="4" t="s">
        <v>81</v>
      </c>
      <c r="AV327" s="4" t="s">
        <v>81</v>
      </c>
      <c r="AW327" s="4" t="s">
        <v>81</v>
      </c>
      <c r="AX327" s="4" t="s">
        <v>81</v>
      </c>
      <c r="AY327" s="4" t="s">
        <v>81</v>
      </c>
      <c r="AZ327" s="4" t="s">
        <v>81</v>
      </c>
      <c r="BA327" s="4" t="s">
        <v>90</v>
      </c>
      <c r="BB327" s="4">
        <v>10800</v>
      </c>
      <c r="BC327" s="4">
        <v>2700</v>
      </c>
      <c r="BD327" s="4">
        <v>1000</v>
      </c>
      <c r="BE327" s="4" t="s">
        <v>166</v>
      </c>
      <c r="BF327" s="4" t="s">
        <v>242</v>
      </c>
      <c r="BG327" s="4" t="s">
        <v>242</v>
      </c>
      <c r="BH327" s="4" t="s">
        <v>242</v>
      </c>
      <c r="BI327" s="113" t="s">
        <v>242</v>
      </c>
      <c r="BJ327" s="105" t="s">
        <v>242</v>
      </c>
      <c r="BK327" s="4">
        <v>1955687812</v>
      </c>
      <c r="BL327" s="105"/>
    </row>
    <row r="328" ht="19.95" customHeight="1">
      <c r="A328" s="4">
        <v>172015</v>
      </c>
      <c r="B328" s="4">
        <v>172015</v>
      </c>
      <c r="C328" s="55" t="s">
        <v>2939</v>
      </c>
      <c r="D328" s="4" t="s">
        <v>2940</v>
      </c>
      <c r="E328" s="4" t="s">
        <v>114</v>
      </c>
      <c r="F328" s="55">
        <v>1318879068</v>
      </c>
      <c r="G328" s="4" t="s">
        <v>67</v>
      </c>
      <c r="H328" s="4" t="s">
        <v>2465</v>
      </c>
      <c r="I328" s="4" t="s">
        <v>69</v>
      </c>
      <c r="J328" s="55" t="s">
        <v>155</v>
      </c>
      <c r="K328" s="4" t="s">
        <v>1766</v>
      </c>
      <c r="L328" s="4" t="s">
        <v>2466</v>
      </c>
      <c r="M328" s="272" t="s">
        <v>171</v>
      </c>
      <c r="N328" s="4" t="s">
        <v>74</v>
      </c>
      <c r="O328" s="4" t="s">
        <v>75</v>
      </c>
      <c r="P328" s="4">
        <v>47</v>
      </c>
      <c r="Q328" s="57">
        <v>45563</v>
      </c>
      <c r="R328" s="57">
        <v>45580</v>
      </c>
      <c r="S328" s="113" t="s">
        <v>242</v>
      </c>
      <c r="T328" s="113" t="s">
        <v>242</v>
      </c>
      <c r="U328" s="4" t="s">
        <v>242</v>
      </c>
      <c r="V328" s="4" t="s">
        <v>242</v>
      </c>
      <c r="W328" s="105" t="s">
        <v>2941</v>
      </c>
      <c r="X328" s="114">
        <v>1826320117</v>
      </c>
      <c r="Y328" s="55">
        <v>1722393523</v>
      </c>
      <c r="Z328" s="4" t="s">
        <v>2942</v>
      </c>
      <c r="AA328" s="4">
        <v>1723870929</v>
      </c>
      <c r="AB328" s="4" t="s">
        <v>2767</v>
      </c>
      <c r="AC328" s="4" t="s">
        <v>133</v>
      </c>
      <c r="AD328" s="113">
        <v>36197</v>
      </c>
      <c r="AE328" s="107">
        <v>26</v>
      </c>
      <c r="AF328" s="4" t="s">
        <v>80</v>
      </c>
      <c r="AG328" s="114">
        <v>4211624251</v>
      </c>
      <c r="AH328" s="4" t="s">
        <v>242</v>
      </c>
      <c r="AI328" s="55" t="s">
        <v>925</v>
      </c>
      <c r="AJ328" s="55"/>
      <c r="AK328" s="55">
        <v>2024</v>
      </c>
      <c r="AL328" s="4" t="s">
        <v>2943</v>
      </c>
      <c r="AM328" s="4" t="s">
        <v>2944</v>
      </c>
      <c r="AN328" s="4" t="s">
        <v>2945</v>
      </c>
      <c r="AO328" s="4" t="s">
        <v>2946</v>
      </c>
      <c r="AP328" s="4" t="s">
        <v>2947</v>
      </c>
      <c r="AQ328" s="55" t="s">
        <v>2948</v>
      </c>
      <c r="AR328" s="4" t="s">
        <v>110</v>
      </c>
      <c r="AS328" s="4" t="s">
        <v>81</v>
      </c>
      <c r="AT328" s="72" t="s">
        <v>81</v>
      </c>
      <c r="AU328" s="4" t="s">
        <v>81</v>
      </c>
      <c r="AV328" s="4" t="s">
        <v>81</v>
      </c>
      <c r="AW328" s="4" t="s">
        <v>81</v>
      </c>
      <c r="AX328" s="4" t="s">
        <v>81</v>
      </c>
      <c r="AY328" s="4" t="s">
        <v>81</v>
      </c>
      <c r="AZ328" s="4" t="s">
        <v>81</v>
      </c>
      <c r="BA328" s="4" t="s">
        <v>90</v>
      </c>
      <c r="BB328" s="4">
        <v>10800</v>
      </c>
      <c r="BC328" s="4">
        <v>2700</v>
      </c>
      <c r="BD328" s="4">
        <v>1000</v>
      </c>
      <c r="BE328" s="4" t="s">
        <v>166</v>
      </c>
      <c r="BF328" s="4" t="s">
        <v>242</v>
      </c>
      <c r="BG328" s="4" t="s">
        <v>242</v>
      </c>
      <c r="BH328" s="4" t="s">
        <v>242</v>
      </c>
      <c r="BI328" s="113" t="s">
        <v>242</v>
      </c>
      <c r="BJ328" s="105" t="s">
        <v>242</v>
      </c>
      <c r="BK328" s="4">
        <v>1826320117</v>
      </c>
      <c r="BL328" s="105"/>
    </row>
    <row r="329" ht="19.95" customHeight="1">
      <c r="A329" s="4">
        <v>172023</v>
      </c>
      <c r="B329" s="4">
        <v>172023</v>
      </c>
      <c r="C329" s="55" t="s">
        <v>2949</v>
      </c>
      <c r="D329" s="4" t="s">
        <v>2950</v>
      </c>
      <c r="E329" s="4" t="s">
        <v>114</v>
      </c>
      <c r="F329" s="55">
        <v>627938</v>
      </c>
      <c r="G329" s="4" t="s">
        <v>67</v>
      </c>
      <c r="H329" s="4" t="s">
        <v>2465</v>
      </c>
      <c r="I329" s="4" t="s">
        <v>69</v>
      </c>
      <c r="J329" s="55" t="s">
        <v>155</v>
      </c>
      <c r="K329" s="4" t="s">
        <v>1766</v>
      </c>
      <c r="L329" s="4" t="s">
        <v>2466</v>
      </c>
      <c r="M329" s="272" t="s">
        <v>171</v>
      </c>
      <c r="N329" s="4" t="s">
        <v>74</v>
      </c>
      <c r="O329" s="4" t="s">
        <v>75</v>
      </c>
      <c r="P329" s="4">
        <v>47</v>
      </c>
      <c r="Q329" s="57">
        <v>45563</v>
      </c>
      <c r="R329" s="57">
        <v>45580</v>
      </c>
      <c r="S329" s="113" t="s">
        <v>242</v>
      </c>
      <c r="T329" s="113" t="s">
        <v>242</v>
      </c>
      <c r="U329" s="4" t="s">
        <v>242</v>
      </c>
      <c r="V329" s="4" t="s">
        <v>242</v>
      </c>
      <c r="W329" s="105" t="s">
        <v>2951</v>
      </c>
      <c r="X329" s="114">
        <v>1738712371</v>
      </c>
      <c r="Y329" s="55">
        <v>1516144452</v>
      </c>
      <c r="Z329" s="4" t="s">
        <v>2952</v>
      </c>
      <c r="AA329" s="4">
        <v>1738028747</v>
      </c>
      <c r="AB329" s="4" t="s">
        <v>101</v>
      </c>
      <c r="AC329" s="4" t="s">
        <v>133</v>
      </c>
      <c r="AD329" s="113" t="s">
        <v>2953</v>
      </c>
      <c r="AE329" s="107">
        <v>28</v>
      </c>
      <c r="AF329" s="4" t="s">
        <v>80</v>
      </c>
      <c r="AG329" s="114">
        <v>3751445697</v>
      </c>
      <c r="AH329" s="4" t="s">
        <v>242</v>
      </c>
      <c r="AI329" s="55" t="s">
        <v>2211</v>
      </c>
      <c r="AJ329" s="55"/>
      <c r="AK329" s="55">
        <v>2019</v>
      </c>
      <c r="AL329" s="4" t="s">
        <v>2954</v>
      </c>
      <c r="AM329" s="4" t="s">
        <v>2955</v>
      </c>
      <c r="AN329" s="4" t="s">
        <v>2956</v>
      </c>
      <c r="AO329" s="4" t="s">
        <v>2740</v>
      </c>
      <c r="AP329" s="4" t="s">
        <v>2957</v>
      </c>
      <c r="AQ329" s="55" t="s">
        <v>1188</v>
      </c>
      <c r="AR329" s="4" t="s">
        <v>89</v>
      </c>
      <c r="AS329" s="4" t="s">
        <v>81</v>
      </c>
      <c r="AT329" s="72" t="s">
        <v>81</v>
      </c>
      <c r="AU329" s="4" t="s">
        <v>81</v>
      </c>
      <c r="AV329" s="4" t="s">
        <v>81</v>
      </c>
      <c r="AW329" s="4" t="s">
        <v>81</v>
      </c>
      <c r="AX329" s="4" t="s">
        <v>81</v>
      </c>
      <c r="AY329" s="4" t="s">
        <v>81</v>
      </c>
      <c r="AZ329" s="4" t="s">
        <v>81</v>
      </c>
      <c r="BA329" s="4" t="s">
        <v>90</v>
      </c>
      <c r="BB329" s="4">
        <v>10800</v>
      </c>
      <c r="BC329" s="4">
        <v>2700</v>
      </c>
      <c r="BD329" s="4">
        <v>1000</v>
      </c>
      <c r="BE329" s="4" t="s">
        <v>166</v>
      </c>
      <c r="BF329" s="4" t="s">
        <v>242</v>
      </c>
      <c r="BG329" s="4" t="s">
        <v>242</v>
      </c>
      <c r="BH329" s="4" t="s">
        <v>242</v>
      </c>
      <c r="BI329" s="113" t="s">
        <v>242</v>
      </c>
      <c r="BJ329" s="105" t="s">
        <v>242</v>
      </c>
      <c r="BK329" s="4">
        <v>1738712371</v>
      </c>
      <c r="BL329" s="105"/>
    </row>
    <row r="330" ht="19.95" customHeight="1">
      <c r="A330" s="4">
        <v>172018</v>
      </c>
      <c r="B330" s="4">
        <v>172018</v>
      </c>
      <c r="C330" s="55" t="s">
        <v>2958</v>
      </c>
      <c r="D330" s="4" t="s">
        <v>2959</v>
      </c>
      <c r="E330" s="4" t="s">
        <v>114</v>
      </c>
      <c r="F330" s="55">
        <v>1210745403</v>
      </c>
      <c r="G330" s="4" t="s">
        <v>67</v>
      </c>
      <c r="H330" s="4" t="s">
        <v>2465</v>
      </c>
      <c r="I330" s="4" t="s">
        <v>69</v>
      </c>
      <c r="J330" s="55" t="s">
        <v>155</v>
      </c>
      <c r="K330" s="4" t="s">
        <v>1766</v>
      </c>
      <c r="L330" s="4" t="s">
        <v>2466</v>
      </c>
      <c r="M330" s="272" t="s">
        <v>171</v>
      </c>
      <c r="N330" s="4" t="s">
        <v>74</v>
      </c>
      <c r="O330" s="4" t="s">
        <v>75</v>
      </c>
      <c r="P330" s="4">
        <v>47</v>
      </c>
      <c r="Q330" s="57">
        <v>45563</v>
      </c>
      <c r="R330" s="57">
        <v>45580</v>
      </c>
      <c r="S330" s="113" t="s">
        <v>242</v>
      </c>
      <c r="T330" s="113" t="s">
        <v>242</v>
      </c>
      <c r="U330" s="4" t="s">
        <v>242</v>
      </c>
      <c r="V330" s="4" t="s">
        <v>242</v>
      </c>
      <c r="W330" s="105" t="s">
        <v>2960</v>
      </c>
      <c r="X330" s="114">
        <v>1977191514</v>
      </c>
      <c r="Y330" s="55">
        <v>1977191514</v>
      </c>
      <c r="Z330" s="4" t="s">
        <v>2961</v>
      </c>
      <c r="AA330" s="4">
        <v>1536186556</v>
      </c>
      <c r="AB330" s="4" t="s">
        <v>101</v>
      </c>
      <c r="AC330" s="4" t="s">
        <v>119</v>
      </c>
      <c r="AD330" s="113" t="s">
        <v>2962</v>
      </c>
      <c r="AE330" s="107">
        <v>25</v>
      </c>
      <c r="AF330" s="4" t="s">
        <v>80</v>
      </c>
      <c r="AG330" s="114">
        <v>7357972277</v>
      </c>
      <c r="AH330" s="4" t="s">
        <v>242</v>
      </c>
      <c r="AI330" s="55" t="s">
        <v>925</v>
      </c>
      <c r="AJ330" s="55"/>
      <c r="AK330" s="55">
        <v>2024</v>
      </c>
      <c r="AL330" s="4" t="s">
        <v>2194</v>
      </c>
      <c r="AM330" s="4" t="s">
        <v>2963</v>
      </c>
      <c r="AN330" s="4" t="s">
        <v>2964</v>
      </c>
      <c r="AO330" s="4" t="s">
        <v>2965</v>
      </c>
      <c r="AP330" s="4" t="s">
        <v>2966</v>
      </c>
      <c r="AQ330" s="55" t="s">
        <v>2967</v>
      </c>
      <c r="AR330" s="4" t="s">
        <v>110</v>
      </c>
      <c r="AS330" s="4" t="s">
        <v>81</v>
      </c>
      <c r="AT330" s="72" t="s">
        <v>81</v>
      </c>
      <c r="AU330" s="4" t="s">
        <v>81</v>
      </c>
      <c r="AV330" s="4" t="s">
        <v>81</v>
      </c>
      <c r="AW330" s="4" t="s">
        <v>81</v>
      </c>
      <c r="AX330" s="4" t="s">
        <v>81</v>
      </c>
      <c r="AY330" s="4" t="s">
        <v>81</v>
      </c>
      <c r="AZ330" s="4" t="s">
        <v>81</v>
      </c>
      <c r="BA330" s="4" t="s">
        <v>90</v>
      </c>
      <c r="BB330" s="4">
        <v>10800</v>
      </c>
      <c r="BC330" s="4">
        <v>2700</v>
      </c>
      <c r="BD330" s="4">
        <v>1000</v>
      </c>
      <c r="BE330" s="4" t="s">
        <v>166</v>
      </c>
      <c r="BF330" s="4" t="s">
        <v>242</v>
      </c>
      <c r="BG330" s="4" t="s">
        <v>242</v>
      </c>
      <c r="BH330" s="4" t="s">
        <v>242</v>
      </c>
      <c r="BI330" s="113" t="s">
        <v>242</v>
      </c>
      <c r="BJ330" s="105" t="s">
        <v>242</v>
      </c>
      <c r="BK330" s="4">
        <v>1977191514</v>
      </c>
      <c r="BL330" s="105"/>
    </row>
    <row r="331" ht="19.95" customHeight="1">
      <c r="A331" s="4">
        <v>172021</v>
      </c>
      <c r="B331" s="4">
        <v>172021</v>
      </c>
      <c r="C331" s="55" t="s">
        <v>2968</v>
      </c>
      <c r="D331" s="4" t="s">
        <v>2969</v>
      </c>
      <c r="E331" s="4" t="s">
        <v>114</v>
      </c>
      <c r="F331" s="55">
        <v>1515321844</v>
      </c>
      <c r="G331" s="4" t="s">
        <v>67</v>
      </c>
      <c r="H331" s="4" t="s">
        <v>2465</v>
      </c>
      <c r="I331" s="4" t="s">
        <v>69</v>
      </c>
      <c r="J331" s="55" t="s">
        <v>155</v>
      </c>
      <c r="K331" s="4" t="s">
        <v>1766</v>
      </c>
      <c r="L331" s="4" t="s">
        <v>2466</v>
      </c>
      <c r="M331" s="4" t="s">
        <v>2901</v>
      </c>
      <c r="N331" s="4" t="s">
        <v>74</v>
      </c>
      <c r="O331" s="4" t="s">
        <v>75</v>
      </c>
      <c r="P331" s="4">
        <v>47</v>
      </c>
      <c r="Q331" s="57">
        <v>45563</v>
      </c>
      <c r="R331" s="57">
        <v>45582</v>
      </c>
      <c r="S331" s="113" t="s">
        <v>242</v>
      </c>
      <c r="T331" s="113" t="s">
        <v>242</v>
      </c>
      <c r="U331" s="4" t="s">
        <v>242</v>
      </c>
      <c r="V331" s="4" t="s">
        <v>242</v>
      </c>
      <c r="W331" s="105" t="s">
        <v>2970</v>
      </c>
      <c r="X331" s="114">
        <v>1643433053</v>
      </c>
      <c r="Y331" s="55">
        <v>1575419934</v>
      </c>
      <c r="Z331" s="4" t="s">
        <v>2971</v>
      </c>
      <c r="AA331" s="4">
        <v>1627965503</v>
      </c>
      <c r="AB331" s="4" t="s">
        <v>144</v>
      </c>
      <c r="AC331" s="4" t="s">
        <v>79</v>
      </c>
      <c r="AD331" s="113">
        <v>37655</v>
      </c>
      <c r="AE331" s="107">
        <v>21</v>
      </c>
      <c r="AF331" s="4" t="s">
        <v>80</v>
      </c>
      <c r="AG331" s="114">
        <v>5561021501</v>
      </c>
      <c r="AH331" s="4" t="s">
        <v>242</v>
      </c>
      <c r="AI331" s="55" t="s">
        <v>925</v>
      </c>
      <c r="AJ331" s="55" t="s">
        <v>242</v>
      </c>
      <c r="AK331" s="55">
        <v>2024</v>
      </c>
      <c r="AL331" s="4" t="s">
        <v>2972</v>
      </c>
      <c r="AM331" s="4" t="s">
        <v>2973</v>
      </c>
      <c r="AN331" s="4" t="s">
        <v>2974</v>
      </c>
      <c r="AO331" s="4" t="s">
        <v>2975</v>
      </c>
      <c r="AP331" s="4" t="s">
        <v>2976</v>
      </c>
      <c r="AQ331" s="55" t="s">
        <v>666</v>
      </c>
      <c r="AR331" s="4" t="s">
        <v>110</v>
      </c>
      <c r="AS331" s="4" t="s">
        <v>81</v>
      </c>
      <c r="AT331" s="72" t="s">
        <v>81</v>
      </c>
      <c r="AU331" s="4" t="s">
        <v>81</v>
      </c>
      <c r="AV331" s="4" t="s">
        <v>81</v>
      </c>
      <c r="AW331" s="4" t="s">
        <v>81</v>
      </c>
      <c r="AX331" s="4" t="s">
        <v>81</v>
      </c>
      <c r="AY331" s="4" t="s">
        <v>81</v>
      </c>
      <c r="AZ331" s="4" t="s">
        <v>81</v>
      </c>
      <c r="BA331" s="4" t="s">
        <v>90</v>
      </c>
      <c r="BB331" s="4">
        <v>10800</v>
      </c>
      <c r="BC331" s="4">
        <v>2700</v>
      </c>
      <c r="BD331" s="4">
        <v>1000</v>
      </c>
      <c r="BE331" s="4" t="s">
        <v>166</v>
      </c>
      <c r="BF331" s="4" t="s">
        <v>242</v>
      </c>
      <c r="BG331" s="4" t="s">
        <v>242</v>
      </c>
      <c r="BH331" s="4" t="s">
        <v>242</v>
      </c>
      <c r="BI331" s="113" t="s">
        <v>242</v>
      </c>
      <c r="BJ331" s="105" t="s">
        <v>242</v>
      </c>
      <c r="BK331" s="4">
        <v>1575419934</v>
      </c>
      <c r="BL331" s="105"/>
    </row>
    <row r="332" ht="19.95" customHeight="1">
      <c r="A332" s="4">
        <v>172022</v>
      </c>
      <c r="B332" s="4">
        <v>172022</v>
      </c>
      <c r="C332" s="55" t="s">
        <v>2977</v>
      </c>
      <c r="D332" s="4" t="s">
        <v>2978</v>
      </c>
      <c r="E332" s="4" t="s">
        <v>114</v>
      </c>
      <c r="F332" s="55">
        <v>240739</v>
      </c>
      <c r="G332" s="4" t="s">
        <v>67</v>
      </c>
      <c r="H332" s="4" t="s">
        <v>2465</v>
      </c>
      <c r="I332" s="4" t="s">
        <v>69</v>
      </c>
      <c r="J332" s="55" t="s">
        <v>155</v>
      </c>
      <c r="K332" s="4" t="s">
        <v>1766</v>
      </c>
      <c r="L332" s="4" t="s">
        <v>2466</v>
      </c>
      <c r="M332" s="4" t="s">
        <v>2901</v>
      </c>
      <c r="N332" s="4" t="s">
        <v>74</v>
      </c>
      <c r="O332" s="4" t="s">
        <v>75</v>
      </c>
      <c r="P332" s="4">
        <v>47</v>
      </c>
      <c r="Q332" s="57">
        <v>45563</v>
      </c>
      <c r="R332" s="57">
        <v>45582</v>
      </c>
      <c r="S332" s="113" t="s">
        <v>242</v>
      </c>
      <c r="T332" s="113" t="s">
        <v>242</v>
      </c>
      <c r="U332" s="4" t="s">
        <v>242</v>
      </c>
      <c r="V332" s="4" t="s">
        <v>242</v>
      </c>
      <c r="W332" s="105" t="s">
        <v>2979</v>
      </c>
      <c r="X332" s="114">
        <v>1849949477</v>
      </c>
      <c r="Y332" s="55">
        <v>1616966784</v>
      </c>
      <c r="Z332" s="4" t="s">
        <v>2980</v>
      </c>
      <c r="AA332" s="4">
        <v>1892979712</v>
      </c>
      <c r="AB332" s="4" t="s">
        <v>2981</v>
      </c>
      <c r="AC332" s="4" t="s">
        <v>133</v>
      </c>
      <c r="AD332" s="113">
        <v>36892</v>
      </c>
      <c r="AE332" s="107">
        <v>24</v>
      </c>
      <c r="AF332" s="4" t="s">
        <v>80</v>
      </c>
      <c r="AG332" s="114">
        <v>6013027484</v>
      </c>
      <c r="AH332" s="4" t="s">
        <v>242</v>
      </c>
      <c r="AI332" s="55" t="s">
        <v>2982</v>
      </c>
      <c r="AJ332" s="55" t="s">
        <v>242</v>
      </c>
      <c r="AK332" s="55">
        <v>2021</v>
      </c>
      <c r="AL332" s="4" t="s">
        <v>2983</v>
      </c>
      <c r="AM332" s="4" t="s">
        <v>2984</v>
      </c>
      <c r="AN332" s="4" t="s">
        <v>2985</v>
      </c>
      <c r="AO332" s="4" t="s">
        <v>2986</v>
      </c>
      <c r="AP332" s="4" t="s">
        <v>2987</v>
      </c>
      <c r="AQ332" s="55" t="s">
        <v>88</v>
      </c>
      <c r="AR332" s="4" t="s">
        <v>110</v>
      </c>
      <c r="AS332" s="4" t="s">
        <v>81</v>
      </c>
      <c r="AT332" s="72" t="s">
        <v>81</v>
      </c>
      <c r="AU332" s="4" t="s">
        <v>81</v>
      </c>
      <c r="AV332" s="4" t="s">
        <v>81</v>
      </c>
      <c r="AW332" s="4" t="s">
        <v>81</v>
      </c>
      <c r="AX332" s="4" t="s">
        <v>81</v>
      </c>
      <c r="AY332" s="4" t="s">
        <v>81</v>
      </c>
      <c r="AZ332" s="4" t="s">
        <v>81</v>
      </c>
      <c r="BA332" s="4" t="s">
        <v>90</v>
      </c>
      <c r="BB332" s="4">
        <v>10800</v>
      </c>
      <c r="BC332" s="4">
        <v>2700</v>
      </c>
      <c r="BD332" s="4">
        <v>1000</v>
      </c>
      <c r="BE332" s="4" t="s">
        <v>166</v>
      </c>
      <c r="BF332" s="4" t="s">
        <v>242</v>
      </c>
      <c r="BG332" s="4" t="s">
        <v>242</v>
      </c>
      <c r="BH332" s="4" t="s">
        <v>242</v>
      </c>
      <c r="BI332" s="113" t="s">
        <v>242</v>
      </c>
      <c r="BJ332" s="105" t="s">
        <v>242</v>
      </c>
      <c r="BK332" s="4">
        <v>1849949477</v>
      </c>
      <c r="BL332" s="105"/>
    </row>
    <row r="333" ht="19.95" customHeight="1">
      <c r="A333" s="4">
        <v>172016</v>
      </c>
      <c r="B333" s="4">
        <v>172016</v>
      </c>
      <c r="C333" s="55" t="s">
        <v>2988</v>
      </c>
      <c r="D333" s="4" t="s">
        <v>2989</v>
      </c>
      <c r="E333" s="4" t="s">
        <v>114</v>
      </c>
      <c r="F333" s="55">
        <v>1310319672</v>
      </c>
      <c r="G333" s="4" t="s">
        <v>67</v>
      </c>
      <c r="H333" s="4" t="s">
        <v>2465</v>
      </c>
      <c r="I333" s="4" t="s">
        <v>69</v>
      </c>
      <c r="J333" s="55" t="s">
        <v>155</v>
      </c>
      <c r="K333" s="4" t="s">
        <v>1766</v>
      </c>
      <c r="L333" s="4" t="s">
        <v>2466</v>
      </c>
      <c r="M333" s="4" t="s">
        <v>271</v>
      </c>
      <c r="N333" s="4" t="s">
        <v>74</v>
      </c>
      <c r="O333" s="4" t="s">
        <v>75</v>
      </c>
      <c r="P333" s="4">
        <v>47</v>
      </c>
      <c r="Q333" s="57">
        <v>45563</v>
      </c>
      <c r="R333" s="57">
        <v>45582</v>
      </c>
      <c r="S333" s="113" t="s">
        <v>242</v>
      </c>
      <c r="T333" s="113" t="s">
        <v>242</v>
      </c>
      <c r="U333" s="4" t="s">
        <v>242</v>
      </c>
      <c r="V333" s="4" t="s">
        <v>242</v>
      </c>
      <c r="W333" s="105" t="s">
        <v>2990</v>
      </c>
      <c r="X333" s="114">
        <v>1937863393</v>
      </c>
      <c r="Y333" s="55">
        <v>1611321704</v>
      </c>
      <c r="Z333" s="4" t="s">
        <v>2991</v>
      </c>
      <c r="AA333" s="4">
        <v>1762070229</v>
      </c>
      <c r="AB333" s="4" t="s">
        <v>101</v>
      </c>
      <c r="AC333" s="4" t="s">
        <v>102</v>
      </c>
      <c r="AD333" s="113" t="s">
        <v>2992</v>
      </c>
      <c r="AE333" s="107">
        <v>23</v>
      </c>
      <c r="AF333" s="4" t="s">
        <v>80</v>
      </c>
      <c r="AG333" s="114">
        <v>3313445417</v>
      </c>
      <c r="AH333" s="4" t="s">
        <v>242</v>
      </c>
      <c r="AI333" s="55" t="s">
        <v>925</v>
      </c>
      <c r="AJ333" s="55" t="s">
        <v>242</v>
      </c>
      <c r="AK333" s="55">
        <v>2023</v>
      </c>
      <c r="AL333" s="4" t="s">
        <v>2993</v>
      </c>
      <c r="AM333" s="4" t="s">
        <v>2991</v>
      </c>
      <c r="AN333" s="4" t="s">
        <v>2994</v>
      </c>
      <c r="AO333" s="4" t="s">
        <v>2995</v>
      </c>
      <c r="AP333" s="4" t="s">
        <v>2996</v>
      </c>
      <c r="AQ333" s="55" t="s">
        <v>1188</v>
      </c>
      <c r="AR333" s="4" t="s">
        <v>110</v>
      </c>
      <c r="AS333" s="4" t="s">
        <v>81</v>
      </c>
      <c r="AT333" s="72" t="s">
        <v>81</v>
      </c>
      <c r="AU333" s="4" t="s">
        <v>81</v>
      </c>
      <c r="AV333" s="4" t="s">
        <v>81</v>
      </c>
      <c r="AW333" s="4" t="s">
        <v>81</v>
      </c>
      <c r="AX333" s="4" t="s">
        <v>81</v>
      </c>
      <c r="AY333" s="4" t="s">
        <v>81</v>
      </c>
      <c r="AZ333" s="4" t="s">
        <v>81</v>
      </c>
      <c r="BA333" s="4" t="s">
        <v>90</v>
      </c>
      <c r="BB333" s="4">
        <v>10800</v>
      </c>
      <c r="BC333" s="4">
        <v>2700</v>
      </c>
      <c r="BD333" s="4">
        <v>1000</v>
      </c>
      <c r="BE333" s="4" t="s">
        <v>166</v>
      </c>
      <c r="BF333" s="4" t="s">
        <v>242</v>
      </c>
      <c r="BG333" s="4" t="s">
        <v>242</v>
      </c>
      <c r="BH333" s="4" t="s">
        <v>242</v>
      </c>
      <c r="BI333" s="113" t="s">
        <v>242</v>
      </c>
      <c r="BJ333" s="105" t="s">
        <v>242</v>
      </c>
      <c r="BK333" s="4">
        <v>1937863393</v>
      </c>
      <c r="BL333" s="105"/>
    </row>
    <row r="334" ht="25.05" customHeight="1">
      <c r="A334" s="255">
        <v>171961</v>
      </c>
      <c r="B334" s="255">
        <v>171961</v>
      </c>
      <c r="C334" s="255" t="s">
        <v>2997</v>
      </c>
      <c r="D334" s="255" t="s">
        <v>2998</v>
      </c>
      <c r="E334" s="255" t="s">
        <v>114</v>
      </c>
      <c r="F334" s="255">
        <v>1118969682</v>
      </c>
      <c r="G334" s="234" t="s">
        <v>67</v>
      </c>
      <c r="H334" s="234" t="s">
        <v>2465</v>
      </c>
      <c r="I334" s="234" t="s">
        <v>69</v>
      </c>
      <c r="J334" s="234" t="s">
        <v>155</v>
      </c>
      <c r="K334" s="234" t="s">
        <v>1766</v>
      </c>
      <c r="L334" s="234" t="s">
        <v>2466</v>
      </c>
      <c r="M334" s="234" t="s">
        <v>171</v>
      </c>
      <c r="N334" s="234" t="s">
        <v>74</v>
      </c>
      <c r="O334" s="234" t="s">
        <v>75</v>
      </c>
      <c r="P334" s="234">
        <v>45</v>
      </c>
      <c r="Q334" s="253">
        <v>45540</v>
      </c>
      <c r="R334" s="253">
        <v>45560</v>
      </c>
      <c r="S334" s="234" t="s">
        <v>242</v>
      </c>
      <c r="T334" s="234" t="s">
        <v>242</v>
      </c>
      <c r="U334" s="234" t="s">
        <v>242</v>
      </c>
      <c r="V334" s="234" t="s">
        <v>242</v>
      </c>
      <c r="W334" s="255" t="s">
        <v>2999</v>
      </c>
      <c r="X334" s="234">
        <v>1941074197</v>
      </c>
      <c r="Y334" s="234">
        <v>1941074197</v>
      </c>
      <c r="Z334" s="255" t="s">
        <v>3000</v>
      </c>
      <c r="AA334" s="234">
        <v>1518792539</v>
      </c>
      <c r="AB334" s="255" t="s">
        <v>382</v>
      </c>
      <c r="AC334" s="255" t="s">
        <v>2456</v>
      </c>
      <c r="AD334" s="254">
        <v>35796</v>
      </c>
      <c r="AE334" s="234">
        <v>27</v>
      </c>
      <c r="AF334" s="255" t="s">
        <v>80</v>
      </c>
      <c r="AG334" s="234">
        <v>1952841409</v>
      </c>
      <c r="AH334" s="234" t="s">
        <v>242</v>
      </c>
      <c r="AI334" s="255" t="s">
        <v>925</v>
      </c>
      <c r="AJ334" s="234" t="s">
        <v>242</v>
      </c>
      <c r="AK334" s="234">
        <v>2020</v>
      </c>
      <c r="AL334" s="255" t="s">
        <v>2010</v>
      </c>
      <c r="AM334" s="255" t="s">
        <v>3001</v>
      </c>
      <c r="AN334" s="255" t="s">
        <v>820</v>
      </c>
      <c r="AO334" s="255" t="s">
        <v>3002</v>
      </c>
      <c r="AP334" s="255" t="s">
        <v>3003</v>
      </c>
      <c r="AQ334" s="255" t="s">
        <v>88</v>
      </c>
      <c r="AR334" s="234" t="s">
        <v>110</v>
      </c>
      <c r="AS334" s="234" t="s">
        <v>81</v>
      </c>
      <c r="AT334" s="256" t="s">
        <v>81</v>
      </c>
      <c r="AU334" s="234" t="s">
        <v>81</v>
      </c>
      <c r="AV334" s="234" t="s">
        <v>81</v>
      </c>
      <c r="AW334" s="234" t="s">
        <v>81</v>
      </c>
      <c r="AX334" s="234" t="s">
        <v>81</v>
      </c>
      <c r="AY334" s="234" t="s">
        <v>81</v>
      </c>
      <c r="AZ334" s="234" t="s">
        <v>81</v>
      </c>
      <c r="BA334" s="4" t="s">
        <v>90</v>
      </c>
      <c r="BB334" s="234">
        <v>10800</v>
      </c>
      <c r="BC334" s="234">
        <v>2700</v>
      </c>
      <c r="BD334" s="234">
        <v>1000</v>
      </c>
      <c r="BE334" s="234" t="s">
        <v>166</v>
      </c>
      <c r="BF334" s="234" t="s">
        <v>242</v>
      </c>
      <c r="BG334" s="234" t="s">
        <v>242</v>
      </c>
      <c r="BH334" s="234" t="s">
        <v>242</v>
      </c>
      <c r="BI334" s="234" t="s">
        <v>242</v>
      </c>
      <c r="BJ334" s="234" t="s">
        <v>242</v>
      </c>
      <c r="BK334" s="234">
        <v>1941074197</v>
      </c>
      <c r="BL334" s="9"/>
    </row>
    <row r="335" ht="25.05" customHeight="1" s="167" customFormat="1">
      <c r="A335" s="279">
        <v>172009</v>
      </c>
      <c r="B335" s="279">
        <v>172009</v>
      </c>
      <c r="C335" s="279" t="s">
        <v>3004</v>
      </c>
      <c r="D335" s="279" t="s">
        <v>3005</v>
      </c>
      <c r="E335" s="207" t="s">
        <v>66</v>
      </c>
      <c r="F335" s="280">
        <v>1210638224</v>
      </c>
      <c r="G335" s="279" t="s">
        <v>67</v>
      </c>
      <c r="H335" s="4" t="s">
        <v>2465</v>
      </c>
      <c r="I335" s="279" t="s">
        <v>2494</v>
      </c>
      <c r="J335" s="279" t="s">
        <v>2495</v>
      </c>
      <c r="K335" s="279" t="s">
        <v>71</v>
      </c>
      <c r="L335" s="279" t="s">
        <v>2466</v>
      </c>
      <c r="M335" s="279" t="s">
        <v>2474</v>
      </c>
      <c r="N335" s="279" t="s">
        <v>74</v>
      </c>
      <c r="O335" s="279" t="s">
        <v>2475</v>
      </c>
      <c r="P335" s="281">
        <v>47</v>
      </c>
      <c r="Q335" s="282">
        <v>45563</v>
      </c>
      <c r="R335" s="282">
        <v>45581</v>
      </c>
      <c r="S335" s="281" t="s">
        <v>81</v>
      </c>
      <c r="T335" s="281" t="s">
        <v>81</v>
      </c>
      <c r="U335" s="281" t="s">
        <v>81</v>
      </c>
      <c r="V335" s="281" t="s">
        <v>81</v>
      </c>
      <c r="W335" s="280" t="s">
        <v>3006</v>
      </c>
      <c r="X335" s="280">
        <v>1516187191</v>
      </c>
      <c r="Y335" s="280">
        <v>1752717221</v>
      </c>
      <c r="Z335" s="280" t="s">
        <v>3007</v>
      </c>
      <c r="AA335" s="280">
        <v>1516187062</v>
      </c>
      <c r="AB335" s="280" t="s">
        <v>118</v>
      </c>
      <c r="AC335" s="280" t="s">
        <v>119</v>
      </c>
      <c r="AD335" s="283">
        <v>36885</v>
      </c>
      <c r="AE335" s="280" t="s">
        <v>81</v>
      </c>
      <c r="AF335" s="279" t="s">
        <v>80</v>
      </c>
      <c r="AG335" s="280" t="s">
        <v>81</v>
      </c>
      <c r="AH335" s="280" t="s">
        <v>81</v>
      </c>
      <c r="AI335" s="280" t="s">
        <v>723</v>
      </c>
      <c r="AJ335" s="280" t="s">
        <v>3008</v>
      </c>
      <c r="AK335" s="280">
        <v>2025</v>
      </c>
      <c r="AL335" s="280" t="s">
        <v>596</v>
      </c>
      <c r="AM335" s="280" t="s">
        <v>3009</v>
      </c>
      <c r="AN335" s="280" t="s">
        <v>220</v>
      </c>
      <c r="AO335" s="280" t="s">
        <v>3010</v>
      </c>
      <c r="AP335" s="280" t="s">
        <v>3011</v>
      </c>
      <c r="AQ335" s="280" t="s">
        <v>499</v>
      </c>
      <c r="AR335" s="280" t="s">
        <v>110</v>
      </c>
      <c r="AS335" s="280" t="s">
        <v>81</v>
      </c>
      <c r="AT335" s="280" t="s">
        <v>81</v>
      </c>
      <c r="AU335" s="280" t="s">
        <v>81</v>
      </c>
      <c r="AV335" s="280" t="s">
        <v>81</v>
      </c>
      <c r="AW335" s="280" t="s">
        <v>81</v>
      </c>
      <c r="AX335" s="280" t="s">
        <v>81</v>
      </c>
      <c r="AY335" s="280" t="s">
        <v>81</v>
      </c>
      <c r="AZ335" s="280" t="s">
        <v>81</v>
      </c>
      <c r="BA335" s="4" t="s">
        <v>90</v>
      </c>
      <c r="BB335" s="257">
        <v>10800</v>
      </c>
      <c r="BC335" s="257">
        <v>2700</v>
      </c>
      <c r="BD335" s="257">
        <v>1000</v>
      </c>
      <c r="BE335" s="284"/>
      <c r="BF335" s="257" t="s">
        <v>242</v>
      </c>
      <c r="BG335" s="257" t="s">
        <v>242</v>
      </c>
      <c r="BH335" s="257" t="s">
        <v>242</v>
      </c>
      <c r="BI335" s="257" t="s">
        <v>242</v>
      </c>
      <c r="BJ335" s="257" t="s">
        <v>242</v>
      </c>
      <c r="BK335" s="284"/>
      <c r="BL335" s="284"/>
    </row>
    <row r="336" ht="25.05" customHeight="1">
      <c r="A336" s="273">
        <v>172003</v>
      </c>
      <c r="B336" s="273">
        <v>172003</v>
      </c>
      <c r="C336" s="273" t="s">
        <v>3012</v>
      </c>
      <c r="D336" s="273" t="s">
        <v>3013</v>
      </c>
      <c r="E336" s="207" t="s">
        <v>66</v>
      </c>
      <c r="F336" s="274">
        <v>1318999616</v>
      </c>
      <c r="G336" s="273" t="s">
        <v>67</v>
      </c>
      <c r="H336" s="4" t="s">
        <v>2465</v>
      </c>
      <c r="I336" s="273" t="s">
        <v>2494</v>
      </c>
      <c r="J336" s="273" t="s">
        <v>2495</v>
      </c>
      <c r="K336" s="273" t="s">
        <v>71</v>
      </c>
      <c r="L336" s="273" t="s">
        <v>2466</v>
      </c>
      <c r="M336" s="273" t="s">
        <v>369</v>
      </c>
      <c r="N336" s="273" t="s">
        <v>74</v>
      </c>
      <c r="O336" s="273" t="s">
        <v>2475</v>
      </c>
      <c r="P336" s="22">
        <v>47</v>
      </c>
      <c r="Q336" s="275">
        <v>45563</v>
      </c>
      <c r="R336" s="275">
        <v>45581</v>
      </c>
      <c r="S336" s="22" t="s">
        <v>81</v>
      </c>
      <c r="T336" s="22" t="s">
        <v>81</v>
      </c>
      <c r="U336" s="22" t="s">
        <v>81</v>
      </c>
      <c r="V336" s="22" t="s">
        <v>81</v>
      </c>
      <c r="W336" s="274" t="s">
        <v>3014</v>
      </c>
      <c r="X336" s="274">
        <v>1615251538</v>
      </c>
      <c r="Y336" s="274">
        <v>1580655714</v>
      </c>
      <c r="Z336" s="274" t="s">
        <v>81</v>
      </c>
      <c r="AA336" s="274">
        <v>1914824135</v>
      </c>
      <c r="AB336" s="274" t="s">
        <v>101</v>
      </c>
      <c r="AC336" s="274" t="s">
        <v>133</v>
      </c>
      <c r="AD336" s="276">
        <v>36953</v>
      </c>
      <c r="AE336" s="274" t="s">
        <v>81</v>
      </c>
      <c r="AF336" s="273" t="s">
        <v>80</v>
      </c>
      <c r="AG336" s="274">
        <v>6464885174</v>
      </c>
      <c r="AH336" s="274" t="s">
        <v>81</v>
      </c>
      <c r="AI336" s="274" t="s">
        <v>3015</v>
      </c>
      <c r="AJ336" s="274" t="s">
        <v>3008</v>
      </c>
      <c r="AK336" s="274">
        <v>2025</v>
      </c>
      <c r="AL336" s="274" t="s">
        <v>3016</v>
      </c>
      <c r="AM336" s="274" t="s">
        <v>3017</v>
      </c>
      <c r="AN336" s="274" t="s">
        <v>3018</v>
      </c>
      <c r="AO336" s="274" t="s">
        <v>3019</v>
      </c>
      <c r="AP336" s="274" t="s">
        <v>3020</v>
      </c>
      <c r="AQ336" s="274" t="s">
        <v>3021</v>
      </c>
      <c r="AR336" s="274" t="s">
        <v>110</v>
      </c>
      <c r="AS336" s="274" t="s">
        <v>81</v>
      </c>
      <c r="AT336" s="274" t="s">
        <v>81</v>
      </c>
      <c r="AU336" s="274" t="s">
        <v>81</v>
      </c>
      <c r="AV336" s="274" t="s">
        <v>81</v>
      </c>
      <c r="AW336" s="274" t="s">
        <v>81</v>
      </c>
      <c r="AX336" s="274" t="s">
        <v>81</v>
      </c>
      <c r="AY336" s="274" t="s">
        <v>81</v>
      </c>
      <c r="AZ336" s="274" t="s">
        <v>81</v>
      </c>
      <c r="BA336" s="4" t="s">
        <v>90</v>
      </c>
      <c r="BB336" s="257">
        <v>10800</v>
      </c>
      <c r="BC336" s="257">
        <v>2700</v>
      </c>
      <c r="BD336" s="257"/>
      <c r="BE336" s="9"/>
      <c r="BF336" s="257" t="s">
        <v>242</v>
      </c>
      <c r="BG336" s="257" t="s">
        <v>242</v>
      </c>
      <c r="BH336" s="257" t="s">
        <v>242</v>
      </c>
      <c r="BI336" s="257" t="s">
        <v>242</v>
      </c>
      <c r="BJ336" s="257" t="s">
        <v>242</v>
      </c>
      <c r="BK336" s="9"/>
      <c r="BL336" s="9"/>
    </row>
    <row r="337" ht="25.05" customHeight="1">
      <c r="A337" s="273">
        <v>172008</v>
      </c>
      <c r="B337" s="273">
        <v>172008</v>
      </c>
      <c r="C337" s="273" t="s">
        <v>3022</v>
      </c>
      <c r="D337" s="273" t="s">
        <v>3023</v>
      </c>
      <c r="E337" s="207" t="s">
        <v>66</v>
      </c>
      <c r="F337" s="274">
        <v>751197</v>
      </c>
      <c r="G337" s="273" t="s">
        <v>67</v>
      </c>
      <c r="H337" s="4" t="s">
        <v>2465</v>
      </c>
      <c r="I337" s="273" t="s">
        <v>2494</v>
      </c>
      <c r="J337" s="273" t="s">
        <v>2495</v>
      </c>
      <c r="K337" s="273" t="s">
        <v>71</v>
      </c>
      <c r="L337" s="273" t="s">
        <v>2466</v>
      </c>
      <c r="M337" s="273" t="s">
        <v>2831</v>
      </c>
      <c r="N337" s="273" t="s">
        <v>74</v>
      </c>
      <c r="O337" s="273" t="s">
        <v>2475</v>
      </c>
      <c r="P337" s="22">
        <v>47</v>
      </c>
      <c r="Q337" s="275">
        <v>45563</v>
      </c>
      <c r="R337" s="275">
        <v>45581</v>
      </c>
      <c r="S337" s="22" t="s">
        <v>81</v>
      </c>
      <c r="T337" s="22" t="s">
        <v>81</v>
      </c>
      <c r="U337" s="22" t="s">
        <v>81</v>
      </c>
      <c r="V337" s="22" t="s">
        <v>81</v>
      </c>
      <c r="W337" s="274" t="s">
        <v>3024</v>
      </c>
      <c r="X337" s="274">
        <v>1630378206</v>
      </c>
      <c r="Y337" s="274">
        <v>1614482103</v>
      </c>
      <c r="Z337" s="274" t="s">
        <v>3025</v>
      </c>
      <c r="AA337" s="274">
        <v>1710213468</v>
      </c>
      <c r="AB337" s="274" t="s">
        <v>3026</v>
      </c>
      <c r="AC337" s="274" t="s">
        <v>133</v>
      </c>
      <c r="AD337" s="276">
        <v>35482</v>
      </c>
      <c r="AE337" s="274" t="s">
        <v>81</v>
      </c>
      <c r="AF337" s="273" t="s">
        <v>80</v>
      </c>
      <c r="AG337" s="274">
        <v>1503069039</v>
      </c>
      <c r="AH337" s="274" t="s">
        <v>81</v>
      </c>
      <c r="AI337" s="277" t="s">
        <v>1619</v>
      </c>
      <c r="AJ337" s="274" t="s">
        <v>81</v>
      </c>
      <c r="AK337" s="274" t="s">
        <v>81</v>
      </c>
      <c r="AL337" s="274" t="s">
        <v>81</v>
      </c>
      <c r="AM337" s="274" t="s">
        <v>3027</v>
      </c>
      <c r="AN337" s="274" t="s">
        <v>3028</v>
      </c>
      <c r="AO337" s="274" t="s">
        <v>3029</v>
      </c>
      <c r="AP337" s="274" t="s">
        <v>3030</v>
      </c>
      <c r="AQ337" s="274" t="s">
        <v>3031</v>
      </c>
      <c r="AR337" s="274" t="s">
        <v>110</v>
      </c>
      <c r="AS337" s="274" t="s">
        <v>81</v>
      </c>
      <c r="AT337" s="274" t="s">
        <v>81</v>
      </c>
      <c r="AU337" s="274" t="s">
        <v>81</v>
      </c>
      <c r="AV337" s="274" t="s">
        <v>81</v>
      </c>
      <c r="AW337" s="274" t="s">
        <v>81</v>
      </c>
      <c r="AX337" s="274" t="s">
        <v>81</v>
      </c>
      <c r="AY337" s="274" t="s">
        <v>81</v>
      </c>
      <c r="AZ337" s="274" t="s">
        <v>81</v>
      </c>
      <c r="BA337" s="4" t="s">
        <v>90</v>
      </c>
      <c r="BB337" s="257">
        <v>10800</v>
      </c>
      <c r="BC337" s="257">
        <v>2700</v>
      </c>
      <c r="BD337" s="257"/>
      <c r="BE337" s="9"/>
      <c r="BF337" s="257" t="s">
        <v>242</v>
      </c>
      <c r="BG337" s="257" t="s">
        <v>242</v>
      </c>
      <c r="BH337" s="257" t="s">
        <v>242</v>
      </c>
      <c r="BI337" s="257" t="s">
        <v>242</v>
      </c>
      <c r="BJ337" s="257" t="s">
        <v>242</v>
      </c>
      <c r="BK337" s="9"/>
      <c r="BL337" s="9"/>
    </row>
    <row r="338" ht="25.05" customHeight="1">
      <c r="A338" s="273">
        <v>172002</v>
      </c>
      <c r="B338" s="273">
        <v>172002</v>
      </c>
      <c r="C338" s="273" t="s">
        <v>3032</v>
      </c>
      <c r="D338" s="273" t="s">
        <v>3033</v>
      </c>
      <c r="E338" s="207" t="s">
        <v>66</v>
      </c>
      <c r="F338" s="274">
        <v>1110583842</v>
      </c>
      <c r="G338" s="273" t="s">
        <v>67</v>
      </c>
      <c r="H338" s="4" t="s">
        <v>2465</v>
      </c>
      <c r="I338" s="273" t="s">
        <v>2494</v>
      </c>
      <c r="J338" s="273" t="s">
        <v>2495</v>
      </c>
      <c r="K338" s="273" t="s">
        <v>71</v>
      </c>
      <c r="L338" s="273" t="s">
        <v>2466</v>
      </c>
      <c r="M338" s="273" t="s">
        <v>1304</v>
      </c>
      <c r="N338" s="273" t="s">
        <v>74</v>
      </c>
      <c r="O338" s="273" t="s">
        <v>2475</v>
      </c>
      <c r="P338" s="22">
        <v>47</v>
      </c>
      <c r="Q338" s="275">
        <v>45563</v>
      </c>
      <c r="R338" s="275">
        <v>45581</v>
      </c>
      <c r="S338" s="22" t="s">
        <v>81</v>
      </c>
      <c r="T338" s="22" t="s">
        <v>81</v>
      </c>
      <c r="U338" s="22" t="s">
        <v>81</v>
      </c>
      <c r="V338" s="22" t="s">
        <v>81</v>
      </c>
      <c r="W338" s="274" t="s">
        <v>3034</v>
      </c>
      <c r="X338" s="274">
        <v>1859703648</v>
      </c>
      <c r="Y338" s="274">
        <v>1816263295</v>
      </c>
      <c r="Z338" s="274" t="s">
        <v>3035</v>
      </c>
      <c r="AA338" s="274">
        <v>1816263295</v>
      </c>
      <c r="AB338" s="274" t="s">
        <v>101</v>
      </c>
      <c r="AC338" s="274" t="s">
        <v>133</v>
      </c>
      <c r="AD338" s="276">
        <v>36009</v>
      </c>
      <c r="AE338" s="274" t="s">
        <v>81</v>
      </c>
      <c r="AF338" s="273" t="s">
        <v>80</v>
      </c>
      <c r="AG338" s="274">
        <v>7354473964</v>
      </c>
      <c r="AH338" s="274" t="s">
        <v>81</v>
      </c>
      <c r="AI338" s="274" t="s">
        <v>322</v>
      </c>
      <c r="AJ338" s="274" t="s">
        <v>81</v>
      </c>
      <c r="AK338" s="274">
        <v>2022</v>
      </c>
      <c r="AL338" s="274" t="s">
        <v>3036</v>
      </c>
      <c r="AM338" s="274" t="s">
        <v>3035</v>
      </c>
      <c r="AN338" s="274" t="s">
        <v>3037</v>
      </c>
      <c r="AO338" s="274" t="s">
        <v>3038</v>
      </c>
      <c r="AP338" s="274" t="s">
        <v>3039</v>
      </c>
      <c r="AQ338" s="274" t="s">
        <v>3040</v>
      </c>
      <c r="AR338" s="274" t="s">
        <v>110</v>
      </c>
      <c r="AS338" s="274" t="s">
        <v>81</v>
      </c>
      <c r="AT338" s="274" t="s">
        <v>81</v>
      </c>
      <c r="AU338" s="274" t="s">
        <v>81</v>
      </c>
      <c r="AV338" s="274" t="s">
        <v>81</v>
      </c>
      <c r="AW338" s="274" t="s">
        <v>81</v>
      </c>
      <c r="AX338" s="274" t="s">
        <v>81</v>
      </c>
      <c r="AY338" s="274" t="s">
        <v>81</v>
      </c>
      <c r="AZ338" s="274" t="s">
        <v>81</v>
      </c>
      <c r="BA338" s="4" t="s">
        <v>90</v>
      </c>
      <c r="BB338" s="257">
        <v>10800</v>
      </c>
      <c r="BC338" s="257">
        <v>2700</v>
      </c>
      <c r="BD338" s="257"/>
      <c r="BE338" s="9"/>
      <c r="BF338" s="257" t="s">
        <v>242</v>
      </c>
      <c r="BG338" s="257" t="s">
        <v>242</v>
      </c>
      <c r="BH338" s="257" t="s">
        <v>242</v>
      </c>
      <c r="BI338" s="257" t="s">
        <v>242</v>
      </c>
      <c r="BJ338" s="257" t="s">
        <v>242</v>
      </c>
      <c r="BK338" s="9"/>
      <c r="BL338" s="9"/>
    </row>
    <row r="339" ht="25.05" customHeight="1">
      <c r="A339" s="273">
        <v>172005</v>
      </c>
      <c r="B339" s="273">
        <v>172005</v>
      </c>
      <c r="C339" s="273" t="s">
        <v>3041</v>
      </c>
      <c r="D339" s="278" t="s">
        <v>3042</v>
      </c>
      <c r="E339" s="207" t="s">
        <v>66</v>
      </c>
      <c r="F339" s="274">
        <v>1512711439</v>
      </c>
      <c r="G339" s="273" t="s">
        <v>67</v>
      </c>
      <c r="H339" s="4" t="s">
        <v>2465</v>
      </c>
      <c r="I339" s="273" t="s">
        <v>2494</v>
      </c>
      <c r="J339" s="273" t="s">
        <v>2495</v>
      </c>
      <c r="K339" s="273" t="s">
        <v>71</v>
      </c>
      <c r="L339" s="273" t="s">
        <v>2466</v>
      </c>
      <c r="M339" s="273" t="s">
        <v>287</v>
      </c>
      <c r="N339" s="273" t="s">
        <v>74</v>
      </c>
      <c r="O339" s="273" t="s">
        <v>2475</v>
      </c>
      <c r="P339" s="22">
        <v>47</v>
      </c>
      <c r="Q339" s="275">
        <v>45563</v>
      </c>
      <c r="R339" s="275">
        <v>45581</v>
      </c>
      <c r="S339" s="22" t="s">
        <v>81</v>
      </c>
      <c r="T339" s="22" t="s">
        <v>81</v>
      </c>
      <c r="U339" s="22" t="s">
        <v>81</v>
      </c>
      <c r="V339" s="22" t="s">
        <v>81</v>
      </c>
      <c r="W339" s="274" t="s">
        <v>3043</v>
      </c>
      <c r="X339" s="274">
        <v>1777566417</v>
      </c>
      <c r="Y339" s="274">
        <v>1729673967</v>
      </c>
      <c r="Z339" s="274" t="s">
        <v>3044</v>
      </c>
      <c r="AA339" s="274">
        <v>1729673967</v>
      </c>
      <c r="AB339" s="274" t="s">
        <v>78</v>
      </c>
      <c r="AC339" s="274" t="s">
        <v>79</v>
      </c>
      <c r="AD339" s="274" t="s">
        <v>81</v>
      </c>
      <c r="AE339" s="274" t="s">
        <v>81</v>
      </c>
      <c r="AF339" s="273" t="s">
        <v>80</v>
      </c>
      <c r="AG339" s="274">
        <v>9163152746</v>
      </c>
      <c r="AH339" s="274" t="s">
        <v>81</v>
      </c>
      <c r="AI339" s="274" t="s">
        <v>278</v>
      </c>
      <c r="AJ339" s="274" t="s">
        <v>3045</v>
      </c>
      <c r="AK339" s="274">
        <v>2026</v>
      </c>
      <c r="AL339" s="274" t="s">
        <v>3046</v>
      </c>
      <c r="AM339" s="274" t="s">
        <v>3047</v>
      </c>
      <c r="AN339" s="274" t="s">
        <v>3048</v>
      </c>
      <c r="AO339" s="274" t="s">
        <v>3049</v>
      </c>
      <c r="AP339" s="274" t="s">
        <v>3050</v>
      </c>
      <c r="AQ339" s="274" t="s">
        <v>1188</v>
      </c>
      <c r="AR339" s="274" t="s">
        <v>89</v>
      </c>
      <c r="AS339" s="274" t="s">
        <v>3044</v>
      </c>
      <c r="AT339" s="274" t="s">
        <v>3051</v>
      </c>
      <c r="AU339" s="274" t="s">
        <v>81</v>
      </c>
      <c r="AV339" s="274" t="s">
        <v>81</v>
      </c>
      <c r="AW339" s="274" t="s">
        <v>81</v>
      </c>
      <c r="AX339" s="274" t="s">
        <v>81</v>
      </c>
      <c r="AY339" s="274" t="s">
        <v>81</v>
      </c>
      <c r="AZ339" s="274" t="s">
        <v>81</v>
      </c>
      <c r="BA339" s="4" t="s">
        <v>90</v>
      </c>
      <c r="BB339" s="257">
        <v>10800</v>
      </c>
      <c r="BC339" s="257">
        <v>2700</v>
      </c>
      <c r="BD339" s="257"/>
      <c r="BE339" s="9"/>
      <c r="BF339" s="257" t="s">
        <v>242</v>
      </c>
      <c r="BG339" s="257" t="s">
        <v>242</v>
      </c>
      <c r="BH339" s="257" t="s">
        <v>242</v>
      </c>
      <c r="BI339" s="257" t="s">
        <v>242</v>
      </c>
      <c r="BJ339" s="257" t="s">
        <v>242</v>
      </c>
      <c r="BK339" s="9"/>
      <c r="BL339" s="9"/>
    </row>
    <row r="340" ht="25.05" customHeight="1">
      <c r="A340" s="273">
        <v>172006</v>
      </c>
      <c r="B340" s="273">
        <v>172006</v>
      </c>
      <c r="C340" s="273" t="s">
        <v>3052</v>
      </c>
      <c r="D340" s="278" t="s">
        <v>3053</v>
      </c>
      <c r="E340" s="207" t="s">
        <v>66</v>
      </c>
      <c r="F340" s="274">
        <v>1110399879</v>
      </c>
      <c r="G340" s="273" t="s">
        <v>67</v>
      </c>
      <c r="H340" s="4" t="s">
        <v>2465</v>
      </c>
      <c r="I340" s="273" t="s">
        <v>2494</v>
      </c>
      <c r="J340" s="273" t="s">
        <v>2495</v>
      </c>
      <c r="K340" s="273" t="s">
        <v>71</v>
      </c>
      <c r="L340" s="273" t="s">
        <v>2466</v>
      </c>
      <c r="M340" s="273" t="s">
        <v>287</v>
      </c>
      <c r="N340" s="273" t="s">
        <v>74</v>
      </c>
      <c r="O340" s="273" t="s">
        <v>2475</v>
      </c>
      <c r="P340" s="22">
        <v>47</v>
      </c>
      <c r="Q340" s="275">
        <v>45563</v>
      </c>
      <c r="R340" s="275">
        <v>45581</v>
      </c>
      <c r="S340" s="22" t="s">
        <v>81</v>
      </c>
      <c r="T340" s="22" t="s">
        <v>81</v>
      </c>
      <c r="U340" s="22" t="s">
        <v>81</v>
      </c>
      <c r="V340" s="22" t="s">
        <v>81</v>
      </c>
      <c r="W340" s="274" t="s">
        <v>3054</v>
      </c>
      <c r="X340" s="274">
        <v>1745505211</v>
      </c>
      <c r="Y340" s="274">
        <v>1956327222</v>
      </c>
      <c r="Z340" s="274" t="s">
        <v>3055</v>
      </c>
      <c r="AA340" s="274">
        <v>1780667001</v>
      </c>
      <c r="AB340" s="274" t="s">
        <v>118</v>
      </c>
      <c r="AC340" s="274" t="s">
        <v>119</v>
      </c>
      <c r="AD340" s="276">
        <v>36027</v>
      </c>
      <c r="AE340" s="274" t="s">
        <v>81</v>
      </c>
      <c r="AF340" s="273" t="s">
        <v>80</v>
      </c>
      <c r="AG340" s="274">
        <v>7804341027</v>
      </c>
      <c r="AH340" s="274" t="s">
        <v>81</v>
      </c>
      <c r="AI340" s="274" t="s">
        <v>82</v>
      </c>
      <c r="AJ340" s="274" t="s">
        <v>81</v>
      </c>
      <c r="AK340" s="274" t="s">
        <v>81</v>
      </c>
      <c r="AL340" s="274" t="s">
        <v>81</v>
      </c>
      <c r="AM340" s="274" t="s">
        <v>100</v>
      </c>
      <c r="AN340" s="274" t="s">
        <v>3056</v>
      </c>
      <c r="AO340" s="274" t="s">
        <v>3057</v>
      </c>
      <c r="AP340" s="274" t="s">
        <v>3058</v>
      </c>
      <c r="AQ340" s="274" t="s">
        <v>1231</v>
      </c>
      <c r="AR340" s="274" t="s">
        <v>110</v>
      </c>
      <c r="AS340" s="274" t="s">
        <v>81</v>
      </c>
      <c r="AT340" s="274" t="s">
        <v>81</v>
      </c>
      <c r="AU340" s="274" t="s">
        <v>81</v>
      </c>
      <c r="AV340" s="274" t="s">
        <v>81</v>
      </c>
      <c r="AW340" s="274" t="s">
        <v>81</v>
      </c>
      <c r="AX340" s="274" t="s">
        <v>81</v>
      </c>
      <c r="AY340" s="274" t="s">
        <v>81</v>
      </c>
      <c r="AZ340" s="274" t="s">
        <v>81</v>
      </c>
      <c r="BA340" s="4" t="s">
        <v>90</v>
      </c>
      <c r="BB340" s="257">
        <v>10800</v>
      </c>
      <c r="BC340" s="257">
        <v>2700</v>
      </c>
      <c r="BD340" s="257"/>
      <c r="BE340" s="9"/>
      <c r="BF340" s="257" t="s">
        <v>242</v>
      </c>
      <c r="BG340" s="257" t="s">
        <v>242</v>
      </c>
      <c r="BH340" s="257" t="s">
        <v>242</v>
      </c>
      <c r="BI340" s="257" t="s">
        <v>242</v>
      </c>
      <c r="BJ340" s="257" t="s">
        <v>242</v>
      </c>
      <c r="BK340" s="9"/>
      <c r="BL340" s="9"/>
    </row>
    <row r="341" ht="25.05" customHeight="1">
      <c r="A341" s="273">
        <v>172001</v>
      </c>
      <c r="B341" s="273">
        <v>172001</v>
      </c>
      <c r="C341" s="273" t="s">
        <v>3059</v>
      </c>
      <c r="D341" s="273" t="s">
        <v>3060</v>
      </c>
      <c r="E341" s="207" t="s">
        <v>66</v>
      </c>
      <c r="F341" s="274">
        <v>1010939925</v>
      </c>
      <c r="G341" s="273" t="s">
        <v>67</v>
      </c>
      <c r="H341" s="4" t="s">
        <v>2465</v>
      </c>
      <c r="I341" s="273" t="s">
        <v>2494</v>
      </c>
      <c r="J341" s="273" t="s">
        <v>2495</v>
      </c>
      <c r="K341" s="273" t="s">
        <v>71</v>
      </c>
      <c r="L341" s="273" t="s">
        <v>2466</v>
      </c>
      <c r="M341" s="273" t="s">
        <v>342</v>
      </c>
      <c r="N341" s="273" t="s">
        <v>74</v>
      </c>
      <c r="O341" s="273" t="s">
        <v>2475</v>
      </c>
      <c r="P341" s="22">
        <v>47</v>
      </c>
      <c r="Q341" s="275">
        <v>45563</v>
      </c>
      <c r="R341" s="275">
        <v>45581</v>
      </c>
      <c r="S341" s="22" t="s">
        <v>81</v>
      </c>
      <c r="T341" s="22" t="s">
        <v>81</v>
      </c>
      <c r="U341" s="22" t="s">
        <v>81</v>
      </c>
      <c r="V341" s="22" t="s">
        <v>81</v>
      </c>
      <c r="W341" s="274" t="s">
        <v>3061</v>
      </c>
      <c r="X341" s="274">
        <v>1639309800</v>
      </c>
      <c r="Y341" s="274" t="s">
        <v>790</v>
      </c>
      <c r="Z341" s="274" t="s">
        <v>3062</v>
      </c>
      <c r="AA341" s="274">
        <v>1724230636</v>
      </c>
      <c r="AB341" s="274" t="s">
        <v>2812</v>
      </c>
      <c r="AC341" s="274" t="s">
        <v>2456</v>
      </c>
      <c r="AD341" s="276">
        <v>35687</v>
      </c>
      <c r="AE341" s="274" t="s">
        <v>81</v>
      </c>
      <c r="AF341" s="273" t="s">
        <v>80</v>
      </c>
      <c r="AG341" s="274">
        <v>2852182928</v>
      </c>
      <c r="AH341" s="274" t="s">
        <v>81</v>
      </c>
      <c r="AI341" s="274" t="s">
        <v>3063</v>
      </c>
      <c r="AJ341" s="274" t="s">
        <v>81</v>
      </c>
      <c r="AK341" s="274" t="s">
        <v>81</v>
      </c>
      <c r="AL341" s="274" t="s">
        <v>81</v>
      </c>
      <c r="AM341" s="274" t="s">
        <v>3064</v>
      </c>
      <c r="AN341" s="274" t="s">
        <v>3065</v>
      </c>
      <c r="AO341" s="274" t="s">
        <v>3066</v>
      </c>
      <c r="AP341" s="274" t="s">
        <v>3067</v>
      </c>
      <c r="AQ341" s="274" t="s">
        <v>3068</v>
      </c>
      <c r="AR341" s="274" t="s">
        <v>110</v>
      </c>
      <c r="AS341" s="274" t="s">
        <v>3062</v>
      </c>
      <c r="AT341" s="274" t="s">
        <v>81</v>
      </c>
      <c r="AU341" s="274" t="s">
        <v>3069</v>
      </c>
      <c r="AV341" s="274" t="s">
        <v>81</v>
      </c>
      <c r="AW341" s="274" t="s">
        <v>81</v>
      </c>
      <c r="AX341" s="274" t="s">
        <v>81</v>
      </c>
      <c r="AY341" s="274" t="s">
        <v>81</v>
      </c>
      <c r="AZ341" s="274" t="s">
        <v>81</v>
      </c>
      <c r="BA341" s="4" t="s">
        <v>90</v>
      </c>
      <c r="BB341" s="257">
        <v>10800</v>
      </c>
      <c r="BC341" s="257">
        <v>2700</v>
      </c>
      <c r="BD341" s="257"/>
      <c r="BE341" s="9"/>
      <c r="BF341" s="257" t="s">
        <v>242</v>
      </c>
      <c r="BG341" s="257" t="s">
        <v>242</v>
      </c>
      <c r="BH341" s="257" t="s">
        <v>242</v>
      </c>
      <c r="BI341" s="257" t="s">
        <v>242</v>
      </c>
      <c r="BJ341" s="257" t="s">
        <v>242</v>
      </c>
      <c r="BK341" s="9"/>
      <c r="BL341" s="9"/>
    </row>
    <row r="342" ht="25.05" customHeight="1">
      <c r="A342" s="273">
        <v>172014</v>
      </c>
      <c r="B342" s="273">
        <v>172014</v>
      </c>
      <c r="C342" s="273" t="s">
        <v>2344</v>
      </c>
      <c r="D342" s="273" t="s">
        <v>3070</v>
      </c>
      <c r="E342" s="207" t="s">
        <v>66</v>
      </c>
      <c r="F342" s="274">
        <v>656405</v>
      </c>
      <c r="G342" s="273" t="s">
        <v>67</v>
      </c>
      <c r="H342" s="4" t="s">
        <v>2465</v>
      </c>
      <c r="I342" s="273" t="s">
        <v>2494</v>
      </c>
      <c r="J342" s="273" t="s">
        <v>2495</v>
      </c>
      <c r="K342" s="273" t="s">
        <v>71</v>
      </c>
      <c r="L342" s="273" t="s">
        <v>2466</v>
      </c>
      <c r="M342" s="273" t="s">
        <v>342</v>
      </c>
      <c r="N342" s="273" t="s">
        <v>74</v>
      </c>
      <c r="O342" s="273" t="s">
        <v>2475</v>
      </c>
      <c r="P342" s="22">
        <v>47</v>
      </c>
      <c r="Q342" s="275">
        <v>45563</v>
      </c>
      <c r="R342" s="275">
        <v>45581</v>
      </c>
      <c r="S342" s="22" t="s">
        <v>81</v>
      </c>
      <c r="T342" s="22" t="s">
        <v>81</v>
      </c>
      <c r="U342" s="22" t="s">
        <v>81</v>
      </c>
      <c r="V342" s="22" t="s">
        <v>81</v>
      </c>
      <c r="W342" s="274" t="s">
        <v>3071</v>
      </c>
      <c r="X342" s="274">
        <v>1966178321</v>
      </c>
      <c r="Y342" s="274">
        <v>1966178321</v>
      </c>
      <c r="Z342" s="274" t="s">
        <v>81</v>
      </c>
      <c r="AA342" s="274">
        <v>1909830723</v>
      </c>
      <c r="AB342" s="274" t="s">
        <v>78</v>
      </c>
      <c r="AC342" s="274" t="s">
        <v>3072</v>
      </c>
      <c r="AD342" s="274" t="s">
        <v>3073</v>
      </c>
      <c r="AE342" s="274" t="s">
        <v>81</v>
      </c>
      <c r="AF342" s="273" t="s">
        <v>80</v>
      </c>
      <c r="AG342" s="274">
        <v>6445259739</v>
      </c>
      <c r="AH342" s="274" t="s">
        <v>81</v>
      </c>
      <c r="AI342" s="274" t="s">
        <v>967</v>
      </c>
      <c r="AJ342" s="274" t="s">
        <v>81</v>
      </c>
      <c r="AK342" s="274" t="s">
        <v>81</v>
      </c>
      <c r="AL342" s="274" t="s">
        <v>81</v>
      </c>
      <c r="AM342" s="274" t="s">
        <v>3074</v>
      </c>
      <c r="AN342" s="274" t="s">
        <v>3075</v>
      </c>
      <c r="AO342" s="274" t="s">
        <v>666</v>
      </c>
      <c r="AP342" s="274" t="s">
        <v>3076</v>
      </c>
      <c r="AQ342" s="274" t="s">
        <v>3077</v>
      </c>
      <c r="AR342" s="274" t="s">
        <v>89</v>
      </c>
      <c r="AS342" s="274" t="s">
        <v>81</v>
      </c>
      <c r="AT342" s="274" t="s">
        <v>81</v>
      </c>
      <c r="AU342" s="274" t="s">
        <v>81</v>
      </c>
      <c r="AV342" s="274" t="s">
        <v>81</v>
      </c>
      <c r="AW342" s="274" t="s">
        <v>81</v>
      </c>
      <c r="AX342" s="274" t="s">
        <v>81</v>
      </c>
      <c r="AY342" s="274" t="s">
        <v>81</v>
      </c>
      <c r="AZ342" s="274" t="s">
        <v>81</v>
      </c>
      <c r="BA342" s="4" t="s">
        <v>90</v>
      </c>
      <c r="BB342" s="257">
        <v>10800</v>
      </c>
      <c r="BC342" s="257">
        <v>2700</v>
      </c>
      <c r="BD342" s="257"/>
      <c r="BE342" s="9"/>
      <c r="BF342" s="257" t="s">
        <v>242</v>
      </c>
      <c r="BG342" s="257" t="s">
        <v>242</v>
      </c>
      <c r="BH342" s="257" t="s">
        <v>242</v>
      </c>
      <c r="BI342" s="257" t="s">
        <v>242</v>
      </c>
      <c r="BJ342" s="257" t="s">
        <v>242</v>
      </c>
      <c r="BK342" s="9"/>
      <c r="BL342" s="9"/>
    </row>
    <row r="343" ht="25.05" customHeight="1">
      <c r="A343" s="273">
        <v>172007</v>
      </c>
      <c r="B343" s="273">
        <v>172007</v>
      </c>
      <c r="C343" s="273" t="s">
        <v>3078</v>
      </c>
      <c r="D343" s="273" t="s">
        <v>3079</v>
      </c>
      <c r="E343" s="207" t="s">
        <v>66</v>
      </c>
      <c r="F343" s="274">
        <v>836028</v>
      </c>
      <c r="G343" s="273" t="s">
        <v>67</v>
      </c>
      <c r="H343" s="4" t="s">
        <v>2465</v>
      </c>
      <c r="I343" s="273" t="s">
        <v>2494</v>
      </c>
      <c r="J343" s="273" t="s">
        <v>2495</v>
      </c>
      <c r="K343" s="273" t="s">
        <v>71</v>
      </c>
      <c r="L343" s="273" t="s">
        <v>2466</v>
      </c>
      <c r="M343" s="273" t="s">
        <v>73</v>
      </c>
      <c r="N343" s="273" t="s">
        <v>74</v>
      </c>
      <c r="O343" s="273" t="s">
        <v>2475</v>
      </c>
      <c r="P343" s="22">
        <v>47</v>
      </c>
      <c r="Q343" s="275">
        <v>45563</v>
      </c>
      <c r="R343" s="275">
        <v>45581</v>
      </c>
      <c r="S343" s="22" t="s">
        <v>81</v>
      </c>
      <c r="T343" s="22" t="s">
        <v>81</v>
      </c>
      <c r="U343" s="22" t="s">
        <v>81</v>
      </c>
      <c r="V343" s="22" t="s">
        <v>81</v>
      </c>
      <c r="W343" s="274" t="s">
        <v>3080</v>
      </c>
      <c r="X343" s="274">
        <v>1314874973</v>
      </c>
      <c r="Y343" s="274">
        <v>1314874973</v>
      </c>
      <c r="Z343" s="274" t="s">
        <v>3081</v>
      </c>
      <c r="AA343" s="274" t="s">
        <v>3082</v>
      </c>
      <c r="AB343" s="274" t="s">
        <v>132</v>
      </c>
      <c r="AC343" s="274" t="s">
        <v>119</v>
      </c>
      <c r="AD343" s="276">
        <v>35523</v>
      </c>
      <c r="AE343" s="274" t="s">
        <v>81</v>
      </c>
      <c r="AF343" s="273" t="s">
        <v>360</v>
      </c>
      <c r="AG343" s="274">
        <v>7803749915</v>
      </c>
      <c r="AH343" s="274" t="s">
        <v>81</v>
      </c>
      <c r="AI343" s="274" t="s">
        <v>3083</v>
      </c>
      <c r="AJ343" s="274" t="s">
        <v>81</v>
      </c>
      <c r="AK343" s="274" t="s">
        <v>81</v>
      </c>
      <c r="AL343" s="274" t="s">
        <v>81</v>
      </c>
      <c r="AM343" s="274" t="s">
        <v>3084</v>
      </c>
      <c r="AN343" s="274" t="s">
        <v>3081</v>
      </c>
      <c r="AO343" s="274" t="s">
        <v>3085</v>
      </c>
      <c r="AP343" s="274" t="s">
        <v>3086</v>
      </c>
      <c r="AQ343" s="274" t="s">
        <v>3087</v>
      </c>
      <c r="AR343" s="274" t="s">
        <v>110</v>
      </c>
      <c r="AS343" s="274" t="s">
        <v>81</v>
      </c>
      <c r="AT343" s="274" t="s">
        <v>81</v>
      </c>
      <c r="AU343" s="274" t="s">
        <v>81</v>
      </c>
      <c r="AV343" s="274" t="s">
        <v>81</v>
      </c>
      <c r="AW343" s="274" t="s">
        <v>81</v>
      </c>
      <c r="AX343" s="274" t="s">
        <v>81</v>
      </c>
      <c r="AY343" s="274" t="s">
        <v>81</v>
      </c>
      <c r="AZ343" s="274" t="s">
        <v>81</v>
      </c>
      <c r="BA343" s="4" t="s">
        <v>90</v>
      </c>
      <c r="BB343" s="257">
        <v>10800</v>
      </c>
      <c r="BC343" s="257">
        <v>2700</v>
      </c>
      <c r="BD343" s="257"/>
      <c r="BE343" s="9"/>
      <c r="BF343" s="257" t="s">
        <v>242</v>
      </c>
      <c r="BG343" s="257" t="s">
        <v>242</v>
      </c>
      <c r="BH343" s="257" t="s">
        <v>242</v>
      </c>
      <c r="BI343" s="257" t="s">
        <v>242</v>
      </c>
      <c r="BJ343" s="257" t="s">
        <v>242</v>
      </c>
      <c r="BK343" s="9"/>
      <c r="BL343" s="9"/>
    </row>
    <row r="344" ht="25.05" customHeight="1">
      <c r="A344" s="273">
        <v>172004</v>
      </c>
      <c r="B344" s="273">
        <v>172004</v>
      </c>
      <c r="C344" s="273" t="s">
        <v>3088</v>
      </c>
      <c r="D344" s="273" t="s">
        <v>3089</v>
      </c>
      <c r="E344" s="207" t="s">
        <v>66</v>
      </c>
      <c r="F344" s="274">
        <v>17103013240</v>
      </c>
      <c r="G344" s="273" t="s">
        <v>67</v>
      </c>
      <c r="H344" s="4" t="s">
        <v>2465</v>
      </c>
      <c r="I344" s="273" t="s">
        <v>2494</v>
      </c>
      <c r="J344" s="273" t="s">
        <v>2495</v>
      </c>
      <c r="K344" s="273" t="s">
        <v>71</v>
      </c>
      <c r="L344" s="273" t="s">
        <v>2466</v>
      </c>
      <c r="M344" s="273" t="s">
        <v>2474</v>
      </c>
      <c r="N344" s="273" t="s">
        <v>74</v>
      </c>
      <c r="O344" s="273" t="s">
        <v>2475</v>
      </c>
      <c r="P344" s="22">
        <v>47</v>
      </c>
      <c r="Q344" s="275">
        <v>45563</v>
      </c>
      <c r="R344" s="275">
        <v>45587</v>
      </c>
      <c r="S344" s="22" t="s">
        <v>81</v>
      </c>
      <c r="T344" s="22" t="s">
        <v>81</v>
      </c>
      <c r="U344" s="22" t="s">
        <v>81</v>
      </c>
      <c r="V344" s="22" t="s">
        <v>81</v>
      </c>
      <c r="W344" s="274" t="s">
        <v>3090</v>
      </c>
      <c r="X344" s="274">
        <v>1732425771</v>
      </c>
      <c r="Y344" s="274" t="s">
        <v>81</v>
      </c>
      <c r="Z344" s="274" t="s">
        <v>3091</v>
      </c>
      <c r="AA344" s="274">
        <v>1736299271</v>
      </c>
      <c r="AB344" s="274" t="s">
        <v>78</v>
      </c>
      <c r="AC344" s="274" t="s">
        <v>81</v>
      </c>
      <c r="AD344" s="276">
        <v>35795</v>
      </c>
      <c r="AE344" s="274" t="s">
        <v>81</v>
      </c>
      <c r="AF344" s="273" t="s">
        <v>80</v>
      </c>
      <c r="AG344" s="274">
        <v>8703358450</v>
      </c>
      <c r="AH344" s="274" t="s">
        <v>81</v>
      </c>
      <c r="AI344" s="274" t="s">
        <v>290</v>
      </c>
      <c r="AJ344" s="274" t="s">
        <v>1619</v>
      </c>
      <c r="AK344" s="274">
        <v>2024</v>
      </c>
      <c r="AL344" s="274" t="s">
        <v>81</v>
      </c>
      <c r="AM344" s="274" t="s">
        <v>3092</v>
      </c>
      <c r="AN344" s="274" t="s">
        <v>2927</v>
      </c>
      <c r="AO344" s="274" t="s">
        <v>3093</v>
      </c>
      <c r="AP344" s="274" t="s">
        <v>3094</v>
      </c>
      <c r="AQ344" s="274" t="s">
        <v>285</v>
      </c>
      <c r="AR344" s="274" t="s">
        <v>89</v>
      </c>
      <c r="AS344" s="274" t="s">
        <v>3091</v>
      </c>
      <c r="AT344" s="276">
        <v>35599</v>
      </c>
      <c r="AU344" s="274" t="s">
        <v>81</v>
      </c>
      <c r="AV344" s="274" t="s">
        <v>81</v>
      </c>
      <c r="AW344" s="274" t="s">
        <v>81</v>
      </c>
      <c r="AX344" s="274" t="s">
        <v>81</v>
      </c>
      <c r="AY344" s="274" t="s">
        <v>81</v>
      </c>
      <c r="AZ344" s="274" t="s">
        <v>81</v>
      </c>
      <c r="BA344" s="4" t="s">
        <v>90</v>
      </c>
      <c r="BB344" s="257">
        <v>10800</v>
      </c>
      <c r="BC344" s="257">
        <v>2700</v>
      </c>
      <c r="BD344" s="257"/>
      <c r="BE344" s="9"/>
      <c r="BF344" s="257" t="s">
        <v>242</v>
      </c>
      <c r="BG344" s="257" t="s">
        <v>242</v>
      </c>
      <c r="BH344" s="257" t="s">
        <v>242</v>
      </c>
      <c r="BI344" s="257" t="s">
        <v>242</v>
      </c>
      <c r="BJ344" s="257" t="s">
        <v>242</v>
      </c>
      <c r="BK344" s="9"/>
      <c r="BL344" s="9"/>
    </row>
    <row r="345" ht="25.05" customHeight="1">
      <c r="A345" s="20">
        <v>172052</v>
      </c>
      <c r="B345" s="20">
        <v>172052</v>
      </c>
      <c r="C345" s="20" t="s">
        <v>3095</v>
      </c>
      <c r="D345" s="20" t="s">
        <v>3096</v>
      </c>
      <c r="E345" s="20" t="s">
        <v>114</v>
      </c>
      <c r="F345" s="20">
        <v>894313</v>
      </c>
      <c r="G345" s="273" t="s">
        <v>67</v>
      </c>
      <c r="H345" s="273" t="s">
        <v>2465</v>
      </c>
      <c r="I345" s="273" t="s">
        <v>69</v>
      </c>
      <c r="J345" s="273" t="s">
        <v>155</v>
      </c>
      <c r="K345" s="20" t="s">
        <v>1766</v>
      </c>
      <c r="L345" s="20" t="s">
        <v>2466</v>
      </c>
      <c r="M345" s="20" t="s">
        <v>271</v>
      </c>
      <c r="N345" s="20" t="s">
        <v>74</v>
      </c>
      <c r="O345" s="20" t="s">
        <v>75</v>
      </c>
      <c r="P345" s="20">
        <v>50</v>
      </c>
      <c r="Q345" s="285">
        <v>45588</v>
      </c>
      <c r="R345" s="285">
        <v>45604</v>
      </c>
      <c r="S345" s="217" t="s">
        <v>242</v>
      </c>
      <c r="T345" s="20" t="s">
        <v>242</v>
      </c>
      <c r="U345" s="20" t="s">
        <v>242</v>
      </c>
      <c r="V345" s="20" t="s">
        <v>242</v>
      </c>
      <c r="W345" s="286" t="s">
        <v>3097</v>
      </c>
      <c r="X345" s="20">
        <v>1733858627</v>
      </c>
      <c r="Y345" s="20">
        <v>1748435202</v>
      </c>
      <c r="Z345" s="20" t="s">
        <v>3098</v>
      </c>
      <c r="AA345" s="20">
        <v>1400804344</v>
      </c>
      <c r="AB345" s="20" t="s">
        <v>3099</v>
      </c>
      <c r="AC345" s="20" t="s">
        <v>133</v>
      </c>
      <c r="AD345" s="20" t="s">
        <v>3100</v>
      </c>
      <c r="AE345" s="20">
        <v>27</v>
      </c>
      <c r="AF345" s="20" t="s">
        <v>2618</v>
      </c>
      <c r="AG345" s="20">
        <v>5552776774</v>
      </c>
      <c r="AH345" s="20" t="s">
        <v>242</v>
      </c>
      <c r="AI345" s="20" t="s">
        <v>3101</v>
      </c>
      <c r="AJ345" s="20"/>
      <c r="AK345" s="20">
        <v>2023</v>
      </c>
      <c r="AL345" s="20" t="s">
        <v>3102</v>
      </c>
      <c r="AM345" s="20" t="s">
        <v>3103</v>
      </c>
      <c r="AN345" s="20" t="s">
        <v>3104</v>
      </c>
      <c r="AO345" s="20" t="s">
        <v>910</v>
      </c>
      <c r="AP345" s="20" t="s">
        <v>3105</v>
      </c>
      <c r="AQ345" s="20" t="s">
        <v>3106</v>
      </c>
      <c r="AR345" s="20" t="s">
        <v>110</v>
      </c>
      <c r="AS345" s="20" t="s">
        <v>242</v>
      </c>
      <c r="AT345" s="20" t="s">
        <v>242</v>
      </c>
      <c r="AU345" s="20" t="s">
        <v>242</v>
      </c>
      <c r="AV345" s="20" t="s">
        <v>242</v>
      </c>
      <c r="AW345" s="20" t="s">
        <v>81</v>
      </c>
      <c r="AX345" s="20" t="s">
        <v>81</v>
      </c>
      <c r="AY345" s="20" t="s">
        <v>81</v>
      </c>
      <c r="AZ345" s="20" t="s">
        <v>81</v>
      </c>
      <c r="BA345" s="4" t="s">
        <v>90</v>
      </c>
      <c r="BB345" s="234">
        <v>10800</v>
      </c>
      <c r="BC345" s="234">
        <v>2700</v>
      </c>
      <c r="BD345" s="234">
        <v>1000</v>
      </c>
      <c r="BE345" s="234" t="s">
        <v>166</v>
      </c>
      <c r="BF345" s="234" t="s">
        <v>242</v>
      </c>
      <c r="BG345" s="234" t="s">
        <v>242</v>
      </c>
      <c r="BH345" s="234" t="s">
        <v>242</v>
      </c>
      <c r="BI345" s="234" t="s">
        <v>242</v>
      </c>
      <c r="BJ345" s="234" t="s">
        <v>242</v>
      </c>
      <c r="BK345" s="20">
        <v>1748435202</v>
      </c>
      <c r="BL345" s="9"/>
    </row>
    <row r="346" ht="25.05" customHeight="1">
      <c r="A346" s="20">
        <v>172045</v>
      </c>
      <c r="B346" s="20">
        <v>172045</v>
      </c>
      <c r="C346" s="20" t="s">
        <v>3107</v>
      </c>
      <c r="D346" s="20" t="s">
        <v>3108</v>
      </c>
      <c r="E346" s="20" t="s">
        <v>114</v>
      </c>
      <c r="F346" s="20">
        <v>1210880545</v>
      </c>
      <c r="G346" s="273" t="s">
        <v>67</v>
      </c>
      <c r="H346" s="273" t="s">
        <v>2465</v>
      </c>
      <c r="I346" s="273" t="s">
        <v>69</v>
      </c>
      <c r="J346" s="273" t="s">
        <v>155</v>
      </c>
      <c r="K346" s="20" t="s">
        <v>1766</v>
      </c>
      <c r="L346" s="20" t="s">
        <v>2466</v>
      </c>
      <c r="M346" s="20" t="s">
        <v>196</v>
      </c>
      <c r="N346" s="20" t="s">
        <v>74</v>
      </c>
      <c r="O346" s="20" t="s">
        <v>75</v>
      </c>
      <c r="P346" s="20">
        <v>50</v>
      </c>
      <c r="Q346" s="285">
        <v>45588</v>
      </c>
      <c r="R346" s="285">
        <v>45604</v>
      </c>
      <c r="S346" s="217" t="s">
        <v>242</v>
      </c>
      <c r="T346" s="20" t="s">
        <v>242</v>
      </c>
      <c r="U346" s="20" t="s">
        <v>242</v>
      </c>
      <c r="V346" s="20" t="s">
        <v>242</v>
      </c>
      <c r="W346" s="286" t="s">
        <v>3109</v>
      </c>
      <c r="X346" s="20">
        <v>1973296732</v>
      </c>
      <c r="Y346" s="20">
        <v>1559085095</v>
      </c>
      <c r="Z346" s="20" t="s">
        <v>3110</v>
      </c>
      <c r="AA346" s="20">
        <v>1559085095</v>
      </c>
      <c r="AB346" s="20" t="s">
        <v>132</v>
      </c>
      <c r="AC346" s="20" t="s">
        <v>119</v>
      </c>
      <c r="AD346" s="254">
        <v>36868</v>
      </c>
      <c r="AE346" s="20">
        <v>25</v>
      </c>
      <c r="AF346" s="20" t="s">
        <v>80</v>
      </c>
      <c r="AG346" s="20">
        <v>8722654186</v>
      </c>
      <c r="AH346" s="20" t="s">
        <v>242</v>
      </c>
      <c r="AI346" s="20" t="s">
        <v>3101</v>
      </c>
      <c r="AJ346" s="20"/>
      <c r="AK346" s="20">
        <v>2022</v>
      </c>
      <c r="AL346" s="20" t="s">
        <v>323</v>
      </c>
      <c r="AM346" s="20" t="s">
        <v>3111</v>
      </c>
      <c r="AN346" s="20" t="s">
        <v>3112</v>
      </c>
      <c r="AO346" s="20" t="s">
        <v>3113</v>
      </c>
      <c r="AP346" s="20" t="s">
        <v>3114</v>
      </c>
      <c r="AQ346" s="20" t="s">
        <v>3115</v>
      </c>
      <c r="AR346" s="20" t="s">
        <v>110</v>
      </c>
      <c r="AS346" s="20" t="s">
        <v>242</v>
      </c>
      <c r="AT346" s="20" t="s">
        <v>242</v>
      </c>
      <c r="AU346" s="20" t="s">
        <v>242</v>
      </c>
      <c r="AV346" s="20" t="s">
        <v>242</v>
      </c>
      <c r="AW346" s="20" t="s">
        <v>81</v>
      </c>
      <c r="AX346" s="20" t="s">
        <v>81</v>
      </c>
      <c r="AY346" s="20" t="s">
        <v>81</v>
      </c>
      <c r="AZ346" s="20" t="s">
        <v>81</v>
      </c>
      <c r="BA346" s="4" t="s">
        <v>90</v>
      </c>
      <c r="BB346" s="234">
        <v>10800</v>
      </c>
      <c r="BC346" s="234">
        <v>2700</v>
      </c>
      <c r="BD346" s="234">
        <v>1000</v>
      </c>
      <c r="BE346" s="234" t="s">
        <v>166</v>
      </c>
      <c r="BF346" s="234" t="s">
        <v>242</v>
      </c>
      <c r="BG346" s="234" t="s">
        <v>242</v>
      </c>
      <c r="BH346" s="234" t="s">
        <v>242</v>
      </c>
      <c r="BI346" s="234" t="s">
        <v>242</v>
      </c>
      <c r="BJ346" s="234" t="s">
        <v>242</v>
      </c>
      <c r="BK346" s="20">
        <v>1973296732</v>
      </c>
      <c r="BL346" s="9"/>
    </row>
    <row r="347" ht="25.05" customHeight="1">
      <c r="A347" s="20">
        <v>172053</v>
      </c>
      <c r="B347" s="20">
        <v>172053</v>
      </c>
      <c r="C347" s="20" t="s">
        <v>3116</v>
      </c>
      <c r="D347" s="20" t="s">
        <v>3117</v>
      </c>
      <c r="E347" s="20" t="s">
        <v>114</v>
      </c>
      <c r="F347" s="20">
        <v>729165</v>
      </c>
      <c r="G347" s="273" t="s">
        <v>67</v>
      </c>
      <c r="H347" s="273" t="s">
        <v>2465</v>
      </c>
      <c r="I347" s="273" t="s">
        <v>69</v>
      </c>
      <c r="J347" s="273" t="s">
        <v>155</v>
      </c>
      <c r="K347" s="20" t="s">
        <v>1766</v>
      </c>
      <c r="L347" s="20" t="s">
        <v>2466</v>
      </c>
      <c r="M347" s="20" t="s">
        <v>171</v>
      </c>
      <c r="N347" s="20" t="s">
        <v>74</v>
      </c>
      <c r="O347" s="20" t="s">
        <v>75</v>
      </c>
      <c r="P347" s="20">
        <v>50</v>
      </c>
      <c r="Q347" s="285">
        <v>45588</v>
      </c>
      <c r="R347" s="285">
        <v>45604</v>
      </c>
      <c r="S347" s="217" t="s">
        <v>242</v>
      </c>
      <c r="T347" s="20" t="s">
        <v>242</v>
      </c>
      <c r="U347" s="20" t="s">
        <v>242</v>
      </c>
      <c r="V347" s="20" t="s">
        <v>242</v>
      </c>
      <c r="W347" s="286" t="s">
        <v>3118</v>
      </c>
      <c r="X347" s="20">
        <v>1620632896</v>
      </c>
      <c r="Y347" s="20" t="s">
        <v>242</v>
      </c>
      <c r="Z347" s="20" t="s">
        <v>3119</v>
      </c>
      <c r="AA347" s="20">
        <v>1750881602</v>
      </c>
      <c r="AB347" s="20" t="s">
        <v>382</v>
      </c>
      <c r="AC347" s="20" t="s">
        <v>79</v>
      </c>
      <c r="AD347" s="20" t="s">
        <v>3120</v>
      </c>
      <c r="AE347" s="20">
        <v>28</v>
      </c>
      <c r="AF347" s="20" t="s">
        <v>80</v>
      </c>
      <c r="AG347" s="20">
        <v>8700529004</v>
      </c>
      <c r="AH347" s="20"/>
      <c r="AI347" s="20" t="s">
        <v>925</v>
      </c>
      <c r="AJ347" s="20"/>
      <c r="AK347" s="20">
        <v>2019</v>
      </c>
      <c r="AL347" s="20" t="s">
        <v>3121</v>
      </c>
      <c r="AM347" s="20" t="s">
        <v>3122</v>
      </c>
      <c r="AN347" s="20" t="s">
        <v>3123</v>
      </c>
      <c r="AO347" s="20" t="s">
        <v>3124</v>
      </c>
      <c r="AP347" s="20" t="s">
        <v>3125</v>
      </c>
      <c r="AQ347" s="20" t="s">
        <v>285</v>
      </c>
      <c r="AR347" s="20" t="s">
        <v>110</v>
      </c>
      <c r="AS347" s="20" t="s">
        <v>242</v>
      </c>
      <c r="AT347" s="20" t="s">
        <v>242</v>
      </c>
      <c r="AU347" s="20" t="s">
        <v>242</v>
      </c>
      <c r="AV347" s="20" t="s">
        <v>242</v>
      </c>
      <c r="AW347" s="20" t="s">
        <v>81</v>
      </c>
      <c r="AX347" s="20" t="s">
        <v>81</v>
      </c>
      <c r="AY347" s="20" t="s">
        <v>81</v>
      </c>
      <c r="AZ347" s="20" t="s">
        <v>81</v>
      </c>
      <c r="BA347" s="4" t="s">
        <v>90</v>
      </c>
      <c r="BB347" s="234">
        <v>10800</v>
      </c>
      <c r="BC347" s="234">
        <v>2700</v>
      </c>
      <c r="BD347" s="234">
        <v>1000</v>
      </c>
      <c r="BE347" s="234" t="s">
        <v>166</v>
      </c>
      <c r="BF347" s="234" t="s">
        <v>242</v>
      </c>
      <c r="BG347" s="234" t="s">
        <v>242</v>
      </c>
      <c r="BH347" s="234" t="s">
        <v>242</v>
      </c>
      <c r="BI347" s="234" t="s">
        <v>242</v>
      </c>
      <c r="BJ347" s="234" t="s">
        <v>242</v>
      </c>
      <c r="BK347" s="20">
        <v>1620632896</v>
      </c>
      <c r="BL347" s="9"/>
    </row>
    <row r="348" ht="25.05" customHeight="1">
      <c r="A348" s="20">
        <v>172051</v>
      </c>
      <c r="B348" s="20">
        <v>172051</v>
      </c>
      <c r="C348" s="20" t="s">
        <v>3126</v>
      </c>
      <c r="D348" s="20" t="s">
        <v>3127</v>
      </c>
      <c r="E348" s="20" t="s">
        <v>114</v>
      </c>
      <c r="F348" s="20">
        <v>1410719848</v>
      </c>
      <c r="G348" s="273" t="s">
        <v>3128</v>
      </c>
      <c r="H348" s="273" t="s">
        <v>2465</v>
      </c>
      <c r="I348" s="273" t="s">
        <v>69</v>
      </c>
      <c r="J348" s="273" t="s">
        <v>155</v>
      </c>
      <c r="K348" s="20" t="s">
        <v>1766</v>
      </c>
      <c r="L348" s="20" t="s">
        <v>2466</v>
      </c>
      <c r="M348" s="20" t="s">
        <v>183</v>
      </c>
      <c r="N348" s="20" t="s">
        <v>74</v>
      </c>
      <c r="O348" s="20" t="s">
        <v>75</v>
      </c>
      <c r="P348" s="20">
        <v>50</v>
      </c>
      <c r="Q348" s="285">
        <v>45588</v>
      </c>
      <c r="R348" s="285">
        <v>45604</v>
      </c>
      <c r="S348" s="217" t="s">
        <v>242</v>
      </c>
      <c r="T348" s="20" t="s">
        <v>242</v>
      </c>
      <c r="U348" s="20" t="s">
        <v>242</v>
      </c>
      <c r="V348" s="20" t="s">
        <v>242</v>
      </c>
      <c r="W348" s="286" t="s">
        <v>3129</v>
      </c>
      <c r="X348" s="20">
        <v>1755058076</v>
      </c>
      <c r="Y348" s="20">
        <v>1646968284</v>
      </c>
      <c r="Z348" s="20" t="s">
        <v>3130</v>
      </c>
      <c r="AA348" s="20">
        <v>1739468515</v>
      </c>
      <c r="AB348" s="20" t="s">
        <v>132</v>
      </c>
      <c r="AC348" s="20" t="s">
        <v>119</v>
      </c>
      <c r="AD348" s="254">
        <v>36557</v>
      </c>
      <c r="AE348" s="20">
        <v>24</v>
      </c>
      <c r="AF348" s="20" t="s">
        <v>80</v>
      </c>
      <c r="AG348" s="20">
        <v>5112867089</v>
      </c>
      <c r="AH348" s="20" t="s">
        <v>3131</v>
      </c>
      <c r="AI348" s="20" t="s">
        <v>3101</v>
      </c>
      <c r="AJ348" s="20"/>
      <c r="AK348" s="20">
        <v>2024</v>
      </c>
      <c r="AL348" s="20" t="s">
        <v>3132</v>
      </c>
      <c r="AM348" s="20" t="s">
        <v>3133</v>
      </c>
      <c r="AN348" s="20" t="s">
        <v>3130</v>
      </c>
      <c r="AO348" s="20" t="s">
        <v>3134</v>
      </c>
      <c r="AP348" s="20" t="s">
        <v>3134</v>
      </c>
      <c r="AQ348" s="20" t="s">
        <v>3135</v>
      </c>
      <c r="AR348" s="20" t="s">
        <v>110</v>
      </c>
      <c r="AS348" s="20" t="s">
        <v>242</v>
      </c>
      <c r="AT348" s="20" t="s">
        <v>242</v>
      </c>
      <c r="AU348" s="20" t="s">
        <v>242</v>
      </c>
      <c r="AV348" s="20" t="s">
        <v>242</v>
      </c>
      <c r="AW348" s="20" t="s">
        <v>81</v>
      </c>
      <c r="AX348" s="20" t="s">
        <v>81</v>
      </c>
      <c r="AY348" s="20" t="s">
        <v>81</v>
      </c>
      <c r="AZ348" s="20" t="s">
        <v>81</v>
      </c>
      <c r="BA348" s="4" t="s">
        <v>90</v>
      </c>
      <c r="BB348" s="234">
        <v>10800</v>
      </c>
      <c r="BC348" s="234">
        <v>2700</v>
      </c>
      <c r="BD348" s="234">
        <v>1000</v>
      </c>
      <c r="BE348" s="234" t="s">
        <v>166</v>
      </c>
      <c r="BF348" s="234" t="s">
        <v>242</v>
      </c>
      <c r="BG348" s="234" t="s">
        <v>242</v>
      </c>
      <c r="BH348" s="234" t="s">
        <v>242</v>
      </c>
      <c r="BI348" s="234" t="s">
        <v>242</v>
      </c>
      <c r="BJ348" s="234" t="s">
        <v>242</v>
      </c>
      <c r="BK348" s="20">
        <v>1755058076</v>
      </c>
      <c r="BL348" s="9"/>
    </row>
    <row r="349" ht="25.05" customHeight="1">
      <c r="A349" s="20">
        <v>172046</v>
      </c>
      <c r="B349" s="20">
        <v>172046</v>
      </c>
      <c r="C349" s="20" t="s">
        <v>3136</v>
      </c>
      <c r="D349" s="20" t="s">
        <v>3137</v>
      </c>
      <c r="E349" s="20" t="s">
        <v>114</v>
      </c>
      <c r="F349" s="20">
        <v>1110322963</v>
      </c>
      <c r="G349" s="273" t="s">
        <v>67</v>
      </c>
      <c r="H349" s="273" t="s">
        <v>2465</v>
      </c>
      <c r="I349" s="273" t="s">
        <v>69</v>
      </c>
      <c r="J349" s="273" t="s">
        <v>155</v>
      </c>
      <c r="K349" s="20" t="s">
        <v>1766</v>
      </c>
      <c r="L349" s="20" t="s">
        <v>2466</v>
      </c>
      <c r="M349" s="20" t="s">
        <v>183</v>
      </c>
      <c r="N349" s="20" t="s">
        <v>74</v>
      </c>
      <c r="O349" s="20" t="s">
        <v>75</v>
      </c>
      <c r="P349" s="20">
        <v>50</v>
      </c>
      <c r="Q349" s="285">
        <v>45588</v>
      </c>
      <c r="R349" s="285">
        <v>45604</v>
      </c>
      <c r="S349" s="217" t="s">
        <v>242</v>
      </c>
      <c r="T349" s="20" t="s">
        <v>242</v>
      </c>
      <c r="U349" s="20" t="s">
        <v>242</v>
      </c>
      <c r="V349" s="20" t="s">
        <v>242</v>
      </c>
      <c r="W349" s="286" t="s">
        <v>3138</v>
      </c>
      <c r="X349" s="20">
        <v>1743693967</v>
      </c>
      <c r="Y349" s="20" t="s">
        <v>242</v>
      </c>
      <c r="Z349" s="20" t="s">
        <v>3139</v>
      </c>
      <c r="AA349" s="20">
        <v>1518463153</v>
      </c>
      <c r="AB349" s="20" t="s">
        <v>382</v>
      </c>
      <c r="AC349" s="20" t="s">
        <v>79</v>
      </c>
      <c r="AD349" s="254">
        <v>36073</v>
      </c>
      <c r="AE349" s="20">
        <v>27</v>
      </c>
      <c r="AF349" s="20" t="s">
        <v>80</v>
      </c>
      <c r="AG349" s="20">
        <v>8254683355</v>
      </c>
      <c r="AH349" s="20" t="s">
        <v>242</v>
      </c>
      <c r="AI349" s="20" t="s">
        <v>2211</v>
      </c>
      <c r="AJ349" s="20"/>
      <c r="AK349" s="20">
        <v>2022</v>
      </c>
      <c r="AL349" s="20" t="s">
        <v>524</v>
      </c>
      <c r="AM349" s="20" t="s">
        <v>3140</v>
      </c>
      <c r="AN349" s="20" t="s">
        <v>3141</v>
      </c>
      <c r="AO349" s="20" t="s">
        <v>3142</v>
      </c>
      <c r="AP349" s="20" t="s">
        <v>3143</v>
      </c>
      <c r="AQ349" s="20" t="s">
        <v>3106</v>
      </c>
      <c r="AR349" s="20" t="s">
        <v>110</v>
      </c>
      <c r="AS349" s="20" t="s">
        <v>242</v>
      </c>
      <c r="AT349" s="20" t="s">
        <v>242</v>
      </c>
      <c r="AU349" s="20" t="s">
        <v>242</v>
      </c>
      <c r="AV349" s="20" t="s">
        <v>242</v>
      </c>
      <c r="AW349" s="20" t="s">
        <v>81</v>
      </c>
      <c r="AX349" s="20" t="s">
        <v>81</v>
      </c>
      <c r="AY349" s="20" t="s">
        <v>81</v>
      </c>
      <c r="AZ349" s="20" t="s">
        <v>81</v>
      </c>
      <c r="BA349" s="4" t="s">
        <v>90</v>
      </c>
      <c r="BB349" s="234">
        <v>10800</v>
      </c>
      <c r="BC349" s="234">
        <v>2700</v>
      </c>
      <c r="BD349" s="234">
        <v>1000</v>
      </c>
      <c r="BE349" s="234" t="s">
        <v>166</v>
      </c>
      <c r="BF349" s="234" t="s">
        <v>242</v>
      </c>
      <c r="BG349" s="234" t="s">
        <v>242</v>
      </c>
      <c r="BH349" s="234" t="s">
        <v>242</v>
      </c>
      <c r="BI349" s="234" t="s">
        <v>242</v>
      </c>
      <c r="BJ349" s="234" t="s">
        <v>242</v>
      </c>
      <c r="BK349" s="20">
        <v>1743693967</v>
      </c>
      <c r="BL349" s="9"/>
    </row>
    <row r="350" ht="25.05" customHeight="1">
      <c r="A350" s="20">
        <v>172047</v>
      </c>
      <c r="B350" s="20">
        <v>172047</v>
      </c>
      <c r="C350" s="20" t="s">
        <v>3144</v>
      </c>
      <c r="D350" s="20" t="s">
        <v>3145</v>
      </c>
      <c r="E350" s="20" t="s">
        <v>114</v>
      </c>
      <c r="F350" s="20">
        <v>1010734685</v>
      </c>
      <c r="G350" s="273" t="s">
        <v>67</v>
      </c>
      <c r="H350" s="273" t="s">
        <v>2465</v>
      </c>
      <c r="I350" s="273" t="s">
        <v>69</v>
      </c>
      <c r="J350" s="273" t="s">
        <v>155</v>
      </c>
      <c r="K350" s="20" t="s">
        <v>1766</v>
      </c>
      <c r="L350" s="20" t="s">
        <v>2466</v>
      </c>
      <c r="M350" s="20" t="s">
        <v>271</v>
      </c>
      <c r="N350" s="20" t="s">
        <v>74</v>
      </c>
      <c r="O350" s="20" t="s">
        <v>75</v>
      </c>
      <c r="P350" s="20">
        <v>50</v>
      </c>
      <c r="Q350" s="285">
        <v>45588</v>
      </c>
      <c r="R350" s="285">
        <v>45604</v>
      </c>
      <c r="S350" s="217" t="s">
        <v>242</v>
      </c>
      <c r="T350" s="20" t="s">
        <v>242</v>
      </c>
      <c r="U350" s="20" t="s">
        <v>242</v>
      </c>
      <c r="V350" s="20" t="s">
        <v>242</v>
      </c>
      <c r="W350" s="286" t="s">
        <v>3146</v>
      </c>
      <c r="X350" s="20">
        <v>1581596596</v>
      </c>
      <c r="Y350" s="20">
        <v>1581596596</v>
      </c>
      <c r="Z350" s="20" t="s">
        <v>3147</v>
      </c>
      <c r="AA350" s="20">
        <v>1739793674</v>
      </c>
      <c r="AB350" s="20" t="s">
        <v>101</v>
      </c>
      <c r="AC350" s="20" t="s">
        <v>133</v>
      </c>
      <c r="AD350" s="254">
        <v>35405</v>
      </c>
      <c r="AE350" s="20">
        <v>28</v>
      </c>
      <c r="AF350" s="20" t="s">
        <v>3148</v>
      </c>
      <c r="AG350" s="20">
        <v>7770004609</v>
      </c>
      <c r="AH350" s="20" t="s">
        <v>242</v>
      </c>
      <c r="AI350" s="20" t="s">
        <v>2211</v>
      </c>
      <c r="AJ350" s="20"/>
      <c r="AK350" s="20">
        <v>2021</v>
      </c>
      <c r="AL350" s="20" t="s">
        <v>3149</v>
      </c>
      <c r="AM350" s="20" t="s">
        <v>3147</v>
      </c>
      <c r="AN350" s="20" t="s">
        <v>3150</v>
      </c>
      <c r="AO350" s="20" t="s">
        <v>3151</v>
      </c>
      <c r="AP350" s="20" t="s">
        <v>3152</v>
      </c>
      <c r="AQ350" s="20" t="s">
        <v>3106</v>
      </c>
      <c r="AR350" s="20" t="s">
        <v>110</v>
      </c>
      <c r="AS350" s="20" t="s">
        <v>242</v>
      </c>
      <c r="AT350" s="20" t="s">
        <v>242</v>
      </c>
      <c r="AU350" s="20" t="s">
        <v>242</v>
      </c>
      <c r="AV350" s="20" t="s">
        <v>242</v>
      </c>
      <c r="AW350" s="20" t="s">
        <v>81</v>
      </c>
      <c r="AX350" s="20" t="s">
        <v>81</v>
      </c>
      <c r="AY350" s="20" t="s">
        <v>81</v>
      </c>
      <c r="AZ350" s="20" t="s">
        <v>81</v>
      </c>
      <c r="BA350" s="4" t="s">
        <v>90</v>
      </c>
      <c r="BB350" s="234">
        <v>10800</v>
      </c>
      <c r="BC350" s="234">
        <v>2700</v>
      </c>
      <c r="BD350" s="234">
        <v>1000</v>
      </c>
      <c r="BE350" s="234" t="s">
        <v>166</v>
      </c>
      <c r="BF350" s="234" t="s">
        <v>242</v>
      </c>
      <c r="BG350" s="234" t="s">
        <v>242</v>
      </c>
      <c r="BH350" s="234" t="s">
        <v>242</v>
      </c>
      <c r="BI350" s="234" t="s">
        <v>242</v>
      </c>
      <c r="BJ350" s="234" t="s">
        <v>242</v>
      </c>
      <c r="BK350" s="20">
        <v>1650130707</v>
      </c>
      <c r="BL350" s="9"/>
    </row>
    <row r="351" ht="25.05" customHeight="1">
      <c r="A351" s="20">
        <v>172050</v>
      </c>
      <c r="B351" s="20">
        <v>172050</v>
      </c>
      <c r="C351" s="20" t="s">
        <v>3153</v>
      </c>
      <c r="D351" s="20" t="s">
        <v>3154</v>
      </c>
      <c r="E351" s="20" t="s">
        <v>114</v>
      </c>
      <c r="F351" s="20">
        <v>1013104193</v>
      </c>
      <c r="G351" s="273" t="s">
        <v>67</v>
      </c>
      <c r="H351" s="273" t="s">
        <v>2465</v>
      </c>
      <c r="I351" s="273" t="s">
        <v>69</v>
      </c>
      <c r="J351" s="273" t="s">
        <v>155</v>
      </c>
      <c r="K351" s="20" t="s">
        <v>1766</v>
      </c>
      <c r="L351" s="20" t="s">
        <v>2466</v>
      </c>
      <c r="M351" s="20" t="s">
        <v>2901</v>
      </c>
      <c r="N351" s="20" t="s">
        <v>74</v>
      </c>
      <c r="O351" s="20" t="s">
        <v>75</v>
      </c>
      <c r="P351" s="20">
        <v>50</v>
      </c>
      <c r="Q351" s="285">
        <v>45588</v>
      </c>
      <c r="R351" s="285">
        <v>45604</v>
      </c>
      <c r="S351" s="217" t="s">
        <v>242</v>
      </c>
      <c r="T351" s="20" t="s">
        <v>242</v>
      </c>
      <c r="U351" s="20" t="s">
        <v>242</v>
      </c>
      <c r="V351" s="20" t="s">
        <v>242</v>
      </c>
      <c r="W351" s="286" t="s">
        <v>3155</v>
      </c>
      <c r="X351" s="20">
        <v>1712726772</v>
      </c>
      <c r="Y351" s="20" t="s">
        <v>242</v>
      </c>
      <c r="Z351" s="20" t="s">
        <v>3156</v>
      </c>
      <c r="AA351" s="20">
        <v>1873737372</v>
      </c>
      <c r="AB351" s="20" t="s">
        <v>3157</v>
      </c>
      <c r="AC351" s="20" t="s">
        <v>119</v>
      </c>
      <c r="AD351" s="20" t="s">
        <v>3158</v>
      </c>
      <c r="AE351" s="20">
        <v>27</v>
      </c>
      <c r="AF351" s="20" t="s">
        <v>360</v>
      </c>
      <c r="AG351" s="20">
        <v>2402860460</v>
      </c>
      <c r="AH351" s="20" t="s">
        <v>242</v>
      </c>
      <c r="AI351" s="20" t="s">
        <v>3101</v>
      </c>
      <c r="AJ351" s="20"/>
      <c r="AK351" s="20">
        <v>2021</v>
      </c>
      <c r="AL351" s="20" t="s">
        <v>3159</v>
      </c>
      <c r="AM351" s="20" t="s">
        <v>3160</v>
      </c>
      <c r="AN351" s="20" t="s">
        <v>3161</v>
      </c>
      <c r="AO351" s="20" t="s">
        <v>3162</v>
      </c>
      <c r="AP351" s="20" t="s">
        <v>3163</v>
      </c>
      <c r="AQ351" s="20" t="s">
        <v>499</v>
      </c>
      <c r="AR351" s="20" t="s">
        <v>110</v>
      </c>
      <c r="AS351" s="20" t="s">
        <v>242</v>
      </c>
      <c r="AT351" s="20" t="s">
        <v>242</v>
      </c>
      <c r="AU351" s="20" t="s">
        <v>242</v>
      </c>
      <c r="AV351" s="20" t="s">
        <v>242</v>
      </c>
      <c r="AW351" s="20" t="s">
        <v>81</v>
      </c>
      <c r="AX351" s="20" t="s">
        <v>81</v>
      </c>
      <c r="AY351" s="20" t="s">
        <v>81</v>
      </c>
      <c r="AZ351" s="20" t="s">
        <v>81</v>
      </c>
      <c r="BA351" s="4" t="s">
        <v>90</v>
      </c>
      <c r="BB351" s="234">
        <v>10800</v>
      </c>
      <c r="BC351" s="234">
        <v>2700</v>
      </c>
      <c r="BD351" s="234">
        <v>1000</v>
      </c>
      <c r="BE351" s="234" t="s">
        <v>166</v>
      </c>
      <c r="BF351" s="234" t="s">
        <v>242</v>
      </c>
      <c r="BG351" s="234" t="s">
        <v>242</v>
      </c>
      <c r="BH351" s="234" t="s">
        <v>242</v>
      </c>
      <c r="BI351" s="234" t="s">
        <v>242</v>
      </c>
      <c r="BJ351" s="234" t="s">
        <v>242</v>
      </c>
      <c r="BK351" s="20">
        <v>1712726772</v>
      </c>
      <c r="BL351" s="9"/>
    </row>
    <row r="352" ht="25.05" customHeight="1">
      <c r="A352" s="20">
        <v>172043</v>
      </c>
      <c r="B352" s="20">
        <v>172043</v>
      </c>
      <c r="C352" s="20" t="s">
        <v>3164</v>
      </c>
      <c r="D352" s="20" t="s">
        <v>3165</v>
      </c>
      <c r="E352" s="20" t="s">
        <v>114</v>
      </c>
      <c r="F352" s="20" t="s">
        <v>3166</v>
      </c>
      <c r="G352" s="20" t="s">
        <v>67</v>
      </c>
      <c r="H352" s="20" t="s">
        <v>2465</v>
      </c>
      <c r="I352" s="20" t="s">
        <v>69</v>
      </c>
      <c r="J352" s="20" t="s">
        <v>155</v>
      </c>
      <c r="K352" s="20" t="s">
        <v>1766</v>
      </c>
      <c r="L352" s="20" t="s">
        <v>2466</v>
      </c>
      <c r="M352" s="20" t="s">
        <v>183</v>
      </c>
      <c r="N352" s="20" t="s">
        <v>74</v>
      </c>
      <c r="O352" s="20" t="s">
        <v>75</v>
      </c>
      <c r="P352" s="20">
        <v>49</v>
      </c>
      <c r="Q352" s="287">
        <v>45579</v>
      </c>
      <c r="R352" s="287">
        <v>45600</v>
      </c>
      <c r="S352" s="20" t="s">
        <v>242</v>
      </c>
      <c r="T352" s="20" t="s">
        <v>242</v>
      </c>
      <c r="U352" s="20" t="s">
        <v>242</v>
      </c>
      <c r="V352" s="20" t="s">
        <v>242</v>
      </c>
      <c r="W352" s="286" t="s">
        <v>3167</v>
      </c>
      <c r="X352" s="20">
        <v>1302330288</v>
      </c>
      <c r="Y352" s="20">
        <v>1738080789</v>
      </c>
      <c r="Z352" s="20" t="s">
        <v>3168</v>
      </c>
      <c r="AA352" s="20">
        <v>1919800053</v>
      </c>
      <c r="AB352" s="20" t="s">
        <v>2767</v>
      </c>
      <c r="AC352" s="20" t="s">
        <v>133</v>
      </c>
      <c r="AD352" s="20" t="s">
        <v>3169</v>
      </c>
      <c r="AE352" s="20">
        <v>35</v>
      </c>
      <c r="AF352" s="20" t="s">
        <v>3148</v>
      </c>
      <c r="AG352" s="20">
        <v>7315019138</v>
      </c>
      <c r="AH352" s="20" t="s">
        <v>242</v>
      </c>
      <c r="AI352" s="20" t="s">
        <v>2211</v>
      </c>
      <c r="AJ352" s="20"/>
      <c r="AK352" s="20">
        <v>2012</v>
      </c>
      <c r="AL352" s="20" t="s">
        <v>524</v>
      </c>
      <c r="AM352" s="20" t="s">
        <v>3170</v>
      </c>
      <c r="AN352" s="20" t="s">
        <v>3171</v>
      </c>
      <c r="AO352" s="20" t="s">
        <v>3172</v>
      </c>
      <c r="AP352" s="20" t="s">
        <v>3173</v>
      </c>
      <c r="AQ352" s="20" t="s">
        <v>499</v>
      </c>
      <c r="AR352" s="20" t="s">
        <v>89</v>
      </c>
      <c r="AS352" s="288" t="s">
        <v>242</v>
      </c>
      <c r="AT352" s="289" t="s">
        <v>242</v>
      </c>
      <c r="AU352" s="289" t="s">
        <v>242</v>
      </c>
      <c r="AV352" s="289" t="s">
        <v>242</v>
      </c>
      <c r="AW352" s="289" t="s">
        <v>81</v>
      </c>
      <c r="AX352" s="289" t="s">
        <v>81</v>
      </c>
      <c r="AY352" s="289" t="s">
        <v>81</v>
      </c>
      <c r="AZ352" s="289" t="s">
        <v>81</v>
      </c>
      <c r="BA352" s="4" t="s">
        <v>90</v>
      </c>
      <c r="BB352" s="289">
        <v>10800</v>
      </c>
      <c r="BC352" s="289">
        <v>2700</v>
      </c>
      <c r="BD352" s="289">
        <v>1000</v>
      </c>
      <c r="BE352" s="289" t="s">
        <v>166</v>
      </c>
      <c r="BF352" s="289" t="s">
        <v>242</v>
      </c>
      <c r="BG352" s="289" t="s">
        <v>242</v>
      </c>
      <c r="BH352" s="289" t="s">
        <v>242</v>
      </c>
      <c r="BI352" s="289" t="s">
        <v>242</v>
      </c>
      <c r="BJ352" s="289" t="s">
        <v>242</v>
      </c>
      <c r="BK352" s="20">
        <v>1302330288</v>
      </c>
      <c r="BL352" s="9"/>
    </row>
    <row r="353" ht="25.05" customHeight="1">
      <c r="A353" s="20">
        <v>172040</v>
      </c>
      <c r="B353" s="20">
        <v>172040</v>
      </c>
      <c r="C353" s="20" t="s">
        <v>3174</v>
      </c>
      <c r="D353" s="20" t="s">
        <v>3175</v>
      </c>
      <c r="E353" s="20" t="s">
        <v>114</v>
      </c>
      <c r="F353" s="20">
        <v>1311220937</v>
      </c>
      <c r="G353" s="20" t="s">
        <v>67</v>
      </c>
      <c r="H353" s="20" t="s">
        <v>2465</v>
      </c>
      <c r="I353" s="20" t="s">
        <v>69</v>
      </c>
      <c r="J353" s="20" t="s">
        <v>155</v>
      </c>
      <c r="K353" s="20" t="s">
        <v>1766</v>
      </c>
      <c r="L353" s="20" t="s">
        <v>2466</v>
      </c>
      <c r="M353" s="20" t="s">
        <v>196</v>
      </c>
      <c r="N353" s="20" t="s">
        <v>74</v>
      </c>
      <c r="O353" s="20" t="s">
        <v>75</v>
      </c>
      <c r="P353" s="20">
        <v>49</v>
      </c>
      <c r="Q353" s="287">
        <v>45579</v>
      </c>
      <c r="R353" s="287">
        <v>45600</v>
      </c>
      <c r="S353" s="20" t="s">
        <v>242</v>
      </c>
      <c r="T353" s="20" t="s">
        <v>242</v>
      </c>
      <c r="U353" s="20" t="s">
        <v>242</v>
      </c>
      <c r="V353" s="20" t="s">
        <v>242</v>
      </c>
      <c r="W353" s="286" t="s">
        <v>3176</v>
      </c>
      <c r="X353" s="20">
        <v>1833712208</v>
      </c>
      <c r="Y353" s="20">
        <v>1626013091</v>
      </c>
      <c r="Z353" s="20" t="s">
        <v>3177</v>
      </c>
      <c r="AA353" s="20">
        <v>1310817573</v>
      </c>
      <c r="AB353" s="20" t="s">
        <v>2767</v>
      </c>
      <c r="AC353" s="20" t="s">
        <v>79</v>
      </c>
      <c r="AD353" s="254">
        <v>36526</v>
      </c>
      <c r="AE353" s="20">
        <v>24</v>
      </c>
      <c r="AF353" s="20" t="s">
        <v>80</v>
      </c>
      <c r="AG353" s="20">
        <v>7357350656</v>
      </c>
      <c r="AH353" s="20" t="s">
        <v>242</v>
      </c>
      <c r="AI353" s="20" t="s">
        <v>925</v>
      </c>
      <c r="AJ353" s="20"/>
      <c r="AK353" s="20">
        <v>2022</v>
      </c>
      <c r="AL353" s="20" t="s">
        <v>524</v>
      </c>
      <c r="AM353" s="20" t="s">
        <v>3178</v>
      </c>
      <c r="AN353" s="20" t="s">
        <v>3179</v>
      </c>
      <c r="AO353" s="20" t="s">
        <v>629</v>
      </c>
      <c r="AP353" s="20" t="s">
        <v>3180</v>
      </c>
      <c r="AQ353" s="20" t="s">
        <v>3181</v>
      </c>
      <c r="AR353" s="20" t="s">
        <v>110</v>
      </c>
      <c r="AS353" s="288" t="s">
        <v>242</v>
      </c>
      <c r="AT353" s="289" t="s">
        <v>242</v>
      </c>
      <c r="AU353" s="289" t="s">
        <v>242</v>
      </c>
      <c r="AV353" s="289" t="s">
        <v>242</v>
      </c>
      <c r="AW353" s="289" t="s">
        <v>81</v>
      </c>
      <c r="AX353" s="289" t="s">
        <v>81</v>
      </c>
      <c r="AY353" s="289" t="s">
        <v>81</v>
      </c>
      <c r="AZ353" s="289" t="s">
        <v>81</v>
      </c>
      <c r="BA353" s="4" t="s">
        <v>90</v>
      </c>
      <c r="BB353" s="289">
        <v>10800</v>
      </c>
      <c r="BC353" s="289">
        <v>2700</v>
      </c>
      <c r="BD353" s="289">
        <v>1000</v>
      </c>
      <c r="BE353" s="289" t="s">
        <v>166</v>
      </c>
      <c r="BF353" s="289" t="s">
        <v>242</v>
      </c>
      <c r="BG353" s="289" t="s">
        <v>242</v>
      </c>
      <c r="BH353" s="289" t="s">
        <v>242</v>
      </c>
      <c r="BI353" s="289" t="s">
        <v>242</v>
      </c>
      <c r="BJ353" s="289" t="s">
        <v>242</v>
      </c>
      <c r="BK353" s="20">
        <v>1833712208</v>
      </c>
      <c r="BL353" s="9"/>
    </row>
    <row r="354" ht="25.05" customHeight="1">
      <c r="A354" s="20">
        <v>172042</v>
      </c>
      <c r="B354" s="20">
        <v>172042</v>
      </c>
      <c r="C354" s="20" t="s">
        <v>3182</v>
      </c>
      <c r="D354" s="20" t="s">
        <v>3183</v>
      </c>
      <c r="E354" s="20" t="s">
        <v>114</v>
      </c>
      <c r="F354" s="20">
        <v>1314401973</v>
      </c>
      <c r="G354" s="20" t="s">
        <v>67</v>
      </c>
      <c r="H354" s="20" t="s">
        <v>2465</v>
      </c>
      <c r="I354" s="20" t="s">
        <v>69</v>
      </c>
      <c r="J354" s="20" t="s">
        <v>155</v>
      </c>
      <c r="K354" s="20" t="s">
        <v>1766</v>
      </c>
      <c r="L354" s="20" t="s">
        <v>2466</v>
      </c>
      <c r="M354" s="20" t="s">
        <v>196</v>
      </c>
      <c r="N354" s="20" t="s">
        <v>74</v>
      </c>
      <c r="O354" s="20" t="s">
        <v>75</v>
      </c>
      <c r="P354" s="20">
        <v>49</v>
      </c>
      <c r="Q354" s="287">
        <v>45579</v>
      </c>
      <c r="R354" s="287">
        <v>45600</v>
      </c>
      <c r="S354" s="20" t="s">
        <v>242</v>
      </c>
      <c r="T354" s="20" t="s">
        <v>242</v>
      </c>
      <c r="U354" s="20" t="s">
        <v>242</v>
      </c>
      <c r="V354" s="20" t="s">
        <v>242</v>
      </c>
      <c r="W354" s="286" t="s">
        <v>3184</v>
      </c>
      <c r="X354" s="20">
        <v>1877457177</v>
      </c>
      <c r="Y354" s="20">
        <v>1400386186</v>
      </c>
      <c r="Z354" s="20" t="s">
        <v>3185</v>
      </c>
      <c r="AA354" s="20">
        <v>1751862632</v>
      </c>
      <c r="AB354" s="20" t="s">
        <v>2767</v>
      </c>
      <c r="AC354" s="20" t="s">
        <v>79</v>
      </c>
      <c r="AD354" s="254">
        <v>36862</v>
      </c>
      <c r="AE354" s="20">
        <v>24</v>
      </c>
      <c r="AF354" s="20" t="s">
        <v>80</v>
      </c>
      <c r="AG354" s="20">
        <v>9582448578</v>
      </c>
      <c r="AH354" s="20" t="s">
        <v>242</v>
      </c>
      <c r="AI354" s="20" t="s">
        <v>3101</v>
      </c>
      <c r="AJ354" s="20"/>
      <c r="AK354" s="20">
        <v>2023</v>
      </c>
      <c r="AL354" s="20" t="s">
        <v>3186</v>
      </c>
      <c r="AM354" s="20" t="s">
        <v>3187</v>
      </c>
      <c r="AN354" s="20" t="s">
        <v>3188</v>
      </c>
      <c r="AO354" s="20" t="s">
        <v>3189</v>
      </c>
      <c r="AP354" s="20" t="s">
        <v>3190</v>
      </c>
      <c r="AQ354" s="20" t="s">
        <v>1501</v>
      </c>
      <c r="AR354" s="20" t="s">
        <v>110</v>
      </c>
      <c r="AS354" s="20" t="s">
        <v>242</v>
      </c>
      <c r="AT354" s="20" t="s">
        <v>242</v>
      </c>
      <c r="AU354" s="20" t="s">
        <v>242</v>
      </c>
      <c r="AV354" s="20" t="s">
        <v>242</v>
      </c>
      <c r="AW354" s="20" t="s">
        <v>81</v>
      </c>
      <c r="AX354" s="20" t="s">
        <v>81</v>
      </c>
      <c r="AY354" s="20" t="s">
        <v>81</v>
      </c>
      <c r="AZ354" s="20" t="s">
        <v>81</v>
      </c>
      <c r="BA354" s="4" t="s">
        <v>90</v>
      </c>
      <c r="BB354" s="289">
        <v>10800</v>
      </c>
      <c r="BC354" s="289">
        <v>2700</v>
      </c>
      <c r="BD354" s="289">
        <v>1000</v>
      </c>
      <c r="BE354" s="289" t="s">
        <v>166</v>
      </c>
      <c r="BF354" s="289" t="s">
        <v>242</v>
      </c>
      <c r="BG354" s="289" t="s">
        <v>242</v>
      </c>
      <c r="BH354" s="289" t="s">
        <v>242</v>
      </c>
      <c r="BI354" s="289" t="s">
        <v>242</v>
      </c>
      <c r="BJ354" s="289" t="s">
        <v>242</v>
      </c>
      <c r="BK354" s="20">
        <v>1877457177</v>
      </c>
      <c r="BL354" s="9"/>
    </row>
    <row r="355" ht="25.05" customHeight="1">
      <c r="A355" s="234">
        <v>172033</v>
      </c>
      <c r="B355" s="234">
        <v>172033</v>
      </c>
      <c r="C355" s="234" t="s">
        <v>3191</v>
      </c>
      <c r="D355" s="234" t="s">
        <v>3192</v>
      </c>
      <c r="E355" s="234" t="s">
        <v>114</v>
      </c>
      <c r="F355" s="234">
        <v>777329</v>
      </c>
      <c r="G355" s="234" t="s">
        <v>67</v>
      </c>
      <c r="H355" s="234" t="s">
        <v>2465</v>
      </c>
      <c r="I355" s="234" t="s">
        <v>69</v>
      </c>
      <c r="J355" s="234" t="s">
        <v>155</v>
      </c>
      <c r="K355" s="234" t="s">
        <v>1766</v>
      </c>
      <c r="L355" s="234" t="s">
        <v>2466</v>
      </c>
      <c r="M355" s="234" t="s">
        <v>171</v>
      </c>
      <c r="N355" s="234" t="s">
        <v>74</v>
      </c>
      <c r="O355" s="234" t="s">
        <v>75</v>
      </c>
      <c r="P355" s="234">
        <v>49</v>
      </c>
      <c r="Q355" s="290">
        <v>45579</v>
      </c>
      <c r="R355" s="290">
        <v>45596</v>
      </c>
      <c r="S355" s="234" t="s">
        <v>242</v>
      </c>
      <c r="T355" s="234" t="s">
        <v>242</v>
      </c>
      <c r="U355" s="234" t="s">
        <v>242</v>
      </c>
      <c r="V355" s="234" t="s">
        <v>242</v>
      </c>
      <c r="W355" s="291" t="s">
        <v>3193</v>
      </c>
      <c r="X355" s="234">
        <v>1742096292</v>
      </c>
      <c r="Y355" s="234">
        <v>1999732482</v>
      </c>
      <c r="Z355" s="234" t="s">
        <v>3194</v>
      </c>
      <c r="AA355" s="234">
        <v>1775695002</v>
      </c>
      <c r="AB355" s="234" t="s">
        <v>2767</v>
      </c>
      <c r="AC355" s="234" t="s">
        <v>119</v>
      </c>
      <c r="AD355" s="256">
        <v>35437</v>
      </c>
      <c r="AE355" s="234">
        <v>27</v>
      </c>
      <c r="AF355" s="234" t="s">
        <v>80</v>
      </c>
      <c r="AG355" s="234">
        <v>5111058052</v>
      </c>
      <c r="AH355" s="234" t="s">
        <v>242</v>
      </c>
      <c r="AI355" s="234" t="s">
        <v>925</v>
      </c>
      <c r="AJ355" s="234"/>
      <c r="AK355" s="234">
        <v>2024</v>
      </c>
      <c r="AL355" s="234" t="s">
        <v>3195</v>
      </c>
      <c r="AM355" s="234" t="s">
        <v>3196</v>
      </c>
      <c r="AN355" s="234" t="s">
        <v>3197</v>
      </c>
      <c r="AO355" s="234" t="s">
        <v>3198</v>
      </c>
      <c r="AP355" s="234" t="s">
        <v>3199</v>
      </c>
      <c r="AQ355" s="234" t="s">
        <v>3200</v>
      </c>
      <c r="AR355" s="234" t="s">
        <v>110</v>
      </c>
      <c r="AS355" s="234" t="s">
        <v>242</v>
      </c>
      <c r="AT355" s="234" t="s">
        <v>242</v>
      </c>
      <c r="AU355" s="234" t="s">
        <v>242</v>
      </c>
      <c r="AV355" s="234" t="s">
        <v>242</v>
      </c>
      <c r="AW355" s="234" t="s">
        <v>81</v>
      </c>
      <c r="AX355" s="234" t="s">
        <v>81</v>
      </c>
      <c r="AY355" s="234" t="s">
        <v>81</v>
      </c>
      <c r="AZ355" s="234" t="s">
        <v>81</v>
      </c>
      <c r="BA355" s="4" t="s">
        <v>90</v>
      </c>
      <c r="BB355" s="234">
        <v>10800</v>
      </c>
      <c r="BC355" s="234">
        <v>2700</v>
      </c>
      <c r="BD355" s="234">
        <v>1000</v>
      </c>
      <c r="BE355" s="234" t="s">
        <v>166</v>
      </c>
      <c r="BF355" s="234" t="s">
        <v>242</v>
      </c>
      <c r="BG355" s="234" t="s">
        <v>242</v>
      </c>
      <c r="BH355" s="234" t="s">
        <v>242</v>
      </c>
      <c r="BI355" s="234" t="s">
        <v>242</v>
      </c>
      <c r="BJ355" s="234" t="s">
        <v>242</v>
      </c>
      <c r="BK355" s="234">
        <v>1742096292</v>
      </c>
      <c r="BL355" s="9"/>
    </row>
    <row r="356" ht="25.05" customHeight="1">
      <c r="A356" s="234">
        <v>172032</v>
      </c>
      <c r="B356" s="234">
        <v>172032</v>
      </c>
      <c r="C356" s="234" t="s">
        <v>3201</v>
      </c>
      <c r="D356" s="234" t="s">
        <v>3202</v>
      </c>
      <c r="E356" s="234" t="s">
        <v>114</v>
      </c>
      <c r="F356" s="234">
        <v>1013126711</v>
      </c>
      <c r="G356" s="234" t="s">
        <v>67</v>
      </c>
      <c r="H356" s="234" t="s">
        <v>2465</v>
      </c>
      <c r="I356" s="234" t="s">
        <v>69</v>
      </c>
      <c r="J356" s="234" t="s">
        <v>155</v>
      </c>
      <c r="K356" s="234" t="s">
        <v>1766</v>
      </c>
      <c r="L356" s="234" t="s">
        <v>2466</v>
      </c>
      <c r="M356" s="234" t="s">
        <v>196</v>
      </c>
      <c r="N356" s="234" t="s">
        <v>74</v>
      </c>
      <c r="O356" s="234" t="s">
        <v>75</v>
      </c>
      <c r="P356" s="234">
        <v>49</v>
      </c>
      <c r="Q356" s="290">
        <v>45579</v>
      </c>
      <c r="R356" s="290">
        <v>45596</v>
      </c>
      <c r="S356" s="234" t="s">
        <v>242</v>
      </c>
      <c r="T356" s="234" t="s">
        <v>242</v>
      </c>
      <c r="U356" s="234" t="s">
        <v>242</v>
      </c>
      <c r="V356" s="234" t="s">
        <v>242</v>
      </c>
      <c r="W356" s="291" t="s">
        <v>3203</v>
      </c>
      <c r="X356" s="234">
        <v>1308507702</v>
      </c>
      <c r="Y356" s="234">
        <v>1308507702</v>
      </c>
      <c r="Z356" s="234" t="s">
        <v>3204</v>
      </c>
      <c r="AA356" s="234">
        <v>1754863249</v>
      </c>
      <c r="AB356" s="234" t="s">
        <v>2767</v>
      </c>
      <c r="AC356" s="234" t="s">
        <v>79</v>
      </c>
      <c r="AD356" s="256" t="s">
        <v>3205</v>
      </c>
      <c r="AE356" s="234">
        <v>26</v>
      </c>
      <c r="AF356" s="234" t="s">
        <v>80</v>
      </c>
      <c r="AG356" s="234">
        <v>9154154778</v>
      </c>
      <c r="AH356" s="234" t="s">
        <v>242</v>
      </c>
      <c r="AI356" s="234" t="s">
        <v>925</v>
      </c>
      <c r="AJ356" s="234"/>
      <c r="AK356" s="234">
        <v>2020</v>
      </c>
      <c r="AL356" s="234" t="s">
        <v>2789</v>
      </c>
      <c r="AM356" s="234" t="s">
        <v>3206</v>
      </c>
      <c r="AN356" s="234" t="s">
        <v>3207</v>
      </c>
      <c r="AO356" s="234" t="s">
        <v>3208</v>
      </c>
      <c r="AP356" s="234" t="s">
        <v>3208</v>
      </c>
      <c r="AQ356" s="234" t="s">
        <v>3209</v>
      </c>
      <c r="AR356" s="234" t="s">
        <v>110</v>
      </c>
      <c r="AS356" s="234" t="s">
        <v>242</v>
      </c>
      <c r="AT356" s="234" t="s">
        <v>242</v>
      </c>
      <c r="AU356" s="234" t="s">
        <v>242</v>
      </c>
      <c r="AV356" s="234" t="s">
        <v>242</v>
      </c>
      <c r="AW356" s="234" t="s">
        <v>81</v>
      </c>
      <c r="AX356" s="234" t="s">
        <v>81</v>
      </c>
      <c r="AY356" s="234" t="s">
        <v>81</v>
      </c>
      <c r="AZ356" s="234" t="s">
        <v>81</v>
      </c>
      <c r="BA356" s="4" t="s">
        <v>90</v>
      </c>
      <c r="BB356" s="234">
        <v>10800</v>
      </c>
      <c r="BC356" s="234">
        <v>2700</v>
      </c>
      <c r="BD356" s="234">
        <v>1000</v>
      </c>
      <c r="BE356" s="234" t="s">
        <v>166</v>
      </c>
      <c r="BF356" s="234" t="s">
        <v>242</v>
      </c>
      <c r="BG356" s="234" t="s">
        <v>242</v>
      </c>
      <c r="BH356" s="234" t="s">
        <v>242</v>
      </c>
      <c r="BI356" s="234" t="s">
        <v>242</v>
      </c>
      <c r="BJ356" s="234" t="s">
        <v>242</v>
      </c>
      <c r="BK356" s="234">
        <v>1308507702</v>
      </c>
      <c r="BL356" s="9"/>
    </row>
    <row r="357" ht="25.05" customHeight="1">
      <c r="A357" s="234">
        <v>172035</v>
      </c>
      <c r="B357" s="234">
        <v>172035</v>
      </c>
      <c r="C357" s="234" t="s">
        <v>3210</v>
      </c>
      <c r="D357" s="234" t="s">
        <v>3211</v>
      </c>
      <c r="E357" s="234" t="s">
        <v>114</v>
      </c>
      <c r="F357" s="234">
        <v>1112873262</v>
      </c>
      <c r="G357" s="234" t="s">
        <v>67</v>
      </c>
      <c r="H357" s="234" t="s">
        <v>2465</v>
      </c>
      <c r="I357" s="234" t="s">
        <v>69</v>
      </c>
      <c r="J357" s="234" t="s">
        <v>155</v>
      </c>
      <c r="K357" s="234" t="s">
        <v>1766</v>
      </c>
      <c r="L357" s="234" t="s">
        <v>2466</v>
      </c>
      <c r="M357" s="234" t="s">
        <v>171</v>
      </c>
      <c r="N357" s="234" t="s">
        <v>74</v>
      </c>
      <c r="O357" s="234" t="s">
        <v>75</v>
      </c>
      <c r="P357" s="234">
        <v>49</v>
      </c>
      <c r="Q357" s="290">
        <v>45579</v>
      </c>
      <c r="R357" s="290">
        <v>45596</v>
      </c>
      <c r="S357" s="234" t="s">
        <v>242</v>
      </c>
      <c r="T357" s="234" t="s">
        <v>242</v>
      </c>
      <c r="U357" s="234" t="s">
        <v>242</v>
      </c>
      <c r="V357" s="234" t="s">
        <v>242</v>
      </c>
      <c r="W357" s="291" t="s">
        <v>3212</v>
      </c>
      <c r="X357" s="234">
        <v>1791618550</v>
      </c>
      <c r="Y357" s="234">
        <v>1303637355</v>
      </c>
      <c r="Z357" s="234" t="s">
        <v>3213</v>
      </c>
      <c r="AA357" s="234">
        <v>1874975724</v>
      </c>
      <c r="AB357" s="234" t="s">
        <v>2767</v>
      </c>
      <c r="AC357" s="234" t="s">
        <v>133</v>
      </c>
      <c r="AD357" s="256">
        <v>35986</v>
      </c>
      <c r="AE357" s="234">
        <v>26</v>
      </c>
      <c r="AF357" s="234" t="s">
        <v>80</v>
      </c>
      <c r="AG357" s="234">
        <v>4654129446</v>
      </c>
      <c r="AH357" s="234" t="s">
        <v>242</v>
      </c>
      <c r="AI357" s="234" t="s">
        <v>925</v>
      </c>
      <c r="AJ357" s="234"/>
      <c r="AK357" s="234">
        <v>2020</v>
      </c>
      <c r="AL357" s="234" t="s">
        <v>3214</v>
      </c>
      <c r="AM357" s="234" t="s">
        <v>3215</v>
      </c>
      <c r="AN357" s="234" t="s">
        <v>3216</v>
      </c>
      <c r="AO357" s="234" t="s">
        <v>3217</v>
      </c>
      <c r="AP357" s="234" t="s">
        <v>3218</v>
      </c>
      <c r="AQ357" s="234" t="s">
        <v>3219</v>
      </c>
      <c r="AR357" s="234" t="s">
        <v>89</v>
      </c>
      <c r="AS357" s="234" t="s">
        <v>242</v>
      </c>
      <c r="AT357" s="234" t="s">
        <v>242</v>
      </c>
      <c r="AU357" s="234" t="s">
        <v>242</v>
      </c>
      <c r="AV357" s="234" t="s">
        <v>242</v>
      </c>
      <c r="AW357" s="234" t="s">
        <v>81</v>
      </c>
      <c r="AX357" s="234" t="s">
        <v>81</v>
      </c>
      <c r="AY357" s="234" t="s">
        <v>81</v>
      </c>
      <c r="AZ357" s="234" t="s">
        <v>81</v>
      </c>
      <c r="BA357" s="4" t="s">
        <v>90</v>
      </c>
      <c r="BB357" s="234">
        <v>10800</v>
      </c>
      <c r="BC357" s="234">
        <v>2700</v>
      </c>
      <c r="BD357" s="234">
        <v>1000</v>
      </c>
      <c r="BE357" s="234" t="s">
        <v>166</v>
      </c>
      <c r="BF357" s="234" t="s">
        <v>242</v>
      </c>
      <c r="BG357" s="234" t="s">
        <v>242</v>
      </c>
      <c r="BH357" s="234" t="s">
        <v>242</v>
      </c>
      <c r="BI357" s="234" t="s">
        <v>242</v>
      </c>
      <c r="BJ357" s="234" t="s">
        <v>242</v>
      </c>
      <c r="BK357" s="234">
        <v>1791618550</v>
      </c>
      <c r="BL357" s="9"/>
    </row>
    <row r="358" ht="25.05" customHeight="1">
      <c r="A358" s="234">
        <v>172036</v>
      </c>
      <c r="B358" s="234">
        <v>172036</v>
      </c>
      <c r="C358" s="234" t="s">
        <v>3220</v>
      </c>
      <c r="D358" s="234" t="s">
        <v>3221</v>
      </c>
      <c r="E358" s="234" t="s">
        <v>114</v>
      </c>
      <c r="F358" s="234">
        <v>501605</v>
      </c>
      <c r="G358" s="234" t="s">
        <v>67</v>
      </c>
      <c r="H358" s="234" t="s">
        <v>2465</v>
      </c>
      <c r="I358" s="234" t="s">
        <v>69</v>
      </c>
      <c r="J358" s="234" t="s">
        <v>155</v>
      </c>
      <c r="K358" s="234" t="s">
        <v>1766</v>
      </c>
      <c r="L358" s="234" t="s">
        <v>2466</v>
      </c>
      <c r="M358" s="234" t="s">
        <v>2901</v>
      </c>
      <c r="N358" s="234" t="s">
        <v>74</v>
      </c>
      <c r="O358" s="234" t="s">
        <v>75</v>
      </c>
      <c r="P358" s="234">
        <v>49</v>
      </c>
      <c r="Q358" s="290">
        <v>45579</v>
      </c>
      <c r="R358" s="290">
        <v>45596</v>
      </c>
      <c r="S358" s="234" t="s">
        <v>242</v>
      </c>
      <c r="T358" s="234" t="s">
        <v>242</v>
      </c>
      <c r="U358" s="234" t="s">
        <v>242</v>
      </c>
      <c r="V358" s="234" t="s">
        <v>242</v>
      </c>
      <c r="W358" s="291" t="s">
        <v>3222</v>
      </c>
      <c r="X358" s="234">
        <v>1787244605</v>
      </c>
      <c r="Y358" s="234">
        <v>1324561676</v>
      </c>
      <c r="Z358" s="234" t="s">
        <v>3223</v>
      </c>
      <c r="AA358" s="234">
        <v>1712421076</v>
      </c>
      <c r="AB358" s="234" t="s">
        <v>2767</v>
      </c>
      <c r="AC358" s="234" t="s">
        <v>79</v>
      </c>
      <c r="AD358" s="256">
        <v>32632</v>
      </c>
      <c r="AE358" s="234">
        <v>35</v>
      </c>
      <c r="AF358" s="234" t="s">
        <v>80</v>
      </c>
      <c r="AG358" s="234">
        <v>1021013659</v>
      </c>
      <c r="AH358" s="234" t="s">
        <v>242</v>
      </c>
      <c r="AI358" s="234" t="s">
        <v>2211</v>
      </c>
      <c r="AJ358" s="234"/>
      <c r="AK358" s="234">
        <v>2011</v>
      </c>
      <c r="AL358" s="234" t="s">
        <v>1809</v>
      </c>
      <c r="AM358" s="234" t="s">
        <v>3224</v>
      </c>
      <c r="AN358" s="234" t="s">
        <v>3197</v>
      </c>
      <c r="AO358" s="234" t="s">
        <v>3225</v>
      </c>
      <c r="AP358" s="234" t="s">
        <v>3226</v>
      </c>
      <c r="AQ358" s="234" t="s">
        <v>285</v>
      </c>
      <c r="AR358" s="234" t="s">
        <v>110</v>
      </c>
      <c r="AS358" s="234" t="s">
        <v>242</v>
      </c>
      <c r="AT358" s="234" t="s">
        <v>242</v>
      </c>
      <c r="AU358" s="234" t="s">
        <v>242</v>
      </c>
      <c r="AV358" s="234" t="s">
        <v>242</v>
      </c>
      <c r="AW358" s="234" t="s">
        <v>81</v>
      </c>
      <c r="AX358" s="234" t="s">
        <v>81</v>
      </c>
      <c r="AY358" s="234" t="s">
        <v>81</v>
      </c>
      <c r="AZ358" s="234" t="s">
        <v>81</v>
      </c>
      <c r="BA358" s="4" t="s">
        <v>90</v>
      </c>
      <c r="BB358" s="234">
        <v>10800</v>
      </c>
      <c r="BC358" s="234">
        <v>2700</v>
      </c>
      <c r="BD358" s="234">
        <v>1000</v>
      </c>
      <c r="BE358" s="234" t="s">
        <v>166</v>
      </c>
      <c r="BF358" s="234" t="s">
        <v>242</v>
      </c>
      <c r="BG358" s="234" t="s">
        <v>242</v>
      </c>
      <c r="BH358" s="234" t="s">
        <v>242</v>
      </c>
      <c r="BI358" s="234" t="s">
        <v>242</v>
      </c>
      <c r="BJ358" s="234" t="s">
        <v>242</v>
      </c>
      <c r="BK358" s="234">
        <v>1787244605</v>
      </c>
      <c r="BL358" s="9"/>
    </row>
    <row r="359" ht="25.05" customHeight="1">
      <c r="A359" s="234">
        <v>172044</v>
      </c>
      <c r="B359" s="234">
        <v>172044</v>
      </c>
      <c r="C359" s="234" t="s">
        <v>3227</v>
      </c>
      <c r="D359" s="234" t="s">
        <v>3228</v>
      </c>
      <c r="E359" s="234" t="s">
        <v>114</v>
      </c>
      <c r="F359" s="234">
        <v>123373</v>
      </c>
      <c r="G359" s="234" t="s">
        <v>67</v>
      </c>
      <c r="H359" s="234" t="s">
        <v>2465</v>
      </c>
      <c r="I359" s="234" t="s">
        <v>69</v>
      </c>
      <c r="J359" s="234" t="s">
        <v>155</v>
      </c>
      <c r="K359" s="234" t="s">
        <v>1766</v>
      </c>
      <c r="L359" s="234" t="s">
        <v>2466</v>
      </c>
      <c r="M359" s="234" t="s">
        <v>2901</v>
      </c>
      <c r="N359" s="234" t="s">
        <v>74</v>
      </c>
      <c r="O359" s="234" t="s">
        <v>75</v>
      </c>
      <c r="P359" s="234">
        <v>49</v>
      </c>
      <c r="Q359" s="290">
        <v>45579</v>
      </c>
      <c r="R359" s="290">
        <v>45596</v>
      </c>
      <c r="S359" s="234" t="s">
        <v>242</v>
      </c>
      <c r="T359" s="234" t="s">
        <v>242</v>
      </c>
      <c r="U359" s="234" t="s">
        <v>242</v>
      </c>
      <c r="V359" s="234" t="s">
        <v>242</v>
      </c>
      <c r="W359" s="291" t="s">
        <v>3229</v>
      </c>
      <c r="X359" s="234">
        <v>1743433312</v>
      </c>
      <c r="Y359" s="234">
        <v>1531920962</v>
      </c>
      <c r="Z359" s="234" t="s">
        <v>3230</v>
      </c>
      <c r="AA359" s="234">
        <v>1730329230</v>
      </c>
      <c r="AB359" s="234" t="s">
        <v>2767</v>
      </c>
      <c r="AC359" s="234" t="s">
        <v>102</v>
      </c>
      <c r="AD359" s="256" t="s">
        <v>3231</v>
      </c>
      <c r="AE359" s="234">
        <v>31</v>
      </c>
      <c r="AF359" s="234" t="s">
        <v>80</v>
      </c>
      <c r="AG359" s="234">
        <v>9151793404</v>
      </c>
      <c r="AH359" s="234" t="s">
        <v>242</v>
      </c>
      <c r="AI359" s="234" t="s">
        <v>925</v>
      </c>
      <c r="AJ359" s="234"/>
      <c r="AK359" s="234">
        <v>2018</v>
      </c>
      <c r="AL359" s="234" t="s">
        <v>3232</v>
      </c>
      <c r="AM359" s="234" t="s">
        <v>3233</v>
      </c>
      <c r="AN359" s="234" t="s">
        <v>3234</v>
      </c>
      <c r="AO359" s="234" t="s">
        <v>688</v>
      </c>
      <c r="AP359" s="234" t="s">
        <v>3235</v>
      </c>
      <c r="AQ359" s="234" t="s">
        <v>499</v>
      </c>
      <c r="AR359" s="234" t="s">
        <v>110</v>
      </c>
      <c r="AS359" s="234" t="s">
        <v>242</v>
      </c>
      <c r="AT359" s="234" t="s">
        <v>242</v>
      </c>
      <c r="AU359" s="234" t="s">
        <v>242</v>
      </c>
      <c r="AV359" s="234" t="s">
        <v>242</v>
      </c>
      <c r="AW359" s="234" t="s">
        <v>81</v>
      </c>
      <c r="AX359" s="234" t="s">
        <v>81</v>
      </c>
      <c r="AY359" s="234" t="s">
        <v>81</v>
      </c>
      <c r="AZ359" s="234" t="s">
        <v>81</v>
      </c>
      <c r="BA359" s="4" t="s">
        <v>90</v>
      </c>
      <c r="BB359" s="234">
        <v>10800</v>
      </c>
      <c r="BC359" s="234">
        <v>2700</v>
      </c>
      <c r="BD359" s="234">
        <v>1000</v>
      </c>
      <c r="BE359" s="234" t="s">
        <v>166</v>
      </c>
      <c r="BF359" s="234" t="s">
        <v>242</v>
      </c>
      <c r="BG359" s="234" t="s">
        <v>242</v>
      </c>
      <c r="BH359" s="234" t="s">
        <v>242</v>
      </c>
      <c r="BI359" s="234" t="s">
        <v>242</v>
      </c>
      <c r="BJ359" s="234" t="s">
        <v>242</v>
      </c>
      <c r="BK359" s="234">
        <v>1531920962</v>
      </c>
      <c r="BL359" s="9"/>
    </row>
    <row r="360" ht="25.05" customHeight="1">
      <c r="A360" s="234">
        <v>172038</v>
      </c>
      <c r="B360" s="234">
        <v>172038</v>
      </c>
      <c r="C360" s="234" t="s">
        <v>3236</v>
      </c>
      <c r="D360" s="234" t="s">
        <v>3237</v>
      </c>
      <c r="E360" s="234" t="s">
        <v>114</v>
      </c>
      <c r="F360" s="234">
        <v>1110151466</v>
      </c>
      <c r="G360" s="234" t="s">
        <v>67</v>
      </c>
      <c r="H360" s="234" t="s">
        <v>2465</v>
      </c>
      <c r="I360" s="234" t="s">
        <v>69</v>
      </c>
      <c r="J360" s="234" t="s">
        <v>155</v>
      </c>
      <c r="K360" s="234" t="s">
        <v>1766</v>
      </c>
      <c r="L360" s="234" t="s">
        <v>2466</v>
      </c>
      <c r="M360" s="234" t="s">
        <v>271</v>
      </c>
      <c r="N360" s="234" t="s">
        <v>74</v>
      </c>
      <c r="O360" s="234" t="s">
        <v>75</v>
      </c>
      <c r="P360" s="234">
        <v>49</v>
      </c>
      <c r="Q360" s="290">
        <v>45579</v>
      </c>
      <c r="R360" s="290">
        <v>45596</v>
      </c>
      <c r="S360" s="234" t="s">
        <v>242</v>
      </c>
      <c r="T360" s="234" t="s">
        <v>242</v>
      </c>
      <c r="U360" s="234" t="s">
        <v>242</v>
      </c>
      <c r="V360" s="234" t="s">
        <v>242</v>
      </c>
      <c r="W360" s="291" t="s">
        <v>3238</v>
      </c>
      <c r="X360" s="234">
        <v>1955322998</v>
      </c>
      <c r="Y360" s="234">
        <v>1955322998</v>
      </c>
      <c r="Z360" s="234" t="s">
        <v>3239</v>
      </c>
      <c r="AA360" s="234">
        <v>1866120208</v>
      </c>
      <c r="AB360" s="234" t="s">
        <v>382</v>
      </c>
      <c r="AC360" s="234" t="s">
        <v>119</v>
      </c>
      <c r="AD360" s="256" t="s">
        <v>3240</v>
      </c>
      <c r="AE360" s="234">
        <v>25</v>
      </c>
      <c r="AF360" s="234" t="s">
        <v>80</v>
      </c>
      <c r="AG360" s="234">
        <v>8258033227</v>
      </c>
      <c r="AH360" s="234" t="s">
        <v>242</v>
      </c>
      <c r="AI360" s="234" t="s">
        <v>925</v>
      </c>
      <c r="AJ360" s="234"/>
      <c r="AK360" s="234">
        <v>2022</v>
      </c>
      <c r="AL360" s="234" t="s">
        <v>2554</v>
      </c>
      <c r="AM360" s="234" t="s">
        <v>3241</v>
      </c>
      <c r="AN360" s="234" t="s">
        <v>3242</v>
      </c>
      <c r="AO360" s="234" t="s">
        <v>3243</v>
      </c>
      <c r="AP360" s="234" t="s">
        <v>3243</v>
      </c>
      <c r="AQ360" s="234" t="s">
        <v>88</v>
      </c>
      <c r="AR360" s="234" t="s">
        <v>110</v>
      </c>
      <c r="AS360" s="234" t="s">
        <v>242</v>
      </c>
      <c r="AT360" s="234" t="s">
        <v>242</v>
      </c>
      <c r="AU360" s="234" t="s">
        <v>242</v>
      </c>
      <c r="AV360" s="234" t="s">
        <v>242</v>
      </c>
      <c r="AW360" s="234" t="s">
        <v>81</v>
      </c>
      <c r="AX360" s="234" t="s">
        <v>81</v>
      </c>
      <c r="AY360" s="234" t="s">
        <v>81</v>
      </c>
      <c r="AZ360" s="234" t="s">
        <v>81</v>
      </c>
      <c r="BA360" s="4" t="s">
        <v>90</v>
      </c>
      <c r="BB360" s="234">
        <v>10800</v>
      </c>
      <c r="BC360" s="234">
        <v>2700</v>
      </c>
      <c r="BD360" s="234">
        <v>1000</v>
      </c>
      <c r="BE360" s="234" t="s">
        <v>166</v>
      </c>
      <c r="BF360" s="234" t="s">
        <v>242</v>
      </c>
      <c r="BG360" s="234" t="s">
        <v>242</v>
      </c>
      <c r="BH360" s="234" t="s">
        <v>242</v>
      </c>
      <c r="BI360" s="234" t="s">
        <v>242</v>
      </c>
      <c r="BJ360" s="234" t="s">
        <v>242</v>
      </c>
      <c r="BK360" s="234">
        <v>1955322998</v>
      </c>
      <c r="BL360" s="9"/>
    </row>
    <row r="361" ht="25.05" customHeight="1">
      <c r="A361" s="234">
        <v>172060</v>
      </c>
      <c r="B361" s="234">
        <v>172060</v>
      </c>
      <c r="C361" s="234" t="s">
        <v>3244</v>
      </c>
      <c r="D361" s="234" t="s">
        <v>3245</v>
      </c>
      <c r="E361" s="234" t="s">
        <v>3246</v>
      </c>
      <c r="F361" s="234">
        <v>1010778976</v>
      </c>
      <c r="G361" s="234" t="s">
        <v>67</v>
      </c>
      <c r="H361" s="234" t="s">
        <v>3247</v>
      </c>
      <c r="I361" s="234" t="s">
        <v>2494</v>
      </c>
      <c r="J361" s="234" t="s">
        <v>2495</v>
      </c>
      <c r="K361" s="234" t="s">
        <v>71</v>
      </c>
      <c r="L361" s="234" t="s">
        <v>2466</v>
      </c>
      <c r="M361" s="234" t="s">
        <v>98</v>
      </c>
      <c r="N361" s="234" t="s">
        <v>74</v>
      </c>
      <c r="O361" s="234" t="s">
        <v>3248</v>
      </c>
      <c r="P361" s="234">
        <v>51</v>
      </c>
      <c r="Q361" s="290">
        <v>45593</v>
      </c>
      <c r="R361" s="290">
        <v>45604</v>
      </c>
      <c r="S361" s="234" t="s">
        <v>81</v>
      </c>
      <c r="T361" s="234" t="s">
        <v>81</v>
      </c>
      <c r="U361" s="234" t="s">
        <v>81</v>
      </c>
      <c r="V361" s="234">
        <v>1794288289</v>
      </c>
      <c r="W361" s="291" t="s">
        <v>3249</v>
      </c>
      <c r="X361" s="234">
        <v>1794288289</v>
      </c>
      <c r="Y361" s="234">
        <v>1533554765</v>
      </c>
      <c r="Z361" s="234" t="s">
        <v>3250</v>
      </c>
      <c r="AA361" s="234">
        <v>1744709095</v>
      </c>
      <c r="AB361" s="234" t="s">
        <v>78</v>
      </c>
      <c r="AC361" s="234" t="s">
        <v>79</v>
      </c>
      <c r="AD361" s="256" t="s">
        <v>3251</v>
      </c>
      <c r="AE361" s="234"/>
      <c r="AF361" s="234" t="s">
        <v>80</v>
      </c>
      <c r="AG361" s="234">
        <v>6454166296</v>
      </c>
      <c r="AH361" s="234" t="s">
        <v>81</v>
      </c>
      <c r="AI361" s="234" t="s">
        <v>217</v>
      </c>
      <c r="AJ361" s="234" t="s">
        <v>81</v>
      </c>
      <c r="AK361" s="234" t="s">
        <v>81</v>
      </c>
      <c r="AL361" s="234" t="s">
        <v>81</v>
      </c>
      <c r="AM361" s="234" t="s">
        <v>3252</v>
      </c>
      <c r="AN361" s="234" t="s">
        <v>3253</v>
      </c>
      <c r="AO361" s="234" t="s">
        <v>3254</v>
      </c>
      <c r="AP361" s="234" t="s">
        <v>3255</v>
      </c>
      <c r="AQ361" s="234" t="s">
        <v>1188</v>
      </c>
      <c r="AR361" s="234" t="s">
        <v>89</v>
      </c>
      <c r="AS361" s="234" t="s">
        <v>3250</v>
      </c>
      <c r="AT361" s="234" t="s">
        <v>3256</v>
      </c>
      <c r="AU361" s="234" t="s">
        <v>81</v>
      </c>
      <c r="AV361" s="234" t="s">
        <v>81</v>
      </c>
      <c r="AW361" s="234" t="s">
        <v>81</v>
      </c>
      <c r="AX361" s="234" t="s">
        <v>81</v>
      </c>
      <c r="AY361" s="234" t="s">
        <v>81</v>
      </c>
      <c r="AZ361" s="234" t="s">
        <v>81</v>
      </c>
      <c r="BA361" s="4" t="s">
        <v>90</v>
      </c>
      <c r="BB361" s="234">
        <v>10800</v>
      </c>
      <c r="BC361" s="234">
        <v>2700</v>
      </c>
      <c r="BD361" s="234"/>
      <c r="BE361" s="234" t="s">
        <v>91</v>
      </c>
      <c r="BF361" s="234"/>
      <c r="BG361" s="234"/>
      <c r="BH361" s="234"/>
      <c r="BI361" s="234"/>
      <c r="BJ361" s="234"/>
      <c r="BK361" s="234"/>
      <c r="BL361" s="9"/>
    </row>
    <row r="362" ht="25.05" customHeight="1">
      <c r="A362" s="234">
        <v>172075</v>
      </c>
      <c r="B362" s="234">
        <v>172075</v>
      </c>
      <c r="C362" s="234" t="s">
        <v>3257</v>
      </c>
      <c r="D362" s="234" t="s">
        <v>3258</v>
      </c>
      <c r="E362" s="234" t="s">
        <v>3246</v>
      </c>
      <c r="F362" s="234">
        <v>383451</v>
      </c>
      <c r="G362" s="234" t="s">
        <v>67</v>
      </c>
      <c r="H362" s="234" t="s">
        <v>3247</v>
      </c>
      <c r="I362" s="234" t="s">
        <v>2494</v>
      </c>
      <c r="J362" s="234" t="s">
        <v>2495</v>
      </c>
      <c r="K362" s="234" t="s">
        <v>71</v>
      </c>
      <c r="L362" s="234" t="s">
        <v>2466</v>
      </c>
      <c r="M362" s="234" t="s">
        <v>98</v>
      </c>
      <c r="N362" s="234" t="s">
        <v>74</v>
      </c>
      <c r="O362" s="234" t="s">
        <v>3248</v>
      </c>
      <c r="P362" s="234">
        <v>51</v>
      </c>
      <c r="Q362" s="290">
        <v>45593</v>
      </c>
      <c r="R362" s="290">
        <v>45604</v>
      </c>
      <c r="S362" s="234" t="s">
        <v>81</v>
      </c>
      <c r="T362" s="234" t="s">
        <v>81</v>
      </c>
      <c r="U362" s="234" t="s">
        <v>81</v>
      </c>
      <c r="V362" s="234">
        <v>1715901332</v>
      </c>
      <c r="W362" s="291" t="s">
        <v>3259</v>
      </c>
      <c r="X362" s="234">
        <v>1715901332</v>
      </c>
      <c r="Y362" s="234">
        <v>1317683595</v>
      </c>
      <c r="Z362" s="234" t="s">
        <v>3260</v>
      </c>
      <c r="AA362" s="234">
        <v>1715901332</v>
      </c>
      <c r="AB362" s="234" t="s">
        <v>101</v>
      </c>
      <c r="AC362" s="234" t="s">
        <v>119</v>
      </c>
      <c r="AD362" s="256" t="s">
        <v>3261</v>
      </c>
      <c r="AE362" s="234"/>
      <c r="AF362" s="234" t="s">
        <v>80</v>
      </c>
      <c r="AG362" s="234">
        <v>9160708641</v>
      </c>
      <c r="AH362" s="234" t="s">
        <v>81</v>
      </c>
      <c r="AI362" s="234" t="s">
        <v>322</v>
      </c>
      <c r="AJ362" s="234" t="s">
        <v>81</v>
      </c>
      <c r="AK362" s="234" t="s">
        <v>81</v>
      </c>
      <c r="AL362" s="234" t="s">
        <v>81</v>
      </c>
      <c r="AM362" s="234" t="s">
        <v>3260</v>
      </c>
      <c r="AN362" s="234" t="s">
        <v>3056</v>
      </c>
      <c r="AO362" s="234" t="s">
        <v>3262</v>
      </c>
      <c r="AP362" s="234" t="s">
        <v>3263</v>
      </c>
      <c r="AQ362" s="234" t="s">
        <v>3262</v>
      </c>
      <c r="AR362" s="234" t="s">
        <v>3264</v>
      </c>
      <c r="AS362" s="234" t="s">
        <v>81</v>
      </c>
      <c r="AT362" s="234" t="s">
        <v>81</v>
      </c>
      <c r="AU362" s="234" t="s">
        <v>81</v>
      </c>
      <c r="AV362" s="234" t="s">
        <v>81</v>
      </c>
      <c r="AW362" s="234" t="s">
        <v>81</v>
      </c>
      <c r="AX362" s="234" t="s">
        <v>81</v>
      </c>
      <c r="AY362" s="234" t="s">
        <v>81</v>
      </c>
      <c r="AZ362" s="234" t="s">
        <v>81</v>
      </c>
      <c r="BA362" s="4" t="s">
        <v>90</v>
      </c>
      <c r="BB362" s="234">
        <v>10800</v>
      </c>
      <c r="BC362" s="234">
        <v>2700</v>
      </c>
      <c r="BD362" s="234"/>
      <c r="BE362" s="234" t="s">
        <v>91</v>
      </c>
      <c r="BF362" s="234"/>
      <c r="BG362" s="234"/>
      <c r="BH362" s="234"/>
      <c r="BI362" s="234"/>
      <c r="BJ362" s="234"/>
      <c r="BK362" s="234"/>
      <c r="BL362" s="9"/>
    </row>
    <row r="363" ht="25.05" customHeight="1">
      <c r="A363" s="234">
        <v>172074</v>
      </c>
      <c r="B363" s="234">
        <v>172074</v>
      </c>
      <c r="C363" s="234" t="s">
        <v>3265</v>
      </c>
      <c r="D363" s="234" t="s">
        <v>3266</v>
      </c>
      <c r="E363" s="234" t="s">
        <v>3246</v>
      </c>
      <c r="F363" s="234">
        <v>1110151486</v>
      </c>
      <c r="G363" s="234" t="s">
        <v>67</v>
      </c>
      <c r="H363" s="234" t="s">
        <v>3247</v>
      </c>
      <c r="I363" s="234" t="s">
        <v>2494</v>
      </c>
      <c r="J363" s="234" t="s">
        <v>2495</v>
      </c>
      <c r="K363" s="234" t="s">
        <v>71</v>
      </c>
      <c r="L363" s="234" t="s">
        <v>2466</v>
      </c>
      <c r="M363" s="234" t="s">
        <v>98</v>
      </c>
      <c r="N363" s="234" t="s">
        <v>74</v>
      </c>
      <c r="O363" s="234" t="s">
        <v>3248</v>
      </c>
      <c r="P363" s="234">
        <v>51</v>
      </c>
      <c r="Q363" s="290">
        <v>45593</v>
      </c>
      <c r="R363" s="290">
        <v>45604</v>
      </c>
      <c r="S363" s="234" t="s">
        <v>81</v>
      </c>
      <c r="T363" s="234" t="s">
        <v>81</v>
      </c>
      <c r="U363" s="234" t="s">
        <v>81</v>
      </c>
      <c r="V363" s="234">
        <v>1920959939</v>
      </c>
      <c r="W363" s="291" t="s">
        <v>3267</v>
      </c>
      <c r="X363" s="234">
        <v>1920959939</v>
      </c>
      <c r="Y363" s="234">
        <v>1885550051</v>
      </c>
      <c r="Z363" s="234" t="s">
        <v>3268</v>
      </c>
      <c r="AA363" s="234">
        <v>1885550051</v>
      </c>
      <c r="AB363" s="234" t="s">
        <v>252</v>
      </c>
      <c r="AC363" s="234" t="s">
        <v>133</v>
      </c>
      <c r="AD363" s="256" t="s">
        <v>3269</v>
      </c>
      <c r="AE363" s="234"/>
      <c r="AF363" s="234" t="s">
        <v>80</v>
      </c>
      <c r="AG363" s="234">
        <v>9577458053</v>
      </c>
      <c r="AH363" s="234" t="s">
        <v>81</v>
      </c>
      <c r="AI363" s="234" t="s">
        <v>265</v>
      </c>
      <c r="AJ363" s="234" t="s">
        <v>81</v>
      </c>
      <c r="AK363" s="234" t="s">
        <v>81</v>
      </c>
      <c r="AL363" s="234" t="s">
        <v>81</v>
      </c>
      <c r="AM363" s="234" t="s">
        <v>3270</v>
      </c>
      <c r="AN363" s="234" t="s">
        <v>3271</v>
      </c>
      <c r="AO363" s="234" t="s">
        <v>3272</v>
      </c>
      <c r="AP363" s="234" t="s">
        <v>3273</v>
      </c>
      <c r="AQ363" s="234" t="s">
        <v>88</v>
      </c>
      <c r="AR363" s="234" t="s">
        <v>3264</v>
      </c>
      <c r="AS363" s="234" t="s">
        <v>81</v>
      </c>
      <c r="AT363" s="234" t="s">
        <v>81</v>
      </c>
      <c r="AU363" s="234" t="s">
        <v>81</v>
      </c>
      <c r="AV363" s="234" t="s">
        <v>81</v>
      </c>
      <c r="AW363" s="234" t="s">
        <v>81</v>
      </c>
      <c r="AX363" s="234" t="s">
        <v>81</v>
      </c>
      <c r="AY363" s="234" t="s">
        <v>81</v>
      </c>
      <c r="AZ363" s="234" t="s">
        <v>81</v>
      </c>
      <c r="BA363" s="4" t="s">
        <v>90</v>
      </c>
      <c r="BB363" s="234">
        <v>10800</v>
      </c>
      <c r="BC363" s="234">
        <v>2700</v>
      </c>
      <c r="BD363" s="234"/>
      <c r="BE363" s="234" t="s">
        <v>91</v>
      </c>
      <c r="BF363" s="234"/>
      <c r="BG363" s="234"/>
      <c r="BH363" s="234"/>
      <c r="BI363" s="234"/>
      <c r="BJ363" s="234"/>
      <c r="BK363" s="234"/>
      <c r="BL363" s="9"/>
    </row>
    <row r="364" ht="25.05" customHeight="1">
      <c r="A364" s="234">
        <v>172057</v>
      </c>
      <c r="B364" s="234">
        <v>172057</v>
      </c>
      <c r="C364" s="234" t="s">
        <v>3274</v>
      </c>
      <c r="D364" s="234" t="s">
        <v>3275</v>
      </c>
      <c r="E364" s="234" t="s">
        <v>3246</v>
      </c>
      <c r="F364" s="234">
        <v>194244</v>
      </c>
      <c r="G364" s="234" t="s">
        <v>67</v>
      </c>
      <c r="H364" s="234" t="s">
        <v>3247</v>
      </c>
      <c r="I364" s="234" t="s">
        <v>2494</v>
      </c>
      <c r="J364" s="234" t="s">
        <v>2495</v>
      </c>
      <c r="K364" s="234" t="s">
        <v>71</v>
      </c>
      <c r="L364" s="234" t="s">
        <v>2466</v>
      </c>
      <c r="M364" s="234" t="s">
        <v>308</v>
      </c>
      <c r="N364" s="234" t="s">
        <v>74</v>
      </c>
      <c r="O364" s="234" t="s">
        <v>3248</v>
      </c>
      <c r="P364" s="234">
        <v>51</v>
      </c>
      <c r="Q364" s="290">
        <v>45593</v>
      </c>
      <c r="R364" s="290">
        <v>45604</v>
      </c>
      <c r="S364" s="234" t="s">
        <v>81</v>
      </c>
      <c r="T364" s="234" t="s">
        <v>81</v>
      </c>
      <c r="U364" s="234" t="s">
        <v>81</v>
      </c>
      <c r="V364" s="234">
        <v>1736555726</v>
      </c>
      <c r="W364" s="291" t="s">
        <v>3276</v>
      </c>
      <c r="X364" s="234">
        <v>1736555726</v>
      </c>
      <c r="Y364" s="234">
        <v>1943525263</v>
      </c>
      <c r="Z364" s="234" t="s">
        <v>3277</v>
      </c>
      <c r="AA364" s="234">
        <v>1921765652</v>
      </c>
      <c r="AB364" s="234" t="s">
        <v>118</v>
      </c>
      <c r="AC364" s="234" t="s">
        <v>102</v>
      </c>
      <c r="AD364" s="256">
        <v>35431</v>
      </c>
      <c r="AE364" s="234"/>
      <c r="AF364" s="234" t="s">
        <v>80</v>
      </c>
      <c r="AG364" s="234">
        <v>2823110404</v>
      </c>
      <c r="AH364" s="234" t="s">
        <v>81</v>
      </c>
      <c r="AI364" s="234" t="s">
        <v>290</v>
      </c>
      <c r="AJ364" s="234" t="s">
        <v>81</v>
      </c>
      <c r="AK364" s="234" t="s">
        <v>81</v>
      </c>
      <c r="AL364" s="234" t="s">
        <v>81</v>
      </c>
      <c r="AM364" s="234" t="s">
        <v>3278</v>
      </c>
      <c r="AN364" s="234" t="s">
        <v>3279</v>
      </c>
      <c r="AO364" s="234" t="s">
        <v>3280</v>
      </c>
      <c r="AP364" s="234" t="s">
        <v>3281</v>
      </c>
      <c r="AQ364" s="234" t="s">
        <v>3282</v>
      </c>
      <c r="AR364" s="234" t="s">
        <v>3264</v>
      </c>
      <c r="AS364" s="234" t="s">
        <v>81</v>
      </c>
      <c r="AT364" s="234" t="s">
        <v>81</v>
      </c>
      <c r="AU364" s="234" t="s">
        <v>81</v>
      </c>
      <c r="AV364" s="234" t="s">
        <v>81</v>
      </c>
      <c r="AW364" s="234" t="s">
        <v>81</v>
      </c>
      <c r="AX364" s="234" t="s">
        <v>81</v>
      </c>
      <c r="AY364" s="234" t="s">
        <v>81</v>
      </c>
      <c r="AZ364" s="234" t="s">
        <v>81</v>
      </c>
      <c r="BA364" s="4" t="s">
        <v>90</v>
      </c>
      <c r="BB364" s="234">
        <v>10800</v>
      </c>
      <c r="BC364" s="234">
        <v>2700</v>
      </c>
      <c r="BD364" s="234"/>
      <c r="BE364" s="234" t="s">
        <v>91</v>
      </c>
      <c r="BF364" s="234"/>
      <c r="BG364" s="234"/>
      <c r="BH364" s="234"/>
      <c r="BI364" s="234"/>
      <c r="BJ364" s="234"/>
      <c r="BK364" s="234"/>
      <c r="BL364" s="9"/>
    </row>
    <row r="365" ht="25.05" customHeight="1">
      <c r="A365" s="234">
        <v>172066</v>
      </c>
      <c r="B365" s="234">
        <v>172066</v>
      </c>
      <c r="C365" s="234" t="s">
        <v>2696</v>
      </c>
      <c r="D365" s="234" t="s">
        <v>3283</v>
      </c>
      <c r="E365" s="234" t="s">
        <v>3246</v>
      </c>
      <c r="F365" s="234">
        <v>769328</v>
      </c>
      <c r="G365" s="234" t="s">
        <v>67</v>
      </c>
      <c r="H365" s="234" t="s">
        <v>3247</v>
      </c>
      <c r="I365" s="234" t="s">
        <v>2494</v>
      </c>
      <c r="J365" s="234" t="s">
        <v>2495</v>
      </c>
      <c r="K365" s="234" t="s">
        <v>71</v>
      </c>
      <c r="L365" s="234" t="s">
        <v>2466</v>
      </c>
      <c r="M365" s="234" t="s">
        <v>2474</v>
      </c>
      <c r="N365" s="234" t="s">
        <v>74</v>
      </c>
      <c r="O365" s="234" t="s">
        <v>3248</v>
      </c>
      <c r="P365" s="234">
        <v>51</v>
      </c>
      <c r="Q365" s="290">
        <v>45593</v>
      </c>
      <c r="R365" s="290">
        <v>45606</v>
      </c>
      <c r="S365" s="234" t="s">
        <v>81</v>
      </c>
      <c r="T365" s="234" t="s">
        <v>81</v>
      </c>
      <c r="U365" s="234" t="s">
        <v>81</v>
      </c>
      <c r="V365" s="234">
        <v>1759637000</v>
      </c>
      <c r="W365" s="291" t="s">
        <v>3284</v>
      </c>
      <c r="X365" s="234">
        <v>1759637000</v>
      </c>
      <c r="Y365" s="234">
        <v>1920366112</v>
      </c>
      <c r="Z365" s="234" t="s">
        <v>3285</v>
      </c>
      <c r="AA365" s="234">
        <v>1920366112</v>
      </c>
      <c r="AB365" s="234" t="s">
        <v>3286</v>
      </c>
      <c r="AC365" s="234" t="s">
        <v>102</v>
      </c>
      <c r="AD365" s="256">
        <v>34609</v>
      </c>
      <c r="AE365" s="234"/>
      <c r="AF365" s="234" t="s">
        <v>80</v>
      </c>
      <c r="AG365" s="234">
        <v>4613649849</v>
      </c>
      <c r="AH365" s="234" t="s">
        <v>81</v>
      </c>
      <c r="AI365" s="234" t="s">
        <v>322</v>
      </c>
      <c r="AJ365" s="234" t="s">
        <v>81</v>
      </c>
      <c r="AK365" s="234" t="s">
        <v>81</v>
      </c>
      <c r="AL365" s="234" t="s">
        <v>81</v>
      </c>
      <c r="AM365" s="234" t="s">
        <v>3287</v>
      </c>
      <c r="AN365" s="234" t="s">
        <v>2739</v>
      </c>
      <c r="AO365" s="234" t="s">
        <v>3288</v>
      </c>
      <c r="AP365" s="234" t="s">
        <v>3289</v>
      </c>
      <c r="AQ365" s="234" t="s">
        <v>3290</v>
      </c>
      <c r="AR365" s="234" t="s">
        <v>3264</v>
      </c>
      <c r="AS365" s="234" t="s">
        <v>81</v>
      </c>
      <c r="AT365" s="234" t="s">
        <v>81</v>
      </c>
      <c r="AU365" s="234" t="s">
        <v>81</v>
      </c>
      <c r="AV365" s="234" t="s">
        <v>81</v>
      </c>
      <c r="AW365" s="234" t="s">
        <v>81</v>
      </c>
      <c r="AX365" s="234" t="s">
        <v>81</v>
      </c>
      <c r="AY365" s="234" t="s">
        <v>81</v>
      </c>
      <c r="AZ365" s="234" t="s">
        <v>81</v>
      </c>
      <c r="BA365" s="4" t="s">
        <v>90</v>
      </c>
      <c r="BB365" s="234">
        <v>10800</v>
      </c>
      <c r="BC365" s="234">
        <v>2700</v>
      </c>
      <c r="BD365" s="234"/>
      <c r="BE365" s="234" t="s">
        <v>91</v>
      </c>
      <c r="BF365" s="234"/>
      <c r="BG365" s="234"/>
      <c r="BH365" s="234"/>
      <c r="BI365" s="234"/>
      <c r="BJ365" s="234"/>
      <c r="BK365" s="234"/>
      <c r="BL365" s="9"/>
    </row>
    <row r="366" ht="25.05" customHeight="1">
      <c r="A366" s="234">
        <v>172064</v>
      </c>
      <c r="B366" s="234">
        <v>172064</v>
      </c>
      <c r="C366" s="234" t="s">
        <v>1947</v>
      </c>
      <c r="D366" s="234" t="s">
        <v>3291</v>
      </c>
      <c r="E366" s="234" t="s">
        <v>3246</v>
      </c>
      <c r="F366" s="234" t="s">
        <v>81</v>
      </c>
      <c r="G366" s="234" t="s">
        <v>67</v>
      </c>
      <c r="H366" s="234" t="s">
        <v>3247</v>
      </c>
      <c r="I366" s="234" t="s">
        <v>2494</v>
      </c>
      <c r="J366" s="234" t="s">
        <v>2495</v>
      </c>
      <c r="K366" s="234" t="s">
        <v>71</v>
      </c>
      <c r="L366" s="234" t="s">
        <v>2466</v>
      </c>
      <c r="M366" s="234" t="s">
        <v>1304</v>
      </c>
      <c r="N366" s="234" t="s">
        <v>74</v>
      </c>
      <c r="O366" s="234" t="s">
        <v>3248</v>
      </c>
      <c r="P366" s="234">
        <v>51</v>
      </c>
      <c r="Q366" s="290">
        <v>45593</v>
      </c>
      <c r="R366" s="290">
        <v>45606</v>
      </c>
      <c r="S366" s="234" t="s">
        <v>81</v>
      </c>
      <c r="T366" s="234" t="s">
        <v>81</v>
      </c>
      <c r="U366" s="234" t="s">
        <v>81</v>
      </c>
      <c r="V366" s="234">
        <v>1728286982</v>
      </c>
      <c r="W366" s="291" t="s">
        <v>3292</v>
      </c>
      <c r="X366" s="234">
        <v>1728286982</v>
      </c>
      <c r="Y366" s="234">
        <v>1717344465</v>
      </c>
      <c r="Z366" s="234" t="s">
        <v>3293</v>
      </c>
      <c r="AA366" s="234">
        <v>1717344465</v>
      </c>
      <c r="AB366" s="234" t="s">
        <v>101</v>
      </c>
      <c r="AC366" s="234" t="s">
        <v>102</v>
      </c>
      <c r="AD366" s="256">
        <v>35951</v>
      </c>
      <c r="AE366" s="234"/>
      <c r="AF366" s="234" t="s">
        <v>360</v>
      </c>
      <c r="AG366" s="234">
        <v>8701755210</v>
      </c>
      <c r="AH366" s="234" t="s">
        <v>81</v>
      </c>
      <c r="AI366" s="234" t="s">
        <v>265</v>
      </c>
      <c r="AJ366" s="234" t="s">
        <v>81</v>
      </c>
      <c r="AK366" s="234" t="s">
        <v>81</v>
      </c>
      <c r="AL366" s="234" t="s">
        <v>81</v>
      </c>
      <c r="AM366" s="234" t="s">
        <v>3293</v>
      </c>
      <c r="AN366" s="234" t="s">
        <v>3294</v>
      </c>
      <c r="AO366" s="234" t="s">
        <v>3295</v>
      </c>
      <c r="AP366" s="234" t="s">
        <v>3296</v>
      </c>
      <c r="AQ366" s="234" t="s">
        <v>88</v>
      </c>
      <c r="AR366" s="234" t="s">
        <v>3264</v>
      </c>
      <c r="AS366" s="234" t="s">
        <v>81</v>
      </c>
      <c r="AT366" s="234" t="s">
        <v>81</v>
      </c>
      <c r="AU366" s="234" t="s">
        <v>81</v>
      </c>
      <c r="AV366" s="234" t="s">
        <v>81</v>
      </c>
      <c r="AW366" s="234" t="s">
        <v>81</v>
      </c>
      <c r="AX366" s="234" t="s">
        <v>81</v>
      </c>
      <c r="AY366" s="234" t="s">
        <v>81</v>
      </c>
      <c r="AZ366" s="234" t="s">
        <v>81</v>
      </c>
      <c r="BA366" s="4" t="s">
        <v>90</v>
      </c>
      <c r="BB366" s="234">
        <v>10800</v>
      </c>
      <c r="BC366" s="234">
        <v>2700</v>
      </c>
      <c r="BD366" s="234"/>
      <c r="BE366" s="234" t="s">
        <v>91</v>
      </c>
      <c r="BF366" s="234"/>
      <c r="BG366" s="234"/>
      <c r="BH366" s="234"/>
      <c r="BI366" s="234"/>
      <c r="BJ366" s="234"/>
      <c r="BK366" s="234"/>
      <c r="BL366" s="9"/>
    </row>
    <row r="367" ht="25.05" customHeight="1">
      <c r="A367" s="234">
        <v>172056</v>
      </c>
      <c r="B367" s="234">
        <v>172056</v>
      </c>
      <c r="C367" s="234" t="s">
        <v>3297</v>
      </c>
      <c r="D367" s="234" t="s">
        <v>3298</v>
      </c>
      <c r="E367" s="234" t="s">
        <v>3246</v>
      </c>
      <c r="F367" s="234">
        <v>1210654447</v>
      </c>
      <c r="G367" s="234" t="s">
        <v>67</v>
      </c>
      <c r="H367" s="234" t="s">
        <v>3247</v>
      </c>
      <c r="I367" s="234" t="s">
        <v>2494</v>
      </c>
      <c r="J367" s="234" t="s">
        <v>2495</v>
      </c>
      <c r="K367" s="234" t="s">
        <v>71</v>
      </c>
      <c r="L367" s="234" t="s">
        <v>2466</v>
      </c>
      <c r="M367" s="234" t="s">
        <v>1304</v>
      </c>
      <c r="N367" s="234" t="s">
        <v>74</v>
      </c>
      <c r="O367" s="234" t="s">
        <v>3248</v>
      </c>
      <c r="P367" s="234">
        <v>51</v>
      </c>
      <c r="Q367" s="290">
        <v>45593</v>
      </c>
      <c r="R367" s="290">
        <v>45606</v>
      </c>
      <c r="S367" s="234" t="s">
        <v>81</v>
      </c>
      <c r="T367" s="234" t="s">
        <v>81</v>
      </c>
      <c r="U367" s="234" t="s">
        <v>81</v>
      </c>
      <c r="V367" s="234">
        <v>1915190637</v>
      </c>
      <c r="W367" s="291" t="s">
        <v>3299</v>
      </c>
      <c r="X367" s="234">
        <v>1915190637</v>
      </c>
      <c r="Y367" s="234" t="s">
        <v>81</v>
      </c>
      <c r="Z367" s="234" t="s">
        <v>3300</v>
      </c>
      <c r="AA367" s="234">
        <v>1686774791</v>
      </c>
      <c r="AB367" s="234" t="s">
        <v>118</v>
      </c>
      <c r="AC367" s="234" t="s">
        <v>79</v>
      </c>
      <c r="AD367" s="256">
        <v>36220</v>
      </c>
      <c r="AE367" s="234"/>
      <c r="AF367" s="234" t="s">
        <v>80</v>
      </c>
      <c r="AG367" s="234">
        <v>1957897315</v>
      </c>
      <c r="AH367" s="234" t="s">
        <v>81</v>
      </c>
      <c r="AI367" s="234" t="s">
        <v>322</v>
      </c>
      <c r="AJ367" s="234" t="s">
        <v>265</v>
      </c>
      <c r="AK367" s="234">
        <v>2024</v>
      </c>
      <c r="AL367" s="234" t="s">
        <v>3301</v>
      </c>
      <c r="AM367" s="234" t="s">
        <v>3302</v>
      </c>
      <c r="AN367" s="234" t="s">
        <v>3303</v>
      </c>
      <c r="AO367" s="234" t="s">
        <v>3304</v>
      </c>
      <c r="AP367" s="234" t="s">
        <v>3305</v>
      </c>
      <c r="AQ367" s="234" t="s">
        <v>3306</v>
      </c>
      <c r="AR367" s="234" t="s">
        <v>3264</v>
      </c>
      <c r="AS367" s="234" t="s">
        <v>81</v>
      </c>
      <c r="AT367" s="234" t="s">
        <v>81</v>
      </c>
      <c r="AU367" s="234" t="s">
        <v>81</v>
      </c>
      <c r="AV367" s="234" t="s">
        <v>81</v>
      </c>
      <c r="AW367" s="234" t="s">
        <v>81</v>
      </c>
      <c r="AX367" s="234" t="s">
        <v>81</v>
      </c>
      <c r="AY367" s="234" t="s">
        <v>81</v>
      </c>
      <c r="AZ367" s="234" t="s">
        <v>81</v>
      </c>
      <c r="BA367" s="4" t="s">
        <v>90</v>
      </c>
      <c r="BB367" s="234">
        <v>10800</v>
      </c>
      <c r="BC367" s="234">
        <v>2700</v>
      </c>
      <c r="BD367" s="234"/>
      <c r="BE367" s="234" t="s">
        <v>91</v>
      </c>
      <c r="BF367" s="234"/>
      <c r="BG367" s="234"/>
      <c r="BH367" s="234"/>
      <c r="BI367" s="234"/>
      <c r="BJ367" s="234"/>
      <c r="BK367" s="234"/>
      <c r="BL367" s="9"/>
    </row>
    <row r="368" ht="25.05" customHeight="1">
      <c r="A368" s="234">
        <v>172065</v>
      </c>
      <c r="B368" s="234">
        <v>172065</v>
      </c>
      <c r="C368" s="234" t="s">
        <v>3307</v>
      </c>
      <c r="D368" s="234" t="s">
        <v>3308</v>
      </c>
      <c r="E368" s="234" t="s">
        <v>3246</v>
      </c>
      <c r="F368" s="234">
        <v>1410831987</v>
      </c>
      <c r="G368" s="234" t="s">
        <v>67</v>
      </c>
      <c r="H368" s="234" t="s">
        <v>3247</v>
      </c>
      <c r="I368" s="234" t="s">
        <v>2494</v>
      </c>
      <c r="J368" s="234" t="s">
        <v>2495</v>
      </c>
      <c r="K368" s="234" t="s">
        <v>71</v>
      </c>
      <c r="L368" s="234" t="s">
        <v>2466</v>
      </c>
      <c r="M368" s="234" t="s">
        <v>369</v>
      </c>
      <c r="N368" s="234" t="s">
        <v>74</v>
      </c>
      <c r="O368" s="234" t="s">
        <v>3248</v>
      </c>
      <c r="P368" s="234">
        <v>51</v>
      </c>
      <c r="Q368" s="290">
        <v>45593</v>
      </c>
      <c r="R368" s="290">
        <v>45606</v>
      </c>
      <c r="S368" s="234" t="s">
        <v>81</v>
      </c>
      <c r="T368" s="234" t="s">
        <v>81</v>
      </c>
      <c r="U368" s="234" t="s">
        <v>81</v>
      </c>
      <c r="V368" s="234">
        <v>1621610709</v>
      </c>
      <c r="W368" s="291" t="s">
        <v>3309</v>
      </c>
      <c r="X368" s="234">
        <v>1621610709</v>
      </c>
      <c r="Y368" s="234">
        <v>1716382724</v>
      </c>
      <c r="Z368" s="234" t="s">
        <v>3310</v>
      </c>
      <c r="AA368" s="234">
        <v>1716382724</v>
      </c>
      <c r="AB368" s="234" t="s">
        <v>132</v>
      </c>
      <c r="AC368" s="234" t="s">
        <v>102</v>
      </c>
      <c r="AD368" s="256">
        <v>37387</v>
      </c>
      <c r="AE368" s="234"/>
      <c r="AF368" s="234" t="s">
        <v>80</v>
      </c>
      <c r="AG368" s="234">
        <v>9580663582</v>
      </c>
      <c r="AH368" s="234" t="s">
        <v>81</v>
      </c>
      <c r="AI368" s="234" t="s">
        <v>290</v>
      </c>
      <c r="AJ368" s="234" t="s">
        <v>265</v>
      </c>
      <c r="AK368" s="234">
        <v>2024</v>
      </c>
      <c r="AL368" s="234" t="s">
        <v>1102</v>
      </c>
      <c r="AM368" s="234" t="s">
        <v>3311</v>
      </c>
      <c r="AN368" s="234" t="s">
        <v>3310</v>
      </c>
      <c r="AO368" s="234" t="s">
        <v>3312</v>
      </c>
      <c r="AP368" s="234" t="s">
        <v>3313</v>
      </c>
      <c r="AQ368" s="234" t="s">
        <v>3314</v>
      </c>
      <c r="AR368" s="234" t="s">
        <v>3264</v>
      </c>
      <c r="AS368" s="234" t="s">
        <v>81</v>
      </c>
      <c r="AT368" s="234" t="s">
        <v>81</v>
      </c>
      <c r="AU368" s="234" t="s">
        <v>81</v>
      </c>
      <c r="AV368" s="234" t="s">
        <v>81</v>
      </c>
      <c r="AW368" s="234" t="s">
        <v>81</v>
      </c>
      <c r="AX368" s="234" t="s">
        <v>81</v>
      </c>
      <c r="AY368" s="234" t="s">
        <v>81</v>
      </c>
      <c r="AZ368" s="234" t="s">
        <v>81</v>
      </c>
      <c r="BA368" s="4" t="s">
        <v>90</v>
      </c>
      <c r="BB368" s="234">
        <v>10800</v>
      </c>
      <c r="BC368" s="234">
        <v>2700</v>
      </c>
      <c r="BD368" s="234"/>
      <c r="BE368" s="234" t="s">
        <v>91</v>
      </c>
      <c r="BF368" s="234"/>
      <c r="BG368" s="234"/>
      <c r="BH368" s="234"/>
      <c r="BI368" s="234"/>
      <c r="BJ368" s="234"/>
      <c r="BK368" s="234"/>
      <c r="BL368" s="9"/>
    </row>
    <row r="369" ht="25.05" customHeight="1">
      <c r="A369" s="234">
        <v>172059</v>
      </c>
      <c r="B369" s="234">
        <v>172059</v>
      </c>
      <c r="C369" s="234" t="s">
        <v>3315</v>
      </c>
      <c r="D369" s="234" t="s">
        <v>3316</v>
      </c>
      <c r="E369" s="234" t="s">
        <v>3246</v>
      </c>
      <c r="F369" s="234"/>
      <c r="G369" s="234" t="s">
        <v>67</v>
      </c>
      <c r="H369" s="234" t="s">
        <v>3247</v>
      </c>
      <c r="I369" s="234" t="s">
        <v>2494</v>
      </c>
      <c r="J369" s="234" t="s">
        <v>2495</v>
      </c>
      <c r="K369" s="234" t="s">
        <v>71</v>
      </c>
      <c r="L369" s="234" t="s">
        <v>2466</v>
      </c>
      <c r="M369" s="234" t="s">
        <v>98</v>
      </c>
      <c r="N369" s="234" t="s">
        <v>74</v>
      </c>
      <c r="O369" s="234" t="s">
        <v>3248</v>
      </c>
      <c r="P369" s="234">
        <v>51</v>
      </c>
      <c r="Q369" s="290">
        <v>45593</v>
      </c>
      <c r="R369" s="290">
        <v>45605</v>
      </c>
      <c r="S369" s="234" t="s">
        <v>81</v>
      </c>
      <c r="T369" s="234" t="s">
        <v>81</v>
      </c>
      <c r="U369" s="234" t="s">
        <v>81</v>
      </c>
      <c r="V369" s="234"/>
      <c r="W369" s="291"/>
      <c r="X369" s="234"/>
      <c r="Y369" s="234"/>
      <c r="Z369" s="234"/>
      <c r="AA369" s="234"/>
      <c r="AB369" s="234"/>
      <c r="AC369" s="234"/>
      <c r="AD369" s="256"/>
      <c r="AE369" s="234"/>
      <c r="AF369" s="234"/>
      <c r="AG369" s="234"/>
      <c r="AH369" s="234"/>
      <c r="AI369" s="234"/>
      <c r="AJ369" s="234"/>
      <c r="AK369" s="234"/>
      <c r="AL369" s="234"/>
      <c r="AM369" s="234"/>
      <c r="AN369" s="234"/>
      <c r="AO369" s="234"/>
      <c r="AP369" s="234"/>
      <c r="AQ369" s="234"/>
      <c r="AR369" s="234"/>
      <c r="AS369" s="234"/>
      <c r="AT369" s="234"/>
      <c r="AU369" s="234"/>
      <c r="AV369" s="234"/>
      <c r="AW369" s="234"/>
      <c r="AX369" s="234"/>
      <c r="AY369" s="234"/>
      <c r="AZ369" s="234"/>
      <c r="BA369" s="4" t="s">
        <v>90</v>
      </c>
      <c r="BB369" s="234">
        <v>10800</v>
      </c>
      <c r="BC369" s="234">
        <v>2700</v>
      </c>
      <c r="BD369" s="234"/>
      <c r="BE369" s="234" t="s">
        <v>91</v>
      </c>
      <c r="BF369" s="234"/>
      <c r="BG369" s="234"/>
      <c r="BH369" s="234"/>
      <c r="BI369" s="234"/>
      <c r="BJ369" s="234"/>
      <c r="BK369" s="234"/>
      <c r="BL369" s="9"/>
    </row>
    <row r="370" ht="25.05" customHeight="1">
      <c r="A370" s="20">
        <v>172026</v>
      </c>
      <c r="B370" s="20">
        <v>172026</v>
      </c>
      <c r="C370" s="20" t="s">
        <v>3317</v>
      </c>
      <c r="D370" s="20" t="s">
        <v>3318</v>
      </c>
      <c r="E370" s="20" t="s">
        <v>114</v>
      </c>
      <c r="F370" s="20">
        <v>163268</v>
      </c>
      <c r="G370" s="20" t="s">
        <v>67</v>
      </c>
      <c r="H370" s="20" t="s">
        <v>2465</v>
      </c>
      <c r="I370" s="20" t="s">
        <v>69</v>
      </c>
      <c r="J370" s="20" t="s">
        <v>155</v>
      </c>
      <c r="K370" s="20" t="s">
        <v>1766</v>
      </c>
      <c r="L370" s="20" t="s">
        <v>2466</v>
      </c>
      <c r="M370" s="20" t="s">
        <v>3319</v>
      </c>
      <c r="N370" s="20" t="s">
        <v>74</v>
      </c>
      <c r="O370" s="20" t="s">
        <v>75</v>
      </c>
      <c r="P370" s="20">
        <v>48</v>
      </c>
      <c r="Q370" s="253">
        <v>45571</v>
      </c>
      <c r="R370" s="57">
        <v>45593</v>
      </c>
      <c r="S370" s="20" t="s">
        <v>242</v>
      </c>
      <c r="T370" s="20" t="s">
        <v>242</v>
      </c>
      <c r="U370" s="20" t="s">
        <v>242</v>
      </c>
      <c r="V370" s="20" t="s">
        <v>242</v>
      </c>
      <c r="W370" s="286" t="s">
        <v>3320</v>
      </c>
      <c r="X370" s="20">
        <v>1615830993</v>
      </c>
      <c r="Y370" s="20">
        <v>1728990493</v>
      </c>
      <c r="Z370" s="20" t="s">
        <v>3321</v>
      </c>
      <c r="AA370" s="20">
        <v>1998800405</v>
      </c>
      <c r="AB370" s="20" t="s">
        <v>2059</v>
      </c>
      <c r="AC370" s="20" t="s">
        <v>79</v>
      </c>
      <c r="AD370" s="254">
        <v>34889</v>
      </c>
      <c r="AE370" s="20">
        <v>29</v>
      </c>
      <c r="AF370" s="20" t="s">
        <v>80</v>
      </c>
      <c r="AG370" s="20">
        <v>2350264673</v>
      </c>
      <c r="AH370" s="20"/>
      <c r="AI370" s="20" t="s">
        <v>2211</v>
      </c>
      <c r="AJ370" s="20"/>
      <c r="AK370" s="20">
        <v>2019</v>
      </c>
      <c r="AL370" s="20" t="s">
        <v>209</v>
      </c>
      <c r="AM370" s="20" t="s">
        <v>3322</v>
      </c>
      <c r="AN370" s="20" t="s">
        <v>3323</v>
      </c>
      <c r="AO370" s="20" t="s">
        <v>3324</v>
      </c>
      <c r="AP370" s="20" t="s">
        <v>3325</v>
      </c>
      <c r="AQ370" s="20" t="s">
        <v>3326</v>
      </c>
      <c r="AR370" s="20" t="s">
        <v>89</v>
      </c>
      <c r="AS370" s="20" t="s">
        <v>3321</v>
      </c>
      <c r="AT370" s="20" t="s">
        <v>242</v>
      </c>
      <c r="AU370" s="20" t="s">
        <v>242</v>
      </c>
      <c r="AV370" s="20" t="s">
        <v>242</v>
      </c>
      <c r="AW370" s="20" t="s">
        <v>81</v>
      </c>
      <c r="AX370" s="20" t="s">
        <v>81</v>
      </c>
      <c r="AY370" s="20" t="s">
        <v>81</v>
      </c>
      <c r="AZ370" s="20" t="s">
        <v>81</v>
      </c>
      <c r="BA370" s="4" t="s">
        <v>90</v>
      </c>
      <c r="BB370" s="20">
        <v>10800</v>
      </c>
      <c r="BC370" s="20">
        <v>2700</v>
      </c>
      <c r="BD370" s="20">
        <v>1000</v>
      </c>
      <c r="BE370" s="20" t="s">
        <v>166</v>
      </c>
      <c r="BF370" s="20" t="s">
        <v>242</v>
      </c>
      <c r="BG370" s="20" t="s">
        <v>242</v>
      </c>
      <c r="BH370" s="20" t="s">
        <v>242</v>
      </c>
      <c r="BI370" s="20" t="s">
        <v>242</v>
      </c>
      <c r="BJ370" s="20" t="s">
        <v>242</v>
      </c>
      <c r="BK370" s="20">
        <v>1728990493</v>
      </c>
      <c r="BL370" s="9"/>
    </row>
    <row r="371" ht="25.05" customHeight="1">
      <c r="A371" s="310">
        <v>172081</v>
      </c>
      <c r="B371" s="310">
        <v>172081</v>
      </c>
      <c r="C371" s="310" t="s">
        <v>3327</v>
      </c>
      <c r="D371" s="310" t="s">
        <v>3328</v>
      </c>
      <c r="E371" s="310" t="s">
        <v>114</v>
      </c>
      <c r="F371" s="310">
        <v>149109</v>
      </c>
      <c r="G371" s="310" t="s">
        <v>67</v>
      </c>
      <c r="H371" s="310" t="s">
        <v>2465</v>
      </c>
      <c r="I371" s="310" t="s">
        <v>69</v>
      </c>
      <c r="J371" s="310" t="s">
        <v>155</v>
      </c>
      <c r="K371" s="310" t="s">
        <v>1766</v>
      </c>
      <c r="L371" s="310" t="s">
        <v>2466</v>
      </c>
      <c r="M371" s="310" t="s">
        <v>154</v>
      </c>
      <c r="N371" s="310" t="s">
        <v>74</v>
      </c>
      <c r="O371" s="310" t="s">
        <v>75</v>
      </c>
      <c r="P371" s="310">
        <v>51</v>
      </c>
      <c r="Q371" s="311">
        <v>45594</v>
      </c>
      <c r="R371" s="311">
        <v>45615</v>
      </c>
      <c r="S371" s="310" t="s">
        <v>242</v>
      </c>
      <c r="T371" s="310" t="s">
        <v>242</v>
      </c>
      <c r="U371" s="310" t="s">
        <v>242</v>
      </c>
      <c r="V371" s="310" t="s">
        <v>242</v>
      </c>
      <c r="W371" s="310" t="s">
        <v>3329</v>
      </c>
      <c r="X371" s="310">
        <v>1922911046</v>
      </c>
      <c r="Y371" s="310" t="s">
        <v>242</v>
      </c>
      <c r="Z371" s="310" t="s">
        <v>3330</v>
      </c>
      <c r="AA371" s="310">
        <v>1725540041</v>
      </c>
      <c r="AB371" s="310" t="s">
        <v>2429</v>
      </c>
      <c r="AC371" s="310" t="s">
        <v>133</v>
      </c>
      <c r="AD371" s="312">
        <v>36557</v>
      </c>
      <c r="AE371" s="310">
        <v>24</v>
      </c>
      <c r="AF371" s="234" t="s">
        <v>80</v>
      </c>
      <c r="AG371" s="310">
        <v>1962468540</v>
      </c>
      <c r="AH371" s="310" t="s">
        <v>242</v>
      </c>
      <c r="AI371" s="310" t="s">
        <v>3331</v>
      </c>
      <c r="AJ371" s="310"/>
      <c r="AK371" s="310">
        <v>2024</v>
      </c>
      <c r="AL371" s="310" t="s">
        <v>3332</v>
      </c>
      <c r="AM371" s="310" t="s">
        <v>1931</v>
      </c>
      <c r="AN371" s="310" t="s">
        <v>3333</v>
      </c>
      <c r="AO371" s="310" t="s">
        <v>3334</v>
      </c>
      <c r="AP371" s="310" t="s">
        <v>3335</v>
      </c>
      <c r="AQ371" s="310" t="s">
        <v>1188</v>
      </c>
      <c r="AR371" s="310" t="s">
        <v>110</v>
      </c>
      <c r="AS371" s="310" t="s">
        <v>242</v>
      </c>
      <c r="AT371" s="310" t="s">
        <v>242</v>
      </c>
      <c r="AU371" s="310" t="s">
        <v>242</v>
      </c>
      <c r="AV371" s="310" t="s">
        <v>242</v>
      </c>
      <c r="AW371" s="310" t="s">
        <v>81</v>
      </c>
      <c r="AX371" s="310" t="s">
        <v>81</v>
      </c>
      <c r="AY371" s="310" t="s">
        <v>81</v>
      </c>
      <c r="AZ371" s="310" t="s">
        <v>81</v>
      </c>
      <c r="BA371" s="4" t="s">
        <v>90</v>
      </c>
      <c r="BB371" s="310">
        <v>10800</v>
      </c>
      <c r="BC371" s="310">
        <v>2700</v>
      </c>
      <c r="BD371" s="310">
        <v>1000</v>
      </c>
      <c r="BE371" s="310" t="s">
        <v>166</v>
      </c>
      <c r="BF371" s="310" t="s">
        <v>242</v>
      </c>
      <c r="BG371" s="310" t="s">
        <v>242</v>
      </c>
      <c r="BH371" s="310" t="s">
        <v>242</v>
      </c>
      <c r="BI371" s="310" t="s">
        <v>242</v>
      </c>
      <c r="BJ371" s="310" t="s">
        <v>242</v>
      </c>
      <c r="BK371" s="310">
        <v>1922911046</v>
      </c>
      <c r="BL371" s="9"/>
    </row>
    <row r="372" ht="25.05" customHeight="1">
      <c r="A372" s="310">
        <v>172086</v>
      </c>
      <c r="B372" s="310">
        <v>172086</v>
      </c>
      <c r="C372" s="310" t="s">
        <v>3336</v>
      </c>
      <c r="D372" s="310" t="s">
        <v>3337</v>
      </c>
      <c r="E372" s="310" t="s">
        <v>114</v>
      </c>
      <c r="F372" s="310">
        <v>1010804611</v>
      </c>
      <c r="G372" s="310" t="s">
        <v>67</v>
      </c>
      <c r="H372" s="310" t="s">
        <v>2465</v>
      </c>
      <c r="I372" s="310" t="s">
        <v>69</v>
      </c>
      <c r="J372" s="310" t="s">
        <v>155</v>
      </c>
      <c r="K372" s="310" t="s">
        <v>1766</v>
      </c>
      <c r="L372" s="310" t="s">
        <v>2466</v>
      </c>
      <c r="M372" s="310" t="s">
        <v>442</v>
      </c>
      <c r="N372" s="310" t="s">
        <v>74</v>
      </c>
      <c r="O372" s="310" t="s">
        <v>75</v>
      </c>
      <c r="P372" s="310">
        <v>51</v>
      </c>
      <c r="Q372" s="311">
        <v>45594</v>
      </c>
      <c r="R372" s="311">
        <v>45615</v>
      </c>
      <c r="S372" s="310" t="s">
        <v>242</v>
      </c>
      <c r="T372" s="310" t="s">
        <v>242</v>
      </c>
      <c r="U372" s="310" t="s">
        <v>242</v>
      </c>
      <c r="V372" s="310" t="s">
        <v>242</v>
      </c>
      <c r="W372" s="310" t="s">
        <v>3338</v>
      </c>
      <c r="X372" s="310">
        <v>1515209653</v>
      </c>
      <c r="Y372" s="310" t="s">
        <v>242</v>
      </c>
      <c r="Z372" s="310" t="s">
        <v>1304</v>
      </c>
      <c r="AA372" s="310">
        <v>1715076998</v>
      </c>
      <c r="AB372" s="310" t="s">
        <v>2892</v>
      </c>
      <c r="AC372" s="310" t="s">
        <v>3339</v>
      </c>
      <c r="AD372" s="312">
        <v>35808</v>
      </c>
      <c r="AE372" s="310">
        <v>26</v>
      </c>
      <c r="AF372" s="234" t="s">
        <v>80</v>
      </c>
      <c r="AG372" s="310">
        <v>4207928823</v>
      </c>
      <c r="AH372" s="310" t="s">
        <v>242</v>
      </c>
      <c r="AI372" s="310" t="s">
        <v>3331</v>
      </c>
      <c r="AJ372" s="310"/>
      <c r="AK372" s="310">
        <v>2024</v>
      </c>
      <c r="AL372" s="310" t="s">
        <v>3340</v>
      </c>
      <c r="AM372" s="310" t="s">
        <v>1304</v>
      </c>
      <c r="AN372" s="310" t="s">
        <v>3341</v>
      </c>
      <c r="AO372" s="310" t="s">
        <v>3342</v>
      </c>
      <c r="AP372" s="310" t="s">
        <v>3343</v>
      </c>
      <c r="AQ372" s="310" t="s">
        <v>1292</v>
      </c>
      <c r="AR372" s="310" t="s">
        <v>110</v>
      </c>
      <c r="AS372" s="310" t="s">
        <v>242</v>
      </c>
      <c r="AT372" s="310" t="s">
        <v>242</v>
      </c>
      <c r="AU372" s="310" t="s">
        <v>242</v>
      </c>
      <c r="AV372" s="310" t="s">
        <v>242</v>
      </c>
      <c r="AW372" s="310" t="s">
        <v>81</v>
      </c>
      <c r="AX372" s="310" t="s">
        <v>81</v>
      </c>
      <c r="AY372" s="310" t="s">
        <v>81</v>
      </c>
      <c r="AZ372" s="310" t="s">
        <v>81</v>
      </c>
      <c r="BA372" s="4" t="s">
        <v>90</v>
      </c>
      <c r="BB372" s="310">
        <v>10800</v>
      </c>
      <c r="BC372" s="310">
        <v>2700</v>
      </c>
      <c r="BD372" s="310">
        <v>1000</v>
      </c>
      <c r="BE372" s="310" t="s">
        <v>166</v>
      </c>
      <c r="BF372" s="310" t="s">
        <v>242</v>
      </c>
      <c r="BG372" s="310" t="s">
        <v>242</v>
      </c>
      <c r="BH372" s="310" t="s">
        <v>242</v>
      </c>
      <c r="BI372" s="310" t="s">
        <v>242</v>
      </c>
      <c r="BJ372" s="310" t="s">
        <v>242</v>
      </c>
      <c r="BK372" s="310">
        <v>1941786577</v>
      </c>
      <c r="BL372" s="9"/>
    </row>
    <row r="373" ht="25.05" customHeight="1">
      <c r="A373" s="310">
        <v>172088</v>
      </c>
      <c r="B373" s="310">
        <v>172088</v>
      </c>
      <c r="C373" s="310" t="s">
        <v>3344</v>
      </c>
      <c r="D373" s="310" t="s">
        <v>3345</v>
      </c>
      <c r="E373" s="310" t="s">
        <v>114</v>
      </c>
      <c r="F373" s="310">
        <v>232670</v>
      </c>
      <c r="G373" s="310" t="s">
        <v>67</v>
      </c>
      <c r="H373" s="310" t="s">
        <v>2465</v>
      </c>
      <c r="I373" s="310" t="s">
        <v>69</v>
      </c>
      <c r="J373" s="310" t="s">
        <v>155</v>
      </c>
      <c r="K373" s="310" t="s">
        <v>1766</v>
      </c>
      <c r="L373" s="310" t="s">
        <v>2466</v>
      </c>
      <c r="M373" s="310" t="s">
        <v>442</v>
      </c>
      <c r="N373" s="310" t="s">
        <v>74</v>
      </c>
      <c r="O373" s="310" t="s">
        <v>75</v>
      </c>
      <c r="P373" s="310">
        <v>51</v>
      </c>
      <c r="Q373" s="311">
        <v>45594</v>
      </c>
      <c r="R373" s="311">
        <v>45615</v>
      </c>
      <c r="S373" s="310" t="s">
        <v>242</v>
      </c>
      <c r="T373" s="310" t="s">
        <v>242</v>
      </c>
      <c r="U373" s="310" t="s">
        <v>242</v>
      </c>
      <c r="V373" s="310" t="s">
        <v>242</v>
      </c>
      <c r="W373" s="310" t="s">
        <v>3346</v>
      </c>
      <c r="X373" s="310">
        <v>1957999586</v>
      </c>
      <c r="Y373" s="310" t="s">
        <v>242</v>
      </c>
      <c r="Z373" s="310" t="s">
        <v>3347</v>
      </c>
      <c r="AA373" s="310">
        <v>1774989904</v>
      </c>
      <c r="AB373" s="310" t="s">
        <v>2429</v>
      </c>
      <c r="AC373" s="310" t="s">
        <v>79</v>
      </c>
      <c r="AD373" s="310" t="s">
        <v>3348</v>
      </c>
      <c r="AE373" s="310">
        <v>27</v>
      </c>
      <c r="AF373" s="310" t="s">
        <v>673</v>
      </c>
      <c r="AG373" s="310">
        <v>5553779538</v>
      </c>
      <c r="AH373" s="310" t="s">
        <v>242</v>
      </c>
      <c r="AI373" s="310" t="s">
        <v>925</v>
      </c>
      <c r="AJ373" s="310"/>
      <c r="AK373" s="310">
        <v>2018</v>
      </c>
      <c r="AL373" s="310" t="s">
        <v>3349</v>
      </c>
      <c r="AM373" s="310" t="s">
        <v>3350</v>
      </c>
      <c r="AN373" s="310" t="s">
        <v>3351</v>
      </c>
      <c r="AO373" s="310" t="s">
        <v>3352</v>
      </c>
      <c r="AP373" s="310" t="s">
        <v>3353</v>
      </c>
      <c r="AQ373" s="310" t="s">
        <v>1178</v>
      </c>
      <c r="AR373" s="310" t="s">
        <v>110</v>
      </c>
      <c r="AS373" s="310" t="s">
        <v>242</v>
      </c>
      <c r="AT373" s="310" t="s">
        <v>242</v>
      </c>
      <c r="AU373" s="310" t="s">
        <v>242</v>
      </c>
      <c r="AV373" s="310" t="s">
        <v>242</v>
      </c>
      <c r="AW373" s="310" t="s">
        <v>81</v>
      </c>
      <c r="AX373" s="310" t="s">
        <v>81</v>
      </c>
      <c r="AY373" s="310" t="s">
        <v>81</v>
      </c>
      <c r="AZ373" s="310" t="s">
        <v>81</v>
      </c>
      <c r="BA373" s="4" t="s">
        <v>90</v>
      </c>
      <c r="BB373" s="310">
        <v>10800</v>
      </c>
      <c r="BC373" s="310">
        <v>2700</v>
      </c>
      <c r="BD373" s="310">
        <v>1000</v>
      </c>
      <c r="BE373" s="310" t="s">
        <v>166</v>
      </c>
      <c r="BF373" s="310" t="s">
        <v>242</v>
      </c>
      <c r="BG373" s="310" t="s">
        <v>242</v>
      </c>
      <c r="BH373" s="310" t="s">
        <v>242</v>
      </c>
      <c r="BI373" s="310" t="s">
        <v>242</v>
      </c>
      <c r="BJ373" s="310" t="s">
        <v>242</v>
      </c>
      <c r="BK373" s="310">
        <v>1957999586</v>
      </c>
      <c r="BL373" s="9"/>
    </row>
    <row r="374" ht="25.05" customHeight="1">
      <c r="A374" s="310">
        <v>172082</v>
      </c>
      <c r="B374" s="310">
        <v>172082</v>
      </c>
      <c r="C374" s="310" t="s">
        <v>3354</v>
      </c>
      <c r="D374" s="310" t="s">
        <v>3355</v>
      </c>
      <c r="E374" s="310" t="s">
        <v>114</v>
      </c>
      <c r="F374" s="310">
        <v>467414</v>
      </c>
      <c r="G374" s="310" t="s">
        <v>67</v>
      </c>
      <c r="H374" s="310" t="s">
        <v>2465</v>
      </c>
      <c r="I374" s="310" t="s">
        <v>69</v>
      </c>
      <c r="J374" s="310" t="s">
        <v>155</v>
      </c>
      <c r="K374" s="310" t="s">
        <v>1766</v>
      </c>
      <c r="L374" s="310" t="s">
        <v>2466</v>
      </c>
      <c r="M374" s="310" t="s">
        <v>442</v>
      </c>
      <c r="N374" s="310" t="s">
        <v>74</v>
      </c>
      <c r="O374" s="310" t="s">
        <v>75</v>
      </c>
      <c r="P374" s="310">
        <v>51</v>
      </c>
      <c r="Q374" s="311">
        <v>45594</v>
      </c>
      <c r="R374" s="311">
        <v>45614</v>
      </c>
      <c r="S374" s="310" t="s">
        <v>242</v>
      </c>
      <c r="T374" s="310" t="s">
        <v>242</v>
      </c>
      <c r="U374" s="310" t="s">
        <v>242</v>
      </c>
      <c r="V374" s="310" t="s">
        <v>242</v>
      </c>
      <c r="W374" s="310" t="s">
        <v>3356</v>
      </c>
      <c r="X374" s="310">
        <v>1925430306</v>
      </c>
      <c r="Y374" s="310" t="s">
        <v>242</v>
      </c>
      <c r="Z374" s="310" t="s">
        <v>3357</v>
      </c>
      <c r="AA374" s="310">
        <v>1765561038</v>
      </c>
      <c r="AB374" s="310" t="s">
        <v>186</v>
      </c>
      <c r="AC374" s="310" t="s">
        <v>133</v>
      </c>
      <c r="AD374" s="310">
        <v>34156</v>
      </c>
      <c r="AE374" s="310">
        <v>31</v>
      </c>
      <c r="AF374" s="310" t="s">
        <v>80</v>
      </c>
      <c r="AG374" s="310">
        <v>3252747252</v>
      </c>
      <c r="AH374" s="310" t="s">
        <v>242</v>
      </c>
      <c r="AI374" s="310" t="s">
        <v>3331</v>
      </c>
      <c r="AJ374" s="310"/>
      <c r="AK374" s="310">
        <v>2018</v>
      </c>
      <c r="AL374" s="310" t="s">
        <v>3358</v>
      </c>
      <c r="AM374" s="310" t="s">
        <v>3359</v>
      </c>
      <c r="AN374" s="310" t="s">
        <v>3360</v>
      </c>
      <c r="AO374" s="310" t="s">
        <v>3361</v>
      </c>
      <c r="AP374" s="310" t="s">
        <v>3362</v>
      </c>
      <c r="AQ374" s="310" t="s">
        <v>499</v>
      </c>
      <c r="AR374" s="310" t="s">
        <v>89</v>
      </c>
      <c r="AS374" s="310" t="s">
        <v>3357</v>
      </c>
      <c r="AT374" s="310" t="s">
        <v>242</v>
      </c>
      <c r="AU374" s="310" t="s">
        <v>242</v>
      </c>
      <c r="AV374" s="310" t="s">
        <v>242</v>
      </c>
      <c r="AW374" s="310" t="s">
        <v>81</v>
      </c>
      <c r="AX374" s="310" t="s">
        <v>81</v>
      </c>
      <c r="AY374" s="310" t="s">
        <v>81</v>
      </c>
      <c r="AZ374" s="310" t="s">
        <v>81</v>
      </c>
      <c r="BA374" s="4"/>
      <c r="BB374" s="310">
        <v>10800</v>
      </c>
      <c r="BC374" s="310">
        <v>2700</v>
      </c>
      <c r="BD374" s="310">
        <v>1000</v>
      </c>
      <c r="BE374" s="310" t="s">
        <v>166</v>
      </c>
      <c r="BF374" s="310" t="s">
        <v>242</v>
      </c>
      <c r="BG374" s="310" t="s">
        <v>242</v>
      </c>
      <c r="BH374" s="310" t="s">
        <v>242</v>
      </c>
      <c r="BI374" s="310" t="s">
        <v>242</v>
      </c>
      <c r="BJ374" s="310" t="s">
        <v>242</v>
      </c>
      <c r="BK374" s="310">
        <v>1925430306</v>
      </c>
      <c r="BL374" s="9"/>
    </row>
    <row r="375" ht="25.05" customHeight="1">
      <c r="A375" s="310">
        <v>172077</v>
      </c>
      <c r="B375" s="310">
        <v>172077</v>
      </c>
      <c r="C375" s="310" t="s">
        <v>3363</v>
      </c>
      <c r="D375" s="310" t="s">
        <v>3364</v>
      </c>
      <c r="E375" s="310" t="s">
        <v>114</v>
      </c>
      <c r="F375" s="310">
        <v>1410999758</v>
      </c>
      <c r="G375" s="310" t="s">
        <v>67</v>
      </c>
      <c r="H375" s="310" t="s">
        <v>2465</v>
      </c>
      <c r="I375" s="310" t="s">
        <v>69</v>
      </c>
      <c r="J375" s="310" t="s">
        <v>155</v>
      </c>
      <c r="K375" s="310" t="s">
        <v>1766</v>
      </c>
      <c r="L375" s="310" t="s">
        <v>2466</v>
      </c>
      <c r="M375" s="310" t="s">
        <v>154</v>
      </c>
      <c r="N375" s="310" t="s">
        <v>74</v>
      </c>
      <c r="O375" s="310" t="s">
        <v>75</v>
      </c>
      <c r="P375" s="310">
        <v>51</v>
      </c>
      <c r="Q375" s="311">
        <v>45594</v>
      </c>
      <c r="R375" s="311">
        <v>45612</v>
      </c>
      <c r="S375" s="310" t="s">
        <v>242</v>
      </c>
      <c r="T375" s="310" t="s">
        <v>242</v>
      </c>
      <c r="U375" s="310" t="s">
        <v>242</v>
      </c>
      <c r="V375" s="310" t="s">
        <v>242</v>
      </c>
      <c r="W375" s="313" t="s">
        <v>3365</v>
      </c>
      <c r="X375" s="310">
        <v>1309924409</v>
      </c>
      <c r="Y375" s="310">
        <v>1309924409</v>
      </c>
      <c r="Z375" s="310" t="s">
        <v>3366</v>
      </c>
      <c r="AA375" s="310">
        <v>1842388532</v>
      </c>
      <c r="AB375" s="310" t="s">
        <v>2756</v>
      </c>
      <c r="AC375" s="310" t="s">
        <v>133</v>
      </c>
      <c r="AD375" s="312">
        <v>36161</v>
      </c>
      <c r="AE375" s="310">
        <v>25</v>
      </c>
      <c r="AF375" s="310" t="s">
        <v>80</v>
      </c>
      <c r="AG375" s="310">
        <v>2414228557</v>
      </c>
      <c r="AH375" s="310" t="s">
        <v>242</v>
      </c>
      <c r="AI375" s="310" t="s">
        <v>925</v>
      </c>
      <c r="AJ375" s="310"/>
      <c r="AK375" s="310">
        <v>2024</v>
      </c>
      <c r="AL375" s="310" t="s">
        <v>3367</v>
      </c>
      <c r="AM375" s="310" t="s">
        <v>3368</v>
      </c>
      <c r="AN375" s="310" t="s">
        <v>3369</v>
      </c>
      <c r="AO375" s="310" t="s">
        <v>3370</v>
      </c>
      <c r="AP375" s="310" t="s">
        <v>3371</v>
      </c>
      <c r="AQ375" s="310" t="s">
        <v>3372</v>
      </c>
      <c r="AR375" s="310" t="s">
        <v>110</v>
      </c>
      <c r="AS375" s="310" t="s">
        <v>242</v>
      </c>
      <c r="AT375" s="310" t="s">
        <v>242</v>
      </c>
      <c r="AU375" s="310" t="s">
        <v>242</v>
      </c>
      <c r="AV375" s="310" t="s">
        <v>242</v>
      </c>
      <c r="AW375" s="310" t="s">
        <v>81</v>
      </c>
      <c r="AX375" s="310" t="s">
        <v>81</v>
      </c>
      <c r="AY375" s="310" t="s">
        <v>81</v>
      </c>
      <c r="AZ375" s="310" t="s">
        <v>81</v>
      </c>
      <c r="BA375" s="310"/>
      <c r="BB375" s="310">
        <v>10800</v>
      </c>
      <c r="BC375" s="310">
        <v>2700</v>
      </c>
      <c r="BD375" s="310">
        <v>1000</v>
      </c>
      <c r="BE375" s="310" t="s">
        <v>166</v>
      </c>
      <c r="BF375" s="310" t="s">
        <v>242</v>
      </c>
      <c r="BG375" s="310" t="s">
        <v>242</v>
      </c>
      <c r="BH375" s="310" t="s">
        <v>242</v>
      </c>
      <c r="BI375" s="310" t="s">
        <v>242</v>
      </c>
      <c r="BJ375" s="310" t="s">
        <v>242</v>
      </c>
      <c r="BK375" s="310">
        <v>1309924409</v>
      </c>
      <c r="BL375" s="9"/>
    </row>
    <row r="376" ht="25.05" customHeight="1">
      <c r="A376" s="310">
        <v>172078</v>
      </c>
      <c r="B376" s="310">
        <v>172078</v>
      </c>
      <c r="C376" s="310" t="s">
        <v>3373</v>
      </c>
      <c r="D376" s="310" t="s">
        <v>3374</v>
      </c>
      <c r="E376" s="310" t="s">
        <v>114</v>
      </c>
      <c r="F376" s="313">
        <v>1213516265</v>
      </c>
      <c r="G376" s="310" t="s">
        <v>67</v>
      </c>
      <c r="H376" s="310" t="s">
        <v>2465</v>
      </c>
      <c r="I376" s="310" t="s">
        <v>69</v>
      </c>
      <c r="J376" s="310" t="s">
        <v>155</v>
      </c>
      <c r="K376" s="310" t="s">
        <v>1766</v>
      </c>
      <c r="L376" s="310" t="s">
        <v>2466</v>
      </c>
      <c r="M376" s="310" t="s">
        <v>154</v>
      </c>
      <c r="N376" s="310" t="s">
        <v>74</v>
      </c>
      <c r="O376" s="310" t="s">
        <v>75</v>
      </c>
      <c r="P376" s="310">
        <v>51</v>
      </c>
      <c r="Q376" s="311">
        <v>45594</v>
      </c>
      <c r="R376" s="311">
        <v>45612</v>
      </c>
      <c r="S376" s="310" t="s">
        <v>242</v>
      </c>
      <c r="T376" s="310" t="s">
        <v>242</v>
      </c>
      <c r="U376" s="310" t="s">
        <v>242</v>
      </c>
      <c r="V376" s="310" t="s">
        <v>242</v>
      </c>
      <c r="W376" s="313" t="s">
        <v>3375</v>
      </c>
      <c r="X376" s="313">
        <v>1779791581</v>
      </c>
      <c r="Y376" s="313">
        <v>1779791581</v>
      </c>
      <c r="Z376" s="310" t="s">
        <v>3376</v>
      </c>
      <c r="AA376" s="310">
        <v>1903770689</v>
      </c>
      <c r="AB376" s="310" t="s">
        <v>2756</v>
      </c>
      <c r="AC376" s="310" t="s">
        <v>119</v>
      </c>
      <c r="AD376" s="312" t="s">
        <v>3377</v>
      </c>
      <c r="AE376" s="310">
        <v>24</v>
      </c>
      <c r="AF376" s="310" t="s">
        <v>80</v>
      </c>
      <c r="AG376" s="310">
        <v>4211180643</v>
      </c>
      <c r="AH376" s="310" t="s">
        <v>242</v>
      </c>
      <c r="AI376" s="310" t="s">
        <v>925</v>
      </c>
      <c r="AJ376" s="310"/>
      <c r="AK376" s="310">
        <v>2023</v>
      </c>
      <c r="AL376" s="310" t="s">
        <v>3378</v>
      </c>
      <c r="AM376" s="310" t="s">
        <v>3379</v>
      </c>
      <c r="AN376" s="310" t="s">
        <v>3376</v>
      </c>
      <c r="AO376" s="310" t="s">
        <v>3380</v>
      </c>
      <c r="AP376" s="310" t="s">
        <v>3381</v>
      </c>
      <c r="AQ376" s="310" t="s">
        <v>3382</v>
      </c>
      <c r="AR376" s="310" t="s">
        <v>110</v>
      </c>
      <c r="AS376" s="310" t="s">
        <v>242</v>
      </c>
      <c r="AT376" s="310" t="s">
        <v>242</v>
      </c>
      <c r="AU376" s="310" t="s">
        <v>242</v>
      </c>
      <c r="AV376" s="310" t="s">
        <v>242</v>
      </c>
      <c r="AW376" s="310" t="s">
        <v>81</v>
      </c>
      <c r="AX376" s="310" t="s">
        <v>81</v>
      </c>
      <c r="AY376" s="310" t="s">
        <v>81</v>
      </c>
      <c r="AZ376" s="310" t="s">
        <v>81</v>
      </c>
      <c r="BA376" s="310"/>
      <c r="BB376" s="310">
        <v>10800</v>
      </c>
      <c r="BC376" s="310">
        <v>2700</v>
      </c>
      <c r="BD376" s="310">
        <v>1000</v>
      </c>
      <c r="BE376" s="310" t="s">
        <v>166</v>
      </c>
      <c r="BF376" s="310" t="s">
        <v>242</v>
      </c>
      <c r="BG376" s="310" t="s">
        <v>242</v>
      </c>
      <c r="BH376" s="310" t="s">
        <v>242</v>
      </c>
      <c r="BI376" s="310" t="s">
        <v>242</v>
      </c>
      <c r="BJ376" s="310" t="s">
        <v>242</v>
      </c>
      <c r="BK376" s="310">
        <v>1779791581</v>
      </c>
      <c r="BL376" s="9"/>
    </row>
    <row r="377" ht="25.05" customHeight="1">
      <c r="A377" s="310">
        <v>172079</v>
      </c>
      <c r="B377" s="310">
        <v>172079</v>
      </c>
      <c r="C377" s="310" t="s">
        <v>3383</v>
      </c>
      <c r="D377" s="310" t="s">
        <v>3384</v>
      </c>
      <c r="E377" s="310" t="s">
        <v>114</v>
      </c>
      <c r="F377" s="310">
        <v>1010802086</v>
      </c>
      <c r="G377" s="310" t="s">
        <v>67</v>
      </c>
      <c r="H377" s="310" t="s">
        <v>2465</v>
      </c>
      <c r="I377" s="310" t="s">
        <v>69</v>
      </c>
      <c r="J377" s="310" t="s">
        <v>155</v>
      </c>
      <c r="K377" s="310" t="s">
        <v>1766</v>
      </c>
      <c r="L377" s="310" t="s">
        <v>2466</v>
      </c>
      <c r="M377" s="310" t="s">
        <v>154</v>
      </c>
      <c r="N377" s="310" t="s">
        <v>74</v>
      </c>
      <c r="O377" s="310" t="s">
        <v>75</v>
      </c>
      <c r="P377" s="310">
        <v>51</v>
      </c>
      <c r="Q377" s="311">
        <v>45594</v>
      </c>
      <c r="R377" s="311">
        <v>45612</v>
      </c>
      <c r="S377" s="310" t="s">
        <v>242</v>
      </c>
      <c r="T377" s="310" t="s">
        <v>242</v>
      </c>
      <c r="U377" s="310" t="s">
        <v>242</v>
      </c>
      <c r="V377" s="310" t="s">
        <v>242</v>
      </c>
      <c r="W377" s="313" t="s">
        <v>3385</v>
      </c>
      <c r="X377" s="310">
        <v>1600162187</v>
      </c>
      <c r="Y377" s="310">
        <v>1600162187</v>
      </c>
      <c r="Z377" s="310" t="s">
        <v>3386</v>
      </c>
      <c r="AA377" s="310">
        <v>1781899839</v>
      </c>
      <c r="AB377" s="310" t="s">
        <v>101</v>
      </c>
      <c r="AC377" s="310" t="s">
        <v>79</v>
      </c>
      <c r="AD377" s="312" t="s">
        <v>3387</v>
      </c>
      <c r="AE377" s="310">
        <v>27</v>
      </c>
      <c r="AF377" s="310" t="s">
        <v>80</v>
      </c>
      <c r="AG377" s="310">
        <v>5552354887</v>
      </c>
      <c r="AH377" s="310" t="s">
        <v>242</v>
      </c>
      <c r="AI377" s="310" t="s">
        <v>925</v>
      </c>
      <c r="AJ377" s="310"/>
      <c r="AK377" s="310">
        <v>2021</v>
      </c>
      <c r="AL377" s="310" t="s">
        <v>534</v>
      </c>
      <c r="AM377" s="310" t="s">
        <v>3388</v>
      </c>
      <c r="AN377" s="310" t="s">
        <v>3389</v>
      </c>
      <c r="AO377" s="310" t="s">
        <v>3390</v>
      </c>
      <c r="AP377" s="310" t="s">
        <v>3391</v>
      </c>
      <c r="AQ377" s="310" t="s">
        <v>1188</v>
      </c>
      <c r="AR377" s="310" t="s">
        <v>110</v>
      </c>
      <c r="AS377" s="310" t="s">
        <v>242</v>
      </c>
      <c r="AT377" s="310" t="s">
        <v>242</v>
      </c>
      <c r="AU377" s="310" t="s">
        <v>242</v>
      </c>
      <c r="AV377" s="310" t="s">
        <v>242</v>
      </c>
      <c r="AW377" s="310" t="s">
        <v>81</v>
      </c>
      <c r="AX377" s="310" t="s">
        <v>81</v>
      </c>
      <c r="AY377" s="310" t="s">
        <v>81</v>
      </c>
      <c r="AZ377" s="310" t="s">
        <v>81</v>
      </c>
      <c r="BA377" s="310"/>
      <c r="BB377" s="310">
        <v>10800</v>
      </c>
      <c r="BC377" s="310">
        <v>2700</v>
      </c>
      <c r="BD377" s="310">
        <v>1000</v>
      </c>
      <c r="BE377" s="310" t="s">
        <v>166</v>
      </c>
      <c r="BF377" s="310" t="s">
        <v>242</v>
      </c>
      <c r="BG377" s="310" t="s">
        <v>242</v>
      </c>
      <c r="BH377" s="310" t="s">
        <v>242</v>
      </c>
      <c r="BI377" s="310" t="s">
        <v>242</v>
      </c>
      <c r="BJ377" s="310" t="s">
        <v>242</v>
      </c>
      <c r="BK377" s="310">
        <v>1600162187</v>
      </c>
      <c r="BL377" s="9"/>
    </row>
    <row r="378" ht="25.05" customHeight="1">
      <c r="A378" s="310">
        <v>172080</v>
      </c>
      <c r="B378" s="310">
        <v>172080</v>
      </c>
      <c r="C378" s="310" t="s">
        <v>3392</v>
      </c>
      <c r="D378" s="310" t="s">
        <v>3393</v>
      </c>
      <c r="E378" s="310" t="s">
        <v>114</v>
      </c>
      <c r="F378" s="310">
        <v>1210998832</v>
      </c>
      <c r="G378" s="310" t="s">
        <v>67</v>
      </c>
      <c r="H378" s="310" t="s">
        <v>2465</v>
      </c>
      <c r="I378" s="310" t="s">
        <v>69</v>
      </c>
      <c r="J378" s="310" t="s">
        <v>155</v>
      </c>
      <c r="K378" s="310" t="s">
        <v>1766</v>
      </c>
      <c r="L378" s="310" t="s">
        <v>2466</v>
      </c>
      <c r="M378" s="310" t="s">
        <v>154</v>
      </c>
      <c r="N378" s="310" t="s">
        <v>74</v>
      </c>
      <c r="O378" s="310" t="s">
        <v>75</v>
      </c>
      <c r="P378" s="310">
        <v>51</v>
      </c>
      <c r="Q378" s="311">
        <v>45594</v>
      </c>
      <c r="R378" s="311">
        <v>45612</v>
      </c>
      <c r="S378" s="310" t="s">
        <v>242</v>
      </c>
      <c r="T378" s="310" t="s">
        <v>242</v>
      </c>
      <c r="U378" s="310" t="s">
        <v>242</v>
      </c>
      <c r="V378" s="310" t="s">
        <v>242</v>
      </c>
      <c r="W378" s="313" t="s">
        <v>3394</v>
      </c>
      <c r="X378" s="310">
        <v>1799949787</v>
      </c>
      <c r="Y378" s="310">
        <v>1624416448</v>
      </c>
      <c r="Z378" s="310" t="s">
        <v>3395</v>
      </c>
      <c r="AA378" s="310">
        <v>1624344596</v>
      </c>
      <c r="AB378" s="310" t="s">
        <v>2429</v>
      </c>
      <c r="AC378" s="310" t="s">
        <v>133</v>
      </c>
      <c r="AD378" s="310" t="s">
        <v>3396</v>
      </c>
      <c r="AE378" s="310">
        <v>26</v>
      </c>
      <c r="AF378" s="310" t="s">
        <v>80</v>
      </c>
      <c r="AG378" s="310">
        <v>1040260232</v>
      </c>
      <c r="AH378" s="310" t="s">
        <v>242</v>
      </c>
      <c r="AI378" s="310" t="s">
        <v>2211</v>
      </c>
      <c r="AJ378" s="310"/>
      <c r="AK378" s="310">
        <v>2022</v>
      </c>
      <c r="AL378" s="310" t="s">
        <v>1149</v>
      </c>
      <c r="AM378" s="310" t="s">
        <v>3397</v>
      </c>
      <c r="AN378" s="310" t="s">
        <v>3398</v>
      </c>
      <c r="AO378" s="310" t="s">
        <v>3399</v>
      </c>
      <c r="AP378" s="310" t="s">
        <v>3400</v>
      </c>
      <c r="AQ378" s="310" t="s">
        <v>3401</v>
      </c>
      <c r="AR378" s="310" t="s">
        <v>110</v>
      </c>
      <c r="AS378" s="310" t="s">
        <v>242</v>
      </c>
      <c r="AT378" s="310" t="s">
        <v>242</v>
      </c>
      <c r="AU378" s="310" t="s">
        <v>242</v>
      </c>
      <c r="AV378" s="310" t="s">
        <v>242</v>
      </c>
      <c r="AW378" s="310" t="s">
        <v>81</v>
      </c>
      <c r="AX378" s="310" t="s">
        <v>81</v>
      </c>
      <c r="AY378" s="310" t="s">
        <v>81</v>
      </c>
      <c r="AZ378" s="310" t="s">
        <v>81</v>
      </c>
      <c r="BA378" s="310"/>
      <c r="BB378" s="310">
        <v>10800</v>
      </c>
      <c r="BC378" s="310">
        <v>2700</v>
      </c>
      <c r="BD378" s="310">
        <v>1000</v>
      </c>
      <c r="BE378" s="310" t="s">
        <v>166</v>
      </c>
      <c r="BF378" s="310" t="s">
        <v>242</v>
      </c>
      <c r="BG378" s="310" t="s">
        <v>242</v>
      </c>
      <c r="BH378" s="310" t="s">
        <v>242</v>
      </c>
      <c r="BI378" s="310" t="s">
        <v>242</v>
      </c>
      <c r="BJ378" s="310" t="s">
        <v>242</v>
      </c>
      <c r="BK378" s="310">
        <v>1799949787</v>
      </c>
      <c r="BL378" s="9"/>
    </row>
    <row r="379" ht="25.05" customHeight="1">
      <c r="A379" s="310">
        <v>172083</v>
      </c>
      <c r="B379" s="310">
        <v>172083</v>
      </c>
      <c r="C379" s="310" t="s">
        <v>3402</v>
      </c>
      <c r="D379" s="310" t="s">
        <v>3403</v>
      </c>
      <c r="E379" s="310" t="s">
        <v>114</v>
      </c>
      <c r="F379" s="310">
        <v>1010804943</v>
      </c>
      <c r="G379" s="310" t="s">
        <v>3128</v>
      </c>
      <c r="H379" s="310" t="s">
        <v>2465</v>
      </c>
      <c r="I379" s="310" t="s">
        <v>69</v>
      </c>
      <c r="J379" s="310" t="s">
        <v>155</v>
      </c>
      <c r="K379" s="310" t="s">
        <v>1766</v>
      </c>
      <c r="L379" s="310" t="s">
        <v>2466</v>
      </c>
      <c r="M379" s="310" t="s">
        <v>442</v>
      </c>
      <c r="N379" s="310" t="s">
        <v>74</v>
      </c>
      <c r="O379" s="310" t="s">
        <v>75</v>
      </c>
      <c r="P379" s="310">
        <v>51</v>
      </c>
      <c r="Q379" s="311">
        <v>45594</v>
      </c>
      <c r="R379" s="311">
        <v>45612</v>
      </c>
      <c r="S379" s="310" t="s">
        <v>242</v>
      </c>
      <c r="T379" s="310" t="s">
        <v>242</v>
      </c>
      <c r="U379" s="310" t="s">
        <v>242</v>
      </c>
      <c r="V379" s="310" t="s">
        <v>242</v>
      </c>
      <c r="W379" s="313" t="s">
        <v>3404</v>
      </c>
      <c r="X379" s="310">
        <v>1760032555</v>
      </c>
      <c r="Y379" s="310">
        <v>1830294556</v>
      </c>
      <c r="Z379" s="310" t="s">
        <v>3405</v>
      </c>
      <c r="AA379" s="310">
        <v>1717093919</v>
      </c>
      <c r="AB379" s="310" t="s">
        <v>2892</v>
      </c>
      <c r="AC379" s="310" t="s">
        <v>119</v>
      </c>
      <c r="AD379" s="312">
        <v>35521</v>
      </c>
      <c r="AE379" s="310">
        <v>27</v>
      </c>
      <c r="AF379" s="310" t="s">
        <v>80</v>
      </c>
      <c r="AG379" s="310">
        <v>3310988534</v>
      </c>
      <c r="AH379" s="310" t="s">
        <v>242</v>
      </c>
      <c r="AI379" s="310" t="s">
        <v>925</v>
      </c>
      <c r="AJ379" s="310"/>
      <c r="AK379" s="310">
        <v>2020</v>
      </c>
      <c r="AL379" s="310" t="s">
        <v>3406</v>
      </c>
      <c r="AM379" s="310" t="s">
        <v>3407</v>
      </c>
      <c r="AN379" s="310" t="s">
        <v>3408</v>
      </c>
      <c r="AO379" s="310" t="s">
        <v>317</v>
      </c>
      <c r="AP379" s="310" t="s">
        <v>3409</v>
      </c>
      <c r="AQ379" s="310" t="s">
        <v>1188</v>
      </c>
      <c r="AR379" s="310" t="s">
        <v>110</v>
      </c>
      <c r="AS379" s="310" t="s">
        <v>242</v>
      </c>
      <c r="AT379" s="310" t="s">
        <v>242</v>
      </c>
      <c r="AU379" s="310" t="s">
        <v>242</v>
      </c>
      <c r="AV379" s="310" t="s">
        <v>242</v>
      </c>
      <c r="AW379" s="310" t="s">
        <v>81</v>
      </c>
      <c r="AX379" s="310" t="s">
        <v>81</v>
      </c>
      <c r="AY379" s="310" t="s">
        <v>81</v>
      </c>
      <c r="AZ379" s="310" t="s">
        <v>81</v>
      </c>
      <c r="BA379" s="310"/>
      <c r="BB379" s="310">
        <v>10800</v>
      </c>
      <c r="BC379" s="310">
        <v>2700</v>
      </c>
      <c r="BD379" s="310">
        <v>1000</v>
      </c>
      <c r="BE379" s="310" t="s">
        <v>166</v>
      </c>
      <c r="BF379" s="310" t="s">
        <v>242</v>
      </c>
      <c r="BG379" s="310" t="s">
        <v>242</v>
      </c>
      <c r="BH379" s="310" t="s">
        <v>242</v>
      </c>
      <c r="BI379" s="310" t="s">
        <v>242</v>
      </c>
      <c r="BJ379" s="310" t="s">
        <v>242</v>
      </c>
      <c r="BK379" s="310">
        <v>1760032555</v>
      </c>
      <c r="BL379" s="9"/>
    </row>
    <row r="380" ht="25.05" customHeight="1">
      <c r="A380" s="310">
        <v>172085</v>
      </c>
      <c r="B380" s="310">
        <v>172085</v>
      </c>
      <c r="C380" s="310" t="s">
        <v>3410</v>
      </c>
      <c r="D380" s="310" t="s">
        <v>3411</v>
      </c>
      <c r="E380" s="310" t="s">
        <v>114</v>
      </c>
      <c r="F380" s="310">
        <v>1110151470</v>
      </c>
      <c r="G380" s="310" t="s">
        <v>67</v>
      </c>
      <c r="H380" s="310" t="s">
        <v>2465</v>
      </c>
      <c r="I380" s="310" t="s">
        <v>69</v>
      </c>
      <c r="J380" s="310" t="s">
        <v>155</v>
      </c>
      <c r="K380" s="310" t="s">
        <v>1766</v>
      </c>
      <c r="L380" s="310" t="s">
        <v>2466</v>
      </c>
      <c r="M380" s="310" t="s">
        <v>442</v>
      </c>
      <c r="N380" s="310" t="s">
        <v>74</v>
      </c>
      <c r="O380" s="310" t="s">
        <v>75</v>
      </c>
      <c r="P380" s="310">
        <v>51</v>
      </c>
      <c r="Q380" s="311">
        <v>45594</v>
      </c>
      <c r="R380" s="311">
        <v>45612</v>
      </c>
      <c r="S380" s="310" t="s">
        <v>242</v>
      </c>
      <c r="T380" s="310" t="s">
        <v>242</v>
      </c>
      <c r="U380" s="310" t="s">
        <v>242</v>
      </c>
      <c r="V380" s="310" t="s">
        <v>242</v>
      </c>
      <c r="W380" s="313" t="s">
        <v>3412</v>
      </c>
      <c r="X380" s="310">
        <v>1953957138</v>
      </c>
      <c r="Y380" s="310">
        <v>1761364559</v>
      </c>
      <c r="Z380" s="310" t="s">
        <v>3413</v>
      </c>
      <c r="AA380" s="310">
        <v>183018999</v>
      </c>
      <c r="AB380" s="310" t="s">
        <v>2429</v>
      </c>
      <c r="AC380" s="310" t="s">
        <v>79</v>
      </c>
      <c r="AD380" s="312">
        <v>36474</v>
      </c>
      <c r="AE380" s="310">
        <v>25</v>
      </c>
      <c r="AF380" s="310" t="s">
        <v>80</v>
      </c>
      <c r="AG380" s="310">
        <v>3757823186</v>
      </c>
      <c r="AH380" s="310" t="s">
        <v>242</v>
      </c>
      <c r="AI380" s="310" t="s">
        <v>925</v>
      </c>
      <c r="AJ380" s="310"/>
      <c r="AK380" s="310">
        <v>2021</v>
      </c>
      <c r="AL380" s="310" t="s">
        <v>3414</v>
      </c>
      <c r="AM380" s="310" t="s">
        <v>3415</v>
      </c>
      <c r="AN380" s="310" t="s">
        <v>3416</v>
      </c>
      <c r="AO380" s="310" t="s">
        <v>151</v>
      </c>
      <c r="AP380" s="310" t="s">
        <v>3417</v>
      </c>
      <c r="AQ380" s="310" t="s">
        <v>3418</v>
      </c>
      <c r="AR380" s="310" t="s">
        <v>110</v>
      </c>
      <c r="AS380" s="310" t="s">
        <v>242</v>
      </c>
      <c r="AT380" s="310" t="s">
        <v>242</v>
      </c>
      <c r="AU380" s="310" t="s">
        <v>242</v>
      </c>
      <c r="AV380" s="310" t="s">
        <v>242</v>
      </c>
      <c r="AW380" s="310" t="s">
        <v>81</v>
      </c>
      <c r="AX380" s="310" t="s">
        <v>81</v>
      </c>
      <c r="AY380" s="310" t="s">
        <v>81</v>
      </c>
      <c r="AZ380" s="310" t="s">
        <v>81</v>
      </c>
      <c r="BA380" s="310"/>
      <c r="BB380" s="310">
        <v>10800</v>
      </c>
      <c r="BC380" s="310">
        <v>2700</v>
      </c>
      <c r="BD380" s="310">
        <v>1000</v>
      </c>
      <c r="BE380" s="310" t="s">
        <v>166</v>
      </c>
      <c r="BF380" s="310" t="s">
        <v>242</v>
      </c>
      <c r="BG380" s="310" t="s">
        <v>242</v>
      </c>
      <c r="BH380" s="310" t="s">
        <v>242</v>
      </c>
      <c r="BI380" s="310" t="s">
        <v>242</v>
      </c>
      <c r="BJ380" s="310" t="s">
        <v>242</v>
      </c>
      <c r="BK380" s="310">
        <v>1953957138</v>
      </c>
      <c r="BL380" s="9"/>
    </row>
    <row r="381" ht="25.05" customHeight="1">
      <c r="A381" s="310">
        <v>172087</v>
      </c>
      <c r="B381" s="310">
        <v>172087</v>
      </c>
      <c r="C381" s="310" t="s">
        <v>3419</v>
      </c>
      <c r="D381" s="310" t="s">
        <v>3420</v>
      </c>
      <c r="E381" s="310" t="s">
        <v>114</v>
      </c>
      <c r="F381" s="310">
        <v>1418883419</v>
      </c>
      <c r="G381" s="310" t="s">
        <v>67</v>
      </c>
      <c r="H381" s="310" t="s">
        <v>2465</v>
      </c>
      <c r="I381" s="310" t="s">
        <v>69</v>
      </c>
      <c r="J381" s="310" t="s">
        <v>155</v>
      </c>
      <c r="K381" s="310" t="s">
        <v>1766</v>
      </c>
      <c r="L381" s="310" t="s">
        <v>2466</v>
      </c>
      <c r="M381" s="310" t="s">
        <v>442</v>
      </c>
      <c r="N381" s="310" t="s">
        <v>74</v>
      </c>
      <c r="O381" s="310" t="s">
        <v>75</v>
      </c>
      <c r="P381" s="310">
        <v>51</v>
      </c>
      <c r="Q381" s="311">
        <v>45594</v>
      </c>
      <c r="R381" s="311">
        <v>45612</v>
      </c>
      <c r="S381" s="310" t="s">
        <v>242</v>
      </c>
      <c r="T381" s="310" t="s">
        <v>242</v>
      </c>
      <c r="U381" s="310" t="s">
        <v>242</v>
      </c>
      <c r="V381" s="310" t="s">
        <v>242</v>
      </c>
      <c r="W381" s="313" t="s">
        <v>3421</v>
      </c>
      <c r="X381" s="310">
        <v>1773371020</v>
      </c>
      <c r="Y381" s="310">
        <v>1580587056</v>
      </c>
      <c r="Z381" s="310" t="s">
        <v>3422</v>
      </c>
      <c r="AA381" s="310">
        <v>1727218828</v>
      </c>
      <c r="AB381" s="310" t="s">
        <v>2429</v>
      </c>
      <c r="AC381" s="310" t="s">
        <v>133</v>
      </c>
      <c r="AD381" s="312">
        <v>37377</v>
      </c>
      <c r="AE381" s="310">
        <v>24</v>
      </c>
      <c r="AF381" s="310" t="s">
        <v>80</v>
      </c>
      <c r="AG381" s="310">
        <v>4209170028</v>
      </c>
      <c r="AH381" s="310" t="s">
        <v>242</v>
      </c>
      <c r="AI381" s="310" t="s">
        <v>925</v>
      </c>
      <c r="AJ381" s="310"/>
      <c r="AK381" s="310">
        <v>2024</v>
      </c>
      <c r="AL381" s="310" t="s">
        <v>3423</v>
      </c>
      <c r="AM381" s="310" t="s">
        <v>3424</v>
      </c>
      <c r="AN381" s="310" t="s">
        <v>3425</v>
      </c>
      <c r="AO381" s="310" t="s">
        <v>317</v>
      </c>
      <c r="AP381" s="310" t="s">
        <v>3426</v>
      </c>
      <c r="AQ381" s="310" t="s">
        <v>1188</v>
      </c>
      <c r="AR381" s="310" t="s">
        <v>110</v>
      </c>
      <c r="AS381" s="310" t="s">
        <v>242</v>
      </c>
      <c r="AT381" s="310" t="s">
        <v>242</v>
      </c>
      <c r="AU381" s="310" t="s">
        <v>242</v>
      </c>
      <c r="AV381" s="310" t="s">
        <v>242</v>
      </c>
      <c r="AW381" s="310" t="s">
        <v>81</v>
      </c>
      <c r="AX381" s="310" t="s">
        <v>81</v>
      </c>
      <c r="AY381" s="310" t="s">
        <v>81</v>
      </c>
      <c r="AZ381" s="310" t="s">
        <v>81</v>
      </c>
      <c r="BA381" s="310"/>
      <c r="BB381" s="310">
        <v>10800</v>
      </c>
      <c r="BC381" s="310">
        <v>2700</v>
      </c>
      <c r="BD381" s="310">
        <v>1000</v>
      </c>
      <c r="BE381" s="310" t="s">
        <v>166</v>
      </c>
      <c r="BF381" s="310" t="s">
        <v>242</v>
      </c>
      <c r="BG381" s="310" t="s">
        <v>242</v>
      </c>
      <c r="BH381" s="310" t="s">
        <v>242</v>
      </c>
      <c r="BI381" s="310" t="s">
        <v>242</v>
      </c>
      <c r="BJ381" s="310" t="s">
        <v>242</v>
      </c>
      <c r="BK381" s="310">
        <v>1773371020</v>
      </c>
      <c r="BL381" s="9"/>
    </row>
    <row r="382" ht="25.05" customHeight="1">
      <c r="A382" s="20">
        <v>172110</v>
      </c>
      <c r="B382" s="20">
        <v>172110</v>
      </c>
      <c r="C382" s="20" t="s">
        <v>3427</v>
      </c>
      <c r="D382" s="20" t="s">
        <v>3428</v>
      </c>
      <c r="E382" s="20" t="s">
        <v>114</v>
      </c>
      <c r="F382" s="20">
        <v>1410999835</v>
      </c>
      <c r="G382" s="20" t="s">
        <v>67</v>
      </c>
      <c r="H382" s="20" t="s">
        <v>2465</v>
      </c>
      <c r="I382" s="20" t="s">
        <v>69</v>
      </c>
      <c r="J382" s="20" t="s">
        <v>155</v>
      </c>
      <c r="K382" s="20" t="s">
        <v>1766</v>
      </c>
      <c r="L382" s="20" t="s">
        <v>2466</v>
      </c>
      <c r="M382" s="20" t="s">
        <v>442</v>
      </c>
      <c r="N382" s="20" t="s">
        <v>74</v>
      </c>
      <c r="O382" s="20" t="s">
        <v>75</v>
      </c>
      <c r="P382" s="20">
        <v>52</v>
      </c>
      <c r="Q382" s="128">
        <v>45602</v>
      </c>
      <c r="R382" s="128">
        <v>45618</v>
      </c>
      <c r="S382" s="20" t="s">
        <v>242</v>
      </c>
      <c r="T382" s="20" t="s">
        <v>242</v>
      </c>
      <c r="U382" s="20" t="s">
        <v>242</v>
      </c>
      <c r="V382" s="20" t="s">
        <v>242</v>
      </c>
      <c r="W382" s="286" t="s">
        <v>3429</v>
      </c>
      <c r="X382" s="20">
        <v>1635297640</v>
      </c>
      <c r="Y382" s="20"/>
      <c r="Z382" s="20" t="s">
        <v>3430</v>
      </c>
      <c r="AA382" s="20">
        <v>1715580813</v>
      </c>
      <c r="AB382" s="20" t="s">
        <v>132</v>
      </c>
      <c r="AC382" s="20" t="s">
        <v>79</v>
      </c>
      <c r="AD382" s="254" t="s">
        <v>3431</v>
      </c>
      <c r="AE382" s="20">
        <v>24</v>
      </c>
      <c r="AF382" s="20" t="s">
        <v>80</v>
      </c>
      <c r="AG382" s="20">
        <v>5113958747</v>
      </c>
      <c r="AH382" s="20" t="s">
        <v>242</v>
      </c>
      <c r="AI382" s="20" t="s">
        <v>925</v>
      </c>
      <c r="AJ382" s="20"/>
      <c r="AK382" s="20">
        <v>2024</v>
      </c>
      <c r="AL382" s="20" t="s">
        <v>3432</v>
      </c>
      <c r="AM382" s="20" t="s">
        <v>3433</v>
      </c>
      <c r="AN382" s="20" t="s">
        <v>3430</v>
      </c>
      <c r="AO382" s="20" t="s">
        <v>3434</v>
      </c>
      <c r="AP382" s="20" t="s">
        <v>3434</v>
      </c>
      <c r="AQ382" s="20" t="s">
        <v>3382</v>
      </c>
      <c r="AR382" s="20" t="s">
        <v>110</v>
      </c>
      <c r="AS382" s="20"/>
      <c r="AT382" s="20"/>
      <c r="AU382" s="20"/>
      <c r="AV382" s="20"/>
      <c r="AW382" s="20"/>
      <c r="AX382" s="20"/>
      <c r="AY382" s="20"/>
      <c r="AZ382" s="20"/>
      <c r="BA382" s="20"/>
      <c r="BB382" s="234">
        <v>10800</v>
      </c>
      <c r="BC382" s="234">
        <v>2700</v>
      </c>
      <c r="BD382" s="234">
        <v>1000</v>
      </c>
      <c r="BE382" s="234" t="s">
        <v>166</v>
      </c>
      <c r="BF382" s="234" t="s">
        <v>242</v>
      </c>
      <c r="BG382" s="234" t="s">
        <v>242</v>
      </c>
      <c r="BH382" s="234" t="s">
        <v>242</v>
      </c>
      <c r="BI382" s="234" t="s">
        <v>242</v>
      </c>
      <c r="BJ382" s="234" t="s">
        <v>242</v>
      </c>
      <c r="BK382" s="20">
        <v>1635297640</v>
      </c>
      <c r="BL382" s="9"/>
    </row>
    <row r="383" ht="25.05" customHeight="1">
      <c r="A383" s="20">
        <v>172107</v>
      </c>
      <c r="B383" s="20">
        <v>172107</v>
      </c>
      <c r="C383" s="20" t="s">
        <v>3435</v>
      </c>
      <c r="D383" s="20" t="s">
        <v>3436</v>
      </c>
      <c r="E383" s="20" t="s">
        <v>114</v>
      </c>
      <c r="F383" s="20">
        <v>412456</v>
      </c>
      <c r="G383" s="20" t="s">
        <v>67</v>
      </c>
      <c r="H383" s="20" t="s">
        <v>2465</v>
      </c>
      <c r="I383" s="20" t="s">
        <v>69</v>
      </c>
      <c r="J383" s="20" t="s">
        <v>155</v>
      </c>
      <c r="K383" s="20" t="s">
        <v>1766</v>
      </c>
      <c r="L383" s="20" t="s">
        <v>2466</v>
      </c>
      <c r="M383" s="20" t="s">
        <v>442</v>
      </c>
      <c r="N383" s="20" t="s">
        <v>74</v>
      </c>
      <c r="O383" s="20" t="s">
        <v>75</v>
      </c>
      <c r="P383" s="20">
        <v>52</v>
      </c>
      <c r="Q383" s="128">
        <v>45602</v>
      </c>
      <c r="R383" s="128">
        <v>45618</v>
      </c>
      <c r="S383" s="20" t="s">
        <v>242</v>
      </c>
      <c r="T383" s="20" t="s">
        <v>242</v>
      </c>
      <c r="U383" s="20" t="s">
        <v>242</v>
      </c>
      <c r="V383" s="20" t="s">
        <v>242</v>
      </c>
      <c r="W383" s="286" t="s">
        <v>3437</v>
      </c>
      <c r="X383" s="20">
        <v>1518386889</v>
      </c>
      <c r="Y383" s="20"/>
      <c r="Z383" s="20" t="s">
        <v>3438</v>
      </c>
      <c r="AA383" s="20">
        <v>1749050360</v>
      </c>
      <c r="AB383" s="20" t="s">
        <v>2429</v>
      </c>
      <c r="AC383" s="20" t="s">
        <v>3439</v>
      </c>
      <c r="AD383" s="254">
        <v>34678</v>
      </c>
      <c r="AE383" s="20">
        <v>30</v>
      </c>
      <c r="AF383" s="20" t="s">
        <v>360</v>
      </c>
      <c r="AG383" s="20">
        <v>8211078400</v>
      </c>
      <c r="AH383" s="20" t="s">
        <v>81</v>
      </c>
      <c r="AI383" s="20" t="s">
        <v>3440</v>
      </c>
      <c r="AJ383" s="20"/>
      <c r="AK383" s="20">
        <v>2021</v>
      </c>
      <c r="AL383" s="20" t="s">
        <v>3441</v>
      </c>
      <c r="AM383" s="20" t="s">
        <v>3442</v>
      </c>
      <c r="AN383" s="20" t="s">
        <v>3443</v>
      </c>
      <c r="AO383" s="20" t="s">
        <v>3444</v>
      </c>
      <c r="AP383" s="20" t="s">
        <v>3445</v>
      </c>
      <c r="AQ383" s="20" t="s">
        <v>3446</v>
      </c>
      <c r="AR383" s="20" t="s">
        <v>110</v>
      </c>
      <c r="AS383" s="20"/>
      <c r="AT383" s="20"/>
      <c r="AU383" s="20"/>
      <c r="AV383" s="20"/>
      <c r="AW383" s="20"/>
      <c r="AX383" s="20"/>
      <c r="AY383" s="20"/>
      <c r="AZ383" s="20"/>
      <c r="BA383" s="20"/>
      <c r="BB383" s="234">
        <v>10800</v>
      </c>
      <c r="BC383" s="234">
        <v>2700</v>
      </c>
      <c r="BD383" s="234">
        <v>1000</v>
      </c>
      <c r="BE383" s="234" t="s">
        <v>166</v>
      </c>
      <c r="BF383" s="234" t="s">
        <v>242</v>
      </c>
      <c r="BG383" s="234" t="s">
        <v>242</v>
      </c>
      <c r="BH383" s="234" t="s">
        <v>242</v>
      </c>
      <c r="BI383" s="234" t="s">
        <v>242</v>
      </c>
      <c r="BJ383" s="234" t="s">
        <v>242</v>
      </c>
      <c r="BK383" s="20">
        <v>1749050360</v>
      </c>
      <c r="BL383" s="9"/>
    </row>
    <row r="384" ht="25.05" customHeight="1">
      <c r="A384" s="20">
        <v>172114</v>
      </c>
      <c r="B384" s="20">
        <v>172114</v>
      </c>
      <c r="C384" s="20" t="s">
        <v>3447</v>
      </c>
      <c r="D384" s="20" t="s">
        <v>3448</v>
      </c>
      <c r="E384" s="20" t="s">
        <v>114</v>
      </c>
      <c r="F384" s="20">
        <v>234074</v>
      </c>
      <c r="G384" s="20" t="s">
        <v>67</v>
      </c>
      <c r="H384" s="20" t="s">
        <v>2465</v>
      </c>
      <c r="I384" s="20" t="s">
        <v>69</v>
      </c>
      <c r="J384" s="20" t="s">
        <v>155</v>
      </c>
      <c r="K384" s="20" t="s">
        <v>1766</v>
      </c>
      <c r="L384" s="20" t="s">
        <v>2466</v>
      </c>
      <c r="M384" s="20" t="s">
        <v>442</v>
      </c>
      <c r="N384" s="20" t="s">
        <v>74</v>
      </c>
      <c r="O384" s="20" t="s">
        <v>75</v>
      </c>
      <c r="P384" s="20">
        <v>52</v>
      </c>
      <c r="Q384" s="128">
        <v>45602</v>
      </c>
      <c r="R384" s="128">
        <v>45618</v>
      </c>
      <c r="S384" s="20" t="s">
        <v>242</v>
      </c>
      <c r="T384" s="20" t="s">
        <v>242</v>
      </c>
      <c r="U384" s="20" t="s">
        <v>242</v>
      </c>
      <c r="V384" s="20" t="s">
        <v>242</v>
      </c>
      <c r="W384" s="286" t="s">
        <v>3449</v>
      </c>
      <c r="X384" s="20">
        <v>1786844608</v>
      </c>
      <c r="Y384" s="20"/>
      <c r="Z384" s="20" t="s">
        <v>3450</v>
      </c>
      <c r="AA384" s="20">
        <v>1863489243</v>
      </c>
      <c r="AB384" s="20" t="s">
        <v>186</v>
      </c>
      <c r="AC384" s="20" t="s">
        <v>119</v>
      </c>
      <c r="AD384" s="254" t="s">
        <v>3451</v>
      </c>
      <c r="AE384" s="20">
        <v>25</v>
      </c>
      <c r="AF384" s="20" t="s">
        <v>80</v>
      </c>
      <c r="AG384" s="20">
        <v>5106431371</v>
      </c>
      <c r="AH384" s="20" t="s">
        <v>81</v>
      </c>
      <c r="AI384" s="20" t="s">
        <v>421</v>
      </c>
      <c r="AJ384" s="20"/>
      <c r="AK384" s="20">
        <v>2024</v>
      </c>
      <c r="AL384" s="20" t="s">
        <v>3452</v>
      </c>
      <c r="AM384" s="20" t="s">
        <v>3453</v>
      </c>
      <c r="AN384" s="20" t="s">
        <v>3454</v>
      </c>
      <c r="AO384" s="20" t="s">
        <v>3455</v>
      </c>
      <c r="AP384" s="20" t="s">
        <v>3456</v>
      </c>
      <c r="AQ384" s="20" t="s">
        <v>3457</v>
      </c>
      <c r="AR384" s="20" t="s">
        <v>110</v>
      </c>
      <c r="AS384" s="20"/>
      <c r="AT384" s="20"/>
      <c r="AU384" s="20"/>
      <c r="AV384" s="20"/>
      <c r="AW384" s="20"/>
      <c r="AX384" s="20"/>
      <c r="AY384" s="20"/>
      <c r="AZ384" s="20"/>
      <c r="BA384" s="20"/>
      <c r="BB384" s="234">
        <v>10800</v>
      </c>
      <c r="BC384" s="234">
        <v>2700</v>
      </c>
      <c r="BD384" s="234">
        <v>1000</v>
      </c>
      <c r="BE384" s="234" t="s">
        <v>166</v>
      </c>
      <c r="BF384" s="234" t="s">
        <v>242</v>
      </c>
      <c r="BG384" s="234" t="s">
        <v>242</v>
      </c>
      <c r="BH384" s="234" t="s">
        <v>242</v>
      </c>
      <c r="BI384" s="234" t="s">
        <v>242</v>
      </c>
      <c r="BJ384" s="234" t="s">
        <v>242</v>
      </c>
      <c r="BK384" s="20">
        <v>1786844608</v>
      </c>
      <c r="BL384" s="9"/>
    </row>
    <row r="385" ht="25.05" customHeight="1">
      <c r="A385" s="20">
        <v>172109</v>
      </c>
      <c r="B385" s="20">
        <v>172109</v>
      </c>
      <c r="C385" s="20" t="s">
        <v>3458</v>
      </c>
      <c r="D385" s="20" t="s">
        <v>3459</v>
      </c>
      <c r="E385" s="20" t="s">
        <v>114</v>
      </c>
      <c r="F385" s="20">
        <v>19132000117</v>
      </c>
      <c r="G385" s="20" t="s">
        <v>67</v>
      </c>
      <c r="H385" s="20" t="s">
        <v>2465</v>
      </c>
      <c r="I385" s="20" t="s">
        <v>69</v>
      </c>
      <c r="J385" s="20" t="s">
        <v>155</v>
      </c>
      <c r="K385" s="20" t="s">
        <v>1766</v>
      </c>
      <c r="L385" s="20" t="s">
        <v>2466</v>
      </c>
      <c r="M385" s="20" t="s">
        <v>442</v>
      </c>
      <c r="N385" s="20" t="s">
        <v>74</v>
      </c>
      <c r="O385" s="20" t="s">
        <v>75</v>
      </c>
      <c r="P385" s="20">
        <v>52</v>
      </c>
      <c r="Q385" s="128">
        <v>45602</v>
      </c>
      <c r="R385" s="128">
        <v>45618</v>
      </c>
      <c r="S385" s="20" t="s">
        <v>242</v>
      </c>
      <c r="T385" s="20" t="s">
        <v>242</v>
      </c>
      <c r="U385" s="20" t="s">
        <v>242</v>
      </c>
      <c r="V385" s="20" t="s">
        <v>242</v>
      </c>
      <c r="W385" s="286" t="s">
        <v>3460</v>
      </c>
      <c r="X385" s="20">
        <v>1746170081</v>
      </c>
      <c r="Y385" s="20"/>
      <c r="Z385" s="20" t="s">
        <v>3461</v>
      </c>
      <c r="AA385" s="20">
        <v>1912499251</v>
      </c>
      <c r="AB385" s="20" t="s">
        <v>132</v>
      </c>
      <c r="AC385" s="20" t="s">
        <v>79</v>
      </c>
      <c r="AD385" s="254">
        <v>36349</v>
      </c>
      <c r="AE385" s="20">
        <v>25</v>
      </c>
      <c r="AF385" s="20" t="s">
        <v>80</v>
      </c>
      <c r="AG385" s="20">
        <v>8254749933</v>
      </c>
      <c r="AH385" s="20" t="s">
        <v>81</v>
      </c>
      <c r="AI385" s="20" t="s">
        <v>421</v>
      </c>
      <c r="AJ385" s="20"/>
      <c r="AK385" s="20">
        <v>2024</v>
      </c>
      <c r="AL385" s="20" t="s">
        <v>3462</v>
      </c>
      <c r="AM385" s="20" t="s">
        <v>3463</v>
      </c>
      <c r="AN385" s="20" t="s">
        <v>3464</v>
      </c>
      <c r="AO385" s="20" t="s">
        <v>3465</v>
      </c>
      <c r="AP385" s="20" t="s">
        <v>3466</v>
      </c>
      <c r="AQ385" s="20" t="s">
        <v>3467</v>
      </c>
      <c r="AR385" s="20" t="s">
        <v>110</v>
      </c>
      <c r="AS385" s="20"/>
      <c r="AT385" s="20"/>
      <c r="AU385" s="20"/>
      <c r="AV385" s="20"/>
      <c r="AW385" s="20"/>
      <c r="AX385" s="20"/>
      <c r="AY385" s="20"/>
      <c r="AZ385" s="20"/>
      <c r="BA385" s="20"/>
      <c r="BB385" s="234">
        <v>10800</v>
      </c>
      <c r="BC385" s="234">
        <v>2700</v>
      </c>
      <c r="BD385" s="234">
        <v>1000</v>
      </c>
      <c r="BE385" s="234" t="s">
        <v>166</v>
      </c>
      <c r="BF385" s="234" t="s">
        <v>242</v>
      </c>
      <c r="BG385" s="234" t="s">
        <v>242</v>
      </c>
      <c r="BH385" s="234" t="s">
        <v>242</v>
      </c>
      <c r="BI385" s="234" t="s">
        <v>242</v>
      </c>
      <c r="BJ385" s="234" t="s">
        <v>242</v>
      </c>
      <c r="BK385" s="20">
        <v>1746170081</v>
      </c>
      <c r="BL385" s="9"/>
    </row>
    <row r="386" ht="25.05" customHeight="1">
      <c r="A386" s="20">
        <v>172116</v>
      </c>
      <c r="B386" s="20">
        <v>172116</v>
      </c>
      <c r="C386" s="20" t="s">
        <v>3468</v>
      </c>
      <c r="D386" s="20" t="s">
        <v>3469</v>
      </c>
      <c r="E386" s="20" t="s">
        <v>114</v>
      </c>
      <c r="F386" s="20">
        <v>1212782446</v>
      </c>
      <c r="G386" s="20" t="s">
        <v>67</v>
      </c>
      <c r="H386" s="20" t="s">
        <v>2465</v>
      </c>
      <c r="I386" s="20" t="s">
        <v>69</v>
      </c>
      <c r="J386" s="20" t="s">
        <v>155</v>
      </c>
      <c r="K386" s="20" t="s">
        <v>1766</v>
      </c>
      <c r="L386" s="20" t="s">
        <v>2466</v>
      </c>
      <c r="M386" s="20" t="s">
        <v>442</v>
      </c>
      <c r="N386" s="20" t="s">
        <v>74</v>
      </c>
      <c r="O386" s="20" t="s">
        <v>75</v>
      </c>
      <c r="P386" s="20">
        <v>52</v>
      </c>
      <c r="Q386" s="128">
        <v>45602</v>
      </c>
      <c r="R386" s="128">
        <v>45618</v>
      </c>
      <c r="S386" s="20" t="s">
        <v>242</v>
      </c>
      <c r="T386" s="20" t="s">
        <v>242</v>
      </c>
      <c r="U386" s="20" t="s">
        <v>242</v>
      </c>
      <c r="V386" s="20" t="s">
        <v>242</v>
      </c>
      <c r="W386" s="286" t="s">
        <v>3470</v>
      </c>
      <c r="X386" s="20">
        <v>1831708827</v>
      </c>
      <c r="Y386" s="20"/>
      <c r="Z386" s="20" t="s">
        <v>3471</v>
      </c>
      <c r="AA386" s="20">
        <v>1750881602</v>
      </c>
      <c r="AB386" s="20" t="s">
        <v>2429</v>
      </c>
      <c r="AC386" s="20" t="s">
        <v>119</v>
      </c>
      <c r="AD386" s="254">
        <v>36526</v>
      </c>
      <c r="AE386" s="20">
        <v>24</v>
      </c>
      <c r="AF386" s="20" t="s">
        <v>80</v>
      </c>
      <c r="AG386" s="20">
        <v>9154488234</v>
      </c>
      <c r="AH386" s="20" t="s">
        <v>81</v>
      </c>
      <c r="AI386" s="20" t="s">
        <v>421</v>
      </c>
      <c r="AJ386" s="20"/>
      <c r="AK386" s="20">
        <v>2023</v>
      </c>
      <c r="AL386" s="20" t="s">
        <v>3121</v>
      </c>
      <c r="AM386" s="20" t="s">
        <v>3472</v>
      </c>
      <c r="AN386" s="20" t="s">
        <v>3473</v>
      </c>
      <c r="AO386" s="20" t="s">
        <v>3474</v>
      </c>
      <c r="AP386" s="20" t="s">
        <v>3475</v>
      </c>
      <c r="AQ386" s="20" t="s">
        <v>285</v>
      </c>
      <c r="AR386" s="20" t="s">
        <v>110</v>
      </c>
      <c r="AS386" s="20"/>
      <c r="AT386" s="20"/>
      <c r="AU386" s="20"/>
      <c r="AV386" s="20"/>
      <c r="AW386" s="20"/>
      <c r="AX386" s="20"/>
      <c r="AY386" s="20"/>
      <c r="AZ386" s="20"/>
      <c r="BA386" s="20"/>
      <c r="BB386" s="234">
        <v>10800</v>
      </c>
      <c r="BC386" s="234">
        <v>2700</v>
      </c>
      <c r="BD386" s="234">
        <v>1000</v>
      </c>
      <c r="BE386" s="234" t="s">
        <v>166</v>
      </c>
      <c r="BF386" s="234" t="s">
        <v>242</v>
      </c>
      <c r="BG386" s="234" t="s">
        <v>242</v>
      </c>
      <c r="BH386" s="234" t="s">
        <v>242</v>
      </c>
      <c r="BI386" s="234" t="s">
        <v>242</v>
      </c>
      <c r="BJ386" s="234" t="s">
        <v>242</v>
      </c>
      <c r="BK386" s="20">
        <v>1831708827</v>
      </c>
      <c r="BL386" s="9"/>
    </row>
  </sheetData>
  <conditionalFormatting sqref="A1:A1048576">
    <cfRule type="duplicateValues" dxfId="234" priority="1"/>
  </conditionalFormatting>
  <conditionalFormatting sqref="A50:A125">
    <cfRule type="duplicateValues" dxfId="234" priority="149"/>
  </conditionalFormatting>
  <conditionalFormatting sqref="A81:A305">
    <cfRule type="duplicateValues" dxfId="234" priority="613233"/>
    <cfRule type="duplicateValues" dxfId="234" priority="613234"/>
  </conditionalFormatting>
  <conditionalFormatting sqref="A169:A218">
    <cfRule type="duplicateValues" dxfId="234" priority="2"/>
  </conditionalFormatting>
  <conditionalFormatting sqref="A306:A319">
    <cfRule type="duplicateValues" dxfId="234" priority="611063"/>
    <cfRule type="duplicateValues" dxfId="234" priority="379"/>
    <cfRule type="duplicateValues" dxfId="234" priority="380"/>
  </conditionalFormatting>
  <conditionalFormatting sqref="A320">
    <cfRule type="duplicateValues" dxfId="234" priority="224"/>
    <cfRule type="duplicateValues" dxfId="234" priority="223"/>
    <cfRule type="duplicateValues" dxfId="234" priority="222"/>
    <cfRule type="duplicateValues" dxfId="234" priority="221"/>
    <cfRule type="duplicateValues" dxfId="234" priority="220"/>
    <cfRule type="duplicateValues" dxfId="234" priority="219"/>
    <cfRule type="duplicateValues" dxfId="0" priority="247"/>
    <cfRule type="duplicateValues" dxfId="0" priority="246"/>
    <cfRule type="duplicateValues" dxfId="0" priority="245"/>
    <cfRule type="duplicateValues" dxfId="0" priority="244"/>
    <cfRule type="duplicateValues" dxfId="0" priority="243"/>
    <cfRule type="duplicateValues" dxfId="0" priority="242"/>
    <cfRule type="duplicateValues" dxfId="0" priority="238"/>
    <cfRule type="duplicateValues" dxfId="0" priority="237"/>
    <cfRule type="duplicateValues" dxfId="0" priority="241"/>
    <cfRule type="duplicateValues" dxfId="234" priority="229"/>
    <cfRule type="duplicateValues" dxfId="234" priority="228"/>
    <cfRule type="duplicateValues" dxfId="234" priority="227"/>
    <cfRule type="duplicateValues" dxfId="234" priority="226"/>
  </conditionalFormatting>
  <conditionalFormatting sqref="A321:A333">
    <cfRule type="duplicateValues" dxfId="234" priority="218"/>
    <cfRule type="duplicateValues" dxfId="234" priority="217"/>
    <cfRule type="duplicateValues" dxfId="234" priority="200"/>
    <cfRule type="duplicateValues" dxfId="234" priority="201"/>
    <cfRule type="duplicateValues" dxfId="234" priority="202"/>
    <cfRule type="duplicateValues" dxfId="234" priority="203"/>
    <cfRule type="duplicateValues" dxfId="234" priority="204"/>
    <cfRule type="duplicateValues" dxfId="234" priority="205"/>
    <cfRule type="duplicateValues" dxfId="234" priority="207"/>
    <cfRule type="duplicateValues" dxfId="234" priority="208"/>
  </conditionalFormatting>
  <conditionalFormatting sqref="A345:A351">
    <cfRule type="duplicateValues" dxfId="234" priority="72"/>
    <cfRule type="duplicateValues" dxfId="234" priority="71"/>
  </conditionalFormatting>
  <conditionalFormatting sqref="A355:A369">
    <cfRule type="duplicateValues" dxfId="234" priority="64"/>
  </conditionalFormatting>
  <conditionalFormatting sqref="A375:A381">
    <cfRule type="duplicateValues" dxfId="234" priority="4"/>
  </conditionalFormatting>
  <conditionalFormatting sqref="A382:A1048576 A1:A374">
    <cfRule type="duplicateValues" dxfId="234" priority="5"/>
    <cfRule type="duplicateValues" dxfId="234" priority="7"/>
    <cfRule type="duplicateValues" dxfId="234" priority="9"/>
    <cfRule type="duplicateValues" dxfId="234" priority="13"/>
  </conditionalFormatting>
  <conditionalFormatting sqref="A382:A1048576 A352:A354 A334 A1:A80 A370 A372:A374">
    <cfRule type="duplicateValues" dxfId="234" priority="612486"/>
    <cfRule type="duplicateValues" dxfId="234" priority="612485"/>
    <cfRule type="duplicateValues" dxfId="234" priority="612484"/>
  </conditionalFormatting>
  <conditionalFormatting sqref="A382:A1048576 A352:A354 A334 A370 A372:A374 A1:A319">
    <cfRule type="duplicateValues" dxfId="234" priority="612508"/>
    <cfRule type="duplicateValues" dxfId="234" priority="612506"/>
    <cfRule type="duplicateValues" dxfId="234" priority="612505"/>
    <cfRule type="duplicateValues" dxfId="234" priority="612504"/>
    <cfRule type="duplicateValues" dxfId="234" priority="612503"/>
    <cfRule type="duplicateValues" dxfId="234" priority="612502"/>
    <cfRule type="duplicateValues" dxfId="234" priority="612507"/>
    <cfRule type="duplicateValues" dxfId="234" priority="612509"/>
  </conditionalFormatting>
  <conditionalFormatting sqref="A382:A1048576 A352:A354 A334 A370 A372:A374">
    <cfRule type="duplicateValues" dxfId="234" priority="612550"/>
  </conditionalFormatting>
  <conditionalFormatting sqref="A382:A1048576 A352:A354 A370 A372:A374 A1:A334">
    <cfRule type="duplicateValues" dxfId="234" priority="612422"/>
    <cfRule type="duplicateValues" dxfId="234" priority="612423"/>
    <cfRule type="duplicateValues" dxfId="234" priority="612424"/>
    <cfRule type="duplicateValues" dxfId="234" priority="612426"/>
    <cfRule type="duplicateValues" dxfId="234" priority="612427"/>
    <cfRule type="duplicateValues" dxfId="234" priority="612428"/>
    <cfRule type="duplicateValues" dxfId="234" priority="612419"/>
    <cfRule type="duplicateValues" dxfId="234" priority="612425"/>
    <cfRule type="duplicateValues" dxfId="234" priority="612429"/>
    <cfRule type="duplicateValues" dxfId="234" priority="612430"/>
    <cfRule type="duplicateValues" dxfId="234" priority="612420"/>
    <cfRule type="duplicateValues" dxfId="234" priority="612421"/>
  </conditionalFormatting>
  <conditionalFormatting sqref="A382:A1048576 A352:A354 A370 A372:A374 A1:A344">
    <cfRule type="duplicateValues" dxfId="234" priority="612479"/>
  </conditionalFormatting>
  <conditionalFormatting sqref="A382:A1048576 A352:A354 A370 A372:A374">
    <cfRule type="duplicateValues" dxfId="234" priority="612555"/>
  </conditionalFormatting>
  <conditionalFormatting sqref="A382:A1048576 A370 A372:A374 A1:A354">
    <cfRule type="duplicateValues" dxfId="234" priority="612411"/>
    <cfRule type="duplicateValues" dxfId="234" priority="612412"/>
  </conditionalFormatting>
  <conditionalFormatting sqref="A382:A1048576 A372:A374 A1:A370">
    <cfRule type="duplicateValues" dxfId="234" priority="48"/>
    <cfRule type="duplicateValues" dxfId="234" priority="40"/>
    <cfRule type="duplicateValues" dxfId="234" priority="36"/>
    <cfRule type="duplicateValues" dxfId="234" priority="45"/>
    <cfRule type="duplicateValues" dxfId="234" priority="612402"/>
    <cfRule type="duplicateValues" dxfId="234" priority="612403"/>
    <cfRule type="duplicateValues" dxfId="234" priority="612404"/>
    <cfRule type="duplicateValues" dxfId="234" priority="49"/>
  </conditionalFormatting>
  <conditionalFormatting sqref="A382:A1048576">
    <cfRule type="duplicateValues" dxfId="234" priority="6"/>
  </conditionalFormatting>
  <conditionalFormatting sqref="A320:C320">
    <cfRule type="duplicateValues" dxfId="0" priority="240"/>
  </conditionalFormatting>
  <conditionalFormatting sqref="B345:B351">
    <cfRule type="duplicateValues" dxfId="234" priority="68"/>
  </conditionalFormatting>
  <conditionalFormatting sqref="B348">
    <cfRule type="duplicateValues" dxfId="234" priority="70"/>
    <cfRule type="duplicateValues" dxfId="234" priority="69"/>
  </conditionalFormatting>
  <conditionalFormatting sqref="B355:B369">
    <cfRule type="duplicateValues" dxfId="234" priority="63"/>
  </conditionalFormatting>
  <conditionalFormatting sqref="B375:B381">
    <cfRule type="duplicateValues" dxfId="234" priority="3"/>
  </conditionalFormatting>
  <conditionalFormatting sqref="C345:C351">
    <cfRule type="duplicateValues" dxfId="234" priority="67"/>
  </conditionalFormatting>
  <conditionalFormatting sqref="C355:C369">
    <cfRule type="duplicateValues" dxfId="234" priority="62"/>
  </conditionalFormatting>
  <conditionalFormatting sqref="D1">
    <cfRule type="duplicateValues" dxfId="0" priority="589365"/>
    <cfRule type="duplicateValues" dxfId="0" priority="589364"/>
    <cfRule type="duplicateValues" dxfId="0" priority="589363"/>
    <cfRule type="duplicateValues" dxfId="0" priority="589362"/>
    <cfRule type="duplicateValues" dxfId="0" priority="589361"/>
  </conditionalFormatting>
  <conditionalFormatting sqref="D1:D80">
    <cfRule type="duplicateValues" dxfId="0" priority="613434"/>
    <cfRule type="duplicateValues" dxfId="0" priority="613433"/>
  </conditionalFormatting>
  <conditionalFormatting sqref="D2:D80">
    <cfRule type="duplicateValues" dxfId="0" priority="613440"/>
    <cfRule type="duplicateValues" dxfId="0" priority="613437"/>
    <cfRule type="duplicateValues" dxfId="0" priority="613438"/>
    <cfRule type="duplicateValues" dxfId="0" priority="613439"/>
  </conditionalFormatting>
  <conditionalFormatting sqref="D81:D305">
    <cfRule type="duplicateValues" dxfId="0" priority="613237"/>
    <cfRule type="duplicateValues" dxfId="0" priority="613238"/>
    <cfRule type="duplicateValues" dxfId="0" priority="613239"/>
    <cfRule type="duplicateValues" dxfId="0" priority="613240"/>
    <cfRule type="duplicateValues" dxfId="0" priority="613241"/>
    <cfRule type="duplicateValues" dxfId="0" priority="613242"/>
  </conditionalFormatting>
  <conditionalFormatting sqref="D306:D319">
    <cfRule type="duplicateValues" dxfId="0" priority="377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</conditionalFormatting>
  <conditionalFormatting sqref="D320">
    <cfRule type="duplicateValues" dxfId="0" priority="235"/>
    <cfRule type="duplicateValues" dxfId="0" priority="236"/>
    <cfRule type="duplicateValues" dxfId="0" priority="234"/>
    <cfRule type="duplicateValues" dxfId="0" priority="233"/>
    <cfRule type="duplicateValues" dxfId="0" priority="232"/>
    <cfRule type="duplicateValues" dxfId="0" priority="231"/>
  </conditionalFormatting>
  <conditionalFormatting sqref="D321:D333">
    <cfRule type="duplicateValues" dxfId="0" priority="216"/>
    <cfRule type="duplicateValues" dxfId="0" priority="215"/>
    <cfRule type="duplicateValues" dxfId="0" priority="214"/>
    <cfRule type="duplicateValues" dxfId="0" priority="211"/>
    <cfRule type="duplicateValues" dxfId="0" priority="212"/>
    <cfRule type="duplicateValues" dxfId="0" priority="213"/>
  </conditionalFormatting>
  <conditionalFormatting sqref="D355:D369">
    <cfRule type="duplicateValues" dxfId="234" priority="61"/>
  </conditionalFormatting>
  <conditionalFormatting sqref="D370:D374 D352:D354 D382:D1048576 D1:D334">
    <cfRule type="duplicateValues" dxfId="234" priority="193"/>
  </conditionalFormatting>
  <conditionalFormatting sqref="V81:V305">
    <cfRule type="duplicateValues" dxfId="0" priority="613249"/>
  </conditionalFormatting>
  <conditionalFormatting sqref="V306:V319">
    <cfRule type="duplicateValues" dxfId="0" priority="611065"/>
  </conditionalFormatting>
  <conditionalFormatting sqref="V320">
    <cfRule type="duplicateValues" dxfId="0" priority="239"/>
  </conditionalFormatting>
  <conditionalFormatting sqref="V321:V333">
    <cfRule type="duplicateValues" dxfId="0" priority="209"/>
  </conditionalFormatting>
  <conditionalFormatting sqref="V370:V374 V352:V354 V334 BK1 V1:V80 V382:V1048576">
    <cfRule type="duplicateValues" dxfId="0" priority="611090"/>
  </conditionalFormatting>
  <conditionalFormatting sqref="X370:X374 X352:X354 X334 X1 X382:X1048576">
    <cfRule type="duplicateValues" dxfId="0" priority="611074"/>
    <cfRule type="duplicateValues" dxfId="0" priority="611073"/>
    <cfRule type="duplicateValues" dxfId="0" priority="611072"/>
  </conditionalFormatting>
  <conditionalFormatting sqref="X370:X374 X352:X354 X334 X382:X1048576">
    <cfRule type="duplicateValues" dxfId="0" priority="611085"/>
    <cfRule type="duplicateValues" dxfId="0" priority="611084"/>
  </conditionalFormatting>
  <conditionalFormatting sqref="AG2:AG80">
    <cfRule type="duplicateValues" dxfId="0" priority="613469"/>
  </conditionalFormatting>
  <conditionalFormatting sqref="AG81:AG305">
    <cfRule type="duplicateValues" dxfId="0" priority="613251"/>
  </conditionalFormatting>
  <conditionalFormatting sqref="AG306:AG319">
    <cfRule type="duplicateValues" dxfId="0" priority="366"/>
  </conditionalFormatting>
  <conditionalFormatting sqref="AG320">
    <cfRule type="duplicateValues" dxfId="0" priority="230"/>
  </conditionalFormatting>
  <conditionalFormatting sqref="AG321:AG333">
    <cfRule type="duplicateValues" dxfId="0" priority="210"/>
  </conditionalFormatting>
  <conditionalFormatting sqref="BH2:BH51">
    <cfRule type="containsBlanks" dxfId="725" priority="7084">
      <formula>LEN(TRIM(BH2))=0</formula>
    </cfRule>
  </conditionalFormatting>
  <conditionalFormatting sqref="BH320:BI333">
    <cfRule type="containsBlanks" dxfId="725" priority="196">
      <formula>LEN(TRIM(BH320))=0</formula>
    </cfRule>
  </conditionalFormatting>
  <conditionalFormatting sqref="BI41:BI50 BI52:BI71">
    <cfRule type="containsBlanks" dxfId="725" priority="1846">
      <formula>LEN(TRIM(BI41))=0</formula>
    </cfRule>
  </conditionalFormatting>
  <conditionalFormatting sqref="BI201:BI204 BI212:BI215">
    <cfRule type="containsBlanks" dxfId="725" priority="382">
      <formula>LEN(TRIM(BI201))=0</formula>
    </cfRule>
  </conditionalFormatting>
  <hyperlinks>
    <hyperlink ref="BJ13" r:id="rId67"/>
    <hyperlink ref="W17" r:id="rId68"/>
    <hyperlink ref="BJ17" r:id="rId69"/>
    <hyperlink ref="BJ51" r:id="rId70"/>
    <hyperlink ref="AI80" r:id="rId71"/>
    <hyperlink ref="AI150" r:id="rId72"/>
    <hyperlink ref="W176" r:id="rId73"/>
    <hyperlink ref="W179" r:id="rId74"/>
    <hyperlink ref="W180" r:id="rId75"/>
    <hyperlink ref="W197" r:id="rId76"/>
    <hyperlink ref="W198" r:id="rId77"/>
    <hyperlink ref="W199" r:id="rId78"/>
    <hyperlink ref="W200" r:id="rId79"/>
    <hyperlink ref="AJ202" r:id="rId80"/>
    <hyperlink ref="W239" r:id="rId81"/>
    <hyperlink ref="W240" r:id="rId82"/>
    <hyperlink ref="W275" r:id="rId83"/>
    <hyperlink ref="W289" r:id="rId84"/>
    <hyperlink ref="W290" r:id="rId85"/>
    <hyperlink ref="W307" r:id="rId86"/>
    <hyperlink ref="W308" r:id="rId87"/>
    <hyperlink ref="W309" r:id="rId88"/>
    <hyperlink ref="W321" r:id="rId89"/>
    <hyperlink ref="W322" r:id="rId90"/>
    <hyperlink ref="W323" r:id="rId91"/>
    <hyperlink ref="W324" r:id="rId92"/>
    <hyperlink ref="W325" r:id="rId93"/>
    <hyperlink ref="W326" r:id="rId94"/>
    <hyperlink ref="W327" r:id="rId95"/>
    <hyperlink ref="W328" r:id="rId96"/>
    <hyperlink ref="W329" r:id="rId97"/>
    <hyperlink ref="W331" r:id="rId98"/>
    <hyperlink ref="W332" r:id="rId99"/>
    <hyperlink ref="W333" r:id="rId100"/>
    <hyperlink ref="W334" r:id="rId101"/>
    <hyperlink ref="AI337" display="http://m.sc/" r:id="rId102"/>
    <hyperlink ref="W345" r:id="rId103"/>
    <hyperlink ref="W346" r:id="rId104"/>
    <hyperlink ref="W347" r:id="rId105"/>
    <hyperlink ref="W348" r:id="rId106"/>
    <hyperlink ref="W349" r:id="rId107"/>
    <hyperlink ref="W350" r:id="rId108"/>
    <hyperlink ref="W351" r:id="rId109"/>
    <hyperlink ref="W352" r:id="rId110"/>
    <hyperlink ref="W353" r:id="rId111"/>
    <hyperlink ref="W354" r:id="rId112"/>
    <hyperlink ref="W355" r:id="rId113"/>
    <hyperlink ref="W356" r:id="rId114"/>
    <hyperlink ref="W357" r:id="rId115"/>
    <hyperlink ref="W358" r:id="rId116"/>
    <hyperlink ref="W359" r:id="rId117"/>
    <hyperlink ref="W360" r:id="rId118"/>
    <hyperlink ref="W370" r:id="rId119"/>
    <hyperlink ref="W373" r:id="rId120"/>
    <hyperlink ref="W375" r:id="rId121"/>
    <hyperlink ref="W377" r:id="rId122"/>
    <hyperlink ref="W378" r:id="rId123"/>
    <hyperlink ref="W379" r:id="rId124"/>
    <hyperlink ref="W380" r:id="rId125"/>
    <hyperlink ref="W381" r:id="rId126"/>
    <hyperlink ref="W382" r:id="rId127"/>
    <hyperlink ref="W383" r:id="rId128"/>
    <hyperlink ref="W384" r:id="rId129"/>
    <hyperlink ref="W385" r:id="rId130"/>
    <hyperlink ref="W386" r:id="rId131"/>
  </hyperlinks>
  <pageMargins left="0.7" right="0.7" top="0.75" bottom="0.75" header="0.3" footer="0.3"/>
  <pageSetup orientation="portrait"/>
  <headerFooter/>
  <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641"/>
  <sheetViews>
    <sheetView showGridLines="0" zoomScale="86" zoomScaleNormal="86" workbookViewId="0">
      <pane xSplit="5" ySplit="1" topLeftCell="F2" activePane="bottomRight" state="frozen"/>
      <selection pane="topRight"/>
      <selection pane="bottomLeft"/>
      <selection pane="bottomRight" activeCell="F2" sqref="F2"/>
    </sheetView>
  </sheetViews>
  <sheetFormatPr defaultColWidth="9.109375" defaultRowHeight="13.8"/>
  <cols>
    <col min="1" max="1" width="18.44140625" customWidth="1" style="86"/>
    <col min="2" max="2" width="12.21875" customWidth="1" style="86"/>
    <col min="3" max="3" width="24.44140625" customWidth="1" style="86"/>
    <col min="4" max="4" width="31.109375" customWidth="1" style="86"/>
    <col min="5" max="5" width="14" customWidth="1" style="86"/>
    <col min="6" max="6" width="19.109375" customWidth="1" style="86"/>
    <col min="7" max="7" width="23.5546875" customWidth="1" style="86"/>
    <col min="8" max="8" width="22.21875" customWidth="1" style="86"/>
    <col min="9" max="9" width="18.21875" customWidth="1" style="86"/>
    <col min="10" max="10" width="51.77734375" customWidth="1" style="86"/>
    <col min="11" max="11" width="16.77734375" customWidth="1" style="86"/>
    <col min="12" max="12" width="23.44140625" customWidth="1" style="86"/>
    <col min="13" max="13" width="25.109375" customWidth="1" style="86"/>
    <col min="14" max="14" width="20.77734375" customWidth="1" style="86"/>
    <col min="15" max="15" width="24.77734375" customWidth="1" style="86"/>
    <col min="16" max="16" width="19.77734375" customWidth="1" style="86"/>
    <col min="17" max="17" width="15.109375" customWidth="1" style="86"/>
    <col min="18" max="18" width="12.109375" customWidth="1" style="86"/>
    <col min="19" max="20" width="18.21875" customWidth="1" style="86"/>
    <col min="21" max="21" width="19.5546875" customWidth="1" style="86"/>
    <col min="22" max="22" width="17.44140625" customWidth="1" style="86"/>
    <col min="23" max="23" width="36.109375" customWidth="1" style="86"/>
    <col min="24" max="24" width="12.77734375" customWidth="1" style="86"/>
    <col min="25" max="25" width="18.21875" customWidth="1" style="86"/>
    <col min="26" max="26" width="31.44140625" customWidth="1" style="86"/>
    <col min="27" max="27" width="24.77734375" customWidth="1" style="86"/>
    <col min="28" max="28" width="24.5546875" customWidth="1" style="86"/>
    <col min="29" max="29" width="18.44140625" customWidth="1" style="86"/>
    <col min="30" max="30" width="18.21875" customWidth="1" style="138"/>
    <col min="31" max="31" width="10.77734375" customWidth="1" style="86"/>
    <col min="32" max="32" width="14.5546875" customWidth="1" style="86"/>
    <col min="33" max="33" width="21.109375" customWidth="1" style="86"/>
    <col min="34" max="34" width="15.77734375" customWidth="1" style="86"/>
    <col min="35" max="35" width="28.21875" customWidth="1" style="86"/>
    <col min="36" max="36" width="32.77734375" customWidth="1" style="86"/>
    <col min="37" max="37" width="31.77734375" customWidth="1" style="86"/>
    <col min="38" max="38" width="56.77734375" customWidth="1" style="86"/>
    <col min="39" max="39" width="26.77734375" customWidth="1" style="86"/>
    <col min="40" max="40" width="21.21875" customWidth="1" style="86"/>
    <col min="41" max="41" width="51.88671875" customWidth="1" style="86"/>
    <col min="42" max="42" width="38.21875" customWidth="1" style="86"/>
    <col min="43" max="43" width="34.5546875" customWidth="1" style="86"/>
    <col min="44" max="44" width="19.5546875" customWidth="1" style="86"/>
    <col min="45" max="45" width="19.109375" customWidth="1" style="86"/>
    <col min="46" max="46" width="17.77734375" customWidth="1" style="86"/>
    <col min="47" max="47" width="19.109375" customWidth="1" style="86"/>
    <col min="48" max="48" width="17.77734375" customWidth="1" style="86"/>
    <col min="49" max="49" width="19.109375" customWidth="1" style="86"/>
    <col min="50" max="50" width="17.77734375" customWidth="1" style="86"/>
    <col min="51" max="51" width="19.109375" customWidth="1" style="86"/>
    <col min="52" max="52" width="17.77734375" customWidth="1" style="86"/>
    <col min="53" max="56" width="12.77734375" customWidth="1" style="86"/>
    <col min="57" max="57" width="11.44140625" customWidth="1" style="86"/>
    <col min="58" max="58" width="26.77734375" customWidth="1" style="86"/>
    <col min="59" max="59" width="22.21875" customWidth="1" style="86"/>
    <col min="60" max="60" width="21.77734375" customWidth="1" style="86"/>
    <col min="61" max="61" width="17.109375" customWidth="1" style="138"/>
    <col min="62" max="62" width="24.109375" customWidth="1" style="155"/>
    <col min="63" max="63" width="13.77734375" customWidth="1" style="86"/>
    <col min="64" max="64" bestFit="1" width="49.21875" customWidth="1" style="86"/>
    <col min="65" max="65" width="45" customWidth="1" style="86"/>
    <col min="66" max="66" width="51.5546875" customWidth="1" style="86"/>
    <col min="67" max="67" width="22.77734375" customWidth="1" style="86"/>
    <col min="68" max="16384" width="9.109375" customWidth="1" style="86"/>
  </cols>
  <sheetData>
    <row r="1" ht="28.8">
      <c r="A1" s="91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1" t="s">
        <v>7</v>
      </c>
      <c r="I1" s="91" t="s">
        <v>8</v>
      </c>
      <c r="J1" s="91" t="s">
        <v>9</v>
      </c>
      <c r="K1" s="91" t="s">
        <v>10</v>
      </c>
      <c r="L1" s="91" t="s">
        <v>11</v>
      </c>
      <c r="M1" s="91" t="s">
        <v>12</v>
      </c>
      <c r="N1" s="91" t="s">
        <v>13</v>
      </c>
      <c r="O1" s="91" t="s">
        <v>14</v>
      </c>
      <c r="P1" s="91" t="s">
        <v>15</v>
      </c>
      <c r="Q1" s="91" t="s">
        <v>16</v>
      </c>
      <c r="R1" s="91" t="s">
        <v>17</v>
      </c>
      <c r="S1" s="122" t="s">
        <v>18</v>
      </c>
      <c r="T1" s="122" t="s">
        <v>19</v>
      </c>
      <c r="U1" s="122" t="s">
        <v>20</v>
      </c>
      <c r="V1" s="91" t="s">
        <v>3476</v>
      </c>
      <c r="W1" s="91" t="s">
        <v>22</v>
      </c>
      <c r="X1" s="91" t="s">
        <v>23</v>
      </c>
      <c r="Y1" s="91" t="s">
        <v>24</v>
      </c>
      <c r="Z1" s="91" t="s">
        <v>25</v>
      </c>
      <c r="AA1" s="91" t="s">
        <v>26</v>
      </c>
      <c r="AB1" s="91" t="s">
        <v>27</v>
      </c>
      <c r="AC1" s="91" t="s">
        <v>28</v>
      </c>
      <c r="AD1" s="139" t="s">
        <v>29</v>
      </c>
      <c r="AE1" s="91" t="s">
        <v>30</v>
      </c>
      <c r="AF1" s="91" t="s">
        <v>31</v>
      </c>
      <c r="AG1" s="91" t="s">
        <v>32</v>
      </c>
      <c r="AH1" s="91" t="s">
        <v>33</v>
      </c>
      <c r="AI1" s="91" t="s">
        <v>34</v>
      </c>
      <c r="AJ1" s="91" t="s">
        <v>35</v>
      </c>
      <c r="AK1" s="91" t="s">
        <v>3477</v>
      </c>
      <c r="AL1" s="91" t="s">
        <v>37</v>
      </c>
      <c r="AM1" s="91" t="s">
        <v>38</v>
      </c>
      <c r="AN1" s="91" t="s">
        <v>39</v>
      </c>
      <c r="AO1" s="91" t="s">
        <v>40</v>
      </c>
      <c r="AP1" s="91" t="s">
        <v>41</v>
      </c>
      <c r="AQ1" s="91" t="s">
        <v>3478</v>
      </c>
      <c r="AR1" s="91" t="s">
        <v>43</v>
      </c>
      <c r="AS1" s="91" t="s">
        <v>44</v>
      </c>
      <c r="AT1" s="91" t="s">
        <v>45</v>
      </c>
      <c r="AU1" s="91" t="s">
        <v>46</v>
      </c>
      <c r="AV1" s="91" t="s">
        <v>47</v>
      </c>
      <c r="AW1" s="91" t="s">
        <v>48</v>
      </c>
      <c r="AX1" s="91" t="s">
        <v>49</v>
      </c>
      <c r="AY1" s="91" t="s">
        <v>50</v>
      </c>
      <c r="AZ1" s="91" t="s">
        <v>51</v>
      </c>
      <c r="BA1" s="91" t="s">
        <v>52</v>
      </c>
      <c r="BB1" s="91" t="s">
        <v>53</v>
      </c>
      <c r="BC1" s="91" t="s">
        <v>54</v>
      </c>
      <c r="BD1" s="91" t="s">
        <v>55</v>
      </c>
      <c r="BE1" s="91" t="s">
        <v>56</v>
      </c>
      <c r="BF1" s="122" t="s">
        <v>3479</v>
      </c>
      <c r="BG1" s="122" t="s">
        <v>58</v>
      </c>
      <c r="BH1" s="122" t="s">
        <v>3480</v>
      </c>
      <c r="BI1" s="139" t="s">
        <v>3481</v>
      </c>
      <c r="BJ1" s="153" t="s">
        <v>3482</v>
      </c>
      <c r="BK1" s="91" t="s">
        <v>3483</v>
      </c>
      <c r="BL1" s="91" t="s">
        <v>59</v>
      </c>
      <c r="BM1" s="91" t="s">
        <v>61</v>
      </c>
      <c r="BN1" s="91" t="s">
        <v>3484</v>
      </c>
      <c r="BO1" s="91" t="s">
        <v>62</v>
      </c>
    </row>
    <row r="2" ht="16.05" customHeight="1" s="67" customFormat="1">
      <c r="A2" s="4">
        <v>171052</v>
      </c>
      <c r="B2" s="4"/>
      <c r="C2" s="55"/>
      <c r="D2" s="4" t="s">
        <v>3485</v>
      </c>
      <c r="E2" s="4" t="s">
        <v>1765</v>
      </c>
      <c r="F2" s="55">
        <v>954554</v>
      </c>
      <c r="G2" s="4" t="s">
        <v>67</v>
      </c>
      <c r="H2" s="4" t="s">
        <v>3486</v>
      </c>
      <c r="I2" s="4" t="s">
        <v>2494</v>
      </c>
      <c r="J2" s="55" t="s">
        <v>70</v>
      </c>
      <c r="K2" s="4" t="s">
        <v>1766</v>
      </c>
      <c r="L2" s="4" t="s">
        <v>3487</v>
      </c>
      <c r="M2" s="4" t="s">
        <v>2643</v>
      </c>
      <c r="N2" s="4" t="s">
        <v>74</v>
      </c>
      <c r="O2" s="4" t="s">
        <v>3488</v>
      </c>
      <c r="P2" s="4" t="s">
        <v>3489</v>
      </c>
      <c r="Q2" s="57">
        <v>45033</v>
      </c>
      <c r="R2" s="57">
        <v>45040</v>
      </c>
      <c r="S2" s="113"/>
      <c r="T2" s="113"/>
      <c r="U2" s="4"/>
      <c r="V2" s="4"/>
      <c r="W2" s="105" t="s">
        <v>3490</v>
      </c>
      <c r="X2" s="114">
        <v>1853024234</v>
      </c>
      <c r="Y2" s="55"/>
      <c r="Z2" s="4" t="s">
        <v>3491</v>
      </c>
      <c r="AA2" s="4">
        <v>1643436022</v>
      </c>
      <c r="AB2" s="4" t="s">
        <v>186</v>
      </c>
      <c r="AC2" s="4" t="s">
        <v>119</v>
      </c>
      <c r="AD2" s="113">
        <v>35557</v>
      </c>
      <c r="AE2" s="107">
        <v>26.958904109589</v>
      </c>
      <c r="AF2" s="4" t="s">
        <v>80</v>
      </c>
      <c r="AG2" s="114">
        <v>4208022964</v>
      </c>
      <c r="AH2" s="4" t="s">
        <v>81</v>
      </c>
      <c r="AI2" s="55" t="s">
        <v>3492</v>
      </c>
      <c r="AJ2" s="55" t="s">
        <v>3493</v>
      </c>
      <c r="AK2" s="55">
        <v>2025</v>
      </c>
      <c r="AL2" s="4" t="s">
        <v>3494</v>
      </c>
      <c r="AM2" s="4" t="s">
        <v>3495</v>
      </c>
      <c r="AN2" s="4" t="s">
        <v>3496</v>
      </c>
      <c r="AO2" s="4" t="s">
        <v>3497</v>
      </c>
      <c r="AP2" s="4" t="s">
        <v>3497</v>
      </c>
      <c r="AQ2" s="55" t="s">
        <v>3497</v>
      </c>
      <c r="AR2" s="4" t="s">
        <v>89</v>
      </c>
      <c r="AS2" s="4"/>
      <c r="AT2" s="72"/>
      <c r="AU2" s="4"/>
      <c r="AV2" s="4"/>
      <c r="AW2" s="4"/>
      <c r="AX2" s="4"/>
      <c r="AY2" s="4"/>
      <c r="AZ2" s="4"/>
      <c r="BA2" s="4" t="s">
        <v>3498</v>
      </c>
      <c r="BB2" s="4">
        <v>12000</v>
      </c>
      <c r="BC2" s="4">
        <v>3000</v>
      </c>
      <c r="BD2" s="4">
        <v>0</v>
      </c>
      <c r="BE2" s="4" t="s">
        <v>91</v>
      </c>
      <c r="BF2" s="4">
        <v>160764</v>
      </c>
      <c r="BG2" s="4" t="s">
        <v>92</v>
      </c>
      <c r="BH2" s="4" t="s">
        <v>3499</v>
      </c>
      <c r="BI2" s="72">
        <f>VLOOKUP(A2,'ID Block'!A:L,12,0)</f>
        <v>45066</v>
      </c>
      <c r="BJ2" s="154" t="str">
        <f>VLOOKUP(A2,'ID Block'!A:M,13,0)</f>
        <v>Unauthorized absent </v>
      </c>
      <c r="BK2" s="4">
        <f>BI2-R2</f>
        <v>26</v>
      </c>
      <c r="BL2" s="105" t="s">
        <v>93</v>
      </c>
      <c r="BM2" s="85"/>
      <c r="BN2" s="183"/>
      <c r="BO2" s="183"/>
    </row>
    <row r="3" ht="14.4" s="67" customFormat="1">
      <c r="A3" s="4">
        <v>171034</v>
      </c>
      <c r="B3" s="4"/>
      <c r="C3" s="55"/>
      <c r="D3" s="4" t="s">
        <v>3500</v>
      </c>
      <c r="E3" s="4" t="s">
        <v>1765</v>
      </c>
      <c r="F3" s="55" t="s">
        <v>167</v>
      </c>
      <c r="G3" s="4" t="s">
        <v>67</v>
      </c>
      <c r="H3" s="4" t="s">
        <v>3486</v>
      </c>
      <c r="I3" s="4" t="s">
        <v>2494</v>
      </c>
      <c r="J3" s="55" t="s">
        <v>167</v>
      </c>
      <c r="K3" s="4" t="s">
        <v>1766</v>
      </c>
      <c r="L3" s="4" t="s">
        <v>3487</v>
      </c>
      <c r="M3" s="4" t="s">
        <v>3501</v>
      </c>
      <c r="N3" s="4" t="s">
        <v>74</v>
      </c>
      <c r="O3" s="4" t="s">
        <v>3488</v>
      </c>
      <c r="P3" s="4" t="s">
        <v>3489</v>
      </c>
      <c r="Q3" s="57">
        <v>45033</v>
      </c>
      <c r="R3" s="57">
        <v>45040</v>
      </c>
      <c r="S3" s="113"/>
      <c r="T3" s="113"/>
      <c r="U3" s="4"/>
      <c r="V3" s="4"/>
      <c r="W3" s="105" t="s">
        <v>167</v>
      </c>
      <c r="X3" s="114" t="s">
        <v>167</v>
      </c>
      <c r="Y3" s="55" t="s">
        <v>167</v>
      </c>
      <c r="Z3" s="4" t="s">
        <v>167</v>
      </c>
      <c r="AA3" s="4" t="s">
        <v>167</v>
      </c>
      <c r="AB3" s="4" t="s">
        <v>167</v>
      </c>
      <c r="AC3" s="4" t="s">
        <v>167</v>
      </c>
      <c r="AD3" s="113" t="s">
        <v>167</v>
      </c>
      <c r="AE3" s="107" t="e">
        <v>#VALUE!</v>
      </c>
      <c r="AF3" s="4" t="s">
        <v>167</v>
      </c>
      <c r="AG3" s="114" t="s">
        <v>167</v>
      </c>
      <c r="AH3" s="4" t="s">
        <v>81</v>
      </c>
      <c r="AI3" s="55" t="s">
        <v>167</v>
      </c>
      <c r="AJ3" s="55" t="s">
        <v>167</v>
      </c>
      <c r="AK3" s="55" t="s">
        <v>167</v>
      </c>
      <c r="AL3" s="4" t="s">
        <v>167</v>
      </c>
      <c r="AM3" s="4" t="s">
        <v>167</v>
      </c>
      <c r="AN3" s="4" t="s">
        <v>167</v>
      </c>
      <c r="AO3" s="4" t="s">
        <v>167</v>
      </c>
      <c r="AP3" s="4" t="s">
        <v>167</v>
      </c>
      <c r="AQ3" s="55" t="s">
        <v>167</v>
      </c>
      <c r="AR3" s="4" t="s">
        <v>167</v>
      </c>
      <c r="AS3" s="4"/>
      <c r="AT3" s="72"/>
      <c r="AU3" s="4"/>
      <c r="AV3" s="4"/>
      <c r="AW3" s="4"/>
      <c r="AX3" s="4"/>
      <c r="AY3" s="4"/>
      <c r="AZ3" s="4"/>
      <c r="BA3" s="4" t="s">
        <v>3498</v>
      </c>
      <c r="BB3" s="4">
        <v>10800</v>
      </c>
      <c r="BC3" s="4">
        <v>2700</v>
      </c>
      <c r="BD3" s="4">
        <v>0</v>
      </c>
      <c r="BE3" s="4" t="s">
        <v>91</v>
      </c>
      <c r="BF3" s="4">
        <v>161739</v>
      </c>
      <c r="BG3" s="4" t="s">
        <v>92</v>
      </c>
      <c r="BH3" s="4" t="s">
        <v>3499</v>
      </c>
      <c r="BI3" s="72">
        <f>VLOOKUP(A3,'ID Block'!A:L,12,0)</f>
        <v>45047</v>
      </c>
      <c r="BJ3" s="154" t="str">
        <f>VLOOKUP(A3,'ID Block'!A:M,13,0)</f>
        <v>Unauthorized absent </v>
      </c>
      <c r="BK3" s="4">
        <f>BI3-R3</f>
        <v>7</v>
      </c>
      <c r="BL3" s="105" t="s">
        <v>93</v>
      </c>
      <c r="BM3" s="85"/>
      <c r="BN3" s="183"/>
      <c r="BO3" s="183"/>
    </row>
    <row r="4" ht="18.45" customHeight="1" s="67" customFormat="1">
      <c r="A4" s="4">
        <v>171041</v>
      </c>
      <c r="B4" s="4"/>
      <c r="C4" s="55"/>
      <c r="D4" s="4" t="s">
        <v>3502</v>
      </c>
      <c r="E4" s="4" t="s">
        <v>1765</v>
      </c>
      <c r="F4" s="55">
        <v>1211884560</v>
      </c>
      <c r="G4" s="4" t="s">
        <v>67</v>
      </c>
      <c r="H4" s="4" t="s">
        <v>3486</v>
      </c>
      <c r="I4" s="4" t="s">
        <v>2494</v>
      </c>
      <c r="J4" s="55" t="s">
        <v>70</v>
      </c>
      <c r="K4" s="4" t="s">
        <v>1766</v>
      </c>
      <c r="L4" s="4" t="s">
        <v>3487</v>
      </c>
      <c r="M4" s="4" t="s">
        <v>3503</v>
      </c>
      <c r="N4" s="4" t="s">
        <v>74</v>
      </c>
      <c r="O4" s="4" t="s">
        <v>3488</v>
      </c>
      <c r="P4" s="4" t="s">
        <v>3489</v>
      </c>
      <c r="Q4" s="57">
        <v>45034</v>
      </c>
      <c r="R4" s="57">
        <v>45040</v>
      </c>
      <c r="S4" s="113"/>
      <c r="T4" s="113"/>
      <c r="U4" s="4"/>
      <c r="V4" s="4"/>
      <c r="W4" s="105" t="s">
        <v>3504</v>
      </c>
      <c r="X4" s="114">
        <v>1905119370</v>
      </c>
      <c r="Y4" s="55"/>
      <c r="Z4" s="4" t="s">
        <v>3505</v>
      </c>
      <c r="AA4" s="4">
        <v>1835343831</v>
      </c>
      <c r="AB4" s="4" t="s">
        <v>101</v>
      </c>
      <c r="AC4" s="4" t="s">
        <v>102</v>
      </c>
      <c r="AD4" s="113">
        <v>36128</v>
      </c>
      <c r="AE4" s="107">
        <v>25.3945205479452</v>
      </c>
      <c r="AF4" s="4" t="s">
        <v>80</v>
      </c>
      <c r="AG4" s="114">
        <v>6454652337</v>
      </c>
      <c r="AH4" s="4" t="s">
        <v>81</v>
      </c>
      <c r="AI4" s="55" t="s">
        <v>3492</v>
      </c>
      <c r="AJ4" s="55" t="s">
        <v>3506</v>
      </c>
      <c r="AK4" s="55">
        <v>2024</v>
      </c>
      <c r="AL4" s="4" t="s">
        <v>3507</v>
      </c>
      <c r="AM4" s="4" t="s">
        <v>3505</v>
      </c>
      <c r="AN4" s="4" t="s">
        <v>1550</v>
      </c>
      <c r="AO4" s="4" t="s">
        <v>3508</v>
      </c>
      <c r="AP4" s="4" t="s">
        <v>3509</v>
      </c>
      <c r="AQ4" s="55" t="s">
        <v>3508</v>
      </c>
      <c r="AR4" s="4" t="s">
        <v>110</v>
      </c>
      <c r="AS4" s="4"/>
      <c r="AT4" s="72"/>
      <c r="AU4" s="4"/>
      <c r="AV4" s="4"/>
      <c r="AW4" s="4"/>
      <c r="AX4" s="4"/>
      <c r="AY4" s="4"/>
      <c r="AZ4" s="4"/>
      <c r="BA4" s="4" t="s">
        <v>3498</v>
      </c>
      <c r="BB4" s="4">
        <v>12000</v>
      </c>
      <c r="BC4" s="4">
        <v>3000</v>
      </c>
      <c r="BD4" s="4">
        <v>0</v>
      </c>
      <c r="BE4" s="4" t="s">
        <v>91</v>
      </c>
      <c r="BF4" s="4">
        <v>161296</v>
      </c>
      <c r="BG4" s="4" t="s">
        <v>92</v>
      </c>
      <c r="BH4" s="4" t="s">
        <v>3510</v>
      </c>
      <c r="BI4" s="72">
        <f>VLOOKUP(A4,'ID Block'!A:L,12,0)</f>
        <v>45078</v>
      </c>
      <c r="BJ4" s="154" t="str">
        <f>VLOOKUP(A4,'ID Block'!A:M,13,0)</f>
        <v>New Opportunity</v>
      </c>
      <c r="BK4" s="4">
        <f>BI4-R4</f>
        <v>38</v>
      </c>
      <c r="BL4" s="105" t="s">
        <v>93</v>
      </c>
      <c r="BM4" s="85"/>
      <c r="BN4" s="183"/>
      <c r="BO4" s="183"/>
    </row>
    <row r="5" ht="14.4" s="67" customFormat="1">
      <c r="A5" s="4">
        <v>171065</v>
      </c>
      <c r="B5" s="4"/>
      <c r="C5" s="55"/>
      <c r="D5" s="4" t="s">
        <v>3511</v>
      </c>
      <c r="E5" s="4" t="s">
        <v>1765</v>
      </c>
      <c r="F5" s="55"/>
      <c r="G5" s="4" t="s">
        <v>67</v>
      </c>
      <c r="H5" s="4" t="s">
        <v>3486</v>
      </c>
      <c r="I5" s="4" t="s">
        <v>2494</v>
      </c>
      <c r="J5" s="55"/>
      <c r="K5" s="4" t="s">
        <v>1766</v>
      </c>
      <c r="L5" s="4" t="s">
        <v>3487</v>
      </c>
      <c r="M5" s="4" t="s">
        <v>3512</v>
      </c>
      <c r="N5" s="4" t="s">
        <v>74</v>
      </c>
      <c r="O5" s="4" t="s">
        <v>3488</v>
      </c>
      <c r="P5" s="4" t="s">
        <v>3513</v>
      </c>
      <c r="Q5" s="57">
        <v>45063</v>
      </c>
      <c r="R5" s="57">
        <v>45072</v>
      </c>
      <c r="S5" s="113"/>
      <c r="T5" s="113"/>
      <c r="U5" s="4"/>
      <c r="V5" s="4"/>
      <c r="W5" s="105"/>
      <c r="X5" s="114">
        <v>1750770158</v>
      </c>
      <c r="Y5" s="55"/>
      <c r="Z5" s="4"/>
      <c r="AA5" s="4"/>
      <c r="AB5" s="4"/>
      <c r="AC5" s="4"/>
      <c r="AD5" s="113"/>
      <c r="AE5" s="107">
        <v>124.375342465753</v>
      </c>
      <c r="AF5" s="4" t="s">
        <v>80</v>
      </c>
      <c r="AG5" s="114"/>
      <c r="AH5" s="4" t="s">
        <v>81</v>
      </c>
      <c r="AI5" s="55"/>
      <c r="AJ5" s="55"/>
      <c r="AK5" s="55"/>
      <c r="AL5" s="4"/>
      <c r="AM5" s="4"/>
      <c r="AN5" s="4"/>
      <c r="AO5" s="4"/>
      <c r="AP5" s="4"/>
      <c r="AQ5" s="55"/>
      <c r="AR5" s="4"/>
      <c r="AS5" s="4"/>
      <c r="AT5" s="72"/>
      <c r="AU5" s="4"/>
      <c r="AV5" s="4"/>
      <c r="AW5" s="4"/>
      <c r="AX5" s="4"/>
      <c r="AY5" s="4"/>
      <c r="AZ5" s="4"/>
      <c r="BA5" s="4" t="s">
        <v>3498</v>
      </c>
      <c r="BB5" s="4">
        <v>12000</v>
      </c>
      <c r="BC5" s="4">
        <v>3000</v>
      </c>
      <c r="BD5" s="4">
        <v>0</v>
      </c>
      <c r="BE5" s="4" t="s">
        <v>91</v>
      </c>
      <c r="BF5" s="4">
        <v>161383</v>
      </c>
      <c r="BG5" s="4" t="s">
        <v>92</v>
      </c>
      <c r="BH5" s="4" t="s">
        <v>3510</v>
      </c>
      <c r="BI5" s="72">
        <f>VLOOKUP(A5,'ID Block'!A:L,12,0)</f>
        <v>45084</v>
      </c>
      <c r="BJ5" s="154" t="str">
        <f>VLOOKUP(A5,'ID Block'!A:M,13,0)</f>
        <v>Personal Issue</v>
      </c>
      <c r="BK5" s="4">
        <f ref="BK5:BK68" t="shared" si="0">BI5-R5</f>
        <v>12</v>
      </c>
      <c r="BL5" s="105" t="s">
        <v>93</v>
      </c>
      <c r="BM5" s="85"/>
      <c r="BN5" s="183" t="s">
        <v>3514</v>
      </c>
      <c r="BO5" s="183"/>
    </row>
    <row r="6" ht="14.4" s="67" customFormat="1">
      <c r="A6" s="4">
        <v>171032</v>
      </c>
      <c r="B6" s="4"/>
      <c r="C6" s="55"/>
      <c r="D6" s="4" t="s">
        <v>3515</v>
      </c>
      <c r="E6" s="4" t="s">
        <v>3516</v>
      </c>
      <c r="F6" s="55">
        <v>639923</v>
      </c>
      <c r="G6" s="4" t="s">
        <v>67</v>
      </c>
      <c r="H6" s="4" t="s">
        <v>3486</v>
      </c>
      <c r="I6" s="4" t="s">
        <v>2494</v>
      </c>
      <c r="J6" s="55" t="s">
        <v>70</v>
      </c>
      <c r="K6" s="4" t="s">
        <v>1766</v>
      </c>
      <c r="L6" s="4" t="s">
        <v>3487</v>
      </c>
      <c r="M6" s="4" t="s">
        <v>2643</v>
      </c>
      <c r="N6" s="4" t="s">
        <v>74</v>
      </c>
      <c r="O6" s="4" t="s">
        <v>3488</v>
      </c>
      <c r="P6" s="4" t="s">
        <v>3489</v>
      </c>
      <c r="Q6" s="57">
        <v>45033</v>
      </c>
      <c r="R6" s="57">
        <v>45040</v>
      </c>
      <c r="S6" s="113"/>
      <c r="T6" s="113"/>
      <c r="U6" s="4"/>
      <c r="V6" s="4"/>
      <c r="W6" s="105" t="s">
        <v>3517</v>
      </c>
      <c r="X6" s="114">
        <v>1785992222</v>
      </c>
      <c r="Y6" s="55"/>
      <c r="Z6" s="4" t="s">
        <v>3518</v>
      </c>
      <c r="AA6" s="4">
        <v>1736704414</v>
      </c>
      <c r="AB6" s="4" t="s">
        <v>101</v>
      </c>
      <c r="AC6" s="4" t="s">
        <v>79</v>
      </c>
      <c r="AD6" s="113">
        <v>34589</v>
      </c>
      <c r="AE6" s="107">
        <v>29.6109589041096</v>
      </c>
      <c r="AF6" s="4" t="s">
        <v>80</v>
      </c>
      <c r="AG6" s="114">
        <v>8228652460</v>
      </c>
      <c r="AH6" s="4" t="s">
        <v>3519</v>
      </c>
      <c r="AI6" s="55" t="s">
        <v>925</v>
      </c>
      <c r="AJ6" s="55" t="s">
        <v>81</v>
      </c>
      <c r="AK6" s="55" t="s">
        <v>81</v>
      </c>
      <c r="AL6" s="4" t="s">
        <v>209</v>
      </c>
      <c r="AM6" s="4" t="s">
        <v>3518</v>
      </c>
      <c r="AN6" s="4" t="s">
        <v>3520</v>
      </c>
      <c r="AO6" s="4" t="s">
        <v>285</v>
      </c>
      <c r="AP6" s="4" t="s">
        <v>3521</v>
      </c>
      <c r="AQ6" s="55" t="s">
        <v>285</v>
      </c>
      <c r="AR6" s="4" t="s">
        <v>110</v>
      </c>
      <c r="AS6" s="4"/>
      <c r="AT6" s="72"/>
      <c r="AU6" s="4"/>
      <c r="AV6" s="4"/>
      <c r="AW6" s="4"/>
      <c r="AX6" s="4"/>
      <c r="AY6" s="4"/>
      <c r="AZ6" s="4"/>
      <c r="BA6" s="4" t="s">
        <v>3498</v>
      </c>
      <c r="BB6" s="4">
        <v>10800</v>
      </c>
      <c r="BC6" s="4">
        <v>2700</v>
      </c>
      <c r="BD6" s="4">
        <v>0</v>
      </c>
      <c r="BE6" s="4" t="s">
        <v>91</v>
      </c>
      <c r="BF6" s="4">
        <v>161411</v>
      </c>
      <c r="BG6" s="4" t="s">
        <v>92</v>
      </c>
      <c r="BH6" s="4" t="s">
        <v>3510</v>
      </c>
      <c r="BI6" s="72">
        <f>VLOOKUP(A6,'ID Block'!A:L,12,0)</f>
        <v>45083</v>
      </c>
      <c r="BJ6" s="154" t="str">
        <f>VLOOKUP(A6,'ID Block'!A:M,13,0)</f>
        <v>New Opportunity</v>
      </c>
      <c r="BK6" s="4">
        <f t="shared" si="0"/>
        <v>43</v>
      </c>
      <c r="BL6" s="105" t="s">
        <v>93</v>
      </c>
      <c r="BM6" s="85"/>
      <c r="BN6" s="183" t="s">
        <v>3522</v>
      </c>
      <c r="BO6" s="183"/>
    </row>
    <row r="7" ht="14.4" s="67" customFormat="1">
      <c r="A7" s="4">
        <v>171047</v>
      </c>
      <c r="B7" s="4"/>
      <c r="C7" s="55"/>
      <c r="D7" s="4" t="s">
        <v>3523</v>
      </c>
      <c r="E7" s="4" t="s">
        <v>1765</v>
      </c>
      <c r="F7" s="55">
        <v>723061</v>
      </c>
      <c r="G7" s="4" t="s">
        <v>67</v>
      </c>
      <c r="H7" s="4" t="s">
        <v>3486</v>
      </c>
      <c r="I7" s="4" t="s">
        <v>2494</v>
      </c>
      <c r="J7" s="55" t="s">
        <v>70</v>
      </c>
      <c r="K7" s="4" t="s">
        <v>1766</v>
      </c>
      <c r="L7" s="4" t="s">
        <v>3487</v>
      </c>
      <c r="M7" s="4" t="s">
        <v>2643</v>
      </c>
      <c r="N7" s="4" t="s">
        <v>74</v>
      </c>
      <c r="O7" s="4" t="s">
        <v>3488</v>
      </c>
      <c r="P7" s="4" t="s">
        <v>3489</v>
      </c>
      <c r="Q7" s="57">
        <v>45033</v>
      </c>
      <c r="R7" s="57">
        <v>45040</v>
      </c>
      <c r="S7" s="113"/>
      <c r="T7" s="113"/>
      <c r="U7" s="4"/>
      <c r="V7" s="4"/>
      <c r="W7" s="105" t="s">
        <v>3524</v>
      </c>
      <c r="X7" s="114">
        <v>1743674224</v>
      </c>
      <c r="Y7" s="55"/>
      <c r="Z7" s="4" t="s">
        <v>3525</v>
      </c>
      <c r="AA7" s="4">
        <v>1312266277</v>
      </c>
      <c r="AB7" s="4" t="s">
        <v>252</v>
      </c>
      <c r="AC7" s="4" t="s">
        <v>102</v>
      </c>
      <c r="AD7" s="113">
        <v>35188</v>
      </c>
      <c r="AE7" s="107">
        <v>27.9698630136986</v>
      </c>
      <c r="AF7" s="4" t="s">
        <v>80</v>
      </c>
      <c r="AG7" s="114" t="s">
        <v>3526</v>
      </c>
      <c r="AH7" s="4" t="s">
        <v>3527</v>
      </c>
      <c r="AI7" s="55" t="s">
        <v>3492</v>
      </c>
      <c r="AJ7" s="55" t="s">
        <v>3528</v>
      </c>
      <c r="AK7" s="55">
        <v>2024</v>
      </c>
      <c r="AL7" s="4" t="s">
        <v>3529</v>
      </c>
      <c r="AM7" s="4" t="s">
        <v>3530</v>
      </c>
      <c r="AN7" s="4" t="s">
        <v>3531</v>
      </c>
      <c r="AO7" s="4" t="s">
        <v>3532</v>
      </c>
      <c r="AP7" s="4" t="s">
        <v>3533</v>
      </c>
      <c r="AQ7" s="55" t="s">
        <v>2154</v>
      </c>
      <c r="AR7" s="4" t="s">
        <v>110</v>
      </c>
      <c r="AS7" s="4"/>
      <c r="AT7" s="72"/>
      <c r="AU7" s="4"/>
      <c r="AV7" s="4"/>
      <c r="AW7" s="4"/>
      <c r="AX7" s="4"/>
      <c r="AY7" s="4"/>
      <c r="AZ7" s="4"/>
      <c r="BA7" s="4" t="s">
        <v>3498</v>
      </c>
      <c r="BB7" s="4">
        <v>12000</v>
      </c>
      <c r="BC7" s="4">
        <v>3000</v>
      </c>
      <c r="BD7" s="4">
        <v>0</v>
      </c>
      <c r="BE7" s="4" t="s">
        <v>91</v>
      </c>
      <c r="BF7" s="4">
        <v>161039</v>
      </c>
      <c r="BG7" s="4" t="s">
        <v>92</v>
      </c>
      <c r="BH7" s="4" t="s">
        <v>3510</v>
      </c>
      <c r="BI7" s="72">
        <f>VLOOKUP(A7,'ID Block'!A:L,12,0)</f>
        <v>45082</v>
      </c>
      <c r="BJ7" s="154" t="str">
        <f>VLOOKUP(A7,'ID Block'!A:M,13,0)</f>
        <v>Personal Issue</v>
      </c>
      <c r="BK7" s="4">
        <f t="shared" si="0"/>
        <v>42</v>
      </c>
      <c r="BL7" s="105" t="s">
        <v>93</v>
      </c>
      <c r="BM7" s="85"/>
      <c r="BN7" s="183" t="s">
        <v>3534</v>
      </c>
      <c r="BO7" s="183"/>
    </row>
    <row r="8" ht="14.4" s="67" customFormat="1">
      <c r="A8" s="4">
        <v>171054</v>
      </c>
      <c r="B8" s="4"/>
      <c r="C8" s="55"/>
      <c r="D8" s="4" t="s">
        <v>3535</v>
      </c>
      <c r="E8" s="4" t="s">
        <v>66</v>
      </c>
      <c r="F8" s="55">
        <v>1510793691</v>
      </c>
      <c r="G8" s="4" t="s">
        <v>67</v>
      </c>
      <c r="H8" s="4" t="s">
        <v>3486</v>
      </c>
      <c r="I8" s="4" t="s">
        <v>2494</v>
      </c>
      <c r="J8" s="55" t="s">
        <v>97</v>
      </c>
      <c r="K8" s="4" t="s">
        <v>1766</v>
      </c>
      <c r="L8" s="4" t="s">
        <v>3487</v>
      </c>
      <c r="M8" s="4" t="s">
        <v>3512</v>
      </c>
      <c r="N8" s="4" t="s">
        <v>74</v>
      </c>
      <c r="O8" s="4" t="s">
        <v>3488</v>
      </c>
      <c r="P8" s="4" t="s">
        <v>3489</v>
      </c>
      <c r="Q8" s="57">
        <v>45033</v>
      </c>
      <c r="R8" s="57">
        <v>45040</v>
      </c>
      <c r="S8" s="113"/>
      <c r="T8" s="113"/>
      <c r="U8" s="4"/>
      <c r="V8" s="4"/>
      <c r="W8" s="105" t="s">
        <v>3536</v>
      </c>
      <c r="X8" s="114">
        <v>1813164079</v>
      </c>
      <c r="Y8" s="55"/>
      <c r="Z8" s="4" t="s">
        <v>3537</v>
      </c>
      <c r="AA8" s="4">
        <v>1782179040</v>
      </c>
      <c r="AB8" s="4" t="s">
        <v>132</v>
      </c>
      <c r="AC8" s="4" t="s">
        <v>79</v>
      </c>
      <c r="AD8" s="113">
        <v>37637</v>
      </c>
      <c r="AE8" s="107">
        <v>21.2602739726027</v>
      </c>
      <c r="AF8" s="4" t="s">
        <v>80</v>
      </c>
      <c r="AG8" s="114" t="s">
        <v>3538</v>
      </c>
      <c r="AH8" s="4" t="s">
        <v>3539</v>
      </c>
      <c r="AI8" s="55" t="s">
        <v>3492</v>
      </c>
      <c r="AJ8" s="55" t="s">
        <v>105</v>
      </c>
      <c r="AK8" s="55">
        <v>2024</v>
      </c>
      <c r="AL8" s="4" t="s">
        <v>3540</v>
      </c>
      <c r="AM8" s="4" t="s">
        <v>3541</v>
      </c>
      <c r="AN8" s="4" t="s">
        <v>1880</v>
      </c>
      <c r="AO8" s="4" t="s">
        <v>3542</v>
      </c>
      <c r="AP8" s="4" t="s">
        <v>3543</v>
      </c>
      <c r="AQ8" s="55" t="s">
        <v>223</v>
      </c>
      <c r="AR8" s="4" t="s">
        <v>110</v>
      </c>
      <c r="AS8" s="4"/>
      <c r="AT8" s="72"/>
      <c r="AU8" s="4"/>
      <c r="AV8" s="4"/>
      <c r="AW8" s="4"/>
      <c r="AX8" s="4"/>
      <c r="AY8" s="4"/>
      <c r="AZ8" s="4"/>
      <c r="BA8" s="4" t="s">
        <v>3498</v>
      </c>
      <c r="BB8" s="4">
        <v>10800</v>
      </c>
      <c r="BC8" s="4">
        <v>2700</v>
      </c>
      <c r="BD8" s="4">
        <v>0</v>
      </c>
      <c r="BE8" s="4" t="s">
        <v>91</v>
      </c>
      <c r="BF8" s="4">
        <v>160891</v>
      </c>
      <c r="BG8" s="4" t="s">
        <v>92</v>
      </c>
      <c r="BH8" s="4" t="s">
        <v>3510</v>
      </c>
      <c r="BI8" s="72">
        <f>VLOOKUP(A8,'ID Block'!A:L,12,0)</f>
        <v>45093</v>
      </c>
      <c r="BJ8" s="154" t="str">
        <f>VLOOKUP(A8,'ID Block'!A:M,13,0)</f>
        <v>Study purpose </v>
      </c>
      <c r="BK8" s="4">
        <f t="shared" si="0"/>
        <v>53</v>
      </c>
      <c r="BL8" s="105" t="s">
        <v>93</v>
      </c>
      <c r="BM8" s="85"/>
      <c r="BN8" s="183" t="s">
        <v>3544</v>
      </c>
      <c r="BO8" s="183"/>
    </row>
    <row r="9" ht="14.4" s="67" customFormat="1">
      <c r="A9" s="4">
        <v>171013</v>
      </c>
      <c r="B9" s="4"/>
      <c r="C9" s="55"/>
      <c r="D9" s="4" t="s">
        <v>3545</v>
      </c>
      <c r="E9" s="4" t="s">
        <v>114</v>
      </c>
      <c r="F9" s="55">
        <v>658732</v>
      </c>
      <c r="G9" s="4" t="s">
        <v>67</v>
      </c>
      <c r="H9" s="4" t="s">
        <v>3486</v>
      </c>
      <c r="I9" s="4" t="s">
        <v>2494</v>
      </c>
      <c r="J9" s="55" t="s">
        <v>407</v>
      </c>
      <c r="K9" s="4" t="s">
        <v>1766</v>
      </c>
      <c r="L9" s="4" t="s">
        <v>3487</v>
      </c>
      <c r="M9" s="4" t="s">
        <v>3503</v>
      </c>
      <c r="N9" s="4" t="s">
        <v>74</v>
      </c>
      <c r="O9" s="4" t="s">
        <v>3488</v>
      </c>
      <c r="P9" s="4" t="s">
        <v>3546</v>
      </c>
      <c r="Q9" s="57">
        <v>45023</v>
      </c>
      <c r="R9" s="57">
        <v>45032</v>
      </c>
      <c r="S9" s="113"/>
      <c r="T9" s="113"/>
      <c r="U9" s="4"/>
      <c r="V9" s="4"/>
      <c r="W9" s="105" t="s">
        <v>3547</v>
      </c>
      <c r="X9" s="114">
        <v>1865653928</v>
      </c>
      <c r="Y9" s="55"/>
      <c r="Z9" s="4" t="s">
        <v>3548</v>
      </c>
      <c r="AA9" s="4">
        <v>1625267207</v>
      </c>
      <c r="AB9" s="4" t="s">
        <v>186</v>
      </c>
      <c r="AC9" s="4" t="s">
        <v>133</v>
      </c>
      <c r="AD9" s="113">
        <v>33832</v>
      </c>
      <c r="AE9" s="107">
        <v>31.6849315068493</v>
      </c>
      <c r="AF9" s="4" t="s">
        <v>80</v>
      </c>
      <c r="AG9" s="114">
        <v>3297143749</v>
      </c>
      <c r="AH9" s="4" t="s">
        <v>81</v>
      </c>
      <c r="AI9" s="55" t="s">
        <v>3492</v>
      </c>
      <c r="AJ9" s="55" t="s">
        <v>322</v>
      </c>
      <c r="AK9" s="55">
        <v>2023</v>
      </c>
      <c r="AL9" s="4" t="s">
        <v>3423</v>
      </c>
      <c r="AM9" s="4" t="s">
        <v>3549</v>
      </c>
      <c r="AN9" s="4" t="s">
        <v>3550</v>
      </c>
      <c r="AO9" s="4" t="s">
        <v>3551</v>
      </c>
      <c r="AP9" s="4" t="s">
        <v>3551</v>
      </c>
      <c r="AQ9" s="55" t="s">
        <v>3552</v>
      </c>
      <c r="AR9" s="4" t="s">
        <v>89</v>
      </c>
      <c r="AS9" s="4"/>
      <c r="AT9" s="72"/>
      <c r="AU9" s="4"/>
      <c r="AV9" s="4"/>
      <c r="AW9" s="4"/>
      <c r="AX9" s="4"/>
      <c r="AY9" s="4"/>
      <c r="AZ9" s="4"/>
      <c r="BA9" s="4" t="s">
        <v>3498</v>
      </c>
      <c r="BB9" s="4">
        <v>10800</v>
      </c>
      <c r="BC9" s="4">
        <v>2700</v>
      </c>
      <c r="BD9" s="4">
        <v>0</v>
      </c>
      <c r="BE9" s="4" t="s">
        <v>91</v>
      </c>
      <c r="BF9" s="4">
        <v>160336</v>
      </c>
      <c r="BG9" s="4" t="s">
        <v>92</v>
      </c>
      <c r="BH9" s="4" t="s">
        <v>3510</v>
      </c>
      <c r="BI9" s="72">
        <f>VLOOKUP(A9,'ID Block'!A:L,12,0)</f>
        <v>45094</v>
      </c>
      <c r="BJ9" s="154" t="str">
        <f>VLOOKUP(A9,'ID Block'!A:M,13,0)</f>
        <v>New Opportunity</v>
      </c>
      <c r="BK9" s="4">
        <f t="shared" si="0"/>
        <v>62</v>
      </c>
      <c r="BL9" s="105" t="s">
        <v>93</v>
      </c>
      <c r="BM9" s="85"/>
      <c r="BN9" s="183" t="s">
        <v>3522</v>
      </c>
      <c r="BO9" s="183"/>
    </row>
    <row r="10" ht="16.05" customHeight="1" s="67" customFormat="1">
      <c r="A10" s="4">
        <v>171064</v>
      </c>
      <c r="B10" s="4"/>
      <c r="C10" s="55"/>
      <c r="D10" s="4" t="s">
        <v>3553</v>
      </c>
      <c r="E10" s="4" t="s">
        <v>66</v>
      </c>
      <c r="F10" s="55">
        <v>1110366718</v>
      </c>
      <c r="G10" s="4" t="s">
        <v>67</v>
      </c>
      <c r="H10" s="4" t="s">
        <v>3486</v>
      </c>
      <c r="I10" s="4" t="s">
        <v>2494</v>
      </c>
      <c r="J10" s="55" t="s">
        <v>70</v>
      </c>
      <c r="K10" s="4" t="s">
        <v>71</v>
      </c>
      <c r="L10" s="4" t="s">
        <v>3487</v>
      </c>
      <c r="M10" s="4" t="s">
        <v>2643</v>
      </c>
      <c r="N10" s="4" t="s">
        <v>74</v>
      </c>
      <c r="O10" s="4" t="s">
        <v>3488</v>
      </c>
      <c r="P10" s="4" t="s">
        <v>3513</v>
      </c>
      <c r="Q10" s="57">
        <v>45063</v>
      </c>
      <c r="R10" s="57">
        <v>45072</v>
      </c>
      <c r="S10" s="113"/>
      <c r="T10" s="113"/>
      <c r="U10" s="4"/>
      <c r="V10" s="4"/>
      <c r="W10" s="105" t="s">
        <v>3554</v>
      </c>
      <c r="X10" s="114">
        <v>1959026697</v>
      </c>
      <c r="Y10" s="55" t="s">
        <v>81</v>
      </c>
      <c r="Z10" s="4" t="s">
        <v>3555</v>
      </c>
      <c r="AA10" s="4" t="s">
        <v>3556</v>
      </c>
      <c r="AB10" s="4" t="s">
        <v>101</v>
      </c>
      <c r="AC10" s="4" t="s">
        <v>133</v>
      </c>
      <c r="AD10" s="113">
        <v>35456</v>
      </c>
      <c r="AE10" s="107">
        <v>27.2356164383562</v>
      </c>
      <c r="AF10" s="4" t="s">
        <v>80</v>
      </c>
      <c r="AG10" s="114" t="s">
        <v>3557</v>
      </c>
      <c r="AH10" s="4" t="s">
        <v>81</v>
      </c>
      <c r="AI10" s="55" t="s">
        <v>187</v>
      </c>
      <c r="AJ10" s="55" t="s">
        <v>81</v>
      </c>
      <c r="AK10" s="55" t="s">
        <v>81</v>
      </c>
      <c r="AL10" s="4" t="s">
        <v>596</v>
      </c>
      <c r="AM10" s="4" t="s">
        <v>3555</v>
      </c>
      <c r="AN10" s="4" t="s">
        <v>3558</v>
      </c>
      <c r="AO10" s="4" t="s">
        <v>3559</v>
      </c>
      <c r="AP10" s="4" t="s">
        <v>3560</v>
      </c>
      <c r="AQ10" s="55" t="s">
        <v>3559</v>
      </c>
      <c r="AR10" s="4" t="s">
        <v>110</v>
      </c>
      <c r="AS10" s="4"/>
      <c r="AT10" s="72"/>
      <c r="AU10" s="4"/>
      <c r="AV10" s="4"/>
      <c r="AW10" s="4"/>
      <c r="AX10" s="4"/>
      <c r="AY10" s="4"/>
      <c r="AZ10" s="4"/>
      <c r="BA10" s="4" t="s">
        <v>3498</v>
      </c>
      <c r="BB10" s="4">
        <v>10800</v>
      </c>
      <c r="BC10" s="4">
        <v>2700</v>
      </c>
      <c r="BD10" s="4">
        <v>0</v>
      </c>
      <c r="BE10" s="4" t="s">
        <v>91</v>
      </c>
      <c r="BF10" s="4">
        <v>161098</v>
      </c>
      <c r="BG10" s="4" t="s">
        <v>92</v>
      </c>
      <c r="BH10" s="4" t="s">
        <v>3510</v>
      </c>
      <c r="BI10" s="72">
        <f>VLOOKUP(A10,'ID Block'!A:L,12,0)</f>
        <v>45097</v>
      </c>
      <c r="BJ10" s="154" t="str">
        <f>VLOOKUP(A10,'ID Block'!A:M,13,0)</f>
        <v>New Opportunity</v>
      </c>
      <c r="BK10" s="4">
        <f t="shared" si="0"/>
        <v>25</v>
      </c>
      <c r="BL10" s="105" t="s">
        <v>93</v>
      </c>
      <c r="BM10" s="85" t="s">
        <v>3561</v>
      </c>
      <c r="BN10" s="183" t="s">
        <v>3522</v>
      </c>
      <c r="BO10" s="183"/>
    </row>
    <row r="11" ht="13.95" customHeight="1" s="67" customFormat="1">
      <c r="A11" s="4">
        <v>171085</v>
      </c>
      <c r="B11" s="4"/>
      <c r="C11" s="55" t="s">
        <v>3562</v>
      </c>
      <c r="D11" s="4" t="s">
        <v>3563</v>
      </c>
      <c r="E11" s="4" t="s">
        <v>114</v>
      </c>
      <c r="F11" s="55">
        <v>1010734088</v>
      </c>
      <c r="G11" s="4" t="s">
        <v>67</v>
      </c>
      <c r="H11" s="4" t="s">
        <v>3486</v>
      </c>
      <c r="I11" s="4" t="s">
        <v>2494</v>
      </c>
      <c r="J11" s="55" t="s">
        <v>155</v>
      </c>
      <c r="K11" s="4" t="s">
        <v>71</v>
      </c>
      <c r="L11" s="4" t="s">
        <v>3487</v>
      </c>
      <c r="M11" s="4" t="s">
        <v>3512</v>
      </c>
      <c r="N11" s="4" t="s">
        <v>74</v>
      </c>
      <c r="O11" s="4" t="s">
        <v>3488</v>
      </c>
      <c r="P11" s="4" t="s">
        <v>3564</v>
      </c>
      <c r="Q11" s="57">
        <v>45077</v>
      </c>
      <c r="R11" s="57">
        <v>45090</v>
      </c>
      <c r="S11" s="113"/>
      <c r="T11" s="113"/>
      <c r="U11" s="4"/>
      <c r="V11" s="4"/>
      <c r="W11" s="105" t="s">
        <v>3565</v>
      </c>
      <c r="X11" s="114">
        <v>1716403297</v>
      </c>
      <c r="Y11" s="55">
        <v>1950406416</v>
      </c>
      <c r="Z11" s="4" t="s">
        <v>3566</v>
      </c>
      <c r="AA11" s="4">
        <v>1938848797</v>
      </c>
      <c r="AB11" s="4" t="s">
        <v>252</v>
      </c>
      <c r="AC11" s="4" t="s">
        <v>133</v>
      </c>
      <c r="AD11" s="113">
        <v>35445</v>
      </c>
      <c r="AE11" s="107">
        <v>27.2657534246575</v>
      </c>
      <c r="AF11" s="4" t="s">
        <v>80</v>
      </c>
      <c r="AG11" s="114">
        <v>19978217614000000</v>
      </c>
      <c r="AH11" s="4" t="s">
        <v>81</v>
      </c>
      <c r="AI11" s="55" t="s">
        <v>187</v>
      </c>
      <c r="AJ11" s="55" t="s">
        <v>265</v>
      </c>
      <c r="AK11" s="55">
        <v>45137</v>
      </c>
      <c r="AL11" s="4" t="s">
        <v>3567</v>
      </c>
      <c r="AM11" s="4" t="s">
        <v>3568</v>
      </c>
      <c r="AN11" s="4" t="s">
        <v>3569</v>
      </c>
      <c r="AO11" s="4" t="s">
        <v>3570</v>
      </c>
      <c r="AP11" s="4" t="s">
        <v>3571</v>
      </c>
      <c r="AQ11" s="55" t="s">
        <v>3570</v>
      </c>
      <c r="AR11" s="4" t="s">
        <v>110</v>
      </c>
      <c r="AS11" s="4"/>
      <c r="AT11" s="72"/>
      <c r="AU11" s="4"/>
      <c r="AV11" s="4"/>
      <c r="AW11" s="4"/>
      <c r="AX11" s="4"/>
      <c r="AY11" s="4"/>
      <c r="AZ11" s="4"/>
      <c r="BA11" s="4" t="s">
        <v>3498</v>
      </c>
      <c r="BB11" s="4">
        <v>10800</v>
      </c>
      <c r="BC11" s="4">
        <v>2700</v>
      </c>
      <c r="BD11" s="4">
        <v>2500</v>
      </c>
      <c r="BE11" s="4" t="s">
        <v>3572</v>
      </c>
      <c r="BF11" s="4"/>
      <c r="BG11" s="4"/>
      <c r="BH11" s="4" t="s">
        <v>3499</v>
      </c>
      <c r="BI11" s="72">
        <f>VLOOKUP(A11,'ID Block'!A:L,12,0)</f>
        <v>45091</v>
      </c>
      <c r="BJ11" s="154" t="str">
        <f>VLOOKUP(A11,'ID Block'!A:M,13,0)</f>
        <v>Unauthorized absent </v>
      </c>
      <c r="BK11" s="4">
        <f t="shared" si="0"/>
        <v>1</v>
      </c>
      <c r="BL11" s="105" t="s">
        <v>93</v>
      </c>
      <c r="BM11" s="85"/>
      <c r="BN11" s="183"/>
      <c r="BO11" s="183"/>
    </row>
    <row r="12" ht="14.4" s="67" customFormat="1">
      <c r="A12" s="4">
        <v>171007</v>
      </c>
      <c r="B12" s="4"/>
      <c r="C12" s="55"/>
      <c r="D12" s="4" t="s">
        <v>3573</v>
      </c>
      <c r="E12" s="4" t="s">
        <v>114</v>
      </c>
      <c r="F12" s="55">
        <v>1115251923</v>
      </c>
      <c r="G12" s="4" t="s">
        <v>67</v>
      </c>
      <c r="H12" s="4" t="s">
        <v>3486</v>
      </c>
      <c r="I12" s="4" t="s">
        <v>2494</v>
      </c>
      <c r="J12" s="55" t="s">
        <v>407</v>
      </c>
      <c r="K12" s="4" t="s">
        <v>71</v>
      </c>
      <c r="L12" s="4" t="s">
        <v>3487</v>
      </c>
      <c r="M12" s="4" t="s">
        <v>3503</v>
      </c>
      <c r="N12" s="4" t="s">
        <v>74</v>
      </c>
      <c r="O12" s="4" t="s">
        <v>3488</v>
      </c>
      <c r="P12" s="4" t="s">
        <v>3546</v>
      </c>
      <c r="Q12" s="57">
        <v>45023</v>
      </c>
      <c r="R12" s="57">
        <v>45032</v>
      </c>
      <c r="S12" s="113"/>
      <c r="T12" s="113"/>
      <c r="U12" s="4"/>
      <c r="V12" s="4"/>
      <c r="W12" s="105" t="s">
        <v>3574</v>
      </c>
      <c r="X12" s="114">
        <v>1630336594</v>
      </c>
      <c r="Y12" s="55"/>
      <c r="Z12" s="4" t="s">
        <v>3575</v>
      </c>
      <c r="AA12" s="4">
        <v>1718992506</v>
      </c>
      <c r="AB12" s="4" t="s">
        <v>101</v>
      </c>
      <c r="AC12" s="4" t="s">
        <v>119</v>
      </c>
      <c r="AD12" s="113">
        <v>36161</v>
      </c>
      <c r="AE12" s="107">
        <v>25.3041095890411</v>
      </c>
      <c r="AF12" s="4" t="s">
        <v>80</v>
      </c>
      <c r="AG12" s="114">
        <v>2404194751</v>
      </c>
      <c r="AH12" s="4" t="s">
        <v>3576</v>
      </c>
      <c r="AI12" s="55" t="s">
        <v>925</v>
      </c>
      <c r="AJ12" s="55" t="s">
        <v>81</v>
      </c>
      <c r="AK12" s="55" t="s">
        <v>81</v>
      </c>
      <c r="AL12" s="4" t="s">
        <v>3577</v>
      </c>
      <c r="AM12" s="4" t="s">
        <v>3578</v>
      </c>
      <c r="AN12" s="4" t="s">
        <v>3579</v>
      </c>
      <c r="AO12" s="4" t="s">
        <v>3580</v>
      </c>
      <c r="AP12" s="4" t="s">
        <v>3581</v>
      </c>
      <c r="AQ12" s="55" t="s">
        <v>3582</v>
      </c>
      <c r="AR12" s="4" t="s">
        <v>110</v>
      </c>
      <c r="AS12" s="4"/>
      <c r="AT12" s="72"/>
      <c r="AU12" s="4"/>
      <c r="AV12" s="4"/>
      <c r="AW12" s="4"/>
      <c r="AX12" s="4"/>
      <c r="AY12" s="4"/>
      <c r="AZ12" s="4"/>
      <c r="BA12" s="4" t="s">
        <v>3498</v>
      </c>
      <c r="BB12" s="4">
        <v>10800</v>
      </c>
      <c r="BC12" s="4">
        <v>2700</v>
      </c>
      <c r="BD12" s="4">
        <v>0</v>
      </c>
      <c r="BE12" s="4" t="s">
        <v>91</v>
      </c>
      <c r="BF12" s="4">
        <v>161641</v>
      </c>
      <c r="BG12" s="4" t="s">
        <v>92</v>
      </c>
      <c r="BH12" s="4" t="s">
        <v>3510</v>
      </c>
      <c r="BI12" s="72">
        <f>VLOOKUP(A12,'ID Block'!A:L,12,0)</f>
        <v>45103</v>
      </c>
      <c r="BJ12" s="154" t="str">
        <f>VLOOKUP(A12,'ID Block'!A:M,13,0)</f>
        <v>Study purpose </v>
      </c>
      <c r="BK12" s="4">
        <f t="shared" si="0"/>
        <v>71</v>
      </c>
      <c r="BL12" s="105" t="s">
        <v>93</v>
      </c>
      <c r="BM12" s="85" t="s">
        <v>3583</v>
      </c>
      <c r="BN12" s="183" t="s">
        <v>3544</v>
      </c>
      <c r="BO12" s="183"/>
    </row>
    <row r="13" ht="14.4" s="67" customFormat="1">
      <c r="A13" s="4">
        <v>171016</v>
      </c>
      <c r="B13" s="4"/>
      <c r="C13" s="55"/>
      <c r="D13" s="4" t="s">
        <v>3584</v>
      </c>
      <c r="E13" s="4" t="s">
        <v>114</v>
      </c>
      <c r="F13" s="55">
        <v>1314425385</v>
      </c>
      <c r="G13" s="4" t="s">
        <v>67</v>
      </c>
      <c r="H13" s="4" t="s">
        <v>3486</v>
      </c>
      <c r="I13" s="4" t="s">
        <v>2494</v>
      </c>
      <c r="J13" s="55" t="s">
        <v>70</v>
      </c>
      <c r="K13" s="4" t="s">
        <v>71</v>
      </c>
      <c r="L13" s="4" t="s">
        <v>3487</v>
      </c>
      <c r="M13" s="4" t="s">
        <v>3512</v>
      </c>
      <c r="N13" s="4" t="s">
        <v>74</v>
      </c>
      <c r="O13" s="4" t="s">
        <v>3488</v>
      </c>
      <c r="P13" s="4" t="s">
        <v>3585</v>
      </c>
      <c r="Q13" s="57">
        <v>45029</v>
      </c>
      <c r="R13" s="57">
        <v>45042</v>
      </c>
      <c r="S13" s="113"/>
      <c r="T13" s="113"/>
      <c r="U13" s="4"/>
      <c r="V13" s="4"/>
      <c r="W13" s="105" t="s">
        <v>3586</v>
      </c>
      <c r="X13" s="114">
        <v>1785816292</v>
      </c>
      <c r="Y13" s="55"/>
      <c r="Z13" s="4" t="s">
        <v>3587</v>
      </c>
      <c r="AA13" s="4">
        <v>1879935183</v>
      </c>
      <c r="AB13" s="4" t="s">
        <v>132</v>
      </c>
      <c r="AC13" s="4" t="s">
        <v>79</v>
      </c>
      <c r="AD13" s="113">
        <v>36216</v>
      </c>
      <c r="AE13" s="107">
        <v>25.1534246575342</v>
      </c>
      <c r="AF13" s="4" t="s">
        <v>80</v>
      </c>
      <c r="AG13" s="114" t="s">
        <v>3588</v>
      </c>
      <c r="AH13" s="4" t="s">
        <v>81</v>
      </c>
      <c r="AI13" s="55" t="s">
        <v>3492</v>
      </c>
      <c r="AJ13" s="55" t="s">
        <v>3589</v>
      </c>
      <c r="AK13" s="55">
        <v>2024</v>
      </c>
      <c r="AL13" s="4" t="s">
        <v>3590</v>
      </c>
      <c r="AM13" s="4" t="s">
        <v>3591</v>
      </c>
      <c r="AN13" s="4" t="s">
        <v>3587</v>
      </c>
      <c r="AO13" s="4" t="s">
        <v>3592</v>
      </c>
      <c r="AP13" s="4" t="s">
        <v>3593</v>
      </c>
      <c r="AQ13" s="55" t="s">
        <v>328</v>
      </c>
      <c r="AR13" s="4" t="s">
        <v>110</v>
      </c>
      <c r="AS13" s="4"/>
      <c r="AT13" s="72"/>
      <c r="AU13" s="4"/>
      <c r="AV13" s="4"/>
      <c r="AW13" s="4"/>
      <c r="AX13" s="4"/>
      <c r="AY13" s="4"/>
      <c r="AZ13" s="4"/>
      <c r="BA13" s="4" t="s">
        <v>3498</v>
      </c>
      <c r="BB13" s="4">
        <v>10800</v>
      </c>
      <c r="BC13" s="4">
        <v>2700</v>
      </c>
      <c r="BD13" s="4">
        <v>0</v>
      </c>
      <c r="BE13" s="4" t="s">
        <v>91</v>
      </c>
      <c r="BF13" s="4">
        <v>161581</v>
      </c>
      <c r="BG13" s="4" t="s">
        <v>92</v>
      </c>
      <c r="BH13" s="4" t="s">
        <v>3499</v>
      </c>
      <c r="BI13" s="72">
        <f>VLOOKUP(A13,'ID Block'!A:L,12,0)</f>
        <v>45103</v>
      </c>
      <c r="BJ13" s="154" t="str">
        <f>VLOOKUP(A13,'ID Block'!A:M,13,0)</f>
        <v>Unethical Activities </v>
      </c>
      <c r="BK13" s="4">
        <f t="shared" si="0"/>
        <v>61</v>
      </c>
      <c r="BL13" s="105" t="s">
        <v>93</v>
      </c>
      <c r="BM13" s="85" t="s">
        <v>3594</v>
      </c>
      <c r="BN13" s="183" t="s">
        <v>3595</v>
      </c>
      <c r="BO13" s="183"/>
    </row>
    <row r="14" ht="14.4" s="67" customFormat="1">
      <c r="A14" s="4">
        <v>171098</v>
      </c>
      <c r="B14" s="4"/>
      <c r="C14" s="55"/>
      <c r="D14" s="4" t="s">
        <v>3596</v>
      </c>
      <c r="E14" s="4" t="s">
        <v>114</v>
      </c>
      <c r="F14" s="55" t="s">
        <v>180</v>
      </c>
      <c r="G14" s="4" t="s">
        <v>67</v>
      </c>
      <c r="H14" s="4" t="s">
        <v>3486</v>
      </c>
      <c r="I14" s="4" t="s">
        <v>2494</v>
      </c>
      <c r="J14" s="55" t="s">
        <v>2495</v>
      </c>
      <c r="K14" s="4" t="s">
        <v>71</v>
      </c>
      <c r="L14" s="4" t="s">
        <v>3487</v>
      </c>
      <c r="M14" s="4" t="s">
        <v>2643</v>
      </c>
      <c r="N14" s="4" t="s">
        <v>74</v>
      </c>
      <c r="O14" s="4" t="s">
        <v>3488</v>
      </c>
      <c r="P14" s="4" t="s">
        <v>3597</v>
      </c>
      <c r="Q14" s="57">
        <v>45110</v>
      </c>
      <c r="R14" s="57">
        <v>45113</v>
      </c>
      <c r="S14" s="113"/>
      <c r="T14" s="113"/>
      <c r="U14" s="4"/>
      <c r="V14" s="4"/>
      <c r="W14" s="105"/>
      <c r="X14" s="114">
        <v>1302848048</v>
      </c>
      <c r="Y14" s="55"/>
      <c r="Z14" s="4" t="s">
        <v>3598</v>
      </c>
      <c r="AA14" s="4">
        <v>1932901290</v>
      </c>
      <c r="AB14" s="4" t="s">
        <v>3599</v>
      </c>
      <c r="AC14" s="4" t="s">
        <v>119</v>
      </c>
      <c r="AD14" s="113">
        <v>36543</v>
      </c>
      <c r="AE14" s="107">
        <v>24.2575342465753</v>
      </c>
      <c r="AF14" s="4" t="s">
        <v>80</v>
      </c>
      <c r="AG14" s="114" t="s">
        <v>3600</v>
      </c>
      <c r="AH14" s="4" t="s">
        <v>81</v>
      </c>
      <c r="AI14" s="55" t="s">
        <v>925</v>
      </c>
      <c r="AJ14" s="55" t="s">
        <v>81</v>
      </c>
      <c r="AK14" s="55" t="s">
        <v>81</v>
      </c>
      <c r="AL14" s="4" t="s">
        <v>2545</v>
      </c>
      <c r="AM14" s="4" t="s">
        <v>3601</v>
      </c>
      <c r="AN14" s="4" t="s">
        <v>3602</v>
      </c>
      <c r="AO14" s="4" t="s">
        <v>3603</v>
      </c>
      <c r="AP14" s="4" t="s">
        <v>3604</v>
      </c>
      <c r="AQ14" s="55" t="s">
        <v>1418</v>
      </c>
      <c r="AR14" s="4" t="s">
        <v>110</v>
      </c>
      <c r="AS14" s="4"/>
      <c r="AT14" s="72"/>
      <c r="AU14" s="4"/>
      <c r="AV14" s="4"/>
      <c r="AW14" s="4"/>
      <c r="AX14" s="4"/>
      <c r="AY14" s="4"/>
      <c r="AZ14" s="4"/>
      <c r="BA14" s="4" t="s">
        <v>3605</v>
      </c>
      <c r="BB14" s="4">
        <v>10800</v>
      </c>
      <c r="BC14" s="4">
        <v>2700</v>
      </c>
      <c r="BD14" s="4">
        <v>0</v>
      </c>
      <c r="BE14" s="4" t="s">
        <v>91</v>
      </c>
      <c r="BF14" s="4" t="s">
        <v>167</v>
      </c>
      <c r="BG14" s="4" t="s">
        <v>167</v>
      </c>
      <c r="BH14" s="4" t="s">
        <v>3510</v>
      </c>
      <c r="BI14" s="72">
        <f>VLOOKUP(A14,'ID Block'!A:L,12,0)</f>
        <v>45117</v>
      </c>
      <c r="BJ14" s="154" t="str">
        <f>VLOOKUP(A14,'ID Block'!A:M,13,0)</f>
        <v>New Opportunity</v>
      </c>
      <c r="BK14" s="4">
        <f t="shared" si="0"/>
        <v>4</v>
      </c>
      <c r="BL14" s="105" t="s">
        <v>93</v>
      </c>
      <c r="BM14" s="85"/>
      <c r="BN14" s="183" t="s">
        <v>3522</v>
      </c>
      <c r="BO14" s="183"/>
    </row>
    <row r="15" ht="14.4" s="67" customFormat="1">
      <c r="A15" s="4">
        <v>171067</v>
      </c>
      <c r="B15" s="4"/>
      <c r="C15" s="55" t="s">
        <v>3606</v>
      </c>
      <c r="D15" s="4" t="s">
        <v>3607</v>
      </c>
      <c r="E15" s="4" t="s">
        <v>114</v>
      </c>
      <c r="F15" s="55">
        <v>770102</v>
      </c>
      <c r="G15" s="4" t="s">
        <v>67</v>
      </c>
      <c r="H15" s="4" t="s">
        <v>3486</v>
      </c>
      <c r="I15" s="4" t="s">
        <v>2494</v>
      </c>
      <c r="J15" s="55" t="s">
        <v>155</v>
      </c>
      <c r="K15" s="4" t="s">
        <v>71</v>
      </c>
      <c r="L15" s="4" t="s">
        <v>3487</v>
      </c>
      <c r="M15" s="4" t="s">
        <v>3512</v>
      </c>
      <c r="N15" s="4" t="s">
        <v>74</v>
      </c>
      <c r="O15" s="4" t="s">
        <v>3488</v>
      </c>
      <c r="P15" s="4" t="s">
        <v>3564</v>
      </c>
      <c r="Q15" s="57">
        <v>45077</v>
      </c>
      <c r="R15" s="57">
        <v>45090</v>
      </c>
      <c r="S15" s="113"/>
      <c r="T15" s="113"/>
      <c r="U15" s="4"/>
      <c r="V15" s="4"/>
      <c r="W15" s="105" t="s">
        <v>3608</v>
      </c>
      <c r="X15" s="114">
        <v>1674672004</v>
      </c>
      <c r="Y15" s="55">
        <v>1712922170</v>
      </c>
      <c r="Z15" s="4" t="s">
        <v>3609</v>
      </c>
      <c r="AA15" s="4">
        <v>1760207797</v>
      </c>
      <c r="AB15" s="4" t="s">
        <v>101</v>
      </c>
      <c r="AC15" s="4" t="s">
        <v>133</v>
      </c>
      <c r="AD15" s="113">
        <v>34532</v>
      </c>
      <c r="AE15" s="107">
        <v>29.7671232876712</v>
      </c>
      <c r="AF15" s="4" t="s">
        <v>80</v>
      </c>
      <c r="AG15" s="114" t="s">
        <v>3610</v>
      </c>
      <c r="AH15" s="4" t="s">
        <v>3611</v>
      </c>
      <c r="AI15" s="55" t="s">
        <v>896</v>
      </c>
      <c r="AJ15" s="55" t="s">
        <v>81</v>
      </c>
      <c r="AK15" s="55" t="s">
        <v>81</v>
      </c>
      <c r="AL15" s="4" t="s">
        <v>3612</v>
      </c>
      <c r="AM15" s="4" t="s">
        <v>3609</v>
      </c>
      <c r="AN15" s="4" t="s">
        <v>3613</v>
      </c>
      <c r="AO15" s="4" t="s">
        <v>3614</v>
      </c>
      <c r="AP15" s="4" t="s">
        <v>3615</v>
      </c>
      <c r="AQ15" s="55" t="s">
        <v>3616</v>
      </c>
      <c r="AR15" s="4" t="s">
        <v>110</v>
      </c>
      <c r="AS15" s="4"/>
      <c r="AT15" s="72"/>
      <c r="AU15" s="4"/>
      <c r="AV15" s="4"/>
      <c r="AW15" s="4"/>
      <c r="AX15" s="4"/>
      <c r="AY15" s="4"/>
      <c r="AZ15" s="4"/>
      <c r="BA15" s="4" t="s">
        <v>3498</v>
      </c>
      <c r="BB15" s="4">
        <v>10800</v>
      </c>
      <c r="BC15" s="4">
        <v>2700</v>
      </c>
      <c r="BD15" s="4">
        <v>2500</v>
      </c>
      <c r="BE15" s="4" t="s">
        <v>3572</v>
      </c>
      <c r="BF15" s="4" t="s">
        <v>167</v>
      </c>
      <c r="BG15" s="4" t="s">
        <v>167</v>
      </c>
      <c r="BH15" s="4" t="s">
        <v>3510</v>
      </c>
      <c r="BI15" s="72">
        <f>VLOOKUP(A15,'ID Block'!A:L,12,0)</f>
        <v>45115</v>
      </c>
      <c r="BJ15" s="154" t="str">
        <f>VLOOKUP(A15,'ID Block'!A:M,13,0)</f>
        <v>Health Issue</v>
      </c>
      <c r="BK15" s="4">
        <f t="shared" si="0"/>
        <v>25</v>
      </c>
      <c r="BL15" s="105" t="s">
        <v>93</v>
      </c>
      <c r="BM15" s="85"/>
      <c r="BN15" s="183" t="s">
        <v>3617</v>
      </c>
      <c r="BO15" s="183"/>
    </row>
    <row r="16" ht="14.4" s="67" customFormat="1">
      <c r="A16" s="4">
        <v>171089</v>
      </c>
      <c r="B16" s="4"/>
      <c r="C16" s="55"/>
      <c r="D16" s="4" t="s">
        <v>3618</v>
      </c>
      <c r="E16" s="4" t="s">
        <v>114</v>
      </c>
      <c r="F16" s="55">
        <v>1215381237</v>
      </c>
      <c r="G16" s="4" t="s">
        <v>67</v>
      </c>
      <c r="H16" s="4" t="s">
        <v>3486</v>
      </c>
      <c r="I16" s="4" t="s">
        <v>2494</v>
      </c>
      <c r="J16" s="55" t="s">
        <v>2495</v>
      </c>
      <c r="K16" s="4" t="s">
        <v>71</v>
      </c>
      <c r="L16" s="4" t="s">
        <v>3487</v>
      </c>
      <c r="M16" s="4" t="s">
        <v>2643</v>
      </c>
      <c r="N16" s="4" t="s">
        <v>74</v>
      </c>
      <c r="O16" s="4" t="s">
        <v>3488</v>
      </c>
      <c r="P16" s="4" t="s">
        <v>3597</v>
      </c>
      <c r="Q16" s="57">
        <v>45110</v>
      </c>
      <c r="R16" s="57">
        <v>45113</v>
      </c>
      <c r="S16" s="113"/>
      <c r="T16" s="113"/>
      <c r="U16" s="4"/>
      <c r="V16" s="4"/>
      <c r="W16" s="105" t="s">
        <v>3619</v>
      </c>
      <c r="X16" s="114">
        <v>1737211564</v>
      </c>
      <c r="Y16" s="55">
        <v>1303675113</v>
      </c>
      <c r="Z16" s="4" t="s">
        <v>3620</v>
      </c>
      <c r="AA16" s="4">
        <v>1785571017</v>
      </c>
      <c r="AB16" s="4" t="s">
        <v>382</v>
      </c>
      <c r="AC16" s="4" t="s">
        <v>79</v>
      </c>
      <c r="AD16" s="113">
        <v>36272</v>
      </c>
      <c r="AE16" s="107">
        <v>24</v>
      </c>
      <c r="AF16" s="4" t="s">
        <v>80</v>
      </c>
      <c r="AG16" s="114">
        <v>8254856316</v>
      </c>
      <c r="AH16" s="4" t="s">
        <v>81</v>
      </c>
      <c r="AI16" s="55" t="s">
        <v>278</v>
      </c>
      <c r="AJ16" s="55" t="s">
        <v>229</v>
      </c>
      <c r="AK16" s="55">
        <v>2024</v>
      </c>
      <c r="AL16" s="4" t="s">
        <v>3621</v>
      </c>
      <c r="AM16" s="4" t="s">
        <v>3622</v>
      </c>
      <c r="AN16" s="4" t="s">
        <v>3623</v>
      </c>
      <c r="AO16" s="4" t="s">
        <v>3624</v>
      </c>
      <c r="AP16" s="4" t="s">
        <v>3625</v>
      </c>
      <c r="AQ16" s="55" t="s">
        <v>3626</v>
      </c>
      <c r="AR16" s="4" t="s">
        <v>224</v>
      </c>
      <c r="AS16" s="4"/>
      <c r="AT16" s="72"/>
      <c r="AU16" s="4"/>
      <c r="AV16" s="4"/>
      <c r="AW16" s="4"/>
      <c r="AX16" s="4"/>
      <c r="AY16" s="4"/>
      <c r="AZ16" s="4"/>
      <c r="BA16" s="4" t="s">
        <v>3498</v>
      </c>
      <c r="BB16" s="4">
        <v>10800</v>
      </c>
      <c r="BC16" s="4">
        <v>2700</v>
      </c>
      <c r="BD16" s="4">
        <v>0</v>
      </c>
      <c r="BE16" s="4" t="s">
        <v>91</v>
      </c>
      <c r="BF16" s="4" t="s">
        <v>167</v>
      </c>
      <c r="BG16" s="4" t="s">
        <v>167</v>
      </c>
      <c r="BH16" s="4" t="s">
        <v>3499</v>
      </c>
      <c r="BI16" s="72">
        <f>VLOOKUP(A16,'ID Block'!A:L,12,0)</f>
        <v>45117</v>
      </c>
      <c r="BJ16" s="154" t="str">
        <f>VLOOKUP(A16,'ID Block'!A:M,13,0)</f>
        <v>Unauthorized absent </v>
      </c>
      <c r="BK16" s="4">
        <f t="shared" si="0"/>
        <v>4</v>
      </c>
      <c r="BL16" s="105" t="s">
        <v>93</v>
      </c>
      <c r="BM16" s="85"/>
      <c r="BN16" s="183"/>
      <c r="BO16" s="183"/>
    </row>
    <row r="17" ht="14.4" s="67" customFormat="1">
      <c r="A17" s="4">
        <v>171072</v>
      </c>
      <c r="B17" s="4"/>
      <c r="C17" s="55" t="s">
        <v>3627</v>
      </c>
      <c r="D17" s="4" t="s">
        <v>3628</v>
      </c>
      <c r="E17" s="4" t="s">
        <v>114</v>
      </c>
      <c r="F17" s="55">
        <v>1012663014</v>
      </c>
      <c r="G17" s="4" t="s">
        <v>67</v>
      </c>
      <c r="H17" s="4" t="s">
        <v>68</v>
      </c>
      <c r="I17" s="4" t="s">
        <v>2494</v>
      </c>
      <c r="J17" s="55" t="s">
        <v>155</v>
      </c>
      <c r="K17" s="4" t="s">
        <v>71</v>
      </c>
      <c r="L17" s="4" t="s">
        <v>3487</v>
      </c>
      <c r="M17" s="4" t="s">
        <v>3512</v>
      </c>
      <c r="N17" s="4" t="s">
        <v>74</v>
      </c>
      <c r="O17" s="4" t="s">
        <v>3488</v>
      </c>
      <c r="P17" s="4" t="s">
        <v>3564</v>
      </c>
      <c r="Q17" s="57">
        <v>45077</v>
      </c>
      <c r="R17" s="57">
        <v>45090</v>
      </c>
      <c r="S17" s="113"/>
      <c r="T17" s="113"/>
      <c r="U17" s="4"/>
      <c r="V17" s="4"/>
      <c r="W17" s="105" t="s">
        <v>3629</v>
      </c>
      <c r="X17" s="114">
        <v>1773971286</v>
      </c>
      <c r="Y17" s="55">
        <v>1812365339</v>
      </c>
      <c r="Z17" s="4" t="s">
        <v>3630</v>
      </c>
      <c r="AA17" s="4">
        <v>1317526252</v>
      </c>
      <c r="AB17" s="4" t="s">
        <v>186</v>
      </c>
      <c r="AC17" s="4" t="s">
        <v>133</v>
      </c>
      <c r="AD17" s="113">
        <v>35685</v>
      </c>
      <c r="AE17" s="107">
        <v>26.6082191780822</v>
      </c>
      <c r="AF17" s="4" t="s">
        <v>80</v>
      </c>
      <c r="AG17" s="114">
        <v>6003067334</v>
      </c>
      <c r="AH17" s="4" t="s">
        <v>3631</v>
      </c>
      <c r="AI17" s="55" t="s">
        <v>187</v>
      </c>
      <c r="AJ17" s="55" t="s">
        <v>81</v>
      </c>
      <c r="AK17" s="55" t="s">
        <v>81</v>
      </c>
      <c r="AL17" s="4" t="s">
        <v>3632</v>
      </c>
      <c r="AM17" s="4" t="s">
        <v>3633</v>
      </c>
      <c r="AN17" s="4" t="s">
        <v>3634</v>
      </c>
      <c r="AO17" s="4" t="s">
        <v>3635</v>
      </c>
      <c r="AP17" s="4" t="s">
        <v>3636</v>
      </c>
      <c r="AQ17" s="55" t="s">
        <v>3637</v>
      </c>
      <c r="AR17" s="4" t="s">
        <v>89</v>
      </c>
      <c r="AS17" s="4" t="s">
        <v>3630</v>
      </c>
      <c r="AT17" s="72">
        <v>36413</v>
      </c>
      <c r="AU17" s="4"/>
      <c r="AV17" s="4"/>
      <c r="AW17" s="4"/>
      <c r="AX17" s="4"/>
      <c r="AY17" s="4"/>
      <c r="AZ17" s="4"/>
      <c r="BA17" s="4" t="s">
        <v>3498</v>
      </c>
      <c r="BB17" s="4">
        <v>10800</v>
      </c>
      <c r="BC17" s="4">
        <v>2700</v>
      </c>
      <c r="BD17" s="4">
        <v>2500</v>
      </c>
      <c r="BE17" s="4" t="s">
        <v>3572</v>
      </c>
      <c r="BF17" s="4" t="s">
        <v>167</v>
      </c>
      <c r="BG17" s="4" t="s">
        <v>167</v>
      </c>
      <c r="BH17" s="4" t="s">
        <v>3510</v>
      </c>
      <c r="BI17" s="72">
        <f>VLOOKUP(A17,'ID Block'!A:L,12,0)</f>
        <v>45122</v>
      </c>
      <c r="BJ17" s="154" t="str">
        <f>VLOOKUP(A17,'ID Block'!A:M,13,0)</f>
        <v>New Opportunity</v>
      </c>
      <c r="BK17" s="4">
        <f t="shared" si="0"/>
        <v>32</v>
      </c>
      <c r="BL17" s="105" t="s">
        <v>93</v>
      </c>
      <c r="BM17" s="85"/>
      <c r="BN17" s="183" t="s">
        <v>3522</v>
      </c>
      <c r="BO17" s="183"/>
    </row>
    <row r="18" ht="14.4" s="67" customFormat="1">
      <c r="A18" s="4">
        <v>171040</v>
      </c>
      <c r="B18" s="4"/>
      <c r="C18" s="55" t="s">
        <v>3638</v>
      </c>
      <c r="D18" s="4" t="s">
        <v>3639</v>
      </c>
      <c r="E18" s="4" t="s">
        <v>114</v>
      </c>
      <c r="F18" s="55">
        <v>1410927916</v>
      </c>
      <c r="G18" s="4" t="s">
        <v>67</v>
      </c>
      <c r="H18" s="4" t="s">
        <v>68</v>
      </c>
      <c r="I18" s="4" t="s">
        <v>2494</v>
      </c>
      <c r="J18" s="55" t="s">
        <v>70</v>
      </c>
      <c r="K18" s="4" t="s">
        <v>71</v>
      </c>
      <c r="L18" s="4" t="s">
        <v>3487</v>
      </c>
      <c r="M18" s="4" t="s">
        <v>3503</v>
      </c>
      <c r="N18" s="4" t="s">
        <v>74</v>
      </c>
      <c r="O18" s="4" t="s">
        <v>3488</v>
      </c>
      <c r="P18" s="4" t="s">
        <v>3489</v>
      </c>
      <c r="Q18" s="57">
        <v>45033</v>
      </c>
      <c r="R18" s="57">
        <v>45040</v>
      </c>
      <c r="S18" s="113"/>
      <c r="T18" s="113"/>
      <c r="U18" s="4"/>
      <c r="V18" s="4"/>
      <c r="W18" s="105" t="s">
        <v>3640</v>
      </c>
      <c r="X18" s="114">
        <v>1936495092</v>
      </c>
      <c r="Y18" s="55"/>
      <c r="Z18" s="4" t="s">
        <v>3641</v>
      </c>
      <c r="AA18" s="4">
        <v>1821736384</v>
      </c>
      <c r="AB18" s="4" t="s">
        <v>132</v>
      </c>
      <c r="AC18" s="4" t="s">
        <v>79</v>
      </c>
      <c r="AD18" s="113">
        <v>36840</v>
      </c>
      <c r="AE18" s="107">
        <v>23.4438356164384</v>
      </c>
      <c r="AF18" s="4" t="s">
        <v>80</v>
      </c>
      <c r="AG18" s="114">
        <v>8263648076</v>
      </c>
      <c r="AH18" s="4" t="s">
        <v>81</v>
      </c>
      <c r="AI18" s="55" t="s">
        <v>104</v>
      </c>
      <c r="AJ18" s="55" t="s">
        <v>3642</v>
      </c>
      <c r="AK18" s="55">
        <v>2025</v>
      </c>
      <c r="AL18" s="4" t="s">
        <v>3643</v>
      </c>
      <c r="AM18" s="4" t="s">
        <v>1973</v>
      </c>
      <c r="AN18" s="4" t="s">
        <v>3641</v>
      </c>
      <c r="AO18" s="4" t="s">
        <v>3644</v>
      </c>
      <c r="AP18" s="4" t="s">
        <v>3645</v>
      </c>
      <c r="AQ18" s="55" t="s">
        <v>3646</v>
      </c>
      <c r="AR18" s="4" t="s">
        <v>110</v>
      </c>
      <c r="AS18" s="4"/>
      <c r="AT18" s="72"/>
      <c r="AU18" s="4"/>
      <c r="AV18" s="4"/>
      <c r="AW18" s="4"/>
      <c r="AX18" s="4"/>
      <c r="AY18" s="4"/>
      <c r="AZ18" s="4"/>
      <c r="BA18" s="4" t="s">
        <v>3498</v>
      </c>
      <c r="BB18" s="4">
        <v>12000</v>
      </c>
      <c r="BC18" s="4">
        <v>3000</v>
      </c>
      <c r="BD18" s="4">
        <v>0</v>
      </c>
      <c r="BE18" s="4" t="s">
        <v>91</v>
      </c>
      <c r="BF18" s="4">
        <v>161273</v>
      </c>
      <c r="BG18" s="4" t="s">
        <v>92</v>
      </c>
      <c r="BH18" s="4" t="s">
        <v>3510</v>
      </c>
      <c r="BI18" s="72">
        <f>VLOOKUP(A18,'ID Block'!A:L,12,0)</f>
        <v>45121</v>
      </c>
      <c r="BJ18" s="154" t="str">
        <f>VLOOKUP(A18,'ID Block'!A:M,13,0)</f>
        <v>Personal Issue</v>
      </c>
      <c r="BK18" s="4">
        <f t="shared" si="0"/>
        <v>81</v>
      </c>
      <c r="BL18" s="105" t="s">
        <v>93</v>
      </c>
      <c r="BM18" s="85" t="s">
        <v>3647</v>
      </c>
      <c r="BN18" s="183" t="s">
        <v>3648</v>
      </c>
      <c r="BO18" s="183"/>
    </row>
    <row r="19" ht="14.4" s="67" customFormat="1">
      <c r="A19" s="4">
        <v>171110</v>
      </c>
      <c r="B19" s="4"/>
      <c r="C19" s="55"/>
      <c r="D19" s="4" t="s">
        <v>3649</v>
      </c>
      <c r="E19" s="4" t="s">
        <v>114</v>
      </c>
      <c r="F19" s="55">
        <v>396303</v>
      </c>
      <c r="G19" s="4" t="s">
        <v>67</v>
      </c>
      <c r="H19" s="4" t="s">
        <v>68</v>
      </c>
      <c r="I19" s="4" t="s">
        <v>2494</v>
      </c>
      <c r="J19" s="55" t="s">
        <v>3650</v>
      </c>
      <c r="K19" s="4" t="s">
        <v>71</v>
      </c>
      <c r="L19" s="4" t="s">
        <v>3487</v>
      </c>
      <c r="M19" s="4" t="s">
        <v>2643</v>
      </c>
      <c r="N19" s="4" t="s">
        <v>74</v>
      </c>
      <c r="O19" s="4" t="s">
        <v>3488</v>
      </c>
      <c r="P19" s="4" t="s">
        <v>3651</v>
      </c>
      <c r="Q19" s="57">
        <v>45116</v>
      </c>
      <c r="R19" s="57">
        <v>45127</v>
      </c>
      <c r="S19" s="113"/>
      <c r="T19" s="113"/>
      <c r="U19" s="4"/>
      <c r="V19" s="4"/>
      <c r="W19" s="105" t="s">
        <v>3652</v>
      </c>
      <c r="X19" s="114">
        <v>1675488690</v>
      </c>
      <c r="Y19" s="55">
        <v>1534672816</v>
      </c>
      <c r="Z19" s="4" t="s">
        <v>3653</v>
      </c>
      <c r="AA19" s="4">
        <v>1749106843</v>
      </c>
      <c r="AB19" s="4" t="s">
        <v>186</v>
      </c>
      <c r="AC19" s="4" t="s">
        <v>79</v>
      </c>
      <c r="AD19" s="113">
        <v>33793</v>
      </c>
      <c r="AE19" s="107">
        <v>31.7917808219178</v>
      </c>
      <c r="AF19" s="4" t="s">
        <v>80</v>
      </c>
      <c r="AG19" s="114">
        <v>7304428167</v>
      </c>
      <c r="AH19" s="4" t="s">
        <v>81</v>
      </c>
      <c r="AI19" s="55" t="s">
        <v>160</v>
      </c>
      <c r="AJ19" s="55" t="s">
        <v>81</v>
      </c>
      <c r="AK19" s="55" t="s">
        <v>81</v>
      </c>
      <c r="AL19" s="4" t="s">
        <v>2127</v>
      </c>
      <c r="AM19" s="4" t="s">
        <v>3654</v>
      </c>
      <c r="AN19" s="4" t="s">
        <v>3655</v>
      </c>
      <c r="AO19" s="4" t="s">
        <v>3656</v>
      </c>
      <c r="AP19" s="4" t="s">
        <v>3657</v>
      </c>
      <c r="AQ19" s="55" t="s">
        <v>338</v>
      </c>
      <c r="AR19" s="4" t="s">
        <v>89</v>
      </c>
      <c r="AS19" s="4"/>
      <c r="AT19" s="72"/>
      <c r="AU19" s="4"/>
      <c r="AV19" s="4"/>
      <c r="AW19" s="4"/>
      <c r="AX19" s="4"/>
      <c r="AY19" s="4"/>
      <c r="AZ19" s="4"/>
      <c r="BA19" s="4" t="s">
        <v>3498</v>
      </c>
      <c r="BB19" s="4">
        <v>10800</v>
      </c>
      <c r="BC19" s="4">
        <v>2700</v>
      </c>
      <c r="BD19" s="4">
        <v>0</v>
      </c>
      <c r="BE19" s="4" t="s">
        <v>91</v>
      </c>
      <c r="BF19" s="4" t="s">
        <v>167</v>
      </c>
      <c r="BG19" s="4" t="s">
        <v>167</v>
      </c>
      <c r="BH19" s="4" t="s">
        <v>3499</v>
      </c>
      <c r="BI19" s="72">
        <f>VLOOKUP(A19,'ID Block'!A:L,12,0)</f>
        <v>45132</v>
      </c>
      <c r="BJ19" s="154" t="str">
        <f>VLOOKUP(A19,'ID Block'!A:M,13,0)</f>
        <v>Unauthorized absent  </v>
      </c>
      <c r="BK19" s="4">
        <f t="shared" si="0"/>
        <v>5</v>
      </c>
      <c r="BL19" s="105" t="s">
        <v>93</v>
      </c>
      <c r="BM19" s="85"/>
      <c r="BN19" s="183"/>
      <c r="BO19" s="183"/>
    </row>
    <row r="20" ht="14.4" s="67" customFormat="1">
      <c r="A20" s="4">
        <v>171012</v>
      </c>
      <c r="B20" s="4"/>
      <c r="C20" s="55" t="s">
        <v>3658</v>
      </c>
      <c r="D20" s="4" t="s">
        <v>3658</v>
      </c>
      <c r="E20" s="4" t="s">
        <v>114</v>
      </c>
      <c r="F20" s="55">
        <v>1210878572</v>
      </c>
      <c r="G20" s="4" t="s">
        <v>67</v>
      </c>
      <c r="H20" s="4" t="s">
        <v>68</v>
      </c>
      <c r="I20" s="4" t="s">
        <v>2494</v>
      </c>
      <c r="J20" s="55" t="s">
        <v>97</v>
      </c>
      <c r="K20" s="4" t="s">
        <v>71</v>
      </c>
      <c r="L20" s="4" t="s">
        <v>3487</v>
      </c>
      <c r="M20" s="4" t="s">
        <v>3659</v>
      </c>
      <c r="N20" s="4" t="s">
        <v>74</v>
      </c>
      <c r="O20" s="4" t="s">
        <v>3488</v>
      </c>
      <c r="P20" s="4" t="s">
        <v>3546</v>
      </c>
      <c r="Q20" s="57">
        <v>45023</v>
      </c>
      <c r="R20" s="57">
        <v>45032</v>
      </c>
      <c r="S20" s="113"/>
      <c r="T20" s="113"/>
      <c r="U20" s="4"/>
      <c r="V20" s="4"/>
      <c r="W20" s="105" t="s">
        <v>3660</v>
      </c>
      <c r="X20" s="114">
        <v>1613446021</v>
      </c>
      <c r="Y20" s="55"/>
      <c r="Z20" s="4" t="s">
        <v>3661</v>
      </c>
      <c r="AA20" s="4">
        <v>1910816500</v>
      </c>
      <c r="AB20" s="4" t="s">
        <v>132</v>
      </c>
      <c r="AC20" s="4" t="s">
        <v>119</v>
      </c>
      <c r="AD20" s="113">
        <v>35974</v>
      </c>
      <c r="AE20" s="107">
        <v>25.8164383561644</v>
      </c>
      <c r="AF20" s="4" t="s">
        <v>80</v>
      </c>
      <c r="AG20" s="114" t="s">
        <v>3662</v>
      </c>
      <c r="AH20" s="4" t="s">
        <v>81</v>
      </c>
      <c r="AI20" s="55" t="s">
        <v>104</v>
      </c>
      <c r="AJ20" s="55" t="s">
        <v>3642</v>
      </c>
      <c r="AK20" s="55">
        <v>2023</v>
      </c>
      <c r="AL20" s="4" t="s">
        <v>3663</v>
      </c>
      <c r="AM20" s="4" t="s">
        <v>3664</v>
      </c>
      <c r="AN20" s="4" t="s">
        <v>3665</v>
      </c>
      <c r="AO20" s="4" t="s">
        <v>3666</v>
      </c>
      <c r="AP20" s="4" t="s">
        <v>3667</v>
      </c>
      <c r="AQ20" s="55" t="s">
        <v>3668</v>
      </c>
      <c r="AR20" s="4" t="s">
        <v>110</v>
      </c>
      <c r="AS20" s="4"/>
      <c r="AT20" s="72"/>
      <c r="AU20" s="4"/>
      <c r="AV20" s="4"/>
      <c r="AW20" s="4"/>
      <c r="AX20" s="4"/>
      <c r="AY20" s="4"/>
      <c r="AZ20" s="4"/>
      <c r="BA20" s="4" t="s">
        <v>3498</v>
      </c>
      <c r="BB20" s="4">
        <v>10800</v>
      </c>
      <c r="BC20" s="4">
        <v>2700</v>
      </c>
      <c r="BD20" s="4">
        <v>0</v>
      </c>
      <c r="BE20" s="4" t="s">
        <v>91</v>
      </c>
      <c r="BF20" s="4">
        <v>160019</v>
      </c>
      <c r="BG20" s="4" t="s">
        <v>92</v>
      </c>
      <c r="BH20" s="4" t="s">
        <v>3510</v>
      </c>
      <c r="BI20" s="72">
        <f>VLOOKUP(A20,'ID Block'!A:L,12,0)</f>
        <v>45128</v>
      </c>
      <c r="BJ20" s="154" t="str">
        <f>VLOOKUP(A20,'ID Block'!A:M,13,0)</f>
        <v>New Opportunity</v>
      </c>
      <c r="BK20" s="4">
        <f t="shared" si="0"/>
        <v>96</v>
      </c>
      <c r="BL20" s="105" t="s">
        <v>93</v>
      </c>
      <c r="BM20" s="85" t="s">
        <v>3669</v>
      </c>
      <c r="BN20" s="183" t="s">
        <v>3522</v>
      </c>
      <c r="BO20" s="183"/>
    </row>
    <row r="21" ht="14.4" s="67" customFormat="1">
      <c r="A21" s="4">
        <v>171037</v>
      </c>
      <c r="B21" s="4"/>
      <c r="C21" s="55" t="s">
        <v>3670</v>
      </c>
      <c r="D21" s="4" t="s">
        <v>3671</v>
      </c>
      <c r="E21" s="4" t="s">
        <v>114</v>
      </c>
      <c r="F21" s="55">
        <v>1410927742</v>
      </c>
      <c r="G21" s="4" t="s">
        <v>67</v>
      </c>
      <c r="H21" s="4" t="s">
        <v>68</v>
      </c>
      <c r="I21" s="4" t="s">
        <v>2494</v>
      </c>
      <c r="J21" s="55" t="s">
        <v>70</v>
      </c>
      <c r="K21" s="4" t="s">
        <v>71</v>
      </c>
      <c r="L21" s="4" t="s">
        <v>3487</v>
      </c>
      <c r="M21" s="4" t="s">
        <v>3503</v>
      </c>
      <c r="N21" s="4" t="s">
        <v>74</v>
      </c>
      <c r="O21" s="4" t="s">
        <v>3488</v>
      </c>
      <c r="P21" s="4" t="s">
        <v>3489</v>
      </c>
      <c r="Q21" s="57">
        <v>45033</v>
      </c>
      <c r="R21" s="57">
        <v>45040</v>
      </c>
      <c r="S21" s="113"/>
      <c r="T21" s="113"/>
      <c r="U21" s="4"/>
      <c r="V21" s="4"/>
      <c r="W21" s="105" t="s">
        <v>3672</v>
      </c>
      <c r="X21" s="114">
        <v>1995536257</v>
      </c>
      <c r="Y21" s="55"/>
      <c r="Z21" s="4" t="s">
        <v>3673</v>
      </c>
      <c r="AA21" s="4">
        <v>1930679007</v>
      </c>
      <c r="AB21" s="4" t="s">
        <v>118</v>
      </c>
      <c r="AC21" s="4" t="s">
        <v>119</v>
      </c>
      <c r="AD21" s="113">
        <v>36448</v>
      </c>
      <c r="AE21" s="107">
        <v>24.5178082191781</v>
      </c>
      <c r="AF21" s="4" t="s">
        <v>80</v>
      </c>
      <c r="AG21" s="114">
        <v>9174068990</v>
      </c>
      <c r="AH21" s="4" t="s">
        <v>81</v>
      </c>
      <c r="AI21" s="55" t="s">
        <v>104</v>
      </c>
      <c r="AJ21" s="55" t="s">
        <v>3642</v>
      </c>
      <c r="AK21" s="55">
        <v>2025</v>
      </c>
      <c r="AL21" s="4" t="s">
        <v>3674</v>
      </c>
      <c r="AM21" s="4" t="s">
        <v>1931</v>
      </c>
      <c r="AN21" s="4" t="s">
        <v>3675</v>
      </c>
      <c r="AO21" s="4" t="s">
        <v>3676</v>
      </c>
      <c r="AP21" s="4" t="s">
        <v>3676</v>
      </c>
      <c r="AQ21" s="55" t="s">
        <v>3677</v>
      </c>
      <c r="AR21" s="4" t="s">
        <v>110</v>
      </c>
      <c r="AS21" s="4"/>
      <c r="AT21" s="72"/>
      <c r="AU21" s="4"/>
      <c r="AV21" s="4"/>
      <c r="AW21" s="4"/>
      <c r="AX21" s="4"/>
      <c r="AY21" s="4"/>
      <c r="AZ21" s="4"/>
      <c r="BA21" s="4" t="s">
        <v>3498</v>
      </c>
      <c r="BB21" s="4">
        <v>10800</v>
      </c>
      <c r="BC21" s="4">
        <v>2700</v>
      </c>
      <c r="BD21" s="4">
        <v>0</v>
      </c>
      <c r="BE21" s="4" t="s">
        <v>91</v>
      </c>
      <c r="BF21" s="4">
        <v>161251</v>
      </c>
      <c r="BG21" s="4" t="s">
        <v>92</v>
      </c>
      <c r="BH21" s="4" t="s">
        <v>3499</v>
      </c>
      <c r="BI21" s="72">
        <f>VLOOKUP(A21,'ID Block'!A:L,12,0)</f>
        <v>45134</v>
      </c>
      <c r="BJ21" s="154" t="str">
        <f>VLOOKUP(A21,'ID Block'!A:M,13,0)</f>
        <v>Unauthorized absent (ZTP) </v>
      </c>
      <c r="BK21" s="4">
        <f t="shared" si="0"/>
        <v>94</v>
      </c>
      <c r="BL21" s="105" t="s">
        <v>93</v>
      </c>
      <c r="BM21" s="85" t="s">
        <v>3678</v>
      </c>
      <c r="BN21" s="183" t="s">
        <v>3679</v>
      </c>
      <c r="BO21" s="183"/>
    </row>
    <row r="22" ht="14.4" s="67" customFormat="1">
      <c r="A22" s="4">
        <v>171038</v>
      </c>
      <c r="B22" s="4"/>
      <c r="C22" s="55" t="s">
        <v>3680</v>
      </c>
      <c r="D22" s="4" t="s">
        <v>3681</v>
      </c>
      <c r="E22" s="4" t="s">
        <v>114</v>
      </c>
      <c r="F22" s="55">
        <v>1410927743</v>
      </c>
      <c r="G22" s="4" t="s">
        <v>67</v>
      </c>
      <c r="H22" s="4" t="s">
        <v>68</v>
      </c>
      <c r="I22" s="4" t="s">
        <v>2494</v>
      </c>
      <c r="J22" s="55" t="s">
        <v>70</v>
      </c>
      <c r="K22" s="4" t="s">
        <v>71</v>
      </c>
      <c r="L22" s="4" t="s">
        <v>3487</v>
      </c>
      <c r="M22" s="4" t="s">
        <v>3503</v>
      </c>
      <c r="N22" s="4" t="s">
        <v>74</v>
      </c>
      <c r="O22" s="4" t="s">
        <v>3488</v>
      </c>
      <c r="P22" s="4" t="s">
        <v>3489</v>
      </c>
      <c r="Q22" s="57">
        <v>45033</v>
      </c>
      <c r="R22" s="57">
        <v>45040</v>
      </c>
      <c r="S22" s="113"/>
      <c r="T22" s="113"/>
      <c r="U22" s="4"/>
      <c r="V22" s="4"/>
      <c r="W22" s="105" t="s">
        <v>3682</v>
      </c>
      <c r="X22" s="114">
        <v>1868981557</v>
      </c>
      <c r="Y22" s="55"/>
      <c r="Z22" s="4" t="s">
        <v>3683</v>
      </c>
      <c r="AA22" s="4">
        <v>1534638453</v>
      </c>
      <c r="AB22" s="4" t="s">
        <v>118</v>
      </c>
      <c r="AC22" s="4" t="s">
        <v>79</v>
      </c>
      <c r="AD22" s="113">
        <v>36949</v>
      </c>
      <c r="AE22" s="107">
        <v>23.1452054794521</v>
      </c>
      <c r="AF22" s="4" t="s">
        <v>80</v>
      </c>
      <c r="AG22" s="114">
        <v>6463620606</v>
      </c>
      <c r="AH22" s="4" t="s">
        <v>81</v>
      </c>
      <c r="AI22" s="55" t="s">
        <v>104</v>
      </c>
      <c r="AJ22" s="55" t="s">
        <v>3642</v>
      </c>
      <c r="AK22" s="55">
        <v>2025</v>
      </c>
      <c r="AL22" s="4" t="s">
        <v>3684</v>
      </c>
      <c r="AM22" s="4" t="s">
        <v>3685</v>
      </c>
      <c r="AN22" s="4" t="s">
        <v>3686</v>
      </c>
      <c r="AO22" s="4" t="s">
        <v>3687</v>
      </c>
      <c r="AP22" s="4" t="s">
        <v>3688</v>
      </c>
      <c r="AQ22" s="55" t="s">
        <v>3689</v>
      </c>
      <c r="AR22" s="4" t="s">
        <v>110</v>
      </c>
      <c r="AS22" s="4"/>
      <c r="AT22" s="72"/>
      <c r="AU22" s="4"/>
      <c r="AV22" s="4"/>
      <c r="AW22" s="4"/>
      <c r="AX22" s="4"/>
      <c r="AY22" s="4"/>
      <c r="AZ22" s="4"/>
      <c r="BA22" s="4" t="s">
        <v>3498</v>
      </c>
      <c r="BB22" s="4">
        <v>10800</v>
      </c>
      <c r="BC22" s="4">
        <v>2700</v>
      </c>
      <c r="BD22" s="4">
        <v>0</v>
      </c>
      <c r="BE22" s="4" t="s">
        <v>91</v>
      </c>
      <c r="BF22" s="4">
        <v>161247</v>
      </c>
      <c r="BG22" s="4" t="s">
        <v>92</v>
      </c>
      <c r="BH22" s="4" t="s">
        <v>3499</v>
      </c>
      <c r="BI22" s="72">
        <f>VLOOKUP(A22,'ID Block'!A:L,12,0)</f>
        <v>45134</v>
      </c>
      <c r="BJ22" s="154" t="str">
        <f>VLOOKUP(A22,'ID Block'!A:M,13,0)</f>
        <v>Unauthorized absent (ZTP) </v>
      </c>
      <c r="BK22" s="4">
        <f t="shared" si="0"/>
        <v>94</v>
      </c>
      <c r="BL22" s="105" t="s">
        <v>93</v>
      </c>
      <c r="BM22" s="85" t="s">
        <v>3690</v>
      </c>
      <c r="BN22" s="183" t="s">
        <v>3679</v>
      </c>
      <c r="BO22" s="183"/>
    </row>
    <row r="23" ht="14.4" s="67" customFormat="1">
      <c r="A23" s="4">
        <v>171020</v>
      </c>
      <c r="B23" s="4"/>
      <c r="C23" s="55" t="s">
        <v>3691</v>
      </c>
      <c r="D23" s="4" t="s">
        <v>3692</v>
      </c>
      <c r="E23" s="4" t="s">
        <v>66</v>
      </c>
      <c r="F23" s="55">
        <v>125973</v>
      </c>
      <c r="G23" s="4" t="s">
        <v>67</v>
      </c>
      <c r="H23" s="4" t="s">
        <v>68</v>
      </c>
      <c r="I23" s="4" t="s">
        <v>2494</v>
      </c>
      <c r="J23" s="55" t="s">
        <v>70</v>
      </c>
      <c r="K23" s="4" t="s">
        <v>71</v>
      </c>
      <c r="L23" s="4" t="s">
        <v>3487</v>
      </c>
      <c r="M23" s="4" t="s">
        <v>3512</v>
      </c>
      <c r="N23" s="4" t="s">
        <v>74</v>
      </c>
      <c r="O23" s="4" t="s">
        <v>3488</v>
      </c>
      <c r="P23" s="4" t="s">
        <v>3585</v>
      </c>
      <c r="Q23" s="57">
        <v>45029</v>
      </c>
      <c r="R23" s="57">
        <v>45042</v>
      </c>
      <c r="S23" s="113"/>
      <c r="T23" s="113"/>
      <c r="U23" s="4"/>
      <c r="V23" s="4"/>
      <c r="W23" s="105" t="s">
        <v>3693</v>
      </c>
      <c r="X23" s="114">
        <v>1737773259</v>
      </c>
      <c r="Y23" s="55"/>
      <c r="Z23" s="4" t="s">
        <v>3694</v>
      </c>
      <c r="AA23" s="4">
        <v>1734883691</v>
      </c>
      <c r="AB23" s="4" t="s">
        <v>252</v>
      </c>
      <c r="AC23" s="4" t="s">
        <v>133</v>
      </c>
      <c r="AD23" s="113">
        <v>34349</v>
      </c>
      <c r="AE23" s="107">
        <v>30.2684931506849</v>
      </c>
      <c r="AF23" s="4" t="s">
        <v>80</v>
      </c>
      <c r="AG23" s="114">
        <v>19948524901000000</v>
      </c>
      <c r="AH23" s="4" t="s">
        <v>81</v>
      </c>
      <c r="AI23" s="55" t="s">
        <v>187</v>
      </c>
      <c r="AJ23" s="55" t="s">
        <v>81</v>
      </c>
      <c r="AK23" s="55" t="s">
        <v>81</v>
      </c>
      <c r="AL23" s="4" t="s">
        <v>3695</v>
      </c>
      <c r="AM23" s="4" t="s">
        <v>3696</v>
      </c>
      <c r="AN23" s="4" t="s">
        <v>325</v>
      </c>
      <c r="AO23" s="4" t="s">
        <v>3697</v>
      </c>
      <c r="AP23" s="4" t="s">
        <v>3698</v>
      </c>
      <c r="AQ23" s="55" t="s">
        <v>3699</v>
      </c>
      <c r="AR23" s="4" t="s">
        <v>110</v>
      </c>
      <c r="AS23" s="4"/>
      <c r="AT23" s="72"/>
      <c r="AU23" s="4"/>
      <c r="AV23" s="4"/>
      <c r="AW23" s="4"/>
      <c r="AX23" s="4"/>
      <c r="AY23" s="4"/>
      <c r="AZ23" s="4"/>
      <c r="BA23" s="4" t="s">
        <v>3498</v>
      </c>
      <c r="BB23" s="4">
        <v>10800</v>
      </c>
      <c r="BC23" s="4">
        <v>2700</v>
      </c>
      <c r="BD23" s="4">
        <v>0</v>
      </c>
      <c r="BE23" s="4" t="s">
        <v>91</v>
      </c>
      <c r="BF23" s="4">
        <v>161562</v>
      </c>
      <c r="BG23" s="4" t="s">
        <v>92</v>
      </c>
      <c r="BH23" s="4" t="s">
        <v>3510</v>
      </c>
      <c r="BI23" s="72">
        <f>VLOOKUP(A23,'ID Block'!A:L,12,0)</f>
        <v>45122</v>
      </c>
      <c r="BJ23" s="154" t="str">
        <f>VLOOKUP(A23,'ID Block'!A:M,13,0)</f>
        <v>Personal Issue</v>
      </c>
      <c r="BK23" s="4">
        <f t="shared" si="0"/>
        <v>80</v>
      </c>
      <c r="BL23" s="105" t="s">
        <v>93</v>
      </c>
      <c r="BM23" s="85" t="s">
        <v>3700</v>
      </c>
      <c r="BN23" s="183" t="s">
        <v>3701</v>
      </c>
      <c r="BO23" s="183"/>
    </row>
    <row r="24" ht="14.4" s="67" customFormat="1">
      <c r="A24" s="4">
        <v>171045</v>
      </c>
      <c r="B24" s="4"/>
      <c r="C24" s="55" t="s">
        <v>3702</v>
      </c>
      <c r="D24" s="4" t="s">
        <v>3703</v>
      </c>
      <c r="E24" s="4" t="s">
        <v>114</v>
      </c>
      <c r="F24" s="55">
        <v>289328</v>
      </c>
      <c r="G24" s="4" t="s">
        <v>67</v>
      </c>
      <c r="H24" s="4" t="s">
        <v>68</v>
      </c>
      <c r="I24" s="4" t="s">
        <v>2494</v>
      </c>
      <c r="J24" s="55" t="s">
        <v>70</v>
      </c>
      <c r="K24" s="4" t="s">
        <v>71</v>
      </c>
      <c r="L24" s="4" t="s">
        <v>3487</v>
      </c>
      <c r="M24" s="4" t="s">
        <v>3503</v>
      </c>
      <c r="N24" s="4" t="s">
        <v>74</v>
      </c>
      <c r="O24" s="4" t="s">
        <v>3488</v>
      </c>
      <c r="P24" s="4" t="s">
        <v>3489</v>
      </c>
      <c r="Q24" s="57">
        <v>45033</v>
      </c>
      <c r="R24" s="57">
        <v>45040</v>
      </c>
      <c r="S24" s="113"/>
      <c r="T24" s="113"/>
      <c r="U24" s="4"/>
      <c r="V24" s="4"/>
      <c r="W24" s="105" t="s">
        <v>3704</v>
      </c>
      <c r="X24" s="114">
        <v>1776979961</v>
      </c>
      <c r="Y24" s="55"/>
      <c r="Z24" s="4" t="s">
        <v>3705</v>
      </c>
      <c r="AA24" s="4">
        <v>1673546087</v>
      </c>
      <c r="AB24" s="4" t="s">
        <v>410</v>
      </c>
      <c r="AC24" s="4" t="s">
        <v>133</v>
      </c>
      <c r="AD24" s="113">
        <v>34124</v>
      </c>
      <c r="AE24" s="107">
        <v>30.8849315068493</v>
      </c>
      <c r="AF24" s="4" t="s">
        <v>492</v>
      </c>
      <c r="AG24" s="114">
        <v>7322120515</v>
      </c>
      <c r="AH24" s="4" t="s">
        <v>81</v>
      </c>
      <c r="AI24" s="55" t="s">
        <v>1368</v>
      </c>
      <c r="AJ24" s="55" t="s">
        <v>81</v>
      </c>
      <c r="AK24" s="55" t="s">
        <v>81</v>
      </c>
      <c r="AL24" s="4" t="s">
        <v>372</v>
      </c>
      <c r="AM24" s="4" t="s">
        <v>3706</v>
      </c>
      <c r="AN24" s="4" t="s">
        <v>3707</v>
      </c>
      <c r="AO24" s="4" t="s">
        <v>3708</v>
      </c>
      <c r="AP24" s="4" t="s">
        <v>3709</v>
      </c>
      <c r="AQ24" s="55" t="s">
        <v>3710</v>
      </c>
      <c r="AR24" s="4" t="s">
        <v>89</v>
      </c>
      <c r="AS24" s="4"/>
      <c r="AT24" s="72"/>
      <c r="AU24" s="4"/>
      <c r="AV24" s="4"/>
      <c r="AW24" s="4"/>
      <c r="AX24" s="4"/>
      <c r="AY24" s="4"/>
      <c r="AZ24" s="4"/>
      <c r="BA24" s="4" t="s">
        <v>3498</v>
      </c>
      <c r="BB24" s="4">
        <v>12000</v>
      </c>
      <c r="BC24" s="4">
        <v>3000</v>
      </c>
      <c r="BD24" s="4">
        <v>0</v>
      </c>
      <c r="BE24" s="4" t="s">
        <v>91</v>
      </c>
      <c r="BF24" s="4">
        <v>161548</v>
      </c>
      <c r="BG24" s="4" t="s">
        <v>92</v>
      </c>
      <c r="BH24" s="4" t="s">
        <v>3510</v>
      </c>
      <c r="BI24" s="72">
        <f>VLOOKUP(A24,'ID Block'!A:L,12,0)</f>
        <v>45128</v>
      </c>
      <c r="BJ24" s="154" t="str">
        <f>VLOOKUP(A24,'ID Block'!A:M,13,0)</f>
        <v>Personal Issue</v>
      </c>
      <c r="BK24" s="4">
        <f t="shared" si="0"/>
        <v>88</v>
      </c>
      <c r="BL24" s="105" t="s">
        <v>93</v>
      </c>
      <c r="BM24" s="85"/>
      <c r="BN24" s="183" t="s">
        <v>3711</v>
      </c>
      <c r="BO24" s="183"/>
    </row>
    <row r="25" ht="14.4" s="67" customFormat="1">
      <c r="A25" s="4" t="s">
        <v>3712</v>
      </c>
      <c r="B25" s="4"/>
      <c r="C25" s="55"/>
      <c r="D25" s="4" t="s">
        <v>3713</v>
      </c>
      <c r="E25" s="4" t="s">
        <v>114</v>
      </c>
      <c r="F25" s="55">
        <v>1110225409</v>
      </c>
      <c r="G25" s="4" t="s">
        <v>67</v>
      </c>
      <c r="H25" s="4" t="s">
        <v>68</v>
      </c>
      <c r="I25" s="4" t="s">
        <v>2494</v>
      </c>
      <c r="J25" s="55" t="s">
        <v>2495</v>
      </c>
      <c r="K25" s="4" t="s">
        <v>71</v>
      </c>
      <c r="L25" s="4" t="s">
        <v>3487</v>
      </c>
      <c r="M25" s="4" t="s">
        <v>2643</v>
      </c>
      <c r="N25" s="4" t="s">
        <v>74</v>
      </c>
      <c r="O25" s="4" t="s">
        <v>3488</v>
      </c>
      <c r="P25" s="4" t="s">
        <v>3597</v>
      </c>
      <c r="Q25" s="57">
        <v>45110</v>
      </c>
      <c r="R25" s="57">
        <v>45113</v>
      </c>
      <c r="S25" s="113"/>
      <c r="T25" s="113"/>
      <c r="U25" s="4"/>
      <c r="V25" s="4"/>
      <c r="W25" s="105" t="s">
        <v>3714</v>
      </c>
      <c r="X25" s="114">
        <v>1734707089</v>
      </c>
      <c r="Y25" s="55" t="s">
        <v>81</v>
      </c>
      <c r="Z25" s="4" t="s">
        <v>3715</v>
      </c>
      <c r="AA25" s="4">
        <v>1855282657</v>
      </c>
      <c r="AB25" s="4" t="s">
        <v>252</v>
      </c>
      <c r="AC25" s="4" t="s">
        <v>79</v>
      </c>
      <c r="AD25" s="113">
        <v>35442</v>
      </c>
      <c r="AE25" s="107">
        <v>27.2739726027397</v>
      </c>
      <c r="AF25" s="4" t="s">
        <v>360</v>
      </c>
      <c r="AG25" s="114">
        <v>6473026265</v>
      </c>
      <c r="AH25" s="4" t="s">
        <v>81</v>
      </c>
      <c r="AI25" s="55" t="s">
        <v>1517</v>
      </c>
      <c r="AJ25" s="55" t="s">
        <v>81</v>
      </c>
      <c r="AK25" s="55" t="s">
        <v>81</v>
      </c>
      <c r="AL25" s="4" t="s">
        <v>3716</v>
      </c>
      <c r="AM25" s="4" t="s">
        <v>3717</v>
      </c>
      <c r="AN25" s="4" t="s">
        <v>3718</v>
      </c>
      <c r="AO25" s="4" t="s">
        <v>3719</v>
      </c>
      <c r="AP25" s="4" t="s">
        <v>3720</v>
      </c>
      <c r="AQ25" s="55" t="s">
        <v>2444</v>
      </c>
      <c r="AR25" s="4" t="s">
        <v>224</v>
      </c>
      <c r="AS25" s="4"/>
      <c r="AT25" s="72"/>
      <c r="AU25" s="4"/>
      <c r="AV25" s="4"/>
      <c r="AW25" s="4"/>
      <c r="AX25" s="4"/>
      <c r="AY25" s="4"/>
      <c r="AZ25" s="4"/>
      <c r="BA25" s="4" t="s">
        <v>3498</v>
      </c>
      <c r="BB25" s="4">
        <v>10800</v>
      </c>
      <c r="BC25" s="4">
        <v>2700</v>
      </c>
      <c r="BD25" s="4">
        <v>0</v>
      </c>
      <c r="BE25" s="4" t="s">
        <v>91</v>
      </c>
      <c r="BF25" s="4" t="s">
        <v>167</v>
      </c>
      <c r="BG25" s="4" t="s">
        <v>167</v>
      </c>
      <c r="BH25" s="4" t="s">
        <v>3499</v>
      </c>
      <c r="BI25" s="72"/>
      <c r="BJ25" s="154"/>
      <c r="BK25" s="4">
        <f t="shared" si="0"/>
        <v>-45113</v>
      </c>
      <c r="BL25" s="105" t="s">
        <v>93</v>
      </c>
      <c r="BM25" s="85"/>
      <c r="BN25" s="183"/>
      <c r="BO25" s="183"/>
    </row>
    <row r="26" ht="14.4" s="67" customFormat="1">
      <c r="A26" s="4">
        <v>171015</v>
      </c>
      <c r="B26" s="4"/>
      <c r="C26" s="55" t="s">
        <v>3721</v>
      </c>
      <c r="D26" s="4" t="s">
        <v>3722</v>
      </c>
      <c r="E26" s="4" t="s">
        <v>66</v>
      </c>
      <c r="F26" s="55">
        <v>714311</v>
      </c>
      <c r="G26" s="4" t="s">
        <v>67</v>
      </c>
      <c r="H26" s="4" t="s">
        <v>68</v>
      </c>
      <c r="I26" s="4" t="s">
        <v>2494</v>
      </c>
      <c r="J26" s="55" t="s">
        <v>70</v>
      </c>
      <c r="K26" s="4" t="s">
        <v>71</v>
      </c>
      <c r="L26" s="4" t="s">
        <v>3487</v>
      </c>
      <c r="M26" s="4" t="s">
        <v>3512</v>
      </c>
      <c r="N26" s="4" t="s">
        <v>74</v>
      </c>
      <c r="O26" s="4" t="s">
        <v>3488</v>
      </c>
      <c r="P26" s="4" t="s">
        <v>3585</v>
      </c>
      <c r="Q26" s="57">
        <v>45029</v>
      </c>
      <c r="R26" s="57">
        <v>45042</v>
      </c>
      <c r="S26" s="113"/>
      <c r="T26" s="113"/>
      <c r="U26" s="4"/>
      <c r="V26" s="4"/>
      <c r="W26" s="105" t="s">
        <v>3723</v>
      </c>
      <c r="X26" s="114">
        <v>17839043030</v>
      </c>
      <c r="Y26" s="55"/>
      <c r="Z26" s="4" t="s">
        <v>3724</v>
      </c>
      <c r="AA26" s="4">
        <v>1865960668</v>
      </c>
      <c r="AB26" s="4" t="s">
        <v>252</v>
      </c>
      <c r="AC26" s="4" t="s">
        <v>119</v>
      </c>
      <c r="AD26" s="113">
        <v>33871</v>
      </c>
      <c r="AE26" s="107">
        <v>31.5780821917808</v>
      </c>
      <c r="AF26" s="4" t="s">
        <v>80</v>
      </c>
      <c r="AG26" s="114">
        <v>3757671155</v>
      </c>
      <c r="AH26" s="4" t="s">
        <v>81</v>
      </c>
      <c r="AI26" s="55" t="s">
        <v>187</v>
      </c>
      <c r="AJ26" s="55" t="s">
        <v>81</v>
      </c>
      <c r="AK26" s="55" t="s">
        <v>81</v>
      </c>
      <c r="AL26" s="4" t="s">
        <v>3725</v>
      </c>
      <c r="AM26" s="4" t="s">
        <v>3726</v>
      </c>
      <c r="AN26" s="4" t="s">
        <v>3727</v>
      </c>
      <c r="AO26" s="4" t="s">
        <v>3728</v>
      </c>
      <c r="AP26" s="4" t="s">
        <v>3729</v>
      </c>
      <c r="AQ26" s="55" t="s">
        <v>3730</v>
      </c>
      <c r="AR26" s="4" t="s">
        <v>110</v>
      </c>
      <c r="AS26" s="4"/>
      <c r="AT26" s="72"/>
      <c r="AU26" s="4"/>
      <c r="AV26" s="4"/>
      <c r="AW26" s="4"/>
      <c r="AX26" s="4"/>
      <c r="AY26" s="4"/>
      <c r="AZ26" s="4"/>
      <c r="BA26" s="4" t="s">
        <v>3498</v>
      </c>
      <c r="BB26" s="4">
        <v>10800</v>
      </c>
      <c r="BC26" s="4">
        <v>2700</v>
      </c>
      <c r="BD26" s="4">
        <v>0</v>
      </c>
      <c r="BE26" s="4" t="s">
        <v>91</v>
      </c>
      <c r="BF26" s="4">
        <v>161618</v>
      </c>
      <c r="BG26" s="4" t="s">
        <v>92</v>
      </c>
      <c r="BH26" s="4" t="s">
        <v>3510</v>
      </c>
      <c r="BI26" s="72">
        <f>VLOOKUP(A26,'ID Block'!A:L,12,0)</f>
        <v>45139</v>
      </c>
      <c r="BJ26" s="154" t="str">
        <f>VLOOKUP(A26,'ID Block'!A:M,13,0)</f>
        <v>New Opportunity</v>
      </c>
      <c r="BK26" s="4">
        <f t="shared" si="0"/>
        <v>97</v>
      </c>
      <c r="BL26" s="105" t="s">
        <v>93</v>
      </c>
      <c r="BM26" s="85" t="s">
        <v>3731</v>
      </c>
      <c r="BN26" s="183" t="s">
        <v>3522</v>
      </c>
      <c r="BO26" s="183"/>
    </row>
    <row r="27" ht="14.4" s="67" customFormat="1">
      <c r="A27" s="4">
        <v>171028</v>
      </c>
      <c r="B27" s="4"/>
      <c r="C27" s="55"/>
      <c r="D27" s="4" t="s">
        <v>3732</v>
      </c>
      <c r="E27" s="4" t="s">
        <v>66</v>
      </c>
      <c r="F27" s="55">
        <v>395863</v>
      </c>
      <c r="G27" s="4" t="s">
        <v>67</v>
      </c>
      <c r="H27" s="4" t="s">
        <v>68</v>
      </c>
      <c r="I27" s="4" t="s">
        <v>2494</v>
      </c>
      <c r="J27" s="55" t="s">
        <v>70</v>
      </c>
      <c r="K27" s="4" t="s">
        <v>71</v>
      </c>
      <c r="L27" s="4" t="s">
        <v>3487</v>
      </c>
      <c r="M27" s="4" t="s">
        <v>3512</v>
      </c>
      <c r="N27" s="4" t="s">
        <v>74</v>
      </c>
      <c r="O27" s="4" t="s">
        <v>3488</v>
      </c>
      <c r="P27" s="4" t="s">
        <v>3585</v>
      </c>
      <c r="Q27" s="57">
        <v>45029</v>
      </c>
      <c r="R27" s="57">
        <v>45042</v>
      </c>
      <c r="S27" s="113"/>
      <c r="T27" s="113"/>
      <c r="U27" s="4"/>
      <c r="V27" s="4"/>
      <c r="W27" s="105" t="s">
        <v>3733</v>
      </c>
      <c r="X27" s="114">
        <v>1601847941</v>
      </c>
      <c r="Y27" s="55"/>
      <c r="Z27" s="4" t="s">
        <v>3734</v>
      </c>
      <c r="AA27" s="4">
        <v>1631632801</v>
      </c>
      <c r="AB27" s="4" t="s">
        <v>118</v>
      </c>
      <c r="AC27" s="4" t="s">
        <v>119</v>
      </c>
      <c r="AD27" s="113">
        <v>34972</v>
      </c>
      <c r="AE27" s="107">
        <v>28.5616438356164</v>
      </c>
      <c r="AF27" s="4" t="s">
        <v>80</v>
      </c>
      <c r="AG27" s="114">
        <v>3752284202</v>
      </c>
      <c r="AH27" s="4" t="s">
        <v>81</v>
      </c>
      <c r="AI27" s="55" t="s">
        <v>160</v>
      </c>
      <c r="AJ27" s="55" t="s">
        <v>81</v>
      </c>
      <c r="AK27" s="55" t="s">
        <v>81</v>
      </c>
      <c r="AL27" s="4" t="s">
        <v>3735</v>
      </c>
      <c r="AM27" s="4" t="s">
        <v>3736</v>
      </c>
      <c r="AN27" s="4" t="s">
        <v>3737</v>
      </c>
      <c r="AO27" s="4" t="s">
        <v>3738</v>
      </c>
      <c r="AP27" s="4" t="s">
        <v>3738</v>
      </c>
      <c r="AQ27" s="55" t="s">
        <v>3739</v>
      </c>
      <c r="AR27" s="4" t="s">
        <v>89</v>
      </c>
      <c r="AS27" s="4"/>
      <c r="AT27" s="72"/>
      <c r="AU27" s="4"/>
      <c r="AV27" s="4"/>
      <c r="AW27" s="4"/>
      <c r="AX27" s="4"/>
      <c r="AY27" s="4"/>
      <c r="AZ27" s="4"/>
      <c r="BA27" s="4" t="s">
        <v>3498</v>
      </c>
      <c r="BB27" s="4">
        <v>10800</v>
      </c>
      <c r="BC27" s="4">
        <v>2700</v>
      </c>
      <c r="BD27" s="4">
        <v>0</v>
      </c>
      <c r="BE27" s="4" t="s">
        <v>91</v>
      </c>
      <c r="BF27" s="4">
        <v>161636</v>
      </c>
      <c r="BG27" s="4" t="s">
        <v>92</v>
      </c>
      <c r="BH27" s="4" t="s">
        <v>3510</v>
      </c>
      <c r="BI27" s="72">
        <f>VLOOKUP(A27,'ID Block'!A:L,12,0)</f>
        <v>45152</v>
      </c>
      <c r="BJ27" s="154" t="str">
        <f>VLOOKUP(A27,'ID Block'!A:M,13,0)</f>
        <v>Personal Issue</v>
      </c>
      <c r="BK27" s="4">
        <f t="shared" si="0"/>
        <v>110</v>
      </c>
      <c r="BL27" s="105" t="s">
        <v>168</v>
      </c>
      <c r="BM27" s="85" t="s">
        <v>3740</v>
      </c>
      <c r="BN27" s="183" t="s">
        <v>3741</v>
      </c>
      <c r="BO27" s="183"/>
    </row>
    <row r="28" ht="14.4" s="67" customFormat="1">
      <c r="A28" s="4">
        <v>171026</v>
      </c>
      <c r="B28" s="4"/>
      <c r="C28" s="55"/>
      <c r="D28" s="4" t="s">
        <v>3742</v>
      </c>
      <c r="E28" s="4" t="s">
        <v>114</v>
      </c>
      <c r="F28" s="55">
        <v>540385</v>
      </c>
      <c r="G28" s="4" t="s">
        <v>67</v>
      </c>
      <c r="H28" s="4" t="s">
        <v>68</v>
      </c>
      <c r="I28" s="4" t="s">
        <v>2494</v>
      </c>
      <c r="J28" s="55" t="s">
        <v>70</v>
      </c>
      <c r="K28" s="4" t="s">
        <v>71</v>
      </c>
      <c r="L28" s="4" t="s">
        <v>3487</v>
      </c>
      <c r="M28" s="4" t="s">
        <v>3512</v>
      </c>
      <c r="N28" s="4" t="s">
        <v>74</v>
      </c>
      <c r="O28" s="4" t="s">
        <v>3488</v>
      </c>
      <c r="P28" s="4" t="s">
        <v>3585</v>
      </c>
      <c r="Q28" s="57">
        <v>45029</v>
      </c>
      <c r="R28" s="57">
        <v>45042</v>
      </c>
      <c r="S28" s="113"/>
      <c r="T28" s="113"/>
      <c r="U28" s="4"/>
      <c r="V28" s="4"/>
      <c r="W28" s="105" t="s">
        <v>3743</v>
      </c>
      <c r="X28" s="114">
        <v>1981133126</v>
      </c>
      <c r="Y28" s="55"/>
      <c r="Z28" s="4" t="s">
        <v>3744</v>
      </c>
      <c r="AA28" s="4">
        <v>1982244819</v>
      </c>
      <c r="AB28" s="4" t="s">
        <v>252</v>
      </c>
      <c r="AC28" s="4" t="s">
        <v>133</v>
      </c>
      <c r="AD28" s="113">
        <v>35067</v>
      </c>
      <c r="AE28" s="107">
        <v>28.3013698630137</v>
      </c>
      <c r="AF28" s="4" t="s">
        <v>80</v>
      </c>
      <c r="AG28" s="114">
        <v>7352662204</v>
      </c>
      <c r="AH28" s="4" t="s">
        <v>81</v>
      </c>
      <c r="AI28" s="55" t="s">
        <v>187</v>
      </c>
      <c r="AJ28" s="55" t="s">
        <v>81</v>
      </c>
      <c r="AK28" s="55" t="s">
        <v>81</v>
      </c>
      <c r="AL28" s="4" t="s">
        <v>524</v>
      </c>
      <c r="AM28" s="4" t="s">
        <v>3745</v>
      </c>
      <c r="AN28" s="4" t="s">
        <v>3746</v>
      </c>
      <c r="AO28" s="4" t="s">
        <v>3747</v>
      </c>
      <c r="AP28" s="4" t="s">
        <v>3748</v>
      </c>
      <c r="AQ28" s="55" t="s">
        <v>3749</v>
      </c>
      <c r="AR28" s="4" t="s">
        <v>110</v>
      </c>
      <c r="AS28" s="4"/>
      <c r="AT28" s="72"/>
      <c r="AU28" s="4"/>
      <c r="AV28" s="4"/>
      <c r="AW28" s="4"/>
      <c r="AX28" s="4"/>
      <c r="AY28" s="4"/>
      <c r="AZ28" s="4"/>
      <c r="BA28" s="4" t="s">
        <v>3498</v>
      </c>
      <c r="BB28" s="4">
        <v>12000</v>
      </c>
      <c r="BC28" s="4">
        <v>3000</v>
      </c>
      <c r="BD28" s="4">
        <v>0</v>
      </c>
      <c r="BE28" s="4" t="s">
        <v>91</v>
      </c>
      <c r="BF28" s="4">
        <v>161568</v>
      </c>
      <c r="BG28" s="4" t="s">
        <v>92</v>
      </c>
      <c r="BH28" s="4" t="s">
        <v>3510</v>
      </c>
      <c r="BI28" s="72">
        <f>VLOOKUP(A28,'ID Block'!A:L,12,0)</f>
        <v>45152</v>
      </c>
      <c r="BJ28" s="154" t="str">
        <f>VLOOKUP(A28,'ID Block'!A:M,13,0)</f>
        <v>Personal Issue</v>
      </c>
      <c r="BK28" s="4">
        <f t="shared" si="0"/>
        <v>110</v>
      </c>
      <c r="BL28" s="105" t="s">
        <v>168</v>
      </c>
      <c r="BM28" s="85" t="s">
        <v>3750</v>
      </c>
      <c r="BN28" s="183" t="s">
        <v>3741</v>
      </c>
      <c r="BO28" s="183"/>
    </row>
    <row r="29" ht="14.4" s="67" customFormat="1">
      <c r="A29" s="4">
        <v>171008</v>
      </c>
      <c r="B29" s="4"/>
      <c r="C29" s="55" t="s">
        <v>3751</v>
      </c>
      <c r="D29" s="4" t="s">
        <v>3752</v>
      </c>
      <c r="E29" s="4" t="s">
        <v>66</v>
      </c>
      <c r="F29" s="55">
        <v>1410850245</v>
      </c>
      <c r="G29" s="4" t="s">
        <v>67</v>
      </c>
      <c r="H29" s="4" t="s">
        <v>68</v>
      </c>
      <c r="I29" s="4" t="s">
        <v>2494</v>
      </c>
      <c r="J29" s="55" t="s">
        <v>407</v>
      </c>
      <c r="K29" s="4" t="s">
        <v>71</v>
      </c>
      <c r="L29" s="4" t="s">
        <v>3487</v>
      </c>
      <c r="M29" s="4" t="s">
        <v>3503</v>
      </c>
      <c r="N29" s="4" t="s">
        <v>74</v>
      </c>
      <c r="O29" s="4" t="s">
        <v>3488</v>
      </c>
      <c r="P29" s="4" t="s">
        <v>3546</v>
      </c>
      <c r="Q29" s="57">
        <v>45023</v>
      </c>
      <c r="R29" s="57">
        <v>45032</v>
      </c>
      <c r="S29" s="113"/>
      <c r="T29" s="113"/>
      <c r="U29" s="4"/>
      <c r="V29" s="4"/>
      <c r="W29" s="105" t="s">
        <v>3753</v>
      </c>
      <c r="X29" s="114">
        <v>1736681943</v>
      </c>
      <c r="Y29" s="55"/>
      <c r="Z29" s="4" t="s">
        <v>3754</v>
      </c>
      <c r="AA29" s="4">
        <v>178083269</v>
      </c>
      <c r="AB29" s="4" t="s">
        <v>78</v>
      </c>
      <c r="AC29" s="4" t="s">
        <v>79</v>
      </c>
      <c r="AD29" s="113">
        <v>37132</v>
      </c>
      <c r="AE29" s="107">
        <v>22.6438356164384</v>
      </c>
      <c r="AF29" s="4" t="s">
        <v>80</v>
      </c>
      <c r="AG29" s="114">
        <v>4663431247</v>
      </c>
      <c r="AH29" s="4" t="s">
        <v>81</v>
      </c>
      <c r="AI29" s="55" t="s">
        <v>104</v>
      </c>
      <c r="AJ29" s="55" t="s">
        <v>3755</v>
      </c>
      <c r="AK29" s="55">
        <v>2025</v>
      </c>
      <c r="AL29" s="4" t="s">
        <v>106</v>
      </c>
      <c r="AM29" s="4" t="s">
        <v>3756</v>
      </c>
      <c r="AN29" s="4" t="s">
        <v>3757</v>
      </c>
      <c r="AO29" s="4" t="s">
        <v>3758</v>
      </c>
      <c r="AP29" s="4" t="s">
        <v>3758</v>
      </c>
      <c r="AQ29" s="55" t="s">
        <v>3759</v>
      </c>
      <c r="AR29" s="4" t="s">
        <v>89</v>
      </c>
      <c r="AS29" s="4"/>
      <c r="AT29" s="72"/>
      <c r="AU29" s="4"/>
      <c r="AV29" s="4"/>
      <c r="AW29" s="4"/>
      <c r="AX29" s="4"/>
      <c r="AY29" s="4"/>
      <c r="AZ29" s="4"/>
      <c r="BA29" s="4" t="s">
        <v>3498</v>
      </c>
      <c r="BB29" s="4">
        <v>10800</v>
      </c>
      <c r="BC29" s="4">
        <v>2700</v>
      </c>
      <c r="BD29" s="4">
        <v>0</v>
      </c>
      <c r="BE29" s="4" t="s">
        <v>91</v>
      </c>
      <c r="BF29" s="4">
        <v>160542</v>
      </c>
      <c r="BG29" s="4" t="s">
        <v>92</v>
      </c>
      <c r="BH29" s="4" t="s">
        <v>3510</v>
      </c>
      <c r="BI29" s="72">
        <f>VLOOKUP(A29,'ID Block'!A:L,12,0)</f>
        <v>45154</v>
      </c>
      <c r="BJ29" s="154" t="str">
        <f>VLOOKUP(A29,'ID Block'!A:M,13,0)</f>
        <v>Personal Issue</v>
      </c>
      <c r="BK29" s="4">
        <f t="shared" si="0"/>
        <v>122</v>
      </c>
      <c r="BL29" s="105" t="s">
        <v>168</v>
      </c>
      <c r="BM29" s="85" t="s">
        <v>3760</v>
      </c>
      <c r="BN29" s="183" t="s">
        <v>3761</v>
      </c>
      <c r="BO29" s="183"/>
    </row>
    <row r="30" ht="14.4" s="67" customFormat="1">
      <c r="A30" s="4">
        <v>171059</v>
      </c>
      <c r="B30" s="4"/>
      <c r="C30" s="55"/>
      <c r="D30" s="4" t="s">
        <v>3762</v>
      </c>
      <c r="E30" s="4" t="s">
        <v>66</v>
      </c>
      <c r="F30" s="55">
        <v>518945</v>
      </c>
      <c r="G30" s="4" t="s">
        <v>67</v>
      </c>
      <c r="H30" s="4" t="s">
        <v>68</v>
      </c>
      <c r="I30" s="4" t="s">
        <v>2494</v>
      </c>
      <c r="J30" s="55" t="s">
        <v>70</v>
      </c>
      <c r="K30" s="4" t="s">
        <v>71</v>
      </c>
      <c r="L30" s="4" t="s">
        <v>3487</v>
      </c>
      <c r="M30" s="4" t="s">
        <v>2643</v>
      </c>
      <c r="N30" s="4" t="s">
        <v>74</v>
      </c>
      <c r="O30" s="4" t="s">
        <v>3488</v>
      </c>
      <c r="P30" s="4" t="s">
        <v>3763</v>
      </c>
      <c r="Q30" s="57">
        <v>45051</v>
      </c>
      <c r="R30" s="57">
        <v>45063</v>
      </c>
      <c r="S30" s="113"/>
      <c r="T30" s="113"/>
      <c r="U30" s="4"/>
      <c r="V30" s="4"/>
      <c r="W30" s="105"/>
      <c r="X30" s="114">
        <v>1751781909</v>
      </c>
      <c r="Y30" s="55">
        <v>1751781909</v>
      </c>
      <c r="Z30" s="4" t="s">
        <v>3764</v>
      </c>
      <c r="AA30" s="4" t="s">
        <v>3765</v>
      </c>
      <c r="AB30" s="4" t="s">
        <v>101</v>
      </c>
      <c r="AC30" s="4" t="s">
        <v>79</v>
      </c>
      <c r="AD30" s="113">
        <v>34848</v>
      </c>
      <c r="AE30" s="107">
        <v>28.9013698630137</v>
      </c>
      <c r="AF30" s="4" t="s">
        <v>80</v>
      </c>
      <c r="AG30" s="114">
        <v>7761108351</v>
      </c>
      <c r="AH30" s="4" t="s">
        <v>81</v>
      </c>
      <c r="AI30" s="55" t="s">
        <v>187</v>
      </c>
      <c r="AJ30" s="55" t="s">
        <v>81</v>
      </c>
      <c r="AK30" s="55" t="s">
        <v>81</v>
      </c>
      <c r="AL30" s="4" t="s">
        <v>3766</v>
      </c>
      <c r="AM30" s="4" t="s">
        <v>3767</v>
      </c>
      <c r="AN30" s="4" t="s">
        <v>3768</v>
      </c>
      <c r="AO30" s="4" t="s">
        <v>3769</v>
      </c>
      <c r="AP30" s="4" t="s">
        <v>3770</v>
      </c>
      <c r="AQ30" s="55" t="s">
        <v>3771</v>
      </c>
      <c r="AR30" s="4" t="s">
        <v>110</v>
      </c>
      <c r="AS30" s="4"/>
      <c r="AT30" s="72"/>
      <c r="AU30" s="4"/>
      <c r="AV30" s="4"/>
      <c r="AW30" s="4"/>
      <c r="AX30" s="4"/>
      <c r="AY30" s="4"/>
      <c r="AZ30" s="4"/>
      <c r="BA30" s="4" t="s">
        <v>3498</v>
      </c>
      <c r="BB30" s="4">
        <v>10800</v>
      </c>
      <c r="BC30" s="4">
        <v>2700</v>
      </c>
      <c r="BD30" s="4">
        <v>0</v>
      </c>
      <c r="BE30" s="4" t="s">
        <v>91</v>
      </c>
      <c r="BF30" s="4" t="s">
        <v>167</v>
      </c>
      <c r="BG30" s="4" t="s">
        <v>167</v>
      </c>
      <c r="BH30" s="4" t="s">
        <v>3510</v>
      </c>
      <c r="BI30" s="72">
        <f>VLOOKUP(A30,'ID Block'!A:L,12,0)</f>
        <v>45152</v>
      </c>
      <c r="BJ30" s="154" t="str">
        <f>VLOOKUP(A30,'ID Block'!A:M,13,0)</f>
        <v>Health Issues </v>
      </c>
      <c r="BK30" s="4">
        <f t="shared" si="0"/>
        <v>89</v>
      </c>
      <c r="BL30" s="105" t="s">
        <v>168</v>
      </c>
      <c r="BM30" s="85" t="s">
        <v>3772</v>
      </c>
      <c r="BN30" s="183" t="s">
        <v>3773</v>
      </c>
      <c r="BO30" s="183"/>
    </row>
    <row r="31" ht="14.4" s="67" customFormat="1">
      <c r="A31" s="4">
        <v>171087</v>
      </c>
      <c r="B31" s="4"/>
      <c r="C31" s="55"/>
      <c r="D31" s="4" t="s">
        <v>3774</v>
      </c>
      <c r="E31" s="4" t="s">
        <v>66</v>
      </c>
      <c r="F31" s="55">
        <v>482803</v>
      </c>
      <c r="G31" s="4" t="s">
        <v>67</v>
      </c>
      <c r="H31" s="4" t="s">
        <v>68</v>
      </c>
      <c r="I31" s="4" t="s">
        <v>2494</v>
      </c>
      <c r="J31" s="55" t="s">
        <v>3775</v>
      </c>
      <c r="K31" s="4" t="s">
        <v>71</v>
      </c>
      <c r="L31" s="4" t="s">
        <v>3487</v>
      </c>
      <c r="M31" s="4" t="s">
        <v>2643</v>
      </c>
      <c r="N31" s="4" t="s">
        <v>74</v>
      </c>
      <c r="O31" s="4" t="s">
        <v>3488</v>
      </c>
      <c r="P31" s="4" t="s">
        <v>3776</v>
      </c>
      <c r="Q31" s="57">
        <v>45086</v>
      </c>
      <c r="R31" s="57">
        <v>45097</v>
      </c>
      <c r="S31" s="113"/>
      <c r="T31" s="113"/>
      <c r="U31" s="4"/>
      <c r="V31" s="4"/>
      <c r="W31" s="105" t="s">
        <v>3777</v>
      </c>
      <c r="X31" s="114">
        <v>1869907314</v>
      </c>
      <c r="Y31" s="55"/>
      <c r="Z31" s="4" t="s">
        <v>3778</v>
      </c>
      <c r="AA31" s="4">
        <v>1880212593</v>
      </c>
      <c r="AB31" s="4" t="s">
        <v>118</v>
      </c>
      <c r="AC31" s="4" t="s">
        <v>895</v>
      </c>
      <c r="AD31" s="113">
        <v>34161</v>
      </c>
      <c r="AE31" s="107">
        <v>30.7835616438356</v>
      </c>
      <c r="AF31" s="4" t="s">
        <v>80</v>
      </c>
      <c r="AG31" s="114"/>
      <c r="AH31" s="4" t="s">
        <v>3779</v>
      </c>
      <c r="AI31" s="55" t="s">
        <v>104</v>
      </c>
      <c r="AJ31" s="55" t="s">
        <v>322</v>
      </c>
      <c r="AK31" s="55">
        <v>2024</v>
      </c>
      <c r="AL31" s="4" t="s">
        <v>3780</v>
      </c>
      <c r="AM31" s="4" t="s">
        <v>3781</v>
      </c>
      <c r="AN31" s="4" t="s">
        <v>3782</v>
      </c>
      <c r="AO31" s="4" t="s">
        <v>3783</v>
      </c>
      <c r="AP31" s="4" t="s">
        <v>3783</v>
      </c>
      <c r="AQ31" s="55" t="s">
        <v>3784</v>
      </c>
      <c r="AR31" s="4" t="s">
        <v>110</v>
      </c>
      <c r="AS31" s="4"/>
      <c r="AT31" s="72"/>
      <c r="AU31" s="4"/>
      <c r="AV31" s="4"/>
      <c r="AW31" s="4"/>
      <c r="AX31" s="4"/>
      <c r="AY31" s="4"/>
      <c r="AZ31" s="4"/>
      <c r="BA31" s="4" t="s">
        <v>3498</v>
      </c>
      <c r="BB31" s="4">
        <v>10800</v>
      </c>
      <c r="BC31" s="4">
        <v>2700</v>
      </c>
      <c r="BD31" s="4">
        <v>0</v>
      </c>
      <c r="BE31" s="4" t="s">
        <v>91</v>
      </c>
      <c r="BF31" s="4"/>
      <c r="BG31" s="4"/>
      <c r="BH31" s="4" t="s">
        <v>3510</v>
      </c>
      <c r="BI31" s="72">
        <f>VLOOKUP(A31,'ID Block'!A:L,12,0)</f>
        <v>45152</v>
      </c>
      <c r="BJ31" s="154" t="str">
        <f>VLOOKUP(A31,'ID Block'!A:M,13,0)</f>
        <v>Personal Issue</v>
      </c>
      <c r="BK31" s="4">
        <f t="shared" si="0"/>
        <v>55</v>
      </c>
      <c r="BL31" s="105" t="s">
        <v>168</v>
      </c>
      <c r="BM31" s="85"/>
      <c r="BN31" s="183" t="s">
        <v>3785</v>
      </c>
      <c r="BO31" s="183"/>
    </row>
    <row r="32" ht="14.4" s="67" customFormat="1">
      <c r="A32" s="4">
        <v>171073</v>
      </c>
      <c r="B32" s="4"/>
      <c r="C32" s="55" t="s">
        <v>3786</v>
      </c>
      <c r="D32" s="4" t="s">
        <v>3787</v>
      </c>
      <c r="E32" s="4" t="s">
        <v>114</v>
      </c>
      <c r="F32" s="55">
        <v>1110156611</v>
      </c>
      <c r="G32" s="4" t="s">
        <v>67</v>
      </c>
      <c r="H32" s="4" t="s">
        <v>68</v>
      </c>
      <c r="I32" s="4" t="s">
        <v>2494</v>
      </c>
      <c r="J32" s="55" t="s">
        <v>155</v>
      </c>
      <c r="K32" s="4" t="s">
        <v>71</v>
      </c>
      <c r="L32" s="4" t="s">
        <v>3487</v>
      </c>
      <c r="M32" s="4" t="s">
        <v>3512</v>
      </c>
      <c r="N32" s="4" t="s">
        <v>74</v>
      </c>
      <c r="O32" s="4" t="s">
        <v>3788</v>
      </c>
      <c r="P32" s="4" t="s">
        <v>3564</v>
      </c>
      <c r="Q32" s="57">
        <v>45077</v>
      </c>
      <c r="R32" s="57">
        <v>45093</v>
      </c>
      <c r="S32" s="113"/>
      <c r="T32" s="113"/>
      <c r="U32" s="4"/>
      <c r="V32" s="4"/>
      <c r="W32" s="105" t="s">
        <v>3789</v>
      </c>
      <c r="X32" s="114">
        <v>1770585311</v>
      </c>
      <c r="Y32" s="55">
        <v>1620882196</v>
      </c>
      <c r="Z32" s="4" t="s">
        <v>3790</v>
      </c>
      <c r="AA32" s="4">
        <v>1792157992</v>
      </c>
      <c r="AB32" s="4" t="s">
        <v>2788</v>
      </c>
      <c r="AC32" s="4" t="s">
        <v>79</v>
      </c>
      <c r="AD32" s="113">
        <v>35799</v>
      </c>
      <c r="AE32" s="107">
        <v>26.2958904109589</v>
      </c>
      <c r="AF32" s="4" t="s">
        <v>80</v>
      </c>
      <c r="AG32" s="114">
        <v>5102179404</v>
      </c>
      <c r="AH32" s="4" t="s">
        <v>81</v>
      </c>
      <c r="AI32" s="55" t="s">
        <v>187</v>
      </c>
      <c r="AJ32" s="55" t="s">
        <v>312</v>
      </c>
      <c r="AK32" s="55">
        <v>2024</v>
      </c>
      <c r="AL32" s="4" t="s">
        <v>3791</v>
      </c>
      <c r="AM32" s="4" t="s">
        <v>826</v>
      </c>
      <c r="AN32" s="4" t="s">
        <v>3792</v>
      </c>
      <c r="AO32" s="4" t="s">
        <v>3793</v>
      </c>
      <c r="AP32" s="4" t="s">
        <v>3794</v>
      </c>
      <c r="AQ32" s="55" t="s">
        <v>3795</v>
      </c>
      <c r="AR32" s="4" t="s">
        <v>110</v>
      </c>
      <c r="AS32" s="4"/>
      <c r="AT32" s="72"/>
      <c r="AU32" s="4"/>
      <c r="AV32" s="4"/>
      <c r="AW32" s="4"/>
      <c r="AX32" s="4"/>
      <c r="AY32" s="4"/>
      <c r="AZ32" s="4"/>
      <c r="BA32" s="4" t="s">
        <v>3498</v>
      </c>
      <c r="BB32" s="4">
        <v>10800</v>
      </c>
      <c r="BC32" s="4">
        <v>2700</v>
      </c>
      <c r="BD32" s="4">
        <v>2500</v>
      </c>
      <c r="BE32" s="4" t="s">
        <v>3572</v>
      </c>
      <c r="BF32" s="4" t="s">
        <v>167</v>
      </c>
      <c r="BG32" s="4" t="s">
        <v>167</v>
      </c>
      <c r="BH32" s="4" t="s">
        <v>3510</v>
      </c>
      <c r="BI32" s="72"/>
      <c r="BJ32" s="154"/>
      <c r="BK32" s="4"/>
      <c r="BL32" s="105" t="s">
        <v>168</v>
      </c>
      <c r="BM32" s="85"/>
      <c r="BN32" s="183" t="s">
        <v>3796</v>
      </c>
      <c r="BO32" s="183"/>
    </row>
    <row r="33" ht="14.4" s="67" customFormat="1">
      <c r="A33" s="4">
        <v>171074</v>
      </c>
      <c r="B33" s="4"/>
      <c r="C33" s="55" t="s">
        <v>3797</v>
      </c>
      <c r="D33" s="4" t="s">
        <v>3798</v>
      </c>
      <c r="E33" s="4" t="s">
        <v>114</v>
      </c>
      <c r="F33" s="55">
        <v>1210863847</v>
      </c>
      <c r="G33" s="4" t="s">
        <v>67</v>
      </c>
      <c r="H33" s="4" t="s">
        <v>68</v>
      </c>
      <c r="I33" s="4" t="s">
        <v>2494</v>
      </c>
      <c r="J33" s="55" t="s">
        <v>155</v>
      </c>
      <c r="K33" s="4" t="s">
        <v>71</v>
      </c>
      <c r="L33" s="4" t="s">
        <v>3487</v>
      </c>
      <c r="M33" s="4" t="s">
        <v>3512</v>
      </c>
      <c r="N33" s="4" t="s">
        <v>74</v>
      </c>
      <c r="O33" s="4" t="s">
        <v>3488</v>
      </c>
      <c r="P33" s="4" t="s">
        <v>3564</v>
      </c>
      <c r="Q33" s="57">
        <v>45077</v>
      </c>
      <c r="R33" s="57">
        <v>45093</v>
      </c>
      <c r="S33" s="113"/>
      <c r="T33" s="113"/>
      <c r="U33" s="4"/>
      <c r="V33" s="4"/>
      <c r="W33" s="105" t="s">
        <v>3799</v>
      </c>
      <c r="X33" s="114">
        <v>1620247637</v>
      </c>
      <c r="Y33" s="55">
        <v>1926849530</v>
      </c>
      <c r="Z33" s="4" t="s">
        <v>3800</v>
      </c>
      <c r="AA33" s="4">
        <v>1712660736</v>
      </c>
      <c r="AB33" s="4" t="s">
        <v>101</v>
      </c>
      <c r="AC33" s="4" t="s">
        <v>79</v>
      </c>
      <c r="AD33" s="113">
        <v>36474</v>
      </c>
      <c r="AE33" s="107">
        <v>24.4465753424658</v>
      </c>
      <c r="AF33" s="4" t="s">
        <v>80</v>
      </c>
      <c r="AG33" s="114" t="s">
        <v>3801</v>
      </c>
      <c r="AH33" s="4" t="s">
        <v>81</v>
      </c>
      <c r="AI33" s="55" t="s">
        <v>104</v>
      </c>
      <c r="AJ33" s="55" t="s">
        <v>81</v>
      </c>
      <c r="AK33" s="55" t="s">
        <v>81</v>
      </c>
      <c r="AL33" s="4" t="s">
        <v>188</v>
      </c>
      <c r="AM33" s="4" t="s">
        <v>3800</v>
      </c>
      <c r="AN33" s="4" t="s">
        <v>3802</v>
      </c>
      <c r="AO33" s="4" t="s">
        <v>3803</v>
      </c>
      <c r="AP33" s="4" t="s">
        <v>3804</v>
      </c>
      <c r="AQ33" s="55" t="s">
        <v>3805</v>
      </c>
      <c r="AR33" s="4" t="s">
        <v>110</v>
      </c>
      <c r="AS33" s="4"/>
      <c r="AT33" s="72"/>
      <c r="AU33" s="4"/>
      <c r="AV33" s="4"/>
      <c r="AW33" s="4"/>
      <c r="AX33" s="4"/>
      <c r="AY33" s="4"/>
      <c r="AZ33" s="4"/>
      <c r="BA33" s="4" t="s">
        <v>3498</v>
      </c>
      <c r="BB33" s="4">
        <v>10800</v>
      </c>
      <c r="BC33" s="4">
        <v>2700</v>
      </c>
      <c r="BD33" s="4">
        <v>2500</v>
      </c>
      <c r="BE33" s="4" t="s">
        <v>3572</v>
      </c>
      <c r="BF33" s="4" t="s">
        <v>167</v>
      </c>
      <c r="BG33" s="4" t="s">
        <v>167</v>
      </c>
      <c r="BH33" s="4" t="s">
        <v>3510</v>
      </c>
      <c r="BI33" s="72">
        <f>VLOOKUP(A33,'ID Block'!A:L,12,0)</f>
        <v>45160</v>
      </c>
      <c r="BJ33" s="154" t="str">
        <f>VLOOKUP(A33,'ID Block'!A:M,13,0)</f>
        <v>Academic Issues</v>
      </c>
      <c r="BK33" s="4">
        <f t="shared" si="0"/>
        <v>67</v>
      </c>
      <c r="BL33" s="105" t="s">
        <v>168</v>
      </c>
      <c r="BM33" s="85"/>
      <c r="BN33" s="183" t="s">
        <v>3806</v>
      </c>
      <c r="BO33" s="183"/>
    </row>
    <row r="34" ht="14.4" s="67" customFormat="1">
      <c r="A34" s="4">
        <v>171075</v>
      </c>
      <c r="B34" s="4"/>
      <c r="C34" s="55" t="s">
        <v>3807</v>
      </c>
      <c r="D34" s="4" t="s">
        <v>3808</v>
      </c>
      <c r="E34" s="4" t="s">
        <v>114</v>
      </c>
      <c r="F34" s="55">
        <v>1013257365</v>
      </c>
      <c r="G34" s="4" t="s">
        <v>67</v>
      </c>
      <c r="H34" s="4" t="s">
        <v>68</v>
      </c>
      <c r="I34" s="4" t="s">
        <v>2494</v>
      </c>
      <c r="J34" s="55" t="s">
        <v>155</v>
      </c>
      <c r="K34" s="4" t="s">
        <v>71</v>
      </c>
      <c r="L34" s="4" t="s">
        <v>3487</v>
      </c>
      <c r="M34" s="4" t="s">
        <v>3512</v>
      </c>
      <c r="N34" s="4" t="s">
        <v>74</v>
      </c>
      <c r="O34" s="4" t="s">
        <v>3488</v>
      </c>
      <c r="P34" s="4" t="s">
        <v>3564</v>
      </c>
      <c r="Q34" s="57">
        <v>45077</v>
      </c>
      <c r="R34" s="57">
        <v>45090</v>
      </c>
      <c r="S34" s="113"/>
      <c r="T34" s="113"/>
      <c r="U34" s="4"/>
      <c r="V34" s="4"/>
      <c r="W34" s="105" t="s">
        <v>3809</v>
      </c>
      <c r="X34" s="114">
        <v>1580590136</v>
      </c>
      <c r="Y34" s="55">
        <v>1706169960</v>
      </c>
      <c r="Z34" s="4" t="s">
        <v>3810</v>
      </c>
      <c r="AA34" s="4">
        <v>1841361915</v>
      </c>
      <c r="AB34" s="4" t="s">
        <v>252</v>
      </c>
      <c r="AC34" s="4" t="s">
        <v>79</v>
      </c>
      <c r="AD34" s="113">
        <v>35982</v>
      </c>
      <c r="AE34" s="107">
        <v>25.7945205479452</v>
      </c>
      <c r="AF34" s="4" t="s">
        <v>80</v>
      </c>
      <c r="AG34" s="114">
        <v>1955580970</v>
      </c>
      <c r="AH34" s="4" t="s">
        <v>81</v>
      </c>
      <c r="AI34" s="55" t="s">
        <v>82</v>
      </c>
      <c r="AJ34" s="55" t="s">
        <v>81</v>
      </c>
      <c r="AK34" s="55" t="s">
        <v>81</v>
      </c>
      <c r="AL34" s="4" t="s">
        <v>3811</v>
      </c>
      <c r="AM34" s="4" t="s">
        <v>3812</v>
      </c>
      <c r="AN34" s="4" t="s">
        <v>3813</v>
      </c>
      <c r="AO34" s="4" t="s">
        <v>3814</v>
      </c>
      <c r="AP34" s="4" t="s">
        <v>3815</v>
      </c>
      <c r="AQ34" s="55" t="s">
        <v>3816</v>
      </c>
      <c r="AR34" s="4" t="s">
        <v>110</v>
      </c>
      <c r="AS34" s="4"/>
      <c r="AT34" s="72"/>
      <c r="AU34" s="4"/>
      <c r="AV34" s="4"/>
      <c r="AW34" s="4"/>
      <c r="AX34" s="4"/>
      <c r="AY34" s="4"/>
      <c r="AZ34" s="4"/>
      <c r="BA34" s="4" t="s">
        <v>3498</v>
      </c>
      <c r="BB34" s="4">
        <v>10800</v>
      </c>
      <c r="BC34" s="4">
        <v>2700</v>
      </c>
      <c r="BD34" s="4">
        <v>2500</v>
      </c>
      <c r="BE34" s="4" t="s">
        <v>3572</v>
      </c>
      <c r="BF34" s="4" t="s">
        <v>167</v>
      </c>
      <c r="BG34" s="4" t="s">
        <v>167</v>
      </c>
      <c r="BH34" s="4" t="s">
        <v>3510</v>
      </c>
      <c r="BI34" s="72">
        <f>VLOOKUP(A34,'ID Block'!A:L,12,0)</f>
        <v>45155</v>
      </c>
      <c r="BJ34" s="154" t="str">
        <f>VLOOKUP(A34,'ID Block'!A:M,13,0)</f>
        <v>Abroad Study Purpose</v>
      </c>
      <c r="BK34" s="4">
        <f t="shared" si="0"/>
        <v>65</v>
      </c>
      <c r="BL34" s="105" t="s">
        <v>168</v>
      </c>
      <c r="BM34" s="85"/>
      <c r="BN34" s="183" t="s">
        <v>3544</v>
      </c>
      <c r="BO34" s="183"/>
    </row>
    <row r="35" ht="14.4" s="67" customFormat="1">
      <c r="A35" s="4">
        <v>171107</v>
      </c>
      <c r="B35" s="4"/>
      <c r="C35" s="55" t="s">
        <v>584</v>
      </c>
      <c r="D35" s="4" t="s">
        <v>3817</v>
      </c>
      <c r="E35" s="4" t="s">
        <v>114</v>
      </c>
      <c r="F35" s="55">
        <v>1310357261</v>
      </c>
      <c r="G35" s="4" t="s">
        <v>67</v>
      </c>
      <c r="H35" s="4" t="s">
        <v>68</v>
      </c>
      <c r="I35" s="4" t="s">
        <v>2494</v>
      </c>
      <c r="J35" s="55" t="s">
        <v>2495</v>
      </c>
      <c r="K35" s="4" t="s">
        <v>71</v>
      </c>
      <c r="L35" s="4" t="s">
        <v>3487</v>
      </c>
      <c r="M35" s="4" t="s">
        <v>2643</v>
      </c>
      <c r="N35" s="4" t="s">
        <v>74</v>
      </c>
      <c r="O35" s="4" t="s">
        <v>3488</v>
      </c>
      <c r="P35" s="4" t="s">
        <v>3597</v>
      </c>
      <c r="Q35" s="57">
        <v>45110</v>
      </c>
      <c r="R35" s="57">
        <v>45113</v>
      </c>
      <c r="S35" s="113"/>
      <c r="T35" s="113"/>
      <c r="U35" s="4"/>
      <c r="V35" s="4"/>
      <c r="W35" s="105" t="s">
        <v>3818</v>
      </c>
      <c r="X35" s="114">
        <v>1812627583</v>
      </c>
      <c r="Y35" s="55">
        <v>1742858139</v>
      </c>
      <c r="Z35" s="4" t="s">
        <v>3819</v>
      </c>
      <c r="AA35" s="4">
        <v>1725937743</v>
      </c>
      <c r="AB35" s="4" t="s">
        <v>3820</v>
      </c>
      <c r="AC35" s="4" t="s">
        <v>79</v>
      </c>
      <c r="AD35" s="113">
        <v>36460</v>
      </c>
      <c r="AE35" s="107">
        <v>24.4849315068493</v>
      </c>
      <c r="AF35" s="4" t="s">
        <v>80</v>
      </c>
      <c r="AG35" s="114">
        <v>9154421300</v>
      </c>
      <c r="AH35" s="4" t="s">
        <v>81</v>
      </c>
      <c r="AI35" s="55" t="s">
        <v>290</v>
      </c>
      <c r="AJ35" s="55" t="s">
        <v>242</v>
      </c>
      <c r="AK35" s="55" t="s">
        <v>242</v>
      </c>
      <c r="AL35" s="4" t="s">
        <v>3821</v>
      </c>
      <c r="AM35" s="4" t="s">
        <v>3822</v>
      </c>
      <c r="AN35" s="4" t="s">
        <v>3823</v>
      </c>
      <c r="AO35" s="4" t="s">
        <v>3824</v>
      </c>
      <c r="AP35" s="4" t="s">
        <v>3825</v>
      </c>
      <c r="AQ35" s="55" t="s">
        <v>285</v>
      </c>
      <c r="AR35" s="4" t="s">
        <v>224</v>
      </c>
      <c r="AS35" s="4"/>
      <c r="AT35" s="72"/>
      <c r="AU35" s="4"/>
      <c r="AV35" s="4"/>
      <c r="AW35" s="4"/>
      <c r="AX35" s="4"/>
      <c r="AY35" s="4"/>
      <c r="AZ35" s="4"/>
      <c r="BA35" s="4" t="s">
        <v>3498</v>
      </c>
      <c r="BB35" s="4">
        <v>10800</v>
      </c>
      <c r="BC35" s="4">
        <v>2700</v>
      </c>
      <c r="BD35" s="4">
        <v>0</v>
      </c>
      <c r="BE35" s="4" t="s">
        <v>91</v>
      </c>
      <c r="BF35" s="4" t="s">
        <v>167</v>
      </c>
      <c r="BG35" s="4" t="s">
        <v>167</v>
      </c>
      <c r="BH35" s="4" t="s">
        <v>3510</v>
      </c>
      <c r="BI35" s="72">
        <f>VLOOKUP(A35,'ID Block'!A:L,12,0)</f>
        <v>45159</v>
      </c>
      <c r="BJ35" s="154" t="str">
        <f>VLOOKUP(A35,'ID Block'!A:M,13,0)</f>
        <v>Health Issues </v>
      </c>
      <c r="BK35" s="4">
        <f t="shared" si="0"/>
        <v>46</v>
      </c>
      <c r="BL35" s="105" t="s">
        <v>168</v>
      </c>
      <c r="BM35" s="85"/>
      <c r="BN35" s="183" t="s">
        <v>3773</v>
      </c>
      <c r="BO35" s="183"/>
    </row>
    <row r="36" ht="14.4" s="67" customFormat="1">
      <c r="A36" s="4">
        <v>171111</v>
      </c>
      <c r="B36" s="4"/>
      <c r="C36" s="55" t="s">
        <v>3826</v>
      </c>
      <c r="D36" s="4" t="s">
        <v>3827</v>
      </c>
      <c r="E36" s="4" t="s">
        <v>114</v>
      </c>
      <c r="F36" s="55">
        <v>18626016149</v>
      </c>
      <c r="G36" s="4" t="s">
        <v>67</v>
      </c>
      <c r="H36" s="4" t="s">
        <v>68</v>
      </c>
      <c r="I36" s="4" t="s">
        <v>2494</v>
      </c>
      <c r="J36" s="55" t="s">
        <v>97</v>
      </c>
      <c r="K36" s="4" t="s">
        <v>71</v>
      </c>
      <c r="L36" s="4" t="s">
        <v>3487</v>
      </c>
      <c r="M36" s="4" t="s">
        <v>2643</v>
      </c>
      <c r="N36" s="4" t="s">
        <v>238</v>
      </c>
      <c r="O36" s="4" t="s">
        <v>3788</v>
      </c>
      <c r="P36" s="4" t="s">
        <v>3651</v>
      </c>
      <c r="Q36" s="57">
        <v>45116</v>
      </c>
      <c r="R36" s="57">
        <v>45124</v>
      </c>
      <c r="S36" s="113"/>
      <c r="T36" s="113"/>
      <c r="U36" s="4"/>
      <c r="V36" s="4"/>
      <c r="W36" s="105" t="s">
        <v>3828</v>
      </c>
      <c r="X36" s="114">
        <v>1533962470</v>
      </c>
      <c r="Y36" s="55">
        <v>1721121554</v>
      </c>
      <c r="Z36" s="4" t="s">
        <v>3829</v>
      </c>
      <c r="AA36" s="4">
        <v>1711576473</v>
      </c>
      <c r="AB36" s="4" t="s">
        <v>101</v>
      </c>
      <c r="AC36" s="4" t="s">
        <v>133</v>
      </c>
      <c r="AD36" s="113">
        <v>36393</v>
      </c>
      <c r="AE36" s="107">
        <v>24.6684931506849</v>
      </c>
      <c r="AF36" s="4" t="s">
        <v>80</v>
      </c>
      <c r="AG36" s="114">
        <v>421490158</v>
      </c>
      <c r="AH36" s="4" t="s">
        <v>81</v>
      </c>
      <c r="AI36" s="55" t="s">
        <v>187</v>
      </c>
      <c r="AJ36" s="55" t="s">
        <v>242</v>
      </c>
      <c r="AK36" s="55" t="s">
        <v>242</v>
      </c>
      <c r="AL36" s="4" t="s">
        <v>3830</v>
      </c>
      <c r="AM36" s="4" t="s">
        <v>3831</v>
      </c>
      <c r="AN36" s="4" t="s">
        <v>3832</v>
      </c>
      <c r="AO36" s="4" t="s">
        <v>3833</v>
      </c>
      <c r="AP36" s="4" t="s">
        <v>3834</v>
      </c>
      <c r="AQ36" s="55" t="s">
        <v>2263</v>
      </c>
      <c r="AR36" s="4" t="s">
        <v>110</v>
      </c>
      <c r="AS36" s="4"/>
      <c r="AT36" s="72"/>
      <c r="AU36" s="4"/>
      <c r="AV36" s="4"/>
      <c r="AW36" s="4"/>
      <c r="AX36" s="4"/>
      <c r="AY36" s="4"/>
      <c r="AZ36" s="4"/>
      <c r="BA36" s="4" t="s">
        <v>3498</v>
      </c>
      <c r="BB36" s="4">
        <v>10800</v>
      </c>
      <c r="BC36" s="4">
        <v>2700</v>
      </c>
      <c r="BD36" s="4">
        <v>0</v>
      </c>
      <c r="BE36" s="4" t="s">
        <v>91</v>
      </c>
      <c r="BF36" s="4" t="s">
        <v>167</v>
      </c>
      <c r="BG36" s="4" t="s">
        <v>167</v>
      </c>
      <c r="BH36" s="4" t="s">
        <v>3510</v>
      </c>
      <c r="BI36" s="72">
        <f>VLOOKUP(A36,'ID Block'!A:L,12,0)</f>
        <v>45164</v>
      </c>
      <c r="BJ36" s="154" t="str">
        <f>VLOOKUP(A36,'ID Block'!A:M,13,0)</f>
        <v>Family Issues </v>
      </c>
      <c r="BK36" s="4">
        <f t="shared" si="0"/>
        <v>40</v>
      </c>
      <c r="BL36" s="105" t="s">
        <v>168</v>
      </c>
      <c r="BM36" s="85"/>
      <c r="BN36" s="183" t="s">
        <v>3835</v>
      </c>
      <c r="BO36" s="183"/>
    </row>
    <row r="37" ht="14.4" s="67" customFormat="1">
      <c r="A37" s="4">
        <v>171081</v>
      </c>
      <c r="B37" s="4"/>
      <c r="C37" s="55" t="s">
        <v>3836</v>
      </c>
      <c r="D37" s="4" t="s">
        <v>3837</v>
      </c>
      <c r="E37" s="4" t="s">
        <v>114</v>
      </c>
      <c r="F37" s="55">
        <v>1410863591</v>
      </c>
      <c r="G37" s="4" t="s">
        <v>67</v>
      </c>
      <c r="H37" s="4" t="s">
        <v>68</v>
      </c>
      <c r="I37" s="4" t="s">
        <v>2494</v>
      </c>
      <c r="J37" s="55" t="s">
        <v>155</v>
      </c>
      <c r="K37" s="4" t="s">
        <v>71</v>
      </c>
      <c r="L37" s="4" t="s">
        <v>3487</v>
      </c>
      <c r="M37" s="4" t="s">
        <v>3512</v>
      </c>
      <c r="N37" s="4" t="s">
        <v>74</v>
      </c>
      <c r="O37" s="4" t="s">
        <v>3788</v>
      </c>
      <c r="P37" s="4" t="s">
        <v>3564</v>
      </c>
      <c r="Q37" s="57">
        <v>45077</v>
      </c>
      <c r="R37" s="57">
        <v>45090</v>
      </c>
      <c r="S37" s="113"/>
      <c r="T37" s="113"/>
      <c r="U37" s="4"/>
      <c r="V37" s="4"/>
      <c r="W37" s="105" t="s">
        <v>3838</v>
      </c>
      <c r="X37" s="114">
        <v>1922742698</v>
      </c>
      <c r="Y37" s="55" t="s">
        <v>81</v>
      </c>
      <c r="Z37" s="4" t="s">
        <v>3839</v>
      </c>
      <c r="AA37" s="4">
        <v>1948420196</v>
      </c>
      <c r="AB37" s="4" t="s">
        <v>101</v>
      </c>
      <c r="AC37" s="4" t="s">
        <v>102</v>
      </c>
      <c r="AD37" s="113">
        <v>37622</v>
      </c>
      <c r="AE37" s="107">
        <v>21.3013698630137</v>
      </c>
      <c r="AF37" s="4" t="s">
        <v>80</v>
      </c>
      <c r="AG37" s="114">
        <v>7824238922</v>
      </c>
      <c r="AH37" s="4" t="s">
        <v>3840</v>
      </c>
      <c r="AI37" s="55" t="s">
        <v>104</v>
      </c>
      <c r="AJ37" s="55" t="s">
        <v>322</v>
      </c>
      <c r="AK37" s="55">
        <v>2023</v>
      </c>
      <c r="AL37" s="4" t="s">
        <v>3841</v>
      </c>
      <c r="AM37" s="4" t="s">
        <v>3839</v>
      </c>
      <c r="AN37" s="4" t="s">
        <v>3842</v>
      </c>
      <c r="AO37" s="4" t="s">
        <v>3843</v>
      </c>
      <c r="AP37" s="4" t="s">
        <v>3843</v>
      </c>
      <c r="AQ37" s="55" t="s">
        <v>126</v>
      </c>
      <c r="AR37" s="4" t="s">
        <v>110</v>
      </c>
      <c r="AS37" s="4"/>
      <c r="AT37" s="72"/>
      <c r="AU37" s="4"/>
      <c r="AV37" s="4"/>
      <c r="AW37" s="4"/>
      <c r="AX37" s="4"/>
      <c r="AY37" s="4"/>
      <c r="AZ37" s="4"/>
      <c r="BA37" s="4" t="s">
        <v>3498</v>
      </c>
      <c r="BB37" s="4">
        <v>10800</v>
      </c>
      <c r="BC37" s="4">
        <v>2700</v>
      </c>
      <c r="BD37" s="4">
        <v>2500</v>
      </c>
      <c r="BE37" s="4" t="s">
        <v>3572</v>
      </c>
      <c r="BF37" s="4" t="s">
        <v>167</v>
      </c>
      <c r="BG37" s="4" t="s">
        <v>167</v>
      </c>
      <c r="BH37" s="4" t="s">
        <v>3510</v>
      </c>
      <c r="BI37" s="72">
        <f>VLOOKUP(A37,'ID Block'!A:L,12,0)</f>
        <v>45162</v>
      </c>
      <c r="BJ37" s="154" t="str">
        <f>VLOOKUP(A37,'ID Block'!A:M,13,0)</f>
        <v>Family Issues </v>
      </c>
      <c r="BK37" s="4">
        <f t="shared" si="0"/>
        <v>72</v>
      </c>
      <c r="BL37" s="105" t="s">
        <v>168</v>
      </c>
      <c r="BM37" s="85"/>
      <c r="BN37" s="183" t="s">
        <v>3844</v>
      </c>
      <c r="BO37" s="183"/>
    </row>
    <row r="38" ht="14.4" s="67" customFormat="1">
      <c r="A38" s="4">
        <v>171060</v>
      </c>
      <c r="B38" s="4"/>
      <c r="C38" s="55" t="s">
        <v>3845</v>
      </c>
      <c r="D38" s="4" t="s">
        <v>3846</v>
      </c>
      <c r="E38" s="4" t="s">
        <v>114</v>
      </c>
      <c r="F38" s="55">
        <v>724892</v>
      </c>
      <c r="G38" s="4" t="s">
        <v>67</v>
      </c>
      <c r="H38" s="4" t="s">
        <v>68</v>
      </c>
      <c r="I38" s="4" t="s">
        <v>2494</v>
      </c>
      <c r="J38" s="55" t="s">
        <v>70</v>
      </c>
      <c r="K38" s="4" t="s">
        <v>71</v>
      </c>
      <c r="L38" s="4" t="s">
        <v>3487</v>
      </c>
      <c r="M38" s="4" t="s">
        <v>3512</v>
      </c>
      <c r="N38" s="4" t="s">
        <v>74</v>
      </c>
      <c r="O38" s="4" t="s">
        <v>3788</v>
      </c>
      <c r="P38" s="4" t="s">
        <v>3763</v>
      </c>
      <c r="Q38" s="57">
        <v>45051</v>
      </c>
      <c r="R38" s="57">
        <v>45063</v>
      </c>
      <c r="S38" s="113"/>
      <c r="T38" s="113"/>
      <c r="U38" s="4"/>
      <c r="V38" s="4"/>
      <c r="W38" s="105" t="s">
        <v>3847</v>
      </c>
      <c r="X38" s="114">
        <v>1855223007</v>
      </c>
      <c r="Y38" s="55">
        <v>1952908109</v>
      </c>
      <c r="Z38" s="4" t="s">
        <v>3848</v>
      </c>
      <c r="AA38" s="4">
        <v>1959410114</v>
      </c>
      <c r="AB38" s="4" t="s">
        <v>252</v>
      </c>
      <c r="AC38" s="4" t="s">
        <v>79</v>
      </c>
      <c r="AD38" s="113">
        <v>35292</v>
      </c>
      <c r="AE38" s="107">
        <v>27.6849315068493</v>
      </c>
      <c r="AF38" s="4" t="s">
        <v>80</v>
      </c>
      <c r="AG38" s="114">
        <v>2825000983</v>
      </c>
      <c r="AH38" s="4" t="s">
        <v>81</v>
      </c>
      <c r="AI38" s="55" t="s">
        <v>187</v>
      </c>
      <c r="AJ38" s="55" t="s">
        <v>241</v>
      </c>
      <c r="AK38" s="55">
        <v>2023</v>
      </c>
      <c r="AL38" s="4" t="s">
        <v>3849</v>
      </c>
      <c r="AM38" s="4" t="s">
        <v>3850</v>
      </c>
      <c r="AN38" s="4" t="s">
        <v>425</v>
      </c>
      <c r="AO38" s="4" t="s">
        <v>3851</v>
      </c>
      <c r="AP38" s="4" t="s">
        <v>3852</v>
      </c>
      <c r="AQ38" s="55" t="s">
        <v>629</v>
      </c>
      <c r="AR38" s="4" t="s">
        <v>110</v>
      </c>
      <c r="AS38" s="4"/>
      <c r="AT38" s="72"/>
      <c r="AU38" s="4"/>
      <c r="AV38" s="4"/>
      <c r="AW38" s="4"/>
      <c r="AX38" s="4"/>
      <c r="AY38" s="4"/>
      <c r="AZ38" s="4"/>
      <c r="BA38" s="4" t="s">
        <v>3498</v>
      </c>
      <c r="BB38" s="4">
        <v>10800</v>
      </c>
      <c r="BC38" s="4">
        <v>2700</v>
      </c>
      <c r="BD38" s="4">
        <v>0</v>
      </c>
      <c r="BE38" s="4" t="s">
        <v>91</v>
      </c>
      <c r="BF38" s="4" t="s">
        <v>167</v>
      </c>
      <c r="BG38" s="4" t="s">
        <v>167</v>
      </c>
      <c r="BH38" s="4" t="s">
        <v>3510</v>
      </c>
      <c r="BI38" s="72">
        <f>VLOOKUP(A38,'ID Block'!A:L,12,0)</f>
        <v>45169</v>
      </c>
      <c r="BJ38" s="154" t="str">
        <f>VLOOKUP(A38,'ID Block'!A:M,13,0)</f>
        <v>Family Issues</v>
      </c>
      <c r="BK38" s="4">
        <f t="shared" si="0"/>
        <v>106</v>
      </c>
      <c r="BL38" s="105" t="s">
        <v>168</v>
      </c>
      <c r="BM38" s="85"/>
      <c r="BN38" s="183" t="s">
        <v>3844</v>
      </c>
      <c r="BO38" s="183"/>
    </row>
    <row r="39" ht="14.4" s="67" customFormat="1">
      <c r="A39" s="4">
        <v>171014</v>
      </c>
      <c r="B39" s="4"/>
      <c r="C39" s="55" t="s">
        <v>3853</v>
      </c>
      <c r="D39" s="4" t="s">
        <v>3854</v>
      </c>
      <c r="E39" s="4" t="s">
        <v>114</v>
      </c>
      <c r="F39" s="55">
        <v>1410714922</v>
      </c>
      <c r="G39" s="4" t="s">
        <v>67</v>
      </c>
      <c r="H39" s="4" t="s">
        <v>68</v>
      </c>
      <c r="I39" s="4" t="s">
        <v>2494</v>
      </c>
      <c r="J39" s="55" t="s">
        <v>407</v>
      </c>
      <c r="K39" s="4" t="s">
        <v>71</v>
      </c>
      <c r="L39" s="4" t="s">
        <v>3487</v>
      </c>
      <c r="M39" s="4" t="s">
        <v>3503</v>
      </c>
      <c r="N39" s="4" t="s">
        <v>74</v>
      </c>
      <c r="O39" s="4" t="s">
        <v>3788</v>
      </c>
      <c r="P39" s="4" t="s">
        <v>3546</v>
      </c>
      <c r="Q39" s="57">
        <v>45023</v>
      </c>
      <c r="R39" s="57">
        <v>45032</v>
      </c>
      <c r="S39" s="113"/>
      <c r="T39" s="113"/>
      <c r="U39" s="4"/>
      <c r="V39" s="4"/>
      <c r="W39" s="105" t="s">
        <v>3855</v>
      </c>
      <c r="X39" s="114">
        <v>1634679435</v>
      </c>
      <c r="Y39" s="55"/>
      <c r="Z39" s="4" t="s">
        <v>3856</v>
      </c>
      <c r="AA39" s="4">
        <v>1720329989</v>
      </c>
      <c r="AB39" s="4" t="s">
        <v>101</v>
      </c>
      <c r="AC39" s="4" t="s">
        <v>133</v>
      </c>
      <c r="AD39" s="113">
        <v>37019</v>
      </c>
      <c r="AE39" s="107">
        <v>22.9534246575342</v>
      </c>
      <c r="AF39" s="4" t="s">
        <v>80</v>
      </c>
      <c r="AG39" s="114">
        <v>3308414451</v>
      </c>
      <c r="AH39" s="4" t="s">
        <v>3857</v>
      </c>
      <c r="AI39" s="55" t="s">
        <v>2982</v>
      </c>
      <c r="AJ39" s="55" t="s">
        <v>81</v>
      </c>
      <c r="AK39" s="55" t="s">
        <v>81</v>
      </c>
      <c r="AL39" s="4" t="s">
        <v>3858</v>
      </c>
      <c r="AM39" s="4" t="s">
        <v>3856</v>
      </c>
      <c r="AN39" s="4" t="s">
        <v>3859</v>
      </c>
      <c r="AO39" s="4" t="s">
        <v>3860</v>
      </c>
      <c r="AP39" s="4" t="s">
        <v>3861</v>
      </c>
      <c r="AQ39" s="55" t="s">
        <v>3862</v>
      </c>
      <c r="AR39" s="4" t="s">
        <v>110</v>
      </c>
      <c r="AS39" s="4"/>
      <c r="AT39" s="72"/>
      <c r="AU39" s="4"/>
      <c r="AV39" s="4"/>
      <c r="AW39" s="4"/>
      <c r="AX39" s="4"/>
      <c r="AY39" s="4"/>
      <c r="AZ39" s="4"/>
      <c r="BA39" s="4" t="s">
        <v>3498</v>
      </c>
      <c r="BB39" s="4">
        <v>10800</v>
      </c>
      <c r="BC39" s="4">
        <v>2700</v>
      </c>
      <c r="BD39" s="4">
        <v>0</v>
      </c>
      <c r="BE39" s="4" t="s">
        <v>91</v>
      </c>
      <c r="BF39" s="4">
        <v>161303</v>
      </c>
      <c r="BG39" s="4" t="s">
        <v>92</v>
      </c>
      <c r="BH39" s="4" t="s">
        <v>3510</v>
      </c>
      <c r="BI39" s="72">
        <f>VLOOKUP(A39,'ID Block'!A:L,12,0)</f>
        <v>45176</v>
      </c>
      <c r="BJ39" s="154" t="str">
        <f>VLOOKUP(A39,'ID Block'!A:M,13,0)</f>
        <v>Starting Business </v>
      </c>
      <c r="BK39" s="4">
        <f t="shared" si="0"/>
        <v>144</v>
      </c>
      <c r="BL39" s="105" t="s">
        <v>168</v>
      </c>
      <c r="BM39" s="85"/>
      <c r="BN39" s="183" t="s">
        <v>3863</v>
      </c>
      <c r="BO39" s="183"/>
    </row>
    <row r="40" ht="14.4" s="67" customFormat="1">
      <c r="A40" s="4">
        <v>171115</v>
      </c>
      <c r="B40" s="4"/>
      <c r="C40" s="55" t="s">
        <v>3864</v>
      </c>
      <c r="D40" s="4" t="s">
        <v>3865</v>
      </c>
      <c r="E40" s="4" t="s">
        <v>114</v>
      </c>
      <c r="F40" s="55">
        <v>1310691061</v>
      </c>
      <c r="G40" s="4" t="s">
        <v>67</v>
      </c>
      <c r="H40" s="4" t="s">
        <v>68</v>
      </c>
      <c r="I40" s="4" t="s">
        <v>2494</v>
      </c>
      <c r="J40" s="55" t="s">
        <v>97</v>
      </c>
      <c r="K40" s="4" t="s">
        <v>71</v>
      </c>
      <c r="L40" s="4" t="s">
        <v>3487</v>
      </c>
      <c r="M40" s="4" t="s">
        <v>2643</v>
      </c>
      <c r="N40" s="4" t="s">
        <v>238</v>
      </c>
      <c r="O40" s="4" t="s">
        <v>3788</v>
      </c>
      <c r="P40" s="4" t="s">
        <v>3651</v>
      </c>
      <c r="Q40" s="57">
        <v>45116</v>
      </c>
      <c r="R40" s="57">
        <v>45124</v>
      </c>
      <c r="S40" s="113"/>
      <c r="T40" s="113"/>
      <c r="U40" s="4"/>
      <c r="V40" s="4"/>
      <c r="W40" s="105" t="s">
        <v>3866</v>
      </c>
      <c r="X40" s="114">
        <v>1307032269</v>
      </c>
      <c r="Y40" s="55">
        <v>1521566405</v>
      </c>
      <c r="Z40" s="4" t="s">
        <v>3867</v>
      </c>
      <c r="AA40" s="4">
        <v>1312297987</v>
      </c>
      <c r="AB40" s="4" t="s">
        <v>252</v>
      </c>
      <c r="AC40" s="4" t="s">
        <v>119</v>
      </c>
      <c r="AD40" s="113">
        <v>36657</v>
      </c>
      <c r="AE40" s="107">
        <v>23.9452054794521</v>
      </c>
      <c r="AF40" s="4" t="s">
        <v>80</v>
      </c>
      <c r="AG40" s="114">
        <v>1967963594</v>
      </c>
      <c r="AH40" s="4" t="s">
        <v>81</v>
      </c>
      <c r="AI40" s="55" t="s">
        <v>160</v>
      </c>
      <c r="AJ40" s="55" t="s">
        <v>242</v>
      </c>
      <c r="AK40" s="55" t="s">
        <v>242</v>
      </c>
      <c r="AL40" s="4" t="s">
        <v>372</v>
      </c>
      <c r="AM40" s="4" t="s">
        <v>3868</v>
      </c>
      <c r="AN40" s="4" t="s">
        <v>3869</v>
      </c>
      <c r="AO40" s="4" t="s">
        <v>3870</v>
      </c>
      <c r="AP40" s="4" t="s">
        <v>3871</v>
      </c>
      <c r="AQ40" s="55" t="s">
        <v>3872</v>
      </c>
      <c r="AR40" s="4" t="s">
        <v>110</v>
      </c>
      <c r="AS40" s="4"/>
      <c r="AT40" s="72"/>
      <c r="AU40" s="4"/>
      <c r="AV40" s="4"/>
      <c r="AW40" s="4"/>
      <c r="AX40" s="4"/>
      <c r="AY40" s="4"/>
      <c r="AZ40" s="4"/>
      <c r="BA40" s="4" t="s">
        <v>3498</v>
      </c>
      <c r="BB40" s="4">
        <v>10800</v>
      </c>
      <c r="BC40" s="4">
        <v>2700</v>
      </c>
      <c r="BD40" s="4">
        <v>0</v>
      </c>
      <c r="BE40" s="4" t="s">
        <v>91</v>
      </c>
      <c r="BF40" s="4" t="s">
        <v>167</v>
      </c>
      <c r="BG40" s="4" t="s">
        <v>167</v>
      </c>
      <c r="BH40" s="4" t="s">
        <v>3510</v>
      </c>
      <c r="BI40" s="72">
        <f>VLOOKUP(A40,'ID Block'!A:L,12,0)</f>
        <v>45177</v>
      </c>
      <c r="BJ40" s="154" t="str">
        <f>VLOOKUP(A40,'ID Block'!A:M,13,0)</f>
        <v>Family Issue</v>
      </c>
      <c r="BK40" s="4">
        <f t="shared" si="0"/>
        <v>53</v>
      </c>
      <c r="BL40" s="105" t="s">
        <v>168</v>
      </c>
      <c r="BM40" s="85"/>
      <c r="BN40" s="183" t="s">
        <v>3844</v>
      </c>
      <c r="BO40" s="183"/>
    </row>
    <row r="41" ht="14.4" s="67" customFormat="1">
      <c r="A41" s="4">
        <v>171053</v>
      </c>
      <c r="B41" s="4"/>
      <c r="C41" s="55" t="s">
        <v>3873</v>
      </c>
      <c r="D41" s="4" t="s">
        <v>3874</v>
      </c>
      <c r="E41" s="4" t="s">
        <v>114</v>
      </c>
      <c r="F41" s="55">
        <v>128778</v>
      </c>
      <c r="G41" s="4" t="s">
        <v>67</v>
      </c>
      <c r="H41" s="4" t="s">
        <v>68</v>
      </c>
      <c r="I41" s="4" t="s">
        <v>2494</v>
      </c>
      <c r="J41" s="55" t="s">
        <v>97</v>
      </c>
      <c r="K41" s="4" t="s">
        <v>71</v>
      </c>
      <c r="L41" s="4" t="s">
        <v>3487</v>
      </c>
      <c r="M41" s="4" t="s">
        <v>3512</v>
      </c>
      <c r="N41" s="4" t="s">
        <v>74</v>
      </c>
      <c r="O41" s="4" t="s">
        <v>3788</v>
      </c>
      <c r="P41" s="4" t="s">
        <v>3489</v>
      </c>
      <c r="Q41" s="57">
        <v>45033</v>
      </c>
      <c r="R41" s="57">
        <v>45040</v>
      </c>
      <c r="S41" s="113"/>
      <c r="T41" s="113"/>
      <c r="U41" s="4"/>
      <c r="V41" s="4"/>
      <c r="W41" s="105" t="s">
        <v>3875</v>
      </c>
      <c r="X41" s="114">
        <v>1609862764</v>
      </c>
      <c r="Y41" s="55"/>
      <c r="Z41" s="4" t="s">
        <v>3876</v>
      </c>
      <c r="AA41" s="4">
        <v>1813505288</v>
      </c>
      <c r="AB41" s="4" t="s">
        <v>132</v>
      </c>
      <c r="AC41" s="4" t="s">
        <v>119</v>
      </c>
      <c r="AD41" s="113">
        <v>37401</v>
      </c>
      <c r="AE41" s="107">
        <v>21.9068493150685</v>
      </c>
      <c r="AF41" s="4" t="s">
        <v>80</v>
      </c>
      <c r="AG41" s="114">
        <v>7368780396</v>
      </c>
      <c r="AH41" s="4" t="s">
        <v>81</v>
      </c>
      <c r="AI41" s="55" t="s">
        <v>104</v>
      </c>
      <c r="AJ41" s="55" t="s">
        <v>3506</v>
      </c>
      <c r="AK41" s="55">
        <v>2025</v>
      </c>
      <c r="AL41" s="4" t="s">
        <v>209</v>
      </c>
      <c r="AM41" s="4" t="s">
        <v>3877</v>
      </c>
      <c r="AN41" s="4" t="s">
        <v>3876</v>
      </c>
      <c r="AO41" s="4" t="s">
        <v>3878</v>
      </c>
      <c r="AP41" s="4" t="s">
        <v>3879</v>
      </c>
      <c r="AQ41" s="55" t="s">
        <v>3880</v>
      </c>
      <c r="AR41" s="4" t="s">
        <v>110</v>
      </c>
      <c r="AS41" s="4"/>
      <c r="AT41" s="72"/>
      <c r="AU41" s="4"/>
      <c r="AV41" s="4"/>
      <c r="AW41" s="4"/>
      <c r="AX41" s="4"/>
      <c r="AY41" s="4"/>
      <c r="AZ41" s="4"/>
      <c r="BA41" s="4" t="s">
        <v>3498</v>
      </c>
      <c r="BB41" s="4">
        <v>12000</v>
      </c>
      <c r="BC41" s="4">
        <v>3000</v>
      </c>
      <c r="BD41" s="4">
        <v>0</v>
      </c>
      <c r="BE41" s="4" t="s">
        <v>91</v>
      </c>
      <c r="BF41" s="4">
        <v>161301</v>
      </c>
      <c r="BG41" s="4" t="s">
        <v>92</v>
      </c>
      <c r="BH41" s="4" t="s">
        <v>3510</v>
      </c>
      <c r="BI41" s="72">
        <f>VLOOKUP(A41,'ID Block'!A:L,12,0)</f>
        <v>45185</v>
      </c>
      <c r="BJ41" s="154" t="str">
        <f>VLOOKUP(A41,'ID Block'!A:M,13,0)</f>
        <v>Study Isuue</v>
      </c>
      <c r="BK41" s="4">
        <f t="shared" si="0"/>
        <v>145</v>
      </c>
      <c r="BL41" s="105" t="s">
        <v>168</v>
      </c>
      <c r="BM41" s="85"/>
      <c r="BN41" s="183" t="s">
        <v>3544</v>
      </c>
      <c r="BO41" s="183"/>
    </row>
    <row r="42" ht="14.4" s="67" customFormat="1">
      <c r="A42" s="4">
        <v>171104</v>
      </c>
      <c r="B42" s="4"/>
      <c r="C42" s="55" t="s">
        <v>3881</v>
      </c>
      <c r="D42" s="4" t="s">
        <v>2706</v>
      </c>
      <c r="E42" s="4" t="s">
        <v>66</v>
      </c>
      <c r="F42" s="55">
        <v>1010982708</v>
      </c>
      <c r="G42" s="4" t="s">
        <v>67</v>
      </c>
      <c r="H42" s="4" t="s">
        <v>68</v>
      </c>
      <c r="I42" s="4" t="s">
        <v>2494</v>
      </c>
      <c r="J42" s="55" t="s">
        <v>2495</v>
      </c>
      <c r="K42" s="4" t="s">
        <v>71</v>
      </c>
      <c r="L42" s="4" t="s">
        <v>3487</v>
      </c>
      <c r="M42" s="4" t="s">
        <v>2643</v>
      </c>
      <c r="N42" s="4" t="s">
        <v>74</v>
      </c>
      <c r="O42" s="4" t="s">
        <v>3788</v>
      </c>
      <c r="P42" s="4" t="s">
        <v>3597</v>
      </c>
      <c r="Q42" s="57">
        <v>45110</v>
      </c>
      <c r="R42" s="57">
        <v>45113</v>
      </c>
      <c r="S42" s="113"/>
      <c r="T42" s="113"/>
      <c r="U42" s="4"/>
      <c r="V42" s="4"/>
      <c r="W42" s="105" t="s">
        <v>3882</v>
      </c>
      <c r="X42" s="114">
        <v>1518707935</v>
      </c>
      <c r="Y42" s="55">
        <v>1632934683</v>
      </c>
      <c r="Z42" s="4" t="s">
        <v>3883</v>
      </c>
      <c r="AA42" s="4">
        <v>1944903816</v>
      </c>
      <c r="AB42" s="4" t="s">
        <v>101</v>
      </c>
      <c r="AC42" s="4" t="s">
        <v>133</v>
      </c>
      <c r="AD42" s="113">
        <v>35462</v>
      </c>
      <c r="AE42" s="107">
        <v>27.2191780821918</v>
      </c>
      <c r="AF42" s="4" t="s">
        <v>80</v>
      </c>
      <c r="AG42" s="114">
        <v>8257737703</v>
      </c>
      <c r="AH42" s="4" t="s">
        <v>81</v>
      </c>
      <c r="AI42" s="55" t="s">
        <v>241</v>
      </c>
      <c r="AJ42" s="55" t="s">
        <v>81</v>
      </c>
      <c r="AK42" s="55" t="s">
        <v>81</v>
      </c>
      <c r="AL42" s="4" t="s">
        <v>3884</v>
      </c>
      <c r="AM42" s="4" t="s">
        <v>3885</v>
      </c>
      <c r="AN42" s="4" t="s">
        <v>3886</v>
      </c>
      <c r="AO42" s="4" t="s">
        <v>3887</v>
      </c>
      <c r="AP42" s="4" t="s">
        <v>3888</v>
      </c>
      <c r="AQ42" s="55" t="s">
        <v>3889</v>
      </c>
      <c r="AR42" s="4" t="s">
        <v>224</v>
      </c>
      <c r="AS42" s="4"/>
      <c r="AT42" s="72"/>
      <c r="AU42" s="4"/>
      <c r="AV42" s="4"/>
      <c r="AW42" s="4"/>
      <c r="AX42" s="4"/>
      <c r="AY42" s="4"/>
      <c r="AZ42" s="4"/>
      <c r="BA42" s="4" t="s">
        <v>3498</v>
      </c>
      <c r="BB42" s="4">
        <v>10800</v>
      </c>
      <c r="BC42" s="4">
        <v>2700</v>
      </c>
      <c r="BD42" s="4">
        <v>0</v>
      </c>
      <c r="BE42" s="4" t="s">
        <v>91</v>
      </c>
      <c r="BF42" s="4" t="s">
        <v>167</v>
      </c>
      <c r="BG42" s="4" t="s">
        <v>167</v>
      </c>
      <c r="BH42" s="4" t="s">
        <v>3510</v>
      </c>
      <c r="BI42" s="72">
        <f>VLOOKUP(A42,'ID Block'!A:L,12,0)</f>
        <v>45185</v>
      </c>
      <c r="BJ42" s="154" t="str">
        <f>VLOOKUP(A42,'ID Block'!A:M,13,0)</f>
        <v>Family Issue</v>
      </c>
      <c r="BK42" s="4">
        <f t="shared" si="0"/>
        <v>72</v>
      </c>
      <c r="BL42" s="105" t="s">
        <v>168</v>
      </c>
      <c r="BM42" s="85"/>
      <c r="BN42" s="183" t="s">
        <v>3844</v>
      </c>
      <c r="BO42" s="183"/>
    </row>
    <row r="43" ht="14.4" s="67" customFormat="1">
      <c r="A43" s="4">
        <v>171029</v>
      </c>
      <c r="B43" s="4"/>
      <c r="C43" s="55" t="s">
        <v>3890</v>
      </c>
      <c r="D43" s="4" t="s">
        <v>3891</v>
      </c>
      <c r="E43" s="4" t="s">
        <v>114</v>
      </c>
      <c r="F43" s="55">
        <v>1117621643</v>
      </c>
      <c r="G43" s="4" t="s">
        <v>67</v>
      </c>
      <c r="H43" s="4" t="s">
        <v>68</v>
      </c>
      <c r="I43" s="4" t="s">
        <v>2494</v>
      </c>
      <c r="J43" s="55" t="s">
        <v>70</v>
      </c>
      <c r="K43" s="4" t="s">
        <v>71</v>
      </c>
      <c r="L43" s="4" t="s">
        <v>3487</v>
      </c>
      <c r="M43" s="4" t="s">
        <v>2643</v>
      </c>
      <c r="N43" s="4" t="s">
        <v>74</v>
      </c>
      <c r="O43" s="4" t="s">
        <v>3788</v>
      </c>
      <c r="P43" s="4" t="s">
        <v>3489</v>
      </c>
      <c r="Q43" s="57">
        <v>45033</v>
      </c>
      <c r="R43" s="57">
        <v>45040</v>
      </c>
      <c r="S43" s="113"/>
      <c r="T43" s="113"/>
      <c r="U43" s="4"/>
      <c r="V43" s="4"/>
      <c r="W43" s="105" t="s">
        <v>3892</v>
      </c>
      <c r="X43" s="114">
        <v>1707913701</v>
      </c>
      <c r="Y43" s="55"/>
      <c r="Z43" s="4" t="s">
        <v>3893</v>
      </c>
      <c r="AA43" s="4">
        <v>1714677421</v>
      </c>
      <c r="AB43" s="4" t="s">
        <v>101</v>
      </c>
      <c r="AC43" s="4" t="s">
        <v>79</v>
      </c>
      <c r="AD43" s="113">
        <v>36160</v>
      </c>
      <c r="AE43" s="107">
        <v>25.3068493150685</v>
      </c>
      <c r="AF43" s="4" t="s">
        <v>80</v>
      </c>
      <c r="AG43" s="114">
        <v>3758195659</v>
      </c>
      <c r="AH43" s="4" t="s">
        <v>81</v>
      </c>
      <c r="AI43" s="55" t="s">
        <v>160</v>
      </c>
      <c r="AJ43" s="55" t="s">
        <v>81</v>
      </c>
      <c r="AK43" s="55" t="s">
        <v>81</v>
      </c>
      <c r="AL43" s="4" t="s">
        <v>3894</v>
      </c>
      <c r="AM43" s="4" t="s">
        <v>3893</v>
      </c>
      <c r="AN43" s="4" t="s">
        <v>3895</v>
      </c>
      <c r="AO43" s="4" t="s">
        <v>3896</v>
      </c>
      <c r="AP43" s="4" t="s">
        <v>3897</v>
      </c>
      <c r="AQ43" s="55" t="s">
        <v>3898</v>
      </c>
      <c r="AR43" s="4" t="s">
        <v>110</v>
      </c>
      <c r="AS43" s="4"/>
      <c r="AT43" s="72"/>
      <c r="AU43" s="4"/>
      <c r="AV43" s="4"/>
      <c r="AW43" s="4"/>
      <c r="AX43" s="4"/>
      <c r="AY43" s="4"/>
      <c r="AZ43" s="4"/>
      <c r="BA43" s="4" t="s">
        <v>3498</v>
      </c>
      <c r="BB43" s="4">
        <v>10800</v>
      </c>
      <c r="BC43" s="4">
        <v>2700</v>
      </c>
      <c r="BD43" s="4">
        <v>0</v>
      </c>
      <c r="BE43" s="4" t="s">
        <v>91</v>
      </c>
      <c r="BF43" s="4">
        <v>161678</v>
      </c>
      <c r="BG43" s="4" t="s">
        <v>92</v>
      </c>
      <c r="BH43" s="4" t="s">
        <v>3510</v>
      </c>
      <c r="BI43" s="72">
        <f>VLOOKUP(A43,'ID Block'!A:L,12,0)</f>
        <v>45176</v>
      </c>
      <c r="BJ43" s="154" t="str">
        <f>VLOOKUP(A43,'ID Block'!A:M,13,0)</f>
        <v>Study Isuue</v>
      </c>
      <c r="BK43" s="4">
        <f t="shared" si="0"/>
        <v>136</v>
      </c>
      <c r="BL43" s="105" t="s">
        <v>168</v>
      </c>
      <c r="BM43" s="85"/>
      <c r="BN43" s="183" t="s">
        <v>3544</v>
      </c>
      <c r="BO43" s="183"/>
    </row>
    <row r="44" ht="14.4" s="67" customFormat="1">
      <c r="A44" s="4">
        <v>171090</v>
      </c>
      <c r="B44" s="4"/>
      <c r="C44" s="55" t="s">
        <v>3899</v>
      </c>
      <c r="D44" s="4" t="s">
        <v>3900</v>
      </c>
      <c r="E44" s="4" t="s">
        <v>114</v>
      </c>
      <c r="F44" s="55">
        <v>1018926225</v>
      </c>
      <c r="G44" s="4" t="s">
        <v>67</v>
      </c>
      <c r="H44" s="4" t="s">
        <v>68</v>
      </c>
      <c r="I44" s="4" t="s">
        <v>2494</v>
      </c>
      <c r="J44" s="55" t="s">
        <v>2495</v>
      </c>
      <c r="K44" s="4" t="s">
        <v>71</v>
      </c>
      <c r="L44" s="4" t="s">
        <v>3487</v>
      </c>
      <c r="M44" s="4" t="s">
        <v>2643</v>
      </c>
      <c r="N44" s="4" t="s">
        <v>74</v>
      </c>
      <c r="O44" s="4" t="s">
        <v>3788</v>
      </c>
      <c r="P44" s="4" t="s">
        <v>3597</v>
      </c>
      <c r="Q44" s="57">
        <v>45110</v>
      </c>
      <c r="R44" s="57">
        <v>45113</v>
      </c>
      <c r="S44" s="113"/>
      <c r="T44" s="113"/>
      <c r="U44" s="4"/>
      <c r="V44" s="4"/>
      <c r="W44" s="105" t="s">
        <v>3901</v>
      </c>
      <c r="X44" s="114">
        <v>1766477705</v>
      </c>
      <c r="Y44" s="55">
        <v>1518827432</v>
      </c>
      <c r="Z44" s="4" t="s">
        <v>3902</v>
      </c>
      <c r="AA44" s="4">
        <v>1753524091</v>
      </c>
      <c r="AB44" s="4" t="s">
        <v>132</v>
      </c>
      <c r="AC44" s="4" t="s">
        <v>3903</v>
      </c>
      <c r="AD44" s="113">
        <v>45110</v>
      </c>
      <c r="AE44" s="107">
        <v>0.786301369863014</v>
      </c>
      <c r="AF44" s="4" t="s">
        <v>80</v>
      </c>
      <c r="AG44" s="114">
        <v>7802648944</v>
      </c>
      <c r="AH44" s="4" t="s">
        <v>81</v>
      </c>
      <c r="AI44" s="55" t="s">
        <v>265</v>
      </c>
      <c r="AJ44" s="55" t="s">
        <v>81</v>
      </c>
      <c r="AK44" s="55" t="s">
        <v>81</v>
      </c>
      <c r="AL44" s="4" t="s">
        <v>3904</v>
      </c>
      <c r="AM44" s="4" t="s">
        <v>3905</v>
      </c>
      <c r="AN44" s="4" t="s">
        <v>3902</v>
      </c>
      <c r="AO44" s="4" t="s">
        <v>3906</v>
      </c>
      <c r="AP44" s="4" t="s">
        <v>3907</v>
      </c>
      <c r="AQ44" s="55" t="s">
        <v>151</v>
      </c>
      <c r="AR44" s="4" t="s">
        <v>224</v>
      </c>
      <c r="AS44" s="4"/>
      <c r="AT44" s="72"/>
      <c r="AU44" s="4"/>
      <c r="AV44" s="4"/>
      <c r="AW44" s="4"/>
      <c r="AX44" s="4"/>
      <c r="AY44" s="4"/>
      <c r="AZ44" s="4"/>
      <c r="BA44" s="4" t="s">
        <v>3498</v>
      </c>
      <c r="BB44" s="4">
        <v>10800</v>
      </c>
      <c r="BC44" s="4">
        <v>2700</v>
      </c>
      <c r="BD44" s="4">
        <v>0</v>
      </c>
      <c r="BE44" s="4" t="s">
        <v>91</v>
      </c>
      <c r="BF44" s="4" t="s">
        <v>167</v>
      </c>
      <c r="BG44" s="4" t="s">
        <v>167</v>
      </c>
      <c r="BH44" s="4" t="s">
        <v>3510</v>
      </c>
      <c r="BI44" s="72">
        <f>VLOOKUP(A44,'ID Block'!A:L,12,0)</f>
        <v>45188</v>
      </c>
      <c r="BJ44" s="154" t="str">
        <f>VLOOKUP(A44,'ID Block'!A:M,13,0)</f>
        <v>Family Isuue</v>
      </c>
      <c r="BK44" s="4">
        <f t="shared" si="0"/>
        <v>75</v>
      </c>
      <c r="BL44" s="105" t="s">
        <v>168</v>
      </c>
      <c r="BM44" s="85"/>
      <c r="BN44" s="183" t="s">
        <v>3844</v>
      </c>
      <c r="BO44" s="183"/>
    </row>
    <row r="45" ht="14.4" s="67" customFormat="1">
      <c r="A45" s="4">
        <v>171009</v>
      </c>
      <c r="B45" s="4"/>
      <c r="C45" s="55" t="s">
        <v>3908</v>
      </c>
      <c r="D45" s="4" t="s">
        <v>3909</v>
      </c>
      <c r="E45" s="4" t="s">
        <v>114</v>
      </c>
      <c r="F45" s="55">
        <v>1010925912</v>
      </c>
      <c r="G45" s="4" t="s">
        <v>67</v>
      </c>
      <c r="H45" s="4" t="s">
        <v>68</v>
      </c>
      <c r="I45" s="4" t="s">
        <v>2494</v>
      </c>
      <c r="J45" s="55" t="s">
        <v>407</v>
      </c>
      <c r="K45" s="4" t="s">
        <v>71</v>
      </c>
      <c r="L45" s="4" t="s">
        <v>3487</v>
      </c>
      <c r="M45" s="4" t="s">
        <v>3503</v>
      </c>
      <c r="N45" s="4" t="s">
        <v>74</v>
      </c>
      <c r="O45" s="4" t="s">
        <v>3788</v>
      </c>
      <c r="P45" s="4" t="s">
        <v>3546</v>
      </c>
      <c r="Q45" s="57">
        <v>45023</v>
      </c>
      <c r="R45" s="57">
        <v>45032</v>
      </c>
      <c r="S45" s="113"/>
      <c r="T45" s="113"/>
      <c r="U45" s="4"/>
      <c r="V45" s="4"/>
      <c r="W45" s="105" t="s">
        <v>3910</v>
      </c>
      <c r="X45" s="114">
        <v>1749766889</v>
      </c>
      <c r="Y45" s="55"/>
      <c r="Z45" s="4" t="s">
        <v>3911</v>
      </c>
      <c r="AA45" s="4">
        <v>1749766889</v>
      </c>
      <c r="AB45" s="4" t="s">
        <v>132</v>
      </c>
      <c r="AC45" s="4" t="s">
        <v>119</v>
      </c>
      <c r="AD45" s="113">
        <v>35909</v>
      </c>
      <c r="AE45" s="107">
        <v>25.9945205479452</v>
      </c>
      <c r="AF45" s="4" t="s">
        <v>80</v>
      </c>
      <c r="AG45" s="114">
        <v>7814294778</v>
      </c>
      <c r="AH45" s="4" t="s">
        <v>81</v>
      </c>
      <c r="AI45" s="55" t="s">
        <v>187</v>
      </c>
      <c r="AJ45" s="55" t="s">
        <v>81</v>
      </c>
      <c r="AK45" s="55" t="s">
        <v>81</v>
      </c>
      <c r="AL45" s="4" t="s">
        <v>83</v>
      </c>
      <c r="AM45" s="4" t="s">
        <v>3912</v>
      </c>
      <c r="AN45" s="4" t="s">
        <v>3913</v>
      </c>
      <c r="AO45" s="4" t="s">
        <v>3914</v>
      </c>
      <c r="AP45" s="4" t="s">
        <v>3914</v>
      </c>
      <c r="AQ45" s="55" t="s">
        <v>3862</v>
      </c>
      <c r="AR45" s="4" t="s">
        <v>110</v>
      </c>
      <c r="AS45" s="4"/>
      <c r="AT45" s="72"/>
      <c r="AU45" s="4"/>
      <c r="AV45" s="4"/>
      <c r="AW45" s="4"/>
      <c r="AX45" s="4"/>
      <c r="AY45" s="4"/>
      <c r="AZ45" s="4"/>
      <c r="BA45" s="4" t="s">
        <v>3498</v>
      </c>
      <c r="BB45" s="4">
        <v>10800</v>
      </c>
      <c r="BC45" s="4">
        <v>2700</v>
      </c>
      <c r="BD45" s="4">
        <v>0</v>
      </c>
      <c r="BE45" s="4" t="s">
        <v>91</v>
      </c>
      <c r="BF45" s="4">
        <v>160043</v>
      </c>
      <c r="BG45" s="4" t="s">
        <v>92</v>
      </c>
      <c r="BH45" s="4" t="s">
        <v>3510</v>
      </c>
      <c r="BI45" s="72">
        <f>VLOOKUP(A45,'ID Block'!A:L,12,0)</f>
        <v>45189</v>
      </c>
      <c r="BJ45" s="154" t="str">
        <f>VLOOKUP(A45,'ID Block'!A:M,13,0)</f>
        <v>Sicikness Isuue</v>
      </c>
      <c r="BK45" s="4">
        <f t="shared" si="0"/>
        <v>157</v>
      </c>
      <c r="BL45" s="105" t="s">
        <v>168</v>
      </c>
      <c r="BM45" s="85"/>
      <c r="BN45" s="183" t="s">
        <v>3915</v>
      </c>
      <c r="BO45" s="183"/>
    </row>
    <row r="46" ht="14.4" s="67" customFormat="1">
      <c r="A46" s="4">
        <v>171048</v>
      </c>
      <c r="B46" s="4"/>
      <c r="C46" s="55" t="s">
        <v>3916</v>
      </c>
      <c r="D46" s="4" t="s">
        <v>3917</v>
      </c>
      <c r="E46" s="4" t="s">
        <v>114</v>
      </c>
      <c r="F46" s="55">
        <v>211458</v>
      </c>
      <c r="G46" s="4" t="s">
        <v>67</v>
      </c>
      <c r="H46" s="4" t="s">
        <v>68</v>
      </c>
      <c r="I46" s="4" t="s">
        <v>2494</v>
      </c>
      <c r="J46" s="55" t="s">
        <v>70</v>
      </c>
      <c r="K46" s="4" t="s">
        <v>71</v>
      </c>
      <c r="L46" s="4" t="s">
        <v>3487</v>
      </c>
      <c r="M46" s="4" t="s">
        <v>2643</v>
      </c>
      <c r="N46" s="4" t="s">
        <v>74</v>
      </c>
      <c r="O46" s="4" t="s">
        <v>3788</v>
      </c>
      <c r="P46" s="4" t="s">
        <v>3489</v>
      </c>
      <c r="Q46" s="57">
        <v>45033</v>
      </c>
      <c r="R46" s="57">
        <v>45040</v>
      </c>
      <c r="S46" s="113"/>
      <c r="T46" s="113"/>
      <c r="U46" s="4"/>
      <c r="V46" s="4"/>
      <c r="W46" s="105" t="s">
        <v>3918</v>
      </c>
      <c r="X46" s="114">
        <v>1722167080</v>
      </c>
      <c r="Y46" s="55"/>
      <c r="Z46" s="4" t="s">
        <v>3919</v>
      </c>
      <c r="AA46" s="4">
        <v>1799336436</v>
      </c>
      <c r="AB46" s="4" t="s">
        <v>118</v>
      </c>
      <c r="AC46" s="4" t="s">
        <v>133</v>
      </c>
      <c r="AD46" s="113">
        <v>34700</v>
      </c>
      <c r="AE46" s="107">
        <v>29.3068493150685</v>
      </c>
      <c r="AF46" s="4" t="s">
        <v>80</v>
      </c>
      <c r="AG46" s="114">
        <v>6465019872</v>
      </c>
      <c r="AH46" s="4" t="s">
        <v>81</v>
      </c>
      <c r="AI46" s="55" t="s">
        <v>187</v>
      </c>
      <c r="AJ46" s="55" t="s">
        <v>81</v>
      </c>
      <c r="AK46" s="55" t="s">
        <v>81</v>
      </c>
      <c r="AL46" s="4" t="s">
        <v>3920</v>
      </c>
      <c r="AM46" s="4" t="s">
        <v>3921</v>
      </c>
      <c r="AN46" s="4" t="s">
        <v>3408</v>
      </c>
      <c r="AO46" s="4" t="s">
        <v>3922</v>
      </c>
      <c r="AP46" s="4" t="s">
        <v>3923</v>
      </c>
      <c r="AQ46" s="55" t="s">
        <v>3924</v>
      </c>
      <c r="AR46" s="4" t="s">
        <v>110</v>
      </c>
      <c r="AS46" s="4"/>
      <c r="AT46" s="72"/>
      <c r="AU46" s="4"/>
      <c r="AV46" s="4"/>
      <c r="AW46" s="4"/>
      <c r="AX46" s="4"/>
      <c r="AY46" s="4"/>
      <c r="AZ46" s="4"/>
      <c r="BA46" s="4" t="s">
        <v>3498</v>
      </c>
      <c r="BB46" s="4">
        <v>10800</v>
      </c>
      <c r="BC46" s="4">
        <v>2700</v>
      </c>
      <c r="BD46" s="4">
        <v>0</v>
      </c>
      <c r="BE46" s="4" t="s">
        <v>91</v>
      </c>
      <c r="BF46" s="4">
        <v>161645</v>
      </c>
      <c r="BG46" s="4" t="s">
        <v>92</v>
      </c>
      <c r="BH46" s="4" t="s">
        <v>3510</v>
      </c>
      <c r="BI46" s="72">
        <f>VLOOKUP(A46,'ID Block'!A:L,12,0)</f>
        <v>45194</v>
      </c>
      <c r="BJ46" s="154" t="str">
        <f>VLOOKUP(A46,'ID Block'!A:M,13,0)</f>
        <v>Better opportunity</v>
      </c>
      <c r="BK46" s="4">
        <f t="shared" si="0"/>
        <v>154</v>
      </c>
      <c r="BL46" s="105" t="s">
        <v>168</v>
      </c>
      <c r="BM46" s="10"/>
      <c r="BN46" s="183" t="s">
        <v>3796</v>
      </c>
      <c r="BO46" s="183"/>
    </row>
    <row r="47" ht="14.4" s="67" customFormat="1">
      <c r="A47" s="4">
        <v>171062</v>
      </c>
      <c r="B47" s="4"/>
      <c r="C47" s="55" t="s">
        <v>3925</v>
      </c>
      <c r="D47" s="4" t="s">
        <v>3926</v>
      </c>
      <c r="E47" s="4" t="s">
        <v>114</v>
      </c>
      <c r="F47" s="55">
        <v>1210899025</v>
      </c>
      <c r="G47" s="4" t="s">
        <v>67</v>
      </c>
      <c r="H47" s="4" t="s">
        <v>68</v>
      </c>
      <c r="I47" s="4" t="s">
        <v>2494</v>
      </c>
      <c r="J47" s="55" t="s">
        <v>70</v>
      </c>
      <c r="K47" s="4" t="s">
        <v>71</v>
      </c>
      <c r="L47" s="4" t="s">
        <v>3487</v>
      </c>
      <c r="M47" s="4" t="s">
        <v>2643</v>
      </c>
      <c r="N47" s="4" t="s">
        <v>74</v>
      </c>
      <c r="O47" s="4" t="s">
        <v>3788</v>
      </c>
      <c r="P47" s="4" t="s">
        <v>3513</v>
      </c>
      <c r="Q47" s="57">
        <v>45063</v>
      </c>
      <c r="R47" s="57">
        <v>45072</v>
      </c>
      <c r="S47" s="113"/>
      <c r="T47" s="113"/>
      <c r="U47" s="4"/>
      <c r="V47" s="4"/>
      <c r="W47" s="105" t="s">
        <v>3927</v>
      </c>
      <c r="X47" s="114">
        <v>1635843223</v>
      </c>
      <c r="Y47" s="55">
        <v>1825623099</v>
      </c>
      <c r="Z47" s="4" t="s">
        <v>3928</v>
      </c>
      <c r="AA47" s="4">
        <v>1843480890</v>
      </c>
      <c r="AB47" s="4" t="s">
        <v>118</v>
      </c>
      <c r="AC47" s="4" t="s">
        <v>133</v>
      </c>
      <c r="AD47" s="113">
        <v>34665</v>
      </c>
      <c r="AE47" s="107">
        <v>29.4027397260274</v>
      </c>
      <c r="AF47" s="4" t="s">
        <v>80</v>
      </c>
      <c r="AG47" s="114">
        <v>4642375051</v>
      </c>
      <c r="AH47" s="4" t="s">
        <v>81</v>
      </c>
      <c r="AI47" s="55" t="s">
        <v>104</v>
      </c>
      <c r="AJ47" s="55" t="s">
        <v>290</v>
      </c>
      <c r="AK47" s="55">
        <v>2023</v>
      </c>
      <c r="AL47" s="4" t="s">
        <v>780</v>
      </c>
      <c r="AM47" s="4" t="s">
        <v>3929</v>
      </c>
      <c r="AN47" s="4" t="s">
        <v>3930</v>
      </c>
      <c r="AO47" s="4" t="s">
        <v>3931</v>
      </c>
      <c r="AP47" s="4" t="s">
        <v>3932</v>
      </c>
      <c r="AQ47" s="55" t="s">
        <v>203</v>
      </c>
      <c r="AR47" s="4" t="s">
        <v>110</v>
      </c>
      <c r="AS47" s="4"/>
      <c r="AT47" s="72"/>
      <c r="AU47" s="4"/>
      <c r="AV47" s="4"/>
      <c r="AW47" s="4"/>
      <c r="AX47" s="4"/>
      <c r="AY47" s="4"/>
      <c r="AZ47" s="4"/>
      <c r="BA47" s="4" t="s">
        <v>3498</v>
      </c>
      <c r="BB47" s="4">
        <v>10800</v>
      </c>
      <c r="BC47" s="4">
        <v>2700</v>
      </c>
      <c r="BD47" s="4">
        <v>0</v>
      </c>
      <c r="BE47" s="4" t="s">
        <v>91</v>
      </c>
      <c r="BF47" s="4">
        <v>160848</v>
      </c>
      <c r="BG47" s="4" t="s">
        <v>92</v>
      </c>
      <c r="BH47" s="4" t="s">
        <v>3510</v>
      </c>
      <c r="BI47" s="72">
        <f>VLOOKUP(A47,'ID Block'!A:L,12,0)</f>
        <v>45183</v>
      </c>
      <c r="BJ47" s="154" t="str">
        <f>VLOOKUP(A47,'ID Block'!A:M,13,0)</f>
        <v>Better opportunity</v>
      </c>
      <c r="BK47" s="4">
        <f t="shared" si="0"/>
        <v>111</v>
      </c>
      <c r="BL47" s="105" t="s">
        <v>168</v>
      </c>
      <c r="BM47" s="10"/>
      <c r="BN47" s="183" t="s">
        <v>3796</v>
      </c>
      <c r="BO47" s="183"/>
    </row>
    <row r="48" ht="14.4" s="67" customFormat="1">
      <c r="A48" s="4">
        <v>171094</v>
      </c>
      <c r="B48" s="4"/>
      <c r="C48" s="55" t="s">
        <v>3933</v>
      </c>
      <c r="D48" s="4" t="s">
        <v>3934</v>
      </c>
      <c r="E48" s="4" t="s">
        <v>114</v>
      </c>
      <c r="F48" s="55">
        <v>1310513143</v>
      </c>
      <c r="G48" s="4" t="s">
        <v>67</v>
      </c>
      <c r="H48" s="4" t="s">
        <v>68</v>
      </c>
      <c r="I48" s="4" t="s">
        <v>2494</v>
      </c>
      <c r="J48" s="55" t="s">
        <v>2495</v>
      </c>
      <c r="K48" s="4" t="s">
        <v>71</v>
      </c>
      <c r="L48" s="4" t="s">
        <v>3487</v>
      </c>
      <c r="M48" s="4" t="s">
        <v>2643</v>
      </c>
      <c r="N48" s="4" t="s">
        <v>74</v>
      </c>
      <c r="O48" s="4" t="s">
        <v>3788</v>
      </c>
      <c r="P48" s="4" t="s">
        <v>3597</v>
      </c>
      <c r="Q48" s="57">
        <v>45110</v>
      </c>
      <c r="R48" s="57">
        <v>45113</v>
      </c>
      <c r="S48" s="113"/>
      <c r="T48" s="113"/>
      <c r="U48" s="4"/>
      <c r="V48" s="4"/>
      <c r="W48" s="105" t="s">
        <v>3935</v>
      </c>
      <c r="X48" s="114">
        <v>1604138249</v>
      </c>
      <c r="Y48" s="55">
        <v>1318554714</v>
      </c>
      <c r="Z48" s="4" t="s">
        <v>715</v>
      </c>
      <c r="AA48" s="4">
        <v>1318554714</v>
      </c>
      <c r="AB48" s="4" t="s">
        <v>132</v>
      </c>
      <c r="AC48" s="4" t="s">
        <v>79</v>
      </c>
      <c r="AD48" s="113">
        <v>36685</v>
      </c>
      <c r="AE48" s="107">
        <v>23.8684931506849</v>
      </c>
      <c r="AF48" s="4" t="s">
        <v>80</v>
      </c>
      <c r="AG48" s="114">
        <v>6014565391</v>
      </c>
      <c r="AH48" s="4" t="s">
        <v>81</v>
      </c>
      <c r="AI48" s="55" t="s">
        <v>290</v>
      </c>
      <c r="AJ48" s="55" t="s">
        <v>81</v>
      </c>
      <c r="AK48" s="55" t="s">
        <v>81</v>
      </c>
      <c r="AL48" s="4" t="s">
        <v>3936</v>
      </c>
      <c r="AM48" s="4" t="s">
        <v>3937</v>
      </c>
      <c r="AN48" s="4" t="s">
        <v>715</v>
      </c>
      <c r="AO48" s="4" t="s">
        <v>3938</v>
      </c>
      <c r="AP48" s="4" t="s">
        <v>3939</v>
      </c>
      <c r="AQ48" s="55" t="s">
        <v>285</v>
      </c>
      <c r="AR48" s="4" t="s">
        <v>224</v>
      </c>
      <c r="AS48" s="4"/>
      <c r="AT48" s="72"/>
      <c r="AU48" s="4"/>
      <c r="AV48" s="4"/>
      <c r="AW48" s="4"/>
      <c r="AX48" s="4"/>
      <c r="AY48" s="4"/>
      <c r="AZ48" s="4"/>
      <c r="BA48" s="4" t="s">
        <v>3498</v>
      </c>
      <c r="BB48" s="4">
        <v>10800</v>
      </c>
      <c r="BC48" s="4">
        <v>2700</v>
      </c>
      <c r="BD48" s="4">
        <v>0</v>
      </c>
      <c r="BE48" s="4" t="s">
        <v>91</v>
      </c>
      <c r="BF48" s="4" t="s">
        <v>167</v>
      </c>
      <c r="BG48" s="4" t="s">
        <v>167</v>
      </c>
      <c r="BH48" s="4" t="s">
        <v>3510</v>
      </c>
      <c r="BI48" s="72">
        <f>VLOOKUP(A48,'ID Block'!A:L,12,0)</f>
        <v>45196</v>
      </c>
      <c r="BJ48" s="154" t="str">
        <f>VLOOKUP(A48,'ID Block'!A:M,13,0)</f>
        <v>Family Isssue</v>
      </c>
      <c r="BK48" s="4">
        <f t="shared" si="0"/>
        <v>83</v>
      </c>
      <c r="BL48" s="105" t="s">
        <v>168</v>
      </c>
      <c r="BM48" s="10"/>
      <c r="BN48" s="183" t="s">
        <v>3844</v>
      </c>
      <c r="BO48" s="183"/>
    </row>
    <row r="49" ht="14.4" s="67" customFormat="1">
      <c r="A49" s="4">
        <v>171121</v>
      </c>
      <c r="B49" s="4"/>
      <c r="C49" s="55" t="s">
        <v>3940</v>
      </c>
      <c r="D49" s="4" t="s">
        <v>3941</v>
      </c>
      <c r="E49" s="4" t="s">
        <v>66</v>
      </c>
      <c r="F49" s="55">
        <v>1210970643</v>
      </c>
      <c r="G49" s="4" t="s">
        <v>67</v>
      </c>
      <c r="H49" s="4" t="s">
        <v>68</v>
      </c>
      <c r="I49" s="4" t="s">
        <v>2494</v>
      </c>
      <c r="J49" s="55" t="s">
        <v>3650</v>
      </c>
      <c r="K49" s="4" t="s">
        <v>71</v>
      </c>
      <c r="L49" s="4" t="s">
        <v>3487</v>
      </c>
      <c r="M49" s="4" t="s">
        <v>115</v>
      </c>
      <c r="N49" s="4" t="s">
        <v>74</v>
      </c>
      <c r="O49" s="4" t="s">
        <v>3788</v>
      </c>
      <c r="P49" s="4" t="s">
        <v>3942</v>
      </c>
      <c r="Q49" s="57">
        <v>45146</v>
      </c>
      <c r="R49" s="57">
        <v>45154</v>
      </c>
      <c r="S49" s="113"/>
      <c r="T49" s="113"/>
      <c r="U49" s="4"/>
      <c r="V49" s="4"/>
      <c r="W49" s="105" t="s">
        <v>3943</v>
      </c>
      <c r="X49" s="114">
        <v>1910400564</v>
      </c>
      <c r="Y49" s="55">
        <v>1910400564</v>
      </c>
      <c r="Z49" s="4" t="s">
        <v>1972</v>
      </c>
      <c r="AA49" s="4">
        <v>1515666380</v>
      </c>
      <c r="AB49" s="4" t="s">
        <v>132</v>
      </c>
      <c r="AC49" s="4" t="s">
        <v>79</v>
      </c>
      <c r="AD49" s="113">
        <v>36318</v>
      </c>
      <c r="AE49" s="107">
        <v>24.8739726027397</v>
      </c>
      <c r="AF49" s="4" t="s">
        <v>80</v>
      </c>
      <c r="AG49" s="114">
        <v>5104962526</v>
      </c>
      <c r="AH49" s="4" t="s">
        <v>81</v>
      </c>
      <c r="AI49" s="55" t="s">
        <v>187</v>
      </c>
      <c r="AJ49" s="55" t="s">
        <v>3944</v>
      </c>
      <c r="AK49" s="55">
        <v>2024</v>
      </c>
      <c r="AL49" s="4" t="s">
        <v>3945</v>
      </c>
      <c r="AM49" s="4" t="s">
        <v>3946</v>
      </c>
      <c r="AN49" s="4" t="s">
        <v>1972</v>
      </c>
      <c r="AO49" s="4" t="s">
        <v>3947</v>
      </c>
      <c r="AP49" s="4" t="s">
        <v>3948</v>
      </c>
      <c r="AQ49" s="55" t="s">
        <v>499</v>
      </c>
      <c r="AR49" s="4" t="s">
        <v>110</v>
      </c>
      <c r="AS49" s="4"/>
      <c r="AT49" s="72"/>
      <c r="AU49" s="4"/>
      <c r="AV49" s="4"/>
      <c r="AW49" s="4"/>
      <c r="AX49" s="4"/>
      <c r="AY49" s="4"/>
      <c r="AZ49" s="4"/>
      <c r="BA49" s="4" t="s">
        <v>3498</v>
      </c>
      <c r="BB49" s="4">
        <v>10800</v>
      </c>
      <c r="BC49" s="4">
        <v>2700</v>
      </c>
      <c r="BD49" s="4">
        <v>0</v>
      </c>
      <c r="BE49" s="4" t="s">
        <v>296</v>
      </c>
      <c r="BF49" s="4" t="s">
        <v>167</v>
      </c>
      <c r="BG49" s="4" t="s">
        <v>167</v>
      </c>
      <c r="BH49" s="4" t="s">
        <v>3510</v>
      </c>
      <c r="BI49" s="72">
        <f>VLOOKUP(A49,'ID Block'!A:L,12,0)</f>
        <v>45208</v>
      </c>
      <c r="BJ49" s="154" t="str">
        <f>VLOOKUP(A49,'ID Block'!A:M,13,0)</f>
        <v>Sickness Issue</v>
      </c>
      <c r="BK49" s="4">
        <f t="shared" si="0"/>
        <v>54</v>
      </c>
      <c r="BL49" s="105" t="s">
        <v>168</v>
      </c>
      <c r="BM49" s="10"/>
      <c r="BN49" s="183" t="s">
        <v>3915</v>
      </c>
      <c r="BO49" s="183"/>
    </row>
    <row r="50" ht="14.4" s="67" customFormat="1">
      <c r="A50" s="4">
        <v>171145</v>
      </c>
      <c r="B50" s="4"/>
      <c r="C50" s="55" t="s">
        <v>3949</v>
      </c>
      <c r="D50" s="4" t="s">
        <v>3950</v>
      </c>
      <c r="E50" s="4" t="s">
        <v>114</v>
      </c>
      <c r="F50" s="55">
        <v>1118995431</v>
      </c>
      <c r="G50" s="4" t="s">
        <v>67</v>
      </c>
      <c r="H50" s="4" t="s">
        <v>68</v>
      </c>
      <c r="I50" s="4" t="s">
        <v>2494</v>
      </c>
      <c r="J50" s="55" t="s">
        <v>155</v>
      </c>
      <c r="K50" s="4" t="s">
        <v>71</v>
      </c>
      <c r="L50" s="4" t="s">
        <v>3487</v>
      </c>
      <c r="M50" s="4" t="s">
        <v>3512</v>
      </c>
      <c r="N50" s="4" t="s">
        <v>74</v>
      </c>
      <c r="O50" s="4" t="s">
        <v>75</v>
      </c>
      <c r="P50" s="4" t="s">
        <v>3951</v>
      </c>
      <c r="Q50" s="57">
        <v>45192</v>
      </c>
      <c r="R50" s="57">
        <v>45198</v>
      </c>
      <c r="S50" s="113"/>
      <c r="T50" s="113"/>
      <c r="U50" s="4"/>
      <c r="V50" s="4"/>
      <c r="W50" s="105" t="s">
        <v>3952</v>
      </c>
      <c r="X50" s="114">
        <v>1748221485</v>
      </c>
      <c r="Y50" s="55">
        <v>1748221485</v>
      </c>
      <c r="Z50" s="4" t="s">
        <v>3953</v>
      </c>
      <c r="AA50" s="4">
        <v>1710991583</v>
      </c>
      <c r="AB50" s="4" t="s">
        <v>101</v>
      </c>
      <c r="AC50" s="4" t="s">
        <v>133</v>
      </c>
      <c r="AD50" s="113">
        <v>36083</v>
      </c>
      <c r="AE50" s="107">
        <v>25.5178082191781</v>
      </c>
      <c r="AF50" s="4" t="s">
        <v>80</v>
      </c>
      <c r="AG50" s="114">
        <v>1964486623</v>
      </c>
      <c r="AH50" s="4" t="s">
        <v>81</v>
      </c>
      <c r="AI50" s="55" t="s">
        <v>253</v>
      </c>
      <c r="AJ50" s="55" t="s">
        <v>81</v>
      </c>
      <c r="AK50" s="55">
        <v>2023</v>
      </c>
      <c r="AL50" s="4" t="s">
        <v>3954</v>
      </c>
      <c r="AM50" s="4" t="s">
        <v>3953</v>
      </c>
      <c r="AN50" s="4" t="s">
        <v>131</v>
      </c>
      <c r="AO50" s="4" t="s">
        <v>3955</v>
      </c>
      <c r="AP50" s="4" t="s">
        <v>3955</v>
      </c>
      <c r="AQ50" s="55" t="s">
        <v>3956</v>
      </c>
      <c r="AR50" s="4" t="s">
        <v>260</v>
      </c>
      <c r="AS50" s="4"/>
      <c r="AT50" s="72"/>
      <c r="AU50" s="4"/>
      <c r="AV50" s="4"/>
      <c r="AW50" s="4"/>
      <c r="AX50" s="4"/>
      <c r="AY50" s="4"/>
      <c r="AZ50" s="4"/>
      <c r="BA50" s="4" t="s">
        <v>3498</v>
      </c>
      <c r="BB50" s="4">
        <v>10800</v>
      </c>
      <c r="BC50" s="4">
        <v>2700</v>
      </c>
      <c r="BD50" s="4">
        <v>1000</v>
      </c>
      <c r="BE50" s="4" t="s">
        <v>166</v>
      </c>
      <c r="BF50" s="4" t="s">
        <v>167</v>
      </c>
      <c r="BG50" s="4" t="s">
        <v>167</v>
      </c>
      <c r="BH50" s="4" t="s">
        <v>3510</v>
      </c>
      <c r="BI50" s="72">
        <f>VLOOKUP(A50,'ID Block'!A:L,12,0)</f>
        <v>45210</v>
      </c>
      <c r="BJ50" s="154" t="str">
        <f>VLOOKUP(A50,'ID Block'!A:M,13,0)</f>
        <v>Better opportunity</v>
      </c>
      <c r="BK50" s="4">
        <f t="shared" si="0"/>
        <v>12</v>
      </c>
      <c r="BL50" s="105" t="s">
        <v>168</v>
      </c>
      <c r="BM50" s="10"/>
      <c r="BN50" s="183" t="s">
        <v>3796</v>
      </c>
      <c r="BO50" s="183"/>
    </row>
    <row r="51" ht="14.4" s="67" customFormat="1">
      <c r="A51" s="4">
        <v>171050</v>
      </c>
      <c r="B51" s="4"/>
      <c r="C51" s="55"/>
      <c r="D51" s="4" t="s">
        <v>3957</v>
      </c>
      <c r="E51" s="4" t="s">
        <v>66</v>
      </c>
      <c r="F51" s="55">
        <v>1110213907</v>
      </c>
      <c r="G51" s="4" t="s">
        <v>67</v>
      </c>
      <c r="H51" s="4" t="s">
        <v>68</v>
      </c>
      <c r="I51" s="4" t="s">
        <v>2494</v>
      </c>
      <c r="J51" s="55" t="s">
        <v>297</v>
      </c>
      <c r="K51" s="4" t="s">
        <v>71</v>
      </c>
      <c r="L51" s="4" t="s">
        <v>3487</v>
      </c>
      <c r="M51" s="4" t="s">
        <v>115</v>
      </c>
      <c r="N51" s="4" t="s">
        <v>74</v>
      </c>
      <c r="O51" s="4" t="s">
        <v>3788</v>
      </c>
      <c r="P51" s="4" t="s">
        <v>3942</v>
      </c>
      <c r="Q51" s="57">
        <v>45146</v>
      </c>
      <c r="R51" s="57">
        <v>45154</v>
      </c>
      <c r="S51" s="113"/>
      <c r="T51" s="113"/>
      <c r="U51" s="4"/>
      <c r="V51" s="4"/>
      <c r="W51" s="105" t="s">
        <v>3958</v>
      </c>
      <c r="X51" s="114">
        <v>1983628324</v>
      </c>
      <c r="Y51" s="55">
        <v>1720049142</v>
      </c>
      <c r="Z51" s="4" t="s">
        <v>3842</v>
      </c>
      <c r="AA51" s="4">
        <v>1720049142</v>
      </c>
      <c r="AB51" s="4" t="s">
        <v>132</v>
      </c>
      <c r="AC51" s="4" t="s">
        <v>133</v>
      </c>
      <c r="AD51" s="113">
        <v>36343</v>
      </c>
      <c r="AE51" s="107">
        <v>24.8054794520548</v>
      </c>
      <c r="AF51" s="4" t="s">
        <v>80</v>
      </c>
      <c r="AG51" s="114">
        <v>6454747319</v>
      </c>
      <c r="AH51" s="4" t="s">
        <v>81</v>
      </c>
      <c r="AI51" s="55" t="s">
        <v>290</v>
      </c>
      <c r="AJ51" s="55" t="s">
        <v>81</v>
      </c>
      <c r="AK51" s="55" t="s">
        <v>81</v>
      </c>
      <c r="AL51" s="4" t="s">
        <v>412</v>
      </c>
      <c r="AM51" s="4" t="s">
        <v>3287</v>
      </c>
      <c r="AN51" s="4" t="s">
        <v>3842</v>
      </c>
      <c r="AO51" s="4" t="s">
        <v>3959</v>
      </c>
      <c r="AP51" s="4" t="s">
        <v>3960</v>
      </c>
      <c r="AQ51" s="55" t="s">
        <v>3961</v>
      </c>
      <c r="AR51" s="4" t="s">
        <v>110</v>
      </c>
      <c r="AS51" s="4"/>
      <c r="AT51" s="72"/>
      <c r="AU51" s="4"/>
      <c r="AV51" s="4"/>
      <c r="AW51" s="4"/>
      <c r="AX51" s="4"/>
      <c r="AY51" s="4"/>
      <c r="AZ51" s="4"/>
      <c r="BA51" s="4" t="s">
        <v>3498</v>
      </c>
      <c r="BB51" s="4">
        <v>10800</v>
      </c>
      <c r="BC51" s="4">
        <v>2700</v>
      </c>
      <c r="BD51" s="4">
        <v>0</v>
      </c>
      <c r="BE51" s="4" t="s">
        <v>296</v>
      </c>
      <c r="BF51" s="4" t="s">
        <v>167</v>
      </c>
      <c r="BG51" s="4" t="s">
        <v>167</v>
      </c>
      <c r="BH51" s="4" t="s">
        <v>3510</v>
      </c>
      <c r="BI51" s="72">
        <f>VLOOKUP(A51,'ID Block'!A:L,12,0)</f>
        <v>45215</v>
      </c>
      <c r="BJ51" s="154" t="str">
        <f>VLOOKUP(A51,'ID Block'!A:M,13,0)</f>
        <v>Better opportunity</v>
      </c>
      <c r="BK51" s="4">
        <f t="shared" si="0"/>
        <v>61</v>
      </c>
      <c r="BL51" s="105" t="s">
        <v>168</v>
      </c>
      <c r="BM51" s="10"/>
      <c r="BN51" s="183" t="s">
        <v>3796</v>
      </c>
      <c r="BO51" s="183"/>
    </row>
    <row r="52" ht="14.4" s="67" customFormat="1">
      <c r="A52" s="4">
        <v>171021</v>
      </c>
      <c r="B52" s="4"/>
      <c r="C52" s="55" t="s">
        <v>3962</v>
      </c>
      <c r="D52" s="4" t="s">
        <v>3963</v>
      </c>
      <c r="E52" s="4" t="s">
        <v>114</v>
      </c>
      <c r="F52" s="55">
        <v>1112735476</v>
      </c>
      <c r="G52" s="4" t="s">
        <v>67</v>
      </c>
      <c r="H52" s="4" t="s">
        <v>68</v>
      </c>
      <c r="I52" s="4" t="s">
        <v>2494</v>
      </c>
      <c r="J52" s="55" t="s">
        <v>70</v>
      </c>
      <c r="K52" s="4" t="s">
        <v>71</v>
      </c>
      <c r="L52" s="4" t="s">
        <v>3487</v>
      </c>
      <c r="M52" s="4" t="s">
        <v>3512</v>
      </c>
      <c r="N52" s="4" t="s">
        <v>74</v>
      </c>
      <c r="O52" s="4" t="s">
        <v>3788</v>
      </c>
      <c r="P52" s="4" t="s">
        <v>3585</v>
      </c>
      <c r="Q52" s="57">
        <v>45029</v>
      </c>
      <c r="R52" s="57">
        <v>45042</v>
      </c>
      <c r="S52" s="113"/>
      <c r="T52" s="113"/>
      <c r="U52" s="4"/>
      <c r="V52" s="4"/>
      <c r="W52" s="105" t="s">
        <v>3964</v>
      </c>
      <c r="X52" s="114">
        <v>1761237800</v>
      </c>
      <c r="Y52" s="55"/>
      <c r="Z52" s="4" t="s">
        <v>3965</v>
      </c>
      <c r="AA52" s="4">
        <v>1917293591</v>
      </c>
      <c r="AB52" s="4" t="s">
        <v>132</v>
      </c>
      <c r="AC52" s="4" t="s">
        <v>133</v>
      </c>
      <c r="AD52" s="113">
        <v>36323</v>
      </c>
      <c r="AE52" s="107">
        <v>24.8602739726027</v>
      </c>
      <c r="AF52" s="4" t="s">
        <v>80</v>
      </c>
      <c r="AG52" s="114">
        <v>6454830271</v>
      </c>
      <c r="AH52" s="4" t="s">
        <v>81</v>
      </c>
      <c r="AI52" s="55" t="s">
        <v>160</v>
      </c>
      <c r="AJ52" s="55" t="s">
        <v>81</v>
      </c>
      <c r="AK52" s="55" t="s">
        <v>81</v>
      </c>
      <c r="AL52" s="4" t="s">
        <v>2127</v>
      </c>
      <c r="AM52" s="4" t="s">
        <v>3966</v>
      </c>
      <c r="AN52" s="4" t="s">
        <v>3965</v>
      </c>
      <c r="AO52" s="4" t="s">
        <v>3967</v>
      </c>
      <c r="AP52" s="4" t="s">
        <v>3968</v>
      </c>
      <c r="AQ52" s="55" t="s">
        <v>3969</v>
      </c>
      <c r="AR52" s="4" t="s">
        <v>110</v>
      </c>
      <c r="AS52" s="4"/>
      <c r="AT52" s="72"/>
      <c r="AU52" s="4"/>
      <c r="AV52" s="4"/>
      <c r="AW52" s="4"/>
      <c r="AX52" s="4"/>
      <c r="AY52" s="4"/>
      <c r="AZ52" s="4"/>
      <c r="BA52" s="4" t="s">
        <v>3498</v>
      </c>
      <c r="BB52" s="4">
        <v>10800</v>
      </c>
      <c r="BC52" s="4">
        <v>2700</v>
      </c>
      <c r="BD52" s="4">
        <v>1000</v>
      </c>
      <c r="BE52" s="4" t="s">
        <v>166</v>
      </c>
      <c r="BF52" s="4">
        <v>161676</v>
      </c>
      <c r="BG52" s="4" t="s">
        <v>92</v>
      </c>
      <c r="BH52" s="4" t="s">
        <v>3510</v>
      </c>
      <c r="BI52" s="72">
        <f>VLOOKUP(A52,'ID Block'!A:L,12,0)</f>
        <v>45215</v>
      </c>
      <c r="BJ52" s="154" t="str">
        <f>VLOOKUP(A52,'ID Block'!A:M,13,0)</f>
        <v>Study purpose </v>
      </c>
      <c r="BK52" s="4">
        <f t="shared" si="0"/>
        <v>173</v>
      </c>
      <c r="BL52" s="105" t="s">
        <v>168</v>
      </c>
      <c r="BM52" s="10"/>
      <c r="BN52" s="183" t="s">
        <v>3544</v>
      </c>
      <c r="BO52" s="183"/>
    </row>
    <row r="53" ht="14.4" s="67" customFormat="1">
      <c r="A53" s="4">
        <v>171018</v>
      </c>
      <c r="B53" s="4"/>
      <c r="C53" s="55" t="s">
        <v>3970</v>
      </c>
      <c r="D53" s="4" t="s">
        <v>3971</v>
      </c>
      <c r="E53" s="4" t="s">
        <v>114</v>
      </c>
      <c r="F53" s="55">
        <v>398181</v>
      </c>
      <c r="G53" s="4" t="s">
        <v>67</v>
      </c>
      <c r="H53" s="4" t="s">
        <v>68</v>
      </c>
      <c r="I53" s="4" t="s">
        <v>2494</v>
      </c>
      <c r="J53" s="55" t="s">
        <v>70</v>
      </c>
      <c r="K53" s="4" t="s">
        <v>71</v>
      </c>
      <c r="L53" s="4" t="s">
        <v>3487</v>
      </c>
      <c r="M53" s="4" t="s">
        <v>3512</v>
      </c>
      <c r="N53" s="4" t="s">
        <v>74</v>
      </c>
      <c r="O53" s="4" t="s">
        <v>3788</v>
      </c>
      <c r="P53" s="4" t="s">
        <v>3585</v>
      </c>
      <c r="Q53" s="57">
        <v>45029</v>
      </c>
      <c r="R53" s="57">
        <v>45042</v>
      </c>
      <c r="S53" s="113"/>
      <c r="T53" s="113"/>
      <c r="U53" s="4"/>
      <c r="V53" s="4"/>
      <c r="W53" s="105" t="s">
        <v>3972</v>
      </c>
      <c r="X53" s="114">
        <v>1680056488</v>
      </c>
      <c r="Y53" s="55"/>
      <c r="Z53" s="4" t="s">
        <v>3973</v>
      </c>
      <c r="AA53" s="4">
        <v>1515209631</v>
      </c>
      <c r="AB53" s="4" t="s">
        <v>252</v>
      </c>
      <c r="AC53" s="4" t="s">
        <v>102</v>
      </c>
      <c r="AD53" s="113">
        <v>33237</v>
      </c>
      <c r="AE53" s="107">
        <v>33.3150684931507</v>
      </c>
      <c r="AF53" s="4" t="s">
        <v>360</v>
      </c>
      <c r="AG53" s="114">
        <v>6870670509</v>
      </c>
      <c r="AH53" s="4" t="s">
        <v>81</v>
      </c>
      <c r="AI53" s="55" t="s">
        <v>2982</v>
      </c>
      <c r="AJ53" s="55" t="s">
        <v>81</v>
      </c>
      <c r="AK53" s="55" t="s">
        <v>81</v>
      </c>
      <c r="AL53" s="4" t="s">
        <v>3974</v>
      </c>
      <c r="AM53" s="4" t="s">
        <v>3975</v>
      </c>
      <c r="AN53" s="4" t="s">
        <v>3976</v>
      </c>
      <c r="AO53" s="4" t="s">
        <v>3977</v>
      </c>
      <c r="AP53" s="4" t="s">
        <v>3977</v>
      </c>
      <c r="AQ53" s="55" t="s">
        <v>555</v>
      </c>
      <c r="AR53" s="4" t="s">
        <v>89</v>
      </c>
      <c r="AS53" s="4"/>
      <c r="AT53" s="72"/>
      <c r="AU53" s="4"/>
      <c r="AV53" s="4"/>
      <c r="AW53" s="4"/>
      <c r="AX53" s="4"/>
      <c r="AY53" s="4"/>
      <c r="AZ53" s="4"/>
      <c r="BA53" s="4" t="s">
        <v>3498</v>
      </c>
      <c r="BB53" s="4">
        <v>10800</v>
      </c>
      <c r="BC53" s="4">
        <v>2700</v>
      </c>
      <c r="BD53" s="4">
        <v>0</v>
      </c>
      <c r="BE53" s="4" t="s">
        <v>91</v>
      </c>
      <c r="BF53" s="4">
        <v>160195</v>
      </c>
      <c r="BG53" s="4" t="s">
        <v>92</v>
      </c>
      <c r="BH53" s="4" t="s">
        <v>3510</v>
      </c>
      <c r="BI53" s="72">
        <f>VLOOKUP(A53,'ID Block'!A:L,12,0)</f>
        <v>45220</v>
      </c>
      <c r="BJ53" s="154" t="str">
        <f>VLOOKUP(A53,'ID Block'!A:M,13,0)</f>
        <v>Resignation</v>
      </c>
      <c r="BK53" s="4">
        <f t="shared" si="0"/>
        <v>178</v>
      </c>
      <c r="BL53" s="105" t="s">
        <v>168</v>
      </c>
      <c r="BM53" s="10"/>
      <c r="BN53" s="183" t="s">
        <v>3978</v>
      </c>
      <c r="BO53" s="183"/>
    </row>
    <row r="54" ht="14.4" s="67" customFormat="1">
      <c r="A54" s="4">
        <v>171031</v>
      </c>
      <c r="B54" s="4"/>
      <c r="C54" s="55" t="s">
        <v>3979</v>
      </c>
      <c r="D54" s="4" t="s">
        <v>3980</v>
      </c>
      <c r="E54" s="4" t="s">
        <v>114</v>
      </c>
      <c r="F54" s="55">
        <v>1210544253</v>
      </c>
      <c r="G54" s="4" t="s">
        <v>67</v>
      </c>
      <c r="H54" s="4" t="s">
        <v>68</v>
      </c>
      <c r="I54" s="4" t="s">
        <v>2494</v>
      </c>
      <c r="J54" s="55" t="s">
        <v>70</v>
      </c>
      <c r="K54" s="4" t="s">
        <v>71</v>
      </c>
      <c r="L54" s="4" t="s">
        <v>3487</v>
      </c>
      <c r="M54" s="4" t="s">
        <v>2643</v>
      </c>
      <c r="N54" s="4" t="s">
        <v>74</v>
      </c>
      <c r="O54" s="4" t="s">
        <v>3788</v>
      </c>
      <c r="P54" s="4" t="s">
        <v>3489</v>
      </c>
      <c r="Q54" s="57">
        <v>45033</v>
      </c>
      <c r="R54" s="57">
        <v>45040</v>
      </c>
      <c r="S54" s="113"/>
      <c r="T54" s="113"/>
      <c r="U54" s="4"/>
      <c r="V54" s="4"/>
      <c r="W54" s="105" t="s">
        <v>3981</v>
      </c>
      <c r="X54" s="114">
        <v>1609075990</v>
      </c>
      <c r="Y54" s="55"/>
      <c r="Z54" s="4" t="s">
        <v>3982</v>
      </c>
      <c r="AA54" s="4">
        <v>1714789272</v>
      </c>
      <c r="AB54" s="4" t="s">
        <v>101</v>
      </c>
      <c r="AC54" s="4" t="s">
        <v>119</v>
      </c>
      <c r="AD54" s="113">
        <v>36185</v>
      </c>
      <c r="AE54" s="107">
        <v>25.2383561643836</v>
      </c>
      <c r="AF54" s="4" t="s">
        <v>80</v>
      </c>
      <c r="AG54" s="114">
        <v>3762449225</v>
      </c>
      <c r="AH54" s="4" t="s">
        <v>81</v>
      </c>
      <c r="AI54" s="55" t="s">
        <v>104</v>
      </c>
      <c r="AJ54" s="55" t="s">
        <v>3983</v>
      </c>
      <c r="AK54" s="55">
        <v>2023</v>
      </c>
      <c r="AL54" s="4" t="s">
        <v>2259</v>
      </c>
      <c r="AM54" s="4" t="s">
        <v>3982</v>
      </c>
      <c r="AN54" s="4" t="s">
        <v>2177</v>
      </c>
      <c r="AO54" s="4" t="s">
        <v>3984</v>
      </c>
      <c r="AP54" s="4" t="s">
        <v>3985</v>
      </c>
      <c r="AQ54" s="55" t="s">
        <v>88</v>
      </c>
      <c r="AR54" s="4" t="s">
        <v>110</v>
      </c>
      <c r="AS54" s="4"/>
      <c r="AT54" s="72"/>
      <c r="AU54" s="4"/>
      <c r="AV54" s="4"/>
      <c r="AW54" s="4"/>
      <c r="AX54" s="4"/>
      <c r="AY54" s="4"/>
      <c r="AZ54" s="4"/>
      <c r="BA54" s="4" t="s">
        <v>3498</v>
      </c>
      <c r="BB54" s="4">
        <v>10800</v>
      </c>
      <c r="BC54" s="4">
        <v>2700</v>
      </c>
      <c r="BD54" s="4">
        <v>1000</v>
      </c>
      <c r="BE54" s="4" t="s">
        <v>166</v>
      </c>
      <c r="BF54" s="4">
        <v>160561</v>
      </c>
      <c r="BG54" s="4" t="s">
        <v>92</v>
      </c>
      <c r="BH54" s="4" t="s">
        <v>3510</v>
      </c>
      <c r="BI54" s="72">
        <f>VLOOKUP(A54,'ID Block'!A:L,12,0)</f>
        <v>45225</v>
      </c>
      <c r="BJ54" s="154" t="str">
        <f>VLOOKUP(A54,'ID Block'!A:M,13,0)</f>
        <v>Better Opportunity</v>
      </c>
      <c r="BK54" s="4">
        <f t="shared" si="0"/>
        <v>185</v>
      </c>
      <c r="BL54" s="105" t="s">
        <v>168</v>
      </c>
      <c r="BM54" s="10"/>
      <c r="BN54" s="183" t="s">
        <v>3796</v>
      </c>
      <c r="BO54" s="183"/>
    </row>
    <row r="55" ht="14.4" s="67" customFormat="1">
      <c r="A55" s="4">
        <v>171162</v>
      </c>
      <c r="B55" s="4"/>
      <c r="C55" s="55"/>
      <c r="D55" s="4" t="s">
        <v>3986</v>
      </c>
      <c r="E55" s="4" t="s">
        <v>114</v>
      </c>
      <c r="F55" s="55">
        <v>1310626603</v>
      </c>
      <c r="G55" s="4" t="s">
        <v>67</v>
      </c>
      <c r="H55" s="4" t="s">
        <v>68</v>
      </c>
      <c r="I55" s="4" t="s">
        <v>2494</v>
      </c>
      <c r="J55" s="55" t="s">
        <v>307</v>
      </c>
      <c r="K55" s="4" t="s">
        <v>71</v>
      </c>
      <c r="L55" s="4" t="s">
        <v>3487</v>
      </c>
      <c r="M55" s="4" t="s">
        <v>2643</v>
      </c>
      <c r="N55" s="4" t="s">
        <v>74</v>
      </c>
      <c r="O55" s="4" t="s">
        <v>75</v>
      </c>
      <c r="P55" s="4" t="s">
        <v>3987</v>
      </c>
      <c r="Q55" s="57">
        <v>45206</v>
      </c>
      <c r="R55" s="57">
        <v>45211</v>
      </c>
      <c r="S55" s="113"/>
      <c r="T55" s="113"/>
      <c r="U55" s="4"/>
      <c r="V55" s="4"/>
      <c r="W55" s="105" t="s">
        <v>3988</v>
      </c>
      <c r="X55" s="114">
        <v>1881273617</v>
      </c>
      <c r="Y55" s="55">
        <v>1972091834</v>
      </c>
      <c r="Z55" s="4" t="s">
        <v>3989</v>
      </c>
      <c r="AA55" s="4">
        <v>1617360399</v>
      </c>
      <c r="AB55" s="4" t="s">
        <v>132</v>
      </c>
      <c r="AC55" s="4" t="s">
        <v>119</v>
      </c>
      <c r="AD55" s="113">
        <v>36763</v>
      </c>
      <c r="AE55" s="107">
        <v>23.6547945205479</v>
      </c>
      <c r="AF55" s="4" t="s">
        <v>80</v>
      </c>
      <c r="AG55" s="114">
        <v>7814230889</v>
      </c>
      <c r="AH55" s="4" t="s">
        <v>81</v>
      </c>
      <c r="AI55" s="55" t="s">
        <v>290</v>
      </c>
      <c r="AJ55" s="55" t="s">
        <v>81</v>
      </c>
      <c r="AK55" s="55">
        <v>2023</v>
      </c>
      <c r="AL55" s="4" t="s">
        <v>291</v>
      </c>
      <c r="AM55" s="4" t="s">
        <v>3990</v>
      </c>
      <c r="AN55" s="4" t="s">
        <v>3989</v>
      </c>
      <c r="AO55" s="4" t="s">
        <v>3991</v>
      </c>
      <c r="AP55" s="4" t="s">
        <v>3991</v>
      </c>
      <c r="AQ55" s="55" t="s">
        <v>499</v>
      </c>
      <c r="AR55" s="4" t="s">
        <v>110</v>
      </c>
      <c r="AS55" s="4"/>
      <c r="AT55" s="72"/>
      <c r="AU55" s="4"/>
      <c r="AV55" s="4"/>
      <c r="AW55" s="4"/>
      <c r="AX55" s="4"/>
      <c r="AY55" s="4"/>
      <c r="AZ55" s="4"/>
      <c r="BA55" s="4" t="s">
        <v>3498</v>
      </c>
      <c r="BB55" s="4">
        <v>10800</v>
      </c>
      <c r="BC55" s="4">
        <v>2700</v>
      </c>
      <c r="BD55" s="4">
        <v>0</v>
      </c>
      <c r="BE55" s="4" t="s">
        <v>296</v>
      </c>
      <c r="BF55" s="4"/>
      <c r="BG55" s="4"/>
      <c r="BH55" s="4" t="s">
        <v>3499</v>
      </c>
      <c r="BI55" s="72">
        <f>VLOOKUP(A55,'ID Block'!A:L,12,0)</f>
        <v>45225</v>
      </c>
      <c r="BJ55" s="154" t="str">
        <f>VLOOKUP(A55,'ID Block'!A:M,13,0)</f>
        <v>Unauthorized Absent</v>
      </c>
      <c r="BK55" s="4">
        <f t="shared" si="0"/>
        <v>14</v>
      </c>
      <c r="BL55" s="105" t="s">
        <v>168</v>
      </c>
      <c r="BM55" s="10"/>
      <c r="BN55" s="183" t="s">
        <v>3992</v>
      </c>
      <c r="BO55" s="183"/>
    </row>
    <row r="56" ht="14.4" s="67" customFormat="1">
      <c r="A56" s="4">
        <v>171147</v>
      </c>
      <c r="B56" s="4"/>
      <c r="C56" s="55" t="s">
        <v>3993</v>
      </c>
      <c r="D56" s="4" t="s">
        <v>3994</v>
      </c>
      <c r="E56" s="4" t="s">
        <v>114</v>
      </c>
      <c r="F56" s="55">
        <v>1210806605</v>
      </c>
      <c r="G56" s="4" t="s">
        <v>67</v>
      </c>
      <c r="H56" s="4" t="s">
        <v>68</v>
      </c>
      <c r="I56" s="4" t="s">
        <v>2494</v>
      </c>
      <c r="J56" s="55" t="s">
        <v>155</v>
      </c>
      <c r="K56" s="4" t="s">
        <v>71</v>
      </c>
      <c r="L56" s="4" t="s">
        <v>3487</v>
      </c>
      <c r="M56" s="4" t="s">
        <v>3512</v>
      </c>
      <c r="N56" s="4" t="s">
        <v>74</v>
      </c>
      <c r="O56" s="4" t="s">
        <v>75</v>
      </c>
      <c r="P56" s="4" t="s">
        <v>3951</v>
      </c>
      <c r="Q56" s="57">
        <v>45192</v>
      </c>
      <c r="R56" s="57">
        <v>45200</v>
      </c>
      <c r="S56" s="113"/>
      <c r="T56" s="113"/>
      <c r="U56" s="4"/>
      <c r="V56" s="4"/>
      <c r="W56" s="105" t="s">
        <v>3995</v>
      </c>
      <c r="X56" s="114">
        <v>1972768919</v>
      </c>
      <c r="Y56" s="55">
        <v>1923714679</v>
      </c>
      <c r="Z56" s="4" t="s">
        <v>3996</v>
      </c>
      <c r="AA56" s="4">
        <v>1998781622</v>
      </c>
      <c r="AB56" s="4" t="s">
        <v>382</v>
      </c>
      <c r="AC56" s="4" t="s">
        <v>119</v>
      </c>
      <c r="AD56" s="113">
        <v>35683</v>
      </c>
      <c r="AE56" s="107">
        <v>26.613698630137</v>
      </c>
      <c r="AF56" s="4" t="s">
        <v>80</v>
      </c>
      <c r="AG56" s="114">
        <v>6004511082</v>
      </c>
      <c r="AH56" s="4" t="s">
        <v>3997</v>
      </c>
      <c r="AI56" s="55" t="s">
        <v>290</v>
      </c>
      <c r="AJ56" s="55" t="s">
        <v>81</v>
      </c>
      <c r="AK56" s="55">
        <v>2022</v>
      </c>
      <c r="AL56" s="4" t="s">
        <v>188</v>
      </c>
      <c r="AM56" s="4" t="s">
        <v>3998</v>
      </c>
      <c r="AN56" s="4" t="s">
        <v>3999</v>
      </c>
      <c r="AO56" s="4" t="s">
        <v>4000</v>
      </c>
      <c r="AP56" s="4" t="s">
        <v>4001</v>
      </c>
      <c r="AQ56" s="55" t="s">
        <v>397</v>
      </c>
      <c r="AR56" s="4" t="s">
        <v>260</v>
      </c>
      <c r="AS56" s="4"/>
      <c r="AT56" s="72"/>
      <c r="AU56" s="4"/>
      <c r="AV56" s="4"/>
      <c r="AW56" s="4"/>
      <c r="AX56" s="4"/>
      <c r="AY56" s="4"/>
      <c r="AZ56" s="4"/>
      <c r="BA56" s="4" t="s">
        <v>3498</v>
      </c>
      <c r="BB56" s="4">
        <v>10800</v>
      </c>
      <c r="BC56" s="4">
        <v>2700</v>
      </c>
      <c r="BD56" s="4">
        <v>1000</v>
      </c>
      <c r="BE56" s="4" t="s">
        <v>166</v>
      </c>
      <c r="BF56" s="4" t="s">
        <v>167</v>
      </c>
      <c r="BG56" s="4" t="s">
        <v>167</v>
      </c>
      <c r="BH56" s="4" t="s">
        <v>3510</v>
      </c>
      <c r="BI56" s="72">
        <f>VLOOKUP(A56,'ID Block'!A:L,12,0)</f>
        <v>45225</v>
      </c>
      <c r="BJ56" s="154" t="str">
        <f>VLOOKUP(A56,'ID Block'!A:M,13,0)</f>
        <v>Family Issue</v>
      </c>
      <c r="BK56" s="4">
        <f t="shared" si="0"/>
        <v>25</v>
      </c>
      <c r="BL56" s="105" t="s">
        <v>168</v>
      </c>
      <c r="BM56" s="10"/>
      <c r="BN56" s="183" t="s">
        <v>4002</v>
      </c>
      <c r="BO56" s="183"/>
    </row>
    <row r="57" ht="14.4" s="67" customFormat="1">
      <c r="A57" s="4">
        <v>171119</v>
      </c>
      <c r="B57" s="4"/>
      <c r="C57" s="55" t="s">
        <v>4003</v>
      </c>
      <c r="D57" s="4" t="s">
        <v>4004</v>
      </c>
      <c r="E57" s="4" t="s">
        <v>114</v>
      </c>
      <c r="F57" s="55">
        <v>445032</v>
      </c>
      <c r="G57" s="4" t="s">
        <v>67</v>
      </c>
      <c r="H57" s="4" t="s">
        <v>68</v>
      </c>
      <c r="I57" s="4" t="s">
        <v>2494</v>
      </c>
      <c r="J57" s="55" t="s">
        <v>4005</v>
      </c>
      <c r="K57" s="4" t="s">
        <v>71</v>
      </c>
      <c r="L57" s="4" t="s">
        <v>3487</v>
      </c>
      <c r="M57" s="4" t="s">
        <v>3659</v>
      </c>
      <c r="N57" s="4" t="s">
        <v>238</v>
      </c>
      <c r="O57" s="4" t="s">
        <v>3788</v>
      </c>
      <c r="P57" s="4" t="s">
        <v>3651</v>
      </c>
      <c r="Q57" s="57">
        <v>45116</v>
      </c>
      <c r="R57" s="57">
        <v>45121</v>
      </c>
      <c r="S57" s="113"/>
      <c r="T57" s="113"/>
      <c r="U57" s="4"/>
      <c r="V57" s="4"/>
      <c r="W57" s="105" t="s">
        <v>4006</v>
      </c>
      <c r="X57" s="114">
        <v>1617078638</v>
      </c>
      <c r="Y57" s="55">
        <v>1879902988</v>
      </c>
      <c r="Z57" s="4" t="s">
        <v>4007</v>
      </c>
      <c r="AA57" s="4">
        <v>1714090345</v>
      </c>
      <c r="AB57" s="4" t="s">
        <v>252</v>
      </c>
      <c r="AC57" s="4" t="s">
        <v>102</v>
      </c>
      <c r="AD57" s="113">
        <v>35276</v>
      </c>
      <c r="AE57" s="107">
        <v>27.7287671232877</v>
      </c>
      <c r="AF57" s="4" t="s">
        <v>80</v>
      </c>
      <c r="AG57" s="114">
        <v>4216850075</v>
      </c>
      <c r="AH57" s="4" t="s">
        <v>81</v>
      </c>
      <c r="AI57" s="55" t="s">
        <v>187</v>
      </c>
      <c r="AJ57" s="55" t="s">
        <v>241</v>
      </c>
      <c r="AK57" s="55">
        <v>2024</v>
      </c>
      <c r="AL57" s="4" t="s">
        <v>2805</v>
      </c>
      <c r="AM57" s="4" t="s">
        <v>4008</v>
      </c>
      <c r="AN57" s="4" t="s">
        <v>4009</v>
      </c>
      <c r="AO57" s="4" t="s">
        <v>4010</v>
      </c>
      <c r="AP57" s="4" t="s">
        <v>4011</v>
      </c>
      <c r="AQ57" s="55" t="s">
        <v>499</v>
      </c>
      <c r="AR57" s="4" t="s">
        <v>110</v>
      </c>
      <c r="AS57" s="4"/>
      <c r="AT57" s="72"/>
      <c r="AU57" s="4"/>
      <c r="AV57" s="4"/>
      <c r="AW57" s="4"/>
      <c r="AX57" s="4"/>
      <c r="AY57" s="4"/>
      <c r="AZ57" s="4"/>
      <c r="BA57" s="4" t="s">
        <v>3498</v>
      </c>
      <c r="BB57" s="4">
        <v>10800</v>
      </c>
      <c r="BC57" s="4">
        <v>2700</v>
      </c>
      <c r="BD57" s="4">
        <v>0</v>
      </c>
      <c r="BE57" s="4" t="s">
        <v>91</v>
      </c>
      <c r="BF57" s="4" t="s">
        <v>167</v>
      </c>
      <c r="BG57" s="4" t="s">
        <v>167</v>
      </c>
      <c r="BH57" s="4" t="s">
        <v>3510</v>
      </c>
      <c r="BI57" s="72">
        <f>VLOOKUP(A57,'ID Block'!A:L,12,0)</f>
        <v>45230</v>
      </c>
      <c r="BJ57" s="154" t="str">
        <f>VLOOKUP(A57,'ID Block'!A:M,13,0)</f>
        <v>Sickness Issue</v>
      </c>
      <c r="BK57" s="4">
        <f t="shared" si="0"/>
        <v>109</v>
      </c>
      <c r="BL57" s="105" t="s">
        <v>168</v>
      </c>
      <c r="BM57" s="10"/>
      <c r="BN57" s="183" t="s">
        <v>3915</v>
      </c>
      <c r="BO57" s="183"/>
    </row>
    <row r="58" ht="14.4" s="67" customFormat="1">
      <c r="A58" s="4">
        <v>171103</v>
      </c>
      <c r="B58" s="4"/>
      <c r="C58" s="55" t="s">
        <v>4012</v>
      </c>
      <c r="D58" s="4" t="s">
        <v>4013</v>
      </c>
      <c r="E58" s="4" t="s">
        <v>114</v>
      </c>
      <c r="F58" s="55" t="s">
        <v>4014</v>
      </c>
      <c r="G58" s="4" t="s">
        <v>67</v>
      </c>
      <c r="H58" s="4" t="s">
        <v>68</v>
      </c>
      <c r="I58" s="4" t="s">
        <v>2494</v>
      </c>
      <c r="J58" s="55" t="s">
        <v>2495</v>
      </c>
      <c r="K58" s="4" t="s">
        <v>71</v>
      </c>
      <c r="L58" s="4" t="s">
        <v>3487</v>
      </c>
      <c r="M58" s="4" t="s">
        <v>2643</v>
      </c>
      <c r="N58" s="4" t="s">
        <v>74</v>
      </c>
      <c r="O58" s="4" t="s">
        <v>3788</v>
      </c>
      <c r="P58" s="4" t="s">
        <v>3597</v>
      </c>
      <c r="Q58" s="57">
        <v>45110</v>
      </c>
      <c r="R58" s="57">
        <v>45113</v>
      </c>
      <c r="S58" s="113"/>
      <c r="T58" s="113"/>
      <c r="U58" s="4"/>
      <c r="V58" s="4"/>
      <c r="W58" s="105" t="s">
        <v>4015</v>
      </c>
      <c r="X58" s="114">
        <v>1305887611</v>
      </c>
      <c r="Y58" s="55" t="s">
        <v>81</v>
      </c>
      <c r="Z58" s="4" t="s">
        <v>4016</v>
      </c>
      <c r="AA58" s="4">
        <v>1730351669</v>
      </c>
      <c r="AB58" s="4" t="s">
        <v>4017</v>
      </c>
      <c r="AC58" s="4" t="s">
        <v>79</v>
      </c>
      <c r="AD58" s="113">
        <v>33762</v>
      </c>
      <c r="AE58" s="107">
        <v>31.8767123287671</v>
      </c>
      <c r="AF58" s="4" t="s">
        <v>80</v>
      </c>
      <c r="AG58" s="114">
        <v>4155471974</v>
      </c>
      <c r="AH58" s="4" t="s">
        <v>81</v>
      </c>
      <c r="AI58" s="55" t="s">
        <v>265</v>
      </c>
      <c r="AJ58" s="55" t="s">
        <v>81</v>
      </c>
      <c r="AK58" s="55" t="s">
        <v>81</v>
      </c>
      <c r="AL58" s="4" t="s">
        <v>1102</v>
      </c>
      <c r="AM58" s="4" t="s">
        <v>4018</v>
      </c>
      <c r="AN58" s="4" t="s">
        <v>4019</v>
      </c>
      <c r="AO58" s="4" t="s">
        <v>4020</v>
      </c>
      <c r="AP58" s="4" t="s">
        <v>4020</v>
      </c>
      <c r="AQ58" s="55" t="s">
        <v>499</v>
      </c>
      <c r="AR58" s="4" t="s">
        <v>89</v>
      </c>
      <c r="AS58" s="4"/>
      <c r="AT58" s="72"/>
      <c r="AU58" s="4"/>
      <c r="AV58" s="4"/>
      <c r="AW58" s="4"/>
      <c r="AX58" s="4"/>
      <c r="AY58" s="4"/>
      <c r="AZ58" s="4"/>
      <c r="BA58" s="4" t="s">
        <v>3498</v>
      </c>
      <c r="BB58" s="4">
        <v>10800</v>
      </c>
      <c r="BC58" s="4">
        <v>2700</v>
      </c>
      <c r="BD58" s="4">
        <v>0</v>
      </c>
      <c r="BE58" s="4" t="s">
        <v>91</v>
      </c>
      <c r="BF58" s="4" t="s">
        <v>167</v>
      </c>
      <c r="BG58" s="4" t="s">
        <v>167</v>
      </c>
      <c r="BH58" s="4" t="s">
        <v>3499</v>
      </c>
      <c r="BI58" s="72">
        <f>VLOOKUP(A58,'ID Block'!A:L,12,0)</f>
        <v>45230</v>
      </c>
      <c r="BJ58" s="154" t="str">
        <f>VLOOKUP(A58,'ID Block'!A:M,13,0)</f>
        <v>ZTP</v>
      </c>
      <c r="BK58" s="4">
        <f t="shared" si="0"/>
        <v>117</v>
      </c>
      <c r="BL58" s="105" t="s">
        <v>168</v>
      </c>
      <c r="BM58" s="10"/>
      <c r="BN58" s="183" t="s">
        <v>4021</v>
      </c>
      <c r="BO58" s="183"/>
    </row>
    <row r="59" ht="14.4" s="67" customFormat="1">
      <c r="A59" s="4">
        <v>171099</v>
      </c>
      <c r="B59" s="4"/>
      <c r="C59" s="55"/>
      <c r="D59" s="4" t="s">
        <v>4022</v>
      </c>
      <c r="E59" s="4" t="s">
        <v>114</v>
      </c>
      <c r="F59" s="55">
        <v>335681</v>
      </c>
      <c r="G59" s="4" t="s">
        <v>67</v>
      </c>
      <c r="H59" s="4" t="s">
        <v>68</v>
      </c>
      <c r="I59" s="4" t="s">
        <v>2494</v>
      </c>
      <c r="J59" s="55" t="s">
        <v>2495</v>
      </c>
      <c r="K59" s="4" t="s">
        <v>71</v>
      </c>
      <c r="L59" s="4" t="s">
        <v>3487</v>
      </c>
      <c r="M59" s="4" t="s">
        <v>2643</v>
      </c>
      <c r="N59" s="4" t="s">
        <v>74</v>
      </c>
      <c r="O59" s="4" t="s">
        <v>3788</v>
      </c>
      <c r="P59" s="4" t="s">
        <v>3597</v>
      </c>
      <c r="Q59" s="57">
        <v>45110</v>
      </c>
      <c r="R59" s="57">
        <v>45113</v>
      </c>
      <c r="S59" s="113"/>
      <c r="T59" s="113"/>
      <c r="U59" s="4"/>
      <c r="V59" s="4"/>
      <c r="W59" s="105" t="s">
        <v>4023</v>
      </c>
      <c r="X59" s="114">
        <v>1713965790</v>
      </c>
      <c r="Y59" s="55">
        <v>1518405497</v>
      </c>
      <c r="Z59" s="4" t="s">
        <v>4024</v>
      </c>
      <c r="AA59" s="4">
        <v>1888713465</v>
      </c>
      <c r="AB59" s="4" t="s">
        <v>382</v>
      </c>
      <c r="AC59" s="4" t="s">
        <v>79</v>
      </c>
      <c r="AD59" s="113">
        <v>34799</v>
      </c>
      <c r="AE59" s="107">
        <v>29.0356164383562</v>
      </c>
      <c r="AF59" s="4" t="s">
        <v>80</v>
      </c>
      <c r="AG59" s="114">
        <v>1502017864</v>
      </c>
      <c r="AH59" s="4" t="s">
        <v>81</v>
      </c>
      <c r="AI59" s="55" t="s">
        <v>290</v>
      </c>
      <c r="AJ59" s="55" t="s">
        <v>1619</v>
      </c>
      <c r="AK59" s="55">
        <v>2023</v>
      </c>
      <c r="AL59" s="4" t="s">
        <v>4025</v>
      </c>
      <c r="AM59" s="4" t="s">
        <v>4026</v>
      </c>
      <c r="AN59" s="4" t="s">
        <v>4027</v>
      </c>
      <c r="AO59" s="4" t="s">
        <v>4028</v>
      </c>
      <c r="AP59" s="4" t="s">
        <v>4029</v>
      </c>
      <c r="AQ59" s="55" t="s">
        <v>499</v>
      </c>
      <c r="AR59" s="4" t="s">
        <v>224</v>
      </c>
      <c r="AS59" s="4"/>
      <c r="AT59" s="72"/>
      <c r="AU59" s="4"/>
      <c r="AV59" s="4"/>
      <c r="AW59" s="4"/>
      <c r="AX59" s="4"/>
      <c r="AY59" s="4"/>
      <c r="AZ59" s="4"/>
      <c r="BA59" s="4" t="s">
        <v>3498</v>
      </c>
      <c r="BB59" s="4">
        <v>10800</v>
      </c>
      <c r="BC59" s="4">
        <v>2700</v>
      </c>
      <c r="BD59" s="4">
        <v>1000</v>
      </c>
      <c r="BE59" s="4" t="s">
        <v>166</v>
      </c>
      <c r="BF59" s="4" t="s">
        <v>167</v>
      </c>
      <c r="BG59" s="4" t="s">
        <v>167</v>
      </c>
      <c r="BH59" s="4" t="s">
        <v>3499</v>
      </c>
      <c r="BI59" s="72">
        <f>VLOOKUP(A59,'ID Block'!A:L,12,0)</f>
        <v>45232</v>
      </c>
      <c r="BJ59" s="154" t="str">
        <f>VLOOKUP(A59,'ID Block'!A:M,13,0)</f>
        <v>Unauthorized Absent</v>
      </c>
      <c r="BK59" s="4">
        <f t="shared" si="0"/>
        <v>119</v>
      </c>
      <c r="BL59" s="105" t="s">
        <v>168</v>
      </c>
      <c r="BM59" s="10"/>
      <c r="BN59" s="183" t="s">
        <v>3992</v>
      </c>
      <c r="BO59" s="183"/>
    </row>
    <row r="60" ht="14.4" s="67" customFormat="1">
      <c r="A60" s="4">
        <v>171183</v>
      </c>
      <c r="B60" s="4"/>
      <c r="C60" s="55"/>
      <c r="D60" s="4" t="s">
        <v>4030</v>
      </c>
      <c r="E60" s="4" t="s">
        <v>114</v>
      </c>
      <c r="F60" s="55">
        <v>299312</v>
      </c>
      <c r="G60" s="4" t="s">
        <v>67</v>
      </c>
      <c r="H60" s="4" t="s">
        <v>68</v>
      </c>
      <c r="I60" s="4" t="s">
        <v>2494</v>
      </c>
      <c r="J60" s="55" t="s">
        <v>307</v>
      </c>
      <c r="K60" s="4" t="s">
        <v>71</v>
      </c>
      <c r="L60" s="4" t="s">
        <v>3487</v>
      </c>
      <c r="M60" s="4" t="s">
        <v>2643</v>
      </c>
      <c r="N60" s="4" t="s">
        <v>74</v>
      </c>
      <c r="O60" s="4" t="s">
        <v>75</v>
      </c>
      <c r="P60" s="4" t="s">
        <v>3987</v>
      </c>
      <c r="Q60" s="57">
        <v>45207</v>
      </c>
      <c r="R60" s="57">
        <v>45211</v>
      </c>
      <c r="S60" s="113"/>
      <c r="T60" s="113"/>
      <c r="U60" s="4"/>
      <c r="V60" s="4"/>
      <c r="W60" s="105" t="s">
        <v>3222</v>
      </c>
      <c r="X60" s="114">
        <v>1324561676</v>
      </c>
      <c r="Y60" s="55" t="s">
        <v>81</v>
      </c>
      <c r="Z60" s="4" t="s">
        <v>4031</v>
      </c>
      <c r="AA60" s="4">
        <v>1712421076</v>
      </c>
      <c r="AB60" s="4" t="s">
        <v>252</v>
      </c>
      <c r="AC60" s="4" t="s">
        <v>79</v>
      </c>
      <c r="AD60" s="113">
        <v>32603</v>
      </c>
      <c r="AE60" s="107">
        <v>35.0520547945206</v>
      </c>
      <c r="AF60" s="4" t="s">
        <v>80</v>
      </c>
      <c r="AG60" s="114">
        <v>1021013659</v>
      </c>
      <c r="AH60" s="4" t="s">
        <v>81</v>
      </c>
      <c r="AI60" s="55" t="s">
        <v>683</v>
      </c>
      <c r="AJ60" s="55" t="s">
        <v>81</v>
      </c>
      <c r="AK60" s="55">
        <v>2011</v>
      </c>
      <c r="AL60" s="4" t="s">
        <v>1809</v>
      </c>
      <c r="AM60" s="4" t="s">
        <v>3224</v>
      </c>
      <c r="AN60" s="4" t="s">
        <v>4032</v>
      </c>
      <c r="AO60" s="4" t="s">
        <v>4033</v>
      </c>
      <c r="AP60" s="4" t="s">
        <v>4034</v>
      </c>
      <c r="AQ60" s="55" t="s">
        <v>285</v>
      </c>
      <c r="AR60" s="4" t="s">
        <v>110</v>
      </c>
      <c r="AS60" s="4"/>
      <c r="AT60" s="72"/>
      <c r="AU60" s="4"/>
      <c r="AV60" s="4"/>
      <c r="AW60" s="4"/>
      <c r="AX60" s="4"/>
      <c r="AY60" s="4"/>
      <c r="AZ60" s="4"/>
      <c r="BA60" s="4" t="s">
        <v>3498</v>
      </c>
      <c r="BB60" s="4">
        <v>10800</v>
      </c>
      <c r="BC60" s="4">
        <v>2700</v>
      </c>
      <c r="BD60" s="4">
        <v>0</v>
      </c>
      <c r="BE60" s="4" t="s">
        <v>296</v>
      </c>
      <c r="BF60" s="4"/>
      <c r="BG60" s="4"/>
      <c r="BH60" s="4" t="s">
        <v>3510</v>
      </c>
      <c r="BI60" s="72">
        <f>VLOOKUP(A60,'ID Block'!A:L,12,0)</f>
        <v>45233</v>
      </c>
      <c r="BJ60" s="154" t="str">
        <f>VLOOKUP(A60,'ID Block'!A:M,13,0)</f>
        <v>Better Opportunity</v>
      </c>
      <c r="BK60" s="4">
        <f t="shared" si="0"/>
        <v>22</v>
      </c>
      <c r="BL60" s="105" t="s">
        <v>168</v>
      </c>
      <c r="BM60" s="10"/>
      <c r="BN60" s="183" t="s">
        <v>4035</v>
      </c>
      <c r="BO60" s="183"/>
    </row>
    <row r="61" ht="14.4" s="67" customFormat="1">
      <c r="A61" s="4">
        <v>171022</v>
      </c>
      <c r="B61" s="4"/>
      <c r="C61" s="55" t="s">
        <v>4036</v>
      </c>
      <c r="D61" s="4" t="s">
        <v>4037</v>
      </c>
      <c r="E61" s="4" t="s">
        <v>66</v>
      </c>
      <c r="F61" s="55">
        <v>1210951869</v>
      </c>
      <c r="G61" s="4" t="s">
        <v>67</v>
      </c>
      <c r="H61" s="4" t="s">
        <v>68</v>
      </c>
      <c r="I61" s="4" t="s">
        <v>2494</v>
      </c>
      <c r="J61" s="55" t="s">
        <v>70</v>
      </c>
      <c r="K61" s="4" t="s">
        <v>71</v>
      </c>
      <c r="L61" s="4" t="s">
        <v>3487</v>
      </c>
      <c r="M61" s="4" t="s">
        <v>3512</v>
      </c>
      <c r="N61" s="4" t="s">
        <v>74</v>
      </c>
      <c r="O61" s="4" t="s">
        <v>3788</v>
      </c>
      <c r="P61" s="4" t="s">
        <v>3585</v>
      </c>
      <c r="Q61" s="57">
        <v>45029</v>
      </c>
      <c r="R61" s="57">
        <v>45042</v>
      </c>
      <c r="S61" s="113"/>
      <c r="T61" s="113"/>
      <c r="U61" s="4"/>
      <c r="V61" s="4"/>
      <c r="W61" s="105" t="s">
        <v>4038</v>
      </c>
      <c r="X61" s="114">
        <v>1838876981</v>
      </c>
      <c r="Y61" s="55"/>
      <c r="Z61" s="4" t="s">
        <v>4039</v>
      </c>
      <c r="AA61" s="4">
        <v>1838876981</v>
      </c>
      <c r="AB61" s="4" t="s">
        <v>78</v>
      </c>
      <c r="AC61" s="4" t="s">
        <v>119</v>
      </c>
      <c r="AD61" s="113">
        <v>36724</v>
      </c>
      <c r="AE61" s="107">
        <v>23.7616438356164</v>
      </c>
      <c r="AF61" s="4" t="s">
        <v>80</v>
      </c>
      <c r="AG61" s="114">
        <v>8265038482</v>
      </c>
      <c r="AH61" s="4" t="s">
        <v>4040</v>
      </c>
      <c r="AI61" s="55" t="s">
        <v>104</v>
      </c>
      <c r="AJ61" s="55" t="s">
        <v>4041</v>
      </c>
      <c r="AK61" s="55">
        <v>2024</v>
      </c>
      <c r="AL61" s="4" t="s">
        <v>4042</v>
      </c>
      <c r="AM61" s="4" t="s">
        <v>4043</v>
      </c>
      <c r="AN61" s="4" t="s">
        <v>4044</v>
      </c>
      <c r="AO61" s="4" t="s">
        <v>4045</v>
      </c>
      <c r="AP61" s="4" t="s">
        <v>4046</v>
      </c>
      <c r="AQ61" s="55" t="s">
        <v>3961</v>
      </c>
      <c r="AR61" s="4" t="s">
        <v>89</v>
      </c>
      <c r="AS61" s="4"/>
      <c r="AT61" s="72"/>
      <c r="AU61" s="4"/>
      <c r="AV61" s="4"/>
      <c r="AW61" s="4"/>
      <c r="AX61" s="4"/>
      <c r="AY61" s="4"/>
      <c r="AZ61" s="4"/>
      <c r="BA61" s="4" t="s">
        <v>3498</v>
      </c>
      <c r="BB61" s="4">
        <v>10800</v>
      </c>
      <c r="BC61" s="4">
        <v>2700</v>
      </c>
      <c r="BD61" s="4">
        <v>0</v>
      </c>
      <c r="BE61" s="4" t="s">
        <v>91</v>
      </c>
      <c r="BF61" s="4">
        <v>161662</v>
      </c>
      <c r="BG61" s="4" t="s">
        <v>92</v>
      </c>
      <c r="BH61" s="4" t="s">
        <v>3499</v>
      </c>
      <c r="BI61" s="72">
        <f>VLOOKUP(A61,'ID Block'!A:L,12,0)</f>
        <v>45236</v>
      </c>
      <c r="BJ61" s="154" t="str">
        <f>VLOOKUP(A61,'ID Block'!A:M,13,0)</f>
        <v>ZTP</v>
      </c>
      <c r="BK61" s="4">
        <f t="shared" si="0"/>
        <v>194</v>
      </c>
      <c r="BL61" s="105" t="s">
        <v>168</v>
      </c>
      <c r="BM61" s="10"/>
      <c r="BN61" s="183" t="s">
        <v>4047</v>
      </c>
      <c r="BO61" s="183"/>
    </row>
    <row r="62" ht="14.4" s="67" customFormat="1">
      <c r="A62" s="4">
        <v>171097</v>
      </c>
      <c r="B62" s="4"/>
      <c r="C62" s="55" t="s">
        <v>4048</v>
      </c>
      <c r="D62" s="4" t="s">
        <v>4049</v>
      </c>
      <c r="E62" s="4" t="s">
        <v>114</v>
      </c>
      <c r="F62" s="55">
        <v>1012715717</v>
      </c>
      <c r="G62" s="4" t="s">
        <v>67</v>
      </c>
      <c r="H62" s="4" t="s">
        <v>68</v>
      </c>
      <c r="I62" s="4" t="s">
        <v>2494</v>
      </c>
      <c r="J62" s="55" t="s">
        <v>2495</v>
      </c>
      <c r="K62" s="4" t="s">
        <v>71</v>
      </c>
      <c r="L62" s="4" t="s">
        <v>3487</v>
      </c>
      <c r="M62" s="4" t="s">
        <v>3512</v>
      </c>
      <c r="N62" s="4" t="s">
        <v>74</v>
      </c>
      <c r="O62" s="4" t="s">
        <v>3788</v>
      </c>
      <c r="P62" s="4" t="s">
        <v>3597</v>
      </c>
      <c r="Q62" s="57">
        <v>45110</v>
      </c>
      <c r="R62" s="57">
        <v>45113</v>
      </c>
      <c r="S62" s="113"/>
      <c r="T62" s="113"/>
      <c r="U62" s="4"/>
      <c r="V62" s="4"/>
      <c r="W62" s="105" t="s">
        <v>4050</v>
      </c>
      <c r="X62" s="114">
        <v>1722306160</v>
      </c>
      <c r="Y62" s="55">
        <v>1738463007</v>
      </c>
      <c r="Z62" s="4" t="s">
        <v>4051</v>
      </c>
      <c r="AA62" s="4">
        <v>1744371007</v>
      </c>
      <c r="AB62" s="4" t="s">
        <v>410</v>
      </c>
      <c r="AC62" s="4" t="s">
        <v>119</v>
      </c>
      <c r="AD62" s="113">
        <v>35524</v>
      </c>
      <c r="AE62" s="107">
        <v>27.0493150684932</v>
      </c>
      <c r="AF62" s="4" t="s">
        <v>80</v>
      </c>
      <c r="AG62" s="114">
        <v>5553707729</v>
      </c>
      <c r="AH62" s="4" t="s">
        <v>4052</v>
      </c>
      <c r="AI62" s="55" t="s">
        <v>290</v>
      </c>
      <c r="AJ62" s="55" t="s">
        <v>312</v>
      </c>
      <c r="AK62" s="55">
        <v>2024</v>
      </c>
      <c r="AL62" s="4" t="s">
        <v>2954</v>
      </c>
      <c r="AM62" s="4" t="s">
        <v>4053</v>
      </c>
      <c r="AN62" s="4" t="s">
        <v>4054</v>
      </c>
      <c r="AO62" s="4" t="s">
        <v>4055</v>
      </c>
      <c r="AP62" s="4" t="s">
        <v>4056</v>
      </c>
      <c r="AQ62" s="55" t="s">
        <v>1654</v>
      </c>
      <c r="AR62" s="4" t="s">
        <v>89</v>
      </c>
      <c r="AS62" s="4" t="s">
        <v>4051</v>
      </c>
      <c r="AT62" s="72">
        <v>36821</v>
      </c>
      <c r="AU62" s="4"/>
      <c r="AV62" s="4"/>
      <c r="AW62" s="4"/>
      <c r="AX62" s="4"/>
      <c r="AY62" s="4"/>
      <c r="AZ62" s="4"/>
      <c r="BA62" s="4" t="s">
        <v>3498</v>
      </c>
      <c r="BB62" s="4">
        <v>10800</v>
      </c>
      <c r="BC62" s="4">
        <v>2700</v>
      </c>
      <c r="BD62" s="4">
        <v>0</v>
      </c>
      <c r="BE62" s="4" t="s">
        <v>91</v>
      </c>
      <c r="BF62" s="4" t="s">
        <v>167</v>
      </c>
      <c r="BG62" s="4" t="s">
        <v>167</v>
      </c>
      <c r="BH62" s="4" t="s">
        <v>3510</v>
      </c>
      <c r="BI62" s="72">
        <f>VLOOKUP(A62,'ID Block'!A:L,12,0)</f>
        <v>45238</v>
      </c>
      <c r="BJ62" s="154" t="str">
        <f>VLOOKUP(A62,'ID Block'!A:M,13,0)</f>
        <v>Better Opportunity</v>
      </c>
      <c r="BK62" s="4">
        <f t="shared" si="0"/>
        <v>125</v>
      </c>
      <c r="BL62" s="105" t="s">
        <v>168</v>
      </c>
      <c r="BM62" s="10"/>
      <c r="BN62" s="183" t="s">
        <v>4035</v>
      </c>
      <c r="BO62" s="183"/>
    </row>
    <row r="63" ht="14.4" s="67" customFormat="1">
      <c r="A63" s="4">
        <v>171129</v>
      </c>
      <c r="B63" s="4"/>
      <c r="C63" s="55"/>
      <c r="D63" s="4" t="s">
        <v>4057</v>
      </c>
      <c r="E63" s="4" t="s">
        <v>114</v>
      </c>
      <c r="F63" s="55">
        <v>1118986077</v>
      </c>
      <c r="G63" s="4" t="s">
        <v>67</v>
      </c>
      <c r="H63" s="4" t="s">
        <v>68</v>
      </c>
      <c r="I63" s="4" t="s">
        <v>2494</v>
      </c>
      <c r="J63" s="55" t="s">
        <v>3775</v>
      </c>
      <c r="K63" s="4" t="s">
        <v>71</v>
      </c>
      <c r="L63" s="4" t="s">
        <v>3487</v>
      </c>
      <c r="M63" s="4" t="s">
        <v>2643</v>
      </c>
      <c r="N63" s="4" t="s">
        <v>74</v>
      </c>
      <c r="O63" s="4" t="s">
        <v>3788</v>
      </c>
      <c r="P63" s="4" t="s">
        <v>3942</v>
      </c>
      <c r="Q63" s="57">
        <v>45146</v>
      </c>
      <c r="R63" s="57">
        <v>45154</v>
      </c>
      <c r="S63" s="113"/>
      <c r="T63" s="113"/>
      <c r="U63" s="4"/>
      <c r="V63" s="4"/>
      <c r="W63" s="105" t="s">
        <v>4058</v>
      </c>
      <c r="X63" s="114">
        <v>1625495858</v>
      </c>
      <c r="Y63" s="55">
        <v>1635396332</v>
      </c>
      <c r="Z63" s="4" t="s">
        <v>4059</v>
      </c>
      <c r="AA63" s="4">
        <v>1635396332</v>
      </c>
      <c r="AB63" s="4" t="s">
        <v>252</v>
      </c>
      <c r="AC63" s="4" t="s">
        <v>79</v>
      </c>
      <c r="AD63" s="113">
        <v>36207</v>
      </c>
      <c r="AE63" s="107">
        <v>25.1780821917808</v>
      </c>
      <c r="AF63" s="4" t="s">
        <v>80</v>
      </c>
      <c r="AG63" s="114">
        <v>6904396857</v>
      </c>
      <c r="AH63" s="4" t="s">
        <v>81</v>
      </c>
      <c r="AI63" s="55" t="s">
        <v>265</v>
      </c>
      <c r="AJ63" s="55" t="s">
        <v>81</v>
      </c>
      <c r="AK63" s="55" t="s">
        <v>81</v>
      </c>
      <c r="AL63" s="4" t="s">
        <v>4060</v>
      </c>
      <c r="AM63" s="4" t="s">
        <v>4061</v>
      </c>
      <c r="AN63" s="4" t="s">
        <v>4062</v>
      </c>
      <c r="AO63" s="4" t="s">
        <v>4063</v>
      </c>
      <c r="AP63" s="4" t="s">
        <v>4064</v>
      </c>
      <c r="AQ63" s="55" t="s">
        <v>285</v>
      </c>
      <c r="AR63" s="4" t="s">
        <v>110</v>
      </c>
      <c r="AS63" s="4"/>
      <c r="AT63" s="72"/>
      <c r="AU63" s="4"/>
      <c r="AV63" s="4"/>
      <c r="AW63" s="4"/>
      <c r="AX63" s="4"/>
      <c r="AY63" s="4"/>
      <c r="AZ63" s="4"/>
      <c r="BA63" s="4" t="s">
        <v>3498</v>
      </c>
      <c r="BB63" s="4">
        <v>10800</v>
      </c>
      <c r="BC63" s="4">
        <v>2700</v>
      </c>
      <c r="BD63" s="4">
        <v>1000</v>
      </c>
      <c r="BE63" s="4" t="s">
        <v>166</v>
      </c>
      <c r="BF63" s="4" t="s">
        <v>167</v>
      </c>
      <c r="BG63" s="4" t="s">
        <v>167</v>
      </c>
      <c r="BH63" s="4" t="s">
        <v>3510</v>
      </c>
      <c r="BI63" s="72">
        <f>VLOOKUP(A63,'ID Block'!A:L,12,0)</f>
        <v>45246</v>
      </c>
      <c r="BJ63" s="154" t="str">
        <f>VLOOKUP(A63,'ID Block'!A:M,13,0)</f>
        <v>Better Opportunity</v>
      </c>
      <c r="BK63" s="4">
        <f t="shared" si="0"/>
        <v>92</v>
      </c>
      <c r="BL63" s="105" t="s">
        <v>168</v>
      </c>
      <c r="BM63" s="10"/>
      <c r="BN63" s="183" t="s">
        <v>4035</v>
      </c>
      <c r="BO63" s="183"/>
    </row>
    <row r="64" ht="14.4" s="67" customFormat="1">
      <c r="A64" s="4">
        <v>171157</v>
      </c>
      <c r="B64" s="4"/>
      <c r="C64" s="55"/>
      <c r="D64" s="4" t="s">
        <v>4065</v>
      </c>
      <c r="E64" s="4" t="s">
        <v>114</v>
      </c>
      <c r="F64" s="55">
        <v>1311113044</v>
      </c>
      <c r="G64" s="4" t="s">
        <v>67</v>
      </c>
      <c r="H64" s="4" t="s">
        <v>68</v>
      </c>
      <c r="I64" s="4" t="s">
        <v>2494</v>
      </c>
      <c r="J64" s="55" t="s">
        <v>297</v>
      </c>
      <c r="K64" s="4" t="s">
        <v>71</v>
      </c>
      <c r="L64" s="4" t="s">
        <v>3487</v>
      </c>
      <c r="M64" s="4" t="s">
        <v>3503</v>
      </c>
      <c r="N64" s="4" t="s">
        <v>74</v>
      </c>
      <c r="O64" s="4" t="s">
        <v>75</v>
      </c>
      <c r="P64" s="4" t="s">
        <v>3987</v>
      </c>
      <c r="Q64" s="57">
        <v>45206</v>
      </c>
      <c r="R64" s="57">
        <v>45211</v>
      </c>
      <c r="S64" s="113"/>
      <c r="T64" s="113"/>
      <c r="U64" s="4"/>
      <c r="V64" s="4"/>
      <c r="W64" s="105" t="s">
        <v>4066</v>
      </c>
      <c r="X64" s="114">
        <v>1845412782</v>
      </c>
      <c r="Y64" s="55">
        <v>1924532839</v>
      </c>
      <c r="Z64" s="4" t="s">
        <v>4067</v>
      </c>
      <c r="AA64" s="4">
        <v>8801854995548</v>
      </c>
      <c r="AB64" s="4" t="s">
        <v>132</v>
      </c>
      <c r="AC64" s="4" t="s">
        <v>1904</v>
      </c>
      <c r="AD64" s="113">
        <v>36715</v>
      </c>
      <c r="AE64" s="107">
        <v>23.786301369863</v>
      </c>
      <c r="AF64" s="4" t="s">
        <v>80</v>
      </c>
      <c r="AG64" s="114">
        <v>3308611908</v>
      </c>
      <c r="AH64" s="4" t="s">
        <v>1283</v>
      </c>
      <c r="AI64" s="55" t="s">
        <v>513</v>
      </c>
      <c r="AJ64" s="55" t="s">
        <v>1283</v>
      </c>
      <c r="AK64" s="55">
        <v>2023</v>
      </c>
      <c r="AL64" s="4" t="s">
        <v>2545</v>
      </c>
      <c r="AM64" s="4" t="s">
        <v>4068</v>
      </c>
      <c r="AN64" s="4" t="s">
        <v>4069</v>
      </c>
      <c r="AO64" s="4" t="s">
        <v>4070</v>
      </c>
      <c r="AP64" s="4" t="s">
        <v>4071</v>
      </c>
      <c r="AQ64" s="55" t="s">
        <v>285</v>
      </c>
      <c r="AR64" s="4" t="s">
        <v>110</v>
      </c>
      <c r="AS64" s="4"/>
      <c r="AT64" s="72"/>
      <c r="AU64" s="4"/>
      <c r="AV64" s="4"/>
      <c r="AW64" s="4"/>
      <c r="AX64" s="4"/>
      <c r="AY64" s="4"/>
      <c r="AZ64" s="4"/>
      <c r="BA64" s="4" t="s">
        <v>3498</v>
      </c>
      <c r="BB64" s="4">
        <v>10800</v>
      </c>
      <c r="BC64" s="4">
        <v>2700</v>
      </c>
      <c r="BD64" s="4">
        <v>0</v>
      </c>
      <c r="BE64" s="4" t="s">
        <v>296</v>
      </c>
      <c r="BF64" s="4"/>
      <c r="BG64" s="4"/>
      <c r="BH64" s="4" t="s">
        <v>3510</v>
      </c>
      <c r="BI64" s="72">
        <f>VLOOKUP(A64,'ID Block'!A:L,12,0)</f>
        <v>45246</v>
      </c>
      <c r="BJ64" s="154" t="str">
        <f>VLOOKUP(A64,'ID Block'!A:M,13,0)</f>
        <v>Study purpose</v>
      </c>
      <c r="BK64" s="4">
        <f t="shared" si="0"/>
        <v>35</v>
      </c>
      <c r="BL64" s="105" t="s">
        <v>168</v>
      </c>
      <c r="BM64" s="10"/>
      <c r="BN64" s="183" t="s">
        <v>3544</v>
      </c>
      <c r="BO64" s="183"/>
    </row>
    <row r="65" ht="14.4" s="67" customFormat="1">
      <c r="A65" s="4">
        <v>171123</v>
      </c>
      <c r="B65" s="4"/>
      <c r="C65" s="55" t="s">
        <v>4072</v>
      </c>
      <c r="D65" s="4" t="s">
        <v>4073</v>
      </c>
      <c r="E65" s="4" t="s">
        <v>66</v>
      </c>
      <c r="F65" s="55">
        <v>1312625811</v>
      </c>
      <c r="G65" s="4" t="s">
        <v>67</v>
      </c>
      <c r="H65" s="4" t="s">
        <v>68</v>
      </c>
      <c r="I65" s="4" t="s">
        <v>2494</v>
      </c>
      <c r="J65" s="55" t="s">
        <v>297</v>
      </c>
      <c r="K65" s="4" t="s">
        <v>71</v>
      </c>
      <c r="L65" s="4" t="s">
        <v>3487</v>
      </c>
      <c r="M65" s="4" t="s">
        <v>115</v>
      </c>
      <c r="N65" s="4" t="s">
        <v>74</v>
      </c>
      <c r="O65" s="4" t="s">
        <v>3788</v>
      </c>
      <c r="P65" s="4" t="s">
        <v>3942</v>
      </c>
      <c r="Q65" s="57">
        <v>45146</v>
      </c>
      <c r="R65" s="57">
        <v>45154</v>
      </c>
      <c r="S65" s="113"/>
      <c r="T65" s="113"/>
      <c r="U65" s="4"/>
      <c r="V65" s="4"/>
      <c r="W65" s="105" t="s">
        <v>4074</v>
      </c>
      <c r="X65" s="114">
        <v>1744371007</v>
      </c>
      <c r="Y65" s="55">
        <v>1722306160</v>
      </c>
      <c r="Z65" s="4" t="s">
        <v>4049</v>
      </c>
      <c r="AA65" s="4">
        <v>1722306160</v>
      </c>
      <c r="AB65" s="4" t="s">
        <v>78</v>
      </c>
      <c r="AC65" s="4" t="s">
        <v>79</v>
      </c>
      <c r="AD65" s="113">
        <v>36821</v>
      </c>
      <c r="AE65" s="107">
        <v>23.4958904109589</v>
      </c>
      <c r="AF65" s="4" t="s">
        <v>80</v>
      </c>
      <c r="AG65" s="114">
        <v>9581659613</v>
      </c>
      <c r="AH65" s="4" t="s">
        <v>4075</v>
      </c>
      <c r="AI65" s="55" t="s">
        <v>4076</v>
      </c>
      <c r="AJ65" s="55" t="s">
        <v>81</v>
      </c>
      <c r="AK65" s="55" t="s">
        <v>81</v>
      </c>
      <c r="AL65" s="4" t="s">
        <v>4077</v>
      </c>
      <c r="AM65" s="4" t="s">
        <v>4078</v>
      </c>
      <c r="AN65" s="4" t="s">
        <v>4079</v>
      </c>
      <c r="AO65" s="4" t="s">
        <v>4080</v>
      </c>
      <c r="AP65" s="4" t="s">
        <v>4081</v>
      </c>
      <c r="AQ65" s="55" t="s">
        <v>3382</v>
      </c>
      <c r="AR65" s="4" t="s">
        <v>89</v>
      </c>
      <c r="AS65" s="4" t="s">
        <v>4049</v>
      </c>
      <c r="AT65" s="72">
        <v>35524</v>
      </c>
      <c r="AU65" s="4"/>
      <c r="AV65" s="4"/>
      <c r="AW65" s="4"/>
      <c r="AX65" s="4"/>
      <c r="AY65" s="4"/>
      <c r="AZ65" s="4"/>
      <c r="BA65" s="4" t="s">
        <v>3498</v>
      </c>
      <c r="BB65" s="4">
        <v>10800</v>
      </c>
      <c r="BC65" s="4">
        <v>2700</v>
      </c>
      <c r="BD65" s="4">
        <v>0</v>
      </c>
      <c r="BE65" s="4" t="s">
        <v>296</v>
      </c>
      <c r="BF65" s="4" t="s">
        <v>167</v>
      </c>
      <c r="BG65" s="4" t="s">
        <v>167</v>
      </c>
      <c r="BH65" s="4" t="s">
        <v>3510</v>
      </c>
      <c r="BI65" s="72">
        <f>VLOOKUP(A65,'ID Block'!A:L,12,0)</f>
        <v>45246</v>
      </c>
      <c r="BJ65" s="154" t="str">
        <f>VLOOKUP(A65,'ID Block'!A:M,13,0)</f>
        <v>Study Aboard</v>
      </c>
      <c r="BK65" s="4">
        <f t="shared" si="0"/>
        <v>92</v>
      </c>
      <c r="BL65" s="105" t="s">
        <v>168</v>
      </c>
      <c r="BM65" s="10"/>
      <c r="BN65" s="183" t="s">
        <v>3544</v>
      </c>
      <c r="BO65" s="183"/>
    </row>
    <row r="66" ht="14.4" s="67" customFormat="1">
      <c r="A66" s="4">
        <v>171185</v>
      </c>
      <c r="B66" s="4"/>
      <c r="C66" s="55" t="s">
        <v>2808</v>
      </c>
      <c r="D66" s="4" t="s">
        <v>4082</v>
      </c>
      <c r="E66" s="4" t="s">
        <v>114</v>
      </c>
      <c r="F66" s="55">
        <v>456798</v>
      </c>
      <c r="G66" s="4" t="s">
        <v>67</v>
      </c>
      <c r="H66" s="4" t="s">
        <v>68</v>
      </c>
      <c r="I66" s="4" t="s">
        <v>2494</v>
      </c>
      <c r="J66" s="55" t="s">
        <v>297</v>
      </c>
      <c r="K66" s="4" t="s">
        <v>71</v>
      </c>
      <c r="L66" s="4" t="s">
        <v>3487</v>
      </c>
      <c r="M66" s="4" t="s">
        <v>3503</v>
      </c>
      <c r="N66" s="4" t="s">
        <v>74</v>
      </c>
      <c r="O66" s="4" t="s">
        <v>75</v>
      </c>
      <c r="P66" s="4" t="s">
        <v>3987</v>
      </c>
      <c r="Q66" s="57">
        <v>45208</v>
      </c>
      <c r="R66" s="57">
        <v>45211</v>
      </c>
      <c r="S66" s="113"/>
      <c r="T66" s="113"/>
      <c r="U66" s="4"/>
      <c r="V66" s="4"/>
      <c r="W66" s="105" t="s">
        <v>4083</v>
      </c>
      <c r="X66" s="114">
        <v>1790768959</v>
      </c>
      <c r="Y66" s="55" t="s">
        <v>81</v>
      </c>
      <c r="Z66" s="4" t="s">
        <v>4084</v>
      </c>
      <c r="AA66" s="4">
        <v>1732333855</v>
      </c>
      <c r="AB66" s="4" t="s">
        <v>118</v>
      </c>
      <c r="AC66" s="4" t="s">
        <v>133</v>
      </c>
      <c r="AD66" s="113">
        <v>35058</v>
      </c>
      <c r="AE66" s="107">
        <v>28.3260273972603</v>
      </c>
      <c r="AF66" s="4" t="s">
        <v>80</v>
      </c>
      <c r="AG66" s="114">
        <v>5502682817</v>
      </c>
      <c r="AH66" s="4" t="s">
        <v>81</v>
      </c>
      <c r="AI66" s="55" t="s">
        <v>290</v>
      </c>
      <c r="AJ66" s="55" t="s">
        <v>81</v>
      </c>
      <c r="AK66" s="55">
        <v>2018</v>
      </c>
      <c r="AL66" s="4" t="s">
        <v>1287</v>
      </c>
      <c r="AM66" s="4" t="s">
        <v>4085</v>
      </c>
      <c r="AN66" s="4" t="s">
        <v>4086</v>
      </c>
      <c r="AO66" s="4" t="s">
        <v>4087</v>
      </c>
      <c r="AP66" s="4" t="s">
        <v>4088</v>
      </c>
      <c r="AQ66" s="55" t="s">
        <v>499</v>
      </c>
      <c r="AR66" s="4" t="s">
        <v>110</v>
      </c>
      <c r="AS66" s="4"/>
      <c r="AT66" s="72"/>
      <c r="AU66" s="4"/>
      <c r="AV66" s="4"/>
      <c r="AW66" s="4"/>
      <c r="AX66" s="4"/>
      <c r="AY66" s="4"/>
      <c r="AZ66" s="4"/>
      <c r="BA66" s="4" t="s">
        <v>3498</v>
      </c>
      <c r="BB66" s="4">
        <v>10800</v>
      </c>
      <c r="BC66" s="4">
        <v>2700</v>
      </c>
      <c r="BD66" s="4">
        <v>0</v>
      </c>
      <c r="BE66" s="4" t="s">
        <v>296</v>
      </c>
      <c r="BF66" s="4"/>
      <c r="BG66" s="4"/>
      <c r="BH66" s="4" t="s">
        <v>3510</v>
      </c>
      <c r="BI66" s="72">
        <f>VLOOKUP(A66,'ID Block'!A:L,12,0)</f>
        <v>45252</v>
      </c>
      <c r="BJ66" s="154" t="str">
        <f>VLOOKUP(A66,'ID Block'!A:M,13,0)</f>
        <v>Better opportunity</v>
      </c>
      <c r="BK66" s="4">
        <f t="shared" si="0"/>
        <v>41</v>
      </c>
      <c r="BL66" s="105" t="s">
        <v>168</v>
      </c>
      <c r="BM66" s="10"/>
      <c r="BN66" s="183" t="s">
        <v>4035</v>
      </c>
      <c r="BO66" s="183"/>
    </row>
    <row r="67" ht="14.4" s="67" customFormat="1">
      <c r="A67" s="4">
        <v>171175</v>
      </c>
      <c r="B67" s="4"/>
      <c r="C67" s="55" t="s">
        <v>2606</v>
      </c>
      <c r="D67" s="4" t="s">
        <v>4089</v>
      </c>
      <c r="E67" s="4" t="s">
        <v>114</v>
      </c>
      <c r="F67" s="55">
        <v>1118751304</v>
      </c>
      <c r="G67" s="4" t="s">
        <v>67</v>
      </c>
      <c r="H67" s="4" t="s">
        <v>68</v>
      </c>
      <c r="I67" s="4" t="s">
        <v>2494</v>
      </c>
      <c r="J67" s="55" t="s">
        <v>319</v>
      </c>
      <c r="K67" s="4" t="s">
        <v>71</v>
      </c>
      <c r="L67" s="4" t="s">
        <v>3487</v>
      </c>
      <c r="M67" s="4" t="s">
        <v>3503</v>
      </c>
      <c r="N67" s="4" t="s">
        <v>74</v>
      </c>
      <c r="O67" s="4" t="s">
        <v>75</v>
      </c>
      <c r="P67" s="4" t="s">
        <v>3987</v>
      </c>
      <c r="Q67" s="57">
        <v>45206</v>
      </c>
      <c r="R67" s="57">
        <v>45211</v>
      </c>
      <c r="S67" s="113"/>
      <c r="T67" s="113"/>
      <c r="U67" s="4"/>
      <c r="V67" s="4"/>
      <c r="W67" s="105" t="s">
        <v>4090</v>
      </c>
      <c r="X67" s="114">
        <v>1629773652</v>
      </c>
      <c r="Y67" s="55">
        <v>1920153280</v>
      </c>
      <c r="Z67" s="4" t="s">
        <v>4091</v>
      </c>
      <c r="AA67" s="4">
        <v>1580336403</v>
      </c>
      <c r="AB67" s="4" t="s">
        <v>382</v>
      </c>
      <c r="AC67" s="4" t="s">
        <v>119</v>
      </c>
      <c r="AD67" s="113">
        <v>35864</v>
      </c>
      <c r="AE67" s="107">
        <v>26.1178082191781</v>
      </c>
      <c r="AF67" s="4" t="s">
        <v>80</v>
      </c>
      <c r="AG67" s="114">
        <v>9577404594</v>
      </c>
      <c r="AH67" s="4" t="s">
        <v>81</v>
      </c>
      <c r="AI67" s="55" t="s">
        <v>217</v>
      </c>
      <c r="AJ67" s="55" t="s">
        <v>683</v>
      </c>
      <c r="AK67" s="55">
        <v>2021</v>
      </c>
      <c r="AL67" s="4" t="s">
        <v>4092</v>
      </c>
      <c r="AM67" s="4" t="s">
        <v>4093</v>
      </c>
      <c r="AN67" s="4" t="s">
        <v>4094</v>
      </c>
      <c r="AO67" s="4" t="s">
        <v>4095</v>
      </c>
      <c r="AP67" s="4" t="s">
        <v>4096</v>
      </c>
      <c r="AQ67" s="55" t="s">
        <v>4097</v>
      </c>
      <c r="AR67" s="4" t="s">
        <v>110</v>
      </c>
      <c r="AS67" s="4"/>
      <c r="AT67" s="72"/>
      <c r="AU67" s="4"/>
      <c r="AV67" s="4"/>
      <c r="AW67" s="4"/>
      <c r="AX67" s="4"/>
      <c r="AY67" s="4"/>
      <c r="AZ67" s="4"/>
      <c r="BA67" s="4" t="s">
        <v>3498</v>
      </c>
      <c r="BB67" s="4">
        <v>10800</v>
      </c>
      <c r="BC67" s="4">
        <v>2700</v>
      </c>
      <c r="BD67" s="4">
        <v>0</v>
      </c>
      <c r="BE67" s="4" t="s">
        <v>296</v>
      </c>
      <c r="BF67" s="4"/>
      <c r="BG67" s="4"/>
      <c r="BH67" s="4" t="s">
        <v>3510</v>
      </c>
      <c r="BI67" s="72">
        <f>VLOOKUP(A67,'ID Block'!A:L,12,0)</f>
        <v>45255</v>
      </c>
      <c r="BJ67" s="154" t="str">
        <f>VLOOKUP(A67,'ID Block'!A:M,13,0)</f>
        <v>Better Opportunity</v>
      </c>
      <c r="BK67" s="4">
        <f t="shared" si="0"/>
        <v>44</v>
      </c>
      <c r="BL67" s="105" t="s">
        <v>168</v>
      </c>
      <c r="BM67" s="10"/>
      <c r="BN67" s="183" t="s">
        <v>4035</v>
      </c>
      <c r="BO67" s="183"/>
    </row>
    <row r="68" ht="14.4" s="67" customFormat="1">
      <c r="A68" s="4">
        <v>171010</v>
      </c>
      <c r="B68" s="4"/>
      <c r="C68" s="55" t="s">
        <v>4098</v>
      </c>
      <c r="D68" s="4" t="s">
        <v>4099</v>
      </c>
      <c r="E68" s="4" t="s">
        <v>66</v>
      </c>
      <c r="F68" s="55">
        <v>1510750767</v>
      </c>
      <c r="G68" s="4" t="s">
        <v>67</v>
      </c>
      <c r="H68" s="4" t="s">
        <v>68</v>
      </c>
      <c r="I68" s="4" t="s">
        <v>2494</v>
      </c>
      <c r="J68" s="55" t="s">
        <v>407</v>
      </c>
      <c r="K68" s="4" t="s">
        <v>71</v>
      </c>
      <c r="L68" s="4" t="s">
        <v>3487</v>
      </c>
      <c r="M68" s="4" t="s">
        <v>3512</v>
      </c>
      <c r="N68" s="4" t="s">
        <v>74</v>
      </c>
      <c r="O68" s="4" t="s">
        <v>3788</v>
      </c>
      <c r="P68" s="4" t="s">
        <v>3546</v>
      </c>
      <c r="Q68" s="57">
        <v>45023</v>
      </c>
      <c r="R68" s="57">
        <v>45032</v>
      </c>
      <c r="S68" s="113"/>
      <c r="T68" s="113"/>
      <c r="U68" s="4"/>
      <c r="V68" s="4"/>
      <c r="W68" s="105" t="s">
        <v>4100</v>
      </c>
      <c r="X68" s="114">
        <v>1865324465</v>
      </c>
      <c r="Y68" s="55"/>
      <c r="Z68" s="4" t="s">
        <v>4101</v>
      </c>
      <c r="AA68" s="4">
        <v>1537111871</v>
      </c>
      <c r="AB68" s="4" t="s">
        <v>118</v>
      </c>
      <c r="AC68" s="4" t="s">
        <v>133</v>
      </c>
      <c r="AD68" s="113">
        <v>37111</v>
      </c>
      <c r="AE68" s="107">
        <v>22.7013698630137</v>
      </c>
      <c r="AF68" s="4" t="s">
        <v>80</v>
      </c>
      <c r="AG68" s="114">
        <v>9164913924</v>
      </c>
      <c r="AH68" s="4" t="s">
        <v>81</v>
      </c>
      <c r="AI68" s="55" t="s">
        <v>104</v>
      </c>
      <c r="AJ68" s="55" t="s">
        <v>4102</v>
      </c>
      <c r="AK68" s="55">
        <v>2026</v>
      </c>
      <c r="AL68" s="4" t="s">
        <v>4103</v>
      </c>
      <c r="AM68" s="4" t="s">
        <v>4104</v>
      </c>
      <c r="AN68" s="4" t="s">
        <v>2299</v>
      </c>
      <c r="AO68" s="4" t="s">
        <v>4105</v>
      </c>
      <c r="AP68" s="4" t="s">
        <v>4106</v>
      </c>
      <c r="AQ68" s="55" t="s">
        <v>4107</v>
      </c>
      <c r="AR68" s="4" t="s">
        <v>110</v>
      </c>
      <c r="AS68" s="4"/>
      <c r="AT68" s="72"/>
      <c r="AU68" s="4"/>
      <c r="AV68" s="4"/>
      <c r="AW68" s="4"/>
      <c r="AX68" s="4"/>
      <c r="AY68" s="4"/>
      <c r="AZ68" s="4"/>
      <c r="BA68" s="4" t="s">
        <v>3498</v>
      </c>
      <c r="BB68" s="4">
        <v>10800</v>
      </c>
      <c r="BC68" s="4">
        <v>2700</v>
      </c>
      <c r="BD68" s="4">
        <v>0</v>
      </c>
      <c r="BE68" s="4" t="s">
        <v>91</v>
      </c>
      <c r="BF68" s="4">
        <v>160315</v>
      </c>
      <c r="BG68" s="4" t="s">
        <v>92</v>
      </c>
      <c r="BH68" s="4" t="s">
        <v>3510</v>
      </c>
      <c r="BI68" s="72">
        <f>VLOOKUP(A68,'ID Block'!A:L,12,0)</f>
        <v>45251</v>
      </c>
      <c r="BJ68" s="154" t="str">
        <f>VLOOKUP(A68,'ID Block'!A:M,13,0)</f>
        <v>Family issue</v>
      </c>
      <c r="BK68" s="4">
        <f t="shared" si="0"/>
        <v>219</v>
      </c>
      <c r="BL68" s="105" t="s">
        <v>168</v>
      </c>
      <c r="BM68" s="10"/>
      <c r="BN68" s="183" t="s">
        <v>4002</v>
      </c>
      <c r="BO68" s="183"/>
    </row>
    <row r="69" ht="14.4" s="67" customFormat="1">
      <c r="A69" s="4">
        <v>171106</v>
      </c>
      <c r="B69" s="4"/>
      <c r="C69" s="55" t="s">
        <v>669</v>
      </c>
      <c r="D69" s="4" t="s">
        <v>4108</v>
      </c>
      <c r="E69" s="4" t="s">
        <v>114</v>
      </c>
      <c r="F69" s="55">
        <v>592060</v>
      </c>
      <c r="G69" s="4" t="s">
        <v>67</v>
      </c>
      <c r="H69" s="4" t="s">
        <v>68</v>
      </c>
      <c r="I69" s="4" t="s">
        <v>2494</v>
      </c>
      <c r="J69" s="55" t="s">
        <v>2495</v>
      </c>
      <c r="K69" s="4" t="s">
        <v>71</v>
      </c>
      <c r="L69" s="4" t="s">
        <v>3487</v>
      </c>
      <c r="M69" s="4" t="s">
        <v>2643</v>
      </c>
      <c r="N69" s="4" t="s">
        <v>74</v>
      </c>
      <c r="O69" s="4" t="s">
        <v>3788</v>
      </c>
      <c r="P69" s="4" t="s">
        <v>3597</v>
      </c>
      <c r="Q69" s="57">
        <v>45110</v>
      </c>
      <c r="R69" s="57">
        <v>45113</v>
      </c>
      <c r="S69" s="113"/>
      <c r="T69" s="113"/>
      <c r="U69" s="4"/>
      <c r="V69" s="4"/>
      <c r="W69" s="105" t="s">
        <v>4109</v>
      </c>
      <c r="X69" s="114">
        <v>1981515895</v>
      </c>
      <c r="Y69" s="55">
        <v>1680625725</v>
      </c>
      <c r="Z69" s="4" t="s">
        <v>73</v>
      </c>
      <c r="AA69" s="4">
        <v>1711784036</v>
      </c>
      <c r="AB69" s="4" t="s">
        <v>132</v>
      </c>
      <c r="AC69" s="4" t="s">
        <v>133</v>
      </c>
      <c r="AD69" s="113">
        <v>34037</v>
      </c>
      <c r="AE69" s="107">
        <v>31.1232876712329</v>
      </c>
      <c r="AF69" s="4" t="s">
        <v>80</v>
      </c>
      <c r="AG69" s="114">
        <v>8246571734</v>
      </c>
      <c r="AH69" s="4" t="s">
        <v>81</v>
      </c>
      <c r="AI69" s="55" t="s">
        <v>265</v>
      </c>
      <c r="AJ69" s="55" t="s">
        <v>81</v>
      </c>
      <c r="AK69" s="55" t="s">
        <v>81</v>
      </c>
      <c r="AL69" s="4" t="s">
        <v>4110</v>
      </c>
      <c r="AM69" s="4" t="s">
        <v>4111</v>
      </c>
      <c r="AN69" s="4" t="s">
        <v>2643</v>
      </c>
      <c r="AO69" s="4" t="s">
        <v>4112</v>
      </c>
      <c r="AP69" s="4" t="s">
        <v>4113</v>
      </c>
      <c r="AQ69" s="55" t="s">
        <v>499</v>
      </c>
      <c r="AR69" s="4" t="s">
        <v>224</v>
      </c>
      <c r="AS69" s="4"/>
      <c r="AT69" s="72"/>
      <c r="AU69" s="4"/>
      <c r="AV69" s="4"/>
      <c r="AW69" s="4"/>
      <c r="AX69" s="4"/>
      <c r="AY69" s="4"/>
      <c r="AZ69" s="4"/>
      <c r="BA69" s="4" t="s">
        <v>3498</v>
      </c>
      <c r="BB69" s="4">
        <v>10800</v>
      </c>
      <c r="BC69" s="4">
        <v>2700</v>
      </c>
      <c r="BD69" s="4">
        <v>0</v>
      </c>
      <c r="BE69" s="4" t="s">
        <v>91</v>
      </c>
      <c r="BF69" s="4" t="s">
        <v>167</v>
      </c>
      <c r="BG69" s="4" t="s">
        <v>167</v>
      </c>
      <c r="BH69" s="4" t="s">
        <v>3499</v>
      </c>
      <c r="BI69" s="72">
        <f>VLOOKUP(A69,'ID Block'!A:L,12,0)</f>
        <v>45252</v>
      </c>
      <c r="BJ69" s="154" t="str">
        <f>VLOOKUP(A69,'ID Block'!A:M,13,0)</f>
        <v>Unauthorized Absent</v>
      </c>
      <c r="BK69" s="4">
        <f ref="BK69:BK132" t="shared" si="1">BI69-R69</f>
        <v>139</v>
      </c>
      <c r="BL69" s="105" t="s">
        <v>168</v>
      </c>
      <c r="BM69" s="10"/>
      <c r="BN69" s="183" t="s">
        <v>3992</v>
      </c>
      <c r="BO69" s="183"/>
    </row>
    <row r="70" ht="14.4" s="67" customFormat="1">
      <c r="A70" s="4">
        <v>171057</v>
      </c>
      <c r="B70" s="4"/>
      <c r="C70" s="55" t="s">
        <v>4114</v>
      </c>
      <c r="D70" s="4" t="s">
        <v>452</v>
      </c>
      <c r="E70" s="4" t="s">
        <v>114</v>
      </c>
      <c r="F70" s="55">
        <v>1117624058</v>
      </c>
      <c r="G70" s="4" t="s">
        <v>67</v>
      </c>
      <c r="H70" s="4" t="s">
        <v>68</v>
      </c>
      <c r="I70" s="4" t="s">
        <v>2494</v>
      </c>
      <c r="J70" s="55" t="s">
        <v>70</v>
      </c>
      <c r="K70" s="4" t="s">
        <v>71</v>
      </c>
      <c r="L70" s="4" t="s">
        <v>3487</v>
      </c>
      <c r="M70" s="4" t="s">
        <v>2643</v>
      </c>
      <c r="N70" s="4" t="s">
        <v>74</v>
      </c>
      <c r="O70" s="4" t="s">
        <v>3788</v>
      </c>
      <c r="P70" s="4" t="s">
        <v>4115</v>
      </c>
      <c r="Q70" s="57">
        <v>45048</v>
      </c>
      <c r="R70" s="57">
        <v>45055</v>
      </c>
      <c r="S70" s="113"/>
      <c r="T70" s="113"/>
      <c r="U70" s="4"/>
      <c r="V70" s="4"/>
      <c r="W70" s="105" t="s">
        <v>4116</v>
      </c>
      <c r="X70" s="114">
        <v>1919212294</v>
      </c>
      <c r="Y70" s="55"/>
      <c r="Z70" s="4" t="s">
        <v>4117</v>
      </c>
      <c r="AA70" s="4">
        <v>1717943000</v>
      </c>
      <c r="AB70" s="4" t="s">
        <v>101</v>
      </c>
      <c r="AC70" s="4" t="s">
        <v>119</v>
      </c>
      <c r="AD70" s="113">
        <v>35960</v>
      </c>
      <c r="AE70" s="107">
        <v>25.8547945205479</v>
      </c>
      <c r="AF70" s="4" t="s">
        <v>80</v>
      </c>
      <c r="AG70" s="114">
        <v>7354399615</v>
      </c>
      <c r="AH70" s="4" t="s">
        <v>81</v>
      </c>
      <c r="AI70" s="55" t="s">
        <v>187</v>
      </c>
      <c r="AJ70" s="55" t="s">
        <v>81</v>
      </c>
      <c r="AK70" s="55" t="s">
        <v>81</v>
      </c>
      <c r="AL70" s="4" t="s">
        <v>4118</v>
      </c>
      <c r="AM70" s="4" t="s">
        <v>4117</v>
      </c>
      <c r="AN70" s="4" t="s">
        <v>4119</v>
      </c>
      <c r="AO70" s="4" t="s">
        <v>4120</v>
      </c>
      <c r="AP70" s="4" t="s">
        <v>4121</v>
      </c>
      <c r="AQ70" s="55" t="s">
        <v>499</v>
      </c>
      <c r="AR70" s="4" t="s">
        <v>110</v>
      </c>
      <c r="AS70" s="4"/>
      <c r="AT70" s="72"/>
      <c r="AU70" s="4"/>
      <c r="AV70" s="4"/>
      <c r="AW70" s="4"/>
      <c r="AX70" s="4"/>
      <c r="AY70" s="4"/>
      <c r="AZ70" s="4"/>
      <c r="BA70" s="4" t="s">
        <v>3498</v>
      </c>
      <c r="BB70" s="4">
        <v>10800</v>
      </c>
      <c r="BC70" s="4">
        <v>2700</v>
      </c>
      <c r="BD70" s="4">
        <v>0</v>
      </c>
      <c r="BE70" s="4" t="s">
        <v>91</v>
      </c>
      <c r="BF70" s="4">
        <v>161747</v>
      </c>
      <c r="BG70" s="4" t="s">
        <v>92</v>
      </c>
      <c r="BH70" s="4" t="s">
        <v>3510</v>
      </c>
      <c r="BI70" s="72">
        <f>VLOOKUP(A70,'ID Block'!A:L,12,0)</f>
        <v>45260</v>
      </c>
      <c r="BJ70" s="154" t="str">
        <f>VLOOKUP(A70,'ID Block'!A:M,13,0)</f>
        <v>Sickness</v>
      </c>
      <c r="BK70" s="4">
        <f t="shared" si="1"/>
        <v>205</v>
      </c>
      <c r="BL70" s="105" t="s">
        <v>168</v>
      </c>
      <c r="BM70" s="10"/>
      <c r="BN70" s="183" t="s">
        <v>3915</v>
      </c>
      <c r="BO70" s="183"/>
    </row>
    <row r="71" ht="14.4" s="67" customFormat="1">
      <c r="A71" s="4">
        <v>171236</v>
      </c>
      <c r="B71" s="4"/>
      <c r="C71" s="55"/>
      <c r="D71" s="4" t="s">
        <v>4122</v>
      </c>
      <c r="E71" s="4" t="s">
        <v>114</v>
      </c>
      <c r="F71" s="55">
        <v>1110214621</v>
      </c>
      <c r="G71" s="4" t="s">
        <v>67</v>
      </c>
      <c r="H71" s="4" t="s">
        <v>68</v>
      </c>
      <c r="I71" s="4" t="s">
        <v>2494</v>
      </c>
      <c r="J71" s="55" t="s">
        <v>319</v>
      </c>
      <c r="K71" s="4" t="s">
        <v>71</v>
      </c>
      <c r="L71" s="4" t="s">
        <v>3487</v>
      </c>
      <c r="M71" s="4" t="s">
        <v>3659</v>
      </c>
      <c r="N71" s="4" t="s">
        <v>74</v>
      </c>
      <c r="O71" s="4" t="s">
        <v>75</v>
      </c>
      <c r="P71" s="4" t="s">
        <v>4123</v>
      </c>
      <c r="Q71" s="57">
        <v>45251</v>
      </c>
      <c r="R71" s="57">
        <v>45256</v>
      </c>
      <c r="S71" s="113"/>
      <c r="T71" s="113"/>
      <c r="U71" s="4"/>
      <c r="V71" s="4"/>
      <c r="W71" s="105" t="s">
        <v>4124</v>
      </c>
      <c r="X71" s="114">
        <v>1845309781</v>
      </c>
      <c r="Y71" s="55" t="s">
        <v>81</v>
      </c>
      <c r="Z71" s="4" t="s">
        <v>132</v>
      </c>
      <c r="AA71" s="4">
        <v>1762162629</v>
      </c>
      <c r="AB71" s="4" t="s">
        <v>132</v>
      </c>
      <c r="AC71" s="4" t="s">
        <v>102</v>
      </c>
      <c r="AD71" s="113">
        <v>36086</v>
      </c>
      <c r="AE71" s="107">
        <v>25.5095890410959</v>
      </c>
      <c r="AF71" s="4" t="s">
        <v>80</v>
      </c>
      <c r="AG71" s="114">
        <v>6455180452</v>
      </c>
      <c r="AH71" s="4" t="s">
        <v>81</v>
      </c>
      <c r="AI71" s="55" t="s">
        <v>253</v>
      </c>
      <c r="AJ71" s="55" t="s">
        <v>81</v>
      </c>
      <c r="AK71" s="55">
        <v>2022</v>
      </c>
      <c r="AL71" s="4" t="s">
        <v>4125</v>
      </c>
      <c r="AM71" s="4" t="s">
        <v>4126</v>
      </c>
      <c r="AN71" s="4" t="s">
        <v>4127</v>
      </c>
      <c r="AO71" s="4" t="s">
        <v>4128</v>
      </c>
      <c r="AP71" s="4" t="s">
        <v>4128</v>
      </c>
      <c r="AQ71" s="55" t="s">
        <v>4129</v>
      </c>
      <c r="AR71" s="4" t="s">
        <v>89</v>
      </c>
      <c r="AS71" s="4" t="s">
        <v>4130</v>
      </c>
      <c r="AT71" s="72">
        <v>35224</v>
      </c>
      <c r="AU71" s="4" t="s">
        <v>4131</v>
      </c>
      <c r="AV71" s="4">
        <v>44635</v>
      </c>
      <c r="AW71" s="4" t="s">
        <v>4132</v>
      </c>
      <c r="AX71" s="4">
        <v>45154</v>
      </c>
      <c r="AY71" s="4"/>
      <c r="AZ71" s="4"/>
      <c r="BA71" s="4" t="s">
        <v>3498</v>
      </c>
      <c r="BB71" s="4">
        <v>10800</v>
      </c>
      <c r="BC71" s="4">
        <v>2700</v>
      </c>
      <c r="BD71" s="4">
        <v>0</v>
      </c>
      <c r="BE71" s="4" t="s">
        <v>91</v>
      </c>
      <c r="BF71" s="4"/>
      <c r="BG71" s="4"/>
      <c r="BH71" s="4" t="s">
        <v>3510</v>
      </c>
      <c r="BI71" s="72">
        <f>VLOOKUP(A71,'ID Block'!A:L,12,0)</f>
        <v>45265</v>
      </c>
      <c r="BJ71" s="154" t="str">
        <f>VLOOKUP(A71,'ID Block'!A:M,13,0)</f>
        <v>Better Opportunity</v>
      </c>
      <c r="BK71" s="4">
        <f t="shared" si="1"/>
        <v>9</v>
      </c>
      <c r="BL71" s="105" t="s">
        <v>168</v>
      </c>
      <c r="BM71" s="10"/>
      <c r="BN71" s="183" t="s">
        <v>4035</v>
      </c>
      <c r="BO71" s="183"/>
    </row>
    <row r="72" ht="14.4" s="67" customFormat="1">
      <c r="A72" s="4">
        <v>171267</v>
      </c>
      <c r="B72" s="4"/>
      <c r="C72" s="55" t="s">
        <v>4133</v>
      </c>
      <c r="D72" s="4" t="s">
        <v>325</v>
      </c>
      <c r="E72" s="4" t="s">
        <v>66</v>
      </c>
      <c r="F72" s="55">
        <v>323918</v>
      </c>
      <c r="G72" s="4" t="s">
        <v>67</v>
      </c>
      <c r="H72" s="4" t="s">
        <v>68</v>
      </c>
      <c r="I72" s="4" t="s">
        <v>2494</v>
      </c>
      <c r="J72" s="55" t="s">
        <v>319</v>
      </c>
      <c r="K72" s="4" t="s">
        <v>71</v>
      </c>
      <c r="L72" s="4" t="s">
        <v>3487</v>
      </c>
      <c r="M72" s="4" t="s">
        <v>3659</v>
      </c>
      <c r="N72" s="4" t="s">
        <v>74</v>
      </c>
      <c r="O72" s="4" t="s">
        <v>75</v>
      </c>
      <c r="P72" s="4" t="s">
        <v>4134</v>
      </c>
      <c r="Q72" s="57">
        <v>45251</v>
      </c>
      <c r="R72" s="57">
        <v>45261</v>
      </c>
      <c r="S72" s="113"/>
      <c r="T72" s="113"/>
      <c r="U72" s="4"/>
      <c r="V72" s="4"/>
      <c r="W72" s="105" t="s">
        <v>4135</v>
      </c>
      <c r="X72" s="114">
        <v>1771359834</v>
      </c>
      <c r="Y72" s="55" t="s">
        <v>81</v>
      </c>
      <c r="Z72" s="4" t="s">
        <v>4136</v>
      </c>
      <c r="AA72" s="4">
        <v>1741789209</v>
      </c>
      <c r="AB72" s="4" t="s">
        <v>101</v>
      </c>
      <c r="AC72" s="4" t="s">
        <v>79</v>
      </c>
      <c r="AD72" s="113">
        <v>33960</v>
      </c>
      <c r="AE72" s="107">
        <v>31.3342465753425</v>
      </c>
      <c r="AF72" s="4" t="s">
        <v>80</v>
      </c>
      <c r="AG72" s="114">
        <v>3288700861</v>
      </c>
      <c r="AH72" s="4" t="s">
        <v>81</v>
      </c>
      <c r="AI72" s="55" t="s">
        <v>683</v>
      </c>
      <c r="AJ72" s="55" t="s">
        <v>81</v>
      </c>
      <c r="AK72" s="55">
        <v>2019</v>
      </c>
      <c r="AL72" s="4" t="s">
        <v>4137</v>
      </c>
      <c r="AM72" s="4" t="s">
        <v>4136</v>
      </c>
      <c r="AN72" s="4" t="s">
        <v>4138</v>
      </c>
      <c r="AO72" s="4" t="s">
        <v>4139</v>
      </c>
      <c r="AP72" s="4" t="s">
        <v>4140</v>
      </c>
      <c r="AQ72" s="55" t="s">
        <v>2527</v>
      </c>
      <c r="AR72" s="4" t="s">
        <v>89</v>
      </c>
      <c r="AS72" s="4" t="s">
        <v>4141</v>
      </c>
      <c r="AT72" s="72">
        <v>32652</v>
      </c>
      <c r="AU72" s="4" t="s">
        <v>81</v>
      </c>
      <c r="AV72" s="4" t="s">
        <v>81</v>
      </c>
      <c r="AW72" s="4" t="s">
        <v>81</v>
      </c>
      <c r="AX72" s="4" t="s">
        <v>81</v>
      </c>
      <c r="AY72" s="4"/>
      <c r="AZ72" s="4"/>
      <c r="BA72" s="4" t="s">
        <v>3498</v>
      </c>
      <c r="BB72" s="4">
        <v>10800</v>
      </c>
      <c r="BC72" s="4">
        <v>2700</v>
      </c>
      <c r="BD72" s="4">
        <v>0</v>
      </c>
      <c r="BE72" s="4" t="s">
        <v>91</v>
      </c>
      <c r="BF72" s="4"/>
      <c r="BG72" s="4"/>
      <c r="BH72" s="4" t="s">
        <v>3510</v>
      </c>
      <c r="BI72" s="72">
        <f>VLOOKUP(A72,'ID Block'!A:L,12,0)</f>
        <v>45265</v>
      </c>
      <c r="BJ72" s="154" t="str">
        <f>VLOOKUP(A72,'ID Block'!A:M,13,0)</f>
        <v>Personal Issue</v>
      </c>
      <c r="BK72" s="4">
        <f t="shared" si="1"/>
        <v>4</v>
      </c>
      <c r="BL72" s="105" t="s">
        <v>168</v>
      </c>
      <c r="BM72" s="10"/>
      <c r="BN72" s="183" t="s">
        <v>3978</v>
      </c>
      <c r="BO72" s="183"/>
    </row>
    <row r="73" ht="14.4" s="67" customFormat="1">
      <c r="A73" s="4">
        <v>171281</v>
      </c>
      <c r="B73" s="4"/>
      <c r="C73" s="55" t="s">
        <v>843</v>
      </c>
      <c r="D73" s="4" t="s">
        <v>4142</v>
      </c>
      <c r="E73" s="4" t="s">
        <v>114</v>
      </c>
      <c r="F73" s="55"/>
      <c r="G73" s="4" t="s">
        <v>67</v>
      </c>
      <c r="H73" s="4" t="s">
        <v>68</v>
      </c>
      <c r="I73" s="4" t="s">
        <v>2494</v>
      </c>
      <c r="J73" s="55" t="s">
        <v>319</v>
      </c>
      <c r="K73" s="4" t="s">
        <v>71</v>
      </c>
      <c r="L73" s="4" t="s">
        <v>3487</v>
      </c>
      <c r="M73" s="4" t="s">
        <v>3659</v>
      </c>
      <c r="N73" s="4" t="s">
        <v>74</v>
      </c>
      <c r="O73" s="4" t="s">
        <v>75</v>
      </c>
      <c r="P73" s="4" t="s">
        <v>4143</v>
      </c>
      <c r="Q73" s="57">
        <v>45251</v>
      </c>
      <c r="R73" s="57">
        <v>45261</v>
      </c>
      <c r="S73" s="113"/>
      <c r="T73" s="113"/>
      <c r="U73" s="4"/>
      <c r="V73" s="4"/>
      <c r="W73" s="105" t="s">
        <v>4144</v>
      </c>
      <c r="X73" s="114">
        <v>1960432494</v>
      </c>
      <c r="Y73" s="55" t="s">
        <v>81</v>
      </c>
      <c r="Z73" s="4"/>
      <c r="AA73" s="4"/>
      <c r="AB73" s="4"/>
      <c r="AC73" s="4"/>
      <c r="AD73" s="113">
        <v>35065</v>
      </c>
      <c r="AE73" s="107">
        <v>28.3068493150685</v>
      </c>
      <c r="AF73" s="4" t="s">
        <v>80</v>
      </c>
      <c r="AG73" s="114"/>
      <c r="AH73" s="4"/>
      <c r="AI73" s="55" t="s">
        <v>290</v>
      </c>
      <c r="AJ73" s="55" t="s">
        <v>81</v>
      </c>
      <c r="AK73" s="55">
        <v>2023</v>
      </c>
      <c r="AL73" s="4" t="s">
        <v>4145</v>
      </c>
      <c r="AM73" s="4" t="s">
        <v>4146</v>
      </c>
      <c r="AN73" s="4" t="s">
        <v>4147</v>
      </c>
      <c r="AO73" s="4" t="s">
        <v>4148</v>
      </c>
      <c r="AP73" s="4" t="s">
        <v>4149</v>
      </c>
      <c r="AQ73" s="55" t="s">
        <v>1231</v>
      </c>
      <c r="AR73" s="4" t="s">
        <v>110</v>
      </c>
      <c r="AS73" s="4" t="s">
        <v>81</v>
      </c>
      <c r="AT73" s="72" t="s">
        <v>81</v>
      </c>
      <c r="AU73" s="4" t="s">
        <v>81</v>
      </c>
      <c r="AV73" s="4" t="s">
        <v>81</v>
      </c>
      <c r="AW73" s="4" t="s">
        <v>81</v>
      </c>
      <c r="AX73" s="4" t="s">
        <v>81</v>
      </c>
      <c r="AY73" s="4"/>
      <c r="AZ73" s="4"/>
      <c r="BA73" s="4" t="s">
        <v>3498</v>
      </c>
      <c r="BB73" s="4">
        <v>10800</v>
      </c>
      <c r="BC73" s="4">
        <v>2700</v>
      </c>
      <c r="BD73" s="4">
        <v>0</v>
      </c>
      <c r="BE73" s="4" t="s">
        <v>91</v>
      </c>
      <c r="BF73" s="4"/>
      <c r="BG73" s="4"/>
      <c r="BH73" s="4" t="s">
        <v>3499</v>
      </c>
      <c r="BI73" s="72">
        <f>VLOOKUP(A73,'ID Block'!A:L,12,0)</f>
        <v>45265</v>
      </c>
      <c r="BJ73" s="154" t="str">
        <f>VLOOKUP(A73,'ID Block'!A:M,13,0)</f>
        <v>Unauthorized Absent</v>
      </c>
      <c r="BK73" s="4">
        <f t="shared" si="1"/>
        <v>4</v>
      </c>
      <c r="BL73" s="105" t="s">
        <v>168</v>
      </c>
      <c r="BM73" s="10"/>
      <c r="BN73" s="183" t="s">
        <v>3992</v>
      </c>
      <c r="BO73" s="183"/>
    </row>
    <row r="74" ht="16.95" customHeight="1" s="67" customFormat="1">
      <c r="A74" s="4">
        <v>171001</v>
      </c>
      <c r="B74" s="4"/>
      <c r="C74" s="55"/>
      <c r="D74" s="4" t="s">
        <v>3512</v>
      </c>
      <c r="E74" s="4" t="s">
        <v>114</v>
      </c>
      <c r="F74" s="55">
        <v>1317746912</v>
      </c>
      <c r="G74" s="4" t="s">
        <v>4150</v>
      </c>
      <c r="H74" s="4" t="s">
        <v>226</v>
      </c>
      <c r="I74" s="4" t="s">
        <v>2494</v>
      </c>
      <c r="J74" s="55" t="s">
        <v>97</v>
      </c>
      <c r="K74" s="4" t="s">
        <v>71</v>
      </c>
      <c r="L74" s="4" t="s">
        <v>4151</v>
      </c>
      <c r="M74" s="4" t="s">
        <v>74</v>
      </c>
      <c r="N74" s="4" t="s">
        <v>3488</v>
      </c>
      <c r="O74" s="4" t="s">
        <v>3788</v>
      </c>
      <c r="P74" s="4" t="s">
        <v>3546</v>
      </c>
      <c r="Q74" s="57">
        <v>45023</v>
      </c>
      <c r="R74" s="57">
        <v>45032</v>
      </c>
      <c r="S74" s="113">
        <v>45119</v>
      </c>
      <c r="T74" s="113"/>
      <c r="U74" s="4"/>
      <c r="V74" s="4" t="s">
        <v>4152</v>
      </c>
      <c r="W74" s="105"/>
      <c r="X74" s="114">
        <v>1765941991</v>
      </c>
      <c r="Y74" s="55">
        <v>1847270360</v>
      </c>
      <c r="Z74" s="4" t="s">
        <v>4153</v>
      </c>
      <c r="AA74" s="4">
        <v>1317217081</v>
      </c>
      <c r="AB74" s="4" t="s">
        <v>252</v>
      </c>
      <c r="AC74" s="4" t="s">
        <v>119</v>
      </c>
      <c r="AD74" s="113">
        <v>36272</v>
      </c>
      <c r="AE74" s="107">
        <v>25</v>
      </c>
      <c r="AF74" s="4" t="s">
        <v>80</v>
      </c>
      <c r="AG74" s="114">
        <v>6904360374</v>
      </c>
      <c r="AH74" s="4" t="s">
        <v>4154</v>
      </c>
      <c r="AI74" s="55" t="s">
        <v>104</v>
      </c>
      <c r="AJ74" s="55" t="s">
        <v>4155</v>
      </c>
      <c r="AK74" s="55">
        <v>2024</v>
      </c>
      <c r="AL74" s="4" t="s">
        <v>4156</v>
      </c>
      <c r="AM74" s="4" t="s">
        <v>4157</v>
      </c>
      <c r="AN74" s="4" t="s">
        <v>4158</v>
      </c>
      <c r="AO74" s="4" t="s">
        <v>4159</v>
      </c>
      <c r="AP74" s="4" t="s">
        <v>4160</v>
      </c>
      <c r="AQ74" s="55" t="s">
        <v>3969</v>
      </c>
      <c r="AR74" s="4" t="s">
        <v>110</v>
      </c>
      <c r="AS74" s="4"/>
      <c r="AT74" s="72"/>
      <c r="AU74" s="4"/>
      <c r="AV74" s="4"/>
      <c r="AW74" s="4"/>
      <c r="AX74" s="4"/>
      <c r="AY74" s="4"/>
      <c r="AZ74" s="4"/>
      <c r="BA74" s="4" t="s">
        <v>4161</v>
      </c>
      <c r="BB74" s="4">
        <v>16380</v>
      </c>
      <c r="BC74" s="4">
        <v>3000</v>
      </c>
      <c r="BD74" s="4">
        <v>2000</v>
      </c>
      <c r="BE74" s="4" t="s">
        <v>166</v>
      </c>
      <c r="BF74" s="4">
        <v>160096</v>
      </c>
      <c r="BG74" s="4" t="s">
        <v>92</v>
      </c>
      <c r="BH74" s="4" t="s">
        <v>3510</v>
      </c>
      <c r="BI74" s="72">
        <f>VLOOKUP(A74,'ID Block'!A:L,12,0)</f>
        <v>45266</v>
      </c>
      <c r="BJ74" s="154" t="str">
        <f>VLOOKUP(A74,'ID Block'!A:M,13,0)</f>
        <v>Personal Issue</v>
      </c>
      <c r="BK74" s="4">
        <f t="shared" si="1"/>
        <v>234</v>
      </c>
      <c r="BL74" s="105" t="s">
        <v>168</v>
      </c>
      <c r="BM74" s="10"/>
      <c r="BN74" s="183" t="s">
        <v>3978</v>
      </c>
      <c r="BO74" s="183"/>
    </row>
    <row r="75" ht="14.4" s="67" customFormat="1">
      <c r="A75" s="4">
        <v>171066</v>
      </c>
      <c r="B75" s="4"/>
      <c r="C75" s="55" t="s">
        <v>4162</v>
      </c>
      <c r="D75" s="4" t="s">
        <v>4163</v>
      </c>
      <c r="E75" s="4" t="s">
        <v>114</v>
      </c>
      <c r="F75" s="55" t="s">
        <v>4164</v>
      </c>
      <c r="G75" s="4" t="s">
        <v>67</v>
      </c>
      <c r="H75" s="4" t="s">
        <v>68</v>
      </c>
      <c r="I75" s="4" t="s">
        <v>2494</v>
      </c>
      <c r="J75" s="55" t="s">
        <v>155</v>
      </c>
      <c r="K75" s="4" t="s">
        <v>71</v>
      </c>
      <c r="L75" s="4" t="s">
        <v>3487</v>
      </c>
      <c r="M75" s="4" t="s">
        <v>3512</v>
      </c>
      <c r="N75" s="4" t="s">
        <v>74</v>
      </c>
      <c r="O75" s="4" t="s">
        <v>3788</v>
      </c>
      <c r="P75" s="4" t="s">
        <v>3564</v>
      </c>
      <c r="Q75" s="57">
        <v>45077</v>
      </c>
      <c r="R75" s="57">
        <v>45090</v>
      </c>
      <c r="S75" s="113"/>
      <c r="T75" s="113"/>
      <c r="U75" s="4"/>
      <c r="V75" s="4"/>
      <c r="W75" s="105" t="s">
        <v>4165</v>
      </c>
      <c r="X75" s="114">
        <v>1781466677</v>
      </c>
      <c r="Y75" s="55">
        <v>1754543637</v>
      </c>
      <c r="Z75" s="4" t="s">
        <v>4166</v>
      </c>
      <c r="AA75" s="4">
        <v>1772001766</v>
      </c>
      <c r="AB75" s="4" t="s">
        <v>186</v>
      </c>
      <c r="AC75" s="4" t="s">
        <v>79</v>
      </c>
      <c r="AD75" s="113">
        <v>32518</v>
      </c>
      <c r="AE75" s="107">
        <v>35.2849315068493</v>
      </c>
      <c r="AF75" s="4" t="s">
        <v>80</v>
      </c>
      <c r="AG75" s="114">
        <v>3713675589</v>
      </c>
      <c r="AH75" s="4" t="s">
        <v>4167</v>
      </c>
      <c r="AI75" s="55" t="s">
        <v>2523</v>
      </c>
      <c r="AJ75" s="55" t="s">
        <v>81</v>
      </c>
      <c r="AK75" s="55" t="s">
        <v>81</v>
      </c>
      <c r="AL75" s="4" t="s">
        <v>818</v>
      </c>
      <c r="AM75" s="4" t="s">
        <v>4168</v>
      </c>
      <c r="AN75" s="4" t="s">
        <v>4169</v>
      </c>
      <c r="AO75" s="4" t="s">
        <v>4170</v>
      </c>
      <c r="AP75" s="4" t="s">
        <v>4171</v>
      </c>
      <c r="AQ75" s="55" t="s">
        <v>4172</v>
      </c>
      <c r="AR75" s="4" t="s">
        <v>89</v>
      </c>
      <c r="AS75" s="4" t="s">
        <v>4173</v>
      </c>
      <c r="AT75" s="72">
        <v>33878</v>
      </c>
      <c r="AU75" s="4" t="s">
        <v>4174</v>
      </c>
      <c r="AV75" s="4">
        <v>44556</v>
      </c>
      <c r="AW75" s="4" t="s">
        <v>4175</v>
      </c>
      <c r="AX75" s="4">
        <v>45010</v>
      </c>
      <c r="AY75" s="4"/>
      <c r="AZ75" s="4"/>
      <c r="BA75" s="4" t="s">
        <v>3498</v>
      </c>
      <c r="BB75" s="4">
        <v>10800</v>
      </c>
      <c r="BC75" s="4">
        <v>2700</v>
      </c>
      <c r="BD75" s="4">
        <v>1000</v>
      </c>
      <c r="BE75" s="4" t="s">
        <v>166</v>
      </c>
      <c r="BF75" s="4" t="s">
        <v>167</v>
      </c>
      <c r="BG75" s="4" t="s">
        <v>167</v>
      </c>
      <c r="BH75" s="4" t="s">
        <v>3510</v>
      </c>
      <c r="BI75" s="72">
        <f>VLOOKUP(A75,'ID Block'!A:L,12,0)</f>
        <v>45266</v>
      </c>
      <c r="BJ75" s="154" t="str">
        <f>VLOOKUP(A75,'ID Block'!A:M,13,0)</f>
        <v>Exam issue</v>
      </c>
      <c r="BK75" s="4">
        <f t="shared" si="1"/>
        <v>176</v>
      </c>
      <c r="BL75" s="105" t="s">
        <v>168</v>
      </c>
      <c r="BM75" s="10"/>
      <c r="BN75" s="183" t="s">
        <v>4176</v>
      </c>
      <c r="BO75" s="183"/>
    </row>
    <row r="76" ht="14.4" s="67" customFormat="1">
      <c r="A76" s="4">
        <v>171206</v>
      </c>
      <c r="B76" s="4"/>
      <c r="C76" s="55"/>
      <c r="D76" s="4" t="s">
        <v>4177</v>
      </c>
      <c r="E76" s="4" t="s">
        <v>114</v>
      </c>
      <c r="F76" s="55">
        <v>820075</v>
      </c>
      <c r="G76" s="4" t="s">
        <v>67</v>
      </c>
      <c r="H76" s="4" t="s">
        <v>68</v>
      </c>
      <c r="I76" s="4" t="s">
        <v>2494</v>
      </c>
      <c r="J76" s="55" t="s">
        <v>155</v>
      </c>
      <c r="K76" s="4" t="s">
        <v>71</v>
      </c>
      <c r="L76" s="4" t="s">
        <v>3487</v>
      </c>
      <c r="M76" s="4" t="s">
        <v>3512</v>
      </c>
      <c r="N76" s="4" t="s">
        <v>74</v>
      </c>
      <c r="O76" s="4" t="s">
        <v>75</v>
      </c>
      <c r="P76" s="4" t="s">
        <v>4178</v>
      </c>
      <c r="Q76" s="57">
        <v>45224</v>
      </c>
      <c r="R76" s="57">
        <v>45235</v>
      </c>
      <c r="S76" s="113"/>
      <c r="T76" s="113"/>
      <c r="U76" s="4"/>
      <c r="V76" s="4"/>
      <c r="W76" s="105" t="s">
        <v>4179</v>
      </c>
      <c r="X76" s="114">
        <v>1317778246</v>
      </c>
      <c r="Y76" s="55" t="s">
        <v>81</v>
      </c>
      <c r="Z76" s="4" t="s">
        <v>4180</v>
      </c>
      <c r="AA76" s="4">
        <v>1752748243</v>
      </c>
      <c r="AB76" s="4" t="s">
        <v>410</v>
      </c>
      <c r="AC76" s="4" t="s">
        <v>102</v>
      </c>
      <c r="AD76" s="113">
        <v>34557</v>
      </c>
      <c r="AE76" s="107">
        <v>29.6986301369863</v>
      </c>
      <c r="AF76" s="4" t="s">
        <v>80</v>
      </c>
      <c r="AG76" s="114">
        <v>3732013209</v>
      </c>
      <c r="AH76" s="4" t="s">
        <v>81</v>
      </c>
      <c r="AI76" s="55" t="s">
        <v>290</v>
      </c>
      <c r="AJ76" s="55" t="s">
        <v>81</v>
      </c>
      <c r="AK76" s="55">
        <v>2019</v>
      </c>
      <c r="AL76" s="4" t="s">
        <v>4181</v>
      </c>
      <c r="AM76" s="4" t="s">
        <v>4182</v>
      </c>
      <c r="AN76" s="4" t="s">
        <v>4183</v>
      </c>
      <c r="AO76" s="4" t="s">
        <v>4184</v>
      </c>
      <c r="AP76" s="4" t="s">
        <v>4185</v>
      </c>
      <c r="AQ76" s="55" t="s">
        <v>4186</v>
      </c>
      <c r="AR76" s="4" t="s">
        <v>89</v>
      </c>
      <c r="AS76" s="4" t="s">
        <v>4180</v>
      </c>
      <c r="AT76" s="72" t="s">
        <v>81</v>
      </c>
      <c r="AU76" s="4" t="s">
        <v>81</v>
      </c>
      <c r="AV76" s="4" t="s">
        <v>81</v>
      </c>
      <c r="AW76" s="4"/>
      <c r="AX76" s="4"/>
      <c r="AY76" s="4"/>
      <c r="AZ76" s="4"/>
      <c r="BA76" s="4" t="s">
        <v>3498</v>
      </c>
      <c r="BB76" s="4">
        <v>10800</v>
      </c>
      <c r="BC76" s="4">
        <v>2700</v>
      </c>
      <c r="BD76" s="4">
        <v>1000</v>
      </c>
      <c r="BE76" s="4" t="s">
        <v>166</v>
      </c>
      <c r="BF76" s="4"/>
      <c r="BG76" s="4"/>
      <c r="BH76" s="4" t="s">
        <v>3499</v>
      </c>
      <c r="BI76" s="72">
        <f>VLOOKUP(A76,'ID Block'!A:L,12,0)</f>
        <v>45266</v>
      </c>
      <c r="BJ76" s="154" t="str">
        <f>VLOOKUP(A76,'ID Block'!A:M,13,0)</f>
        <v>Unauthorized Absent</v>
      </c>
      <c r="BK76" s="4">
        <f t="shared" si="1"/>
        <v>31</v>
      </c>
      <c r="BL76" s="105" t="s">
        <v>168</v>
      </c>
      <c r="BM76" s="10"/>
      <c r="BN76" s="183" t="s">
        <v>3992</v>
      </c>
      <c r="BO76" s="183"/>
    </row>
    <row r="77" ht="14.4" s="67" customFormat="1">
      <c r="A77" s="4">
        <v>171058</v>
      </c>
      <c r="B77" s="4"/>
      <c r="C77" s="55" t="s">
        <v>4187</v>
      </c>
      <c r="D77" s="4" t="s">
        <v>4188</v>
      </c>
      <c r="E77" s="4" t="s">
        <v>66</v>
      </c>
      <c r="F77" s="55">
        <v>649380</v>
      </c>
      <c r="G77" s="4" t="s">
        <v>67</v>
      </c>
      <c r="H77" s="4" t="s">
        <v>68</v>
      </c>
      <c r="I77" s="4" t="s">
        <v>2494</v>
      </c>
      <c r="J77" s="55" t="s">
        <v>70</v>
      </c>
      <c r="K77" s="4" t="s">
        <v>71</v>
      </c>
      <c r="L77" s="4" t="s">
        <v>3487</v>
      </c>
      <c r="M77" s="4" t="s">
        <v>3512</v>
      </c>
      <c r="N77" s="4" t="s">
        <v>74</v>
      </c>
      <c r="O77" s="4" t="s">
        <v>3788</v>
      </c>
      <c r="P77" s="4" t="s">
        <v>3763</v>
      </c>
      <c r="Q77" s="57">
        <v>45051</v>
      </c>
      <c r="R77" s="57">
        <v>45063</v>
      </c>
      <c r="S77" s="113"/>
      <c r="T77" s="113"/>
      <c r="U77" s="4"/>
      <c r="V77" s="4"/>
      <c r="W77" s="105" t="s">
        <v>4189</v>
      </c>
      <c r="X77" s="114">
        <v>1730241731</v>
      </c>
      <c r="Y77" s="55">
        <v>1732512222</v>
      </c>
      <c r="Z77" s="4" t="s">
        <v>4190</v>
      </c>
      <c r="AA77" s="4">
        <v>1732512222</v>
      </c>
      <c r="AB77" s="4" t="s">
        <v>2756</v>
      </c>
      <c r="AC77" s="4" t="s">
        <v>133</v>
      </c>
      <c r="AD77" s="113">
        <v>34017</v>
      </c>
      <c r="AE77" s="107">
        <v>31.1780821917808</v>
      </c>
      <c r="AF77" s="4" t="s">
        <v>80</v>
      </c>
      <c r="AG77" s="114">
        <v>7324054332</v>
      </c>
      <c r="AH77" s="4" t="s">
        <v>81</v>
      </c>
      <c r="AI77" s="55" t="s">
        <v>187</v>
      </c>
      <c r="AJ77" s="55" t="s">
        <v>81</v>
      </c>
      <c r="AK77" s="55" t="s">
        <v>81</v>
      </c>
      <c r="AL77" s="4" t="s">
        <v>4191</v>
      </c>
      <c r="AM77" s="4" t="s">
        <v>4192</v>
      </c>
      <c r="AN77" s="4" t="s">
        <v>4190</v>
      </c>
      <c r="AO77" s="4" t="s">
        <v>4193</v>
      </c>
      <c r="AP77" s="4" t="s">
        <v>4194</v>
      </c>
      <c r="AQ77" s="55" t="s">
        <v>4195</v>
      </c>
      <c r="AR77" s="4" t="s">
        <v>89</v>
      </c>
      <c r="AS77" s="4"/>
      <c r="AT77" s="72"/>
      <c r="AU77" s="4"/>
      <c r="AV77" s="4"/>
      <c r="AW77" s="4"/>
      <c r="AX77" s="4"/>
      <c r="AY77" s="4"/>
      <c r="AZ77" s="4"/>
      <c r="BA77" s="4" t="s">
        <v>3498</v>
      </c>
      <c r="BB77" s="4">
        <v>10800</v>
      </c>
      <c r="BC77" s="4">
        <v>2700</v>
      </c>
      <c r="BD77" s="4">
        <v>0</v>
      </c>
      <c r="BE77" s="4" t="s">
        <v>91</v>
      </c>
      <c r="BF77" s="4" t="s">
        <v>167</v>
      </c>
      <c r="BG77" s="4" t="s">
        <v>167</v>
      </c>
      <c r="BH77" s="4" t="s">
        <v>3510</v>
      </c>
      <c r="BI77" s="72">
        <f>VLOOKUP(A77,'ID Block'!A:L,12,0)</f>
        <v>45267</v>
      </c>
      <c r="BJ77" s="154" t="str">
        <f>VLOOKUP(A77,'ID Block'!A:M,13,0)</f>
        <v>Personal Issue</v>
      </c>
      <c r="BK77" s="4">
        <f t="shared" si="1"/>
        <v>204</v>
      </c>
      <c r="BL77" s="105" t="s">
        <v>168</v>
      </c>
      <c r="BM77" s="10"/>
      <c r="BN77" s="183" t="s">
        <v>3978</v>
      </c>
      <c r="BO77" s="183"/>
    </row>
    <row r="78" ht="14.4" s="67" customFormat="1">
      <c r="A78" s="4">
        <v>171158</v>
      </c>
      <c r="B78" s="4"/>
      <c r="C78" s="55"/>
      <c r="D78" s="4" t="s">
        <v>4196</v>
      </c>
      <c r="E78" s="4" t="s">
        <v>66</v>
      </c>
      <c r="F78" s="55">
        <v>1113432398</v>
      </c>
      <c r="G78" s="4" t="s">
        <v>67</v>
      </c>
      <c r="H78" s="4" t="s">
        <v>68</v>
      </c>
      <c r="I78" s="4" t="s">
        <v>2494</v>
      </c>
      <c r="J78" s="55" t="s">
        <v>319</v>
      </c>
      <c r="K78" s="4" t="s">
        <v>71</v>
      </c>
      <c r="L78" s="4" t="s">
        <v>3487</v>
      </c>
      <c r="M78" s="4" t="s">
        <v>115</v>
      </c>
      <c r="N78" s="4" t="s">
        <v>74</v>
      </c>
      <c r="O78" s="4" t="s">
        <v>75</v>
      </c>
      <c r="P78" s="4" t="s">
        <v>3987</v>
      </c>
      <c r="Q78" s="57">
        <v>45206</v>
      </c>
      <c r="R78" s="57">
        <v>45211</v>
      </c>
      <c r="S78" s="113"/>
      <c r="T78" s="113"/>
      <c r="U78" s="4"/>
      <c r="V78" s="4"/>
      <c r="W78" s="105" t="s">
        <v>2543</v>
      </c>
      <c r="X78" s="114">
        <v>1629388424</v>
      </c>
      <c r="Y78" s="55" t="s">
        <v>81</v>
      </c>
      <c r="Z78" s="4" t="s">
        <v>4197</v>
      </c>
      <c r="AA78" s="4">
        <v>1736283797</v>
      </c>
      <c r="AB78" s="4" t="s">
        <v>4198</v>
      </c>
      <c r="AC78" s="4" t="s">
        <v>133</v>
      </c>
      <c r="AD78" s="113">
        <v>36379</v>
      </c>
      <c r="AE78" s="107">
        <v>24.7068493150685</v>
      </c>
      <c r="AF78" s="4" t="s">
        <v>80</v>
      </c>
      <c r="AG78" s="114">
        <v>9165050775</v>
      </c>
      <c r="AH78" s="4" t="s">
        <v>81</v>
      </c>
      <c r="AI78" s="55" t="s">
        <v>4199</v>
      </c>
      <c r="AJ78" s="55" t="s">
        <v>81</v>
      </c>
      <c r="AK78" s="55">
        <v>2022</v>
      </c>
      <c r="AL78" s="4" t="s">
        <v>4200</v>
      </c>
      <c r="AM78" s="4" t="s">
        <v>2546</v>
      </c>
      <c r="AN78" s="4" t="s">
        <v>2547</v>
      </c>
      <c r="AO78" s="4" t="s">
        <v>4201</v>
      </c>
      <c r="AP78" s="4" t="s">
        <v>4202</v>
      </c>
      <c r="AQ78" s="55" t="s">
        <v>285</v>
      </c>
      <c r="AR78" s="4" t="s">
        <v>110</v>
      </c>
      <c r="AS78" s="4"/>
      <c r="AT78" s="72"/>
      <c r="AU78" s="4"/>
      <c r="AV78" s="4"/>
      <c r="AW78" s="4"/>
      <c r="AX78" s="4"/>
      <c r="AY78" s="4"/>
      <c r="AZ78" s="4"/>
      <c r="BA78" s="4" t="s">
        <v>3498</v>
      </c>
      <c r="BB78" s="4">
        <v>10800</v>
      </c>
      <c r="BC78" s="4">
        <v>2700</v>
      </c>
      <c r="BD78" s="4">
        <v>0</v>
      </c>
      <c r="BE78" s="4" t="s">
        <v>296</v>
      </c>
      <c r="BF78" s="4"/>
      <c r="BG78" s="4"/>
      <c r="BH78" s="4" t="s">
        <v>3510</v>
      </c>
      <c r="BI78" s="72">
        <f>VLOOKUP(A78,'ID Block'!A:L,12,0)</f>
        <v>45276</v>
      </c>
      <c r="BJ78" s="154" t="str">
        <f>VLOOKUP(A78,'ID Block'!A:M,13,0)</f>
        <v>Examination Preparation Issue</v>
      </c>
      <c r="BK78" s="4">
        <f t="shared" si="1"/>
        <v>65</v>
      </c>
      <c r="BL78" s="105" t="s">
        <v>168</v>
      </c>
      <c r="BM78" s="10"/>
      <c r="BN78" s="183" t="s">
        <v>4203</v>
      </c>
      <c r="BO78" s="183"/>
    </row>
    <row r="79" ht="14.4" s="67" customFormat="1">
      <c r="A79" s="4">
        <v>171276</v>
      </c>
      <c r="B79" s="4"/>
      <c r="C79" s="55" t="s">
        <v>4204</v>
      </c>
      <c r="D79" s="4" t="s">
        <v>4205</v>
      </c>
      <c r="E79" s="4" t="s">
        <v>114</v>
      </c>
      <c r="F79" s="55">
        <v>373713</v>
      </c>
      <c r="G79" s="4" t="s">
        <v>67</v>
      </c>
      <c r="H79" s="4" t="s">
        <v>68</v>
      </c>
      <c r="I79" s="4" t="s">
        <v>2494</v>
      </c>
      <c r="J79" s="55" t="s">
        <v>3650</v>
      </c>
      <c r="K79" s="4" t="s">
        <v>71</v>
      </c>
      <c r="L79" s="4" t="s">
        <v>3487</v>
      </c>
      <c r="M79" s="4" t="s">
        <v>115</v>
      </c>
      <c r="N79" s="4" t="s">
        <v>74</v>
      </c>
      <c r="O79" s="4" t="s">
        <v>75</v>
      </c>
      <c r="P79" s="4" t="s">
        <v>4143</v>
      </c>
      <c r="Q79" s="57">
        <v>45256</v>
      </c>
      <c r="R79" s="57">
        <v>45261</v>
      </c>
      <c r="S79" s="113"/>
      <c r="T79" s="113"/>
      <c r="U79" s="4"/>
      <c r="V79" s="4"/>
      <c r="W79" s="105" t="s">
        <v>4206</v>
      </c>
      <c r="X79" s="114">
        <v>1754863249</v>
      </c>
      <c r="Y79" s="55" t="s">
        <v>81</v>
      </c>
      <c r="Z79" s="4" t="s">
        <v>4207</v>
      </c>
      <c r="AA79" s="4">
        <v>1717589613</v>
      </c>
      <c r="AB79" s="4" t="s">
        <v>252</v>
      </c>
      <c r="AC79" s="4" t="s">
        <v>79</v>
      </c>
      <c r="AD79" s="113">
        <v>35062</v>
      </c>
      <c r="AE79" s="107">
        <v>28.3150684931507</v>
      </c>
      <c r="AF79" s="4" t="s">
        <v>80</v>
      </c>
      <c r="AG79" s="114">
        <v>5520654285</v>
      </c>
      <c r="AH79" s="4" t="s">
        <v>81</v>
      </c>
      <c r="AI79" s="55" t="s">
        <v>723</v>
      </c>
      <c r="AJ79" s="55" t="s">
        <v>81</v>
      </c>
      <c r="AK79" s="55">
        <v>2016</v>
      </c>
      <c r="AL79" s="4" t="s">
        <v>4208</v>
      </c>
      <c r="AM79" s="4" t="s">
        <v>4209</v>
      </c>
      <c r="AN79" s="4" t="s">
        <v>4210</v>
      </c>
      <c r="AO79" s="4" t="s">
        <v>4211</v>
      </c>
      <c r="AP79" s="4" t="s">
        <v>4212</v>
      </c>
      <c r="AQ79" s="55" t="s">
        <v>1654</v>
      </c>
      <c r="AR79" s="4" t="s">
        <v>110</v>
      </c>
      <c r="AS79" s="4" t="s">
        <v>81</v>
      </c>
      <c r="AT79" s="72" t="s">
        <v>81</v>
      </c>
      <c r="AU79" s="4" t="s">
        <v>81</v>
      </c>
      <c r="AV79" s="4" t="s">
        <v>81</v>
      </c>
      <c r="AW79" s="4" t="s">
        <v>81</v>
      </c>
      <c r="AX79" s="4" t="s">
        <v>81</v>
      </c>
      <c r="AY79" s="4"/>
      <c r="AZ79" s="4"/>
      <c r="BA79" s="4" t="s">
        <v>3498</v>
      </c>
      <c r="BB79" s="4">
        <v>10800</v>
      </c>
      <c r="BC79" s="4">
        <v>2700</v>
      </c>
      <c r="BD79" s="4">
        <v>0</v>
      </c>
      <c r="BE79" s="4" t="s">
        <v>91</v>
      </c>
      <c r="BF79" s="4"/>
      <c r="BG79" s="4"/>
      <c r="BH79" s="4" t="s">
        <v>3510</v>
      </c>
      <c r="BI79" s="72">
        <f>VLOOKUP(A79,'ID Block'!A:L,12,0)</f>
        <v>45277</v>
      </c>
      <c r="BJ79" s="154" t="str">
        <f>VLOOKUP(A79,'ID Block'!A:M,13,0)</f>
        <v>Family Issue</v>
      </c>
      <c r="BK79" s="4">
        <f t="shared" si="1"/>
        <v>16</v>
      </c>
      <c r="BL79" s="105" t="s">
        <v>168</v>
      </c>
      <c r="BM79" s="10"/>
      <c r="BN79" s="183" t="s">
        <v>4002</v>
      </c>
      <c r="BO79" s="183"/>
    </row>
    <row r="80" ht="17.55" customHeight="1" s="67" customFormat="1">
      <c r="A80" s="4">
        <v>171254</v>
      </c>
      <c r="B80" s="4"/>
      <c r="C80" s="55" t="s">
        <v>4213</v>
      </c>
      <c r="D80" s="4" t="s">
        <v>4214</v>
      </c>
      <c r="E80" s="4" t="s">
        <v>114</v>
      </c>
      <c r="F80" s="55">
        <v>1310689850</v>
      </c>
      <c r="G80" s="4" t="s">
        <v>67</v>
      </c>
      <c r="H80" s="4" t="s">
        <v>68</v>
      </c>
      <c r="I80" s="4" t="s">
        <v>2494</v>
      </c>
      <c r="J80" s="55" t="s">
        <v>4215</v>
      </c>
      <c r="K80" s="4" t="s">
        <v>71</v>
      </c>
      <c r="L80" s="4" t="s">
        <v>3487</v>
      </c>
      <c r="M80" s="4" t="s">
        <v>3659</v>
      </c>
      <c r="N80" s="4" t="s">
        <v>74</v>
      </c>
      <c r="O80" s="4" t="s">
        <v>75</v>
      </c>
      <c r="P80" s="4" t="s">
        <v>4123</v>
      </c>
      <c r="Q80" s="57">
        <v>45251</v>
      </c>
      <c r="R80" s="57">
        <v>45256</v>
      </c>
      <c r="S80" s="113"/>
      <c r="T80" s="113"/>
      <c r="U80" s="4"/>
      <c r="V80" s="4"/>
      <c r="W80" s="105" t="s">
        <v>4216</v>
      </c>
      <c r="X80" s="114">
        <v>1832384929</v>
      </c>
      <c r="Y80" s="55">
        <v>1719795724</v>
      </c>
      <c r="Z80" s="4" t="s">
        <v>101</v>
      </c>
      <c r="AA80" s="4">
        <v>1711234578</v>
      </c>
      <c r="AB80" s="4" t="s">
        <v>101</v>
      </c>
      <c r="AC80" s="4" t="s">
        <v>119</v>
      </c>
      <c r="AD80" s="113">
        <v>36827</v>
      </c>
      <c r="AE80" s="107">
        <v>23.4794520547945</v>
      </c>
      <c r="AF80" s="4" t="s">
        <v>80</v>
      </c>
      <c r="AG80" s="114">
        <v>1511215673</v>
      </c>
      <c r="AH80" s="4" t="s">
        <v>81</v>
      </c>
      <c r="AI80" s="55" t="s">
        <v>290</v>
      </c>
      <c r="AJ80" s="55" t="s">
        <v>4217</v>
      </c>
      <c r="AK80" s="55">
        <v>2023</v>
      </c>
      <c r="AL80" s="4" t="s">
        <v>4156</v>
      </c>
      <c r="AM80" s="4" t="s">
        <v>4218</v>
      </c>
      <c r="AN80" s="4" t="s">
        <v>4219</v>
      </c>
      <c r="AO80" s="4" t="s">
        <v>4220</v>
      </c>
      <c r="AP80" s="4" t="s">
        <v>4221</v>
      </c>
      <c r="AQ80" s="55" t="s">
        <v>223</v>
      </c>
      <c r="AR80" s="4" t="s">
        <v>110</v>
      </c>
      <c r="AS80" s="4" t="s">
        <v>81</v>
      </c>
      <c r="AT80" s="72" t="s">
        <v>81</v>
      </c>
      <c r="AU80" s="4" t="s">
        <v>81</v>
      </c>
      <c r="AV80" s="4" t="s">
        <v>81</v>
      </c>
      <c r="AW80" s="4" t="s">
        <v>81</v>
      </c>
      <c r="AX80" s="4" t="s">
        <v>81</v>
      </c>
      <c r="AY80" s="4"/>
      <c r="AZ80" s="4"/>
      <c r="BA80" s="4" t="s">
        <v>3498</v>
      </c>
      <c r="BB80" s="4">
        <v>10800</v>
      </c>
      <c r="BC80" s="4">
        <v>2700</v>
      </c>
      <c r="BD80" s="4">
        <v>0</v>
      </c>
      <c r="BE80" s="4" t="s">
        <v>91</v>
      </c>
      <c r="BF80" s="4"/>
      <c r="BG80" s="4"/>
      <c r="BH80" s="4" t="s">
        <v>3499</v>
      </c>
      <c r="BI80" s="72">
        <f>VLOOKUP(A80,'ID Block'!A:L,12,0)</f>
        <v>45279</v>
      </c>
      <c r="BJ80" s="154" t="str">
        <f>VLOOKUP(A80,'ID Block'!A:M,13,0)</f>
        <v>Better opportunity</v>
      </c>
      <c r="BK80" s="4">
        <f t="shared" si="1"/>
        <v>23</v>
      </c>
      <c r="BL80" s="105" t="s">
        <v>168</v>
      </c>
      <c r="BM80" s="10"/>
      <c r="BN80" s="183" t="s">
        <v>4035</v>
      </c>
      <c r="BO80" s="183"/>
    </row>
    <row r="81" ht="14.4" s="67" customFormat="1">
      <c r="A81" s="4">
        <v>171133</v>
      </c>
      <c r="B81" s="4"/>
      <c r="C81" s="55"/>
      <c r="D81" s="4" t="s">
        <v>4222</v>
      </c>
      <c r="E81" s="4" t="s">
        <v>114</v>
      </c>
      <c r="F81" s="55">
        <v>774122</v>
      </c>
      <c r="G81" s="4" t="s">
        <v>67</v>
      </c>
      <c r="H81" s="4" t="s">
        <v>68</v>
      </c>
      <c r="I81" s="4" t="s">
        <v>2494</v>
      </c>
      <c r="J81" s="55" t="s">
        <v>4223</v>
      </c>
      <c r="K81" s="4" t="s">
        <v>71</v>
      </c>
      <c r="L81" s="4" t="s">
        <v>3487</v>
      </c>
      <c r="M81" s="4" t="s">
        <v>3659</v>
      </c>
      <c r="N81" s="4" t="s">
        <v>74</v>
      </c>
      <c r="O81" s="4" t="s">
        <v>3788</v>
      </c>
      <c r="P81" s="4" t="s">
        <v>3942</v>
      </c>
      <c r="Q81" s="57">
        <v>45146</v>
      </c>
      <c r="R81" s="57">
        <v>45154</v>
      </c>
      <c r="S81" s="113"/>
      <c r="T81" s="113"/>
      <c r="U81" s="4"/>
      <c r="V81" s="4"/>
      <c r="W81" s="105" t="s">
        <v>4224</v>
      </c>
      <c r="X81" s="114">
        <v>1770160585</v>
      </c>
      <c r="Y81" s="55">
        <v>1625383534</v>
      </c>
      <c r="Z81" s="4" t="s">
        <v>4225</v>
      </c>
      <c r="AA81" s="4">
        <v>1625383534</v>
      </c>
      <c r="AB81" s="4" t="s">
        <v>186</v>
      </c>
      <c r="AC81" s="4" t="s">
        <v>119</v>
      </c>
      <c r="AD81" s="113">
        <v>35101</v>
      </c>
      <c r="AE81" s="107">
        <v>28.2082191780822</v>
      </c>
      <c r="AF81" s="4" t="s">
        <v>80</v>
      </c>
      <c r="AG81" s="114">
        <v>5099987132</v>
      </c>
      <c r="AH81" s="4" t="s">
        <v>81</v>
      </c>
      <c r="AI81" s="55" t="s">
        <v>187</v>
      </c>
      <c r="AJ81" s="55" t="s">
        <v>81</v>
      </c>
      <c r="AK81" s="55" t="s">
        <v>81</v>
      </c>
      <c r="AL81" s="4" t="s">
        <v>4226</v>
      </c>
      <c r="AM81" s="4" t="s">
        <v>4227</v>
      </c>
      <c r="AN81" s="4" t="s">
        <v>4228</v>
      </c>
      <c r="AO81" s="4" t="s">
        <v>4229</v>
      </c>
      <c r="AP81" s="4" t="s">
        <v>4230</v>
      </c>
      <c r="AQ81" s="55" t="s">
        <v>499</v>
      </c>
      <c r="AR81" s="4" t="s">
        <v>89</v>
      </c>
      <c r="AS81" s="4" t="s">
        <v>4225</v>
      </c>
      <c r="AT81" s="72">
        <v>37600</v>
      </c>
      <c r="AU81" s="4" t="s">
        <v>4231</v>
      </c>
      <c r="AV81" s="4">
        <v>44750</v>
      </c>
      <c r="AW81" s="4"/>
      <c r="AX81" s="4"/>
      <c r="AY81" s="4"/>
      <c r="AZ81" s="4"/>
      <c r="BA81" s="4" t="s">
        <v>3498</v>
      </c>
      <c r="BB81" s="4">
        <v>10800</v>
      </c>
      <c r="BC81" s="4">
        <v>2700</v>
      </c>
      <c r="BD81" s="4">
        <v>0</v>
      </c>
      <c r="BE81" s="4" t="s">
        <v>296</v>
      </c>
      <c r="BF81" s="4" t="s">
        <v>167</v>
      </c>
      <c r="BG81" s="4" t="s">
        <v>167</v>
      </c>
      <c r="BH81" s="4" t="s">
        <v>3510</v>
      </c>
      <c r="BI81" s="72">
        <f>VLOOKUP(A81,'ID Block'!A:L,12,0)</f>
        <v>45280</v>
      </c>
      <c r="BJ81" s="154" t="str">
        <f>VLOOKUP(A81,'ID Block'!A:M,13,0)</f>
        <v>Better opportunity</v>
      </c>
      <c r="BK81" s="4">
        <f t="shared" si="1"/>
        <v>126</v>
      </c>
      <c r="BL81" s="105" t="s">
        <v>168</v>
      </c>
      <c r="BM81" s="10"/>
      <c r="BN81" s="183" t="s">
        <v>4035</v>
      </c>
      <c r="BO81" s="183"/>
    </row>
    <row r="82" ht="14.4" s="67" customFormat="1">
      <c r="A82" s="4">
        <v>171042</v>
      </c>
      <c r="B82" s="4"/>
      <c r="C82" s="55" t="s">
        <v>4232</v>
      </c>
      <c r="D82" s="4" t="s">
        <v>4233</v>
      </c>
      <c r="E82" s="4" t="s">
        <v>114</v>
      </c>
      <c r="F82" s="55">
        <v>1212783286</v>
      </c>
      <c r="G82" s="4" t="s">
        <v>67</v>
      </c>
      <c r="H82" s="4" t="s">
        <v>68</v>
      </c>
      <c r="I82" s="4" t="s">
        <v>2494</v>
      </c>
      <c r="J82" s="55" t="s">
        <v>70</v>
      </c>
      <c r="K82" s="4" t="s">
        <v>71</v>
      </c>
      <c r="L82" s="4" t="s">
        <v>3487</v>
      </c>
      <c r="M82" s="4" t="s">
        <v>2643</v>
      </c>
      <c r="N82" s="4" t="s">
        <v>74</v>
      </c>
      <c r="O82" s="4" t="s">
        <v>3788</v>
      </c>
      <c r="P82" s="4" t="s">
        <v>3489</v>
      </c>
      <c r="Q82" s="57">
        <v>45033</v>
      </c>
      <c r="R82" s="57">
        <v>45040</v>
      </c>
      <c r="S82" s="113"/>
      <c r="T82" s="113"/>
      <c r="U82" s="4"/>
      <c r="V82" s="4"/>
      <c r="W82" s="105" t="s">
        <v>4234</v>
      </c>
      <c r="X82" s="114">
        <v>1786025614</v>
      </c>
      <c r="Y82" s="55"/>
      <c r="Z82" s="4" t="s">
        <v>4235</v>
      </c>
      <c r="AA82" s="4">
        <v>1721512499</v>
      </c>
      <c r="AB82" s="4" t="s">
        <v>101</v>
      </c>
      <c r="AC82" s="4" t="s">
        <v>1450</v>
      </c>
      <c r="AD82" s="113">
        <v>36251</v>
      </c>
      <c r="AE82" s="107">
        <v>25.0575342465753</v>
      </c>
      <c r="AF82" s="4" t="s">
        <v>80</v>
      </c>
      <c r="AG82" s="114">
        <v>6005420747</v>
      </c>
      <c r="AH82" s="4" t="s">
        <v>81</v>
      </c>
      <c r="AI82" s="55" t="s">
        <v>160</v>
      </c>
      <c r="AJ82" s="55" t="s">
        <v>81</v>
      </c>
      <c r="AK82" s="55" t="s">
        <v>81</v>
      </c>
      <c r="AL82" s="4" t="s">
        <v>4236</v>
      </c>
      <c r="AM82" s="4" t="s">
        <v>4235</v>
      </c>
      <c r="AN82" s="4" t="s">
        <v>4237</v>
      </c>
      <c r="AO82" s="4" t="s">
        <v>4238</v>
      </c>
      <c r="AP82" s="4" t="s">
        <v>4239</v>
      </c>
      <c r="AQ82" s="55" t="s">
        <v>4240</v>
      </c>
      <c r="AR82" s="4" t="s">
        <v>110</v>
      </c>
      <c r="AS82" s="4"/>
      <c r="AT82" s="72"/>
      <c r="AU82" s="4"/>
      <c r="AV82" s="4"/>
      <c r="AW82" s="4"/>
      <c r="AX82" s="4"/>
      <c r="AY82" s="4"/>
      <c r="AZ82" s="4"/>
      <c r="BA82" s="4" t="s">
        <v>3498</v>
      </c>
      <c r="BB82" s="4">
        <v>12000</v>
      </c>
      <c r="BC82" s="4">
        <v>3000</v>
      </c>
      <c r="BD82" s="4">
        <v>0</v>
      </c>
      <c r="BE82" s="4" t="s">
        <v>91</v>
      </c>
      <c r="BF82" s="4">
        <v>161737</v>
      </c>
      <c r="BG82" s="4" t="s">
        <v>92</v>
      </c>
      <c r="BH82" s="4" t="s">
        <v>3510</v>
      </c>
      <c r="BI82" s="72">
        <f>VLOOKUP(A82,'ID Block'!A:L,12,0)</f>
        <v>45283</v>
      </c>
      <c r="BJ82" s="154" t="str">
        <f>VLOOKUP(A82,'ID Block'!A:M,13,0)</f>
        <v>Better Opportunity</v>
      </c>
      <c r="BK82" s="4">
        <f t="shared" si="1"/>
        <v>243</v>
      </c>
      <c r="BL82" s="105" t="s">
        <v>168</v>
      </c>
      <c r="BM82" s="10"/>
      <c r="BN82" s="183" t="s">
        <v>4035</v>
      </c>
      <c r="BO82" s="183"/>
    </row>
    <row r="83" ht="14.4" s="67" customFormat="1">
      <c r="A83" s="4">
        <v>171096</v>
      </c>
      <c r="B83" s="4"/>
      <c r="C83" s="55" t="s">
        <v>4241</v>
      </c>
      <c r="D83" s="4" t="s">
        <v>4242</v>
      </c>
      <c r="E83" s="4" t="s">
        <v>114</v>
      </c>
      <c r="F83" s="55">
        <v>1310552434</v>
      </c>
      <c r="G83" s="4" t="s">
        <v>67</v>
      </c>
      <c r="H83" s="4" t="s">
        <v>68</v>
      </c>
      <c r="I83" s="4" t="s">
        <v>2494</v>
      </c>
      <c r="J83" s="55" t="s">
        <v>2495</v>
      </c>
      <c r="K83" s="4" t="s">
        <v>71</v>
      </c>
      <c r="L83" s="4" t="s">
        <v>3487</v>
      </c>
      <c r="M83" s="4" t="s">
        <v>2643</v>
      </c>
      <c r="N83" s="4" t="s">
        <v>74</v>
      </c>
      <c r="O83" s="4" t="s">
        <v>3788</v>
      </c>
      <c r="P83" s="4" t="s">
        <v>3597</v>
      </c>
      <c r="Q83" s="57">
        <v>45110</v>
      </c>
      <c r="R83" s="57">
        <v>45113</v>
      </c>
      <c r="S83" s="113"/>
      <c r="T83" s="113"/>
      <c r="U83" s="4"/>
      <c r="V83" s="4"/>
      <c r="W83" s="105" t="s">
        <v>4243</v>
      </c>
      <c r="X83" s="114">
        <v>1989848756</v>
      </c>
      <c r="Y83" s="55" t="s">
        <v>81</v>
      </c>
      <c r="Z83" s="4" t="s">
        <v>4244</v>
      </c>
      <c r="AA83" s="4">
        <v>1796615432</v>
      </c>
      <c r="AB83" s="4" t="s">
        <v>132</v>
      </c>
      <c r="AC83" s="4" t="s">
        <v>79</v>
      </c>
      <c r="AD83" s="113">
        <v>36339</v>
      </c>
      <c r="AE83" s="107">
        <v>24.8164383561644</v>
      </c>
      <c r="AF83" s="4" t="s">
        <v>80</v>
      </c>
      <c r="AG83" s="114">
        <v>9577374037</v>
      </c>
      <c r="AH83" s="4" t="s">
        <v>81</v>
      </c>
      <c r="AI83" s="55" t="s">
        <v>290</v>
      </c>
      <c r="AJ83" s="55" t="s">
        <v>81</v>
      </c>
      <c r="AK83" s="55" t="s">
        <v>81</v>
      </c>
      <c r="AL83" s="4" t="s">
        <v>4236</v>
      </c>
      <c r="AM83" s="4" t="s">
        <v>4245</v>
      </c>
      <c r="AN83" s="4" t="s">
        <v>4244</v>
      </c>
      <c r="AO83" s="4" t="s">
        <v>4246</v>
      </c>
      <c r="AP83" s="4" t="s">
        <v>4247</v>
      </c>
      <c r="AQ83" s="55" t="s">
        <v>666</v>
      </c>
      <c r="AR83" s="4" t="s">
        <v>224</v>
      </c>
      <c r="AS83" s="4"/>
      <c r="AT83" s="72"/>
      <c r="AU83" s="4"/>
      <c r="AV83" s="4"/>
      <c r="AW83" s="4"/>
      <c r="AX83" s="4"/>
      <c r="AY83" s="4"/>
      <c r="AZ83" s="4"/>
      <c r="BA83" s="4" t="s">
        <v>3498</v>
      </c>
      <c r="BB83" s="4">
        <v>10800</v>
      </c>
      <c r="BC83" s="4">
        <v>2700</v>
      </c>
      <c r="BD83" s="4">
        <v>1000</v>
      </c>
      <c r="BE83" s="4" t="s">
        <v>166</v>
      </c>
      <c r="BF83" s="4" t="s">
        <v>167</v>
      </c>
      <c r="BG83" s="4" t="s">
        <v>167</v>
      </c>
      <c r="BH83" s="4" t="s">
        <v>3510</v>
      </c>
      <c r="BI83" s="72">
        <f>VLOOKUP(A83,'ID Block'!A:L,12,0)</f>
        <v>45283</v>
      </c>
      <c r="BJ83" s="154" t="str">
        <f>VLOOKUP(A83,'ID Block'!A:M,13,0)</f>
        <v>Better opportunity</v>
      </c>
      <c r="BK83" s="4">
        <f t="shared" si="1"/>
        <v>170</v>
      </c>
      <c r="BL83" s="105" t="s">
        <v>168</v>
      </c>
      <c r="BM83" s="10"/>
      <c r="BN83" s="183" t="s">
        <v>4035</v>
      </c>
      <c r="BO83" s="183"/>
    </row>
    <row r="84" ht="14.4" s="67" customFormat="1">
      <c r="A84" s="4">
        <v>171203</v>
      </c>
      <c r="B84" s="4"/>
      <c r="C84" s="55"/>
      <c r="D84" s="4" t="s">
        <v>2375</v>
      </c>
      <c r="E84" s="4" t="s">
        <v>114</v>
      </c>
      <c r="F84" s="55">
        <v>1115258885</v>
      </c>
      <c r="G84" s="4" t="s">
        <v>67</v>
      </c>
      <c r="H84" s="4" t="s">
        <v>68</v>
      </c>
      <c r="I84" s="4" t="s">
        <v>2494</v>
      </c>
      <c r="J84" s="55" t="s">
        <v>155</v>
      </c>
      <c r="K84" s="4" t="s">
        <v>71</v>
      </c>
      <c r="L84" s="4" t="s">
        <v>3487</v>
      </c>
      <c r="M84" s="4" t="s">
        <v>3512</v>
      </c>
      <c r="N84" s="4" t="s">
        <v>74</v>
      </c>
      <c r="O84" s="4" t="s">
        <v>75</v>
      </c>
      <c r="P84" s="4" t="s">
        <v>4178</v>
      </c>
      <c r="Q84" s="57">
        <v>45224</v>
      </c>
      <c r="R84" s="57">
        <v>45235</v>
      </c>
      <c r="S84" s="113"/>
      <c r="T84" s="113"/>
      <c r="U84" s="4"/>
      <c r="V84" s="4"/>
      <c r="W84" s="105" t="s">
        <v>4248</v>
      </c>
      <c r="X84" s="114">
        <v>1796338138</v>
      </c>
      <c r="Y84" s="55">
        <v>1616338138</v>
      </c>
      <c r="Z84" s="4" t="s">
        <v>4249</v>
      </c>
      <c r="AA84" s="4">
        <v>1932530626</v>
      </c>
      <c r="AB84" s="4" t="s">
        <v>252</v>
      </c>
      <c r="AC84" s="4" t="s">
        <v>133</v>
      </c>
      <c r="AD84" s="113">
        <v>36013</v>
      </c>
      <c r="AE84" s="107">
        <v>25.7095890410959</v>
      </c>
      <c r="AF84" s="4" t="s">
        <v>80</v>
      </c>
      <c r="AG84" s="114">
        <v>7354161916</v>
      </c>
      <c r="AH84" s="4" t="s">
        <v>81</v>
      </c>
      <c r="AI84" s="55" t="s">
        <v>683</v>
      </c>
      <c r="AJ84" s="55" t="s">
        <v>81</v>
      </c>
      <c r="AK84" s="55">
        <v>2021</v>
      </c>
      <c r="AL84" s="4" t="s">
        <v>4250</v>
      </c>
      <c r="AM84" s="4" t="s">
        <v>1778</v>
      </c>
      <c r="AN84" s="4" t="s">
        <v>4251</v>
      </c>
      <c r="AO84" s="4" t="s">
        <v>4252</v>
      </c>
      <c r="AP84" s="4" t="s">
        <v>4253</v>
      </c>
      <c r="AQ84" s="55" t="s">
        <v>469</v>
      </c>
      <c r="AR84" s="4" t="s">
        <v>110</v>
      </c>
      <c r="AS84" s="4" t="s">
        <v>81</v>
      </c>
      <c r="AT84" s="72" t="s">
        <v>81</v>
      </c>
      <c r="AU84" s="4" t="s">
        <v>81</v>
      </c>
      <c r="AV84" s="4" t="s">
        <v>81</v>
      </c>
      <c r="AW84" s="4"/>
      <c r="AX84" s="4"/>
      <c r="AY84" s="4"/>
      <c r="AZ84" s="4"/>
      <c r="BA84" s="4" t="s">
        <v>3498</v>
      </c>
      <c r="BB84" s="4">
        <v>10800</v>
      </c>
      <c r="BC84" s="4">
        <v>2700</v>
      </c>
      <c r="BD84" s="4">
        <v>1000</v>
      </c>
      <c r="BE84" s="4" t="s">
        <v>166</v>
      </c>
      <c r="BF84" s="4"/>
      <c r="BG84" s="4"/>
      <c r="BH84" s="4" t="s">
        <v>3510</v>
      </c>
      <c r="BI84" s="72">
        <f>VLOOKUP(A84,'ID Block'!A:L,12,0)</f>
        <v>45284</v>
      </c>
      <c r="BJ84" s="154" t="str">
        <f>VLOOKUP(A84,'ID Block'!A:M,13,0)</f>
        <v>Better opportunity</v>
      </c>
      <c r="BK84" s="4">
        <f t="shared" si="1"/>
        <v>49</v>
      </c>
      <c r="BL84" s="105" t="s">
        <v>168</v>
      </c>
      <c r="BM84" s="10"/>
      <c r="BN84" s="183" t="s">
        <v>4035</v>
      </c>
      <c r="BO84" s="183"/>
    </row>
    <row r="85" ht="14.4" s="67" customFormat="1">
      <c r="A85" s="4">
        <v>171030</v>
      </c>
      <c r="B85" s="4"/>
      <c r="C85" s="55" t="s">
        <v>4254</v>
      </c>
      <c r="D85" s="4" t="s">
        <v>1106</v>
      </c>
      <c r="E85" s="4" t="s">
        <v>114</v>
      </c>
      <c r="F85" s="55">
        <v>1410849212</v>
      </c>
      <c r="G85" s="4" t="s">
        <v>67</v>
      </c>
      <c r="H85" s="4" t="s">
        <v>68</v>
      </c>
      <c r="I85" s="4" t="s">
        <v>2494</v>
      </c>
      <c r="J85" s="55" t="s">
        <v>70</v>
      </c>
      <c r="K85" s="4" t="s">
        <v>71</v>
      </c>
      <c r="L85" s="4" t="s">
        <v>3487</v>
      </c>
      <c r="M85" s="4" t="s">
        <v>2643</v>
      </c>
      <c r="N85" s="4" t="s">
        <v>74</v>
      </c>
      <c r="O85" s="4" t="s">
        <v>3788</v>
      </c>
      <c r="P85" s="4" t="s">
        <v>3489</v>
      </c>
      <c r="Q85" s="57">
        <v>45033</v>
      </c>
      <c r="R85" s="57">
        <v>45040</v>
      </c>
      <c r="S85" s="113"/>
      <c r="T85" s="113"/>
      <c r="U85" s="4"/>
      <c r="V85" s="4"/>
      <c r="W85" s="105" t="s">
        <v>4255</v>
      </c>
      <c r="X85" s="114">
        <v>1956090283</v>
      </c>
      <c r="Y85" s="55"/>
      <c r="Z85" s="4" t="s">
        <v>4256</v>
      </c>
      <c r="AA85" s="4">
        <v>1954943389</v>
      </c>
      <c r="AB85" s="4" t="s">
        <v>132</v>
      </c>
      <c r="AC85" s="4" t="s">
        <v>1109</v>
      </c>
      <c r="AD85" s="113">
        <v>37285</v>
      </c>
      <c r="AE85" s="107">
        <v>22.2246575342466</v>
      </c>
      <c r="AF85" s="4" t="s">
        <v>80</v>
      </c>
      <c r="AG85" s="114">
        <v>1963920572</v>
      </c>
      <c r="AH85" s="4" t="s">
        <v>81</v>
      </c>
      <c r="AI85" s="55" t="s">
        <v>104</v>
      </c>
      <c r="AJ85" s="55" t="s">
        <v>4257</v>
      </c>
      <c r="AK85" s="55">
        <v>2024</v>
      </c>
      <c r="AL85" s="4" t="s">
        <v>4258</v>
      </c>
      <c r="AM85" s="4" t="s">
        <v>1110</v>
      </c>
      <c r="AN85" s="4" t="s">
        <v>4256</v>
      </c>
      <c r="AO85" s="4" t="s">
        <v>4259</v>
      </c>
      <c r="AP85" s="4" t="s">
        <v>4259</v>
      </c>
      <c r="AQ85" s="55" t="s">
        <v>4260</v>
      </c>
      <c r="AR85" s="4" t="s">
        <v>110</v>
      </c>
      <c r="AS85" s="4"/>
      <c r="AT85" s="72"/>
      <c r="AU85" s="4"/>
      <c r="AV85" s="4"/>
      <c r="AW85" s="4"/>
      <c r="AX85" s="4"/>
      <c r="AY85" s="4"/>
      <c r="AZ85" s="4"/>
      <c r="BA85" s="4" t="s">
        <v>3498</v>
      </c>
      <c r="BB85" s="4">
        <v>10800</v>
      </c>
      <c r="BC85" s="4">
        <v>2700</v>
      </c>
      <c r="BD85" s="4">
        <v>1000</v>
      </c>
      <c r="BE85" s="4" t="s">
        <v>166</v>
      </c>
      <c r="BF85" s="4">
        <v>160797</v>
      </c>
      <c r="BG85" s="4" t="s">
        <v>92</v>
      </c>
      <c r="BH85" s="4" t="s">
        <v>3510</v>
      </c>
      <c r="BI85" s="72">
        <f>VLOOKUP(A85,'ID Block'!A:L,12,0)</f>
        <v>45286</v>
      </c>
      <c r="BJ85" s="154" t="str">
        <f>VLOOKUP(A85,'ID Block'!A:M,13,0)</f>
        <v>Better Opportunity</v>
      </c>
      <c r="BK85" s="4">
        <f t="shared" si="1"/>
        <v>246</v>
      </c>
      <c r="BL85" s="105" t="s">
        <v>168</v>
      </c>
      <c r="BM85" s="10"/>
      <c r="BN85" s="183" t="s">
        <v>4035</v>
      </c>
      <c r="BO85" s="183"/>
    </row>
    <row r="86" ht="14.4" s="67" customFormat="1">
      <c r="A86" s="4">
        <v>171194</v>
      </c>
      <c r="B86" s="4"/>
      <c r="C86" s="55"/>
      <c r="D86" s="4" t="s">
        <v>4261</v>
      </c>
      <c r="E86" s="4" t="s">
        <v>66</v>
      </c>
      <c r="F86" s="55">
        <v>435423</v>
      </c>
      <c r="G86" s="4" t="s">
        <v>67</v>
      </c>
      <c r="H86" s="4" t="s">
        <v>68</v>
      </c>
      <c r="I86" s="4" t="s">
        <v>2494</v>
      </c>
      <c r="J86" s="55" t="s">
        <v>3650</v>
      </c>
      <c r="K86" s="4" t="s">
        <v>71</v>
      </c>
      <c r="L86" s="4" t="s">
        <v>3487</v>
      </c>
      <c r="M86" s="4" t="s">
        <v>115</v>
      </c>
      <c r="N86" s="4" t="s">
        <v>74</v>
      </c>
      <c r="O86" s="4" t="s">
        <v>75</v>
      </c>
      <c r="P86" s="4" t="s">
        <v>4178</v>
      </c>
      <c r="Q86" s="57">
        <v>45224</v>
      </c>
      <c r="R86" s="57">
        <v>45235</v>
      </c>
      <c r="S86" s="113"/>
      <c r="T86" s="113"/>
      <c r="U86" s="4"/>
      <c r="V86" s="4"/>
      <c r="W86" s="105" t="s">
        <v>4262</v>
      </c>
      <c r="X86" s="114">
        <v>1611333254</v>
      </c>
      <c r="Y86" s="55" t="s">
        <v>81</v>
      </c>
      <c r="Z86" s="4" t="s">
        <v>132</v>
      </c>
      <c r="AA86" s="4">
        <v>1612200263</v>
      </c>
      <c r="AB86" s="4" t="s">
        <v>132</v>
      </c>
      <c r="AC86" s="4" t="s">
        <v>133</v>
      </c>
      <c r="AD86" s="113">
        <v>35096</v>
      </c>
      <c r="AE86" s="107">
        <v>28.2219178082192</v>
      </c>
      <c r="AF86" s="4" t="s">
        <v>80</v>
      </c>
      <c r="AG86" s="114">
        <v>3300148636</v>
      </c>
      <c r="AH86" s="4" t="s">
        <v>81</v>
      </c>
      <c r="AI86" s="55" t="s">
        <v>265</v>
      </c>
      <c r="AJ86" s="55" t="s">
        <v>81</v>
      </c>
      <c r="AK86" s="55">
        <v>2018</v>
      </c>
      <c r="AL86" s="4" t="s">
        <v>2554</v>
      </c>
      <c r="AM86" s="4" t="s">
        <v>4263</v>
      </c>
      <c r="AN86" s="4" t="s">
        <v>4264</v>
      </c>
      <c r="AO86" s="4" t="s">
        <v>4265</v>
      </c>
      <c r="AP86" s="4" t="s">
        <v>4266</v>
      </c>
      <c r="AQ86" s="55" t="s">
        <v>285</v>
      </c>
      <c r="AR86" s="4" t="s">
        <v>89</v>
      </c>
      <c r="AS86" s="4" t="s">
        <v>4267</v>
      </c>
      <c r="AT86" s="72">
        <v>32121</v>
      </c>
      <c r="AU86" s="4" t="s">
        <v>4268</v>
      </c>
      <c r="AV86" s="4">
        <v>44829</v>
      </c>
      <c r="AW86" s="4"/>
      <c r="AX86" s="4"/>
      <c r="AY86" s="4"/>
      <c r="AZ86" s="4"/>
      <c r="BA86" s="4" t="s">
        <v>3498</v>
      </c>
      <c r="BB86" s="4">
        <v>10800</v>
      </c>
      <c r="BC86" s="4">
        <v>2700</v>
      </c>
      <c r="BD86" s="4">
        <v>0</v>
      </c>
      <c r="BE86" s="4" t="s">
        <v>296</v>
      </c>
      <c r="BF86" s="4"/>
      <c r="BG86" s="4"/>
      <c r="BH86" s="4" t="s">
        <v>3510</v>
      </c>
      <c r="BI86" s="72">
        <f>VLOOKUP(A86,'ID Block'!A:L,12,0)</f>
        <v>45287</v>
      </c>
      <c r="BJ86" s="154" t="str">
        <f>VLOOKUP(A86,'ID Block'!A:M,13,0)</f>
        <v>Better Opportunity</v>
      </c>
      <c r="BK86" s="4">
        <f t="shared" si="1"/>
        <v>52</v>
      </c>
      <c r="BL86" s="105" t="s">
        <v>168</v>
      </c>
      <c r="BM86" s="10"/>
      <c r="BN86" s="183" t="s">
        <v>4035</v>
      </c>
      <c r="BO86" s="183"/>
    </row>
    <row r="87" ht="14.4" s="67" customFormat="1">
      <c r="A87" s="4">
        <v>171225</v>
      </c>
      <c r="B87" s="4"/>
      <c r="C87" s="55" t="s">
        <v>592</v>
      </c>
      <c r="D87" s="4" t="s">
        <v>4269</v>
      </c>
      <c r="E87" s="4" t="s">
        <v>114</v>
      </c>
      <c r="F87" s="55">
        <v>1010953413</v>
      </c>
      <c r="G87" s="4" t="s">
        <v>67</v>
      </c>
      <c r="H87" s="4" t="s">
        <v>68</v>
      </c>
      <c r="I87" s="4" t="s">
        <v>2494</v>
      </c>
      <c r="J87" s="55" t="s">
        <v>4270</v>
      </c>
      <c r="K87" s="4" t="s">
        <v>71</v>
      </c>
      <c r="L87" s="4" t="s">
        <v>3487</v>
      </c>
      <c r="M87" s="4" t="s">
        <v>115</v>
      </c>
      <c r="N87" s="4" t="s">
        <v>74</v>
      </c>
      <c r="O87" s="4" t="s">
        <v>75</v>
      </c>
      <c r="P87" s="4" t="s">
        <v>4271</v>
      </c>
      <c r="Q87" s="57">
        <v>45246</v>
      </c>
      <c r="R87" s="57">
        <v>45256</v>
      </c>
      <c r="S87" s="113"/>
      <c r="T87" s="113"/>
      <c r="U87" s="4"/>
      <c r="V87" s="4"/>
      <c r="W87" s="105" t="s">
        <v>4272</v>
      </c>
      <c r="X87" s="114">
        <v>1799624258</v>
      </c>
      <c r="Y87" s="55">
        <v>1325887805</v>
      </c>
      <c r="Z87" s="4" t="s">
        <v>4273</v>
      </c>
      <c r="AA87" s="4">
        <v>1325887805</v>
      </c>
      <c r="AB87" s="4" t="s">
        <v>4274</v>
      </c>
      <c r="AC87" s="4" t="s">
        <v>119</v>
      </c>
      <c r="AD87" s="113">
        <v>35773</v>
      </c>
      <c r="AE87" s="107">
        <v>26.3671232876712</v>
      </c>
      <c r="AF87" s="4" t="s">
        <v>80</v>
      </c>
      <c r="AG87" s="114">
        <v>4214227896</v>
      </c>
      <c r="AH87" s="4" t="s">
        <v>81</v>
      </c>
      <c r="AI87" s="55" t="s">
        <v>322</v>
      </c>
      <c r="AJ87" s="55" t="s">
        <v>81</v>
      </c>
      <c r="AK87" s="55">
        <v>2023</v>
      </c>
      <c r="AL87" s="4" t="s">
        <v>3036</v>
      </c>
      <c r="AM87" s="4" t="s">
        <v>3178</v>
      </c>
      <c r="AN87" s="4" t="s">
        <v>2394</v>
      </c>
      <c r="AO87" s="4" t="s">
        <v>4275</v>
      </c>
      <c r="AP87" s="4" t="s">
        <v>4276</v>
      </c>
      <c r="AQ87" s="55" t="s">
        <v>4277</v>
      </c>
      <c r="AR87" s="4" t="s">
        <v>1580</v>
      </c>
      <c r="AS87" s="4" t="s">
        <v>81</v>
      </c>
      <c r="AT87" s="72" t="s">
        <v>81</v>
      </c>
      <c r="AU87" s="4" t="s">
        <v>81</v>
      </c>
      <c r="AV87" s="4" t="s">
        <v>81</v>
      </c>
      <c r="AW87" s="4"/>
      <c r="AX87" s="4"/>
      <c r="AY87" s="4"/>
      <c r="AZ87" s="4"/>
      <c r="BA87" s="4" t="s">
        <v>3498</v>
      </c>
      <c r="BB87" s="4">
        <v>10800</v>
      </c>
      <c r="BC87" s="4">
        <v>2700</v>
      </c>
      <c r="BD87" s="4">
        <v>0</v>
      </c>
      <c r="BE87" s="4" t="s">
        <v>296</v>
      </c>
      <c r="BF87" s="4"/>
      <c r="BG87" s="4"/>
      <c r="BH87" s="4" t="s">
        <v>3510</v>
      </c>
      <c r="BI87" s="72">
        <f>VLOOKUP(A87,'ID Block'!A:L,12,0)</f>
        <v>45288</v>
      </c>
      <c r="BJ87" s="154" t="str">
        <f>VLOOKUP(A87,'ID Block'!A:M,13,0)</f>
        <v>Better Opportunity</v>
      </c>
      <c r="BK87" s="4">
        <f t="shared" si="1"/>
        <v>32</v>
      </c>
      <c r="BL87" s="105" t="s">
        <v>168</v>
      </c>
      <c r="BM87" s="10"/>
      <c r="BN87" s="183" t="s">
        <v>4035</v>
      </c>
      <c r="BO87" s="183"/>
    </row>
    <row r="88" ht="14.4" s="67" customFormat="1">
      <c r="A88" s="4">
        <v>171128</v>
      </c>
      <c r="B88" s="4"/>
      <c r="C88" s="55" t="s">
        <v>4278</v>
      </c>
      <c r="D88" s="4" t="s">
        <v>4279</v>
      </c>
      <c r="E88" s="4" t="s">
        <v>114</v>
      </c>
      <c r="F88" s="55">
        <v>829328</v>
      </c>
      <c r="G88" s="4" t="s">
        <v>67</v>
      </c>
      <c r="H88" s="4" t="s">
        <v>68</v>
      </c>
      <c r="I88" s="4" t="s">
        <v>2494</v>
      </c>
      <c r="J88" s="55" t="s">
        <v>4005</v>
      </c>
      <c r="K88" s="4" t="s">
        <v>71</v>
      </c>
      <c r="L88" s="4" t="s">
        <v>3487</v>
      </c>
      <c r="M88" s="4" t="s">
        <v>3659</v>
      </c>
      <c r="N88" s="4" t="s">
        <v>74</v>
      </c>
      <c r="O88" s="4" t="s">
        <v>3788</v>
      </c>
      <c r="P88" s="4" t="s">
        <v>3942</v>
      </c>
      <c r="Q88" s="57">
        <v>45146</v>
      </c>
      <c r="R88" s="57">
        <v>45154</v>
      </c>
      <c r="S88" s="113"/>
      <c r="T88" s="113"/>
      <c r="U88" s="4"/>
      <c r="V88" s="4"/>
      <c r="W88" s="105" t="s">
        <v>4280</v>
      </c>
      <c r="X88" s="114">
        <v>1749668578</v>
      </c>
      <c r="Y88" s="55">
        <v>1918747891</v>
      </c>
      <c r="Z88" s="4" t="s">
        <v>4281</v>
      </c>
      <c r="AA88" s="4">
        <v>1918747891</v>
      </c>
      <c r="AB88" s="4" t="s">
        <v>252</v>
      </c>
      <c r="AC88" s="4" t="s">
        <v>119</v>
      </c>
      <c r="AD88" s="113">
        <v>34335</v>
      </c>
      <c r="AE88" s="107">
        <v>30.3068493150685</v>
      </c>
      <c r="AF88" s="4" t="s">
        <v>80</v>
      </c>
      <c r="AG88" s="114">
        <v>1006429466</v>
      </c>
      <c r="AH88" s="4" t="s">
        <v>81</v>
      </c>
      <c r="AI88" s="55" t="s">
        <v>82</v>
      </c>
      <c r="AJ88" s="55" t="s">
        <v>81</v>
      </c>
      <c r="AK88" s="55" t="s">
        <v>81</v>
      </c>
      <c r="AL88" s="4" t="s">
        <v>4282</v>
      </c>
      <c r="AM88" s="4" t="s">
        <v>4283</v>
      </c>
      <c r="AN88" s="4" t="s">
        <v>4284</v>
      </c>
      <c r="AO88" s="4" t="s">
        <v>4285</v>
      </c>
      <c r="AP88" s="4" t="s">
        <v>4286</v>
      </c>
      <c r="AQ88" s="55" t="s">
        <v>499</v>
      </c>
      <c r="AR88" s="4" t="s">
        <v>110</v>
      </c>
      <c r="AS88" s="4"/>
      <c r="AT88" s="72"/>
      <c r="AU88" s="4"/>
      <c r="AV88" s="4"/>
      <c r="AW88" s="4"/>
      <c r="AX88" s="4"/>
      <c r="AY88" s="4"/>
      <c r="AZ88" s="4"/>
      <c r="BA88" s="4" t="s">
        <v>3498</v>
      </c>
      <c r="BB88" s="4">
        <v>10800</v>
      </c>
      <c r="BC88" s="4">
        <v>2700</v>
      </c>
      <c r="BD88" s="4">
        <v>0</v>
      </c>
      <c r="BE88" s="4" t="s">
        <v>296</v>
      </c>
      <c r="BF88" s="4" t="s">
        <v>167</v>
      </c>
      <c r="BG88" s="4" t="s">
        <v>167</v>
      </c>
      <c r="BH88" s="4" t="s">
        <v>3510</v>
      </c>
      <c r="BI88" s="72">
        <f>VLOOKUP(A88,'ID Block'!A:L,12,0)</f>
        <v>45288</v>
      </c>
      <c r="BJ88" s="154" t="str">
        <f>VLOOKUP(A88,'ID Block'!A:M,13,0)</f>
        <v>Better opportunity</v>
      </c>
      <c r="BK88" s="4">
        <f t="shared" si="1"/>
        <v>134</v>
      </c>
      <c r="BL88" s="105" t="s">
        <v>168</v>
      </c>
      <c r="BM88" s="10"/>
      <c r="BN88" s="183" t="s">
        <v>4035</v>
      </c>
      <c r="BO88" s="183"/>
    </row>
    <row r="89" ht="14.4" s="67" customFormat="1">
      <c r="A89" s="4">
        <v>171179</v>
      </c>
      <c r="B89" s="4"/>
      <c r="C89" s="55" t="s">
        <v>601</v>
      </c>
      <c r="D89" s="4" t="s">
        <v>4287</v>
      </c>
      <c r="E89" s="4" t="s">
        <v>66</v>
      </c>
      <c r="F89" s="55">
        <v>1117610820</v>
      </c>
      <c r="G89" s="4" t="s">
        <v>67</v>
      </c>
      <c r="H89" s="4" t="s">
        <v>68</v>
      </c>
      <c r="I89" s="4" t="s">
        <v>2494</v>
      </c>
      <c r="J89" s="55" t="s">
        <v>319</v>
      </c>
      <c r="K89" s="4" t="s">
        <v>71</v>
      </c>
      <c r="L89" s="4" t="s">
        <v>3487</v>
      </c>
      <c r="M89" s="4" t="s">
        <v>2643</v>
      </c>
      <c r="N89" s="4" t="s">
        <v>74</v>
      </c>
      <c r="O89" s="4" t="s">
        <v>75</v>
      </c>
      <c r="P89" s="4" t="s">
        <v>3987</v>
      </c>
      <c r="Q89" s="57">
        <v>45208</v>
      </c>
      <c r="R89" s="57">
        <v>45211</v>
      </c>
      <c r="S89" s="113"/>
      <c r="T89" s="113"/>
      <c r="U89" s="4"/>
      <c r="V89" s="4"/>
      <c r="W89" s="105" t="s">
        <v>4288</v>
      </c>
      <c r="X89" s="114">
        <v>1783298179</v>
      </c>
      <c r="Y89" s="55" t="s">
        <v>81</v>
      </c>
      <c r="Z89" s="4">
        <v>1558138233</v>
      </c>
      <c r="AA89" s="4">
        <v>1783298179</v>
      </c>
      <c r="AB89" s="4" t="s">
        <v>382</v>
      </c>
      <c r="AC89" s="4" t="s">
        <v>79</v>
      </c>
      <c r="AD89" s="113">
        <v>36017</v>
      </c>
      <c r="AE89" s="107">
        <v>25.6986301369863</v>
      </c>
      <c r="AF89" s="4" t="s">
        <v>80</v>
      </c>
      <c r="AG89" s="114">
        <v>1956884926</v>
      </c>
      <c r="AH89" s="4" t="s">
        <v>81</v>
      </c>
      <c r="AI89" s="55" t="s">
        <v>290</v>
      </c>
      <c r="AJ89" s="55" t="s">
        <v>81</v>
      </c>
      <c r="AK89" s="55">
        <v>2022</v>
      </c>
      <c r="AL89" s="4" t="s">
        <v>291</v>
      </c>
      <c r="AM89" s="4" t="s">
        <v>4289</v>
      </c>
      <c r="AN89" s="4" t="s">
        <v>4290</v>
      </c>
      <c r="AO89" s="4" t="s">
        <v>4291</v>
      </c>
      <c r="AP89" s="4" t="s">
        <v>4292</v>
      </c>
      <c r="AQ89" s="55" t="s">
        <v>353</v>
      </c>
      <c r="AR89" s="4" t="s">
        <v>110</v>
      </c>
      <c r="AS89" s="4"/>
      <c r="AT89" s="72"/>
      <c r="AU89" s="4"/>
      <c r="AV89" s="4"/>
      <c r="AW89" s="4"/>
      <c r="AX89" s="4"/>
      <c r="AY89" s="4"/>
      <c r="AZ89" s="4"/>
      <c r="BA89" s="4" t="s">
        <v>3498</v>
      </c>
      <c r="BB89" s="4">
        <v>10800</v>
      </c>
      <c r="BC89" s="4">
        <v>2700</v>
      </c>
      <c r="BD89" s="4">
        <v>0</v>
      </c>
      <c r="BE89" s="4" t="s">
        <v>296</v>
      </c>
      <c r="BF89" s="4"/>
      <c r="BG89" s="4"/>
      <c r="BH89" s="4" t="s">
        <v>3510</v>
      </c>
      <c r="BI89" s="72">
        <f>VLOOKUP(A89,'ID Block'!A:L,12,0)</f>
        <v>45289</v>
      </c>
      <c r="BJ89" s="154" t="str">
        <f>VLOOKUP(A89,'ID Block'!A:M,13,0)</f>
        <v>Better opportunity</v>
      </c>
      <c r="BK89" s="4">
        <f t="shared" si="1"/>
        <v>78</v>
      </c>
      <c r="BL89" s="105" t="s">
        <v>168</v>
      </c>
      <c r="BM89" s="10"/>
      <c r="BN89" s="183" t="s">
        <v>4035</v>
      </c>
      <c r="BO89" s="183"/>
    </row>
    <row r="90" ht="14.4" s="67" customFormat="1">
      <c r="A90" s="4">
        <v>171164</v>
      </c>
      <c r="B90" s="4"/>
      <c r="C90" s="55" t="s">
        <v>4293</v>
      </c>
      <c r="D90" s="4" t="s">
        <v>4294</v>
      </c>
      <c r="E90" s="4" t="s">
        <v>114</v>
      </c>
      <c r="F90" s="55">
        <v>812403</v>
      </c>
      <c r="G90" s="4" t="s">
        <v>67</v>
      </c>
      <c r="H90" s="4" t="s">
        <v>68</v>
      </c>
      <c r="I90" s="4" t="s">
        <v>2494</v>
      </c>
      <c r="J90" s="55" t="s">
        <v>319</v>
      </c>
      <c r="K90" s="4" t="s">
        <v>71</v>
      </c>
      <c r="L90" s="4" t="s">
        <v>3487</v>
      </c>
      <c r="M90" s="4" t="s">
        <v>115</v>
      </c>
      <c r="N90" s="4" t="s">
        <v>74</v>
      </c>
      <c r="O90" s="4" t="s">
        <v>75</v>
      </c>
      <c r="P90" s="4" t="s">
        <v>3987</v>
      </c>
      <c r="Q90" s="57">
        <v>45206</v>
      </c>
      <c r="R90" s="57">
        <v>45211</v>
      </c>
      <c r="S90" s="113"/>
      <c r="T90" s="113"/>
      <c r="U90" s="4"/>
      <c r="V90" s="4"/>
      <c r="W90" s="105" t="s">
        <v>4295</v>
      </c>
      <c r="X90" s="114">
        <v>1750425616</v>
      </c>
      <c r="Y90" s="55">
        <v>1571458975</v>
      </c>
      <c r="Z90" s="4" t="s">
        <v>4296</v>
      </c>
      <c r="AA90" s="4" t="s">
        <v>4297</v>
      </c>
      <c r="AB90" s="4" t="s">
        <v>252</v>
      </c>
      <c r="AC90" s="4" t="s">
        <v>79</v>
      </c>
      <c r="AD90" s="113">
        <v>34577</v>
      </c>
      <c r="AE90" s="107">
        <v>29.6438356164384</v>
      </c>
      <c r="AF90" s="4" t="s">
        <v>80</v>
      </c>
      <c r="AG90" s="114" t="s">
        <v>4298</v>
      </c>
      <c r="AH90" s="4" t="s">
        <v>81</v>
      </c>
      <c r="AI90" s="55" t="s">
        <v>1619</v>
      </c>
      <c r="AJ90" s="55" t="s">
        <v>81</v>
      </c>
      <c r="AK90" s="55">
        <v>2022</v>
      </c>
      <c r="AL90" s="4" t="s">
        <v>4299</v>
      </c>
      <c r="AM90" s="4" t="s">
        <v>4300</v>
      </c>
      <c r="AN90" s="4" t="s">
        <v>4069</v>
      </c>
      <c r="AO90" s="4" t="s">
        <v>4301</v>
      </c>
      <c r="AP90" s="4" t="s">
        <v>4302</v>
      </c>
      <c r="AQ90" s="55" t="s">
        <v>4303</v>
      </c>
      <c r="AR90" s="4" t="s">
        <v>110</v>
      </c>
      <c r="AS90" s="4"/>
      <c r="AT90" s="72"/>
      <c r="AU90" s="4"/>
      <c r="AV90" s="4"/>
      <c r="AW90" s="4"/>
      <c r="AX90" s="4"/>
      <c r="AY90" s="4"/>
      <c r="AZ90" s="4"/>
      <c r="BA90" s="4" t="s">
        <v>3498</v>
      </c>
      <c r="BB90" s="4">
        <v>10800</v>
      </c>
      <c r="BC90" s="4">
        <v>2700</v>
      </c>
      <c r="BD90" s="4">
        <v>0</v>
      </c>
      <c r="BE90" s="4" t="s">
        <v>296</v>
      </c>
      <c r="BF90" s="4"/>
      <c r="BG90" s="4"/>
      <c r="BH90" s="4" t="s">
        <v>3510</v>
      </c>
      <c r="BI90" s="72">
        <f>VLOOKUP(A90,'ID Block'!A:L,12,0)</f>
        <v>45290</v>
      </c>
      <c r="BJ90" s="154" t="str">
        <f>VLOOKUP(A90,'ID Block'!A:M,13,0)</f>
        <v>Better Opportunity</v>
      </c>
      <c r="BK90" s="4">
        <f t="shared" si="1"/>
        <v>79</v>
      </c>
      <c r="BL90" s="105" t="s">
        <v>168</v>
      </c>
      <c r="BM90" s="10"/>
      <c r="BN90" s="183" t="s">
        <v>4035</v>
      </c>
      <c r="BO90" s="183"/>
    </row>
    <row r="91" ht="14.4" s="67" customFormat="1">
      <c r="A91" s="4">
        <v>171241</v>
      </c>
      <c r="B91" s="4"/>
      <c r="C91" s="55" t="s">
        <v>565</v>
      </c>
      <c r="D91" s="4" t="s">
        <v>4304</v>
      </c>
      <c r="E91" s="4" t="s">
        <v>66</v>
      </c>
      <c r="F91" s="55" t="s">
        <v>81</v>
      </c>
      <c r="G91" s="4" t="s">
        <v>67</v>
      </c>
      <c r="H91" s="4" t="s">
        <v>68</v>
      </c>
      <c r="I91" s="4" t="s">
        <v>2494</v>
      </c>
      <c r="J91" s="55" t="s">
        <v>319</v>
      </c>
      <c r="K91" s="4" t="s">
        <v>71</v>
      </c>
      <c r="L91" s="4" t="s">
        <v>3487</v>
      </c>
      <c r="M91" s="4" t="s">
        <v>3659</v>
      </c>
      <c r="N91" s="4" t="s">
        <v>74</v>
      </c>
      <c r="O91" s="4" t="s">
        <v>75</v>
      </c>
      <c r="P91" s="4" t="s">
        <v>4123</v>
      </c>
      <c r="Q91" s="57">
        <v>45251</v>
      </c>
      <c r="R91" s="57">
        <v>45256</v>
      </c>
      <c r="S91" s="113"/>
      <c r="T91" s="113"/>
      <c r="U91" s="4"/>
      <c r="V91" s="4"/>
      <c r="W91" s="105" t="s">
        <v>4305</v>
      </c>
      <c r="X91" s="114">
        <v>1791468763</v>
      </c>
      <c r="Y91" s="55" t="s">
        <v>81</v>
      </c>
      <c r="Z91" s="4" t="s">
        <v>4306</v>
      </c>
      <c r="AA91" s="4">
        <v>1775732615</v>
      </c>
      <c r="AB91" s="4" t="s">
        <v>132</v>
      </c>
      <c r="AC91" s="4" t="s">
        <v>133</v>
      </c>
      <c r="AD91" s="113">
        <v>36160</v>
      </c>
      <c r="AE91" s="107">
        <v>25.3068493150685</v>
      </c>
      <c r="AF91" s="4" t="s">
        <v>80</v>
      </c>
      <c r="AG91" s="114">
        <v>9577040968</v>
      </c>
      <c r="AH91" s="4" t="s">
        <v>81</v>
      </c>
      <c r="AI91" s="55" t="s">
        <v>290</v>
      </c>
      <c r="AJ91" s="55" t="s">
        <v>81</v>
      </c>
      <c r="AK91" s="55">
        <v>2023</v>
      </c>
      <c r="AL91" s="4" t="s">
        <v>1102</v>
      </c>
      <c r="AM91" s="4" t="s">
        <v>4307</v>
      </c>
      <c r="AN91" s="4" t="s">
        <v>4308</v>
      </c>
      <c r="AO91" s="4" t="s">
        <v>4309</v>
      </c>
      <c r="AP91" s="4" t="s">
        <v>4310</v>
      </c>
      <c r="AQ91" s="55" t="s">
        <v>1209</v>
      </c>
      <c r="AR91" s="4" t="s">
        <v>110</v>
      </c>
      <c r="AS91" s="4" t="s">
        <v>81</v>
      </c>
      <c r="AT91" s="72" t="s">
        <v>81</v>
      </c>
      <c r="AU91" s="4" t="s">
        <v>81</v>
      </c>
      <c r="AV91" s="4" t="s">
        <v>81</v>
      </c>
      <c r="AW91" s="4" t="s">
        <v>81</v>
      </c>
      <c r="AX91" s="4" t="s">
        <v>81</v>
      </c>
      <c r="AY91" s="4"/>
      <c r="AZ91" s="4"/>
      <c r="BA91" s="4" t="s">
        <v>3498</v>
      </c>
      <c r="BB91" s="4">
        <v>10800</v>
      </c>
      <c r="BC91" s="4">
        <v>2700</v>
      </c>
      <c r="BD91" s="4">
        <v>0</v>
      </c>
      <c r="BE91" s="4" t="s">
        <v>91</v>
      </c>
      <c r="BF91" s="4"/>
      <c r="BG91" s="4"/>
      <c r="BH91" s="4" t="s">
        <v>3510</v>
      </c>
      <c r="BI91" s="72">
        <f>VLOOKUP(A91,'ID Block'!A:L,12,0)</f>
        <v>45290</v>
      </c>
      <c r="BJ91" s="154" t="str">
        <f>VLOOKUP(A91,'ID Block'!A:M,13,0)</f>
        <v>Exam Issues</v>
      </c>
      <c r="BK91" s="4">
        <f t="shared" si="1"/>
        <v>34</v>
      </c>
      <c r="BL91" s="105" t="s">
        <v>168</v>
      </c>
      <c r="BM91" s="10"/>
      <c r="BN91" s="183" t="s">
        <v>4035</v>
      </c>
      <c r="BO91" s="183"/>
    </row>
    <row r="92" ht="14.4" s="67" customFormat="1">
      <c r="A92" s="4">
        <v>171100</v>
      </c>
      <c r="B92" s="4"/>
      <c r="C92" s="55" t="s">
        <v>4311</v>
      </c>
      <c r="D92" s="4" t="s">
        <v>4312</v>
      </c>
      <c r="E92" s="4" t="s">
        <v>114</v>
      </c>
      <c r="F92" s="55">
        <v>1110447487</v>
      </c>
      <c r="G92" s="4" t="s">
        <v>67</v>
      </c>
      <c r="H92" s="4" t="s">
        <v>68</v>
      </c>
      <c r="I92" s="4" t="s">
        <v>2494</v>
      </c>
      <c r="J92" s="55" t="s">
        <v>2495</v>
      </c>
      <c r="K92" s="4" t="s">
        <v>71</v>
      </c>
      <c r="L92" s="4" t="s">
        <v>3487</v>
      </c>
      <c r="M92" s="4" t="s">
        <v>2643</v>
      </c>
      <c r="N92" s="4" t="s">
        <v>74</v>
      </c>
      <c r="O92" s="4" t="s">
        <v>3788</v>
      </c>
      <c r="P92" s="4" t="s">
        <v>3597</v>
      </c>
      <c r="Q92" s="57">
        <v>45110</v>
      </c>
      <c r="R92" s="57">
        <v>45113</v>
      </c>
      <c r="S92" s="113"/>
      <c r="T92" s="113"/>
      <c r="U92" s="4"/>
      <c r="V92" s="4"/>
      <c r="W92" s="105" t="s">
        <v>4313</v>
      </c>
      <c r="X92" s="114">
        <v>1771993993</v>
      </c>
      <c r="Y92" s="55" t="s">
        <v>242</v>
      </c>
      <c r="Z92" s="4" t="s">
        <v>4314</v>
      </c>
      <c r="AA92" s="4">
        <v>1677640005</v>
      </c>
      <c r="AB92" s="4" t="s">
        <v>252</v>
      </c>
      <c r="AC92" s="4" t="s">
        <v>79</v>
      </c>
      <c r="AD92" s="113">
        <v>35504</v>
      </c>
      <c r="AE92" s="107">
        <v>27.1041095890411</v>
      </c>
      <c r="AF92" s="4" t="s">
        <v>80</v>
      </c>
      <c r="AG92" s="114">
        <v>6002642848</v>
      </c>
      <c r="AH92" s="4" t="s">
        <v>4315</v>
      </c>
      <c r="AI92" s="55" t="s">
        <v>290</v>
      </c>
      <c r="AJ92" s="55" t="s">
        <v>242</v>
      </c>
      <c r="AK92" s="55" t="s">
        <v>242</v>
      </c>
      <c r="AL92" s="4" t="s">
        <v>4316</v>
      </c>
      <c r="AM92" s="4" t="s">
        <v>4317</v>
      </c>
      <c r="AN92" s="4" t="s">
        <v>4318</v>
      </c>
      <c r="AO92" s="4" t="s">
        <v>4319</v>
      </c>
      <c r="AP92" s="4" t="s">
        <v>4320</v>
      </c>
      <c r="AQ92" s="55" t="s">
        <v>629</v>
      </c>
      <c r="AR92" s="4" t="s">
        <v>224</v>
      </c>
      <c r="AS92" s="4"/>
      <c r="AT92" s="72"/>
      <c r="AU92" s="4"/>
      <c r="AV92" s="4"/>
      <c r="AW92" s="4"/>
      <c r="AX92" s="4"/>
      <c r="AY92" s="4"/>
      <c r="AZ92" s="4"/>
      <c r="BA92" s="4" t="s">
        <v>3498</v>
      </c>
      <c r="BB92" s="4">
        <v>10800</v>
      </c>
      <c r="BC92" s="4">
        <v>2700</v>
      </c>
      <c r="BD92" s="4">
        <v>0</v>
      </c>
      <c r="BE92" s="4" t="s">
        <v>91</v>
      </c>
      <c r="BF92" s="4" t="s">
        <v>167</v>
      </c>
      <c r="BG92" s="4" t="s">
        <v>167</v>
      </c>
      <c r="BH92" s="4" t="s">
        <v>3510</v>
      </c>
      <c r="BI92" s="72">
        <f>VLOOKUP(A92,'ID Block'!A:L,12,0)</f>
        <v>45291</v>
      </c>
      <c r="BJ92" s="154" t="str">
        <f>VLOOKUP(A92,'ID Block'!A:M,13,0)</f>
        <v>Family issue</v>
      </c>
      <c r="BK92" s="4">
        <f t="shared" si="1"/>
        <v>178</v>
      </c>
      <c r="BL92" s="105" t="s">
        <v>168</v>
      </c>
      <c r="BM92" s="10"/>
      <c r="BN92" s="183" t="s">
        <v>4321</v>
      </c>
      <c r="BO92" s="183"/>
    </row>
    <row r="93" ht="14.4" s="67" customFormat="1">
      <c r="A93" s="4">
        <v>171169</v>
      </c>
      <c r="B93" s="4"/>
      <c r="C93" s="55" t="s">
        <v>611</v>
      </c>
      <c r="D93" s="4" t="s">
        <v>4322</v>
      </c>
      <c r="E93" s="4" t="s">
        <v>66</v>
      </c>
      <c r="F93" s="55">
        <v>1012662783</v>
      </c>
      <c r="G93" s="4" t="s">
        <v>67</v>
      </c>
      <c r="H93" s="4" t="s">
        <v>68</v>
      </c>
      <c r="I93" s="4" t="s">
        <v>2494</v>
      </c>
      <c r="J93" s="55" t="s">
        <v>307</v>
      </c>
      <c r="K93" s="4" t="s">
        <v>71</v>
      </c>
      <c r="L93" s="4" t="s">
        <v>3487</v>
      </c>
      <c r="M93" s="4" t="s">
        <v>115</v>
      </c>
      <c r="N93" s="4" t="s">
        <v>74</v>
      </c>
      <c r="O93" s="4" t="s">
        <v>75</v>
      </c>
      <c r="P93" s="4" t="s">
        <v>3987</v>
      </c>
      <c r="Q93" s="57">
        <v>45206</v>
      </c>
      <c r="R93" s="57">
        <v>45211</v>
      </c>
      <c r="S93" s="113"/>
      <c r="T93" s="113"/>
      <c r="U93" s="4"/>
      <c r="V93" s="4"/>
      <c r="W93" s="105" t="s">
        <v>4323</v>
      </c>
      <c r="X93" s="114">
        <v>1757193697</v>
      </c>
      <c r="Y93" s="55">
        <v>1865650298</v>
      </c>
      <c r="Z93" s="4" t="s">
        <v>4324</v>
      </c>
      <c r="AA93" s="4">
        <v>1866820045</v>
      </c>
      <c r="AB93" s="4" t="s">
        <v>78</v>
      </c>
      <c r="AC93" s="4" t="s">
        <v>102</v>
      </c>
      <c r="AD93" s="113">
        <v>35766</v>
      </c>
      <c r="AE93" s="107">
        <v>26.386301369863</v>
      </c>
      <c r="AF93" s="4" t="s">
        <v>80</v>
      </c>
      <c r="AG93" s="114">
        <v>6903053624</v>
      </c>
      <c r="AH93" s="4" t="s">
        <v>81</v>
      </c>
      <c r="AI93" s="55" t="s">
        <v>322</v>
      </c>
      <c r="AJ93" s="55" t="s">
        <v>265</v>
      </c>
      <c r="AK93" s="55">
        <v>2020</v>
      </c>
      <c r="AL93" s="4" t="s">
        <v>4325</v>
      </c>
      <c r="AM93" s="4" t="s">
        <v>4326</v>
      </c>
      <c r="AN93" s="4" t="s">
        <v>4327</v>
      </c>
      <c r="AO93" s="4" t="s">
        <v>4328</v>
      </c>
      <c r="AP93" s="4" t="s">
        <v>4329</v>
      </c>
      <c r="AQ93" s="55" t="s">
        <v>4330</v>
      </c>
      <c r="AR93" s="4" t="s">
        <v>89</v>
      </c>
      <c r="AS93" s="4" t="s">
        <v>4331</v>
      </c>
      <c r="AT93" s="72"/>
      <c r="AU93" s="4"/>
      <c r="AV93" s="4"/>
      <c r="AW93" s="4"/>
      <c r="AX93" s="4"/>
      <c r="AY93" s="4"/>
      <c r="AZ93" s="4"/>
      <c r="BA93" s="4" t="s">
        <v>3498</v>
      </c>
      <c r="BB93" s="4">
        <v>10800</v>
      </c>
      <c r="BC93" s="4">
        <v>2700</v>
      </c>
      <c r="BD93" s="4">
        <v>0</v>
      </c>
      <c r="BE93" s="4" t="s">
        <v>296</v>
      </c>
      <c r="BF93" s="4"/>
      <c r="BG93" s="4"/>
      <c r="BH93" s="4" t="s">
        <v>3510</v>
      </c>
      <c r="BI93" s="72">
        <f>VLOOKUP(A93,'ID Block'!A:L,12,0)</f>
        <v>45292</v>
      </c>
      <c r="BJ93" s="154" t="str">
        <f>VLOOKUP(A93,'ID Block'!A:M,13,0)</f>
        <v>Better Opportunity</v>
      </c>
      <c r="BK93" s="4">
        <f t="shared" si="1"/>
        <v>81</v>
      </c>
      <c r="BL93" s="105" t="s">
        <v>168</v>
      </c>
      <c r="BM93" s="10"/>
      <c r="BN93" s="183" t="s">
        <v>4035</v>
      </c>
      <c r="BO93" s="183"/>
    </row>
    <row r="94" ht="14.4" s="67" customFormat="1">
      <c r="A94" s="4">
        <v>171245</v>
      </c>
      <c r="B94" s="4"/>
      <c r="C94" s="55" t="s">
        <v>4332</v>
      </c>
      <c r="D94" s="4" t="s">
        <v>4333</v>
      </c>
      <c r="E94" s="4" t="s">
        <v>66</v>
      </c>
      <c r="F94" s="55">
        <v>1010897811</v>
      </c>
      <c r="G94" s="4" t="s">
        <v>67</v>
      </c>
      <c r="H94" s="4" t="s">
        <v>68</v>
      </c>
      <c r="I94" s="4" t="s">
        <v>2494</v>
      </c>
      <c r="J94" s="55" t="s">
        <v>3650</v>
      </c>
      <c r="K94" s="4" t="s">
        <v>71</v>
      </c>
      <c r="L94" s="4" t="s">
        <v>3487</v>
      </c>
      <c r="M94" s="4" t="s">
        <v>115</v>
      </c>
      <c r="N94" s="4" t="s">
        <v>74</v>
      </c>
      <c r="O94" s="4" t="s">
        <v>75</v>
      </c>
      <c r="P94" s="4" t="s">
        <v>4123</v>
      </c>
      <c r="Q94" s="57">
        <v>45251</v>
      </c>
      <c r="R94" s="57">
        <v>45256</v>
      </c>
      <c r="S94" s="113"/>
      <c r="T94" s="113"/>
      <c r="U94" s="4"/>
      <c r="V94" s="4"/>
      <c r="W94" s="105" t="s">
        <v>4334</v>
      </c>
      <c r="X94" s="114">
        <v>1628588200</v>
      </c>
      <c r="Y94" s="55" t="s">
        <v>81</v>
      </c>
      <c r="Z94" s="4" t="s">
        <v>4335</v>
      </c>
      <c r="AA94" s="4">
        <v>1686762441</v>
      </c>
      <c r="AB94" s="4" t="s">
        <v>410</v>
      </c>
      <c r="AC94" s="4" t="s">
        <v>79</v>
      </c>
      <c r="AD94" s="113">
        <v>35782</v>
      </c>
      <c r="AE94" s="107">
        <v>26.3424657534247</v>
      </c>
      <c r="AF94" s="4" t="s">
        <v>80</v>
      </c>
      <c r="AG94" s="114">
        <v>1502960493</v>
      </c>
      <c r="AH94" s="4" t="s">
        <v>81</v>
      </c>
      <c r="AI94" s="55" t="s">
        <v>322</v>
      </c>
      <c r="AJ94" s="55" t="s">
        <v>81</v>
      </c>
      <c r="AK94" s="55">
        <v>2021</v>
      </c>
      <c r="AL94" s="4" t="s">
        <v>524</v>
      </c>
      <c r="AM94" s="4" t="s">
        <v>4336</v>
      </c>
      <c r="AN94" s="4" t="s">
        <v>425</v>
      </c>
      <c r="AO94" s="4" t="s">
        <v>4337</v>
      </c>
      <c r="AP94" s="4" t="s">
        <v>4338</v>
      </c>
      <c r="AQ94" s="55" t="s">
        <v>1553</v>
      </c>
      <c r="AR94" s="4" t="s">
        <v>89</v>
      </c>
      <c r="AS94" s="4" t="s">
        <v>4335</v>
      </c>
      <c r="AT94" s="72">
        <v>35632</v>
      </c>
      <c r="AU94" s="4" t="s">
        <v>81</v>
      </c>
      <c r="AV94" s="4" t="s">
        <v>81</v>
      </c>
      <c r="AW94" s="4" t="s">
        <v>81</v>
      </c>
      <c r="AX94" s="4" t="s">
        <v>81</v>
      </c>
      <c r="AY94" s="4"/>
      <c r="AZ94" s="4"/>
      <c r="BA94" s="4" t="s">
        <v>3498</v>
      </c>
      <c r="BB94" s="4">
        <v>10800</v>
      </c>
      <c r="BC94" s="4">
        <v>2700</v>
      </c>
      <c r="BD94" s="4">
        <v>0</v>
      </c>
      <c r="BE94" s="4" t="s">
        <v>91</v>
      </c>
      <c r="BF94" s="4"/>
      <c r="BG94" s="4"/>
      <c r="BH94" s="4" t="s">
        <v>3510</v>
      </c>
      <c r="BI94" s="72">
        <f>VLOOKUP(A94,'ID Block'!A:L,12,0)</f>
        <v>45297</v>
      </c>
      <c r="BJ94" s="154" t="str">
        <f>VLOOKUP(A94,'ID Block'!A:M,13,0)</f>
        <v>Personal issue</v>
      </c>
      <c r="BK94" s="4">
        <f t="shared" si="1"/>
        <v>41</v>
      </c>
      <c r="BL94" s="105" t="s">
        <v>168</v>
      </c>
      <c r="BM94" s="10"/>
      <c r="BN94" s="183" t="s">
        <v>4339</v>
      </c>
      <c r="BO94" s="183"/>
    </row>
    <row r="95" ht="14.4" s="67" customFormat="1">
      <c r="A95" s="4">
        <v>171093</v>
      </c>
      <c r="B95" s="4"/>
      <c r="C95" s="55"/>
      <c r="D95" s="4" t="s">
        <v>4340</v>
      </c>
      <c r="E95" s="4" t="s">
        <v>114</v>
      </c>
      <c r="F95" s="55">
        <v>1110249833</v>
      </c>
      <c r="G95" s="4" t="s">
        <v>67</v>
      </c>
      <c r="H95" s="4" t="s">
        <v>68</v>
      </c>
      <c r="I95" s="4" t="s">
        <v>2494</v>
      </c>
      <c r="J95" s="55" t="s">
        <v>2495</v>
      </c>
      <c r="K95" s="4" t="s">
        <v>71</v>
      </c>
      <c r="L95" s="4" t="s">
        <v>3487</v>
      </c>
      <c r="M95" s="4" t="s">
        <v>2643</v>
      </c>
      <c r="N95" s="4" t="s">
        <v>74</v>
      </c>
      <c r="O95" s="4" t="s">
        <v>3788</v>
      </c>
      <c r="P95" s="4" t="s">
        <v>3597</v>
      </c>
      <c r="Q95" s="57">
        <v>45110</v>
      </c>
      <c r="R95" s="57">
        <v>45113</v>
      </c>
      <c r="S95" s="113"/>
      <c r="T95" s="113"/>
      <c r="U95" s="4"/>
      <c r="V95" s="4"/>
      <c r="W95" s="105" t="s">
        <v>4341</v>
      </c>
      <c r="X95" s="114">
        <v>1628023466</v>
      </c>
      <c r="Y95" s="55" t="s">
        <v>242</v>
      </c>
      <c r="Z95" s="4" t="s">
        <v>4342</v>
      </c>
      <c r="AA95" s="4">
        <v>1715154349</v>
      </c>
      <c r="AB95" s="4" t="s">
        <v>132</v>
      </c>
      <c r="AC95" s="4" t="s">
        <v>133</v>
      </c>
      <c r="AD95" s="113">
        <v>35919</v>
      </c>
      <c r="AE95" s="107">
        <v>25.9671232876712</v>
      </c>
      <c r="AF95" s="4" t="s">
        <v>80</v>
      </c>
      <c r="AG95" s="114">
        <v>9157895534</v>
      </c>
      <c r="AH95" s="4" t="s">
        <v>81</v>
      </c>
      <c r="AI95" s="55" t="s">
        <v>322</v>
      </c>
      <c r="AJ95" s="55" t="s">
        <v>242</v>
      </c>
      <c r="AK95" s="55" t="s">
        <v>242</v>
      </c>
      <c r="AL95" s="4" t="s">
        <v>4343</v>
      </c>
      <c r="AM95" s="4" t="s">
        <v>4344</v>
      </c>
      <c r="AN95" s="4" t="s">
        <v>4342</v>
      </c>
      <c r="AO95" s="4" t="s">
        <v>4345</v>
      </c>
      <c r="AP95" s="4" t="s">
        <v>4346</v>
      </c>
      <c r="AQ95" s="55" t="s">
        <v>555</v>
      </c>
      <c r="AR95" s="4" t="s">
        <v>224</v>
      </c>
      <c r="AS95" s="4"/>
      <c r="AT95" s="72"/>
      <c r="AU95" s="4"/>
      <c r="AV95" s="4"/>
      <c r="AW95" s="4"/>
      <c r="AX95" s="4"/>
      <c r="AY95" s="4"/>
      <c r="AZ95" s="4"/>
      <c r="BA95" s="4" t="s">
        <v>3498</v>
      </c>
      <c r="BB95" s="4">
        <v>10800</v>
      </c>
      <c r="BC95" s="4">
        <v>2700</v>
      </c>
      <c r="BD95" s="4">
        <v>0</v>
      </c>
      <c r="BE95" s="4" t="s">
        <v>91</v>
      </c>
      <c r="BF95" s="4" t="s">
        <v>167</v>
      </c>
      <c r="BG95" s="4" t="s">
        <v>167</v>
      </c>
      <c r="BH95" s="4" t="s">
        <v>3510</v>
      </c>
      <c r="BI95" s="72">
        <f>VLOOKUP(A95,'ID Block'!A:L,12,0)</f>
        <v>45300</v>
      </c>
      <c r="BJ95" s="154" t="str">
        <f>VLOOKUP(A95,'ID Block'!A:M,13,0)</f>
        <v>Better Opportunity</v>
      </c>
      <c r="BK95" s="4">
        <f t="shared" si="1"/>
        <v>187</v>
      </c>
      <c r="BL95" s="105" t="s">
        <v>168</v>
      </c>
      <c r="BM95" s="10"/>
      <c r="BN95" s="183" t="s">
        <v>4035</v>
      </c>
      <c r="BO95" s="183"/>
    </row>
    <row r="96" ht="14.4" s="67" customFormat="1">
      <c r="A96" s="4">
        <v>171214</v>
      </c>
      <c r="B96" s="4"/>
      <c r="C96" s="55"/>
      <c r="D96" s="4" t="s">
        <v>4347</v>
      </c>
      <c r="E96" s="4" t="s">
        <v>66</v>
      </c>
      <c r="F96" s="55">
        <v>388154</v>
      </c>
      <c r="G96" s="4" t="s">
        <v>67</v>
      </c>
      <c r="H96" s="4" t="s">
        <v>68</v>
      </c>
      <c r="I96" s="4" t="s">
        <v>2494</v>
      </c>
      <c r="J96" s="55" t="s">
        <v>319</v>
      </c>
      <c r="K96" s="4" t="s">
        <v>71</v>
      </c>
      <c r="L96" s="4" t="s">
        <v>3487</v>
      </c>
      <c r="M96" s="4" t="s">
        <v>3659</v>
      </c>
      <c r="N96" s="4" t="s">
        <v>74</v>
      </c>
      <c r="O96" s="4" t="s">
        <v>75</v>
      </c>
      <c r="P96" s="4" t="s">
        <v>4271</v>
      </c>
      <c r="Q96" s="57">
        <v>45246</v>
      </c>
      <c r="R96" s="57">
        <v>45261</v>
      </c>
      <c r="S96" s="113"/>
      <c r="T96" s="113"/>
      <c r="U96" s="4"/>
      <c r="V96" s="4"/>
      <c r="W96" s="105" t="s">
        <v>4348</v>
      </c>
      <c r="X96" s="114">
        <v>1988201823</v>
      </c>
      <c r="Y96" s="55" t="s">
        <v>81</v>
      </c>
      <c r="Z96" s="4" t="s">
        <v>4349</v>
      </c>
      <c r="AA96" s="4">
        <v>1910466440</v>
      </c>
      <c r="AB96" s="4" t="s">
        <v>118</v>
      </c>
      <c r="AC96" s="4" t="s">
        <v>119</v>
      </c>
      <c r="AD96" s="113">
        <v>34682</v>
      </c>
      <c r="AE96" s="107">
        <v>29.3561643835616</v>
      </c>
      <c r="AF96" s="4" t="s">
        <v>80</v>
      </c>
      <c r="AG96" s="114">
        <v>8253064813</v>
      </c>
      <c r="AH96" s="4" t="s">
        <v>81</v>
      </c>
      <c r="AI96" s="55" t="s">
        <v>254</v>
      </c>
      <c r="AJ96" s="55" t="s">
        <v>81</v>
      </c>
      <c r="AK96" s="55">
        <v>2018</v>
      </c>
      <c r="AL96" s="4" t="s">
        <v>209</v>
      </c>
      <c r="AM96" s="4" t="s">
        <v>4350</v>
      </c>
      <c r="AN96" s="4" t="s">
        <v>4351</v>
      </c>
      <c r="AO96" s="4" t="s">
        <v>4352</v>
      </c>
      <c r="AP96" s="4" t="s">
        <v>4353</v>
      </c>
      <c r="AQ96" s="55" t="s">
        <v>285</v>
      </c>
      <c r="AR96" s="4" t="s">
        <v>110</v>
      </c>
      <c r="AS96" s="4" t="s">
        <v>81</v>
      </c>
      <c r="AT96" s="72" t="s">
        <v>81</v>
      </c>
      <c r="AU96" s="4" t="s">
        <v>81</v>
      </c>
      <c r="AV96" s="4" t="s">
        <v>81</v>
      </c>
      <c r="AW96" s="4" t="s">
        <v>81</v>
      </c>
      <c r="AX96" s="4" t="s">
        <v>81</v>
      </c>
      <c r="AY96" s="4"/>
      <c r="AZ96" s="4"/>
      <c r="BA96" s="4" t="s">
        <v>3498</v>
      </c>
      <c r="BB96" s="4">
        <v>10800</v>
      </c>
      <c r="BC96" s="4">
        <v>2700</v>
      </c>
      <c r="BD96" s="4">
        <v>0</v>
      </c>
      <c r="BE96" s="4" t="s">
        <v>91</v>
      </c>
      <c r="BF96" s="4"/>
      <c r="BG96" s="4"/>
      <c r="BH96" s="4" t="s">
        <v>3510</v>
      </c>
      <c r="BI96" s="72">
        <f>VLOOKUP(A96,'ID Block'!A:L,12,0)</f>
        <v>45307</v>
      </c>
      <c r="BJ96" s="154" t="str">
        <f>VLOOKUP(A96,'ID Block'!A:M,13,0)</f>
        <v>Better Opportunity</v>
      </c>
      <c r="BK96" s="4">
        <f t="shared" si="1"/>
        <v>46</v>
      </c>
      <c r="BL96" s="105" t="s">
        <v>168</v>
      </c>
      <c r="BM96" s="10"/>
      <c r="BN96" s="183" t="s">
        <v>4035</v>
      </c>
      <c r="BO96" s="183"/>
    </row>
    <row r="97" ht="14.4" s="67" customFormat="1">
      <c r="A97" s="4">
        <v>171239</v>
      </c>
      <c r="B97" s="4"/>
      <c r="C97" s="55" t="s">
        <v>4354</v>
      </c>
      <c r="D97" s="4" t="s">
        <v>4355</v>
      </c>
      <c r="E97" s="4" t="s">
        <v>114</v>
      </c>
      <c r="F97" s="55">
        <v>509376</v>
      </c>
      <c r="G97" s="4" t="s">
        <v>67</v>
      </c>
      <c r="H97" s="4" t="s">
        <v>68</v>
      </c>
      <c r="I97" s="4" t="s">
        <v>2494</v>
      </c>
      <c r="J97" s="55" t="s">
        <v>319</v>
      </c>
      <c r="K97" s="4" t="s">
        <v>71</v>
      </c>
      <c r="L97" s="4" t="s">
        <v>3487</v>
      </c>
      <c r="M97" s="4" t="s">
        <v>3659</v>
      </c>
      <c r="N97" s="4" t="s">
        <v>74</v>
      </c>
      <c r="O97" s="4" t="s">
        <v>75</v>
      </c>
      <c r="P97" s="4" t="s">
        <v>4123</v>
      </c>
      <c r="Q97" s="57">
        <v>45251</v>
      </c>
      <c r="R97" s="57">
        <v>45256</v>
      </c>
      <c r="S97" s="113"/>
      <c r="T97" s="113"/>
      <c r="U97" s="4"/>
      <c r="V97" s="4"/>
      <c r="W97" s="105" t="s">
        <v>4356</v>
      </c>
      <c r="X97" s="114">
        <v>1708915804</v>
      </c>
      <c r="Y97" s="55" t="s">
        <v>81</v>
      </c>
      <c r="Z97" s="4" t="s">
        <v>4357</v>
      </c>
      <c r="AA97" s="4">
        <v>1610101712</v>
      </c>
      <c r="AB97" s="4" t="s">
        <v>252</v>
      </c>
      <c r="AC97" s="4" t="s">
        <v>79</v>
      </c>
      <c r="AD97" s="113">
        <v>34792</v>
      </c>
      <c r="AE97" s="107">
        <v>29.0547945205479</v>
      </c>
      <c r="AF97" s="4" t="s">
        <v>80</v>
      </c>
      <c r="AG97" s="114">
        <v>2372055737</v>
      </c>
      <c r="AH97" s="4" t="s">
        <v>81</v>
      </c>
      <c r="AI97" s="55" t="s">
        <v>4358</v>
      </c>
      <c r="AJ97" s="55" t="s">
        <v>81</v>
      </c>
      <c r="AK97" s="55">
        <v>2019</v>
      </c>
      <c r="AL97" s="4" t="s">
        <v>3195</v>
      </c>
      <c r="AM97" s="4" t="s">
        <v>4359</v>
      </c>
      <c r="AN97" s="4" t="s">
        <v>4360</v>
      </c>
      <c r="AO97" s="4" t="s">
        <v>4361</v>
      </c>
      <c r="AP97" s="4" t="s">
        <v>4362</v>
      </c>
      <c r="AQ97" s="55" t="s">
        <v>4363</v>
      </c>
      <c r="AR97" s="4" t="s">
        <v>110</v>
      </c>
      <c r="AS97" s="4" t="s">
        <v>81</v>
      </c>
      <c r="AT97" s="72" t="s">
        <v>81</v>
      </c>
      <c r="AU97" s="4" t="s">
        <v>81</v>
      </c>
      <c r="AV97" s="4" t="s">
        <v>81</v>
      </c>
      <c r="AW97" s="4" t="s">
        <v>81</v>
      </c>
      <c r="AX97" s="4" t="s">
        <v>81</v>
      </c>
      <c r="AY97" s="4"/>
      <c r="AZ97" s="4"/>
      <c r="BA97" s="4" t="s">
        <v>3498</v>
      </c>
      <c r="BB97" s="4">
        <v>10800</v>
      </c>
      <c r="BC97" s="4">
        <v>2700</v>
      </c>
      <c r="BD97" s="4">
        <v>0</v>
      </c>
      <c r="BE97" s="4" t="s">
        <v>91</v>
      </c>
      <c r="BF97" s="4"/>
      <c r="BG97" s="4"/>
      <c r="BH97" s="4" t="s">
        <v>3510</v>
      </c>
      <c r="BI97" s="72">
        <f>VLOOKUP(A97,'ID Block'!A:L,12,0)</f>
        <v>45307</v>
      </c>
      <c r="BJ97" s="154" t="str">
        <f>VLOOKUP(A97,'ID Block'!A:M,13,0)</f>
        <v>Better Opportunity</v>
      </c>
      <c r="BK97" s="4">
        <f t="shared" si="1"/>
        <v>51</v>
      </c>
      <c r="BL97" s="105" t="s">
        <v>168</v>
      </c>
      <c r="BM97" s="10"/>
      <c r="BN97" s="183" t="s">
        <v>4035</v>
      </c>
      <c r="BO97" s="183"/>
    </row>
    <row r="98" ht="14.4" s="67" customFormat="1">
      <c r="A98" s="4">
        <v>171063</v>
      </c>
      <c r="B98" s="4"/>
      <c r="C98" s="55" t="s">
        <v>4364</v>
      </c>
      <c r="D98" s="4" t="s">
        <v>4365</v>
      </c>
      <c r="E98" s="4" t="s">
        <v>114</v>
      </c>
      <c r="F98" s="55">
        <v>815726</v>
      </c>
      <c r="G98" s="4" t="s">
        <v>67</v>
      </c>
      <c r="H98" s="4" t="s">
        <v>68</v>
      </c>
      <c r="I98" s="4" t="s">
        <v>2494</v>
      </c>
      <c r="J98" s="55" t="s">
        <v>70</v>
      </c>
      <c r="K98" s="4" t="s">
        <v>71</v>
      </c>
      <c r="L98" s="4" t="s">
        <v>3487</v>
      </c>
      <c r="M98" s="4" t="s">
        <v>3659</v>
      </c>
      <c r="N98" s="4" t="s">
        <v>74</v>
      </c>
      <c r="O98" s="4" t="s">
        <v>75</v>
      </c>
      <c r="P98" s="4" t="s">
        <v>3513</v>
      </c>
      <c r="Q98" s="57">
        <v>45063</v>
      </c>
      <c r="R98" s="57">
        <v>45072</v>
      </c>
      <c r="S98" s="113"/>
      <c r="T98" s="113"/>
      <c r="U98" s="4"/>
      <c r="V98" s="4"/>
      <c r="W98" s="105" t="s">
        <v>4366</v>
      </c>
      <c r="X98" s="114">
        <v>1701513887</v>
      </c>
      <c r="Y98" s="55">
        <v>1518931095</v>
      </c>
      <c r="Z98" s="4" t="s">
        <v>4367</v>
      </c>
      <c r="AA98" s="4">
        <v>1841997962</v>
      </c>
      <c r="AB98" s="4" t="s">
        <v>252</v>
      </c>
      <c r="AC98" s="4" t="s">
        <v>119</v>
      </c>
      <c r="AD98" s="113">
        <v>36558</v>
      </c>
      <c r="AE98" s="107">
        <v>24.2164383561644</v>
      </c>
      <c r="AF98" s="4" t="s">
        <v>80</v>
      </c>
      <c r="AG98" s="114">
        <v>6465047790</v>
      </c>
      <c r="AH98" s="4" t="s">
        <v>4368</v>
      </c>
      <c r="AI98" s="55" t="s">
        <v>104</v>
      </c>
      <c r="AJ98" s="55" t="s">
        <v>120</v>
      </c>
      <c r="AK98" s="55">
        <v>2023</v>
      </c>
      <c r="AL98" s="4" t="s">
        <v>4369</v>
      </c>
      <c r="AM98" s="4" t="s">
        <v>1482</v>
      </c>
      <c r="AN98" s="4" t="s">
        <v>4370</v>
      </c>
      <c r="AO98" s="4" t="s">
        <v>4371</v>
      </c>
      <c r="AP98" s="4" t="s">
        <v>4372</v>
      </c>
      <c r="AQ98" s="55" t="s">
        <v>2527</v>
      </c>
      <c r="AR98" s="4" t="s">
        <v>110</v>
      </c>
      <c r="AS98" s="4"/>
      <c r="AT98" s="72"/>
      <c r="AU98" s="4"/>
      <c r="AV98" s="4"/>
      <c r="AW98" s="4"/>
      <c r="AX98" s="4"/>
      <c r="AY98" s="4"/>
      <c r="AZ98" s="4"/>
      <c r="BA98" s="4" t="s">
        <v>3498</v>
      </c>
      <c r="BB98" s="4">
        <v>10800</v>
      </c>
      <c r="BC98" s="4">
        <v>2700</v>
      </c>
      <c r="BD98" s="4">
        <v>0</v>
      </c>
      <c r="BE98" s="4" t="s">
        <v>91</v>
      </c>
      <c r="BF98" s="4">
        <v>160286</v>
      </c>
      <c r="BG98" s="4" t="s">
        <v>92</v>
      </c>
      <c r="BH98" s="4" t="s">
        <v>3510</v>
      </c>
      <c r="BI98" s="72">
        <f>VLOOKUP(A98,'ID Block'!A:L,12,0)</f>
        <v>45311</v>
      </c>
      <c r="BJ98" s="154" t="str">
        <f>VLOOKUP(A98,'ID Block'!A:M,13,0)</f>
        <v>Better Opportunity</v>
      </c>
      <c r="BK98" s="4">
        <f t="shared" si="1"/>
        <v>239</v>
      </c>
      <c r="BL98" s="105" t="s">
        <v>168</v>
      </c>
      <c r="BM98" s="10"/>
      <c r="BN98" s="183" t="s">
        <v>4035</v>
      </c>
      <c r="BO98" s="183"/>
    </row>
    <row r="99" ht="14.4" s="67" customFormat="1">
      <c r="A99" s="4">
        <v>171249</v>
      </c>
      <c r="B99" s="4"/>
      <c r="C99" s="55" t="s">
        <v>1782</v>
      </c>
      <c r="D99" s="4" t="s">
        <v>4373</v>
      </c>
      <c r="E99" s="4" t="s">
        <v>66</v>
      </c>
      <c r="F99" s="55">
        <v>306516</v>
      </c>
      <c r="G99" s="4" t="s">
        <v>67</v>
      </c>
      <c r="H99" s="4" t="s">
        <v>68</v>
      </c>
      <c r="I99" s="4" t="s">
        <v>2494</v>
      </c>
      <c r="J99" s="55" t="s">
        <v>3650</v>
      </c>
      <c r="K99" s="4" t="s">
        <v>71</v>
      </c>
      <c r="L99" s="4" t="s">
        <v>3487</v>
      </c>
      <c r="M99" s="4" t="s">
        <v>3659</v>
      </c>
      <c r="N99" s="4" t="s">
        <v>74</v>
      </c>
      <c r="O99" s="4" t="s">
        <v>75</v>
      </c>
      <c r="P99" s="4" t="s">
        <v>4123</v>
      </c>
      <c r="Q99" s="57">
        <v>45251</v>
      </c>
      <c r="R99" s="57">
        <v>45256</v>
      </c>
      <c r="S99" s="113"/>
      <c r="T99" s="113"/>
      <c r="U99" s="4"/>
      <c r="V99" s="4"/>
      <c r="W99" s="105" t="s">
        <v>4374</v>
      </c>
      <c r="X99" s="114">
        <v>1646677374</v>
      </c>
      <c r="Y99" s="55" t="s">
        <v>81</v>
      </c>
      <c r="Z99" s="4" t="s">
        <v>4375</v>
      </c>
      <c r="AA99" s="4">
        <v>1724197127</v>
      </c>
      <c r="AB99" s="4" t="s">
        <v>78</v>
      </c>
      <c r="AC99" s="4" t="s">
        <v>79</v>
      </c>
      <c r="AD99" s="113">
        <v>34359</v>
      </c>
      <c r="AE99" s="107">
        <v>30.241095890411</v>
      </c>
      <c r="AF99" s="4" t="s">
        <v>80</v>
      </c>
      <c r="AG99" s="114" t="s">
        <v>4376</v>
      </c>
      <c r="AH99" s="4" t="s">
        <v>4377</v>
      </c>
      <c r="AI99" s="55" t="s">
        <v>265</v>
      </c>
      <c r="AJ99" s="55" t="s">
        <v>81</v>
      </c>
      <c r="AK99" s="55">
        <v>2020</v>
      </c>
      <c r="AL99" s="4" t="s">
        <v>4378</v>
      </c>
      <c r="AM99" s="4" t="s">
        <v>4379</v>
      </c>
      <c r="AN99" s="4" t="s">
        <v>4273</v>
      </c>
      <c r="AO99" s="4" t="s">
        <v>4380</v>
      </c>
      <c r="AP99" s="4" t="s">
        <v>4381</v>
      </c>
      <c r="AQ99" s="55" t="s">
        <v>1188</v>
      </c>
      <c r="AR99" s="4" t="s">
        <v>89</v>
      </c>
      <c r="AS99" s="4" t="s">
        <v>4375</v>
      </c>
      <c r="AT99" s="72">
        <v>33787</v>
      </c>
      <c r="AU99" s="4" t="s">
        <v>81</v>
      </c>
      <c r="AV99" s="4" t="s">
        <v>81</v>
      </c>
      <c r="AW99" s="4" t="s">
        <v>81</v>
      </c>
      <c r="AX99" s="4" t="s">
        <v>81</v>
      </c>
      <c r="AY99" s="4"/>
      <c r="AZ99" s="4"/>
      <c r="BA99" s="4" t="s">
        <v>3498</v>
      </c>
      <c r="BB99" s="4">
        <v>10800</v>
      </c>
      <c r="BC99" s="4">
        <v>2700</v>
      </c>
      <c r="BD99" s="4">
        <v>0</v>
      </c>
      <c r="BE99" s="4" t="s">
        <v>91</v>
      </c>
      <c r="BF99" s="4"/>
      <c r="BG99" s="4"/>
      <c r="BH99" s="4" t="s">
        <v>3510</v>
      </c>
      <c r="BI99" s="72">
        <f>VLOOKUP(A99,'ID Block'!A:L,12,0)</f>
        <v>45309</v>
      </c>
      <c r="BJ99" s="154" t="str">
        <f>VLOOKUP(A99,'ID Block'!A:M,13,0)</f>
        <v>Sickness Issues</v>
      </c>
      <c r="BK99" s="4">
        <f t="shared" si="1"/>
        <v>53</v>
      </c>
      <c r="BL99" s="105" t="s">
        <v>168</v>
      </c>
      <c r="BM99" s="10"/>
      <c r="BN99" s="183" t="s">
        <v>4035</v>
      </c>
      <c r="BO99" s="183"/>
    </row>
    <row r="100" ht="14.4" s="67" customFormat="1">
      <c r="A100" s="4">
        <v>171091</v>
      </c>
      <c r="B100" s="4"/>
      <c r="C100" s="55" t="s">
        <v>4382</v>
      </c>
      <c r="D100" s="4" t="s">
        <v>4383</v>
      </c>
      <c r="E100" s="4" t="s">
        <v>114</v>
      </c>
      <c r="F100" s="55">
        <v>166494</v>
      </c>
      <c r="G100" s="4" t="s">
        <v>67</v>
      </c>
      <c r="H100" s="4" t="s">
        <v>68</v>
      </c>
      <c r="I100" s="4" t="s">
        <v>2494</v>
      </c>
      <c r="J100" s="55" t="s">
        <v>2495</v>
      </c>
      <c r="K100" s="4" t="s">
        <v>71</v>
      </c>
      <c r="L100" s="4" t="s">
        <v>3487</v>
      </c>
      <c r="M100" s="4" t="s">
        <v>115</v>
      </c>
      <c r="N100" s="4" t="s">
        <v>74</v>
      </c>
      <c r="O100" s="4" t="s">
        <v>75</v>
      </c>
      <c r="P100" s="4" t="s">
        <v>3597</v>
      </c>
      <c r="Q100" s="57">
        <v>45110</v>
      </c>
      <c r="R100" s="57">
        <v>45113</v>
      </c>
      <c r="S100" s="113"/>
      <c r="T100" s="113"/>
      <c r="U100" s="4"/>
      <c r="V100" s="4"/>
      <c r="W100" s="105" t="s">
        <v>4384</v>
      </c>
      <c r="X100" s="114">
        <v>1880382553</v>
      </c>
      <c r="Y100" s="55" t="s">
        <v>81</v>
      </c>
      <c r="Z100" s="4" t="s">
        <v>4385</v>
      </c>
      <c r="AA100" s="4">
        <v>1820282819</v>
      </c>
      <c r="AB100" s="4" t="s">
        <v>2767</v>
      </c>
      <c r="AC100" s="4" t="s">
        <v>102</v>
      </c>
      <c r="AD100" s="113">
        <v>34335</v>
      </c>
      <c r="AE100" s="107">
        <v>30.3068493150685</v>
      </c>
      <c r="AF100" s="4" t="s">
        <v>80</v>
      </c>
      <c r="AG100" s="114" t="s">
        <v>4386</v>
      </c>
      <c r="AH100" s="4" t="s">
        <v>81</v>
      </c>
      <c r="AI100" s="55" t="s">
        <v>290</v>
      </c>
      <c r="AJ100" s="55" t="s">
        <v>81</v>
      </c>
      <c r="AK100" s="55" t="s">
        <v>81</v>
      </c>
      <c r="AL100" s="4" t="s">
        <v>4387</v>
      </c>
      <c r="AM100" s="4" t="s">
        <v>4388</v>
      </c>
      <c r="AN100" s="4" t="s">
        <v>2311</v>
      </c>
      <c r="AO100" s="4" t="s">
        <v>4389</v>
      </c>
      <c r="AP100" s="4" t="s">
        <v>4390</v>
      </c>
      <c r="AQ100" s="55" t="s">
        <v>1178</v>
      </c>
      <c r="AR100" s="4" t="s">
        <v>224</v>
      </c>
      <c r="AS100" s="4"/>
      <c r="AT100" s="72"/>
      <c r="AU100" s="4"/>
      <c r="AV100" s="4"/>
      <c r="AW100" s="4"/>
      <c r="AX100" s="4"/>
      <c r="AY100" s="4"/>
      <c r="AZ100" s="4"/>
      <c r="BA100" s="4" t="s">
        <v>3498</v>
      </c>
      <c r="BB100" s="4">
        <v>10800</v>
      </c>
      <c r="BC100" s="4">
        <v>2700</v>
      </c>
      <c r="BD100" s="4">
        <v>0</v>
      </c>
      <c r="BE100" s="4" t="s">
        <v>91</v>
      </c>
      <c r="BF100" s="4" t="s">
        <v>167</v>
      </c>
      <c r="BG100" s="4" t="s">
        <v>167</v>
      </c>
      <c r="BH100" s="4" t="s">
        <v>3510</v>
      </c>
      <c r="BI100" s="72">
        <f>VLOOKUP(A100,'ID Block'!A:L,12,0)</f>
        <v>45314</v>
      </c>
      <c r="BJ100" s="154" t="str">
        <f>VLOOKUP(A100,'ID Block'!A:M,13,0)</f>
        <v>Study Purpuse</v>
      </c>
      <c r="BK100" s="4">
        <f t="shared" si="1"/>
        <v>201</v>
      </c>
      <c r="BL100" s="105" t="s">
        <v>168</v>
      </c>
      <c r="BM100" s="10"/>
      <c r="BN100" s="183" t="s">
        <v>3544</v>
      </c>
      <c r="BO100" s="183"/>
    </row>
    <row r="101" ht="14.4" s="67" customFormat="1">
      <c r="A101" s="4">
        <v>171130</v>
      </c>
      <c r="B101" s="4"/>
      <c r="C101" s="55" t="s">
        <v>538</v>
      </c>
      <c r="D101" s="4" t="s">
        <v>4391</v>
      </c>
      <c r="E101" s="4" t="s">
        <v>66</v>
      </c>
      <c r="F101" s="55">
        <v>617575</v>
      </c>
      <c r="G101" s="4" t="s">
        <v>67</v>
      </c>
      <c r="H101" s="4" t="s">
        <v>68</v>
      </c>
      <c r="I101" s="4" t="s">
        <v>2494</v>
      </c>
      <c r="J101" s="55" t="s">
        <v>319</v>
      </c>
      <c r="K101" s="4" t="s">
        <v>71</v>
      </c>
      <c r="L101" s="4" t="s">
        <v>3487</v>
      </c>
      <c r="M101" s="4" t="s">
        <v>3659</v>
      </c>
      <c r="N101" s="4" t="s">
        <v>74</v>
      </c>
      <c r="O101" s="4" t="s">
        <v>75</v>
      </c>
      <c r="P101" s="4" t="s">
        <v>3942</v>
      </c>
      <c r="Q101" s="57">
        <v>45146</v>
      </c>
      <c r="R101" s="57">
        <v>45154</v>
      </c>
      <c r="S101" s="113"/>
      <c r="T101" s="113"/>
      <c r="U101" s="4"/>
      <c r="V101" s="4"/>
      <c r="W101" s="105" t="s">
        <v>4392</v>
      </c>
      <c r="X101" s="114">
        <v>1682932215</v>
      </c>
      <c r="Y101" s="55">
        <v>1986906716</v>
      </c>
      <c r="Z101" s="4" t="s">
        <v>4393</v>
      </c>
      <c r="AA101" s="4">
        <v>1993074456</v>
      </c>
      <c r="AB101" s="4" t="s">
        <v>132</v>
      </c>
      <c r="AC101" s="4" t="s">
        <v>119</v>
      </c>
      <c r="AD101" s="113">
        <v>34556</v>
      </c>
      <c r="AE101" s="107">
        <v>29.7013698630137</v>
      </c>
      <c r="AF101" s="4" t="s">
        <v>80</v>
      </c>
      <c r="AG101" s="114">
        <v>1502220401</v>
      </c>
      <c r="AH101" s="4" t="s">
        <v>81</v>
      </c>
      <c r="AI101" s="55" t="s">
        <v>347</v>
      </c>
      <c r="AJ101" s="55" t="s">
        <v>81</v>
      </c>
      <c r="AK101" s="55" t="s">
        <v>81</v>
      </c>
      <c r="AL101" s="4" t="s">
        <v>596</v>
      </c>
      <c r="AM101" s="4" t="s">
        <v>4394</v>
      </c>
      <c r="AN101" s="4" t="s">
        <v>4395</v>
      </c>
      <c r="AO101" s="4" t="s">
        <v>4396</v>
      </c>
      <c r="AP101" s="4" t="s">
        <v>4397</v>
      </c>
      <c r="AQ101" s="55" t="s">
        <v>4398</v>
      </c>
      <c r="AR101" s="4" t="s">
        <v>110</v>
      </c>
      <c r="AS101" s="4"/>
      <c r="AT101" s="72"/>
      <c r="AU101" s="4"/>
      <c r="AV101" s="4"/>
      <c r="AW101" s="4"/>
      <c r="AX101" s="4"/>
      <c r="AY101" s="4"/>
      <c r="AZ101" s="4"/>
      <c r="BA101" s="4" t="s">
        <v>3498</v>
      </c>
      <c r="BB101" s="4">
        <v>10800</v>
      </c>
      <c r="BC101" s="4">
        <v>2700</v>
      </c>
      <c r="BD101" s="4">
        <v>0</v>
      </c>
      <c r="BE101" s="4" t="s">
        <v>296</v>
      </c>
      <c r="BF101" s="4" t="s">
        <v>167</v>
      </c>
      <c r="BG101" s="4" t="s">
        <v>167</v>
      </c>
      <c r="BH101" s="4" t="s">
        <v>3510</v>
      </c>
      <c r="BI101" s="72">
        <f>VLOOKUP(A101,'ID Block'!A:L,12,0)</f>
        <v>45314</v>
      </c>
      <c r="BJ101" s="154" t="str">
        <f>VLOOKUP(A101,'ID Block'!A:M,13,0)</f>
        <v>Better Opportunity</v>
      </c>
      <c r="BK101" s="4">
        <f t="shared" si="1"/>
        <v>160</v>
      </c>
      <c r="BL101" s="105" t="s">
        <v>168</v>
      </c>
      <c r="BM101" s="10"/>
      <c r="BN101" s="183" t="s">
        <v>4035</v>
      </c>
      <c r="BO101" s="183"/>
    </row>
    <row r="102" ht="14.4" s="67" customFormat="1">
      <c r="A102" s="4">
        <v>171178</v>
      </c>
      <c r="B102" s="4"/>
      <c r="C102" s="55" t="s">
        <v>649</v>
      </c>
      <c r="D102" s="4" t="s">
        <v>4399</v>
      </c>
      <c r="E102" s="4" t="s">
        <v>114</v>
      </c>
      <c r="F102" s="55">
        <v>637245</v>
      </c>
      <c r="G102" s="4" t="s">
        <v>67</v>
      </c>
      <c r="H102" s="4" t="s">
        <v>68</v>
      </c>
      <c r="I102" s="4" t="s">
        <v>2494</v>
      </c>
      <c r="J102" s="55" t="s">
        <v>297</v>
      </c>
      <c r="K102" s="4" t="s">
        <v>71</v>
      </c>
      <c r="L102" s="4" t="s">
        <v>3487</v>
      </c>
      <c r="M102" s="4" t="s">
        <v>115</v>
      </c>
      <c r="N102" s="4" t="s">
        <v>74</v>
      </c>
      <c r="O102" s="4" t="s">
        <v>75</v>
      </c>
      <c r="P102" s="4" t="s">
        <v>3987</v>
      </c>
      <c r="Q102" s="57">
        <v>45206</v>
      </c>
      <c r="R102" s="57">
        <v>45211</v>
      </c>
      <c r="S102" s="113"/>
      <c r="T102" s="113"/>
      <c r="U102" s="4"/>
      <c r="V102" s="4"/>
      <c r="W102" s="105" t="s">
        <v>4400</v>
      </c>
      <c r="X102" s="114">
        <v>1740260965</v>
      </c>
      <c r="Y102" s="55">
        <v>1949468528</v>
      </c>
      <c r="Z102" s="4" t="s">
        <v>4401</v>
      </c>
      <c r="AA102" s="4">
        <v>1984151784</v>
      </c>
      <c r="AB102" s="4" t="s">
        <v>382</v>
      </c>
      <c r="AC102" s="4" t="s">
        <v>119</v>
      </c>
      <c r="AD102" s="113">
        <v>35611</v>
      </c>
      <c r="AE102" s="107">
        <v>26.8109589041096</v>
      </c>
      <c r="AF102" s="4" t="s">
        <v>80</v>
      </c>
      <c r="AG102" s="114">
        <v>2852167044</v>
      </c>
      <c r="AH102" s="4" t="s">
        <v>81</v>
      </c>
      <c r="AI102" s="55" t="s">
        <v>322</v>
      </c>
      <c r="AJ102" s="55" t="s">
        <v>81</v>
      </c>
      <c r="AK102" s="55">
        <v>2019</v>
      </c>
      <c r="AL102" s="4" t="s">
        <v>4402</v>
      </c>
      <c r="AM102" s="4" t="s">
        <v>4403</v>
      </c>
      <c r="AN102" s="4" t="s">
        <v>4404</v>
      </c>
      <c r="AO102" s="4" t="s">
        <v>4405</v>
      </c>
      <c r="AP102" s="4" t="s">
        <v>4406</v>
      </c>
      <c r="AQ102" s="55" t="s">
        <v>4407</v>
      </c>
      <c r="AR102" s="4" t="s">
        <v>110</v>
      </c>
      <c r="AS102" s="4"/>
      <c r="AT102" s="72"/>
      <c r="AU102" s="4"/>
      <c r="AV102" s="4"/>
      <c r="AW102" s="4"/>
      <c r="AX102" s="4"/>
      <c r="AY102" s="4"/>
      <c r="AZ102" s="4"/>
      <c r="BA102" s="4" t="s">
        <v>3498</v>
      </c>
      <c r="BB102" s="4">
        <v>10800</v>
      </c>
      <c r="BC102" s="4">
        <v>2700</v>
      </c>
      <c r="BD102" s="4">
        <v>0</v>
      </c>
      <c r="BE102" s="4" t="s">
        <v>296</v>
      </c>
      <c r="BF102" s="4"/>
      <c r="BG102" s="4"/>
      <c r="BH102" s="4" t="s">
        <v>3510</v>
      </c>
      <c r="BI102" s="72">
        <f>VLOOKUP(A102,'ID Block'!A:L,12,0)</f>
        <v>45315</v>
      </c>
      <c r="BJ102" s="154" t="str">
        <f>VLOOKUP(A102,'ID Block'!A:M,13,0)</f>
        <v>Better Opportunity</v>
      </c>
      <c r="BK102" s="4">
        <f t="shared" si="1"/>
        <v>104</v>
      </c>
      <c r="BL102" s="105" t="s">
        <v>168</v>
      </c>
      <c r="BM102" s="10"/>
      <c r="BN102" s="183" t="s">
        <v>4035</v>
      </c>
      <c r="BO102" s="183"/>
    </row>
    <row r="103" ht="14.4" s="67" customFormat="1">
      <c r="A103" s="4">
        <v>171019</v>
      </c>
      <c r="B103" s="4"/>
      <c r="C103" s="55" t="s">
        <v>4408</v>
      </c>
      <c r="D103" s="4" t="s">
        <v>4409</v>
      </c>
      <c r="E103" s="4" t="s">
        <v>66</v>
      </c>
      <c r="F103" s="55">
        <v>1210915822</v>
      </c>
      <c r="G103" s="4" t="s">
        <v>67</v>
      </c>
      <c r="H103" s="4" t="s">
        <v>68</v>
      </c>
      <c r="I103" s="4" t="s">
        <v>2494</v>
      </c>
      <c r="J103" s="55" t="s">
        <v>70</v>
      </c>
      <c r="K103" s="4" t="s">
        <v>71</v>
      </c>
      <c r="L103" s="4" t="s">
        <v>3487</v>
      </c>
      <c r="M103" s="4" t="s">
        <v>3659</v>
      </c>
      <c r="N103" s="4" t="s">
        <v>74</v>
      </c>
      <c r="O103" s="4" t="s">
        <v>75</v>
      </c>
      <c r="P103" s="4" t="s">
        <v>3585</v>
      </c>
      <c r="Q103" s="57">
        <v>45029</v>
      </c>
      <c r="R103" s="57">
        <v>45042</v>
      </c>
      <c r="S103" s="113"/>
      <c r="T103" s="113"/>
      <c r="U103" s="4"/>
      <c r="V103" s="4"/>
      <c r="W103" s="105" t="s">
        <v>4410</v>
      </c>
      <c r="X103" s="114">
        <v>1794839371</v>
      </c>
      <c r="Y103" s="55"/>
      <c r="Z103" s="4" t="s">
        <v>4411</v>
      </c>
      <c r="AA103" s="4">
        <v>1701203539</v>
      </c>
      <c r="AB103" s="4" t="s">
        <v>78</v>
      </c>
      <c r="AC103" s="4" t="s">
        <v>133</v>
      </c>
      <c r="AD103" s="113">
        <v>36570</v>
      </c>
      <c r="AE103" s="107">
        <v>24.1835616438356</v>
      </c>
      <c r="AF103" s="4" t="s">
        <v>80</v>
      </c>
      <c r="AG103" s="114" t="s">
        <v>4412</v>
      </c>
      <c r="AH103" s="4" t="s">
        <v>81</v>
      </c>
      <c r="AI103" s="55" t="s">
        <v>160</v>
      </c>
      <c r="AJ103" s="55" t="s">
        <v>81</v>
      </c>
      <c r="AK103" s="55" t="s">
        <v>81</v>
      </c>
      <c r="AL103" s="4" t="s">
        <v>4413</v>
      </c>
      <c r="AM103" s="4" t="s">
        <v>4414</v>
      </c>
      <c r="AN103" s="4" t="s">
        <v>4415</v>
      </c>
      <c r="AO103" s="4" t="s">
        <v>4416</v>
      </c>
      <c r="AP103" s="4" t="s">
        <v>4417</v>
      </c>
      <c r="AQ103" s="55" t="s">
        <v>4418</v>
      </c>
      <c r="AR103" s="4" t="s">
        <v>89</v>
      </c>
      <c r="AS103" s="4"/>
      <c r="AT103" s="72"/>
      <c r="AU103" s="4"/>
      <c r="AV103" s="4"/>
      <c r="AW103" s="4"/>
      <c r="AX103" s="4"/>
      <c r="AY103" s="4"/>
      <c r="AZ103" s="4"/>
      <c r="BA103" s="4" t="s">
        <v>3498</v>
      </c>
      <c r="BB103" s="4">
        <v>10800</v>
      </c>
      <c r="BC103" s="4">
        <v>2700</v>
      </c>
      <c r="BD103" s="4">
        <v>0</v>
      </c>
      <c r="BE103" s="4" t="s">
        <v>91</v>
      </c>
      <c r="BF103" s="4">
        <v>161517</v>
      </c>
      <c r="BG103" s="4" t="s">
        <v>92</v>
      </c>
      <c r="BH103" s="4" t="s">
        <v>3510</v>
      </c>
      <c r="BI103" s="72">
        <f>VLOOKUP(A103,'ID Block'!A:L,12,0)</f>
        <v>45316</v>
      </c>
      <c r="BJ103" s="154" t="str">
        <f>VLOOKUP(A103,'ID Block'!A:M,13,0)</f>
        <v>Better Opportunity</v>
      </c>
      <c r="BK103" s="4">
        <f t="shared" si="1"/>
        <v>274</v>
      </c>
      <c r="BL103" s="105" t="s">
        <v>168</v>
      </c>
      <c r="BM103" s="10"/>
      <c r="BN103" s="183" t="s">
        <v>4035</v>
      </c>
      <c r="BO103" s="183"/>
    </row>
    <row r="104" ht="14.4" s="67" customFormat="1">
      <c r="A104" s="4">
        <v>171291</v>
      </c>
      <c r="B104" s="4"/>
      <c r="C104" s="55" t="s">
        <v>659</v>
      </c>
      <c r="D104" s="4" t="s">
        <v>4419</v>
      </c>
      <c r="E104" s="4" t="s">
        <v>114</v>
      </c>
      <c r="F104" s="55" t="s">
        <v>4420</v>
      </c>
      <c r="G104" s="4" t="s">
        <v>67</v>
      </c>
      <c r="H104" s="4" t="s">
        <v>68</v>
      </c>
      <c r="I104" s="4" t="s">
        <v>2494</v>
      </c>
      <c r="J104" s="55" t="s">
        <v>3650</v>
      </c>
      <c r="K104" s="4" t="s">
        <v>71</v>
      </c>
      <c r="L104" s="4" t="s">
        <v>3487</v>
      </c>
      <c r="M104" s="4" t="s">
        <v>115</v>
      </c>
      <c r="N104" s="4" t="s">
        <v>74</v>
      </c>
      <c r="O104" s="4" t="s">
        <v>75</v>
      </c>
      <c r="P104" s="4" t="s">
        <v>4143</v>
      </c>
      <c r="Q104" s="57">
        <v>45256</v>
      </c>
      <c r="R104" s="57">
        <v>45261</v>
      </c>
      <c r="S104" s="113"/>
      <c r="T104" s="113"/>
      <c r="U104" s="4"/>
      <c r="V104" s="4"/>
      <c r="W104" s="105" t="s">
        <v>4421</v>
      </c>
      <c r="X104" s="114">
        <v>1733948479</v>
      </c>
      <c r="Y104" s="55">
        <v>1871127810</v>
      </c>
      <c r="Z104" s="4" t="s">
        <v>4422</v>
      </c>
      <c r="AA104" s="4">
        <v>1720287089</v>
      </c>
      <c r="AB104" s="4" t="s">
        <v>101</v>
      </c>
      <c r="AC104" s="4" t="s">
        <v>79</v>
      </c>
      <c r="AD104" s="113">
        <v>33854</v>
      </c>
      <c r="AE104" s="107">
        <v>31.6246575342466</v>
      </c>
      <c r="AF104" s="4" t="s">
        <v>80</v>
      </c>
      <c r="AG104" s="114">
        <v>7805496929</v>
      </c>
      <c r="AH104" s="4" t="s">
        <v>81</v>
      </c>
      <c r="AI104" s="55" t="s">
        <v>265</v>
      </c>
      <c r="AJ104" s="55" t="s">
        <v>265</v>
      </c>
      <c r="AK104" s="55">
        <v>2013</v>
      </c>
      <c r="AL104" s="4" t="s">
        <v>4423</v>
      </c>
      <c r="AM104" s="4" t="s">
        <v>4422</v>
      </c>
      <c r="AN104" s="4" t="s">
        <v>81</v>
      </c>
      <c r="AO104" s="4" t="s">
        <v>4424</v>
      </c>
      <c r="AP104" s="4" t="s">
        <v>4424</v>
      </c>
      <c r="AQ104" s="55" t="s">
        <v>910</v>
      </c>
      <c r="AR104" s="4" t="s">
        <v>110</v>
      </c>
      <c r="AS104" s="4" t="s">
        <v>81</v>
      </c>
      <c r="AT104" s="72" t="s">
        <v>81</v>
      </c>
      <c r="AU104" s="4" t="s">
        <v>81</v>
      </c>
      <c r="AV104" s="4" t="s">
        <v>81</v>
      </c>
      <c r="AW104" s="4" t="s">
        <v>81</v>
      </c>
      <c r="AX104" s="4" t="s">
        <v>81</v>
      </c>
      <c r="AY104" s="4"/>
      <c r="AZ104" s="4"/>
      <c r="BA104" s="4" t="s">
        <v>3498</v>
      </c>
      <c r="BB104" s="4">
        <v>10800</v>
      </c>
      <c r="BC104" s="4">
        <v>2700</v>
      </c>
      <c r="BD104" s="4">
        <v>0</v>
      </c>
      <c r="BE104" s="4" t="s">
        <v>91</v>
      </c>
      <c r="BF104" s="4"/>
      <c r="BG104" s="4"/>
      <c r="BH104" s="4" t="s">
        <v>3510</v>
      </c>
      <c r="BI104" s="72">
        <f>VLOOKUP(A104,'ID Block'!A:L,12,0)</f>
        <v>45318</v>
      </c>
      <c r="BJ104" s="154" t="str">
        <f>VLOOKUP(A104,'ID Block'!A:M,13,0)</f>
        <v>Better Opportunity</v>
      </c>
      <c r="BK104" s="4">
        <f t="shared" si="1"/>
        <v>57</v>
      </c>
      <c r="BL104" s="105" t="s">
        <v>168</v>
      </c>
      <c r="BM104" s="10"/>
      <c r="BN104" s="183" t="s">
        <v>4035</v>
      </c>
      <c r="BO104" s="183"/>
    </row>
    <row r="105" ht="14.4" s="67" customFormat="1">
      <c r="A105" s="4">
        <v>171257</v>
      </c>
      <c r="B105" s="4"/>
      <c r="C105" s="55" t="s">
        <v>4425</v>
      </c>
      <c r="D105" s="4" t="s">
        <v>4426</v>
      </c>
      <c r="E105" s="4" t="s">
        <v>114</v>
      </c>
      <c r="F105" s="55">
        <v>1317632600</v>
      </c>
      <c r="G105" s="4" t="s">
        <v>67</v>
      </c>
      <c r="H105" s="4" t="s">
        <v>68</v>
      </c>
      <c r="I105" s="4" t="s">
        <v>2494</v>
      </c>
      <c r="J105" s="55" t="s">
        <v>155</v>
      </c>
      <c r="K105" s="4" t="s">
        <v>71</v>
      </c>
      <c r="L105" s="4" t="s">
        <v>3487</v>
      </c>
      <c r="M105" s="4" t="s">
        <v>196</v>
      </c>
      <c r="N105" s="4" t="s">
        <v>74</v>
      </c>
      <c r="O105" s="4" t="s">
        <v>75</v>
      </c>
      <c r="P105" s="4" t="s">
        <v>4123</v>
      </c>
      <c r="Q105" s="57">
        <v>45251</v>
      </c>
      <c r="R105" s="57">
        <v>45268</v>
      </c>
      <c r="S105" s="113"/>
      <c r="T105" s="113"/>
      <c r="U105" s="4"/>
      <c r="V105" s="4"/>
      <c r="W105" s="105" t="s">
        <v>4427</v>
      </c>
      <c r="X105" s="114">
        <v>1755446564</v>
      </c>
      <c r="Y105" s="55">
        <v>1567810393</v>
      </c>
      <c r="Z105" s="4" t="s">
        <v>4428</v>
      </c>
      <c r="AA105" s="4">
        <v>1710791780</v>
      </c>
      <c r="AB105" s="4" t="s">
        <v>101</v>
      </c>
      <c r="AC105" s="4" t="s">
        <v>119</v>
      </c>
      <c r="AD105" s="113">
        <v>36887</v>
      </c>
      <c r="AE105" s="107">
        <v>23.3150684931507</v>
      </c>
      <c r="AF105" s="4" t="s">
        <v>80</v>
      </c>
      <c r="AG105" s="114">
        <v>4210056380</v>
      </c>
      <c r="AH105" s="4" t="s">
        <v>81</v>
      </c>
      <c r="AI105" s="55" t="s">
        <v>290</v>
      </c>
      <c r="AJ105" s="55" t="s">
        <v>81</v>
      </c>
      <c r="AK105" s="55">
        <v>2022</v>
      </c>
      <c r="AL105" s="4" t="s">
        <v>4429</v>
      </c>
      <c r="AM105" s="4" t="s">
        <v>4430</v>
      </c>
      <c r="AN105" s="4" t="s">
        <v>4431</v>
      </c>
      <c r="AO105" s="4" t="s">
        <v>4432</v>
      </c>
      <c r="AP105" s="4" t="s">
        <v>4433</v>
      </c>
      <c r="AQ105" s="55" t="s">
        <v>3446</v>
      </c>
      <c r="AR105" s="4" t="s">
        <v>110</v>
      </c>
      <c r="AS105" s="4" t="s">
        <v>81</v>
      </c>
      <c r="AT105" s="72" t="s">
        <v>81</v>
      </c>
      <c r="AU105" s="4" t="s">
        <v>81</v>
      </c>
      <c r="AV105" s="4" t="s">
        <v>81</v>
      </c>
      <c r="AW105" s="4" t="s">
        <v>81</v>
      </c>
      <c r="AX105" s="4" t="s">
        <v>81</v>
      </c>
      <c r="AY105" s="4"/>
      <c r="AZ105" s="4"/>
      <c r="BA105" s="4" t="s">
        <v>3498</v>
      </c>
      <c r="BB105" s="4">
        <v>10800</v>
      </c>
      <c r="BC105" s="4">
        <v>2700</v>
      </c>
      <c r="BD105" s="4">
        <v>1000</v>
      </c>
      <c r="BE105" s="4" t="s">
        <v>166</v>
      </c>
      <c r="BF105" s="4"/>
      <c r="BG105" s="4"/>
      <c r="BH105" s="4" t="s">
        <v>3510</v>
      </c>
      <c r="BI105" s="72">
        <f>VLOOKUP(A105,'ID Block'!A:L,12,0)</f>
        <v>45319</v>
      </c>
      <c r="BJ105" s="154" t="str">
        <f>VLOOKUP(A105,'ID Block'!A:M,13,0)</f>
        <v>Better Opportunity</v>
      </c>
      <c r="BK105" s="4">
        <f t="shared" si="1"/>
        <v>51</v>
      </c>
      <c r="BL105" s="105" t="s">
        <v>168</v>
      </c>
      <c r="BM105" s="10"/>
      <c r="BN105" s="183" t="s">
        <v>4035</v>
      </c>
      <c r="BO105" s="183"/>
    </row>
    <row r="106" ht="14.4" s="67" customFormat="1">
      <c r="A106" s="4">
        <v>171131</v>
      </c>
      <c r="B106" s="4"/>
      <c r="C106" s="55" t="s">
        <v>891</v>
      </c>
      <c r="D106" s="4" t="s">
        <v>4434</v>
      </c>
      <c r="E106" s="4" t="s">
        <v>114</v>
      </c>
      <c r="F106" s="55">
        <v>1012632107</v>
      </c>
      <c r="G106" s="4" t="s">
        <v>67</v>
      </c>
      <c r="H106" s="4" t="s">
        <v>68</v>
      </c>
      <c r="I106" s="4" t="s">
        <v>2494</v>
      </c>
      <c r="J106" s="55" t="s">
        <v>4223</v>
      </c>
      <c r="K106" s="4" t="s">
        <v>71</v>
      </c>
      <c r="L106" s="4" t="s">
        <v>3487</v>
      </c>
      <c r="M106" s="4" t="s">
        <v>196</v>
      </c>
      <c r="N106" s="4" t="s">
        <v>74</v>
      </c>
      <c r="O106" s="4" t="s">
        <v>75</v>
      </c>
      <c r="P106" s="4" t="s">
        <v>3942</v>
      </c>
      <c r="Q106" s="57">
        <v>45146</v>
      </c>
      <c r="R106" s="57">
        <v>45154</v>
      </c>
      <c r="S106" s="113"/>
      <c r="T106" s="113"/>
      <c r="U106" s="4"/>
      <c r="V106" s="4"/>
      <c r="W106" s="105" t="s">
        <v>4435</v>
      </c>
      <c r="X106" s="114">
        <v>1717188406</v>
      </c>
      <c r="Y106" s="55">
        <v>1717188406</v>
      </c>
      <c r="Z106" s="4" t="s">
        <v>4436</v>
      </c>
      <c r="AA106" s="4">
        <v>1717188406</v>
      </c>
      <c r="AB106" s="4" t="s">
        <v>132</v>
      </c>
      <c r="AC106" s="4" t="s">
        <v>133</v>
      </c>
      <c r="AD106" s="113">
        <v>35440</v>
      </c>
      <c r="AE106" s="107">
        <v>27.2794520547945</v>
      </c>
      <c r="AF106" s="4" t="s">
        <v>80</v>
      </c>
      <c r="AG106" s="114">
        <v>8703026990</v>
      </c>
      <c r="AH106" s="4" t="s">
        <v>81</v>
      </c>
      <c r="AI106" s="55" t="s">
        <v>265</v>
      </c>
      <c r="AJ106" s="55" t="s">
        <v>81</v>
      </c>
      <c r="AK106" s="55" t="s">
        <v>81</v>
      </c>
      <c r="AL106" s="4" t="s">
        <v>4437</v>
      </c>
      <c r="AM106" s="4" t="s">
        <v>4388</v>
      </c>
      <c r="AN106" s="4" t="s">
        <v>4438</v>
      </c>
      <c r="AO106" s="4" t="s">
        <v>4439</v>
      </c>
      <c r="AP106" s="4" t="s">
        <v>4440</v>
      </c>
      <c r="AQ106" s="55" t="s">
        <v>666</v>
      </c>
      <c r="AR106" s="4" t="s">
        <v>110</v>
      </c>
      <c r="AS106" s="4"/>
      <c r="AT106" s="72"/>
      <c r="AU106" s="4"/>
      <c r="AV106" s="4"/>
      <c r="AW106" s="4"/>
      <c r="AX106" s="4"/>
      <c r="AY106" s="4"/>
      <c r="AZ106" s="4"/>
      <c r="BA106" s="4" t="s">
        <v>3498</v>
      </c>
      <c r="BB106" s="4">
        <v>10800</v>
      </c>
      <c r="BC106" s="4">
        <v>2700</v>
      </c>
      <c r="BD106" s="4">
        <v>1000</v>
      </c>
      <c r="BE106" s="4" t="s">
        <v>166</v>
      </c>
      <c r="BF106" s="4" t="s">
        <v>167</v>
      </c>
      <c r="BG106" s="4" t="s">
        <v>167</v>
      </c>
      <c r="BH106" s="4" t="s">
        <v>3510</v>
      </c>
      <c r="BI106" s="72">
        <f>VLOOKUP(A106,'ID Block'!A:L,12,0)</f>
        <v>45320</v>
      </c>
      <c r="BJ106" s="154" t="str">
        <f>VLOOKUP(A106,'ID Block'!A:M,13,0)</f>
        <v>Better Opportunity</v>
      </c>
      <c r="BK106" s="4">
        <f t="shared" si="1"/>
        <v>166</v>
      </c>
      <c r="BL106" s="105" t="s">
        <v>168</v>
      </c>
      <c r="BM106" s="10"/>
      <c r="BN106" s="183" t="s">
        <v>4035</v>
      </c>
      <c r="BO106" s="183"/>
    </row>
    <row r="107" ht="14.4" s="67" customFormat="1">
      <c r="A107" s="4">
        <v>171023</v>
      </c>
      <c r="B107" s="4"/>
      <c r="C107" s="55" t="s">
        <v>4441</v>
      </c>
      <c r="D107" s="4" t="s">
        <v>4442</v>
      </c>
      <c r="E107" s="4" t="s">
        <v>66</v>
      </c>
      <c r="F107" s="55">
        <v>661166</v>
      </c>
      <c r="G107" s="4" t="s">
        <v>67</v>
      </c>
      <c r="H107" s="4" t="s">
        <v>68</v>
      </c>
      <c r="I107" s="4" t="s">
        <v>2494</v>
      </c>
      <c r="J107" s="55" t="s">
        <v>70</v>
      </c>
      <c r="K107" s="4" t="s">
        <v>71</v>
      </c>
      <c r="L107" s="4" t="s">
        <v>3487</v>
      </c>
      <c r="M107" s="4" t="s">
        <v>3659</v>
      </c>
      <c r="N107" s="4" t="s">
        <v>74</v>
      </c>
      <c r="O107" s="4" t="s">
        <v>75</v>
      </c>
      <c r="P107" s="4" t="s">
        <v>3585</v>
      </c>
      <c r="Q107" s="57">
        <v>45029</v>
      </c>
      <c r="R107" s="57">
        <v>45042</v>
      </c>
      <c r="S107" s="113"/>
      <c r="T107" s="113"/>
      <c r="U107" s="4"/>
      <c r="V107" s="4"/>
      <c r="W107" s="105" t="s">
        <v>4443</v>
      </c>
      <c r="X107" s="114">
        <v>1817433286</v>
      </c>
      <c r="Y107" s="55"/>
      <c r="Z107" s="4" t="s">
        <v>4444</v>
      </c>
      <c r="AA107" s="4">
        <v>1798866670</v>
      </c>
      <c r="AB107" s="4" t="s">
        <v>252</v>
      </c>
      <c r="AC107" s="4" t="s">
        <v>133</v>
      </c>
      <c r="AD107" s="113">
        <v>35136</v>
      </c>
      <c r="AE107" s="107">
        <v>28.1123287671233</v>
      </c>
      <c r="AF107" s="4" t="s">
        <v>80</v>
      </c>
      <c r="AG107" s="114">
        <v>4171605886</v>
      </c>
      <c r="AH107" s="4" t="s">
        <v>81</v>
      </c>
      <c r="AI107" s="55" t="s">
        <v>82</v>
      </c>
      <c r="AJ107" s="55" t="s">
        <v>81</v>
      </c>
      <c r="AK107" s="55" t="s">
        <v>81</v>
      </c>
      <c r="AL107" s="4" t="s">
        <v>2727</v>
      </c>
      <c r="AM107" s="4" t="s">
        <v>4445</v>
      </c>
      <c r="AN107" s="4" t="s">
        <v>4446</v>
      </c>
      <c r="AO107" s="4" t="s">
        <v>4447</v>
      </c>
      <c r="AP107" s="4" t="s">
        <v>4448</v>
      </c>
      <c r="AQ107" s="55" t="s">
        <v>3969</v>
      </c>
      <c r="AR107" s="4" t="s">
        <v>110</v>
      </c>
      <c r="AS107" s="4"/>
      <c r="AT107" s="72"/>
      <c r="AU107" s="4"/>
      <c r="AV107" s="4"/>
      <c r="AW107" s="4"/>
      <c r="AX107" s="4"/>
      <c r="AY107" s="4"/>
      <c r="AZ107" s="4"/>
      <c r="BA107" s="4" t="s">
        <v>3498</v>
      </c>
      <c r="BB107" s="4">
        <v>10800</v>
      </c>
      <c r="BC107" s="4">
        <v>2700</v>
      </c>
      <c r="BD107" s="4">
        <v>0</v>
      </c>
      <c r="BE107" s="4" t="s">
        <v>91</v>
      </c>
      <c r="BF107" s="4">
        <v>161693</v>
      </c>
      <c r="BG107" s="4" t="s">
        <v>92</v>
      </c>
      <c r="BH107" s="4" t="s">
        <v>3510</v>
      </c>
      <c r="BI107" s="72">
        <f>VLOOKUP(A107,'ID Block'!A:L,12,0)</f>
        <v>45320</v>
      </c>
      <c r="BJ107" s="154" t="str">
        <f>VLOOKUP(A107,'ID Block'!A:M,13,0)</f>
        <v>Study purpose</v>
      </c>
      <c r="BK107" s="4">
        <f t="shared" si="1"/>
        <v>278</v>
      </c>
      <c r="BL107" s="105" t="s">
        <v>168</v>
      </c>
      <c r="BM107" s="10"/>
      <c r="BN107" s="183" t="s">
        <v>3544</v>
      </c>
      <c r="BO107" s="183"/>
    </row>
    <row r="108" ht="14.4" s="67" customFormat="1">
      <c r="A108" s="4">
        <v>171232</v>
      </c>
      <c r="B108" s="4"/>
      <c r="C108" s="55" t="s">
        <v>4449</v>
      </c>
      <c r="D108" s="4" t="s">
        <v>4450</v>
      </c>
      <c r="E108" s="4" t="s">
        <v>114</v>
      </c>
      <c r="F108" s="55">
        <v>1110543425</v>
      </c>
      <c r="G108" s="4" t="s">
        <v>67</v>
      </c>
      <c r="H108" s="4" t="s">
        <v>68</v>
      </c>
      <c r="I108" s="4" t="s">
        <v>2494</v>
      </c>
      <c r="J108" s="55" t="s">
        <v>155</v>
      </c>
      <c r="K108" s="4" t="s">
        <v>71</v>
      </c>
      <c r="L108" s="4" t="s">
        <v>3487</v>
      </c>
      <c r="M108" s="4" t="s">
        <v>196</v>
      </c>
      <c r="N108" s="4" t="s">
        <v>74</v>
      </c>
      <c r="O108" s="4" t="s">
        <v>75</v>
      </c>
      <c r="P108" s="4" t="s">
        <v>4451</v>
      </c>
      <c r="Q108" s="57">
        <v>45246</v>
      </c>
      <c r="R108" s="57">
        <v>45265</v>
      </c>
      <c r="S108" s="113"/>
      <c r="T108" s="113"/>
      <c r="U108" s="4"/>
      <c r="V108" s="4"/>
      <c r="W108" s="105" t="s">
        <v>4452</v>
      </c>
      <c r="X108" s="114">
        <v>1746047604</v>
      </c>
      <c r="Y108" s="55">
        <v>1518387245</v>
      </c>
      <c r="Z108" s="4" t="s">
        <v>4453</v>
      </c>
      <c r="AA108" s="4">
        <v>1797823902</v>
      </c>
      <c r="AB108" s="4" t="s">
        <v>186</v>
      </c>
      <c r="AC108" s="4" t="s">
        <v>133</v>
      </c>
      <c r="AD108" s="113">
        <v>35796</v>
      </c>
      <c r="AE108" s="107">
        <v>26.3041095890411</v>
      </c>
      <c r="AF108" s="4" t="s">
        <v>80</v>
      </c>
      <c r="AG108" s="114">
        <v>8708188423</v>
      </c>
      <c r="AH108" s="4" t="s">
        <v>81</v>
      </c>
      <c r="AI108" s="55" t="s">
        <v>445</v>
      </c>
      <c r="AJ108" s="55" t="s">
        <v>81</v>
      </c>
      <c r="AK108" s="55">
        <v>2022</v>
      </c>
      <c r="AL108" s="4" t="s">
        <v>4454</v>
      </c>
      <c r="AM108" s="4" t="s">
        <v>4455</v>
      </c>
      <c r="AN108" s="4" t="s">
        <v>4456</v>
      </c>
      <c r="AO108" s="4" t="s">
        <v>4457</v>
      </c>
      <c r="AP108" s="4" t="s">
        <v>4458</v>
      </c>
      <c r="AQ108" s="55" t="s">
        <v>4459</v>
      </c>
      <c r="AR108" s="4" t="s">
        <v>89</v>
      </c>
      <c r="AS108" s="4" t="s">
        <v>4453</v>
      </c>
      <c r="AT108" s="72">
        <v>36135</v>
      </c>
      <c r="AU108" s="4" t="s">
        <v>81</v>
      </c>
      <c r="AV108" s="4" t="s">
        <v>81</v>
      </c>
      <c r="AW108" s="4" t="s">
        <v>81</v>
      </c>
      <c r="AX108" s="4" t="s">
        <v>81</v>
      </c>
      <c r="AY108" s="4"/>
      <c r="AZ108" s="4"/>
      <c r="BA108" s="4" t="s">
        <v>3498</v>
      </c>
      <c r="BB108" s="4">
        <v>10800</v>
      </c>
      <c r="BC108" s="4">
        <v>2700</v>
      </c>
      <c r="BD108" s="4">
        <v>1000</v>
      </c>
      <c r="BE108" s="4" t="s">
        <v>166</v>
      </c>
      <c r="BF108" s="4"/>
      <c r="BG108" s="4"/>
      <c r="BH108" s="4" t="s">
        <v>3510</v>
      </c>
      <c r="BI108" s="72">
        <f>VLOOKUP(A108,'ID Block'!A:L,12,0)</f>
        <v>45322</v>
      </c>
      <c r="BJ108" s="154" t="str">
        <f>VLOOKUP(A108,'ID Block'!A:M,13,0)</f>
        <v>Better Opportunity</v>
      </c>
      <c r="BK108" s="4">
        <f t="shared" si="1"/>
        <v>57</v>
      </c>
      <c r="BL108" s="105" t="s">
        <v>168</v>
      </c>
      <c r="BM108" s="10"/>
      <c r="BN108" s="183" t="s">
        <v>4035</v>
      </c>
      <c r="BO108" s="183"/>
    </row>
    <row r="109" ht="14.4" s="67" customFormat="1">
      <c r="A109" s="4">
        <v>171071</v>
      </c>
      <c r="B109" s="4"/>
      <c r="C109" s="55" t="s">
        <v>4460</v>
      </c>
      <c r="D109" s="4" t="s">
        <v>4461</v>
      </c>
      <c r="E109" s="4" t="s">
        <v>114</v>
      </c>
      <c r="F109" s="55">
        <v>683898</v>
      </c>
      <c r="G109" s="4" t="s">
        <v>67</v>
      </c>
      <c r="H109" s="4" t="s">
        <v>68</v>
      </c>
      <c r="I109" s="4" t="s">
        <v>2494</v>
      </c>
      <c r="J109" s="55" t="s">
        <v>155</v>
      </c>
      <c r="K109" s="4" t="s">
        <v>71</v>
      </c>
      <c r="L109" s="4" t="s">
        <v>3487</v>
      </c>
      <c r="M109" s="4" t="s">
        <v>196</v>
      </c>
      <c r="N109" s="4" t="s">
        <v>74</v>
      </c>
      <c r="O109" s="4" t="s">
        <v>75</v>
      </c>
      <c r="P109" s="4" t="s">
        <v>3564</v>
      </c>
      <c r="Q109" s="57">
        <v>45077</v>
      </c>
      <c r="R109" s="57">
        <v>45090</v>
      </c>
      <c r="S109" s="113"/>
      <c r="T109" s="113"/>
      <c r="U109" s="4"/>
      <c r="V109" s="4"/>
      <c r="W109" s="105" t="s">
        <v>4462</v>
      </c>
      <c r="X109" s="114">
        <v>1684807421</v>
      </c>
      <c r="Y109" s="55">
        <v>1540100541</v>
      </c>
      <c r="Z109" s="4" t="s">
        <v>4463</v>
      </c>
      <c r="AA109" s="4">
        <v>1734944030</v>
      </c>
      <c r="AB109" s="4" t="s">
        <v>252</v>
      </c>
      <c r="AC109" s="4" t="s">
        <v>79</v>
      </c>
      <c r="AD109" s="113">
        <v>35462</v>
      </c>
      <c r="AE109" s="107">
        <v>27.2191780821918</v>
      </c>
      <c r="AF109" s="4" t="s">
        <v>360</v>
      </c>
      <c r="AG109" s="114">
        <v>7803880124</v>
      </c>
      <c r="AH109" s="4" t="s">
        <v>81</v>
      </c>
      <c r="AI109" s="55" t="s">
        <v>4464</v>
      </c>
      <c r="AJ109" s="55" t="s">
        <v>81</v>
      </c>
      <c r="AK109" s="55" t="s">
        <v>81</v>
      </c>
      <c r="AL109" s="4" t="s">
        <v>209</v>
      </c>
      <c r="AM109" s="4" t="s">
        <v>4465</v>
      </c>
      <c r="AN109" s="4" t="s">
        <v>4466</v>
      </c>
      <c r="AO109" s="4" t="s">
        <v>4467</v>
      </c>
      <c r="AP109" s="4" t="s">
        <v>4468</v>
      </c>
      <c r="AQ109" s="55" t="s">
        <v>3862</v>
      </c>
      <c r="AR109" s="4" t="s">
        <v>110</v>
      </c>
      <c r="AS109" s="4"/>
      <c r="AT109" s="72"/>
      <c r="AU109" s="4"/>
      <c r="AV109" s="4"/>
      <c r="AW109" s="4"/>
      <c r="AX109" s="4"/>
      <c r="AY109" s="4"/>
      <c r="AZ109" s="4"/>
      <c r="BA109" s="4" t="s">
        <v>3498</v>
      </c>
      <c r="BB109" s="4">
        <v>10800</v>
      </c>
      <c r="BC109" s="4">
        <v>2700</v>
      </c>
      <c r="BD109" s="4">
        <v>1000</v>
      </c>
      <c r="BE109" s="4" t="s">
        <v>166</v>
      </c>
      <c r="BF109" s="4" t="s">
        <v>167</v>
      </c>
      <c r="BG109" s="4" t="s">
        <v>167</v>
      </c>
      <c r="BH109" s="4" t="s">
        <v>3510</v>
      </c>
      <c r="BI109" s="72">
        <f>VLOOKUP(A109,'ID Block'!A:L,12,0)</f>
        <v>45323</v>
      </c>
      <c r="BJ109" s="154" t="str">
        <f>VLOOKUP(A109,'ID Block'!A:M,13,0)</f>
        <v>Better Opportunity</v>
      </c>
      <c r="BK109" s="4">
        <f t="shared" si="1"/>
        <v>233</v>
      </c>
      <c r="BL109" s="105" t="s">
        <v>168</v>
      </c>
      <c r="BM109" s="10"/>
      <c r="BN109" s="183" t="s">
        <v>4035</v>
      </c>
      <c r="BO109" s="183"/>
    </row>
    <row r="110" ht="14.4" s="67" customFormat="1">
      <c r="A110" s="4">
        <v>171238</v>
      </c>
      <c r="B110" s="4"/>
      <c r="C110" s="55"/>
      <c r="D110" s="4" t="s">
        <v>4469</v>
      </c>
      <c r="E110" s="4" t="s">
        <v>114</v>
      </c>
      <c r="F110" s="55">
        <v>811151</v>
      </c>
      <c r="G110" s="4" t="s">
        <v>67</v>
      </c>
      <c r="H110" s="4" t="s">
        <v>68</v>
      </c>
      <c r="I110" s="4" t="s">
        <v>2494</v>
      </c>
      <c r="J110" s="55" t="s">
        <v>319</v>
      </c>
      <c r="K110" s="4" t="s">
        <v>71</v>
      </c>
      <c r="L110" s="4" t="s">
        <v>3487</v>
      </c>
      <c r="M110" s="4" t="s">
        <v>3659</v>
      </c>
      <c r="N110" s="4" t="s">
        <v>74</v>
      </c>
      <c r="O110" s="4" t="s">
        <v>75</v>
      </c>
      <c r="P110" s="4" t="s">
        <v>4123</v>
      </c>
      <c r="Q110" s="57">
        <v>45251</v>
      </c>
      <c r="R110" s="57">
        <v>45256</v>
      </c>
      <c r="S110" s="113"/>
      <c r="T110" s="113"/>
      <c r="U110" s="4"/>
      <c r="V110" s="4"/>
      <c r="W110" s="105" t="s">
        <v>4470</v>
      </c>
      <c r="X110" s="114" t="s">
        <v>4471</v>
      </c>
      <c r="Y110" s="55">
        <v>1717077011</v>
      </c>
      <c r="Z110" s="4" t="s">
        <v>4472</v>
      </c>
      <c r="AA110" s="4">
        <v>1717933351</v>
      </c>
      <c r="AB110" s="4" t="s">
        <v>252</v>
      </c>
      <c r="AC110" s="4" t="s">
        <v>1904</v>
      </c>
      <c r="AD110" s="113">
        <v>35394</v>
      </c>
      <c r="AE110" s="107">
        <v>27.4054794520548</v>
      </c>
      <c r="AF110" s="4" t="s">
        <v>80</v>
      </c>
      <c r="AG110" s="114">
        <v>5547368877</v>
      </c>
      <c r="AH110" s="4" t="s">
        <v>4473</v>
      </c>
      <c r="AI110" s="55" t="s">
        <v>217</v>
      </c>
      <c r="AJ110" s="55" t="s">
        <v>81</v>
      </c>
      <c r="AK110" s="55">
        <v>2020</v>
      </c>
      <c r="AL110" s="4" t="s">
        <v>4474</v>
      </c>
      <c r="AM110" s="4" t="s">
        <v>4475</v>
      </c>
      <c r="AN110" s="4" t="s">
        <v>4476</v>
      </c>
      <c r="AO110" s="4" t="s">
        <v>4477</v>
      </c>
      <c r="AP110" s="4" t="s">
        <v>4478</v>
      </c>
      <c r="AQ110" s="55" t="s">
        <v>4479</v>
      </c>
      <c r="AR110" s="4" t="s">
        <v>110</v>
      </c>
      <c r="AS110" s="4" t="s">
        <v>81</v>
      </c>
      <c r="AT110" s="72" t="s">
        <v>81</v>
      </c>
      <c r="AU110" s="4" t="s">
        <v>81</v>
      </c>
      <c r="AV110" s="4" t="s">
        <v>81</v>
      </c>
      <c r="AW110" s="4" t="s">
        <v>81</v>
      </c>
      <c r="AX110" s="4" t="s">
        <v>81</v>
      </c>
      <c r="AY110" s="4"/>
      <c r="AZ110" s="4"/>
      <c r="BA110" s="4" t="s">
        <v>3498</v>
      </c>
      <c r="BB110" s="4">
        <v>10800</v>
      </c>
      <c r="BC110" s="4">
        <v>2700</v>
      </c>
      <c r="BD110" s="4">
        <v>0</v>
      </c>
      <c r="BE110" s="4" t="s">
        <v>91</v>
      </c>
      <c r="BF110" s="4"/>
      <c r="BG110" s="4"/>
      <c r="BH110" s="4" t="s">
        <v>3510</v>
      </c>
      <c r="BI110" s="72">
        <f>VLOOKUP(A110,'ID Block'!A:L,12,0)</f>
        <v>45323</v>
      </c>
      <c r="BJ110" s="154" t="str">
        <f>VLOOKUP(A110,'ID Block'!A:M,13,0)</f>
        <v>Better Opportunity</v>
      </c>
      <c r="BK110" s="4">
        <f t="shared" si="1"/>
        <v>67</v>
      </c>
      <c r="BL110" s="105" t="s">
        <v>168</v>
      </c>
      <c r="BM110" s="10"/>
      <c r="BN110" s="183" t="s">
        <v>4035</v>
      </c>
      <c r="BO110" s="183"/>
    </row>
    <row r="111" ht="14.4" s="67" customFormat="1">
      <c r="A111" s="4">
        <v>171270</v>
      </c>
      <c r="B111" s="4"/>
      <c r="C111" s="55"/>
      <c r="D111" s="4" t="s">
        <v>4480</v>
      </c>
      <c r="E111" s="4" t="s">
        <v>114</v>
      </c>
      <c r="F111" s="55">
        <v>394306</v>
      </c>
      <c r="G111" s="4" t="s">
        <v>67</v>
      </c>
      <c r="H111" s="4" t="s">
        <v>68</v>
      </c>
      <c r="I111" s="4" t="s">
        <v>2494</v>
      </c>
      <c r="J111" s="55" t="s">
        <v>297</v>
      </c>
      <c r="K111" s="4" t="s">
        <v>71</v>
      </c>
      <c r="L111" s="4" t="s">
        <v>3487</v>
      </c>
      <c r="M111" s="4" t="s">
        <v>3659</v>
      </c>
      <c r="N111" s="4" t="s">
        <v>74</v>
      </c>
      <c r="O111" s="4" t="s">
        <v>75</v>
      </c>
      <c r="P111" s="4" t="s">
        <v>4143</v>
      </c>
      <c r="Q111" s="57">
        <v>45256</v>
      </c>
      <c r="R111" s="57">
        <v>45266</v>
      </c>
      <c r="S111" s="113"/>
      <c r="T111" s="113"/>
      <c r="U111" s="4"/>
      <c r="V111" s="4"/>
      <c r="W111" s="105" t="s">
        <v>4481</v>
      </c>
      <c r="X111" s="114">
        <v>1836674048</v>
      </c>
      <c r="Y111" s="55">
        <v>1610771368</v>
      </c>
      <c r="Z111" s="4" t="s">
        <v>4482</v>
      </c>
      <c r="AA111" s="4">
        <v>1823947694</v>
      </c>
      <c r="AB111" s="4" t="s">
        <v>118</v>
      </c>
      <c r="AC111" s="4" t="s">
        <v>79</v>
      </c>
      <c r="AD111" s="113">
        <v>34669</v>
      </c>
      <c r="AE111" s="107">
        <v>29.3917808219178</v>
      </c>
      <c r="AF111" s="4" t="s">
        <v>80</v>
      </c>
      <c r="AG111" s="114">
        <v>19941327608000000</v>
      </c>
      <c r="AH111" s="4" t="s">
        <v>81</v>
      </c>
      <c r="AI111" s="55" t="s">
        <v>4483</v>
      </c>
      <c r="AJ111" s="55" t="s">
        <v>81</v>
      </c>
      <c r="AK111" s="55">
        <v>2017</v>
      </c>
      <c r="AL111" s="4" t="s">
        <v>4484</v>
      </c>
      <c r="AM111" s="4" t="s">
        <v>4485</v>
      </c>
      <c r="AN111" s="4" t="s">
        <v>325</v>
      </c>
      <c r="AO111" s="4" t="s">
        <v>4486</v>
      </c>
      <c r="AP111" s="4" t="s">
        <v>4487</v>
      </c>
      <c r="AQ111" s="55" t="s">
        <v>285</v>
      </c>
      <c r="AR111" s="4" t="s">
        <v>110</v>
      </c>
      <c r="AS111" s="4" t="s">
        <v>81</v>
      </c>
      <c r="AT111" s="72" t="s">
        <v>81</v>
      </c>
      <c r="AU111" s="4" t="s">
        <v>81</v>
      </c>
      <c r="AV111" s="4" t="s">
        <v>81</v>
      </c>
      <c r="AW111" s="4" t="s">
        <v>81</v>
      </c>
      <c r="AX111" s="4" t="s">
        <v>81</v>
      </c>
      <c r="AY111" s="4"/>
      <c r="AZ111" s="4"/>
      <c r="BA111" s="4" t="s">
        <v>3498</v>
      </c>
      <c r="BB111" s="4">
        <v>10800</v>
      </c>
      <c r="BC111" s="4">
        <v>2700</v>
      </c>
      <c r="BD111" s="4">
        <v>0</v>
      </c>
      <c r="BE111" s="4" t="s">
        <v>91</v>
      </c>
      <c r="BF111" s="4"/>
      <c r="BG111" s="4"/>
      <c r="BH111" s="4" t="s">
        <v>3510</v>
      </c>
      <c r="BI111" s="72">
        <f>VLOOKUP(A111,'ID Block'!A:L,12,0)</f>
        <v>45323</v>
      </c>
      <c r="BJ111" s="154" t="str">
        <f>VLOOKUP(A111,'ID Block'!A:M,13,0)</f>
        <v>Better Opportunity</v>
      </c>
      <c r="BK111" s="4">
        <f t="shared" si="1"/>
        <v>57</v>
      </c>
      <c r="BL111" s="105" t="s">
        <v>168</v>
      </c>
      <c r="BM111" s="10"/>
      <c r="BN111" s="183" t="s">
        <v>4035</v>
      </c>
      <c r="BO111" s="183"/>
    </row>
    <row r="112" ht="14.4" s="67" customFormat="1">
      <c r="A112" s="4">
        <v>171252</v>
      </c>
      <c r="B112" s="4"/>
      <c r="C112" s="55"/>
      <c r="D112" s="4" t="s">
        <v>4488</v>
      </c>
      <c r="E112" s="4" t="s">
        <v>66</v>
      </c>
      <c r="F112" s="55">
        <v>1212617144</v>
      </c>
      <c r="G112" s="4" t="s">
        <v>67</v>
      </c>
      <c r="H112" s="4" t="s">
        <v>68</v>
      </c>
      <c r="I112" s="4" t="s">
        <v>2494</v>
      </c>
      <c r="J112" s="55" t="s">
        <v>3650</v>
      </c>
      <c r="K112" s="4" t="s">
        <v>71</v>
      </c>
      <c r="L112" s="4" t="s">
        <v>3487</v>
      </c>
      <c r="M112" s="4" t="s">
        <v>3659</v>
      </c>
      <c r="N112" s="4" t="s">
        <v>74</v>
      </c>
      <c r="O112" s="4" t="s">
        <v>75</v>
      </c>
      <c r="P112" s="4" t="s">
        <v>4123</v>
      </c>
      <c r="Q112" s="57">
        <v>45251</v>
      </c>
      <c r="R112" s="57">
        <v>45256</v>
      </c>
      <c r="S112" s="113"/>
      <c r="T112" s="113"/>
      <c r="U112" s="4"/>
      <c r="V112" s="4"/>
      <c r="W112" s="105" t="s">
        <v>4489</v>
      </c>
      <c r="X112" s="114">
        <v>1746874706</v>
      </c>
      <c r="Y112" s="55" t="s">
        <v>81</v>
      </c>
      <c r="Z112" s="4" t="s">
        <v>4490</v>
      </c>
      <c r="AA112" s="4">
        <v>1786170877</v>
      </c>
      <c r="AB112" s="4" t="s">
        <v>410</v>
      </c>
      <c r="AC112" s="4" t="s">
        <v>102</v>
      </c>
      <c r="AD112" s="113">
        <v>45225</v>
      </c>
      <c r="AE112" s="107">
        <v>0.471232876712329</v>
      </c>
      <c r="AF112" s="4" t="s">
        <v>4491</v>
      </c>
      <c r="AG112" s="114">
        <v>8255406004</v>
      </c>
      <c r="AH112" s="4" t="s">
        <v>81</v>
      </c>
      <c r="AI112" s="55" t="s">
        <v>290</v>
      </c>
      <c r="AJ112" s="55" t="s">
        <v>81</v>
      </c>
      <c r="AK112" s="55">
        <v>2023</v>
      </c>
      <c r="AL112" s="4" t="s">
        <v>188</v>
      </c>
      <c r="AM112" s="4" t="s">
        <v>4492</v>
      </c>
      <c r="AN112" s="4" t="s">
        <v>4493</v>
      </c>
      <c r="AO112" s="4" t="s">
        <v>4494</v>
      </c>
      <c r="AP112" s="4" t="s">
        <v>4495</v>
      </c>
      <c r="AQ112" s="55" t="s">
        <v>1188</v>
      </c>
      <c r="AR112" s="4" t="s">
        <v>89</v>
      </c>
      <c r="AS112" s="4" t="s">
        <v>4490</v>
      </c>
      <c r="AT112" s="72">
        <v>36472</v>
      </c>
      <c r="AU112" s="4" t="s">
        <v>81</v>
      </c>
      <c r="AV112" s="4" t="s">
        <v>81</v>
      </c>
      <c r="AW112" s="4" t="s">
        <v>81</v>
      </c>
      <c r="AX112" s="4" t="s">
        <v>81</v>
      </c>
      <c r="AY112" s="4"/>
      <c r="AZ112" s="4"/>
      <c r="BA112" s="4" t="s">
        <v>3498</v>
      </c>
      <c r="BB112" s="4">
        <v>10800</v>
      </c>
      <c r="BC112" s="4">
        <v>2700</v>
      </c>
      <c r="BD112" s="4">
        <v>0</v>
      </c>
      <c r="BE112" s="4" t="s">
        <v>91</v>
      </c>
      <c r="BF112" s="4"/>
      <c r="BG112" s="4"/>
      <c r="BH112" s="4" t="s">
        <v>3510</v>
      </c>
      <c r="BI112" s="72">
        <f>VLOOKUP(A112,'ID Block'!A:L,12,0)</f>
        <v>45323</v>
      </c>
      <c r="BJ112" s="154" t="str">
        <f>VLOOKUP(A112,'ID Block'!A:M,13,0)</f>
        <v>Better Opportunity</v>
      </c>
      <c r="BK112" s="4">
        <f t="shared" si="1"/>
        <v>67</v>
      </c>
      <c r="BL112" s="105" t="s">
        <v>168</v>
      </c>
      <c r="BM112" s="10"/>
      <c r="BN112" s="183" t="s">
        <v>4035</v>
      </c>
      <c r="BO112" s="183"/>
    </row>
    <row r="113" ht="14.4" s="67" customFormat="1">
      <c r="A113" s="4">
        <v>171156</v>
      </c>
      <c r="B113" s="4"/>
      <c r="C113" s="55" t="s">
        <v>679</v>
      </c>
      <c r="D113" s="4" t="s">
        <v>4496</v>
      </c>
      <c r="E113" s="4" t="s">
        <v>114</v>
      </c>
      <c r="F113" s="55">
        <v>1117653908</v>
      </c>
      <c r="G113" s="4" t="s">
        <v>67</v>
      </c>
      <c r="H113" s="4" t="s">
        <v>68</v>
      </c>
      <c r="I113" s="4" t="s">
        <v>2494</v>
      </c>
      <c r="J113" s="55" t="s">
        <v>307</v>
      </c>
      <c r="K113" s="4" t="s">
        <v>71</v>
      </c>
      <c r="L113" s="4" t="s">
        <v>3487</v>
      </c>
      <c r="M113" s="4" t="s">
        <v>3659</v>
      </c>
      <c r="N113" s="4" t="s">
        <v>74</v>
      </c>
      <c r="O113" s="4" t="s">
        <v>75</v>
      </c>
      <c r="P113" s="4" t="s">
        <v>3987</v>
      </c>
      <c r="Q113" s="57">
        <v>45206</v>
      </c>
      <c r="R113" s="57">
        <v>45211</v>
      </c>
      <c r="S113" s="113"/>
      <c r="T113" s="113"/>
      <c r="U113" s="4"/>
      <c r="V113" s="4"/>
      <c r="W113" s="105" t="s">
        <v>4497</v>
      </c>
      <c r="X113" s="114">
        <v>1608375344</v>
      </c>
      <c r="Y113" s="55" t="s">
        <v>81</v>
      </c>
      <c r="Z113" s="4" t="s">
        <v>4498</v>
      </c>
      <c r="AA113" s="4">
        <v>1844603413</v>
      </c>
      <c r="AB113" s="4" t="s">
        <v>3099</v>
      </c>
      <c r="AC113" s="4" t="s">
        <v>119</v>
      </c>
      <c r="AD113" s="113">
        <v>35841</v>
      </c>
      <c r="AE113" s="107">
        <v>25.9890410958904</v>
      </c>
      <c r="AF113" s="4" t="s">
        <v>80</v>
      </c>
      <c r="AG113" s="114">
        <v>8254393930</v>
      </c>
      <c r="AH113" s="4" t="s">
        <v>81</v>
      </c>
      <c r="AI113" s="55" t="s">
        <v>217</v>
      </c>
      <c r="AJ113" s="55" t="s">
        <v>254</v>
      </c>
      <c r="AK113" s="55">
        <v>2022</v>
      </c>
      <c r="AL113" s="4" t="s">
        <v>4499</v>
      </c>
      <c r="AM113" s="4" t="s">
        <v>4500</v>
      </c>
      <c r="AN113" s="4" t="s">
        <v>4501</v>
      </c>
      <c r="AO113" s="4" t="s">
        <v>4502</v>
      </c>
      <c r="AP113" s="4" t="s">
        <v>4503</v>
      </c>
      <c r="AQ113" s="55" t="s">
        <v>4504</v>
      </c>
      <c r="AR113" s="4" t="s">
        <v>110</v>
      </c>
      <c r="AS113" s="4" t="s">
        <v>81</v>
      </c>
      <c r="AT113" s="72" t="s">
        <v>81</v>
      </c>
      <c r="AU113" s="4" t="s">
        <v>81</v>
      </c>
      <c r="AV113" s="4" t="s">
        <v>81</v>
      </c>
      <c r="AW113" s="4" t="s">
        <v>81</v>
      </c>
      <c r="AX113" s="4" t="s">
        <v>81</v>
      </c>
      <c r="AY113" s="4"/>
      <c r="AZ113" s="4"/>
      <c r="BA113" s="4" t="s">
        <v>3498</v>
      </c>
      <c r="BB113" s="4">
        <v>10800</v>
      </c>
      <c r="BC113" s="4">
        <v>2700</v>
      </c>
      <c r="BD113" s="4">
        <v>0</v>
      </c>
      <c r="BE113" s="4" t="s">
        <v>296</v>
      </c>
      <c r="BF113" s="4"/>
      <c r="BG113" s="4"/>
      <c r="BH113" s="4" t="s">
        <v>3510</v>
      </c>
      <c r="BI113" s="72">
        <f>VLOOKUP(A113,'ID Block'!A:L,12,0)</f>
        <v>45323</v>
      </c>
      <c r="BJ113" s="154" t="str">
        <f>VLOOKUP(A113,'ID Block'!A:M,13,0)</f>
        <v>Family Issues</v>
      </c>
      <c r="BK113" s="4">
        <f t="shared" si="1"/>
        <v>112</v>
      </c>
      <c r="BL113" s="105" t="s">
        <v>168</v>
      </c>
      <c r="BM113" s="10"/>
      <c r="BN113" s="183" t="s">
        <v>4002</v>
      </c>
      <c r="BO113" s="183"/>
    </row>
    <row r="114" ht="14.4" s="67" customFormat="1">
      <c r="A114" s="4">
        <v>171024</v>
      </c>
      <c r="B114" s="4"/>
      <c r="C114" s="55" t="s">
        <v>4505</v>
      </c>
      <c r="D114" s="4" t="s">
        <v>3781</v>
      </c>
      <c r="E114" s="4" t="s">
        <v>114</v>
      </c>
      <c r="F114" s="55">
        <v>1113352909</v>
      </c>
      <c r="G114" s="4" t="s">
        <v>67</v>
      </c>
      <c r="H114" s="4" t="s">
        <v>68</v>
      </c>
      <c r="I114" s="4" t="s">
        <v>2494</v>
      </c>
      <c r="J114" s="55" t="s">
        <v>70</v>
      </c>
      <c r="K114" s="4" t="s">
        <v>71</v>
      </c>
      <c r="L114" s="4" t="s">
        <v>3487</v>
      </c>
      <c r="M114" s="4" t="s">
        <v>196</v>
      </c>
      <c r="N114" s="4" t="s">
        <v>74</v>
      </c>
      <c r="O114" s="4" t="s">
        <v>75</v>
      </c>
      <c r="P114" s="4" t="s">
        <v>3585</v>
      </c>
      <c r="Q114" s="57">
        <v>45029</v>
      </c>
      <c r="R114" s="57">
        <v>45042</v>
      </c>
      <c r="S114" s="113"/>
      <c r="T114" s="113"/>
      <c r="U114" s="4"/>
      <c r="V114" s="4"/>
      <c r="W114" s="105" t="s">
        <v>4506</v>
      </c>
      <c r="X114" s="114">
        <v>1728125233</v>
      </c>
      <c r="Y114" s="55"/>
      <c r="Z114" s="4" t="s">
        <v>4507</v>
      </c>
      <c r="AA114" s="4">
        <v>1741663654</v>
      </c>
      <c r="AB114" s="4" t="s">
        <v>252</v>
      </c>
      <c r="AC114" s="4" t="s">
        <v>133</v>
      </c>
      <c r="AD114" s="113">
        <v>35252</v>
      </c>
      <c r="AE114" s="107">
        <v>27.7945205479452</v>
      </c>
      <c r="AF114" s="4" t="s">
        <v>80</v>
      </c>
      <c r="AG114" s="114">
        <v>3755353020</v>
      </c>
      <c r="AH114" s="4" t="s">
        <v>81</v>
      </c>
      <c r="AI114" s="55" t="s">
        <v>187</v>
      </c>
      <c r="AJ114" s="55" t="s">
        <v>81</v>
      </c>
      <c r="AK114" s="55" t="s">
        <v>81</v>
      </c>
      <c r="AL114" s="4" t="s">
        <v>4508</v>
      </c>
      <c r="AM114" s="4" t="s">
        <v>4509</v>
      </c>
      <c r="AN114" s="4" t="s">
        <v>2927</v>
      </c>
      <c r="AO114" s="4" t="s">
        <v>4510</v>
      </c>
      <c r="AP114" s="4" t="s">
        <v>4511</v>
      </c>
      <c r="AQ114" s="55" t="s">
        <v>3969</v>
      </c>
      <c r="AR114" s="4" t="s">
        <v>110</v>
      </c>
      <c r="AS114" s="4"/>
      <c r="AT114" s="72"/>
      <c r="AU114" s="4"/>
      <c r="AV114" s="4"/>
      <c r="AW114" s="4"/>
      <c r="AX114" s="4"/>
      <c r="AY114" s="4"/>
      <c r="AZ114" s="4"/>
      <c r="BA114" s="4" t="s">
        <v>3498</v>
      </c>
      <c r="BB114" s="4">
        <v>10800</v>
      </c>
      <c r="BC114" s="4">
        <v>2700</v>
      </c>
      <c r="BD114" s="4">
        <v>1000</v>
      </c>
      <c r="BE114" s="4" t="s">
        <v>166</v>
      </c>
      <c r="BF114" s="4">
        <v>161119</v>
      </c>
      <c r="BG114" s="4" t="s">
        <v>92</v>
      </c>
      <c r="BH114" s="4" t="s">
        <v>3510</v>
      </c>
      <c r="BI114" s="72">
        <f>VLOOKUP(A114,'ID Block'!A:L,12,0)</f>
        <v>45326</v>
      </c>
      <c r="BJ114" s="154" t="str">
        <f>VLOOKUP(A114,'ID Block'!A:M,13,0)</f>
        <v>Better Opportunity</v>
      </c>
      <c r="BK114" s="4">
        <f t="shared" si="1"/>
        <v>284</v>
      </c>
      <c r="BL114" s="105" t="s">
        <v>168</v>
      </c>
      <c r="BM114" s="10"/>
      <c r="BN114" s="183" t="s">
        <v>4035</v>
      </c>
      <c r="BO114" s="183"/>
    </row>
    <row r="115" ht="14.4" s="67" customFormat="1">
      <c r="A115" s="4">
        <v>171230</v>
      </c>
      <c r="B115" s="4"/>
      <c r="C115" s="55" t="s">
        <v>631</v>
      </c>
      <c r="D115" s="4" t="s">
        <v>4512</v>
      </c>
      <c r="E115" s="4" t="s">
        <v>114</v>
      </c>
      <c r="F115" s="55" t="s">
        <v>4513</v>
      </c>
      <c r="G115" s="4" t="s">
        <v>67</v>
      </c>
      <c r="H115" s="4" t="s">
        <v>68</v>
      </c>
      <c r="I115" s="4" t="s">
        <v>2494</v>
      </c>
      <c r="J115" s="55" t="s">
        <v>297</v>
      </c>
      <c r="K115" s="4" t="s">
        <v>71</v>
      </c>
      <c r="L115" s="4" t="s">
        <v>3487</v>
      </c>
      <c r="M115" s="4" t="s">
        <v>98</v>
      </c>
      <c r="N115" s="4" t="s">
        <v>74</v>
      </c>
      <c r="O115" s="4" t="s">
        <v>75</v>
      </c>
      <c r="P115" s="4" t="s">
        <v>4271</v>
      </c>
      <c r="Q115" s="57">
        <v>45246</v>
      </c>
      <c r="R115" s="57">
        <v>45256</v>
      </c>
      <c r="S115" s="113"/>
      <c r="T115" s="113"/>
      <c r="U115" s="4"/>
      <c r="V115" s="4"/>
      <c r="W115" s="105" t="s">
        <v>4514</v>
      </c>
      <c r="X115" s="114">
        <v>1886193257</v>
      </c>
      <c r="Y115" s="55" t="s">
        <v>81</v>
      </c>
      <c r="Z115" s="4" t="s">
        <v>81</v>
      </c>
      <c r="AA115" s="4" t="s">
        <v>81</v>
      </c>
      <c r="AB115" s="4" t="s">
        <v>81</v>
      </c>
      <c r="AC115" s="4" t="s">
        <v>102</v>
      </c>
      <c r="AD115" s="113">
        <v>35036</v>
      </c>
      <c r="AE115" s="107">
        <v>28.1945205479452</v>
      </c>
      <c r="AF115" s="4" t="s">
        <v>80</v>
      </c>
      <c r="AG115" s="114">
        <v>6463172020</v>
      </c>
      <c r="AH115" s="4" t="s">
        <v>81</v>
      </c>
      <c r="AI115" s="55" t="s">
        <v>4515</v>
      </c>
      <c r="AJ115" s="55" t="s">
        <v>81</v>
      </c>
      <c r="AK115" s="55">
        <v>2023</v>
      </c>
      <c r="AL115" s="4" t="s">
        <v>1246</v>
      </c>
      <c r="AM115" s="4" t="s">
        <v>4516</v>
      </c>
      <c r="AN115" s="4" t="s">
        <v>4517</v>
      </c>
      <c r="AO115" s="4" t="s">
        <v>4518</v>
      </c>
      <c r="AP115" s="4" t="s">
        <v>4519</v>
      </c>
      <c r="AQ115" s="55" t="s">
        <v>223</v>
      </c>
      <c r="AR115" s="4" t="s">
        <v>81</v>
      </c>
      <c r="AS115" s="4" t="s">
        <v>81</v>
      </c>
      <c r="AT115" s="72" t="s">
        <v>81</v>
      </c>
      <c r="AU115" s="4" t="s">
        <v>81</v>
      </c>
      <c r="AV115" s="4" t="s">
        <v>81</v>
      </c>
      <c r="AW115" s="4"/>
      <c r="AX115" s="4"/>
      <c r="AY115" s="4"/>
      <c r="AZ115" s="4"/>
      <c r="BA115" s="4" t="s">
        <v>3498</v>
      </c>
      <c r="BB115" s="4">
        <v>10800</v>
      </c>
      <c r="BC115" s="4">
        <v>2700</v>
      </c>
      <c r="BD115" s="4">
        <v>0</v>
      </c>
      <c r="BE115" s="4" t="s">
        <v>296</v>
      </c>
      <c r="BF115" s="4"/>
      <c r="BG115" s="4"/>
      <c r="BH115" s="4" t="s">
        <v>3499</v>
      </c>
      <c r="BI115" s="72">
        <f>VLOOKUP(A115,'ID Block'!A:L,12,0)</f>
        <v>45327</v>
      </c>
      <c r="BJ115" s="154" t="str">
        <f>VLOOKUP(A115,'ID Block'!A:M,13,0)</f>
        <v>Unauthorized absent </v>
      </c>
      <c r="BK115" s="4">
        <f t="shared" si="1"/>
        <v>71</v>
      </c>
      <c r="BL115" s="105" t="s">
        <v>168</v>
      </c>
      <c r="BM115" s="10"/>
      <c r="BN115" s="183" t="s">
        <v>3992</v>
      </c>
      <c r="BO115" s="183"/>
    </row>
    <row r="116" ht="14.4" s="67" customFormat="1">
      <c r="A116" s="4">
        <v>171215</v>
      </c>
      <c r="B116" s="4"/>
      <c r="C116" s="55" t="s">
        <v>4520</v>
      </c>
      <c r="D116" s="4" t="s">
        <v>4521</v>
      </c>
      <c r="E116" s="4" t="s">
        <v>114</v>
      </c>
      <c r="F116" s="55">
        <v>1117521568</v>
      </c>
      <c r="G116" s="4" t="s">
        <v>67</v>
      </c>
      <c r="H116" s="4" t="s">
        <v>68</v>
      </c>
      <c r="I116" s="4" t="s">
        <v>2494</v>
      </c>
      <c r="J116" s="55" t="s">
        <v>155</v>
      </c>
      <c r="K116" s="4" t="s">
        <v>71</v>
      </c>
      <c r="L116" s="4" t="s">
        <v>3487</v>
      </c>
      <c r="M116" s="4" t="s">
        <v>196</v>
      </c>
      <c r="N116" s="4" t="s">
        <v>74</v>
      </c>
      <c r="O116" s="4" t="s">
        <v>75</v>
      </c>
      <c r="P116" s="4" t="s">
        <v>4451</v>
      </c>
      <c r="Q116" s="57">
        <v>45246</v>
      </c>
      <c r="R116" s="57">
        <v>45265</v>
      </c>
      <c r="S116" s="113"/>
      <c r="T116" s="113"/>
      <c r="U116" s="4"/>
      <c r="V116" s="4"/>
      <c r="W116" s="105" t="s">
        <v>4522</v>
      </c>
      <c r="X116" s="114">
        <v>1313586408</v>
      </c>
      <c r="Y116" s="55">
        <v>1521467635</v>
      </c>
      <c r="Z116" s="4" t="s">
        <v>4523</v>
      </c>
      <c r="AA116" s="4">
        <v>1518967368</v>
      </c>
      <c r="AB116" s="4" t="s">
        <v>382</v>
      </c>
      <c r="AC116" s="4" t="s">
        <v>119</v>
      </c>
      <c r="AD116" s="113">
        <v>35839</v>
      </c>
      <c r="AE116" s="107">
        <v>25.9945205479452</v>
      </c>
      <c r="AF116" s="4" t="s">
        <v>80</v>
      </c>
      <c r="AG116" s="114" t="s">
        <v>4524</v>
      </c>
      <c r="AH116" s="4" t="s">
        <v>81</v>
      </c>
      <c r="AI116" s="55" t="s">
        <v>290</v>
      </c>
      <c r="AJ116" s="55" t="s">
        <v>81</v>
      </c>
      <c r="AK116" s="55">
        <v>2020</v>
      </c>
      <c r="AL116" s="4" t="s">
        <v>4525</v>
      </c>
      <c r="AM116" s="4" t="s">
        <v>4526</v>
      </c>
      <c r="AN116" s="4" t="s">
        <v>4527</v>
      </c>
      <c r="AO116" s="4" t="s">
        <v>4528</v>
      </c>
      <c r="AP116" s="4" t="s">
        <v>4529</v>
      </c>
      <c r="AQ116" s="55" t="s">
        <v>4530</v>
      </c>
      <c r="AR116" s="4" t="s">
        <v>110</v>
      </c>
      <c r="AS116" s="4" t="s">
        <v>81</v>
      </c>
      <c r="AT116" s="72" t="s">
        <v>81</v>
      </c>
      <c r="AU116" s="4" t="s">
        <v>81</v>
      </c>
      <c r="AV116" s="4" t="s">
        <v>81</v>
      </c>
      <c r="AW116" s="4" t="s">
        <v>81</v>
      </c>
      <c r="AX116" s="4" t="s">
        <v>81</v>
      </c>
      <c r="AY116" s="4"/>
      <c r="AZ116" s="4"/>
      <c r="BA116" s="4" t="s">
        <v>3498</v>
      </c>
      <c r="BB116" s="4">
        <v>10800</v>
      </c>
      <c r="BC116" s="4">
        <v>2700</v>
      </c>
      <c r="BD116" s="4">
        <v>1000</v>
      </c>
      <c r="BE116" s="4" t="s">
        <v>166</v>
      </c>
      <c r="BF116" s="4"/>
      <c r="BG116" s="4"/>
      <c r="BH116" s="4" t="s">
        <v>3510</v>
      </c>
      <c r="BI116" s="72">
        <f>VLOOKUP(A116,'ID Block'!A:L,12,0)</f>
        <v>45327</v>
      </c>
      <c r="BJ116" s="154" t="str">
        <f>VLOOKUP(A116,'ID Block'!A:M,13,0)</f>
        <v>Family Issues</v>
      </c>
      <c r="BK116" s="4">
        <f t="shared" si="1"/>
        <v>62</v>
      </c>
      <c r="BL116" s="105" t="s">
        <v>168</v>
      </c>
      <c r="BM116" s="10"/>
      <c r="BN116" s="183" t="s">
        <v>4002</v>
      </c>
      <c r="BO116" s="183"/>
    </row>
    <row r="117" ht="14.4" s="67" customFormat="1">
      <c r="A117" s="4">
        <v>171092</v>
      </c>
      <c r="B117" s="4"/>
      <c r="C117" s="55"/>
      <c r="D117" s="4" t="s">
        <v>4531</v>
      </c>
      <c r="E117" s="4" t="s">
        <v>114</v>
      </c>
      <c r="F117" s="55">
        <v>435785</v>
      </c>
      <c r="G117" s="4" t="s">
        <v>67</v>
      </c>
      <c r="H117" s="4" t="s">
        <v>68</v>
      </c>
      <c r="I117" s="4" t="s">
        <v>2494</v>
      </c>
      <c r="J117" s="55" t="s">
        <v>2495</v>
      </c>
      <c r="K117" s="4" t="s">
        <v>71</v>
      </c>
      <c r="L117" s="4" t="s">
        <v>3487</v>
      </c>
      <c r="M117" s="4" t="s">
        <v>3659</v>
      </c>
      <c r="N117" s="4" t="s">
        <v>74</v>
      </c>
      <c r="O117" s="4" t="s">
        <v>75</v>
      </c>
      <c r="P117" s="4" t="s">
        <v>3597</v>
      </c>
      <c r="Q117" s="57">
        <v>45110</v>
      </c>
      <c r="R117" s="57">
        <v>45113</v>
      </c>
      <c r="S117" s="113"/>
      <c r="T117" s="113"/>
      <c r="U117" s="4"/>
      <c r="V117" s="4"/>
      <c r="W117" s="105" t="s">
        <v>4532</v>
      </c>
      <c r="X117" s="114">
        <v>1914612034</v>
      </c>
      <c r="Y117" s="55" t="s">
        <v>81</v>
      </c>
      <c r="Z117" s="4" t="s">
        <v>4533</v>
      </c>
      <c r="AA117" s="4">
        <v>1916004288</v>
      </c>
      <c r="AB117" s="4" t="s">
        <v>4534</v>
      </c>
      <c r="AC117" s="4" t="s">
        <v>79</v>
      </c>
      <c r="AD117" s="113">
        <v>32914</v>
      </c>
      <c r="AE117" s="107">
        <v>34.0082191780822</v>
      </c>
      <c r="AF117" s="4" t="s">
        <v>80</v>
      </c>
      <c r="AG117" s="114">
        <v>9569594535</v>
      </c>
      <c r="AH117" s="4" t="s">
        <v>81</v>
      </c>
      <c r="AI117" s="55" t="s">
        <v>4535</v>
      </c>
      <c r="AJ117" s="55" t="s">
        <v>81</v>
      </c>
      <c r="AK117" s="55" t="s">
        <v>81</v>
      </c>
      <c r="AL117" s="4" t="s">
        <v>4536</v>
      </c>
      <c r="AM117" s="4" t="s">
        <v>4537</v>
      </c>
      <c r="AN117" s="4" t="s">
        <v>2196</v>
      </c>
      <c r="AO117" s="4" t="s">
        <v>4538</v>
      </c>
      <c r="AP117" s="4" t="s">
        <v>4539</v>
      </c>
      <c r="AQ117" s="55" t="s">
        <v>4540</v>
      </c>
      <c r="AR117" s="4" t="s">
        <v>224</v>
      </c>
      <c r="AS117" s="4"/>
      <c r="AT117" s="72"/>
      <c r="AU117" s="4"/>
      <c r="AV117" s="4"/>
      <c r="AW117" s="4"/>
      <c r="AX117" s="4"/>
      <c r="AY117" s="4"/>
      <c r="AZ117" s="4"/>
      <c r="BA117" s="4" t="s">
        <v>3498</v>
      </c>
      <c r="BB117" s="4">
        <v>10800</v>
      </c>
      <c r="BC117" s="4">
        <v>2700</v>
      </c>
      <c r="BD117" s="4">
        <v>0</v>
      </c>
      <c r="BE117" s="4" t="s">
        <v>91</v>
      </c>
      <c r="BF117" s="4" t="s">
        <v>167</v>
      </c>
      <c r="BG117" s="4" t="s">
        <v>167</v>
      </c>
      <c r="BH117" s="4" t="s">
        <v>3510</v>
      </c>
      <c r="BI117" s="72">
        <f>VLOOKUP(A117,'ID Block'!A:L,12,0)</f>
        <v>45328</v>
      </c>
      <c r="BJ117" s="154" t="str">
        <f>VLOOKUP(A117,'ID Block'!A:M,13,0)</f>
        <v>Better oppurtunity </v>
      </c>
      <c r="BK117" s="4">
        <f t="shared" si="1"/>
        <v>215</v>
      </c>
      <c r="BL117" s="105" t="s">
        <v>168</v>
      </c>
      <c r="BM117" s="10"/>
      <c r="BN117" s="183" t="s">
        <v>4035</v>
      </c>
      <c r="BO117" s="183"/>
    </row>
    <row r="118" ht="14.4" s="67" customFormat="1">
      <c r="A118" s="4">
        <v>171247</v>
      </c>
      <c r="B118" s="4"/>
      <c r="C118" s="55" t="s">
        <v>641</v>
      </c>
      <c r="D118" s="4" t="s">
        <v>4541</v>
      </c>
      <c r="E118" s="4" t="s">
        <v>66</v>
      </c>
      <c r="F118" s="55">
        <v>1210966158</v>
      </c>
      <c r="G118" s="4" t="s">
        <v>67</v>
      </c>
      <c r="H118" s="4" t="s">
        <v>68</v>
      </c>
      <c r="I118" s="4" t="s">
        <v>2494</v>
      </c>
      <c r="J118" s="55" t="s">
        <v>3650</v>
      </c>
      <c r="K118" s="4" t="s">
        <v>71</v>
      </c>
      <c r="L118" s="4" t="s">
        <v>3487</v>
      </c>
      <c r="M118" s="4" t="s">
        <v>115</v>
      </c>
      <c r="N118" s="4" t="s">
        <v>74</v>
      </c>
      <c r="O118" s="4" t="s">
        <v>75</v>
      </c>
      <c r="P118" s="4" t="s">
        <v>4123</v>
      </c>
      <c r="Q118" s="57">
        <v>45251</v>
      </c>
      <c r="R118" s="57">
        <v>45256</v>
      </c>
      <c r="S118" s="113"/>
      <c r="T118" s="113"/>
      <c r="U118" s="4"/>
      <c r="V118" s="4"/>
      <c r="W118" s="105" t="s">
        <v>4542</v>
      </c>
      <c r="X118" s="114">
        <v>1632380810</v>
      </c>
      <c r="Y118" s="55" t="s">
        <v>81</v>
      </c>
      <c r="Z118" s="4" t="s">
        <v>4543</v>
      </c>
      <c r="AA118" s="4">
        <v>1718072315</v>
      </c>
      <c r="AB118" s="4" t="s">
        <v>132</v>
      </c>
      <c r="AC118" s="4" t="s">
        <v>79</v>
      </c>
      <c r="AD118" s="113">
        <v>36486</v>
      </c>
      <c r="AE118" s="107">
        <v>24.2219178082192</v>
      </c>
      <c r="AF118" s="4" t="s">
        <v>4544</v>
      </c>
      <c r="AG118" s="114">
        <v>3308013485</v>
      </c>
      <c r="AH118" s="4" t="s">
        <v>81</v>
      </c>
      <c r="AI118" s="55" t="s">
        <v>1101</v>
      </c>
      <c r="AJ118" s="55" t="s">
        <v>81</v>
      </c>
      <c r="AK118" s="55">
        <v>2023</v>
      </c>
      <c r="AL118" s="4" t="s">
        <v>188</v>
      </c>
      <c r="AM118" s="4" t="s">
        <v>4545</v>
      </c>
      <c r="AN118" s="4" t="s">
        <v>4543</v>
      </c>
      <c r="AO118" s="4" t="s">
        <v>4546</v>
      </c>
      <c r="AP118" s="4" t="s">
        <v>4546</v>
      </c>
      <c r="AQ118" s="55" t="s">
        <v>1231</v>
      </c>
      <c r="AR118" s="4" t="s">
        <v>110</v>
      </c>
      <c r="AS118" s="4" t="s">
        <v>81</v>
      </c>
      <c r="AT118" s="72" t="s">
        <v>81</v>
      </c>
      <c r="AU118" s="4" t="s">
        <v>81</v>
      </c>
      <c r="AV118" s="4" t="s">
        <v>81</v>
      </c>
      <c r="AW118" s="4" t="s">
        <v>81</v>
      </c>
      <c r="AX118" s="4" t="s">
        <v>81</v>
      </c>
      <c r="AY118" s="4"/>
      <c r="AZ118" s="4"/>
      <c r="BA118" s="4" t="s">
        <v>3498</v>
      </c>
      <c r="BB118" s="4">
        <v>10800</v>
      </c>
      <c r="BC118" s="4">
        <v>2700</v>
      </c>
      <c r="BD118" s="4">
        <v>0</v>
      </c>
      <c r="BE118" s="4" t="s">
        <v>91</v>
      </c>
      <c r="BF118" s="4"/>
      <c r="BG118" s="4"/>
      <c r="BH118" s="4" t="s">
        <v>3510</v>
      </c>
      <c r="BI118" s="72">
        <f>VLOOKUP(A118,'ID Block'!A:L,12,0)</f>
        <v>45330</v>
      </c>
      <c r="BJ118" s="154" t="str">
        <f>VLOOKUP(A118,'ID Block'!A:M,13,0)</f>
        <v>Higher Study</v>
      </c>
      <c r="BK118" s="4">
        <f t="shared" si="1"/>
        <v>74</v>
      </c>
      <c r="BL118" s="105" t="s">
        <v>168</v>
      </c>
      <c r="BM118" s="10"/>
      <c r="BN118" s="183" t="s">
        <v>4547</v>
      </c>
      <c r="BO118" s="183"/>
    </row>
    <row r="119" ht="14.4" s="67" customFormat="1">
      <c r="A119" s="4">
        <v>171213</v>
      </c>
      <c r="B119" s="4"/>
      <c r="C119" s="55"/>
      <c r="D119" s="4" t="s">
        <v>4548</v>
      </c>
      <c r="E119" s="4" t="s">
        <v>114</v>
      </c>
      <c r="F119" s="55">
        <v>1210896770</v>
      </c>
      <c r="G119" s="4" t="s">
        <v>67</v>
      </c>
      <c r="H119" s="4" t="s">
        <v>68</v>
      </c>
      <c r="I119" s="4" t="s">
        <v>2494</v>
      </c>
      <c r="J119" s="55" t="s">
        <v>319</v>
      </c>
      <c r="K119" s="4" t="s">
        <v>71</v>
      </c>
      <c r="L119" s="4" t="s">
        <v>3487</v>
      </c>
      <c r="M119" s="4" t="s">
        <v>3659</v>
      </c>
      <c r="N119" s="4" t="s">
        <v>74</v>
      </c>
      <c r="O119" s="4" t="s">
        <v>75</v>
      </c>
      <c r="P119" s="4" t="s">
        <v>4271</v>
      </c>
      <c r="Q119" s="57">
        <v>45246</v>
      </c>
      <c r="R119" s="57">
        <v>45256</v>
      </c>
      <c r="S119" s="113"/>
      <c r="T119" s="113"/>
      <c r="U119" s="4"/>
      <c r="V119" s="4"/>
      <c r="W119" s="105" t="s">
        <v>4549</v>
      </c>
      <c r="X119" s="114">
        <v>1307768335</v>
      </c>
      <c r="Y119" s="55">
        <v>1929747830</v>
      </c>
      <c r="Z119" s="4" t="s">
        <v>4550</v>
      </c>
      <c r="AA119" s="4">
        <v>1648913774</v>
      </c>
      <c r="AB119" s="4" t="s">
        <v>186</v>
      </c>
      <c r="AC119" s="4" t="s">
        <v>133</v>
      </c>
      <c r="AD119" s="113">
        <v>36034</v>
      </c>
      <c r="AE119" s="107">
        <v>25.4602739726027</v>
      </c>
      <c r="AF119" s="4" t="s">
        <v>80</v>
      </c>
      <c r="AG119" s="114">
        <v>1027396470</v>
      </c>
      <c r="AH119" s="4" t="s">
        <v>81</v>
      </c>
      <c r="AI119" s="55" t="s">
        <v>4551</v>
      </c>
      <c r="AJ119" s="55" t="s">
        <v>81</v>
      </c>
      <c r="AK119" s="55">
        <v>2021</v>
      </c>
      <c r="AL119" s="4" t="s">
        <v>209</v>
      </c>
      <c r="AM119" s="4" t="s">
        <v>4552</v>
      </c>
      <c r="AN119" s="4" t="s">
        <v>4553</v>
      </c>
      <c r="AO119" s="4" t="s">
        <v>4554</v>
      </c>
      <c r="AP119" s="4" t="s">
        <v>4554</v>
      </c>
      <c r="AQ119" s="55" t="s">
        <v>4555</v>
      </c>
      <c r="AR119" s="4" t="s">
        <v>89</v>
      </c>
      <c r="AS119" s="4" t="s">
        <v>4550</v>
      </c>
      <c r="AT119" s="72">
        <v>36505</v>
      </c>
      <c r="AU119" s="4" t="s">
        <v>81</v>
      </c>
      <c r="AV119" s="4" t="s">
        <v>81</v>
      </c>
      <c r="AW119" s="4"/>
      <c r="AX119" s="4"/>
      <c r="AY119" s="4"/>
      <c r="AZ119" s="4"/>
      <c r="BA119" s="4" t="s">
        <v>3498</v>
      </c>
      <c r="BB119" s="4">
        <v>10800</v>
      </c>
      <c r="BC119" s="4">
        <v>2700</v>
      </c>
      <c r="BD119" s="4">
        <v>0</v>
      </c>
      <c r="BE119" s="4" t="s">
        <v>296</v>
      </c>
      <c r="BF119" s="4"/>
      <c r="BG119" s="4"/>
      <c r="BH119" s="4" t="s">
        <v>3510</v>
      </c>
      <c r="BI119" s="72">
        <f>VLOOKUP(A119,'ID Block'!A:L,12,0)</f>
        <v>45330</v>
      </c>
      <c r="BJ119" s="154" t="str">
        <f>VLOOKUP(A119,'ID Block'!A:M,13,0)</f>
        <v>Sickness Issues</v>
      </c>
      <c r="BK119" s="4">
        <f t="shared" si="1"/>
        <v>74</v>
      </c>
      <c r="BL119" s="105" t="s">
        <v>168</v>
      </c>
      <c r="BM119" s="10"/>
      <c r="BN119" s="183" t="s">
        <v>4556</v>
      </c>
      <c r="BO119" s="183"/>
    </row>
    <row r="120" ht="14.4" s="67" customFormat="1">
      <c r="A120" s="4">
        <v>171108</v>
      </c>
      <c r="B120" s="4"/>
      <c r="C120" s="55" t="s">
        <v>957</v>
      </c>
      <c r="D120" s="4" t="s">
        <v>4557</v>
      </c>
      <c r="E120" s="4" t="s">
        <v>114</v>
      </c>
      <c r="F120" s="55" t="s">
        <v>4558</v>
      </c>
      <c r="G120" s="4" t="s">
        <v>67</v>
      </c>
      <c r="H120" s="4" t="s">
        <v>68</v>
      </c>
      <c r="I120" s="4" t="s">
        <v>2494</v>
      </c>
      <c r="J120" s="55" t="s">
        <v>2495</v>
      </c>
      <c r="K120" s="4" t="s">
        <v>71</v>
      </c>
      <c r="L120" s="4" t="s">
        <v>3487</v>
      </c>
      <c r="M120" s="4" t="s">
        <v>196</v>
      </c>
      <c r="N120" s="4" t="s">
        <v>238</v>
      </c>
      <c r="O120" s="4" t="s">
        <v>75</v>
      </c>
      <c r="P120" s="4" t="s">
        <v>3651</v>
      </c>
      <c r="Q120" s="57">
        <v>45116</v>
      </c>
      <c r="R120" s="57">
        <v>45121</v>
      </c>
      <c r="S120" s="113"/>
      <c r="T120" s="113"/>
      <c r="U120" s="4"/>
      <c r="V120" s="4"/>
      <c r="W120" s="105" t="s">
        <v>4559</v>
      </c>
      <c r="X120" s="114">
        <v>1787706175</v>
      </c>
      <c r="Y120" s="55">
        <v>1947429904</v>
      </c>
      <c r="Z120" s="4" t="s">
        <v>4560</v>
      </c>
      <c r="AA120" s="4">
        <v>1629889095</v>
      </c>
      <c r="AB120" s="4" t="s">
        <v>186</v>
      </c>
      <c r="AC120" s="4" t="s">
        <v>79</v>
      </c>
      <c r="AD120" s="113">
        <v>36457</v>
      </c>
      <c r="AE120" s="107">
        <v>24.3013698630137</v>
      </c>
      <c r="AF120" s="4" t="s">
        <v>80</v>
      </c>
      <c r="AG120" s="114">
        <v>4639669854</v>
      </c>
      <c r="AH120" s="4" t="s">
        <v>81</v>
      </c>
      <c r="AI120" s="55" t="s">
        <v>4561</v>
      </c>
      <c r="AJ120" s="55" t="s">
        <v>81</v>
      </c>
      <c r="AK120" s="55" t="s">
        <v>81</v>
      </c>
      <c r="AL120" s="4" t="s">
        <v>2727</v>
      </c>
      <c r="AM120" s="4" t="s">
        <v>4562</v>
      </c>
      <c r="AN120" s="4" t="s">
        <v>4563</v>
      </c>
      <c r="AO120" s="4" t="s">
        <v>4564</v>
      </c>
      <c r="AP120" s="4" t="s">
        <v>4564</v>
      </c>
      <c r="AQ120" s="55" t="s">
        <v>4565</v>
      </c>
      <c r="AR120" s="4" t="s">
        <v>89</v>
      </c>
      <c r="AS120" s="4" t="s">
        <v>4566</v>
      </c>
      <c r="AT120" s="72" t="s">
        <v>4567</v>
      </c>
      <c r="AU120" s="4" t="s">
        <v>4568</v>
      </c>
      <c r="AV120" s="4" t="s">
        <v>4569</v>
      </c>
      <c r="AW120" s="4"/>
      <c r="AX120" s="4"/>
      <c r="AY120" s="4"/>
      <c r="AZ120" s="4"/>
      <c r="BA120" s="4" t="s">
        <v>3498</v>
      </c>
      <c r="BB120" s="4">
        <v>10800</v>
      </c>
      <c r="BC120" s="4">
        <v>2700</v>
      </c>
      <c r="BD120" s="4">
        <v>1000</v>
      </c>
      <c r="BE120" s="4" t="s">
        <v>166</v>
      </c>
      <c r="BF120" s="4" t="s">
        <v>167</v>
      </c>
      <c r="BG120" s="4" t="s">
        <v>167</v>
      </c>
      <c r="BH120" s="4" t="s">
        <v>3510</v>
      </c>
      <c r="BI120" s="72">
        <f>VLOOKUP(A120,'ID Block'!A:L,12,0)</f>
        <v>45336</v>
      </c>
      <c r="BJ120" s="154" t="str">
        <f>VLOOKUP(A120,'ID Block'!A:M,13,0)</f>
        <v>Better Opportunity</v>
      </c>
      <c r="BK120" s="4">
        <f t="shared" si="1"/>
        <v>215</v>
      </c>
      <c r="BL120" s="105" t="s">
        <v>168</v>
      </c>
      <c r="BM120" s="10"/>
      <c r="BN120" s="183" t="s">
        <v>4035</v>
      </c>
      <c r="BO120" s="183"/>
    </row>
    <row r="121" ht="14.4" s="67" customFormat="1">
      <c r="A121" s="4">
        <v>171222</v>
      </c>
      <c r="B121" s="4"/>
      <c r="C121" s="55"/>
      <c r="D121" s="4" t="s">
        <v>4570</v>
      </c>
      <c r="E121" s="4" t="s">
        <v>114</v>
      </c>
      <c r="F121" s="55">
        <v>362664</v>
      </c>
      <c r="G121" s="4" t="s">
        <v>67</v>
      </c>
      <c r="H121" s="4" t="s">
        <v>68</v>
      </c>
      <c r="I121" s="4" t="s">
        <v>2494</v>
      </c>
      <c r="J121" s="55" t="s">
        <v>4270</v>
      </c>
      <c r="K121" s="4" t="s">
        <v>71</v>
      </c>
      <c r="L121" s="4" t="s">
        <v>3487</v>
      </c>
      <c r="M121" s="4" t="s">
        <v>3659</v>
      </c>
      <c r="N121" s="4" t="s">
        <v>74</v>
      </c>
      <c r="O121" s="4" t="s">
        <v>75</v>
      </c>
      <c r="P121" s="4" t="s">
        <v>4271</v>
      </c>
      <c r="Q121" s="57">
        <v>45246</v>
      </c>
      <c r="R121" s="57">
        <v>45256</v>
      </c>
      <c r="S121" s="113"/>
      <c r="T121" s="113"/>
      <c r="U121" s="4"/>
      <c r="V121" s="4"/>
      <c r="W121" s="105" t="s">
        <v>4452</v>
      </c>
      <c r="X121" s="114">
        <v>1718374060</v>
      </c>
      <c r="Y121" s="55" t="s">
        <v>81</v>
      </c>
      <c r="Z121" s="4" t="s">
        <v>4571</v>
      </c>
      <c r="AA121" s="4">
        <v>1720302214</v>
      </c>
      <c r="AB121" s="4" t="s">
        <v>132</v>
      </c>
      <c r="AC121" s="4" t="s">
        <v>133</v>
      </c>
      <c r="AD121" s="113">
        <v>34902</v>
      </c>
      <c r="AE121" s="107">
        <v>28.5616438356164</v>
      </c>
      <c r="AF121" s="4" t="s">
        <v>80</v>
      </c>
      <c r="AG121" s="114">
        <v>7303490309</v>
      </c>
      <c r="AH121" s="4" t="s">
        <v>81</v>
      </c>
      <c r="AI121" s="55" t="s">
        <v>4572</v>
      </c>
      <c r="AJ121" s="55" t="s">
        <v>81</v>
      </c>
      <c r="AK121" s="55">
        <v>2021</v>
      </c>
      <c r="AL121" s="4" t="s">
        <v>4573</v>
      </c>
      <c r="AM121" s="4" t="s">
        <v>4574</v>
      </c>
      <c r="AN121" s="4" t="s">
        <v>4571</v>
      </c>
      <c r="AO121" s="4" t="s">
        <v>4575</v>
      </c>
      <c r="AP121" s="4" t="s">
        <v>4576</v>
      </c>
      <c r="AQ121" s="55" t="s">
        <v>4577</v>
      </c>
      <c r="AR121" s="4" t="s">
        <v>81</v>
      </c>
      <c r="AS121" s="4" t="s">
        <v>81</v>
      </c>
      <c r="AT121" s="72" t="s">
        <v>81</v>
      </c>
      <c r="AU121" s="4" t="s">
        <v>81</v>
      </c>
      <c r="AV121" s="4" t="s">
        <v>81</v>
      </c>
      <c r="AW121" s="4"/>
      <c r="AX121" s="4"/>
      <c r="AY121" s="4"/>
      <c r="AZ121" s="4"/>
      <c r="BA121" s="4" t="s">
        <v>3498</v>
      </c>
      <c r="BB121" s="4">
        <v>10800</v>
      </c>
      <c r="BC121" s="4">
        <v>2700</v>
      </c>
      <c r="BD121" s="4">
        <v>0</v>
      </c>
      <c r="BE121" s="4" t="s">
        <v>296</v>
      </c>
      <c r="BF121" s="4"/>
      <c r="BG121" s="4"/>
      <c r="BH121" s="4" t="s">
        <v>3510</v>
      </c>
      <c r="BI121" s="72">
        <f>VLOOKUP(A121,'ID Block'!A:L,12,0)</f>
        <v>45336</v>
      </c>
      <c r="BJ121" s="154" t="str">
        <f>VLOOKUP(A121,'ID Block'!A:M,13,0)</f>
        <v>Study &amp; Family Issues</v>
      </c>
      <c r="BK121" s="4">
        <f t="shared" si="1"/>
        <v>80</v>
      </c>
      <c r="BL121" s="105" t="s">
        <v>168</v>
      </c>
      <c r="BM121" s="10"/>
      <c r="BN121" s="183" t="s">
        <v>4578</v>
      </c>
      <c r="BO121" s="183"/>
    </row>
    <row r="122" ht="14.4" s="67" customFormat="1">
      <c r="A122" s="4">
        <v>171174</v>
      </c>
      <c r="B122" s="4"/>
      <c r="C122" s="55" t="s">
        <v>4579</v>
      </c>
      <c r="D122" s="4" t="s">
        <v>4580</v>
      </c>
      <c r="E122" s="4" t="s">
        <v>114</v>
      </c>
      <c r="F122" s="55">
        <v>935914</v>
      </c>
      <c r="G122" s="4" t="s">
        <v>67</v>
      </c>
      <c r="H122" s="4" t="s">
        <v>68</v>
      </c>
      <c r="I122" s="4" t="s">
        <v>2494</v>
      </c>
      <c r="J122" s="55" t="s">
        <v>319</v>
      </c>
      <c r="K122" s="4" t="s">
        <v>71</v>
      </c>
      <c r="L122" s="4" t="s">
        <v>3487</v>
      </c>
      <c r="M122" s="4" t="s">
        <v>3659</v>
      </c>
      <c r="N122" s="4" t="s">
        <v>74</v>
      </c>
      <c r="O122" s="4" t="s">
        <v>75</v>
      </c>
      <c r="P122" s="4" t="s">
        <v>3987</v>
      </c>
      <c r="Q122" s="57">
        <v>45206</v>
      </c>
      <c r="R122" s="57">
        <v>45211</v>
      </c>
      <c r="S122" s="113"/>
      <c r="T122" s="113"/>
      <c r="U122" s="4"/>
      <c r="V122" s="4"/>
      <c r="W122" s="105" t="s">
        <v>4581</v>
      </c>
      <c r="X122" s="114">
        <v>1748687535</v>
      </c>
      <c r="Y122" s="55" t="s">
        <v>81</v>
      </c>
      <c r="Z122" s="4">
        <v>1308631908</v>
      </c>
      <c r="AA122" s="4">
        <v>1308631908</v>
      </c>
      <c r="AB122" s="4" t="s">
        <v>252</v>
      </c>
      <c r="AC122" s="4" t="s">
        <v>79</v>
      </c>
      <c r="AD122" s="113">
        <v>35285</v>
      </c>
      <c r="AE122" s="107">
        <v>27.5123287671233</v>
      </c>
      <c r="AF122" s="4" t="s">
        <v>80</v>
      </c>
      <c r="AG122" s="114">
        <v>4201813906</v>
      </c>
      <c r="AH122" s="4" t="s">
        <v>81</v>
      </c>
      <c r="AI122" s="55" t="s">
        <v>290</v>
      </c>
      <c r="AJ122" s="55" t="s">
        <v>81</v>
      </c>
      <c r="AK122" s="55">
        <v>2018</v>
      </c>
      <c r="AL122" s="4" t="s">
        <v>4582</v>
      </c>
      <c r="AM122" s="4" t="s">
        <v>4583</v>
      </c>
      <c r="AN122" s="4" t="s">
        <v>4584</v>
      </c>
      <c r="AO122" s="4" t="s">
        <v>4585</v>
      </c>
      <c r="AP122" s="4" t="s">
        <v>4586</v>
      </c>
      <c r="AQ122" s="55" t="s">
        <v>4587</v>
      </c>
      <c r="AR122" s="4" t="s">
        <v>110</v>
      </c>
      <c r="AS122" s="4"/>
      <c r="AT122" s="72"/>
      <c r="AU122" s="4"/>
      <c r="AV122" s="4"/>
      <c r="AW122" s="4"/>
      <c r="AX122" s="4"/>
      <c r="AY122" s="4"/>
      <c r="AZ122" s="4"/>
      <c r="BA122" s="4" t="s">
        <v>3498</v>
      </c>
      <c r="BB122" s="4">
        <v>10800</v>
      </c>
      <c r="BC122" s="4">
        <v>2700</v>
      </c>
      <c r="BD122" s="4">
        <v>0</v>
      </c>
      <c r="BE122" s="4" t="s">
        <v>296</v>
      </c>
      <c r="BF122" s="4"/>
      <c r="BG122" s="4"/>
      <c r="BH122" s="4" t="s">
        <v>3510</v>
      </c>
      <c r="BI122" s="72">
        <f>VLOOKUP(A122,'ID Block'!A:L,12,0)</f>
        <v>45338</v>
      </c>
      <c r="BJ122" s="154" t="str">
        <f>VLOOKUP(A122,'ID Block'!A:M,13,0)</f>
        <v>Family Issues</v>
      </c>
      <c r="BK122" s="4">
        <f t="shared" si="1"/>
        <v>127</v>
      </c>
      <c r="BL122" s="105" t="s">
        <v>168</v>
      </c>
      <c r="BM122" s="10"/>
      <c r="BN122" s="183" t="s">
        <v>4002</v>
      </c>
      <c r="BO122" s="183"/>
    </row>
    <row r="123" ht="14.4" s="67" customFormat="1">
      <c r="A123" s="4">
        <v>171068</v>
      </c>
      <c r="B123" s="4"/>
      <c r="C123" s="55" t="s">
        <v>4588</v>
      </c>
      <c r="D123" s="4" t="s">
        <v>3893</v>
      </c>
      <c r="E123" s="4" t="s">
        <v>114</v>
      </c>
      <c r="F123" s="55">
        <v>701468</v>
      </c>
      <c r="G123" s="4" t="s">
        <v>67</v>
      </c>
      <c r="H123" s="4" t="s">
        <v>68</v>
      </c>
      <c r="I123" s="4" t="s">
        <v>2494</v>
      </c>
      <c r="J123" s="55" t="s">
        <v>155</v>
      </c>
      <c r="K123" s="4" t="s">
        <v>71</v>
      </c>
      <c r="L123" s="4" t="s">
        <v>3487</v>
      </c>
      <c r="M123" s="4" t="s">
        <v>196</v>
      </c>
      <c r="N123" s="4" t="s">
        <v>74</v>
      </c>
      <c r="O123" s="4" t="s">
        <v>75</v>
      </c>
      <c r="P123" s="4" t="s">
        <v>3564</v>
      </c>
      <c r="Q123" s="57">
        <v>45077</v>
      </c>
      <c r="R123" s="57">
        <v>45093</v>
      </c>
      <c r="S123" s="113"/>
      <c r="T123" s="113"/>
      <c r="U123" s="4"/>
      <c r="V123" s="4"/>
      <c r="W123" s="105" t="s">
        <v>4589</v>
      </c>
      <c r="X123" s="114">
        <v>1793544241</v>
      </c>
      <c r="Y123" s="55">
        <v>1880249836</v>
      </c>
      <c r="Z123" s="4" t="s">
        <v>4590</v>
      </c>
      <c r="AA123" s="4">
        <v>1792416602</v>
      </c>
      <c r="AB123" s="4" t="s">
        <v>144</v>
      </c>
      <c r="AC123" s="4" t="s">
        <v>119</v>
      </c>
      <c r="AD123" s="113">
        <v>35318</v>
      </c>
      <c r="AE123" s="107">
        <v>27.4219178082192</v>
      </c>
      <c r="AF123" s="4" t="s">
        <v>80</v>
      </c>
      <c r="AG123" s="114">
        <v>8253189529</v>
      </c>
      <c r="AH123" s="4" t="s">
        <v>1489</v>
      </c>
      <c r="AI123" s="55" t="s">
        <v>160</v>
      </c>
      <c r="AJ123" s="55" t="s">
        <v>81</v>
      </c>
      <c r="AK123" s="55" t="s">
        <v>81</v>
      </c>
      <c r="AL123" s="4" t="s">
        <v>1102</v>
      </c>
      <c r="AM123" s="4" t="s">
        <v>1488</v>
      </c>
      <c r="AN123" s="4" t="s">
        <v>1491</v>
      </c>
      <c r="AO123" s="4" t="s">
        <v>4591</v>
      </c>
      <c r="AP123" s="4" t="s">
        <v>1493</v>
      </c>
      <c r="AQ123" s="55" t="s">
        <v>4592</v>
      </c>
      <c r="AR123" s="4" t="s">
        <v>110</v>
      </c>
      <c r="AS123" s="4"/>
      <c r="AT123" s="72"/>
      <c r="AU123" s="4"/>
      <c r="AV123" s="4"/>
      <c r="AW123" s="4"/>
      <c r="AX123" s="4"/>
      <c r="AY123" s="4"/>
      <c r="AZ123" s="4"/>
      <c r="BA123" s="4" t="s">
        <v>3498</v>
      </c>
      <c r="BB123" s="4">
        <v>10800</v>
      </c>
      <c r="BC123" s="4">
        <v>2700</v>
      </c>
      <c r="BD123" s="4">
        <v>1000</v>
      </c>
      <c r="BE123" s="4" t="s">
        <v>166</v>
      </c>
      <c r="BF123" s="4" t="s">
        <v>167</v>
      </c>
      <c r="BG123" s="4" t="s">
        <v>167</v>
      </c>
      <c r="BH123" s="4" t="s">
        <v>3510</v>
      </c>
      <c r="BI123" s="72">
        <f>VLOOKUP(A123,'ID Block'!A:L,12,0)</f>
        <v>45338</v>
      </c>
      <c r="BJ123" s="154" t="str">
        <f>VLOOKUP(A123,'ID Block'!A:M,13,0)</f>
        <v>Better Opportunity</v>
      </c>
      <c r="BK123" s="4">
        <f t="shared" si="1"/>
        <v>245</v>
      </c>
      <c r="BL123" s="105" t="s">
        <v>168</v>
      </c>
      <c r="BM123" s="10"/>
      <c r="BN123" s="183" t="s">
        <v>4035</v>
      </c>
      <c r="BO123" s="183"/>
    </row>
    <row r="124" ht="14.4" s="67" customFormat="1">
      <c r="A124" s="4">
        <v>171217</v>
      </c>
      <c r="B124" s="4"/>
      <c r="C124" s="55" t="s">
        <v>4593</v>
      </c>
      <c r="D124" s="4" t="s">
        <v>4594</v>
      </c>
      <c r="E124" s="4" t="s">
        <v>114</v>
      </c>
      <c r="F124" s="55">
        <v>1010895201</v>
      </c>
      <c r="G124" s="4" t="s">
        <v>67</v>
      </c>
      <c r="H124" s="4" t="s">
        <v>68</v>
      </c>
      <c r="I124" s="4" t="s">
        <v>2494</v>
      </c>
      <c r="J124" s="55" t="s">
        <v>3650</v>
      </c>
      <c r="K124" s="4" t="s">
        <v>71</v>
      </c>
      <c r="L124" s="4" t="s">
        <v>3487</v>
      </c>
      <c r="M124" s="4" t="s">
        <v>98</v>
      </c>
      <c r="N124" s="4" t="s">
        <v>74</v>
      </c>
      <c r="O124" s="4" t="s">
        <v>75</v>
      </c>
      <c r="P124" s="4" t="s">
        <v>4271</v>
      </c>
      <c r="Q124" s="57">
        <v>45246</v>
      </c>
      <c r="R124" s="57">
        <v>45256</v>
      </c>
      <c r="S124" s="113"/>
      <c r="T124" s="113"/>
      <c r="U124" s="4"/>
      <c r="V124" s="4"/>
      <c r="W124" s="105" t="s">
        <v>4452</v>
      </c>
      <c r="X124" s="114">
        <v>1793931848</v>
      </c>
      <c r="Y124" s="55" t="s">
        <v>81</v>
      </c>
      <c r="Z124" s="4" t="s">
        <v>4595</v>
      </c>
      <c r="AA124" s="4">
        <v>1715765913</v>
      </c>
      <c r="AB124" s="4" t="s">
        <v>1136</v>
      </c>
      <c r="AC124" s="4" t="s">
        <v>119</v>
      </c>
      <c r="AD124" s="113">
        <v>35515</v>
      </c>
      <c r="AE124" s="107">
        <v>26.8821917808219</v>
      </c>
      <c r="AF124" s="4" t="s">
        <v>80</v>
      </c>
      <c r="AG124" s="114">
        <v>3302983212</v>
      </c>
      <c r="AH124" s="4" t="s">
        <v>4596</v>
      </c>
      <c r="AI124" s="55" t="s">
        <v>265</v>
      </c>
      <c r="AJ124" s="55" t="s">
        <v>81</v>
      </c>
      <c r="AK124" s="55">
        <v>2020</v>
      </c>
      <c r="AL124" s="4" t="s">
        <v>4597</v>
      </c>
      <c r="AM124" s="4" t="s">
        <v>4598</v>
      </c>
      <c r="AN124" s="4" t="s">
        <v>4595</v>
      </c>
      <c r="AO124" s="4" t="s">
        <v>4599</v>
      </c>
      <c r="AP124" s="4" t="s">
        <v>4599</v>
      </c>
      <c r="AQ124" s="55" t="s">
        <v>4600</v>
      </c>
      <c r="AR124" s="4" t="s">
        <v>110</v>
      </c>
      <c r="AS124" s="4" t="s">
        <v>81</v>
      </c>
      <c r="AT124" s="72" t="s">
        <v>81</v>
      </c>
      <c r="AU124" s="4" t="s">
        <v>81</v>
      </c>
      <c r="AV124" s="4" t="s">
        <v>81</v>
      </c>
      <c r="AW124" s="4"/>
      <c r="AX124" s="4"/>
      <c r="AY124" s="4"/>
      <c r="AZ124" s="4"/>
      <c r="BA124" s="4" t="s">
        <v>3498</v>
      </c>
      <c r="BB124" s="4">
        <v>10800</v>
      </c>
      <c r="BC124" s="4">
        <v>2700</v>
      </c>
      <c r="BD124" s="4">
        <v>0</v>
      </c>
      <c r="BE124" s="4" t="s">
        <v>296</v>
      </c>
      <c r="BF124" s="4"/>
      <c r="BG124" s="4"/>
      <c r="BH124" s="4" t="s">
        <v>3510</v>
      </c>
      <c r="BI124" s="72">
        <f>VLOOKUP(A124,'ID Block'!A:L,12,0)</f>
        <v>45338</v>
      </c>
      <c r="BJ124" s="154" t="str">
        <f>VLOOKUP(A124,'ID Block'!A:M,13,0)</f>
        <v>Personal Issues</v>
      </c>
      <c r="BK124" s="4">
        <f t="shared" si="1"/>
        <v>82</v>
      </c>
      <c r="BL124" s="105" t="s">
        <v>168</v>
      </c>
      <c r="BM124" s="10"/>
      <c r="BN124" s="183" t="s">
        <v>3978</v>
      </c>
      <c r="BO124" s="183"/>
    </row>
    <row r="125" ht="14.4" s="67" customFormat="1">
      <c r="A125" s="4">
        <v>171166</v>
      </c>
      <c r="B125" s="4"/>
      <c r="C125" s="55" t="s">
        <v>745</v>
      </c>
      <c r="D125" s="4" t="s">
        <v>4601</v>
      </c>
      <c r="E125" s="4" t="s">
        <v>114</v>
      </c>
      <c r="F125" s="55">
        <v>350194</v>
      </c>
      <c r="G125" s="4" t="s">
        <v>67</v>
      </c>
      <c r="H125" s="4" t="s">
        <v>68</v>
      </c>
      <c r="I125" s="4" t="s">
        <v>2494</v>
      </c>
      <c r="J125" s="55" t="s">
        <v>4602</v>
      </c>
      <c r="K125" s="4" t="s">
        <v>71</v>
      </c>
      <c r="L125" s="4" t="s">
        <v>3487</v>
      </c>
      <c r="M125" s="4" t="s">
        <v>115</v>
      </c>
      <c r="N125" s="4" t="s">
        <v>74</v>
      </c>
      <c r="O125" s="4" t="s">
        <v>75</v>
      </c>
      <c r="P125" s="4" t="s">
        <v>3987</v>
      </c>
      <c r="Q125" s="57">
        <v>45206</v>
      </c>
      <c r="R125" s="57">
        <v>45211</v>
      </c>
      <c r="S125" s="113"/>
      <c r="T125" s="113"/>
      <c r="U125" s="4"/>
      <c r="V125" s="4"/>
      <c r="W125" s="105" t="s">
        <v>4603</v>
      </c>
      <c r="X125" s="114">
        <v>1782441780</v>
      </c>
      <c r="Y125" s="55" t="s">
        <v>81</v>
      </c>
      <c r="Z125" s="4" t="s">
        <v>4604</v>
      </c>
      <c r="AA125" s="4">
        <v>1799039811</v>
      </c>
      <c r="AB125" s="4" t="s">
        <v>252</v>
      </c>
      <c r="AC125" s="4" t="s">
        <v>119</v>
      </c>
      <c r="AD125" s="113">
        <v>34764</v>
      </c>
      <c r="AE125" s="107">
        <v>28.9397260273973</v>
      </c>
      <c r="AF125" s="4" t="s">
        <v>80</v>
      </c>
      <c r="AG125" s="114" t="s">
        <v>4605</v>
      </c>
      <c r="AH125" s="4" t="s">
        <v>81</v>
      </c>
      <c r="AI125" s="55" t="s">
        <v>683</v>
      </c>
      <c r="AJ125" s="55" t="s">
        <v>81</v>
      </c>
      <c r="AK125" s="55">
        <v>2019</v>
      </c>
      <c r="AL125" s="4" t="s">
        <v>4606</v>
      </c>
      <c r="AM125" s="4" t="s">
        <v>4607</v>
      </c>
      <c r="AN125" s="4" t="s">
        <v>4608</v>
      </c>
      <c r="AO125" s="4" t="s">
        <v>4609</v>
      </c>
      <c r="AP125" s="4" t="s">
        <v>4610</v>
      </c>
      <c r="AQ125" s="55" t="s">
        <v>4097</v>
      </c>
      <c r="AR125" s="4" t="s">
        <v>110</v>
      </c>
      <c r="AS125" s="4"/>
      <c r="AT125" s="72"/>
      <c r="AU125" s="4"/>
      <c r="AV125" s="4"/>
      <c r="AW125" s="4"/>
      <c r="AX125" s="4"/>
      <c r="AY125" s="4"/>
      <c r="AZ125" s="4"/>
      <c r="BA125" s="4" t="s">
        <v>3498</v>
      </c>
      <c r="BB125" s="4">
        <v>10800</v>
      </c>
      <c r="BC125" s="4">
        <v>2700</v>
      </c>
      <c r="BD125" s="4">
        <v>0</v>
      </c>
      <c r="BE125" s="4" t="s">
        <v>296</v>
      </c>
      <c r="BF125" s="4"/>
      <c r="BG125" s="4"/>
      <c r="BH125" s="4" t="s">
        <v>3510</v>
      </c>
      <c r="BI125" s="72">
        <f>VLOOKUP(A125,'ID Block'!A:L,12,0)</f>
        <v>45338</v>
      </c>
      <c r="BJ125" s="154" t="str">
        <f>VLOOKUP(A125,'ID Block'!A:M,13,0)</f>
        <v>Personal Issues</v>
      </c>
      <c r="BK125" s="4">
        <f t="shared" si="1"/>
        <v>127</v>
      </c>
      <c r="BL125" s="105" t="s">
        <v>168</v>
      </c>
      <c r="BM125" s="10"/>
      <c r="BN125" s="183" t="s">
        <v>4611</v>
      </c>
      <c r="BO125" s="183"/>
    </row>
    <row r="126" ht="14.4" s="67" customFormat="1">
      <c r="A126" s="4">
        <v>171155</v>
      </c>
      <c r="B126" s="4"/>
      <c r="C126" s="55" t="s">
        <v>4612</v>
      </c>
      <c r="D126" s="4" t="s">
        <v>4613</v>
      </c>
      <c r="E126" s="4" t="s">
        <v>114</v>
      </c>
      <c r="F126" s="55">
        <v>642935</v>
      </c>
      <c r="G126" s="4" t="s">
        <v>67</v>
      </c>
      <c r="H126" s="4" t="s">
        <v>68</v>
      </c>
      <c r="I126" s="4" t="s">
        <v>2494</v>
      </c>
      <c r="J126" s="55" t="s">
        <v>307</v>
      </c>
      <c r="K126" s="4" t="s">
        <v>71</v>
      </c>
      <c r="L126" s="4" t="s">
        <v>3487</v>
      </c>
      <c r="M126" s="4" t="s">
        <v>2643</v>
      </c>
      <c r="N126" s="4" t="s">
        <v>74</v>
      </c>
      <c r="O126" s="4" t="s">
        <v>75</v>
      </c>
      <c r="P126" s="4" t="s">
        <v>3987</v>
      </c>
      <c r="Q126" s="57">
        <v>45206</v>
      </c>
      <c r="R126" s="57">
        <v>45211</v>
      </c>
      <c r="S126" s="113"/>
      <c r="T126" s="113"/>
      <c r="U126" s="4"/>
      <c r="V126" s="4"/>
      <c r="W126" s="105" t="s">
        <v>4614</v>
      </c>
      <c r="X126" s="114">
        <v>1782066240</v>
      </c>
      <c r="Y126" s="55">
        <v>1876061354</v>
      </c>
      <c r="Z126" s="4" t="s">
        <v>4615</v>
      </c>
      <c r="AA126" s="4">
        <v>1742094674</v>
      </c>
      <c r="AB126" s="4" t="s">
        <v>132</v>
      </c>
      <c r="AC126" s="4" t="s">
        <v>133</v>
      </c>
      <c r="AD126" s="113">
        <v>35023</v>
      </c>
      <c r="AE126" s="107">
        <v>28.2301369863014</v>
      </c>
      <c r="AF126" s="4" t="s">
        <v>80</v>
      </c>
      <c r="AG126" s="114">
        <v>4675242665</v>
      </c>
      <c r="AH126" s="4" t="s">
        <v>4616</v>
      </c>
      <c r="AI126" s="55" t="s">
        <v>290</v>
      </c>
      <c r="AJ126" s="55" t="s">
        <v>81</v>
      </c>
      <c r="AK126" s="55">
        <v>2021</v>
      </c>
      <c r="AL126" s="4" t="s">
        <v>4617</v>
      </c>
      <c r="AM126" s="4" t="s">
        <v>4618</v>
      </c>
      <c r="AN126" s="4" t="s">
        <v>4615</v>
      </c>
      <c r="AO126" s="4" t="s">
        <v>4619</v>
      </c>
      <c r="AP126" s="4" t="s">
        <v>4620</v>
      </c>
      <c r="AQ126" s="55" t="s">
        <v>285</v>
      </c>
      <c r="AR126" s="4" t="s">
        <v>110</v>
      </c>
      <c r="AS126" s="4"/>
      <c r="AT126" s="72"/>
      <c r="AU126" s="4"/>
      <c r="AV126" s="4"/>
      <c r="AW126" s="4"/>
      <c r="AX126" s="4"/>
      <c r="AY126" s="4"/>
      <c r="AZ126" s="4"/>
      <c r="BA126" s="4" t="s">
        <v>3498</v>
      </c>
      <c r="BB126" s="4">
        <v>10800</v>
      </c>
      <c r="BC126" s="4">
        <v>2700</v>
      </c>
      <c r="BD126" s="4">
        <v>0</v>
      </c>
      <c r="BE126" s="4" t="s">
        <v>296</v>
      </c>
      <c r="BF126" s="4"/>
      <c r="BG126" s="4"/>
      <c r="BH126" s="4" t="s">
        <v>3510</v>
      </c>
      <c r="BI126" s="72">
        <f>VLOOKUP(A126,'ID Block'!A:L,12,0)</f>
        <v>45342</v>
      </c>
      <c r="BJ126" s="154" t="str">
        <f>VLOOKUP(A126,'ID Block'!A:M,13,0)</f>
        <v>Family Issues</v>
      </c>
      <c r="BK126" s="4">
        <f t="shared" si="1"/>
        <v>131</v>
      </c>
      <c r="BL126" s="105" t="s">
        <v>168</v>
      </c>
      <c r="BM126" s="10"/>
      <c r="BN126" s="183" t="s">
        <v>4002</v>
      </c>
      <c r="BO126" s="183"/>
    </row>
    <row r="127" ht="14.4" s="67" customFormat="1">
      <c r="A127" s="4">
        <v>171190</v>
      </c>
      <c r="B127" s="4"/>
      <c r="C127" s="55" t="s">
        <v>1220</v>
      </c>
      <c r="D127" s="4" t="s">
        <v>4621</v>
      </c>
      <c r="E127" s="4" t="s">
        <v>114</v>
      </c>
      <c r="F127" s="55">
        <v>1115256923</v>
      </c>
      <c r="G127" s="4" t="s">
        <v>67</v>
      </c>
      <c r="H127" s="4" t="s">
        <v>68</v>
      </c>
      <c r="I127" s="4" t="s">
        <v>2494</v>
      </c>
      <c r="J127" s="55" t="s">
        <v>307</v>
      </c>
      <c r="K127" s="4" t="s">
        <v>71</v>
      </c>
      <c r="L127" s="4" t="s">
        <v>3487</v>
      </c>
      <c r="M127" s="4" t="s">
        <v>2643</v>
      </c>
      <c r="N127" s="4" t="s">
        <v>74</v>
      </c>
      <c r="O127" s="4" t="s">
        <v>75</v>
      </c>
      <c r="P127" s="4" t="s">
        <v>3987</v>
      </c>
      <c r="Q127" s="57">
        <v>45208</v>
      </c>
      <c r="R127" s="57">
        <v>45211</v>
      </c>
      <c r="S127" s="113"/>
      <c r="T127" s="113"/>
      <c r="U127" s="4"/>
      <c r="V127" s="4"/>
      <c r="W127" s="105" t="s">
        <v>4622</v>
      </c>
      <c r="X127" s="114">
        <v>1748791547</v>
      </c>
      <c r="Y127" s="55" t="s">
        <v>81</v>
      </c>
      <c r="Z127" s="4" t="s">
        <v>4623</v>
      </c>
      <c r="AA127" s="4">
        <v>1783296869</v>
      </c>
      <c r="AB127" s="4" t="s">
        <v>382</v>
      </c>
      <c r="AC127" s="4" t="s">
        <v>79</v>
      </c>
      <c r="AD127" s="113">
        <v>35758</v>
      </c>
      <c r="AE127" s="107">
        <v>26.2164383561644</v>
      </c>
      <c r="AF127" s="4" t="s">
        <v>80</v>
      </c>
      <c r="AG127" s="114">
        <v>2851654729</v>
      </c>
      <c r="AH127" s="4" t="s">
        <v>81</v>
      </c>
      <c r="AI127" s="55" t="s">
        <v>322</v>
      </c>
      <c r="AJ127" s="55" t="s">
        <v>81</v>
      </c>
      <c r="AK127" s="55">
        <v>2020</v>
      </c>
      <c r="AL127" s="4" t="s">
        <v>4624</v>
      </c>
      <c r="AM127" s="4" t="s">
        <v>4625</v>
      </c>
      <c r="AN127" s="4" t="s">
        <v>3569</v>
      </c>
      <c r="AO127" s="4" t="s">
        <v>4626</v>
      </c>
      <c r="AP127" s="4" t="s">
        <v>4627</v>
      </c>
      <c r="AQ127" s="55" t="s">
        <v>1322</v>
      </c>
      <c r="AR127" s="4" t="s">
        <v>110</v>
      </c>
      <c r="AS127" s="4"/>
      <c r="AT127" s="72"/>
      <c r="AU127" s="4"/>
      <c r="AV127" s="4"/>
      <c r="AW127" s="4"/>
      <c r="AX127" s="4"/>
      <c r="AY127" s="4"/>
      <c r="AZ127" s="4"/>
      <c r="BA127" s="4" t="s">
        <v>3498</v>
      </c>
      <c r="BB127" s="4">
        <v>10800</v>
      </c>
      <c r="BC127" s="4">
        <v>2700</v>
      </c>
      <c r="BD127" s="4">
        <v>0</v>
      </c>
      <c r="BE127" s="4" t="s">
        <v>296</v>
      </c>
      <c r="BF127" s="4"/>
      <c r="BG127" s="4"/>
      <c r="BH127" s="4" t="s">
        <v>3510</v>
      </c>
      <c r="BI127" s="72">
        <f>VLOOKUP(A127,'ID Block'!A:L,12,0)</f>
        <v>45346</v>
      </c>
      <c r="BJ127" s="154" t="str">
        <f>VLOOKUP(A127,'ID Block'!A:M,13,0)</f>
        <v>Better Opportunity</v>
      </c>
      <c r="BK127" s="4">
        <f t="shared" si="1"/>
        <v>135</v>
      </c>
      <c r="BL127" s="105" t="s">
        <v>168</v>
      </c>
      <c r="BM127" s="10"/>
      <c r="BN127" s="183" t="s">
        <v>4035</v>
      </c>
      <c r="BO127" s="183"/>
    </row>
    <row r="128" ht="14.4" s="67" customFormat="1">
      <c r="A128" s="4">
        <v>171125</v>
      </c>
      <c r="B128" s="4"/>
      <c r="C128" s="55" t="s">
        <v>4628</v>
      </c>
      <c r="D128" s="4" t="s">
        <v>4629</v>
      </c>
      <c r="E128" s="4" t="s">
        <v>114</v>
      </c>
      <c r="F128" s="55">
        <v>1317636681</v>
      </c>
      <c r="G128" s="4" t="s">
        <v>67</v>
      </c>
      <c r="H128" s="4" t="s">
        <v>68</v>
      </c>
      <c r="I128" s="4" t="s">
        <v>2494</v>
      </c>
      <c r="J128" s="55" t="s">
        <v>4005</v>
      </c>
      <c r="K128" s="4" t="s">
        <v>71</v>
      </c>
      <c r="L128" s="4" t="s">
        <v>3487</v>
      </c>
      <c r="M128" s="4" t="s">
        <v>98</v>
      </c>
      <c r="N128" s="4" t="s">
        <v>74</v>
      </c>
      <c r="O128" s="4" t="s">
        <v>75</v>
      </c>
      <c r="P128" s="4" t="s">
        <v>3942</v>
      </c>
      <c r="Q128" s="57">
        <v>45146</v>
      </c>
      <c r="R128" s="57">
        <v>45154</v>
      </c>
      <c r="S128" s="113"/>
      <c r="T128" s="113"/>
      <c r="U128" s="4"/>
      <c r="V128" s="4"/>
      <c r="W128" s="105" t="s">
        <v>4630</v>
      </c>
      <c r="X128" s="114">
        <v>1750741339</v>
      </c>
      <c r="Y128" s="55">
        <v>1533835875</v>
      </c>
      <c r="Z128" s="4" t="s">
        <v>4631</v>
      </c>
      <c r="AA128" s="4">
        <v>1767001233</v>
      </c>
      <c r="AB128" s="4" t="s">
        <v>252</v>
      </c>
      <c r="AC128" s="4" t="s">
        <v>79</v>
      </c>
      <c r="AD128" s="113">
        <v>36892</v>
      </c>
      <c r="AE128" s="107">
        <v>23.1095890410959</v>
      </c>
      <c r="AF128" s="4" t="s">
        <v>80</v>
      </c>
      <c r="AG128" s="114">
        <v>4224266132</v>
      </c>
      <c r="AH128" s="4" t="s">
        <v>81</v>
      </c>
      <c r="AI128" s="55" t="s">
        <v>187</v>
      </c>
      <c r="AJ128" s="55" t="s">
        <v>81</v>
      </c>
      <c r="AK128" s="55" t="s">
        <v>81</v>
      </c>
      <c r="AL128" s="4" t="s">
        <v>4632</v>
      </c>
      <c r="AM128" s="4" t="s">
        <v>4633</v>
      </c>
      <c r="AN128" s="4" t="s">
        <v>4634</v>
      </c>
      <c r="AO128" s="4" t="s">
        <v>4635</v>
      </c>
      <c r="AP128" s="4" t="s">
        <v>4636</v>
      </c>
      <c r="AQ128" s="55" t="s">
        <v>3446</v>
      </c>
      <c r="AR128" s="4" t="s">
        <v>110</v>
      </c>
      <c r="AS128" s="4"/>
      <c r="AT128" s="72"/>
      <c r="AU128" s="4"/>
      <c r="AV128" s="4"/>
      <c r="AW128" s="4"/>
      <c r="AX128" s="4"/>
      <c r="AY128" s="4"/>
      <c r="AZ128" s="4"/>
      <c r="BA128" s="4" t="s">
        <v>3498</v>
      </c>
      <c r="BB128" s="4">
        <v>10800</v>
      </c>
      <c r="BC128" s="4">
        <v>2700</v>
      </c>
      <c r="BD128" s="4">
        <v>0</v>
      </c>
      <c r="BE128" s="4" t="s">
        <v>296</v>
      </c>
      <c r="BF128" s="4" t="s">
        <v>167</v>
      </c>
      <c r="BG128" s="4" t="s">
        <v>167</v>
      </c>
      <c r="BH128" s="4" t="s">
        <v>3510</v>
      </c>
      <c r="BI128" s="72">
        <f>VLOOKUP(A128,'ID Block'!A:L,12,0)</f>
        <v>45347</v>
      </c>
      <c r="BJ128" s="154" t="str">
        <f>VLOOKUP(A128,'ID Block'!A:M,13,0)</f>
        <v>Treatment in abroad</v>
      </c>
      <c r="BK128" s="4">
        <f t="shared" si="1"/>
        <v>193</v>
      </c>
      <c r="BL128" s="105" t="s">
        <v>168</v>
      </c>
      <c r="BM128" s="10"/>
      <c r="BN128" s="183" t="s">
        <v>4637</v>
      </c>
      <c r="BO128" s="183"/>
    </row>
    <row r="129" ht="14.4" s="67" customFormat="1">
      <c r="A129" s="4">
        <v>171240</v>
      </c>
      <c r="B129" s="4"/>
      <c r="C129" s="55" t="s">
        <v>4638</v>
      </c>
      <c r="D129" s="4" t="s">
        <v>4639</v>
      </c>
      <c r="E129" s="4" t="s">
        <v>114</v>
      </c>
      <c r="F129" s="55">
        <v>1310566965</v>
      </c>
      <c r="G129" s="4" t="s">
        <v>67</v>
      </c>
      <c r="H129" s="4" t="s">
        <v>68</v>
      </c>
      <c r="I129" s="4" t="s">
        <v>2494</v>
      </c>
      <c r="J129" s="55" t="s">
        <v>155</v>
      </c>
      <c r="K129" s="4" t="s">
        <v>71</v>
      </c>
      <c r="L129" s="4" t="s">
        <v>3487</v>
      </c>
      <c r="M129" s="4" t="s">
        <v>196</v>
      </c>
      <c r="N129" s="4" t="s">
        <v>74</v>
      </c>
      <c r="O129" s="4" t="s">
        <v>75</v>
      </c>
      <c r="P129" s="4" t="s">
        <v>4123</v>
      </c>
      <c r="Q129" s="57">
        <v>45251</v>
      </c>
      <c r="R129" s="57">
        <v>45268</v>
      </c>
      <c r="S129" s="113"/>
      <c r="T129" s="113"/>
      <c r="U129" s="4"/>
      <c r="V129" s="4"/>
      <c r="W129" s="105" t="s">
        <v>4640</v>
      </c>
      <c r="X129" s="114">
        <v>1516097114</v>
      </c>
      <c r="Y129" s="55">
        <v>1908200838</v>
      </c>
      <c r="Z129" s="4" t="s">
        <v>4641</v>
      </c>
      <c r="AA129" s="4">
        <v>1943853895</v>
      </c>
      <c r="AB129" s="4" t="s">
        <v>101</v>
      </c>
      <c r="AC129" s="4" t="s">
        <v>79</v>
      </c>
      <c r="AD129" s="113">
        <v>36763</v>
      </c>
      <c r="AE129" s="107">
        <v>23.4630136986301</v>
      </c>
      <c r="AF129" s="4" t="s">
        <v>80</v>
      </c>
      <c r="AG129" s="114">
        <v>5112439582</v>
      </c>
      <c r="AH129" s="4" t="s">
        <v>81</v>
      </c>
      <c r="AI129" s="55" t="s">
        <v>217</v>
      </c>
      <c r="AJ129" s="55" t="s">
        <v>683</v>
      </c>
      <c r="AK129" s="55">
        <v>2023</v>
      </c>
      <c r="AL129" s="4" t="s">
        <v>4474</v>
      </c>
      <c r="AM129" s="4" t="s">
        <v>4641</v>
      </c>
      <c r="AN129" s="4" t="s">
        <v>4642</v>
      </c>
      <c r="AO129" s="4" t="s">
        <v>4643</v>
      </c>
      <c r="AP129" s="4" t="s">
        <v>4644</v>
      </c>
      <c r="AQ129" s="55" t="s">
        <v>328</v>
      </c>
      <c r="AR129" s="4" t="s">
        <v>110</v>
      </c>
      <c r="AS129" s="4" t="s">
        <v>81</v>
      </c>
      <c r="AT129" s="72" t="s">
        <v>81</v>
      </c>
      <c r="AU129" s="4" t="s">
        <v>81</v>
      </c>
      <c r="AV129" s="4" t="s">
        <v>81</v>
      </c>
      <c r="AW129" s="4" t="s">
        <v>81</v>
      </c>
      <c r="AX129" s="4" t="s">
        <v>81</v>
      </c>
      <c r="AY129" s="4"/>
      <c r="AZ129" s="4"/>
      <c r="BA129" s="4" t="s">
        <v>3498</v>
      </c>
      <c r="BB129" s="4">
        <v>10800</v>
      </c>
      <c r="BC129" s="4">
        <v>2700</v>
      </c>
      <c r="BD129" s="4">
        <v>1000</v>
      </c>
      <c r="BE129" s="4" t="s">
        <v>166</v>
      </c>
      <c r="BF129" s="4"/>
      <c r="BG129" s="4"/>
      <c r="BH129" s="4" t="s">
        <v>3510</v>
      </c>
      <c r="BI129" s="72">
        <f>VLOOKUP(A129,'ID Block'!A:L,12,0)</f>
        <v>45348</v>
      </c>
      <c r="BJ129" s="154" t="str">
        <f>VLOOKUP(A129,'ID Block'!A:M,13,0)</f>
        <v>Better Opportunity</v>
      </c>
      <c r="BK129" s="4">
        <f t="shared" si="1"/>
        <v>80</v>
      </c>
      <c r="BL129" s="105" t="s">
        <v>168</v>
      </c>
      <c r="BM129" s="10"/>
      <c r="BN129" s="183" t="s">
        <v>4035</v>
      </c>
      <c r="BO129" s="183"/>
    </row>
    <row r="130" ht="14.4" s="67" customFormat="1">
      <c r="A130" s="4">
        <v>171006</v>
      </c>
      <c r="B130" s="4"/>
      <c r="C130" s="55"/>
      <c r="D130" s="4" t="s">
        <v>3503</v>
      </c>
      <c r="E130" s="4" t="s">
        <v>114</v>
      </c>
      <c r="F130" s="55">
        <v>951687</v>
      </c>
      <c r="G130" s="4" t="s">
        <v>225</v>
      </c>
      <c r="H130" s="4" t="s">
        <v>226</v>
      </c>
      <c r="I130" s="4" t="s">
        <v>2494</v>
      </c>
      <c r="J130" s="55" t="s">
        <v>167</v>
      </c>
      <c r="K130" s="4" t="s">
        <v>71</v>
      </c>
      <c r="L130" s="4" t="s">
        <v>4151</v>
      </c>
      <c r="M130" s="4" t="s">
        <v>74</v>
      </c>
      <c r="N130" s="4" t="s">
        <v>3488</v>
      </c>
      <c r="O130" s="4" t="s">
        <v>75</v>
      </c>
      <c r="P130" s="4" t="s">
        <v>4645</v>
      </c>
      <c r="Q130" s="57">
        <v>45042</v>
      </c>
      <c r="R130" s="57">
        <v>45072</v>
      </c>
      <c r="S130" s="113">
        <v>45072</v>
      </c>
      <c r="T130" s="113"/>
      <c r="U130" s="4"/>
      <c r="V130" s="4"/>
      <c r="W130" s="105" t="s">
        <v>4646</v>
      </c>
      <c r="X130" s="114">
        <v>1624438786</v>
      </c>
      <c r="Y130" s="55">
        <v>1755855831</v>
      </c>
      <c r="Z130" s="4" t="s">
        <v>4647</v>
      </c>
      <c r="AA130" s="4">
        <v>1832385744</v>
      </c>
      <c r="AB130" s="4" t="s">
        <v>101</v>
      </c>
      <c r="AC130" s="4" t="s">
        <v>1904</v>
      </c>
      <c r="AD130" s="113">
        <v>35422</v>
      </c>
      <c r="AE130" s="107">
        <v>27.1369863013699</v>
      </c>
      <c r="AF130" s="4" t="s">
        <v>80</v>
      </c>
      <c r="AG130" s="114">
        <v>9569622773</v>
      </c>
      <c r="AH130" s="4" t="s">
        <v>4648</v>
      </c>
      <c r="AI130" s="55" t="s">
        <v>241</v>
      </c>
      <c r="AJ130" s="55" t="s">
        <v>81</v>
      </c>
      <c r="AK130" s="55" t="s">
        <v>81</v>
      </c>
      <c r="AL130" s="4" t="s">
        <v>1649</v>
      </c>
      <c r="AM130" s="4" t="s">
        <v>4647</v>
      </c>
      <c r="AN130" s="4" t="s">
        <v>4649</v>
      </c>
      <c r="AO130" s="4" t="s">
        <v>4650</v>
      </c>
      <c r="AP130" s="4" t="s">
        <v>4650</v>
      </c>
      <c r="AQ130" s="55" t="s">
        <v>4651</v>
      </c>
      <c r="AR130" s="4" t="s">
        <v>89</v>
      </c>
      <c r="AS130" s="4"/>
      <c r="AT130" s="72"/>
      <c r="AU130" s="4"/>
      <c r="AV130" s="4"/>
      <c r="AW130" s="4"/>
      <c r="AX130" s="4"/>
      <c r="AY130" s="4"/>
      <c r="AZ130" s="4"/>
      <c r="BA130" s="4" t="s">
        <v>4161</v>
      </c>
      <c r="BB130" s="4">
        <v>14500</v>
      </c>
      <c r="BC130" s="4">
        <v>3500</v>
      </c>
      <c r="BD130" s="4">
        <v>0</v>
      </c>
      <c r="BE130" s="4" t="s">
        <v>91</v>
      </c>
      <c r="BF130" s="4">
        <v>60831</v>
      </c>
      <c r="BG130" s="4" t="s">
        <v>4652</v>
      </c>
      <c r="BH130" s="4" t="s">
        <v>3510</v>
      </c>
      <c r="BI130" s="72">
        <f>VLOOKUP(A130,'ID Block'!A:L,12,0)</f>
        <v>45352</v>
      </c>
      <c r="BJ130" s="154" t="str">
        <f>VLOOKUP(A130,'ID Block'!A:M,13,0)</f>
        <v>Better Opportunity</v>
      </c>
      <c r="BK130" s="4">
        <f t="shared" si="1"/>
        <v>280</v>
      </c>
      <c r="BL130" s="105" t="s">
        <v>168</v>
      </c>
      <c r="BM130" s="10"/>
      <c r="BN130" s="183" t="s">
        <v>4035</v>
      </c>
      <c r="BO130" s="183"/>
    </row>
    <row r="131" ht="14.4" s="67" customFormat="1">
      <c r="A131" s="4">
        <v>171114</v>
      </c>
      <c r="B131" s="4"/>
      <c r="C131" s="55" t="s">
        <v>4653</v>
      </c>
      <c r="D131" s="4" t="s">
        <v>4654</v>
      </c>
      <c r="E131" s="4" t="s">
        <v>114</v>
      </c>
      <c r="F131" s="55">
        <v>901971</v>
      </c>
      <c r="G131" s="4" t="s">
        <v>67</v>
      </c>
      <c r="H131" s="4" t="s">
        <v>68</v>
      </c>
      <c r="I131" s="4" t="s">
        <v>2494</v>
      </c>
      <c r="J131" s="55" t="s">
        <v>4005</v>
      </c>
      <c r="K131" s="4" t="s">
        <v>71</v>
      </c>
      <c r="L131" s="4" t="s">
        <v>3487</v>
      </c>
      <c r="M131" s="4" t="s">
        <v>196</v>
      </c>
      <c r="N131" s="4" t="s">
        <v>238</v>
      </c>
      <c r="O131" s="4" t="s">
        <v>75</v>
      </c>
      <c r="P131" s="4" t="s">
        <v>3651</v>
      </c>
      <c r="Q131" s="57">
        <v>45116</v>
      </c>
      <c r="R131" s="57">
        <v>45121</v>
      </c>
      <c r="S131" s="113"/>
      <c r="T131" s="113"/>
      <c r="U131" s="4"/>
      <c r="V131" s="4"/>
      <c r="W131" s="105" t="s">
        <v>4655</v>
      </c>
      <c r="X131" s="114">
        <v>1878947201</v>
      </c>
      <c r="Y131" s="55">
        <v>1978947201</v>
      </c>
      <c r="Z131" s="4" t="s">
        <v>4656</v>
      </c>
      <c r="AA131" s="4">
        <v>1923009466</v>
      </c>
      <c r="AB131" s="4" t="s">
        <v>118</v>
      </c>
      <c r="AC131" s="4" t="s">
        <v>119</v>
      </c>
      <c r="AD131" s="113">
        <v>35352</v>
      </c>
      <c r="AE131" s="107">
        <v>27.3287671232877</v>
      </c>
      <c r="AF131" s="4" t="s">
        <v>80</v>
      </c>
      <c r="AG131" s="114">
        <v>6905742174</v>
      </c>
      <c r="AH131" s="4" t="s">
        <v>81</v>
      </c>
      <c r="AI131" s="55" t="s">
        <v>160</v>
      </c>
      <c r="AJ131" s="55" t="s">
        <v>81</v>
      </c>
      <c r="AK131" s="55" t="s">
        <v>81</v>
      </c>
      <c r="AL131" s="4" t="s">
        <v>4657</v>
      </c>
      <c r="AM131" s="4" t="s">
        <v>4658</v>
      </c>
      <c r="AN131" s="4" t="s">
        <v>4659</v>
      </c>
      <c r="AO131" s="4" t="s">
        <v>4660</v>
      </c>
      <c r="AP131" s="4" t="s">
        <v>4661</v>
      </c>
      <c r="AQ131" s="55" t="s">
        <v>4662</v>
      </c>
      <c r="AR131" s="4" t="s">
        <v>260</v>
      </c>
      <c r="AS131" s="4"/>
      <c r="AT131" s="72"/>
      <c r="AU131" s="4"/>
      <c r="AV131" s="4"/>
      <c r="AW131" s="4"/>
      <c r="AX131" s="4"/>
      <c r="AY131" s="4"/>
      <c r="AZ131" s="4"/>
      <c r="BA131" s="4" t="s">
        <v>3498</v>
      </c>
      <c r="BB131" s="4">
        <v>10800</v>
      </c>
      <c r="BC131" s="4">
        <v>2700</v>
      </c>
      <c r="BD131" s="4">
        <v>1000</v>
      </c>
      <c r="BE131" s="4" t="s">
        <v>166</v>
      </c>
      <c r="BF131" s="4" t="s">
        <v>167</v>
      </c>
      <c r="BG131" s="4" t="s">
        <v>167</v>
      </c>
      <c r="BH131" s="4" t="s">
        <v>3510</v>
      </c>
      <c r="BI131" s="72">
        <f>VLOOKUP(A131,'ID Block'!A:L,12,0)</f>
        <v>45352</v>
      </c>
      <c r="BJ131" s="154" t="str">
        <f>VLOOKUP(A131,'ID Block'!A:M,13,0)</f>
        <v>Better Opportunity</v>
      </c>
      <c r="BK131" s="4">
        <f t="shared" si="1"/>
        <v>231</v>
      </c>
      <c r="BL131" s="105" t="s">
        <v>168</v>
      </c>
      <c r="BM131" s="10"/>
      <c r="BN131" s="183" t="s">
        <v>4035</v>
      </c>
      <c r="BO131" s="183"/>
    </row>
    <row r="132" ht="14.4" s="67" customFormat="1">
      <c r="A132" s="4">
        <v>171260</v>
      </c>
      <c r="B132" s="4"/>
      <c r="C132" s="55" t="s">
        <v>4663</v>
      </c>
      <c r="D132" s="4" t="s">
        <v>4664</v>
      </c>
      <c r="E132" s="4" t="s">
        <v>114</v>
      </c>
      <c r="F132" s="55">
        <v>232730</v>
      </c>
      <c r="G132" s="4" t="s">
        <v>67</v>
      </c>
      <c r="H132" s="4" t="s">
        <v>68</v>
      </c>
      <c r="I132" s="4" t="s">
        <v>2494</v>
      </c>
      <c r="J132" s="55" t="s">
        <v>297</v>
      </c>
      <c r="K132" s="4" t="s">
        <v>71</v>
      </c>
      <c r="L132" s="4" t="s">
        <v>3487</v>
      </c>
      <c r="M132" s="4" t="s">
        <v>115</v>
      </c>
      <c r="N132" s="4" t="s">
        <v>74</v>
      </c>
      <c r="O132" s="4" t="s">
        <v>75</v>
      </c>
      <c r="P132" s="4" t="s">
        <v>4123</v>
      </c>
      <c r="Q132" s="57">
        <v>45251</v>
      </c>
      <c r="R132" s="57">
        <v>45256</v>
      </c>
      <c r="S132" s="113"/>
      <c r="T132" s="113"/>
      <c r="U132" s="4"/>
      <c r="V132" s="4"/>
      <c r="W132" s="105" t="s">
        <v>4665</v>
      </c>
      <c r="X132" s="114">
        <v>1709196899</v>
      </c>
      <c r="Y132" s="55" t="s">
        <v>81</v>
      </c>
      <c r="Z132" s="4" t="s">
        <v>4666</v>
      </c>
      <c r="AA132" s="4">
        <v>1729862817</v>
      </c>
      <c r="AB132" s="4" t="s">
        <v>101</v>
      </c>
      <c r="AC132" s="4" t="s">
        <v>133</v>
      </c>
      <c r="AD132" s="113">
        <v>35895</v>
      </c>
      <c r="AE132" s="107">
        <v>25.841095890411</v>
      </c>
      <c r="AF132" s="4" t="s">
        <v>80</v>
      </c>
      <c r="AG132" s="114">
        <v>1505161958</v>
      </c>
      <c r="AH132" s="4" t="s">
        <v>81</v>
      </c>
      <c r="AI132" s="55" t="s">
        <v>4667</v>
      </c>
      <c r="AJ132" s="55" t="s">
        <v>81</v>
      </c>
      <c r="AK132" s="55">
        <v>2021</v>
      </c>
      <c r="AL132" s="4" t="s">
        <v>4668</v>
      </c>
      <c r="AM132" s="4" t="s">
        <v>4669</v>
      </c>
      <c r="AN132" s="4" t="s">
        <v>4670</v>
      </c>
      <c r="AO132" s="4" t="s">
        <v>4671</v>
      </c>
      <c r="AP132" s="4" t="s">
        <v>4672</v>
      </c>
      <c r="AQ132" s="55" t="s">
        <v>1096</v>
      </c>
      <c r="AR132" s="4" t="s">
        <v>89</v>
      </c>
      <c r="AS132" s="4" t="s">
        <v>4673</v>
      </c>
      <c r="AT132" s="72">
        <v>35337</v>
      </c>
      <c r="AU132" s="4" t="s">
        <v>4674</v>
      </c>
      <c r="AV132" s="4">
        <v>44337</v>
      </c>
      <c r="AW132" s="4" t="s">
        <v>81</v>
      </c>
      <c r="AX132" s="4" t="s">
        <v>81</v>
      </c>
      <c r="AY132" s="4"/>
      <c r="AZ132" s="4"/>
      <c r="BA132" s="4" t="s">
        <v>3498</v>
      </c>
      <c r="BB132" s="4">
        <v>10800</v>
      </c>
      <c r="BC132" s="4">
        <v>2700</v>
      </c>
      <c r="BD132" s="4">
        <v>0</v>
      </c>
      <c r="BE132" s="4" t="s">
        <v>91</v>
      </c>
      <c r="BF132" s="4"/>
      <c r="BG132" s="4"/>
      <c r="BH132" s="4" t="s">
        <v>3510</v>
      </c>
      <c r="BI132" s="72">
        <f>VLOOKUP(A132,'ID Block'!A:L,12,0)</f>
        <v>45352</v>
      </c>
      <c r="BJ132" s="154" t="str">
        <f>VLOOKUP(A132,'ID Block'!A:M,13,0)</f>
        <v>Higher Education</v>
      </c>
      <c r="BK132" s="4">
        <f t="shared" si="1"/>
        <v>96</v>
      </c>
      <c r="BL132" s="105" t="s">
        <v>168</v>
      </c>
      <c r="BM132" s="10"/>
      <c r="BN132" s="183" t="s">
        <v>4675</v>
      </c>
      <c r="BO132" s="183"/>
    </row>
    <row r="133" ht="14.4" s="67" customFormat="1">
      <c r="A133" s="4">
        <v>171289</v>
      </c>
      <c r="B133" s="4"/>
      <c r="C133" s="55" t="s">
        <v>873</v>
      </c>
      <c r="D133" s="4" t="s">
        <v>4676</v>
      </c>
      <c r="E133" s="4" t="s">
        <v>114</v>
      </c>
      <c r="F133" s="55">
        <v>685258</v>
      </c>
      <c r="G133" s="4" t="s">
        <v>67</v>
      </c>
      <c r="H133" s="4" t="s">
        <v>68</v>
      </c>
      <c r="I133" s="4" t="s">
        <v>2494</v>
      </c>
      <c r="J133" s="55" t="s">
        <v>297</v>
      </c>
      <c r="K133" s="4" t="s">
        <v>71</v>
      </c>
      <c r="L133" s="4" t="s">
        <v>3487</v>
      </c>
      <c r="M133" s="4" t="s">
        <v>3659</v>
      </c>
      <c r="N133" s="4" t="s">
        <v>74</v>
      </c>
      <c r="O133" s="4" t="s">
        <v>75</v>
      </c>
      <c r="P133" s="4" t="s">
        <v>4143</v>
      </c>
      <c r="Q133" s="57">
        <v>45256</v>
      </c>
      <c r="R133" s="57">
        <v>45261</v>
      </c>
      <c r="S133" s="113"/>
      <c r="T133" s="113"/>
      <c r="U133" s="4"/>
      <c r="V133" s="4"/>
      <c r="W133" s="105" t="s">
        <v>4677</v>
      </c>
      <c r="X133" s="114">
        <v>1709412434</v>
      </c>
      <c r="Y133" s="55">
        <v>1518950830</v>
      </c>
      <c r="Z133" s="4" t="s">
        <v>4678</v>
      </c>
      <c r="AA133" s="4">
        <v>1775437450</v>
      </c>
      <c r="AB133" s="4" t="s">
        <v>118</v>
      </c>
      <c r="AC133" s="4" t="s">
        <v>79</v>
      </c>
      <c r="AD133" s="113">
        <v>35682</v>
      </c>
      <c r="AE133" s="107">
        <v>26.4246575342466</v>
      </c>
      <c r="AF133" s="4" t="s">
        <v>80</v>
      </c>
      <c r="AG133" s="114">
        <v>8255460951</v>
      </c>
      <c r="AH133" s="4" t="s">
        <v>81</v>
      </c>
      <c r="AI133" s="55" t="s">
        <v>523</v>
      </c>
      <c r="AJ133" s="55" t="s">
        <v>81</v>
      </c>
      <c r="AK133" s="55">
        <v>2019</v>
      </c>
      <c r="AL133" s="4" t="s">
        <v>2954</v>
      </c>
      <c r="AM133" s="4" t="s">
        <v>264</v>
      </c>
      <c r="AN133" s="4" t="s">
        <v>2479</v>
      </c>
      <c r="AO133" s="4" t="s">
        <v>4679</v>
      </c>
      <c r="AP133" s="4" t="s">
        <v>4680</v>
      </c>
      <c r="AQ133" s="55" t="s">
        <v>4681</v>
      </c>
      <c r="AR133" s="4" t="s">
        <v>110</v>
      </c>
      <c r="AS133" s="4" t="s">
        <v>81</v>
      </c>
      <c r="AT133" s="72" t="s">
        <v>81</v>
      </c>
      <c r="AU133" s="4" t="s">
        <v>81</v>
      </c>
      <c r="AV133" s="4" t="s">
        <v>81</v>
      </c>
      <c r="AW133" s="4" t="s">
        <v>81</v>
      </c>
      <c r="AX133" s="4" t="s">
        <v>81</v>
      </c>
      <c r="AY133" s="4"/>
      <c r="AZ133" s="4"/>
      <c r="BA133" s="4" t="s">
        <v>3498</v>
      </c>
      <c r="BB133" s="4">
        <v>10800</v>
      </c>
      <c r="BC133" s="4">
        <v>2700</v>
      </c>
      <c r="BD133" s="4">
        <v>0</v>
      </c>
      <c r="BE133" s="4" t="s">
        <v>91</v>
      </c>
      <c r="BF133" s="4"/>
      <c r="BG133" s="4"/>
      <c r="BH133" s="4" t="s">
        <v>3510</v>
      </c>
      <c r="BI133" s="72">
        <f>VLOOKUP(A133,'ID Block'!A:L,12,0)</f>
        <v>45352</v>
      </c>
      <c r="BJ133" s="154" t="str">
        <f>VLOOKUP(A133,'ID Block'!A:M,13,0)</f>
        <v>Better Opportunity</v>
      </c>
      <c r="BK133" s="4">
        <f ref="BK133:BK196" t="shared" si="2">BI133-R133</f>
        <v>91</v>
      </c>
      <c r="BL133" s="105" t="s">
        <v>168</v>
      </c>
      <c r="BM133" s="10"/>
      <c r="BN133" s="183" t="s">
        <v>4035</v>
      </c>
      <c r="BO133" s="183"/>
    </row>
    <row r="134" ht="14.4" s="67" customFormat="1">
      <c r="A134" s="4">
        <v>171292</v>
      </c>
      <c r="B134" s="4"/>
      <c r="C134" s="55" t="s">
        <v>1038</v>
      </c>
      <c r="D134" s="4" t="s">
        <v>2704</v>
      </c>
      <c r="E134" s="4" t="s">
        <v>66</v>
      </c>
      <c r="F134" s="55">
        <v>1311273484</v>
      </c>
      <c r="G134" s="4" t="s">
        <v>67</v>
      </c>
      <c r="H134" s="4" t="s">
        <v>68</v>
      </c>
      <c r="I134" s="4" t="s">
        <v>2494</v>
      </c>
      <c r="J134" s="55" t="s">
        <v>3650</v>
      </c>
      <c r="K134" s="4" t="s">
        <v>71</v>
      </c>
      <c r="L134" s="4" t="s">
        <v>3487</v>
      </c>
      <c r="M134" s="4" t="s">
        <v>115</v>
      </c>
      <c r="N134" s="4" t="s">
        <v>74</v>
      </c>
      <c r="O134" s="4" t="s">
        <v>75</v>
      </c>
      <c r="P134" s="4" t="s">
        <v>4143</v>
      </c>
      <c r="Q134" s="57">
        <v>45256</v>
      </c>
      <c r="R134" s="57">
        <v>45261</v>
      </c>
      <c r="S134" s="113"/>
      <c r="T134" s="113"/>
      <c r="U134" s="4"/>
      <c r="V134" s="4"/>
      <c r="W134" s="105" t="s">
        <v>4682</v>
      </c>
      <c r="X134" s="114">
        <v>1309293832</v>
      </c>
      <c r="Y134" s="55">
        <v>1777680744</v>
      </c>
      <c r="Z134" s="4" t="s">
        <v>4422</v>
      </c>
      <c r="AA134" s="4">
        <v>177768044</v>
      </c>
      <c r="AB134" s="4" t="s">
        <v>101</v>
      </c>
      <c r="AC134" s="4" t="s">
        <v>79</v>
      </c>
      <c r="AD134" s="113">
        <v>37024</v>
      </c>
      <c r="AE134" s="107">
        <v>22.7479452054795</v>
      </c>
      <c r="AF134" s="4" t="s">
        <v>80</v>
      </c>
      <c r="AG134" s="114">
        <v>9165193690</v>
      </c>
      <c r="AH134" s="4" t="s">
        <v>81</v>
      </c>
      <c r="AI134" s="55" t="s">
        <v>4683</v>
      </c>
      <c r="AJ134" s="55" t="s">
        <v>81</v>
      </c>
      <c r="AK134" s="55">
        <v>2023</v>
      </c>
      <c r="AL134" s="4" t="s">
        <v>4684</v>
      </c>
      <c r="AM134" s="4" t="s">
        <v>4685</v>
      </c>
      <c r="AN134" s="4" t="s">
        <v>4686</v>
      </c>
      <c r="AO134" s="4" t="s">
        <v>4687</v>
      </c>
      <c r="AP134" s="4" t="s">
        <v>4688</v>
      </c>
      <c r="AQ134" s="55" t="s">
        <v>4689</v>
      </c>
      <c r="AR134" s="4" t="s">
        <v>110</v>
      </c>
      <c r="AS134" s="4" t="s">
        <v>81</v>
      </c>
      <c r="AT134" s="72" t="s">
        <v>81</v>
      </c>
      <c r="AU134" s="4" t="s">
        <v>81</v>
      </c>
      <c r="AV134" s="4" t="s">
        <v>81</v>
      </c>
      <c r="AW134" s="4" t="s">
        <v>81</v>
      </c>
      <c r="AX134" s="4" t="s">
        <v>81</v>
      </c>
      <c r="AY134" s="4"/>
      <c r="AZ134" s="4"/>
      <c r="BA134" s="4" t="s">
        <v>3498</v>
      </c>
      <c r="BB134" s="4">
        <v>10800</v>
      </c>
      <c r="BC134" s="4">
        <v>2700</v>
      </c>
      <c r="BD134" s="4">
        <v>0</v>
      </c>
      <c r="BE134" s="4" t="s">
        <v>91</v>
      </c>
      <c r="BF134" s="4"/>
      <c r="BG134" s="4"/>
      <c r="BH134" s="4" t="s">
        <v>3510</v>
      </c>
      <c r="BI134" s="72">
        <f>VLOOKUP(A134,'ID Block'!A:L,12,0)</f>
        <v>45352</v>
      </c>
      <c r="BJ134" s="154" t="str">
        <f>VLOOKUP(A134,'ID Block'!A:M,13,0)</f>
        <v>Higher Study </v>
      </c>
      <c r="BK134" s="4">
        <f t="shared" si="2"/>
        <v>91</v>
      </c>
      <c r="BL134" s="105" t="s">
        <v>168</v>
      </c>
      <c r="BM134" s="10"/>
      <c r="BN134" s="183" t="s">
        <v>4690</v>
      </c>
      <c r="BO134" s="183"/>
    </row>
    <row r="135" ht="14.4" s="67" customFormat="1">
      <c r="A135" s="4">
        <v>171197</v>
      </c>
      <c r="B135" s="4"/>
      <c r="C135" s="55"/>
      <c r="D135" s="4" t="s">
        <v>4691</v>
      </c>
      <c r="E135" s="4" t="s">
        <v>66</v>
      </c>
      <c r="F135" s="55">
        <v>1215362056</v>
      </c>
      <c r="G135" s="4" t="s">
        <v>67</v>
      </c>
      <c r="H135" s="4" t="s">
        <v>68</v>
      </c>
      <c r="I135" s="4" t="s">
        <v>2494</v>
      </c>
      <c r="J135" s="55" t="s">
        <v>407</v>
      </c>
      <c r="K135" s="4" t="s">
        <v>71</v>
      </c>
      <c r="L135" s="4" t="s">
        <v>3487</v>
      </c>
      <c r="M135" s="4" t="s">
        <v>2643</v>
      </c>
      <c r="N135" s="4" t="s">
        <v>74</v>
      </c>
      <c r="O135" s="4" t="s">
        <v>75</v>
      </c>
      <c r="P135" s="4" t="s">
        <v>4178</v>
      </c>
      <c r="Q135" s="57">
        <v>45224</v>
      </c>
      <c r="R135" s="57">
        <v>45235</v>
      </c>
      <c r="S135" s="113"/>
      <c r="T135" s="113"/>
      <c r="U135" s="4"/>
      <c r="V135" s="4"/>
      <c r="W135" s="105" t="s">
        <v>4692</v>
      </c>
      <c r="X135" s="114">
        <v>1776239532</v>
      </c>
      <c r="Y135" s="55">
        <v>1303429367</v>
      </c>
      <c r="Z135" s="4" t="s">
        <v>4693</v>
      </c>
      <c r="AA135" s="4">
        <v>1713954894</v>
      </c>
      <c r="AB135" s="4" t="s">
        <v>101</v>
      </c>
      <c r="AC135" s="4" t="s">
        <v>102</v>
      </c>
      <c r="AD135" s="113">
        <v>36161</v>
      </c>
      <c r="AE135" s="107">
        <v>25.1123287671233</v>
      </c>
      <c r="AF135" s="4" t="s">
        <v>80</v>
      </c>
      <c r="AG135" s="114">
        <v>6002559547</v>
      </c>
      <c r="AH135" s="4" t="s">
        <v>81</v>
      </c>
      <c r="AI135" s="55" t="s">
        <v>290</v>
      </c>
      <c r="AJ135" s="55" t="s">
        <v>81</v>
      </c>
      <c r="AK135" s="55">
        <v>2020</v>
      </c>
      <c r="AL135" s="4" t="s">
        <v>2259</v>
      </c>
      <c r="AM135" s="4" t="s">
        <v>4693</v>
      </c>
      <c r="AN135" s="4" t="s">
        <v>3056</v>
      </c>
      <c r="AO135" s="4" t="s">
        <v>4694</v>
      </c>
      <c r="AP135" s="4" t="s">
        <v>4694</v>
      </c>
      <c r="AQ135" s="55" t="s">
        <v>285</v>
      </c>
      <c r="AR135" s="4" t="s">
        <v>110</v>
      </c>
      <c r="AS135" s="4" t="s">
        <v>81</v>
      </c>
      <c r="AT135" s="72" t="s">
        <v>81</v>
      </c>
      <c r="AU135" s="4" t="s">
        <v>81</v>
      </c>
      <c r="AV135" s="4" t="s">
        <v>81</v>
      </c>
      <c r="AW135" s="4"/>
      <c r="AX135" s="4"/>
      <c r="AY135" s="4"/>
      <c r="AZ135" s="4"/>
      <c r="BA135" s="4" t="s">
        <v>3498</v>
      </c>
      <c r="BB135" s="4">
        <v>10800</v>
      </c>
      <c r="BC135" s="4">
        <v>2700</v>
      </c>
      <c r="BD135" s="4">
        <v>0</v>
      </c>
      <c r="BE135" s="4" t="s">
        <v>296</v>
      </c>
      <c r="BF135" s="4"/>
      <c r="BG135" s="4"/>
      <c r="BH135" s="4" t="s">
        <v>3510</v>
      </c>
      <c r="BI135" s="72">
        <f>VLOOKUP(A135,'ID Block'!A:L,12,0)</f>
        <v>45352</v>
      </c>
      <c r="BJ135" s="154" t="str">
        <f>VLOOKUP(A135,'ID Block'!A:M,13,0)</f>
        <v>Family Issues</v>
      </c>
      <c r="BK135" s="4">
        <f t="shared" si="2"/>
        <v>117</v>
      </c>
      <c r="BL135" s="105" t="s">
        <v>168</v>
      </c>
      <c r="BM135" s="10"/>
      <c r="BN135" s="183" t="s">
        <v>4695</v>
      </c>
      <c r="BO135" s="183"/>
    </row>
    <row r="136" ht="14.4" s="67" customFormat="1">
      <c r="A136" s="4">
        <v>171212</v>
      </c>
      <c r="B136" s="4"/>
      <c r="C136" s="55"/>
      <c r="D136" s="4" t="s">
        <v>4696</v>
      </c>
      <c r="E136" s="4" t="s">
        <v>114</v>
      </c>
      <c r="F136" s="55">
        <v>1110220517</v>
      </c>
      <c r="G136" s="4" t="s">
        <v>67</v>
      </c>
      <c r="H136" s="4" t="s">
        <v>68</v>
      </c>
      <c r="I136" s="4" t="s">
        <v>2494</v>
      </c>
      <c r="J136" s="55" t="s">
        <v>319</v>
      </c>
      <c r="K136" s="4" t="s">
        <v>71</v>
      </c>
      <c r="L136" s="4" t="s">
        <v>3487</v>
      </c>
      <c r="M136" s="4" t="s">
        <v>3659</v>
      </c>
      <c r="N136" s="4" t="s">
        <v>74</v>
      </c>
      <c r="O136" s="4" t="s">
        <v>75</v>
      </c>
      <c r="P136" s="4" t="s">
        <v>4271</v>
      </c>
      <c r="Q136" s="57">
        <v>45246</v>
      </c>
      <c r="R136" s="57">
        <v>45256</v>
      </c>
      <c r="S136" s="113"/>
      <c r="T136" s="113"/>
      <c r="U136" s="4"/>
      <c r="V136" s="4"/>
      <c r="W136" s="105" t="s">
        <v>4697</v>
      </c>
      <c r="X136" s="114">
        <v>1731856232</v>
      </c>
      <c r="Y136" s="55" t="s">
        <v>81</v>
      </c>
      <c r="Z136" s="4" t="s">
        <v>4698</v>
      </c>
      <c r="AA136" s="4">
        <v>1750446970</v>
      </c>
      <c r="AB136" s="4" t="s">
        <v>101</v>
      </c>
      <c r="AC136" s="4" t="s">
        <v>119</v>
      </c>
      <c r="AD136" s="113">
        <v>36423</v>
      </c>
      <c r="AE136" s="107">
        <v>24.3945205479452</v>
      </c>
      <c r="AF136" s="4" t="s">
        <v>80</v>
      </c>
      <c r="AG136" s="114">
        <v>4655224121</v>
      </c>
      <c r="AH136" s="4" t="s">
        <v>81</v>
      </c>
      <c r="AI136" s="55" t="s">
        <v>265</v>
      </c>
      <c r="AJ136" s="55" t="s">
        <v>81</v>
      </c>
      <c r="AK136" s="55">
        <v>2022</v>
      </c>
      <c r="AL136" s="4" t="s">
        <v>780</v>
      </c>
      <c r="AM136" s="4" t="s">
        <v>4698</v>
      </c>
      <c r="AN136" s="4" t="s">
        <v>4699</v>
      </c>
      <c r="AO136" s="4" t="s">
        <v>4700</v>
      </c>
      <c r="AP136" s="4" t="s">
        <v>4701</v>
      </c>
      <c r="AQ136" s="55" t="s">
        <v>1231</v>
      </c>
      <c r="AR136" s="4" t="s">
        <v>110</v>
      </c>
      <c r="AS136" s="4" t="s">
        <v>81</v>
      </c>
      <c r="AT136" s="72" t="s">
        <v>81</v>
      </c>
      <c r="AU136" s="4" t="s">
        <v>81</v>
      </c>
      <c r="AV136" s="4" t="s">
        <v>81</v>
      </c>
      <c r="AW136" s="4"/>
      <c r="AX136" s="4"/>
      <c r="AY136" s="4"/>
      <c r="AZ136" s="4"/>
      <c r="BA136" s="4" t="s">
        <v>3498</v>
      </c>
      <c r="BB136" s="4">
        <v>10800</v>
      </c>
      <c r="BC136" s="4">
        <v>2700</v>
      </c>
      <c r="BD136" s="4">
        <v>0</v>
      </c>
      <c r="BE136" s="4" t="s">
        <v>296</v>
      </c>
      <c r="BF136" s="4"/>
      <c r="BG136" s="4"/>
      <c r="BH136" s="4" t="s">
        <v>3510</v>
      </c>
      <c r="BI136" s="72">
        <f>VLOOKUP(A136,'ID Block'!A:L,12,0)</f>
        <v>45353</v>
      </c>
      <c r="BJ136" s="154" t="str">
        <f>VLOOKUP(A136,'ID Block'!A:M,13,0)</f>
        <v>Better Opportunity</v>
      </c>
      <c r="BK136" s="4">
        <f t="shared" si="2"/>
        <v>97</v>
      </c>
      <c r="BL136" s="105" t="s">
        <v>168</v>
      </c>
      <c r="BM136" s="10"/>
      <c r="BN136" s="183" t="s">
        <v>4035</v>
      </c>
      <c r="BO136" s="183"/>
    </row>
    <row r="137" ht="14.4" s="67" customFormat="1">
      <c r="A137" s="4">
        <v>171136</v>
      </c>
      <c r="B137" s="4"/>
      <c r="C137" s="55" t="s">
        <v>4702</v>
      </c>
      <c r="D137" s="4" t="s">
        <v>4703</v>
      </c>
      <c r="E137" s="4" t="s">
        <v>114</v>
      </c>
      <c r="F137" s="55">
        <v>177452</v>
      </c>
      <c r="G137" s="4" t="s">
        <v>67</v>
      </c>
      <c r="H137" s="4" t="s">
        <v>68</v>
      </c>
      <c r="I137" s="4" t="s">
        <v>2494</v>
      </c>
      <c r="J137" s="55" t="s">
        <v>4704</v>
      </c>
      <c r="K137" s="4" t="s">
        <v>71</v>
      </c>
      <c r="L137" s="4" t="s">
        <v>3487</v>
      </c>
      <c r="M137" s="4" t="s">
        <v>196</v>
      </c>
      <c r="N137" s="4" t="s">
        <v>74</v>
      </c>
      <c r="O137" s="4" t="s">
        <v>75</v>
      </c>
      <c r="P137" s="4" t="s">
        <v>4705</v>
      </c>
      <c r="Q137" s="57">
        <v>45163</v>
      </c>
      <c r="R137" s="57">
        <v>45175</v>
      </c>
      <c r="S137" s="113"/>
      <c r="T137" s="113"/>
      <c r="U137" s="4"/>
      <c r="V137" s="4"/>
      <c r="W137" s="105" t="s">
        <v>4706</v>
      </c>
      <c r="X137" s="114">
        <v>1768276303</v>
      </c>
      <c r="Y137" s="55">
        <v>1768276303</v>
      </c>
      <c r="Z137" s="4" t="s">
        <v>4707</v>
      </c>
      <c r="AA137" s="4">
        <v>1313856868</v>
      </c>
      <c r="AB137" s="4" t="s">
        <v>252</v>
      </c>
      <c r="AC137" s="4" t="s">
        <v>119</v>
      </c>
      <c r="AD137" s="113">
        <v>33238</v>
      </c>
      <c r="AE137" s="107">
        <v>33.1205479452055</v>
      </c>
      <c r="AF137" s="4" t="s">
        <v>80</v>
      </c>
      <c r="AG137" s="114" t="s">
        <v>4708</v>
      </c>
      <c r="AH137" s="4" t="s">
        <v>81</v>
      </c>
      <c r="AI137" s="55" t="s">
        <v>4709</v>
      </c>
      <c r="AJ137" s="55" t="s">
        <v>81</v>
      </c>
      <c r="AK137" s="55" t="s">
        <v>81</v>
      </c>
      <c r="AL137" s="4" t="s">
        <v>4710</v>
      </c>
      <c r="AM137" s="4" t="s">
        <v>4711</v>
      </c>
      <c r="AN137" s="4" t="s">
        <v>4712</v>
      </c>
      <c r="AO137" s="4" t="s">
        <v>4713</v>
      </c>
      <c r="AP137" s="4" t="s">
        <v>4714</v>
      </c>
      <c r="AQ137" s="55" t="s">
        <v>457</v>
      </c>
      <c r="AR137" s="4" t="s">
        <v>260</v>
      </c>
      <c r="AS137" s="4"/>
      <c r="AT137" s="72"/>
      <c r="AU137" s="4"/>
      <c r="AV137" s="4"/>
      <c r="AW137" s="4"/>
      <c r="AX137" s="4"/>
      <c r="AY137" s="4"/>
      <c r="AZ137" s="4"/>
      <c r="BA137" s="4" t="s">
        <v>3498</v>
      </c>
      <c r="BB137" s="4">
        <v>10800</v>
      </c>
      <c r="BC137" s="4">
        <v>2700</v>
      </c>
      <c r="BD137" s="4">
        <v>1000</v>
      </c>
      <c r="BE137" s="4" t="s">
        <v>166</v>
      </c>
      <c r="BF137" s="4">
        <v>161949</v>
      </c>
      <c r="BG137" s="4" t="s">
        <v>4715</v>
      </c>
      <c r="BH137" s="4" t="s">
        <v>3510</v>
      </c>
      <c r="BI137" s="72">
        <f>VLOOKUP(A137,'ID Block'!A:L,12,0)</f>
        <v>45357</v>
      </c>
      <c r="BJ137" s="154" t="str">
        <f>VLOOKUP(A137,'ID Block'!A:M,13,0)</f>
        <v>Better opportunity</v>
      </c>
      <c r="BK137" s="4">
        <f t="shared" si="2"/>
        <v>182</v>
      </c>
      <c r="BL137" s="105" t="s">
        <v>168</v>
      </c>
      <c r="BM137" s="10"/>
      <c r="BN137" s="183" t="s">
        <v>4035</v>
      </c>
      <c r="BO137" s="183"/>
    </row>
    <row r="138" ht="14.4" s="67" customFormat="1">
      <c r="A138" s="4">
        <v>171243</v>
      </c>
      <c r="B138" s="4"/>
      <c r="C138" s="55" t="s">
        <v>753</v>
      </c>
      <c r="D138" s="4" t="s">
        <v>4716</v>
      </c>
      <c r="E138" s="4" t="s">
        <v>66</v>
      </c>
      <c r="F138" s="55" t="s">
        <v>4717</v>
      </c>
      <c r="G138" s="4" t="s">
        <v>67</v>
      </c>
      <c r="H138" s="4" t="s">
        <v>68</v>
      </c>
      <c r="I138" s="4" t="s">
        <v>2494</v>
      </c>
      <c r="J138" s="55" t="s">
        <v>3650</v>
      </c>
      <c r="K138" s="4" t="s">
        <v>71</v>
      </c>
      <c r="L138" s="4" t="s">
        <v>3487</v>
      </c>
      <c r="M138" s="4" t="s">
        <v>2643</v>
      </c>
      <c r="N138" s="4" t="s">
        <v>74</v>
      </c>
      <c r="O138" s="4" t="s">
        <v>75</v>
      </c>
      <c r="P138" s="4" t="s">
        <v>4123</v>
      </c>
      <c r="Q138" s="57">
        <v>45251</v>
      </c>
      <c r="R138" s="57">
        <v>45256</v>
      </c>
      <c r="S138" s="113"/>
      <c r="T138" s="113"/>
      <c r="U138" s="4"/>
      <c r="V138" s="4"/>
      <c r="W138" s="105" t="s">
        <v>4718</v>
      </c>
      <c r="X138" s="114">
        <v>1811697879</v>
      </c>
      <c r="Y138" s="55" t="s">
        <v>81</v>
      </c>
      <c r="Z138" s="4" t="s">
        <v>4719</v>
      </c>
      <c r="AA138" s="4">
        <v>1911405892</v>
      </c>
      <c r="AB138" s="4" t="s">
        <v>101</v>
      </c>
      <c r="AC138" s="4" t="s">
        <v>133</v>
      </c>
      <c r="AD138" s="113">
        <v>34334</v>
      </c>
      <c r="AE138" s="107">
        <v>30.1178082191781</v>
      </c>
      <c r="AF138" s="4" t="s">
        <v>80</v>
      </c>
      <c r="AG138" s="114">
        <v>4642822508</v>
      </c>
      <c r="AH138" s="4" t="s">
        <v>81</v>
      </c>
      <c r="AI138" s="55" t="s">
        <v>322</v>
      </c>
      <c r="AJ138" s="55" t="s">
        <v>81</v>
      </c>
      <c r="AK138" s="55">
        <v>2019</v>
      </c>
      <c r="AL138" s="4" t="s">
        <v>4720</v>
      </c>
      <c r="AM138" s="4" t="s">
        <v>4719</v>
      </c>
      <c r="AN138" s="4" t="s">
        <v>4721</v>
      </c>
      <c r="AO138" s="4" t="s">
        <v>4722</v>
      </c>
      <c r="AP138" s="4" t="s">
        <v>4723</v>
      </c>
      <c r="AQ138" s="55" t="s">
        <v>1188</v>
      </c>
      <c r="AR138" s="4" t="s">
        <v>110</v>
      </c>
      <c r="AS138" s="4" t="s">
        <v>81</v>
      </c>
      <c r="AT138" s="72" t="s">
        <v>81</v>
      </c>
      <c r="AU138" s="4" t="s">
        <v>81</v>
      </c>
      <c r="AV138" s="4" t="s">
        <v>81</v>
      </c>
      <c r="AW138" s="4" t="s">
        <v>81</v>
      </c>
      <c r="AX138" s="4" t="s">
        <v>81</v>
      </c>
      <c r="AY138" s="4"/>
      <c r="AZ138" s="4"/>
      <c r="BA138" s="4" t="s">
        <v>3498</v>
      </c>
      <c r="BB138" s="4">
        <v>10800</v>
      </c>
      <c r="BC138" s="4">
        <v>2700</v>
      </c>
      <c r="BD138" s="4">
        <v>0</v>
      </c>
      <c r="BE138" s="4" t="s">
        <v>91</v>
      </c>
      <c r="BF138" s="4"/>
      <c r="BG138" s="4"/>
      <c r="BH138" s="4" t="s">
        <v>3510</v>
      </c>
      <c r="BI138" s="72">
        <f>VLOOKUP(A138,'ID Block'!A:L,12,0)</f>
        <v>45361</v>
      </c>
      <c r="BJ138" s="154" t="str">
        <f>VLOOKUP(A138,'ID Block'!A:M,13,0)</f>
        <v>Personal Issues</v>
      </c>
      <c r="BK138" s="4">
        <f t="shared" si="2"/>
        <v>105</v>
      </c>
      <c r="BL138" s="105" t="s">
        <v>168</v>
      </c>
      <c r="BM138" s="10"/>
      <c r="BN138" s="183" t="s">
        <v>4611</v>
      </c>
      <c r="BO138" s="183"/>
    </row>
    <row r="139" ht="14.4" s="67" customFormat="1">
      <c r="A139" s="4">
        <v>171235</v>
      </c>
      <c r="B139" s="4"/>
      <c r="C139" s="55" t="s">
        <v>902</v>
      </c>
      <c r="D139" s="4" t="s">
        <v>4724</v>
      </c>
      <c r="E139" s="4" t="s">
        <v>114</v>
      </c>
      <c r="F139" s="55">
        <v>606321</v>
      </c>
      <c r="G139" s="4" t="s">
        <v>67</v>
      </c>
      <c r="H139" s="4" t="s">
        <v>68</v>
      </c>
      <c r="I139" s="4" t="s">
        <v>2494</v>
      </c>
      <c r="J139" s="55" t="s">
        <v>319</v>
      </c>
      <c r="K139" s="4" t="s">
        <v>71</v>
      </c>
      <c r="L139" s="4" t="s">
        <v>3487</v>
      </c>
      <c r="M139" s="4" t="s">
        <v>115</v>
      </c>
      <c r="N139" s="4" t="s">
        <v>74</v>
      </c>
      <c r="O139" s="4" t="s">
        <v>75</v>
      </c>
      <c r="P139" s="4" t="s">
        <v>4123</v>
      </c>
      <c r="Q139" s="57">
        <v>45251</v>
      </c>
      <c r="R139" s="57">
        <v>45256</v>
      </c>
      <c r="S139" s="113"/>
      <c r="T139" s="113"/>
      <c r="U139" s="4"/>
      <c r="V139" s="4"/>
      <c r="W139" s="105" t="s">
        <v>4725</v>
      </c>
      <c r="X139" s="114">
        <v>1812021040</v>
      </c>
      <c r="Y139" s="55" t="s">
        <v>81</v>
      </c>
      <c r="Z139" s="4" t="s">
        <v>4726</v>
      </c>
      <c r="AA139" s="4">
        <v>1787376280</v>
      </c>
      <c r="AB139" s="4" t="s">
        <v>3820</v>
      </c>
      <c r="AC139" s="4" t="s">
        <v>79</v>
      </c>
      <c r="AD139" s="113">
        <v>35231</v>
      </c>
      <c r="AE139" s="107">
        <v>27.6602739726027</v>
      </c>
      <c r="AF139" s="4" t="s">
        <v>80</v>
      </c>
      <c r="AG139" s="114">
        <v>3748360967</v>
      </c>
      <c r="AH139" s="4" t="s">
        <v>81</v>
      </c>
      <c r="AI139" s="55" t="s">
        <v>265</v>
      </c>
      <c r="AJ139" s="55" t="s">
        <v>81</v>
      </c>
      <c r="AK139" s="55">
        <v>2022</v>
      </c>
      <c r="AL139" s="4" t="s">
        <v>1558</v>
      </c>
      <c r="AM139" s="4" t="s">
        <v>4727</v>
      </c>
      <c r="AN139" s="4" t="s">
        <v>4728</v>
      </c>
      <c r="AO139" s="4" t="s">
        <v>4729</v>
      </c>
      <c r="AP139" s="4" t="s">
        <v>4730</v>
      </c>
      <c r="AQ139" s="55" t="s">
        <v>4731</v>
      </c>
      <c r="AR139" s="4" t="s">
        <v>110</v>
      </c>
      <c r="AS139" s="4" t="s">
        <v>81</v>
      </c>
      <c r="AT139" s="72" t="s">
        <v>81</v>
      </c>
      <c r="AU139" s="4" t="s">
        <v>81</v>
      </c>
      <c r="AV139" s="4" t="s">
        <v>81</v>
      </c>
      <c r="AW139" s="4" t="s">
        <v>81</v>
      </c>
      <c r="AX139" s="4" t="s">
        <v>81</v>
      </c>
      <c r="AY139" s="4"/>
      <c r="AZ139" s="4"/>
      <c r="BA139" s="4" t="s">
        <v>3498</v>
      </c>
      <c r="BB139" s="4">
        <v>10800</v>
      </c>
      <c r="BC139" s="4">
        <v>2700</v>
      </c>
      <c r="BD139" s="4">
        <v>0</v>
      </c>
      <c r="BE139" s="4" t="s">
        <v>91</v>
      </c>
      <c r="BF139" s="4"/>
      <c r="BG139" s="4"/>
      <c r="BH139" s="4" t="s">
        <v>3510</v>
      </c>
      <c r="BI139" s="72">
        <f>VLOOKUP(A139,'ID Block'!A:L,12,0)</f>
        <v>45362</v>
      </c>
      <c r="BJ139" s="154" t="str">
        <f>VLOOKUP(A139,'ID Block'!A:M,13,0)</f>
        <v>Better opportunity</v>
      </c>
      <c r="BK139" s="4">
        <f t="shared" si="2"/>
        <v>106</v>
      </c>
      <c r="BL139" s="105" t="s">
        <v>168</v>
      </c>
      <c r="BM139" s="10"/>
      <c r="BN139" s="183" t="s">
        <v>3796</v>
      </c>
      <c r="BO139" s="183"/>
    </row>
    <row r="140" ht="14.4" s="67" customFormat="1">
      <c r="A140" s="4">
        <v>171322</v>
      </c>
      <c r="B140" s="4"/>
      <c r="C140" s="55"/>
      <c r="D140" s="4" t="s">
        <v>4732</v>
      </c>
      <c r="E140" s="4" t="s">
        <v>66</v>
      </c>
      <c r="F140" s="55">
        <v>698599</v>
      </c>
      <c r="G140" s="4" t="s">
        <v>67</v>
      </c>
      <c r="H140" s="4" t="s">
        <v>68</v>
      </c>
      <c r="I140" s="4" t="s">
        <v>2494</v>
      </c>
      <c r="J140" s="55" t="s">
        <v>297</v>
      </c>
      <c r="K140" s="4" t="s">
        <v>71</v>
      </c>
      <c r="L140" s="4" t="s">
        <v>3487</v>
      </c>
      <c r="M140" s="4" t="s">
        <v>308</v>
      </c>
      <c r="N140" s="4" t="s">
        <v>74</v>
      </c>
      <c r="O140" s="4" t="s">
        <v>75</v>
      </c>
      <c r="P140" s="4" t="s">
        <v>4733</v>
      </c>
      <c r="Q140" s="57">
        <v>45323</v>
      </c>
      <c r="R140" s="57">
        <v>45333</v>
      </c>
      <c r="S140" s="113"/>
      <c r="T140" s="113"/>
      <c r="U140" s="4"/>
      <c r="V140" s="4"/>
      <c r="W140" s="105" t="s">
        <v>4734</v>
      </c>
      <c r="X140" s="114">
        <v>1301140531</v>
      </c>
      <c r="Y140" s="55">
        <v>1689315485</v>
      </c>
      <c r="Z140" s="4" t="s">
        <v>4735</v>
      </c>
      <c r="AA140" s="4">
        <v>1821607007</v>
      </c>
      <c r="AB140" s="4" t="s">
        <v>132</v>
      </c>
      <c r="AC140" s="4" t="s">
        <v>119</v>
      </c>
      <c r="AD140" s="113">
        <v>35054</v>
      </c>
      <c r="AE140" s="107">
        <v>23.7808219178082</v>
      </c>
      <c r="AF140" s="4" t="s">
        <v>80</v>
      </c>
      <c r="AG140" s="114">
        <v>9566766094</v>
      </c>
      <c r="AH140" s="4" t="s">
        <v>81</v>
      </c>
      <c r="AI140" s="55" t="s">
        <v>322</v>
      </c>
      <c r="AJ140" s="55" t="s">
        <v>81</v>
      </c>
      <c r="AK140" s="55">
        <v>2019</v>
      </c>
      <c r="AL140" s="4" t="s">
        <v>4736</v>
      </c>
      <c r="AM140" s="4" t="s">
        <v>4737</v>
      </c>
      <c r="AN140" s="4" t="s">
        <v>4735</v>
      </c>
      <c r="AO140" s="4" t="s">
        <v>4738</v>
      </c>
      <c r="AP140" s="4" t="s">
        <v>4739</v>
      </c>
      <c r="AQ140" s="55" t="s">
        <v>3382</v>
      </c>
      <c r="AR140" s="4" t="s">
        <v>110</v>
      </c>
      <c r="AS140" s="4" t="s">
        <v>81</v>
      </c>
      <c r="AT140" s="72" t="s">
        <v>81</v>
      </c>
      <c r="AU140" s="4" t="s">
        <v>81</v>
      </c>
      <c r="AV140" s="4" t="s">
        <v>81</v>
      </c>
      <c r="AW140" s="4" t="s">
        <v>81</v>
      </c>
      <c r="AX140" s="4" t="s">
        <v>81</v>
      </c>
      <c r="AY140" s="4"/>
      <c r="AZ140" s="4"/>
      <c r="BA140" s="4" t="s">
        <v>3498</v>
      </c>
      <c r="BB140" s="4">
        <v>10800</v>
      </c>
      <c r="BC140" s="4">
        <v>2700</v>
      </c>
      <c r="BD140" s="4">
        <v>0</v>
      </c>
      <c r="BE140" s="4" t="s">
        <v>91</v>
      </c>
      <c r="BF140" s="4"/>
      <c r="BG140" s="4"/>
      <c r="BH140" s="4" t="s">
        <v>3510</v>
      </c>
      <c r="BI140" s="72">
        <f>VLOOKUP(A140,'ID Block'!A:L,12,0)</f>
        <v>45362</v>
      </c>
      <c r="BJ140" s="154" t="str">
        <f>VLOOKUP(A140,'ID Block'!A:M,13,0)</f>
        <v>Personal Issues</v>
      </c>
      <c r="BK140" s="4">
        <f t="shared" si="2"/>
        <v>29</v>
      </c>
      <c r="BL140" s="105" t="s">
        <v>168</v>
      </c>
      <c r="BM140" s="10"/>
      <c r="BN140" s="183" t="s">
        <v>3796</v>
      </c>
      <c r="BO140" s="183"/>
    </row>
    <row r="141" ht="14.4" s="67" customFormat="1">
      <c r="A141" s="4">
        <v>171149</v>
      </c>
      <c r="B141" s="4"/>
      <c r="C141" s="55" t="s">
        <v>2585</v>
      </c>
      <c r="D141" s="4" t="s">
        <v>2706</v>
      </c>
      <c r="E141" s="4" t="s">
        <v>66</v>
      </c>
      <c r="F141" s="55">
        <v>1010982708</v>
      </c>
      <c r="G141" s="4" t="s">
        <v>67</v>
      </c>
      <c r="H141" s="4" t="s">
        <v>68</v>
      </c>
      <c r="I141" s="4" t="s">
        <v>2494</v>
      </c>
      <c r="J141" s="55" t="s">
        <v>319</v>
      </c>
      <c r="K141" s="4" t="s">
        <v>71</v>
      </c>
      <c r="L141" s="4" t="s">
        <v>3487</v>
      </c>
      <c r="M141" s="4" t="s">
        <v>308</v>
      </c>
      <c r="N141" s="4" t="s">
        <v>74</v>
      </c>
      <c r="O141" s="4" t="s">
        <v>75</v>
      </c>
      <c r="P141" s="4" t="s">
        <v>3987</v>
      </c>
      <c r="Q141" s="57">
        <v>45206</v>
      </c>
      <c r="R141" s="57">
        <v>45211</v>
      </c>
      <c r="S141" s="113"/>
      <c r="T141" s="113"/>
      <c r="U141" s="4"/>
      <c r="V141" s="4"/>
      <c r="W141" s="105" t="s">
        <v>4740</v>
      </c>
      <c r="X141" s="114">
        <v>1518707935</v>
      </c>
      <c r="Y141" s="55">
        <v>1632934683</v>
      </c>
      <c r="Z141" s="4" t="s">
        <v>3885</v>
      </c>
      <c r="AA141" s="4">
        <v>1944903816</v>
      </c>
      <c r="AB141" s="4" t="s">
        <v>101</v>
      </c>
      <c r="AC141" s="4" t="s">
        <v>133</v>
      </c>
      <c r="AD141" s="113">
        <v>35462</v>
      </c>
      <c r="AE141" s="107">
        <v>27.027397260274</v>
      </c>
      <c r="AF141" s="4" t="s">
        <v>80</v>
      </c>
      <c r="AG141" s="114">
        <v>8257737703</v>
      </c>
      <c r="AH141" s="4" t="s">
        <v>81</v>
      </c>
      <c r="AI141" s="55" t="s">
        <v>241</v>
      </c>
      <c r="AJ141" s="55" t="s">
        <v>81</v>
      </c>
      <c r="AK141" s="55">
        <v>2020</v>
      </c>
      <c r="AL141" s="4" t="s">
        <v>4741</v>
      </c>
      <c r="AM141" s="4" t="s">
        <v>3885</v>
      </c>
      <c r="AN141" s="4" t="s">
        <v>3886</v>
      </c>
      <c r="AO141" s="4" t="s">
        <v>3887</v>
      </c>
      <c r="AP141" s="4" t="s">
        <v>4742</v>
      </c>
      <c r="AQ141" s="55" t="s">
        <v>4743</v>
      </c>
      <c r="AR141" s="4" t="s">
        <v>1363</v>
      </c>
      <c r="AS141" s="4"/>
      <c r="AT141" s="72"/>
      <c r="AU141" s="4"/>
      <c r="AV141" s="4"/>
      <c r="AW141" s="4"/>
      <c r="AX141" s="4"/>
      <c r="AY141" s="4"/>
      <c r="AZ141" s="4"/>
      <c r="BA141" s="4" t="s">
        <v>3498</v>
      </c>
      <c r="BB141" s="4">
        <v>10800</v>
      </c>
      <c r="BC141" s="4">
        <v>2700</v>
      </c>
      <c r="BD141" s="4">
        <v>0</v>
      </c>
      <c r="BE141" s="4" t="s">
        <v>296</v>
      </c>
      <c r="BF141" s="4"/>
      <c r="BG141" s="4"/>
      <c r="BH141" s="4" t="s">
        <v>3510</v>
      </c>
      <c r="BI141" s="72">
        <f>VLOOKUP(A141,'ID Block'!A:L,12,0)</f>
        <v>45362</v>
      </c>
      <c r="BJ141" s="154" t="str">
        <f>VLOOKUP(A141,'ID Block'!A:M,13,0)</f>
        <v>Better Opportunity  </v>
      </c>
      <c r="BK141" s="4">
        <f t="shared" si="2"/>
        <v>151</v>
      </c>
      <c r="BL141" s="105" t="s">
        <v>168</v>
      </c>
      <c r="BM141" s="10"/>
      <c r="BN141" s="183" t="s">
        <v>4611</v>
      </c>
      <c r="BO141" s="183"/>
    </row>
    <row r="142" ht="14.4" s="67" customFormat="1">
      <c r="A142" s="4">
        <v>171321</v>
      </c>
      <c r="B142" s="4"/>
      <c r="C142" s="55"/>
      <c r="D142" s="4" t="s">
        <v>4744</v>
      </c>
      <c r="E142" s="4" t="s">
        <v>66</v>
      </c>
      <c r="F142" s="55">
        <v>1110583869</v>
      </c>
      <c r="G142" s="4" t="s">
        <v>67</v>
      </c>
      <c r="H142" s="4" t="s">
        <v>68</v>
      </c>
      <c r="I142" s="4" t="s">
        <v>2494</v>
      </c>
      <c r="J142" s="55" t="s">
        <v>297</v>
      </c>
      <c r="K142" s="4" t="s">
        <v>71</v>
      </c>
      <c r="L142" s="4" t="s">
        <v>3487</v>
      </c>
      <c r="M142" s="4" t="s">
        <v>308</v>
      </c>
      <c r="N142" s="4" t="s">
        <v>74</v>
      </c>
      <c r="O142" s="4" t="s">
        <v>75</v>
      </c>
      <c r="P142" s="4" t="s">
        <v>4733</v>
      </c>
      <c r="Q142" s="57">
        <v>45323</v>
      </c>
      <c r="R142" s="57">
        <v>45338</v>
      </c>
      <c r="S142" s="113"/>
      <c r="T142" s="113"/>
      <c r="U142" s="4"/>
      <c r="V142" s="4"/>
      <c r="W142" s="105" t="s">
        <v>4745</v>
      </c>
      <c r="X142" s="114">
        <v>1687971250</v>
      </c>
      <c r="Y142" s="55">
        <v>1322490221</v>
      </c>
      <c r="Z142" s="4" t="s">
        <v>4746</v>
      </c>
      <c r="AA142" s="4">
        <v>1787294375</v>
      </c>
      <c r="AB142" s="4" t="s">
        <v>132</v>
      </c>
      <c r="AC142" s="4" t="s">
        <v>133</v>
      </c>
      <c r="AD142" s="113">
        <v>36024</v>
      </c>
      <c r="AE142" s="107">
        <v>23.7808219178082</v>
      </c>
      <c r="AF142" s="4" t="s">
        <v>80</v>
      </c>
      <c r="AG142" s="114">
        <v>2404472017</v>
      </c>
      <c r="AH142" s="4" t="s">
        <v>81</v>
      </c>
      <c r="AI142" s="55" t="s">
        <v>187</v>
      </c>
      <c r="AJ142" s="55" t="s">
        <v>81</v>
      </c>
      <c r="AK142" s="55">
        <v>2020</v>
      </c>
      <c r="AL142" s="4" t="s">
        <v>732</v>
      </c>
      <c r="AM142" s="4" t="s">
        <v>4747</v>
      </c>
      <c r="AN142" s="4" t="s">
        <v>4746</v>
      </c>
      <c r="AO142" s="4" t="s">
        <v>4748</v>
      </c>
      <c r="AP142" s="4" t="s">
        <v>4749</v>
      </c>
      <c r="AQ142" s="55" t="s">
        <v>328</v>
      </c>
      <c r="AR142" s="4" t="s">
        <v>110</v>
      </c>
      <c r="AS142" s="4" t="s">
        <v>81</v>
      </c>
      <c r="AT142" s="72" t="s">
        <v>81</v>
      </c>
      <c r="AU142" s="4" t="s">
        <v>81</v>
      </c>
      <c r="AV142" s="4" t="s">
        <v>81</v>
      </c>
      <c r="AW142" s="4" t="s">
        <v>81</v>
      </c>
      <c r="AX142" s="4" t="s">
        <v>81</v>
      </c>
      <c r="AY142" s="4"/>
      <c r="AZ142" s="4"/>
      <c r="BA142" s="4" t="s">
        <v>3498</v>
      </c>
      <c r="BB142" s="4">
        <v>10800</v>
      </c>
      <c r="BC142" s="4">
        <v>2700</v>
      </c>
      <c r="BD142" s="4">
        <v>0</v>
      </c>
      <c r="BE142" s="4" t="s">
        <v>91</v>
      </c>
      <c r="BF142" s="4"/>
      <c r="BG142" s="4"/>
      <c r="BH142" s="4" t="s">
        <v>3510</v>
      </c>
      <c r="BI142" s="72">
        <f>VLOOKUP(A142,'ID Block'!A:L,12,0)</f>
        <v>45363</v>
      </c>
      <c r="BJ142" s="154" t="str">
        <f>VLOOKUP(A142,'ID Block'!A:M,13,0)</f>
        <v>Better Opportunity  </v>
      </c>
      <c r="BK142" s="4">
        <f t="shared" si="2"/>
        <v>25</v>
      </c>
      <c r="BL142" s="105" t="s">
        <v>168</v>
      </c>
      <c r="BM142" s="10"/>
      <c r="BN142" s="183" t="s">
        <v>3796</v>
      </c>
      <c r="BO142" s="183"/>
    </row>
    <row r="143" ht="14.4" s="67" customFormat="1">
      <c r="A143" s="4">
        <v>171055</v>
      </c>
      <c r="B143" s="4"/>
      <c r="C143" s="55" t="s">
        <v>4750</v>
      </c>
      <c r="D143" s="4" t="s">
        <v>4751</v>
      </c>
      <c r="E143" s="4" t="s">
        <v>114</v>
      </c>
      <c r="F143" s="55">
        <v>1212664605</v>
      </c>
      <c r="G143" s="4" t="s">
        <v>67</v>
      </c>
      <c r="H143" s="4" t="s">
        <v>68</v>
      </c>
      <c r="I143" s="4" t="s">
        <v>2494</v>
      </c>
      <c r="J143" s="55" t="s">
        <v>70</v>
      </c>
      <c r="K143" s="4" t="s">
        <v>71</v>
      </c>
      <c r="L143" s="4" t="s">
        <v>3487</v>
      </c>
      <c r="M143" s="4" t="s">
        <v>2643</v>
      </c>
      <c r="N143" s="4" t="s">
        <v>74</v>
      </c>
      <c r="O143" s="4" t="s">
        <v>75</v>
      </c>
      <c r="P143" s="4" t="s">
        <v>4115</v>
      </c>
      <c r="Q143" s="57">
        <v>45048</v>
      </c>
      <c r="R143" s="57">
        <v>45055</v>
      </c>
      <c r="S143" s="113"/>
      <c r="T143" s="113"/>
      <c r="U143" s="4"/>
      <c r="V143" s="4"/>
      <c r="W143" s="105" t="s">
        <v>4752</v>
      </c>
      <c r="X143" s="114">
        <v>1780727342</v>
      </c>
      <c r="Y143" s="55"/>
      <c r="Z143" s="4" t="s">
        <v>4753</v>
      </c>
      <c r="AA143" s="4">
        <v>1780727342</v>
      </c>
      <c r="AB143" s="4" t="s">
        <v>3820</v>
      </c>
      <c r="AC143" s="4" t="s">
        <v>102</v>
      </c>
      <c r="AD143" s="113">
        <v>36497</v>
      </c>
      <c r="AE143" s="107">
        <v>24.1917808219178</v>
      </c>
      <c r="AF143" s="4" t="s">
        <v>80</v>
      </c>
      <c r="AG143" s="114">
        <v>7355458725</v>
      </c>
      <c r="AH143" s="4" t="s">
        <v>81</v>
      </c>
      <c r="AI143" s="55" t="s">
        <v>187</v>
      </c>
      <c r="AJ143" s="55" t="s">
        <v>81</v>
      </c>
      <c r="AK143" s="55" t="s">
        <v>81</v>
      </c>
      <c r="AL143" s="4" t="s">
        <v>4754</v>
      </c>
      <c r="AM143" s="4" t="s">
        <v>4755</v>
      </c>
      <c r="AN143" s="4" t="s">
        <v>4756</v>
      </c>
      <c r="AO143" s="4" t="s">
        <v>4757</v>
      </c>
      <c r="AP143" s="4" t="s">
        <v>4758</v>
      </c>
      <c r="AQ143" s="55" t="s">
        <v>842</v>
      </c>
      <c r="AR143" s="4" t="s">
        <v>110</v>
      </c>
      <c r="AS143" s="4"/>
      <c r="AT143" s="72"/>
      <c r="AU143" s="4"/>
      <c r="AV143" s="4"/>
      <c r="AW143" s="4"/>
      <c r="AX143" s="4"/>
      <c r="AY143" s="4"/>
      <c r="AZ143" s="4"/>
      <c r="BA143" s="4" t="s">
        <v>3498</v>
      </c>
      <c r="BB143" s="4">
        <v>10800</v>
      </c>
      <c r="BC143" s="4">
        <v>2700</v>
      </c>
      <c r="BD143" s="4">
        <v>0</v>
      </c>
      <c r="BE143" s="4" t="s">
        <v>91</v>
      </c>
      <c r="BF143" s="4">
        <v>160218</v>
      </c>
      <c r="BG143" s="4" t="s">
        <v>92</v>
      </c>
      <c r="BH143" s="4" t="s">
        <v>3499</v>
      </c>
      <c r="BI143" s="72">
        <f>VLOOKUP(A143,'ID Block'!A:L,12,0)</f>
        <v>45364</v>
      </c>
      <c r="BJ143" s="154" t="str">
        <f>VLOOKUP(A143,'ID Block'!A:M,13,0)</f>
        <v>Unauthorized absent </v>
      </c>
      <c r="BK143" s="4">
        <f t="shared" si="2"/>
        <v>309</v>
      </c>
      <c r="BL143" s="105" t="s">
        <v>168</v>
      </c>
      <c r="BM143" s="10"/>
      <c r="BN143" s="183" t="s">
        <v>3992</v>
      </c>
      <c r="BO143" s="183"/>
    </row>
    <row r="144" ht="14.4" s="67" customFormat="1">
      <c r="A144" s="4">
        <v>171253</v>
      </c>
      <c r="B144" s="4"/>
      <c r="C144" s="55" t="s">
        <v>4759</v>
      </c>
      <c r="D144" s="4" t="s">
        <v>4760</v>
      </c>
      <c r="E144" s="4" t="s">
        <v>66</v>
      </c>
      <c r="F144" s="55">
        <v>1110222072</v>
      </c>
      <c r="G144" s="4" t="s">
        <v>67</v>
      </c>
      <c r="H144" s="4" t="s">
        <v>68</v>
      </c>
      <c r="I144" s="4" t="s">
        <v>2494</v>
      </c>
      <c r="J144" s="55" t="s">
        <v>319</v>
      </c>
      <c r="K144" s="4" t="s">
        <v>71</v>
      </c>
      <c r="L144" s="4" t="s">
        <v>3487</v>
      </c>
      <c r="M144" s="4" t="s">
        <v>2643</v>
      </c>
      <c r="N144" s="4" t="s">
        <v>74</v>
      </c>
      <c r="O144" s="4" t="s">
        <v>75</v>
      </c>
      <c r="P144" s="4" t="s">
        <v>4134</v>
      </c>
      <c r="Q144" s="57">
        <v>45251</v>
      </c>
      <c r="R144" s="57">
        <v>45261</v>
      </c>
      <c r="S144" s="113"/>
      <c r="T144" s="113"/>
      <c r="U144" s="4"/>
      <c r="V144" s="4"/>
      <c r="W144" s="105" t="s">
        <v>4761</v>
      </c>
      <c r="X144" s="114">
        <v>1688649298</v>
      </c>
      <c r="Y144" s="55">
        <v>1972949737</v>
      </c>
      <c r="Z144" s="4" t="s">
        <v>4762</v>
      </c>
      <c r="AA144" s="4">
        <v>1972949737</v>
      </c>
      <c r="AB144" s="4" t="s">
        <v>132</v>
      </c>
      <c r="AC144" s="4" t="s">
        <v>119</v>
      </c>
      <c r="AD144" s="113">
        <v>36015</v>
      </c>
      <c r="AE144" s="107">
        <v>25.5123287671233</v>
      </c>
      <c r="AF144" s="4" t="s">
        <v>80</v>
      </c>
      <c r="AG144" s="114">
        <v>5104959142</v>
      </c>
      <c r="AH144" s="4" t="s">
        <v>81</v>
      </c>
      <c r="AI144" s="55" t="s">
        <v>1101</v>
      </c>
      <c r="AJ144" s="55" t="s">
        <v>81</v>
      </c>
      <c r="AK144" s="55">
        <v>2020</v>
      </c>
      <c r="AL144" s="4" t="s">
        <v>1551</v>
      </c>
      <c r="AM144" s="4" t="s">
        <v>4763</v>
      </c>
      <c r="AN144" s="4" t="s">
        <v>4762</v>
      </c>
      <c r="AO144" s="4" t="s">
        <v>4764</v>
      </c>
      <c r="AP144" s="4" t="s">
        <v>4765</v>
      </c>
      <c r="AQ144" s="55" t="s">
        <v>688</v>
      </c>
      <c r="AR144" s="4" t="s">
        <v>110</v>
      </c>
      <c r="AS144" s="4" t="s">
        <v>81</v>
      </c>
      <c r="AT144" s="72" t="s">
        <v>81</v>
      </c>
      <c r="AU144" s="4" t="s">
        <v>81</v>
      </c>
      <c r="AV144" s="4" t="s">
        <v>81</v>
      </c>
      <c r="AW144" s="4" t="s">
        <v>81</v>
      </c>
      <c r="AX144" s="4" t="s">
        <v>81</v>
      </c>
      <c r="AY144" s="4"/>
      <c r="AZ144" s="4"/>
      <c r="BA144" s="4" t="s">
        <v>3498</v>
      </c>
      <c r="BB144" s="4">
        <v>10800</v>
      </c>
      <c r="BC144" s="4">
        <v>2700</v>
      </c>
      <c r="BD144" s="4">
        <v>0</v>
      </c>
      <c r="BE144" s="4" t="s">
        <v>91</v>
      </c>
      <c r="BF144" s="4"/>
      <c r="BG144" s="4"/>
      <c r="BH144" s="4" t="s">
        <v>3510</v>
      </c>
      <c r="BI144" s="72">
        <f>VLOOKUP(A144,'ID Block'!A:L,12,0)</f>
        <v>45365</v>
      </c>
      <c r="BJ144" s="154" t="str">
        <f>VLOOKUP(A144,'ID Block'!A:M,13,0)</f>
        <v>Family issue</v>
      </c>
      <c r="BK144" s="4">
        <f t="shared" si="2"/>
        <v>104</v>
      </c>
      <c r="BL144" s="105" t="s">
        <v>168</v>
      </c>
      <c r="BM144" s="10"/>
      <c r="BN144" s="183" t="s">
        <v>4321</v>
      </c>
      <c r="BO144" s="183"/>
    </row>
    <row r="145" ht="14.4" s="67" customFormat="1">
      <c r="A145" s="4">
        <v>171335</v>
      </c>
      <c r="B145" s="4"/>
      <c r="C145" s="55" t="s">
        <v>4766</v>
      </c>
      <c r="D145" s="4" t="s">
        <v>4767</v>
      </c>
      <c r="E145" s="4" t="s">
        <v>114</v>
      </c>
      <c r="F145" s="55">
        <v>200825</v>
      </c>
      <c r="G145" s="4" t="s">
        <v>67</v>
      </c>
      <c r="H145" s="4" t="s">
        <v>68</v>
      </c>
      <c r="I145" s="4" t="s">
        <v>2494</v>
      </c>
      <c r="J145" s="55" t="s">
        <v>4704</v>
      </c>
      <c r="K145" s="4" t="s">
        <v>71</v>
      </c>
      <c r="L145" s="4" t="s">
        <v>3487</v>
      </c>
      <c r="M145" s="4" t="s">
        <v>196</v>
      </c>
      <c r="N145" s="4" t="s">
        <v>74</v>
      </c>
      <c r="O145" s="4" t="s">
        <v>75</v>
      </c>
      <c r="P145" s="4" t="s">
        <v>4733</v>
      </c>
      <c r="Q145" s="57">
        <v>45323</v>
      </c>
      <c r="R145" s="57">
        <v>45339</v>
      </c>
      <c r="S145" s="113"/>
      <c r="T145" s="113"/>
      <c r="U145" s="4"/>
      <c r="V145" s="4"/>
      <c r="W145" s="105" t="s">
        <v>4768</v>
      </c>
      <c r="X145" s="114">
        <v>1714070733</v>
      </c>
      <c r="Y145" s="55">
        <v>1682893024</v>
      </c>
      <c r="Z145" s="4" t="s">
        <v>4769</v>
      </c>
      <c r="AA145" s="4">
        <v>1682893024</v>
      </c>
      <c r="AB145" s="4" t="s">
        <v>186</v>
      </c>
      <c r="AC145" s="4" t="s">
        <v>119</v>
      </c>
      <c r="AD145" s="113">
        <v>35063</v>
      </c>
      <c r="AE145" s="107">
        <v>23.7808219178082</v>
      </c>
      <c r="AF145" s="4" t="s">
        <v>80</v>
      </c>
      <c r="AG145" s="114">
        <v>3280957857</v>
      </c>
      <c r="AH145" s="4" t="s">
        <v>242</v>
      </c>
      <c r="AI145" s="55" t="s">
        <v>290</v>
      </c>
      <c r="AJ145" s="55" t="s">
        <v>81</v>
      </c>
      <c r="AK145" s="55">
        <v>2019</v>
      </c>
      <c r="AL145" s="4" t="s">
        <v>4770</v>
      </c>
      <c r="AM145" s="4" t="s">
        <v>4771</v>
      </c>
      <c r="AN145" s="4" t="s">
        <v>4772</v>
      </c>
      <c r="AO145" s="4" t="s">
        <v>4773</v>
      </c>
      <c r="AP145" s="4" t="s">
        <v>4773</v>
      </c>
      <c r="AQ145" s="55" t="s">
        <v>4774</v>
      </c>
      <c r="AR145" s="4" t="s">
        <v>89</v>
      </c>
      <c r="AS145" s="4" t="s">
        <v>4769</v>
      </c>
      <c r="AT145" s="72" t="s">
        <v>242</v>
      </c>
      <c r="AU145" s="4" t="s">
        <v>4775</v>
      </c>
      <c r="AV145" s="4" t="s">
        <v>242</v>
      </c>
      <c r="AW145" s="4" t="s">
        <v>81</v>
      </c>
      <c r="AX145" s="4" t="s">
        <v>81</v>
      </c>
      <c r="AY145" s="4"/>
      <c r="AZ145" s="4"/>
      <c r="BA145" s="4" t="s">
        <v>3498</v>
      </c>
      <c r="BB145" s="4">
        <v>10800</v>
      </c>
      <c r="BC145" s="4">
        <v>2700</v>
      </c>
      <c r="BD145" s="4">
        <v>1000</v>
      </c>
      <c r="BE145" s="4" t="s">
        <v>166</v>
      </c>
      <c r="BF145" s="4"/>
      <c r="BG145" s="4"/>
      <c r="BH145" s="4" t="s">
        <v>3510</v>
      </c>
      <c r="BI145" s="72">
        <f>VLOOKUP(A145,'ID Block'!A:L,12,0)</f>
        <v>45367</v>
      </c>
      <c r="BJ145" s="154" t="str">
        <f>VLOOKUP(A145,'ID Block'!A:M,13,0)</f>
        <v>Better Opportunity</v>
      </c>
      <c r="BK145" s="4">
        <f t="shared" si="2"/>
        <v>28</v>
      </c>
      <c r="BL145" s="105" t="s">
        <v>168</v>
      </c>
      <c r="BM145" s="10"/>
      <c r="BN145" s="183" t="s">
        <v>3796</v>
      </c>
      <c r="BO145" s="183"/>
    </row>
    <row r="146" ht="14.4" s="67" customFormat="1">
      <c r="A146" s="4">
        <v>171049</v>
      </c>
      <c r="B146" s="4"/>
      <c r="C146" s="55" t="s">
        <v>4776</v>
      </c>
      <c r="D146" s="4" t="s">
        <v>4777</v>
      </c>
      <c r="E146" s="4" t="s">
        <v>114</v>
      </c>
      <c r="F146" s="55">
        <v>1410852436</v>
      </c>
      <c r="G146" s="4" t="s">
        <v>67</v>
      </c>
      <c r="H146" s="4" t="s">
        <v>68</v>
      </c>
      <c r="I146" s="4" t="s">
        <v>2494</v>
      </c>
      <c r="J146" s="55" t="s">
        <v>70</v>
      </c>
      <c r="K146" s="4" t="s">
        <v>71</v>
      </c>
      <c r="L146" s="4" t="s">
        <v>3487</v>
      </c>
      <c r="M146" s="4" t="s">
        <v>308</v>
      </c>
      <c r="N146" s="4" t="s">
        <v>74</v>
      </c>
      <c r="O146" s="4" t="s">
        <v>75</v>
      </c>
      <c r="P146" s="4" t="s">
        <v>3489</v>
      </c>
      <c r="Q146" s="57">
        <v>45034</v>
      </c>
      <c r="R146" s="57">
        <v>45040</v>
      </c>
      <c r="S146" s="113"/>
      <c r="T146" s="113"/>
      <c r="U146" s="4"/>
      <c r="V146" s="4"/>
      <c r="W146" s="105" t="s">
        <v>4778</v>
      </c>
      <c r="X146" s="114">
        <v>1743165343</v>
      </c>
      <c r="Y146" s="55"/>
      <c r="Z146" s="4" t="s">
        <v>4779</v>
      </c>
      <c r="AA146" s="4">
        <v>1679460902</v>
      </c>
      <c r="AB146" s="4" t="s">
        <v>132</v>
      </c>
      <c r="AC146" s="4" t="s">
        <v>119</v>
      </c>
      <c r="AD146" s="113">
        <v>37087</v>
      </c>
      <c r="AE146" s="107">
        <v>22.5753424657534</v>
      </c>
      <c r="AF146" s="4" t="s">
        <v>80</v>
      </c>
      <c r="AG146" s="114">
        <v>8263644703</v>
      </c>
      <c r="AH146" s="4" t="s">
        <v>81</v>
      </c>
      <c r="AI146" s="55" t="s">
        <v>104</v>
      </c>
      <c r="AJ146" s="55" t="s">
        <v>120</v>
      </c>
      <c r="AK146" s="55">
        <v>2024</v>
      </c>
      <c r="AL146" s="4" t="s">
        <v>4780</v>
      </c>
      <c r="AM146" s="4" t="s">
        <v>4781</v>
      </c>
      <c r="AN146" s="4" t="s">
        <v>4779</v>
      </c>
      <c r="AO146" s="4" t="s">
        <v>4782</v>
      </c>
      <c r="AP146" s="4" t="s">
        <v>4782</v>
      </c>
      <c r="AQ146" s="55" t="s">
        <v>126</v>
      </c>
      <c r="AR146" s="4" t="s">
        <v>110</v>
      </c>
      <c r="AS146" s="4"/>
      <c r="AT146" s="72"/>
      <c r="AU146" s="4"/>
      <c r="AV146" s="4"/>
      <c r="AW146" s="4"/>
      <c r="AX146" s="4"/>
      <c r="AY146" s="4"/>
      <c r="AZ146" s="4"/>
      <c r="BA146" s="4" t="s">
        <v>3498</v>
      </c>
      <c r="BB146" s="4">
        <v>12000</v>
      </c>
      <c r="BC146" s="4">
        <v>3000</v>
      </c>
      <c r="BD146" s="4">
        <v>0</v>
      </c>
      <c r="BE146" s="4" t="s">
        <v>91</v>
      </c>
      <c r="BF146" s="4">
        <v>161452</v>
      </c>
      <c r="BG146" s="4" t="s">
        <v>92</v>
      </c>
      <c r="BH146" s="4" t="s">
        <v>3510</v>
      </c>
      <c r="BI146" s="72">
        <f>VLOOKUP(A146,'ID Block'!A:L,12,0)</f>
        <v>45367</v>
      </c>
      <c r="BJ146" s="154" t="str">
        <f>VLOOKUP(A146,'ID Block'!A:M,13,0)</f>
        <v>Personal Issues</v>
      </c>
      <c r="BK146" s="4">
        <f t="shared" si="2"/>
        <v>327</v>
      </c>
      <c r="BL146" s="105" t="s">
        <v>168</v>
      </c>
      <c r="BM146" s="10"/>
      <c r="BN146" s="183" t="s">
        <v>4611</v>
      </c>
      <c r="BO146" s="183"/>
    </row>
    <row r="147" ht="14.4" s="67" customFormat="1">
      <c r="A147" s="4">
        <v>171228</v>
      </c>
      <c r="B147" s="4"/>
      <c r="C147" s="55" t="s">
        <v>834</v>
      </c>
      <c r="D147" s="4" t="s">
        <v>4783</v>
      </c>
      <c r="E147" s="4" t="s">
        <v>66</v>
      </c>
      <c r="F147" s="55">
        <v>1110593480</v>
      </c>
      <c r="G147" s="4" t="s">
        <v>67</v>
      </c>
      <c r="H147" s="4" t="s">
        <v>68</v>
      </c>
      <c r="I147" s="4" t="s">
        <v>2494</v>
      </c>
      <c r="J147" s="55" t="s">
        <v>297</v>
      </c>
      <c r="K147" s="4" t="s">
        <v>71</v>
      </c>
      <c r="L147" s="4" t="s">
        <v>3487</v>
      </c>
      <c r="M147" s="4" t="s">
        <v>98</v>
      </c>
      <c r="N147" s="4" t="s">
        <v>74</v>
      </c>
      <c r="O147" s="4" t="s">
        <v>75</v>
      </c>
      <c r="P147" s="4" t="s">
        <v>4271</v>
      </c>
      <c r="Q147" s="57">
        <v>45246</v>
      </c>
      <c r="R147" s="57">
        <v>45256</v>
      </c>
      <c r="S147" s="113"/>
      <c r="T147" s="113"/>
      <c r="U147" s="4"/>
      <c r="V147" s="4"/>
      <c r="W147" s="105" t="s">
        <v>4784</v>
      </c>
      <c r="X147" s="114">
        <v>1992624800</v>
      </c>
      <c r="Y147" s="55" t="s">
        <v>81</v>
      </c>
      <c r="Z147" s="4" t="s">
        <v>4785</v>
      </c>
      <c r="AA147" s="4">
        <v>1678691673</v>
      </c>
      <c r="AB147" s="4" t="s">
        <v>252</v>
      </c>
      <c r="AC147" s="4" t="s">
        <v>133</v>
      </c>
      <c r="AD147" s="113">
        <v>35881</v>
      </c>
      <c r="AE147" s="107">
        <v>25.8794520547945</v>
      </c>
      <c r="AF147" s="4" t="s">
        <v>80</v>
      </c>
      <c r="AG147" s="114">
        <v>8254960571</v>
      </c>
      <c r="AH147" s="4" t="s">
        <v>81</v>
      </c>
      <c r="AI147" s="55" t="s">
        <v>4786</v>
      </c>
      <c r="AJ147" s="55" t="s">
        <v>81</v>
      </c>
      <c r="AK147" s="55">
        <v>2023</v>
      </c>
      <c r="AL147" s="4" t="s">
        <v>412</v>
      </c>
      <c r="AM147" s="4" t="s">
        <v>4787</v>
      </c>
      <c r="AN147" s="4" t="s">
        <v>1507</v>
      </c>
      <c r="AO147" s="4" t="s">
        <v>4788</v>
      </c>
      <c r="AP147" s="4" t="s">
        <v>4789</v>
      </c>
      <c r="AQ147" s="55" t="s">
        <v>285</v>
      </c>
      <c r="AR147" s="4" t="s">
        <v>110</v>
      </c>
      <c r="AS147" s="4" t="s">
        <v>81</v>
      </c>
      <c r="AT147" s="72" t="s">
        <v>81</v>
      </c>
      <c r="AU147" s="4" t="s">
        <v>81</v>
      </c>
      <c r="AV147" s="4" t="s">
        <v>81</v>
      </c>
      <c r="AW147" s="4"/>
      <c r="AX147" s="4"/>
      <c r="AY147" s="4"/>
      <c r="AZ147" s="4"/>
      <c r="BA147" s="4" t="s">
        <v>3498</v>
      </c>
      <c r="BB147" s="4">
        <v>10800</v>
      </c>
      <c r="BC147" s="4">
        <v>2700</v>
      </c>
      <c r="BD147" s="4">
        <v>0</v>
      </c>
      <c r="BE147" s="4" t="s">
        <v>296</v>
      </c>
      <c r="BF147" s="4"/>
      <c r="BG147" s="4"/>
      <c r="BH147" s="4" t="s">
        <v>3510</v>
      </c>
      <c r="BI147" s="72">
        <f>VLOOKUP(A147,'ID Block'!A:L,12,0)</f>
        <v>45368</v>
      </c>
      <c r="BJ147" s="154" t="str">
        <f>VLOOKUP(A147,'ID Block'!A:M,13,0)</f>
        <v>Higher Education</v>
      </c>
      <c r="BK147" s="4">
        <f t="shared" si="2"/>
        <v>112</v>
      </c>
      <c r="BL147" s="105" t="s">
        <v>168</v>
      </c>
      <c r="BM147" s="10"/>
      <c r="BN147" s="183" t="s">
        <v>4675</v>
      </c>
      <c r="BO147" s="183"/>
    </row>
    <row r="148" ht="14.4" s="67" customFormat="1">
      <c r="A148" s="4">
        <v>171325</v>
      </c>
      <c r="B148" s="4"/>
      <c r="C148" s="55" t="s">
        <v>4790</v>
      </c>
      <c r="D148" s="4" t="s">
        <v>4791</v>
      </c>
      <c r="E148" s="4" t="s">
        <v>114</v>
      </c>
      <c r="F148" s="55" t="s">
        <v>4792</v>
      </c>
      <c r="G148" s="4" t="s">
        <v>67</v>
      </c>
      <c r="H148" s="4" t="s">
        <v>68</v>
      </c>
      <c r="I148" s="4" t="s">
        <v>2494</v>
      </c>
      <c r="J148" s="55" t="s">
        <v>297</v>
      </c>
      <c r="K148" s="4" t="s">
        <v>71</v>
      </c>
      <c r="L148" s="4" t="s">
        <v>3487</v>
      </c>
      <c r="M148" s="4" t="s">
        <v>308</v>
      </c>
      <c r="N148" s="4" t="s">
        <v>74</v>
      </c>
      <c r="O148" s="4" t="s">
        <v>75</v>
      </c>
      <c r="P148" s="4" t="s">
        <v>4733</v>
      </c>
      <c r="Q148" s="57">
        <v>45323</v>
      </c>
      <c r="R148" s="57">
        <v>45333</v>
      </c>
      <c r="S148" s="113"/>
      <c r="T148" s="113"/>
      <c r="U148" s="4"/>
      <c r="V148" s="4"/>
      <c r="W148" s="105" t="s">
        <v>4793</v>
      </c>
      <c r="X148" s="114">
        <v>1712482180</v>
      </c>
      <c r="Y148" s="55">
        <v>1714728580</v>
      </c>
      <c r="Z148" s="4" t="s">
        <v>4794</v>
      </c>
      <c r="AA148" s="4">
        <v>1714728580</v>
      </c>
      <c r="AB148" s="4" t="s">
        <v>101</v>
      </c>
      <c r="AC148" s="4" t="s">
        <v>133</v>
      </c>
      <c r="AD148" s="113">
        <v>33888</v>
      </c>
      <c r="AE148" s="107">
        <v>23.7808219178082</v>
      </c>
      <c r="AF148" s="4" t="s">
        <v>80</v>
      </c>
      <c r="AG148" s="114">
        <v>19924815423000000</v>
      </c>
      <c r="AH148" s="4" t="s">
        <v>81</v>
      </c>
      <c r="AI148" s="55" t="s">
        <v>322</v>
      </c>
      <c r="AJ148" s="55" t="s">
        <v>81</v>
      </c>
      <c r="AK148" s="55">
        <v>2016</v>
      </c>
      <c r="AL148" s="4" t="s">
        <v>818</v>
      </c>
      <c r="AM148" s="4" t="s">
        <v>4794</v>
      </c>
      <c r="AN148" s="4" t="s">
        <v>4795</v>
      </c>
      <c r="AO148" s="4" t="s">
        <v>4796</v>
      </c>
      <c r="AP148" s="4" t="s">
        <v>4797</v>
      </c>
      <c r="AQ148" s="55" t="s">
        <v>88</v>
      </c>
      <c r="AR148" s="4" t="s">
        <v>110</v>
      </c>
      <c r="AS148" s="4" t="s">
        <v>4798</v>
      </c>
      <c r="AT148" s="72">
        <v>36578</v>
      </c>
      <c r="AU148" s="4" t="s">
        <v>81</v>
      </c>
      <c r="AV148" s="4" t="s">
        <v>81</v>
      </c>
      <c r="AW148" s="4" t="s">
        <v>81</v>
      </c>
      <c r="AX148" s="4" t="s">
        <v>81</v>
      </c>
      <c r="AY148" s="4"/>
      <c r="AZ148" s="4"/>
      <c r="BA148" s="4" t="s">
        <v>3498</v>
      </c>
      <c r="BB148" s="4">
        <v>10800</v>
      </c>
      <c r="BC148" s="4">
        <v>2700</v>
      </c>
      <c r="BD148" s="4">
        <v>0</v>
      </c>
      <c r="BE148" s="4" t="s">
        <v>91</v>
      </c>
      <c r="BF148" s="4"/>
      <c r="BG148" s="4"/>
      <c r="BH148" s="4" t="s">
        <v>3510</v>
      </c>
      <c r="BI148" s="72">
        <f>VLOOKUP(A148,'ID Block'!A:L,12,0)</f>
        <v>45370</v>
      </c>
      <c r="BJ148" s="154" t="str">
        <f>VLOOKUP(A148,'ID Block'!A:M,13,0)</f>
        <v>Family Issues</v>
      </c>
      <c r="BK148" s="4">
        <f t="shared" si="2"/>
        <v>37</v>
      </c>
      <c r="BL148" s="105" t="s">
        <v>168</v>
      </c>
      <c r="BM148" s="10"/>
      <c r="BN148" s="183" t="s">
        <v>4695</v>
      </c>
      <c r="BO148" s="183"/>
    </row>
    <row r="149" ht="14.4" s="67" customFormat="1">
      <c r="A149" s="4">
        <v>171205</v>
      </c>
      <c r="B149" s="4"/>
      <c r="C149" s="55"/>
      <c r="D149" s="4" t="s">
        <v>4799</v>
      </c>
      <c r="E149" s="4" t="s">
        <v>114</v>
      </c>
      <c r="F149" s="55" t="s">
        <v>4800</v>
      </c>
      <c r="G149" s="4" t="s">
        <v>67</v>
      </c>
      <c r="H149" s="4" t="s">
        <v>68</v>
      </c>
      <c r="I149" s="4" t="s">
        <v>2494</v>
      </c>
      <c r="J149" s="55" t="s">
        <v>155</v>
      </c>
      <c r="K149" s="4" t="s">
        <v>71</v>
      </c>
      <c r="L149" s="4" t="s">
        <v>3487</v>
      </c>
      <c r="M149" s="4" t="s">
        <v>196</v>
      </c>
      <c r="N149" s="4" t="s">
        <v>74</v>
      </c>
      <c r="O149" s="4" t="s">
        <v>75</v>
      </c>
      <c r="P149" s="4" t="s">
        <v>4178</v>
      </c>
      <c r="Q149" s="57">
        <v>45224</v>
      </c>
      <c r="R149" s="57">
        <v>45235</v>
      </c>
      <c r="S149" s="113"/>
      <c r="T149" s="113"/>
      <c r="U149" s="4"/>
      <c r="V149" s="4"/>
      <c r="W149" s="105" t="s">
        <v>4801</v>
      </c>
      <c r="X149" s="114">
        <v>1314223353</v>
      </c>
      <c r="Y149" s="55">
        <v>1855371117</v>
      </c>
      <c r="Z149" s="4" t="s">
        <v>4802</v>
      </c>
      <c r="AA149" s="4">
        <v>1990800478</v>
      </c>
      <c r="AB149" s="4" t="s">
        <v>252</v>
      </c>
      <c r="AC149" s="4" t="s">
        <v>79</v>
      </c>
      <c r="AD149" s="113">
        <v>35427</v>
      </c>
      <c r="AE149" s="107">
        <v>27.1232876712329</v>
      </c>
      <c r="AF149" s="4" t="s">
        <v>80</v>
      </c>
      <c r="AG149" s="114">
        <v>6902580098</v>
      </c>
      <c r="AH149" s="4" t="s">
        <v>81</v>
      </c>
      <c r="AI149" s="55" t="s">
        <v>4803</v>
      </c>
      <c r="AJ149" s="55" t="s">
        <v>81</v>
      </c>
      <c r="AK149" s="55">
        <v>2020</v>
      </c>
      <c r="AL149" s="4" t="s">
        <v>4804</v>
      </c>
      <c r="AM149" s="4" t="s">
        <v>4805</v>
      </c>
      <c r="AN149" s="4" t="s">
        <v>4806</v>
      </c>
      <c r="AO149" s="4" t="s">
        <v>4807</v>
      </c>
      <c r="AP149" s="4" t="s">
        <v>4808</v>
      </c>
      <c r="AQ149" s="55" t="s">
        <v>353</v>
      </c>
      <c r="AR149" s="4" t="s">
        <v>110</v>
      </c>
      <c r="AS149" s="4" t="s">
        <v>81</v>
      </c>
      <c r="AT149" s="72" t="s">
        <v>81</v>
      </c>
      <c r="AU149" s="4" t="s">
        <v>81</v>
      </c>
      <c r="AV149" s="4" t="s">
        <v>81</v>
      </c>
      <c r="AW149" s="4"/>
      <c r="AX149" s="4"/>
      <c r="AY149" s="4"/>
      <c r="AZ149" s="4"/>
      <c r="BA149" s="4" t="s">
        <v>3498</v>
      </c>
      <c r="BB149" s="4">
        <v>10800</v>
      </c>
      <c r="BC149" s="4">
        <v>2700</v>
      </c>
      <c r="BD149" s="4">
        <v>1000</v>
      </c>
      <c r="BE149" s="4" t="s">
        <v>166</v>
      </c>
      <c r="BF149" s="4"/>
      <c r="BG149" s="4"/>
      <c r="BH149" s="4" t="s">
        <v>3510</v>
      </c>
      <c r="BI149" s="72">
        <f>VLOOKUP(A149,'ID Block'!A:L,12,0)</f>
        <v>45372</v>
      </c>
      <c r="BJ149" s="154" t="str">
        <f>VLOOKUP(A149,'ID Block'!A:M,13,0)</f>
        <v>Family Issue</v>
      </c>
      <c r="BK149" s="4">
        <f t="shared" si="2"/>
        <v>137</v>
      </c>
      <c r="BL149" s="105" t="s">
        <v>168</v>
      </c>
      <c r="BM149" s="10"/>
      <c r="BN149" s="183" t="s">
        <v>4695</v>
      </c>
      <c r="BO149" s="183"/>
    </row>
    <row r="150" ht="14.4" s="67" customFormat="1">
      <c r="A150" s="4">
        <v>171039</v>
      </c>
      <c r="B150" s="4"/>
      <c r="C150" s="55" t="s">
        <v>4809</v>
      </c>
      <c r="D150" s="4" t="s">
        <v>4810</v>
      </c>
      <c r="E150" s="4" t="s">
        <v>114</v>
      </c>
      <c r="F150" s="55">
        <v>164596</v>
      </c>
      <c r="G150" s="4" t="s">
        <v>67</v>
      </c>
      <c r="H150" s="4" t="s">
        <v>68</v>
      </c>
      <c r="I150" s="4" t="s">
        <v>2494</v>
      </c>
      <c r="J150" s="55" t="s">
        <v>70</v>
      </c>
      <c r="K150" s="4" t="s">
        <v>71</v>
      </c>
      <c r="L150" s="4" t="s">
        <v>3487</v>
      </c>
      <c r="M150" s="4" t="s">
        <v>308</v>
      </c>
      <c r="N150" s="4" t="s">
        <v>74</v>
      </c>
      <c r="O150" s="4" t="s">
        <v>75</v>
      </c>
      <c r="P150" s="4" t="s">
        <v>3489</v>
      </c>
      <c r="Q150" s="57">
        <v>45033</v>
      </c>
      <c r="R150" s="57">
        <v>45040</v>
      </c>
      <c r="S150" s="113"/>
      <c r="T150" s="113"/>
      <c r="U150" s="4"/>
      <c r="V150" s="4"/>
      <c r="W150" s="105" t="s">
        <v>4811</v>
      </c>
      <c r="X150" s="114">
        <v>1645435329</v>
      </c>
      <c r="Y150" s="55"/>
      <c r="Z150" s="4" t="s">
        <v>4812</v>
      </c>
      <c r="AA150" s="4">
        <v>1703030056</v>
      </c>
      <c r="AB150" s="4" t="s">
        <v>410</v>
      </c>
      <c r="AC150" s="4" t="s">
        <v>79</v>
      </c>
      <c r="AD150" s="113">
        <v>35835</v>
      </c>
      <c r="AE150" s="107">
        <v>26.0054794520548</v>
      </c>
      <c r="AF150" s="4" t="s">
        <v>80</v>
      </c>
      <c r="AG150" s="114">
        <v>9157720658</v>
      </c>
      <c r="AH150" s="4" t="s">
        <v>4813</v>
      </c>
      <c r="AI150" s="55" t="s">
        <v>187</v>
      </c>
      <c r="AJ150" s="55" t="s">
        <v>81</v>
      </c>
      <c r="AK150" s="55" t="s">
        <v>81</v>
      </c>
      <c r="AL150" s="4" t="s">
        <v>4814</v>
      </c>
      <c r="AM150" s="4" t="s">
        <v>4815</v>
      </c>
      <c r="AN150" s="4" t="s">
        <v>4816</v>
      </c>
      <c r="AO150" s="4" t="s">
        <v>4817</v>
      </c>
      <c r="AP150" s="4" t="s">
        <v>4818</v>
      </c>
      <c r="AQ150" s="55" t="s">
        <v>2263</v>
      </c>
      <c r="AR150" s="4" t="s">
        <v>89</v>
      </c>
      <c r="AS150" s="4"/>
      <c r="AT150" s="72"/>
      <c r="AU150" s="4"/>
      <c r="AV150" s="4"/>
      <c r="AW150" s="4"/>
      <c r="AX150" s="4"/>
      <c r="AY150" s="4"/>
      <c r="AZ150" s="4"/>
      <c r="BA150" s="4" t="s">
        <v>3498</v>
      </c>
      <c r="BB150" s="4">
        <v>12000</v>
      </c>
      <c r="BC150" s="4">
        <v>3000</v>
      </c>
      <c r="BD150" s="4">
        <v>0</v>
      </c>
      <c r="BE150" s="4" t="s">
        <v>91</v>
      </c>
      <c r="BF150" s="4">
        <v>161510</v>
      </c>
      <c r="BG150" s="4" t="s">
        <v>92</v>
      </c>
      <c r="BH150" s="4" t="s">
        <v>3510</v>
      </c>
      <c r="BI150" s="72">
        <f>VLOOKUP(A150,'ID Block'!A:L,12,0)</f>
        <v>45374</v>
      </c>
      <c r="BJ150" s="154" t="str">
        <f>VLOOKUP(A150,'ID Block'!A:M,13,0)</f>
        <v>Better Opportunity</v>
      </c>
      <c r="BK150" s="4">
        <f t="shared" si="2"/>
        <v>334</v>
      </c>
      <c r="BL150" s="105" t="s">
        <v>168</v>
      </c>
      <c r="BM150" s="10"/>
      <c r="BN150" s="183" t="s">
        <v>3796</v>
      </c>
      <c r="BO150" s="183"/>
    </row>
    <row r="151" ht="14.4" s="67" customFormat="1">
      <c r="A151" s="4">
        <v>171167</v>
      </c>
      <c r="B151" s="4"/>
      <c r="C151" s="55"/>
      <c r="D151" s="4" t="s">
        <v>4819</v>
      </c>
      <c r="E151" s="4" t="s">
        <v>114</v>
      </c>
      <c r="F151" s="55">
        <v>441629</v>
      </c>
      <c r="G151" s="4" t="s">
        <v>67</v>
      </c>
      <c r="H151" s="4" t="s">
        <v>68</v>
      </c>
      <c r="I151" s="4" t="s">
        <v>2494</v>
      </c>
      <c r="J151" s="55" t="s">
        <v>4820</v>
      </c>
      <c r="K151" s="4" t="s">
        <v>71</v>
      </c>
      <c r="L151" s="4" t="s">
        <v>3487</v>
      </c>
      <c r="M151" s="4" t="s">
        <v>98</v>
      </c>
      <c r="N151" s="4" t="s">
        <v>74</v>
      </c>
      <c r="O151" s="4" t="s">
        <v>75</v>
      </c>
      <c r="P151" s="4" t="s">
        <v>3987</v>
      </c>
      <c r="Q151" s="57">
        <v>45206</v>
      </c>
      <c r="R151" s="57">
        <v>45211</v>
      </c>
      <c r="S151" s="113"/>
      <c r="T151" s="113"/>
      <c r="U151" s="4"/>
      <c r="V151" s="4"/>
      <c r="W151" s="105" t="s">
        <v>4821</v>
      </c>
      <c r="X151" s="114">
        <v>1783904074</v>
      </c>
      <c r="Y151" s="55" t="s">
        <v>81</v>
      </c>
      <c r="Z151" s="4" t="s">
        <v>4822</v>
      </c>
      <c r="AA151" s="4">
        <v>1742271216</v>
      </c>
      <c r="AB151" s="4" t="s">
        <v>101</v>
      </c>
      <c r="AC151" s="4" t="s">
        <v>133</v>
      </c>
      <c r="AD151" s="113">
        <v>35114</v>
      </c>
      <c r="AE151" s="107">
        <v>27.9808219178082</v>
      </c>
      <c r="AF151" s="4" t="s">
        <v>80</v>
      </c>
      <c r="AG151" s="114">
        <v>1467215131</v>
      </c>
      <c r="AH151" s="4" t="s">
        <v>4823</v>
      </c>
      <c r="AI151" s="55" t="s">
        <v>322</v>
      </c>
      <c r="AJ151" s="55" t="s">
        <v>81</v>
      </c>
      <c r="AK151" s="55">
        <v>2020</v>
      </c>
      <c r="AL151" s="4" t="s">
        <v>588</v>
      </c>
      <c r="AM151" s="4" t="s">
        <v>4824</v>
      </c>
      <c r="AN151" s="4" t="s">
        <v>4825</v>
      </c>
      <c r="AO151" s="4" t="s">
        <v>4826</v>
      </c>
      <c r="AP151" s="4" t="s">
        <v>4827</v>
      </c>
      <c r="AQ151" s="55" t="s">
        <v>555</v>
      </c>
      <c r="AR151" s="4" t="s">
        <v>110</v>
      </c>
      <c r="AS151" s="4"/>
      <c r="AT151" s="72"/>
      <c r="AU151" s="4"/>
      <c r="AV151" s="4"/>
      <c r="AW151" s="4"/>
      <c r="AX151" s="4"/>
      <c r="AY151" s="4"/>
      <c r="AZ151" s="4"/>
      <c r="BA151" s="4" t="s">
        <v>3498</v>
      </c>
      <c r="BB151" s="4">
        <v>10800</v>
      </c>
      <c r="BC151" s="4">
        <v>2700</v>
      </c>
      <c r="BD151" s="4">
        <v>0</v>
      </c>
      <c r="BE151" s="4" t="s">
        <v>296</v>
      </c>
      <c r="BF151" s="4"/>
      <c r="BG151" s="4"/>
      <c r="BH151" s="4" t="s">
        <v>3510</v>
      </c>
      <c r="BI151" s="72">
        <f>VLOOKUP(A151,'ID Block'!A:L,12,0)</f>
        <v>45381</v>
      </c>
      <c r="BJ151" s="154" t="str">
        <f>VLOOKUP(A151,'ID Block'!A:M,13,0)</f>
        <v>Better opportunity</v>
      </c>
      <c r="BK151" s="4">
        <f t="shared" si="2"/>
        <v>170</v>
      </c>
      <c r="BL151" s="105" t="s">
        <v>168</v>
      </c>
      <c r="BM151" s="10"/>
      <c r="BN151" s="183" t="s">
        <v>4002</v>
      </c>
      <c r="BO151" s="183"/>
    </row>
    <row r="152" ht="14.4" s="67" customFormat="1">
      <c r="A152" s="4">
        <v>171142</v>
      </c>
      <c r="B152" s="4"/>
      <c r="C152" s="55" t="s">
        <v>4828</v>
      </c>
      <c r="D152" s="4" t="s">
        <v>4829</v>
      </c>
      <c r="E152" s="4" t="s">
        <v>114</v>
      </c>
      <c r="F152" s="55">
        <v>952204</v>
      </c>
      <c r="G152" s="4" t="s">
        <v>67</v>
      </c>
      <c r="H152" s="4" t="s">
        <v>68</v>
      </c>
      <c r="I152" s="4" t="s">
        <v>2494</v>
      </c>
      <c r="J152" s="55" t="s">
        <v>155</v>
      </c>
      <c r="K152" s="4" t="s">
        <v>71</v>
      </c>
      <c r="L152" s="4" t="s">
        <v>3487</v>
      </c>
      <c r="M152" s="4" t="s">
        <v>196</v>
      </c>
      <c r="N152" s="4" t="s">
        <v>74</v>
      </c>
      <c r="O152" s="4" t="s">
        <v>75</v>
      </c>
      <c r="P152" s="4" t="s">
        <v>3951</v>
      </c>
      <c r="Q152" s="57">
        <v>45187</v>
      </c>
      <c r="R152" s="57">
        <v>45196</v>
      </c>
      <c r="S152" s="113"/>
      <c r="T152" s="113"/>
      <c r="U152" s="4"/>
      <c r="V152" s="4"/>
      <c r="W152" s="105" t="s">
        <v>4830</v>
      </c>
      <c r="X152" s="114">
        <v>1989838284</v>
      </c>
      <c r="Y152" s="55">
        <v>1710080551</v>
      </c>
      <c r="Z152" s="4" t="s">
        <v>4831</v>
      </c>
      <c r="AA152" s="4">
        <v>1732202943</v>
      </c>
      <c r="AB152" s="4" t="s">
        <v>132</v>
      </c>
      <c r="AC152" s="4" t="s">
        <v>119</v>
      </c>
      <c r="AD152" s="113">
        <v>35708</v>
      </c>
      <c r="AE152" s="107">
        <v>26.3534246575342</v>
      </c>
      <c r="AF152" s="4" t="s">
        <v>80</v>
      </c>
      <c r="AG152" s="114">
        <v>2857671289</v>
      </c>
      <c r="AH152" s="4" t="s">
        <v>81</v>
      </c>
      <c r="AI152" s="55" t="s">
        <v>265</v>
      </c>
      <c r="AJ152" s="55" t="s">
        <v>81</v>
      </c>
      <c r="AK152" s="55">
        <v>2019</v>
      </c>
      <c r="AL152" s="4" t="s">
        <v>524</v>
      </c>
      <c r="AM152" s="4" t="s">
        <v>4832</v>
      </c>
      <c r="AN152" s="4" t="s">
        <v>4831</v>
      </c>
      <c r="AO152" s="4" t="s">
        <v>4833</v>
      </c>
      <c r="AP152" s="4" t="s">
        <v>4834</v>
      </c>
      <c r="AQ152" s="55" t="s">
        <v>499</v>
      </c>
      <c r="AR152" s="4" t="s">
        <v>260</v>
      </c>
      <c r="AS152" s="4"/>
      <c r="AT152" s="72"/>
      <c r="AU152" s="4"/>
      <c r="AV152" s="4"/>
      <c r="AW152" s="4"/>
      <c r="AX152" s="4"/>
      <c r="AY152" s="4"/>
      <c r="AZ152" s="4"/>
      <c r="BA152" s="4" t="s">
        <v>3498</v>
      </c>
      <c r="BB152" s="4">
        <v>10800</v>
      </c>
      <c r="BC152" s="4">
        <v>2700</v>
      </c>
      <c r="BD152" s="4">
        <v>1000</v>
      </c>
      <c r="BE152" s="4" t="s">
        <v>166</v>
      </c>
      <c r="BF152" s="4" t="s">
        <v>167</v>
      </c>
      <c r="BG152" s="4" t="s">
        <v>167</v>
      </c>
      <c r="BH152" s="4" t="s">
        <v>3510</v>
      </c>
      <c r="BI152" s="72">
        <f>VLOOKUP(A152,'ID Block'!A:L,12,0)</f>
        <v>45379</v>
      </c>
      <c r="BJ152" s="154" t="str">
        <f>VLOOKUP(A152,'ID Block'!A:M,13,0)</f>
        <v>Family Issue</v>
      </c>
      <c r="BK152" s="4">
        <f t="shared" si="2"/>
        <v>183</v>
      </c>
      <c r="BL152" s="105" t="s">
        <v>168</v>
      </c>
      <c r="BM152" s="10"/>
      <c r="BN152" s="183" t="s">
        <v>3796</v>
      </c>
      <c r="BO152" s="183"/>
    </row>
    <row r="153" ht="14.4" s="67" customFormat="1">
      <c r="A153" s="4">
        <v>171376</v>
      </c>
      <c r="B153" s="4"/>
      <c r="C153" s="55" t="s">
        <v>4835</v>
      </c>
      <c r="D153" s="4" t="s">
        <v>4836</v>
      </c>
      <c r="E153" s="4" t="s">
        <v>114</v>
      </c>
      <c r="F153" s="55"/>
      <c r="G153" s="4" t="s">
        <v>67</v>
      </c>
      <c r="H153" s="4" t="s">
        <v>68</v>
      </c>
      <c r="I153" s="4" t="s">
        <v>2494</v>
      </c>
      <c r="J153" s="55" t="s">
        <v>155</v>
      </c>
      <c r="K153" s="4" t="s">
        <v>71</v>
      </c>
      <c r="L153" s="4" t="s">
        <v>3487</v>
      </c>
      <c r="M153" s="4" t="s">
        <v>196</v>
      </c>
      <c r="N153" s="4" t="s">
        <v>74</v>
      </c>
      <c r="O153" s="4" t="s">
        <v>75</v>
      </c>
      <c r="P153" s="4" t="s">
        <v>4837</v>
      </c>
      <c r="Q153" s="57">
        <v>45353</v>
      </c>
      <c r="R153" s="57">
        <v>45367</v>
      </c>
      <c r="S153" s="113"/>
      <c r="T153" s="113"/>
      <c r="U153" s="4"/>
      <c r="V153" s="4"/>
      <c r="W153" s="105"/>
      <c r="X153" s="114">
        <v>1937042007</v>
      </c>
      <c r="Y153" s="55" t="s">
        <v>81</v>
      </c>
      <c r="Z153" s="4" t="s">
        <v>4472</v>
      </c>
      <c r="AA153" s="4">
        <v>1717933351</v>
      </c>
      <c r="AB153" s="4" t="s">
        <v>252</v>
      </c>
      <c r="AC153" s="4" t="s">
        <v>133</v>
      </c>
      <c r="AD153" s="113">
        <v>36024</v>
      </c>
      <c r="AE153" s="107">
        <v>23.7808219178082</v>
      </c>
      <c r="AF153" s="4" t="s">
        <v>80</v>
      </c>
      <c r="AG153" s="114">
        <v>2404472017</v>
      </c>
      <c r="AH153" s="4" t="s">
        <v>81</v>
      </c>
      <c r="AI153" s="55" t="s">
        <v>265</v>
      </c>
      <c r="AJ153" s="55" t="s">
        <v>81</v>
      </c>
      <c r="AK153" s="55"/>
      <c r="AL153" s="4"/>
      <c r="AM153" s="4" t="s">
        <v>3495</v>
      </c>
      <c r="AN153" s="4" t="s">
        <v>3496</v>
      </c>
      <c r="AO153" s="4" t="s">
        <v>4694</v>
      </c>
      <c r="AP153" s="4" t="s">
        <v>4694</v>
      </c>
      <c r="AQ153" s="55" t="s">
        <v>285</v>
      </c>
      <c r="AR153" s="4"/>
      <c r="AS153" s="4"/>
      <c r="AT153" s="72"/>
      <c r="AU153" s="4"/>
      <c r="AV153" s="4"/>
      <c r="AW153" s="4"/>
      <c r="AX153" s="4"/>
      <c r="AY153" s="4"/>
      <c r="AZ153" s="4"/>
      <c r="BA153" s="4" t="s">
        <v>3498</v>
      </c>
      <c r="BB153" s="4">
        <v>10800</v>
      </c>
      <c r="BC153" s="4">
        <v>2700</v>
      </c>
      <c r="BD153" s="4">
        <v>1000</v>
      </c>
      <c r="BE153" s="4" t="s">
        <v>166</v>
      </c>
      <c r="BF153" s="4"/>
      <c r="BG153" s="4"/>
      <c r="BH153" s="4" t="s">
        <v>3499</v>
      </c>
      <c r="BI153" s="72">
        <f>VLOOKUP(A153,'ID Block'!A:L,12,0)</f>
        <v>45377</v>
      </c>
      <c r="BJ153" s="154" t="str">
        <f>VLOOKUP(A153,'ID Block'!A:M,13,0)</f>
        <v>Unauthorized absent </v>
      </c>
      <c r="BK153" s="4">
        <f t="shared" si="2"/>
        <v>10</v>
      </c>
      <c r="BL153" s="105" t="s">
        <v>168</v>
      </c>
      <c r="BM153" s="10"/>
      <c r="BN153" s="183" t="s">
        <v>3992</v>
      </c>
      <c r="BO153" s="183"/>
    </row>
    <row r="154" ht="14.4" s="67" customFormat="1">
      <c r="A154" s="4">
        <v>171176</v>
      </c>
      <c r="B154" s="4"/>
      <c r="C154" s="55" t="s">
        <v>3257</v>
      </c>
      <c r="D154" s="4" t="s">
        <v>4838</v>
      </c>
      <c r="E154" s="4" t="s">
        <v>66</v>
      </c>
      <c r="F154" s="55">
        <v>1214205270</v>
      </c>
      <c r="G154" s="4" t="s">
        <v>67</v>
      </c>
      <c r="H154" s="4" t="s">
        <v>68</v>
      </c>
      <c r="I154" s="4" t="s">
        <v>2494</v>
      </c>
      <c r="J154" s="55" t="s">
        <v>297</v>
      </c>
      <c r="K154" s="4" t="s">
        <v>71</v>
      </c>
      <c r="L154" s="4" t="s">
        <v>3487</v>
      </c>
      <c r="M154" s="4" t="s">
        <v>98</v>
      </c>
      <c r="N154" s="4" t="s">
        <v>74</v>
      </c>
      <c r="O154" s="4" t="s">
        <v>75</v>
      </c>
      <c r="P154" s="4" t="s">
        <v>3987</v>
      </c>
      <c r="Q154" s="57">
        <v>45206</v>
      </c>
      <c r="R154" s="57">
        <v>45211</v>
      </c>
      <c r="S154" s="113"/>
      <c r="T154" s="113"/>
      <c r="U154" s="4"/>
      <c r="V154" s="4"/>
      <c r="W154" s="105" t="s">
        <v>4839</v>
      </c>
      <c r="X154" s="114">
        <v>1851988036</v>
      </c>
      <c r="Y154" s="55" t="s">
        <v>81</v>
      </c>
      <c r="Z154" s="4" t="s">
        <v>4840</v>
      </c>
      <c r="AA154" s="4">
        <v>1711199217</v>
      </c>
      <c r="AB154" s="4" t="s">
        <v>132</v>
      </c>
      <c r="AC154" s="4" t="s">
        <v>102</v>
      </c>
      <c r="AD154" s="113">
        <v>36030</v>
      </c>
      <c r="AE154" s="107">
        <v>25.4712328767123</v>
      </c>
      <c r="AF154" s="4" t="s">
        <v>80</v>
      </c>
      <c r="AG154" s="114">
        <v>4207601362</v>
      </c>
      <c r="AH154" s="4" t="s">
        <v>81</v>
      </c>
      <c r="AI154" s="55" t="s">
        <v>290</v>
      </c>
      <c r="AJ154" s="55" t="s">
        <v>81</v>
      </c>
      <c r="AK154" s="55">
        <v>2022</v>
      </c>
      <c r="AL154" s="4" t="s">
        <v>188</v>
      </c>
      <c r="AM154" s="4" t="s">
        <v>4841</v>
      </c>
      <c r="AN154" s="4" t="s">
        <v>4840</v>
      </c>
      <c r="AO154" s="4" t="s">
        <v>4842</v>
      </c>
      <c r="AP154" s="4" t="s">
        <v>4843</v>
      </c>
      <c r="AQ154" s="55" t="s">
        <v>285</v>
      </c>
      <c r="AR154" s="4" t="s">
        <v>89</v>
      </c>
      <c r="AS154" s="4" t="s">
        <v>4844</v>
      </c>
      <c r="AT154" s="72"/>
      <c r="AU154" s="4"/>
      <c r="AV154" s="4"/>
      <c r="AW154" s="4"/>
      <c r="AX154" s="4"/>
      <c r="AY154" s="4"/>
      <c r="AZ154" s="4"/>
      <c r="BA154" s="4" t="s">
        <v>3498</v>
      </c>
      <c r="BB154" s="4">
        <v>10800</v>
      </c>
      <c r="BC154" s="4">
        <v>2700</v>
      </c>
      <c r="BD154" s="4">
        <v>0</v>
      </c>
      <c r="BE154" s="4" t="s">
        <v>296</v>
      </c>
      <c r="BF154" s="4"/>
      <c r="BG154" s="4"/>
      <c r="BH154" s="4" t="s">
        <v>3510</v>
      </c>
      <c r="BI154" s="72">
        <f>VLOOKUP(A154,'ID Block'!A:L,12,0)</f>
        <v>45383</v>
      </c>
      <c r="BJ154" s="154" t="str">
        <f>VLOOKUP(A154,'ID Block'!A:M,13,0)</f>
        <v>Family Issue</v>
      </c>
      <c r="BK154" s="4">
        <f t="shared" si="2"/>
        <v>172</v>
      </c>
      <c r="BL154" s="105" t="s">
        <v>168</v>
      </c>
      <c r="BM154" s="10"/>
      <c r="BN154" s="183" t="s">
        <v>4002</v>
      </c>
      <c r="BO154" s="183"/>
    </row>
    <row r="155" ht="14.4" s="67" customFormat="1">
      <c r="A155" s="4">
        <v>171132</v>
      </c>
      <c r="B155" s="4"/>
      <c r="C155" s="55" t="s">
        <v>574</v>
      </c>
      <c r="D155" s="4" t="s">
        <v>4845</v>
      </c>
      <c r="E155" s="4" t="s">
        <v>66</v>
      </c>
      <c r="F155" s="55">
        <v>1110213907</v>
      </c>
      <c r="G155" s="4" t="s">
        <v>67</v>
      </c>
      <c r="H155" s="4" t="s">
        <v>68</v>
      </c>
      <c r="I155" s="4" t="s">
        <v>2494</v>
      </c>
      <c r="J155" s="55" t="s">
        <v>297</v>
      </c>
      <c r="K155" s="4" t="s">
        <v>71</v>
      </c>
      <c r="L155" s="4" t="s">
        <v>3487</v>
      </c>
      <c r="M155" s="4" t="s">
        <v>115</v>
      </c>
      <c r="N155" s="4" t="s">
        <v>74</v>
      </c>
      <c r="O155" s="4" t="s">
        <v>75</v>
      </c>
      <c r="P155" s="4" t="s">
        <v>3942</v>
      </c>
      <c r="Q155" s="57">
        <v>45146</v>
      </c>
      <c r="R155" s="57">
        <v>45154</v>
      </c>
      <c r="S155" s="113"/>
      <c r="T155" s="113"/>
      <c r="U155" s="4"/>
      <c r="V155" s="4"/>
      <c r="W155" s="105" t="s">
        <v>3958</v>
      </c>
      <c r="X155" s="114">
        <v>1983628324</v>
      </c>
      <c r="Y155" s="55">
        <v>1720049142</v>
      </c>
      <c r="Z155" s="4" t="s">
        <v>3842</v>
      </c>
      <c r="AA155" s="4">
        <v>1720049142</v>
      </c>
      <c r="AB155" s="4" t="s">
        <v>132</v>
      </c>
      <c r="AC155" s="4" t="s">
        <v>81</v>
      </c>
      <c r="AD155" s="113">
        <v>36343</v>
      </c>
      <c r="AE155" s="107">
        <v>24.613698630137</v>
      </c>
      <c r="AF155" s="4" t="s">
        <v>80</v>
      </c>
      <c r="AG155" s="114">
        <v>6454747319</v>
      </c>
      <c r="AH155" s="4" t="s">
        <v>81</v>
      </c>
      <c r="AI155" s="55" t="s">
        <v>290</v>
      </c>
      <c r="AJ155" s="55" t="s">
        <v>81</v>
      </c>
      <c r="AK155" s="55" t="s">
        <v>81</v>
      </c>
      <c r="AL155" s="4" t="s">
        <v>412</v>
      </c>
      <c r="AM155" s="4" t="s">
        <v>3287</v>
      </c>
      <c r="AN155" s="4" t="s">
        <v>3842</v>
      </c>
      <c r="AO155" s="4" t="s">
        <v>3959</v>
      </c>
      <c r="AP155" s="4" t="s">
        <v>3960</v>
      </c>
      <c r="AQ155" s="55" t="s">
        <v>3961</v>
      </c>
      <c r="AR155" s="4" t="s">
        <v>110</v>
      </c>
      <c r="AS155" s="4"/>
      <c r="AT155" s="72"/>
      <c r="AU155" s="4"/>
      <c r="AV155" s="4"/>
      <c r="AW155" s="4"/>
      <c r="AX155" s="4"/>
      <c r="AY155" s="4"/>
      <c r="AZ155" s="4"/>
      <c r="BA155" s="4" t="s">
        <v>3498</v>
      </c>
      <c r="BB155" s="4">
        <v>10800</v>
      </c>
      <c r="BC155" s="4">
        <v>2700</v>
      </c>
      <c r="BD155" s="4">
        <v>0</v>
      </c>
      <c r="BE155" s="4" t="s">
        <v>296</v>
      </c>
      <c r="BF155" s="4" t="s">
        <v>167</v>
      </c>
      <c r="BG155" s="4" t="s">
        <v>167</v>
      </c>
      <c r="BH155" s="4" t="s">
        <v>3510</v>
      </c>
      <c r="BI155" s="72">
        <f>VLOOKUP(A155,'ID Block'!A:L,12,0)</f>
        <v>45383</v>
      </c>
      <c r="BJ155" s="154" t="str">
        <f>VLOOKUP(A155,'ID Block'!A:M,13,0)</f>
        <v>Better Opportunity</v>
      </c>
      <c r="BK155" s="4">
        <f t="shared" si="2"/>
        <v>229</v>
      </c>
      <c r="BL155" s="105" t="s">
        <v>168</v>
      </c>
      <c r="BM155" s="10"/>
      <c r="BN155" s="183" t="s">
        <v>4035</v>
      </c>
      <c r="BO155" s="183"/>
    </row>
    <row r="156" ht="14.4" s="67" customFormat="1">
      <c r="A156" s="4">
        <v>171284</v>
      </c>
      <c r="B156" s="4"/>
      <c r="C156" s="55"/>
      <c r="D156" s="4" t="s">
        <v>4846</v>
      </c>
      <c r="E156" s="4" t="s">
        <v>66</v>
      </c>
      <c r="F156" s="55">
        <v>1110597067</v>
      </c>
      <c r="G156" s="4" t="s">
        <v>67</v>
      </c>
      <c r="H156" s="4" t="s">
        <v>68</v>
      </c>
      <c r="I156" s="4" t="s">
        <v>2494</v>
      </c>
      <c r="J156" s="55" t="s">
        <v>3650</v>
      </c>
      <c r="K156" s="4" t="s">
        <v>71</v>
      </c>
      <c r="L156" s="4" t="s">
        <v>3487</v>
      </c>
      <c r="M156" s="4" t="s">
        <v>115</v>
      </c>
      <c r="N156" s="4" t="s">
        <v>74</v>
      </c>
      <c r="O156" s="4" t="s">
        <v>75</v>
      </c>
      <c r="P156" s="4" t="s">
        <v>4143</v>
      </c>
      <c r="Q156" s="57">
        <v>45256</v>
      </c>
      <c r="R156" s="57">
        <v>45261</v>
      </c>
      <c r="S156" s="113"/>
      <c r="T156" s="113"/>
      <c r="U156" s="4"/>
      <c r="V156" s="4"/>
      <c r="W156" s="105" t="s">
        <v>4847</v>
      </c>
      <c r="X156" s="114">
        <v>1968638774</v>
      </c>
      <c r="Y156" s="55">
        <v>1968638774</v>
      </c>
      <c r="Z156" s="4" t="s">
        <v>4848</v>
      </c>
      <c r="AA156" s="4">
        <v>1936144751</v>
      </c>
      <c r="AB156" s="4" t="s">
        <v>101</v>
      </c>
      <c r="AC156" s="4" t="s">
        <v>119</v>
      </c>
      <c r="AD156" s="113">
        <v>36205</v>
      </c>
      <c r="AE156" s="107">
        <v>24.9917808219178</v>
      </c>
      <c r="AF156" s="4" t="s">
        <v>80</v>
      </c>
      <c r="AG156" s="114">
        <v>1510778358</v>
      </c>
      <c r="AH156" s="4" t="s">
        <v>81</v>
      </c>
      <c r="AI156" s="55" t="s">
        <v>4849</v>
      </c>
      <c r="AJ156" s="55" t="s">
        <v>1692</v>
      </c>
      <c r="AK156" s="55">
        <v>2020</v>
      </c>
      <c r="AL156" s="4" t="s">
        <v>209</v>
      </c>
      <c r="AM156" s="4" t="s">
        <v>4850</v>
      </c>
      <c r="AN156" s="4" t="s">
        <v>4851</v>
      </c>
      <c r="AO156" s="4" t="s">
        <v>4852</v>
      </c>
      <c r="AP156" s="4" t="s">
        <v>4853</v>
      </c>
      <c r="AQ156" s="55" t="s">
        <v>4854</v>
      </c>
      <c r="AR156" s="4" t="s">
        <v>110</v>
      </c>
      <c r="AS156" s="4" t="s">
        <v>790</v>
      </c>
      <c r="AT156" s="72" t="s">
        <v>790</v>
      </c>
      <c r="AU156" s="4" t="s">
        <v>81</v>
      </c>
      <c r="AV156" s="4" t="s">
        <v>81</v>
      </c>
      <c r="AW156" s="4" t="s">
        <v>81</v>
      </c>
      <c r="AX156" s="4" t="s">
        <v>81</v>
      </c>
      <c r="AY156" s="4"/>
      <c r="AZ156" s="4"/>
      <c r="BA156" s="4" t="s">
        <v>3498</v>
      </c>
      <c r="BB156" s="4">
        <v>10800</v>
      </c>
      <c r="BC156" s="4">
        <v>2700</v>
      </c>
      <c r="BD156" s="4">
        <v>0</v>
      </c>
      <c r="BE156" s="4" t="s">
        <v>91</v>
      </c>
      <c r="BF156" s="4"/>
      <c r="BG156" s="4"/>
      <c r="BH156" s="4" t="s">
        <v>3510</v>
      </c>
      <c r="BI156" s="72">
        <f>VLOOKUP(A156,'ID Block'!A:L,12,0)</f>
        <v>45383</v>
      </c>
      <c r="BJ156" s="154" t="str">
        <f>VLOOKUP(A156,'ID Block'!A:M,13,0)</f>
        <v>Family Issue</v>
      </c>
      <c r="BK156" s="4">
        <f t="shared" si="2"/>
        <v>122</v>
      </c>
      <c r="BL156" s="105" t="s">
        <v>168</v>
      </c>
      <c r="BM156" s="10"/>
      <c r="BN156" s="183" t="s">
        <v>4002</v>
      </c>
      <c r="BO156" s="183"/>
    </row>
    <row r="157" ht="14.4" s="67" customFormat="1">
      <c r="A157" s="4">
        <v>171141</v>
      </c>
      <c r="B157" s="4"/>
      <c r="C157" s="55" t="s">
        <v>4855</v>
      </c>
      <c r="D157" s="4" t="s">
        <v>4856</v>
      </c>
      <c r="E157" s="4" t="s">
        <v>114</v>
      </c>
      <c r="F157" s="55">
        <v>697264</v>
      </c>
      <c r="G157" s="4" t="s">
        <v>67</v>
      </c>
      <c r="H157" s="4" t="s">
        <v>68</v>
      </c>
      <c r="I157" s="4" t="s">
        <v>2494</v>
      </c>
      <c r="J157" s="55" t="s">
        <v>155</v>
      </c>
      <c r="K157" s="4" t="s">
        <v>71</v>
      </c>
      <c r="L157" s="4" t="s">
        <v>3487</v>
      </c>
      <c r="M157" s="4" t="s">
        <v>196</v>
      </c>
      <c r="N157" s="4" t="s">
        <v>74</v>
      </c>
      <c r="O157" s="4" t="s">
        <v>75</v>
      </c>
      <c r="P157" s="4" t="s">
        <v>3951</v>
      </c>
      <c r="Q157" s="57">
        <v>45187</v>
      </c>
      <c r="R157" s="57">
        <v>45196</v>
      </c>
      <c r="S157" s="113"/>
      <c r="T157" s="113"/>
      <c r="U157" s="4"/>
      <c r="V157" s="4"/>
      <c r="W157" s="105" t="s">
        <v>4857</v>
      </c>
      <c r="X157" s="114">
        <v>1725245275</v>
      </c>
      <c r="Y157" s="55">
        <v>1738134147</v>
      </c>
      <c r="Z157" s="4" t="s">
        <v>4858</v>
      </c>
      <c r="AA157" s="4">
        <v>1712739307</v>
      </c>
      <c r="AB157" s="4" t="s">
        <v>101</v>
      </c>
      <c r="AC157" s="4" t="s">
        <v>119</v>
      </c>
      <c r="AD157" s="113">
        <v>33395</v>
      </c>
      <c r="AE157" s="107">
        <v>32.6904109589041</v>
      </c>
      <c r="AF157" s="4" t="s">
        <v>80</v>
      </c>
      <c r="AG157" s="114">
        <v>5533166871</v>
      </c>
      <c r="AH157" s="4" t="s">
        <v>4859</v>
      </c>
      <c r="AI157" s="55" t="s">
        <v>265</v>
      </c>
      <c r="AJ157" s="55" t="s">
        <v>81</v>
      </c>
      <c r="AK157" s="55">
        <v>2020</v>
      </c>
      <c r="AL157" s="4" t="s">
        <v>580</v>
      </c>
      <c r="AM157" s="4" t="s">
        <v>4858</v>
      </c>
      <c r="AN157" s="4" t="s">
        <v>4860</v>
      </c>
      <c r="AO157" s="4" t="s">
        <v>4861</v>
      </c>
      <c r="AP157" s="4" t="s">
        <v>4862</v>
      </c>
      <c r="AQ157" s="55" t="s">
        <v>499</v>
      </c>
      <c r="AR157" s="4" t="s">
        <v>260</v>
      </c>
      <c r="AS157" s="4"/>
      <c r="AT157" s="72"/>
      <c r="AU157" s="4"/>
      <c r="AV157" s="4"/>
      <c r="AW157" s="4"/>
      <c r="AX157" s="4"/>
      <c r="AY157" s="4"/>
      <c r="AZ157" s="4"/>
      <c r="BA157" s="4" t="s">
        <v>3498</v>
      </c>
      <c r="BB157" s="4">
        <v>10800</v>
      </c>
      <c r="BC157" s="4">
        <v>2700</v>
      </c>
      <c r="BD157" s="4">
        <v>1000</v>
      </c>
      <c r="BE157" s="4" t="s">
        <v>166</v>
      </c>
      <c r="BF157" s="4" t="s">
        <v>167</v>
      </c>
      <c r="BG157" s="4" t="s">
        <v>167</v>
      </c>
      <c r="BH157" s="4" t="s">
        <v>3510</v>
      </c>
      <c r="BI157" s="72">
        <f>VLOOKUP(A157,'ID Block'!A:L,12,0)</f>
        <v>45383</v>
      </c>
      <c r="BJ157" s="154" t="str">
        <f>VLOOKUP(A157,'ID Block'!A:M,13,0)</f>
        <v>Family Issue</v>
      </c>
      <c r="BK157" s="4">
        <f t="shared" si="2"/>
        <v>187</v>
      </c>
      <c r="BL157" s="105" t="s">
        <v>168</v>
      </c>
      <c r="BM157" s="10"/>
      <c r="BN157" s="183" t="s">
        <v>4002</v>
      </c>
      <c r="BO157" s="183"/>
    </row>
    <row r="158" ht="14.4" s="67" customFormat="1">
      <c r="A158" s="4">
        <v>171310</v>
      </c>
      <c r="B158" s="4"/>
      <c r="C158" s="55" t="s">
        <v>4863</v>
      </c>
      <c r="D158" s="4" t="s">
        <v>4864</v>
      </c>
      <c r="E158" s="4" t="s">
        <v>114</v>
      </c>
      <c r="F158" s="55">
        <v>1110150633</v>
      </c>
      <c r="G158" s="4" t="s">
        <v>67</v>
      </c>
      <c r="H158" s="4" t="s">
        <v>68</v>
      </c>
      <c r="I158" s="4" t="s">
        <v>2494</v>
      </c>
      <c r="J158" s="55" t="s">
        <v>155</v>
      </c>
      <c r="K158" s="4" t="s">
        <v>71</v>
      </c>
      <c r="L158" s="4" t="s">
        <v>3487</v>
      </c>
      <c r="M158" s="4" t="s">
        <v>196</v>
      </c>
      <c r="N158" s="4" t="s">
        <v>74</v>
      </c>
      <c r="O158" s="4" t="s">
        <v>75</v>
      </c>
      <c r="P158" s="4" t="s">
        <v>4865</v>
      </c>
      <c r="Q158" s="57">
        <v>45267</v>
      </c>
      <c r="R158" s="57">
        <v>45292</v>
      </c>
      <c r="S158" s="113"/>
      <c r="T158" s="113"/>
      <c r="U158" s="4"/>
      <c r="V158" s="4"/>
      <c r="W158" s="105" t="s">
        <v>4866</v>
      </c>
      <c r="X158" s="114">
        <v>1759676279</v>
      </c>
      <c r="Y158" s="55">
        <v>1817469154</v>
      </c>
      <c r="Z158" s="4" t="s">
        <v>4867</v>
      </c>
      <c r="AA158" s="4">
        <v>1880834542</v>
      </c>
      <c r="AB158" s="4" t="s">
        <v>101</v>
      </c>
      <c r="AC158" s="4" t="s">
        <v>102</v>
      </c>
      <c r="AD158" s="113">
        <v>35780</v>
      </c>
      <c r="AE158" s="107">
        <v>26.1561643835616</v>
      </c>
      <c r="AF158" s="4" t="s">
        <v>80</v>
      </c>
      <c r="AG158" s="114">
        <v>3308481146</v>
      </c>
      <c r="AH158" s="4" t="s">
        <v>81</v>
      </c>
      <c r="AI158" s="55" t="s">
        <v>290</v>
      </c>
      <c r="AJ158" s="55" t="s">
        <v>81</v>
      </c>
      <c r="AK158" s="55">
        <v>2022</v>
      </c>
      <c r="AL158" s="4" t="s">
        <v>4868</v>
      </c>
      <c r="AM158" s="4" t="s">
        <v>4867</v>
      </c>
      <c r="AN158" s="4" t="s">
        <v>4869</v>
      </c>
      <c r="AO158" s="4" t="s">
        <v>4870</v>
      </c>
      <c r="AP158" s="4" t="s">
        <v>4871</v>
      </c>
      <c r="AQ158" s="55" t="s">
        <v>688</v>
      </c>
      <c r="AR158" s="4" t="s">
        <v>89</v>
      </c>
      <c r="AS158" s="4" t="s">
        <v>4872</v>
      </c>
      <c r="AT158" s="72">
        <v>37171</v>
      </c>
      <c r="AU158" s="4" t="s">
        <v>81</v>
      </c>
      <c r="AV158" s="4" t="s">
        <v>81</v>
      </c>
      <c r="AW158" s="4" t="s">
        <v>81</v>
      </c>
      <c r="AX158" s="4" t="s">
        <v>81</v>
      </c>
      <c r="AY158" s="4"/>
      <c r="AZ158" s="4"/>
      <c r="BA158" s="4" t="s">
        <v>3498</v>
      </c>
      <c r="BB158" s="4">
        <v>10800</v>
      </c>
      <c r="BC158" s="4">
        <v>2700</v>
      </c>
      <c r="BD158" s="4">
        <v>1000</v>
      </c>
      <c r="BE158" s="4" t="s">
        <v>166</v>
      </c>
      <c r="BF158" s="4"/>
      <c r="BG158" s="4"/>
      <c r="BH158" s="4" t="s">
        <v>3510</v>
      </c>
      <c r="BI158" s="72">
        <f>VLOOKUP(A158,'ID Block'!A:L,12,0)</f>
        <v>45385</v>
      </c>
      <c r="BJ158" s="154" t="str">
        <f>VLOOKUP(A158,'ID Block'!A:M,13,0)</f>
        <v>Better Opportunity</v>
      </c>
      <c r="BK158" s="4">
        <f t="shared" si="2"/>
        <v>93</v>
      </c>
      <c r="BL158" s="105" t="s">
        <v>168</v>
      </c>
      <c r="BM158" s="10"/>
      <c r="BN158" s="183" t="s">
        <v>4035</v>
      </c>
      <c r="BO158" s="183"/>
    </row>
    <row r="159" ht="14.4" s="67" customFormat="1">
      <c r="A159" s="4">
        <v>171138</v>
      </c>
      <c r="B159" s="4"/>
      <c r="C159" s="55" t="s">
        <v>4873</v>
      </c>
      <c r="D159" s="4" t="s">
        <v>4874</v>
      </c>
      <c r="E159" s="4" t="s">
        <v>114</v>
      </c>
      <c r="F159" s="55">
        <v>1110584715</v>
      </c>
      <c r="G159" s="4" t="s">
        <v>67</v>
      </c>
      <c r="H159" s="4" t="s">
        <v>68</v>
      </c>
      <c r="I159" s="4" t="s">
        <v>2494</v>
      </c>
      <c r="J159" s="55" t="s">
        <v>155</v>
      </c>
      <c r="K159" s="4" t="s">
        <v>71</v>
      </c>
      <c r="L159" s="4" t="s">
        <v>3487</v>
      </c>
      <c r="M159" s="4" t="s">
        <v>196</v>
      </c>
      <c r="N159" s="4" t="s">
        <v>74</v>
      </c>
      <c r="O159" s="4" t="s">
        <v>75</v>
      </c>
      <c r="P159" s="4" t="s">
        <v>3951</v>
      </c>
      <c r="Q159" s="57">
        <v>45187</v>
      </c>
      <c r="R159" s="57">
        <v>45196</v>
      </c>
      <c r="S159" s="113"/>
      <c r="T159" s="113"/>
      <c r="U159" s="4"/>
      <c r="V159" s="4"/>
      <c r="W159" s="105" t="s">
        <v>4875</v>
      </c>
      <c r="X159" s="114">
        <v>1626004922</v>
      </c>
      <c r="Y159" s="55">
        <v>1965492565</v>
      </c>
      <c r="Z159" s="4" t="s">
        <v>4876</v>
      </c>
      <c r="AA159" s="4">
        <v>1969023065</v>
      </c>
      <c r="AB159" s="4" t="s">
        <v>252</v>
      </c>
      <c r="AC159" s="4" t="s">
        <v>79</v>
      </c>
      <c r="AD159" s="113">
        <v>35874</v>
      </c>
      <c r="AE159" s="107">
        <v>25.8986301369863</v>
      </c>
      <c r="AF159" s="4" t="s">
        <v>80</v>
      </c>
      <c r="AG159" s="114">
        <v>3757772441</v>
      </c>
      <c r="AH159" s="4" t="s">
        <v>81</v>
      </c>
      <c r="AI159" s="55" t="s">
        <v>322</v>
      </c>
      <c r="AJ159" s="55" t="s">
        <v>81</v>
      </c>
      <c r="AK159" s="55">
        <v>2023</v>
      </c>
      <c r="AL159" s="4" t="s">
        <v>968</v>
      </c>
      <c r="AM159" s="4" t="s">
        <v>4877</v>
      </c>
      <c r="AN159" s="4" t="s">
        <v>4878</v>
      </c>
      <c r="AO159" s="4" t="s">
        <v>4879</v>
      </c>
      <c r="AP159" s="4" t="s">
        <v>4880</v>
      </c>
      <c r="AQ159" s="55" t="s">
        <v>449</v>
      </c>
      <c r="AR159" s="4" t="s">
        <v>260</v>
      </c>
      <c r="AS159" s="4"/>
      <c r="AT159" s="72"/>
      <c r="AU159" s="4"/>
      <c r="AV159" s="4"/>
      <c r="AW159" s="4"/>
      <c r="AX159" s="4"/>
      <c r="AY159" s="4"/>
      <c r="AZ159" s="4"/>
      <c r="BA159" s="4" t="s">
        <v>3498</v>
      </c>
      <c r="BB159" s="4">
        <v>10800</v>
      </c>
      <c r="BC159" s="4">
        <v>2700</v>
      </c>
      <c r="BD159" s="4">
        <v>1000</v>
      </c>
      <c r="BE159" s="4" t="s">
        <v>166</v>
      </c>
      <c r="BF159" s="4" t="s">
        <v>167</v>
      </c>
      <c r="BG159" s="4" t="s">
        <v>167</v>
      </c>
      <c r="BH159" s="4" t="s">
        <v>3499</v>
      </c>
      <c r="BI159" s="72">
        <f>VLOOKUP(A159,'ID Block'!A:L,12,0)</f>
        <v>45385</v>
      </c>
      <c r="BJ159" s="154" t="str">
        <f>VLOOKUP(A159,'ID Block'!A:M,13,0)</f>
        <v>Unauthorized absent </v>
      </c>
      <c r="BK159" s="4">
        <f t="shared" si="2"/>
        <v>189</v>
      </c>
      <c r="BL159" s="105" t="s">
        <v>168</v>
      </c>
      <c r="BM159" s="10"/>
      <c r="BN159" s="183" t="s">
        <v>3992</v>
      </c>
      <c r="BO159" s="183"/>
    </row>
    <row r="160" ht="14.4" s="67" customFormat="1">
      <c r="A160" s="4">
        <v>171109</v>
      </c>
      <c r="B160" s="4"/>
      <c r="C160" s="55" t="s">
        <v>854</v>
      </c>
      <c r="D160" s="4" t="s">
        <v>4881</v>
      </c>
      <c r="E160" s="4" t="s">
        <v>66</v>
      </c>
      <c r="F160" s="55">
        <v>1112815259</v>
      </c>
      <c r="G160" s="4" t="s">
        <v>67</v>
      </c>
      <c r="H160" s="4" t="s">
        <v>68</v>
      </c>
      <c r="I160" s="4" t="s">
        <v>2494</v>
      </c>
      <c r="J160" s="55" t="s">
        <v>2495</v>
      </c>
      <c r="K160" s="4" t="s">
        <v>71</v>
      </c>
      <c r="L160" s="4" t="s">
        <v>3487</v>
      </c>
      <c r="M160" s="4" t="s">
        <v>308</v>
      </c>
      <c r="N160" s="4" t="s">
        <v>238</v>
      </c>
      <c r="O160" s="4" t="s">
        <v>75</v>
      </c>
      <c r="P160" s="4" t="s">
        <v>3651</v>
      </c>
      <c r="Q160" s="57">
        <v>45116</v>
      </c>
      <c r="R160" s="57">
        <v>45121</v>
      </c>
      <c r="S160" s="113"/>
      <c r="T160" s="113"/>
      <c r="U160" s="4"/>
      <c r="V160" s="4"/>
      <c r="W160" s="105" t="s">
        <v>4882</v>
      </c>
      <c r="X160" s="114">
        <v>1724276778</v>
      </c>
      <c r="Y160" s="55">
        <v>1611682714</v>
      </c>
      <c r="Z160" s="4" t="s">
        <v>4883</v>
      </c>
      <c r="AA160" s="4">
        <v>1718940547</v>
      </c>
      <c r="AB160" s="4" t="s">
        <v>118</v>
      </c>
      <c r="AC160" s="4" t="s">
        <v>133</v>
      </c>
      <c r="AD160" s="113">
        <v>36316</v>
      </c>
      <c r="AE160" s="107">
        <v>24.6876712328767</v>
      </c>
      <c r="AF160" s="4" t="s">
        <v>80</v>
      </c>
      <c r="AG160" s="114">
        <v>9154781117</v>
      </c>
      <c r="AH160" s="4" t="s">
        <v>81</v>
      </c>
      <c r="AI160" s="55" t="s">
        <v>322</v>
      </c>
      <c r="AJ160" s="55" t="s">
        <v>242</v>
      </c>
      <c r="AK160" s="55" t="s">
        <v>242</v>
      </c>
      <c r="AL160" s="4" t="s">
        <v>4884</v>
      </c>
      <c r="AM160" s="4" t="s">
        <v>4885</v>
      </c>
      <c r="AN160" s="4" t="s">
        <v>4886</v>
      </c>
      <c r="AO160" s="4" t="s">
        <v>4887</v>
      </c>
      <c r="AP160" s="4" t="s">
        <v>4888</v>
      </c>
      <c r="AQ160" s="55" t="s">
        <v>4889</v>
      </c>
      <c r="AR160" s="4" t="s">
        <v>260</v>
      </c>
      <c r="AS160" s="4"/>
      <c r="AT160" s="72"/>
      <c r="AU160" s="4"/>
      <c r="AV160" s="4"/>
      <c r="AW160" s="4"/>
      <c r="AX160" s="4"/>
      <c r="AY160" s="4"/>
      <c r="AZ160" s="4"/>
      <c r="BA160" s="4" t="s">
        <v>3498</v>
      </c>
      <c r="BB160" s="4">
        <v>10800</v>
      </c>
      <c r="BC160" s="4">
        <v>2700</v>
      </c>
      <c r="BD160" s="4">
        <v>0</v>
      </c>
      <c r="BE160" s="4" t="s">
        <v>91</v>
      </c>
      <c r="BF160" s="4" t="s">
        <v>167</v>
      </c>
      <c r="BG160" s="4" t="s">
        <v>167</v>
      </c>
      <c r="BH160" s="4" t="s">
        <v>3510</v>
      </c>
      <c r="BI160" s="72">
        <f>VLOOKUP(A160,'ID Block'!A:L,12,0)</f>
        <v>45387</v>
      </c>
      <c r="BJ160" s="154" t="str">
        <f>VLOOKUP(A160,'ID Block'!A:M,13,0)</f>
        <v>Personal Issue</v>
      </c>
      <c r="BK160" s="4">
        <f t="shared" si="2"/>
        <v>266</v>
      </c>
      <c r="BL160" s="105" t="s">
        <v>168</v>
      </c>
      <c r="BM160" s="10"/>
      <c r="BN160" s="183" t="s">
        <v>3978</v>
      </c>
      <c r="BO160" s="183"/>
    </row>
    <row r="161" ht="14.4" s="67" customFormat="1">
      <c r="A161" s="4">
        <v>171078</v>
      </c>
      <c r="B161" s="4"/>
      <c r="C161" s="55" t="s">
        <v>4890</v>
      </c>
      <c r="D161" s="4" t="s">
        <v>4891</v>
      </c>
      <c r="E161" s="4" t="s">
        <v>114</v>
      </c>
      <c r="F161" s="55">
        <v>11127958550</v>
      </c>
      <c r="G161" s="4" t="s">
        <v>67</v>
      </c>
      <c r="H161" s="4" t="s">
        <v>68</v>
      </c>
      <c r="I161" s="4" t="s">
        <v>2494</v>
      </c>
      <c r="J161" s="55" t="s">
        <v>155</v>
      </c>
      <c r="K161" s="4" t="s">
        <v>71</v>
      </c>
      <c r="L161" s="4" t="s">
        <v>3487</v>
      </c>
      <c r="M161" s="4" t="s">
        <v>196</v>
      </c>
      <c r="N161" s="4" t="s">
        <v>74</v>
      </c>
      <c r="O161" s="4" t="s">
        <v>75</v>
      </c>
      <c r="P161" s="4" t="s">
        <v>3564</v>
      </c>
      <c r="Q161" s="57">
        <v>45077</v>
      </c>
      <c r="R161" s="57">
        <v>45093</v>
      </c>
      <c r="S161" s="113"/>
      <c r="T161" s="113"/>
      <c r="U161" s="4"/>
      <c r="V161" s="4"/>
      <c r="W161" s="105" t="s">
        <v>4892</v>
      </c>
      <c r="X161" s="114">
        <v>1709837522</v>
      </c>
      <c r="Y161" s="55">
        <v>1643384101</v>
      </c>
      <c r="Z161" s="4" t="s">
        <v>4893</v>
      </c>
      <c r="AA161" s="4">
        <v>1744478721</v>
      </c>
      <c r="AB161" s="4" t="s">
        <v>101</v>
      </c>
      <c r="AC161" s="4" t="s">
        <v>119</v>
      </c>
      <c r="AD161" s="113">
        <v>35925</v>
      </c>
      <c r="AE161" s="107">
        <v>25.758904109589</v>
      </c>
      <c r="AF161" s="4" t="s">
        <v>80</v>
      </c>
      <c r="AG161" s="114">
        <v>2853975627</v>
      </c>
      <c r="AH161" s="4" t="s">
        <v>4894</v>
      </c>
      <c r="AI161" s="55" t="s">
        <v>1929</v>
      </c>
      <c r="AJ161" s="55" t="s">
        <v>312</v>
      </c>
      <c r="AK161" s="55">
        <v>2024</v>
      </c>
      <c r="AL161" s="4" t="s">
        <v>218</v>
      </c>
      <c r="AM161" s="4" t="s">
        <v>4895</v>
      </c>
      <c r="AN161" s="4" t="s">
        <v>4896</v>
      </c>
      <c r="AO161" s="4" t="s">
        <v>4897</v>
      </c>
      <c r="AP161" s="4" t="s">
        <v>4898</v>
      </c>
      <c r="AQ161" s="55" t="s">
        <v>1178</v>
      </c>
      <c r="AR161" s="4" t="s">
        <v>110</v>
      </c>
      <c r="AS161" s="4"/>
      <c r="AT161" s="72"/>
      <c r="AU161" s="4"/>
      <c r="AV161" s="4"/>
      <c r="AW161" s="4"/>
      <c r="AX161" s="4"/>
      <c r="AY161" s="4"/>
      <c r="AZ161" s="4"/>
      <c r="BA161" s="4" t="s">
        <v>3498</v>
      </c>
      <c r="BB161" s="4">
        <v>10800</v>
      </c>
      <c r="BC161" s="4">
        <v>2700</v>
      </c>
      <c r="BD161" s="4">
        <v>1000</v>
      </c>
      <c r="BE161" s="4" t="s">
        <v>166</v>
      </c>
      <c r="BF161" s="4" t="s">
        <v>167</v>
      </c>
      <c r="BG161" s="4" t="s">
        <v>167</v>
      </c>
      <c r="BH161" s="4" t="s">
        <v>3510</v>
      </c>
      <c r="BI161" s="72">
        <f>VLOOKUP(A161,'ID Block'!A:L,12,0)</f>
        <v>45388</v>
      </c>
      <c r="BJ161" s="154" t="str">
        <f>VLOOKUP(A161,'ID Block'!A:M,13,0)</f>
        <v>Better Opportunity</v>
      </c>
      <c r="BK161" s="4">
        <f t="shared" si="2"/>
        <v>295</v>
      </c>
      <c r="BL161" s="105" t="s">
        <v>168</v>
      </c>
      <c r="BM161" s="10"/>
      <c r="BN161" s="183" t="s">
        <v>4035</v>
      </c>
      <c r="BO161" s="183"/>
    </row>
    <row r="162" ht="14.4" s="67" customFormat="1">
      <c r="A162" s="4">
        <v>171393</v>
      </c>
      <c r="B162" s="4"/>
      <c r="C162" s="55"/>
      <c r="D162" s="4" t="s">
        <v>4899</v>
      </c>
      <c r="E162" s="4" t="s">
        <v>66</v>
      </c>
      <c r="F162" s="55"/>
      <c r="G162" s="4" t="s">
        <v>67</v>
      </c>
      <c r="H162" s="4" t="s">
        <v>68</v>
      </c>
      <c r="I162" s="4" t="s">
        <v>2494</v>
      </c>
      <c r="J162" s="55" t="s">
        <v>297</v>
      </c>
      <c r="K162" s="4" t="s">
        <v>71</v>
      </c>
      <c r="L162" s="4" t="s">
        <v>3487</v>
      </c>
      <c r="M162" s="4" t="s">
        <v>308</v>
      </c>
      <c r="N162" s="4" t="s">
        <v>74</v>
      </c>
      <c r="O162" s="4" t="s">
        <v>75</v>
      </c>
      <c r="P162" s="4" t="s">
        <v>4900</v>
      </c>
      <c r="Q162" s="57">
        <v>45371</v>
      </c>
      <c r="R162" s="57">
        <v>45384</v>
      </c>
      <c r="S162" s="113"/>
      <c r="T162" s="113"/>
      <c r="U162" s="4"/>
      <c r="V162" s="4"/>
      <c r="W162" s="105"/>
      <c r="X162" s="114"/>
      <c r="Y162" s="55"/>
      <c r="Z162" s="4"/>
      <c r="AA162" s="4"/>
      <c r="AB162" s="4"/>
      <c r="AC162" s="4"/>
      <c r="AD162" s="113"/>
      <c r="AE162" s="107"/>
      <c r="AF162" s="4"/>
      <c r="AG162" s="114"/>
      <c r="AH162" s="4"/>
      <c r="AI162" s="55"/>
      <c r="AJ162" s="55"/>
      <c r="AK162" s="55"/>
      <c r="AL162" s="4"/>
      <c r="AM162" s="4"/>
      <c r="AN162" s="4"/>
      <c r="AO162" s="4"/>
      <c r="AP162" s="4"/>
      <c r="AQ162" s="55"/>
      <c r="AR162" s="4"/>
      <c r="AS162" s="4"/>
      <c r="AT162" s="72"/>
      <c r="AU162" s="4"/>
      <c r="AV162" s="4"/>
      <c r="AW162" s="4"/>
      <c r="AX162" s="4"/>
      <c r="AY162" s="4"/>
      <c r="AZ162" s="4"/>
      <c r="BA162" s="4" t="s">
        <v>3498</v>
      </c>
      <c r="BB162" s="4">
        <v>10800</v>
      </c>
      <c r="BC162" s="4">
        <v>2700</v>
      </c>
      <c r="BD162" s="4">
        <v>0</v>
      </c>
      <c r="BE162" s="4" t="s">
        <v>91</v>
      </c>
      <c r="BF162" s="4"/>
      <c r="BG162" s="4"/>
      <c r="BH162" s="4" t="s">
        <v>3510</v>
      </c>
      <c r="BI162" s="72">
        <f>VLOOKUP(A162,'ID Block'!A:L,12,0)</f>
        <v>45389</v>
      </c>
      <c r="BJ162" s="154" t="str">
        <f>VLOOKUP(A162,'ID Block'!A:M,13,0)</f>
        <v>Better Opportunity</v>
      </c>
      <c r="BK162" s="4">
        <f t="shared" si="2"/>
        <v>5</v>
      </c>
      <c r="BL162" s="105" t="s">
        <v>168</v>
      </c>
      <c r="BM162" s="10"/>
      <c r="BN162" s="183" t="s">
        <v>4035</v>
      </c>
      <c r="BO162" s="183"/>
    </row>
    <row r="163" ht="14.4" s="67" customFormat="1">
      <c r="A163" s="4">
        <v>171304</v>
      </c>
      <c r="B163" s="4"/>
      <c r="C163" s="55" t="s">
        <v>4901</v>
      </c>
      <c r="D163" s="4" t="s">
        <v>4902</v>
      </c>
      <c r="E163" s="4" t="s">
        <v>114</v>
      </c>
      <c r="F163" s="55">
        <v>194788</v>
      </c>
      <c r="G163" s="4" t="s">
        <v>67</v>
      </c>
      <c r="H163" s="4" t="s">
        <v>68</v>
      </c>
      <c r="I163" s="4" t="s">
        <v>2494</v>
      </c>
      <c r="J163" s="55" t="s">
        <v>155</v>
      </c>
      <c r="K163" s="4" t="s">
        <v>71</v>
      </c>
      <c r="L163" s="4" t="s">
        <v>3487</v>
      </c>
      <c r="M163" s="4" t="s">
        <v>196</v>
      </c>
      <c r="N163" s="4" t="s">
        <v>74</v>
      </c>
      <c r="O163" s="4" t="s">
        <v>75</v>
      </c>
      <c r="P163" s="4" t="s">
        <v>4865</v>
      </c>
      <c r="Q163" s="57">
        <v>45267</v>
      </c>
      <c r="R163" s="57">
        <v>45292</v>
      </c>
      <c r="S163" s="113"/>
      <c r="T163" s="113"/>
      <c r="U163" s="4"/>
      <c r="V163" s="4"/>
      <c r="W163" s="105" t="s">
        <v>4903</v>
      </c>
      <c r="X163" s="114">
        <v>1981875239</v>
      </c>
      <c r="Y163" s="55">
        <v>1845149837</v>
      </c>
      <c r="Z163" s="4" t="s">
        <v>4904</v>
      </c>
      <c r="AA163" s="4">
        <v>1931632356</v>
      </c>
      <c r="AB163" s="4" t="s">
        <v>101</v>
      </c>
      <c r="AC163" s="4" t="s">
        <v>133</v>
      </c>
      <c r="AD163" s="113">
        <v>35440</v>
      </c>
      <c r="AE163" s="107">
        <v>27.0876712328767</v>
      </c>
      <c r="AF163" s="4" t="s">
        <v>80</v>
      </c>
      <c r="AG163" s="114">
        <v>2386947234</v>
      </c>
      <c r="AH163" s="4" t="s">
        <v>81</v>
      </c>
      <c r="AI163" s="55" t="s">
        <v>322</v>
      </c>
      <c r="AJ163" s="55" t="s">
        <v>81</v>
      </c>
      <c r="AK163" s="55">
        <v>2020</v>
      </c>
      <c r="AL163" s="4" t="s">
        <v>4125</v>
      </c>
      <c r="AM163" s="4" t="s">
        <v>4904</v>
      </c>
      <c r="AN163" s="4" t="s">
        <v>4905</v>
      </c>
      <c r="AO163" s="4" t="s">
        <v>4906</v>
      </c>
      <c r="AP163" s="4" t="s">
        <v>4907</v>
      </c>
      <c r="AQ163" s="55" t="s">
        <v>2689</v>
      </c>
      <c r="AR163" s="4" t="s">
        <v>110</v>
      </c>
      <c r="AS163" s="4" t="s">
        <v>81</v>
      </c>
      <c r="AT163" s="72" t="s">
        <v>81</v>
      </c>
      <c r="AU163" s="4" t="s">
        <v>81</v>
      </c>
      <c r="AV163" s="4" t="s">
        <v>81</v>
      </c>
      <c r="AW163" s="4" t="s">
        <v>81</v>
      </c>
      <c r="AX163" s="4" t="s">
        <v>81</v>
      </c>
      <c r="AY163" s="4"/>
      <c r="AZ163" s="4"/>
      <c r="BA163" s="4" t="s">
        <v>3498</v>
      </c>
      <c r="BB163" s="4">
        <v>10800</v>
      </c>
      <c r="BC163" s="4">
        <v>2700</v>
      </c>
      <c r="BD163" s="4">
        <v>1000</v>
      </c>
      <c r="BE163" s="4" t="s">
        <v>166</v>
      </c>
      <c r="BF163" s="4"/>
      <c r="BG163" s="4"/>
      <c r="BH163" s="4" t="s">
        <v>3510</v>
      </c>
      <c r="BI163" s="72">
        <f>VLOOKUP(A163,'ID Block'!A:L,12,0)</f>
        <v>45389</v>
      </c>
      <c r="BJ163" s="154" t="str">
        <f>VLOOKUP(A163,'ID Block'!A:M,13,0)</f>
        <v>Family Issue</v>
      </c>
      <c r="BK163" s="4">
        <f t="shared" si="2"/>
        <v>97</v>
      </c>
      <c r="BL163" s="105" t="s">
        <v>168</v>
      </c>
      <c r="BM163" s="10"/>
      <c r="BN163" s="183" t="s">
        <v>4002</v>
      </c>
      <c r="BO163" s="183"/>
    </row>
    <row r="164" ht="14.4" s="67" customFormat="1">
      <c r="A164" s="4">
        <v>171275</v>
      </c>
      <c r="B164" s="4"/>
      <c r="C164" s="55" t="s">
        <v>1050</v>
      </c>
      <c r="D164" s="4" t="s">
        <v>4908</v>
      </c>
      <c r="E164" s="4" t="s">
        <v>114</v>
      </c>
      <c r="F164" s="55">
        <v>1013234750</v>
      </c>
      <c r="G164" s="4" t="s">
        <v>67</v>
      </c>
      <c r="H164" s="4" t="s">
        <v>68</v>
      </c>
      <c r="I164" s="4" t="s">
        <v>2494</v>
      </c>
      <c r="J164" s="55" t="s">
        <v>3650</v>
      </c>
      <c r="K164" s="4" t="s">
        <v>71</v>
      </c>
      <c r="L164" s="4" t="s">
        <v>3487</v>
      </c>
      <c r="M164" s="4" t="s">
        <v>115</v>
      </c>
      <c r="N164" s="4" t="s">
        <v>74</v>
      </c>
      <c r="O164" s="4" t="s">
        <v>75</v>
      </c>
      <c r="P164" s="4" t="s">
        <v>4143</v>
      </c>
      <c r="Q164" s="57">
        <v>45256</v>
      </c>
      <c r="R164" s="57">
        <v>45261</v>
      </c>
      <c r="S164" s="113"/>
      <c r="T164" s="113"/>
      <c r="U164" s="4"/>
      <c r="V164" s="4"/>
      <c r="W164" s="105" t="s">
        <v>4909</v>
      </c>
      <c r="X164" s="114">
        <v>1632320804</v>
      </c>
      <c r="Y164" s="55">
        <v>1701073792</v>
      </c>
      <c r="Z164" s="4" t="s">
        <v>4910</v>
      </c>
      <c r="AA164" s="4">
        <v>1701073792</v>
      </c>
      <c r="AB164" s="4" t="s">
        <v>101</v>
      </c>
      <c r="AC164" s="4" t="s">
        <v>102</v>
      </c>
      <c r="AD164" s="113">
        <v>35987</v>
      </c>
      <c r="AE164" s="107">
        <v>25.5890410958904</v>
      </c>
      <c r="AF164" s="4" t="s">
        <v>80</v>
      </c>
      <c r="AG164" s="114">
        <v>9154535810</v>
      </c>
      <c r="AH164" s="4" t="s">
        <v>81</v>
      </c>
      <c r="AI164" s="55" t="s">
        <v>290</v>
      </c>
      <c r="AJ164" s="55" t="s">
        <v>847</v>
      </c>
      <c r="AK164" s="55">
        <v>2021</v>
      </c>
      <c r="AL164" s="4" t="s">
        <v>580</v>
      </c>
      <c r="AM164" s="4" t="s">
        <v>4910</v>
      </c>
      <c r="AN164" s="4" t="s">
        <v>4911</v>
      </c>
      <c r="AO164" s="4" t="s">
        <v>4912</v>
      </c>
      <c r="AP164" s="4" t="s">
        <v>4913</v>
      </c>
      <c r="AQ164" s="55" t="s">
        <v>247</v>
      </c>
      <c r="AR164" s="4" t="s">
        <v>110</v>
      </c>
      <c r="AS164" s="4" t="s">
        <v>81</v>
      </c>
      <c r="AT164" s="72" t="s">
        <v>81</v>
      </c>
      <c r="AU164" s="4" t="s">
        <v>81</v>
      </c>
      <c r="AV164" s="4" t="s">
        <v>81</v>
      </c>
      <c r="AW164" s="4" t="s">
        <v>81</v>
      </c>
      <c r="AX164" s="4" t="s">
        <v>81</v>
      </c>
      <c r="AY164" s="4"/>
      <c r="AZ164" s="4"/>
      <c r="BA164" s="4" t="s">
        <v>3498</v>
      </c>
      <c r="BB164" s="4">
        <v>10800</v>
      </c>
      <c r="BC164" s="4">
        <v>2700</v>
      </c>
      <c r="BD164" s="4">
        <v>0</v>
      </c>
      <c r="BE164" s="4" t="s">
        <v>91</v>
      </c>
      <c r="BF164" s="4"/>
      <c r="BG164" s="4"/>
      <c r="BH164" s="4" t="s">
        <v>3510</v>
      </c>
      <c r="BI164" s="72">
        <f>VLOOKUP(A164,'ID Block'!A:L,12,0)</f>
        <v>45390</v>
      </c>
      <c r="BJ164" s="154" t="str">
        <f>VLOOKUP(A164,'ID Block'!A:M,13,0)</f>
        <v>Better Opportunity</v>
      </c>
      <c r="BK164" s="4">
        <f t="shared" si="2"/>
        <v>129</v>
      </c>
      <c r="BL164" s="105" t="s">
        <v>168</v>
      </c>
      <c r="BM164" s="10"/>
      <c r="BN164" s="183" t="s">
        <v>4035</v>
      </c>
      <c r="BO164" s="183"/>
    </row>
    <row r="165" ht="14.4" s="67" customFormat="1">
      <c r="A165" s="4">
        <v>171237</v>
      </c>
      <c r="B165" s="4"/>
      <c r="C165" s="55" t="s">
        <v>864</v>
      </c>
      <c r="D165" s="4" t="s">
        <v>4914</v>
      </c>
      <c r="E165" s="4" t="s">
        <v>114</v>
      </c>
      <c r="F165" s="55">
        <v>784308</v>
      </c>
      <c r="G165" s="4" t="s">
        <v>67</v>
      </c>
      <c r="H165" s="4" t="s">
        <v>68</v>
      </c>
      <c r="I165" s="4" t="s">
        <v>2494</v>
      </c>
      <c r="J165" s="55" t="s">
        <v>319</v>
      </c>
      <c r="K165" s="4" t="s">
        <v>71</v>
      </c>
      <c r="L165" s="4" t="s">
        <v>3487</v>
      </c>
      <c r="M165" s="4" t="s">
        <v>308</v>
      </c>
      <c r="N165" s="4" t="s">
        <v>74</v>
      </c>
      <c r="O165" s="4" t="s">
        <v>75</v>
      </c>
      <c r="P165" s="4" t="s">
        <v>4123</v>
      </c>
      <c r="Q165" s="57">
        <v>45251</v>
      </c>
      <c r="R165" s="57">
        <v>45256</v>
      </c>
      <c r="S165" s="113"/>
      <c r="T165" s="113"/>
      <c r="U165" s="4"/>
      <c r="V165" s="4"/>
      <c r="W165" s="105" t="s">
        <v>4915</v>
      </c>
      <c r="X165" s="114">
        <v>1722481677</v>
      </c>
      <c r="Y165" s="55" t="s">
        <v>81</v>
      </c>
      <c r="Z165" s="4" t="s">
        <v>4916</v>
      </c>
      <c r="AA165" s="4">
        <v>1724079353</v>
      </c>
      <c r="AB165" s="4" t="s">
        <v>101</v>
      </c>
      <c r="AC165" s="4" t="s">
        <v>102</v>
      </c>
      <c r="AD165" s="113">
        <v>35440</v>
      </c>
      <c r="AE165" s="107">
        <v>27.0876712328767</v>
      </c>
      <c r="AF165" s="4" t="s">
        <v>80</v>
      </c>
      <c r="AG165" s="114">
        <v>1952786349</v>
      </c>
      <c r="AH165" s="4" t="s">
        <v>81</v>
      </c>
      <c r="AI165" s="55" t="s">
        <v>3015</v>
      </c>
      <c r="AJ165" s="55" t="s">
        <v>81</v>
      </c>
      <c r="AK165" s="55">
        <v>2019</v>
      </c>
      <c r="AL165" s="4" t="s">
        <v>4917</v>
      </c>
      <c r="AM165" s="4" t="s">
        <v>4916</v>
      </c>
      <c r="AN165" s="4" t="s">
        <v>4918</v>
      </c>
      <c r="AO165" s="4" t="s">
        <v>4919</v>
      </c>
      <c r="AP165" s="4" t="s">
        <v>4920</v>
      </c>
      <c r="AQ165" s="55" t="s">
        <v>4921</v>
      </c>
      <c r="AR165" s="4" t="s">
        <v>89</v>
      </c>
      <c r="AS165" s="4" t="s">
        <v>4922</v>
      </c>
      <c r="AT165" s="72">
        <v>35838</v>
      </c>
      <c r="AU165" s="4" t="s">
        <v>81</v>
      </c>
      <c r="AV165" s="4" t="s">
        <v>81</v>
      </c>
      <c r="AW165" s="4" t="s">
        <v>81</v>
      </c>
      <c r="AX165" s="4" t="s">
        <v>81</v>
      </c>
      <c r="AY165" s="4"/>
      <c r="AZ165" s="4"/>
      <c r="BA165" s="4" t="s">
        <v>3498</v>
      </c>
      <c r="BB165" s="4">
        <v>10800</v>
      </c>
      <c r="BC165" s="4">
        <v>2700</v>
      </c>
      <c r="BD165" s="4">
        <v>0</v>
      </c>
      <c r="BE165" s="4" t="s">
        <v>91</v>
      </c>
      <c r="BF165" s="4"/>
      <c r="BG165" s="4"/>
      <c r="BH165" s="4" t="s">
        <v>3510</v>
      </c>
      <c r="BI165" s="72">
        <f>VLOOKUP(A165,'ID Block'!A:L,12,0)</f>
        <v>45392</v>
      </c>
      <c r="BJ165" s="154" t="str">
        <f>VLOOKUP(A165,'ID Block'!A:M,13,0)</f>
        <v>Family Issue</v>
      </c>
      <c r="BK165" s="4">
        <f t="shared" si="2"/>
        <v>136</v>
      </c>
      <c r="BL165" s="105" t="s">
        <v>168</v>
      </c>
      <c r="BM165" s="10"/>
      <c r="BN165" s="183" t="s">
        <v>4002</v>
      </c>
      <c r="BO165" s="183"/>
    </row>
    <row r="166" ht="14.4" s="67" customFormat="1">
      <c r="A166" s="4">
        <v>171327</v>
      </c>
      <c r="B166" s="4"/>
      <c r="C166" s="55" t="s">
        <v>4923</v>
      </c>
      <c r="D166" s="4" t="s">
        <v>4924</v>
      </c>
      <c r="E166" s="4" t="s">
        <v>114</v>
      </c>
      <c r="F166" s="55">
        <v>607335</v>
      </c>
      <c r="G166" s="4" t="s">
        <v>67</v>
      </c>
      <c r="H166" s="4" t="s">
        <v>68</v>
      </c>
      <c r="I166" s="4" t="s">
        <v>2494</v>
      </c>
      <c r="J166" s="55" t="s">
        <v>4704</v>
      </c>
      <c r="K166" s="4" t="s">
        <v>71</v>
      </c>
      <c r="L166" s="4" t="s">
        <v>3487</v>
      </c>
      <c r="M166" s="4" t="s">
        <v>196</v>
      </c>
      <c r="N166" s="4" t="s">
        <v>74</v>
      </c>
      <c r="O166" s="4" t="s">
        <v>75</v>
      </c>
      <c r="P166" s="4" t="s">
        <v>4733</v>
      </c>
      <c r="Q166" s="57">
        <v>45323</v>
      </c>
      <c r="R166" s="57">
        <v>45339</v>
      </c>
      <c r="S166" s="113"/>
      <c r="T166" s="113"/>
      <c r="U166" s="4"/>
      <c r="V166" s="4"/>
      <c r="W166" s="105" t="s">
        <v>4925</v>
      </c>
      <c r="X166" s="114">
        <v>1765743669</v>
      </c>
      <c r="Y166" s="55">
        <v>1737520033</v>
      </c>
      <c r="Z166" s="4" t="s">
        <v>4926</v>
      </c>
      <c r="AA166" s="4">
        <v>1737001808</v>
      </c>
      <c r="AB166" s="4" t="s">
        <v>789</v>
      </c>
      <c r="AC166" s="4" t="s">
        <v>119</v>
      </c>
      <c r="AD166" s="113">
        <v>33339</v>
      </c>
      <c r="AE166" s="107">
        <v>23.7808219178082</v>
      </c>
      <c r="AF166" s="4" t="s">
        <v>80</v>
      </c>
      <c r="AG166" s="114">
        <v>6900035376</v>
      </c>
      <c r="AH166" s="4" t="s">
        <v>81</v>
      </c>
      <c r="AI166" s="55" t="s">
        <v>1677</v>
      </c>
      <c r="AJ166" s="55" t="s">
        <v>81</v>
      </c>
      <c r="AK166" s="55">
        <v>2017</v>
      </c>
      <c r="AL166" s="4" t="s">
        <v>4927</v>
      </c>
      <c r="AM166" s="4" t="s">
        <v>4926</v>
      </c>
      <c r="AN166" s="4" t="s">
        <v>4928</v>
      </c>
      <c r="AO166" s="4" t="s">
        <v>4929</v>
      </c>
      <c r="AP166" s="4" t="s">
        <v>4930</v>
      </c>
      <c r="AQ166" s="55" t="s">
        <v>1231</v>
      </c>
      <c r="AR166" s="4" t="s">
        <v>110</v>
      </c>
      <c r="AS166" s="4" t="s">
        <v>81</v>
      </c>
      <c r="AT166" s="72" t="s">
        <v>81</v>
      </c>
      <c r="AU166" s="4" t="s">
        <v>81</v>
      </c>
      <c r="AV166" s="4" t="s">
        <v>81</v>
      </c>
      <c r="AW166" s="4" t="s">
        <v>81</v>
      </c>
      <c r="AX166" s="4" t="s">
        <v>81</v>
      </c>
      <c r="AY166" s="4"/>
      <c r="AZ166" s="4"/>
      <c r="BA166" s="4" t="s">
        <v>3498</v>
      </c>
      <c r="BB166" s="4">
        <v>10800</v>
      </c>
      <c r="BC166" s="4">
        <v>2700</v>
      </c>
      <c r="BD166" s="4">
        <v>1000</v>
      </c>
      <c r="BE166" s="4" t="s">
        <v>166</v>
      </c>
      <c r="BF166" s="4"/>
      <c r="BG166" s="4"/>
      <c r="BH166" s="4" t="s">
        <v>3510</v>
      </c>
      <c r="BI166" s="72">
        <f>VLOOKUP(A166,'ID Block'!A:L,12,0)</f>
        <v>45396</v>
      </c>
      <c r="BJ166" s="154" t="str">
        <f>VLOOKUP(A166,'ID Block'!A:M,13,0)</f>
        <v>Better Opportunity</v>
      </c>
      <c r="BK166" s="4">
        <f t="shared" si="2"/>
        <v>57</v>
      </c>
      <c r="BL166" s="105" t="s">
        <v>168</v>
      </c>
      <c r="BM166" s="10"/>
      <c r="BN166" s="183" t="s">
        <v>4035</v>
      </c>
      <c r="BO166" s="183"/>
    </row>
    <row r="167" ht="14.4" s="67" customFormat="1">
      <c r="A167" s="4">
        <v>171127</v>
      </c>
      <c r="B167" s="4"/>
      <c r="C167" s="55" t="s">
        <v>4931</v>
      </c>
      <c r="D167" s="4" t="s">
        <v>4932</v>
      </c>
      <c r="E167" s="4" t="s">
        <v>114</v>
      </c>
      <c r="F167" s="55">
        <v>1117577535</v>
      </c>
      <c r="G167" s="4" t="s">
        <v>67</v>
      </c>
      <c r="H167" s="4" t="s">
        <v>68</v>
      </c>
      <c r="I167" s="4" t="s">
        <v>2494</v>
      </c>
      <c r="J167" s="55" t="s">
        <v>3650</v>
      </c>
      <c r="K167" s="4" t="s">
        <v>71</v>
      </c>
      <c r="L167" s="4" t="s">
        <v>3487</v>
      </c>
      <c r="M167" s="4" t="s">
        <v>196</v>
      </c>
      <c r="N167" s="4" t="s">
        <v>74</v>
      </c>
      <c r="O167" s="4" t="s">
        <v>75</v>
      </c>
      <c r="P167" s="4" t="s">
        <v>3942</v>
      </c>
      <c r="Q167" s="57">
        <v>45146</v>
      </c>
      <c r="R167" s="57">
        <v>45154</v>
      </c>
      <c r="S167" s="113"/>
      <c r="T167" s="113"/>
      <c r="U167" s="4"/>
      <c r="V167" s="4"/>
      <c r="W167" s="105" t="s">
        <v>4933</v>
      </c>
      <c r="X167" s="114">
        <v>1648369636</v>
      </c>
      <c r="Y167" s="55">
        <v>1954548370</v>
      </c>
      <c r="Z167" s="4" t="s">
        <v>4934</v>
      </c>
      <c r="AA167" s="4">
        <v>1781185529</v>
      </c>
      <c r="AB167" s="4" t="s">
        <v>101</v>
      </c>
      <c r="AC167" s="4" t="s">
        <v>79</v>
      </c>
      <c r="AD167" s="113">
        <v>35617</v>
      </c>
      <c r="AE167" s="107">
        <v>26.6027397260274</v>
      </c>
      <c r="AF167" s="4" t="s">
        <v>80</v>
      </c>
      <c r="AG167" s="114">
        <v>6453180918</v>
      </c>
      <c r="AH167" s="4" t="s">
        <v>81</v>
      </c>
      <c r="AI167" s="55" t="s">
        <v>253</v>
      </c>
      <c r="AJ167" s="55" t="s">
        <v>81</v>
      </c>
      <c r="AK167" s="55" t="s">
        <v>81</v>
      </c>
      <c r="AL167" s="4" t="s">
        <v>4935</v>
      </c>
      <c r="AM167" s="4" t="s">
        <v>4936</v>
      </c>
      <c r="AN167" s="4" t="s">
        <v>4937</v>
      </c>
      <c r="AO167" s="4" t="s">
        <v>4938</v>
      </c>
      <c r="AP167" s="4" t="s">
        <v>4939</v>
      </c>
      <c r="AQ167" s="55" t="s">
        <v>499</v>
      </c>
      <c r="AR167" s="4" t="s">
        <v>110</v>
      </c>
      <c r="AS167" s="4"/>
      <c r="AT167" s="72"/>
      <c r="AU167" s="4"/>
      <c r="AV167" s="4"/>
      <c r="AW167" s="4"/>
      <c r="AX167" s="4"/>
      <c r="AY167" s="4"/>
      <c r="AZ167" s="4"/>
      <c r="BA167" s="4" t="s">
        <v>3498</v>
      </c>
      <c r="BB167" s="4">
        <v>10800</v>
      </c>
      <c r="BC167" s="4">
        <v>2700</v>
      </c>
      <c r="BD167" s="4">
        <v>1000</v>
      </c>
      <c r="BE167" s="4" t="s">
        <v>166</v>
      </c>
      <c r="BF167" s="4" t="s">
        <v>167</v>
      </c>
      <c r="BG167" s="4" t="s">
        <v>167</v>
      </c>
      <c r="BH167" s="4" t="s">
        <v>3510</v>
      </c>
      <c r="BI167" s="72">
        <f>VLOOKUP(A167,'ID Block'!A:L,12,0)</f>
        <v>45398</v>
      </c>
      <c r="BJ167" s="154" t="str">
        <f>VLOOKUP(A167,'ID Block'!A:M,13,0)</f>
        <v>Better Opportunity</v>
      </c>
      <c r="BK167" s="4">
        <f t="shared" si="2"/>
        <v>244</v>
      </c>
      <c r="BL167" s="105" t="s">
        <v>168</v>
      </c>
      <c r="BM167" s="10"/>
      <c r="BN167" s="183" t="s">
        <v>4035</v>
      </c>
      <c r="BO167" s="183"/>
    </row>
    <row r="168" ht="14.4" s="67" customFormat="1">
      <c r="A168" s="4">
        <v>171370</v>
      </c>
      <c r="B168" s="4"/>
      <c r="C168" s="55" t="s">
        <v>4940</v>
      </c>
      <c r="D168" s="4" t="s">
        <v>4941</v>
      </c>
      <c r="E168" s="4" t="s">
        <v>114</v>
      </c>
      <c r="F168" s="55">
        <v>1411522265</v>
      </c>
      <c r="G168" s="4" t="s">
        <v>67</v>
      </c>
      <c r="H168" s="4" t="s">
        <v>68</v>
      </c>
      <c r="I168" s="4" t="s">
        <v>2494</v>
      </c>
      <c r="J168" s="55" t="s">
        <v>155</v>
      </c>
      <c r="K168" s="4" t="s">
        <v>71</v>
      </c>
      <c r="L168" s="4" t="s">
        <v>3487</v>
      </c>
      <c r="M168" s="4" t="s">
        <v>196</v>
      </c>
      <c r="N168" s="4" t="s">
        <v>74</v>
      </c>
      <c r="O168" s="4" t="s">
        <v>75</v>
      </c>
      <c r="P168" s="4" t="s">
        <v>4942</v>
      </c>
      <c r="Q168" s="57">
        <v>45353</v>
      </c>
      <c r="R168" s="57">
        <v>45371</v>
      </c>
      <c r="S168" s="113"/>
      <c r="T168" s="113"/>
      <c r="U168" s="4"/>
      <c r="V168" s="4"/>
      <c r="W168" s="105" t="s">
        <v>4943</v>
      </c>
      <c r="X168" s="114">
        <v>1975383911</v>
      </c>
      <c r="Y168" s="55">
        <v>1737383911</v>
      </c>
      <c r="Z168" s="4" t="s">
        <v>4944</v>
      </c>
      <c r="AA168" s="4">
        <v>1764281228</v>
      </c>
      <c r="AB168" s="4" t="s">
        <v>252</v>
      </c>
      <c r="AC168" s="4" t="s">
        <v>133</v>
      </c>
      <c r="AD168" s="113">
        <v>36776</v>
      </c>
      <c r="AE168" s="107">
        <v>23.7808219178082</v>
      </c>
      <c r="AF168" s="4" t="s">
        <v>80</v>
      </c>
      <c r="AG168" s="114">
        <v>5110708780</v>
      </c>
      <c r="AH168" s="4" t="s">
        <v>81</v>
      </c>
      <c r="AI168" s="55" t="s">
        <v>4945</v>
      </c>
      <c r="AJ168" s="55" t="s">
        <v>81</v>
      </c>
      <c r="AK168" s="55">
        <v>2024</v>
      </c>
      <c r="AL168" s="4" t="s">
        <v>995</v>
      </c>
      <c r="AM168" s="4" t="s">
        <v>4944</v>
      </c>
      <c r="AN168" s="4" t="s">
        <v>4946</v>
      </c>
      <c r="AO168" s="4" t="s">
        <v>4947</v>
      </c>
      <c r="AP168" s="4" t="s">
        <v>4948</v>
      </c>
      <c r="AQ168" s="55" t="s">
        <v>4949</v>
      </c>
      <c r="AR168" s="4" t="s">
        <v>110</v>
      </c>
      <c r="AS168" s="4" t="s">
        <v>81</v>
      </c>
      <c r="AT168" s="72" t="s">
        <v>81</v>
      </c>
      <c r="AU168" s="4" t="s">
        <v>81</v>
      </c>
      <c r="AV168" s="4" t="s">
        <v>81</v>
      </c>
      <c r="AW168" s="4" t="s">
        <v>81</v>
      </c>
      <c r="AX168" s="4" t="s">
        <v>81</v>
      </c>
      <c r="AY168" s="4"/>
      <c r="AZ168" s="4"/>
      <c r="BA168" s="4" t="s">
        <v>3498</v>
      </c>
      <c r="BB168" s="4">
        <v>10800</v>
      </c>
      <c r="BC168" s="4">
        <v>2700</v>
      </c>
      <c r="BD168" s="4">
        <v>1000</v>
      </c>
      <c r="BE168" s="4" t="s">
        <v>166</v>
      </c>
      <c r="BF168" s="4"/>
      <c r="BG168" s="4"/>
      <c r="BH168" s="4" t="s">
        <v>3510</v>
      </c>
      <c r="BI168" s="72">
        <f>VLOOKUP(A168,'ID Block'!A:L,12,0)</f>
        <v>45400</v>
      </c>
      <c r="BJ168" s="154" t="str">
        <f>VLOOKUP(A168,'ID Block'!A:M,13,0)</f>
        <v>Better Opportunity</v>
      </c>
      <c r="BK168" s="4">
        <f t="shared" si="2"/>
        <v>29</v>
      </c>
      <c r="BL168" s="105" t="s">
        <v>168</v>
      </c>
      <c r="BM168" s="10"/>
      <c r="BN168" s="183" t="s">
        <v>4035</v>
      </c>
      <c r="BO168" s="183"/>
    </row>
    <row r="169" ht="14.4" s="67" customFormat="1">
      <c r="A169" s="4">
        <v>171363</v>
      </c>
      <c r="B169" s="4"/>
      <c r="C169" s="55"/>
      <c r="D169" s="4" t="s">
        <v>4950</v>
      </c>
      <c r="E169" s="4" t="s">
        <v>114</v>
      </c>
      <c r="F169" s="55">
        <v>1110244286</v>
      </c>
      <c r="G169" s="4" t="s">
        <v>67</v>
      </c>
      <c r="H169" s="4" t="s">
        <v>68</v>
      </c>
      <c r="I169" s="4" t="s">
        <v>2494</v>
      </c>
      <c r="J169" s="55" t="s">
        <v>297</v>
      </c>
      <c r="K169" s="4" t="s">
        <v>71</v>
      </c>
      <c r="L169" s="4" t="s">
        <v>3487</v>
      </c>
      <c r="M169" s="4" t="s">
        <v>308</v>
      </c>
      <c r="N169" s="4" t="s">
        <v>74</v>
      </c>
      <c r="O169" s="4" t="s">
        <v>75</v>
      </c>
      <c r="P169" s="4" t="s">
        <v>4951</v>
      </c>
      <c r="Q169" s="57">
        <v>45338</v>
      </c>
      <c r="R169" s="57">
        <v>45362</v>
      </c>
      <c r="S169" s="113"/>
      <c r="T169" s="113"/>
      <c r="U169" s="4"/>
      <c r="V169" s="4"/>
      <c r="W169" s="105" t="s">
        <v>4952</v>
      </c>
      <c r="X169" s="114">
        <v>1972505415</v>
      </c>
      <c r="Y169" s="55">
        <v>1300085728</v>
      </c>
      <c r="Z169" s="4" t="s">
        <v>4953</v>
      </c>
      <c r="AA169" s="4">
        <v>1300085728</v>
      </c>
      <c r="AB169" s="4" t="s">
        <v>132</v>
      </c>
      <c r="AC169" s="4" t="s">
        <v>133</v>
      </c>
      <c r="AD169" s="113">
        <v>35751</v>
      </c>
      <c r="AE169" s="107">
        <v>23.7808219178082</v>
      </c>
      <c r="AF169" s="4" t="s">
        <v>80</v>
      </c>
      <c r="AG169" s="114">
        <v>5101767571</v>
      </c>
      <c r="AH169" s="4" t="s">
        <v>81</v>
      </c>
      <c r="AI169" s="55" t="s">
        <v>347</v>
      </c>
      <c r="AJ169" s="55" t="s">
        <v>81</v>
      </c>
      <c r="AK169" s="55">
        <v>2020</v>
      </c>
      <c r="AL169" s="4" t="s">
        <v>4954</v>
      </c>
      <c r="AM169" s="4" t="s">
        <v>4955</v>
      </c>
      <c r="AN169" s="4" t="s">
        <v>4953</v>
      </c>
      <c r="AO169" s="4" t="s">
        <v>4956</v>
      </c>
      <c r="AP169" s="4" t="s">
        <v>4956</v>
      </c>
      <c r="AQ169" s="55" t="s">
        <v>285</v>
      </c>
      <c r="AR169" s="4" t="s">
        <v>110</v>
      </c>
      <c r="AS169" s="4" t="s">
        <v>81</v>
      </c>
      <c r="AT169" s="72" t="s">
        <v>81</v>
      </c>
      <c r="AU169" s="4" t="s">
        <v>81</v>
      </c>
      <c r="AV169" s="4" t="s">
        <v>81</v>
      </c>
      <c r="AW169" s="4" t="s">
        <v>81</v>
      </c>
      <c r="AX169" s="4" t="s">
        <v>81</v>
      </c>
      <c r="AY169" s="4"/>
      <c r="AZ169" s="4"/>
      <c r="BA169" s="4" t="s">
        <v>3498</v>
      </c>
      <c r="BB169" s="4">
        <v>10800</v>
      </c>
      <c r="BC169" s="4">
        <v>2700</v>
      </c>
      <c r="BD169" s="4">
        <v>0</v>
      </c>
      <c r="BE169" s="4" t="s">
        <v>91</v>
      </c>
      <c r="BF169" s="4"/>
      <c r="BG169" s="4"/>
      <c r="BH169" s="4" t="s">
        <v>3510</v>
      </c>
      <c r="BI169" s="72">
        <f>VLOOKUP(A169,'ID Block'!A:L,12,0)</f>
        <v>45369</v>
      </c>
      <c r="BJ169" s="154" t="str">
        <f>VLOOKUP(A169,'ID Block'!A:M,13,0)</f>
        <v>Higher study</v>
      </c>
      <c r="BK169" s="4">
        <f t="shared" si="2"/>
        <v>7</v>
      </c>
      <c r="BL169" s="105" t="s">
        <v>168</v>
      </c>
      <c r="BM169" s="10"/>
      <c r="BN169" s="183" t="s">
        <v>4957</v>
      </c>
      <c r="BO169" s="183"/>
    </row>
    <row r="170" ht="14.4" s="67" customFormat="1">
      <c r="A170" s="4">
        <v>171234</v>
      </c>
      <c r="B170" s="4"/>
      <c r="C170" s="55" t="s">
        <v>881</v>
      </c>
      <c r="D170" s="4" t="s">
        <v>4958</v>
      </c>
      <c r="E170" s="4" t="s">
        <v>114</v>
      </c>
      <c r="F170" s="55">
        <v>1212735602</v>
      </c>
      <c r="G170" s="4" t="s">
        <v>67</v>
      </c>
      <c r="H170" s="4" t="s">
        <v>68</v>
      </c>
      <c r="I170" s="4" t="s">
        <v>2494</v>
      </c>
      <c r="J170" s="55" t="s">
        <v>319</v>
      </c>
      <c r="K170" s="4" t="s">
        <v>71</v>
      </c>
      <c r="L170" s="4" t="s">
        <v>3487</v>
      </c>
      <c r="M170" s="4" t="s">
        <v>98</v>
      </c>
      <c r="N170" s="4" t="s">
        <v>74</v>
      </c>
      <c r="O170" s="4" t="s">
        <v>75</v>
      </c>
      <c r="P170" s="4" t="s">
        <v>4123</v>
      </c>
      <c r="Q170" s="57">
        <v>45251</v>
      </c>
      <c r="R170" s="57">
        <v>45256</v>
      </c>
      <c r="S170" s="113"/>
      <c r="T170" s="113"/>
      <c r="U170" s="4"/>
      <c r="V170" s="4"/>
      <c r="W170" s="105" t="s">
        <v>4452</v>
      </c>
      <c r="X170" s="114">
        <v>1758222757</v>
      </c>
      <c r="Y170" s="55">
        <v>1310962334</v>
      </c>
      <c r="Z170" s="4" t="s">
        <v>4959</v>
      </c>
      <c r="AA170" s="4">
        <v>1721889623</v>
      </c>
      <c r="AB170" s="4" t="s">
        <v>252</v>
      </c>
      <c r="AC170" s="4" t="s">
        <v>102</v>
      </c>
      <c r="AD170" s="113">
        <v>36514</v>
      </c>
      <c r="AE170" s="107">
        <v>24.1452054794521</v>
      </c>
      <c r="AF170" s="4" t="s">
        <v>80</v>
      </c>
      <c r="AG170" s="114">
        <v>4654881277</v>
      </c>
      <c r="AH170" s="4" t="s">
        <v>81</v>
      </c>
      <c r="AI170" s="55" t="s">
        <v>290</v>
      </c>
      <c r="AJ170" s="55" t="s">
        <v>81</v>
      </c>
      <c r="AK170" s="55">
        <v>2023</v>
      </c>
      <c r="AL170" s="4" t="s">
        <v>188</v>
      </c>
      <c r="AM170" s="4" t="s">
        <v>4960</v>
      </c>
      <c r="AN170" s="4" t="s">
        <v>4961</v>
      </c>
      <c r="AO170" s="4" t="s">
        <v>4962</v>
      </c>
      <c r="AP170" s="4" t="s">
        <v>4963</v>
      </c>
      <c r="AQ170" s="55" t="s">
        <v>1188</v>
      </c>
      <c r="AR170" s="4" t="s">
        <v>110</v>
      </c>
      <c r="AS170" s="4" t="s">
        <v>81</v>
      </c>
      <c r="AT170" s="72" t="s">
        <v>81</v>
      </c>
      <c r="AU170" s="4" t="s">
        <v>81</v>
      </c>
      <c r="AV170" s="4" t="s">
        <v>81</v>
      </c>
      <c r="AW170" s="4" t="s">
        <v>81</v>
      </c>
      <c r="AX170" s="4" t="s">
        <v>81</v>
      </c>
      <c r="AY170" s="4"/>
      <c r="AZ170" s="4"/>
      <c r="BA170" s="4" t="s">
        <v>3498</v>
      </c>
      <c r="BB170" s="4">
        <v>10800</v>
      </c>
      <c r="BC170" s="4">
        <v>2700</v>
      </c>
      <c r="BD170" s="4">
        <v>0</v>
      </c>
      <c r="BE170" s="4" t="s">
        <v>91</v>
      </c>
      <c r="BF170" s="4"/>
      <c r="BG170" s="4"/>
      <c r="BH170" s="4" t="s">
        <v>3510</v>
      </c>
      <c r="BI170" s="72">
        <f>VLOOKUP(A170,'ID Block'!A:L,12,0)</f>
        <v>45362</v>
      </c>
      <c r="BJ170" s="154" t="str">
        <f>VLOOKUP(A170,'ID Block'!A:M,13,0)</f>
        <v>Better Opportunity</v>
      </c>
      <c r="BK170" s="4">
        <f t="shared" si="2"/>
        <v>106</v>
      </c>
      <c r="BL170" s="105" t="s">
        <v>168</v>
      </c>
      <c r="BM170" s="10"/>
      <c r="BN170" s="183" t="s">
        <v>4035</v>
      </c>
      <c r="BO170" s="183"/>
    </row>
    <row r="171" ht="14.4" s="67" customFormat="1">
      <c r="A171" s="4">
        <v>171204</v>
      </c>
      <c r="B171" s="4"/>
      <c r="C171" s="55"/>
      <c r="D171" s="4" t="s">
        <v>4964</v>
      </c>
      <c r="E171" s="4" t="s">
        <v>114</v>
      </c>
      <c r="F171" s="55">
        <v>1110211578</v>
      </c>
      <c r="G171" s="4" t="s">
        <v>67</v>
      </c>
      <c r="H171" s="4" t="s">
        <v>68</v>
      </c>
      <c r="I171" s="4" t="s">
        <v>2494</v>
      </c>
      <c r="J171" s="55" t="s">
        <v>155</v>
      </c>
      <c r="K171" s="4" t="s">
        <v>71</v>
      </c>
      <c r="L171" s="4" t="s">
        <v>3487</v>
      </c>
      <c r="M171" s="4" t="s">
        <v>196</v>
      </c>
      <c r="N171" s="4" t="s">
        <v>74</v>
      </c>
      <c r="O171" s="4" t="s">
        <v>75</v>
      </c>
      <c r="P171" s="4" t="s">
        <v>4178</v>
      </c>
      <c r="Q171" s="57">
        <v>45224</v>
      </c>
      <c r="R171" s="57">
        <v>45235</v>
      </c>
      <c r="S171" s="113"/>
      <c r="T171" s="113"/>
      <c r="U171" s="4"/>
      <c r="V171" s="4"/>
      <c r="W171" s="105" t="s">
        <v>4965</v>
      </c>
      <c r="X171" s="114">
        <v>1891800814</v>
      </c>
      <c r="Y171" s="55" t="s">
        <v>81</v>
      </c>
      <c r="Z171" s="4" t="s">
        <v>4966</v>
      </c>
      <c r="AA171" s="4">
        <v>1712779547</v>
      </c>
      <c r="AB171" s="4" t="s">
        <v>101</v>
      </c>
      <c r="AC171" s="4" t="s">
        <v>79</v>
      </c>
      <c r="AD171" s="113">
        <v>36342</v>
      </c>
      <c r="AE171" s="107">
        <v>24.6164383561644</v>
      </c>
      <c r="AF171" s="4" t="s">
        <v>80</v>
      </c>
      <c r="AG171" s="114">
        <v>6005224958</v>
      </c>
      <c r="AH171" s="4" t="s">
        <v>81</v>
      </c>
      <c r="AI171" s="55" t="s">
        <v>4967</v>
      </c>
      <c r="AJ171" s="55" t="s">
        <v>81</v>
      </c>
      <c r="AK171" s="55">
        <v>2022</v>
      </c>
      <c r="AL171" s="4" t="s">
        <v>3423</v>
      </c>
      <c r="AM171" s="4" t="s">
        <v>4968</v>
      </c>
      <c r="AN171" s="4" t="s">
        <v>4969</v>
      </c>
      <c r="AO171" s="4" t="s">
        <v>4970</v>
      </c>
      <c r="AP171" s="4" t="s">
        <v>4970</v>
      </c>
      <c r="AQ171" s="55" t="s">
        <v>4971</v>
      </c>
      <c r="AR171" s="4" t="s">
        <v>110</v>
      </c>
      <c r="AS171" s="4" t="s">
        <v>81</v>
      </c>
      <c r="AT171" s="72" t="s">
        <v>81</v>
      </c>
      <c r="AU171" s="4" t="s">
        <v>81</v>
      </c>
      <c r="AV171" s="4" t="s">
        <v>81</v>
      </c>
      <c r="AW171" s="4"/>
      <c r="AX171" s="4"/>
      <c r="AY171" s="4"/>
      <c r="AZ171" s="4"/>
      <c r="BA171" s="4" t="s">
        <v>3498</v>
      </c>
      <c r="BB171" s="4">
        <v>10800</v>
      </c>
      <c r="BC171" s="4">
        <v>2700</v>
      </c>
      <c r="BD171" s="4">
        <v>1000</v>
      </c>
      <c r="BE171" s="4" t="s">
        <v>166</v>
      </c>
      <c r="BF171" s="4"/>
      <c r="BG171" s="4"/>
      <c r="BH171" s="4" t="s">
        <v>3510</v>
      </c>
      <c r="BI171" s="72">
        <f>VLOOKUP(A171,'ID Block'!A:L,12,0)</f>
        <v>45408</v>
      </c>
      <c r="BJ171" s="154" t="str">
        <f>VLOOKUP(A171,'ID Block'!A:M,13,0)</f>
        <v>Better Opportunity</v>
      </c>
      <c r="BK171" s="4">
        <f t="shared" si="2"/>
        <v>173</v>
      </c>
      <c r="BL171" s="105" t="s">
        <v>168</v>
      </c>
      <c r="BM171" s="10"/>
      <c r="BN171" s="183" t="s">
        <v>4035</v>
      </c>
      <c r="BO171" s="183"/>
    </row>
    <row r="172" ht="14.4" s="67" customFormat="1">
      <c r="A172" s="4">
        <v>171350</v>
      </c>
      <c r="B172" s="4"/>
      <c r="C172" s="55" t="s">
        <v>4972</v>
      </c>
      <c r="D172" s="4" t="s">
        <v>4973</v>
      </c>
      <c r="E172" s="4" t="s">
        <v>114</v>
      </c>
      <c r="F172" s="55">
        <v>1310658965</v>
      </c>
      <c r="G172" s="4" t="s">
        <v>67</v>
      </c>
      <c r="H172" s="4" t="s">
        <v>68</v>
      </c>
      <c r="I172" s="4" t="s">
        <v>2494</v>
      </c>
      <c r="J172" s="55" t="s">
        <v>155</v>
      </c>
      <c r="K172" s="4" t="s">
        <v>71</v>
      </c>
      <c r="L172" s="4" t="s">
        <v>3487</v>
      </c>
      <c r="M172" s="4" t="s">
        <v>196</v>
      </c>
      <c r="N172" s="4" t="s">
        <v>74</v>
      </c>
      <c r="O172" s="4" t="s">
        <v>75</v>
      </c>
      <c r="P172" s="4" t="s">
        <v>4951</v>
      </c>
      <c r="Q172" s="57">
        <v>45338</v>
      </c>
      <c r="R172" s="57">
        <v>45363</v>
      </c>
      <c r="S172" s="113"/>
      <c r="T172" s="113"/>
      <c r="U172" s="4"/>
      <c r="V172" s="4"/>
      <c r="W172" s="105" t="s">
        <v>4974</v>
      </c>
      <c r="X172" s="114">
        <v>1936408300</v>
      </c>
      <c r="Y172" s="55">
        <v>1627536818</v>
      </c>
      <c r="Z172" s="4" t="s">
        <v>4975</v>
      </c>
      <c r="AA172" s="4">
        <v>1627536818</v>
      </c>
      <c r="AB172" s="4" t="s">
        <v>132</v>
      </c>
      <c r="AC172" s="4" t="s">
        <v>1109</v>
      </c>
      <c r="AD172" s="113" t="s">
        <v>4976</v>
      </c>
      <c r="AE172" s="107">
        <v>23.7808219178082</v>
      </c>
      <c r="AF172" s="4" t="s">
        <v>80</v>
      </c>
      <c r="AG172" s="114">
        <v>7364955067</v>
      </c>
      <c r="AH172" s="4" t="s">
        <v>81</v>
      </c>
      <c r="AI172" s="55" t="s">
        <v>4977</v>
      </c>
      <c r="AJ172" s="55" t="s">
        <v>81</v>
      </c>
      <c r="AK172" s="55">
        <v>2024</v>
      </c>
      <c r="AL172" s="4" t="s">
        <v>4978</v>
      </c>
      <c r="AM172" s="4" t="s">
        <v>4979</v>
      </c>
      <c r="AN172" s="4" t="s">
        <v>4975</v>
      </c>
      <c r="AO172" s="4" t="s">
        <v>4980</v>
      </c>
      <c r="AP172" s="4" t="s">
        <v>4981</v>
      </c>
      <c r="AQ172" s="55" t="s">
        <v>285</v>
      </c>
      <c r="AR172" s="4" t="s">
        <v>110</v>
      </c>
      <c r="AS172" s="4" t="s">
        <v>81</v>
      </c>
      <c r="AT172" s="72" t="s">
        <v>81</v>
      </c>
      <c r="AU172" s="4" t="s">
        <v>81</v>
      </c>
      <c r="AV172" s="4" t="s">
        <v>81</v>
      </c>
      <c r="AW172" s="4" t="s">
        <v>81</v>
      </c>
      <c r="AX172" s="4" t="s">
        <v>81</v>
      </c>
      <c r="AY172" s="4"/>
      <c r="AZ172" s="4"/>
      <c r="BA172" s="4" t="s">
        <v>3498</v>
      </c>
      <c r="BB172" s="4">
        <v>10800</v>
      </c>
      <c r="BC172" s="4">
        <v>2700</v>
      </c>
      <c r="BD172" s="4">
        <v>1000</v>
      </c>
      <c r="BE172" s="4" t="s">
        <v>166</v>
      </c>
      <c r="BF172" s="4"/>
      <c r="BG172" s="4"/>
      <c r="BH172" s="4" t="s">
        <v>3510</v>
      </c>
      <c r="BI172" s="72">
        <f>VLOOKUP(A172,'ID Block'!A:L,12,0)</f>
        <v>45405</v>
      </c>
      <c r="BJ172" s="154" t="str">
        <f>VLOOKUP(A172,'ID Block'!A:M,13,0)</f>
        <v>Better Opportunity</v>
      </c>
      <c r="BK172" s="4">
        <f t="shared" si="2"/>
        <v>42</v>
      </c>
      <c r="BL172" s="105" t="s">
        <v>168</v>
      </c>
      <c r="BM172" s="10"/>
      <c r="BN172" s="183" t="s">
        <v>4035</v>
      </c>
      <c r="BO172" s="183"/>
    </row>
    <row r="173" ht="14.4" s="67" customFormat="1">
      <c r="A173" s="4">
        <v>171056</v>
      </c>
      <c r="B173" s="4"/>
      <c r="C173" s="55" t="s">
        <v>4982</v>
      </c>
      <c r="D173" s="4" t="s">
        <v>4983</v>
      </c>
      <c r="E173" s="4" t="s">
        <v>66</v>
      </c>
      <c r="F173" s="55">
        <v>782281</v>
      </c>
      <c r="G173" s="4" t="s">
        <v>67</v>
      </c>
      <c r="H173" s="4" t="s">
        <v>68</v>
      </c>
      <c r="I173" s="4" t="s">
        <v>2494</v>
      </c>
      <c r="J173" s="55" t="s">
        <v>70</v>
      </c>
      <c r="K173" s="4" t="s">
        <v>71</v>
      </c>
      <c r="L173" s="4" t="s">
        <v>3487</v>
      </c>
      <c r="M173" s="4" t="s">
        <v>2643</v>
      </c>
      <c r="N173" s="4" t="s">
        <v>74</v>
      </c>
      <c r="O173" s="4" t="s">
        <v>75</v>
      </c>
      <c r="P173" s="4" t="s">
        <v>4115</v>
      </c>
      <c r="Q173" s="57">
        <v>45048</v>
      </c>
      <c r="R173" s="57">
        <v>45055</v>
      </c>
      <c r="S173" s="113"/>
      <c r="T173" s="113"/>
      <c r="U173" s="4"/>
      <c r="V173" s="4"/>
      <c r="W173" s="105" t="s">
        <v>4984</v>
      </c>
      <c r="X173" s="114">
        <v>1711715226</v>
      </c>
      <c r="Y173" s="55"/>
      <c r="Z173" s="4" t="s">
        <v>4985</v>
      </c>
      <c r="AA173" s="4">
        <v>1531796417</v>
      </c>
      <c r="AB173" s="4" t="s">
        <v>4986</v>
      </c>
      <c r="AC173" s="4" t="s">
        <v>79</v>
      </c>
      <c r="AD173" s="113">
        <v>34783</v>
      </c>
      <c r="AE173" s="107">
        <v>28.8876712328767</v>
      </c>
      <c r="AF173" s="4" t="s">
        <v>80</v>
      </c>
      <c r="AG173" s="114" t="s">
        <v>4987</v>
      </c>
      <c r="AH173" s="4" t="s">
        <v>81</v>
      </c>
      <c r="AI173" s="55" t="s">
        <v>4709</v>
      </c>
      <c r="AJ173" s="55" t="s">
        <v>81</v>
      </c>
      <c r="AK173" s="55" t="s">
        <v>81</v>
      </c>
      <c r="AL173" s="4" t="s">
        <v>4988</v>
      </c>
      <c r="AM173" s="4" t="s">
        <v>4989</v>
      </c>
      <c r="AN173" s="4" t="s">
        <v>4990</v>
      </c>
      <c r="AO173" s="4" t="s">
        <v>4991</v>
      </c>
      <c r="AP173" s="4" t="s">
        <v>4992</v>
      </c>
      <c r="AQ173" s="55" t="s">
        <v>151</v>
      </c>
      <c r="AR173" s="4" t="s">
        <v>110</v>
      </c>
      <c r="AS173" s="4"/>
      <c r="AT173" s="72"/>
      <c r="AU173" s="4"/>
      <c r="AV173" s="4"/>
      <c r="AW173" s="4"/>
      <c r="AX173" s="4"/>
      <c r="AY173" s="4"/>
      <c r="AZ173" s="4"/>
      <c r="BA173" s="4" t="s">
        <v>3498</v>
      </c>
      <c r="BB173" s="4">
        <v>10800</v>
      </c>
      <c r="BC173" s="4">
        <v>2700</v>
      </c>
      <c r="BD173" s="4">
        <v>0</v>
      </c>
      <c r="BE173" s="4" t="s">
        <v>91</v>
      </c>
      <c r="BF173" s="4">
        <v>160378</v>
      </c>
      <c r="BG173" s="4" t="s">
        <v>92</v>
      </c>
      <c r="BH173" s="4" t="s">
        <v>3510</v>
      </c>
      <c r="BI173" s="72">
        <f>VLOOKUP(A173,'ID Block'!A:L,12,0)</f>
        <v>45405</v>
      </c>
      <c r="BJ173" s="154" t="str">
        <f>VLOOKUP(A173,'ID Block'!A:M,13,0)</f>
        <v>Personal Issue</v>
      </c>
      <c r="BK173" s="4">
        <f t="shared" si="2"/>
        <v>350</v>
      </c>
      <c r="BL173" s="105" t="s">
        <v>168</v>
      </c>
      <c r="BM173" s="10"/>
      <c r="BN173" s="183" t="s">
        <v>3978</v>
      </c>
      <c r="BO173" s="183"/>
    </row>
    <row r="174" ht="14.4" s="67" customFormat="1">
      <c r="A174" s="4">
        <v>171207</v>
      </c>
      <c r="B174" s="4"/>
      <c r="C174" s="55"/>
      <c r="D174" s="4" t="s">
        <v>4993</v>
      </c>
      <c r="E174" s="4" t="s">
        <v>114</v>
      </c>
      <c r="F174" s="55">
        <v>1415193500</v>
      </c>
      <c r="G174" s="4" t="s">
        <v>67</v>
      </c>
      <c r="H174" s="4" t="s">
        <v>68</v>
      </c>
      <c r="I174" s="4" t="s">
        <v>2494</v>
      </c>
      <c r="J174" s="55" t="s">
        <v>155</v>
      </c>
      <c r="K174" s="4" t="s">
        <v>71</v>
      </c>
      <c r="L174" s="4" t="s">
        <v>3487</v>
      </c>
      <c r="M174" s="4" t="s">
        <v>196</v>
      </c>
      <c r="N174" s="4" t="s">
        <v>74</v>
      </c>
      <c r="O174" s="4" t="s">
        <v>75</v>
      </c>
      <c r="P174" s="4" t="s">
        <v>4178</v>
      </c>
      <c r="Q174" s="57">
        <v>45225</v>
      </c>
      <c r="R174" s="57">
        <v>45235</v>
      </c>
      <c r="S174" s="113"/>
      <c r="T174" s="113"/>
      <c r="U174" s="4"/>
      <c r="V174" s="4"/>
      <c r="W174" s="105" t="s">
        <v>4994</v>
      </c>
      <c r="X174" s="114">
        <v>1865384419</v>
      </c>
      <c r="Y174" s="55" t="s">
        <v>81</v>
      </c>
      <c r="Z174" s="4" t="s">
        <v>4995</v>
      </c>
      <c r="AA174" s="4">
        <v>183006345</v>
      </c>
      <c r="AB174" s="4" t="s">
        <v>252</v>
      </c>
      <c r="AC174" s="4" t="s">
        <v>133</v>
      </c>
      <c r="AD174" s="113">
        <v>37250</v>
      </c>
      <c r="AE174" s="107">
        <v>22.1287671232877</v>
      </c>
      <c r="AF174" s="4" t="s">
        <v>80</v>
      </c>
      <c r="AG174" s="114">
        <v>2862202922</v>
      </c>
      <c r="AH174" s="4" t="s">
        <v>81</v>
      </c>
      <c r="AI174" s="55" t="s">
        <v>322</v>
      </c>
      <c r="AJ174" s="55" t="s">
        <v>81</v>
      </c>
      <c r="AK174" s="55">
        <v>2023</v>
      </c>
      <c r="AL174" s="4" t="s">
        <v>4996</v>
      </c>
      <c r="AM174" s="4" t="s">
        <v>4997</v>
      </c>
      <c r="AN174" s="4" t="s">
        <v>4998</v>
      </c>
      <c r="AO174" s="4" t="s">
        <v>4999</v>
      </c>
      <c r="AP174" s="4" t="s">
        <v>5000</v>
      </c>
      <c r="AQ174" s="55" t="s">
        <v>285</v>
      </c>
      <c r="AR174" s="4" t="s">
        <v>110</v>
      </c>
      <c r="AS174" s="4" t="s">
        <v>81</v>
      </c>
      <c r="AT174" s="72" t="s">
        <v>81</v>
      </c>
      <c r="AU174" s="4" t="s">
        <v>81</v>
      </c>
      <c r="AV174" s="4" t="s">
        <v>81</v>
      </c>
      <c r="AW174" s="4"/>
      <c r="AX174" s="4"/>
      <c r="AY174" s="4"/>
      <c r="AZ174" s="4"/>
      <c r="BA174" s="4" t="s">
        <v>3498</v>
      </c>
      <c r="BB174" s="4">
        <v>10800</v>
      </c>
      <c r="BC174" s="4">
        <v>2700</v>
      </c>
      <c r="BD174" s="4">
        <v>1000</v>
      </c>
      <c r="BE174" s="4" t="s">
        <v>166</v>
      </c>
      <c r="BF174" s="4"/>
      <c r="BG174" s="4"/>
      <c r="BH174" s="4" t="s">
        <v>3510</v>
      </c>
      <c r="BI174" s="72">
        <f>VLOOKUP(A174,'ID Block'!A:L,12,0)</f>
        <v>45398</v>
      </c>
      <c r="BJ174" s="154" t="str">
        <f>VLOOKUP(A174,'ID Block'!A:M,13,0)</f>
        <v>Better Opportunity</v>
      </c>
      <c r="BK174" s="4">
        <f t="shared" si="2"/>
        <v>163</v>
      </c>
      <c r="BL174" s="105" t="s">
        <v>168</v>
      </c>
      <c r="BM174" s="10"/>
      <c r="BN174" s="183" t="s">
        <v>4035</v>
      </c>
      <c r="BO174" s="183"/>
    </row>
    <row r="175" ht="14.4" s="67" customFormat="1">
      <c r="A175" s="4">
        <v>171011</v>
      </c>
      <c r="B175" s="4"/>
      <c r="C175" s="55" t="s">
        <v>5001</v>
      </c>
      <c r="D175" s="4" t="s">
        <v>5002</v>
      </c>
      <c r="E175" s="4" t="s">
        <v>66</v>
      </c>
      <c r="F175" s="55">
        <v>1610863569</v>
      </c>
      <c r="G175" s="4" t="s">
        <v>67</v>
      </c>
      <c r="H175" s="4" t="s">
        <v>68</v>
      </c>
      <c r="I175" s="4" t="s">
        <v>2494</v>
      </c>
      <c r="J175" s="55" t="s">
        <v>407</v>
      </c>
      <c r="K175" s="4" t="s">
        <v>71</v>
      </c>
      <c r="L175" s="4" t="s">
        <v>3487</v>
      </c>
      <c r="M175" s="4" t="s">
        <v>115</v>
      </c>
      <c r="N175" s="4" t="s">
        <v>74</v>
      </c>
      <c r="O175" s="4" t="s">
        <v>75</v>
      </c>
      <c r="P175" s="4" t="s">
        <v>3546</v>
      </c>
      <c r="Q175" s="57">
        <v>45023</v>
      </c>
      <c r="R175" s="57">
        <v>45032</v>
      </c>
      <c r="S175" s="113"/>
      <c r="T175" s="113"/>
      <c r="U175" s="4"/>
      <c r="V175" s="4"/>
      <c r="W175" s="105" t="s">
        <v>5003</v>
      </c>
      <c r="X175" s="114">
        <v>1873667783</v>
      </c>
      <c r="Y175" s="55"/>
      <c r="Z175" s="4" t="s">
        <v>5004</v>
      </c>
      <c r="AA175" s="4">
        <v>1671496163</v>
      </c>
      <c r="AB175" s="4" t="s">
        <v>132</v>
      </c>
      <c r="AC175" s="4" t="s">
        <v>119</v>
      </c>
      <c r="AD175" s="113">
        <v>38027</v>
      </c>
      <c r="AE175" s="107">
        <v>20</v>
      </c>
      <c r="AF175" s="4" t="s">
        <v>80</v>
      </c>
      <c r="AG175" s="114" t="s">
        <v>5005</v>
      </c>
      <c r="AH175" s="4" t="s">
        <v>5006</v>
      </c>
      <c r="AI175" s="55" t="s">
        <v>104</v>
      </c>
      <c r="AJ175" s="55" t="s">
        <v>5007</v>
      </c>
      <c r="AK175" s="55">
        <v>2027</v>
      </c>
      <c r="AL175" s="4" t="s">
        <v>5008</v>
      </c>
      <c r="AM175" s="4" t="s">
        <v>5009</v>
      </c>
      <c r="AN175" s="4" t="s">
        <v>5004</v>
      </c>
      <c r="AO175" s="4" t="s">
        <v>5010</v>
      </c>
      <c r="AP175" s="4" t="s">
        <v>5011</v>
      </c>
      <c r="AQ175" s="55" t="s">
        <v>109</v>
      </c>
      <c r="AR175" s="4" t="s">
        <v>110</v>
      </c>
      <c r="AS175" s="4"/>
      <c r="AT175" s="72"/>
      <c r="AU175" s="4"/>
      <c r="AV175" s="4"/>
      <c r="AW175" s="4"/>
      <c r="AX175" s="4"/>
      <c r="AY175" s="4"/>
      <c r="AZ175" s="4"/>
      <c r="BA175" s="4" t="s">
        <v>3498</v>
      </c>
      <c r="BB175" s="4">
        <v>10800</v>
      </c>
      <c r="BC175" s="4">
        <v>2700</v>
      </c>
      <c r="BD175" s="4">
        <v>0</v>
      </c>
      <c r="BE175" s="4" t="s">
        <v>91</v>
      </c>
      <c r="BF175" s="4">
        <v>161443</v>
      </c>
      <c r="BG175" s="4" t="s">
        <v>92</v>
      </c>
      <c r="BH175" s="4" t="s">
        <v>3510</v>
      </c>
      <c r="BI175" s="72">
        <f>VLOOKUP(A175,'ID Block'!A:L,12,0)</f>
        <v>45413</v>
      </c>
      <c r="BJ175" s="154" t="str">
        <f>VLOOKUP(A175,'ID Block'!A:M,13,0)</f>
        <v>Study purpose</v>
      </c>
      <c r="BK175" s="4">
        <f t="shared" si="2"/>
        <v>381</v>
      </c>
      <c r="BL175" s="105" t="s">
        <v>168</v>
      </c>
      <c r="BM175" s="10"/>
      <c r="BN175" s="183" t="s">
        <v>5012</v>
      </c>
      <c r="BO175" s="183"/>
    </row>
    <row r="176" ht="14.4" s="67" customFormat="1">
      <c r="A176" s="4">
        <v>171165</v>
      </c>
      <c r="B176" s="4"/>
      <c r="C176" s="55" t="s">
        <v>5013</v>
      </c>
      <c r="D176" s="4" t="s">
        <v>5014</v>
      </c>
      <c r="E176" s="4" t="s">
        <v>66</v>
      </c>
      <c r="F176" s="55">
        <v>417145</v>
      </c>
      <c r="G176" s="4" t="s">
        <v>67</v>
      </c>
      <c r="H176" s="4" t="s">
        <v>68</v>
      </c>
      <c r="I176" s="4" t="s">
        <v>2494</v>
      </c>
      <c r="J176" s="55" t="s">
        <v>341</v>
      </c>
      <c r="K176" s="4" t="s">
        <v>71</v>
      </c>
      <c r="L176" s="4" t="s">
        <v>3487</v>
      </c>
      <c r="M176" s="4" t="s">
        <v>115</v>
      </c>
      <c r="N176" s="4" t="s">
        <v>74</v>
      </c>
      <c r="O176" s="4" t="s">
        <v>75</v>
      </c>
      <c r="P176" s="4" t="s">
        <v>3987</v>
      </c>
      <c r="Q176" s="57">
        <v>45206</v>
      </c>
      <c r="R176" s="57">
        <v>45211</v>
      </c>
      <c r="S176" s="113"/>
      <c r="T176" s="113"/>
      <c r="U176" s="4"/>
      <c r="V176" s="4"/>
      <c r="W176" s="105" t="s">
        <v>5015</v>
      </c>
      <c r="X176" s="114">
        <v>1680027706</v>
      </c>
      <c r="Y176" s="55">
        <v>1402739159</v>
      </c>
      <c r="Z176" s="4" t="s">
        <v>5016</v>
      </c>
      <c r="AA176" s="4">
        <v>1727528697</v>
      </c>
      <c r="AB176" s="4" t="s">
        <v>132</v>
      </c>
      <c r="AC176" s="4" t="s">
        <v>102</v>
      </c>
      <c r="AD176" s="113">
        <v>35385</v>
      </c>
      <c r="AE176" s="107">
        <v>27.2383561643836</v>
      </c>
      <c r="AF176" s="4" t="s">
        <v>80</v>
      </c>
      <c r="AG176" s="114">
        <v>3720322126</v>
      </c>
      <c r="AH176" s="4" t="s">
        <v>81</v>
      </c>
      <c r="AI176" s="55" t="s">
        <v>265</v>
      </c>
      <c r="AJ176" s="55" t="s">
        <v>81</v>
      </c>
      <c r="AK176" s="55">
        <v>2018</v>
      </c>
      <c r="AL176" s="4" t="s">
        <v>524</v>
      </c>
      <c r="AM176" s="4" t="s">
        <v>5017</v>
      </c>
      <c r="AN176" s="4" t="s">
        <v>5016</v>
      </c>
      <c r="AO176" s="4" t="s">
        <v>5018</v>
      </c>
      <c r="AP176" s="4" t="s">
        <v>5019</v>
      </c>
      <c r="AQ176" s="55" t="s">
        <v>5020</v>
      </c>
      <c r="AR176" s="4" t="s">
        <v>110</v>
      </c>
      <c r="AS176" s="4"/>
      <c r="AT176" s="72"/>
      <c r="AU176" s="4"/>
      <c r="AV176" s="4"/>
      <c r="AW176" s="4"/>
      <c r="AX176" s="4"/>
      <c r="AY176" s="4"/>
      <c r="AZ176" s="4"/>
      <c r="BA176" s="4" t="s">
        <v>3498</v>
      </c>
      <c r="BB176" s="4">
        <v>10800</v>
      </c>
      <c r="BC176" s="4">
        <v>2700</v>
      </c>
      <c r="BD176" s="4">
        <v>0</v>
      </c>
      <c r="BE176" s="4" t="s">
        <v>296</v>
      </c>
      <c r="BF176" s="4"/>
      <c r="BG176" s="4"/>
      <c r="BH176" s="4" t="s">
        <v>3510</v>
      </c>
      <c r="BI176" s="72">
        <f>VLOOKUP(A176,'ID Block'!A:L,12,0)</f>
        <v>45415</v>
      </c>
      <c r="BJ176" s="154" t="str">
        <f>VLOOKUP(A176,'ID Block'!A:M,13,0)</f>
        <v>Better opportunity</v>
      </c>
      <c r="BK176" s="4">
        <f t="shared" si="2"/>
        <v>204</v>
      </c>
      <c r="BL176" s="105" t="s">
        <v>168</v>
      </c>
      <c r="BM176" s="10"/>
      <c r="BN176" s="183" t="s">
        <v>3796</v>
      </c>
      <c r="BO176" s="183"/>
    </row>
    <row r="177" ht="14.4" s="67" customFormat="1">
      <c r="A177" s="4">
        <v>171391</v>
      </c>
      <c r="B177" s="4"/>
      <c r="C177" s="55" t="s">
        <v>2846</v>
      </c>
      <c r="D177" s="4" t="s">
        <v>5021</v>
      </c>
      <c r="E177" s="4" t="s">
        <v>114</v>
      </c>
      <c r="F177" s="55"/>
      <c r="G177" s="4" t="s">
        <v>67</v>
      </c>
      <c r="H177" s="4" t="s">
        <v>68</v>
      </c>
      <c r="I177" s="4" t="s">
        <v>2494</v>
      </c>
      <c r="J177" s="55" t="s">
        <v>307</v>
      </c>
      <c r="K177" s="4" t="s">
        <v>71</v>
      </c>
      <c r="L177" s="4" t="s">
        <v>3487</v>
      </c>
      <c r="M177" s="4" t="s">
        <v>98</v>
      </c>
      <c r="N177" s="4" t="s">
        <v>74</v>
      </c>
      <c r="O177" s="4" t="s">
        <v>75</v>
      </c>
      <c r="P177" s="4" t="s">
        <v>4900</v>
      </c>
      <c r="Q177" s="57">
        <v>45371</v>
      </c>
      <c r="R177" s="57">
        <v>45384</v>
      </c>
      <c r="S177" s="113"/>
      <c r="T177" s="113"/>
      <c r="U177" s="4"/>
      <c r="V177" s="4"/>
      <c r="W177" s="105" t="s">
        <v>5022</v>
      </c>
      <c r="X177" s="114">
        <v>1735231342</v>
      </c>
      <c r="Y177" s="55" t="s">
        <v>81</v>
      </c>
      <c r="Z177" s="4" t="s">
        <v>5023</v>
      </c>
      <c r="AA177" s="4">
        <v>1710749395</v>
      </c>
      <c r="AB177" s="4" t="s">
        <v>101</v>
      </c>
      <c r="AC177" s="4" t="s">
        <v>133</v>
      </c>
      <c r="AD177" s="113">
        <v>33763</v>
      </c>
      <c r="AE177" s="107">
        <v>23.7808219178082</v>
      </c>
      <c r="AF177" s="4" t="s">
        <v>80</v>
      </c>
      <c r="AG177" s="114">
        <v>2355413622</v>
      </c>
      <c r="AH177" s="4" t="s">
        <v>81</v>
      </c>
      <c r="AI177" s="55" t="s">
        <v>82</v>
      </c>
      <c r="AJ177" s="55" t="s">
        <v>81</v>
      </c>
      <c r="AK177" s="55">
        <v>2017</v>
      </c>
      <c r="AL177" s="4" t="s">
        <v>5024</v>
      </c>
      <c r="AM177" s="4" t="s">
        <v>5023</v>
      </c>
      <c r="AN177" s="4" t="s">
        <v>220</v>
      </c>
      <c r="AO177" s="4" t="s">
        <v>5025</v>
      </c>
      <c r="AP177" s="4" t="s">
        <v>5026</v>
      </c>
      <c r="AQ177" s="55" t="s">
        <v>5025</v>
      </c>
      <c r="AR177" s="4" t="s">
        <v>110</v>
      </c>
      <c r="AS177" s="4" t="s">
        <v>81</v>
      </c>
      <c r="AT177" s="72" t="s">
        <v>81</v>
      </c>
      <c r="AU177" s="4" t="s">
        <v>81</v>
      </c>
      <c r="AV177" s="4" t="s">
        <v>81</v>
      </c>
      <c r="AW177" s="4" t="s">
        <v>81</v>
      </c>
      <c r="AX177" s="4" t="s">
        <v>81</v>
      </c>
      <c r="AY177" s="4"/>
      <c r="AZ177" s="4"/>
      <c r="BA177" s="4" t="s">
        <v>3498</v>
      </c>
      <c r="BB177" s="4">
        <v>10800</v>
      </c>
      <c r="BC177" s="4">
        <v>2700</v>
      </c>
      <c r="BD177" s="4">
        <v>0</v>
      </c>
      <c r="BE177" s="4" t="s">
        <v>91</v>
      </c>
      <c r="BF177" s="4"/>
      <c r="BG177" s="4"/>
      <c r="BH177" s="4" t="s">
        <v>3510</v>
      </c>
      <c r="BI177" s="72">
        <f>VLOOKUP(A177,'ID Block'!A:L,12,0)</f>
        <v>45415</v>
      </c>
      <c r="BJ177" s="154" t="str">
        <f>VLOOKUP(A177,'ID Block'!A:M,13,0)</f>
        <v>Personal Issue</v>
      </c>
      <c r="BK177" s="4">
        <f t="shared" si="2"/>
        <v>31</v>
      </c>
      <c r="BL177" s="105" t="s">
        <v>168</v>
      </c>
      <c r="BM177" s="10"/>
      <c r="BN177" s="183" t="s">
        <v>3978</v>
      </c>
      <c r="BO177" s="183"/>
    </row>
    <row r="178" ht="14.4" s="67" customFormat="1">
      <c r="A178" s="4">
        <v>171448</v>
      </c>
      <c r="B178" s="4"/>
      <c r="C178" s="55" t="s">
        <v>5027</v>
      </c>
      <c r="D178" s="4" t="s">
        <v>5028</v>
      </c>
      <c r="E178" s="4" t="s">
        <v>114</v>
      </c>
      <c r="F178" s="55"/>
      <c r="G178" s="4" t="s">
        <v>67</v>
      </c>
      <c r="H178" s="4" t="s">
        <v>68</v>
      </c>
      <c r="I178" s="4" t="s">
        <v>2494</v>
      </c>
      <c r="J178" s="55" t="s">
        <v>297</v>
      </c>
      <c r="K178" s="4" t="s">
        <v>71</v>
      </c>
      <c r="L178" s="4" t="s">
        <v>3487</v>
      </c>
      <c r="M178" s="4" t="s">
        <v>308</v>
      </c>
      <c r="N178" s="4" t="s">
        <v>74</v>
      </c>
      <c r="O178" s="4" t="s">
        <v>75</v>
      </c>
      <c r="P178" s="4" t="s">
        <v>5029</v>
      </c>
      <c r="Q178" s="57">
        <v>45408</v>
      </c>
      <c r="R178" s="57">
        <v>45413</v>
      </c>
      <c r="S178" s="113"/>
      <c r="T178" s="113"/>
      <c r="U178" s="4"/>
      <c r="V178" s="4"/>
      <c r="W178" s="105" t="s">
        <v>4179</v>
      </c>
      <c r="X178" s="114">
        <v>1317778246</v>
      </c>
      <c r="Y178" s="55" t="s">
        <v>81</v>
      </c>
      <c r="Z178" s="4" t="s">
        <v>4180</v>
      </c>
      <c r="AA178" s="4">
        <v>1752748243</v>
      </c>
      <c r="AB178" s="4" t="s">
        <v>410</v>
      </c>
      <c r="AC178" s="4" t="s">
        <v>102</v>
      </c>
      <c r="AD178" s="113">
        <v>34557</v>
      </c>
      <c r="AE178" s="107">
        <v>29.6986301369863</v>
      </c>
      <c r="AF178" s="4" t="s">
        <v>80</v>
      </c>
      <c r="AG178" s="114">
        <v>3732013209</v>
      </c>
      <c r="AH178" s="4" t="s">
        <v>81</v>
      </c>
      <c r="AI178" s="55" t="s">
        <v>290</v>
      </c>
      <c r="AJ178" s="55" t="s">
        <v>81</v>
      </c>
      <c r="AK178" s="55">
        <v>2019</v>
      </c>
      <c r="AL178" s="4" t="s">
        <v>4181</v>
      </c>
      <c r="AM178" s="4" t="s">
        <v>4182</v>
      </c>
      <c r="AN178" s="4" t="s">
        <v>4183</v>
      </c>
      <c r="AO178" s="4" t="s">
        <v>4184</v>
      </c>
      <c r="AP178" s="4" t="s">
        <v>4185</v>
      </c>
      <c r="AQ178" s="55" t="s">
        <v>4186</v>
      </c>
      <c r="AR178" s="4" t="s">
        <v>89</v>
      </c>
      <c r="AS178" s="4" t="s">
        <v>4180</v>
      </c>
      <c r="AT178" s="72" t="s">
        <v>81</v>
      </c>
      <c r="AU178" s="4" t="s">
        <v>81</v>
      </c>
      <c r="AV178" s="4" t="s">
        <v>81</v>
      </c>
      <c r="AW178" s="4"/>
      <c r="AX178" s="4"/>
      <c r="AY178" s="4"/>
      <c r="AZ178" s="4"/>
      <c r="BA178" s="4" t="s">
        <v>3498</v>
      </c>
      <c r="BB178" s="4">
        <v>10800</v>
      </c>
      <c r="BC178" s="4">
        <v>2700</v>
      </c>
      <c r="BD178" s="4">
        <v>0</v>
      </c>
      <c r="BE178" s="4" t="s">
        <v>91</v>
      </c>
      <c r="BF178" s="4"/>
      <c r="BG178" s="4"/>
      <c r="BH178" s="4" t="s">
        <v>3510</v>
      </c>
      <c r="BI178" s="72">
        <f>VLOOKUP(A178,'ID Block'!A:L,12,0)</f>
        <v>45415</v>
      </c>
      <c r="BJ178" s="154" t="str">
        <f>VLOOKUP(A178,'ID Block'!A:M,13,0)</f>
        <v>Personal Issue </v>
      </c>
      <c r="BK178" s="4">
        <f t="shared" si="2"/>
        <v>2</v>
      </c>
      <c r="BL178" s="105" t="s">
        <v>168</v>
      </c>
      <c r="BM178" s="10"/>
      <c r="BN178" s="183" t="s">
        <v>5030</v>
      </c>
      <c r="BO178" s="183"/>
    </row>
    <row r="179" ht="14.4" s="67" customFormat="1">
      <c r="A179" s="4">
        <v>171112</v>
      </c>
      <c r="B179" s="4"/>
      <c r="C179" s="55" t="s">
        <v>5031</v>
      </c>
      <c r="D179" s="4" t="s">
        <v>5032</v>
      </c>
      <c r="E179" s="4" t="s">
        <v>114</v>
      </c>
      <c r="F179" s="55">
        <v>408671</v>
      </c>
      <c r="G179" s="4" t="s">
        <v>67</v>
      </c>
      <c r="H179" s="4" t="s">
        <v>68</v>
      </c>
      <c r="I179" s="4" t="s">
        <v>2494</v>
      </c>
      <c r="J179" s="55" t="s">
        <v>4223</v>
      </c>
      <c r="K179" s="4" t="s">
        <v>71</v>
      </c>
      <c r="L179" s="4" t="s">
        <v>3487</v>
      </c>
      <c r="M179" s="4" t="s">
        <v>2643</v>
      </c>
      <c r="N179" s="4" t="s">
        <v>238</v>
      </c>
      <c r="O179" s="4" t="s">
        <v>75</v>
      </c>
      <c r="P179" s="4" t="s">
        <v>3651</v>
      </c>
      <c r="Q179" s="57">
        <v>45116</v>
      </c>
      <c r="R179" s="57">
        <v>45125</v>
      </c>
      <c r="S179" s="113"/>
      <c r="T179" s="113"/>
      <c r="U179" s="4"/>
      <c r="V179" s="4"/>
      <c r="W179" s="105" t="s">
        <v>5033</v>
      </c>
      <c r="X179" s="114">
        <v>1745027707</v>
      </c>
      <c r="Y179" s="55">
        <v>1721088314</v>
      </c>
      <c r="Z179" s="4" t="s">
        <v>5034</v>
      </c>
      <c r="AA179" s="4">
        <v>1721088345</v>
      </c>
      <c r="AB179" s="4" t="s">
        <v>101</v>
      </c>
      <c r="AC179" s="4" t="s">
        <v>79</v>
      </c>
      <c r="AD179" s="113">
        <v>34889</v>
      </c>
      <c r="AE179" s="107">
        <v>28.5972602739726</v>
      </c>
      <c r="AF179" s="4" t="s">
        <v>673</v>
      </c>
      <c r="AG179" s="114">
        <v>1004414213</v>
      </c>
      <c r="AH179" s="4" t="s">
        <v>81</v>
      </c>
      <c r="AI179" s="55" t="s">
        <v>1929</v>
      </c>
      <c r="AJ179" s="55" t="s">
        <v>312</v>
      </c>
      <c r="AK179" s="55">
        <v>2024</v>
      </c>
      <c r="AL179" s="4" t="s">
        <v>5035</v>
      </c>
      <c r="AM179" s="4" t="s">
        <v>5034</v>
      </c>
      <c r="AN179" s="4" t="s">
        <v>5036</v>
      </c>
      <c r="AO179" s="4" t="s">
        <v>5037</v>
      </c>
      <c r="AP179" s="4" t="s">
        <v>5038</v>
      </c>
      <c r="AQ179" s="55" t="s">
        <v>449</v>
      </c>
      <c r="AR179" s="4" t="s">
        <v>110</v>
      </c>
      <c r="AS179" s="4"/>
      <c r="AT179" s="72"/>
      <c r="AU179" s="4"/>
      <c r="AV179" s="4"/>
      <c r="AW179" s="4"/>
      <c r="AX179" s="4"/>
      <c r="AY179" s="4"/>
      <c r="AZ179" s="4"/>
      <c r="BA179" s="4" t="s">
        <v>3498</v>
      </c>
      <c r="BB179" s="4">
        <v>10800</v>
      </c>
      <c r="BC179" s="4">
        <v>2700</v>
      </c>
      <c r="BD179" s="4">
        <v>0</v>
      </c>
      <c r="BE179" s="4" t="s">
        <v>91</v>
      </c>
      <c r="BF179" s="4" t="s">
        <v>167</v>
      </c>
      <c r="BG179" s="4" t="s">
        <v>167</v>
      </c>
      <c r="BH179" s="4" t="s">
        <v>3510</v>
      </c>
      <c r="BI179" s="72">
        <f>VLOOKUP(A179,'ID Block'!A:L,12,0)</f>
        <v>45413</v>
      </c>
      <c r="BJ179" s="154" t="str">
        <f>VLOOKUP(A179,'ID Block'!A:M,13,0)</f>
        <v>Better oppurtunity</v>
      </c>
      <c r="BK179" s="4">
        <f t="shared" si="2"/>
        <v>288</v>
      </c>
      <c r="BL179" s="105" t="s">
        <v>168</v>
      </c>
      <c r="BM179" s="10"/>
      <c r="BN179" s="183" t="s">
        <v>3796</v>
      </c>
      <c r="BO179" s="183"/>
    </row>
    <row r="180" ht="14.4" s="67" customFormat="1">
      <c r="A180" s="4">
        <v>171402</v>
      </c>
      <c r="B180" s="4"/>
      <c r="C180" s="55" t="s">
        <v>5039</v>
      </c>
      <c r="D180" s="4" t="s">
        <v>5040</v>
      </c>
      <c r="E180" s="4" t="s">
        <v>114</v>
      </c>
      <c r="F180" s="55"/>
      <c r="G180" s="4" t="s">
        <v>67</v>
      </c>
      <c r="H180" s="4" t="s">
        <v>68</v>
      </c>
      <c r="I180" s="4" t="s">
        <v>2494</v>
      </c>
      <c r="J180" s="55" t="s">
        <v>155</v>
      </c>
      <c r="K180" s="4" t="s">
        <v>71</v>
      </c>
      <c r="L180" s="4" t="s">
        <v>3487</v>
      </c>
      <c r="M180" s="4" t="s">
        <v>196</v>
      </c>
      <c r="N180" s="4" t="s">
        <v>74</v>
      </c>
      <c r="O180" s="4" t="s">
        <v>75</v>
      </c>
      <c r="P180" s="4" t="s">
        <v>4900</v>
      </c>
      <c r="Q180" s="57">
        <v>45371</v>
      </c>
      <c r="R180" s="57">
        <v>45389</v>
      </c>
      <c r="S180" s="113"/>
      <c r="T180" s="113"/>
      <c r="U180" s="4"/>
      <c r="V180" s="4"/>
      <c r="W180" s="105" t="s">
        <v>5041</v>
      </c>
      <c r="X180" s="114">
        <v>1773326881</v>
      </c>
      <c r="Y180" s="55">
        <v>1303050021</v>
      </c>
      <c r="Z180" s="4" t="s">
        <v>5042</v>
      </c>
      <c r="AA180" s="4">
        <v>1714389011</v>
      </c>
      <c r="AB180" s="4" t="s">
        <v>101</v>
      </c>
      <c r="AC180" s="4" t="s">
        <v>5043</v>
      </c>
      <c r="AD180" s="113" t="s">
        <v>5044</v>
      </c>
      <c r="AE180" s="107">
        <v>23.7808219178082</v>
      </c>
      <c r="AF180" s="4" t="s">
        <v>80</v>
      </c>
      <c r="AG180" s="114">
        <v>8251512102</v>
      </c>
      <c r="AH180" s="4" t="s">
        <v>81</v>
      </c>
      <c r="AI180" s="55" t="s">
        <v>5045</v>
      </c>
      <c r="AJ180" s="55" t="s">
        <v>81</v>
      </c>
      <c r="AK180" s="55">
        <v>2018</v>
      </c>
      <c r="AL180" s="4" t="s">
        <v>5046</v>
      </c>
      <c r="AM180" s="4" t="s">
        <v>5042</v>
      </c>
      <c r="AN180" s="4" t="s">
        <v>5047</v>
      </c>
      <c r="AO180" s="4" t="s">
        <v>5048</v>
      </c>
      <c r="AP180" s="4" t="s">
        <v>5049</v>
      </c>
      <c r="AQ180" s="55" t="s">
        <v>5050</v>
      </c>
      <c r="AR180" s="4" t="s">
        <v>5051</v>
      </c>
      <c r="AS180" s="4" t="s">
        <v>242</v>
      </c>
      <c r="AT180" s="72" t="s">
        <v>242</v>
      </c>
      <c r="AU180" s="4" t="s">
        <v>81</v>
      </c>
      <c r="AV180" s="4" t="s">
        <v>81</v>
      </c>
      <c r="AW180" s="4" t="s">
        <v>81</v>
      </c>
      <c r="AX180" s="4" t="s">
        <v>81</v>
      </c>
      <c r="AY180" s="4"/>
      <c r="AZ180" s="4"/>
      <c r="BA180" s="4" t="s">
        <v>3498</v>
      </c>
      <c r="BB180" s="4">
        <v>10800</v>
      </c>
      <c r="BC180" s="4">
        <v>2700</v>
      </c>
      <c r="BD180" s="4">
        <v>1000</v>
      </c>
      <c r="BE180" s="4" t="s">
        <v>166</v>
      </c>
      <c r="BF180" s="4"/>
      <c r="BG180" s="4"/>
      <c r="BH180" s="4" t="s">
        <v>3510</v>
      </c>
      <c r="BI180" s="72">
        <f>VLOOKUP(A180,'ID Block'!A:L,12,0)</f>
        <v>45416</v>
      </c>
      <c r="BJ180" s="154" t="str">
        <f>VLOOKUP(A180,'ID Block'!A:M,13,0)</f>
        <v>Better Opportunity</v>
      </c>
      <c r="BK180" s="4">
        <f t="shared" si="2"/>
        <v>27</v>
      </c>
      <c r="BL180" s="105" t="s">
        <v>168</v>
      </c>
      <c r="BM180" s="10"/>
      <c r="BN180" s="183" t="s">
        <v>4035</v>
      </c>
      <c r="BO180" s="183"/>
    </row>
    <row r="181" ht="14.4" s="67" customFormat="1">
      <c r="A181" s="4">
        <v>171407</v>
      </c>
      <c r="B181" s="4"/>
      <c r="C181" s="55" t="s">
        <v>5052</v>
      </c>
      <c r="D181" s="4" t="s">
        <v>5053</v>
      </c>
      <c r="E181" s="4" t="s">
        <v>66</v>
      </c>
      <c r="F181" s="55">
        <v>1213642396</v>
      </c>
      <c r="G181" s="4" t="s">
        <v>67</v>
      </c>
      <c r="H181" s="4" t="s">
        <v>68</v>
      </c>
      <c r="I181" s="4" t="s">
        <v>2494</v>
      </c>
      <c r="J181" s="55" t="s">
        <v>97</v>
      </c>
      <c r="K181" s="4" t="s">
        <v>71</v>
      </c>
      <c r="L181" s="4" t="s">
        <v>3487</v>
      </c>
      <c r="M181" s="4" t="s">
        <v>2643</v>
      </c>
      <c r="N181" s="4" t="s">
        <v>74</v>
      </c>
      <c r="O181" s="4" t="s">
        <v>75</v>
      </c>
      <c r="P181" s="4" t="s">
        <v>5054</v>
      </c>
      <c r="Q181" s="57">
        <v>45397</v>
      </c>
      <c r="R181" s="57">
        <v>45407</v>
      </c>
      <c r="S181" s="113"/>
      <c r="T181" s="113"/>
      <c r="U181" s="4"/>
      <c r="V181" s="4"/>
      <c r="W181" s="105" t="s">
        <v>5055</v>
      </c>
      <c r="X181" s="114">
        <v>1754243799</v>
      </c>
      <c r="Y181" s="55" t="s">
        <v>81</v>
      </c>
      <c r="Z181" s="4" t="s">
        <v>5056</v>
      </c>
      <c r="AA181" s="4">
        <v>1786304260</v>
      </c>
      <c r="AB181" s="4" t="s">
        <v>132</v>
      </c>
      <c r="AC181" s="4" t="s">
        <v>133</v>
      </c>
      <c r="AD181" s="113">
        <v>35893</v>
      </c>
      <c r="AE181" s="107">
        <v>23.7808219178082</v>
      </c>
      <c r="AF181" s="4" t="s">
        <v>80</v>
      </c>
      <c r="AG181" s="114">
        <v>1954413280</v>
      </c>
      <c r="AH181" s="4" t="s">
        <v>81</v>
      </c>
      <c r="AI181" s="55" t="s">
        <v>5057</v>
      </c>
      <c r="AJ181" s="55" t="s">
        <v>81</v>
      </c>
      <c r="AK181" s="55">
        <v>2023</v>
      </c>
      <c r="AL181" s="4" t="s">
        <v>995</v>
      </c>
      <c r="AM181" s="4" t="s">
        <v>5058</v>
      </c>
      <c r="AN181" s="4" t="s">
        <v>5056</v>
      </c>
      <c r="AO181" s="4" t="s">
        <v>5059</v>
      </c>
      <c r="AP181" s="4" t="s">
        <v>5060</v>
      </c>
      <c r="AQ181" s="55" t="s">
        <v>499</v>
      </c>
      <c r="AR181" s="4" t="s">
        <v>110</v>
      </c>
      <c r="AS181" s="4" t="s">
        <v>81</v>
      </c>
      <c r="AT181" s="72" t="s">
        <v>81</v>
      </c>
      <c r="AU181" s="4" t="s">
        <v>81</v>
      </c>
      <c r="AV181" s="4" t="s">
        <v>81</v>
      </c>
      <c r="AW181" s="4" t="s">
        <v>81</v>
      </c>
      <c r="AX181" s="4" t="s">
        <v>81</v>
      </c>
      <c r="AY181" s="4" t="s">
        <v>81</v>
      </c>
      <c r="AZ181" s="4" t="s">
        <v>81</v>
      </c>
      <c r="BA181" s="4" t="s">
        <v>3498</v>
      </c>
      <c r="BB181" s="4">
        <v>10800</v>
      </c>
      <c r="BC181" s="4">
        <v>2700</v>
      </c>
      <c r="BD181" s="4">
        <v>0</v>
      </c>
      <c r="BE181" s="4" t="s">
        <v>91</v>
      </c>
      <c r="BF181" s="4"/>
      <c r="BG181" s="4"/>
      <c r="BH181" s="4" t="s">
        <v>3510</v>
      </c>
      <c r="BI181" s="72">
        <f>VLOOKUP(A181,'ID Block'!A:L,12,0)</f>
        <v>45419</v>
      </c>
      <c r="BJ181" s="154" t="str">
        <f>VLOOKUP(A181,'ID Block'!A:M,13,0)</f>
        <v>Family Issue</v>
      </c>
      <c r="BK181" s="4">
        <f t="shared" si="2"/>
        <v>12</v>
      </c>
      <c r="BL181" s="105" t="s">
        <v>168</v>
      </c>
      <c r="BM181" s="10"/>
      <c r="BN181" s="183" t="s">
        <v>4002</v>
      </c>
      <c r="BO181" s="183"/>
    </row>
    <row r="182" ht="14.4" s="67" customFormat="1">
      <c r="A182" s="4">
        <v>171449</v>
      </c>
      <c r="B182" s="4"/>
      <c r="C182" s="55" t="s">
        <v>5061</v>
      </c>
      <c r="D182" s="4" t="s">
        <v>5062</v>
      </c>
      <c r="E182" s="4" t="s">
        <v>114</v>
      </c>
      <c r="F182" s="55"/>
      <c r="G182" s="4" t="s">
        <v>67</v>
      </c>
      <c r="H182" s="4" t="s">
        <v>68</v>
      </c>
      <c r="I182" s="4" t="s">
        <v>2494</v>
      </c>
      <c r="J182" s="55" t="s">
        <v>297</v>
      </c>
      <c r="K182" s="4" t="s">
        <v>71</v>
      </c>
      <c r="L182" s="4" t="s">
        <v>3487</v>
      </c>
      <c r="M182" s="4" t="s">
        <v>308</v>
      </c>
      <c r="N182" s="4" t="s">
        <v>74</v>
      </c>
      <c r="O182" s="4" t="s">
        <v>75</v>
      </c>
      <c r="P182" s="4" t="s">
        <v>5029</v>
      </c>
      <c r="Q182" s="57">
        <v>45408</v>
      </c>
      <c r="R182" s="57">
        <v>45413</v>
      </c>
      <c r="S182" s="113"/>
      <c r="T182" s="113"/>
      <c r="U182" s="4"/>
      <c r="V182" s="4"/>
      <c r="W182" s="105"/>
      <c r="X182" s="114"/>
      <c r="Y182" s="55"/>
      <c r="Z182" s="4" t="s">
        <v>4039</v>
      </c>
      <c r="AA182" s="4">
        <v>1838876981</v>
      </c>
      <c r="AB182" s="4" t="s">
        <v>252</v>
      </c>
      <c r="AC182" s="4" t="s">
        <v>119</v>
      </c>
      <c r="AD182" s="113">
        <v>36724</v>
      </c>
      <c r="AE182" s="107">
        <v>23.7616438356164</v>
      </c>
      <c r="AF182" s="4" t="s">
        <v>80</v>
      </c>
      <c r="AG182" s="114">
        <v>8265038482</v>
      </c>
      <c r="AH182" s="4"/>
      <c r="AI182" s="55" t="s">
        <v>5045</v>
      </c>
      <c r="AJ182" s="55"/>
      <c r="AK182" s="55">
        <v>2020</v>
      </c>
      <c r="AL182" s="4" t="s">
        <v>209</v>
      </c>
      <c r="AM182" s="4" t="s">
        <v>4832</v>
      </c>
      <c r="AN182" s="4" t="s">
        <v>4831</v>
      </c>
      <c r="AO182" s="4" t="s">
        <v>4337</v>
      </c>
      <c r="AP182" s="4" t="s">
        <v>4338</v>
      </c>
      <c r="AQ182" s="55" t="s">
        <v>1553</v>
      </c>
      <c r="AR182" s="4" t="s">
        <v>110</v>
      </c>
      <c r="AS182" s="4" t="s">
        <v>81</v>
      </c>
      <c r="AT182" s="72" t="s">
        <v>81</v>
      </c>
      <c r="AU182" s="4" t="s">
        <v>81</v>
      </c>
      <c r="AV182" s="4" t="s">
        <v>81</v>
      </c>
      <c r="AW182" s="4" t="s">
        <v>81</v>
      </c>
      <c r="AX182" s="4" t="s">
        <v>81</v>
      </c>
      <c r="AY182" s="4"/>
      <c r="AZ182" s="4"/>
      <c r="BA182" s="4" t="s">
        <v>3498</v>
      </c>
      <c r="BB182" s="4">
        <v>10800</v>
      </c>
      <c r="BC182" s="4">
        <v>2700</v>
      </c>
      <c r="BD182" s="4">
        <v>0</v>
      </c>
      <c r="BE182" s="4" t="s">
        <v>91</v>
      </c>
      <c r="BF182" s="4"/>
      <c r="BG182" s="4"/>
      <c r="BH182" s="4" t="s">
        <v>3510</v>
      </c>
      <c r="BI182" s="72">
        <f>VLOOKUP(A182,'ID Block'!A:L,12,0)</f>
        <v>45419</v>
      </c>
      <c r="BJ182" s="154" t="str">
        <f>VLOOKUP(A182,'ID Block'!A:M,13,0)</f>
        <v>Personal health Issue</v>
      </c>
      <c r="BK182" s="4">
        <f t="shared" si="2"/>
        <v>6</v>
      </c>
      <c r="BL182" s="105" t="s">
        <v>168</v>
      </c>
      <c r="BM182" s="10"/>
      <c r="BN182" s="183" t="s">
        <v>5063</v>
      </c>
      <c r="BO182" s="183"/>
    </row>
    <row r="183" ht="14.4" s="67" customFormat="1">
      <c r="A183" s="4">
        <v>171445</v>
      </c>
      <c r="B183" s="4"/>
      <c r="C183" s="55"/>
      <c r="D183" s="4" t="s">
        <v>5064</v>
      </c>
      <c r="E183" s="4" t="s">
        <v>114</v>
      </c>
      <c r="F183" s="55"/>
      <c r="G183" s="4" t="s">
        <v>67</v>
      </c>
      <c r="H183" s="4" t="s">
        <v>68</v>
      </c>
      <c r="I183" s="4" t="s">
        <v>2494</v>
      </c>
      <c r="J183" s="55" t="s">
        <v>319</v>
      </c>
      <c r="K183" s="4" t="s">
        <v>71</v>
      </c>
      <c r="L183" s="4" t="s">
        <v>3487</v>
      </c>
      <c r="M183" s="4" t="s">
        <v>2643</v>
      </c>
      <c r="N183" s="4" t="s">
        <v>74</v>
      </c>
      <c r="O183" s="4" t="s">
        <v>75</v>
      </c>
      <c r="P183" s="4" t="s">
        <v>5029</v>
      </c>
      <c r="Q183" s="57">
        <v>45408</v>
      </c>
      <c r="R183" s="57">
        <v>45413</v>
      </c>
      <c r="S183" s="113"/>
      <c r="T183" s="113"/>
      <c r="U183" s="4"/>
      <c r="V183" s="4"/>
      <c r="W183" s="105"/>
      <c r="X183" s="114"/>
      <c r="Y183" s="55"/>
      <c r="Z183" s="4" t="s">
        <v>4051</v>
      </c>
      <c r="AA183" s="4">
        <v>1744371007</v>
      </c>
      <c r="AB183" s="4" t="s">
        <v>118</v>
      </c>
      <c r="AC183" s="4" t="s">
        <v>119</v>
      </c>
      <c r="AD183" s="113">
        <v>35524</v>
      </c>
      <c r="AE183" s="107">
        <v>27.0493150684932</v>
      </c>
      <c r="AF183" s="4" t="s">
        <v>80</v>
      </c>
      <c r="AG183" s="114">
        <v>5553707729</v>
      </c>
      <c r="AH183" s="4"/>
      <c r="AI183" s="55" t="s">
        <v>5045</v>
      </c>
      <c r="AJ183" s="55"/>
      <c r="AK183" s="55">
        <v>2022</v>
      </c>
      <c r="AL183" s="4" t="s">
        <v>209</v>
      </c>
      <c r="AM183" s="4" t="s">
        <v>3495</v>
      </c>
      <c r="AN183" s="4" t="s">
        <v>3496</v>
      </c>
      <c r="AO183" s="4" t="s">
        <v>4345</v>
      </c>
      <c r="AP183" s="4" t="s">
        <v>4346</v>
      </c>
      <c r="AQ183" s="55" t="s">
        <v>1178</v>
      </c>
      <c r="AR183" s="4" t="s">
        <v>110</v>
      </c>
      <c r="AS183" s="4" t="s">
        <v>81</v>
      </c>
      <c r="AT183" s="72" t="s">
        <v>81</v>
      </c>
      <c r="AU183" s="4" t="s">
        <v>81</v>
      </c>
      <c r="AV183" s="4" t="s">
        <v>81</v>
      </c>
      <c r="AW183" s="4" t="s">
        <v>81</v>
      </c>
      <c r="AX183" s="4" t="s">
        <v>81</v>
      </c>
      <c r="AY183" s="4"/>
      <c r="AZ183" s="4"/>
      <c r="BA183" s="4" t="s">
        <v>3498</v>
      </c>
      <c r="BB183" s="4">
        <v>10800</v>
      </c>
      <c r="BC183" s="4">
        <v>2700</v>
      </c>
      <c r="BD183" s="4">
        <v>0</v>
      </c>
      <c r="BE183" s="4" t="s">
        <v>91</v>
      </c>
      <c r="BF183" s="4"/>
      <c r="BG183" s="4"/>
      <c r="BH183" s="4" t="s">
        <v>3510</v>
      </c>
      <c r="BI183" s="72">
        <f>VLOOKUP(A183,'ID Block'!A:L,12,0)</f>
        <v>45419</v>
      </c>
      <c r="BJ183" s="154" t="str">
        <f>VLOOKUP(A183,'ID Block'!A:M,13,0)</f>
        <v>Unauthorized absent </v>
      </c>
      <c r="BK183" s="4">
        <f t="shared" si="2"/>
        <v>6</v>
      </c>
      <c r="BL183" s="105" t="s">
        <v>168</v>
      </c>
      <c r="BM183" s="10"/>
      <c r="BN183" s="183" t="s">
        <v>3992</v>
      </c>
      <c r="BO183" s="183"/>
    </row>
    <row r="184" ht="14.4" s="67" customFormat="1">
      <c r="A184" s="4">
        <v>171336</v>
      </c>
      <c r="B184" s="4"/>
      <c r="C184" s="55" t="s">
        <v>5065</v>
      </c>
      <c r="D184" s="4" t="s">
        <v>5066</v>
      </c>
      <c r="E184" s="4" t="s">
        <v>114</v>
      </c>
      <c r="F184" s="55" t="s">
        <v>5067</v>
      </c>
      <c r="G184" s="4" t="s">
        <v>67</v>
      </c>
      <c r="H184" s="4" t="s">
        <v>68</v>
      </c>
      <c r="I184" s="4" t="s">
        <v>2494</v>
      </c>
      <c r="J184" s="55" t="s">
        <v>319</v>
      </c>
      <c r="K184" s="4" t="s">
        <v>71</v>
      </c>
      <c r="L184" s="4" t="s">
        <v>3487</v>
      </c>
      <c r="M184" s="4" t="s">
        <v>2643</v>
      </c>
      <c r="N184" s="4" t="s">
        <v>74</v>
      </c>
      <c r="O184" s="4" t="s">
        <v>75</v>
      </c>
      <c r="P184" s="4" t="s">
        <v>4951</v>
      </c>
      <c r="Q184" s="57">
        <v>45338</v>
      </c>
      <c r="R184" s="57">
        <v>45356</v>
      </c>
      <c r="S184" s="113"/>
      <c r="T184" s="113"/>
      <c r="U184" s="4"/>
      <c r="V184" s="4"/>
      <c r="W184" s="105" t="s">
        <v>5068</v>
      </c>
      <c r="X184" s="114">
        <v>1843656873</v>
      </c>
      <c r="Y184" s="55">
        <v>1963397659</v>
      </c>
      <c r="Z184" s="4" t="s">
        <v>5069</v>
      </c>
      <c r="AA184" s="4">
        <v>1865574145</v>
      </c>
      <c r="AB184" s="4" t="s">
        <v>186</v>
      </c>
      <c r="AC184" s="4" t="s">
        <v>79</v>
      </c>
      <c r="AD184" s="113">
        <v>32336</v>
      </c>
      <c r="AE184" s="107">
        <v>23.7808219178082</v>
      </c>
      <c r="AF184" s="4" t="s">
        <v>80</v>
      </c>
      <c r="AG184" s="114">
        <v>7312834562</v>
      </c>
      <c r="AH184" s="4" t="s">
        <v>5070</v>
      </c>
      <c r="AI184" s="55" t="s">
        <v>241</v>
      </c>
      <c r="AJ184" s="55" t="s">
        <v>81</v>
      </c>
      <c r="AK184" s="55">
        <v>2014</v>
      </c>
      <c r="AL184" s="4" t="s">
        <v>5071</v>
      </c>
      <c r="AM184" s="4" t="s">
        <v>5072</v>
      </c>
      <c r="AN184" s="4" t="s">
        <v>3408</v>
      </c>
      <c r="AO184" s="4" t="s">
        <v>5073</v>
      </c>
      <c r="AP184" s="4" t="s">
        <v>5074</v>
      </c>
      <c r="AQ184" s="55" t="s">
        <v>5075</v>
      </c>
      <c r="AR184" s="4" t="s">
        <v>89</v>
      </c>
      <c r="AS184" s="4" t="s">
        <v>5069</v>
      </c>
      <c r="AT184" s="72">
        <v>37036</v>
      </c>
      <c r="AU184" s="4" t="s">
        <v>81</v>
      </c>
      <c r="AV184" s="4" t="s">
        <v>81</v>
      </c>
      <c r="AW184" s="4" t="s">
        <v>81</v>
      </c>
      <c r="AX184" s="4" t="s">
        <v>81</v>
      </c>
      <c r="AY184" s="4"/>
      <c r="AZ184" s="4"/>
      <c r="BA184" s="4" t="s">
        <v>3498</v>
      </c>
      <c r="BB184" s="4">
        <v>10800</v>
      </c>
      <c r="BC184" s="4">
        <v>2700</v>
      </c>
      <c r="BD184" s="4">
        <v>0</v>
      </c>
      <c r="BE184" s="4" t="s">
        <v>91</v>
      </c>
      <c r="BF184" s="4"/>
      <c r="BG184" s="4"/>
      <c r="BH184" s="4" t="s">
        <v>3510</v>
      </c>
      <c r="BI184" s="72">
        <f>VLOOKUP(A184,'ID Block'!A:L,12,0)</f>
        <v>45421</v>
      </c>
      <c r="BJ184" s="154" t="str">
        <f>VLOOKUP(A184,'ID Block'!A:M,13,0)</f>
        <v>Better oppurtunity</v>
      </c>
      <c r="BK184" s="4">
        <f t="shared" si="2"/>
        <v>65</v>
      </c>
      <c r="BL184" s="105" t="s">
        <v>168</v>
      </c>
      <c r="BM184" s="10"/>
      <c r="BN184" s="183" t="s">
        <v>5076</v>
      </c>
      <c r="BO184" s="183"/>
    </row>
    <row r="185" ht="14.4" s="67" customFormat="1">
      <c r="A185" s="4">
        <v>171451</v>
      </c>
      <c r="B185" s="4"/>
      <c r="C185" s="55" t="s">
        <v>5077</v>
      </c>
      <c r="D185" s="4" t="s">
        <v>5078</v>
      </c>
      <c r="E185" s="4" t="s">
        <v>114</v>
      </c>
      <c r="F185" s="55">
        <v>804180</v>
      </c>
      <c r="G185" s="4" t="s">
        <v>67</v>
      </c>
      <c r="H185" s="4" t="s">
        <v>68</v>
      </c>
      <c r="I185" s="4" t="s">
        <v>2494</v>
      </c>
      <c r="J185" s="55" t="s">
        <v>297</v>
      </c>
      <c r="K185" s="4" t="s">
        <v>71</v>
      </c>
      <c r="L185" s="4" t="s">
        <v>3487</v>
      </c>
      <c r="M185" s="4" t="s">
        <v>308</v>
      </c>
      <c r="N185" s="4" t="s">
        <v>74</v>
      </c>
      <c r="O185" s="4" t="s">
        <v>75</v>
      </c>
      <c r="P185" s="4" t="s">
        <v>5029</v>
      </c>
      <c r="Q185" s="57">
        <v>45408</v>
      </c>
      <c r="R185" s="57">
        <v>45420</v>
      </c>
      <c r="S185" s="113"/>
      <c r="T185" s="113"/>
      <c r="U185" s="4"/>
      <c r="V185" s="4"/>
      <c r="W185" s="105" t="s">
        <v>5079</v>
      </c>
      <c r="X185" s="114">
        <v>1737201502</v>
      </c>
      <c r="Y185" s="55">
        <v>1670130724</v>
      </c>
      <c r="Z185" s="4" t="s">
        <v>5080</v>
      </c>
      <c r="AA185" s="4">
        <v>1670130724</v>
      </c>
      <c r="AB185" s="4" t="s">
        <v>5081</v>
      </c>
      <c r="AC185" s="4" t="s">
        <v>102</v>
      </c>
      <c r="AD185" s="113">
        <v>33962</v>
      </c>
      <c r="AE185" s="107"/>
      <c r="AF185" s="4" t="s">
        <v>2185</v>
      </c>
      <c r="AG185" s="114">
        <v>6406699105</v>
      </c>
      <c r="AH185" s="4" t="s">
        <v>81</v>
      </c>
      <c r="AI185" s="55" t="s">
        <v>1952</v>
      </c>
      <c r="AJ185" s="55"/>
      <c r="AK185" s="55">
        <v>2017</v>
      </c>
      <c r="AL185" s="4" t="s">
        <v>5082</v>
      </c>
      <c r="AM185" s="4" t="s">
        <v>5083</v>
      </c>
      <c r="AN185" s="4" t="s">
        <v>5084</v>
      </c>
      <c r="AO185" s="4" t="s">
        <v>5085</v>
      </c>
      <c r="AP185" s="4" t="s">
        <v>5086</v>
      </c>
      <c r="AQ185" s="55" t="s">
        <v>5087</v>
      </c>
      <c r="AR185" s="4" t="s">
        <v>110</v>
      </c>
      <c r="AS185" s="4" t="s">
        <v>81</v>
      </c>
      <c r="AT185" s="72" t="s">
        <v>81</v>
      </c>
      <c r="AU185" s="4" t="s">
        <v>81</v>
      </c>
      <c r="AV185" s="4" t="s">
        <v>81</v>
      </c>
      <c r="AW185" s="4"/>
      <c r="AX185" s="4"/>
      <c r="AY185" s="4"/>
      <c r="AZ185" s="4"/>
      <c r="BA185" s="4" t="s">
        <v>3498</v>
      </c>
      <c r="BB185" s="4">
        <v>10800</v>
      </c>
      <c r="BC185" s="4">
        <v>2700</v>
      </c>
      <c r="BD185" s="4">
        <v>0</v>
      </c>
      <c r="BE185" s="4" t="s">
        <v>91</v>
      </c>
      <c r="BF185" s="4"/>
      <c r="BG185" s="4"/>
      <c r="BH185" s="4" t="s">
        <v>3499</v>
      </c>
      <c r="BI185" s="72">
        <f>VLOOKUP(A185,'ID Block'!A:L,12,0)</f>
        <v>45426</v>
      </c>
      <c r="BJ185" s="154" t="str">
        <f>VLOOKUP(A185,'ID Block'!A:M,13,0)</f>
        <v>Unauthorized absent </v>
      </c>
      <c r="BK185" s="4">
        <f t="shared" si="2"/>
        <v>6</v>
      </c>
      <c r="BL185" s="105" t="s">
        <v>168</v>
      </c>
      <c r="BM185" s="10"/>
      <c r="BN185" s="183" t="s">
        <v>3992</v>
      </c>
      <c r="BO185" s="183"/>
    </row>
    <row r="186" ht="14.4" s="67" customFormat="1">
      <c r="A186" s="4">
        <v>171262</v>
      </c>
      <c r="B186" s="4"/>
      <c r="C186" s="55"/>
      <c r="D186" s="4" t="s">
        <v>5088</v>
      </c>
      <c r="E186" s="4" t="s">
        <v>66</v>
      </c>
      <c r="F186" s="55">
        <v>275980</v>
      </c>
      <c r="G186" s="4" t="s">
        <v>67</v>
      </c>
      <c r="H186" s="4" t="s">
        <v>68</v>
      </c>
      <c r="I186" s="4" t="s">
        <v>2494</v>
      </c>
      <c r="J186" s="55" t="s">
        <v>297</v>
      </c>
      <c r="K186" s="4" t="s">
        <v>71</v>
      </c>
      <c r="L186" s="4" t="s">
        <v>3487</v>
      </c>
      <c r="M186" s="4" t="s">
        <v>2643</v>
      </c>
      <c r="N186" s="4" t="s">
        <v>74</v>
      </c>
      <c r="O186" s="4" t="s">
        <v>75</v>
      </c>
      <c r="P186" s="4" t="s">
        <v>4123</v>
      </c>
      <c r="Q186" s="57">
        <v>45251</v>
      </c>
      <c r="R186" s="57">
        <v>45256</v>
      </c>
      <c r="S186" s="113"/>
      <c r="T186" s="113"/>
      <c r="U186" s="4"/>
      <c r="V186" s="4"/>
      <c r="W186" s="105" t="s">
        <v>5089</v>
      </c>
      <c r="X186" s="114">
        <v>1629965991</v>
      </c>
      <c r="Y186" s="55" t="s">
        <v>81</v>
      </c>
      <c r="Z186" s="4" t="s">
        <v>5090</v>
      </c>
      <c r="AA186" s="4">
        <v>1746059154</v>
      </c>
      <c r="AB186" s="4" t="s">
        <v>101</v>
      </c>
      <c r="AC186" s="4" t="s">
        <v>79</v>
      </c>
      <c r="AD186" s="113">
        <v>33963</v>
      </c>
      <c r="AE186" s="107">
        <v>31.1342465753425</v>
      </c>
      <c r="AF186" s="4" t="s">
        <v>80</v>
      </c>
      <c r="AG186" s="114" t="s">
        <v>5091</v>
      </c>
      <c r="AH186" s="4" t="s">
        <v>81</v>
      </c>
      <c r="AI186" s="55" t="s">
        <v>254</v>
      </c>
      <c r="AJ186" s="55" t="s">
        <v>81</v>
      </c>
      <c r="AK186" s="55">
        <v>2014</v>
      </c>
      <c r="AL186" s="4" t="s">
        <v>596</v>
      </c>
      <c r="AM186" s="4" t="s">
        <v>5090</v>
      </c>
      <c r="AN186" s="4" t="s">
        <v>5092</v>
      </c>
      <c r="AO186" s="4" t="s">
        <v>5093</v>
      </c>
      <c r="AP186" s="4" t="s">
        <v>5094</v>
      </c>
      <c r="AQ186" s="55" t="s">
        <v>5095</v>
      </c>
      <c r="AR186" s="4" t="s">
        <v>110</v>
      </c>
      <c r="AS186" s="4" t="s">
        <v>81</v>
      </c>
      <c r="AT186" s="72" t="s">
        <v>81</v>
      </c>
      <c r="AU186" s="4" t="s">
        <v>81</v>
      </c>
      <c r="AV186" s="4" t="s">
        <v>81</v>
      </c>
      <c r="AW186" s="4" t="s">
        <v>81</v>
      </c>
      <c r="AX186" s="4" t="s">
        <v>81</v>
      </c>
      <c r="AY186" s="4"/>
      <c r="AZ186" s="4"/>
      <c r="BA186" s="4" t="s">
        <v>3498</v>
      </c>
      <c r="BB186" s="4">
        <v>10800</v>
      </c>
      <c r="BC186" s="4">
        <v>2700</v>
      </c>
      <c r="BD186" s="4">
        <v>0</v>
      </c>
      <c r="BE186" s="4" t="s">
        <v>91</v>
      </c>
      <c r="BF186" s="4"/>
      <c r="BG186" s="4"/>
      <c r="BH186" s="4" t="s">
        <v>3510</v>
      </c>
      <c r="BI186" s="72">
        <f>VLOOKUP(A186,'ID Block'!A:L,12,0)</f>
        <v>45421</v>
      </c>
      <c r="BJ186" s="154" t="str">
        <f>VLOOKUP(A186,'ID Block'!A:M,13,0)</f>
        <v>Better oppurtunity</v>
      </c>
      <c r="BK186" s="4">
        <f t="shared" si="2"/>
        <v>165</v>
      </c>
      <c r="BL186" s="105" t="s">
        <v>168</v>
      </c>
      <c r="BM186" s="10"/>
      <c r="BN186" s="183" t="s">
        <v>5076</v>
      </c>
      <c r="BO186" s="183"/>
    </row>
    <row r="187" ht="14.4" s="67" customFormat="1">
      <c r="A187" s="4">
        <v>171362</v>
      </c>
      <c r="B187" s="4"/>
      <c r="C187" s="55" t="s">
        <v>5096</v>
      </c>
      <c r="D187" s="4" t="s">
        <v>5097</v>
      </c>
      <c r="E187" s="4" t="s">
        <v>114</v>
      </c>
      <c r="F187" s="55" t="s">
        <v>5098</v>
      </c>
      <c r="G187" s="4" t="s">
        <v>67</v>
      </c>
      <c r="H187" s="4" t="s">
        <v>68</v>
      </c>
      <c r="I187" s="4" t="s">
        <v>2494</v>
      </c>
      <c r="J187" s="55" t="s">
        <v>297</v>
      </c>
      <c r="K187" s="4" t="s">
        <v>71</v>
      </c>
      <c r="L187" s="4" t="s">
        <v>3487</v>
      </c>
      <c r="M187" s="4" t="s">
        <v>308</v>
      </c>
      <c r="N187" s="4" t="s">
        <v>74</v>
      </c>
      <c r="O187" s="4" t="s">
        <v>75</v>
      </c>
      <c r="P187" s="4" t="s">
        <v>4951</v>
      </c>
      <c r="Q187" s="57">
        <v>45338</v>
      </c>
      <c r="R187" s="57">
        <v>45356</v>
      </c>
      <c r="S187" s="113"/>
      <c r="T187" s="113"/>
      <c r="U187" s="4"/>
      <c r="V187" s="4"/>
      <c r="W187" s="105" t="s">
        <v>5099</v>
      </c>
      <c r="X187" s="114">
        <v>1673316545</v>
      </c>
      <c r="Y187" s="55" t="s">
        <v>81</v>
      </c>
      <c r="Z187" s="4" t="s">
        <v>5100</v>
      </c>
      <c r="AA187" s="4" t="s">
        <v>5101</v>
      </c>
      <c r="AB187" s="4" t="s">
        <v>5102</v>
      </c>
      <c r="AC187" s="4" t="s">
        <v>133</v>
      </c>
      <c r="AD187" s="113">
        <v>32778</v>
      </c>
      <c r="AE187" s="107">
        <v>23.7808219178082</v>
      </c>
      <c r="AF187" s="4" t="s">
        <v>80</v>
      </c>
      <c r="AG187" s="114">
        <v>4198790018</v>
      </c>
      <c r="AH187" s="4" t="s">
        <v>81</v>
      </c>
      <c r="AI187" s="55" t="s">
        <v>254</v>
      </c>
      <c r="AJ187" s="55" t="s">
        <v>81</v>
      </c>
      <c r="AK187" s="55">
        <v>2013</v>
      </c>
      <c r="AL187" s="4" t="s">
        <v>5103</v>
      </c>
      <c r="AM187" s="4" t="s">
        <v>5104</v>
      </c>
      <c r="AN187" s="4" t="s">
        <v>2177</v>
      </c>
      <c r="AO187" s="4" t="s">
        <v>5105</v>
      </c>
      <c r="AP187" s="4" t="s">
        <v>5105</v>
      </c>
      <c r="AQ187" s="55" t="s">
        <v>4540</v>
      </c>
      <c r="AR187" s="4" t="s">
        <v>110</v>
      </c>
      <c r="AS187" s="4" t="s">
        <v>81</v>
      </c>
      <c r="AT187" s="72" t="s">
        <v>81</v>
      </c>
      <c r="AU187" s="4" t="s">
        <v>81</v>
      </c>
      <c r="AV187" s="4" t="s">
        <v>81</v>
      </c>
      <c r="AW187" s="4" t="s">
        <v>81</v>
      </c>
      <c r="AX187" s="4" t="s">
        <v>81</v>
      </c>
      <c r="AY187" s="4"/>
      <c r="AZ187" s="4"/>
      <c r="BA187" s="4" t="s">
        <v>3498</v>
      </c>
      <c r="BB187" s="4">
        <v>10800</v>
      </c>
      <c r="BC187" s="4">
        <v>2700</v>
      </c>
      <c r="BD187" s="4">
        <v>0</v>
      </c>
      <c r="BE187" s="4" t="s">
        <v>91</v>
      </c>
      <c r="BF187" s="4"/>
      <c r="BG187" s="4"/>
      <c r="BH187" s="4" t="s">
        <v>3510</v>
      </c>
      <c r="BI187" s="72">
        <f>VLOOKUP(A187,'ID Block'!A:L,12,0)</f>
        <v>45418</v>
      </c>
      <c r="BJ187" s="154" t="str">
        <f>VLOOKUP(A187,'ID Block'!A:M,13,0)</f>
        <v>Better oppurtunity</v>
      </c>
      <c r="BK187" s="4">
        <f t="shared" si="2"/>
        <v>62</v>
      </c>
      <c r="BL187" s="105" t="s">
        <v>168</v>
      </c>
      <c r="BM187" s="10"/>
      <c r="BN187" s="183" t="s">
        <v>3796</v>
      </c>
      <c r="BO187" s="183"/>
    </row>
    <row r="188" ht="14.4" s="67" customFormat="1">
      <c r="A188" s="4">
        <v>171432</v>
      </c>
      <c r="B188" s="4"/>
      <c r="C188" s="55" t="s">
        <v>5106</v>
      </c>
      <c r="D188" s="4" t="s">
        <v>5107</v>
      </c>
      <c r="E188" s="4" t="s">
        <v>114</v>
      </c>
      <c r="F188" s="55"/>
      <c r="G188" s="4" t="s">
        <v>67</v>
      </c>
      <c r="H188" s="4" t="s">
        <v>68</v>
      </c>
      <c r="I188" s="4" t="s">
        <v>2494</v>
      </c>
      <c r="J188" s="55" t="s">
        <v>155</v>
      </c>
      <c r="K188" s="4" t="s">
        <v>71</v>
      </c>
      <c r="L188" s="4" t="s">
        <v>3487</v>
      </c>
      <c r="M188" s="4" t="s">
        <v>196</v>
      </c>
      <c r="N188" s="4" t="s">
        <v>74</v>
      </c>
      <c r="O188" s="4" t="s">
        <v>75</v>
      </c>
      <c r="P188" s="4" t="s">
        <v>5054</v>
      </c>
      <c r="Q188" s="57">
        <v>45397</v>
      </c>
      <c r="R188" s="57">
        <v>45415</v>
      </c>
      <c r="S188" s="113"/>
      <c r="T188" s="113"/>
      <c r="U188" s="4"/>
      <c r="V188" s="4"/>
      <c r="W188" s="105" t="s">
        <v>5108</v>
      </c>
      <c r="X188" s="114">
        <v>1723540478</v>
      </c>
      <c r="Y188" s="55"/>
      <c r="Z188" s="4" t="s">
        <v>5109</v>
      </c>
      <c r="AA188" s="4">
        <v>1747897791</v>
      </c>
      <c r="AB188" s="4" t="s">
        <v>186</v>
      </c>
      <c r="AC188" s="4" t="s">
        <v>102</v>
      </c>
      <c r="AD188" s="113">
        <v>34707</v>
      </c>
      <c r="AE188" s="107"/>
      <c r="AF188" s="4" t="s">
        <v>4544</v>
      </c>
      <c r="AG188" s="114">
        <v>2842003614</v>
      </c>
      <c r="AH188" s="4" t="s">
        <v>81</v>
      </c>
      <c r="AI188" s="55" t="s">
        <v>5110</v>
      </c>
      <c r="AJ188" s="55"/>
      <c r="AK188" s="55">
        <v>2018</v>
      </c>
      <c r="AL188" s="4" t="s">
        <v>5111</v>
      </c>
      <c r="AM188" s="4" t="s">
        <v>5112</v>
      </c>
      <c r="AN188" s="4" t="s">
        <v>5113</v>
      </c>
      <c r="AO188" s="4" t="s">
        <v>5114</v>
      </c>
      <c r="AP188" s="4" t="s">
        <v>5115</v>
      </c>
      <c r="AQ188" s="55" t="s">
        <v>5116</v>
      </c>
      <c r="AR188" s="4"/>
      <c r="AS188" s="4"/>
      <c r="AT188" s="72"/>
      <c r="AU188" s="4"/>
      <c r="AV188" s="4" t="s">
        <v>81</v>
      </c>
      <c r="AW188" s="4" t="s">
        <v>81</v>
      </c>
      <c r="AX188" s="4" t="s">
        <v>81</v>
      </c>
      <c r="AY188" s="4" t="s">
        <v>81</v>
      </c>
      <c r="AZ188" s="4" t="s">
        <v>81</v>
      </c>
      <c r="BA188" s="4" t="s">
        <v>3498</v>
      </c>
      <c r="BB188" s="4">
        <v>10800</v>
      </c>
      <c r="BC188" s="4">
        <v>2700</v>
      </c>
      <c r="BD188" s="4">
        <v>1000</v>
      </c>
      <c r="BE188" s="4" t="s">
        <v>166</v>
      </c>
      <c r="BF188" s="4"/>
      <c r="BG188" s="4"/>
      <c r="BH188" s="4" t="s">
        <v>3510</v>
      </c>
      <c r="BI188" s="72">
        <f>VLOOKUP(A188,'ID Block'!A:L,12,0)</f>
        <v>45428</v>
      </c>
      <c r="BJ188" s="154" t="str">
        <f>VLOOKUP(A188,'ID Block'!A:M,13,0)</f>
        <v>Better oppurtunity</v>
      </c>
      <c r="BK188" s="4">
        <f t="shared" si="2"/>
        <v>13</v>
      </c>
      <c r="BL188" s="105" t="s">
        <v>168</v>
      </c>
      <c r="BM188" s="10"/>
      <c r="BN188" s="183" t="s">
        <v>5076</v>
      </c>
      <c r="BO188" s="183"/>
    </row>
    <row r="189" ht="14.4" s="67" customFormat="1">
      <c r="A189" s="4">
        <v>171273</v>
      </c>
      <c r="B189" s="4"/>
      <c r="C189" s="55" t="s">
        <v>2801</v>
      </c>
      <c r="D189" s="4" t="s">
        <v>5117</v>
      </c>
      <c r="E189" s="4" t="s">
        <v>114</v>
      </c>
      <c r="F189" s="55">
        <v>1110249991</v>
      </c>
      <c r="G189" s="4" t="s">
        <v>67</v>
      </c>
      <c r="H189" s="4" t="s">
        <v>68</v>
      </c>
      <c r="I189" s="4" t="s">
        <v>2494</v>
      </c>
      <c r="J189" s="55" t="s">
        <v>297</v>
      </c>
      <c r="K189" s="4" t="s">
        <v>71</v>
      </c>
      <c r="L189" s="4" t="s">
        <v>3487</v>
      </c>
      <c r="M189" s="4" t="s">
        <v>2643</v>
      </c>
      <c r="N189" s="4" t="s">
        <v>74</v>
      </c>
      <c r="O189" s="4" t="s">
        <v>75</v>
      </c>
      <c r="P189" s="4" t="s">
        <v>4143</v>
      </c>
      <c r="Q189" s="57">
        <v>45256</v>
      </c>
      <c r="R189" s="57">
        <v>45261</v>
      </c>
      <c r="S189" s="113"/>
      <c r="T189" s="113"/>
      <c r="U189" s="4"/>
      <c r="V189" s="4"/>
      <c r="W189" s="105" t="s">
        <v>5118</v>
      </c>
      <c r="X189" s="114">
        <v>1556351610</v>
      </c>
      <c r="Y189" s="55">
        <v>1794528780</v>
      </c>
      <c r="Z189" s="4" t="s">
        <v>5119</v>
      </c>
      <c r="AA189" s="4">
        <v>1611773686</v>
      </c>
      <c r="AB189" s="4" t="s">
        <v>132</v>
      </c>
      <c r="AC189" s="4" t="s">
        <v>79</v>
      </c>
      <c r="AD189" s="113">
        <v>36431</v>
      </c>
      <c r="AE189" s="107">
        <v>24.372602739726</v>
      </c>
      <c r="AF189" s="4" t="s">
        <v>80</v>
      </c>
      <c r="AG189" s="114">
        <v>1507648887</v>
      </c>
      <c r="AH189" s="4" t="s">
        <v>81</v>
      </c>
      <c r="AI189" s="55" t="s">
        <v>723</v>
      </c>
      <c r="AJ189" s="55" t="s">
        <v>5120</v>
      </c>
      <c r="AK189" s="55">
        <v>2021</v>
      </c>
      <c r="AL189" s="4" t="s">
        <v>5121</v>
      </c>
      <c r="AM189" s="4" t="s">
        <v>5122</v>
      </c>
      <c r="AN189" s="4" t="s">
        <v>5119</v>
      </c>
      <c r="AO189" s="4" t="s">
        <v>5123</v>
      </c>
      <c r="AP189" s="4" t="s">
        <v>5124</v>
      </c>
      <c r="AQ189" s="55" t="s">
        <v>88</v>
      </c>
      <c r="AR189" s="4" t="s">
        <v>110</v>
      </c>
      <c r="AS189" s="4" t="s">
        <v>81</v>
      </c>
      <c r="AT189" s="72" t="s">
        <v>81</v>
      </c>
      <c r="AU189" s="4" t="s">
        <v>81</v>
      </c>
      <c r="AV189" s="4" t="s">
        <v>81</v>
      </c>
      <c r="AW189" s="4" t="s">
        <v>81</v>
      </c>
      <c r="AX189" s="4" t="s">
        <v>81</v>
      </c>
      <c r="AY189" s="4"/>
      <c r="AZ189" s="4"/>
      <c r="BA189" s="4" t="s">
        <v>3498</v>
      </c>
      <c r="BB189" s="4">
        <v>10800</v>
      </c>
      <c r="BC189" s="4">
        <v>2700</v>
      </c>
      <c r="BD189" s="4">
        <v>0</v>
      </c>
      <c r="BE189" s="4" t="s">
        <v>91</v>
      </c>
      <c r="BF189" s="4"/>
      <c r="BG189" s="4"/>
      <c r="BH189" s="4" t="s">
        <v>3510</v>
      </c>
      <c r="BI189" s="72">
        <f>VLOOKUP(A189,'ID Block'!A:L,12,0)</f>
        <v>45430</v>
      </c>
      <c r="BJ189" s="154" t="str">
        <f>VLOOKUP(A189,'ID Block'!A:M,13,0)</f>
        <v>Personal Reason</v>
      </c>
      <c r="BK189" s="4">
        <f t="shared" si="2"/>
        <v>169</v>
      </c>
      <c r="BL189" s="105" t="s">
        <v>168</v>
      </c>
      <c r="BM189" s="10"/>
      <c r="BN189" s="183" t="s">
        <v>5125</v>
      </c>
      <c r="BO189" s="183"/>
    </row>
    <row r="190" ht="14.4" s="67" customFormat="1">
      <c r="A190" s="4">
        <v>171159</v>
      </c>
      <c r="B190" s="4"/>
      <c r="C190" s="55"/>
      <c r="D190" s="4" t="s">
        <v>381</v>
      </c>
      <c r="E190" s="4" t="s">
        <v>114</v>
      </c>
      <c r="F190" s="55">
        <v>658428</v>
      </c>
      <c r="G190" s="4" t="s">
        <v>67</v>
      </c>
      <c r="H190" s="4" t="s">
        <v>68</v>
      </c>
      <c r="I190" s="4" t="s">
        <v>2494</v>
      </c>
      <c r="J190" s="55" t="s">
        <v>307</v>
      </c>
      <c r="K190" s="4" t="s">
        <v>71</v>
      </c>
      <c r="L190" s="4" t="s">
        <v>3487</v>
      </c>
      <c r="M190" s="4" t="s">
        <v>98</v>
      </c>
      <c r="N190" s="4" t="s">
        <v>74</v>
      </c>
      <c r="O190" s="4" t="s">
        <v>75</v>
      </c>
      <c r="P190" s="4" t="s">
        <v>3987</v>
      </c>
      <c r="Q190" s="57">
        <v>45208</v>
      </c>
      <c r="R190" s="57">
        <v>45211</v>
      </c>
      <c r="S190" s="113"/>
      <c r="T190" s="113"/>
      <c r="U190" s="4"/>
      <c r="V190" s="4"/>
      <c r="W190" s="105" t="s">
        <v>5126</v>
      </c>
      <c r="X190" s="114">
        <v>1787440266</v>
      </c>
      <c r="Y190" s="55">
        <v>1750267038</v>
      </c>
      <c r="Z190" s="4" t="s">
        <v>5127</v>
      </c>
      <c r="AA190" s="4">
        <v>1771744281</v>
      </c>
      <c r="AB190" s="4" t="s">
        <v>382</v>
      </c>
      <c r="AC190" s="4" t="s">
        <v>102</v>
      </c>
      <c r="AD190" s="113">
        <v>35317</v>
      </c>
      <c r="AE190" s="107">
        <v>27.4246575342466</v>
      </c>
      <c r="AF190" s="4" t="s">
        <v>80</v>
      </c>
      <c r="AG190" s="114">
        <v>8708702264</v>
      </c>
      <c r="AH190" s="4" t="s">
        <v>81</v>
      </c>
      <c r="AI190" s="55" t="s">
        <v>265</v>
      </c>
      <c r="AJ190" s="55" t="s">
        <v>81</v>
      </c>
      <c r="AK190" s="55">
        <v>2020</v>
      </c>
      <c r="AL190" s="4" t="s">
        <v>5128</v>
      </c>
      <c r="AM190" s="4" t="s">
        <v>5129</v>
      </c>
      <c r="AN190" s="4" t="s">
        <v>5130</v>
      </c>
      <c r="AO190" s="4" t="s">
        <v>5131</v>
      </c>
      <c r="AP190" s="4" t="s">
        <v>5132</v>
      </c>
      <c r="AQ190" s="55" t="s">
        <v>88</v>
      </c>
      <c r="AR190" s="4" t="s">
        <v>110</v>
      </c>
      <c r="AS190" s="4"/>
      <c r="AT190" s="72"/>
      <c r="AU190" s="4"/>
      <c r="AV190" s="4"/>
      <c r="AW190" s="4"/>
      <c r="AX190" s="4"/>
      <c r="AY190" s="4"/>
      <c r="AZ190" s="4"/>
      <c r="BA190" s="4" t="s">
        <v>3498</v>
      </c>
      <c r="BB190" s="4">
        <v>10800</v>
      </c>
      <c r="BC190" s="4">
        <v>2700</v>
      </c>
      <c r="BD190" s="4">
        <v>0</v>
      </c>
      <c r="BE190" s="4" t="s">
        <v>296</v>
      </c>
      <c r="BF190" s="4"/>
      <c r="BG190" s="4"/>
      <c r="BH190" s="4" t="s">
        <v>3510</v>
      </c>
      <c r="BI190" s="72">
        <f>VLOOKUP(A190,'ID Block'!A:L,12,0)</f>
        <v>45434</v>
      </c>
      <c r="BJ190" s="154" t="str">
        <f>VLOOKUP(A190,'ID Block'!A:M,13,0)</f>
        <v>Fmily Issue(mother's sickness)</v>
      </c>
      <c r="BK190" s="4">
        <f t="shared" si="2"/>
        <v>223</v>
      </c>
      <c r="BL190" s="105" t="s">
        <v>168</v>
      </c>
      <c r="BM190" s="10"/>
      <c r="BN190" s="183" t="s">
        <v>5133</v>
      </c>
      <c r="BO190" s="183"/>
    </row>
    <row r="191" ht="14.4" s="67" customFormat="1">
      <c r="A191" s="4">
        <v>171379</v>
      </c>
      <c r="B191" s="4"/>
      <c r="C191" s="55" t="s">
        <v>5134</v>
      </c>
      <c r="D191" s="4" t="s">
        <v>5135</v>
      </c>
      <c r="E191" s="4" t="s">
        <v>114</v>
      </c>
      <c r="F191" s="55">
        <v>1210635895</v>
      </c>
      <c r="G191" s="4" t="s">
        <v>67</v>
      </c>
      <c r="H191" s="4" t="s">
        <v>68</v>
      </c>
      <c r="I191" s="4" t="s">
        <v>2494</v>
      </c>
      <c r="J191" s="55" t="s">
        <v>155</v>
      </c>
      <c r="K191" s="4" t="s">
        <v>71</v>
      </c>
      <c r="L191" s="4" t="s">
        <v>3487</v>
      </c>
      <c r="M191" s="4" t="s">
        <v>196</v>
      </c>
      <c r="N191" s="4" t="s">
        <v>74</v>
      </c>
      <c r="O191" s="4" t="s">
        <v>75</v>
      </c>
      <c r="P191" s="4" t="s">
        <v>4942</v>
      </c>
      <c r="Q191" s="57">
        <v>45353</v>
      </c>
      <c r="R191" s="57">
        <v>45371</v>
      </c>
      <c r="S191" s="113"/>
      <c r="T191" s="113"/>
      <c r="U191" s="4"/>
      <c r="V191" s="4"/>
      <c r="W191" s="105" t="s">
        <v>5136</v>
      </c>
      <c r="X191" s="114">
        <v>1311015450</v>
      </c>
      <c r="Y191" s="55">
        <v>1643074540</v>
      </c>
      <c r="Z191" s="4" t="s">
        <v>5137</v>
      </c>
      <c r="AA191" s="4">
        <v>1631494176</v>
      </c>
      <c r="AB191" s="4" t="s">
        <v>5138</v>
      </c>
      <c r="AC191" s="4" t="s">
        <v>79</v>
      </c>
      <c r="AD191" s="113">
        <v>36273</v>
      </c>
      <c r="AE191" s="107">
        <v>23.7808219178082</v>
      </c>
      <c r="AF191" s="4" t="s">
        <v>5139</v>
      </c>
      <c r="AG191" s="114">
        <v>1954695993</v>
      </c>
      <c r="AH191" s="4" t="s">
        <v>81</v>
      </c>
      <c r="AI191" s="55" t="s">
        <v>5140</v>
      </c>
      <c r="AJ191" s="55" t="s">
        <v>81</v>
      </c>
      <c r="AK191" s="55">
        <v>2021</v>
      </c>
      <c r="AL191" s="4" t="s">
        <v>5141</v>
      </c>
      <c r="AM191" s="4" t="s">
        <v>5142</v>
      </c>
      <c r="AN191" s="4" t="s">
        <v>5143</v>
      </c>
      <c r="AO191" s="4" t="s">
        <v>5144</v>
      </c>
      <c r="AP191" s="4" t="s">
        <v>5145</v>
      </c>
      <c r="AQ191" s="55" t="s">
        <v>366</v>
      </c>
      <c r="AR191" s="4" t="s">
        <v>110</v>
      </c>
      <c r="AS191" s="4" t="s">
        <v>81</v>
      </c>
      <c r="AT191" s="72" t="s">
        <v>81</v>
      </c>
      <c r="AU191" s="4" t="s">
        <v>81</v>
      </c>
      <c r="AV191" s="4" t="s">
        <v>81</v>
      </c>
      <c r="AW191" s="4" t="s">
        <v>81</v>
      </c>
      <c r="AX191" s="4" t="s">
        <v>81</v>
      </c>
      <c r="AY191" s="4"/>
      <c r="AZ191" s="4"/>
      <c r="BA191" s="4" t="s">
        <v>3498</v>
      </c>
      <c r="BB191" s="4">
        <v>10800</v>
      </c>
      <c r="BC191" s="4">
        <v>2700</v>
      </c>
      <c r="BD191" s="4">
        <v>1000</v>
      </c>
      <c r="BE191" s="4" t="s">
        <v>166</v>
      </c>
      <c r="BF191" s="4"/>
      <c r="BG191" s="4"/>
      <c r="BH191" s="4" t="s">
        <v>3510</v>
      </c>
      <c r="BI191" s="72">
        <f>VLOOKUP(A191,'ID Block'!A:L,12,0)</f>
        <v>45436</v>
      </c>
      <c r="BJ191" s="154" t="str">
        <f>VLOOKUP(A191,'ID Block'!A:M,13,0)</f>
        <v>Better Opportunity</v>
      </c>
      <c r="BK191" s="4">
        <f t="shared" si="2"/>
        <v>65</v>
      </c>
      <c r="BL191" s="105" t="s">
        <v>168</v>
      </c>
      <c r="BM191" s="10"/>
      <c r="BN191" s="183" t="s">
        <v>3796</v>
      </c>
      <c r="BO191" s="183"/>
    </row>
    <row r="192" ht="14.4" s="67" customFormat="1">
      <c r="A192" s="4">
        <v>171199</v>
      </c>
      <c r="B192" s="4"/>
      <c r="C192" s="55"/>
      <c r="D192" s="4" t="s">
        <v>4322</v>
      </c>
      <c r="E192" s="4" t="s">
        <v>114</v>
      </c>
      <c r="F192" s="55">
        <v>1415193500</v>
      </c>
      <c r="G192" s="4" t="s">
        <v>67</v>
      </c>
      <c r="H192" s="4" t="s">
        <v>68</v>
      </c>
      <c r="I192" s="4" t="s">
        <v>2494</v>
      </c>
      <c r="J192" s="55" t="s">
        <v>319</v>
      </c>
      <c r="K192" s="4" t="s">
        <v>71</v>
      </c>
      <c r="L192" s="4" t="s">
        <v>3487</v>
      </c>
      <c r="M192" s="4" t="s">
        <v>2643</v>
      </c>
      <c r="N192" s="4" t="s">
        <v>74</v>
      </c>
      <c r="O192" s="4" t="s">
        <v>75</v>
      </c>
      <c r="P192" s="4" t="s">
        <v>4178</v>
      </c>
      <c r="Q192" s="57">
        <v>45225</v>
      </c>
      <c r="R192" s="57">
        <v>45235</v>
      </c>
      <c r="S192" s="113"/>
      <c r="T192" s="113"/>
      <c r="U192" s="4"/>
      <c r="V192" s="4"/>
      <c r="W192" s="105" t="s">
        <v>4994</v>
      </c>
      <c r="X192" s="114">
        <v>1865384419</v>
      </c>
      <c r="Y192" s="55" t="s">
        <v>81</v>
      </c>
      <c r="Z192" s="4" t="s">
        <v>4995</v>
      </c>
      <c r="AA192" s="4">
        <v>183006345</v>
      </c>
      <c r="AB192" s="4" t="s">
        <v>252</v>
      </c>
      <c r="AC192" s="4" t="s">
        <v>133</v>
      </c>
      <c r="AD192" s="113">
        <v>37250</v>
      </c>
      <c r="AE192" s="107">
        <v>22.1287671232877</v>
      </c>
      <c r="AF192" s="4" t="s">
        <v>80</v>
      </c>
      <c r="AG192" s="114">
        <v>2862202922</v>
      </c>
      <c r="AH192" s="4" t="s">
        <v>81</v>
      </c>
      <c r="AI192" s="55" t="s">
        <v>322</v>
      </c>
      <c r="AJ192" s="55" t="s">
        <v>81</v>
      </c>
      <c r="AK192" s="55">
        <v>2023</v>
      </c>
      <c r="AL192" s="4" t="s">
        <v>4996</v>
      </c>
      <c r="AM192" s="4" t="s">
        <v>4997</v>
      </c>
      <c r="AN192" s="4" t="s">
        <v>4998</v>
      </c>
      <c r="AO192" s="4" t="s">
        <v>4999</v>
      </c>
      <c r="AP192" s="4" t="s">
        <v>5000</v>
      </c>
      <c r="AQ192" s="55" t="s">
        <v>285</v>
      </c>
      <c r="AR192" s="4" t="s">
        <v>110</v>
      </c>
      <c r="AS192" s="4" t="s">
        <v>81</v>
      </c>
      <c r="AT192" s="72" t="s">
        <v>81</v>
      </c>
      <c r="AU192" s="4" t="s">
        <v>81</v>
      </c>
      <c r="AV192" s="4" t="s">
        <v>81</v>
      </c>
      <c r="AW192" s="4"/>
      <c r="AX192" s="4"/>
      <c r="AY192" s="4"/>
      <c r="AZ192" s="4"/>
      <c r="BA192" s="4" t="s">
        <v>3498</v>
      </c>
      <c r="BB192" s="4">
        <v>10800</v>
      </c>
      <c r="BC192" s="4">
        <v>2700</v>
      </c>
      <c r="BD192" s="4">
        <v>0</v>
      </c>
      <c r="BE192" s="4" t="s">
        <v>296</v>
      </c>
      <c r="BF192" s="4"/>
      <c r="BG192" s="4"/>
      <c r="BH192" s="4" t="s">
        <v>3510</v>
      </c>
      <c r="BI192" s="72">
        <f>VLOOKUP(A192,'ID Block'!A:L,12,0)</f>
        <v>45436</v>
      </c>
      <c r="BJ192" s="154" t="str">
        <f>VLOOKUP(A192,'ID Block'!A:M,13,0)</f>
        <v>Education Purpose </v>
      </c>
      <c r="BK192" s="4">
        <f t="shared" si="2"/>
        <v>201</v>
      </c>
      <c r="BL192" s="105" t="s">
        <v>168</v>
      </c>
      <c r="BM192" s="10"/>
      <c r="BN192" s="183" t="s">
        <v>5146</v>
      </c>
      <c r="BO192" s="183"/>
    </row>
    <row r="193" ht="14.4" s="67" customFormat="1">
      <c r="A193" s="4">
        <v>171347</v>
      </c>
      <c r="B193" s="4"/>
      <c r="C193" s="55" t="s">
        <v>5147</v>
      </c>
      <c r="D193" s="4" t="s">
        <v>5148</v>
      </c>
      <c r="E193" s="4" t="s">
        <v>114</v>
      </c>
      <c r="F193" s="55">
        <v>131779</v>
      </c>
      <c r="G193" s="4" t="s">
        <v>67</v>
      </c>
      <c r="H193" s="4" t="s">
        <v>68</v>
      </c>
      <c r="I193" s="4" t="s">
        <v>2494</v>
      </c>
      <c r="J193" s="55" t="s">
        <v>155</v>
      </c>
      <c r="K193" s="4" t="s">
        <v>71</v>
      </c>
      <c r="L193" s="4" t="s">
        <v>3487</v>
      </c>
      <c r="M193" s="4" t="s">
        <v>196</v>
      </c>
      <c r="N193" s="4" t="s">
        <v>74</v>
      </c>
      <c r="O193" s="4" t="s">
        <v>75</v>
      </c>
      <c r="P193" s="4" t="s">
        <v>4951</v>
      </c>
      <c r="Q193" s="57">
        <v>45338</v>
      </c>
      <c r="R193" s="57">
        <v>45363</v>
      </c>
      <c r="S193" s="113"/>
      <c r="T193" s="113"/>
      <c r="U193" s="4"/>
      <c r="V193" s="4"/>
      <c r="W193" s="105" t="s">
        <v>5149</v>
      </c>
      <c r="X193" s="114">
        <v>1749254351</v>
      </c>
      <c r="Y193" s="55">
        <v>1306057504</v>
      </c>
      <c r="Z193" s="4" t="s">
        <v>5150</v>
      </c>
      <c r="AA193" s="4">
        <v>1306057504</v>
      </c>
      <c r="AB193" s="4" t="s">
        <v>252</v>
      </c>
      <c r="AC193" s="4" t="s">
        <v>79</v>
      </c>
      <c r="AD193" s="113">
        <v>35430</v>
      </c>
      <c r="AE193" s="107">
        <v>23.7808219178082</v>
      </c>
      <c r="AF193" s="4" t="s">
        <v>80</v>
      </c>
      <c r="AG193" s="114">
        <v>5545201450</v>
      </c>
      <c r="AH193" s="4" t="s">
        <v>81</v>
      </c>
      <c r="AI193" s="55" t="s">
        <v>445</v>
      </c>
      <c r="AJ193" s="55" t="s">
        <v>81</v>
      </c>
      <c r="AK193" s="55">
        <v>2018</v>
      </c>
      <c r="AL193" s="4" t="s">
        <v>5151</v>
      </c>
      <c r="AM193" s="4" t="s">
        <v>413</v>
      </c>
      <c r="AN193" s="4" t="s">
        <v>5152</v>
      </c>
      <c r="AO193" s="4" t="s">
        <v>5153</v>
      </c>
      <c r="AP193" s="4" t="s">
        <v>5154</v>
      </c>
      <c r="AQ193" s="55" t="s">
        <v>285</v>
      </c>
      <c r="AR193" s="4" t="s">
        <v>110</v>
      </c>
      <c r="AS193" s="4" t="s">
        <v>81</v>
      </c>
      <c r="AT193" s="72" t="s">
        <v>81</v>
      </c>
      <c r="AU193" s="4" t="s">
        <v>81</v>
      </c>
      <c r="AV193" s="4" t="s">
        <v>81</v>
      </c>
      <c r="AW193" s="4" t="s">
        <v>81</v>
      </c>
      <c r="AX193" s="4" t="s">
        <v>81</v>
      </c>
      <c r="AY193" s="4"/>
      <c r="AZ193" s="4"/>
      <c r="BA193" s="4" t="s">
        <v>3498</v>
      </c>
      <c r="BB193" s="4">
        <v>10800</v>
      </c>
      <c r="BC193" s="4">
        <v>2700</v>
      </c>
      <c r="BD193" s="4">
        <v>1000</v>
      </c>
      <c r="BE193" s="4" t="s">
        <v>166</v>
      </c>
      <c r="BF193" s="4"/>
      <c r="BG193" s="4"/>
      <c r="BH193" s="4" t="s">
        <v>3510</v>
      </c>
      <c r="BI193" s="72">
        <f>VLOOKUP(A193,'ID Block'!A:L,12,0)</f>
        <v>45435</v>
      </c>
      <c r="BJ193" s="154" t="str">
        <f>VLOOKUP(A193,'ID Block'!A:M,13,0)</f>
        <v>Better Opportunity</v>
      </c>
      <c r="BK193" s="4">
        <f t="shared" si="2"/>
        <v>72</v>
      </c>
      <c r="BL193" s="105" t="s">
        <v>168</v>
      </c>
      <c r="BM193" s="10"/>
      <c r="BN193" s="183" t="s">
        <v>4035</v>
      </c>
      <c r="BO193" s="183"/>
    </row>
    <row r="194" ht="14.4" s="67" customFormat="1">
      <c r="A194" s="4">
        <v>171433</v>
      </c>
      <c r="B194" s="4"/>
      <c r="C194" s="55" t="s">
        <v>5155</v>
      </c>
      <c r="D194" s="4" t="s">
        <v>5156</v>
      </c>
      <c r="E194" s="4" t="s">
        <v>114</v>
      </c>
      <c r="F194" s="55">
        <v>972968</v>
      </c>
      <c r="G194" s="4" t="s">
        <v>67</v>
      </c>
      <c r="H194" s="4" t="s">
        <v>68</v>
      </c>
      <c r="I194" s="4" t="s">
        <v>2494</v>
      </c>
      <c r="J194" s="55" t="s">
        <v>155</v>
      </c>
      <c r="K194" s="4" t="s">
        <v>71</v>
      </c>
      <c r="L194" s="4" t="s">
        <v>3487</v>
      </c>
      <c r="M194" s="4" t="s">
        <v>196</v>
      </c>
      <c r="N194" s="4" t="s">
        <v>74</v>
      </c>
      <c r="O194" s="4" t="s">
        <v>75</v>
      </c>
      <c r="P194" s="4" t="s">
        <v>5054</v>
      </c>
      <c r="Q194" s="57">
        <v>45397</v>
      </c>
      <c r="R194" s="57">
        <v>45423</v>
      </c>
      <c r="S194" s="113"/>
      <c r="T194" s="113"/>
      <c r="U194" s="4"/>
      <c r="V194" s="4"/>
      <c r="W194" s="105" t="s">
        <v>5157</v>
      </c>
      <c r="X194" s="114">
        <v>1718037276</v>
      </c>
      <c r="Y194" s="55">
        <v>1571462203</v>
      </c>
      <c r="Z194" s="4" t="s">
        <v>3303</v>
      </c>
      <c r="AA194" s="4">
        <v>15171462203</v>
      </c>
      <c r="AB194" s="4" t="s">
        <v>132</v>
      </c>
      <c r="AC194" s="4" t="s">
        <v>133</v>
      </c>
      <c r="AD194" s="113">
        <v>34407</v>
      </c>
      <c r="AE194" s="107"/>
      <c r="AF194" s="4" t="s">
        <v>80</v>
      </c>
      <c r="AG194" s="114" t="s">
        <v>5158</v>
      </c>
      <c r="AH194" s="4" t="s">
        <v>81</v>
      </c>
      <c r="AI194" s="55" t="s">
        <v>925</v>
      </c>
      <c r="AJ194" s="55" t="s">
        <v>81</v>
      </c>
      <c r="AK194" s="55">
        <v>2018</v>
      </c>
      <c r="AL194" s="4" t="s">
        <v>209</v>
      </c>
      <c r="AM194" s="4" t="s">
        <v>5159</v>
      </c>
      <c r="AN194" s="4" t="s">
        <v>3303</v>
      </c>
      <c r="AO194" s="4" t="s">
        <v>5160</v>
      </c>
      <c r="AP194" s="4" t="s">
        <v>5160</v>
      </c>
      <c r="AQ194" s="55" t="s">
        <v>5161</v>
      </c>
      <c r="AR194" s="4" t="s">
        <v>110</v>
      </c>
      <c r="AS194" s="4" t="s">
        <v>81</v>
      </c>
      <c r="AT194" s="72" t="s">
        <v>242</v>
      </c>
      <c r="AU194" s="4" t="s">
        <v>81</v>
      </c>
      <c r="AV194" s="4" t="s">
        <v>81</v>
      </c>
      <c r="AW194" s="4" t="s">
        <v>81</v>
      </c>
      <c r="AX194" s="4" t="s">
        <v>81</v>
      </c>
      <c r="AY194" s="4" t="s">
        <v>81</v>
      </c>
      <c r="AZ194" s="4" t="s">
        <v>81</v>
      </c>
      <c r="BA194" s="4" t="s">
        <v>3498</v>
      </c>
      <c r="BB194" s="4">
        <v>10800</v>
      </c>
      <c r="BC194" s="4">
        <v>2700</v>
      </c>
      <c r="BD194" s="4">
        <v>1000</v>
      </c>
      <c r="BE194" s="4" t="s">
        <v>166</v>
      </c>
      <c r="BF194" s="4"/>
      <c r="BG194" s="4"/>
      <c r="BH194" s="4" t="s">
        <v>3510</v>
      </c>
      <c r="BI194" s="72">
        <f>VLOOKUP(A194,'ID Block'!A:L,12,0)</f>
        <v>45435</v>
      </c>
      <c r="BJ194" s="154" t="str">
        <f>VLOOKUP(A194,'ID Block'!A:M,13,0)</f>
        <v>Better Opportunity</v>
      </c>
      <c r="BK194" s="4">
        <f t="shared" si="2"/>
        <v>12</v>
      </c>
      <c r="BL194" s="105" t="s">
        <v>168</v>
      </c>
      <c r="BM194" s="10"/>
      <c r="BN194" s="183" t="s">
        <v>4035</v>
      </c>
      <c r="BO194" s="183"/>
    </row>
    <row r="195" ht="14.4" s="67" customFormat="1">
      <c r="A195" s="4">
        <v>171404</v>
      </c>
      <c r="B195" s="4"/>
      <c r="C195" s="55" t="s">
        <v>5162</v>
      </c>
      <c r="D195" s="4" t="s">
        <v>5163</v>
      </c>
      <c r="E195" s="4" t="s">
        <v>114</v>
      </c>
      <c r="F195" s="55"/>
      <c r="G195" s="4" t="s">
        <v>67</v>
      </c>
      <c r="H195" s="4" t="s">
        <v>68</v>
      </c>
      <c r="I195" s="4" t="s">
        <v>2494</v>
      </c>
      <c r="J195" s="55" t="s">
        <v>155</v>
      </c>
      <c r="K195" s="4" t="s">
        <v>71</v>
      </c>
      <c r="L195" s="4" t="s">
        <v>3487</v>
      </c>
      <c r="M195" s="4" t="s">
        <v>196</v>
      </c>
      <c r="N195" s="4" t="s">
        <v>74</v>
      </c>
      <c r="O195" s="4" t="s">
        <v>75</v>
      </c>
      <c r="P195" s="4" t="s">
        <v>4900</v>
      </c>
      <c r="Q195" s="57">
        <v>45371</v>
      </c>
      <c r="R195" s="57">
        <v>45389</v>
      </c>
      <c r="S195" s="113"/>
      <c r="T195" s="113"/>
      <c r="U195" s="4"/>
      <c r="V195" s="4"/>
      <c r="W195" s="105" t="s">
        <v>5164</v>
      </c>
      <c r="X195" s="114">
        <v>1675787152</v>
      </c>
      <c r="Y195" s="55">
        <v>1936509950</v>
      </c>
      <c r="Z195" s="4" t="s">
        <v>5165</v>
      </c>
      <c r="AA195" s="4">
        <v>1936509950</v>
      </c>
      <c r="AB195" s="4" t="s">
        <v>5165</v>
      </c>
      <c r="AC195" s="4" t="s">
        <v>133</v>
      </c>
      <c r="AD195" s="113">
        <v>35767</v>
      </c>
      <c r="AE195" s="107">
        <v>23.7808219178082</v>
      </c>
      <c r="AF195" s="4" t="s">
        <v>80</v>
      </c>
      <c r="AG195" s="114">
        <v>8253299278</v>
      </c>
      <c r="AH195" s="4" t="s">
        <v>81</v>
      </c>
      <c r="AI195" s="55" t="s">
        <v>312</v>
      </c>
      <c r="AJ195" s="55" t="s">
        <v>81</v>
      </c>
      <c r="AK195" s="55">
        <v>2022</v>
      </c>
      <c r="AL195" s="4" t="s">
        <v>5166</v>
      </c>
      <c r="AM195" s="4" t="s">
        <v>5167</v>
      </c>
      <c r="AN195" s="4" t="s">
        <v>5168</v>
      </c>
      <c r="AO195" s="4" t="s">
        <v>5169</v>
      </c>
      <c r="AP195" s="4" t="s">
        <v>5170</v>
      </c>
      <c r="AQ195" s="55" t="s">
        <v>151</v>
      </c>
      <c r="AR195" s="4" t="s">
        <v>5171</v>
      </c>
      <c r="AS195" s="4" t="s">
        <v>81</v>
      </c>
      <c r="AT195" s="72" t="s">
        <v>81</v>
      </c>
      <c r="AU195" s="4" t="s">
        <v>81</v>
      </c>
      <c r="AV195" s="4" t="s">
        <v>81</v>
      </c>
      <c r="AW195" s="4" t="s">
        <v>81</v>
      </c>
      <c r="AX195" s="4" t="s">
        <v>81</v>
      </c>
      <c r="AY195" s="4"/>
      <c r="AZ195" s="4"/>
      <c r="BA195" s="4" t="s">
        <v>3498</v>
      </c>
      <c r="BB195" s="4">
        <v>10800</v>
      </c>
      <c r="BC195" s="4">
        <v>2700</v>
      </c>
      <c r="BD195" s="4">
        <v>1000</v>
      </c>
      <c r="BE195" s="4" t="s">
        <v>166</v>
      </c>
      <c r="BF195" s="4"/>
      <c r="BG195" s="4"/>
      <c r="BH195" s="4" t="s">
        <v>3510</v>
      </c>
      <c r="BI195" s="72">
        <f>VLOOKUP(A195,'ID Block'!A:L,12,0)</f>
        <v>45435</v>
      </c>
      <c r="BJ195" s="154" t="str">
        <f>VLOOKUP(A195,'ID Block'!A:M,13,0)</f>
        <v>Better Opportunity</v>
      </c>
      <c r="BK195" s="4">
        <f t="shared" si="2"/>
        <v>46</v>
      </c>
      <c r="BL195" s="105" t="s">
        <v>168</v>
      </c>
      <c r="BM195" s="10"/>
      <c r="BN195" s="183" t="s">
        <v>4035</v>
      </c>
      <c r="BO195" s="183"/>
    </row>
    <row r="196" ht="14.4" s="67" customFormat="1">
      <c r="A196" s="4">
        <v>171223</v>
      </c>
      <c r="B196" s="4"/>
      <c r="C196" s="55" t="s">
        <v>5172</v>
      </c>
      <c r="D196" s="4" t="s">
        <v>5173</v>
      </c>
      <c r="E196" s="4" t="s">
        <v>66</v>
      </c>
      <c r="F196" s="55">
        <v>696926</v>
      </c>
      <c r="G196" s="4" t="s">
        <v>67</v>
      </c>
      <c r="H196" s="4" t="s">
        <v>68</v>
      </c>
      <c r="I196" s="4" t="s">
        <v>2494</v>
      </c>
      <c r="J196" s="55" t="s">
        <v>407</v>
      </c>
      <c r="K196" s="4" t="s">
        <v>71</v>
      </c>
      <c r="L196" s="4" t="s">
        <v>3487</v>
      </c>
      <c r="M196" s="4" t="s">
        <v>2643</v>
      </c>
      <c r="N196" s="4" t="s">
        <v>74</v>
      </c>
      <c r="O196" s="4" t="s">
        <v>75</v>
      </c>
      <c r="P196" s="4" t="s">
        <v>4271</v>
      </c>
      <c r="Q196" s="57">
        <v>45246</v>
      </c>
      <c r="R196" s="57">
        <v>45261</v>
      </c>
      <c r="S196" s="113"/>
      <c r="T196" s="113"/>
      <c r="U196" s="4"/>
      <c r="V196" s="4"/>
      <c r="W196" s="105" t="s">
        <v>5174</v>
      </c>
      <c r="X196" s="114">
        <v>1780346505</v>
      </c>
      <c r="Y196" s="55" t="s">
        <v>81</v>
      </c>
      <c r="Z196" s="4" t="s">
        <v>5175</v>
      </c>
      <c r="AA196" s="4">
        <v>1777007695</v>
      </c>
      <c r="AB196" s="4" t="s">
        <v>144</v>
      </c>
      <c r="AC196" s="4" t="s">
        <v>3903</v>
      </c>
      <c r="AD196" s="113">
        <v>33430</v>
      </c>
      <c r="AE196" s="107">
        <v>32.5945205479452</v>
      </c>
      <c r="AF196" s="4" t="s">
        <v>80</v>
      </c>
      <c r="AG196" s="114">
        <v>6406221207</v>
      </c>
      <c r="AH196" s="4" t="s">
        <v>81</v>
      </c>
      <c r="AI196" s="55" t="s">
        <v>254</v>
      </c>
      <c r="AJ196" s="55" t="s">
        <v>81</v>
      </c>
      <c r="AK196" s="55">
        <v>2014</v>
      </c>
      <c r="AL196" s="4" t="s">
        <v>5176</v>
      </c>
      <c r="AM196" s="4" t="s">
        <v>5177</v>
      </c>
      <c r="AN196" s="4" t="s">
        <v>5178</v>
      </c>
      <c r="AO196" s="4" t="s">
        <v>5179</v>
      </c>
      <c r="AP196" s="4" t="s">
        <v>5180</v>
      </c>
      <c r="AQ196" s="55" t="s">
        <v>5181</v>
      </c>
      <c r="AR196" s="4" t="s">
        <v>110</v>
      </c>
      <c r="AS196" s="4" t="s">
        <v>81</v>
      </c>
      <c r="AT196" s="72" t="s">
        <v>81</v>
      </c>
      <c r="AU196" s="4" t="s">
        <v>81</v>
      </c>
      <c r="AV196" s="4" t="s">
        <v>81</v>
      </c>
      <c r="AW196" s="4" t="s">
        <v>81</v>
      </c>
      <c r="AX196" s="4" t="s">
        <v>81</v>
      </c>
      <c r="AY196" s="4"/>
      <c r="AZ196" s="4"/>
      <c r="BA196" s="4" t="s">
        <v>3498</v>
      </c>
      <c r="BB196" s="4">
        <v>10800</v>
      </c>
      <c r="BC196" s="4">
        <v>2700</v>
      </c>
      <c r="BD196" s="4">
        <v>0</v>
      </c>
      <c r="BE196" s="4" t="s">
        <v>91</v>
      </c>
      <c r="BF196" s="4"/>
      <c r="BG196" s="4"/>
      <c r="BH196" s="4" t="s">
        <v>3510</v>
      </c>
      <c r="BI196" s="72">
        <f>VLOOKUP(A196,'ID Block'!A:L,12,0)</f>
        <v>45441</v>
      </c>
      <c r="BJ196" s="154" t="str">
        <f>VLOOKUP(A196,'ID Block'!A:M,13,0)</f>
        <v>Better Opportunity</v>
      </c>
      <c r="BK196" s="4">
        <f t="shared" si="2"/>
        <v>180</v>
      </c>
      <c r="BL196" s="105" t="s">
        <v>168</v>
      </c>
      <c r="BM196" s="10"/>
      <c r="BN196" s="183" t="s">
        <v>4035</v>
      </c>
      <c r="BO196" s="183"/>
    </row>
    <row r="197" ht="14.4" s="67" customFormat="1">
      <c r="A197" s="4">
        <v>171408</v>
      </c>
      <c r="B197" s="4"/>
      <c r="C197" s="55"/>
      <c r="D197" s="4" t="s">
        <v>5182</v>
      </c>
      <c r="E197" s="4" t="s">
        <v>66</v>
      </c>
      <c r="F197" s="55">
        <v>1210960736</v>
      </c>
      <c r="G197" s="4" t="s">
        <v>67</v>
      </c>
      <c r="H197" s="4" t="s">
        <v>68</v>
      </c>
      <c r="I197" s="4" t="s">
        <v>2494</v>
      </c>
      <c r="J197" s="55" t="s">
        <v>319</v>
      </c>
      <c r="K197" s="4" t="s">
        <v>71</v>
      </c>
      <c r="L197" s="4" t="s">
        <v>3487</v>
      </c>
      <c r="M197" s="4" t="s">
        <v>2643</v>
      </c>
      <c r="N197" s="4" t="s">
        <v>74</v>
      </c>
      <c r="O197" s="4" t="s">
        <v>75</v>
      </c>
      <c r="P197" s="4" t="s">
        <v>5054</v>
      </c>
      <c r="Q197" s="57">
        <v>45397</v>
      </c>
      <c r="R197" s="57">
        <v>45413</v>
      </c>
      <c r="S197" s="113"/>
      <c r="T197" s="113"/>
      <c r="U197" s="4"/>
      <c r="V197" s="4"/>
      <c r="W197" s="105" t="s">
        <v>5183</v>
      </c>
      <c r="X197" s="114">
        <v>1715567742</v>
      </c>
      <c r="Y197" s="55">
        <v>1938358604</v>
      </c>
      <c r="Z197" s="4" t="s">
        <v>5184</v>
      </c>
      <c r="AA197" s="4">
        <v>1993037404</v>
      </c>
      <c r="AB197" s="4" t="s">
        <v>252</v>
      </c>
      <c r="AC197" s="4" t="s">
        <v>119</v>
      </c>
      <c r="AD197" s="113">
        <v>35907</v>
      </c>
      <c r="AE197" s="107">
        <v>23.7808219178082</v>
      </c>
      <c r="AF197" s="4" t="s">
        <v>80</v>
      </c>
      <c r="AG197" s="114">
        <v>4207872674</v>
      </c>
      <c r="AH197" s="4" t="s">
        <v>81</v>
      </c>
      <c r="AI197" s="55" t="s">
        <v>322</v>
      </c>
      <c r="AJ197" s="55" t="s">
        <v>81</v>
      </c>
      <c r="AK197" s="55">
        <v>2024</v>
      </c>
      <c r="AL197" s="4" t="s">
        <v>5185</v>
      </c>
      <c r="AM197" s="4" t="s">
        <v>5186</v>
      </c>
      <c r="AN197" s="4" t="s">
        <v>5187</v>
      </c>
      <c r="AO197" s="4" t="s">
        <v>5188</v>
      </c>
      <c r="AP197" s="4" t="s">
        <v>5188</v>
      </c>
      <c r="AQ197" s="55" t="s">
        <v>285</v>
      </c>
      <c r="AR197" s="4" t="s">
        <v>89</v>
      </c>
      <c r="AS197" s="4" t="s">
        <v>5189</v>
      </c>
      <c r="AT197" s="72">
        <v>36199</v>
      </c>
      <c r="AU197" s="4" t="s">
        <v>81</v>
      </c>
      <c r="AV197" s="4" t="s">
        <v>81</v>
      </c>
      <c r="AW197" s="4" t="s">
        <v>81</v>
      </c>
      <c r="AX197" s="4" t="s">
        <v>81</v>
      </c>
      <c r="AY197" s="4" t="s">
        <v>81</v>
      </c>
      <c r="AZ197" s="4" t="s">
        <v>81</v>
      </c>
      <c r="BA197" s="4" t="s">
        <v>3498</v>
      </c>
      <c r="BB197" s="4">
        <v>10800</v>
      </c>
      <c r="BC197" s="4">
        <v>2700</v>
      </c>
      <c r="BD197" s="4">
        <v>0</v>
      </c>
      <c r="BE197" s="4" t="s">
        <v>91</v>
      </c>
      <c r="BF197" s="4"/>
      <c r="BG197" s="4"/>
      <c r="BH197" s="4" t="s">
        <v>3510</v>
      </c>
      <c r="BI197" s="72">
        <f>VLOOKUP(A197,'ID Block'!A:L,12,0)</f>
        <v>45440</v>
      </c>
      <c r="BJ197" s="154" t="str">
        <f>VLOOKUP(A197,'ID Block'!A:M,13,0)</f>
        <v>Better Opportunity</v>
      </c>
      <c r="BK197" s="4">
        <f ref="BK197:BK260" t="shared" si="3">BI197-R197</f>
        <v>27</v>
      </c>
      <c r="BL197" s="105" t="s">
        <v>168</v>
      </c>
      <c r="BM197" s="10"/>
      <c r="BN197" s="183" t="s">
        <v>4035</v>
      </c>
      <c r="BO197" s="183"/>
    </row>
    <row r="198" ht="14.4" s="67" customFormat="1">
      <c r="A198" s="4">
        <v>171154</v>
      </c>
      <c r="B198" s="4"/>
      <c r="C198" s="55" t="s">
        <v>3059</v>
      </c>
      <c r="D198" s="4" t="s">
        <v>5190</v>
      </c>
      <c r="E198" s="4" t="s">
        <v>114</v>
      </c>
      <c r="F198" s="55">
        <v>1117577519</v>
      </c>
      <c r="G198" s="4" t="s">
        <v>67</v>
      </c>
      <c r="H198" s="4" t="s">
        <v>68</v>
      </c>
      <c r="I198" s="4" t="s">
        <v>2494</v>
      </c>
      <c r="J198" s="55" t="s">
        <v>319</v>
      </c>
      <c r="K198" s="4" t="s">
        <v>71</v>
      </c>
      <c r="L198" s="4" t="s">
        <v>3487</v>
      </c>
      <c r="M198" s="4" t="s">
        <v>115</v>
      </c>
      <c r="N198" s="4" t="s">
        <v>74</v>
      </c>
      <c r="O198" s="4" t="s">
        <v>75</v>
      </c>
      <c r="P198" s="4" t="s">
        <v>3987</v>
      </c>
      <c r="Q198" s="57">
        <v>45206</v>
      </c>
      <c r="R198" s="57">
        <v>45211</v>
      </c>
      <c r="S198" s="113"/>
      <c r="T198" s="113"/>
      <c r="U198" s="4"/>
      <c r="V198" s="4"/>
      <c r="W198" s="105" t="s">
        <v>5191</v>
      </c>
      <c r="X198" s="114">
        <v>1980716717</v>
      </c>
      <c r="Y198" s="55">
        <v>1952848756</v>
      </c>
      <c r="Z198" s="4" t="s">
        <v>5192</v>
      </c>
      <c r="AA198" s="4">
        <v>1954548370</v>
      </c>
      <c r="AB198" s="4" t="s">
        <v>382</v>
      </c>
      <c r="AC198" s="4" t="s">
        <v>2456</v>
      </c>
      <c r="AD198" s="113">
        <v>35708</v>
      </c>
      <c r="AE198" s="107">
        <v>26.3534246575342</v>
      </c>
      <c r="AF198" s="4" t="s">
        <v>80</v>
      </c>
      <c r="AG198" s="114">
        <v>5553208116</v>
      </c>
      <c r="AH198" s="4" t="s">
        <v>81</v>
      </c>
      <c r="AI198" s="55" t="s">
        <v>217</v>
      </c>
      <c r="AJ198" s="55" t="s">
        <v>683</v>
      </c>
      <c r="AK198" s="55">
        <v>2022</v>
      </c>
      <c r="AL198" s="4" t="s">
        <v>5193</v>
      </c>
      <c r="AM198" s="4" t="s">
        <v>5194</v>
      </c>
      <c r="AN198" s="4" t="s">
        <v>5195</v>
      </c>
      <c r="AO198" s="4" t="s">
        <v>5196</v>
      </c>
      <c r="AP198" s="4" t="s">
        <v>5197</v>
      </c>
      <c r="AQ198" s="55" t="s">
        <v>499</v>
      </c>
      <c r="AR198" s="4" t="s">
        <v>3264</v>
      </c>
      <c r="AS198" s="4"/>
      <c r="AT198" s="72"/>
      <c r="AU198" s="4"/>
      <c r="AV198" s="4"/>
      <c r="AW198" s="4"/>
      <c r="AX198" s="4"/>
      <c r="AY198" s="4"/>
      <c r="AZ198" s="4"/>
      <c r="BA198" s="4" t="s">
        <v>3498</v>
      </c>
      <c r="BB198" s="4">
        <v>10800</v>
      </c>
      <c r="BC198" s="4">
        <v>2700</v>
      </c>
      <c r="BD198" s="4">
        <v>0</v>
      </c>
      <c r="BE198" s="4" t="s">
        <v>296</v>
      </c>
      <c r="BF198" s="4"/>
      <c r="BG198" s="4"/>
      <c r="BH198" s="4" t="s">
        <v>3510</v>
      </c>
      <c r="BI198" s="72">
        <f>VLOOKUP(A198,'ID Block'!A:L,12,0)</f>
        <v>45444</v>
      </c>
      <c r="BJ198" s="154" t="str">
        <f>VLOOKUP(A198,'ID Block'!A:M,13,0)</f>
        <v>Better Opportunity</v>
      </c>
      <c r="BK198" s="4">
        <f t="shared" si="3"/>
        <v>233</v>
      </c>
      <c r="BL198" s="105" t="s">
        <v>168</v>
      </c>
      <c r="BM198" s="10"/>
      <c r="BN198" s="183" t="s">
        <v>4035</v>
      </c>
      <c r="BO198" s="183"/>
    </row>
    <row r="199" ht="14.4" s="67" customFormat="1">
      <c r="A199" s="4">
        <v>171377</v>
      </c>
      <c r="B199" s="4"/>
      <c r="C199" s="55" t="s">
        <v>5198</v>
      </c>
      <c r="D199" s="4" t="s">
        <v>5199</v>
      </c>
      <c r="E199" s="4" t="s">
        <v>114</v>
      </c>
      <c r="F199" s="55">
        <v>785174</v>
      </c>
      <c r="G199" s="4" t="s">
        <v>67</v>
      </c>
      <c r="H199" s="4" t="s">
        <v>68</v>
      </c>
      <c r="I199" s="4" t="s">
        <v>2494</v>
      </c>
      <c r="J199" s="55" t="s">
        <v>155</v>
      </c>
      <c r="K199" s="4" t="s">
        <v>71</v>
      </c>
      <c r="L199" s="4" t="s">
        <v>3487</v>
      </c>
      <c r="M199" s="4" t="s">
        <v>196</v>
      </c>
      <c r="N199" s="4" t="s">
        <v>74</v>
      </c>
      <c r="O199" s="4" t="s">
        <v>75</v>
      </c>
      <c r="P199" s="4" t="s">
        <v>4942</v>
      </c>
      <c r="Q199" s="57">
        <v>45353</v>
      </c>
      <c r="R199" s="57">
        <v>45367</v>
      </c>
      <c r="S199" s="113"/>
      <c r="T199" s="113"/>
      <c r="U199" s="4"/>
      <c r="V199" s="4"/>
      <c r="W199" s="105" t="s">
        <v>5200</v>
      </c>
      <c r="X199" s="114">
        <v>1780651498</v>
      </c>
      <c r="Y199" s="55">
        <v>1580599374</v>
      </c>
      <c r="Z199" s="4" t="s">
        <v>5201</v>
      </c>
      <c r="AA199" s="4">
        <v>1734497756</v>
      </c>
      <c r="AB199" s="4" t="s">
        <v>101</v>
      </c>
      <c r="AC199" s="4" t="s">
        <v>5202</v>
      </c>
      <c r="AD199" s="113">
        <v>35075</v>
      </c>
      <c r="AE199" s="107">
        <v>23.7808219178082</v>
      </c>
      <c r="AF199" s="4" t="s">
        <v>80</v>
      </c>
      <c r="AG199" s="114">
        <v>1485227365</v>
      </c>
      <c r="AH199" s="4" t="s">
        <v>81</v>
      </c>
      <c r="AI199" s="55" t="s">
        <v>5203</v>
      </c>
      <c r="AJ199" s="55" t="s">
        <v>81</v>
      </c>
      <c r="AK199" s="55">
        <v>2017</v>
      </c>
      <c r="AL199" s="4" t="s">
        <v>209</v>
      </c>
      <c r="AM199" s="4" t="s">
        <v>5201</v>
      </c>
      <c r="AN199" s="4" t="s">
        <v>5204</v>
      </c>
      <c r="AO199" s="4" t="s">
        <v>5205</v>
      </c>
      <c r="AP199" s="4" t="s">
        <v>5206</v>
      </c>
      <c r="AQ199" s="55" t="s">
        <v>366</v>
      </c>
      <c r="AR199" s="4" t="s">
        <v>89</v>
      </c>
      <c r="AS199" s="4" t="s">
        <v>5207</v>
      </c>
      <c r="AT199" s="72">
        <v>37428</v>
      </c>
      <c r="AU199" s="4" t="s">
        <v>81</v>
      </c>
      <c r="AV199" s="4" t="s">
        <v>81</v>
      </c>
      <c r="AW199" s="4" t="s">
        <v>81</v>
      </c>
      <c r="AX199" s="4" t="s">
        <v>81</v>
      </c>
      <c r="AY199" s="4"/>
      <c r="AZ199" s="4"/>
      <c r="BA199" s="4" t="s">
        <v>3498</v>
      </c>
      <c r="BB199" s="4">
        <v>10800</v>
      </c>
      <c r="BC199" s="4">
        <v>2700</v>
      </c>
      <c r="BD199" s="4">
        <v>1000</v>
      </c>
      <c r="BE199" s="4" t="s">
        <v>166</v>
      </c>
      <c r="BF199" s="4"/>
      <c r="BG199" s="4"/>
      <c r="BH199" s="4" t="s">
        <v>3510</v>
      </c>
      <c r="BI199" s="72">
        <f>VLOOKUP(A199,'ID Block'!A:L,12,0)</f>
        <v>45444</v>
      </c>
      <c r="BJ199" s="154" t="str">
        <f>VLOOKUP(A199,'ID Block'!A:M,13,0)</f>
        <v>Better Opportunity</v>
      </c>
      <c r="BK199" s="4">
        <f t="shared" si="3"/>
        <v>77</v>
      </c>
      <c r="BL199" s="105" t="s">
        <v>168</v>
      </c>
      <c r="BM199" s="10"/>
      <c r="BN199" s="183" t="s">
        <v>4035</v>
      </c>
      <c r="BO199" s="183"/>
    </row>
    <row r="200" ht="14.4" s="67" customFormat="1">
      <c r="A200" s="4">
        <v>171331</v>
      </c>
      <c r="B200" s="4"/>
      <c r="C200" s="55" t="s">
        <v>5208</v>
      </c>
      <c r="D200" s="4" t="s">
        <v>5209</v>
      </c>
      <c r="E200" s="4" t="s">
        <v>114</v>
      </c>
      <c r="F200" s="55">
        <v>1118814044</v>
      </c>
      <c r="G200" s="4" t="s">
        <v>67</v>
      </c>
      <c r="H200" s="4" t="s">
        <v>68</v>
      </c>
      <c r="I200" s="4" t="s">
        <v>2494</v>
      </c>
      <c r="J200" s="55" t="s">
        <v>4704</v>
      </c>
      <c r="K200" s="4" t="s">
        <v>71</v>
      </c>
      <c r="L200" s="4" t="s">
        <v>3487</v>
      </c>
      <c r="M200" s="4" t="s">
        <v>196</v>
      </c>
      <c r="N200" s="4" t="s">
        <v>74</v>
      </c>
      <c r="O200" s="4" t="s">
        <v>75</v>
      </c>
      <c r="P200" s="4" t="s">
        <v>4733</v>
      </c>
      <c r="Q200" s="57">
        <v>45323</v>
      </c>
      <c r="R200" s="57">
        <v>45339</v>
      </c>
      <c r="S200" s="113"/>
      <c r="T200" s="113"/>
      <c r="U200" s="4"/>
      <c r="V200" s="4"/>
      <c r="W200" s="105" t="s">
        <v>5210</v>
      </c>
      <c r="X200" s="114">
        <v>1742651135</v>
      </c>
      <c r="Y200" s="55">
        <v>1515251428</v>
      </c>
      <c r="Z200" s="4" t="s">
        <v>5211</v>
      </c>
      <c r="AA200" s="4">
        <v>1765622562</v>
      </c>
      <c r="AB200" s="4" t="s">
        <v>382</v>
      </c>
      <c r="AC200" s="4" t="s">
        <v>79</v>
      </c>
      <c r="AD200" s="113">
        <v>36317</v>
      </c>
      <c r="AE200" s="107">
        <v>23.7808219178082</v>
      </c>
      <c r="AF200" s="4" t="s">
        <v>80</v>
      </c>
      <c r="AG200" s="114">
        <v>1505946556</v>
      </c>
      <c r="AH200" s="4" t="s">
        <v>81</v>
      </c>
      <c r="AI200" s="55" t="s">
        <v>2523</v>
      </c>
      <c r="AJ200" s="55" t="s">
        <v>81</v>
      </c>
      <c r="AK200" s="55">
        <v>2023</v>
      </c>
      <c r="AL200" s="4" t="s">
        <v>5212</v>
      </c>
      <c r="AM200" s="4" t="s">
        <v>5213</v>
      </c>
      <c r="AN200" s="4" t="s">
        <v>5214</v>
      </c>
      <c r="AO200" s="4" t="s">
        <v>5215</v>
      </c>
      <c r="AP200" s="4" t="s">
        <v>5216</v>
      </c>
      <c r="AQ200" s="55" t="s">
        <v>5217</v>
      </c>
      <c r="AR200" s="4" t="s">
        <v>89</v>
      </c>
      <c r="AS200" s="4" t="s">
        <v>5218</v>
      </c>
      <c r="AT200" s="72">
        <v>38752</v>
      </c>
      <c r="AU200" s="4" t="s">
        <v>81</v>
      </c>
      <c r="AV200" s="4" t="s">
        <v>81</v>
      </c>
      <c r="AW200" s="4" t="s">
        <v>81</v>
      </c>
      <c r="AX200" s="4" t="s">
        <v>81</v>
      </c>
      <c r="AY200" s="4"/>
      <c r="AZ200" s="4"/>
      <c r="BA200" s="4" t="s">
        <v>3498</v>
      </c>
      <c r="BB200" s="4">
        <v>10800</v>
      </c>
      <c r="BC200" s="4">
        <v>2700</v>
      </c>
      <c r="BD200" s="4">
        <v>1000</v>
      </c>
      <c r="BE200" s="4" t="s">
        <v>166</v>
      </c>
      <c r="BF200" s="4"/>
      <c r="BG200" s="4"/>
      <c r="BH200" s="4" t="s">
        <v>3510</v>
      </c>
      <c r="BI200" s="72">
        <f>VLOOKUP(A200,'ID Block'!A:L,12,0)</f>
        <v>45444</v>
      </c>
      <c r="BJ200" s="154" t="str">
        <f>VLOOKUP(A200,'ID Block'!A:M,13,0)</f>
        <v>Better Opportunity</v>
      </c>
      <c r="BK200" s="4">
        <f t="shared" si="3"/>
        <v>105</v>
      </c>
      <c r="BL200" s="105" t="s">
        <v>168</v>
      </c>
      <c r="BM200" s="10"/>
      <c r="BN200" s="183" t="s">
        <v>4035</v>
      </c>
      <c r="BO200" s="183"/>
    </row>
    <row r="201" ht="14.4" s="67" customFormat="1">
      <c r="A201" s="4">
        <v>171226</v>
      </c>
      <c r="B201" s="4"/>
      <c r="C201" s="55" t="s">
        <v>1143</v>
      </c>
      <c r="D201" s="4" t="s">
        <v>5219</v>
      </c>
      <c r="E201" s="4" t="s">
        <v>66</v>
      </c>
      <c r="F201" s="55">
        <v>617021</v>
      </c>
      <c r="G201" s="4" t="s">
        <v>67</v>
      </c>
      <c r="H201" s="4" t="s">
        <v>68</v>
      </c>
      <c r="I201" s="4" t="s">
        <v>2494</v>
      </c>
      <c r="J201" s="55" t="s">
        <v>4270</v>
      </c>
      <c r="K201" s="4" t="s">
        <v>71</v>
      </c>
      <c r="L201" s="4" t="s">
        <v>3487</v>
      </c>
      <c r="M201" s="4" t="s">
        <v>2643</v>
      </c>
      <c r="N201" s="4" t="s">
        <v>74</v>
      </c>
      <c r="O201" s="4" t="s">
        <v>75</v>
      </c>
      <c r="P201" s="4" t="s">
        <v>4271</v>
      </c>
      <c r="Q201" s="57">
        <v>45246</v>
      </c>
      <c r="R201" s="57">
        <v>45256</v>
      </c>
      <c r="S201" s="113"/>
      <c r="T201" s="113"/>
      <c r="U201" s="4"/>
      <c r="V201" s="4"/>
      <c r="W201" s="105" t="s">
        <v>5220</v>
      </c>
      <c r="X201" s="114">
        <v>1756859822</v>
      </c>
      <c r="Y201" s="55" t="s">
        <v>81</v>
      </c>
      <c r="Z201" s="4" t="s">
        <v>132</v>
      </c>
      <c r="AA201" s="4">
        <v>1732844022</v>
      </c>
      <c r="AB201" s="4" t="s">
        <v>81</v>
      </c>
      <c r="AC201" s="4" t="s">
        <v>79</v>
      </c>
      <c r="AD201" s="113">
        <v>34946</v>
      </c>
      <c r="AE201" s="107">
        <f ref="AE201:AE215" t="shared" si="4" ca="1">((TODAY())-AD201)/365</f>
        <v>29.454794520547946</v>
      </c>
      <c r="AF201" s="4" t="s">
        <v>80</v>
      </c>
      <c r="AG201" s="114">
        <v>8682002301</v>
      </c>
      <c r="AH201" s="4" t="s">
        <v>81</v>
      </c>
      <c r="AI201" s="55" t="s">
        <v>265</v>
      </c>
      <c r="AJ201" s="55" t="s">
        <v>81</v>
      </c>
      <c r="AK201" s="55">
        <v>2020</v>
      </c>
      <c r="AL201" s="4" t="s">
        <v>684</v>
      </c>
      <c r="AM201" s="4" t="s">
        <v>5221</v>
      </c>
      <c r="AN201" s="4" t="s">
        <v>5222</v>
      </c>
      <c r="AO201" s="4" t="s">
        <v>5223</v>
      </c>
      <c r="AP201" s="4" t="s">
        <v>5223</v>
      </c>
      <c r="AQ201" s="55" t="s">
        <v>5224</v>
      </c>
      <c r="AR201" s="4" t="s">
        <v>110</v>
      </c>
      <c r="AS201" s="4" t="s">
        <v>81</v>
      </c>
      <c r="AT201" s="72" t="s">
        <v>81</v>
      </c>
      <c r="AU201" s="4" t="s">
        <v>81</v>
      </c>
      <c r="AV201" s="4" t="s">
        <v>81</v>
      </c>
      <c r="AW201" s="4"/>
      <c r="AX201" s="4"/>
      <c r="AY201" s="4"/>
      <c r="AZ201" s="4"/>
      <c r="BA201" s="4" t="s">
        <v>3498</v>
      </c>
      <c r="BB201" s="4">
        <v>10800</v>
      </c>
      <c r="BC201" s="4">
        <v>2700</v>
      </c>
      <c r="BD201" s="4">
        <v>0</v>
      </c>
      <c r="BE201" s="4" t="s">
        <v>296</v>
      </c>
      <c r="BF201" s="4"/>
      <c r="BG201" s="4"/>
      <c r="BH201" s="4" t="s">
        <v>3510</v>
      </c>
      <c r="BI201" s="72">
        <f>VLOOKUP(A201,'ID Block'!A:L,12,0)</f>
        <v>45447</v>
      </c>
      <c r="BJ201" s="154" t="str">
        <f>VLOOKUP(A201,'ID Block'!A:M,13,0)</f>
        <v>Better Opportunity</v>
      </c>
      <c r="BK201" s="4">
        <f t="shared" si="3"/>
        <v>191</v>
      </c>
      <c r="BL201" s="105" t="s">
        <v>168</v>
      </c>
      <c r="BM201" s="10"/>
      <c r="BN201" s="183" t="s">
        <v>4035</v>
      </c>
      <c r="BO201" s="183"/>
    </row>
    <row r="202" ht="14.4" s="67" customFormat="1">
      <c r="A202" s="4">
        <v>171346</v>
      </c>
      <c r="B202" s="4"/>
      <c r="C202" s="55" t="s">
        <v>1373</v>
      </c>
      <c r="D202" s="4" t="s">
        <v>5225</v>
      </c>
      <c r="E202" s="4" t="s">
        <v>114</v>
      </c>
      <c r="F202" s="55">
        <v>109243</v>
      </c>
      <c r="G202" s="4" t="s">
        <v>67</v>
      </c>
      <c r="H202" s="4" t="s">
        <v>68</v>
      </c>
      <c r="I202" s="4" t="s">
        <v>2494</v>
      </c>
      <c r="J202" s="55" t="s">
        <v>307</v>
      </c>
      <c r="K202" s="4" t="s">
        <v>71</v>
      </c>
      <c r="L202" s="4" t="s">
        <v>3487</v>
      </c>
      <c r="M202" s="4" t="s">
        <v>98</v>
      </c>
      <c r="N202" s="4" t="s">
        <v>74</v>
      </c>
      <c r="O202" s="4" t="s">
        <v>75</v>
      </c>
      <c r="P202" s="4" t="s">
        <v>4951</v>
      </c>
      <c r="Q202" s="57">
        <v>45338</v>
      </c>
      <c r="R202" s="57">
        <v>45356</v>
      </c>
      <c r="S202" s="113"/>
      <c r="T202" s="113"/>
      <c r="U202" s="4"/>
      <c r="V202" s="4"/>
      <c r="W202" s="105" t="s">
        <v>5226</v>
      </c>
      <c r="X202" s="114">
        <v>1690254779</v>
      </c>
      <c r="Y202" s="55" t="s">
        <v>81</v>
      </c>
      <c r="Z202" s="4" t="s">
        <v>5227</v>
      </c>
      <c r="AA202" s="4">
        <v>1819228954</v>
      </c>
      <c r="AB202" s="4" t="s">
        <v>132</v>
      </c>
      <c r="AC202" s="4" t="s">
        <v>133</v>
      </c>
      <c r="AD202" s="113">
        <v>30735</v>
      </c>
      <c r="AE202" s="107">
        <f t="shared" si="4" ca="1"/>
        <v>40.99178082191781</v>
      </c>
      <c r="AF202" s="4" t="s">
        <v>80</v>
      </c>
      <c r="AG202" s="114">
        <v>8694824759</v>
      </c>
      <c r="AH202" s="4" t="s">
        <v>81</v>
      </c>
      <c r="AI202" s="55" t="s">
        <v>4076</v>
      </c>
      <c r="AJ202" s="55" t="s">
        <v>81</v>
      </c>
      <c r="AK202" s="55">
        <v>2009</v>
      </c>
      <c r="AL202" s="4" t="s">
        <v>5228</v>
      </c>
      <c r="AM202" s="4" t="s">
        <v>5229</v>
      </c>
      <c r="AN202" s="4" t="s">
        <v>5227</v>
      </c>
      <c r="AO202" s="4" t="s">
        <v>5230</v>
      </c>
      <c r="AP202" s="4" t="s">
        <v>5231</v>
      </c>
      <c r="AQ202" s="55" t="s">
        <v>3382</v>
      </c>
      <c r="AR202" s="4" t="s">
        <v>89</v>
      </c>
      <c r="AS202" s="4" t="s">
        <v>5232</v>
      </c>
      <c r="AT202" s="72">
        <v>37622</v>
      </c>
      <c r="AU202" s="4" t="s">
        <v>81</v>
      </c>
      <c r="AV202" s="4" t="s">
        <v>81</v>
      </c>
      <c r="AW202" s="4" t="s">
        <v>81</v>
      </c>
      <c r="AX202" s="4" t="s">
        <v>81</v>
      </c>
      <c r="AY202" s="4"/>
      <c r="AZ202" s="4"/>
      <c r="BA202" s="4" t="s">
        <v>3498</v>
      </c>
      <c r="BB202" s="4">
        <v>10800</v>
      </c>
      <c r="BC202" s="4">
        <v>2700</v>
      </c>
      <c r="BD202" s="4">
        <v>0</v>
      </c>
      <c r="BE202" s="4" t="s">
        <v>91</v>
      </c>
      <c r="BF202" s="4"/>
      <c r="BG202" s="4"/>
      <c r="BH202" s="4" t="s">
        <v>3510</v>
      </c>
      <c r="BI202" s="72">
        <f>VLOOKUP(A202,'ID Block'!A:L,12,0)</f>
        <v>45449</v>
      </c>
      <c r="BJ202" s="154" t="str">
        <f>VLOOKUP(A202,'ID Block'!A:M,13,0)</f>
        <v>Personal Issue</v>
      </c>
      <c r="BK202" s="4">
        <f t="shared" si="3"/>
        <v>93</v>
      </c>
      <c r="BL202" s="105" t="s">
        <v>168</v>
      </c>
      <c r="BM202" s="10"/>
      <c r="BN202" s="183" t="s">
        <v>3978</v>
      </c>
      <c r="BO202" s="183"/>
    </row>
    <row r="203" ht="14.4" s="67" customFormat="1">
      <c r="A203" s="4">
        <v>171459</v>
      </c>
      <c r="B203" s="4"/>
      <c r="C203" s="55" t="s">
        <v>1335</v>
      </c>
      <c r="D203" s="4" t="s">
        <v>5233</v>
      </c>
      <c r="E203" s="4" t="s">
        <v>114</v>
      </c>
      <c r="F203" s="55" t="s">
        <v>5234</v>
      </c>
      <c r="G203" s="4" t="s">
        <v>67</v>
      </c>
      <c r="H203" s="4" t="s">
        <v>68</v>
      </c>
      <c r="I203" s="4" t="s">
        <v>2494</v>
      </c>
      <c r="J203" s="55" t="s">
        <v>307</v>
      </c>
      <c r="K203" s="4" t="s">
        <v>71</v>
      </c>
      <c r="L203" s="4" t="s">
        <v>3487</v>
      </c>
      <c r="M203" s="4" t="s">
        <v>98</v>
      </c>
      <c r="N203" s="4" t="s">
        <v>74</v>
      </c>
      <c r="O203" s="4" t="s">
        <v>75</v>
      </c>
      <c r="P203" s="4" t="s">
        <v>5029</v>
      </c>
      <c r="Q203" s="57">
        <v>45408</v>
      </c>
      <c r="R203" s="57">
        <v>45417</v>
      </c>
      <c r="S203" s="113"/>
      <c r="T203" s="113"/>
      <c r="U203" s="4"/>
      <c r="V203" s="4"/>
      <c r="W203" s="105" t="s">
        <v>5235</v>
      </c>
      <c r="X203" s="114">
        <v>1856532640</v>
      </c>
      <c r="Y203" s="55">
        <v>1575624538</v>
      </c>
      <c r="Z203" s="4" t="s">
        <v>5236</v>
      </c>
      <c r="AA203" s="4">
        <v>1515275595</v>
      </c>
      <c r="AB203" s="4" t="s">
        <v>252</v>
      </c>
      <c r="AC203" s="4" t="s">
        <v>102</v>
      </c>
      <c r="AD203" s="113">
        <v>34375</v>
      </c>
      <c r="AE203" s="107">
        <f t="shared" si="4" ca="1"/>
        <v>31.019178082191782</v>
      </c>
      <c r="AF203" s="4" t="s">
        <v>80</v>
      </c>
      <c r="AG203" s="114">
        <v>9576663026</v>
      </c>
      <c r="AH203" s="4" t="s">
        <v>81</v>
      </c>
      <c r="AI203" s="55" t="s">
        <v>265</v>
      </c>
      <c r="AJ203" s="55" t="s">
        <v>81</v>
      </c>
      <c r="AK203" s="55">
        <v>2018</v>
      </c>
      <c r="AL203" s="4" t="s">
        <v>372</v>
      </c>
      <c r="AM203" s="4" t="s">
        <v>5237</v>
      </c>
      <c r="AN203" s="4" t="s">
        <v>4918</v>
      </c>
      <c r="AO203" s="4" t="s">
        <v>5238</v>
      </c>
      <c r="AP203" s="4" t="s">
        <v>5238</v>
      </c>
      <c r="AQ203" s="55" t="s">
        <v>1122</v>
      </c>
      <c r="AR203" s="4" t="s">
        <v>1363</v>
      </c>
      <c r="AS203" s="4" t="s">
        <v>81</v>
      </c>
      <c r="AT203" s="72" t="s">
        <v>81</v>
      </c>
      <c r="AU203" s="4" t="s">
        <v>81</v>
      </c>
      <c r="AV203" s="4" t="s">
        <v>81</v>
      </c>
      <c r="AW203" s="4" t="s">
        <v>81</v>
      </c>
      <c r="AX203" s="4" t="s">
        <v>81</v>
      </c>
      <c r="AY203" s="4" t="s">
        <v>81</v>
      </c>
      <c r="AZ203" s="4" t="s">
        <v>81</v>
      </c>
      <c r="BA203" s="4" t="s">
        <v>3498</v>
      </c>
      <c r="BB203" s="4">
        <v>10800</v>
      </c>
      <c r="BC203" s="4">
        <v>2700</v>
      </c>
      <c r="BD203" s="4">
        <v>0</v>
      </c>
      <c r="BE203" s="4" t="s">
        <v>91</v>
      </c>
      <c r="BF203" s="4"/>
      <c r="BG203" s="4"/>
      <c r="BH203" s="4" t="s">
        <v>3510</v>
      </c>
      <c r="BI203" s="72">
        <f>VLOOKUP(A203,'ID Block'!A:L,12,0)</f>
        <v>45451</v>
      </c>
      <c r="BJ203" s="154" t="str">
        <f>VLOOKUP(A203,'ID Block'!A:M,13,0)</f>
        <v>Health issues</v>
      </c>
      <c r="BK203" s="4">
        <f t="shared" si="3"/>
        <v>34</v>
      </c>
      <c r="BL203" s="105" t="s">
        <v>168</v>
      </c>
      <c r="BM203" s="10"/>
      <c r="BN203" s="183" t="s">
        <v>5239</v>
      </c>
      <c r="BO203" s="183"/>
    </row>
    <row r="204" ht="14.4" s="67" customFormat="1">
      <c r="A204" s="4">
        <v>171455</v>
      </c>
      <c r="B204" s="4"/>
      <c r="C204" s="55" t="s">
        <v>5240</v>
      </c>
      <c r="D204" s="4" t="s">
        <v>5241</v>
      </c>
      <c r="E204" s="4" t="s">
        <v>114</v>
      </c>
      <c r="F204" s="55">
        <v>1410925347</v>
      </c>
      <c r="G204" s="4" t="s">
        <v>67</v>
      </c>
      <c r="H204" s="4" t="s">
        <v>68</v>
      </c>
      <c r="I204" s="4" t="s">
        <v>2494</v>
      </c>
      <c r="J204" s="55" t="s">
        <v>319</v>
      </c>
      <c r="K204" s="4" t="s">
        <v>71</v>
      </c>
      <c r="L204" s="4" t="s">
        <v>3487</v>
      </c>
      <c r="M204" s="4" t="s">
        <v>2643</v>
      </c>
      <c r="N204" s="4" t="s">
        <v>74</v>
      </c>
      <c r="O204" s="4" t="s">
        <v>75</v>
      </c>
      <c r="P204" s="4" t="s">
        <v>5029</v>
      </c>
      <c r="Q204" s="57">
        <v>45408</v>
      </c>
      <c r="R204" s="57">
        <v>45417</v>
      </c>
      <c r="S204" s="113"/>
      <c r="T204" s="113"/>
      <c r="U204" s="4"/>
      <c r="V204" s="4"/>
      <c r="W204" s="105" t="s">
        <v>5242</v>
      </c>
      <c r="X204" s="114">
        <v>1779573124</v>
      </c>
      <c r="Y204" s="55" t="s">
        <v>81</v>
      </c>
      <c r="Z204" s="4" t="s">
        <v>2294</v>
      </c>
      <c r="AA204" s="4">
        <v>1711243519</v>
      </c>
      <c r="AB204" s="4" t="s">
        <v>101</v>
      </c>
      <c r="AC204" s="4" t="s">
        <v>119</v>
      </c>
      <c r="AD204" s="113">
        <v>45292</v>
      </c>
      <c r="AE204" s="107">
        <f t="shared" si="4" ca="1"/>
        <v>1.1095890410958904</v>
      </c>
      <c r="AF204" s="4" t="s">
        <v>80</v>
      </c>
      <c r="AG204" s="114">
        <v>4213675954</v>
      </c>
      <c r="AH204" s="4" t="s">
        <v>81</v>
      </c>
      <c r="AI204" s="55" t="s">
        <v>1517</v>
      </c>
      <c r="AJ204" s="55" t="s">
        <v>81</v>
      </c>
      <c r="AK204" s="55">
        <v>2023</v>
      </c>
      <c r="AL204" s="4" t="s">
        <v>4657</v>
      </c>
      <c r="AM204" s="4" t="s">
        <v>5243</v>
      </c>
      <c r="AN204" s="4" t="s">
        <v>5244</v>
      </c>
      <c r="AO204" s="4" t="s">
        <v>5245</v>
      </c>
      <c r="AP204" s="4" t="s">
        <v>5245</v>
      </c>
      <c r="AQ204" s="55" t="s">
        <v>2836</v>
      </c>
      <c r="AR204" s="4" t="s">
        <v>110</v>
      </c>
      <c r="AS204" s="4" t="s">
        <v>81</v>
      </c>
      <c r="AT204" s="72" t="s">
        <v>81</v>
      </c>
      <c r="AU204" s="4" t="s">
        <v>81</v>
      </c>
      <c r="AV204" s="4" t="s">
        <v>81</v>
      </c>
      <c r="AW204" s="4" t="s">
        <v>81</v>
      </c>
      <c r="AX204" s="4" t="s">
        <v>81</v>
      </c>
      <c r="AY204" s="4" t="s">
        <v>81</v>
      </c>
      <c r="AZ204" s="4" t="s">
        <v>81</v>
      </c>
      <c r="BA204" s="4" t="s">
        <v>3498</v>
      </c>
      <c r="BB204" s="4">
        <v>10800</v>
      </c>
      <c r="BC204" s="4">
        <v>2700</v>
      </c>
      <c r="BD204" s="4">
        <v>0</v>
      </c>
      <c r="BE204" s="4" t="s">
        <v>91</v>
      </c>
      <c r="BF204" s="4"/>
      <c r="BG204" s="4"/>
      <c r="BH204" s="4" t="s">
        <v>3510</v>
      </c>
      <c r="BI204" s="72">
        <f>VLOOKUP(A204,'ID Block'!A:L,12,0)</f>
        <v>45453</v>
      </c>
      <c r="BJ204" s="154" t="str">
        <f>VLOOKUP(A204,'ID Block'!A:M,13,0)</f>
        <v>Family emergency</v>
      </c>
      <c r="BK204" s="4">
        <f t="shared" si="3"/>
        <v>36</v>
      </c>
      <c r="BL204" s="105" t="s">
        <v>168</v>
      </c>
      <c r="BM204" s="10"/>
      <c r="BN204" s="183" t="s">
        <v>5246</v>
      </c>
      <c r="BO204" s="183"/>
    </row>
    <row r="205" ht="14.4" s="67" customFormat="1">
      <c r="A205" s="4">
        <v>171231</v>
      </c>
      <c r="B205" s="4"/>
      <c r="C205" s="55" t="s">
        <v>5247</v>
      </c>
      <c r="D205" s="4" t="s">
        <v>5248</v>
      </c>
      <c r="E205" s="4" t="s">
        <v>114</v>
      </c>
      <c r="F205" s="55">
        <v>81469</v>
      </c>
      <c r="G205" s="4" t="s">
        <v>67</v>
      </c>
      <c r="H205" s="4" t="s">
        <v>68</v>
      </c>
      <c r="I205" s="4" t="s">
        <v>2494</v>
      </c>
      <c r="J205" s="55" t="s">
        <v>297</v>
      </c>
      <c r="K205" s="4" t="s">
        <v>71</v>
      </c>
      <c r="L205" s="4" t="s">
        <v>3487</v>
      </c>
      <c r="M205" s="4" t="s">
        <v>308</v>
      </c>
      <c r="N205" s="4" t="s">
        <v>74</v>
      </c>
      <c r="O205" s="4" t="s">
        <v>75</v>
      </c>
      <c r="P205" s="4" t="s">
        <v>4271</v>
      </c>
      <c r="Q205" s="57">
        <v>45246</v>
      </c>
      <c r="R205" s="57">
        <v>45256</v>
      </c>
      <c r="S205" s="113"/>
      <c r="T205" s="113"/>
      <c r="U205" s="4"/>
      <c r="V205" s="4"/>
      <c r="W205" s="105" t="s">
        <v>5249</v>
      </c>
      <c r="X205" s="114">
        <v>1818618963</v>
      </c>
      <c r="Y205" s="55" t="s">
        <v>81</v>
      </c>
      <c r="Z205" s="4" t="s">
        <v>5250</v>
      </c>
      <c r="AA205" s="4">
        <v>1814731768</v>
      </c>
      <c r="AB205" s="4" t="s">
        <v>1980</v>
      </c>
      <c r="AC205" s="4" t="s">
        <v>79</v>
      </c>
      <c r="AD205" s="113">
        <v>30682</v>
      </c>
      <c r="AE205" s="107">
        <f t="shared" si="4" ca="1"/>
        <v>41.136986301369866</v>
      </c>
      <c r="AF205" s="4" t="s">
        <v>80</v>
      </c>
      <c r="AG205" s="114">
        <v>5954651989</v>
      </c>
      <c r="AH205" s="4" t="s">
        <v>5251</v>
      </c>
      <c r="AI205" s="55" t="s">
        <v>2523</v>
      </c>
      <c r="AJ205" s="55" t="s">
        <v>81</v>
      </c>
      <c r="AK205" s="55">
        <v>2010</v>
      </c>
      <c r="AL205" s="4" t="s">
        <v>5252</v>
      </c>
      <c r="AM205" s="4" t="s">
        <v>5253</v>
      </c>
      <c r="AN205" s="4" t="s">
        <v>5254</v>
      </c>
      <c r="AO205" s="4" t="s">
        <v>5255</v>
      </c>
      <c r="AP205" s="4" t="s">
        <v>5255</v>
      </c>
      <c r="AQ205" s="55" t="s">
        <v>5256</v>
      </c>
      <c r="AR205" s="4" t="s">
        <v>89</v>
      </c>
      <c r="AS205" s="4" t="s">
        <v>5250</v>
      </c>
      <c r="AT205" s="72">
        <v>32540</v>
      </c>
      <c r="AU205" s="4" t="s">
        <v>5257</v>
      </c>
      <c r="AV205" s="4">
        <v>39944</v>
      </c>
      <c r="AW205" s="4"/>
      <c r="AX205" s="4"/>
      <c r="AY205" s="4"/>
      <c r="AZ205" s="4"/>
      <c r="BA205" s="4" t="s">
        <v>3498</v>
      </c>
      <c r="BB205" s="4">
        <v>10800</v>
      </c>
      <c r="BC205" s="4">
        <v>2700</v>
      </c>
      <c r="BD205" s="4">
        <v>0</v>
      </c>
      <c r="BE205" s="4" t="s">
        <v>296</v>
      </c>
      <c r="BF205" s="4"/>
      <c r="BG205" s="4"/>
      <c r="BH205" s="4" t="s">
        <v>3510</v>
      </c>
      <c r="BI205" s="72">
        <f>VLOOKUP(A205,'ID Block'!A:L,12,0)</f>
        <v>45453</v>
      </c>
      <c r="BJ205" s="154" t="str">
        <f>VLOOKUP(A205,'ID Block'!A:M,13,0)</f>
        <v>Better Opportunity</v>
      </c>
      <c r="BK205" s="4">
        <f t="shared" si="3"/>
        <v>197</v>
      </c>
      <c r="BL205" s="105" t="s">
        <v>168</v>
      </c>
      <c r="BM205" s="10"/>
      <c r="BN205" s="183" t="s">
        <v>4035</v>
      </c>
      <c r="BO205" s="183"/>
    </row>
    <row r="206" ht="17.55" customHeight="1" s="67" customFormat="1">
      <c r="A206" s="4">
        <v>171466</v>
      </c>
      <c r="B206" s="4"/>
      <c r="C206" s="55"/>
      <c r="D206" s="4" t="s">
        <v>5258</v>
      </c>
      <c r="E206" s="4" t="s">
        <v>66</v>
      </c>
      <c r="F206" s="55">
        <v>1310615396</v>
      </c>
      <c r="G206" s="4" t="s">
        <v>67</v>
      </c>
      <c r="H206" s="4" t="s">
        <v>68</v>
      </c>
      <c r="I206" s="4" t="s">
        <v>2494</v>
      </c>
      <c r="J206" s="55" t="s">
        <v>319</v>
      </c>
      <c r="K206" s="4" t="s">
        <v>71</v>
      </c>
      <c r="L206" s="4" t="s">
        <v>3487</v>
      </c>
      <c r="M206" s="4" t="s">
        <v>2643</v>
      </c>
      <c r="N206" s="4" t="s">
        <v>74</v>
      </c>
      <c r="O206" s="4" t="s">
        <v>75</v>
      </c>
      <c r="P206" s="4" t="s">
        <v>5259</v>
      </c>
      <c r="Q206" s="57">
        <v>45419</v>
      </c>
      <c r="R206" s="57">
        <v>45434</v>
      </c>
      <c r="S206" s="113"/>
      <c r="T206" s="113"/>
      <c r="U206" s="4"/>
      <c r="V206" s="4"/>
      <c r="W206" s="105" t="s">
        <v>5260</v>
      </c>
      <c r="X206" s="114">
        <v>1854525743</v>
      </c>
      <c r="Y206" s="55" t="s">
        <v>5261</v>
      </c>
      <c r="Z206" s="4" t="s">
        <v>5262</v>
      </c>
      <c r="AA206" s="4" t="s">
        <v>5263</v>
      </c>
      <c r="AB206" s="4" t="s">
        <v>132</v>
      </c>
      <c r="AC206" s="4" t="s">
        <v>102</v>
      </c>
      <c r="AD206" s="113">
        <v>36810</v>
      </c>
      <c r="AE206" s="107">
        <f t="shared" si="4" ca="1"/>
        <v>24.34794520547945</v>
      </c>
      <c r="AF206" s="4" t="s">
        <v>5264</v>
      </c>
      <c r="AG206" s="114">
        <v>4212773123</v>
      </c>
      <c r="AH206" s="4" t="s">
        <v>81</v>
      </c>
      <c r="AI206" s="55" t="s">
        <v>5265</v>
      </c>
      <c r="AJ206" s="55" t="s">
        <v>81</v>
      </c>
      <c r="AK206" s="55">
        <v>2023</v>
      </c>
      <c r="AL206" s="4" t="s">
        <v>5266</v>
      </c>
      <c r="AM206" s="4" t="s">
        <v>5267</v>
      </c>
      <c r="AN206" s="4" t="s">
        <v>5262</v>
      </c>
      <c r="AO206" s="4" t="s">
        <v>5268</v>
      </c>
      <c r="AP206" s="4" t="s">
        <v>5269</v>
      </c>
      <c r="AQ206" s="55" t="s">
        <v>499</v>
      </c>
      <c r="AR206" s="4" t="s">
        <v>110</v>
      </c>
      <c r="AS206" s="4" t="s">
        <v>81</v>
      </c>
      <c r="AT206" s="72" t="s">
        <v>81</v>
      </c>
      <c r="AU206" s="4" t="s">
        <v>81</v>
      </c>
      <c r="AV206" s="4" t="s">
        <v>81</v>
      </c>
      <c r="AW206" s="4" t="s">
        <v>81</v>
      </c>
      <c r="AX206" s="4" t="s">
        <v>81</v>
      </c>
      <c r="AY206" s="4" t="s">
        <v>81</v>
      </c>
      <c r="AZ206" s="4" t="s">
        <v>81</v>
      </c>
      <c r="BA206" s="4" t="s">
        <v>3498</v>
      </c>
      <c r="BB206" s="4">
        <v>10800</v>
      </c>
      <c r="BC206" s="4">
        <v>2700</v>
      </c>
      <c r="BD206" s="4">
        <v>0</v>
      </c>
      <c r="BE206" s="4" t="s">
        <v>91</v>
      </c>
      <c r="BF206" s="4"/>
      <c r="BG206" s="4"/>
      <c r="BH206" s="4" t="s">
        <v>3510</v>
      </c>
      <c r="BI206" s="72">
        <f>VLOOKUP(A206,'ID Block'!A:L,12,0)</f>
        <v>45457</v>
      </c>
      <c r="BJ206" s="154" t="str">
        <f>VLOOKUP(A206,'ID Block'!A:M,13,0)</f>
        <v>Better Opportunity</v>
      </c>
      <c r="BK206" s="4">
        <f t="shared" si="3"/>
        <v>23</v>
      </c>
      <c r="BL206" s="105" t="s">
        <v>168</v>
      </c>
      <c r="BM206" s="10"/>
      <c r="BN206" s="183" t="s">
        <v>4035</v>
      </c>
      <c r="BO206" s="183"/>
    </row>
    <row r="207" ht="14.4" s="67" customFormat="1">
      <c r="A207" s="4">
        <v>171545</v>
      </c>
      <c r="B207" s="4"/>
      <c r="C207" s="55"/>
      <c r="D207" s="4" t="s">
        <v>5270</v>
      </c>
      <c r="E207" s="4" t="s">
        <v>66</v>
      </c>
      <c r="F207" s="55">
        <v>1213410720</v>
      </c>
      <c r="G207" s="4" t="s">
        <v>67</v>
      </c>
      <c r="H207" s="4" t="s">
        <v>68</v>
      </c>
      <c r="I207" s="4" t="s">
        <v>2494</v>
      </c>
      <c r="J207" s="55" t="s">
        <v>319</v>
      </c>
      <c r="K207" s="4" t="s">
        <v>71</v>
      </c>
      <c r="L207" s="4" t="s">
        <v>3487</v>
      </c>
      <c r="M207" s="4" t="s">
        <v>2643</v>
      </c>
      <c r="N207" s="4" t="s">
        <v>74</v>
      </c>
      <c r="O207" s="4" t="s">
        <v>75</v>
      </c>
      <c r="P207" s="4" t="s">
        <v>5271</v>
      </c>
      <c r="Q207" s="57">
        <v>45447</v>
      </c>
      <c r="R207" s="57">
        <v>45457</v>
      </c>
      <c r="S207" s="113"/>
      <c r="T207" s="113"/>
      <c r="U207" s="4"/>
      <c r="V207" s="4"/>
      <c r="W207" s="105" t="s">
        <v>5272</v>
      </c>
      <c r="X207" s="114">
        <v>1859794657</v>
      </c>
      <c r="Y207" s="55">
        <v>1753672936</v>
      </c>
      <c r="Z207" s="4" t="s">
        <v>5273</v>
      </c>
      <c r="AA207" s="4">
        <v>1835114847</v>
      </c>
      <c r="AB207" s="4" t="s">
        <v>78</v>
      </c>
      <c r="AC207" s="4" t="s">
        <v>79</v>
      </c>
      <c r="AD207" s="113">
        <v>36287</v>
      </c>
      <c r="AE207" s="107">
        <f t="shared" si="4" ca="1"/>
        <v>25.78082191780822</v>
      </c>
      <c r="AF207" s="4" t="s">
        <v>80</v>
      </c>
      <c r="AG207" s="114" t="s">
        <v>81</v>
      </c>
      <c r="AH207" s="4" t="s">
        <v>81</v>
      </c>
      <c r="AI207" s="55" t="s">
        <v>1517</v>
      </c>
      <c r="AJ207" s="55" t="s">
        <v>81</v>
      </c>
      <c r="AK207" s="55">
        <v>2024</v>
      </c>
      <c r="AL207" s="4" t="s">
        <v>1296</v>
      </c>
      <c r="AM207" s="4" t="s">
        <v>5274</v>
      </c>
      <c r="AN207" s="4" t="s">
        <v>220</v>
      </c>
      <c r="AO207" s="4" t="s">
        <v>5275</v>
      </c>
      <c r="AP207" s="4" t="s">
        <v>5276</v>
      </c>
      <c r="AQ207" s="55" t="s">
        <v>5277</v>
      </c>
      <c r="AR207" s="4" t="s">
        <v>89</v>
      </c>
      <c r="AS207" s="4" t="s">
        <v>5273</v>
      </c>
      <c r="AT207" s="72">
        <v>35987</v>
      </c>
      <c r="AU207" s="4" t="s">
        <v>81</v>
      </c>
      <c r="AV207" s="4" t="s">
        <v>81</v>
      </c>
      <c r="AW207" s="4" t="s">
        <v>81</v>
      </c>
      <c r="AX207" s="4" t="s">
        <v>81</v>
      </c>
      <c r="AY207" s="4" t="s">
        <v>81</v>
      </c>
      <c r="AZ207" s="4" t="s">
        <v>81</v>
      </c>
      <c r="BA207" s="4" t="s">
        <v>3498</v>
      </c>
      <c r="BB207" s="4">
        <v>10800</v>
      </c>
      <c r="BC207" s="4">
        <v>2700</v>
      </c>
      <c r="BD207" s="4">
        <v>0</v>
      </c>
      <c r="BE207" s="4" t="s">
        <v>91</v>
      </c>
      <c r="BF207" s="4"/>
      <c r="BG207" s="4"/>
      <c r="BH207" s="4" t="s">
        <v>3510</v>
      </c>
      <c r="BI207" s="72">
        <f>VLOOKUP(A207,'ID Block'!A:L,12,0)</f>
        <v>45458</v>
      </c>
      <c r="BJ207" s="154" t="str">
        <f>VLOOKUP(A207,'ID Block'!A:M,13,0)</f>
        <v>Family issue</v>
      </c>
      <c r="BK207" s="4">
        <f t="shared" si="3"/>
        <v>1</v>
      </c>
      <c r="BL207" s="105" t="s">
        <v>168</v>
      </c>
      <c r="BM207" s="10"/>
      <c r="BN207" s="183" t="s">
        <v>4321</v>
      </c>
      <c r="BO207" s="183"/>
    </row>
    <row r="208" ht="14.4" s="67" customFormat="1">
      <c r="A208" s="4">
        <v>171171</v>
      </c>
      <c r="B208" s="4"/>
      <c r="C208" s="55" t="s">
        <v>5278</v>
      </c>
      <c r="D208" s="4" t="s">
        <v>5279</v>
      </c>
      <c r="E208" s="4" t="s">
        <v>114</v>
      </c>
      <c r="F208" s="55">
        <v>985686</v>
      </c>
      <c r="G208" s="4" t="s">
        <v>67</v>
      </c>
      <c r="H208" s="4" t="s">
        <v>68</v>
      </c>
      <c r="I208" s="4" t="s">
        <v>2494</v>
      </c>
      <c r="J208" s="55" t="s">
        <v>307</v>
      </c>
      <c r="K208" s="4" t="s">
        <v>71</v>
      </c>
      <c r="L208" s="4" t="s">
        <v>3487</v>
      </c>
      <c r="M208" s="4" t="s">
        <v>308</v>
      </c>
      <c r="N208" s="4" t="s">
        <v>74</v>
      </c>
      <c r="O208" s="4" t="s">
        <v>75</v>
      </c>
      <c r="P208" s="4" t="s">
        <v>3987</v>
      </c>
      <c r="Q208" s="57">
        <v>45206</v>
      </c>
      <c r="R208" s="57">
        <v>45211</v>
      </c>
      <c r="S208" s="113"/>
      <c r="T208" s="113"/>
      <c r="U208" s="4"/>
      <c r="V208" s="4"/>
      <c r="W208" s="105" t="s">
        <v>5280</v>
      </c>
      <c r="X208" s="114">
        <v>1795502909</v>
      </c>
      <c r="Y208" s="55" t="s">
        <v>81</v>
      </c>
      <c r="Z208" s="4" t="s">
        <v>5281</v>
      </c>
      <c r="AA208" s="4">
        <v>1676527386</v>
      </c>
      <c r="AB208" s="4" t="s">
        <v>118</v>
      </c>
      <c r="AC208" s="4" t="s">
        <v>119</v>
      </c>
      <c r="AD208" s="113">
        <v>35384</v>
      </c>
      <c r="AE208" s="107">
        <f t="shared" si="4" ca="1"/>
        <v>28.254794520547946</v>
      </c>
      <c r="AF208" s="4" t="s">
        <v>80</v>
      </c>
      <c r="AG208" s="114">
        <v>3769180187</v>
      </c>
      <c r="AH208" s="4" t="s">
        <v>81</v>
      </c>
      <c r="AI208" s="55" t="s">
        <v>513</v>
      </c>
      <c r="AJ208" s="55" t="s">
        <v>81</v>
      </c>
      <c r="AK208" s="55">
        <v>2022</v>
      </c>
      <c r="AL208" s="4" t="s">
        <v>5282</v>
      </c>
      <c r="AM208" s="4" t="s">
        <v>5283</v>
      </c>
      <c r="AN208" s="4" t="s">
        <v>5284</v>
      </c>
      <c r="AO208" s="4" t="s">
        <v>5285</v>
      </c>
      <c r="AP208" s="4" t="s">
        <v>5286</v>
      </c>
      <c r="AQ208" s="55" t="s">
        <v>223</v>
      </c>
      <c r="AR208" s="4" t="s">
        <v>110</v>
      </c>
      <c r="AS208" s="4"/>
      <c r="AT208" s="72"/>
      <c r="AU208" s="4"/>
      <c r="AV208" s="4"/>
      <c r="AW208" s="4"/>
      <c r="AX208" s="4"/>
      <c r="AY208" s="4"/>
      <c r="AZ208" s="4"/>
      <c r="BA208" s="4" t="s">
        <v>3498</v>
      </c>
      <c r="BB208" s="4">
        <v>10800</v>
      </c>
      <c r="BC208" s="4">
        <v>2700</v>
      </c>
      <c r="BD208" s="4">
        <v>0</v>
      </c>
      <c r="BE208" s="4" t="s">
        <v>296</v>
      </c>
      <c r="BF208" s="4"/>
      <c r="BG208" s="4"/>
      <c r="BH208" s="4" t="s">
        <v>3510</v>
      </c>
      <c r="BI208" s="72">
        <f>VLOOKUP(A208,'ID Block'!A:L,12,0)</f>
        <v>45459</v>
      </c>
      <c r="BJ208" s="154" t="str">
        <f>VLOOKUP(A208,'ID Block'!A:M,13,0)</f>
        <v>Better opportunity</v>
      </c>
      <c r="BK208" s="4">
        <f t="shared" si="3"/>
        <v>248</v>
      </c>
      <c r="BL208" s="105" t="s">
        <v>168</v>
      </c>
      <c r="BM208" s="10"/>
      <c r="BN208" s="183" t="s">
        <v>3796</v>
      </c>
      <c r="BO208" s="183"/>
    </row>
    <row r="209" ht="14.4" s="67" customFormat="1">
      <c r="A209" s="4">
        <v>171463</v>
      </c>
      <c r="B209" s="4"/>
      <c r="C209" s="55" t="s">
        <v>1681</v>
      </c>
      <c r="D209" s="4" t="s">
        <v>5287</v>
      </c>
      <c r="E209" s="4" t="s">
        <v>66</v>
      </c>
      <c r="F209" s="55">
        <v>686558</v>
      </c>
      <c r="G209" s="4" t="s">
        <v>67</v>
      </c>
      <c r="H209" s="4" t="s">
        <v>68</v>
      </c>
      <c r="I209" s="4" t="s">
        <v>2494</v>
      </c>
      <c r="J209" s="55" t="s">
        <v>297</v>
      </c>
      <c r="K209" s="4" t="s">
        <v>71</v>
      </c>
      <c r="L209" s="4" t="s">
        <v>3487</v>
      </c>
      <c r="M209" s="4" t="s">
        <v>308</v>
      </c>
      <c r="N209" s="4" t="s">
        <v>74</v>
      </c>
      <c r="O209" s="4" t="s">
        <v>75</v>
      </c>
      <c r="P209" s="4" t="s">
        <v>5029</v>
      </c>
      <c r="Q209" s="57">
        <v>45408</v>
      </c>
      <c r="R209" s="57">
        <v>45413</v>
      </c>
      <c r="S209" s="113"/>
      <c r="T209" s="113"/>
      <c r="U209" s="4"/>
      <c r="V209" s="4"/>
      <c r="W209" s="105" t="s">
        <v>5288</v>
      </c>
      <c r="X209" s="114">
        <v>1721337688</v>
      </c>
      <c r="Y209" s="55">
        <v>1721873097</v>
      </c>
      <c r="Z209" s="4" t="s">
        <v>5289</v>
      </c>
      <c r="AA209" s="4">
        <v>1721873097</v>
      </c>
      <c r="AB209" s="4" t="s">
        <v>78</v>
      </c>
      <c r="AC209" s="4" t="s">
        <v>79</v>
      </c>
      <c r="AD209" s="113">
        <v>32463</v>
      </c>
      <c r="AE209" s="107">
        <f t="shared" si="4" ca="1"/>
        <v>36.25753424657534</v>
      </c>
      <c r="AF209" s="4" t="s">
        <v>673</v>
      </c>
      <c r="AG209" s="114" t="s">
        <v>5290</v>
      </c>
      <c r="AH209" s="4" t="s">
        <v>81</v>
      </c>
      <c r="AI209" s="55" t="s">
        <v>333</v>
      </c>
      <c r="AJ209" s="55" t="s">
        <v>81</v>
      </c>
      <c r="AK209" s="55">
        <v>2016</v>
      </c>
      <c r="AL209" s="4" t="s">
        <v>4125</v>
      </c>
      <c r="AM209" s="4" t="s">
        <v>5291</v>
      </c>
      <c r="AN209" s="4" t="s">
        <v>5292</v>
      </c>
      <c r="AO209" s="4" t="s">
        <v>5293</v>
      </c>
      <c r="AP209" s="4" t="s">
        <v>5294</v>
      </c>
      <c r="AQ209" s="55" t="s">
        <v>5295</v>
      </c>
      <c r="AR209" s="4" t="s">
        <v>89</v>
      </c>
      <c r="AS209" s="4" t="s">
        <v>5289</v>
      </c>
      <c r="AT209" s="72" t="s">
        <v>5296</v>
      </c>
      <c r="AU209" s="4" t="s">
        <v>5297</v>
      </c>
      <c r="AV209" s="4">
        <v>40001</v>
      </c>
      <c r="AW209" s="4" t="s">
        <v>81</v>
      </c>
      <c r="AX209" s="4" t="s">
        <v>81</v>
      </c>
      <c r="AY209" s="4" t="s">
        <v>81</v>
      </c>
      <c r="AZ209" s="4" t="s">
        <v>81</v>
      </c>
      <c r="BA209" s="4" t="s">
        <v>3498</v>
      </c>
      <c r="BB209" s="4">
        <v>10800</v>
      </c>
      <c r="BC209" s="4">
        <v>2700</v>
      </c>
      <c r="BD209" s="4">
        <v>0</v>
      </c>
      <c r="BE209" s="4" t="s">
        <v>91</v>
      </c>
      <c r="BF209" s="4"/>
      <c r="BG209" s="4"/>
      <c r="BH209" s="4" t="s">
        <v>3510</v>
      </c>
      <c r="BI209" s="72">
        <f>VLOOKUP(A209,'ID Block'!A:L,12,0)</f>
        <v>45459</v>
      </c>
      <c r="BJ209" s="154" t="str">
        <f>VLOOKUP(A209,'ID Block'!A:M,13,0)</f>
        <v>Family Issues</v>
      </c>
      <c r="BK209" s="4">
        <f t="shared" si="3"/>
        <v>46</v>
      </c>
      <c r="BL209" s="105" t="s">
        <v>168</v>
      </c>
      <c r="BM209" s="10"/>
      <c r="BN209" s="183" t="s">
        <v>4695</v>
      </c>
      <c r="BO209" s="183"/>
    </row>
    <row r="210" ht="14.4" s="67" customFormat="1">
      <c r="A210" s="4">
        <v>171246</v>
      </c>
      <c r="B210" s="4"/>
      <c r="C210" s="55" t="s">
        <v>5298</v>
      </c>
      <c r="D210" s="4" t="s">
        <v>5299</v>
      </c>
      <c r="E210" s="4" t="s">
        <v>66</v>
      </c>
      <c r="F210" s="55">
        <v>494170</v>
      </c>
      <c r="G210" s="4" t="s">
        <v>67</v>
      </c>
      <c r="H210" s="4" t="s">
        <v>68</v>
      </c>
      <c r="I210" s="4" t="s">
        <v>2494</v>
      </c>
      <c r="J210" s="55" t="s">
        <v>3650</v>
      </c>
      <c r="K210" s="4" t="s">
        <v>71</v>
      </c>
      <c r="L210" s="4" t="s">
        <v>3487</v>
      </c>
      <c r="M210" s="4" t="s">
        <v>115</v>
      </c>
      <c r="N210" s="4" t="s">
        <v>74</v>
      </c>
      <c r="O210" s="4" t="s">
        <v>75</v>
      </c>
      <c r="P210" s="4" t="s">
        <v>4123</v>
      </c>
      <c r="Q210" s="57">
        <v>45251</v>
      </c>
      <c r="R210" s="57">
        <v>45256</v>
      </c>
      <c r="S210" s="113"/>
      <c r="T210" s="113"/>
      <c r="U210" s="4"/>
      <c r="V210" s="4"/>
      <c r="W210" s="105" t="s">
        <v>5300</v>
      </c>
      <c r="X210" s="114">
        <v>1784423842</v>
      </c>
      <c r="Y210" s="55">
        <v>1634669871</v>
      </c>
      <c r="Z210" s="4" t="s">
        <v>5301</v>
      </c>
      <c r="AA210" s="4">
        <v>1726960805</v>
      </c>
      <c r="AB210" s="4" t="s">
        <v>118</v>
      </c>
      <c r="AC210" s="4" t="s">
        <v>119</v>
      </c>
      <c r="AD210" s="113">
        <v>33819</v>
      </c>
      <c r="AE210" s="107">
        <f t="shared" si="4" ca="1"/>
        <v>32.54246575342466</v>
      </c>
      <c r="AF210" s="4" t="s">
        <v>80</v>
      </c>
      <c r="AG210" s="114" t="s">
        <v>5302</v>
      </c>
      <c r="AH210" s="4" t="s">
        <v>81</v>
      </c>
      <c r="AI210" s="55" t="s">
        <v>683</v>
      </c>
      <c r="AJ210" s="55" t="s">
        <v>81</v>
      </c>
      <c r="AK210" s="55">
        <v>2014</v>
      </c>
      <c r="AL210" s="4" t="s">
        <v>5303</v>
      </c>
      <c r="AM210" s="4" t="s">
        <v>5304</v>
      </c>
      <c r="AN210" s="4" t="s">
        <v>5305</v>
      </c>
      <c r="AO210" s="4" t="s">
        <v>5306</v>
      </c>
      <c r="AP210" s="4" t="s">
        <v>5307</v>
      </c>
      <c r="AQ210" s="55" t="s">
        <v>1292</v>
      </c>
      <c r="AR210" s="4" t="s">
        <v>110</v>
      </c>
      <c r="AS210" s="4" t="s">
        <v>81</v>
      </c>
      <c r="AT210" s="72" t="s">
        <v>81</v>
      </c>
      <c r="AU210" s="4" t="s">
        <v>81</v>
      </c>
      <c r="AV210" s="4" t="s">
        <v>81</v>
      </c>
      <c r="AW210" s="4" t="s">
        <v>81</v>
      </c>
      <c r="AX210" s="4" t="s">
        <v>81</v>
      </c>
      <c r="AY210" s="4"/>
      <c r="AZ210" s="4"/>
      <c r="BA210" s="4" t="s">
        <v>3498</v>
      </c>
      <c r="BB210" s="4">
        <v>10800</v>
      </c>
      <c r="BC210" s="4">
        <v>2700</v>
      </c>
      <c r="BD210" s="4">
        <v>0</v>
      </c>
      <c r="BE210" s="4" t="s">
        <v>91</v>
      </c>
      <c r="BF210" s="4"/>
      <c r="BG210" s="4"/>
      <c r="BH210" s="4" t="s">
        <v>3510</v>
      </c>
      <c r="BI210" s="72">
        <f>VLOOKUP(A210,'ID Block'!A:L,12,0)</f>
        <v>45459</v>
      </c>
      <c r="BJ210" s="154" t="str">
        <f>VLOOKUP(A210,'ID Block'!A:M,13,0)</f>
        <v>Better opportunity</v>
      </c>
      <c r="BK210" s="4">
        <f t="shared" si="3"/>
        <v>203</v>
      </c>
      <c r="BL210" s="105" t="s">
        <v>168</v>
      </c>
      <c r="BM210" s="10"/>
      <c r="BN210" s="183" t="s">
        <v>3796</v>
      </c>
      <c r="BO210" s="183"/>
    </row>
    <row r="211" ht="14.4" s="67" customFormat="1">
      <c r="A211" s="4">
        <v>171266</v>
      </c>
      <c r="B211" s="4"/>
      <c r="C211" s="55" t="s">
        <v>5308</v>
      </c>
      <c r="D211" s="4" t="s">
        <v>5309</v>
      </c>
      <c r="E211" s="4" t="s">
        <v>66</v>
      </c>
      <c r="F211" s="55" t="s">
        <v>5310</v>
      </c>
      <c r="G211" s="4" t="s">
        <v>67</v>
      </c>
      <c r="H211" s="4" t="s">
        <v>68</v>
      </c>
      <c r="I211" s="4" t="s">
        <v>2494</v>
      </c>
      <c r="J211" s="55" t="s">
        <v>297</v>
      </c>
      <c r="K211" s="4" t="s">
        <v>71</v>
      </c>
      <c r="L211" s="4" t="s">
        <v>3487</v>
      </c>
      <c r="M211" s="4" t="s">
        <v>115</v>
      </c>
      <c r="N211" s="4" t="s">
        <v>74</v>
      </c>
      <c r="O211" s="4" t="s">
        <v>75</v>
      </c>
      <c r="P211" s="4" t="s">
        <v>4123</v>
      </c>
      <c r="Q211" s="57">
        <v>45251</v>
      </c>
      <c r="R211" s="57">
        <v>45256</v>
      </c>
      <c r="S211" s="113"/>
      <c r="T211" s="113"/>
      <c r="U211" s="4"/>
      <c r="V211" s="4"/>
      <c r="W211" s="105" t="s">
        <v>5311</v>
      </c>
      <c r="X211" s="114">
        <v>1914072260</v>
      </c>
      <c r="Y211" s="55">
        <v>1304624009</v>
      </c>
      <c r="Z211" s="4" t="s">
        <v>5312</v>
      </c>
      <c r="AA211" s="4">
        <v>1980234684</v>
      </c>
      <c r="AB211" s="4" t="s">
        <v>132</v>
      </c>
      <c r="AC211" s="4" t="s">
        <v>119</v>
      </c>
      <c r="AD211" s="113">
        <v>35764</v>
      </c>
      <c r="AE211" s="107">
        <f t="shared" si="4" ca="1"/>
        <v>27.213698630136985</v>
      </c>
      <c r="AF211" s="4" t="s">
        <v>80</v>
      </c>
      <c r="AG211" s="114" t="s">
        <v>5313</v>
      </c>
      <c r="AH211" s="4" t="s">
        <v>5314</v>
      </c>
      <c r="AI211" s="55" t="s">
        <v>3008</v>
      </c>
      <c r="AJ211" s="55" t="s">
        <v>81</v>
      </c>
      <c r="AK211" s="55">
        <v>2022</v>
      </c>
      <c r="AL211" s="4" t="s">
        <v>464</v>
      </c>
      <c r="AM211" s="4" t="s">
        <v>5315</v>
      </c>
      <c r="AN211" s="4" t="s">
        <v>5312</v>
      </c>
      <c r="AO211" s="4" t="s">
        <v>5316</v>
      </c>
      <c r="AP211" s="4" t="s">
        <v>5317</v>
      </c>
      <c r="AQ211" s="55" t="s">
        <v>5318</v>
      </c>
      <c r="AR211" s="4" t="s">
        <v>110</v>
      </c>
      <c r="AS211" s="4" t="s">
        <v>81</v>
      </c>
      <c r="AT211" s="72" t="s">
        <v>81</v>
      </c>
      <c r="AU211" s="4" t="s">
        <v>81</v>
      </c>
      <c r="AV211" s="4" t="s">
        <v>81</v>
      </c>
      <c r="AW211" s="4" t="s">
        <v>81</v>
      </c>
      <c r="AX211" s="4" t="s">
        <v>81</v>
      </c>
      <c r="AY211" s="4"/>
      <c r="AZ211" s="4"/>
      <c r="BA211" s="4" t="s">
        <v>3498</v>
      </c>
      <c r="BB211" s="4">
        <v>10800</v>
      </c>
      <c r="BC211" s="4">
        <v>2700</v>
      </c>
      <c r="BD211" s="4">
        <v>0</v>
      </c>
      <c r="BE211" s="4" t="s">
        <v>91</v>
      </c>
      <c r="BF211" s="4"/>
      <c r="BG211" s="4"/>
      <c r="BH211" s="4" t="s">
        <v>3510</v>
      </c>
      <c r="BI211" s="72">
        <f>VLOOKUP(A211,'ID Block'!A:L,12,0)</f>
        <v>45459</v>
      </c>
      <c r="BJ211" s="154" t="str">
        <f>VLOOKUP(A211,'ID Block'!A:M,13,0)</f>
        <v>Higher Education</v>
      </c>
      <c r="BK211" s="4">
        <f t="shared" si="3"/>
        <v>203</v>
      </c>
      <c r="BL211" s="105" t="s">
        <v>168</v>
      </c>
      <c r="BM211" s="10"/>
      <c r="BN211" s="183" t="s">
        <v>4675</v>
      </c>
      <c r="BO211" s="183"/>
    </row>
    <row r="212" ht="14.4" s="67" customFormat="1">
      <c r="A212" s="4">
        <v>171556</v>
      </c>
      <c r="B212" s="4"/>
      <c r="C212" s="55" t="s">
        <v>1775</v>
      </c>
      <c r="D212" s="4" t="s">
        <v>5319</v>
      </c>
      <c r="E212" s="4" t="s">
        <v>66</v>
      </c>
      <c r="F212" s="55">
        <v>1210975455</v>
      </c>
      <c r="G212" s="4" t="s">
        <v>67</v>
      </c>
      <c r="H212" s="4" t="s">
        <v>68</v>
      </c>
      <c r="I212" s="4" t="s">
        <v>2494</v>
      </c>
      <c r="J212" s="55" t="s">
        <v>319</v>
      </c>
      <c r="K212" s="4" t="s">
        <v>71</v>
      </c>
      <c r="L212" s="4" t="s">
        <v>3487</v>
      </c>
      <c r="M212" s="4" t="s">
        <v>2643</v>
      </c>
      <c r="N212" s="4" t="s">
        <v>74</v>
      </c>
      <c r="O212" s="4" t="s">
        <v>75</v>
      </c>
      <c r="P212" s="4" t="s">
        <v>5271</v>
      </c>
      <c r="Q212" s="57">
        <v>45447</v>
      </c>
      <c r="R212" s="57">
        <v>45453</v>
      </c>
      <c r="S212" s="113"/>
      <c r="T212" s="113"/>
      <c r="U212" s="4"/>
      <c r="V212" s="4"/>
      <c r="W212" s="105" t="s">
        <v>5320</v>
      </c>
      <c r="X212" s="114">
        <v>1677876079</v>
      </c>
      <c r="Y212" s="55">
        <v>1648122622</v>
      </c>
      <c r="Z212" s="4" t="s">
        <v>5321</v>
      </c>
      <c r="AA212" s="4">
        <v>1648122622</v>
      </c>
      <c r="AB212" s="4" t="s">
        <v>101</v>
      </c>
      <c r="AC212" s="4" t="s">
        <v>79</v>
      </c>
      <c r="AD212" s="113">
        <v>36507</v>
      </c>
      <c r="AE212" s="107">
        <f t="shared" si="4" ca="1"/>
        <v>25.17808219178082</v>
      </c>
      <c r="AF212" s="4" t="s">
        <v>80</v>
      </c>
      <c r="AG212" s="114">
        <v>1029050984</v>
      </c>
      <c r="AH212" s="4" t="s">
        <v>81</v>
      </c>
      <c r="AI212" s="55" t="s">
        <v>5322</v>
      </c>
      <c r="AJ212" s="55" t="s">
        <v>81</v>
      </c>
      <c r="AK212" s="55">
        <v>2021</v>
      </c>
      <c r="AL212" s="4" t="s">
        <v>5323</v>
      </c>
      <c r="AM212" s="4" t="s">
        <v>5321</v>
      </c>
      <c r="AN212" s="4" t="s">
        <v>5324</v>
      </c>
      <c r="AO212" s="4" t="s">
        <v>5325</v>
      </c>
      <c r="AP212" s="4" t="s">
        <v>5326</v>
      </c>
      <c r="AQ212" s="55" t="s">
        <v>5327</v>
      </c>
      <c r="AR212" s="4" t="s">
        <v>110</v>
      </c>
      <c r="AS212" s="4" t="s">
        <v>81</v>
      </c>
      <c r="AT212" s="72" t="s">
        <v>81</v>
      </c>
      <c r="AU212" s="4" t="s">
        <v>81</v>
      </c>
      <c r="AV212" s="4" t="s">
        <v>81</v>
      </c>
      <c r="AW212" s="4" t="s">
        <v>81</v>
      </c>
      <c r="AX212" s="4" t="s">
        <v>81</v>
      </c>
      <c r="AY212" s="4" t="s">
        <v>81</v>
      </c>
      <c r="AZ212" s="4" t="s">
        <v>81</v>
      </c>
      <c r="BA212" s="4" t="s">
        <v>3498</v>
      </c>
      <c r="BB212" s="4">
        <v>10800</v>
      </c>
      <c r="BC212" s="4">
        <v>2700</v>
      </c>
      <c r="BD212" s="4">
        <v>0</v>
      </c>
      <c r="BE212" s="4" t="s">
        <v>91</v>
      </c>
      <c r="BF212" s="4"/>
      <c r="BG212" s="4"/>
      <c r="BH212" s="4" t="s">
        <v>3510</v>
      </c>
      <c r="BI212" s="72">
        <f>VLOOKUP(A212,'ID Block'!A:L,12,0)</f>
        <v>45459</v>
      </c>
      <c r="BJ212" s="154" t="str">
        <f>VLOOKUP(A212,'ID Block'!A:M,13,0)</f>
        <v>Family issue</v>
      </c>
      <c r="BK212" s="4">
        <f t="shared" si="3"/>
        <v>6</v>
      </c>
      <c r="BL212" s="105" t="s">
        <v>168</v>
      </c>
      <c r="BM212" s="10"/>
      <c r="BN212" s="183" t="s">
        <v>4321</v>
      </c>
      <c r="BO212" s="183"/>
    </row>
    <row r="213" ht="14.4" s="67" customFormat="1">
      <c r="A213" s="4">
        <v>171227</v>
      </c>
      <c r="B213" s="4"/>
      <c r="C213" s="55" t="s">
        <v>1699</v>
      </c>
      <c r="D213" s="4" t="s">
        <v>5328</v>
      </c>
      <c r="E213" s="4" t="s">
        <v>114</v>
      </c>
      <c r="F213" s="55">
        <v>1110223771</v>
      </c>
      <c r="G213" s="4" t="s">
        <v>67</v>
      </c>
      <c r="H213" s="4" t="s">
        <v>68</v>
      </c>
      <c r="I213" s="4" t="s">
        <v>2494</v>
      </c>
      <c r="J213" s="55" t="s">
        <v>297</v>
      </c>
      <c r="K213" s="4" t="s">
        <v>71</v>
      </c>
      <c r="L213" s="4" t="s">
        <v>3487</v>
      </c>
      <c r="M213" s="4" t="s">
        <v>115</v>
      </c>
      <c r="N213" s="4" t="s">
        <v>74</v>
      </c>
      <c r="O213" s="4" t="s">
        <v>75</v>
      </c>
      <c r="P213" s="4" t="s">
        <v>4271</v>
      </c>
      <c r="Q213" s="57">
        <v>45246</v>
      </c>
      <c r="R213" s="57">
        <v>45256</v>
      </c>
      <c r="S213" s="113"/>
      <c r="T213" s="113"/>
      <c r="U213" s="4"/>
      <c r="V213" s="4"/>
      <c r="W213" s="105" t="s">
        <v>5329</v>
      </c>
      <c r="X213" s="114">
        <v>1687623682</v>
      </c>
      <c r="Y213" s="55">
        <v>1533640423</v>
      </c>
      <c r="Z213" s="4" t="s">
        <v>5330</v>
      </c>
      <c r="AA213" s="4">
        <v>1914713406</v>
      </c>
      <c r="AB213" s="4" t="s">
        <v>132</v>
      </c>
      <c r="AC213" s="4" t="s">
        <v>119</v>
      </c>
      <c r="AD213" s="113">
        <v>36160</v>
      </c>
      <c r="AE213" s="107">
        <f t="shared" si="4" ca="1"/>
        <v>26.12876712328767</v>
      </c>
      <c r="AF213" s="4" t="s">
        <v>80</v>
      </c>
      <c r="AG213" s="114">
        <v>1027507795</v>
      </c>
      <c r="AH213" s="4" t="s">
        <v>81</v>
      </c>
      <c r="AI213" s="55" t="s">
        <v>4551</v>
      </c>
      <c r="AJ213" s="55" t="s">
        <v>81</v>
      </c>
      <c r="AK213" s="55">
        <v>2020</v>
      </c>
      <c r="AL213" s="4" t="s">
        <v>209</v>
      </c>
      <c r="AM213" s="4" t="s">
        <v>5331</v>
      </c>
      <c r="AN213" s="4" t="s">
        <v>5330</v>
      </c>
      <c r="AO213" s="4" t="s">
        <v>5332</v>
      </c>
      <c r="AP213" s="4" t="s">
        <v>5333</v>
      </c>
      <c r="AQ213" s="55" t="s">
        <v>499</v>
      </c>
      <c r="AR213" s="4" t="s">
        <v>110</v>
      </c>
      <c r="AS213" s="4" t="s">
        <v>81</v>
      </c>
      <c r="AT213" s="72" t="s">
        <v>81</v>
      </c>
      <c r="AU213" s="4" t="s">
        <v>81</v>
      </c>
      <c r="AV213" s="4" t="s">
        <v>81</v>
      </c>
      <c r="AW213" s="4"/>
      <c r="AX213" s="4"/>
      <c r="AY213" s="4"/>
      <c r="AZ213" s="4"/>
      <c r="BA213" s="4" t="s">
        <v>3498</v>
      </c>
      <c r="BB213" s="4">
        <v>10800</v>
      </c>
      <c r="BC213" s="4">
        <v>2700</v>
      </c>
      <c r="BD213" s="4">
        <v>0</v>
      </c>
      <c r="BE213" s="4" t="s">
        <v>296</v>
      </c>
      <c r="BF213" s="4"/>
      <c r="BG213" s="4"/>
      <c r="BH213" s="4" t="s">
        <v>3510</v>
      </c>
      <c r="BI213" s="72">
        <f>VLOOKUP(A213,'ID Block'!A:L,12,0)</f>
        <v>45459</v>
      </c>
      <c r="BJ213" s="154" t="str">
        <f>VLOOKUP(A213,'ID Block'!A:M,13,0)</f>
        <v>Family Issue</v>
      </c>
      <c r="BK213" s="4">
        <f t="shared" si="3"/>
        <v>203</v>
      </c>
      <c r="BL213" s="105" t="s">
        <v>168</v>
      </c>
      <c r="BM213" s="10"/>
      <c r="BN213" s="183" t="s">
        <v>4002</v>
      </c>
      <c r="BO213" s="183"/>
    </row>
    <row r="214" ht="14.4" s="67" customFormat="1">
      <c r="A214" s="4">
        <v>171480</v>
      </c>
      <c r="B214" s="4"/>
      <c r="C214" s="55" t="s">
        <v>5334</v>
      </c>
      <c r="D214" s="4" t="s">
        <v>5335</v>
      </c>
      <c r="E214" s="4" t="s">
        <v>114</v>
      </c>
      <c r="F214" s="55">
        <v>1017626147</v>
      </c>
      <c r="G214" s="4" t="s">
        <v>67</v>
      </c>
      <c r="H214" s="4" t="s">
        <v>68</v>
      </c>
      <c r="I214" s="4" t="s">
        <v>2494</v>
      </c>
      <c r="J214" s="55" t="s">
        <v>155</v>
      </c>
      <c r="K214" s="4" t="s">
        <v>71</v>
      </c>
      <c r="L214" s="4" t="s">
        <v>3487</v>
      </c>
      <c r="M214" s="4" t="s">
        <v>196</v>
      </c>
      <c r="N214" s="4" t="s">
        <v>74</v>
      </c>
      <c r="O214" s="4" t="s">
        <v>75</v>
      </c>
      <c r="P214" s="4" t="s">
        <v>5259</v>
      </c>
      <c r="Q214" s="57">
        <v>45419</v>
      </c>
      <c r="R214" s="57">
        <v>45438</v>
      </c>
      <c r="S214" s="113"/>
      <c r="T214" s="113"/>
      <c r="U214" s="4"/>
      <c r="V214" s="4"/>
      <c r="W214" s="105" t="s">
        <v>5336</v>
      </c>
      <c r="X214" s="114">
        <v>1747118053</v>
      </c>
      <c r="Y214" s="55">
        <v>1747118053</v>
      </c>
      <c r="Z214" s="4" t="s">
        <v>5337</v>
      </c>
      <c r="AA214" s="4">
        <v>1751019527</v>
      </c>
      <c r="AB214" s="4" t="s">
        <v>101</v>
      </c>
      <c r="AC214" s="4" t="s">
        <v>133</v>
      </c>
      <c r="AD214" s="113">
        <v>35711</v>
      </c>
      <c r="AE214" s="107">
        <f t="shared" si="4" ca="1"/>
        <v>27.35890410958904</v>
      </c>
      <c r="AF214" s="4" t="s">
        <v>80</v>
      </c>
      <c r="AG214" s="114">
        <v>1953638853</v>
      </c>
      <c r="AH214" s="4" t="s">
        <v>81</v>
      </c>
      <c r="AI214" s="55" t="s">
        <v>542</v>
      </c>
      <c r="AJ214" s="55" t="s">
        <v>81</v>
      </c>
      <c r="AK214" s="55">
        <v>2024</v>
      </c>
      <c r="AL214" s="4" t="s">
        <v>5338</v>
      </c>
      <c r="AM214" s="4" t="s">
        <v>5339</v>
      </c>
      <c r="AN214" s="4" t="s">
        <v>5340</v>
      </c>
      <c r="AO214" s="4" t="s">
        <v>5341</v>
      </c>
      <c r="AP214" s="4" t="s">
        <v>5342</v>
      </c>
      <c r="AQ214" s="55" t="s">
        <v>5343</v>
      </c>
      <c r="AR214" s="4" t="s">
        <v>110</v>
      </c>
      <c r="AS214" s="4" t="s">
        <v>81</v>
      </c>
      <c r="AT214" s="72" t="s">
        <v>81</v>
      </c>
      <c r="AU214" s="4" t="s">
        <v>81</v>
      </c>
      <c r="AV214" s="4" t="s">
        <v>81</v>
      </c>
      <c r="AW214" s="4" t="s">
        <v>81</v>
      </c>
      <c r="AX214" s="4" t="s">
        <v>81</v>
      </c>
      <c r="AY214" s="4" t="s">
        <v>81</v>
      </c>
      <c r="AZ214" s="4" t="s">
        <v>81</v>
      </c>
      <c r="BA214" s="4" t="s">
        <v>3498</v>
      </c>
      <c r="BB214" s="4">
        <v>10800</v>
      </c>
      <c r="BC214" s="4">
        <v>2700</v>
      </c>
      <c r="BD214" s="4">
        <v>1000</v>
      </c>
      <c r="BE214" s="4" t="s">
        <v>166</v>
      </c>
      <c r="BF214" s="4"/>
      <c r="BG214" s="4"/>
      <c r="BH214" s="4" t="s">
        <v>3510</v>
      </c>
      <c r="BI214" s="72">
        <f>VLOOKUP(A214,'ID Block'!A:L,12,0)</f>
        <v>45463</v>
      </c>
      <c r="BJ214" s="154" t="str">
        <f>VLOOKUP(A214,'ID Block'!A:M,13,0)</f>
        <v>Family issue</v>
      </c>
      <c r="BK214" s="4">
        <f t="shared" si="3"/>
        <v>25</v>
      </c>
      <c r="BL214" s="105" t="s">
        <v>168</v>
      </c>
      <c r="BM214" s="10"/>
      <c r="BN214" s="183" t="s">
        <v>4321</v>
      </c>
      <c r="BO214" s="183"/>
    </row>
    <row r="215" ht="14.4" s="67" customFormat="1">
      <c r="A215" s="4">
        <v>171095</v>
      </c>
      <c r="B215" s="4"/>
      <c r="C215" s="55" t="s">
        <v>5344</v>
      </c>
      <c r="D215" s="4" t="s">
        <v>5345</v>
      </c>
      <c r="E215" s="4" t="s">
        <v>66</v>
      </c>
      <c r="F215" s="55">
        <v>1310661658</v>
      </c>
      <c r="G215" s="4" t="s">
        <v>67</v>
      </c>
      <c r="H215" s="4" t="s">
        <v>68</v>
      </c>
      <c r="I215" s="4" t="s">
        <v>2494</v>
      </c>
      <c r="J215" s="55" t="s">
        <v>2495</v>
      </c>
      <c r="K215" s="4" t="s">
        <v>71</v>
      </c>
      <c r="L215" s="4" t="s">
        <v>3487</v>
      </c>
      <c r="M215" s="4" t="s">
        <v>115</v>
      </c>
      <c r="N215" s="4" t="s">
        <v>74</v>
      </c>
      <c r="O215" s="4" t="s">
        <v>75</v>
      </c>
      <c r="P215" s="4" t="s">
        <v>3597</v>
      </c>
      <c r="Q215" s="57">
        <v>45110</v>
      </c>
      <c r="R215" s="57">
        <v>45113</v>
      </c>
      <c r="S215" s="113"/>
      <c r="T215" s="113"/>
      <c r="U215" s="4"/>
      <c r="V215" s="4"/>
      <c r="W215" s="105" t="s">
        <v>5346</v>
      </c>
      <c r="X215" s="114">
        <v>1785910109</v>
      </c>
      <c r="Y215" s="55" t="s">
        <v>81</v>
      </c>
      <c r="Z215" s="4" t="s">
        <v>5347</v>
      </c>
      <c r="AA215" s="4">
        <v>1716838179</v>
      </c>
      <c r="AB215" s="4" t="s">
        <v>252</v>
      </c>
      <c r="AC215" s="4" t="s">
        <v>79</v>
      </c>
      <c r="AD215" s="113">
        <v>36724</v>
      </c>
      <c r="AE215" s="107">
        <f t="shared" si="4" ca="1"/>
        <v>24.583561643835615</v>
      </c>
      <c r="AF215" s="4" t="s">
        <v>80</v>
      </c>
      <c r="AG215" s="114">
        <v>8723613165</v>
      </c>
      <c r="AH215" s="4" t="s">
        <v>81</v>
      </c>
      <c r="AI215" s="55" t="s">
        <v>1368</v>
      </c>
      <c r="AJ215" s="55" t="s">
        <v>81</v>
      </c>
      <c r="AK215" s="55" t="s">
        <v>81</v>
      </c>
      <c r="AL215" s="4" t="s">
        <v>906</v>
      </c>
      <c r="AM215" s="4" t="s">
        <v>5348</v>
      </c>
      <c r="AN215" s="4" t="s">
        <v>5349</v>
      </c>
      <c r="AO215" s="4" t="s">
        <v>5350</v>
      </c>
      <c r="AP215" s="4" t="s">
        <v>5351</v>
      </c>
      <c r="AQ215" s="55" t="s">
        <v>5352</v>
      </c>
      <c r="AR215" s="4" t="s">
        <v>224</v>
      </c>
      <c r="AS215" s="4"/>
      <c r="AT215" s="72"/>
      <c r="AU215" s="4"/>
      <c r="AV215" s="4"/>
      <c r="AW215" s="4"/>
      <c r="AX215" s="4"/>
      <c r="AY215" s="4"/>
      <c r="AZ215" s="4"/>
      <c r="BA215" s="4" t="s">
        <v>3498</v>
      </c>
      <c r="BB215" s="4">
        <v>10800</v>
      </c>
      <c r="BC215" s="4">
        <v>2700</v>
      </c>
      <c r="BD215" s="4">
        <v>0</v>
      </c>
      <c r="BE215" s="4" t="s">
        <v>91</v>
      </c>
      <c r="BF215" s="4" t="s">
        <v>167</v>
      </c>
      <c r="BG215" s="4" t="s">
        <v>167</v>
      </c>
      <c r="BH215" s="4" t="s">
        <v>3510</v>
      </c>
      <c r="BI215" s="72">
        <f>VLOOKUP(A215,'ID Block'!A:L,12,0)</f>
        <v>45463</v>
      </c>
      <c r="BJ215" s="154" t="str">
        <f>VLOOKUP(A215,'ID Block'!A:M,13,0)</f>
        <v>Family issue</v>
      </c>
      <c r="BK215" s="4">
        <f t="shared" si="3"/>
        <v>350</v>
      </c>
      <c r="BL215" s="105" t="s">
        <v>168</v>
      </c>
      <c r="BM215" s="10"/>
      <c r="BN215" s="183" t="s">
        <v>4321</v>
      </c>
      <c r="BO215" s="183"/>
    </row>
    <row r="216" ht="14.4" s="67" customFormat="1">
      <c r="A216" s="4">
        <v>171621</v>
      </c>
      <c r="B216" s="4"/>
      <c r="C216" s="55" t="s">
        <v>2698</v>
      </c>
      <c r="D216" s="4" t="s">
        <v>5353</v>
      </c>
      <c r="E216" s="4" t="s">
        <v>66</v>
      </c>
      <c r="F216" s="55"/>
      <c r="G216" s="4" t="s">
        <v>67</v>
      </c>
      <c r="H216" s="4" t="s">
        <v>68</v>
      </c>
      <c r="I216" s="4" t="s">
        <v>2494</v>
      </c>
      <c r="J216" s="55" t="s">
        <v>1285</v>
      </c>
      <c r="K216" s="4" t="s">
        <v>71</v>
      </c>
      <c r="L216" s="4" t="s">
        <v>3487</v>
      </c>
      <c r="M216" s="4" t="s">
        <v>115</v>
      </c>
      <c r="N216" s="4" t="s">
        <v>74</v>
      </c>
      <c r="O216" s="4" t="s">
        <v>75</v>
      </c>
      <c r="P216" s="4" t="s">
        <v>5354</v>
      </c>
      <c r="Q216" s="57">
        <v>45449</v>
      </c>
      <c r="R216" s="57">
        <v>45458</v>
      </c>
      <c r="S216" s="113"/>
      <c r="T216" s="113"/>
      <c r="U216" s="4"/>
      <c r="V216" s="4"/>
      <c r="W216" s="105"/>
      <c r="X216" s="114">
        <v>1309293832</v>
      </c>
      <c r="Y216" s="55">
        <v>1777680744</v>
      </c>
      <c r="Z216" s="4" t="s">
        <v>4422</v>
      </c>
      <c r="AA216" s="4">
        <v>177768044</v>
      </c>
      <c r="AB216" s="4" t="s">
        <v>101</v>
      </c>
      <c r="AC216" s="4" t="s">
        <v>79</v>
      </c>
      <c r="AD216" s="113">
        <v>37024</v>
      </c>
      <c r="AE216" s="107">
        <v>22.7479452054795</v>
      </c>
      <c r="AF216" s="4" t="s">
        <v>80</v>
      </c>
      <c r="AG216" s="114">
        <v>9165193690</v>
      </c>
      <c r="AH216" s="4" t="s">
        <v>81</v>
      </c>
      <c r="AI216" s="55" t="s">
        <v>4683</v>
      </c>
      <c r="AJ216" s="55" t="s">
        <v>81</v>
      </c>
      <c r="AK216" s="55">
        <v>2023</v>
      </c>
      <c r="AL216" s="4" t="s">
        <v>4684</v>
      </c>
      <c r="AM216" s="4" t="s">
        <v>4685</v>
      </c>
      <c r="AN216" s="4" t="s">
        <v>4686</v>
      </c>
      <c r="AO216" s="4" t="s">
        <v>4687</v>
      </c>
      <c r="AP216" s="4" t="s">
        <v>4688</v>
      </c>
      <c r="AQ216" s="55" t="s">
        <v>4689</v>
      </c>
      <c r="AR216" s="4" t="s">
        <v>110</v>
      </c>
      <c r="AS216" s="4" t="s">
        <v>81</v>
      </c>
      <c r="AT216" s="72" t="s">
        <v>81</v>
      </c>
      <c r="AU216" s="4" t="s">
        <v>81</v>
      </c>
      <c r="AV216" s="4" t="s">
        <v>81</v>
      </c>
      <c r="AW216" s="4" t="s">
        <v>81</v>
      </c>
      <c r="AX216" s="4" t="s">
        <v>81</v>
      </c>
      <c r="AY216" s="4"/>
      <c r="AZ216" s="4"/>
      <c r="BA216" s="4" t="s">
        <v>3498</v>
      </c>
      <c r="BB216" s="4">
        <v>10800</v>
      </c>
      <c r="BC216" s="4">
        <v>2700</v>
      </c>
      <c r="BD216" s="4">
        <v>0</v>
      </c>
      <c r="BE216" s="4" t="s">
        <v>91</v>
      </c>
      <c r="BF216" s="4"/>
      <c r="BG216" s="4"/>
      <c r="BH216" s="4" t="s">
        <v>3510</v>
      </c>
      <c r="BI216" s="72">
        <f>VLOOKUP(A216,'ID Block'!A:L,12,0)</f>
        <v>45464</v>
      </c>
      <c r="BJ216" s="154" t="str">
        <f>VLOOKUP(A216,'ID Block'!A:M,13,0)</f>
        <v>Unathourized Absent</v>
      </c>
      <c r="BK216" s="4">
        <f t="shared" si="3"/>
        <v>6</v>
      </c>
      <c r="BL216" s="105" t="s">
        <v>168</v>
      </c>
      <c r="BM216" s="10"/>
      <c r="BN216" s="183" t="s">
        <v>5355</v>
      </c>
      <c r="BO216" s="183"/>
    </row>
    <row r="217" ht="14.4" s="67" customFormat="1">
      <c r="A217" s="4">
        <v>171609</v>
      </c>
      <c r="B217" s="4"/>
      <c r="C217" s="55"/>
      <c r="D217" s="4" t="s">
        <v>5356</v>
      </c>
      <c r="E217" s="4" t="s">
        <v>66</v>
      </c>
      <c r="F217" s="55"/>
      <c r="G217" s="4" t="s">
        <v>67</v>
      </c>
      <c r="H217" s="4" t="s">
        <v>68</v>
      </c>
      <c r="I217" s="4" t="s">
        <v>2494</v>
      </c>
      <c r="J217" s="55" t="s">
        <v>1285</v>
      </c>
      <c r="K217" s="4" t="s">
        <v>71</v>
      </c>
      <c r="L217" s="4" t="s">
        <v>3487</v>
      </c>
      <c r="M217" s="4" t="s">
        <v>115</v>
      </c>
      <c r="N217" s="4" t="s">
        <v>74</v>
      </c>
      <c r="O217" s="4" t="s">
        <v>75</v>
      </c>
      <c r="P217" s="4" t="s">
        <v>5354</v>
      </c>
      <c r="Q217" s="57">
        <v>45449</v>
      </c>
      <c r="R217" s="57">
        <v>45458</v>
      </c>
      <c r="S217" s="113"/>
      <c r="T217" s="113"/>
      <c r="U217" s="4"/>
      <c r="V217" s="4"/>
      <c r="W217" s="105"/>
      <c r="X217" s="114">
        <v>1776239532</v>
      </c>
      <c r="Y217" s="55">
        <v>1303429367</v>
      </c>
      <c r="Z217" s="4" t="s">
        <v>4693</v>
      </c>
      <c r="AA217" s="4">
        <v>1713954894</v>
      </c>
      <c r="AB217" s="4" t="s">
        <v>101</v>
      </c>
      <c r="AC217" s="4" t="s">
        <v>102</v>
      </c>
      <c r="AD217" s="113">
        <v>36161</v>
      </c>
      <c r="AE217" s="107">
        <v>25.1123287671233</v>
      </c>
      <c r="AF217" s="4" t="s">
        <v>80</v>
      </c>
      <c r="AG217" s="114">
        <v>6002559547</v>
      </c>
      <c r="AH217" s="4" t="s">
        <v>81</v>
      </c>
      <c r="AI217" s="55" t="s">
        <v>290</v>
      </c>
      <c r="AJ217" s="55" t="s">
        <v>81</v>
      </c>
      <c r="AK217" s="55">
        <v>2020</v>
      </c>
      <c r="AL217" s="4" t="s">
        <v>2259</v>
      </c>
      <c r="AM217" s="4" t="s">
        <v>4693</v>
      </c>
      <c r="AN217" s="4" t="s">
        <v>3056</v>
      </c>
      <c r="AO217" s="4" t="s">
        <v>4694</v>
      </c>
      <c r="AP217" s="4" t="s">
        <v>4694</v>
      </c>
      <c r="AQ217" s="55" t="s">
        <v>285</v>
      </c>
      <c r="AR217" s="4" t="s">
        <v>110</v>
      </c>
      <c r="AS217" s="4" t="s">
        <v>81</v>
      </c>
      <c r="AT217" s="72" t="s">
        <v>81</v>
      </c>
      <c r="AU217" s="4" t="s">
        <v>81</v>
      </c>
      <c r="AV217" s="4" t="s">
        <v>81</v>
      </c>
      <c r="AW217" s="4"/>
      <c r="AX217" s="4"/>
      <c r="AY217" s="4"/>
      <c r="AZ217" s="4"/>
      <c r="BA217" s="4" t="s">
        <v>3498</v>
      </c>
      <c r="BB217" s="4">
        <v>10800</v>
      </c>
      <c r="BC217" s="4">
        <v>2700</v>
      </c>
      <c r="BD217" s="4">
        <v>0</v>
      </c>
      <c r="BE217" s="4" t="s">
        <v>91</v>
      </c>
      <c r="BF217" s="4"/>
      <c r="BG217" s="4"/>
      <c r="BH217" s="4" t="s">
        <v>3510</v>
      </c>
      <c r="BI217" s="72">
        <f>VLOOKUP(A217,'ID Block'!A:L,12,0)</f>
        <v>45464</v>
      </c>
      <c r="BJ217" s="154" t="str">
        <f>VLOOKUP(A217,'ID Block'!A:M,13,0)</f>
        <v>Unathourized Absent</v>
      </c>
      <c r="BK217" s="4">
        <f t="shared" si="3"/>
        <v>6</v>
      </c>
      <c r="BL217" s="105" t="s">
        <v>168</v>
      </c>
      <c r="BM217" s="10"/>
      <c r="BN217" s="183" t="s">
        <v>5355</v>
      </c>
      <c r="BO217" s="183"/>
    </row>
    <row r="218" ht="14.4" s="67" customFormat="1">
      <c r="A218" s="4">
        <v>171043</v>
      </c>
      <c r="B218" s="4"/>
      <c r="C218" s="55" t="s">
        <v>5357</v>
      </c>
      <c r="D218" s="4" t="s">
        <v>5358</v>
      </c>
      <c r="E218" s="4" t="s">
        <v>66</v>
      </c>
      <c r="F218" s="55">
        <v>1017639909</v>
      </c>
      <c r="G218" s="4" t="s">
        <v>67</v>
      </c>
      <c r="H218" s="4" t="s">
        <v>68</v>
      </c>
      <c r="I218" s="4" t="s">
        <v>2494</v>
      </c>
      <c r="J218" s="55" t="s">
        <v>70</v>
      </c>
      <c r="K218" s="4" t="s">
        <v>71</v>
      </c>
      <c r="L218" s="4" t="s">
        <v>3487</v>
      </c>
      <c r="M218" s="4" t="s">
        <v>2643</v>
      </c>
      <c r="N218" s="4" t="s">
        <v>74</v>
      </c>
      <c r="O218" s="4" t="s">
        <v>75</v>
      </c>
      <c r="P218" s="4" t="s">
        <v>3489</v>
      </c>
      <c r="Q218" s="57">
        <v>45033</v>
      </c>
      <c r="R218" s="57">
        <v>45040</v>
      </c>
      <c r="S218" s="113"/>
      <c r="T218" s="113"/>
      <c r="U218" s="4"/>
      <c r="V218" s="4"/>
      <c r="W218" s="105" t="s">
        <v>5359</v>
      </c>
      <c r="X218" s="114">
        <v>1670272823</v>
      </c>
      <c r="Y218" s="55"/>
      <c r="Z218" s="4" t="s">
        <v>5360</v>
      </c>
      <c r="AA218" s="4">
        <v>1712120281</v>
      </c>
      <c r="AB218" s="4" t="s">
        <v>132</v>
      </c>
      <c r="AC218" s="4" t="s">
        <v>119</v>
      </c>
      <c r="AD218" s="113">
        <v>32332</v>
      </c>
      <c r="AE218" s="107">
        <f>((TODAY())-AD218)/365</f>
        <v>36.61643835616438</v>
      </c>
      <c r="AF218" s="4" t="s">
        <v>80</v>
      </c>
      <c r="AG218" s="114">
        <v>7804443294</v>
      </c>
      <c r="AH218" s="4" t="s">
        <v>81</v>
      </c>
      <c r="AI218" s="55" t="s">
        <v>187</v>
      </c>
      <c r="AJ218" s="55" t="s">
        <v>81</v>
      </c>
      <c r="AK218" s="55" t="s">
        <v>81</v>
      </c>
      <c r="AL218" s="4" t="s">
        <v>2259</v>
      </c>
      <c r="AM218" s="4" t="s">
        <v>5361</v>
      </c>
      <c r="AN218" s="4" t="s">
        <v>5360</v>
      </c>
      <c r="AO218" s="4" t="s">
        <v>5362</v>
      </c>
      <c r="AP218" s="4" t="s">
        <v>5362</v>
      </c>
      <c r="AQ218" s="55" t="s">
        <v>328</v>
      </c>
      <c r="AR218" s="4" t="s">
        <v>110</v>
      </c>
      <c r="AS218" s="4"/>
      <c r="AT218" s="72"/>
      <c r="AU218" s="4"/>
      <c r="AV218" s="4"/>
      <c r="AW218" s="4"/>
      <c r="AX218" s="4"/>
      <c r="AY218" s="4"/>
      <c r="AZ218" s="4"/>
      <c r="BA218" s="4" t="s">
        <v>3498</v>
      </c>
      <c r="BB218" s="4">
        <v>10800</v>
      </c>
      <c r="BC218" s="4">
        <v>2700</v>
      </c>
      <c r="BD218" s="4">
        <v>0</v>
      </c>
      <c r="BE218" s="4" t="s">
        <v>91</v>
      </c>
      <c r="BF218" s="4">
        <v>161205</v>
      </c>
      <c r="BG218" s="4" t="s">
        <v>92</v>
      </c>
      <c r="BH218" s="4" t="s">
        <v>3510</v>
      </c>
      <c r="BI218" s="72">
        <f>VLOOKUP(A218,'ID Block'!A:L,12,0)</f>
        <v>45465</v>
      </c>
      <c r="BJ218" s="154" t="str">
        <f>VLOOKUP(A218,'ID Block'!A:M,13,0)</f>
        <v>Better Opportunity</v>
      </c>
      <c r="BK218" s="4">
        <f t="shared" si="3"/>
        <v>425</v>
      </c>
      <c r="BL218" s="105" t="s">
        <v>168</v>
      </c>
      <c r="BM218" s="10"/>
      <c r="BN218" s="183" t="s">
        <v>4035</v>
      </c>
      <c r="BO218" s="183"/>
    </row>
    <row r="219" ht="14.4" s="67" customFormat="1">
      <c r="A219" s="4">
        <v>171489</v>
      </c>
      <c r="B219" s="4"/>
      <c r="C219" s="55" t="s">
        <v>5363</v>
      </c>
      <c r="D219" s="4" t="s">
        <v>5364</v>
      </c>
      <c r="E219" s="4" t="s">
        <v>66</v>
      </c>
      <c r="F219" s="55">
        <v>1110283622</v>
      </c>
      <c r="G219" s="4" t="s">
        <v>67</v>
      </c>
      <c r="H219" s="4" t="s">
        <v>68</v>
      </c>
      <c r="I219" s="4" t="s">
        <v>2494</v>
      </c>
      <c r="J219" s="55" t="s">
        <v>1145</v>
      </c>
      <c r="K219" s="4" t="s">
        <v>71</v>
      </c>
      <c r="L219" s="4" t="s">
        <v>3487</v>
      </c>
      <c r="M219" s="4" t="s">
        <v>196</v>
      </c>
      <c r="N219" s="4" t="s">
        <v>74</v>
      </c>
      <c r="O219" s="4" t="s">
        <v>75</v>
      </c>
      <c r="P219" s="4" t="s">
        <v>5365</v>
      </c>
      <c r="Q219" s="57">
        <v>45432</v>
      </c>
      <c r="R219" s="57">
        <v>45444</v>
      </c>
      <c r="S219" s="113"/>
      <c r="T219" s="113"/>
      <c r="U219" s="4"/>
      <c r="V219" s="4"/>
      <c r="W219" s="105" t="s">
        <v>5366</v>
      </c>
      <c r="X219" s="114">
        <v>1869590195</v>
      </c>
      <c r="Y219" s="55" t="s">
        <v>81</v>
      </c>
      <c r="Z219" s="4">
        <v>1869590195</v>
      </c>
      <c r="AA219" s="4">
        <v>1743427556</v>
      </c>
      <c r="AB219" s="4" t="s">
        <v>78</v>
      </c>
      <c r="AC219" s="4" t="s">
        <v>119</v>
      </c>
      <c r="AD219" s="113">
        <v>35786</v>
      </c>
      <c r="AE219" s="107">
        <f>((TODAY())-AD219)/365</f>
        <v>27.153424657534245</v>
      </c>
      <c r="AF219" s="4" t="s">
        <v>80</v>
      </c>
      <c r="AG219" s="114">
        <v>1501807489</v>
      </c>
      <c r="AH219" s="4" t="s">
        <v>81</v>
      </c>
      <c r="AI219" s="55" t="s">
        <v>254</v>
      </c>
      <c r="AJ219" s="55" t="s">
        <v>5367</v>
      </c>
      <c r="AK219" s="55">
        <v>2022</v>
      </c>
      <c r="AL219" s="4" t="s">
        <v>5367</v>
      </c>
      <c r="AM219" s="4" t="s">
        <v>5368</v>
      </c>
      <c r="AN219" s="4" t="s">
        <v>1269</v>
      </c>
      <c r="AO219" s="4" t="s">
        <v>5369</v>
      </c>
      <c r="AP219" s="4" t="s">
        <v>5370</v>
      </c>
      <c r="AQ219" s="55" t="s">
        <v>666</v>
      </c>
      <c r="AR219" s="4" t="s">
        <v>2132</v>
      </c>
      <c r="AS219" s="4" t="s">
        <v>5371</v>
      </c>
      <c r="AT219" s="72">
        <v>36236</v>
      </c>
      <c r="AU219" s="4" t="s">
        <v>81</v>
      </c>
      <c r="AV219" s="4" t="s">
        <v>81</v>
      </c>
      <c r="AW219" s="4" t="s">
        <v>81</v>
      </c>
      <c r="AX219" s="4" t="s">
        <v>81</v>
      </c>
      <c r="AY219" s="4" t="s">
        <v>81</v>
      </c>
      <c r="AZ219" s="4" t="s">
        <v>81</v>
      </c>
      <c r="BA219" s="4" t="s">
        <v>3498</v>
      </c>
      <c r="BB219" s="4">
        <v>10800</v>
      </c>
      <c r="BC219" s="4">
        <v>2700</v>
      </c>
      <c r="BD219" s="4">
        <v>0</v>
      </c>
      <c r="BE219" s="4" t="s">
        <v>91</v>
      </c>
      <c r="BF219" s="4"/>
      <c r="BG219" s="4"/>
      <c r="BH219" s="4" t="s">
        <v>3510</v>
      </c>
      <c r="BI219" s="72">
        <f>VLOOKUP(A219,'ID Block'!A:L,12,0)</f>
        <v>45466</v>
      </c>
      <c r="BJ219" s="154" t="str">
        <f>VLOOKUP(A219,'ID Block'!A:M,13,0)</f>
        <v>Better opportunity</v>
      </c>
      <c r="BK219" s="4">
        <f t="shared" si="3"/>
        <v>22</v>
      </c>
      <c r="BL219" s="105" t="s">
        <v>168</v>
      </c>
      <c r="BM219" s="10"/>
      <c r="BN219" s="183" t="s">
        <v>3796</v>
      </c>
      <c r="BO219" s="183"/>
    </row>
    <row r="220" ht="14.4" s="67" customFormat="1">
      <c r="A220" s="4">
        <v>171369</v>
      </c>
      <c r="B220" s="4"/>
      <c r="C220" s="55" t="s">
        <v>5372</v>
      </c>
      <c r="D220" s="4" t="s">
        <v>5373</v>
      </c>
      <c r="E220" s="4" t="s">
        <v>114</v>
      </c>
      <c r="F220" s="55">
        <v>558645</v>
      </c>
      <c r="G220" s="4" t="s">
        <v>67</v>
      </c>
      <c r="H220" s="4" t="s">
        <v>68</v>
      </c>
      <c r="I220" s="4" t="s">
        <v>2494</v>
      </c>
      <c r="J220" s="55" t="s">
        <v>155</v>
      </c>
      <c r="K220" s="4" t="s">
        <v>71</v>
      </c>
      <c r="L220" s="4" t="s">
        <v>3487</v>
      </c>
      <c r="M220" s="4" t="s">
        <v>196</v>
      </c>
      <c r="N220" s="4" t="s">
        <v>74</v>
      </c>
      <c r="O220" s="4" t="s">
        <v>75</v>
      </c>
      <c r="P220" s="4" t="s">
        <v>4942</v>
      </c>
      <c r="Q220" s="57">
        <v>45353</v>
      </c>
      <c r="R220" s="57">
        <v>45369</v>
      </c>
      <c r="S220" s="113"/>
      <c r="T220" s="113"/>
      <c r="U220" s="4"/>
      <c r="V220" s="4"/>
      <c r="W220" s="105" t="s">
        <v>5374</v>
      </c>
      <c r="X220" s="114">
        <v>1728181667</v>
      </c>
      <c r="Y220" s="55" t="s">
        <v>81</v>
      </c>
      <c r="Z220" s="4" t="s">
        <v>5375</v>
      </c>
      <c r="AA220" s="4">
        <v>1781665041</v>
      </c>
      <c r="AB220" s="4" t="s">
        <v>132</v>
      </c>
      <c r="AC220" s="4" t="s">
        <v>102</v>
      </c>
      <c r="AD220" s="113">
        <v>33735</v>
      </c>
      <c r="AE220" s="107">
        <f>((TODAY())-AD220)/365</f>
        <v>32.772602739726025</v>
      </c>
      <c r="AF220" s="4" t="s">
        <v>80</v>
      </c>
      <c r="AG220" s="114">
        <v>1467328876</v>
      </c>
      <c r="AH220" s="4" t="s">
        <v>790</v>
      </c>
      <c r="AI220" s="55" t="s">
        <v>5376</v>
      </c>
      <c r="AJ220" s="55" t="s">
        <v>81</v>
      </c>
      <c r="AK220" s="55">
        <v>2020</v>
      </c>
      <c r="AL220" s="4" t="s">
        <v>5377</v>
      </c>
      <c r="AM220" s="4" t="s">
        <v>5378</v>
      </c>
      <c r="AN220" s="4" t="s">
        <v>5375</v>
      </c>
      <c r="AO220" s="4" t="s">
        <v>5379</v>
      </c>
      <c r="AP220" s="4" t="s">
        <v>5380</v>
      </c>
      <c r="AQ220" s="55" t="s">
        <v>5381</v>
      </c>
      <c r="AR220" s="4" t="s">
        <v>110</v>
      </c>
      <c r="AS220" s="4" t="s">
        <v>790</v>
      </c>
      <c r="AT220" s="72" t="s">
        <v>790</v>
      </c>
      <c r="AU220" s="4" t="s">
        <v>81</v>
      </c>
      <c r="AV220" s="4" t="s">
        <v>81</v>
      </c>
      <c r="AW220" s="4" t="s">
        <v>81</v>
      </c>
      <c r="AX220" s="4" t="s">
        <v>81</v>
      </c>
      <c r="AY220" s="4"/>
      <c r="AZ220" s="4"/>
      <c r="BA220" s="4" t="s">
        <v>3498</v>
      </c>
      <c r="BB220" s="4">
        <v>10800</v>
      </c>
      <c r="BC220" s="4">
        <v>2700</v>
      </c>
      <c r="BD220" s="4">
        <v>1000</v>
      </c>
      <c r="BE220" s="4" t="s">
        <v>166</v>
      </c>
      <c r="BF220" s="4"/>
      <c r="BG220" s="4"/>
      <c r="BH220" s="4" t="s">
        <v>3499</v>
      </c>
      <c r="BI220" s="72">
        <f>VLOOKUP(A220,'ID Block'!A:L,12,0)</f>
        <v>45467</v>
      </c>
      <c r="BJ220" s="154" t="str">
        <f>VLOOKUP(A220,'ID Block'!A:M,13,0)</f>
        <v>Unathourized Absent</v>
      </c>
      <c r="BK220" s="4">
        <f t="shared" si="3"/>
        <v>98</v>
      </c>
      <c r="BL220" s="105" t="s">
        <v>168</v>
      </c>
      <c r="BM220" s="10"/>
      <c r="BN220" s="183" t="s">
        <v>5355</v>
      </c>
      <c r="BO220" s="183"/>
    </row>
    <row r="221" ht="14.4" s="67" customFormat="1">
      <c r="A221" s="4">
        <v>171318</v>
      </c>
      <c r="B221" s="4"/>
      <c r="C221" s="55" t="s">
        <v>5382</v>
      </c>
      <c r="D221" s="4" t="s">
        <v>5383</v>
      </c>
      <c r="E221" s="4" t="s">
        <v>66</v>
      </c>
      <c r="F221" s="55">
        <v>370294</v>
      </c>
      <c r="G221" s="4" t="s">
        <v>67</v>
      </c>
      <c r="H221" s="4" t="s">
        <v>68</v>
      </c>
      <c r="I221" s="4" t="s">
        <v>2494</v>
      </c>
      <c r="J221" s="55" t="s">
        <v>319</v>
      </c>
      <c r="K221" s="4" t="s">
        <v>71</v>
      </c>
      <c r="L221" s="4" t="s">
        <v>3487</v>
      </c>
      <c r="M221" s="4" t="s">
        <v>2643</v>
      </c>
      <c r="N221" s="4" t="s">
        <v>74</v>
      </c>
      <c r="O221" s="4" t="s">
        <v>75</v>
      </c>
      <c r="P221" s="4" t="s">
        <v>4733</v>
      </c>
      <c r="Q221" s="57">
        <v>45323</v>
      </c>
      <c r="R221" s="57">
        <v>45338</v>
      </c>
      <c r="S221" s="113"/>
      <c r="T221" s="113"/>
      <c r="U221" s="4"/>
      <c r="V221" s="4"/>
      <c r="W221" s="105" t="s">
        <v>5384</v>
      </c>
      <c r="X221" s="114">
        <v>1677104690</v>
      </c>
      <c r="Y221" s="55">
        <v>1911103995</v>
      </c>
      <c r="Z221" s="4" t="s">
        <v>5385</v>
      </c>
      <c r="AA221" s="4">
        <v>1911103995</v>
      </c>
      <c r="AB221" s="4" t="s">
        <v>410</v>
      </c>
      <c r="AC221" s="4" t="s">
        <v>133</v>
      </c>
      <c r="AD221" s="113">
        <v>34106</v>
      </c>
      <c r="AE221" s="107">
        <f>((TODAY())-AD221)/365</f>
        <v>31.756164383561643</v>
      </c>
      <c r="AF221" s="4" t="s">
        <v>80</v>
      </c>
      <c r="AG221" s="114">
        <v>7310846774</v>
      </c>
      <c r="AH221" s="4" t="s">
        <v>5386</v>
      </c>
      <c r="AI221" s="55" t="s">
        <v>265</v>
      </c>
      <c r="AJ221" s="55" t="s">
        <v>81</v>
      </c>
      <c r="AK221" s="55">
        <v>2019</v>
      </c>
      <c r="AL221" s="4" t="s">
        <v>5387</v>
      </c>
      <c r="AM221" s="4" t="s">
        <v>5388</v>
      </c>
      <c r="AN221" s="4" t="s">
        <v>5389</v>
      </c>
      <c r="AO221" s="4" t="s">
        <v>5390</v>
      </c>
      <c r="AP221" s="4" t="s">
        <v>5391</v>
      </c>
      <c r="AQ221" s="55" t="s">
        <v>88</v>
      </c>
      <c r="AR221" s="4" t="s">
        <v>89</v>
      </c>
      <c r="AS221" s="4" t="s">
        <v>5392</v>
      </c>
      <c r="AT221" s="72">
        <v>30595</v>
      </c>
      <c r="AU221" s="4" t="s">
        <v>81</v>
      </c>
      <c r="AV221" s="4" t="s">
        <v>81</v>
      </c>
      <c r="AW221" s="4" t="s">
        <v>81</v>
      </c>
      <c r="AX221" s="4" t="s">
        <v>81</v>
      </c>
      <c r="AY221" s="4" t="s">
        <v>81</v>
      </c>
      <c r="AZ221" s="4" t="s">
        <v>81</v>
      </c>
      <c r="BA221" s="4" t="s">
        <v>3498</v>
      </c>
      <c r="BB221" s="4">
        <v>10800</v>
      </c>
      <c r="BC221" s="4">
        <v>2700</v>
      </c>
      <c r="BD221" s="4">
        <v>0</v>
      </c>
      <c r="BE221" s="4" t="s">
        <v>91</v>
      </c>
      <c r="BF221" s="4"/>
      <c r="BG221" s="4"/>
      <c r="BH221" s="4" t="s">
        <v>3510</v>
      </c>
      <c r="BI221" s="72">
        <f>VLOOKUP(A221,'ID Block'!A:L,12,0)</f>
        <v>45470</v>
      </c>
      <c r="BJ221" s="154" t="str">
        <f>VLOOKUP(A221,'ID Block'!A:M,13,0)</f>
        <v>Better opportunity</v>
      </c>
      <c r="BK221" s="4">
        <f t="shared" si="3"/>
        <v>132</v>
      </c>
      <c r="BL221" s="105" t="s">
        <v>168</v>
      </c>
      <c r="BM221" s="10"/>
      <c r="BN221" s="183" t="s">
        <v>3796</v>
      </c>
      <c r="BO221" s="183"/>
    </row>
    <row r="222" ht="14.4" s="67" customFormat="1">
      <c r="A222" s="4">
        <v>171532</v>
      </c>
      <c r="B222" s="4"/>
      <c r="C222" s="55" t="s">
        <v>5393</v>
      </c>
      <c r="D222" s="4" t="s">
        <v>4030</v>
      </c>
      <c r="E222" s="4" t="s">
        <v>114</v>
      </c>
      <c r="F222" s="55">
        <v>299312</v>
      </c>
      <c r="G222" s="4" t="s">
        <v>67</v>
      </c>
      <c r="H222" s="4" t="s">
        <v>68</v>
      </c>
      <c r="I222" s="4" t="s">
        <v>2494</v>
      </c>
      <c r="J222" s="55" t="s">
        <v>155</v>
      </c>
      <c r="K222" s="4" t="s">
        <v>71</v>
      </c>
      <c r="L222" s="4" t="s">
        <v>3487</v>
      </c>
      <c r="M222" s="4" t="s">
        <v>196</v>
      </c>
      <c r="N222" s="4" t="s">
        <v>74</v>
      </c>
      <c r="O222" s="4" t="s">
        <v>75</v>
      </c>
      <c r="P222" s="4" t="s">
        <v>5394</v>
      </c>
      <c r="Q222" s="57">
        <v>45442</v>
      </c>
      <c r="R222" s="57">
        <v>45458</v>
      </c>
      <c r="S222" s="113"/>
      <c r="T222" s="113"/>
      <c r="U222" s="4"/>
      <c r="V222" s="4"/>
      <c r="W222" s="105" t="s">
        <v>3222</v>
      </c>
      <c r="X222" s="114">
        <v>1324561676</v>
      </c>
      <c r="Y222" s="55" t="s">
        <v>81</v>
      </c>
      <c r="Z222" s="4" t="s">
        <v>4031</v>
      </c>
      <c r="AA222" s="4">
        <v>1712421076</v>
      </c>
      <c r="AB222" s="4" t="s">
        <v>252</v>
      </c>
      <c r="AC222" s="4" t="s">
        <v>79</v>
      </c>
      <c r="AD222" s="113">
        <v>32603</v>
      </c>
      <c r="AE222" s="107"/>
      <c r="AF222" s="4" t="s">
        <v>80</v>
      </c>
      <c r="AG222" s="114">
        <v>1021013659</v>
      </c>
      <c r="AH222" s="4" t="s">
        <v>81</v>
      </c>
      <c r="AI222" s="55" t="s">
        <v>683</v>
      </c>
      <c r="AJ222" s="55" t="s">
        <v>81</v>
      </c>
      <c r="AK222" s="55">
        <v>2011</v>
      </c>
      <c r="AL222" s="4" t="s">
        <v>1809</v>
      </c>
      <c r="AM222" s="4" t="s">
        <v>3224</v>
      </c>
      <c r="AN222" s="4" t="s">
        <v>4032</v>
      </c>
      <c r="AO222" s="4" t="s">
        <v>4033</v>
      </c>
      <c r="AP222" s="4" t="s">
        <v>4034</v>
      </c>
      <c r="AQ222" s="55" t="s">
        <v>285</v>
      </c>
      <c r="AR222" s="4" t="s">
        <v>260</v>
      </c>
      <c r="AS222" s="4" t="s">
        <v>81</v>
      </c>
      <c r="AT222" s="72" t="s">
        <v>81</v>
      </c>
      <c r="AU222" s="4" t="s">
        <v>81</v>
      </c>
      <c r="AV222" s="4" t="s">
        <v>81</v>
      </c>
      <c r="AW222" s="4" t="s">
        <v>81</v>
      </c>
      <c r="AX222" s="4" t="s">
        <v>81</v>
      </c>
      <c r="AY222" s="4" t="s">
        <v>81</v>
      </c>
      <c r="AZ222" s="4" t="s">
        <v>81</v>
      </c>
      <c r="BA222" s="4" t="s">
        <v>3498</v>
      </c>
      <c r="BB222" s="4">
        <v>10800</v>
      </c>
      <c r="BC222" s="4">
        <v>2700</v>
      </c>
      <c r="BD222" s="4">
        <v>1000</v>
      </c>
      <c r="BE222" s="4" t="s">
        <v>166</v>
      </c>
      <c r="BF222" s="4"/>
      <c r="BG222" s="4"/>
      <c r="BH222" s="4" t="s">
        <v>3510</v>
      </c>
      <c r="BI222" s="72">
        <f>VLOOKUP(A222,'ID Block'!A:L,12,0)</f>
        <v>45470</v>
      </c>
      <c r="BJ222" s="154" t="str">
        <f>VLOOKUP(A222,'ID Block'!A:M,13,0)</f>
        <v>Better Opportunity</v>
      </c>
      <c r="BK222" s="4">
        <f t="shared" si="3"/>
        <v>12</v>
      </c>
      <c r="BL222" s="105" t="s">
        <v>168</v>
      </c>
      <c r="BM222" s="10"/>
      <c r="BN222" s="183" t="s">
        <v>4035</v>
      </c>
      <c r="BO222" s="183"/>
    </row>
    <row r="223" ht="14.4" s="67" customFormat="1">
      <c r="A223" s="4">
        <v>171535</v>
      </c>
      <c r="B223" s="4"/>
      <c r="C223" s="55" t="s">
        <v>5395</v>
      </c>
      <c r="D223" s="4" t="s">
        <v>5396</v>
      </c>
      <c r="E223" s="4" t="s">
        <v>114</v>
      </c>
      <c r="F223" s="55">
        <v>401716</v>
      </c>
      <c r="G223" s="4" t="s">
        <v>67</v>
      </c>
      <c r="H223" s="4" t="s">
        <v>68</v>
      </c>
      <c r="I223" s="4" t="s">
        <v>2494</v>
      </c>
      <c r="J223" s="55" t="s">
        <v>155</v>
      </c>
      <c r="K223" s="4" t="s">
        <v>71</v>
      </c>
      <c r="L223" s="4" t="s">
        <v>3487</v>
      </c>
      <c r="M223" s="4" t="s">
        <v>196</v>
      </c>
      <c r="N223" s="4" t="s">
        <v>74</v>
      </c>
      <c r="O223" s="4" t="s">
        <v>75</v>
      </c>
      <c r="P223" s="4" t="s">
        <v>5394</v>
      </c>
      <c r="Q223" s="57">
        <v>45442</v>
      </c>
      <c r="R223" s="57">
        <v>45458</v>
      </c>
      <c r="S223" s="113"/>
      <c r="T223" s="113"/>
      <c r="U223" s="4"/>
      <c r="V223" s="4"/>
      <c r="W223" s="105" t="s">
        <v>5397</v>
      </c>
      <c r="X223" s="114">
        <v>1722526211</v>
      </c>
      <c r="Y223" s="55">
        <v>1515274781</v>
      </c>
      <c r="Z223" s="4" t="s">
        <v>5398</v>
      </c>
      <c r="AA223" s="4">
        <v>1921291036</v>
      </c>
      <c r="AB223" s="4" t="s">
        <v>252</v>
      </c>
      <c r="AC223" s="4" t="s">
        <v>133</v>
      </c>
      <c r="AD223" s="113">
        <v>34462</v>
      </c>
      <c r="AE223" s="107"/>
      <c r="AF223" s="4" t="s">
        <v>80</v>
      </c>
      <c r="AG223" s="114">
        <v>2832533679</v>
      </c>
      <c r="AH223" s="4" t="s">
        <v>5399</v>
      </c>
      <c r="AI223" s="55" t="s">
        <v>1757</v>
      </c>
      <c r="AJ223" s="55" t="s">
        <v>81</v>
      </c>
      <c r="AK223" s="55">
        <v>2016</v>
      </c>
      <c r="AL223" s="4" t="s">
        <v>4402</v>
      </c>
      <c r="AM223" s="4" t="s">
        <v>5400</v>
      </c>
      <c r="AN223" s="4" t="s">
        <v>5401</v>
      </c>
      <c r="AO223" s="4" t="s">
        <v>5402</v>
      </c>
      <c r="AP223" s="4" t="s">
        <v>5403</v>
      </c>
      <c r="AQ223" s="55" t="s">
        <v>499</v>
      </c>
      <c r="AR223" s="4" t="s">
        <v>260</v>
      </c>
      <c r="AS223" s="4" t="s">
        <v>81</v>
      </c>
      <c r="AT223" s="72" t="s">
        <v>81</v>
      </c>
      <c r="AU223" s="4" t="s">
        <v>81</v>
      </c>
      <c r="AV223" s="4" t="s">
        <v>81</v>
      </c>
      <c r="AW223" s="4" t="s">
        <v>81</v>
      </c>
      <c r="AX223" s="4" t="s">
        <v>81</v>
      </c>
      <c r="AY223" s="4" t="s">
        <v>81</v>
      </c>
      <c r="AZ223" s="4" t="s">
        <v>81</v>
      </c>
      <c r="BA223" s="4" t="s">
        <v>3498</v>
      </c>
      <c r="BB223" s="4">
        <v>10800</v>
      </c>
      <c r="BC223" s="4">
        <v>2700</v>
      </c>
      <c r="BD223" s="4">
        <v>1000</v>
      </c>
      <c r="BE223" s="4" t="s">
        <v>166</v>
      </c>
      <c r="BF223" s="4"/>
      <c r="BG223" s="4"/>
      <c r="BH223" s="4" t="s">
        <v>3510</v>
      </c>
      <c r="BI223" s="72">
        <f>VLOOKUP(A223,'ID Block'!A:L,12,0)</f>
        <v>45472</v>
      </c>
      <c r="BJ223" s="154" t="str">
        <f>VLOOKUP(A223,'ID Block'!A:M,13,0)</f>
        <v>Better Opportunity</v>
      </c>
      <c r="BK223" s="4">
        <f t="shared" si="3"/>
        <v>14</v>
      </c>
      <c r="BL223" s="105" t="s">
        <v>168</v>
      </c>
      <c r="BM223" s="10"/>
      <c r="BN223" s="183" t="s">
        <v>4035</v>
      </c>
      <c r="BO223" s="183"/>
    </row>
    <row r="224" ht="14.4" s="67" customFormat="1">
      <c r="A224" s="4">
        <v>171596</v>
      </c>
      <c r="B224" s="4"/>
      <c r="C224" s="55" t="s">
        <v>5404</v>
      </c>
      <c r="D224" s="4" t="s">
        <v>5405</v>
      </c>
      <c r="E224" s="4" t="s">
        <v>1765</v>
      </c>
      <c r="F224" s="55">
        <v>1311113209</v>
      </c>
      <c r="G224" s="4" t="s">
        <v>67</v>
      </c>
      <c r="H224" s="4" t="s">
        <v>68</v>
      </c>
      <c r="I224" s="4" t="s">
        <v>2494</v>
      </c>
      <c r="J224" s="55" t="s">
        <v>5406</v>
      </c>
      <c r="K224" s="4" t="s">
        <v>1766</v>
      </c>
      <c r="L224" s="4" t="s">
        <v>3487</v>
      </c>
      <c r="M224" s="4" t="s">
        <v>196</v>
      </c>
      <c r="N224" s="4" t="s">
        <v>74</v>
      </c>
      <c r="O224" s="4" t="s">
        <v>75</v>
      </c>
      <c r="P224" s="4" t="s">
        <v>5407</v>
      </c>
      <c r="Q224" s="57">
        <v>45451</v>
      </c>
      <c r="R224" s="57">
        <v>45469</v>
      </c>
      <c r="S224" s="113" t="s">
        <v>242</v>
      </c>
      <c r="T224" s="113" t="s">
        <v>242</v>
      </c>
      <c r="U224" s="4" t="s">
        <v>242</v>
      </c>
      <c r="V224" s="4" t="s">
        <v>242</v>
      </c>
      <c r="W224" s="105" t="s">
        <v>5408</v>
      </c>
      <c r="X224" s="114" t="s">
        <v>5409</v>
      </c>
      <c r="Y224" s="55">
        <v>1635703220</v>
      </c>
      <c r="Z224" s="4" t="s">
        <v>5410</v>
      </c>
      <c r="AA224" s="4">
        <v>1911302551</v>
      </c>
      <c r="AB224" s="4" t="s">
        <v>101</v>
      </c>
      <c r="AC224" s="4" t="s">
        <v>119</v>
      </c>
      <c r="AD224" s="113">
        <v>33455</v>
      </c>
      <c r="AE224" s="107">
        <v>33</v>
      </c>
      <c r="AF224" s="4" t="s">
        <v>5264</v>
      </c>
      <c r="AG224" s="114">
        <v>33030250856</v>
      </c>
      <c r="AH224" s="4" t="s">
        <v>242</v>
      </c>
      <c r="AI224" s="55" t="s">
        <v>925</v>
      </c>
      <c r="AJ224" s="55"/>
      <c r="AK224" s="55">
        <v>2019</v>
      </c>
      <c r="AL224" s="4" t="s">
        <v>5411</v>
      </c>
      <c r="AM224" s="4" t="s">
        <v>5412</v>
      </c>
      <c r="AN224" s="4" t="s">
        <v>5413</v>
      </c>
      <c r="AO224" s="4" t="s">
        <v>5414</v>
      </c>
      <c r="AP224" s="4" t="s">
        <v>5415</v>
      </c>
      <c r="AQ224" s="55" t="s">
        <v>5414</v>
      </c>
      <c r="AR224" s="4" t="s">
        <v>110</v>
      </c>
      <c r="AS224" s="4" t="s">
        <v>242</v>
      </c>
      <c r="AT224" s="72" t="s">
        <v>242</v>
      </c>
      <c r="AU224" s="4" t="s">
        <v>242</v>
      </c>
      <c r="AV224" s="4" t="s">
        <v>242</v>
      </c>
      <c r="AW224" s="4" t="s">
        <v>242</v>
      </c>
      <c r="AX224" s="4" t="s">
        <v>242</v>
      </c>
      <c r="AY224" s="4" t="s">
        <v>242</v>
      </c>
      <c r="AZ224" s="4" t="s">
        <v>242</v>
      </c>
      <c r="BA224" s="4" t="s">
        <v>3498</v>
      </c>
      <c r="BB224" s="4">
        <v>10800</v>
      </c>
      <c r="BC224" s="4">
        <v>2700</v>
      </c>
      <c r="BD224" s="4">
        <v>1000</v>
      </c>
      <c r="BE224" s="4" t="s">
        <v>166</v>
      </c>
      <c r="BF224" s="4" t="s">
        <v>242</v>
      </c>
      <c r="BG224" s="4" t="s">
        <v>242</v>
      </c>
      <c r="BH224" s="4" t="s">
        <v>3510</v>
      </c>
      <c r="BI224" s="72">
        <f>VLOOKUP(A224,'ID Block'!A:L,12,0)</f>
        <v>45472</v>
      </c>
      <c r="BJ224" s="154" t="str">
        <f>VLOOKUP(A224,'ID Block'!A:M,13,0)</f>
        <v>Better Opportunity</v>
      </c>
      <c r="BK224" s="4">
        <f t="shared" si="3"/>
        <v>3</v>
      </c>
      <c r="BL224" s="105" t="s">
        <v>168</v>
      </c>
      <c r="BM224" s="10"/>
      <c r="BN224" s="183" t="s">
        <v>4035</v>
      </c>
      <c r="BO224" s="183"/>
    </row>
    <row r="225" ht="15.45" customHeight="1" s="67" customFormat="1">
      <c r="A225" s="4">
        <v>171397</v>
      </c>
      <c r="B225" s="4"/>
      <c r="C225" s="55" t="s">
        <v>5416</v>
      </c>
      <c r="D225" s="4" t="s">
        <v>5417</v>
      </c>
      <c r="E225" s="4" t="s">
        <v>66</v>
      </c>
      <c r="F225" s="55">
        <v>504802</v>
      </c>
      <c r="G225" s="4" t="s">
        <v>67</v>
      </c>
      <c r="H225" s="4" t="s">
        <v>68</v>
      </c>
      <c r="I225" s="4" t="s">
        <v>2494</v>
      </c>
      <c r="J225" s="55" t="s">
        <v>3650</v>
      </c>
      <c r="K225" s="4" t="s">
        <v>71</v>
      </c>
      <c r="L225" s="4" t="s">
        <v>3487</v>
      </c>
      <c r="M225" s="4" t="s">
        <v>115</v>
      </c>
      <c r="N225" s="4" t="s">
        <v>74</v>
      </c>
      <c r="O225" s="4" t="s">
        <v>75</v>
      </c>
      <c r="P225" s="4" t="s">
        <v>4900</v>
      </c>
      <c r="Q225" s="57">
        <v>45371</v>
      </c>
      <c r="R225" s="57">
        <v>45384</v>
      </c>
      <c r="S225" s="113"/>
      <c r="T225" s="113"/>
      <c r="U225" s="4"/>
      <c r="V225" s="4"/>
      <c r="W225" s="105" t="s">
        <v>5418</v>
      </c>
      <c r="X225" s="114">
        <v>1915700966</v>
      </c>
      <c r="Y225" s="55" t="s">
        <v>81</v>
      </c>
      <c r="Z225" s="4" t="s">
        <v>5419</v>
      </c>
      <c r="AA225" s="4">
        <v>1606071450</v>
      </c>
      <c r="AB225" s="4" t="s">
        <v>132</v>
      </c>
      <c r="AC225" s="4" t="s">
        <v>79</v>
      </c>
      <c r="AD225" s="113">
        <v>36446</v>
      </c>
      <c r="AE225" s="107">
        <f>((TODAY())-AD225)/365</f>
        <v>25.345205479452055</v>
      </c>
      <c r="AF225" s="4" t="s">
        <v>80</v>
      </c>
      <c r="AG225" s="114">
        <v>2404792737</v>
      </c>
      <c r="AH225" s="4" t="s">
        <v>81</v>
      </c>
      <c r="AI225" s="55" t="s">
        <v>322</v>
      </c>
      <c r="AJ225" s="55" t="s">
        <v>81</v>
      </c>
      <c r="AK225" s="55">
        <v>2023</v>
      </c>
      <c r="AL225" s="4" t="s">
        <v>5420</v>
      </c>
      <c r="AM225" s="4" t="s">
        <v>5421</v>
      </c>
      <c r="AN225" s="4" t="s">
        <v>5419</v>
      </c>
      <c r="AO225" s="4" t="s">
        <v>5422</v>
      </c>
      <c r="AP225" s="4" t="s">
        <v>5423</v>
      </c>
      <c r="AQ225" s="55" t="s">
        <v>5424</v>
      </c>
      <c r="AR225" s="4" t="s">
        <v>110</v>
      </c>
      <c r="AS225" s="4" t="s">
        <v>81</v>
      </c>
      <c r="AT225" s="72" t="s">
        <v>81</v>
      </c>
      <c r="AU225" s="4" t="s">
        <v>81</v>
      </c>
      <c r="AV225" s="4" t="s">
        <v>81</v>
      </c>
      <c r="AW225" s="4" t="s">
        <v>81</v>
      </c>
      <c r="AX225" s="4" t="s">
        <v>81</v>
      </c>
      <c r="AY225" s="4" t="s">
        <v>81</v>
      </c>
      <c r="AZ225" s="4" t="s">
        <v>81</v>
      </c>
      <c r="BA225" s="4" t="s">
        <v>3498</v>
      </c>
      <c r="BB225" s="4">
        <v>10800</v>
      </c>
      <c r="BC225" s="4">
        <v>2700</v>
      </c>
      <c r="BD225" s="4">
        <v>0</v>
      </c>
      <c r="BE225" s="4" t="s">
        <v>91</v>
      </c>
      <c r="BF225" s="4"/>
      <c r="BG225" s="4"/>
      <c r="BH225" s="4" t="s">
        <v>3510</v>
      </c>
      <c r="BI225" s="72">
        <f>VLOOKUP(A225,'ID Block'!A:L,12,0)</f>
        <v>45474</v>
      </c>
      <c r="BJ225" s="154" t="str">
        <f>VLOOKUP(A225,'ID Block'!A:M,13,0)</f>
        <v>Better opportunity</v>
      </c>
      <c r="BK225" s="4">
        <f t="shared" si="3"/>
        <v>90</v>
      </c>
      <c r="BL225" s="105" t="s">
        <v>168</v>
      </c>
      <c r="BM225" s="10"/>
      <c r="BN225" s="183" t="s">
        <v>3796</v>
      </c>
      <c r="BO225" s="183"/>
    </row>
    <row r="226" ht="14.4" s="67" customFormat="1">
      <c r="A226" s="4">
        <v>171405</v>
      </c>
      <c r="B226" s="4"/>
      <c r="C226" s="55" t="s">
        <v>5425</v>
      </c>
      <c r="D226" s="4" t="s">
        <v>5426</v>
      </c>
      <c r="E226" s="4" t="s">
        <v>114</v>
      </c>
      <c r="F226" s="55"/>
      <c r="G226" s="4" t="s">
        <v>67</v>
      </c>
      <c r="H226" s="4" t="s">
        <v>68</v>
      </c>
      <c r="I226" s="4" t="s">
        <v>2494</v>
      </c>
      <c r="J226" s="55" t="s">
        <v>155</v>
      </c>
      <c r="K226" s="4" t="s">
        <v>71</v>
      </c>
      <c r="L226" s="4" t="s">
        <v>3487</v>
      </c>
      <c r="M226" s="4" t="s">
        <v>196</v>
      </c>
      <c r="N226" s="4" t="s">
        <v>74</v>
      </c>
      <c r="O226" s="4" t="s">
        <v>75</v>
      </c>
      <c r="P226" s="4" t="s">
        <v>4900</v>
      </c>
      <c r="Q226" s="57">
        <v>45371</v>
      </c>
      <c r="R226" s="57">
        <v>45389</v>
      </c>
      <c r="S226" s="113"/>
      <c r="T226" s="113"/>
      <c r="U226" s="4"/>
      <c r="V226" s="4"/>
      <c r="W226" s="105" t="s">
        <v>5427</v>
      </c>
      <c r="X226" s="114" t="s">
        <v>5428</v>
      </c>
      <c r="Y226" s="55" t="s">
        <v>5429</v>
      </c>
      <c r="Z226" s="4" t="s">
        <v>5430</v>
      </c>
      <c r="AA226" s="4" t="s">
        <v>5429</v>
      </c>
      <c r="AB226" s="4" t="s">
        <v>101</v>
      </c>
      <c r="AC226" s="4" t="s">
        <v>119</v>
      </c>
      <c r="AD226" s="113">
        <v>36223</v>
      </c>
      <c r="AE226" s="107">
        <f>((TODAY())-AD226)/365</f>
        <v>25.956164383561642</v>
      </c>
      <c r="AF226" s="4" t="s">
        <v>80</v>
      </c>
      <c r="AG226" s="114">
        <v>1504862184</v>
      </c>
      <c r="AH226" s="4" t="s">
        <v>81</v>
      </c>
      <c r="AI226" s="55" t="s">
        <v>4551</v>
      </c>
      <c r="AJ226" s="55" t="s">
        <v>81</v>
      </c>
      <c r="AK226" s="55">
        <v>2022</v>
      </c>
      <c r="AL226" s="4" t="s">
        <v>322</v>
      </c>
      <c r="AM226" s="4" t="s">
        <v>5430</v>
      </c>
      <c r="AN226" s="4" t="s">
        <v>5431</v>
      </c>
      <c r="AO226" s="4" t="s">
        <v>5432</v>
      </c>
      <c r="AP226" s="4" t="s">
        <v>5433</v>
      </c>
      <c r="AQ226" s="55" t="s">
        <v>285</v>
      </c>
      <c r="AR226" s="4" t="s">
        <v>110</v>
      </c>
      <c r="AS226" s="4" t="s">
        <v>81</v>
      </c>
      <c r="AT226" s="72" t="s">
        <v>81</v>
      </c>
      <c r="AU226" s="4" t="s">
        <v>81</v>
      </c>
      <c r="AV226" s="4" t="s">
        <v>81</v>
      </c>
      <c r="AW226" s="4" t="s">
        <v>81</v>
      </c>
      <c r="AX226" s="4" t="s">
        <v>81</v>
      </c>
      <c r="AY226" s="4"/>
      <c r="AZ226" s="4"/>
      <c r="BA226" s="4" t="s">
        <v>3498</v>
      </c>
      <c r="BB226" s="4">
        <v>10800</v>
      </c>
      <c r="BC226" s="4">
        <v>2700</v>
      </c>
      <c r="BD226" s="4">
        <v>1000</v>
      </c>
      <c r="BE226" s="4" t="s">
        <v>166</v>
      </c>
      <c r="BF226" s="4"/>
      <c r="BG226" s="4"/>
      <c r="BH226" s="4" t="s">
        <v>3510</v>
      </c>
      <c r="BI226" s="72">
        <f>VLOOKUP(A226,'ID Block'!A:L,12,0)</f>
        <v>45474</v>
      </c>
      <c r="BJ226" s="154" t="str">
        <f>VLOOKUP(A226,'ID Block'!A:M,13,0)</f>
        <v>Personal Issue</v>
      </c>
      <c r="BK226" s="4">
        <f t="shared" si="3"/>
        <v>85</v>
      </c>
      <c r="BL226" s="105" t="s">
        <v>168</v>
      </c>
      <c r="BM226" s="10"/>
      <c r="BN226" s="183" t="s">
        <v>3978</v>
      </c>
      <c r="BO226" s="183"/>
    </row>
    <row r="227" ht="14.4" s="67" customFormat="1">
      <c r="A227" s="4">
        <v>171077</v>
      </c>
      <c r="B227" s="4"/>
      <c r="C227" s="55" t="s">
        <v>5434</v>
      </c>
      <c r="D227" s="4" t="s">
        <v>5435</v>
      </c>
      <c r="E227" s="4" t="s">
        <v>114</v>
      </c>
      <c r="F227" s="55">
        <v>880585</v>
      </c>
      <c r="G227" s="4" t="s">
        <v>67</v>
      </c>
      <c r="H227" s="4" t="s">
        <v>68</v>
      </c>
      <c r="I227" s="4" t="s">
        <v>2494</v>
      </c>
      <c r="J227" s="55" t="s">
        <v>155</v>
      </c>
      <c r="K227" s="4" t="s">
        <v>71</v>
      </c>
      <c r="L227" s="4" t="s">
        <v>3487</v>
      </c>
      <c r="M227" s="4" t="s">
        <v>196</v>
      </c>
      <c r="N227" s="4" t="s">
        <v>74</v>
      </c>
      <c r="O227" s="4" t="s">
        <v>75</v>
      </c>
      <c r="P227" s="4" t="s">
        <v>3564</v>
      </c>
      <c r="Q227" s="57">
        <v>45077</v>
      </c>
      <c r="R227" s="57">
        <v>45093</v>
      </c>
      <c r="S227" s="113"/>
      <c r="T227" s="113"/>
      <c r="U227" s="4"/>
      <c r="V227" s="4"/>
      <c r="W227" s="105" t="s">
        <v>5436</v>
      </c>
      <c r="X227" s="114">
        <v>1609262023</v>
      </c>
      <c r="Y227" s="55">
        <v>1922121243</v>
      </c>
      <c r="Z227" s="4" t="s">
        <v>5437</v>
      </c>
      <c r="AA227" s="4">
        <v>1676923006</v>
      </c>
      <c r="AB227" s="4" t="s">
        <v>101</v>
      </c>
      <c r="AC227" s="4" t="s">
        <v>119</v>
      </c>
      <c r="AD227" s="113">
        <v>35400</v>
      </c>
      <c r="AE227" s="107">
        <f>((TODAY())-AD227)/365</f>
        <v>28.21095890410959</v>
      </c>
      <c r="AF227" s="4" t="s">
        <v>80</v>
      </c>
      <c r="AG227" s="114">
        <v>3302754340</v>
      </c>
      <c r="AH227" s="4" t="s">
        <v>81</v>
      </c>
      <c r="AI227" s="55" t="s">
        <v>82</v>
      </c>
      <c r="AJ227" s="55" t="s">
        <v>81</v>
      </c>
      <c r="AK227" s="55" t="s">
        <v>81</v>
      </c>
      <c r="AL227" s="4" t="s">
        <v>1102</v>
      </c>
      <c r="AM227" s="4" t="s">
        <v>5437</v>
      </c>
      <c r="AN227" s="4" t="s">
        <v>5438</v>
      </c>
      <c r="AO227" s="4" t="s">
        <v>5439</v>
      </c>
      <c r="AP227" s="4" t="s">
        <v>5440</v>
      </c>
      <c r="AQ227" s="55" t="s">
        <v>555</v>
      </c>
      <c r="AR227" s="4" t="s">
        <v>110</v>
      </c>
      <c r="AS227" s="4"/>
      <c r="AT227" s="72"/>
      <c r="AU227" s="4"/>
      <c r="AV227" s="4"/>
      <c r="AW227" s="4"/>
      <c r="AX227" s="4"/>
      <c r="AY227" s="4"/>
      <c r="AZ227" s="4"/>
      <c r="BA227" s="4" t="s">
        <v>3498</v>
      </c>
      <c r="BB227" s="4">
        <v>10800</v>
      </c>
      <c r="BC227" s="4">
        <v>2700</v>
      </c>
      <c r="BD227" s="4">
        <v>1000</v>
      </c>
      <c r="BE227" s="4" t="s">
        <v>166</v>
      </c>
      <c r="BF227" s="4" t="s">
        <v>167</v>
      </c>
      <c r="BG227" s="4" t="s">
        <v>167</v>
      </c>
      <c r="BH227" s="4" t="s">
        <v>3510</v>
      </c>
      <c r="BI227" s="72">
        <f>VLOOKUP(A227,'ID Block'!A:L,12,0)</f>
        <v>45476</v>
      </c>
      <c r="BJ227" s="154" t="str">
        <f>VLOOKUP(A227,'ID Block'!A:M,13,0)</f>
        <v>Better Opportunity</v>
      </c>
      <c r="BK227" s="4">
        <f t="shared" si="3"/>
        <v>383</v>
      </c>
      <c r="BL227" s="105" t="s">
        <v>168</v>
      </c>
      <c r="BM227" s="10"/>
      <c r="BN227" s="183" t="s">
        <v>4035</v>
      </c>
      <c r="BO227" s="183"/>
    </row>
    <row r="228" ht="14.4" s="67" customFormat="1">
      <c r="A228" s="4">
        <v>171594</v>
      </c>
      <c r="B228" s="4"/>
      <c r="C228" s="55" t="s">
        <v>5441</v>
      </c>
      <c r="D228" s="4" t="s">
        <v>5442</v>
      </c>
      <c r="E228" s="4" t="s">
        <v>114</v>
      </c>
      <c r="F228" s="55"/>
      <c r="G228" s="4" t="s">
        <v>67</v>
      </c>
      <c r="H228" s="4" t="s">
        <v>68</v>
      </c>
      <c r="I228" s="4" t="s">
        <v>2494</v>
      </c>
      <c r="J228" s="55" t="s">
        <v>155</v>
      </c>
      <c r="K228" s="4" t="s">
        <v>71</v>
      </c>
      <c r="L228" s="4" t="s">
        <v>3487</v>
      </c>
      <c r="M228" s="4" t="s">
        <v>196</v>
      </c>
      <c r="N228" s="4" t="s">
        <v>74</v>
      </c>
      <c r="O228" s="4" t="s">
        <v>75</v>
      </c>
      <c r="P228" s="4" t="s">
        <v>5407</v>
      </c>
      <c r="Q228" s="57">
        <v>45451</v>
      </c>
      <c r="R228" s="57">
        <v>45474</v>
      </c>
      <c r="S228" s="113"/>
      <c r="T228" s="113"/>
      <c r="U228" s="4"/>
      <c r="V228" s="4"/>
      <c r="W228" s="105"/>
      <c r="X228" s="114">
        <v>1913997991</v>
      </c>
      <c r="Y228" s="55"/>
      <c r="Z228" s="4"/>
      <c r="AA228" s="4"/>
      <c r="AB228" s="4"/>
      <c r="AC228" s="4"/>
      <c r="AD228" s="113"/>
      <c r="AE228" s="107"/>
      <c r="AF228" s="4" t="s">
        <v>80</v>
      </c>
      <c r="AG228" s="114"/>
      <c r="AH228" s="4"/>
      <c r="AI228" s="55"/>
      <c r="AJ228" s="55"/>
      <c r="AK228" s="55"/>
      <c r="AL228" s="4"/>
      <c r="AM228" s="4"/>
      <c r="AN228" s="4"/>
      <c r="AO228" s="4"/>
      <c r="AP228" s="4"/>
      <c r="AQ228" s="55"/>
      <c r="AR228" s="4"/>
      <c r="AS228" s="4"/>
      <c r="AT228" s="72"/>
      <c r="AU228" s="4" t="s">
        <v>81</v>
      </c>
      <c r="AV228" s="4" t="s">
        <v>81</v>
      </c>
      <c r="AW228" s="4" t="s">
        <v>81</v>
      </c>
      <c r="AX228" s="4" t="s">
        <v>81</v>
      </c>
      <c r="AY228" s="4" t="s">
        <v>81</v>
      </c>
      <c r="AZ228" s="4" t="s">
        <v>81</v>
      </c>
      <c r="BA228" s="4" t="s">
        <v>3498</v>
      </c>
      <c r="BB228" s="4">
        <v>10800</v>
      </c>
      <c r="BC228" s="4">
        <v>2700</v>
      </c>
      <c r="BD228" s="4">
        <v>1000</v>
      </c>
      <c r="BE228" s="4" t="s">
        <v>166</v>
      </c>
      <c r="BF228" s="4"/>
      <c r="BG228" s="4"/>
      <c r="BH228" s="4" t="s">
        <v>3510</v>
      </c>
      <c r="BI228" s="72">
        <f>VLOOKUP(A228,'ID Block'!A:L,12,0)</f>
        <v>45476</v>
      </c>
      <c r="BJ228" s="154" t="str">
        <f>VLOOKUP(A228,'ID Block'!A:M,13,0)</f>
        <v>Better Opportunity</v>
      </c>
      <c r="BK228" s="4">
        <f t="shared" si="3"/>
        <v>2</v>
      </c>
      <c r="BL228" s="105" t="s">
        <v>168</v>
      </c>
      <c r="BM228" s="10"/>
      <c r="BN228" s="183" t="s">
        <v>4035</v>
      </c>
      <c r="BO228" s="183"/>
    </row>
    <row r="229" ht="14.4" s="67" customFormat="1">
      <c r="A229" s="4">
        <v>171513</v>
      </c>
      <c r="B229" s="4"/>
      <c r="C229" s="55" t="s">
        <v>5443</v>
      </c>
      <c r="D229" s="4" t="s">
        <v>5444</v>
      </c>
      <c r="E229" s="4" t="s">
        <v>114</v>
      </c>
      <c r="F229" s="55">
        <v>464930</v>
      </c>
      <c r="G229" s="4" t="s">
        <v>67</v>
      </c>
      <c r="H229" s="4" t="s">
        <v>68</v>
      </c>
      <c r="I229" s="4" t="s">
        <v>2494</v>
      </c>
      <c r="J229" s="55" t="s">
        <v>155</v>
      </c>
      <c r="K229" s="4" t="s">
        <v>71</v>
      </c>
      <c r="L229" s="4" t="s">
        <v>3487</v>
      </c>
      <c r="M229" s="4" t="s">
        <v>196</v>
      </c>
      <c r="N229" s="4" t="s">
        <v>74</v>
      </c>
      <c r="O229" s="4" t="s">
        <v>75</v>
      </c>
      <c r="P229" s="4" t="s">
        <v>5394</v>
      </c>
      <c r="Q229" s="57">
        <v>45442</v>
      </c>
      <c r="R229" s="57">
        <v>45458</v>
      </c>
      <c r="S229" s="113"/>
      <c r="T229" s="113"/>
      <c r="U229" s="4"/>
      <c r="V229" s="4"/>
      <c r="W229" s="105" t="s">
        <v>5445</v>
      </c>
      <c r="X229" s="114">
        <v>1741177254</v>
      </c>
      <c r="Y229" s="55">
        <v>1580114470</v>
      </c>
      <c r="Z229" s="4" t="s">
        <v>5446</v>
      </c>
      <c r="AA229" s="4">
        <v>1317706191</v>
      </c>
      <c r="AB229" s="4" t="s">
        <v>5447</v>
      </c>
      <c r="AC229" s="4" t="s">
        <v>133</v>
      </c>
      <c r="AD229" s="113" t="s">
        <v>5448</v>
      </c>
      <c r="AE229" s="107"/>
      <c r="AF229" s="4" t="s">
        <v>80</v>
      </c>
      <c r="AG229" s="114">
        <v>41727934903</v>
      </c>
      <c r="AH229" s="4" t="s">
        <v>5447</v>
      </c>
      <c r="AI229" s="55" t="s">
        <v>322</v>
      </c>
      <c r="AJ229" s="55" t="s">
        <v>322</v>
      </c>
      <c r="AK229" s="55">
        <v>2023</v>
      </c>
      <c r="AL229" s="4" t="s">
        <v>5449</v>
      </c>
      <c r="AM229" s="4" t="s">
        <v>5446</v>
      </c>
      <c r="AN229" s="4" t="s">
        <v>5450</v>
      </c>
      <c r="AO229" s="4" t="s">
        <v>5451</v>
      </c>
      <c r="AP229" s="4" t="s">
        <v>5451</v>
      </c>
      <c r="AQ229" s="55" t="s">
        <v>5452</v>
      </c>
      <c r="AR229" s="4" t="s">
        <v>1580</v>
      </c>
      <c r="AS229" s="4" t="s">
        <v>5447</v>
      </c>
      <c r="AT229" s="72" t="s">
        <v>5447</v>
      </c>
      <c r="AU229" s="4" t="s">
        <v>81</v>
      </c>
      <c r="AV229" s="4" t="s">
        <v>81</v>
      </c>
      <c r="AW229" s="4" t="s">
        <v>81</v>
      </c>
      <c r="AX229" s="4" t="s">
        <v>81</v>
      </c>
      <c r="AY229" s="4" t="s">
        <v>81</v>
      </c>
      <c r="AZ229" s="4" t="s">
        <v>81</v>
      </c>
      <c r="BA229" s="4" t="s">
        <v>3498</v>
      </c>
      <c r="BB229" s="4">
        <v>10800</v>
      </c>
      <c r="BC229" s="4">
        <v>2700</v>
      </c>
      <c r="BD229" s="4">
        <v>1000</v>
      </c>
      <c r="BE229" s="4" t="s">
        <v>166</v>
      </c>
      <c r="BF229" s="4"/>
      <c r="BG229" s="4"/>
      <c r="BH229" s="4" t="s">
        <v>3510</v>
      </c>
      <c r="BI229" s="72">
        <f>VLOOKUP(A229,'ID Block'!A:L,12,0)</f>
        <v>45478</v>
      </c>
      <c r="BJ229" s="154" t="str">
        <f>VLOOKUP(A229,'ID Block'!A:M,13,0)</f>
        <v>Better Opportunity</v>
      </c>
      <c r="BK229" s="4">
        <f t="shared" si="3"/>
        <v>20</v>
      </c>
      <c r="BL229" s="105" t="s">
        <v>168</v>
      </c>
      <c r="BM229" s="10"/>
      <c r="BN229" s="183" t="s">
        <v>4035</v>
      </c>
      <c r="BO229" s="183"/>
    </row>
    <row r="230" ht="14.4" s="67" customFormat="1">
      <c r="A230" s="4">
        <v>171577</v>
      </c>
      <c r="B230" s="4"/>
      <c r="C230" s="55" t="s">
        <v>5453</v>
      </c>
      <c r="D230" s="4" t="s">
        <v>5454</v>
      </c>
      <c r="E230" s="4" t="s">
        <v>114</v>
      </c>
      <c r="F230" s="55"/>
      <c r="G230" s="4" t="s">
        <v>67</v>
      </c>
      <c r="H230" s="4" t="s">
        <v>68</v>
      </c>
      <c r="I230" s="4" t="s">
        <v>2494</v>
      </c>
      <c r="J230" s="55" t="s">
        <v>155</v>
      </c>
      <c r="K230" s="4" t="s">
        <v>71</v>
      </c>
      <c r="L230" s="4" t="s">
        <v>3487</v>
      </c>
      <c r="M230" s="4" t="s">
        <v>196</v>
      </c>
      <c r="N230" s="4" t="s">
        <v>74</v>
      </c>
      <c r="O230" s="4" t="s">
        <v>75</v>
      </c>
      <c r="P230" s="4" t="s">
        <v>5407</v>
      </c>
      <c r="Q230" s="57">
        <v>45451</v>
      </c>
      <c r="R230" s="57">
        <v>45469</v>
      </c>
      <c r="S230" s="113"/>
      <c r="T230" s="113"/>
      <c r="U230" s="4"/>
      <c r="V230" s="4"/>
      <c r="W230" s="105"/>
      <c r="X230" s="114"/>
      <c r="Y230" s="55"/>
      <c r="Z230" s="4"/>
      <c r="AA230" s="4"/>
      <c r="AB230" s="4"/>
      <c r="AC230" s="4"/>
      <c r="AD230" s="113"/>
      <c r="AE230" s="107"/>
      <c r="AF230" s="4" t="s">
        <v>360</v>
      </c>
      <c r="AG230" s="114"/>
      <c r="AH230" s="4"/>
      <c r="AI230" s="55"/>
      <c r="AJ230" s="55"/>
      <c r="AK230" s="55"/>
      <c r="AL230" s="4"/>
      <c r="AM230" s="4"/>
      <c r="AN230" s="4"/>
      <c r="AO230" s="4"/>
      <c r="AP230" s="4"/>
      <c r="AQ230" s="55"/>
      <c r="AR230" s="4"/>
      <c r="AS230" s="4"/>
      <c r="AT230" s="72"/>
      <c r="AU230" s="4"/>
      <c r="AV230" s="4"/>
      <c r="AW230" s="4"/>
      <c r="AX230" s="4" t="s">
        <v>81</v>
      </c>
      <c r="AY230" s="4" t="s">
        <v>81</v>
      </c>
      <c r="AZ230" s="4" t="s">
        <v>81</v>
      </c>
      <c r="BA230" s="4" t="s">
        <v>3498</v>
      </c>
      <c r="BB230" s="4">
        <v>10800</v>
      </c>
      <c r="BC230" s="4">
        <v>2700</v>
      </c>
      <c r="BD230" s="4">
        <v>1000</v>
      </c>
      <c r="BE230" s="4" t="s">
        <v>166</v>
      </c>
      <c r="BF230" s="4"/>
      <c r="BG230" s="4"/>
      <c r="BH230" s="4" t="s">
        <v>3510</v>
      </c>
      <c r="BI230" s="72">
        <f>VLOOKUP(A230,'ID Block'!A:L,12,0)</f>
        <v>45478</v>
      </c>
      <c r="BJ230" s="154" t="str">
        <f>VLOOKUP(A230,'ID Block'!A:M,13,0)</f>
        <v>Better Opportunity</v>
      </c>
      <c r="BK230" s="4">
        <f t="shared" si="3"/>
        <v>9</v>
      </c>
      <c r="BL230" s="105" t="s">
        <v>168</v>
      </c>
      <c r="BM230" s="10"/>
      <c r="BN230" s="183" t="s">
        <v>4035</v>
      </c>
      <c r="BO230" s="183"/>
    </row>
    <row r="231" ht="14.4" s="67" customFormat="1">
      <c r="A231" s="4">
        <v>171395</v>
      </c>
      <c r="B231" s="4"/>
      <c r="C231" s="55" t="s">
        <v>5455</v>
      </c>
      <c r="D231" s="4" t="s">
        <v>5456</v>
      </c>
      <c r="E231" s="4" t="s">
        <v>114</v>
      </c>
      <c r="F231" s="55"/>
      <c r="G231" s="4" t="s">
        <v>67</v>
      </c>
      <c r="H231" s="4" t="s">
        <v>68</v>
      </c>
      <c r="I231" s="4" t="s">
        <v>2494</v>
      </c>
      <c r="J231" s="55" t="s">
        <v>297</v>
      </c>
      <c r="K231" s="4" t="s">
        <v>71</v>
      </c>
      <c r="L231" s="4" t="s">
        <v>3487</v>
      </c>
      <c r="M231" s="4" t="s">
        <v>308</v>
      </c>
      <c r="N231" s="4" t="s">
        <v>74</v>
      </c>
      <c r="O231" s="4" t="s">
        <v>75</v>
      </c>
      <c r="P231" s="4" t="s">
        <v>4900</v>
      </c>
      <c r="Q231" s="57">
        <v>45371</v>
      </c>
      <c r="R231" s="57">
        <v>45384</v>
      </c>
      <c r="S231" s="113"/>
      <c r="T231" s="113"/>
      <c r="U231" s="4"/>
      <c r="V231" s="4"/>
      <c r="W231" s="105" t="s">
        <v>5457</v>
      </c>
      <c r="X231" s="114">
        <v>1620088882</v>
      </c>
      <c r="Y231" s="55" t="s">
        <v>81</v>
      </c>
      <c r="Z231" s="4" t="s">
        <v>101</v>
      </c>
      <c r="AA231" s="4">
        <v>1601301535</v>
      </c>
      <c r="AB231" s="4" t="s">
        <v>101</v>
      </c>
      <c r="AC231" s="4" t="s">
        <v>79</v>
      </c>
      <c r="AD231" s="113">
        <v>34918</v>
      </c>
      <c r="AE231" s="107">
        <f>((TODAY())-AD231)/365</f>
        <v>29.53150684931507</v>
      </c>
      <c r="AF231" s="4" t="s">
        <v>2618</v>
      </c>
      <c r="AG231" s="114">
        <v>6003730055</v>
      </c>
      <c r="AH231" s="4" t="s">
        <v>81</v>
      </c>
      <c r="AI231" s="55" t="s">
        <v>1801</v>
      </c>
      <c r="AJ231" s="55" t="s">
        <v>81</v>
      </c>
      <c r="AK231" s="55">
        <v>2022</v>
      </c>
      <c r="AL231" s="4" t="s">
        <v>1137</v>
      </c>
      <c r="AM231" s="4" t="s">
        <v>5458</v>
      </c>
      <c r="AN231" s="4" t="s">
        <v>5459</v>
      </c>
      <c r="AO231" s="4" t="s">
        <v>5460</v>
      </c>
      <c r="AP231" s="4" t="s">
        <v>5461</v>
      </c>
      <c r="AQ231" s="55" t="s">
        <v>499</v>
      </c>
      <c r="AR231" s="4" t="s">
        <v>110</v>
      </c>
      <c r="AS231" s="4" t="s">
        <v>81</v>
      </c>
      <c r="AT231" s="72" t="s">
        <v>81</v>
      </c>
      <c r="AU231" s="4" t="s">
        <v>81</v>
      </c>
      <c r="AV231" s="4" t="s">
        <v>81</v>
      </c>
      <c r="AW231" s="4" t="s">
        <v>81</v>
      </c>
      <c r="AX231" s="4" t="s">
        <v>81</v>
      </c>
      <c r="AY231" s="4" t="s">
        <v>81</v>
      </c>
      <c r="AZ231" s="4" t="s">
        <v>81</v>
      </c>
      <c r="BA231" s="4" t="s">
        <v>3498</v>
      </c>
      <c r="BB231" s="4">
        <v>10800</v>
      </c>
      <c r="BC231" s="4">
        <v>2700</v>
      </c>
      <c r="BD231" s="4">
        <v>0</v>
      </c>
      <c r="BE231" s="4" t="s">
        <v>91</v>
      </c>
      <c r="BF231" s="4"/>
      <c r="BG231" s="4"/>
      <c r="BH231" s="4" t="s">
        <v>3510</v>
      </c>
      <c r="BI231" s="72">
        <f>VLOOKUP(A231,'ID Block'!A:L,12,0)</f>
        <v>45480</v>
      </c>
      <c r="BJ231" s="154" t="str">
        <f>VLOOKUP(A231,'ID Block'!A:M,13,0)</f>
        <v>Unathourized Absent</v>
      </c>
      <c r="BK231" s="4">
        <f t="shared" si="3"/>
        <v>96</v>
      </c>
      <c r="BL231" s="105" t="s">
        <v>168</v>
      </c>
      <c r="BM231" s="10"/>
      <c r="BN231" s="183" t="s">
        <v>5355</v>
      </c>
      <c r="BO231" s="183"/>
    </row>
    <row r="232" ht="14.4" s="67" customFormat="1">
      <c r="A232" s="4">
        <v>171414</v>
      </c>
      <c r="B232" s="4"/>
      <c r="C232" s="55" t="s">
        <v>2856</v>
      </c>
      <c r="D232" s="4" t="s">
        <v>5462</v>
      </c>
      <c r="E232" s="4" t="s">
        <v>66</v>
      </c>
      <c r="F232" s="55">
        <v>417184</v>
      </c>
      <c r="G232" s="4" t="s">
        <v>67</v>
      </c>
      <c r="H232" s="4" t="s">
        <v>68</v>
      </c>
      <c r="I232" s="4" t="s">
        <v>2494</v>
      </c>
      <c r="J232" s="55" t="s">
        <v>297</v>
      </c>
      <c r="K232" s="4" t="s">
        <v>71</v>
      </c>
      <c r="L232" s="4" t="s">
        <v>3487</v>
      </c>
      <c r="M232" s="4" t="s">
        <v>308</v>
      </c>
      <c r="N232" s="4" t="s">
        <v>74</v>
      </c>
      <c r="O232" s="4" t="s">
        <v>75</v>
      </c>
      <c r="P232" s="4" t="s">
        <v>5054</v>
      </c>
      <c r="Q232" s="57">
        <v>45397</v>
      </c>
      <c r="R232" s="57">
        <v>45405</v>
      </c>
      <c r="S232" s="113"/>
      <c r="T232" s="113"/>
      <c r="U232" s="4"/>
      <c r="V232" s="4"/>
      <c r="W232" s="105" t="s">
        <v>5463</v>
      </c>
      <c r="X232" s="114">
        <v>1533886464</v>
      </c>
      <c r="Y232" s="55">
        <v>1533886464</v>
      </c>
      <c r="Z232" s="4" t="s">
        <v>5464</v>
      </c>
      <c r="AA232" s="4">
        <v>1754560194</v>
      </c>
      <c r="AB232" s="4" t="s">
        <v>252</v>
      </c>
      <c r="AC232" s="4" t="s">
        <v>133</v>
      </c>
      <c r="AD232" s="113">
        <v>34804</v>
      </c>
      <c r="AE232" s="107">
        <f>((TODAY())-AD232)/365</f>
        <v>29.843835616438355</v>
      </c>
      <c r="AF232" s="4" t="s">
        <v>360</v>
      </c>
      <c r="AG232" s="114">
        <v>6412134634</v>
      </c>
      <c r="AH232" s="4" t="s">
        <v>1377</v>
      </c>
      <c r="AI232" s="55" t="s">
        <v>1214</v>
      </c>
      <c r="AJ232" s="55" t="s">
        <v>81</v>
      </c>
      <c r="AK232" s="55">
        <v>2019</v>
      </c>
      <c r="AL232" s="4" t="s">
        <v>5465</v>
      </c>
      <c r="AM232" s="4" t="s">
        <v>5466</v>
      </c>
      <c r="AN232" s="4" t="s">
        <v>5464</v>
      </c>
      <c r="AO232" s="4" t="s">
        <v>5467</v>
      </c>
      <c r="AP232" s="4" t="s">
        <v>5468</v>
      </c>
      <c r="AQ232" s="55" t="s">
        <v>5469</v>
      </c>
      <c r="AR232" s="4" t="s">
        <v>89</v>
      </c>
      <c r="AS232" s="4" t="s">
        <v>5470</v>
      </c>
      <c r="AT232" s="72">
        <v>32776</v>
      </c>
      <c r="AU232" s="4" t="s">
        <v>242</v>
      </c>
      <c r="AV232" s="4" t="s">
        <v>81</v>
      </c>
      <c r="AW232" s="4" t="s">
        <v>81</v>
      </c>
      <c r="AX232" s="4" t="s">
        <v>81</v>
      </c>
      <c r="AY232" s="4" t="s">
        <v>81</v>
      </c>
      <c r="AZ232" s="4" t="s">
        <v>81</v>
      </c>
      <c r="BA232" s="4" t="s">
        <v>3498</v>
      </c>
      <c r="BB232" s="4">
        <v>10800</v>
      </c>
      <c r="BC232" s="4">
        <v>2700</v>
      </c>
      <c r="BD232" s="4">
        <v>0</v>
      </c>
      <c r="BE232" s="4" t="s">
        <v>91</v>
      </c>
      <c r="BF232" s="4"/>
      <c r="BG232" s="4"/>
      <c r="BH232" s="4" t="s">
        <v>3510</v>
      </c>
      <c r="BI232" s="72">
        <f>VLOOKUP(A232,'ID Block'!A:L,12,0)</f>
        <v>45480</v>
      </c>
      <c r="BJ232" s="154" t="str">
        <f>VLOOKUP(A232,'ID Block'!A:M,13,0)</f>
        <v>Better Opportunity</v>
      </c>
      <c r="BK232" s="4">
        <f t="shared" si="3"/>
        <v>75</v>
      </c>
      <c r="BL232" s="105" t="s">
        <v>168</v>
      </c>
      <c r="BM232" s="10"/>
      <c r="BN232" s="183" t="s">
        <v>4035</v>
      </c>
      <c r="BO232" s="183"/>
    </row>
    <row r="233" ht="17.55" customHeight="1" s="67" customFormat="1">
      <c r="A233" s="4">
        <v>171581</v>
      </c>
      <c r="B233" s="4"/>
      <c r="C233" s="55" t="s">
        <v>5471</v>
      </c>
      <c r="D233" s="4" t="s">
        <v>5472</v>
      </c>
      <c r="E233" s="4" t="s">
        <v>114</v>
      </c>
      <c r="F233" s="55"/>
      <c r="G233" s="4" t="s">
        <v>67</v>
      </c>
      <c r="H233" s="4" t="s">
        <v>68</v>
      </c>
      <c r="I233" s="4" t="s">
        <v>2494</v>
      </c>
      <c r="J233" s="55" t="s">
        <v>155</v>
      </c>
      <c r="K233" s="4" t="s">
        <v>71</v>
      </c>
      <c r="L233" s="4" t="s">
        <v>3487</v>
      </c>
      <c r="M233" s="4" t="s">
        <v>196</v>
      </c>
      <c r="N233" s="4" t="s">
        <v>74</v>
      </c>
      <c r="O233" s="4" t="s">
        <v>75</v>
      </c>
      <c r="P233" s="4" t="s">
        <v>5407</v>
      </c>
      <c r="Q233" s="57">
        <v>45451</v>
      </c>
      <c r="R233" s="57">
        <v>45469</v>
      </c>
      <c r="S233" s="113"/>
      <c r="T233" s="113"/>
      <c r="U233" s="4"/>
      <c r="V233" s="4"/>
      <c r="W233" s="105">
        <v>1761237800</v>
      </c>
      <c r="X233" s="114"/>
      <c r="Y233" s="55" t="s">
        <v>3965</v>
      </c>
      <c r="Z233" s="4">
        <v>1917293591</v>
      </c>
      <c r="AA233" s="4" t="s">
        <v>132</v>
      </c>
      <c r="AB233" s="4" t="s">
        <v>133</v>
      </c>
      <c r="AC233" s="4">
        <v>36323</v>
      </c>
      <c r="AD233" s="113">
        <v>24.8602739726027</v>
      </c>
      <c r="AE233" s="107" t="s">
        <v>80</v>
      </c>
      <c r="AF233" s="4">
        <v>6454830271</v>
      </c>
      <c r="AG233" s="114" t="s">
        <v>81</v>
      </c>
      <c r="AH233" s="4" t="s">
        <v>160</v>
      </c>
      <c r="AI233" s="55" t="s">
        <v>81</v>
      </c>
      <c r="AJ233" s="55" t="s">
        <v>81</v>
      </c>
      <c r="AK233" s="55" t="s">
        <v>2127</v>
      </c>
      <c r="AL233" s="4" t="s">
        <v>3966</v>
      </c>
      <c r="AM233" s="4" t="s">
        <v>3965</v>
      </c>
      <c r="AN233" s="4" t="s">
        <v>3967</v>
      </c>
      <c r="AO233" s="4" t="s">
        <v>3968</v>
      </c>
      <c r="AP233" s="4" t="s">
        <v>3969</v>
      </c>
      <c r="AQ233" s="55" t="s">
        <v>110</v>
      </c>
      <c r="AR233" s="4"/>
      <c r="AS233" s="4"/>
      <c r="AT233" s="72"/>
      <c r="AU233" s="4"/>
      <c r="AV233" s="4"/>
      <c r="AW233" s="4"/>
      <c r="AX233" s="4"/>
      <c r="AY233" s="4"/>
      <c r="AZ233" s="4" t="s">
        <v>81</v>
      </c>
      <c r="BA233" s="4" t="s">
        <v>3498</v>
      </c>
      <c r="BB233" s="4">
        <v>10800</v>
      </c>
      <c r="BC233" s="4">
        <v>2700</v>
      </c>
      <c r="BD233" s="4">
        <v>1000</v>
      </c>
      <c r="BE233" s="4" t="s">
        <v>166</v>
      </c>
      <c r="BF233" s="4"/>
      <c r="BG233" s="4"/>
      <c r="BH233" s="4" t="s">
        <v>3510</v>
      </c>
      <c r="BI233" s="72">
        <f>VLOOKUP(A233,'ID Block'!A:L,12,0)</f>
        <v>45481</v>
      </c>
      <c r="BJ233" s="154" t="str">
        <f>VLOOKUP(A233,'ID Block'!A:M,13,0)</f>
        <v>Better Opportunity</v>
      </c>
      <c r="BK233" s="4">
        <f t="shared" si="3"/>
        <v>12</v>
      </c>
      <c r="BL233" s="105" t="s">
        <v>168</v>
      </c>
      <c r="BM233" s="10"/>
      <c r="BN233" s="183" t="s">
        <v>4035</v>
      </c>
      <c r="BO233" s="183"/>
    </row>
    <row r="234" ht="14.4" s="67" customFormat="1">
      <c r="A234" s="4">
        <v>171437</v>
      </c>
      <c r="B234" s="4"/>
      <c r="C234" s="55" t="s">
        <v>5473</v>
      </c>
      <c r="D234" s="4" t="s">
        <v>5474</v>
      </c>
      <c r="E234" s="4" t="s">
        <v>114</v>
      </c>
      <c r="F234" s="55">
        <v>1010943840</v>
      </c>
      <c r="G234" s="4" t="s">
        <v>67</v>
      </c>
      <c r="H234" s="4" t="s">
        <v>68</v>
      </c>
      <c r="I234" s="4" t="s">
        <v>2494</v>
      </c>
      <c r="J234" s="55" t="s">
        <v>155</v>
      </c>
      <c r="K234" s="4" t="s">
        <v>71</v>
      </c>
      <c r="L234" s="4" t="s">
        <v>3487</v>
      </c>
      <c r="M234" s="4" t="s">
        <v>196</v>
      </c>
      <c r="N234" s="4" t="s">
        <v>74</v>
      </c>
      <c r="O234" s="4" t="s">
        <v>75</v>
      </c>
      <c r="P234" s="4" t="s">
        <v>5054</v>
      </c>
      <c r="Q234" s="57">
        <v>45397</v>
      </c>
      <c r="R234" s="57">
        <v>45415</v>
      </c>
      <c r="S234" s="113"/>
      <c r="T234" s="113"/>
      <c r="U234" s="4"/>
      <c r="V234" s="4"/>
      <c r="W234" s="105" t="s">
        <v>5475</v>
      </c>
      <c r="X234" s="114">
        <v>1644476076</v>
      </c>
      <c r="Y234" s="55">
        <v>1915221334</v>
      </c>
      <c r="Z234" s="4" t="s">
        <v>5109</v>
      </c>
      <c r="AA234" s="4">
        <v>1747897791</v>
      </c>
      <c r="AB234" s="4" t="s">
        <v>186</v>
      </c>
      <c r="AC234" s="4" t="s">
        <v>79</v>
      </c>
      <c r="AD234" s="113">
        <v>36099</v>
      </c>
      <c r="AE234" s="107">
        <f>((TODAY())-AD234)/365</f>
        <v>26.295890410958904</v>
      </c>
      <c r="AF234" s="4" t="s">
        <v>80</v>
      </c>
      <c r="AG234" s="114">
        <v>4207950199</v>
      </c>
      <c r="AH234" s="4" t="s">
        <v>81</v>
      </c>
      <c r="AI234" s="55" t="s">
        <v>925</v>
      </c>
      <c r="AJ234" s="55" t="s">
        <v>81</v>
      </c>
      <c r="AK234" s="55">
        <v>2021</v>
      </c>
      <c r="AL234" s="4" t="s">
        <v>209</v>
      </c>
      <c r="AM234" s="4" t="s">
        <v>5476</v>
      </c>
      <c r="AN234" s="4" t="s">
        <v>5477</v>
      </c>
      <c r="AO234" s="4" t="s">
        <v>5478</v>
      </c>
      <c r="AP234" s="4" t="s">
        <v>5478</v>
      </c>
      <c r="AQ234" s="55" t="s">
        <v>366</v>
      </c>
      <c r="AR234" s="4" t="s">
        <v>89</v>
      </c>
      <c r="AS234" s="4" t="s">
        <v>5479</v>
      </c>
      <c r="AT234" s="72">
        <v>34829</v>
      </c>
      <c r="AU234" s="4" t="s">
        <v>81</v>
      </c>
      <c r="AV234" s="4" t="s">
        <v>81</v>
      </c>
      <c r="AW234" s="4" t="s">
        <v>81</v>
      </c>
      <c r="AX234" s="4" t="s">
        <v>81</v>
      </c>
      <c r="AY234" s="4" t="s">
        <v>81</v>
      </c>
      <c r="AZ234" s="4" t="s">
        <v>81</v>
      </c>
      <c r="BA234" s="4" t="s">
        <v>3498</v>
      </c>
      <c r="BB234" s="4">
        <v>10800</v>
      </c>
      <c r="BC234" s="4">
        <v>2700</v>
      </c>
      <c r="BD234" s="4">
        <v>1000</v>
      </c>
      <c r="BE234" s="4" t="s">
        <v>166</v>
      </c>
      <c r="BF234" s="4"/>
      <c r="BG234" s="4"/>
      <c r="BH234" s="4" t="s">
        <v>3510</v>
      </c>
      <c r="BI234" s="72">
        <f>VLOOKUP(A234,'ID Block'!A:L,12,0)</f>
        <v>45481</v>
      </c>
      <c r="BJ234" s="154" t="str">
        <f>VLOOKUP(A234,'ID Block'!A:M,13,0)</f>
        <v>Better Opportunity</v>
      </c>
      <c r="BK234" s="4">
        <f t="shared" si="3"/>
        <v>66</v>
      </c>
      <c r="BL234" s="105" t="s">
        <v>168</v>
      </c>
      <c r="BM234" s="10"/>
      <c r="BN234" s="183" t="s">
        <v>4035</v>
      </c>
      <c r="BO234" s="183"/>
    </row>
    <row r="235" ht="18" customHeight="1" s="67" customFormat="1">
      <c r="A235" s="4">
        <v>171680</v>
      </c>
      <c r="B235" s="4"/>
      <c r="C235" s="55" t="s">
        <v>2325</v>
      </c>
      <c r="D235" s="4" t="s">
        <v>5480</v>
      </c>
      <c r="E235" s="4" t="s">
        <v>66</v>
      </c>
      <c r="F235" s="55">
        <v>1111410960</v>
      </c>
      <c r="G235" s="4" t="s">
        <v>67</v>
      </c>
      <c r="H235" s="4" t="s">
        <v>68</v>
      </c>
      <c r="I235" s="4" t="s">
        <v>2494</v>
      </c>
      <c r="J235" s="55" t="s">
        <v>1846</v>
      </c>
      <c r="K235" s="4" t="s">
        <v>71</v>
      </c>
      <c r="L235" s="4" t="s">
        <v>3487</v>
      </c>
      <c r="M235" s="4" t="s">
        <v>115</v>
      </c>
      <c r="N235" s="4" t="s">
        <v>74</v>
      </c>
      <c r="O235" s="4" t="s">
        <v>75</v>
      </c>
      <c r="P235" s="4" t="s">
        <v>5481</v>
      </c>
      <c r="Q235" s="57">
        <v>45466</v>
      </c>
      <c r="R235" s="57">
        <v>45475</v>
      </c>
      <c r="S235" s="113"/>
      <c r="T235" s="113"/>
      <c r="U235" s="4"/>
      <c r="V235" s="4"/>
      <c r="W235" s="105" t="s">
        <v>5482</v>
      </c>
      <c r="X235" s="114">
        <v>1828822309</v>
      </c>
      <c r="Y235" s="55" t="s">
        <v>81</v>
      </c>
      <c r="Z235" s="4" t="s">
        <v>5483</v>
      </c>
      <c r="AA235" s="4">
        <v>1715912414</v>
      </c>
      <c r="AB235" s="4" t="s">
        <v>5483</v>
      </c>
      <c r="AC235" s="4" t="s">
        <v>119</v>
      </c>
      <c r="AD235" s="113">
        <v>36080</v>
      </c>
      <c r="AE235" s="107"/>
      <c r="AF235" s="4" t="s">
        <v>4544</v>
      </c>
      <c r="AG235" s="114">
        <v>1954143333</v>
      </c>
      <c r="AH235" s="4" t="s">
        <v>5484</v>
      </c>
      <c r="AI235" s="55" t="s">
        <v>421</v>
      </c>
      <c r="AJ235" s="55" t="s">
        <v>82</v>
      </c>
      <c r="AK235" s="55">
        <v>2020</v>
      </c>
      <c r="AL235" s="4" t="s">
        <v>5485</v>
      </c>
      <c r="AM235" s="4" t="s">
        <v>5486</v>
      </c>
      <c r="AN235" s="4" t="s">
        <v>5487</v>
      </c>
      <c r="AO235" s="4" t="s">
        <v>5488</v>
      </c>
      <c r="AP235" s="4" t="s">
        <v>5489</v>
      </c>
      <c r="AQ235" s="55" t="s">
        <v>5490</v>
      </c>
      <c r="AR235" s="4" t="s">
        <v>110</v>
      </c>
      <c r="AS235" s="4" t="s">
        <v>81</v>
      </c>
      <c r="AT235" s="72" t="s">
        <v>81</v>
      </c>
      <c r="AU235" s="4" t="s">
        <v>81</v>
      </c>
      <c r="AV235" s="4" t="s">
        <v>81</v>
      </c>
      <c r="AW235" s="4" t="s">
        <v>81</v>
      </c>
      <c r="AX235" s="4" t="s">
        <v>81</v>
      </c>
      <c r="AY235" s="4" t="s">
        <v>81</v>
      </c>
      <c r="AZ235" s="4" t="s">
        <v>81</v>
      </c>
      <c r="BA235" s="4" t="s">
        <v>3498</v>
      </c>
      <c r="BB235" s="4">
        <v>10800</v>
      </c>
      <c r="BC235" s="4">
        <v>2700</v>
      </c>
      <c r="BD235" s="4">
        <v>0</v>
      </c>
      <c r="BE235" s="4" t="s">
        <v>91</v>
      </c>
      <c r="BF235" s="4" t="s">
        <v>242</v>
      </c>
      <c r="BG235" s="4" t="s">
        <v>242</v>
      </c>
      <c r="BH235" s="4" t="s">
        <v>3510</v>
      </c>
      <c r="BI235" s="72">
        <f>VLOOKUP(A235,'ID Block'!A:L,12,0)</f>
        <v>45481</v>
      </c>
      <c r="BJ235" s="154" t="str">
        <f>VLOOKUP(A235,'ID Block'!A:M,13,0)</f>
        <v>illness issue</v>
      </c>
      <c r="BK235" s="4">
        <f t="shared" si="3"/>
        <v>6</v>
      </c>
      <c r="BL235" s="105" t="s">
        <v>168</v>
      </c>
      <c r="BM235" s="10"/>
      <c r="BN235" s="183" t="s">
        <v>5491</v>
      </c>
      <c r="BO235" s="183"/>
    </row>
    <row r="236" ht="14.4" s="67" customFormat="1">
      <c r="A236" s="4">
        <v>171690</v>
      </c>
      <c r="B236" s="4"/>
      <c r="C236" s="55" t="s">
        <v>2224</v>
      </c>
      <c r="D236" s="4" t="s">
        <v>5492</v>
      </c>
      <c r="E236" s="4" t="s">
        <v>66</v>
      </c>
      <c r="F236" s="55"/>
      <c r="G236" s="4" t="s">
        <v>67</v>
      </c>
      <c r="H236" s="4" t="s">
        <v>68</v>
      </c>
      <c r="I236" s="4" t="s">
        <v>2494</v>
      </c>
      <c r="J236" s="55" t="s">
        <v>1725</v>
      </c>
      <c r="K236" s="4" t="s">
        <v>71</v>
      </c>
      <c r="L236" s="4" t="s">
        <v>3487</v>
      </c>
      <c r="M236" s="4" t="s">
        <v>115</v>
      </c>
      <c r="N236" s="4" t="s">
        <v>74</v>
      </c>
      <c r="O236" s="4" t="s">
        <v>75</v>
      </c>
      <c r="P236" s="4" t="s">
        <v>5481</v>
      </c>
      <c r="Q236" s="57">
        <v>45466</v>
      </c>
      <c r="R236" s="57">
        <v>45475</v>
      </c>
      <c r="S236" s="113"/>
      <c r="T236" s="113"/>
      <c r="U236" s="4"/>
      <c r="V236" s="4"/>
      <c r="W236" s="105"/>
      <c r="X236" s="114">
        <v>1783298179</v>
      </c>
      <c r="Y236" s="55" t="s">
        <v>81</v>
      </c>
      <c r="Z236" s="4">
        <v>1558138233</v>
      </c>
      <c r="AA236" s="4">
        <v>1783298179</v>
      </c>
      <c r="AB236" s="4" t="s">
        <v>382</v>
      </c>
      <c r="AC236" s="4" t="s">
        <v>79</v>
      </c>
      <c r="AD236" s="113">
        <v>36017</v>
      </c>
      <c r="AE236" s="107">
        <v>25.6986301369863</v>
      </c>
      <c r="AF236" s="4" t="s">
        <v>80</v>
      </c>
      <c r="AG236" s="114">
        <v>1956884926</v>
      </c>
      <c r="AH236" s="4" t="s">
        <v>81</v>
      </c>
      <c r="AI236" s="55" t="s">
        <v>290</v>
      </c>
      <c r="AJ236" s="55" t="s">
        <v>81</v>
      </c>
      <c r="AK236" s="55">
        <v>2022</v>
      </c>
      <c r="AL236" s="4" t="s">
        <v>291</v>
      </c>
      <c r="AM236" s="4" t="s">
        <v>4289</v>
      </c>
      <c r="AN236" s="4" t="s">
        <v>4290</v>
      </c>
      <c r="AO236" s="4" t="s">
        <v>4291</v>
      </c>
      <c r="AP236" s="4" t="s">
        <v>4292</v>
      </c>
      <c r="AQ236" s="55" t="s">
        <v>353</v>
      </c>
      <c r="AR236" s="4" t="s">
        <v>110</v>
      </c>
      <c r="AS236" s="4"/>
      <c r="AT236" s="72"/>
      <c r="AU236" s="4"/>
      <c r="AV236" s="4"/>
      <c r="AW236" s="4"/>
      <c r="AX236" s="4"/>
      <c r="AY236" s="4"/>
      <c r="AZ236" s="4"/>
      <c r="BA236" s="4" t="s">
        <v>3498</v>
      </c>
      <c r="BB236" s="4">
        <v>10800</v>
      </c>
      <c r="BC236" s="4">
        <v>2700</v>
      </c>
      <c r="BD236" s="4">
        <v>0</v>
      </c>
      <c r="BE236" s="4" t="s">
        <v>91</v>
      </c>
      <c r="BF236" s="4" t="s">
        <v>242</v>
      </c>
      <c r="BG236" s="4" t="s">
        <v>242</v>
      </c>
      <c r="BH236" s="4" t="s">
        <v>3499</v>
      </c>
      <c r="BI236" s="72">
        <f>VLOOKUP(A236,'ID Block'!A:L,12,0)</f>
        <v>45481</v>
      </c>
      <c r="BJ236" s="154" t="str">
        <f>VLOOKUP(A236,'ID Block'!A:M,13,0)</f>
        <v>Unathourized Absent</v>
      </c>
      <c r="BK236" s="4">
        <f t="shared" si="3"/>
        <v>6</v>
      </c>
      <c r="BL236" s="105" t="s">
        <v>168</v>
      </c>
      <c r="BM236" s="10"/>
      <c r="BN236" s="183" t="s">
        <v>5355</v>
      </c>
      <c r="BO236" s="183"/>
    </row>
    <row r="237" ht="14.4" s="67" customFormat="1">
      <c r="A237" s="4">
        <v>171551</v>
      </c>
      <c r="B237" s="4"/>
      <c r="C237" s="55" t="s">
        <v>2198</v>
      </c>
      <c r="D237" s="4" t="s">
        <v>5493</v>
      </c>
      <c r="E237" s="4" t="s">
        <v>66</v>
      </c>
      <c r="F237" s="55">
        <v>1110188257</v>
      </c>
      <c r="G237" s="4" t="s">
        <v>67</v>
      </c>
      <c r="H237" s="4" t="s">
        <v>68</v>
      </c>
      <c r="I237" s="4" t="s">
        <v>2494</v>
      </c>
      <c r="J237" s="55" t="s">
        <v>1285</v>
      </c>
      <c r="K237" s="4" t="s">
        <v>71</v>
      </c>
      <c r="L237" s="4" t="s">
        <v>3487</v>
      </c>
      <c r="M237" s="4" t="s">
        <v>115</v>
      </c>
      <c r="N237" s="4" t="s">
        <v>74</v>
      </c>
      <c r="O237" s="4" t="s">
        <v>75</v>
      </c>
      <c r="P237" s="4" t="s">
        <v>5271</v>
      </c>
      <c r="Q237" s="57">
        <v>45447</v>
      </c>
      <c r="R237" s="57">
        <v>45453</v>
      </c>
      <c r="S237" s="113"/>
      <c r="T237" s="113"/>
      <c r="U237" s="4"/>
      <c r="V237" s="4"/>
      <c r="W237" s="105" t="s">
        <v>5494</v>
      </c>
      <c r="X237" s="114">
        <v>1957284288</v>
      </c>
      <c r="Y237" s="55">
        <v>1951497692</v>
      </c>
      <c r="Z237" s="4" t="s">
        <v>5495</v>
      </c>
      <c r="AA237" s="4">
        <v>1951497692</v>
      </c>
      <c r="AB237" s="4" t="s">
        <v>78</v>
      </c>
      <c r="AC237" s="4" t="s">
        <v>102</v>
      </c>
      <c r="AD237" s="113">
        <v>36095</v>
      </c>
      <c r="AE237" s="107">
        <f>((TODAY())-AD237)/365</f>
        <v>26.306849315068494</v>
      </c>
      <c r="AF237" s="4" t="s">
        <v>80</v>
      </c>
      <c r="AG237" s="114">
        <v>9158051863</v>
      </c>
      <c r="AH237" s="4" t="s">
        <v>81</v>
      </c>
      <c r="AI237" s="55" t="s">
        <v>723</v>
      </c>
      <c r="AJ237" s="55" t="s">
        <v>81</v>
      </c>
      <c r="AK237" s="55">
        <v>2022</v>
      </c>
      <c r="AL237" s="4" t="s">
        <v>5496</v>
      </c>
      <c r="AM237" s="4" t="s">
        <v>5497</v>
      </c>
      <c r="AN237" s="4" t="s">
        <v>5498</v>
      </c>
      <c r="AO237" s="4" t="s">
        <v>5499</v>
      </c>
      <c r="AP237" s="4" t="s">
        <v>5500</v>
      </c>
      <c r="AQ237" s="55" t="s">
        <v>499</v>
      </c>
      <c r="AR237" s="4" t="s">
        <v>89</v>
      </c>
      <c r="AS237" s="4" t="s">
        <v>5501</v>
      </c>
      <c r="AT237" s="72" t="s">
        <v>5502</v>
      </c>
      <c r="AU237" s="4" t="s">
        <v>5503</v>
      </c>
      <c r="AV237" s="4">
        <v>44936</v>
      </c>
      <c r="AW237" s="4" t="s">
        <v>81</v>
      </c>
      <c r="AX237" s="4" t="s">
        <v>81</v>
      </c>
      <c r="AY237" s="4" t="s">
        <v>81</v>
      </c>
      <c r="AZ237" s="4" t="s">
        <v>81</v>
      </c>
      <c r="BA237" s="4" t="s">
        <v>3498</v>
      </c>
      <c r="BB237" s="4">
        <v>10800</v>
      </c>
      <c r="BC237" s="4">
        <v>2700</v>
      </c>
      <c r="BD237" s="4">
        <v>0</v>
      </c>
      <c r="BE237" s="4" t="s">
        <v>91</v>
      </c>
      <c r="BF237" s="4"/>
      <c r="BG237" s="4"/>
      <c r="BH237" s="4" t="s">
        <v>3510</v>
      </c>
      <c r="BI237" s="72">
        <f>VLOOKUP(A237,'ID Block'!A:L,12,0)</f>
        <v>45481</v>
      </c>
      <c r="BJ237" s="154" t="str">
        <f>VLOOKUP(A237,'ID Block'!A:M,13,0)</f>
        <v>Family issue</v>
      </c>
      <c r="BK237" s="4">
        <f t="shared" si="3"/>
        <v>28</v>
      </c>
      <c r="BL237" s="105" t="s">
        <v>168</v>
      </c>
      <c r="BM237" s="10"/>
      <c r="BN237" s="183" t="s">
        <v>4321</v>
      </c>
      <c r="BO237" s="183"/>
    </row>
    <row r="238" ht="14.4" s="67" customFormat="1">
      <c r="A238" s="4">
        <v>171676</v>
      </c>
      <c r="B238" s="4"/>
      <c r="C238" s="55" t="s">
        <v>2217</v>
      </c>
      <c r="D238" s="4" t="s">
        <v>5504</v>
      </c>
      <c r="E238" s="4" t="s">
        <v>66</v>
      </c>
      <c r="F238" s="55"/>
      <c r="G238" s="4" t="s">
        <v>67</v>
      </c>
      <c r="H238" s="4" t="s">
        <v>68</v>
      </c>
      <c r="I238" s="4" t="s">
        <v>2494</v>
      </c>
      <c r="J238" s="55" t="s">
        <v>1725</v>
      </c>
      <c r="K238" s="4" t="s">
        <v>71</v>
      </c>
      <c r="L238" s="4" t="s">
        <v>3487</v>
      </c>
      <c r="M238" s="4" t="s">
        <v>115</v>
      </c>
      <c r="N238" s="4" t="s">
        <v>74</v>
      </c>
      <c r="O238" s="4" t="s">
        <v>75</v>
      </c>
      <c r="P238" s="4" t="s">
        <v>5481</v>
      </c>
      <c r="Q238" s="57">
        <v>45466</v>
      </c>
      <c r="R238" s="57">
        <v>45475</v>
      </c>
      <c r="S238" s="113"/>
      <c r="T238" s="113"/>
      <c r="U238" s="4"/>
      <c r="V238" s="4"/>
      <c r="W238" s="105" t="e">
        <v>#N/A</v>
      </c>
      <c r="X238" s="114">
        <v>1910400564</v>
      </c>
      <c r="Y238" s="55">
        <v>1910400564</v>
      </c>
      <c r="Z238" s="4" t="s">
        <v>1972</v>
      </c>
      <c r="AA238" s="4">
        <v>1515666380</v>
      </c>
      <c r="AB238" s="4" t="s">
        <v>132</v>
      </c>
      <c r="AC238" s="4" t="s">
        <v>79</v>
      </c>
      <c r="AD238" s="113">
        <v>36318</v>
      </c>
      <c r="AE238" s="107">
        <v>24.8739726027397</v>
      </c>
      <c r="AF238" s="4" t="s">
        <v>80</v>
      </c>
      <c r="AG238" s="114">
        <v>5104962526</v>
      </c>
      <c r="AH238" s="4" t="s">
        <v>81</v>
      </c>
      <c r="AI238" s="55" t="s">
        <v>187</v>
      </c>
      <c r="AJ238" s="55" t="s">
        <v>3944</v>
      </c>
      <c r="AK238" s="55">
        <v>2024</v>
      </c>
      <c r="AL238" s="4" t="s">
        <v>3945</v>
      </c>
      <c r="AM238" s="4" t="s">
        <v>3946</v>
      </c>
      <c r="AN238" s="4" t="s">
        <v>1972</v>
      </c>
      <c r="AO238" s="4" t="s">
        <v>3947</v>
      </c>
      <c r="AP238" s="4" t="s">
        <v>3948</v>
      </c>
      <c r="AQ238" s="55" t="s">
        <v>499</v>
      </c>
      <c r="AR238" s="4" t="s">
        <v>110</v>
      </c>
      <c r="AS238" s="4"/>
      <c r="AT238" s="72"/>
      <c r="AU238" s="4"/>
      <c r="AV238" s="4"/>
      <c r="AW238" s="4"/>
      <c r="AX238" s="4"/>
      <c r="AY238" s="4"/>
      <c r="AZ238" s="4"/>
      <c r="BA238" s="4" t="s">
        <v>3498</v>
      </c>
      <c r="BB238" s="4">
        <v>10800</v>
      </c>
      <c r="BC238" s="4">
        <v>2700</v>
      </c>
      <c r="BD238" s="4">
        <v>0</v>
      </c>
      <c r="BE238" s="4" t="s">
        <v>91</v>
      </c>
      <c r="BF238" s="4"/>
      <c r="BG238" s="4"/>
      <c r="BH238" s="4" t="s">
        <v>3499</v>
      </c>
      <c r="BI238" s="72">
        <f>VLOOKUP(A238,'ID Block'!A:L,12,0)</f>
        <v>45481</v>
      </c>
      <c r="BJ238" s="154" t="str">
        <f>VLOOKUP(A238,'ID Block'!A:M,13,0)</f>
        <v>Unathourized Absent</v>
      </c>
      <c r="BK238" s="4">
        <f t="shared" si="3"/>
        <v>6</v>
      </c>
      <c r="BL238" s="105" t="s">
        <v>168</v>
      </c>
      <c r="BM238" s="10"/>
      <c r="BN238" s="183" t="s">
        <v>5355</v>
      </c>
      <c r="BO238" s="183"/>
    </row>
    <row r="239" ht="14.4" s="67" customFormat="1">
      <c r="A239" s="4">
        <v>171427</v>
      </c>
      <c r="B239" s="4"/>
      <c r="C239" s="55" t="s">
        <v>5505</v>
      </c>
      <c r="D239" s="4" t="s">
        <v>5506</v>
      </c>
      <c r="E239" s="4" t="s">
        <v>114</v>
      </c>
      <c r="F239" s="55">
        <v>1016261659</v>
      </c>
      <c r="G239" s="4" t="s">
        <v>67</v>
      </c>
      <c r="H239" s="4" t="s">
        <v>68</v>
      </c>
      <c r="I239" s="4" t="s">
        <v>2494</v>
      </c>
      <c r="J239" s="55" t="s">
        <v>155</v>
      </c>
      <c r="K239" s="4" t="s">
        <v>71</v>
      </c>
      <c r="L239" s="4" t="s">
        <v>3487</v>
      </c>
      <c r="M239" s="4" t="s">
        <v>196</v>
      </c>
      <c r="N239" s="4" t="s">
        <v>74</v>
      </c>
      <c r="O239" s="4" t="s">
        <v>75</v>
      </c>
      <c r="P239" s="4" t="s">
        <v>5054</v>
      </c>
      <c r="Q239" s="57">
        <v>45397</v>
      </c>
      <c r="R239" s="57">
        <v>45416</v>
      </c>
      <c r="S239" s="113"/>
      <c r="T239" s="113"/>
      <c r="U239" s="4"/>
      <c r="V239" s="4"/>
      <c r="W239" s="105" t="s">
        <v>5507</v>
      </c>
      <c r="X239" s="114">
        <v>1787753856</v>
      </c>
      <c r="Y239" s="55">
        <v>1812109136</v>
      </c>
      <c r="Z239" s="4" t="s">
        <v>5508</v>
      </c>
      <c r="AA239" s="4">
        <v>1924288904</v>
      </c>
      <c r="AB239" s="4" t="s">
        <v>101</v>
      </c>
      <c r="AC239" s="4" t="s">
        <v>102</v>
      </c>
      <c r="AD239" s="113">
        <v>35453</v>
      </c>
      <c r="AE239" s="107">
        <f>((TODAY())-AD239)/365</f>
        <v>28.065753424657533</v>
      </c>
      <c r="AF239" s="4" t="s">
        <v>80</v>
      </c>
      <c r="AG239" s="114">
        <v>5101488798</v>
      </c>
      <c r="AH239" s="4" t="s">
        <v>81</v>
      </c>
      <c r="AI239" s="55" t="s">
        <v>1182</v>
      </c>
      <c r="AJ239" s="55" t="s">
        <v>81</v>
      </c>
      <c r="AK239" s="55">
        <v>2018</v>
      </c>
      <c r="AL239" s="4" t="s">
        <v>5509</v>
      </c>
      <c r="AM239" s="4" t="s">
        <v>5510</v>
      </c>
      <c r="AN239" s="4" t="s">
        <v>5511</v>
      </c>
      <c r="AO239" s="4" t="s">
        <v>5512</v>
      </c>
      <c r="AP239" s="4" t="s">
        <v>5513</v>
      </c>
      <c r="AQ239" s="55" t="s">
        <v>439</v>
      </c>
      <c r="AR239" s="4" t="s">
        <v>1200</v>
      </c>
      <c r="AS239" s="4" t="s">
        <v>81</v>
      </c>
      <c r="AT239" s="72" t="s">
        <v>81</v>
      </c>
      <c r="AU239" s="4" t="s">
        <v>81</v>
      </c>
      <c r="AV239" s="4" t="s">
        <v>81</v>
      </c>
      <c r="AW239" s="4" t="s">
        <v>81</v>
      </c>
      <c r="AX239" s="4" t="s">
        <v>81</v>
      </c>
      <c r="AY239" s="4" t="s">
        <v>81</v>
      </c>
      <c r="AZ239" s="4" t="s">
        <v>81</v>
      </c>
      <c r="BA239" s="4" t="s">
        <v>3498</v>
      </c>
      <c r="BB239" s="4">
        <v>10800</v>
      </c>
      <c r="BC239" s="4">
        <v>2700</v>
      </c>
      <c r="BD239" s="4">
        <v>1000</v>
      </c>
      <c r="BE239" s="4" t="s">
        <v>166</v>
      </c>
      <c r="BF239" s="4"/>
      <c r="BG239" s="4"/>
      <c r="BH239" s="4" t="s">
        <v>3510</v>
      </c>
      <c r="BI239" s="72">
        <f>VLOOKUP(A239,'ID Block'!A:L,12,0)</f>
        <v>45482</v>
      </c>
      <c r="BJ239" s="154" t="str">
        <f>VLOOKUP(A239,'ID Block'!A:M,13,0)</f>
        <v>Better Opportunity</v>
      </c>
      <c r="BK239" s="4">
        <f t="shared" si="3"/>
        <v>66</v>
      </c>
      <c r="BL239" s="105" t="s">
        <v>168</v>
      </c>
      <c r="BM239" s="10"/>
      <c r="BN239" s="183" t="s">
        <v>4035</v>
      </c>
      <c r="BO239" s="183"/>
    </row>
    <row r="240" ht="14.4" s="67" customFormat="1">
      <c r="A240" s="4">
        <v>171172</v>
      </c>
      <c r="B240" s="4"/>
      <c r="C240" s="55" t="s">
        <v>5514</v>
      </c>
      <c r="D240" s="4" t="s">
        <v>5515</v>
      </c>
      <c r="E240" s="4" t="s">
        <v>66</v>
      </c>
      <c r="F240" s="55">
        <v>750244</v>
      </c>
      <c r="G240" s="4" t="s">
        <v>67</v>
      </c>
      <c r="H240" s="4" t="s">
        <v>68</v>
      </c>
      <c r="I240" s="4" t="s">
        <v>2494</v>
      </c>
      <c r="J240" s="55" t="s">
        <v>341</v>
      </c>
      <c r="K240" s="4" t="s">
        <v>71</v>
      </c>
      <c r="L240" s="4" t="s">
        <v>3487</v>
      </c>
      <c r="M240" s="4" t="s">
        <v>308</v>
      </c>
      <c r="N240" s="4" t="s">
        <v>74</v>
      </c>
      <c r="O240" s="4" t="s">
        <v>75</v>
      </c>
      <c r="P240" s="4" t="s">
        <v>3987</v>
      </c>
      <c r="Q240" s="57">
        <v>45206</v>
      </c>
      <c r="R240" s="57">
        <v>45211</v>
      </c>
      <c r="S240" s="113"/>
      <c r="T240" s="113"/>
      <c r="U240" s="4"/>
      <c r="V240" s="4"/>
      <c r="W240" s="105" t="s">
        <v>5516</v>
      </c>
      <c r="X240" s="114">
        <v>1604728922</v>
      </c>
      <c r="Y240" s="55">
        <v>1407507717</v>
      </c>
      <c r="Z240" s="4" t="s">
        <v>5517</v>
      </c>
      <c r="AA240" s="4">
        <v>1676818396</v>
      </c>
      <c r="AB240" s="4" t="s">
        <v>118</v>
      </c>
      <c r="AC240" s="4" t="s">
        <v>133</v>
      </c>
      <c r="AD240" s="113">
        <v>32509</v>
      </c>
      <c r="AE240" s="107">
        <f>((TODAY())-AD240)/365</f>
        <v>36.131506849315066</v>
      </c>
      <c r="AF240" s="4" t="s">
        <v>80</v>
      </c>
      <c r="AG240" s="114">
        <v>4620716243</v>
      </c>
      <c r="AH240" s="4" t="s">
        <v>81</v>
      </c>
      <c r="AI240" s="55" t="s">
        <v>322</v>
      </c>
      <c r="AJ240" s="55" t="s">
        <v>81</v>
      </c>
      <c r="AK240" s="55">
        <v>2012</v>
      </c>
      <c r="AL240" s="4" t="s">
        <v>5518</v>
      </c>
      <c r="AM240" s="4" t="s">
        <v>5519</v>
      </c>
      <c r="AN240" s="4" t="s">
        <v>5520</v>
      </c>
      <c r="AO240" s="4" t="s">
        <v>5521</v>
      </c>
      <c r="AP240" s="4" t="s">
        <v>5522</v>
      </c>
      <c r="AQ240" s="55" t="s">
        <v>353</v>
      </c>
      <c r="AR240" s="4" t="s">
        <v>89</v>
      </c>
      <c r="AS240" s="4" t="s">
        <v>5523</v>
      </c>
      <c r="AT240" s="72"/>
      <c r="AU240" s="4"/>
      <c r="AV240" s="4"/>
      <c r="AW240" s="4"/>
      <c r="AX240" s="4"/>
      <c r="AY240" s="4"/>
      <c r="AZ240" s="4"/>
      <c r="BA240" s="4" t="s">
        <v>3498</v>
      </c>
      <c r="BB240" s="4">
        <v>10800</v>
      </c>
      <c r="BC240" s="4">
        <v>2700</v>
      </c>
      <c r="BD240" s="4">
        <v>0</v>
      </c>
      <c r="BE240" s="4" t="s">
        <v>296</v>
      </c>
      <c r="BF240" s="4"/>
      <c r="BG240" s="4"/>
      <c r="BH240" s="4" t="s">
        <v>3510</v>
      </c>
      <c r="BI240" s="72">
        <f>VLOOKUP(A240,'ID Block'!A:L,12,0)</f>
        <v>45486</v>
      </c>
      <c r="BJ240" s="154" t="str">
        <f>VLOOKUP(A240,'ID Block'!A:M,13,0)</f>
        <v>Better opportunity</v>
      </c>
      <c r="BK240" s="4">
        <f t="shared" si="3"/>
        <v>275</v>
      </c>
      <c r="BL240" s="105" t="s">
        <v>168</v>
      </c>
      <c r="BM240" s="10"/>
      <c r="BN240" s="183" t="s">
        <v>3796</v>
      </c>
      <c r="BO240" s="183"/>
    </row>
    <row r="241" ht="14.4" s="67" customFormat="1">
      <c r="A241" s="4">
        <v>171603</v>
      </c>
      <c r="B241" s="4"/>
      <c r="C241" s="55" t="s">
        <v>2383</v>
      </c>
      <c r="D241" s="4" t="s">
        <v>5524</v>
      </c>
      <c r="E241" s="4" t="s">
        <v>114</v>
      </c>
      <c r="F241" s="55">
        <v>1010992248</v>
      </c>
      <c r="G241" s="4" t="s">
        <v>67</v>
      </c>
      <c r="H241" s="4" t="s">
        <v>68</v>
      </c>
      <c r="I241" s="4" t="s">
        <v>2494</v>
      </c>
      <c r="J241" s="55" t="s">
        <v>1285</v>
      </c>
      <c r="K241" s="4" t="s">
        <v>71</v>
      </c>
      <c r="L241" s="4" t="s">
        <v>3487</v>
      </c>
      <c r="M241" s="4" t="s">
        <v>115</v>
      </c>
      <c r="N241" s="4" t="s">
        <v>74</v>
      </c>
      <c r="O241" s="4" t="s">
        <v>75</v>
      </c>
      <c r="P241" s="4" t="s">
        <v>5354</v>
      </c>
      <c r="Q241" s="57">
        <v>45449</v>
      </c>
      <c r="R241" s="57">
        <v>45458</v>
      </c>
      <c r="S241" s="113"/>
      <c r="T241" s="113"/>
      <c r="U241" s="4"/>
      <c r="V241" s="4"/>
      <c r="W241" s="105" t="s">
        <v>5525</v>
      </c>
      <c r="X241" s="114">
        <v>1751041021</v>
      </c>
      <c r="Y241" s="55">
        <v>1931383045</v>
      </c>
      <c r="Z241" s="4" t="s">
        <v>5526</v>
      </c>
      <c r="AA241" s="4">
        <v>1797570022</v>
      </c>
      <c r="AB241" s="4" t="s">
        <v>132</v>
      </c>
      <c r="AC241" s="4" t="s">
        <v>79</v>
      </c>
      <c r="AD241" s="113">
        <v>35199</v>
      </c>
      <c r="AE241" s="107"/>
      <c r="AF241" s="4" t="s">
        <v>80</v>
      </c>
      <c r="AG241" s="114">
        <v>8702735229</v>
      </c>
      <c r="AH241" s="4" t="s">
        <v>81</v>
      </c>
      <c r="AI241" s="55" t="s">
        <v>253</v>
      </c>
      <c r="AJ241" s="55" t="s">
        <v>81</v>
      </c>
      <c r="AK241" s="55">
        <v>2023</v>
      </c>
      <c r="AL241" s="4" t="s">
        <v>5527</v>
      </c>
      <c r="AM241" s="4" t="s">
        <v>5528</v>
      </c>
      <c r="AN241" s="4" t="s">
        <v>5526</v>
      </c>
      <c r="AO241" s="4" t="s">
        <v>5529</v>
      </c>
      <c r="AP241" s="4" t="s">
        <v>5530</v>
      </c>
      <c r="AQ241" s="55" t="s">
        <v>5531</v>
      </c>
      <c r="AR241" s="4" t="s">
        <v>110</v>
      </c>
      <c r="AS241" s="4" t="s">
        <v>81</v>
      </c>
      <c r="AT241" s="72" t="s">
        <v>81</v>
      </c>
      <c r="AU241" s="4" t="s">
        <v>81</v>
      </c>
      <c r="AV241" s="4" t="s">
        <v>81</v>
      </c>
      <c r="AW241" s="4" t="s">
        <v>81</v>
      </c>
      <c r="AX241" s="4" t="s">
        <v>81</v>
      </c>
      <c r="AY241" s="4" t="s">
        <v>81</v>
      </c>
      <c r="AZ241" s="4" t="s">
        <v>81</v>
      </c>
      <c r="BA241" s="4" t="s">
        <v>3498</v>
      </c>
      <c r="BB241" s="4">
        <v>10800</v>
      </c>
      <c r="BC241" s="4">
        <v>2700</v>
      </c>
      <c r="BD241" s="4">
        <v>0</v>
      </c>
      <c r="BE241" s="4" t="s">
        <v>91</v>
      </c>
      <c r="BF241" s="4"/>
      <c r="BG241" s="4"/>
      <c r="BH241" s="4" t="s">
        <v>3510</v>
      </c>
      <c r="BI241" s="72">
        <f>VLOOKUP(A241,'ID Block'!A:L,12,0)</f>
        <v>45487</v>
      </c>
      <c r="BJ241" s="154" t="str">
        <f>VLOOKUP(A241,'ID Block'!A:M,13,0)</f>
        <v>Better opportunity</v>
      </c>
      <c r="BK241" s="4">
        <f t="shared" si="3"/>
        <v>29</v>
      </c>
      <c r="BL241" s="105" t="s">
        <v>168</v>
      </c>
      <c r="BM241" s="10"/>
      <c r="BN241" s="183" t="s">
        <v>3796</v>
      </c>
      <c r="BO241" s="183"/>
    </row>
    <row r="242" ht="14.4" s="67" customFormat="1">
      <c r="A242" s="4">
        <v>171187</v>
      </c>
      <c r="B242" s="4"/>
      <c r="C242" s="55" t="s">
        <v>2436</v>
      </c>
      <c r="D242" s="4" t="s">
        <v>381</v>
      </c>
      <c r="E242" s="4" t="s">
        <v>114</v>
      </c>
      <c r="F242" s="55">
        <v>148386</v>
      </c>
      <c r="G242" s="4" t="s">
        <v>67</v>
      </c>
      <c r="H242" s="4" t="s">
        <v>68</v>
      </c>
      <c r="I242" s="4" t="s">
        <v>2494</v>
      </c>
      <c r="J242" s="55" t="s">
        <v>297</v>
      </c>
      <c r="K242" s="4" t="s">
        <v>71</v>
      </c>
      <c r="L242" s="4" t="s">
        <v>3487</v>
      </c>
      <c r="M242" s="4" t="s">
        <v>308</v>
      </c>
      <c r="N242" s="4" t="s">
        <v>74</v>
      </c>
      <c r="O242" s="4" t="s">
        <v>75</v>
      </c>
      <c r="P242" s="4" t="s">
        <v>3987</v>
      </c>
      <c r="Q242" s="57">
        <v>45206</v>
      </c>
      <c r="R242" s="57">
        <v>45211</v>
      </c>
      <c r="S242" s="113"/>
      <c r="T242" s="113"/>
      <c r="U242" s="4"/>
      <c r="V242" s="4"/>
      <c r="W242" s="105" t="s">
        <v>5532</v>
      </c>
      <c r="X242" s="114">
        <v>1711155836</v>
      </c>
      <c r="Y242" s="55" t="s">
        <v>81</v>
      </c>
      <c r="Z242" s="4" t="s">
        <v>5533</v>
      </c>
      <c r="AA242" s="4">
        <v>1738218386</v>
      </c>
      <c r="AB242" s="4" t="s">
        <v>5534</v>
      </c>
      <c r="AC242" s="4" t="s">
        <v>133</v>
      </c>
      <c r="AD242" s="113">
        <v>35733</v>
      </c>
      <c r="AE242" s="107">
        <f>((TODAY())-AD242)/365</f>
        <v>27.2986301369863</v>
      </c>
      <c r="AF242" s="4" t="s">
        <v>80</v>
      </c>
      <c r="AG242" s="114">
        <v>6453615160</v>
      </c>
      <c r="AH242" s="4" t="s">
        <v>81</v>
      </c>
      <c r="AI242" s="55" t="s">
        <v>290</v>
      </c>
      <c r="AJ242" s="55" t="s">
        <v>333</v>
      </c>
      <c r="AK242" s="55">
        <v>2019</v>
      </c>
      <c r="AL242" s="4" t="s">
        <v>5535</v>
      </c>
      <c r="AM242" s="4" t="s">
        <v>5201</v>
      </c>
      <c r="AN242" s="4" t="s">
        <v>5536</v>
      </c>
      <c r="AO242" s="4" t="s">
        <v>5537</v>
      </c>
      <c r="AP242" s="4" t="s">
        <v>5538</v>
      </c>
      <c r="AQ242" s="55" t="s">
        <v>5539</v>
      </c>
      <c r="AR242" s="4" t="s">
        <v>110</v>
      </c>
      <c r="AS242" s="4"/>
      <c r="AT242" s="72"/>
      <c r="AU242" s="4"/>
      <c r="AV242" s="4"/>
      <c r="AW242" s="4"/>
      <c r="AX242" s="4"/>
      <c r="AY242" s="4"/>
      <c r="AZ242" s="4"/>
      <c r="BA242" s="4" t="s">
        <v>3498</v>
      </c>
      <c r="BB242" s="4">
        <v>10800</v>
      </c>
      <c r="BC242" s="4">
        <v>2700</v>
      </c>
      <c r="BD242" s="4">
        <v>0</v>
      </c>
      <c r="BE242" s="4" t="s">
        <v>296</v>
      </c>
      <c r="BF242" s="4"/>
      <c r="BG242" s="4"/>
      <c r="BH242" s="4" t="s">
        <v>3510</v>
      </c>
      <c r="BI242" s="72">
        <f>VLOOKUP(A242,'ID Block'!A:L,12,0)</f>
        <v>45488</v>
      </c>
      <c r="BJ242" s="154" t="str">
        <f>VLOOKUP(A242,'ID Block'!A:M,13,0)</f>
        <v>Better opportunity</v>
      </c>
      <c r="BK242" s="4">
        <f t="shared" si="3"/>
        <v>277</v>
      </c>
      <c r="BL242" s="105" t="s">
        <v>168</v>
      </c>
      <c r="BM242" s="10"/>
      <c r="BN242" s="183" t="s">
        <v>3796</v>
      </c>
      <c r="BO242" s="183"/>
    </row>
    <row r="243" ht="14.4" s="67" customFormat="1">
      <c r="A243" s="4">
        <v>171361</v>
      </c>
      <c r="B243" s="4"/>
      <c r="C243" s="55" t="s">
        <v>2577</v>
      </c>
      <c r="D243" s="4" t="s">
        <v>5540</v>
      </c>
      <c r="E243" s="4" t="s">
        <v>114</v>
      </c>
      <c r="F243" s="55">
        <v>105313</v>
      </c>
      <c r="G243" s="4" t="s">
        <v>67</v>
      </c>
      <c r="H243" s="4" t="s">
        <v>68</v>
      </c>
      <c r="I243" s="4" t="s">
        <v>2494</v>
      </c>
      <c r="J243" s="55" t="s">
        <v>297</v>
      </c>
      <c r="K243" s="4" t="s">
        <v>71</v>
      </c>
      <c r="L243" s="4" t="s">
        <v>3487</v>
      </c>
      <c r="M243" s="4" t="s">
        <v>308</v>
      </c>
      <c r="N243" s="4" t="s">
        <v>74</v>
      </c>
      <c r="O243" s="4" t="s">
        <v>75</v>
      </c>
      <c r="P243" s="4" t="s">
        <v>4951</v>
      </c>
      <c r="Q243" s="57">
        <v>45338</v>
      </c>
      <c r="R243" s="57">
        <v>45356</v>
      </c>
      <c r="S243" s="113"/>
      <c r="T243" s="113"/>
      <c r="U243" s="4"/>
      <c r="V243" s="4"/>
      <c r="W243" s="105" t="s">
        <v>5541</v>
      </c>
      <c r="X243" s="114">
        <v>1567891069</v>
      </c>
      <c r="Y243" s="55">
        <v>1737341329</v>
      </c>
      <c r="Z243" s="4" t="s">
        <v>5542</v>
      </c>
      <c r="AA243" s="4">
        <v>1828532744</v>
      </c>
      <c r="AB243" s="4" t="s">
        <v>252</v>
      </c>
      <c r="AC243" s="4" t="s">
        <v>133</v>
      </c>
      <c r="AD243" s="113">
        <v>35125</v>
      </c>
      <c r="AE243" s="107">
        <f>((TODAY())-AD243)/365</f>
        <v>28.964383561643835</v>
      </c>
      <c r="AF243" s="4" t="s">
        <v>80</v>
      </c>
      <c r="AG243" s="114">
        <v>9133669920</v>
      </c>
      <c r="AH243" s="4" t="s">
        <v>81</v>
      </c>
      <c r="AI243" s="55" t="s">
        <v>5543</v>
      </c>
      <c r="AJ243" s="55" t="s">
        <v>81</v>
      </c>
      <c r="AK243" s="55">
        <v>2019</v>
      </c>
      <c r="AL243" s="4" t="s">
        <v>188</v>
      </c>
      <c r="AM243" s="4" t="s">
        <v>5544</v>
      </c>
      <c r="AN243" s="4" t="s">
        <v>5545</v>
      </c>
      <c r="AO243" s="4" t="s">
        <v>5546</v>
      </c>
      <c r="AP243" s="4" t="s">
        <v>5547</v>
      </c>
      <c r="AQ243" s="55" t="s">
        <v>2773</v>
      </c>
      <c r="AR243" s="4" t="s">
        <v>110</v>
      </c>
      <c r="AS243" s="4" t="s">
        <v>81</v>
      </c>
      <c r="AT243" s="72" t="s">
        <v>81</v>
      </c>
      <c r="AU243" s="4" t="s">
        <v>81</v>
      </c>
      <c r="AV243" s="4" t="s">
        <v>81</v>
      </c>
      <c r="AW243" s="4" t="s">
        <v>81</v>
      </c>
      <c r="AX243" s="4" t="s">
        <v>81</v>
      </c>
      <c r="AY243" s="4"/>
      <c r="AZ243" s="4"/>
      <c r="BA243" s="4" t="s">
        <v>3498</v>
      </c>
      <c r="BB243" s="4">
        <v>10800</v>
      </c>
      <c r="BC243" s="4">
        <v>2700</v>
      </c>
      <c r="BD243" s="4">
        <v>0</v>
      </c>
      <c r="BE243" s="4" t="s">
        <v>91</v>
      </c>
      <c r="BF243" s="4"/>
      <c r="BG243" s="4"/>
      <c r="BH243" s="4" t="s">
        <v>3510</v>
      </c>
      <c r="BI243" s="72">
        <f>VLOOKUP(A243,'ID Block'!A:L,12,0)</f>
        <v>45488</v>
      </c>
      <c r="BJ243" s="154" t="str">
        <f>VLOOKUP(A243,'ID Block'!A:M,13,0)</f>
        <v>Better opportunity</v>
      </c>
      <c r="BK243" s="4">
        <f t="shared" si="3"/>
        <v>132</v>
      </c>
      <c r="BL243" s="105" t="s">
        <v>168</v>
      </c>
      <c r="BM243" s="10"/>
      <c r="BN243" s="183" t="s">
        <v>3796</v>
      </c>
      <c r="BO243" s="183"/>
    </row>
    <row r="244" ht="14.4" s="67" customFormat="1">
      <c r="A244" s="4">
        <v>171256</v>
      </c>
      <c r="B244" s="4"/>
      <c r="C244" s="55" t="s">
        <v>5548</v>
      </c>
      <c r="D244" s="4" t="s">
        <v>5549</v>
      </c>
      <c r="E244" s="4" t="s">
        <v>114</v>
      </c>
      <c r="F244" s="55">
        <v>781585</v>
      </c>
      <c r="G244" s="4" t="s">
        <v>67</v>
      </c>
      <c r="H244" s="4" t="s">
        <v>68</v>
      </c>
      <c r="I244" s="4" t="s">
        <v>2494</v>
      </c>
      <c r="J244" s="55" t="s">
        <v>4270</v>
      </c>
      <c r="K244" s="4" t="s">
        <v>71</v>
      </c>
      <c r="L244" s="4" t="s">
        <v>3487</v>
      </c>
      <c r="M244" s="4" t="s">
        <v>308</v>
      </c>
      <c r="N244" s="4" t="s">
        <v>74</v>
      </c>
      <c r="O244" s="4" t="s">
        <v>75</v>
      </c>
      <c r="P244" s="4" t="s">
        <v>4123</v>
      </c>
      <c r="Q244" s="57">
        <v>45251</v>
      </c>
      <c r="R244" s="57">
        <v>45256</v>
      </c>
      <c r="S244" s="113"/>
      <c r="T244" s="113"/>
      <c r="U244" s="4"/>
      <c r="V244" s="4"/>
      <c r="W244" s="105" t="s">
        <v>5550</v>
      </c>
      <c r="X244" s="114">
        <v>1882407416</v>
      </c>
      <c r="Y244" s="55" t="s">
        <v>81</v>
      </c>
      <c r="Z244" s="4" t="s">
        <v>5551</v>
      </c>
      <c r="AA244" s="4">
        <v>1936670115</v>
      </c>
      <c r="AB244" s="4" t="s">
        <v>101</v>
      </c>
      <c r="AC244" s="4" t="s">
        <v>133</v>
      </c>
      <c r="AD244" s="113">
        <v>35322</v>
      </c>
      <c r="AE244" s="107">
        <f>((TODAY())-AD244)/365</f>
        <v>28.424657534246574</v>
      </c>
      <c r="AF244" s="4" t="s">
        <v>80</v>
      </c>
      <c r="AG244" s="114" t="s">
        <v>5552</v>
      </c>
      <c r="AH244" s="4" t="s">
        <v>81</v>
      </c>
      <c r="AI244" s="55" t="s">
        <v>290</v>
      </c>
      <c r="AJ244" s="55" t="s">
        <v>81</v>
      </c>
      <c r="AK244" s="55">
        <v>2022</v>
      </c>
      <c r="AL244" s="4" t="s">
        <v>780</v>
      </c>
      <c r="AM244" s="4" t="s">
        <v>5551</v>
      </c>
      <c r="AN244" s="4" t="s">
        <v>5553</v>
      </c>
      <c r="AO244" s="4" t="s">
        <v>5554</v>
      </c>
      <c r="AP244" s="4" t="s">
        <v>5555</v>
      </c>
      <c r="AQ244" s="55" t="s">
        <v>328</v>
      </c>
      <c r="AR244" s="4" t="s">
        <v>110</v>
      </c>
      <c r="AS244" s="4" t="s">
        <v>81</v>
      </c>
      <c r="AT244" s="72" t="s">
        <v>81</v>
      </c>
      <c r="AU244" s="4" t="s">
        <v>81</v>
      </c>
      <c r="AV244" s="4" t="s">
        <v>81</v>
      </c>
      <c r="AW244" s="4" t="s">
        <v>81</v>
      </c>
      <c r="AX244" s="4" t="s">
        <v>81</v>
      </c>
      <c r="AY244" s="4"/>
      <c r="AZ244" s="4"/>
      <c r="BA244" s="4" t="s">
        <v>3498</v>
      </c>
      <c r="BB244" s="4">
        <v>10800</v>
      </c>
      <c r="BC244" s="4">
        <v>2700</v>
      </c>
      <c r="BD244" s="4">
        <v>0</v>
      </c>
      <c r="BE244" s="4" t="s">
        <v>91</v>
      </c>
      <c r="BF244" s="4"/>
      <c r="BG244" s="4"/>
      <c r="BH244" s="4" t="s">
        <v>3510</v>
      </c>
      <c r="BI244" s="72">
        <f>VLOOKUP(A244,'ID Block'!A:L,12,0)</f>
        <v>45488</v>
      </c>
      <c r="BJ244" s="154" t="str">
        <f>VLOOKUP(A244,'ID Block'!A:M,13,0)</f>
        <v>Better opportunity</v>
      </c>
      <c r="BK244" s="4">
        <f t="shared" si="3"/>
        <v>232</v>
      </c>
      <c r="BL244" s="105" t="s">
        <v>168</v>
      </c>
      <c r="BM244" s="10"/>
      <c r="BN244" s="183" t="s">
        <v>3796</v>
      </c>
      <c r="BO244" s="183"/>
    </row>
    <row r="245" ht="14.4" s="67" customFormat="1">
      <c r="A245" s="4">
        <v>171627</v>
      </c>
      <c r="B245" s="4"/>
      <c r="C245" s="55" t="s">
        <v>5556</v>
      </c>
      <c r="D245" s="4" t="s">
        <v>5557</v>
      </c>
      <c r="E245" s="4" t="s">
        <v>66</v>
      </c>
      <c r="F245" s="55">
        <v>1210882368</v>
      </c>
      <c r="G245" s="4" t="s">
        <v>67</v>
      </c>
      <c r="H245" s="4" t="s">
        <v>68</v>
      </c>
      <c r="I245" s="4" t="s">
        <v>2494</v>
      </c>
      <c r="J245" s="55" t="s">
        <v>1285</v>
      </c>
      <c r="K245" s="4" t="s">
        <v>71</v>
      </c>
      <c r="L245" s="4" t="s">
        <v>3487</v>
      </c>
      <c r="M245" s="4" t="s">
        <v>115</v>
      </c>
      <c r="N245" s="4" t="s">
        <v>74</v>
      </c>
      <c r="O245" s="4" t="s">
        <v>75</v>
      </c>
      <c r="P245" s="4" t="s">
        <v>5354</v>
      </c>
      <c r="Q245" s="57">
        <v>45449</v>
      </c>
      <c r="R245" s="57">
        <v>45458</v>
      </c>
      <c r="S245" s="113"/>
      <c r="T245" s="113"/>
      <c r="U245" s="4"/>
      <c r="V245" s="4"/>
      <c r="W245" s="105" t="s">
        <v>5558</v>
      </c>
      <c r="X245" s="114">
        <v>1939957634</v>
      </c>
      <c r="Y245" s="55" t="s">
        <v>81</v>
      </c>
      <c r="Z245" s="4"/>
      <c r="AA245" s="4">
        <v>1677633439</v>
      </c>
      <c r="AB245" s="4" t="s">
        <v>252</v>
      </c>
      <c r="AC245" s="4" t="s">
        <v>2184</v>
      </c>
      <c r="AD245" s="113">
        <v>36230</v>
      </c>
      <c r="AE245" s="107"/>
      <c r="AF245" s="4" t="s">
        <v>80</v>
      </c>
      <c r="AG245" s="114">
        <v>2857887836</v>
      </c>
      <c r="AH245" s="4" t="s">
        <v>5559</v>
      </c>
      <c r="AI245" s="55" t="s">
        <v>723</v>
      </c>
      <c r="AJ245" s="55" t="s">
        <v>5560</v>
      </c>
      <c r="AK245" s="55">
        <v>2022</v>
      </c>
      <c r="AL245" s="4" t="s">
        <v>2259</v>
      </c>
      <c r="AM245" s="4" t="s">
        <v>5561</v>
      </c>
      <c r="AN245" s="4" t="s">
        <v>5562</v>
      </c>
      <c r="AO245" s="4" t="s">
        <v>5563</v>
      </c>
      <c r="AP245" s="4" t="s">
        <v>5563</v>
      </c>
      <c r="AQ245" s="55" t="s">
        <v>5564</v>
      </c>
      <c r="AR245" s="4" t="s">
        <v>110</v>
      </c>
      <c r="AS245" s="4" t="s">
        <v>81</v>
      </c>
      <c r="AT245" s="72" t="s">
        <v>81</v>
      </c>
      <c r="AU245" s="4" t="s">
        <v>81</v>
      </c>
      <c r="AV245" s="4" t="s">
        <v>81</v>
      </c>
      <c r="AW245" s="4" t="s">
        <v>81</v>
      </c>
      <c r="AX245" s="4" t="s">
        <v>81</v>
      </c>
      <c r="AY245" s="4" t="s">
        <v>81</v>
      </c>
      <c r="AZ245" s="4" t="s">
        <v>81</v>
      </c>
      <c r="BA245" s="4" t="s">
        <v>3498</v>
      </c>
      <c r="BB245" s="4">
        <v>10800</v>
      </c>
      <c r="BC245" s="4">
        <v>2700</v>
      </c>
      <c r="BD245" s="4">
        <v>0</v>
      </c>
      <c r="BE245" s="4" t="s">
        <v>91</v>
      </c>
      <c r="BF245" s="4"/>
      <c r="BG245" s="4"/>
      <c r="BH245" s="4" t="s">
        <v>3510</v>
      </c>
      <c r="BI245" s="72">
        <f>VLOOKUP(A245,'ID Block'!A:L,12,0)</f>
        <v>45494</v>
      </c>
      <c r="BJ245" s="154" t="str">
        <f>VLOOKUP(A245,'ID Block'!A:M,13,0)</f>
        <v>Family issue</v>
      </c>
      <c r="BK245" s="4">
        <f t="shared" si="3"/>
        <v>36</v>
      </c>
      <c r="BL245" s="105" t="s">
        <v>168</v>
      </c>
      <c r="BM245" s="10"/>
      <c r="BN245" s="183" t="s">
        <v>4321</v>
      </c>
      <c r="BO245" s="183"/>
    </row>
    <row r="246" ht="14.4" s="67" customFormat="1">
      <c r="A246" s="4">
        <v>171120</v>
      </c>
      <c r="B246" s="4"/>
      <c r="C246" s="55" t="s">
        <v>1263</v>
      </c>
      <c r="D246" s="4" t="s">
        <v>5565</v>
      </c>
      <c r="E246" s="4" t="s">
        <v>114</v>
      </c>
      <c r="F246" s="55">
        <v>846885</v>
      </c>
      <c r="G246" s="4" t="s">
        <v>67</v>
      </c>
      <c r="H246" s="4" t="s">
        <v>68</v>
      </c>
      <c r="I246" s="4" t="s">
        <v>2494</v>
      </c>
      <c r="J246" s="55" t="s">
        <v>319</v>
      </c>
      <c r="K246" s="4" t="s">
        <v>71</v>
      </c>
      <c r="L246" s="4" t="s">
        <v>3487</v>
      </c>
      <c r="M246" s="4" t="s">
        <v>2643</v>
      </c>
      <c r="N246" s="4" t="s">
        <v>238</v>
      </c>
      <c r="O246" s="4" t="s">
        <v>75</v>
      </c>
      <c r="P246" s="4" t="s">
        <v>3651</v>
      </c>
      <c r="Q246" s="57">
        <v>45116</v>
      </c>
      <c r="R246" s="57">
        <v>45126</v>
      </c>
      <c r="S246" s="113"/>
      <c r="T246" s="113"/>
      <c r="U246" s="4"/>
      <c r="V246" s="4"/>
      <c r="W246" s="105" t="s">
        <v>5566</v>
      </c>
      <c r="X246" s="114">
        <v>1407628812</v>
      </c>
      <c r="Y246" s="55">
        <v>1303599496</v>
      </c>
      <c r="Z246" s="4" t="s">
        <v>5567</v>
      </c>
      <c r="AA246" s="4">
        <v>1753118122</v>
      </c>
      <c r="AB246" s="4" t="s">
        <v>118</v>
      </c>
      <c r="AC246" s="4" t="s">
        <v>133</v>
      </c>
      <c r="AD246" s="113">
        <v>35067</v>
      </c>
      <c r="AE246" s="107">
        <f>((TODAY())-AD246)/365</f>
        <v>29.123287671232877</v>
      </c>
      <c r="AF246" s="4" t="s">
        <v>80</v>
      </c>
      <c r="AG246" s="114">
        <v>4642106381</v>
      </c>
      <c r="AH246" s="4" t="s">
        <v>81</v>
      </c>
      <c r="AI246" s="55" t="s">
        <v>160</v>
      </c>
      <c r="AJ246" s="55" t="s">
        <v>81</v>
      </c>
      <c r="AK246" s="55" t="s">
        <v>242</v>
      </c>
      <c r="AL246" s="4" t="s">
        <v>580</v>
      </c>
      <c r="AM246" s="4" t="s">
        <v>5568</v>
      </c>
      <c r="AN246" s="4" t="s">
        <v>5569</v>
      </c>
      <c r="AO246" s="4" t="s">
        <v>5570</v>
      </c>
      <c r="AP246" s="4" t="s">
        <v>5571</v>
      </c>
      <c r="AQ246" s="55" t="s">
        <v>449</v>
      </c>
      <c r="AR246" s="4" t="s">
        <v>110</v>
      </c>
      <c r="AS246" s="4"/>
      <c r="AT246" s="72"/>
      <c r="AU246" s="4"/>
      <c r="AV246" s="4"/>
      <c r="AW246" s="4"/>
      <c r="AX246" s="4"/>
      <c r="AY246" s="4"/>
      <c r="AZ246" s="4"/>
      <c r="BA246" s="4" t="s">
        <v>3498</v>
      </c>
      <c r="BB246" s="4">
        <v>10800</v>
      </c>
      <c r="BC246" s="4">
        <v>2700</v>
      </c>
      <c r="BD246" s="4">
        <v>0</v>
      </c>
      <c r="BE246" s="4" t="s">
        <v>91</v>
      </c>
      <c r="BF246" s="4" t="s">
        <v>167</v>
      </c>
      <c r="BG246" s="4" t="s">
        <v>167</v>
      </c>
      <c r="BH246" s="4" t="s">
        <v>3510</v>
      </c>
      <c r="BI246" s="72">
        <f>VLOOKUP(A246,'ID Block'!A:L,12,0)</f>
        <v>45493</v>
      </c>
      <c r="BJ246" s="154" t="str">
        <f>VLOOKUP(A246,'ID Block'!A:M,13,0)</f>
        <v>Better opportunity</v>
      </c>
      <c r="BK246" s="4">
        <f t="shared" si="3"/>
        <v>367</v>
      </c>
      <c r="BL246" s="105" t="s">
        <v>168</v>
      </c>
      <c r="BM246" s="10"/>
      <c r="BN246" s="183" t="s">
        <v>3796</v>
      </c>
      <c r="BO246" s="183"/>
    </row>
    <row r="247" ht="14.4" s="67" customFormat="1">
      <c r="A247" s="4">
        <v>171394</v>
      </c>
      <c r="B247" s="4"/>
      <c r="C247" s="55" t="s">
        <v>2445</v>
      </c>
      <c r="D247" s="4" t="s">
        <v>5572</v>
      </c>
      <c r="E247" s="4" t="s">
        <v>66</v>
      </c>
      <c r="F247" s="55"/>
      <c r="G247" s="4" t="s">
        <v>67</v>
      </c>
      <c r="H247" s="4" t="s">
        <v>68</v>
      </c>
      <c r="I247" s="4" t="s">
        <v>2494</v>
      </c>
      <c r="J247" s="55" t="s">
        <v>297</v>
      </c>
      <c r="K247" s="4" t="s">
        <v>71</v>
      </c>
      <c r="L247" s="4" t="s">
        <v>3487</v>
      </c>
      <c r="M247" s="4" t="s">
        <v>308</v>
      </c>
      <c r="N247" s="4" t="s">
        <v>74</v>
      </c>
      <c r="O247" s="4" t="s">
        <v>75</v>
      </c>
      <c r="P247" s="4" t="s">
        <v>4900</v>
      </c>
      <c r="Q247" s="57">
        <v>45371</v>
      </c>
      <c r="R247" s="57">
        <v>45384</v>
      </c>
      <c r="S247" s="113"/>
      <c r="T247" s="113"/>
      <c r="U247" s="4"/>
      <c r="V247" s="4"/>
      <c r="W247" s="105" t="s">
        <v>5573</v>
      </c>
      <c r="X247" s="114">
        <v>1735750036</v>
      </c>
      <c r="Y247" s="55">
        <v>1781396260</v>
      </c>
      <c r="Z247" s="4" t="s">
        <v>5574</v>
      </c>
      <c r="AA247" s="4">
        <v>1781396260</v>
      </c>
      <c r="AB247" s="4" t="s">
        <v>132</v>
      </c>
      <c r="AC247" s="4" t="s">
        <v>5575</v>
      </c>
      <c r="AD247" s="113">
        <v>34918</v>
      </c>
      <c r="AE247" s="107">
        <f>((TODAY())-AD247)/365</f>
        <v>29.53150684931507</v>
      </c>
      <c r="AF247" s="4" t="s">
        <v>80</v>
      </c>
      <c r="AG247" s="114">
        <v>9568440771</v>
      </c>
      <c r="AH247" s="4" t="s">
        <v>81</v>
      </c>
      <c r="AI247" s="55" t="s">
        <v>723</v>
      </c>
      <c r="AJ247" s="55" t="s">
        <v>81</v>
      </c>
      <c r="AK247" s="55">
        <v>2021</v>
      </c>
      <c r="AL247" s="4" t="s">
        <v>858</v>
      </c>
      <c r="AM247" s="4" t="s">
        <v>5576</v>
      </c>
      <c r="AN247" s="4" t="s">
        <v>5574</v>
      </c>
      <c r="AO247" s="4" t="s">
        <v>5577</v>
      </c>
      <c r="AP247" s="4" t="s">
        <v>5578</v>
      </c>
      <c r="AQ247" s="55" t="s">
        <v>1178</v>
      </c>
      <c r="AR247" s="4" t="s">
        <v>110</v>
      </c>
      <c r="AS247" s="4" t="s">
        <v>81</v>
      </c>
      <c r="AT247" s="72" t="s">
        <v>81</v>
      </c>
      <c r="AU247" s="4" t="s">
        <v>81</v>
      </c>
      <c r="AV247" s="4" t="s">
        <v>81</v>
      </c>
      <c r="AW247" s="4" t="s">
        <v>81</v>
      </c>
      <c r="AX247" s="4" t="s">
        <v>81</v>
      </c>
      <c r="AY247" s="4"/>
      <c r="AZ247" s="4"/>
      <c r="BA247" s="4" t="s">
        <v>3498</v>
      </c>
      <c r="BB247" s="4">
        <v>10800</v>
      </c>
      <c r="BC247" s="4">
        <v>2700</v>
      </c>
      <c r="BD247" s="4">
        <v>0</v>
      </c>
      <c r="BE247" s="4" t="s">
        <v>91</v>
      </c>
      <c r="BF247" s="4"/>
      <c r="BG247" s="4"/>
      <c r="BH247" s="4" t="s">
        <v>3510</v>
      </c>
      <c r="BI247" s="72">
        <f>VLOOKUP(A247,'ID Block'!A:L,12,0)</f>
        <v>45486</v>
      </c>
      <c r="BJ247" s="154" t="str">
        <f>VLOOKUP(A247,'ID Block'!A:M,13,0)</f>
        <v>Better opportunity</v>
      </c>
      <c r="BK247" s="4">
        <f t="shared" si="3"/>
        <v>102</v>
      </c>
      <c r="BL247" s="105" t="s">
        <v>168</v>
      </c>
      <c r="BM247" s="10"/>
      <c r="BN247" s="183" t="s">
        <v>3796</v>
      </c>
      <c r="BO247" s="183"/>
    </row>
    <row r="248" ht="14.4" s="67" customFormat="1">
      <c r="A248" s="4">
        <v>171051</v>
      </c>
      <c r="B248" s="4"/>
      <c r="C248" s="55" t="s">
        <v>5579</v>
      </c>
      <c r="D248" s="4" t="s">
        <v>5580</v>
      </c>
      <c r="E248" s="4" t="s">
        <v>66</v>
      </c>
      <c r="F248" s="55">
        <v>677174</v>
      </c>
      <c r="G248" s="4" t="s">
        <v>67</v>
      </c>
      <c r="H248" s="4" t="s">
        <v>68</v>
      </c>
      <c r="I248" s="4" t="s">
        <v>2494</v>
      </c>
      <c r="J248" s="55" t="s">
        <v>97</v>
      </c>
      <c r="K248" s="4" t="s">
        <v>71</v>
      </c>
      <c r="L248" s="4" t="s">
        <v>3487</v>
      </c>
      <c r="M248" s="4" t="s">
        <v>2643</v>
      </c>
      <c r="N248" s="4" t="s">
        <v>74</v>
      </c>
      <c r="O248" s="4" t="s">
        <v>75</v>
      </c>
      <c r="P248" s="4" t="s">
        <v>3489</v>
      </c>
      <c r="Q248" s="57">
        <v>45033</v>
      </c>
      <c r="R248" s="57">
        <v>45040</v>
      </c>
      <c r="S248" s="113"/>
      <c r="T248" s="113"/>
      <c r="U248" s="4"/>
      <c r="V248" s="4"/>
      <c r="W248" s="105" t="s">
        <v>5581</v>
      </c>
      <c r="X248" s="114">
        <v>1781031843</v>
      </c>
      <c r="Y248" s="55"/>
      <c r="Z248" s="4" t="s">
        <v>5582</v>
      </c>
      <c r="AA248" s="4">
        <v>1829727141</v>
      </c>
      <c r="AB248" s="4" t="s">
        <v>78</v>
      </c>
      <c r="AC248" s="4" t="s">
        <v>79</v>
      </c>
      <c r="AD248" s="113">
        <v>34853</v>
      </c>
      <c r="AE248" s="107">
        <f>((TODAY())-AD248)/365</f>
        <v>29.70958904109589</v>
      </c>
      <c r="AF248" s="4" t="s">
        <v>80</v>
      </c>
      <c r="AG248" s="114">
        <v>3286978493</v>
      </c>
      <c r="AH248" s="4" t="s">
        <v>5583</v>
      </c>
      <c r="AI248" s="55" t="s">
        <v>5584</v>
      </c>
      <c r="AJ248" s="55" t="s">
        <v>81</v>
      </c>
      <c r="AK248" s="55" t="s">
        <v>81</v>
      </c>
      <c r="AL248" s="4" t="s">
        <v>2259</v>
      </c>
      <c r="AM248" s="4" t="s">
        <v>5585</v>
      </c>
      <c r="AN248" s="4" t="s">
        <v>5586</v>
      </c>
      <c r="AO248" s="4" t="s">
        <v>5587</v>
      </c>
      <c r="AP248" s="4" t="s">
        <v>5588</v>
      </c>
      <c r="AQ248" s="55" t="s">
        <v>5589</v>
      </c>
      <c r="AR248" s="4" t="s">
        <v>89</v>
      </c>
      <c r="AS248" s="4"/>
      <c r="AT248" s="72"/>
      <c r="AU248" s="4"/>
      <c r="AV248" s="4"/>
      <c r="AW248" s="4"/>
      <c r="AX248" s="4"/>
      <c r="AY248" s="4"/>
      <c r="AZ248" s="4"/>
      <c r="BA248" s="4" t="s">
        <v>3498</v>
      </c>
      <c r="BB248" s="4">
        <v>10800</v>
      </c>
      <c r="BC248" s="4">
        <v>2700</v>
      </c>
      <c r="BD248" s="4">
        <v>0</v>
      </c>
      <c r="BE248" s="4" t="s">
        <v>91</v>
      </c>
      <c r="BF248" s="4">
        <v>161707</v>
      </c>
      <c r="BG248" s="4" t="s">
        <v>92</v>
      </c>
      <c r="BH248" s="4" t="s">
        <v>3499</v>
      </c>
      <c r="BI248" s="72">
        <f>VLOOKUP(A248,'ID Block'!A:L,12,0)</f>
        <v>45489</v>
      </c>
      <c r="BJ248" s="154" t="str">
        <f>VLOOKUP(A248,'ID Block'!A:M,13,0)</f>
        <v>Unauthorized Absent</v>
      </c>
      <c r="BK248" s="4">
        <f t="shared" si="3"/>
        <v>449</v>
      </c>
      <c r="BL248" s="105" t="s">
        <v>168</v>
      </c>
      <c r="BM248" s="10"/>
      <c r="BN248" s="183" t="s">
        <v>5590</v>
      </c>
      <c r="BO248" s="183"/>
    </row>
    <row r="249" ht="14.4" s="67" customFormat="1">
      <c r="A249" s="4">
        <v>171640</v>
      </c>
      <c r="B249" s="4"/>
      <c r="C249" s="55" t="s">
        <v>2389</v>
      </c>
      <c r="D249" s="4" t="s">
        <v>5591</v>
      </c>
      <c r="E249" s="4" t="s">
        <v>66</v>
      </c>
      <c r="F249" s="55">
        <v>969829</v>
      </c>
      <c r="G249" s="4" t="s">
        <v>67</v>
      </c>
      <c r="H249" s="4" t="s">
        <v>68</v>
      </c>
      <c r="I249" s="4" t="s">
        <v>2494</v>
      </c>
      <c r="J249" s="55" t="s">
        <v>1725</v>
      </c>
      <c r="K249" s="4" t="s">
        <v>71</v>
      </c>
      <c r="L249" s="4" t="s">
        <v>3487</v>
      </c>
      <c r="M249" s="4" t="s">
        <v>115</v>
      </c>
      <c r="N249" s="4" t="s">
        <v>74</v>
      </c>
      <c r="O249" s="4" t="s">
        <v>75</v>
      </c>
      <c r="P249" s="4" t="s">
        <v>5592</v>
      </c>
      <c r="Q249" s="57">
        <v>45455</v>
      </c>
      <c r="R249" s="57">
        <v>45475</v>
      </c>
      <c r="S249" s="113"/>
      <c r="T249" s="113"/>
      <c r="U249" s="4"/>
      <c r="V249" s="4"/>
      <c r="W249" s="105" t="s">
        <v>5593</v>
      </c>
      <c r="X249" s="114">
        <v>1628331287</v>
      </c>
      <c r="Y249" s="55">
        <v>1712224648</v>
      </c>
      <c r="Z249" s="4" t="s">
        <v>2812</v>
      </c>
      <c r="AA249" s="4">
        <v>1722155100</v>
      </c>
      <c r="AB249" s="4" t="s">
        <v>2812</v>
      </c>
      <c r="AC249" s="4" t="s">
        <v>133</v>
      </c>
      <c r="AD249" s="113">
        <v>35360</v>
      </c>
      <c r="AE249" s="107"/>
      <c r="AF249" s="4" t="s">
        <v>2185</v>
      </c>
      <c r="AG249" s="114">
        <v>7352657089</v>
      </c>
      <c r="AH249" s="4" t="s">
        <v>81</v>
      </c>
      <c r="AI249" s="55" t="s">
        <v>1951</v>
      </c>
      <c r="AJ249" s="55" t="s">
        <v>265</v>
      </c>
      <c r="AK249" s="55">
        <v>2019</v>
      </c>
      <c r="AL249" s="4" t="s">
        <v>5594</v>
      </c>
      <c r="AM249" s="4" t="s">
        <v>5595</v>
      </c>
      <c r="AN249" s="4" t="s">
        <v>5596</v>
      </c>
      <c r="AO249" s="4" t="s">
        <v>5597</v>
      </c>
      <c r="AP249" s="4" t="s">
        <v>5598</v>
      </c>
      <c r="AQ249" s="55" t="s">
        <v>5599</v>
      </c>
      <c r="AR249" s="4" t="s">
        <v>367</v>
      </c>
      <c r="AS249" s="4" t="s">
        <v>5600</v>
      </c>
      <c r="AT249" s="72">
        <v>31048</v>
      </c>
      <c r="AU249" s="4" t="s">
        <v>81</v>
      </c>
      <c r="AV249" s="4" t="s">
        <v>81</v>
      </c>
      <c r="AW249" s="4" t="s">
        <v>81</v>
      </c>
      <c r="AX249" s="4" t="s">
        <v>81</v>
      </c>
      <c r="AY249" s="4" t="s">
        <v>81</v>
      </c>
      <c r="AZ249" s="4" t="s">
        <v>81</v>
      </c>
      <c r="BA249" s="4" t="s">
        <v>3498</v>
      </c>
      <c r="BB249" s="4">
        <v>10800</v>
      </c>
      <c r="BC249" s="4">
        <v>2700</v>
      </c>
      <c r="BD249" s="4">
        <v>0</v>
      </c>
      <c r="BE249" s="4" t="s">
        <v>91</v>
      </c>
      <c r="BF249" s="4"/>
      <c r="BG249" s="4"/>
      <c r="BH249" s="4" t="s">
        <v>3499</v>
      </c>
      <c r="BI249" s="72">
        <f>VLOOKUP(A249,'ID Block'!A:L,12,0)</f>
        <v>45490</v>
      </c>
      <c r="BJ249" s="154" t="str">
        <f>VLOOKUP(A249,'ID Block'!A:M,13,0)</f>
        <v>Unauthorized Absent</v>
      </c>
      <c r="BK249" s="4">
        <f t="shared" si="3"/>
        <v>15</v>
      </c>
      <c r="BL249" s="105" t="s">
        <v>168</v>
      </c>
      <c r="BM249" s="10"/>
      <c r="BN249" s="183" t="s">
        <v>5590</v>
      </c>
      <c r="BO249" s="183"/>
    </row>
    <row r="250" ht="14.4" s="67" customFormat="1">
      <c r="A250" s="4">
        <v>171224</v>
      </c>
      <c r="B250" s="4"/>
      <c r="C250" s="55" t="s">
        <v>5601</v>
      </c>
      <c r="D250" s="4" t="s">
        <v>4844</v>
      </c>
      <c r="E250" s="4" t="s">
        <v>66</v>
      </c>
      <c r="F250" s="55">
        <v>1118678252</v>
      </c>
      <c r="G250" s="4" t="s">
        <v>67</v>
      </c>
      <c r="H250" s="4" t="s">
        <v>68</v>
      </c>
      <c r="I250" s="4" t="s">
        <v>2494</v>
      </c>
      <c r="J250" s="55" t="s">
        <v>4270</v>
      </c>
      <c r="K250" s="4" t="s">
        <v>71</v>
      </c>
      <c r="L250" s="4" t="s">
        <v>3487</v>
      </c>
      <c r="M250" s="4" t="s">
        <v>115</v>
      </c>
      <c r="N250" s="4" t="s">
        <v>74</v>
      </c>
      <c r="O250" s="4" t="s">
        <v>75</v>
      </c>
      <c r="P250" s="4" t="s">
        <v>4271</v>
      </c>
      <c r="Q250" s="57">
        <v>45246</v>
      </c>
      <c r="R250" s="57">
        <v>45256</v>
      </c>
      <c r="S250" s="113"/>
      <c r="T250" s="113"/>
      <c r="U250" s="4"/>
      <c r="V250" s="4"/>
      <c r="W250" s="105" t="s">
        <v>5602</v>
      </c>
      <c r="X250" s="114">
        <v>1781153570</v>
      </c>
      <c r="Y250" s="55">
        <v>1877528921</v>
      </c>
      <c r="Z250" s="4" t="s">
        <v>642</v>
      </c>
      <c r="AA250" s="4">
        <v>1833898948</v>
      </c>
      <c r="AB250" s="4" t="s">
        <v>410</v>
      </c>
      <c r="AC250" s="4" t="s">
        <v>133</v>
      </c>
      <c r="AD250" s="113">
        <v>35807</v>
      </c>
      <c r="AE250" s="107">
        <f>((TODAY())-AD250)/365</f>
        <v>27.095890410958905</v>
      </c>
      <c r="AF250" s="4" t="s">
        <v>80</v>
      </c>
      <c r="AG250" s="114">
        <v>2407727672</v>
      </c>
      <c r="AH250" s="4" t="s">
        <v>81</v>
      </c>
      <c r="AI250" s="55" t="s">
        <v>253</v>
      </c>
      <c r="AJ250" s="55" t="s">
        <v>81</v>
      </c>
      <c r="AK250" s="55">
        <v>2021</v>
      </c>
      <c r="AL250" s="4" t="s">
        <v>5603</v>
      </c>
      <c r="AM250" s="4" t="s">
        <v>5604</v>
      </c>
      <c r="AN250" s="4" t="s">
        <v>5605</v>
      </c>
      <c r="AO250" s="4" t="s">
        <v>5606</v>
      </c>
      <c r="AP250" s="4" t="s">
        <v>5607</v>
      </c>
      <c r="AQ250" s="55" t="s">
        <v>203</v>
      </c>
      <c r="AR250" s="4" t="s">
        <v>89</v>
      </c>
      <c r="AS250" s="4" t="s">
        <v>642</v>
      </c>
      <c r="AT250" s="72">
        <v>36042</v>
      </c>
      <c r="AU250" s="4" t="s">
        <v>81</v>
      </c>
      <c r="AV250" s="4" t="s">
        <v>81</v>
      </c>
      <c r="AW250" s="4"/>
      <c r="AX250" s="4"/>
      <c r="AY250" s="4"/>
      <c r="AZ250" s="4"/>
      <c r="BA250" s="4" t="s">
        <v>3498</v>
      </c>
      <c r="BB250" s="4">
        <v>10800</v>
      </c>
      <c r="BC250" s="4">
        <v>2700</v>
      </c>
      <c r="BD250" s="4">
        <v>0</v>
      </c>
      <c r="BE250" s="4" t="s">
        <v>296</v>
      </c>
      <c r="BF250" s="4"/>
      <c r="BG250" s="4"/>
      <c r="BH250" s="4" t="s">
        <v>3510</v>
      </c>
      <c r="BI250" s="72">
        <f>VLOOKUP(A250,'ID Block'!A:L,12,0)</f>
        <v>45490</v>
      </c>
      <c r="BJ250" s="154" t="str">
        <f>VLOOKUP(A250,'ID Block'!A:M,13,0)</f>
        <v>Better opportunity</v>
      </c>
      <c r="BK250" s="4">
        <f t="shared" si="3"/>
        <v>234</v>
      </c>
      <c r="BL250" s="105" t="s">
        <v>168</v>
      </c>
      <c r="BM250" s="10"/>
      <c r="BN250" s="183" t="s">
        <v>3796</v>
      </c>
      <c r="BO250" s="183"/>
    </row>
    <row r="251" ht="14.4" s="67" customFormat="1">
      <c r="A251" s="4">
        <v>171456</v>
      </c>
      <c r="B251" s="4"/>
      <c r="C251" s="55" t="s">
        <v>5608</v>
      </c>
      <c r="D251" s="4" t="s">
        <v>1004</v>
      </c>
      <c r="E251" s="4" t="s">
        <v>114</v>
      </c>
      <c r="F251" s="55">
        <v>1013243340</v>
      </c>
      <c r="G251" s="4" t="s">
        <v>67</v>
      </c>
      <c r="H251" s="4" t="s">
        <v>68</v>
      </c>
      <c r="I251" s="4" t="s">
        <v>2494</v>
      </c>
      <c r="J251" s="55" t="s">
        <v>297</v>
      </c>
      <c r="K251" s="4" t="s">
        <v>71</v>
      </c>
      <c r="L251" s="4" t="s">
        <v>3487</v>
      </c>
      <c r="M251" s="4" t="s">
        <v>308</v>
      </c>
      <c r="N251" s="4" t="s">
        <v>74</v>
      </c>
      <c r="O251" s="4" t="s">
        <v>75</v>
      </c>
      <c r="P251" s="4" t="s">
        <v>5029</v>
      </c>
      <c r="Q251" s="57">
        <v>45408</v>
      </c>
      <c r="R251" s="57">
        <v>45417</v>
      </c>
      <c r="S251" s="113"/>
      <c r="T251" s="113"/>
      <c r="U251" s="4"/>
      <c r="V251" s="4"/>
      <c r="W251" s="105" t="s">
        <v>5609</v>
      </c>
      <c r="X251" s="114">
        <v>1891752546</v>
      </c>
      <c r="Y251" s="55">
        <v>1516719366</v>
      </c>
      <c r="Z251" s="4" t="s">
        <v>5610</v>
      </c>
      <c r="AA251" s="4">
        <v>1747324581</v>
      </c>
      <c r="AB251" s="4" t="s">
        <v>5611</v>
      </c>
      <c r="AC251" s="4" t="s">
        <v>133</v>
      </c>
      <c r="AD251" s="113">
        <v>36092</v>
      </c>
      <c r="AE251" s="107">
        <f>((TODAY())-AD251)/365</f>
        <v>26.315068493150687</v>
      </c>
      <c r="AF251" s="4" t="s">
        <v>80</v>
      </c>
      <c r="AG251" s="114">
        <v>3757560952</v>
      </c>
      <c r="AH251" s="4" t="s">
        <v>5612</v>
      </c>
      <c r="AI251" s="55" t="s">
        <v>312</v>
      </c>
      <c r="AJ251" s="55" t="s">
        <v>81</v>
      </c>
      <c r="AK251" s="55">
        <v>2021</v>
      </c>
      <c r="AL251" s="4" t="s">
        <v>5613</v>
      </c>
      <c r="AM251" s="4" t="s">
        <v>5610</v>
      </c>
      <c r="AN251" s="4" t="s">
        <v>5614</v>
      </c>
      <c r="AO251" s="4" t="s">
        <v>5615</v>
      </c>
      <c r="AP251" s="4" t="s">
        <v>5616</v>
      </c>
      <c r="AQ251" s="55" t="s">
        <v>5617</v>
      </c>
      <c r="AR251" s="4" t="s">
        <v>110</v>
      </c>
      <c r="AS251" s="4" t="s">
        <v>81</v>
      </c>
      <c r="AT251" s="72" t="s">
        <v>81</v>
      </c>
      <c r="AU251" s="4" t="s">
        <v>81</v>
      </c>
      <c r="AV251" s="4" t="s">
        <v>81</v>
      </c>
      <c r="AW251" s="4" t="s">
        <v>81</v>
      </c>
      <c r="AX251" s="4" t="s">
        <v>81</v>
      </c>
      <c r="AY251" s="4" t="s">
        <v>81</v>
      </c>
      <c r="AZ251" s="4" t="s">
        <v>81</v>
      </c>
      <c r="BA251" s="4" t="s">
        <v>3498</v>
      </c>
      <c r="BB251" s="4">
        <v>10800</v>
      </c>
      <c r="BC251" s="4">
        <v>2700</v>
      </c>
      <c r="BD251" s="4">
        <v>0</v>
      </c>
      <c r="BE251" s="4" t="s">
        <v>91</v>
      </c>
      <c r="BF251" s="4"/>
      <c r="BG251" s="4"/>
      <c r="BH251" s="4" t="s">
        <v>3510</v>
      </c>
      <c r="BI251" s="72">
        <f>VLOOKUP(A251,'ID Block'!A:L,12,0)</f>
        <v>45488</v>
      </c>
      <c r="BJ251" s="154" t="str">
        <f>VLOOKUP(A251,'ID Block'!A:M,13,0)</f>
        <v>Better opportunity</v>
      </c>
      <c r="BK251" s="4">
        <f t="shared" si="3"/>
        <v>71</v>
      </c>
      <c r="BL251" s="105" t="s">
        <v>168</v>
      </c>
      <c r="BM251" s="10"/>
      <c r="BN251" s="183" t="s">
        <v>3796</v>
      </c>
      <c r="BO251" s="183"/>
    </row>
    <row r="252" ht="14.4" s="67" customFormat="1">
      <c r="A252" s="4">
        <v>171358</v>
      </c>
      <c r="B252" s="4"/>
      <c r="C252" s="55" t="s">
        <v>5618</v>
      </c>
      <c r="D252" s="4" t="s">
        <v>5619</v>
      </c>
      <c r="E252" s="4" t="s">
        <v>114</v>
      </c>
      <c r="F252" s="55">
        <v>239323</v>
      </c>
      <c r="G252" s="4" t="s">
        <v>67</v>
      </c>
      <c r="H252" s="4" t="s">
        <v>68</v>
      </c>
      <c r="I252" s="4" t="s">
        <v>2494</v>
      </c>
      <c r="J252" s="55" t="s">
        <v>319</v>
      </c>
      <c r="K252" s="4" t="s">
        <v>71</v>
      </c>
      <c r="L252" s="4" t="s">
        <v>3487</v>
      </c>
      <c r="M252" s="4" t="s">
        <v>2643</v>
      </c>
      <c r="N252" s="4" t="s">
        <v>74</v>
      </c>
      <c r="O252" s="4" t="s">
        <v>75</v>
      </c>
      <c r="P252" s="4" t="s">
        <v>4951</v>
      </c>
      <c r="Q252" s="57">
        <v>45338</v>
      </c>
      <c r="R252" s="57">
        <v>45356</v>
      </c>
      <c r="S252" s="113"/>
      <c r="T252" s="113"/>
      <c r="U252" s="4"/>
      <c r="V252" s="4"/>
      <c r="W252" s="105" t="s">
        <v>5620</v>
      </c>
      <c r="X252" s="114">
        <v>1876353736</v>
      </c>
      <c r="Y252" s="55" t="s">
        <v>81</v>
      </c>
      <c r="Z252" s="4" t="s">
        <v>5621</v>
      </c>
      <c r="AA252" s="4">
        <v>1708050305</v>
      </c>
      <c r="AB252" s="4" t="s">
        <v>101</v>
      </c>
      <c r="AC252" s="4" t="s">
        <v>119</v>
      </c>
      <c r="AD252" s="113">
        <v>33918</v>
      </c>
      <c r="AE252" s="107">
        <f>((TODAY())-AD252)/365</f>
        <v>32.271232876712325</v>
      </c>
      <c r="AF252" s="4" t="s">
        <v>80</v>
      </c>
      <c r="AG252" s="114">
        <v>2837563036</v>
      </c>
      <c r="AH252" s="4" t="s">
        <v>81</v>
      </c>
      <c r="AI252" s="55" t="s">
        <v>1101</v>
      </c>
      <c r="AJ252" s="55" t="s">
        <v>81</v>
      </c>
      <c r="AK252" s="55">
        <v>2019</v>
      </c>
      <c r="AL252" s="4" t="s">
        <v>5622</v>
      </c>
      <c r="AM252" s="4" t="s">
        <v>5621</v>
      </c>
      <c r="AN252" s="4" t="s">
        <v>5623</v>
      </c>
      <c r="AO252" s="4" t="s">
        <v>5624</v>
      </c>
      <c r="AP252" s="4" t="s">
        <v>5625</v>
      </c>
      <c r="AQ252" s="55" t="s">
        <v>449</v>
      </c>
      <c r="AR252" s="4" t="s">
        <v>110</v>
      </c>
      <c r="AS252" s="4" t="s">
        <v>81</v>
      </c>
      <c r="AT252" s="72" t="s">
        <v>81</v>
      </c>
      <c r="AU252" s="4" t="s">
        <v>81</v>
      </c>
      <c r="AV252" s="4" t="s">
        <v>81</v>
      </c>
      <c r="AW252" s="4" t="s">
        <v>81</v>
      </c>
      <c r="AX252" s="4" t="s">
        <v>81</v>
      </c>
      <c r="AY252" s="4"/>
      <c r="AZ252" s="4"/>
      <c r="BA252" s="4" t="s">
        <v>3498</v>
      </c>
      <c r="BB252" s="4">
        <v>10800</v>
      </c>
      <c r="BC252" s="4">
        <v>2700</v>
      </c>
      <c r="BD252" s="4">
        <v>0</v>
      </c>
      <c r="BE252" s="4" t="s">
        <v>91</v>
      </c>
      <c r="BF252" s="4"/>
      <c r="BG252" s="4"/>
      <c r="BH252" s="4" t="s">
        <v>3510</v>
      </c>
      <c r="BI252" s="72">
        <f>VLOOKUP(A252,'ID Block'!A:L,12,0)</f>
        <v>45499</v>
      </c>
      <c r="BJ252" s="154" t="str">
        <f>VLOOKUP(A252,'ID Block'!A:M,13,0)</f>
        <v>Better opportunity</v>
      </c>
      <c r="BK252" s="4">
        <f t="shared" si="3"/>
        <v>143</v>
      </c>
      <c r="BL252" s="105" t="s">
        <v>168</v>
      </c>
      <c r="BM252" s="10"/>
      <c r="BN252" s="183" t="s">
        <v>3796</v>
      </c>
      <c r="BO252" s="183"/>
    </row>
    <row r="253" ht="14.4" s="67" customFormat="1">
      <c r="A253" s="4">
        <v>171470</v>
      </c>
      <c r="B253" s="4"/>
      <c r="C253" s="55" t="s">
        <v>5626</v>
      </c>
      <c r="D253" s="4" t="s">
        <v>5627</v>
      </c>
      <c r="E253" s="4" t="s">
        <v>114</v>
      </c>
      <c r="F253" s="55">
        <v>1112826803</v>
      </c>
      <c r="G253" s="4" t="s">
        <v>67</v>
      </c>
      <c r="H253" s="4" t="s">
        <v>68</v>
      </c>
      <c r="I253" s="4" t="s">
        <v>2494</v>
      </c>
      <c r="J253" s="55" t="s">
        <v>319</v>
      </c>
      <c r="K253" s="4" t="s">
        <v>71</v>
      </c>
      <c r="L253" s="4" t="s">
        <v>3487</v>
      </c>
      <c r="M253" s="4" t="s">
        <v>2643</v>
      </c>
      <c r="N253" s="4" t="s">
        <v>74</v>
      </c>
      <c r="O253" s="4" t="s">
        <v>75</v>
      </c>
      <c r="P253" s="4" t="s">
        <v>5259</v>
      </c>
      <c r="Q253" s="57">
        <v>45419</v>
      </c>
      <c r="R253" s="57">
        <v>45434</v>
      </c>
      <c r="S253" s="113"/>
      <c r="T253" s="113"/>
      <c r="U253" s="4"/>
      <c r="V253" s="4"/>
      <c r="W253" s="105" t="s">
        <v>5628</v>
      </c>
      <c r="X253" s="114">
        <v>1778590712</v>
      </c>
      <c r="Y253" s="55">
        <v>1581599323</v>
      </c>
      <c r="Z253" s="4" t="s">
        <v>1077</v>
      </c>
      <c r="AA253" s="4">
        <v>1733231771</v>
      </c>
      <c r="AB253" s="4" t="s">
        <v>410</v>
      </c>
      <c r="AC253" s="4" t="s">
        <v>133</v>
      </c>
      <c r="AD253" s="113">
        <v>36131</v>
      </c>
      <c r="AE253" s="107">
        <f>((TODAY())-AD253)/365</f>
        <v>26.208219178082192</v>
      </c>
      <c r="AF253" s="4" t="s">
        <v>80</v>
      </c>
      <c r="AG253" s="114">
        <v>8704889917</v>
      </c>
      <c r="AH253" s="4" t="s">
        <v>81</v>
      </c>
      <c r="AI253" s="55" t="s">
        <v>5629</v>
      </c>
      <c r="AJ253" s="55" t="s">
        <v>81</v>
      </c>
      <c r="AK253" s="55">
        <v>2023</v>
      </c>
      <c r="AL253" s="4" t="s">
        <v>5630</v>
      </c>
      <c r="AM253" s="4" t="s">
        <v>5631</v>
      </c>
      <c r="AN253" s="4" t="s">
        <v>5632</v>
      </c>
      <c r="AO253" s="4" t="s">
        <v>5633</v>
      </c>
      <c r="AP253" s="4" t="s">
        <v>5634</v>
      </c>
      <c r="AQ253" s="55" t="s">
        <v>499</v>
      </c>
      <c r="AR253" s="4" t="s">
        <v>89</v>
      </c>
      <c r="AS253" s="4" t="s">
        <v>81</v>
      </c>
      <c r="AT253" s="72" t="s">
        <v>5635</v>
      </c>
      <c r="AU253" s="4" t="s">
        <v>81</v>
      </c>
      <c r="AV253" s="4" t="s">
        <v>81</v>
      </c>
      <c r="AW253" s="4" t="s">
        <v>81</v>
      </c>
      <c r="AX253" s="4" t="s">
        <v>81</v>
      </c>
      <c r="AY253" s="4" t="s">
        <v>81</v>
      </c>
      <c r="AZ253" s="4" t="s">
        <v>81</v>
      </c>
      <c r="BA253" s="4" t="s">
        <v>3498</v>
      </c>
      <c r="BB253" s="4">
        <v>10800</v>
      </c>
      <c r="BC253" s="4">
        <v>2700</v>
      </c>
      <c r="BD253" s="4">
        <v>0</v>
      </c>
      <c r="BE253" s="4" t="s">
        <v>91</v>
      </c>
      <c r="BF253" s="4"/>
      <c r="BG253" s="4"/>
      <c r="BH253" s="4" t="s">
        <v>3510</v>
      </c>
      <c r="BI253" s="72">
        <f>VLOOKUP(A253,'ID Block'!A:L,12,0)</f>
        <v>45479</v>
      </c>
      <c r="BJ253" s="154" t="str">
        <f>VLOOKUP(A253,'ID Block'!A:M,13,0)</f>
        <v>Better opportunity</v>
      </c>
      <c r="BK253" s="4">
        <f t="shared" si="3"/>
        <v>45</v>
      </c>
      <c r="BL253" s="105" t="s">
        <v>168</v>
      </c>
      <c r="BM253" s="10"/>
      <c r="BN253" s="183" t="s">
        <v>3796</v>
      </c>
      <c r="BO253" s="183"/>
    </row>
    <row r="254" ht="14.4" s="67" customFormat="1">
      <c r="A254" s="4">
        <v>171643</v>
      </c>
      <c r="B254" s="4"/>
      <c r="C254" s="55" t="s">
        <v>5636</v>
      </c>
      <c r="D254" s="4" t="s">
        <v>5637</v>
      </c>
      <c r="E254" s="4" t="s">
        <v>66</v>
      </c>
      <c r="F254" s="55">
        <v>1310699611</v>
      </c>
      <c r="G254" s="4" t="s">
        <v>67</v>
      </c>
      <c r="H254" s="4" t="s">
        <v>68</v>
      </c>
      <c r="I254" s="4" t="s">
        <v>2494</v>
      </c>
      <c r="J254" s="55" t="s">
        <v>1970</v>
      </c>
      <c r="K254" s="4" t="s">
        <v>71</v>
      </c>
      <c r="L254" s="4" t="s">
        <v>3487</v>
      </c>
      <c r="M254" s="4" t="s">
        <v>115</v>
      </c>
      <c r="N254" s="4" t="s">
        <v>74</v>
      </c>
      <c r="O254" s="4" t="s">
        <v>75</v>
      </c>
      <c r="P254" s="4" t="s">
        <v>5592</v>
      </c>
      <c r="Q254" s="57">
        <v>45455</v>
      </c>
      <c r="R254" s="57">
        <v>45475</v>
      </c>
      <c r="S254" s="113"/>
      <c r="T254" s="113"/>
      <c r="U254" s="4"/>
      <c r="V254" s="4"/>
      <c r="W254" s="105" t="s">
        <v>5638</v>
      </c>
      <c r="X254" s="114">
        <v>1842883782</v>
      </c>
      <c r="Y254" s="55">
        <v>1815883781</v>
      </c>
      <c r="Z254" s="4" t="s">
        <v>5639</v>
      </c>
      <c r="AA254" s="4">
        <v>1815883780</v>
      </c>
      <c r="AB254" s="4" t="s">
        <v>101</v>
      </c>
      <c r="AC254" s="4" t="s">
        <v>133</v>
      </c>
      <c r="AD254" s="113" t="s">
        <v>5640</v>
      </c>
      <c r="AE254" s="107"/>
      <c r="AF254" s="4" t="s">
        <v>5641</v>
      </c>
      <c r="AG254" s="114">
        <v>3755147000</v>
      </c>
      <c r="AH254" s="4" t="s">
        <v>81</v>
      </c>
      <c r="AI254" s="55" t="s">
        <v>5642</v>
      </c>
      <c r="AJ254" s="55" t="s">
        <v>254</v>
      </c>
      <c r="AK254" s="55">
        <v>2022</v>
      </c>
      <c r="AL254" s="4" t="s">
        <v>1149</v>
      </c>
      <c r="AM254" s="4" t="s">
        <v>5643</v>
      </c>
      <c r="AN254" s="4" t="s">
        <v>5644</v>
      </c>
      <c r="AO254" s="4" t="s">
        <v>5645</v>
      </c>
      <c r="AP254" s="4" t="s">
        <v>5646</v>
      </c>
      <c r="AQ254" s="55" t="s">
        <v>555</v>
      </c>
      <c r="AR254" s="4" t="s">
        <v>110</v>
      </c>
      <c r="AS254" s="4" t="s">
        <v>81</v>
      </c>
      <c r="AT254" s="72" t="s">
        <v>5647</v>
      </c>
      <c r="AU254" s="4" t="s">
        <v>81</v>
      </c>
      <c r="AV254" s="4" t="s">
        <v>81</v>
      </c>
      <c r="AW254" s="4" t="s">
        <v>81</v>
      </c>
      <c r="AX254" s="4" t="s">
        <v>81</v>
      </c>
      <c r="AY254" s="4" t="s">
        <v>81</v>
      </c>
      <c r="AZ254" s="4" t="s">
        <v>81</v>
      </c>
      <c r="BA254" s="4" t="s">
        <v>3498</v>
      </c>
      <c r="BB254" s="4">
        <v>10800</v>
      </c>
      <c r="BC254" s="4">
        <v>2700</v>
      </c>
      <c r="BD254" s="4">
        <v>0</v>
      </c>
      <c r="BE254" s="4" t="s">
        <v>91</v>
      </c>
      <c r="BF254" s="4"/>
      <c r="BG254" s="4"/>
      <c r="BH254" s="4" t="s">
        <v>3510</v>
      </c>
      <c r="BI254" s="72">
        <f>VLOOKUP(A254,'ID Block'!A:L,12,0)</f>
        <v>45505</v>
      </c>
      <c r="BJ254" s="154" t="str">
        <f>VLOOKUP(A254,'ID Block'!A:M,13,0)</f>
        <v>Family issue</v>
      </c>
      <c r="BK254" s="4">
        <f t="shared" si="3"/>
        <v>30</v>
      </c>
      <c r="BL254" s="105" t="s">
        <v>168</v>
      </c>
      <c r="BM254" s="10"/>
      <c r="BN254" s="183" t="s">
        <v>4321</v>
      </c>
      <c r="BO254" s="183"/>
    </row>
    <row r="255" ht="14.4" s="67" customFormat="1">
      <c r="A255" s="4">
        <v>171140</v>
      </c>
      <c r="B255" s="4"/>
      <c r="C255" s="55" t="s">
        <v>5648</v>
      </c>
      <c r="D255" s="4" t="s">
        <v>5649</v>
      </c>
      <c r="E255" s="4" t="s">
        <v>114</v>
      </c>
      <c r="F255" s="55">
        <v>1013212926</v>
      </c>
      <c r="G255" s="4" t="s">
        <v>67</v>
      </c>
      <c r="H255" s="4" t="s">
        <v>68</v>
      </c>
      <c r="I255" s="4" t="s">
        <v>2494</v>
      </c>
      <c r="J255" s="55" t="s">
        <v>155</v>
      </c>
      <c r="K255" s="4" t="s">
        <v>71</v>
      </c>
      <c r="L255" s="4" t="s">
        <v>3487</v>
      </c>
      <c r="M255" s="4" t="s">
        <v>196</v>
      </c>
      <c r="N255" s="4" t="s">
        <v>74</v>
      </c>
      <c r="O255" s="4" t="s">
        <v>75</v>
      </c>
      <c r="P255" s="4" t="s">
        <v>3951</v>
      </c>
      <c r="Q255" s="57">
        <v>45187</v>
      </c>
      <c r="R255" s="57">
        <v>45196</v>
      </c>
      <c r="S255" s="113"/>
      <c r="T255" s="113"/>
      <c r="U255" s="4"/>
      <c r="V255" s="4"/>
      <c r="W255" s="105" t="s">
        <v>5650</v>
      </c>
      <c r="X255" s="114">
        <v>1781792576</v>
      </c>
      <c r="Y255" s="55">
        <v>1581764679</v>
      </c>
      <c r="Z255" s="4" t="s">
        <v>5651</v>
      </c>
      <c r="AA255" s="4">
        <v>1581764679</v>
      </c>
      <c r="AB255" s="4" t="s">
        <v>252</v>
      </c>
      <c r="AC255" s="4" t="s">
        <v>119</v>
      </c>
      <c r="AD255" s="113">
        <v>35354</v>
      </c>
      <c r="AE255" s="107">
        <f>((TODAY())-AD255)/365</f>
        <v>28.336986301369862</v>
      </c>
      <c r="AF255" s="4" t="s">
        <v>4544</v>
      </c>
      <c r="AG255" s="114">
        <v>8250043844</v>
      </c>
      <c r="AH255" s="4" t="s">
        <v>81</v>
      </c>
      <c r="AI255" s="55" t="s">
        <v>322</v>
      </c>
      <c r="AJ255" s="55" t="s">
        <v>81</v>
      </c>
      <c r="AK255" s="55">
        <v>2019</v>
      </c>
      <c r="AL255" s="4" t="s">
        <v>5652</v>
      </c>
      <c r="AM255" s="4" t="s">
        <v>5653</v>
      </c>
      <c r="AN255" s="4" t="s">
        <v>5654</v>
      </c>
      <c r="AO255" s="4" t="s">
        <v>5655</v>
      </c>
      <c r="AP255" s="4" t="s">
        <v>5656</v>
      </c>
      <c r="AQ255" s="55" t="s">
        <v>5657</v>
      </c>
      <c r="AR255" s="4" t="s">
        <v>260</v>
      </c>
      <c r="AS255" s="4"/>
      <c r="AT255" s="72"/>
      <c r="AU255" s="4"/>
      <c r="AV255" s="4"/>
      <c r="AW255" s="4"/>
      <c r="AX255" s="4"/>
      <c r="AY255" s="4"/>
      <c r="AZ255" s="4"/>
      <c r="BA255" s="4" t="s">
        <v>3498</v>
      </c>
      <c r="BB255" s="4">
        <v>10800</v>
      </c>
      <c r="BC255" s="4">
        <v>2700</v>
      </c>
      <c r="BD255" s="4">
        <v>1000</v>
      </c>
      <c r="BE255" s="4" t="s">
        <v>166</v>
      </c>
      <c r="BF255" s="4" t="s">
        <v>167</v>
      </c>
      <c r="BG255" s="4" t="s">
        <v>167</v>
      </c>
      <c r="BH255" s="4" t="s">
        <v>3510</v>
      </c>
      <c r="BI255" s="72">
        <f>VLOOKUP(A255,'ID Block'!A:L,12,0)</f>
        <v>45505</v>
      </c>
      <c r="BJ255" s="154" t="str">
        <f>VLOOKUP(A255,'ID Block'!A:M,13,0)</f>
        <v>Better opportunity</v>
      </c>
      <c r="BK255" s="4">
        <f t="shared" si="3"/>
        <v>309</v>
      </c>
      <c r="BL255" s="105" t="s">
        <v>168</v>
      </c>
      <c r="BM255" s="10"/>
      <c r="BN255" s="183"/>
      <c r="BO255" s="183"/>
    </row>
    <row r="256" ht="14.4" s="67" customFormat="1">
      <c r="A256" s="4">
        <v>171344</v>
      </c>
      <c r="B256" s="4"/>
      <c r="C256" s="55" t="s">
        <v>5658</v>
      </c>
      <c r="D256" s="4" t="s">
        <v>5659</v>
      </c>
      <c r="E256" s="4" t="s">
        <v>114</v>
      </c>
      <c r="F256" s="55">
        <v>1311146490</v>
      </c>
      <c r="G256" s="4" t="s">
        <v>67</v>
      </c>
      <c r="H256" s="4" t="s">
        <v>68</v>
      </c>
      <c r="I256" s="4" t="s">
        <v>2494</v>
      </c>
      <c r="J256" s="55" t="s">
        <v>97</v>
      </c>
      <c r="K256" s="4" t="s">
        <v>71</v>
      </c>
      <c r="L256" s="4" t="s">
        <v>3487</v>
      </c>
      <c r="M256" s="4" t="s">
        <v>2643</v>
      </c>
      <c r="N256" s="4" t="s">
        <v>74</v>
      </c>
      <c r="O256" s="4" t="s">
        <v>75</v>
      </c>
      <c r="P256" s="4" t="s">
        <v>4951</v>
      </c>
      <c r="Q256" s="57">
        <v>45338</v>
      </c>
      <c r="R256" s="57">
        <v>45350</v>
      </c>
      <c r="S256" s="113"/>
      <c r="T256" s="113"/>
      <c r="U256" s="4"/>
      <c r="V256" s="4"/>
      <c r="W256" s="105" t="s">
        <v>5660</v>
      </c>
      <c r="X256" s="114">
        <v>1838500008</v>
      </c>
      <c r="Y256" s="55">
        <v>1601672646</v>
      </c>
      <c r="Z256" s="4" t="s">
        <v>5661</v>
      </c>
      <c r="AA256" s="4">
        <v>1814822221</v>
      </c>
      <c r="AB256" s="4" t="s">
        <v>101</v>
      </c>
      <c r="AC256" s="4" t="s">
        <v>79</v>
      </c>
      <c r="AD256" s="113">
        <v>36526</v>
      </c>
      <c r="AE256" s="107">
        <f>((TODAY())-AD256)/365</f>
        <v>25.126027397260273</v>
      </c>
      <c r="AF256" s="4" t="s">
        <v>80</v>
      </c>
      <c r="AG256" s="114">
        <v>6905356090</v>
      </c>
      <c r="AH256" s="4" t="s">
        <v>5662</v>
      </c>
      <c r="AI256" s="55" t="s">
        <v>279</v>
      </c>
      <c r="AJ256" s="55" t="s">
        <v>81</v>
      </c>
      <c r="AK256" s="55">
        <v>2023</v>
      </c>
      <c r="AL256" s="4" t="s">
        <v>995</v>
      </c>
      <c r="AM256" s="4" t="s">
        <v>5661</v>
      </c>
      <c r="AN256" s="4" t="s">
        <v>5663</v>
      </c>
      <c r="AO256" s="4" t="s">
        <v>5664</v>
      </c>
      <c r="AP256" s="4" t="s">
        <v>5665</v>
      </c>
      <c r="AQ256" s="55" t="s">
        <v>88</v>
      </c>
      <c r="AR256" s="4" t="s">
        <v>110</v>
      </c>
      <c r="AS256" s="4" t="s">
        <v>81</v>
      </c>
      <c r="AT256" s="72" t="s">
        <v>81</v>
      </c>
      <c r="AU256" s="4" t="s">
        <v>81</v>
      </c>
      <c r="AV256" s="4" t="s">
        <v>81</v>
      </c>
      <c r="AW256" s="4" t="s">
        <v>81</v>
      </c>
      <c r="AX256" s="4" t="s">
        <v>81</v>
      </c>
      <c r="AY256" s="4"/>
      <c r="AZ256" s="4"/>
      <c r="BA256" s="4" t="s">
        <v>3498</v>
      </c>
      <c r="BB256" s="4">
        <v>10800</v>
      </c>
      <c r="BC256" s="4">
        <v>2700</v>
      </c>
      <c r="BD256" s="4">
        <v>0</v>
      </c>
      <c r="BE256" s="4" t="s">
        <v>91</v>
      </c>
      <c r="BF256" s="4"/>
      <c r="BG256" s="4"/>
      <c r="BH256" s="4" t="s">
        <v>3510</v>
      </c>
      <c r="BI256" s="72">
        <f>VLOOKUP(A256,'ID Block'!A:L,12,0)</f>
        <v>45500</v>
      </c>
      <c r="BJ256" s="154" t="str">
        <f>VLOOKUP(A256,'ID Block'!A:M,13,0)</f>
        <v>Higher study</v>
      </c>
      <c r="BK256" s="4">
        <f t="shared" si="3"/>
        <v>150</v>
      </c>
      <c r="BL256" s="105" t="s">
        <v>168</v>
      </c>
      <c r="BM256" s="10"/>
      <c r="BN256" s="183"/>
      <c r="BO256" s="183"/>
    </row>
    <row r="257" ht="14.4" s="67" customFormat="1">
      <c r="A257" s="4">
        <v>171469</v>
      </c>
      <c r="B257" s="4"/>
      <c r="C257" s="55" t="s">
        <v>5666</v>
      </c>
      <c r="D257" s="4" t="s">
        <v>5667</v>
      </c>
      <c r="E257" s="4" t="s">
        <v>114</v>
      </c>
      <c r="F257" s="55">
        <v>1312720448</v>
      </c>
      <c r="G257" s="4" t="s">
        <v>67</v>
      </c>
      <c r="H257" s="4" t="s">
        <v>68</v>
      </c>
      <c r="I257" s="4" t="s">
        <v>2494</v>
      </c>
      <c r="J257" s="55" t="s">
        <v>297</v>
      </c>
      <c r="K257" s="4" t="s">
        <v>71</v>
      </c>
      <c r="L257" s="4" t="s">
        <v>3487</v>
      </c>
      <c r="M257" s="4" t="s">
        <v>308</v>
      </c>
      <c r="N257" s="4" t="s">
        <v>74</v>
      </c>
      <c r="O257" s="4" t="s">
        <v>75</v>
      </c>
      <c r="P257" s="4" t="s">
        <v>5259</v>
      </c>
      <c r="Q257" s="57">
        <v>45419</v>
      </c>
      <c r="R257" s="57">
        <v>45434</v>
      </c>
      <c r="S257" s="113"/>
      <c r="T257" s="113"/>
      <c r="U257" s="4"/>
      <c r="V257" s="4"/>
      <c r="W257" s="105" t="s">
        <v>5668</v>
      </c>
      <c r="X257" s="114">
        <v>1786948850</v>
      </c>
      <c r="Y257" s="55" t="s">
        <v>81</v>
      </c>
      <c r="Z257" s="4" t="s">
        <v>101</v>
      </c>
      <c r="AA257" s="4">
        <v>1765352216</v>
      </c>
      <c r="AB257" s="4" t="s">
        <v>101</v>
      </c>
      <c r="AC257" s="4" t="s">
        <v>119</v>
      </c>
      <c r="AD257" s="113">
        <v>36874</v>
      </c>
      <c r="AE257" s="107">
        <f>((TODAY())-AD257)/365</f>
        <v>24.172602739726027</v>
      </c>
      <c r="AF257" s="4" t="s">
        <v>80</v>
      </c>
      <c r="AG257" s="114">
        <v>6015279273</v>
      </c>
      <c r="AH257" s="4" t="s">
        <v>81</v>
      </c>
      <c r="AI257" s="55" t="s">
        <v>5669</v>
      </c>
      <c r="AJ257" s="55" t="s">
        <v>81</v>
      </c>
      <c r="AK257" s="55">
        <v>2023</v>
      </c>
      <c r="AL257" s="4" t="s">
        <v>188</v>
      </c>
      <c r="AM257" s="4" t="s">
        <v>5670</v>
      </c>
      <c r="AN257" s="4" t="s">
        <v>5671</v>
      </c>
      <c r="AO257" s="4" t="s">
        <v>5672</v>
      </c>
      <c r="AP257" s="4" t="s">
        <v>5673</v>
      </c>
      <c r="AQ257" s="55" t="s">
        <v>285</v>
      </c>
      <c r="AR257" s="4" t="s">
        <v>110</v>
      </c>
      <c r="AS257" s="4" t="s">
        <v>5674</v>
      </c>
      <c r="AT257" s="72" t="s">
        <v>81</v>
      </c>
      <c r="AU257" s="4" t="s">
        <v>81</v>
      </c>
      <c r="AV257" s="4" t="s">
        <v>81</v>
      </c>
      <c r="AW257" s="4" t="s">
        <v>81</v>
      </c>
      <c r="AX257" s="4" t="s">
        <v>81</v>
      </c>
      <c r="AY257" s="4" t="s">
        <v>81</v>
      </c>
      <c r="AZ257" s="4" t="s">
        <v>81</v>
      </c>
      <c r="BA257" s="4" t="s">
        <v>3498</v>
      </c>
      <c r="BB257" s="4">
        <v>10800</v>
      </c>
      <c r="BC257" s="4">
        <v>2700</v>
      </c>
      <c r="BD257" s="4">
        <v>0</v>
      </c>
      <c r="BE257" s="4" t="s">
        <v>91</v>
      </c>
      <c r="BF257" s="4"/>
      <c r="BG257" s="4"/>
      <c r="BH257" s="4" t="s">
        <v>3499</v>
      </c>
      <c r="BI257" s="72">
        <f>VLOOKUP(A257,'ID Block'!A:L,12,0)</f>
        <v>45502</v>
      </c>
      <c r="BJ257" s="154" t="str">
        <f>VLOOKUP(A257,'ID Block'!A:M,13,0)</f>
        <v>Unauthorized Absent</v>
      </c>
      <c r="BK257" s="4">
        <f t="shared" si="3"/>
        <v>68</v>
      </c>
      <c r="BL257" s="105" t="s">
        <v>168</v>
      </c>
      <c r="BM257" s="10"/>
      <c r="BN257" s="183"/>
      <c r="BO257" s="183"/>
    </row>
    <row r="258" ht="14.4" s="67" customFormat="1">
      <c r="A258" s="4">
        <v>171389</v>
      </c>
      <c r="B258" s="4"/>
      <c r="C258" s="55"/>
      <c r="D258" s="4" t="s">
        <v>5675</v>
      </c>
      <c r="E258" s="4" t="s">
        <v>66</v>
      </c>
      <c r="F258" s="55"/>
      <c r="G258" s="4" t="s">
        <v>67</v>
      </c>
      <c r="H258" s="4" t="s">
        <v>68</v>
      </c>
      <c r="I258" s="4" t="s">
        <v>2494</v>
      </c>
      <c r="J258" s="55" t="s">
        <v>297</v>
      </c>
      <c r="K258" s="4" t="s">
        <v>71</v>
      </c>
      <c r="L258" s="4" t="s">
        <v>3487</v>
      </c>
      <c r="M258" s="4" t="s">
        <v>308</v>
      </c>
      <c r="N258" s="4" t="s">
        <v>74</v>
      </c>
      <c r="O258" s="4" t="s">
        <v>75</v>
      </c>
      <c r="P258" s="4" t="s">
        <v>4900</v>
      </c>
      <c r="Q258" s="57">
        <v>45371</v>
      </c>
      <c r="R258" s="57">
        <v>45384</v>
      </c>
      <c r="S258" s="113"/>
      <c r="T258" s="113"/>
      <c r="U258" s="4"/>
      <c r="V258" s="4"/>
      <c r="W258" s="105" t="s">
        <v>5676</v>
      </c>
      <c r="X258" s="114">
        <v>1644344854</v>
      </c>
      <c r="Y258" s="55">
        <v>1631300474</v>
      </c>
      <c r="Z258" s="4" t="s">
        <v>5677</v>
      </c>
      <c r="AA258" s="4">
        <v>1631300474</v>
      </c>
      <c r="AB258" s="4" t="s">
        <v>132</v>
      </c>
      <c r="AC258" s="4" t="s">
        <v>5678</v>
      </c>
      <c r="AD258" s="113">
        <v>33538</v>
      </c>
      <c r="AE258" s="107">
        <f>((TODAY())-AD258)/365</f>
        <v>33.31232876712329</v>
      </c>
      <c r="AF258" s="4" t="s">
        <v>80</v>
      </c>
      <c r="AG258" s="114">
        <v>5055088883</v>
      </c>
      <c r="AH258" s="4" t="s">
        <v>81</v>
      </c>
      <c r="AI258" s="55" t="s">
        <v>82</v>
      </c>
      <c r="AJ258" s="55" t="s">
        <v>81</v>
      </c>
      <c r="AK258" s="55">
        <v>2014</v>
      </c>
      <c r="AL258" s="4" t="s">
        <v>209</v>
      </c>
      <c r="AM258" s="4" t="s">
        <v>5679</v>
      </c>
      <c r="AN258" s="4" t="s">
        <v>5680</v>
      </c>
      <c r="AO258" s="4" t="s">
        <v>5681</v>
      </c>
      <c r="AP258" s="4" t="s">
        <v>5681</v>
      </c>
      <c r="AQ258" s="55" t="s">
        <v>499</v>
      </c>
      <c r="AR258" s="4" t="s">
        <v>110</v>
      </c>
      <c r="AS258" s="4" t="s">
        <v>81</v>
      </c>
      <c r="AT258" s="72" t="s">
        <v>81</v>
      </c>
      <c r="AU258" s="4" t="s">
        <v>81</v>
      </c>
      <c r="AV258" s="4" t="s">
        <v>81</v>
      </c>
      <c r="AW258" s="4" t="s">
        <v>81</v>
      </c>
      <c r="AX258" s="4" t="s">
        <v>81</v>
      </c>
      <c r="AY258" s="4"/>
      <c r="AZ258" s="4"/>
      <c r="BA258" s="4" t="s">
        <v>3498</v>
      </c>
      <c r="BB258" s="4">
        <v>10800</v>
      </c>
      <c r="BC258" s="4">
        <v>2700</v>
      </c>
      <c r="BD258" s="4">
        <v>0</v>
      </c>
      <c r="BE258" s="4" t="s">
        <v>91</v>
      </c>
      <c r="BF258" s="4"/>
      <c r="BG258" s="4"/>
      <c r="BH258" s="4" t="s">
        <v>3499</v>
      </c>
      <c r="BI258" s="72">
        <f>VLOOKUP(A258,'ID Block'!A:L,12,0)</f>
        <v>45498</v>
      </c>
      <c r="BJ258" s="154" t="str">
        <f>VLOOKUP(A258,'ID Block'!A:M,13,0)</f>
        <v>Unauthorized Absent</v>
      </c>
      <c r="BK258" s="4">
        <f t="shared" si="3"/>
        <v>114</v>
      </c>
      <c r="BL258" s="105" t="s">
        <v>168</v>
      </c>
      <c r="BM258" s="10"/>
      <c r="BN258" s="183"/>
      <c r="BO258" s="183"/>
    </row>
    <row r="259" ht="14.4" s="67" customFormat="1">
      <c r="A259" s="4">
        <v>171590</v>
      </c>
      <c r="B259" s="4"/>
      <c r="C259" s="55" t="s">
        <v>5682</v>
      </c>
      <c r="D259" s="4" t="s">
        <v>5683</v>
      </c>
      <c r="E259" s="4" t="s">
        <v>1765</v>
      </c>
      <c r="F259" s="55">
        <v>859720</v>
      </c>
      <c r="G259" s="4" t="s">
        <v>67</v>
      </c>
      <c r="H259" s="4" t="s">
        <v>68</v>
      </c>
      <c r="I259" s="4" t="s">
        <v>2494</v>
      </c>
      <c r="J259" s="55" t="s">
        <v>5406</v>
      </c>
      <c r="K259" s="4" t="s">
        <v>1766</v>
      </c>
      <c r="L259" s="4" t="s">
        <v>5684</v>
      </c>
      <c r="M259" s="4" t="s">
        <v>196</v>
      </c>
      <c r="N259" s="4" t="s">
        <v>74</v>
      </c>
      <c r="O259" s="4" t="s">
        <v>75</v>
      </c>
      <c r="P259" s="4" t="s">
        <v>5407</v>
      </c>
      <c r="Q259" s="57">
        <v>45451</v>
      </c>
      <c r="R259" s="57">
        <v>45467</v>
      </c>
      <c r="S259" s="113" t="s">
        <v>242</v>
      </c>
      <c r="T259" s="113" t="s">
        <v>242</v>
      </c>
      <c r="U259" s="4" t="s">
        <v>242</v>
      </c>
      <c r="V259" s="4" t="s">
        <v>242</v>
      </c>
      <c r="W259" s="105" t="s">
        <v>5685</v>
      </c>
      <c r="X259" s="114">
        <v>1744711781</v>
      </c>
      <c r="Y259" s="55">
        <v>1566010612</v>
      </c>
      <c r="Z259" s="4" t="s">
        <v>5686</v>
      </c>
      <c r="AA259" s="4">
        <v>1788068029</v>
      </c>
      <c r="AB259" s="4" t="s">
        <v>5687</v>
      </c>
      <c r="AC259" s="4" t="s">
        <v>2456</v>
      </c>
      <c r="AD259" s="113">
        <v>35065</v>
      </c>
      <c r="AE259" s="107">
        <v>29</v>
      </c>
      <c r="AF259" s="4" t="s">
        <v>80</v>
      </c>
      <c r="AG259" s="114">
        <v>7355523171</v>
      </c>
      <c r="AH259" s="4" t="s">
        <v>81</v>
      </c>
      <c r="AI259" s="55" t="s">
        <v>5688</v>
      </c>
      <c r="AJ259" s="55"/>
      <c r="AK259" s="55">
        <v>2023</v>
      </c>
      <c r="AL259" s="4" t="s">
        <v>5689</v>
      </c>
      <c r="AM259" s="4" t="s">
        <v>5687</v>
      </c>
      <c r="AN259" s="4" t="s">
        <v>5690</v>
      </c>
      <c r="AO259" s="4" t="s">
        <v>5691</v>
      </c>
      <c r="AP259" s="4" t="s">
        <v>5692</v>
      </c>
      <c r="AQ259" s="55" t="s">
        <v>457</v>
      </c>
      <c r="AR259" s="4" t="s">
        <v>89</v>
      </c>
      <c r="AS259" s="4" t="s">
        <v>5693</v>
      </c>
      <c r="AT259" s="72" t="s">
        <v>81</v>
      </c>
      <c r="AU259" s="4" t="s">
        <v>81</v>
      </c>
      <c r="AV259" s="4" t="s">
        <v>81</v>
      </c>
      <c r="AW259" s="4" t="s">
        <v>81</v>
      </c>
      <c r="AX259" s="4" t="s">
        <v>81</v>
      </c>
      <c r="AY259" s="4" t="s">
        <v>81</v>
      </c>
      <c r="AZ259" s="4" t="s">
        <v>81</v>
      </c>
      <c r="BA259" s="4" t="s">
        <v>3498</v>
      </c>
      <c r="BB259" s="4">
        <v>10800</v>
      </c>
      <c r="BC259" s="4">
        <v>2700</v>
      </c>
      <c r="BD259" s="4">
        <v>1000</v>
      </c>
      <c r="BE259" s="4" t="s">
        <v>166</v>
      </c>
      <c r="BF259" s="4" t="s">
        <v>242</v>
      </c>
      <c r="BG259" s="4" t="s">
        <v>242</v>
      </c>
      <c r="BH259" s="4" t="s">
        <v>3510</v>
      </c>
      <c r="BI259" s="72">
        <f>VLOOKUP(A259,'ID Block'!A:L,12,0)</f>
        <v>45502</v>
      </c>
      <c r="BJ259" s="154" t="str">
        <f>VLOOKUP(A259,'ID Block'!A:M,13,0)</f>
        <v>Better opportunity</v>
      </c>
      <c r="BK259" s="4">
        <f t="shared" si="3"/>
        <v>35</v>
      </c>
      <c r="BL259" s="105" t="s">
        <v>168</v>
      </c>
      <c r="BM259" s="10"/>
      <c r="BN259" s="183"/>
      <c r="BO259" s="183"/>
    </row>
    <row r="260" ht="14.4" s="67" customFormat="1">
      <c r="A260" s="4">
        <v>171739</v>
      </c>
      <c r="B260" s="4"/>
      <c r="C260" s="55"/>
      <c r="D260" s="4" t="s">
        <v>5694</v>
      </c>
      <c r="E260" s="4" t="s">
        <v>66</v>
      </c>
      <c r="F260" s="55"/>
      <c r="G260" s="4" t="s">
        <v>67</v>
      </c>
      <c r="H260" s="4" t="s">
        <v>68</v>
      </c>
      <c r="I260" s="4" t="s">
        <v>2494</v>
      </c>
      <c r="J260" s="55" t="s">
        <v>5695</v>
      </c>
      <c r="K260" s="4" t="s">
        <v>71</v>
      </c>
      <c r="L260" s="4" t="s">
        <v>3487</v>
      </c>
      <c r="M260" s="4" t="s">
        <v>2643</v>
      </c>
      <c r="N260" s="4" t="s">
        <v>74</v>
      </c>
      <c r="O260" s="4" t="s">
        <v>75</v>
      </c>
      <c r="P260" s="4">
        <v>38</v>
      </c>
      <c r="Q260" s="57">
        <v>45482</v>
      </c>
      <c r="R260" s="57">
        <v>45498</v>
      </c>
      <c r="S260" s="113"/>
      <c r="T260" s="113"/>
      <c r="U260" s="4"/>
      <c r="V260" s="4"/>
      <c r="W260" s="105"/>
      <c r="X260" s="114">
        <v>1755177545</v>
      </c>
      <c r="Y260" s="55"/>
      <c r="Z260" s="4"/>
      <c r="AA260" s="4"/>
      <c r="AB260" s="4"/>
      <c r="AC260" s="4"/>
      <c r="AD260" s="113"/>
      <c r="AE260" s="107"/>
      <c r="AF260" s="4"/>
      <c r="AG260" s="114"/>
      <c r="AH260" s="4"/>
      <c r="AI260" s="55"/>
      <c r="AJ260" s="55"/>
      <c r="AK260" s="55"/>
      <c r="AL260" s="4"/>
      <c r="AM260" s="4"/>
      <c r="AN260" s="4"/>
      <c r="AO260" s="4"/>
      <c r="AP260" s="4"/>
      <c r="AQ260" s="55"/>
      <c r="AR260" s="4"/>
      <c r="AS260" s="4"/>
      <c r="AT260" s="72"/>
      <c r="AU260" s="4"/>
      <c r="AV260" s="4"/>
      <c r="AW260" s="4"/>
      <c r="AX260" s="4"/>
      <c r="AY260" s="4"/>
      <c r="AZ260" s="4"/>
      <c r="BA260" s="4"/>
      <c r="BB260" s="4">
        <v>10800</v>
      </c>
      <c r="BC260" s="4">
        <v>2700</v>
      </c>
      <c r="BD260" s="4"/>
      <c r="BE260" s="4"/>
      <c r="BF260" s="4"/>
      <c r="BG260" s="4"/>
      <c r="BH260" s="4" t="s">
        <v>3499</v>
      </c>
      <c r="BI260" s="72">
        <f>VLOOKUP(A260,'ID Block'!A:L,12,0)</f>
        <v>45505</v>
      </c>
      <c r="BJ260" s="154" t="str">
        <f>VLOOKUP(A260,'ID Block'!A:M,13,0)</f>
        <v>Unauthorized Absent</v>
      </c>
      <c r="BK260" s="4">
        <f t="shared" si="3"/>
        <v>7</v>
      </c>
      <c r="BL260" s="105" t="s">
        <v>168</v>
      </c>
      <c r="BM260" s="10"/>
      <c r="BN260" s="183"/>
      <c r="BO260" s="183"/>
    </row>
    <row r="261" ht="14.4" s="67" customFormat="1">
      <c r="A261" s="4">
        <v>171738</v>
      </c>
      <c r="B261" s="4"/>
      <c r="C261" s="55" t="s">
        <v>5696</v>
      </c>
      <c r="D261" s="4" t="s">
        <v>5697</v>
      </c>
      <c r="E261" s="4" t="s">
        <v>66</v>
      </c>
      <c r="F261" s="55">
        <v>1110586826</v>
      </c>
      <c r="G261" s="4" t="s">
        <v>67</v>
      </c>
      <c r="H261" s="4" t="s">
        <v>68</v>
      </c>
      <c r="I261" s="4" t="s">
        <v>2494</v>
      </c>
      <c r="J261" s="55" t="s">
        <v>297</v>
      </c>
      <c r="K261" s="4" t="s">
        <v>1766</v>
      </c>
      <c r="L261" s="4" t="s">
        <v>5684</v>
      </c>
      <c r="M261" s="4" t="s">
        <v>2643</v>
      </c>
      <c r="N261" s="4" t="s">
        <v>5698</v>
      </c>
      <c r="O261" s="4" t="s">
        <v>2024</v>
      </c>
      <c r="P261" s="4">
        <v>38</v>
      </c>
      <c r="Q261" s="57">
        <v>45482</v>
      </c>
      <c r="R261" s="57">
        <v>45498</v>
      </c>
      <c r="S261" s="113" t="s">
        <v>81</v>
      </c>
      <c r="T261" s="113" t="s">
        <v>81</v>
      </c>
      <c r="U261" s="4" t="s">
        <v>81</v>
      </c>
      <c r="V261" s="4" t="s">
        <v>242</v>
      </c>
      <c r="W261" s="105" t="s">
        <v>5699</v>
      </c>
      <c r="X261" s="114">
        <v>1627826426</v>
      </c>
      <c r="Y261" s="55" t="s">
        <v>5700</v>
      </c>
      <c r="Z261" s="4" t="s">
        <v>5701</v>
      </c>
      <c r="AA261" s="4">
        <v>1677584831</v>
      </c>
      <c r="AB261" s="4" t="s">
        <v>78</v>
      </c>
      <c r="AC261" s="4" t="s">
        <v>133</v>
      </c>
      <c r="AD261" s="113">
        <v>45484</v>
      </c>
      <c r="AE261" s="107"/>
      <c r="AF261" s="4" t="s">
        <v>80</v>
      </c>
      <c r="AG261" s="114">
        <v>4204401667</v>
      </c>
      <c r="AH261" s="4" t="s">
        <v>242</v>
      </c>
      <c r="AI261" s="55" t="s">
        <v>322</v>
      </c>
      <c r="AJ261" s="55" t="s">
        <v>312</v>
      </c>
      <c r="AK261" s="55" t="s">
        <v>5702</v>
      </c>
      <c r="AL261" s="4" t="s">
        <v>684</v>
      </c>
      <c r="AM261" s="4" t="s">
        <v>5703</v>
      </c>
      <c r="AN261" s="4" t="s">
        <v>4119</v>
      </c>
      <c r="AO261" s="4" t="s">
        <v>5704</v>
      </c>
      <c r="AP261" s="4" t="s">
        <v>5705</v>
      </c>
      <c r="AQ261" s="55" t="s">
        <v>328</v>
      </c>
      <c r="AR261" s="4" t="s">
        <v>89</v>
      </c>
      <c r="AS261" s="4" t="s">
        <v>5706</v>
      </c>
      <c r="AT261" s="72">
        <v>35349</v>
      </c>
      <c r="AU261" s="4">
        <v>4631135540</v>
      </c>
      <c r="AV261" s="4" t="s">
        <v>242</v>
      </c>
      <c r="AW261" s="4" t="s">
        <v>242</v>
      </c>
      <c r="AX261" s="4" t="s">
        <v>242</v>
      </c>
      <c r="AY261" s="4" t="s">
        <v>242</v>
      </c>
      <c r="AZ261" s="4" t="s">
        <v>242</v>
      </c>
      <c r="BA261" s="4" t="s">
        <v>90</v>
      </c>
      <c r="BB261" s="4">
        <v>10800</v>
      </c>
      <c r="BC261" s="4">
        <v>2700</v>
      </c>
      <c r="BD261" s="4"/>
      <c r="BE261" s="4"/>
      <c r="BF261" s="4"/>
      <c r="BG261" s="4"/>
      <c r="BH261" s="4" t="s">
        <v>3510</v>
      </c>
      <c r="BI261" s="72">
        <f>VLOOKUP(A261,'ID Block'!A:L,12,0)</f>
        <v>45501</v>
      </c>
      <c r="BJ261" s="154" t="str">
        <f>VLOOKUP(A261,'ID Block'!A:M,13,0)</f>
        <v>Family issue</v>
      </c>
      <c r="BK261" s="4">
        <f ref="BK261:BK324" t="shared" si="5">BI261-R261</f>
        <v>3</v>
      </c>
      <c r="BL261" s="105" t="s">
        <v>168</v>
      </c>
      <c r="BM261" s="10"/>
      <c r="BN261" s="183"/>
      <c r="BO261" s="183"/>
    </row>
    <row r="262" ht="14.4" s="67" customFormat="1">
      <c r="A262" s="4">
        <v>171737</v>
      </c>
      <c r="B262" s="4"/>
      <c r="C262" s="55"/>
      <c r="D262" s="4" t="s">
        <v>5707</v>
      </c>
      <c r="E262" s="4" t="s">
        <v>66</v>
      </c>
      <c r="F262" s="55"/>
      <c r="G262" s="4" t="s">
        <v>67</v>
      </c>
      <c r="H262" s="4" t="s">
        <v>68</v>
      </c>
      <c r="I262" s="4" t="s">
        <v>2494</v>
      </c>
      <c r="J262" s="55" t="s">
        <v>5695</v>
      </c>
      <c r="K262" s="4" t="s">
        <v>71</v>
      </c>
      <c r="L262" s="4" t="s">
        <v>3487</v>
      </c>
      <c r="M262" s="4" t="s">
        <v>2643</v>
      </c>
      <c r="N262" s="4"/>
      <c r="O262" s="4"/>
      <c r="P262" s="4">
        <v>38</v>
      </c>
      <c r="Q262" s="57">
        <v>45482</v>
      </c>
      <c r="R262" s="57">
        <v>45498</v>
      </c>
      <c r="S262" s="113"/>
      <c r="T262" s="113"/>
      <c r="U262" s="4"/>
      <c r="V262" s="4"/>
      <c r="W262" s="105"/>
      <c r="X262" s="114">
        <v>1982566488</v>
      </c>
      <c r="Y262" s="55"/>
      <c r="Z262" s="4"/>
      <c r="AA262" s="4"/>
      <c r="AB262" s="4"/>
      <c r="AC262" s="4"/>
      <c r="AD262" s="113"/>
      <c r="AE262" s="107"/>
      <c r="AF262" s="4"/>
      <c r="AG262" s="114"/>
      <c r="AH262" s="4"/>
      <c r="AI262" s="55"/>
      <c r="AJ262" s="55"/>
      <c r="AK262" s="55"/>
      <c r="AL262" s="4"/>
      <c r="AM262" s="4"/>
      <c r="AN262" s="4"/>
      <c r="AO262" s="4"/>
      <c r="AP262" s="4"/>
      <c r="AQ262" s="55"/>
      <c r="AR262" s="4"/>
      <c r="AS262" s="4"/>
      <c r="AT262" s="72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 t="s">
        <v>3499</v>
      </c>
      <c r="BI262" s="72">
        <f>VLOOKUP(A262,'ID Block'!A:L,12,0)</f>
        <v>45505</v>
      </c>
      <c r="BJ262" s="154" t="str">
        <f>VLOOKUP(A262,'ID Block'!A:M,13,0)</f>
        <v>Unauthorized Absent</v>
      </c>
      <c r="BK262" s="4">
        <f t="shared" si="5"/>
        <v>7</v>
      </c>
      <c r="BL262" s="105" t="s">
        <v>168</v>
      </c>
      <c r="BM262" s="10"/>
      <c r="BN262" s="183"/>
      <c r="BO262" s="183"/>
    </row>
    <row r="263" ht="16.05" customHeight="1" s="67" customFormat="1">
      <c r="A263" s="4">
        <v>171665</v>
      </c>
      <c r="B263" s="4"/>
      <c r="C263" s="55" t="s">
        <v>3012</v>
      </c>
      <c r="D263" s="4" t="s">
        <v>5708</v>
      </c>
      <c r="E263" s="4" t="s">
        <v>114</v>
      </c>
      <c r="F263" s="55">
        <v>1111410960</v>
      </c>
      <c r="G263" s="4" t="s">
        <v>67</v>
      </c>
      <c r="H263" s="4" t="s">
        <v>68</v>
      </c>
      <c r="I263" s="4" t="s">
        <v>2494</v>
      </c>
      <c r="J263" s="55" t="s">
        <v>5709</v>
      </c>
      <c r="K263" s="4" t="s">
        <v>1766</v>
      </c>
      <c r="L263" s="4" t="s">
        <v>5684</v>
      </c>
      <c r="M263" s="4" t="s">
        <v>115</v>
      </c>
      <c r="N263" s="4" t="s">
        <v>74</v>
      </c>
      <c r="O263" s="4" t="s">
        <v>5710</v>
      </c>
      <c r="P263" s="4">
        <v>35</v>
      </c>
      <c r="Q263" s="57">
        <v>45466</v>
      </c>
      <c r="R263" s="57">
        <v>45475</v>
      </c>
      <c r="S263" s="113" t="s">
        <v>81</v>
      </c>
      <c r="T263" s="113" t="s">
        <v>242</v>
      </c>
      <c r="U263" s="4" t="s">
        <v>242</v>
      </c>
      <c r="V263" s="4" t="s">
        <v>242</v>
      </c>
      <c r="W263" s="105" t="s">
        <v>5711</v>
      </c>
      <c r="X263" s="114">
        <v>1715912414</v>
      </c>
      <c r="Y263" s="55" t="s">
        <v>81</v>
      </c>
      <c r="Z263" s="4" t="s">
        <v>5483</v>
      </c>
      <c r="AA263" s="4">
        <v>1715912414</v>
      </c>
      <c r="AB263" s="4" t="s">
        <v>5483</v>
      </c>
      <c r="AC263" s="4" t="s">
        <v>119</v>
      </c>
      <c r="AD263" s="113">
        <v>36080</v>
      </c>
      <c r="AE263" s="107"/>
      <c r="AF263" s="4" t="s">
        <v>4544</v>
      </c>
      <c r="AG263" s="114">
        <v>1954143333</v>
      </c>
      <c r="AH263" s="4" t="s">
        <v>5484</v>
      </c>
      <c r="AI263" s="55" t="s">
        <v>421</v>
      </c>
      <c r="AJ263" s="55" t="s">
        <v>82</v>
      </c>
      <c r="AK263" s="55">
        <v>2022</v>
      </c>
      <c r="AL263" s="4" t="s">
        <v>5485</v>
      </c>
      <c r="AM263" s="4" t="s">
        <v>5486</v>
      </c>
      <c r="AN263" s="4" t="s">
        <v>5487</v>
      </c>
      <c r="AO263" s="4" t="s">
        <v>5488</v>
      </c>
      <c r="AP263" s="4" t="s">
        <v>5489</v>
      </c>
      <c r="AQ263" s="55" t="s">
        <v>5490</v>
      </c>
      <c r="AR263" s="4" t="s">
        <v>110</v>
      </c>
      <c r="AS263" s="4" t="s">
        <v>81</v>
      </c>
      <c r="AT263" s="72" t="s">
        <v>81</v>
      </c>
      <c r="AU263" s="4" t="s">
        <v>81</v>
      </c>
      <c r="AV263" s="4" t="s">
        <v>81</v>
      </c>
      <c r="AW263" s="4" t="s">
        <v>81</v>
      </c>
      <c r="AX263" s="4" t="s">
        <v>81</v>
      </c>
      <c r="AY263" s="4" t="s">
        <v>81</v>
      </c>
      <c r="AZ263" s="4" t="s">
        <v>81</v>
      </c>
      <c r="BA263" s="4" t="s">
        <v>81</v>
      </c>
      <c r="BB263" s="4">
        <v>10800</v>
      </c>
      <c r="BC263" s="4">
        <v>2700</v>
      </c>
      <c r="BD263" s="4"/>
      <c r="BE263" s="4"/>
      <c r="BF263" s="4" t="s">
        <v>81</v>
      </c>
      <c r="BG263" s="4"/>
      <c r="BH263" s="4" t="s">
        <v>3510</v>
      </c>
      <c r="BI263" s="72">
        <f>VLOOKUP(A263,'ID Block'!A:L,12,0)</f>
        <v>45499</v>
      </c>
      <c r="BJ263" s="154" t="str">
        <f>VLOOKUP(A263,'ID Block'!A:M,13,0)</f>
        <v>Personal Issue</v>
      </c>
      <c r="BK263" s="4">
        <f t="shared" si="5"/>
        <v>24</v>
      </c>
      <c r="BL263" s="105" t="s">
        <v>168</v>
      </c>
      <c r="BM263" s="10"/>
      <c r="BN263" s="183"/>
      <c r="BO263" s="183"/>
    </row>
    <row r="264" ht="14.4" s="67" customFormat="1">
      <c r="A264" s="4">
        <v>171677</v>
      </c>
      <c r="B264" s="4"/>
      <c r="C264" s="55" t="s">
        <v>2409</v>
      </c>
      <c r="D264" s="4" t="s">
        <v>5712</v>
      </c>
      <c r="E264" s="4" t="s">
        <v>66</v>
      </c>
      <c r="F264" s="55" t="s">
        <v>1960</v>
      </c>
      <c r="G264" s="4" t="s">
        <v>67</v>
      </c>
      <c r="H264" s="4" t="s">
        <v>68</v>
      </c>
      <c r="I264" s="4" t="s">
        <v>2494</v>
      </c>
      <c r="J264" s="55" t="s">
        <v>5709</v>
      </c>
      <c r="K264" s="4" t="s">
        <v>1766</v>
      </c>
      <c r="L264" s="4" t="s">
        <v>5684</v>
      </c>
      <c r="M264" s="4" t="s">
        <v>115</v>
      </c>
      <c r="N264" s="4" t="s">
        <v>74</v>
      </c>
      <c r="O264" s="4" t="s">
        <v>5713</v>
      </c>
      <c r="P264" s="4">
        <v>35</v>
      </c>
      <c r="Q264" s="57">
        <v>45466</v>
      </c>
      <c r="R264" s="57">
        <v>45475</v>
      </c>
      <c r="S264" s="113" t="s">
        <v>81</v>
      </c>
      <c r="T264" s="113" t="s">
        <v>242</v>
      </c>
      <c r="U264" s="4" t="s">
        <v>242</v>
      </c>
      <c r="V264" s="4" t="s">
        <v>242</v>
      </c>
      <c r="W264" s="105" t="s">
        <v>5714</v>
      </c>
      <c r="X264" s="114">
        <v>1740747041</v>
      </c>
      <c r="Y264" s="55">
        <v>1533403027</v>
      </c>
      <c r="Z264" s="4" t="s">
        <v>81</v>
      </c>
      <c r="AA264" s="4" t="s">
        <v>81</v>
      </c>
      <c r="AB264" s="4" t="s">
        <v>81</v>
      </c>
      <c r="AC264" s="4" t="s">
        <v>79</v>
      </c>
      <c r="AD264" s="113">
        <v>35442</v>
      </c>
      <c r="AE264" s="107"/>
      <c r="AF264" s="4" t="s">
        <v>80</v>
      </c>
      <c r="AG264" s="114">
        <v>6452894675</v>
      </c>
      <c r="AH264" s="4" t="s">
        <v>81</v>
      </c>
      <c r="AI264" s="55" t="s">
        <v>254</v>
      </c>
      <c r="AJ264" s="55" t="s">
        <v>1962</v>
      </c>
      <c r="AK264" s="55">
        <v>2024</v>
      </c>
      <c r="AL264" s="4" t="s">
        <v>1962</v>
      </c>
      <c r="AM264" s="4" t="s">
        <v>1963</v>
      </c>
      <c r="AN264" s="4" t="s">
        <v>1964</v>
      </c>
      <c r="AO264" s="4" t="s">
        <v>1965</v>
      </c>
      <c r="AP264" s="4" t="s">
        <v>81</v>
      </c>
      <c r="AQ264" s="55" t="s">
        <v>88</v>
      </c>
      <c r="AR264" s="4" t="s">
        <v>89</v>
      </c>
      <c r="AS264" s="4" t="s">
        <v>1966</v>
      </c>
      <c r="AT264" s="72">
        <v>33315</v>
      </c>
      <c r="AU264" s="4" t="s">
        <v>81</v>
      </c>
      <c r="AV264" s="4" t="s">
        <v>1967</v>
      </c>
      <c r="AW264" s="4">
        <v>43942</v>
      </c>
      <c r="AX264" s="4" t="s">
        <v>5715</v>
      </c>
      <c r="AY264" s="4" t="s">
        <v>81</v>
      </c>
      <c r="AZ264" s="4">
        <v>44750</v>
      </c>
      <c r="BA264" s="4" t="s">
        <v>81</v>
      </c>
      <c r="BB264" s="4">
        <v>10800</v>
      </c>
      <c r="BC264" s="4">
        <v>2700</v>
      </c>
      <c r="BD264" s="4"/>
      <c r="BE264" s="4"/>
      <c r="BF264" s="4" t="s">
        <v>81</v>
      </c>
      <c r="BG264" s="4"/>
      <c r="BH264" s="4" t="s">
        <v>3510</v>
      </c>
      <c r="BI264" s="72">
        <f>VLOOKUP(A264,'ID Block'!A:L,12,0)</f>
        <v>45494</v>
      </c>
      <c r="BJ264" s="154" t="str">
        <f>VLOOKUP(A264,'ID Block'!A:M,13,0)</f>
        <v>Family issue</v>
      </c>
      <c r="BK264" s="4">
        <f t="shared" si="5"/>
        <v>19</v>
      </c>
      <c r="BL264" s="105" t="s">
        <v>168</v>
      </c>
      <c r="BM264" s="10"/>
      <c r="BN264" s="183"/>
      <c r="BO264" s="183"/>
    </row>
    <row r="265" ht="14.4" s="67" customFormat="1">
      <c r="A265" s="4">
        <v>171656</v>
      </c>
      <c r="B265" s="4"/>
      <c r="C265" s="55" t="s">
        <v>5716</v>
      </c>
      <c r="D265" s="4" t="s">
        <v>5717</v>
      </c>
      <c r="E265" s="4" t="s">
        <v>1765</v>
      </c>
      <c r="F265" s="55">
        <v>956671</v>
      </c>
      <c r="G265" s="4" t="s">
        <v>67</v>
      </c>
      <c r="H265" s="4" t="s">
        <v>68</v>
      </c>
      <c r="I265" s="4" t="s">
        <v>2494</v>
      </c>
      <c r="J265" s="55" t="s">
        <v>5406</v>
      </c>
      <c r="K265" s="4" t="s">
        <v>1766</v>
      </c>
      <c r="L265" s="4" t="s">
        <v>5684</v>
      </c>
      <c r="M265" s="4" t="s">
        <v>196</v>
      </c>
      <c r="N265" s="4" t="s">
        <v>74</v>
      </c>
      <c r="O265" s="4" t="s">
        <v>75</v>
      </c>
      <c r="P265" s="4" t="s">
        <v>5407</v>
      </c>
      <c r="Q265" s="57">
        <v>45455</v>
      </c>
      <c r="R265" s="57">
        <v>45476</v>
      </c>
      <c r="S265" s="113" t="s">
        <v>242</v>
      </c>
      <c r="T265" s="113" t="s">
        <v>242</v>
      </c>
      <c r="U265" s="4" t="s">
        <v>242</v>
      </c>
      <c r="V265" s="4" t="s">
        <v>242</v>
      </c>
      <c r="W265" s="105" t="s">
        <v>5718</v>
      </c>
      <c r="X265" s="114">
        <v>1681470499</v>
      </c>
      <c r="Y265" s="55">
        <v>1681470499</v>
      </c>
      <c r="Z265" s="4" t="s">
        <v>5719</v>
      </c>
      <c r="AA265" s="4">
        <v>1779761859</v>
      </c>
      <c r="AB265" s="4" t="s">
        <v>2429</v>
      </c>
      <c r="AC265" s="4" t="s">
        <v>119</v>
      </c>
      <c r="AD265" s="113">
        <v>33028</v>
      </c>
      <c r="AE265" s="107">
        <v>34</v>
      </c>
      <c r="AF265" s="4" t="s">
        <v>80</v>
      </c>
      <c r="AG265" s="114">
        <v>1908750076</v>
      </c>
      <c r="AH265" s="4" t="s">
        <v>81</v>
      </c>
      <c r="AI265" s="55" t="s">
        <v>265</v>
      </c>
      <c r="AJ265" s="55"/>
      <c r="AK265" s="55">
        <v>2014</v>
      </c>
      <c r="AL265" s="4" t="s">
        <v>5720</v>
      </c>
      <c r="AM265" s="4" t="s">
        <v>5721</v>
      </c>
      <c r="AN265" s="4" t="s">
        <v>5722</v>
      </c>
      <c r="AO265" s="4" t="s">
        <v>5723</v>
      </c>
      <c r="AP265" s="4" t="s">
        <v>5723</v>
      </c>
      <c r="AQ265" s="55" t="s">
        <v>5724</v>
      </c>
      <c r="AR265" s="4" t="s">
        <v>1774</v>
      </c>
      <c r="AS265" s="4" t="s">
        <v>81</v>
      </c>
      <c r="AT265" s="72" t="s">
        <v>81</v>
      </c>
      <c r="AU265" s="4" t="s">
        <v>81</v>
      </c>
      <c r="AV265" s="4" t="s">
        <v>81</v>
      </c>
      <c r="AW265" s="4" t="s">
        <v>81</v>
      </c>
      <c r="AX265" s="4" t="s">
        <v>81</v>
      </c>
      <c r="AY265" s="4" t="s">
        <v>81</v>
      </c>
      <c r="AZ265" s="4" t="s">
        <v>81</v>
      </c>
      <c r="BA265" s="4"/>
      <c r="BB265" s="4">
        <v>10800</v>
      </c>
      <c r="BC265" s="4">
        <v>2700</v>
      </c>
      <c r="BD265" s="4">
        <v>1000</v>
      </c>
      <c r="BE265" s="4" t="s">
        <v>166</v>
      </c>
      <c r="BF265" s="4" t="s">
        <v>242</v>
      </c>
      <c r="BG265" s="4" t="s">
        <v>242</v>
      </c>
      <c r="BH265" s="4" t="s">
        <v>3510</v>
      </c>
      <c r="BI265" s="72">
        <f>VLOOKUP(A265,'ID Block'!A:L,12,0)</f>
        <v>45505</v>
      </c>
      <c r="BJ265" s="154" t="str">
        <f>VLOOKUP(A265,'ID Block'!A:M,13,0)</f>
        <v>Better opportunity</v>
      </c>
      <c r="BK265" s="4">
        <f t="shared" si="5"/>
        <v>29</v>
      </c>
      <c r="BL265" s="105" t="s">
        <v>168</v>
      </c>
      <c r="BM265" s="10"/>
      <c r="BN265" s="183"/>
      <c r="BO265" s="183">
        <v>1680000000</v>
      </c>
    </row>
    <row r="266" ht="14.4" s="67" customFormat="1">
      <c r="A266" s="4">
        <v>171537</v>
      </c>
      <c r="B266" s="4"/>
      <c r="C266" s="55" t="s">
        <v>5725</v>
      </c>
      <c r="D266" s="4" t="s">
        <v>5726</v>
      </c>
      <c r="E266" s="4" t="s">
        <v>114</v>
      </c>
      <c r="F266" s="55">
        <v>1518774144</v>
      </c>
      <c r="G266" s="4" t="s">
        <v>67</v>
      </c>
      <c r="H266" s="4" t="s">
        <v>68</v>
      </c>
      <c r="I266" s="4" t="s">
        <v>2494</v>
      </c>
      <c r="J266" s="55" t="s">
        <v>155</v>
      </c>
      <c r="K266" s="4" t="s">
        <v>71</v>
      </c>
      <c r="L266" s="4" t="s">
        <v>3487</v>
      </c>
      <c r="M266" s="4" t="s">
        <v>196</v>
      </c>
      <c r="N266" s="4" t="s">
        <v>74</v>
      </c>
      <c r="O266" s="4" t="s">
        <v>75</v>
      </c>
      <c r="P266" s="4" t="s">
        <v>5394</v>
      </c>
      <c r="Q266" s="57">
        <v>45442</v>
      </c>
      <c r="R266" s="57">
        <v>45460</v>
      </c>
      <c r="S266" s="113"/>
      <c r="T266" s="113"/>
      <c r="U266" s="4"/>
      <c r="V266" s="4"/>
      <c r="W266" s="105" t="s">
        <v>5727</v>
      </c>
      <c r="X266" s="114">
        <v>1792060407</v>
      </c>
      <c r="Y266" s="55" t="s">
        <v>5728</v>
      </c>
      <c r="Z266" s="4" t="s">
        <v>242</v>
      </c>
      <c r="AA266" s="4" t="s">
        <v>5729</v>
      </c>
      <c r="AB266" s="4" t="s">
        <v>242</v>
      </c>
      <c r="AC266" s="4" t="s">
        <v>119</v>
      </c>
      <c r="AD266" s="113" t="s">
        <v>5730</v>
      </c>
      <c r="AE266" s="107"/>
      <c r="AF266" s="4" t="s">
        <v>80</v>
      </c>
      <c r="AG266" s="114">
        <v>6917649029</v>
      </c>
      <c r="AH266" s="4" t="s">
        <v>242</v>
      </c>
      <c r="AI266" s="55" t="s">
        <v>5731</v>
      </c>
      <c r="AJ266" s="55" t="s">
        <v>5732</v>
      </c>
      <c r="AK266" s="55">
        <v>2023</v>
      </c>
      <c r="AL266" s="4" t="s">
        <v>5733</v>
      </c>
      <c r="AM266" s="4" t="s">
        <v>5734</v>
      </c>
      <c r="AN266" s="4" t="s">
        <v>5735</v>
      </c>
      <c r="AO266" s="4" t="s">
        <v>5736</v>
      </c>
      <c r="AP266" s="4" t="s">
        <v>5737</v>
      </c>
      <c r="AQ266" s="55" t="s">
        <v>5738</v>
      </c>
      <c r="AR266" s="4" t="s">
        <v>5739</v>
      </c>
      <c r="AS266" s="4" t="s">
        <v>5740</v>
      </c>
      <c r="AT266" s="72" t="s">
        <v>5741</v>
      </c>
      <c r="AU266" s="4" t="s">
        <v>81</v>
      </c>
      <c r="AV266" s="4" t="s">
        <v>81</v>
      </c>
      <c r="AW266" s="4" t="s">
        <v>81</v>
      </c>
      <c r="AX266" s="4" t="s">
        <v>81</v>
      </c>
      <c r="AY266" s="4" t="s">
        <v>81</v>
      </c>
      <c r="AZ266" s="4" t="s">
        <v>81</v>
      </c>
      <c r="BA266" s="4" t="s">
        <v>3498</v>
      </c>
      <c r="BB266" s="4">
        <v>10800</v>
      </c>
      <c r="BC266" s="4">
        <v>2700</v>
      </c>
      <c r="BD266" s="4">
        <v>1000</v>
      </c>
      <c r="BE266" s="4" t="s">
        <v>166</v>
      </c>
      <c r="BF266" s="4"/>
      <c r="BG266" s="4"/>
      <c r="BH266" s="4" t="s">
        <v>3510</v>
      </c>
      <c r="BI266" s="72">
        <f>VLOOKUP(A266,'ID Block'!A:L,12,0)</f>
        <v>45478</v>
      </c>
      <c r="BJ266" s="154" t="str">
        <f>VLOOKUP(A266,'ID Block'!A:M,13,0)</f>
        <v>Better opportunity</v>
      </c>
      <c r="BK266" s="4">
        <f t="shared" si="5"/>
        <v>18</v>
      </c>
      <c r="BL266" s="105" t="s">
        <v>168</v>
      </c>
      <c r="BM266" s="10"/>
      <c r="BN266" s="183"/>
      <c r="BO266" s="183"/>
    </row>
    <row r="267" ht="14.4" s="67" customFormat="1">
      <c r="A267" s="4">
        <v>171504</v>
      </c>
      <c r="B267" s="4"/>
      <c r="C267" s="55" t="s">
        <v>5742</v>
      </c>
      <c r="D267" s="4" t="s">
        <v>5743</v>
      </c>
      <c r="E267" s="4" t="s">
        <v>66</v>
      </c>
      <c r="F267" s="55">
        <v>642241</v>
      </c>
      <c r="G267" s="4" t="s">
        <v>67</v>
      </c>
      <c r="H267" s="4" t="s">
        <v>68</v>
      </c>
      <c r="I267" s="4" t="s">
        <v>2494</v>
      </c>
      <c r="J267" s="55" t="s">
        <v>297</v>
      </c>
      <c r="K267" s="4" t="s">
        <v>71</v>
      </c>
      <c r="L267" s="4" t="s">
        <v>3487</v>
      </c>
      <c r="M267" s="4" t="s">
        <v>196</v>
      </c>
      <c r="N267" s="4" t="s">
        <v>74</v>
      </c>
      <c r="O267" s="4" t="s">
        <v>75</v>
      </c>
      <c r="P267" s="4" t="s">
        <v>5365</v>
      </c>
      <c r="Q267" s="57">
        <v>45432</v>
      </c>
      <c r="R267" s="57">
        <v>45444</v>
      </c>
      <c r="S267" s="113"/>
      <c r="T267" s="113"/>
      <c r="U267" s="4"/>
      <c r="V267" s="4"/>
      <c r="W267" s="105" t="s">
        <v>5744</v>
      </c>
      <c r="X267" s="114">
        <v>1964430034</v>
      </c>
      <c r="Y267" s="55">
        <v>1766215335</v>
      </c>
      <c r="Z267" s="4" t="s">
        <v>5745</v>
      </c>
      <c r="AA267" s="4">
        <v>1779214974</v>
      </c>
      <c r="AB267" s="4" t="s">
        <v>118</v>
      </c>
      <c r="AC267" s="4" t="s">
        <v>119</v>
      </c>
      <c r="AD267" s="113">
        <v>32492</v>
      </c>
      <c r="AE267" s="107">
        <f ref="AE267:AE275" t="shared" si="6" ca="1">((TODAY())-AD267)/365</f>
        <v>36.178082191780824</v>
      </c>
      <c r="AF267" s="4" t="s">
        <v>80</v>
      </c>
      <c r="AG267" s="114" t="s">
        <v>5746</v>
      </c>
      <c r="AH267" s="4" t="s">
        <v>5747</v>
      </c>
      <c r="AI267" s="55" t="s">
        <v>847</v>
      </c>
      <c r="AJ267" s="55" t="s">
        <v>81</v>
      </c>
      <c r="AK267" s="55">
        <v>2018</v>
      </c>
      <c r="AL267" s="4" t="s">
        <v>5748</v>
      </c>
      <c r="AM267" s="4" t="s">
        <v>5749</v>
      </c>
      <c r="AN267" s="4" t="s">
        <v>5750</v>
      </c>
      <c r="AO267" s="4" t="s">
        <v>5751</v>
      </c>
      <c r="AP267" s="4" t="s">
        <v>5752</v>
      </c>
      <c r="AQ267" s="55" t="s">
        <v>353</v>
      </c>
      <c r="AR267" s="4" t="s">
        <v>89</v>
      </c>
      <c r="AS267" s="4" t="s">
        <v>5753</v>
      </c>
      <c r="AT267" s="72">
        <v>31038</v>
      </c>
      <c r="AU267" s="4" t="s">
        <v>81</v>
      </c>
      <c r="AV267" s="4" t="s">
        <v>81</v>
      </c>
      <c r="AW267" s="4" t="s">
        <v>81</v>
      </c>
      <c r="AX267" s="4" t="s">
        <v>81</v>
      </c>
      <c r="AY267" s="4" t="s">
        <v>81</v>
      </c>
      <c r="AZ267" s="4" t="s">
        <v>81</v>
      </c>
      <c r="BA267" s="4" t="s">
        <v>3498</v>
      </c>
      <c r="BB267" s="4">
        <v>10800</v>
      </c>
      <c r="BC267" s="4">
        <v>2700</v>
      </c>
      <c r="BD267" s="4">
        <v>0</v>
      </c>
      <c r="BE267" s="4" t="s">
        <v>91</v>
      </c>
      <c r="BF267" s="4"/>
      <c r="BG267" s="4"/>
      <c r="BH267" s="4" t="s">
        <v>3510</v>
      </c>
      <c r="BI267" s="72">
        <f>VLOOKUP(A267,'ID Block'!A:L,12,0)</f>
        <v>45491</v>
      </c>
      <c r="BJ267" s="154" t="str">
        <f>VLOOKUP(A267,'ID Block'!A:M,13,0)</f>
        <v>Better opportunity</v>
      </c>
      <c r="BK267" s="4">
        <f t="shared" si="5"/>
        <v>47</v>
      </c>
      <c r="BL267" s="105" t="s">
        <v>168</v>
      </c>
      <c r="BM267" s="10"/>
      <c r="BN267" s="183"/>
      <c r="BO267" s="183"/>
    </row>
    <row r="268" ht="14.4" s="67" customFormat="1">
      <c r="A268" s="4">
        <v>171439</v>
      </c>
      <c r="B268" s="4"/>
      <c r="C268" s="55" t="s">
        <v>5754</v>
      </c>
      <c r="D268" s="4" t="s">
        <v>5755</v>
      </c>
      <c r="E268" s="4" t="s">
        <v>66</v>
      </c>
      <c r="F268" s="55">
        <v>1110221359</v>
      </c>
      <c r="G268" s="4" t="s">
        <v>67</v>
      </c>
      <c r="H268" s="4" t="s">
        <v>68</v>
      </c>
      <c r="I268" s="4" t="s">
        <v>2494</v>
      </c>
      <c r="J268" s="55" t="s">
        <v>297</v>
      </c>
      <c r="K268" s="4" t="s">
        <v>71</v>
      </c>
      <c r="L268" s="4" t="s">
        <v>3487</v>
      </c>
      <c r="M268" s="4" t="s">
        <v>308</v>
      </c>
      <c r="N268" s="4" t="s">
        <v>74</v>
      </c>
      <c r="O268" s="4" t="s">
        <v>75</v>
      </c>
      <c r="P268" s="4" t="s">
        <v>5029</v>
      </c>
      <c r="Q268" s="57">
        <v>45408</v>
      </c>
      <c r="R268" s="57">
        <v>45413</v>
      </c>
      <c r="S268" s="113"/>
      <c r="T268" s="113"/>
      <c r="U268" s="4"/>
      <c r="V268" s="4"/>
      <c r="W268" s="105" t="s">
        <v>5756</v>
      </c>
      <c r="X268" s="114">
        <v>1625099135</v>
      </c>
      <c r="Y268" s="55" t="s">
        <v>81</v>
      </c>
      <c r="Z268" s="4" t="s">
        <v>5757</v>
      </c>
      <c r="AA268" s="4">
        <v>1920153440</v>
      </c>
      <c r="AB268" s="4" t="s">
        <v>132</v>
      </c>
      <c r="AC268" s="4" t="s">
        <v>79</v>
      </c>
      <c r="AD268" s="113">
        <v>36006</v>
      </c>
      <c r="AE268" s="107">
        <f t="shared" si="6" ca="1"/>
        <v>26.55068493150685</v>
      </c>
      <c r="AF268" s="4" t="s">
        <v>80</v>
      </c>
      <c r="AG268" s="114">
        <v>3304988847</v>
      </c>
      <c r="AH268" s="4" t="s">
        <v>81</v>
      </c>
      <c r="AI268" s="55" t="s">
        <v>5758</v>
      </c>
      <c r="AJ268" s="55" t="s">
        <v>81</v>
      </c>
      <c r="AK268" s="55">
        <v>2024</v>
      </c>
      <c r="AL268" s="4" t="s">
        <v>5759</v>
      </c>
      <c r="AM268" s="4" t="s">
        <v>5760</v>
      </c>
      <c r="AN268" s="4" t="s">
        <v>5757</v>
      </c>
      <c r="AO268" s="4" t="s">
        <v>5761</v>
      </c>
      <c r="AP268" s="4" t="s">
        <v>5762</v>
      </c>
      <c r="AQ268" s="55" t="s">
        <v>499</v>
      </c>
      <c r="AR268" s="4" t="s">
        <v>110</v>
      </c>
      <c r="AS268" s="4" t="s">
        <v>81</v>
      </c>
      <c r="AT268" s="72" t="s">
        <v>81</v>
      </c>
      <c r="AU268" s="4" t="s">
        <v>81</v>
      </c>
      <c r="AV268" s="4" t="s">
        <v>81</v>
      </c>
      <c r="AW268" s="4" t="s">
        <v>81</v>
      </c>
      <c r="AX268" s="4" t="s">
        <v>81</v>
      </c>
      <c r="AY268" s="4" t="s">
        <v>81</v>
      </c>
      <c r="AZ268" s="4" t="s">
        <v>81</v>
      </c>
      <c r="BA268" s="4" t="s">
        <v>3498</v>
      </c>
      <c r="BB268" s="4">
        <v>10800</v>
      </c>
      <c r="BC268" s="4">
        <v>2700</v>
      </c>
      <c r="BD268" s="4">
        <v>0</v>
      </c>
      <c r="BE268" s="4" t="s">
        <v>91</v>
      </c>
      <c r="BF268" s="4"/>
      <c r="BG268" s="4"/>
      <c r="BH268" s="4" t="s">
        <v>3510</v>
      </c>
      <c r="BI268" s="72">
        <f>VLOOKUP(A268,'ID Block'!A:L,12,0)</f>
        <v>45483</v>
      </c>
      <c r="BJ268" s="154" t="str">
        <f>VLOOKUP(A268,'ID Block'!A:M,13,0)</f>
        <v>Better opportunity</v>
      </c>
      <c r="BK268" s="4">
        <f t="shared" si="5"/>
        <v>70</v>
      </c>
      <c r="BL268" s="105" t="s">
        <v>168</v>
      </c>
      <c r="BM268" s="10"/>
      <c r="BN268" s="183"/>
      <c r="BO268" s="183"/>
    </row>
    <row r="269" ht="14.4" s="67" customFormat="1">
      <c r="A269" s="4">
        <v>171259</v>
      </c>
      <c r="B269" s="4"/>
      <c r="C269" s="55" t="s">
        <v>5763</v>
      </c>
      <c r="D269" s="4" t="s">
        <v>5764</v>
      </c>
      <c r="E269" s="4" t="s">
        <v>114</v>
      </c>
      <c r="F269" s="55">
        <v>1010895145</v>
      </c>
      <c r="G269" s="4" t="s">
        <v>67</v>
      </c>
      <c r="H269" s="4" t="s">
        <v>68</v>
      </c>
      <c r="I269" s="4" t="s">
        <v>2494</v>
      </c>
      <c r="J269" s="55" t="s">
        <v>4270</v>
      </c>
      <c r="K269" s="4" t="s">
        <v>71</v>
      </c>
      <c r="L269" s="4" t="s">
        <v>3487</v>
      </c>
      <c r="M269" s="4" t="s">
        <v>98</v>
      </c>
      <c r="N269" s="4" t="s">
        <v>74</v>
      </c>
      <c r="O269" s="4" t="s">
        <v>75</v>
      </c>
      <c r="P269" s="4" t="s">
        <v>4123</v>
      </c>
      <c r="Q269" s="57">
        <v>45251</v>
      </c>
      <c r="R269" s="57">
        <v>45256</v>
      </c>
      <c r="S269" s="113"/>
      <c r="T269" s="113"/>
      <c r="U269" s="4"/>
      <c r="V269" s="4"/>
      <c r="W269" s="105" t="s">
        <v>5765</v>
      </c>
      <c r="X269" s="114">
        <v>1521333372</v>
      </c>
      <c r="Y269" s="55">
        <v>1688248806</v>
      </c>
      <c r="Z269" s="4" t="s">
        <v>5766</v>
      </c>
      <c r="AA269" s="4">
        <v>1688248806</v>
      </c>
      <c r="AB269" s="4" t="s">
        <v>101</v>
      </c>
      <c r="AC269" s="4" t="s">
        <v>79</v>
      </c>
      <c r="AD269" s="113">
        <v>35934</v>
      </c>
      <c r="AE269" s="107">
        <f t="shared" si="6" ca="1"/>
        <v>26.747945205479454</v>
      </c>
      <c r="AF269" s="4" t="s">
        <v>80</v>
      </c>
      <c r="AG269" s="114">
        <v>4654450511</v>
      </c>
      <c r="AH269" s="4" t="s">
        <v>81</v>
      </c>
      <c r="AI269" s="55" t="s">
        <v>847</v>
      </c>
      <c r="AJ269" s="55" t="s">
        <v>81</v>
      </c>
      <c r="AK269" s="55">
        <v>2021</v>
      </c>
      <c r="AL269" s="4" t="s">
        <v>495</v>
      </c>
      <c r="AM269" s="4" t="s">
        <v>5766</v>
      </c>
      <c r="AN269" s="4" t="s">
        <v>3558</v>
      </c>
      <c r="AO269" s="4" t="s">
        <v>5767</v>
      </c>
      <c r="AP269" s="4" t="s">
        <v>5768</v>
      </c>
      <c r="AQ269" s="55" t="s">
        <v>449</v>
      </c>
      <c r="AR269" s="4" t="s">
        <v>110</v>
      </c>
      <c r="AS269" s="4" t="s">
        <v>81</v>
      </c>
      <c r="AT269" s="72" t="s">
        <v>81</v>
      </c>
      <c r="AU269" s="4" t="s">
        <v>81</v>
      </c>
      <c r="AV269" s="4" t="s">
        <v>81</v>
      </c>
      <c r="AW269" s="4" t="s">
        <v>81</v>
      </c>
      <c r="AX269" s="4" t="s">
        <v>81</v>
      </c>
      <c r="AY269" s="4"/>
      <c r="AZ269" s="4"/>
      <c r="BA269" s="4" t="s">
        <v>3498</v>
      </c>
      <c r="BB269" s="4">
        <v>10800</v>
      </c>
      <c r="BC269" s="4">
        <v>2700</v>
      </c>
      <c r="BD269" s="4">
        <v>0</v>
      </c>
      <c r="BE269" s="4" t="s">
        <v>91</v>
      </c>
      <c r="BF269" s="4"/>
      <c r="BG269" s="4"/>
      <c r="BH269" s="4" t="s">
        <v>3510</v>
      </c>
      <c r="BI269" s="72">
        <f>VLOOKUP(A269,'ID Block'!A:L,12,0)</f>
        <v>45499</v>
      </c>
      <c r="BJ269" s="154" t="str">
        <f>VLOOKUP(A269,'ID Block'!A:M,13,0)</f>
        <v>Better opportunity</v>
      </c>
      <c r="BK269" s="4">
        <f t="shared" si="5"/>
        <v>243</v>
      </c>
      <c r="BL269" s="105" t="s">
        <v>168</v>
      </c>
      <c r="BM269" s="10"/>
      <c r="BN269" s="183"/>
      <c r="BO269" s="183"/>
    </row>
    <row r="270" ht="14.4" s="67" customFormat="1">
      <c r="A270" s="4">
        <v>171248</v>
      </c>
      <c r="B270" s="4"/>
      <c r="C270" s="55"/>
      <c r="D270" s="4" t="s">
        <v>5769</v>
      </c>
      <c r="E270" s="4" t="s">
        <v>66</v>
      </c>
      <c r="F270" s="55">
        <v>1010996629</v>
      </c>
      <c r="G270" s="4" t="s">
        <v>67</v>
      </c>
      <c r="H270" s="4" t="s">
        <v>68</v>
      </c>
      <c r="I270" s="4" t="s">
        <v>2494</v>
      </c>
      <c r="J270" s="55" t="s">
        <v>3650</v>
      </c>
      <c r="K270" s="4" t="s">
        <v>71</v>
      </c>
      <c r="L270" s="4" t="s">
        <v>3487</v>
      </c>
      <c r="M270" s="4" t="s">
        <v>308</v>
      </c>
      <c r="N270" s="4" t="s">
        <v>74</v>
      </c>
      <c r="O270" s="4" t="s">
        <v>75</v>
      </c>
      <c r="P270" s="4" t="s">
        <v>4123</v>
      </c>
      <c r="Q270" s="57">
        <v>45251</v>
      </c>
      <c r="R270" s="57">
        <v>45256</v>
      </c>
      <c r="S270" s="113"/>
      <c r="T270" s="113"/>
      <c r="U270" s="4"/>
      <c r="V270" s="4"/>
      <c r="W270" s="105" t="s">
        <v>5770</v>
      </c>
      <c r="X270" s="114">
        <v>1616971020</v>
      </c>
      <c r="Y270" s="55" t="s">
        <v>81</v>
      </c>
      <c r="Z270" s="4" t="s">
        <v>5771</v>
      </c>
      <c r="AA270" s="4">
        <v>1407893313</v>
      </c>
      <c r="AB270" s="4" t="s">
        <v>118</v>
      </c>
      <c r="AC270" s="4" t="s">
        <v>119</v>
      </c>
      <c r="AD270" s="113">
        <v>44960</v>
      </c>
      <c r="AE270" s="107">
        <f t="shared" si="6" ca="1"/>
        <v>2.0191780821917806</v>
      </c>
      <c r="AF270" s="4" t="s">
        <v>80</v>
      </c>
      <c r="AG270" s="114">
        <v>2402440750</v>
      </c>
      <c r="AH270" s="4" t="s">
        <v>81</v>
      </c>
      <c r="AI270" s="55" t="s">
        <v>290</v>
      </c>
      <c r="AJ270" s="55" t="s">
        <v>81</v>
      </c>
      <c r="AK270" s="55">
        <v>2020</v>
      </c>
      <c r="AL270" s="4" t="s">
        <v>5772</v>
      </c>
      <c r="AM270" s="4" t="s">
        <v>5773</v>
      </c>
      <c r="AN270" s="4" t="s">
        <v>5774</v>
      </c>
      <c r="AO270" s="4" t="s">
        <v>5775</v>
      </c>
      <c r="AP270" s="4" t="s">
        <v>5776</v>
      </c>
      <c r="AQ270" s="55" t="s">
        <v>203</v>
      </c>
      <c r="AR270" s="4" t="s">
        <v>110</v>
      </c>
      <c r="AS270" s="4" t="s">
        <v>81</v>
      </c>
      <c r="AT270" s="72" t="s">
        <v>81</v>
      </c>
      <c r="AU270" s="4" t="s">
        <v>81</v>
      </c>
      <c r="AV270" s="4" t="s">
        <v>81</v>
      </c>
      <c r="AW270" s="4" t="s">
        <v>81</v>
      </c>
      <c r="AX270" s="4" t="s">
        <v>81</v>
      </c>
      <c r="AY270" s="4"/>
      <c r="AZ270" s="4"/>
      <c r="BA270" s="4" t="s">
        <v>3498</v>
      </c>
      <c r="BB270" s="4">
        <v>10800</v>
      </c>
      <c r="BC270" s="4">
        <v>2700</v>
      </c>
      <c r="BD270" s="4">
        <v>0</v>
      </c>
      <c r="BE270" s="4" t="s">
        <v>91</v>
      </c>
      <c r="BF270" s="4"/>
      <c r="BG270" s="4"/>
      <c r="BH270" s="4" t="s">
        <v>3510</v>
      </c>
      <c r="BI270" s="72">
        <f>VLOOKUP(A270,'ID Block'!A:L,12,0)</f>
        <v>45486</v>
      </c>
      <c r="BJ270" s="154" t="str">
        <f>VLOOKUP(A270,'ID Block'!A:M,13,0)</f>
        <v>Better opportunity</v>
      </c>
      <c r="BK270" s="4">
        <f t="shared" si="5"/>
        <v>230</v>
      </c>
      <c r="BL270" s="105" t="s">
        <v>168</v>
      </c>
      <c r="BM270" s="10"/>
      <c r="BN270" s="183"/>
      <c r="BO270" s="183"/>
    </row>
    <row r="271" ht="14.4" s="67" customFormat="1">
      <c r="A271" s="4">
        <v>171250</v>
      </c>
      <c r="B271" s="4"/>
      <c r="C271" s="55" t="s">
        <v>5777</v>
      </c>
      <c r="D271" s="4" t="s">
        <v>5778</v>
      </c>
      <c r="E271" s="4" t="s">
        <v>66</v>
      </c>
      <c r="F271" s="55">
        <v>1210568316</v>
      </c>
      <c r="G271" s="4" t="s">
        <v>67</v>
      </c>
      <c r="H271" s="4" t="s">
        <v>68</v>
      </c>
      <c r="I271" s="4" t="s">
        <v>2494</v>
      </c>
      <c r="J271" s="55" t="s">
        <v>3650</v>
      </c>
      <c r="K271" s="4" t="s">
        <v>71</v>
      </c>
      <c r="L271" s="4" t="s">
        <v>3487</v>
      </c>
      <c r="M271" s="4" t="s">
        <v>2643</v>
      </c>
      <c r="N271" s="4" t="s">
        <v>74</v>
      </c>
      <c r="O271" s="4" t="s">
        <v>75</v>
      </c>
      <c r="P271" s="4" t="s">
        <v>4123</v>
      </c>
      <c r="Q271" s="57">
        <v>45251</v>
      </c>
      <c r="R271" s="57">
        <v>45256</v>
      </c>
      <c r="S271" s="113"/>
      <c r="T271" s="113"/>
      <c r="U271" s="4"/>
      <c r="V271" s="4"/>
      <c r="W271" s="105" t="s">
        <v>5779</v>
      </c>
      <c r="X271" s="114">
        <v>1301304185</v>
      </c>
      <c r="Y271" s="55" t="s">
        <v>81</v>
      </c>
      <c r="Z271" s="4" t="s">
        <v>5780</v>
      </c>
      <c r="AA271" s="4">
        <v>1918737243</v>
      </c>
      <c r="AB271" s="4" t="s">
        <v>118</v>
      </c>
      <c r="AC271" s="4" t="s">
        <v>102</v>
      </c>
      <c r="AD271" s="113">
        <v>36484</v>
      </c>
      <c r="AE271" s="107">
        <f t="shared" si="6" ca="1"/>
        <v>25.24109589041096</v>
      </c>
      <c r="AF271" s="4" t="s">
        <v>80</v>
      </c>
      <c r="AG271" s="114">
        <v>9156619331</v>
      </c>
      <c r="AH271" s="4" t="s">
        <v>81</v>
      </c>
      <c r="AI271" s="55" t="s">
        <v>217</v>
      </c>
      <c r="AJ271" s="55" t="s">
        <v>81</v>
      </c>
      <c r="AK271" s="55">
        <v>2021</v>
      </c>
      <c r="AL271" s="4" t="s">
        <v>5781</v>
      </c>
      <c r="AM271" s="4" t="s">
        <v>5782</v>
      </c>
      <c r="AN271" s="4" t="s">
        <v>5783</v>
      </c>
      <c r="AO271" s="4" t="s">
        <v>5784</v>
      </c>
      <c r="AP271" s="4" t="s">
        <v>5785</v>
      </c>
      <c r="AQ271" s="55" t="s">
        <v>4921</v>
      </c>
      <c r="AR271" s="4" t="s">
        <v>110</v>
      </c>
      <c r="AS271" s="4" t="s">
        <v>81</v>
      </c>
      <c r="AT271" s="72" t="s">
        <v>81</v>
      </c>
      <c r="AU271" s="4" t="s">
        <v>81</v>
      </c>
      <c r="AV271" s="4" t="s">
        <v>81</v>
      </c>
      <c r="AW271" s="4" t="s">
        <v>81</v>
      </c>
      <c r="AX271" s="4" t="s">
        <v>81</v>
      </c>
      <c r="AY271" s="4"/>
      <c r="AZ271" s="4"/>
      <c r="BA271" s="4" t="s">
        <v>3498</v>
      </c>
      <c r="BB271" s="4">
        <v>10800</v>
      </c>
      <c r="BC271" s="4">
        <v>2700</v>
      </c>
      <c r="BD271" s="4">
        <v>0</v>
      </c>
      <c r="BE271" s="4" t="s">
        <v>91</v>
      </c>
      <c r="BF271" s="4"/>
      <c r="BG271" s="4"/>
      <c r="BH271" s="4" t="s">
        <v>3510</v>
      </c>
      <c r="BI271" s="72">
        <f>VLOOKUP(A271,'ID Block'!A:L,12,0)</f>
        <v>45489</v>
      </c>
      <c r="BJ271" s="154" t="str">
        <f>VLOOKUP(A271,'ID Block'!A:M,13,0)</f>
        <v>Better opportunity</v>
      </c>
      <c r="BK271" s="4">
        <f t="shared" si="5"/>
        <v>233</v>
      </c>
      <c r="BL271" s="105" t="s">
        <v>168</v>
      </c>
      <c r="BM271" s="10"/>
      <c r="BN271" s="183"/>
      <c r="BO271" s="183"/>
    </row>
    <row r="272" ht="14.4" s="67" customFormat="1">
      <c r="A272" s="4">
        <v>171210</v>
      </c>
      <c r="B272" s="4"/>
      <c r="C272" s="55"/>
      <c r="D272" s="4" t="s">
        <v>5786</v>
      </c>
      <c r="E272" s="4" t="s">
        <v>114</v>
      </c>
      <c r="F272" s="55">
        <v>1210836418</v>
      </c>
      <c r="G272" s="4" t="s">
        <v>67</v>
      </c>
      <c r="H272" s="4" t="s">
        <v>68</v>
      </c>
      <c r="I272" s="4" t="s">
        <v>2494</v>
      </c>
      <c r="J272" s="55" t="s">
        <v>319</v>
      </c>
      <c r="K272" s="4" t="s">
        <v>71</v>
      </c>
      <c r="L272" s="4" t="s">
        <v>3487</v>
      </c>
      <c r="M272" s="4" t="s">
        <v>115</v>
      </c>
      <c r="N272" s="4" t="s">
        <v>74</v>
      </c>
      <c r="O272" s="4" t="s">
        <v>75</v>
      </c>
      <c r="P272" s="4" t="s">
        <v>4271</v>
      </c>
      <c r="Q272" s="57">
        <v>45246</v>
      </c>
      <c r="R272" s="57">
        <v>45261</v>
      </c>
      <c r="S272" s="113"/>
      <c r="T272" s="113"/>
      <c r="U272" s="4"/>
      <c r="V272" s="4"/>
      <c r="W272" s="105" t="s">
        <v>5787</v>
      </c>
      <c r="X272" s="114">
        <v>1882382151</v>
      </c>
      <c r="Y272" s="55">
        <v>1638779824</v>
      </c>
      <c r="Z272" s="4" t="s">
        <v>5788</v>
      </c>
      <c r="AA272" s="4" t="s">
        <v>5789</v>
      </c>
      <c r="AB272" s="4" t="s">
        <v>78</v>
      </c>
      <c r="AC272" s="4" t="s">
        <v>133</v>
      </c>
      <c r="AD272" s="113">
        <v>36180</v>
      </c>
      <c r="AE272" s="107">
        <f t="shared" si="6" ca="1"/>
        <v>26.073972602739726</v>
      </c>
      <c r="AF272" s="4" t="s">
        <v>80</v>
      </c>
      <c r="AG272" s="114">
        <v>2405146479</v>
      </c>
      <c r="AH272" s="4" t="s">
        <v>81</v>
      </c>
      <c r="AI272" s="55" t="s">
        <v>4551</v>
      </c>
      <c r="AJ272" s="55" t="s">
        <v>81</v>
      </c>
      <c r="AK272" s="55">
        <v>2023</v>
      </c>
      <c r="AL272" s="4" t="s">
        <v>5790</v>
      </c>
      <c r="AM272" s="4" t="s">
        <v>5791</v>
      </c>
      <c r="AN272" s="4" t="s">
        <v>2398</v>
      </c>
      <c r="AO272" s="4" t="s">
        <v>5792</v>
      </c>
      <c r="AP272" s="4" t="s">
        <v>5793</v>
      </c>
      <c r="AQ272" s="55" t="s">
        <v>499</v>
      </c>
      <c r="AR272" s="4" t="s">
        <v>89</v>
      </c>
      <c r="AS272" s="4" t="s">
        <v>5788</v>
      </c>
      <c r="AT272" s="72">
        <v>33889</v>
      </c>
      <c r="AU272" s="4">
        <v>5523213188</v>
      </c>
      <c r="AV272" s="4" t="s">
        <v>81</v>
      </c>
      <c r="AW272" s="4" t="s">
        <v>81</v>
      </c>
      <c r="AX272" s="4" t="s">
        <v>81</v>
      </c>
      <c r="AY272" s="4"/>
      <c r="AZ272" s="4"/>
      <c r="BA272" s="4" t="s">
        <v>3498</v>
      </c>
      <c r="BB272" s="4">
        <v>10800</v>
      </c>
      <c r="BC272" s="4">
        <v>2700</v>
      </c>
      <c r="BD272" s="4">
        <v>0</v>
      </c>
      <c r="BE272" s="4" t="s">
        <v>91</v>
      </c>
      <c r="BF272" s="4"/>
      <c r="BG272" s="4"/>
      <c r="BH272" s="4" t="s">
        <v>3510</v>
      </c>
      <c r="BI272" s="72">
        <f>VLOOKUP(A272,'ID Block'!A:L,12,0)</f>
        <v>45489</v>
      </c>
      <c r="BJ272" s="154" t="str">
        <f>VLOOKUP(A272,'ID Block'!A:M,13,0)</f>
        <v>Family issue</v>
      </c>
      <c r="BK272" s="4">
        <f t="shared" si="5"/>
        <v>228</v>
      </c>
      <c r="BL272" s="105" t="s">
        <v>168</v>
      </c>
      <c r="BM272" s="10"/>
      <c r="BN272" s="183"/>
      <c r="BO272" s="183"/>
    </row>
    <row r="273" ht="14.4" s="67" customFormat="1">
      <c r="A273" s="4">
        <v>171177</v>
      </c>
      <c r="B273" s="4"/>
      <c r="C273" s="55" t="s">
        <v>2452</v>
      </c>
      <c r="D273" s="4" t="s">
        <v>5794</v>
      </c>
      <c r="E273" s="4" t="s">
        <v>66</v>
      </c>
      <c r="F273" s="55">
        <v>784408</v>
      </c>
      <c r="G273" s="4" t="s">
        <v>67</v>
      </c>
      <c r="H273" s="4" t="s">
        <v>68</v>
      </c>
      <c r="I273" s="4" t="s">
        <v>2494</v>
      </c>
      <c r="J273" s="55" t="s">
        <v>5795</v>
      </c>
      <c r="K273" s="4" t="s">
        <v>71</v>
      </c>
      <c r="L273" s="4" t="s">
        <v>3487</v>
      </c>
      <c r="M273" s="4" t="s">
        <v>308</v>
      </c>
      <c r="N273" s="4" t="s">
        <v>74</v>
      </c>
      <c r="O273" s="4" t="s">
        <v>75</v>
      </c>
      <c r="P273" s="4" t="s">
        <v>3987</v>
      </c>
      <c r="Q273" s="57">
        <v>45206</v>
      </c>
      <c r="R273" s="57">
        <v>45211</v>
      </c>
      <c r="S273" s="113"/>
      <c r="T273" s="113"/>
      <c r="U273" s="4"/>
      <c r="V273" s="4"/>
      <c r="W273" s="105" t="s">
        <v>5796</v>
      </c>
      <c r="X273" s="114">
        <v>1705017815</v>
      </c>
      <c r="Y273" s="55" t="s">
        <v>81</v>
      </c>
      <c r="Z273" s="4" t="s">
        <v>5797</v>
      </c>
      <c r="AA273" s="4">
        <v>1722801670</v>
      </c>
      <c r="AB273" s="4" t="s">
        <v>118</v>
      </c>
      <c r="AC273" s="4" t="s">
        <v>79</v>
      </c>
      <c r="AD273" s="113">
        <v>35396</v>
      </c>
      <c r="AE273" s="107">
        <f t="shared" si="6" ca="1"/>
        <v>28.221917808219178</v>
      </c>
      <c r="AF273" s="4" t="s">
        <v>80</v>
      </c>
      <c r="AG273" s="114">
        <v>3271427712</v>
      </c>
      <c r="AH273" s="4" t="s">
        <v>81</v>
      </c>
      <c r="AI273" s="55" t="s">
        <v>265</v>
      </c>
      <c r="AJ273" s="55" t="s">
        <v>81</v>
      </c>
      <c r="AK273" s="55">
        <v>2023</v>
      </c>
      <c r="AL273" s="4" t="s">
        <v>5798</v>
      </c>
      <c r="AM273" s="4" t="s">
        <v>5799</v>
      </c>
      <c r="AN273" s="4" t="s">
        <v>5800</v>
      </c>
      <c r="AO273" s="4" t="s">
        <v>5801</v>
      </c>
      <c r="AP273" s="4" t="s">
        <v>5802</v>
      </c>
      <c r="AQ273" s="55" t="s">
        <v>5803</v>
      </c>
      <c r="AR273" s="4" t="s">
        <v>110</v>
      </c>
      <c r="AS273" s="4"/>
      <c r="AT273" s="72"/>
      <c r="AU273" s="4"/>
      <c r="AV273" s="4"/>
      <c r="AW273" s="4"/>
      <c r="AX273" s="4"/>
      <c r="AY273" s="4"/>
      <c r="AZ273" s="4"/>
      <c r="BA273" s="4" t="s">
        <v>3498</v>
      </c>
      <c r="BB273" s="4">
        <v>10800</v>
      </c>
      <c r="BC273" s="4">
        <v>2700</v>
      </c>
      <c r="BD273" s="4">
        <v>0</v>
      </c>
      <c r="BE273" s="4" t="s">
        <v>296</v>
      </c>
      <c r="BF273" s="4"/>
      <c r="BG273" s="4"/>
      <c r="BH273" s="4" t="s">
        <v>3510</v>
      </c>
      <c r="BI273" s="72">
        <f>VLOOKUP(A273,'ID Block'!A:L,12,0)</f>
        <v>45491</v>
      </c>
      <c r="BJ273" s="154" t="str">
        <f>VLOOKUP(A273,'ID Block'!A:M,13,0)</f>
        <v>Better opportunity</v>
      </c>
      <c r="BK273" s="4">
        <f t="shared" si="5"/>
        <v>280</v>
      </c>
      <c r="BL273" s="105" t="s">
        <v>168</v>
      </c>
      <c r="BM273" s="10"/>
      <c r="BN273" s="183"/>
      <c r="BO273" s="183"/>
    </row>
    <row r="274" ht="14.4" s="67" customFormat="1">
      <c r="A274" s="4">
        <v>171314</v>
      </c>
      <c r="B274" s="4"/>
      <c r="C274" s="55"/>
      <c r="D274" s="4" t="s">
        <v>5804</v>
      </c>
      <c r="E274" s="4" t="s">
        <v>66</v>
      </c>
      <c r="F274" s="55">
        <v>1311273462</v>
      </c>
      <c r="G274" s="4" t="s">
        <v>67</v>
      </c>
      <c r="H274" s="4" t="s">
        <v>68</v>
      </c>
      <c r="I274" s="4" t="s">
        <v>2494</v>
      </c>
      <c r="J274" s="55" t="s">
        <v>3650</v>
      </c>
      <c r="K274" s="4" t="s">
        <v>71</v>
      </c>
      <c r="L274" s="4" t="s">
        <v>3487</v>
      </c>
      <c r="M274" s="4" t="s">
        <v>115</v>
      </c>
      <c r="N274" s="4" t="s">
        <v>74</v>
      </c>
      <c r="O274" s="4" t="s">
        <v>75</v>
      </c>
      <c r="P274" s="4" t="s">
        <v>4865</v>
      </c>
      <c r="Q274" s="57">
        <v>45267</v>
      </c>
      <c r="R274" s="57">
        <v>45289</v>
      </c>
      <c r="S274" s="113"/>
      <c r="T274" s="113"/>
      <c r="U274" s="4"/>
      <c r="V274" s="4"/>
      <c r="W274" s="105" t="s">
        <v>5805</v>
      </c>
      <c r="X274" s="114">
        <v>1849661817</v>
      </c>
      <c r="Y274" s="55" t="s">
        <v>81</v>
      </c>
      <c r="Z274" s="4" t="s">
        <v>5806</v>
      </c>
      <c r="AA274" s="4">
        <v>1711111905</v>
      </c>
      <c r="AB274" s="4" t="s">
        <v>101</v>
      </c>
      <c r="AC274" s="4" t="s">
        <v>119</v>
      </c>
      <c r="AD274" s="113">
        <v>36868</v>
      </c>
      <c r="AE274" s="107">
        <f t="shared" si="6" ca="1"/>
        <v>24.18904109589041</v>
      </c>
      <c r="AF274" s="4" t="s">
        <v>80</v>
      </c>
      <c r="AG274" s="114">
        <v>8265261639</v>
      </c>
      <c r="AH274" s="4" t="s">
        <v>81</v>
      </c>
      <c r="AI274" s="55" t="s">
        <v>290</v>
      </c>
      <c r="AJ274" s="55" t="s">
        <v>81</v>
      </c>
      <c r="AK274" s="55">
        <v>2023</v>
      </c>
      <c r="AL274" s="4" t="s">
        <v>2127</v>
      </c>
      <c r="AM274" s="4" t="s">
        <v>5806</v>
      </c>
      <c r="AN274" s="4" t="s">
        <v>5807</v>
      </c>
      <c r="AO274" s="4" t="s">
        <v>5808</v>
      </c>
      <c r="AP274" s="4" t="s">
        <v>5809</v>
      </c>
      <c r="AQ274" s="55" t="s">
        <v>3382</v>
      </c>
      <c r="AR274" s="4" t="s">
        <v>110</v>
      </c>
      <c r="AS274" s="4" t="s">
        <v>81</v>
      </c>
      <c r="AT274" s="72" t="s">
        <v>81</v>
      </c>
      <c r="AU274" s="4" t="s">
        <v>81</v>
      </c>
      <c r="AV274" s="4" t="s">
        <v>81</v>
      </c>
      <c r="AW274" s="4" t="s">
        <v>81</v>
      </c>
      <c r="AX274" s="4" t="s">
        <v>81</v>
      </c>
      <c r="AY274" s="4"/>
      <c r="AZ274" s="4"/>
      <c r="BA274" s="4" t="s">
        <v>3498</v>
      </c>
      <c r="BB274" s="4">
        <v>10800</v>
      </c>
      <c r="BC274" s="4">
        <v>2700</v>
      </c>
      <c r="BD274" s="4">
        <v>0</v>
      </c>
      <c r="BE274" s="4" t="s">
        <v>91</v>
      </c>
      <c r="BF274" s="4"/>
      <c r="BG274" s="4"/>
      <c r="BH274" s="4" t="s">
        <v>3510</v>
      </c>
      <c r="BI274" s="72">
        <f>VLOOKUP(A274,'ID Block'!A:L,12,0)</f>
        <v>45490</v>
      </c>
      <c r="BJ274" s="154" t="str">
        <f>VLOOKUP(A274,'ID Block'!A:M,13,0)</f>
        <v>Higher study</v>
      </c>
      <c r="BK274" s="4">
        <f t="shared" si="5"/>
        <v>201</v>
      </c>
      <c r="BL274" s="105" t="s">
        <v>168</v>
      </c>
      <c r="BM274" s="10"/>
      <c r="BN274" s="183"/>
      <c r="BO274" s="183"/>
    </row>
    <row r="275" ht="14.4" s="67" customFormat="1">
      <c r="A275" s="4">
        <v>171446</v>
      </c>
      <c r="B275" s="4"/>
      <c r="C275" s="55"/>
      <c r="D275" s="4" t="s">
        <v>5810</v>
      </c>
      <c r="E275" s="4" t="s">
        <v>66</v>
      </c>
      <c r="F275" s="55">
        <v>1210955761</v>
      </c>
      <c r="G275" s="4" t="s">
        <v>67</v>
      </c>
      <c r="H275" s="4" t="s">
        <v>68</v>
      </c>
      <c r="I275" s="4" t="s">
        <v>2494</v>
      </c>
      <c r="J275" s="55" t="s">
        <v>341</v>
      </c>
      <c r="K275" s="4" t="s">
        <v>71</v>
      </c>
      <c r="L275" s="4" t="s">
        <v>3487</v>
      </c>
      <c r="M275" s="4" t="s">
        <v>115</v>
      </c>
      <c r="N275" s="4" t="s">
        <v>74</v>
      </c>
      <c r="O275" s="4" t="s">
        <v>75</v>
      </c>
      <c r="P275" s="4" t="s">
        <v>5029</v>
      </c>
      <c r="Q275" s="57">
        <v>45408</v>
      </c>
      <c r="R275" s="57">
        <v>45415</v>
      </c>
      <c r="S275" s="113"/>
      <c r="T275" s="113"/>
      <c r="U275" s="4"/>
      <c r="V275" s="4"/>
      <c r="W275" s="105" t="s">
        <v>5811</v>
      </c>
      <c r="X275" s="114">
        <v>1956024653</v>
      </c>
      <c r="Y275" s="55">
        <v>1839191148</v>
      </c>
      <c r="Z275" s="4" t="s">
        <v>5812</v>
      </c>
      <c r="AA275" s="4">
        <v>1963524077</v>
      </c>
      <c r="AB275" s="4" t="s">
        <v>118</v>
      </c>
      <c r="AC275" s="4" t="s">
        <v>79</v>
      </c>
      <c r="AD275" s="113">
        <v>36502</v>
      </c>
      <c r="AE275" s="107">
        <f t="shared" si="6" ca="1"/>
        <v>25.19178082191781</v>
      </c>
      <c r="AF275" s="4" t="s">
        <v>80</v>
      </c>
      <c r="AG275" s="114" t="s">
        <v>81</v>
      </c>
      <c r="AH275" s="4" t="s">
        <v>81</v>
      </c>
      <c r="AI275" s="55" t="s">
        <v>925</v>
      </c>
      <c r="AJ275" s="55" t="s">
        <v>81</v>
      </c>
      <c r="AK275" s="55">
        <v>2023</v>
      </c>
      <c r="AL275" s="4" t="s">
        <v>5813</v>
      </c>
      <c r="AM275" s="4" t="s">
        <v>5814</v>
      </c>
      <c r="AN275" s="4" t="s">
        <v>5815</v>
      </c>
      <c r="AO275" s="4" t="s">
        <v>5816</v>
      </c>
      <c r="AP275" s="4" t="s">
        <v>5817</v>
      </c>
      <c r="AQ275" s="55" t="s">
        <v>5818</v>
      </c>
      <c r="AR275" s="4" t="s">
        <v>110</v>
      </c>
      <c r="AS275" s="4" t="s">
        <v>81</v>
      </c>
      <c r="AT275" s="72" t="s">
        <v>81</v>
      </c>
      <c r="AU275" s="4" t="s">
        <v>81</v>
      </c>
      <c r="AV275" s="4" t="s">
        <v>81</v>
      </c>
      <c r="AW275" s="4" t="s">
        <v>81</v>
      </c>
      <c r="AX275" s="4" t="s">
        <v>81</v>
      </c>
      <c r="AY275" s="4" t="s">
        <v>81</v>
      </c>
      <c r="AZ275" s="4" t="s">
        <v>81</v>
      </c>
      <c r="BA275" s="4" t="s">
        <v>3498</v>
      </c>
      <c r="BB275" s="4">
        <v>10800</v>
      </c>
      <c r="BC275" s="4">
        <v>2700</v>
      </c>
      <c r="BD275" s="4">
        <v>0</v>
      </c>
      <c r="BE275" s="4" t="s">
        <v>91</v>
      </c>
      <c r="BF275" s="4"/>
      <c r="BG275" s="4"/>
      <c r="BH275" s="4" t="s">
        <v>3510</v>
      </c>
      <c r="BI275" s="72">
        <f>VLOOKUP(A275,'ID Block'!A:L,12,0)</f>
        <v>45489</v>
      </c>
      <c r="BJ275" s="154" t="str">
        <f>VLOOKUP(A275,'ID Block'!A:M,13,0)</f>
        <v>Better opportunity.</v>
      </c>
      <c r="BK275" s="4">
        <f t="shared" si="5"/>
        <v>74</v>
      </c>
      <c r="BL275" s="105" t="s">
        <v>168</v>
      </c>
      <c r="BM275" s="10"/>
      <c r="BN275" s="183"/>
      <c r="BO275" s="183"/>
    </row>
    <row r="276" ht="14.4" s="67" customFormat="1">
      <c r="A276" s="4">
        <v>171678</v>
      </c>
      <c r="B276" s="4"/>
      <c r="C276" s="55" t="s">
        <v>2694</v>
      </c>
      <c r="D276" s="4" t="s">
        <v>5819</v>
      </c>
      <c r="E276" s="4" t="s">
        <v>114</v>
      </c>
      <c r="F276" s="55">
        <v>1013186774</v>
      </c>
      <c r="G276" s="4" t="s">
        <v>67</v>
      </c>
      <c r="H276" s="4" t="s">
        <v>68</v>
      </c>
      <c r="I276" s="4" t="s">
        <v>2494</v>
      </c>
      <c r="J276" s="55" t="s">
        <v>1725</v>
      </c>
      <c r="K276" s="4" t="s">
        <v>71</v>
      </c>
      <c r="L276" s="4" t="s">
        <v>3487</v>
      </c>
      <c r="M276" s="4" t="s">
        <v>115</v>
      </c>
      <c r="N276" s="4" t="s">
        <v>74</v>
      </c>
      <c r="O276" s="4" t="s">
        <v>75</v>
      </c>
      <c r="P276" s="4" t="s">
        <v>5481</v>
      </c>
      <c r="Q276" s="57">
        <v>45466</v>
      </c>
      <c r="R276" s="57">
        <v>45475</v>
      </c>
      <c r="S276" s="113"/>
      <c r="T276" s="113"/>
      <c r="U276" s="4"/>
      <c r="V276" s="4"/>
      <c r="W276" s="105" t="s">
        <v>5820</v>
      </c>
      <c r="X276" s="114">
        <v>1963317566</v>
      </c>
      <c r="Y276" s="55">
        <v>1790899337</v>
      </c>
      <c r="Z276" s="4" t="s">
        <v>101</v>
      </c>
      <c r="AA276" s="4">
        <v>1790899337</v>
      </c>
      <c r="AB276" s="4" t="s">
        <v>81</v>
      </c>
      <c r="AC276" s="4" t="s">
        <v>79</v>
      </c>
      <c r="AD276" s="113">
        <v>35509</v>
      </c>
      <c r="AE276" s="107"/>
      <c r="AF276" s="4" t="s">
        <v>80</v>
      </c>
      <c r="AG276" s="114">
        <v>2852724257</v>
      </c>
      <c r="AH276" s="4" t="s">
        <v>81</v>
      </c>
      <c r="AI276" s="55" t="s">
        <v>5821</v>
      </c>
      <c r="AJ276" s="55" t="s">
        <v>81</v>
      </c>
      <c r="AK276" s="55" t="s">
        <v>779</v>
      </c>
      <c r="AL276" s="4" t="s">
        <v>5822</v>
      </c>
      <c r="AM276" s="4" t="s">
        <v>5823</v>
      </c>
      <c r="AN276" s="4" t="s">
        <v>5824</v>
      </c>
      <c r="AO276" s="4" t="s">
        <v>5825</v>
      </c>
      <c r="AP276" s="4" t="s">
        <v>5826</v>
      </c>
      <c r="AQ276" s="55" t="s">
        <v>5827</v>
      </c>
      <c r="AR276" s="4" t="s">
        <v>110</v>
      </c>
      <c r="AS276" s="4" t="s">
        <v>81</v>
      </c>
      <c r="AT276" s="72" t="s">
        <v>81</v>
      </c>
      <c r="AU276" s="4" t="s">
        <v>81</v>
      </c>
      <c r="AV276" s="4" t="s">
        <v>81</v>
      </c>
      <c r="AW276" s="4" t="s">
        <v>81</v>
      </c>
      <c r="AX276" s="4" t="s">
        <v>81</v>
      </c>
      <c r="AY276" s="4" t="s">
        <v>81</v>
      </c>
      <c r="AZ276" s="4" t="s">
        <v>81</v>
      </c>
      <c r="BA276" s="4" t="s">
        <v>3498</v>
      </c>
      <c r="BB276" s="4">
        <v>10800</v>
      </c>
      <c r="BC276" s="4">
        <v>2700</v>
      </c>
      <c r="BD276" s="4">
        <v>0</v>
      </c>
      <c r="BE276" s="4" t="s">
        <v>91</v>
      </c>
      <c r="BF276" s="4"/>
      <c r="BG276" s="4"/>
      <c r="BH276" s="4" t="s">
        <v>3510</v>
      </c>
      <c r="BI276" s="72">
        <f>VLOOKUP(A276,'ID Block'!A:L,12,0)</f>
        <v>45489</v>
      </c>
      <c r="BJ276" s="154" t="str">
        <f>VLOOKUP(A276,'ID Block'!A:M,13,0)</f>
        <v>Unauthorized Absent</v>
      </c>
      <c r="BK276" s="4">
        <f t="shared" si="5"/>
        <v>14</v>
      </c>
      <c r="BL276" s="105" t="s">
        <v>168</v>
      </c>
      <c r="BM276" s="10"/>
      <c r="BN276" s="183"/>
      <c r="BO276" s="183"/>
    </row>
    <row r="277" ht="14.4" s="67" customFormat="1">
      <c r="A277" s="4">
        <v>171294</v>
      </c>
      <c r="B277" s="4"/>
      <c r="C277" s="55"/>
      <c r="D277" s="4" t="s">
        <v>5828</v>
      </c>
      <c r="E277" s="4" t="s">
        <v>66</v>
      </c>
      <c r="F277" s="55" t="s">
        <v>5829</v>
      </c>
      <c r="G277" s="4" t="s">
        <v>67</v>
      </c>
      <c r="H277" s="4" t="s">
        <v>68</v>
      </c>
      <c r="I277" s="4" t="s">
        <v>2494</v>
      </c>
      <c r="J277" s="55" t="s">
        <v>297</v>
      </c>
      <c r="K277" s="4" t="s">
        <v>71</v>
      </c>
      <c r="L277" s="4" t="s">
        <v>3487</v>
      </c>
      <c r="M277" s="4" t="s">
        <v>308</v>
      </c>
      <c r="N277" s="4" t="s">
        <v>74</v>
      </c>
      <c r="O277" s="4" t="s">
        <v>75</v>
      </c>
      <c r="P277" s="4" t="s">
        <v>4143</v>
      </c>
      <c r="Q277" s="57">
        <v>45257</v>
      </c>
      <c r="R277" s="57">
        <v>45266</v>
      </c>
      <c r="S277" s="113"/>
      <c r="T277" s="113"/>
      <c r="U277" s="4"/>
      <c r="V277" s="4"/>
      <c r="W277" s="105" t="s">
        <v>5830</v>
      </c>
      <c r="X277" s="114">
        <v>1754002876</v>
      </c>
      <c r="Y277" s="55" t="s">
        <v>81</v>
      </c>
      <c r="Z277" s="4" t="s">
        <v>5831</v>
      </c>
      <c r="AA277" s="4">
        <v>1763169464</v>
      </c>
      <c r="AB277" s="4" t="s">
        <v>5832</v>
      </c>
      <c r="AC277" s="4" t="s">
        <v>1450</v>
      </c>
      <c r="AD277" s="113">
        <v>35635</v>
      </c>
      <c r="AE277" s="107">
        <f>((TODAY())-AD277)/365</f>
        <v>27.567123287671233</v>
      </c>
      <c r="AF277" s="4" t="s">
        <v>80</v>
      </c>
      <c r="AG277" s="114">
        <v>7355333795</v>
      </c>
      <c r="AH277" s="4" t="s">
        <v>81</v>
      </c>
      <c r="AI277" s="55" t="s">
        <v>723</v>
      </c>
      <c r="AJ277" s="55" t="s">
        <v>209</v>
      </c>
      <c r="AK277" s="55">
        <v>2022</v>
      </c>
      <c r="AL277" s="4" t="s">
        <v>5833</v>
      </c>
      <c r="AM277" s="4" t="s">
        <v>5834</v>
      </c>
      <c r="AN277" s="4" t="s">
        <v>5831</v>
      </c>
      <c r="AO277" s="4" t="s">
        <v>5835</v>
      </c>
      <c r="AP277" s="4" t="s">
        <v>5836</v>
      </c>
      <c r="AQ277" s="55" t="s">
        <v>629</v>
      </c>
      <c r="AR277" s="4" t="s">
        <v>1363</v>
      </c>
      <c r="AS277" s="4" t="s">
        <v>81</v>
      </c>
      <c r="AT277" s="72" t="s">
        <v>81</v>
      </c>
      <c r="AU277" s="4" t="s">
        <v>81</v>
      </c>
      <c r="AV277" s="4" t="s">
        <v>81</v>
      </c>
      <c r="AW277" s="4" t="s">
        <v>81</v>
      </c>
      <c r="AX277" s="4" t="s">
        <v>81</v>
      </c>
      <c r="AY277" s="4"/>
      <c r="AZ277" s="4"/>
      <c r="BA277" s="4" t="s">
        <v>3498</v>
      </c>
      <c r="BB277" s="4">
        <v>10800</v>
      </c>
      <c r="BC277" s="4">
        <v>2700</v>
      </c>
      <c r="BD277" s="4">
        <v>0</v>
      </c>
      <c r="BE277" s="4" t="s">
        <v>91</v>
      </c>
      <c r="BF277" s="4"/>
      <c r="BG277" s="4"/>
      <c r="BH277" s="4" t="s">
        <v>3510</v>
      </c>
      <c r="BI277" s="72">
        <f>VLOOKUP(A277,'ID Block'!A:L,12,0)</f>
        <v>45505</v>
      </c>
      <c r="BJ277" s="154" t="str">
        <f>VLOOKUP(A277,'ID Block'!A:M,13,0)</f>
        <v>Marriage purpose</v>
      </c>
      <c r="BK277" s="4">
        <f t="shared" si="5"/>
        <v>239</v>
      </c>
      <c r="BL277" s="105" t="s">
        <v>168</v>
      </c>
      <c r="BM277" s="10"/>
      <c r="BN277" s="183"/>
      <c r="BO277" s="183"/>
    </row>
    <row r="278" ht="14.4" s="67" customFormat="1">
      <c r="A278" s="4">
        <v>171725</v>
      </c>
      <c r="B278" s="4"/>
      <c r="C278" s="55" t="s">
        <v>2396</v>
      </c>
      <c r="D278" s="4" t="s">
        <v>5837</v>
      </c>
      <c r="E278" s="4" t="s">
        <v>66</v>
      </c>
      <c r="F278" s="55">
        <v>463073</v>
      </c>
      <c r="G278" s="4" t="s">
        <v>67</v>
      </c>
      <c r="H278" s="4" t="s">
        <v>68</v>
      </c>
      <c r="I278" s="4" t="s">
        <v>2494</v>
      </c>
      <c r="J278" s="55" t="s">
        <v>1725</v>
      </c>
      <c r="K278" s="4" t="s">
        <v>71</v>
      </c>
      <c r="L278" s="4" t="s">
        <v>72</v>
      </c>
      <c r="M278" s="4" t="s">
        <v>115</v>
      </c>
      <c r="N278" s="4" t="s">
        <v>74</v>
      </c>
      <c r="O278" s="4" t="s">
        <v>75</v>
      </c>
      <c r="P278" s="4" t="s">
        <v>5838</v>
      </c>
      <c r="Q278" s="57">
        <v>45476</v>
      </c>
      <c r="R278" s="57">
        <v>45485</v>
      </c>
      <c r="S278" s="113" t="s">
        <v>242</v>
      </c>
      <c r="T278" s="113" t="s">
        <v>242</v>
      </c>
      <c r="U278" s="4" t="s">
        <v>242</v>
      </c>
      <c r="V278" s="4" t="s">
        <v>242</v>
      </c>
      <c r="W278" s="105" t="s">
        <v>5839</v>
      </c>
      <c r="X278" s="114">
        <v>1631845830</v>
      </c>
      <c r="Y278" s="55">
        <v>1784628020</v>
      </c>
      <c r="Z278" s="4" t="s">
        <v>5840</v>
      </c>
      <c r="AA278" s="4">
        <v>1711904622</v>
      </c>
      <c r="AB278" s="4" t="s">
        <v>101</v>
      </c>
      <c r="AC278" s="4" t="s">
        <v>5841</v>
      </c>
      <c r="AD278" s="113">
        <v>35119</v>
      </c>
      <c r="AE278" s="107"/>
      <c r="AF278" s="4" t="s">
        <v>80</v>
      </c>
      <c r="AG278" s="114">
        <v>1914152952</v>
      </c>
      <c r="AH278" s="4" t="s">
        <v>5842</v>
      </c>
      <c r="AI278" s="55" t="s">
        <v>5843</v>
      </c>
      <c r="AJ278" s="55" t="s">
        <v>81</v>
      </c>
      <c r="AK278" s="55">
        <v>2022</v>
      </c>
      <c r="AL278" s="4" t="s">
        <v>5844</v>
      </c>
      <c r="AM278" s="4" t="s">
        <v>5840</v>
      </c>
      <c r="AN278" s="4" t="s">
        <v>5845</v>
      </c>
      <c r="AO278" s="4" t="s">
        <v>5846</v>
      </c>
      <c r="AP278" s="4" t="s">
        <v>5847</v>
      </c>
      <c r="AQ278" s="55" t="s">
        <v>2444</v>
      </c>
      <c r="AR278" s="4" t="s">
        <v>110</v>
      </c>
      <c r="AS278" s="4" t="s">
        <v>81</v>
      </c>
      <c r="AT278" s="72" t="s">
        <v>81</v>
      </c>
      <c r="AU278" s="4" t="s">
        <v>81</v>
      </c>
      <c r="AV278" s="4" t="s">
        <v>81</v>
      </c>
      <c r="AW278" s="4" t="s">
        <v>81</v>
      </c>
      <c r="AX278" s="4" t="s">
        <v>81</v>
      </c>
      <c r="AY278" s="4" t="s">
        <v>81</v>
      </c>
      <c r="AZ278" s="4" t="s">
        <v>81</v>
      </c>
      <c r="BA278" s="4" t="s">
        <v>3498</v>
      </c>
      <c r="BB278" s="4">
        <v>10800</v>
      </c>
      <c r="BC278" s="4">
        <v>2700</v>
      </c>
      <c r="BD278" s="4">
        <v>0</v>
      </c>
      <c r="BE278" s="4" t="s">
        <v>91</v>
      </c>
      <c r="BF278" s="4" t="s">
        <v>242</v>
      </c>
      <c r="BG278" s="4" t="s">
        <v>242</v>
      </c>
      <c r="BH278" s="4" t="s">
        <v>3510</v>
      </c>
      <c r="BI278" s="72"/>
      <c r="BJ278" s="154"/>
      <c r="BK278" s="4"/>
      <c r="BL278" s="105" t="s">
        <v>168</v>
      </c>
      <c r="BM278" s="10"/>
      <c r="BN278" s="183"/>
      <c r="BO278" s="183"/>
    </row>
    <row r="279" ht="14.4" s="67" customFormat="1">
      <c r="A279" s="4">
        <v>171524</v>
      </c>
      <c r="B279" s="4"/>
      <c r="C279" s="55" t="s">
        <v>5848</v>
      </c>
      <c r="D279" s="4" t="s">
        <v>3839</v>
      </c>
      <c r="E279" s="4" t="s">
        <v>114</v>
      </c>
      <c r="F279" s="55" t="s">
        <v>5849</v>
      </c>
      <c r="G279" s="4" t="s">
        <v>67</v>
      </c>
      <c r="H279" s="4" t="s">
        <v>68</v>
      </c>
      <c r="I279" s="4" t="s">
        <v>2494</v>
      </c>
      <c r="J279" s="55" t="s">
        <v>155</v>
      </c>
      <c r="K279" s="4" t="s">
        <v>71</v>
      </c>
      <c r="L279" s="4" t="s">
        <v>72</v>
      </c>
      <c r="M279" s="4" t="s">
        <v>196</v>
      </c>
      <c r="N279" s="4" t="s">
        <v>74</v>
      </c>
      <c r="O279" s="4" t="s">
        <v>75</v>
      </c>
      <c r="P279" s="4" t="s">
        <v>5394</v>
      </c>
      <c r="Q279" s="57">
        <v>45442</v>
      </c>
      <c r="R279" s="57">
        <v>45456</v>
      </c>
      <c r="S279" s="113"/>
      <c r="T279" s="113"/>
      <c r="U279" s="4"/>
      <c r="V279" s="4"/>
      <c r="W279" s="105" t="s">
        <v>5850</v>
      </c>
      <c r="X279" s="114">
        <v>1738660573</v>
      </c>
      <c r="Y279" s="55">
        <v>1303925636</v>
      </c>
      <c r="Z279" s="4" t="s">
        <v>5851</v>
      </c>
      <c r="AA279" s="4">
        <v>1727842511</v>
      </c>
      <c r="AB279" s="4" t="s">
        <v>132</v>
      </c>
      <c r="AC279" s="4" t="s">
        <v>79</v>
      </c>
      <c r="AD279" s="113">
        <v>34463</v>
      </c>
      <c r="AE279" s="107"/>
      <c r="AF279" s="4" t="s">
        <v>80</v>
      </c>
      <c r="AG279" s="114">
        <v>1026386605</v>
      </c>
      <c r="AH279" s="4" t="s">
        <v>81</v>
      </c>
      <c r="AI279" s="55" t="s">
        <v>5852</v>
      </c>
      <c r="AJ279" s="55" t="s">
        <v>81</v>
      </c>
      <c r="AK279" s="55">
        <v>2016</v>
      </c>
      <c r="AL279" s="4" t="s">
        <v>2545</v>
      </c>
      <c r="AM279" s="4" t="s">
        <v>5159</v>
      </c>
      <c r="AN279" s="4" t="s">
        <v>5851</v>
      </c>
      <c r="AO279" s="4" t="s">
        <v>5853</v>
      </c>
      <c r="AP279" s="4" t="s">
        <v>5854</v>
      </c>
      <c r="AQ279" s="55" t="s">
        <v>285</v>
      </c>
      <c r="AR279" s="4" t="s">
        <v>89</v>
      </c>
      <c r="AS279" s="4" t="s">
        <v>5855</v>
      </c>
      <c r="AT279" s="72">
        <v>35069</v>
      </c>
      <c r="AU279" s="4" t="s">
        <v>81</v>
      </c>
      <c r="AV279" s="4" t="s">
        <v>81</v>
      </c>
      <c r="AW279" s="4" t="s">
        <v>81</v>
      </c>
      <c r="AX279" s="4" t="s">
        <v>81</v>
      </c>
      <c r="AY279" s="4" t="s">
        <v>81</v>
      </c>
      <c r="AZ279" s="4" t="s">
        <v>81</v>
      </c>
      <c r="BA279" s="4" t="s">
        <v>3498</v>
      </c>
      <c r="BB279" s="4">
        <v>10800</v>
      </c>
      <c r="BC279" s="4">
        <v>2700</v>
      </c>
      <c r="BD279" s="4">
        <v>1000</v>
      </c>
      <c r="BE279" s="4" t="s">
        <v>166</v>
      </c>
      <c r="BF279" s="4"/>
      <c r="BG279" s="4"/>
      <c r="BH279" s="4" t="s">
        <v>3510</v>
      </c>
      <c r="BI279" s="72">
        <f>VLOOKUP(A279,'ID Block'!A:L,12,0)</f>
        <v>45520</v>
      </c>
      <c r="BJ279" s="154" t="str">
        <f>VLOOKUP(A279,'ID Block'!A:M,13,0)</f>
        <v>Better opportunity</v>
      </c>
      <c r="BK279" s="4">
        <f t="shared" si="5"/>
        <v>64</v>
      </c>
      <c r="BL279" s="105" t="s">
        <v>168</v>
      </c>
      <c r="BM279" s="10"/>
      <c r="BN279" s="183"/>
      <c r="BO279" s="183"/>
    </row>
    <row r="280" ht="14.4" s="67" customFormat="1">
      <c r="A280" s="4">
        <v>171290</v>
      </c>
      <c r="B280" s="4"/>
      <c r="C280" s="55"/>
      <c r="D280" s="4" t="s">
        <v>5856</v>
      </c>
      <c r="E280" s="4" t="s">
        <v>114</v>
      </c>
      <c r="F280" s="55">
        <v>1210605161</v>
      </c>
      <c r="G280" s="4" t="s">
        <v>67</v>
      </c>
      <c r="H280" s="4" t="s">
        <v>68</v>
      </c>
      <c r="I280" s="4" t="s">
        <v>2494</v>
      </c>
      <c r="J280" s="55" t="s">
        <v>297</v>
      </c>
      <c r="K280" s="4" t="s">
        <v>71</v>
      </c>
      <c r="L280" s="4" t="s">
        <v>72</v>
      </c>
      <c r="M280" s="4" t="s">
        <v>308</v>
      </c>
      <c r="N280" s="4" t="s">
        <v>74</v>
      </c>
      <c r="O280" s="4" t="s">
        <v>75</v>
      </c>
      <c r="P280" s="4" t="s">
        <v>4143</v>
      </c>
      <c r="Q280" s="57">
        <v>45256</v>
      </c>
      <c r="R280" s="57">
        <v>45266</v>
      </c>
      <c r="S280" s="113"/>
      <c r="T280" s="113"/>
      <c r="U280" s="4"/>
      <c r="V280" s="4"/>
      <c r="W280" s="105" t="s">
        <v>5857</v>
      </c>
      <c r="X280" s="114">
        <v>1764058115</v>
      </c>
      <c r="Y280" s="55">
        <v>1860136344</v>
      </c>
      <c r="Z280" s="4" t="s">
        <v>1596</v>
      </c>
      <c r="AA280" s="4">
        <v>1726332164</v>
      </c>
      <c r="AB280" s="4" t="s">
        <v>118</v>
      </c>
      <c r="AC280" s="4" t="s">
        <v>119</v>
      </c>
      <c r="AD280" s="113">
        <v>36105</v>
      </c>
      <c r="AE280" s="107">
        <f>((TODAY())-AD280)/365</f>
        <v>26.279452054794522</v>
      </c>
      <c r="AF280" s="4" t="s">
        <v>80</v>
      </c>
      <c r="AG280" s="114">
        <v>4204659645</v>
      </c>
      <c r="AH280" s="4" t="s">
        <v>5858</v>
      </c>
      <c r="AI280" s="55" t="s">
        <v>723</v>
      </c>
      <c r="AJ280" s="55" t="s">
        <v>81</v>
      </c>
      <c r="AK280" s="55">
        <v>2021</v>
      </c>
      <c r="AL280" s="4" t="s">
        <v>5859</v>
      </c>
      <c r="AM280" s="4" t="s">
        <v>5860</v>
      </c>
      <c r="AN280" s="4" t="s">
        <v>5861</v>
      </c>
      <c r="AO280" s="4" t="s">
        <v>5862</v>
      </c>
      <c r="AP280" s="4" t="s">
        <v>5863</v>
      </c>
      <c r="AQ280" s="55" t="s">
        <v>666</v>
      </c>
      <c r="AR280" s="4" t="s">
        <v>110</v>
      </c>
      <c r="AS280" s="4" t="s">
        <v>81</v>
      </c>
      <c r="AT280" s="72" t="s">
        <v>81</v>
      </c>
      <c r="AU280" s="4" t="s">
        <v>81</v>
      </c>
      <c r="AV280" s="4" t="s">
        <v>81</v>
      </c>
      <c r="AW280" s="4" t="s">
        <v>81</v>
      </c>
      <c r="AX280" s="4" t="s">
        <v>81</v>
      </c>
      <c r="AY280" s="4"/>
      <c r="AZ280" s="4"/>
      <c r="BA280" s="4" t="s">
        <v>3498</v>
      </c>
      <c r="BB280" s="4">
        <v>10800</v>
      </c>
      <c r="BC280" s="4">
        <v>2700</v>
      </c>
      <c r="BD280" s="4">
        <v>0</v>
      </c>
      <c r="BE280" s="4" t="s">
        <v>91</v>
      </c>
      <c r="BF280" s="4"/>
      <c r="BG280" s="4"/>
      <c r="BH280" s="4" t="s">
        <v>3510</v>
      </c>
      <c r="BI280" s="72">
        <f>VLOOKUP(A280,'ID Block'!A:L,12,0)</f>
        <v>45508</v>
      </c>
      <c r="BJ280" s="154" t="str">
        <f>VLOOKUP(A280,'ID Block'!A:M,13,0)</f>
        <v>Better opportunity</v>
      </c>
      <c r="BK280" s="4">
        <f t="shared" si="5"/>
        <v>242</v>
      </c>
      <c r="BL280" s="105" t="s">
        <v>168</v>
      </c>
      <c r="BM280" s="10"/>
      <c r="BN280" s="183"/>
      <c r="BO280" s="183"/>
    </row>
    <row r="281" ht="14.4" s="67" customFormat="1">
      <c r="A281" s="4">
        <v>171637</v>
      </c>
      <c r="B281" s="4"/>
      <c r="C281" s="55" t="s">
        <v>2632</v>
      </c>
      <c r="D281" s="4" t="s">
        <v>5864</v>
      </c>
      <c r="E281" s="4" t="s">
        <v>66</v>
      </c>
      <c r="F281" s="55">
        <v>496298</v>
      </c>
      <c r="G281" s="4" t="s">
        <v>67</v>
      </c>
      <c r="H281" s="4" t="s">
        <v>68</v>
      </c>
      <c r="I281" s="4" t="s">
        <v>2494</v>
      </c>
      <c r="J281" s="55" t="s">
        <v>1725</v>
      </c>
      <c r="K281" s="4" t="s">
        <v>71</v>
      </c>
      <c r="L281" s="4" t="s">
        <v>72</v>
      </c>
      <c r="M281" s="4" t="s">
        <v>115</v>
      </c>
      <c r="N281" s="4" t="s">
        <v>74</v>
      </c>
      <c r="O281" s="4" t="s">
        <v>75</v>
      </c>
      <c r="P281" s="4" t="s">
        <v>5592</v>
      </c>
      <c r="Q281" s="57">
        <v>45455</v>
      </c>
      <c r="R281" s="57">
        <v>45475</v>
      </c>
      <c r="S281" s="113"/>
      <c r="T281" s="113"/>
      <c r="U281" s="4"/>
      <c r="V281" s="4"/>
      <c r="W281" s="105" t="s">
        <v>5865</v>
      </c>
      <c r="X281" s="114">
        <v>1611144861</v>
      </c>
      <c r="Y281" s="55">
        <v>1676079365</v>
      </c>
      <c r="Z281" s="4" t="s">
        <v>5866</v>
      </c>
      <c r="AA281" s="4">
        <v>1676079365</v>
      </c>
      <c r="AB281" s="4" t="s">
        <v>2429</v>
      </c>
      <c r="AC281" s="4" t="s">
        <v>2456</v>
      </c>
      <c r="AD281" s="113">
        <v>35112</v>
      </c>
      <c r="AE281" s="107"/>
      <c r="AF281" s="4" t="s">
        <v>2618</v>
      </c>
      <c r="AG281" s="114">
        <v>1941095117</v>
      </c>
      <c r="AH281" s="4" t="s">
        <v>790</v>
      </c>
      <c r="AI281" s="55" t="s">
        <v>5867</v>
      </c>
      <c r="AJ281" s="55" t="s">
        <v>542</v>
      </c>
      <c r="AK281" s="55">
        <v>2020</v>
      </c>
      <c r="AL281" s="4" t="s">
        <v>5868</v>
      </c>
      <c r="AM281" s="4" t="s">
        <v>5869</v>
      </c>
      <c r="AN281" s="4" t="s">
        <v>5870</v>
      </c>
      <c r="AO281" s="4" t="s">
        <v>5871</v>
      </c>
      <c r="AP281" s="4" t="s">
        <v>5871</v>
      </c>
      <c r="AQ281" s="55" t="s">
        <v>5872</v>
      </c>
      <c r="AR281" s="4" t="s">
        <v>1363</v>
      </c>
      <c r="AS281" s="4" t="s">
        <v>790</v>
      </c>
      <c r="AT281" s="72" t="s">
        <v>790</v>
      </c>
      <c r="AU281" s="4" t="s">
        <v>790</v>
      </c>
      <c r="AV281" s="4" t="s">
        <v>790</v>
      </c>
      <c r="AW281" s="4" t="s">
        <v>81</v>
      </c>
      <c r="AX281" s="4" t="s">
        <v>81</v>
      </c>
      <c r="AY281" s="4" t="s">
        <v>81</v>
      </c>
      <c r="AZ281" s="4" t="s">
        <v>81</v>
      </c>
      <c r="BA281" s="4" t="s">
        <v>3498</v>
      </c>
      <c r="BB281" s="4">
        <v>10800</v>
      </c>
      <c r="BC281" s="4">
        <v>2700</v>
      </c>
      <c r="BD281" s="4">
        <v>0</v>
      </c>
      <c r="BE281" s="4" t="s">
        <v>91</v>
      </c>
      <c r="BF281" s="4"/>
      <c r="BG281" s="4"/>
      <c r="BH281" s="4" t="s">
        <v>3510</v>
      </c>
      <c r="BI281" s="72">
        <f>VLOOKUP(A281,'ID Block'!A:L,12,0)</f>
        <v>45512</v>
      </c>
      <c r="BJ281" s="154" t="str">
        <f>VLOOKUP(A281,'ID Block'!A:M,13,0)</f>
        <v>Higher study</v>
      </c>
      <c r="BK281" s="4">
        <f t="shared" si="5"/>
        <v>37</v>
      </c>
      <c r="BL281" s="105" t="s">
        <v>168</v>
      </c>
      <c r="BM281" s="10"/>
      <c r="BN281" s="183"/>
      <c r="BO281" s="183"/>
    </row>
    <row r="282" ht="14.4" s="67" customFormat="1">
      <c r="A282" s="4">
        <v>171328</v>
      </c>
      <c r="B282" s="4"/>
      <c r="C282" s="55" t="s">
        <v>5873</v>
      </c>
      <c r="D282" s="4" t="s">
        <v>5874</v>
      </c>
      <c r="E282" s="4" t="s">
        <v>114</v>
      </c>
      <c r="F282" s="55">
        <v>1412774607</v>
      </c>
      <c r="G282" s="4" t="s">
        <v>67</v>
      </c>
      <c r="H282" s="4" t="s">
        <v>68</v>
      </c>
      <c r="I282" s="4" t="s">
        <v>2494</v>
      </c>
      <c r="J282" s="55" t="s">
        <v>155</v>
      </c>
      <c r="K282" s="4" t="s">
        <v>71</v>
      </c>
      <c r="L282" s="4" t="s">
        <v>72</v>
      </c>
      <c r="M282" s="4" t="s">
        <v>196</v>
      </c>
      <c r="N282" s="4" t="s">
        <v>74</v>
      </c>
      <c r="O282" s="4" t="s">
        <v>75</v>
      </c>
      <c r="P282" s="4" t="s">
        <v>4733</v>
      </c>
      <c r="Q282" s="57">
        <v>45323</v>
      </c>
      <c r="R282" s="57">
        <v>45339</v>
      </c>
      <c r="S282" s="113"/>
      <c r="T282" s="113"/>
      <c r="U282" s="4"/>
      <c r="V282" s="4"/>
      <c r="W282" s="105" t="s">
        <v>5875</v>
      </c>
      <c r="X282" s="114">
        <v>1719241642</v>
      </c>
      <c r="Y282" s="55">
        <v>1986949038</v>
      </c>
      <c r="Z282" s="4" t="s">
        <v>5876</v>
      </c>
      <c r="AA282" s="4">
        <v>1768626253</v>
      </c>
      <c r="AB282" s="4" t="s">
        <v>132</v>
      </c>
      <c r="AC282" s="4" t="s">
        <v>133</v>
      </c>
      <c r="AD282" s="113">
        <v>35418</v>
      </c>
      <c r="AE282" s="107">
        <f>((TODAY())-AD282)/365</f>
        <v>28.161643835616438</v>
      </c>
      <c r="AF282" s="4" t="s">
        <v>80</v>
      </c>
      <c r="AG282" s="114">
        <v>5558894050</v>
      </c>
      <c r="AH282" s="4" t="s">
        <v>81</v>
      </c>
      <c r="AI282" s="55" t="s">
        <v>290</v>
      </c>
      <c r="AJ282" s="55" t="s">
        <v>81</v>
      </c>
      <c r="AK282" s="55">
        <v>2023</v>
      </c>
      <c r="AL282" s="4" t="s">
        <v>5877</v>
      </c>
      <c r="AM282" s="4" t="s">
        <v>5878</v>
      </c>
      <c r="AN282" s="4" t="s">
        <v>5876</v>
      </c>
      <c r="AO282" s="4" t="s">
        <v>5879</v>
      </c>
      <c r="AP282" s="4" t="s">
        <v>5880</v>
      </c>
      <c r="AQ282" s="55" t="s">
        <v>4921</v>
      </c>
      <c r="AR282" s="4" t="s">
        <v>110</v>
      </c>
      <c r="AS282" s="4" t="s">
        <v>81</v>
      </c>
      <c r="AT282" s="72" t="s">
        <v>81</v>
      </c>
      <c r="AU282" s="4" t="s">
        <v>81</v>
      </c>
      <c r="AV282" s="4" t="s">
        <v>81</v>
      </c>
      <c r="AW282" s="4" t="s">
        <v>81</v>
      </c>
      <c r="AX282" s="4" t="s">
        <v>81</v>
      </c>
      <c r="AY282" s="4"/>
      <c r="AZ282" s="4"/>
      <c r="BA282" s="4" t="s">
        <v>3498</v>
      </c>
      <c r="BB282" s="4">
        <v>10800</v>
      </c>
      <c r="BC282" s="4">
        <v>2700</v>
      </c>
      <c r="BD282" s="4">
        <v>1000</v>
      </c>
      <c r="BE282" s="4" t="s">
        <v>166</v>
      </c>
      <c r="BF282" s="4"/>
      <c r="BG282" s="4"/>
      <c r="BH282" s="4" t="s">
        <v>3510</v>
      </c>
      <c r="BI282" s="72">
        <f>VLOOKUP(A282,'ID Block'!A:L,12,0)</f>
        <v>45512</v>
      </c>
      <c r="BJ282" s="154" t="str">
        <f>VLOOKUP(A282,'ID Block'!A:M,13,0)</f>
        <v>Better opportunity</v>
      </c>
      <c r="BK282" s="4">
        <f t="shared" si="5"/>
        <v>173</v>
      </c>
      <c r="BL282" s="105" t="s">
        <v>168</v>
      </c>
      <c r="BM282" s="10"/>
      <c r="BN282" s="183"/>
      <c r="BO282" s="183"/>
    </row>
    <row r="283" ht="14.4" s="67" customFormat="1">
      <c r="A283" s="4">
        <v>171218</v>
      </c>
      <c r="B283" s="4"/>
      <c r="C283" s="55" t="s">
        <v>5881</v>
      </c>
      <c r="D283" s="4" t="s">
        <v>5882</v>
      </c>
      <c r="E283" s="4" t="s">
        <v>114</v>
      </c>
      <c r="F283" s="55" t="s">
        <v>5883</v>
      </c>
      <c r="G283" s="4" t="s">
        <v>67</v>
      </c>
      <c r="H283" s="4" t="s">
        <v>68</v>
      </c>
      <c r="I283" s="4" t="s">
        <v>2494</v>
      </c>
      <c r="J283" s="55" t="s">
        <v>155</v>
      </c>
      <c r="K283" s="4" t="s">
        <v>71</v>
      </c>
      <c r="L283" s="4" t="s">
        <v>72</v>
      </c>
      <c r="M283" s="4" t="s">
        <v>196</v>
      </c>
      <c r="N283" s="4" t="s">
        <v>74</v>
      </c>
      <c r="O283" s="4" t="s">
        <v>75</v>
      </c>
      <c r="P283" s="4" t="s">
        <v>4271</v>
      </c>
      <c r="Q283" s="57">
        <v>45246</v>
      </c>
      <c r="R283" s="57">
        <v>45264</v>
      </c>
      <c r="S283" s="113"/>
      <c r="T283" s="113"/>
      <c r="U283" s="4"/>
      <c r="V283" s="4"/>
      <c r="W283" s="105" t="s">
        <v>5884</v>
      </c>
      <c r="X283" s="114">
        <v>1642175252</v>
      </c>
      <c r="Y283" s="55">
        <v>1518909169</v>
      </c>
      <c r="Z283" s="4" t="s">
        <v>5786</v>
      </c>
      <c r="AA283" s="4">
        <v>1812468869</v>
      </c>
      <c r="AB283" s="4" t="s">
        <v>101</v>
      </c>
      <c r="AC283" s="4" t="s">
        <v>119</v>
      </c>
      <c r="AD283" s="113">
        <v>35688</v>
      </c>
      <c r="AE283" s="107">
        <f>((TODAY())-AD283)/365</f>
        <v>27.421917808219177</v>
      </c>
      <c r="AF283" s="4" t="s">
        <v>80</v>
      </c>
      <c r="AG283" s="114">
        <v>4653177875</v>
      </c>
      <c r="AH283" s="4" t="s">
        <v>81</v>
      </c>
      <c r="AI283" s="55" t="s">
        <v>265</v>
      </c>
      <c r="AJ283" s="55" t="s">
        <v>81</v>
      </c>
      <c r="AK283" s="55">
        <v>2022</v>
      </c>
      <c r="AL283" s="4" t="s">
        <v>209</v>
      </c>
      <c r="AM283" s="4" t="s">
        <v>5786</v>
      </c>
      <c r="AN283" s="4" t="s">
        <v>5885</v>
      </c>
      <c r="AO283" s="4" t="s">
        <v>5886</v>
      </c>
      <c r="AP283" s="4" t="s">
        <v>5887</v>
      </c>
      <c r="AQ283" s="55" t="s">
        <v>4921</v>
      </c>
      <c r="AR283" s="4" t="s">
        <v>110</v>
      </c>
      <c r="AS283" s="4" t="s">
        <v>81</v>
      </c>
      <c r="AT283" s="72" t="s">
        <v>81</v>
      </c>
      <c r="AU283" s="4" t="s">
        <v>81</v>
      </c>
      <c r="AV283" s="4" t="s">
        <v>81</v>
      </c>
      <c r="AW283" s="4" t="s">
        <v>81</v>
      </c>
      <c r="AX283" s="4" t="s">
        <v>81</v>
      </c>
      <c r="AY283" s="4"/>
      <c r="AZ283" s="4"/>
      <c r="BA283" s="4" t="s">
        <v>3498</v>
      </c>
      <c r="BB283" s="4">
        <v>10800</v>
      </c>
      <c r="BC283" s="4">
        <v>2700</v>
      </c>
      <c r="BD283" s="4">
        <v>1000</v>
      </c>
      <c r="BE283" s="4" t="s">
        <v>166</v>
      </c>
      <c r="BF283" s="4"/>
      <c r="BG283" s="4"/>
      <c r="BH283" s="4" t="s">
        <v>3510</v>
      </c>
      <c r="BI283" s="72">
        <f>VLOOKUP(A283,'ID Block'!A:L,12,0)</f>
        <v>45512</v>
      </c>
      <c r="BJ283" s="154" t="str">
        <f>VLOOKUP(A283,'ID Block'!A:M,13,0)</f>
        <v>Better opportunity</v>
      </c>
      <c r="BK283" s="4">
        <f t="shared" si="5"/>
        <v>248</v>
      </c>
      <c r="BL283" s="105" t="s">
        <v>168</v>
      </c>
      <c r="BM283" s="10"/>
      <c r="BN283" s="183"/>
      <c r="BO283" s="183"/>
    </row>
    <row r="284" ht="14.4" s="67" customFormat="1">
      <c r="A284" s="4">
        <v>171697</v>
      </c>
      <c r="B284" s="4"/>
      <c r="C284" s="55" t="s">
        <v>5888</v>
      </c>
      <c r="D284" s="4" t="s">
        <v>5889</v>
      </c>
      <c r="E284" s="4" t="s">
        <v>114</v>
      </c>
      <c r="F284" s="55"/>
      <c r="G284" s="4" t="s">
        <v>67</v>
      </c>
      <c r="H284" s="4" t="s">
        <v>68</v>
      </c>
      <c r="I284" s="4" t="s">
        <v>2494</v>
      </c>
      <c r="J284" s="55" t="s">
        <v>155</v>
      </c>
      <c r="K284" s="4" t="s">
        <v>71</v>
      </c>
      <c r="L284" s="4" t="s">
        <v>72</v>
      </c>
      <c r="M284" s="4" t="s">
        <v>196</v>
      </c>
      <c r="N284" s="4"/>
      <c r="O284" s="4"/>
      <c r="P284" s="4">
        <v>36</v>
      </c>
      <c r="Q284" s="57">
        <v>45475</v>
      </c>
      <c r="R284" s="57">
        <v>45497</v>
      </c>
      <c r="S284" s="113"/>
      <c r="T284" s="113"/>
      <c r="U284" s="4"/>
      <c r="V284" s="4"/>
      <c r="W284" s="105"/>
      <c r="X284" s="114">
        <v>1782047781</v>
      </c>
      <c r="Y284" s="55"/>
      <c r="Z284" s="4"/>
      <c r="AA284" s="4"/>
      <c r="AB284" s="4"/>
      <c r="AC284" s="4"/>
      <c r="AD284" s="113"/>
      <c r="AE284" s="107"/>
      <c r="AF284" s="4"/>
      <c r="AG284" s="114"/>
      <c r="AH284" s="4"/>
      <c r="AI284" s="55"/>
      <c r="AJ284" s="55"/>
      <c r="AK284" s="55"/>
      <c r="AL284" s="4"/>
      <c r="AM284" s="4"/>
      <c r="AN284" s="4"/>
      <c r="AO284" s="4"/>
      <c r="AP284" s="4"/>
      <c r="AQ284" s="55"/>
      <c r="AR284" s="4"/>
      <c r="AS284" s="4"/>
      <c r="AT284" s="72"/>
      <c r="AU284" s="4"/>
      <c r="AV284" s="4"/>
      <c r="AW284" s="4"/>
      <c r="AX284" s="4"/>
      <c r="AY284" s="4"/>
      <c r="AZ284" s="4"/>
      <c r="BA284" s="4"/>
      <c r="BB284" s="4">
        <v>10800</v>
      </c>
      <c r="BC284" s="4">
        <v>2700</v>
      </c>
      <c r="BD284" s="4">
        <v>1000</v>
      </c>
      <c r="BE284" s="4" t="s">
        <v>166</v>
      </c>
      <c r="BF284" s="4"/>
      <c r="BG284" s="4"/>
      <c r="BH284" s="4" t="s">
        <v>3510</v>
      </c>
      <c r="BI284" s="72">
        <f>VLOOKUP(A284,'ID Block'!A:L,12,0)</f>
        <v>45506</v>
      </c>
      <c r="BJ284" s="154" t="str">
        <f>VLOOKUP(A284,'ID Block'!A:M,13,0)</f>
        <v>Better opportunity</v>
      </c>
      <c r="BK284" s="4">
        <f t="shared" si="5"/>
        <v>9</v>
      </c>
      <c r="BL284" s="105" t="s">
        <v>168</v>
      </c>
      <c r="BM284" s="10"/>
      <c r="BN284" s="183"/>
      <c r="BO284" s="183"/>
    </row>
    <row r="285" ht="14.4" s="67" customFormat="1">
      <c r="A285" s="4">
        <v>171184</v>
      </c>
      <c r="B285" s="4"/>
      <c r="C285" s="55" t="s">
        <v>2344</v>
      </c>
      <c r="D285" s="4" t="s">
        <v>5890</v>
      </c>
      <c r="E285" s="4" t="s">
        <v>114</v>
      </c>
      <c r="F285" s="55">
        <v>1112707710</v>
      </c>
      <c r="G285" s="4" t="s">
        <v>67</v>
      </c>
      <c r="H285" s="4" t="s">
        <v>68</v>
      </c>
      <c r="I285" s="4" t="s">
        <v>2494</v>
      </c>
      <c r="J285" s="55" t="s">
        <v>341</v>
      </c>
      <c r="K285" s="4" t="s">
        <v>71</v>
      </c>
      <c r="L285" s="4" t="s">
        <v>72</v>
      </c>
      <c r="M285" s="4" t="s">
        <v>115</v>
      </c>
      <c r="N285" s="4" t="s">
        <v>74</v>
      </c>
      <c r="O285" s="4" t="s">
        <v>75</v>
      </c>
      <c r="P285" s="4" t="s">
        <v>3987</v>
      </c>
      <c r="Q285" s="57">
        <v>45206</v>
      </c>
      <c r="R285" s="57">
        <v>45211</v>
      </c>
      <c r="S285" s="113"/>
      <c r="T285" s="113"/>
      <c r="U285" s="4"/>
      <c r="V285" s="4"/>
      <c r="W285" s="105" t="s">
        <v>5891</v>
      </c>
      <c r="X285" s="114">
        <v>1774277027</v>
      </c>
      <c r="Y285" s="55">
        <v>1771353768</v>
      </c>
      <c r="Z285" s="4" t="s">
        <v>5892</v>
      </c>
      <c r="AA285" s="4">
        <v>1302687922</v>
      </c>
      <c r="AB285" s="4" t="s">
        <v>186</v>
      </c>
      <c r="AC285" s="4" t="s">
        <v>119</v>
      </c>
      <c r="AD285" s="113">
        <v>35797</v>
      </c>
      <c r="AE285" s="107">
        <f>((TODAY())-AD285)/365</f>
        <v>27.123287671232877</v>
      </c>
      <c r="AF285" s="4" t="s">
        <v>80</v>
      </c>
      <c r="AG285" s="114">
        <v>6904530786</v>
      </c>
      <c r="AH285" s="4" t="s">
        <v>81</v>
      </c>
      <c r="AI285" s="55" t="s">
        <v>513</v>
      </c>
      <c r="AJ285" s="55" t="s">
        <v>542</v>
      </c>
      <c r="AK285" s="55">
        <v>2019</v>
      </c>
      <c r="AL285" s="4" t="s">
        <v>5893</v>
      </c>
      <c r="AM285" s="4" t="s">
        <v>5894</v>
      </c>
      <c r="AN285" s="4" t="s">
        <v>5895</v>
      </c>
      <c r="AO285" s="4" t="s">
        <v>5896</v>
      </c>
      <c r="AP285" s="4" t="s">
        <v>5897</v>
      </c>
      <c r="AQ285" s="55" t="s">
        <v>285</v>
      </c>
      <c r="AR285" s="4" t="s">
        <v>89</v>
      </c>
      <c r="AS285" s="4" t="s">
        <v>5898</v>
      </c>
      <c r="AT285" s="72"/>
      <c r="AU285" s="4"/>
      <c r="AV285" s="4"/>
      <c r="AW285" s="4"/>
      <c r="AX285" s="4"/>
      <c r="AY285" s="4"/>
      <c r="AZ285" s="4"/>
      <c r="BA285" s="4" t="s">
        <v>3498</v>
      </c>
      <c r="BB285" s="4">
        <v>10800</v>
      </c>
      <c r="BC285" s="4">
        <v>2700</v>
      </c>
      <c r="BD285" s="4">
        <v>0</v>
      </c>
      <c r="BE285" s="4" t="s">
        <v>296</v>
      </c>
      <c r="BF285" s="4"/>
      <c r="BG285" s="4"/>
      <c r="BH285" s="4" t="s">
        <v>3510</v>
      </c>
      <c r="BI285" s="72">
        <f>VLOOKUP(A285,'ID Block'!A:L,12,0)</f>
        <v>45512</v>
      </c>
      <c r="BJ285" s="154" t="str">
        <f>VLOOKUP(A285,'ID Block'!A:M,13,0)</f>
        <v>Health issue</v>
      </c>
      <c r="BK285" s="4">
        <f t="shared" si="5"/>
        <v>301</v>
      </c>
      <c r="BL285" s="105" t="s">
        <v>168</v>
      </c>
      <c r="BM285" s="10"/>
      <c r="BN285" s="183"/>
      <c r="BO285" s="183"/>
    </row>
    <row r="286" ht="14.4" s="67" customFormat="1">
      <c r="A286" s="4">
        <v>171531</v>
      </c>
      <c r="B286" s="4"/>
      <c r="C286" s="55" t="s">
        <v>5899</v>
      </c>
      <c r="D286" s="4" t="s">
        <v>5900</v>
      </c>
      <c r="E286" s="4" t="s">
        <v>114</v>
      </c>
      <c r="F286" s="55">
        <v>865155</v>
      </c>
      <c r="G286" s="4" t="s">
        <v>67</v>
      </c>
      <c r="H286" s="4" t="s">
        <v>68</v>
      </c>
      <c r="I286" s="4" t="s">
        <v>2494</v>
      </c>
      <c r="J286" s="55" t="s">
        <v>155</v>
      </c>
      <c r="K286" s="4" t="s">
        <v>71</v>
      </c>
      <c r="L286" s="4" t="s">
        <v>72</v>
      </c>
      <c r="M286" s="4" t="s">
        <v>196</v>
      </c>
      <c r="N286" s="4" t="s">
        <v>74</v>
      </c>
      <c r="O286" s="4" t="s">
        <v>75</v>
      </c>
      <c r="P286" s="4" t="s">
        <v>5394</v>
      </c>
      <c r="Q286" s="57">
        <v>45442</v>
      </c>
      <c r="R286" s="57">
        <v>45456</v>
      </c>
      <c r="S286" s="113"/>
      <c r="T286" s="113"/>
      <c r="U286" s="4"/>
      <c r="V286" s="4"/>
      <c r="W286" s="105" t="s">
        <v>5901</v>
      </c>
      <c r="X286" s="114">
        <v>1821275905</v>
      </c>
      <c r="Y286" s="55" t="s">
        <v>5902</v>
      </c>
      <c r="Z286" s="4" t="s">
        <v>132</v>
      </c>
      <c r="AA286" s="4" t="s">
        <v>5903</v>
      </c>
      <c r="AB286" s="4" t="s">
        <v>789</v>
      </c>
      <c r="AC286" s="4" t="s">
        <v>79</v>
      </c>
      <c r="AD286" s="113" t="s">
        <v>5904</v>
      </c>
      <c r="AE286" s="107"/>
      <c r="AF286" s="4" t="s">
        <v>80</v>
      </c>
      <c r="AG286" s="114">
        <v>2827016839</v>
      </c>
      <c r="AH286" s="4" t="s">
        <v>81</v>
      </c>
      <c r="AI286" s="55" t="s">
        <v>5905</v>
      </c>
      <c r="AJ286" s="55" t="s">
        <v>5905</v>
      </c>
      <c r="AK286" s="55">
        <v>2019</v>
      </c>
      <c r="AL286" s="4" t="s">
        <v>5906</v>
      </c>
      <c r="AM286" s="4" t="s">
        <v>5907</v>
      </c>
      <c r="AN286" s="4" t="s">
        <v>1499</v>
      </c>
      <c r="AO286" s="4" t="s">
        <v>5908</v>
      </c>
      <c r="AP286" s="4" t="s">
        <v>5908</v>
      </c>
      <c r="AQ286" s="55" t="s">
        <v>5909</v>
      </c>
      <c r="AR286" s="4" t="s">
        <v>5910</v>
      </c>
      <c r="AS286" s="4" t="s">
        <v>81</v>
      </c>
      <c r="AT286" s="72" t="s">
        <v>81</v>
      </c>
      <c r="AU286" s="4" t="s">
        <v>81</v>
      </c>
      <c r="AV286" s="4" t="s">
        <v>81</v>
      </c>
      <c r="AW286" s="4" t="s">
        <v>81</v>
      </c>
      <c r="AX286" s="4" t="s">
        <v>81</v>
      </c>
      <c r="AY286" s="4" t="s">
        <v>81</v>
      </c>
      <c r="AZ286" s="4" t="s">
        <v>81</v>
      </c>
      <c r="BA286" s="4" t="s">
        <v>3498</v>
      </c>
      <c r="BB286" s="4">
        <v>10800</v>
      </c>
      <c r="BC286" s="4">
        <v>2700</v>
      </c>
      <c r="BD286" s="4">
        <v>1000</v>
      </c>
      <c r="BE286" s="4" t="s">
        <v>166</v>
      </c>
      <c r="BF286" s="4"/>
      <c r="BG286" s="4"/>
      <c r="BH286" s="4" t="s">
        <v>3510</v>
      </c>
      <c r="BI286" s="72">
        <f>VLOOKUP(A286,'ID Block'!A:L,12,0)</f>
        <v>45512</v>
      </c>
      <c r="BJ286" s="154" t="str">
        <f>VLOOKUP(A286,'ID Block'!A:M,13,0)</f>
        <v>Better opportunity</v>
      </c>
      <c r="BK286" s="4">
        <f t="shared" si="5"/>
        <v>56</v>
      </c>
      <c r="BL286" s="105" t="s">
        <v>168</v>
      </c>
      <c r="BM286" s="10"/>
      <c r="BN286" s="183"/>
      <c r="BO286" s="183"/>
    </row>
    <row r="287" ht="14.4" s="67" customFormat="1">
      <c r="A287" s="4">
        <v>171388</v>
      </c>
      <c r="B287" s="4"/>
      <c r="C287" s="55"/>
      <c r="D287" s="4" t="s">
        <v>5911</v>
      </c>
      <c r="E287" s="4" t="s">
        <v>114</v>
      </c>
      <c r="F287" s="55"/>
      <c r="G287" s="4" t="s">
        <v>67</v>
      </c>
      <c r="H287" s="4" t="s">
        <v>68</v>
      </c>
      <c r="I287" s="4" t="s">
        <v>2494</v>
      </c>
      <c r="J287" s="55" t="s">
        <v>307</v>
      </c>
      <c r="K287" s="4" t="s">
        <v>71</v>
      </c>
      <c r="L287" s="4" t="s">
        <v>72</v>
      </c>
      <c r="M287" s="4" t="s">
        <v>98</v>
      </c>
      <c r="N287" s="4" t="s">
        <v>74</v>
      </c>
      <c r="O287" s="4" t="s">
        <v>75</v>
      </c>
      <c r="P287" s="4" t="s">
        <v>4900</v>
      </c>
      <c r="Q287" s="57">
        <v>45371</v>
      </c>
      <c r="R287" s="57">
        <v>45384</v>
      </c>
      <c r="S287" s="113"/>
      <c r="T287" s="113"/>
      <c r="U287" s="4"/>
      <c r="V287" s="4"/>
      <c r="W287" s="105" t="s">
        <v>5912</v>
      </c>
      <c r="X287" s="114">
        <v>1749968440</v>
      </c>
      <c r="Y287" s="55">
        <v>1775901109</v>
      </c>
      <c r="Z287" s="4" t="s">
        <v>132</v>
      </c>
      <c r="AA287" s="4">
        <v>1775901109</v>
      </c>
      <c r="AB287" s="4" t="s">
        <v>132</v>
      </c>
      <c r="AC287" s="4" t="s">
        <v>102</v>
      </c>
      <c r="AD287" s="113">
        <v>36534</v>
      </c>
      <c r="AE287" s="107">
        <f>((TODAY())-AD287)/365</f>
        <v>25.104109589041094</v>
      </c>
      <c r="AF287" s="4" t="s">
        <v>80</v>
      </c>
      <c r="AG287" s="114">
        <v>3762744427</v>
      </c>
      <c r="AH287" s="4" t="s">
        <v>81</v>
      </c>
      <c r="AI287" s="55" t="s">
        <v>421</v>
      </c>
      <c r="AJ287" s="55" t="s">
        <v>81</v>
      </c>
      <c r="AK287" s="55">
        <v>2024</v>
      </c>
      <c r="AL287" s="4" t="s">
        <v>421</v>
      </c>
      <c r="AM287" s="4" t="s">
        <v>5913</v>
      </c>
      <c r="AN287" s="4" t="s">
        <v>5914</v>
      </c>
      <c r="AO287" s="4" t="s">
        <v>5915</v>
      </c>
      <c r="AP287" s="4" t="s">
        <v>5916</v>
      </c>
      <c r="AQ287" s="55" t="s">
        <v>223</v>
      </c>
      <c r="AR287" s="4" t="s">
        <v>110</v>
      </c>
      <c r="AS287" s="4" t="s">
        <v>81</v>
      </c>
      <c r="AT287" s="72" t="s">
        <v>81</v>
      </c>
      <c r="AU287" s="4" t="s">
        <v>81</v>
      </c>
      <c r="AV287" s="4" t="s">
        <v>81</v>
      </c>
      <c r="AW287" s="4" t="s">
        <v>81</v>
      </c>
      <c r="AX287" s="4" t="s">
        <v>81</v>
      </c>
      <c r="AY287" s="4"/>
      <c r="AZ287" s="4"/>
      <c r="BA287" s="4" t="s">
        <v>3498</v>
      </c>
      <c r="BB287" s="4">
        <v>10800</v>
      </c>
      <c r="BC287" s="4">
        <v>2700</v>
      </c>
      <c r="BD287" s="4">
        <v>0</v>
      </c>
      <c r="BE287" s="4" t="s">
        <v>91</v>
      </c>
      <c r="BF287" s="4"/>
      <c r="BG287" s="4"/>
      <c r="BH287" s="4" t="s">
        <v>3510</v>
      </c>
      <c r="BI287" s="72">
        <f>VLOOKUP(A287,'ID Block'!A:L,12,0)</f>
        <v>45508</v>
      </c>
      <c r="BJ287" s="154" t="str">
        <f>VLOOKUP(A287,'ID Block'!A:M,13,0)</f>
        <v>Personal  Issue</v>
      </c>
      <c r="BK287" s="4">
        <f t="shared" si="5"/>
        <v>124</v>
      </c>
      <c r="BL287" s="105" t="s">
        <v>168</v>
      </c>
      <c r="BM287" s="10"/>
      <c r="BN287" s="183"/>
      <c r="BO287" s="183"/>
    </row>
    <row r="288" ht="14.4" s="67" customFormat="1">
      <c r="A288" s="4">
        <v>171357</v>
      </c>
      <c r="B288" s="4"/>
      <c r="C288" s="55"/>
      <c r="D288" s="4" t="s">
        <v>5917</v>
      </c>
      <c r="E288" s="4" t="s">
        <v>114</v>
      </c>
      <c r="F288" s="55" t="s">
        <v>5918</v>
      </c>
      <c r="G288" s="4" t="s">
        <v>67</v>
      </c>
      <c r="H288" s="4" t="s">
        <v>68</v>
      </c>
      <c r="I288" s="4" t="s">
        <v>2494</v>
      </c>
      <c r="J288" s="55" t="s">
        <v>307</v>
      </c>
      <c r="K288" s="4" t="s">
        <v>71</v>
      </c>
      <c r="L288" s="4" t="s">
        <v>72</v>
      </c>
      <c r="M288" s="4" t="s">
        <v>98</v>
      </c>
      <c r="N288" s="4" t="s">
        <v>74</v>
      </c>
      <c r="O288" s="4" t="s">
        <v>75</v>
      </c>
      <c r="P288" s="4" t="s">
        <v>4951</v>
      </c>
      <c r="Q288" s="57">
        <v>45338</v>
      </c>
      <c r="R288" s="57">
        <v>45356</v>
      </c>
      <c r="S288" s="113"/>
      <c r="T288" s="113"/>
      <c r="U288" s="4"/>
      <c r="V288" s="4"/>
      <c r="W288" s="105" t="s">
        <v>5919</v>
      </c>
      <c r="X288" s="114">
        <v>1992935299</v>
      </c>
      <c r="Y288" s="55">
        <v>1730363357</v>
      </c>
      <c r="Z288" s="4" t="s">
        <v>5920</v>
      </c>
      <c r="AA288" s="4">
        <v>1730363357</v>
      </c>
      <c r="AB288" s="4" t="s">
        <v>186</v>
      </c>
      <c r="AC288" s="4" t="s">
        <v>5921</v>
      </c>
      <c r="AD288" s="113">
        <v>34580</v>
      </c>
      <c r="AE288" s="107">
        <f>((TODAY())-AD288)/365</f>
        <v>30.457534246575342</v>
      </c>
      <c r="AF288" s="4" t="s">
        <v>80</v>
      </c>
      <c r="AG288" s="114">
        <v>19942695409000200</v>
      </c>
      <c r="AH288" s="4" t="s">
        <v>1334</v>
      </c>
      <c r="AI288" s="55" t="s">
        <v>322</v>
      </c>
      <c r="AJ288" s="55" t="s">
        <v>81</v>
      </c>
      <c r="AK288" s="55">
        <v>2019</v>
      </c>
      <c r="AL288" s="4" t="s">
        <v>5922</v>
      </c>
      <c r="AM288" s="4" t="s">
        <v>5923</v>
      </c>
      <c r="AN288" s="4" t="s">
        <v>5924</v>
      </c>
      <c r="AO288" s="4" t="s">
        <v>5925</v>
      </c>
      <c r="AP288" s="4" t="s">
        <v>5925</v>
      </c>
      <c r="AQ288" s="55" t="s">
        <v>5926</v>
      </c>
      <c r="AR288" s="4" t="s">
        <v>89</v>
      </c>
      <c r="AS288" s="4" t="s">
        <v>5920</v>
      </c>
      <c r="AT288" s="72">
        <v>34470</v>
      </c>
      <c r="AU288" s="4" t="s">
        <v>1334</v>
      </c>
      <c r="AV288" s="4" t="s">
        <v>1334</v>
      </c>
      <c r="AW288" s="4" t="s">
        <v>81</v>
      </c>
      <c r="AX288" s="4" t="s">
        <v>81</v>
      </c>
      <c r="AY288" s="4"/>
      <c r="AZ288" s="4"/>
      <c r="BA288" s="4" t="s">
        <v>3498</v>
      </c>
      <c r="BB288" s="4">
        <v>10800</v>
      </c>
      <c r="BC288" s="4">
        <v>2700</v>
      </c>
      <c r="BD288" s="4">
        <v>0</v>
      </c>
      <c r="BE288" s="4" t="s">
        <v>91</v>
      </c>
      <c r="BF288" s="4"/>
      <c r="BG288" s="4"/>
      <c r="BH288" s="4" t="s">
        <v>3510</v>
      </c>
      <c r="BI288" s="72">
        <f>VLOOKUP(A288,'ID Block'!A:L,12,0)</f>
        <v>45508</v>
      </c>
      <c r="BJ288" s="154" t="str">
        <f>VLOOKUP(A288,'ID Block'!A:M,13,0)</f>
        <v>Personal  Issue</v>
      </c>
      <c r="BK288" s="4">
        <f t="shared" si="5"/>
        <v>152</v>
      </c>
      <c r="BL288" s="105" t="s">
        <v>168</v>
      </c>
      <c r="BM288" s="10"/>
      <c r="BN288" s="183"/>
      <c r="BO288" s="183"/>
    </row>
    <row r="289" ht="14.4" s="67" customFormat="1">
      <c r="A289" s="4">
        <v>171735</v>
      </c>
      <c r="B289" s="4"/>
      <c r="C289" s="55" t="s">
        <v>3041</v>
      </c>
      <c r="D289" s="4" t="s">
        <v>5927</v>
      </c>
      <c r="E289" s="4" t="s">
        <v>66</v>
      </c>
      <c r="F289" s="55">
        <v>17501000023</v>
      </c>
      <c r="G289" s="4" t="s">
        <v>67</v>
      </c>
      <c r="H289" s="4" t="s">
        <v>68</v>
      </c>
      <c r="I289" s="4" t="s">
        <v>2494</v>
      </c>
      <c r="J289" s="55" t="s">
        <v>297</v>
      </c>
      <c r="K289" s="4" t="s">
        <v>1766</v>
      </c>
      <c r="L289" s="4" t="s">
        <v>1767</v>
      </c>
      <c r="M289" s="4" t="s">
        <v>2643</v>
      </c>
      <c r="N289" s="4" t="s">
        <v>5698</v>
      </c>
      <c r="O289" s="4" t="s">
        <v>2024</v>
      </c>
      <c r="P289" s="4">
        <v>38</v>
      </c>
      <c r="Q289" s="57">
        <v>45482</v>
      </c>
      <c r="R289" s="57">
        <v>45498</v>
      </c>
      <c r="S289" s="113" t="s">
        <v>81</v>
      </c>
      <c r="T289" s="113" t="s">
        <v>81</v>
      </c>
      <c r="U289" s="4" t="s">
        <v>81</v>
      </c>
      <c r="V289" s="4" t="s">
        <v>242</v>
      </c>
      <c r="W289" s="105" t="s">
        <v>5928</v>
      </c>
      <c r="X289" s="114">
        <v>1680928884</v>
      </c>
      <c r="Y289" s="55">
        <v>1747773164</v>
      </c>
      <c r="Z289" s="4" t="s">
        <v>1053</v>
      </c>
      <c r="AA289" s="4">
        <v>1719627966</v>
      </c>
      <c r="AB289" s="4" t="s">
        <v>101</v>
      </c>
      <c r="AC289" s="4" t="s">
        <v>79</v>
      </c>
      <c r="AD289" s="113" t="s">
        <v>5929</v>
      </c>
      <c r="AE289" s="107"/>
      <c r="AF289" s="4" t="s">
        <v>80</v>
      </c>
      <c r="AG289" s="114">
        <v>2855514630</v>
      </c>
      <c r="AH289" s="4" t="s">
        <v>81</v>
      </c>
      <c r="AI289" s="55" t="s">
        <v>322</v>
      </c>
      <c r="AJ289" s="55" t="s">
        <v>81</v>
      </c>
      <c r="AK289" s="55" t="s">
        <v>81</v>
      </c>
      <c r="AL289" s="4" t="s">
        <v>5930</v>
      </c>
      <c r="AM289" s="4" t="s">
        <v>1053</v>
      </c>
      <c r="AN289" s="4" t="s">
        <v>5931</v>
      </c>
      <c r="AO289" s="4" t="s">
        <v>5932</v>
      </c>
      <c r="AP289" s="4" t="s">
        <v>5933</v>
      </c>
      <c r="AQ289" s="55" t="s">
        <v>1209</v>
      </c>
      <c r="AR289" s="4" t="s">
        <v>110</v>
      </c>
      <c r="AS289" s="4" t="s">
        <v>81</v>
      </c>
      <c r="AT289" s="72" t="s">
        <v>81</v>
      </c>
      <c r="AU289" s="4" t="s">
        <v>81</v>
      </c>
      <c r="AV289" s="4" t="s">
        <v>81</v>
      </c>
      <c r="AW289" s="4" t="s">
        <v>81</v>
      </c>
      <c r="AX289" s="4" t="s">
        <v>81</v>
      </c>
      <c r="AY289" s="4" t="s">
        <v>81</v>
      </c>
      <c r="AZ289" s="4" t="s">
        <v>81</v>
      </c>
      <c r="BA289" s="4" t="s">
        <v>90</v>
      </c>
      <c r="BB289" s="4">
        <v>10800</v>
      </c>
      <c r="BC289" s="4">
        <v>2700</v>
      </c>
      <c r="BD289" s="4"/>
      <c r="BE289" s="4"/>
      <c r="BF289" s="4"/>
      <c r="BG289" s="4"/>
      <c r="BH289" s="4" t="s">
        <v>3510</v>
      </c>
      <c r="BI289" s="72">
        <f>VLOOKUP(A289,'ID Block'!A:L,12,0)</f>
        <v>45517</v>
      </c>
      <c r="BJ289" s="154" t="str">
        <f>VLOOKUP(A289,'ID Block'!A:M,13,0)</f>
        <v>Family purpose</v>
      </c>
      <c r="BK289" s="4">
        <f t="shared" si="5"/>
        <v>19</v>
      </c>
      <c r="BL289" s="105" t="s">
        <v>168</v>
      </c>
      <c r="BM289" s="10"/>
      <c r="BN289" s="183"/>
      <c r="BO289" s="183">
        <v>1747773164</v>
      </c>
    </row>
    <row r="290" ht="14.4" s="67" customFormat="1">
      <c r="A290" s="4">
        <v>171731</v>
      </c>
      <c r="B290" s="4"/>
      <c r="C290" s="55" t="s">
        <v>5934</v>
      </c>
      <c r="D290" s="4" t="s">
        <v>5935</v>
      </c>
      <c r="E290" s="4" t="s">
        <v>114</v>
      </c>
      <c r="F290" s="55">
        <v>1410755015</v>
      </c>
      <c r="G290" s="4" t="s">
        <v>67</v>
      </c>
      <c r="H290" s="4" t="s">
        <v>68</v>
      </c>
      <c r="I290" s="4" t="s">
        <v>2494</v>
      </c>
      <c r="J290" s="55" t="s">
        <v>97</v>
      </c>
      <c r="K290" s="4" t="s">
        <v>71</v>
      </c>
      <c r="L290" s="4" t="s">
        <v>72</v>
      </c>
      <c r="M290" s="4" t="s">
        <v>73</v>
      </c>
      <c r="N290" s="4" t="s">
        <v>74</v>
      </c>
      <c r="O290" s="4" t="s">
        <v>75</v>
      </c>
      <c r="P290" s="4">
        <v>37</v>
      </c>
      <c r="Q290" s="57">
        <v>45476</v>
      </c>
      <c r="R290" s="57">
        <v>45485</v>
      </c>
      <c r="S290" s="113" t="s">
        <v>242</v>
      </c>
      <c r="T290" s="113" t="s">
        <v>242</v>
      </c>
      <c r="U290" s="4" t="s">
        <v>242</v>
      </c>
      <c r="V290" s="4" t="s">
        <v>242</v>
      </c>
      <c r="W290" s="105" t="s">
        <v>5936</v>
      </c>
      <c r="X290" s="114">
        <v>1747676507</v>
      </c>
      <c r="Y290" s="55">
        <v>1866668695</v>
      </c>
      <c r="Z290" s="4" t="s">
        <v>1880</v>
      </c>
      <c r="AA290" s="4">
        <v>1817578109</v>
      </c>
      <c r="AB290" s="4" t="s">
        <v>132</v>
      </c>
      <c r="AC290" s="4" t="s">
        <v>1450</v>
      </c>
      <c r="AD290" s="113">
        <v>36709</v>
      </c>
      <c r="AE290" s="107"/>
      <c r="AF290" s="4" t="s">
        <v>80</v>
      </c>
      <c r="AG290" s="114">
        <v>5109699420</v>
      </c>
      <c r="AH290" s="4" t="s">
        <v>81</v>
      </c>
      <c r="AI290" s="55" t="s">
        <v>1101</v>
      </c>
      <c r="AJ290" s="55" t="s">
        <v>81</v>
      </c>
      <c r="AK290" s="55">
        <v>2024</v>
      </c>
      <c r="AL290" s="4" t="s">
        <v>995</v>
      </c>
      <c r="AM290" s="4" t="s">
        <v>5937</v>
      </c>
      <c r="AN290" s="4" t="s">
        <v>1880</v>
      </c>
      <c r="AO290" s="4" t="s">
        <v>5938</v>
      </c>
      <c r="AP290" s="4" t="s">
        <v>5939</v>
      </c>
      <c r="AQ290" s="55" t="s">
        <v>1382</v>
      </c>
      <c r="AR290" s="4" t="s">
        <v>110</v>
      </c>
      <c r="AS290" s="4" t="s">
        <v>81</v>
      </c>
      <c r="AT290" s="72" t="s">
        <v>81</v>
      </c>
      <c r="AU290" s="4" t="s">
        <v>81</v>
      </c>
      <c r="AV290" s="4" t="s">
        <v>81</v>
      </c>
      <c r="AW290" s="4" t="s">
        <v>81</v>
      </c>
      <c r="AX290" s="4" t="s">
        <v>81</v>
      </c>
      <c r="AY290" s="4" t="s">
        <v>81</v>
      </c>
      <c r="AZ290" s="4" t="s">
        <v>81</v>
      </c>
      <c r="BA290" s="4" t="s">
        <v>90</v>
      </c>
      <c r="BB290" s="4">
        <v>10800</v>
      </c>
      <c r="BC290" s="4">
        <v>2700</v>
      </c>
      <c r="BD290" s="4">
        <v>0</v>
      </c>
      <c r="BE290" s="4" t="s">
        <v>91</v>
      </c>
      <c r="BF290" s="4" t="s">
        <v>242</v>
      </c>
      <c r="BG290" s="4" t="s">
        <v>242</v>
      </c>
      <c r="BH290" s="4" t="s">
        <v>3510</v>
      </c>
      <c r="BI290" s="72">
        <f>VLOOKUP(A290,'ID Block'!A:L,12,0)</f>
        <v>45505</v>
      </c>
      <c r="BJ290" s="154" t="str">
        <f>VLOOKUP(A290,'ID Block'!A:M,13,0)</f>
        <v>Family purpose</v>
      </c>
      <c r="BK290" s="4">
        <f t="shared" si="5"/>
        <v>20</v>
      </c>
      <c r="BL290" s="105" t="s">
        <v>168</v>
      </c>
      <c r="BM290" s="10"/>
      <c r="BN290" s="183"/>
      <c r="BO290" s="183">
        <v>1747676507</v>
      </c>
    </row>
    <row r="291" ht="14.4" s="67" customFormat="1">
      <c r="A291" s="4">
        <v>171180</v>
      </c>
      <c r="B291" s="4"/>
      <c r="C291" s="55" t="s">
        <v>5940</v>
      </c>
      <c r="D291" s="4" t="s">
        <v>5941</v>
      </c>
      <c r="E291" s="4" t="s">
        <v>114</v>
      </c>
      <c r="F291" s="55" t="s">
        <v>5942</v>
      </c>
      <c r="G291" s="4" t="s">
        <v>67</v>
      </c>
      <c r="H291" s="4" t="s">
        <v>68</v>
      </c>
      <c r="I291" s="4" t="s">
        <v>2494</v>
      </c>
      <c r="J291" s="55" t="s">
        <v>5943</v>
      </c>
      <c r="K291" s="4" t="s">
        <v>71</v>
      </c>
      <c r="L291" s="4" t="s">
        <v>72</v>
      </c>
      <c r="M291" s="4" t="s">
        <v>2643</v>
      </c>
      <c r="N291" s="4" t="s">
        <v>74</v>
      </c>
      <c r="O291" s="4" t="s">
        <v>75</v>
      </c>
      <c r="P291" s="4">
        <v>16</v>
      </c>
      <c r="Q291" s="57">
        <v>45206</v>
      </c>
      <c r="R291" s="57">
        <v>45215</v>
      </c>
      <c r="S291" s="113"/>
      <c r="T291" s="113"/>
      <c r="U291" s="4"/>
      <c r="V291" s="4"/>
      <c r="W291" s="105" t="s">
        <v>5944</v>
      </c>
      <c r="X291" s="114">
        <v>1630635945</v>
      </c>
      <c r="Y291" s="55">
        <v>17822244321</v>
      </c>
      <c r="Z291" s="4" t="s">
        <v>5945</v>
      </c>
      <c r="AA291" s="4">
        <v>1710982749</v>
      </c>
      <c r="AB291" s="4" t="s">
        <v>132</v>
      </c>
      <c r="AC291" s="4" t="s">
        <v>133</v>
      </c>
      <c r="AD291" s="113">
        <v>36010</v>
      </c>
      <c r="AE291" s="107">
        <f>((TODAY())-AD291)/365</f>
        <v>26.53972602739726</v>
      </c>
      <c r="AF291" s="4" t="s">
        <v>80</v>
      </c>
      <c r="AG291" s="114">
        <v>4663859348</v>
      </c>
      <c r="AH291" s="4" t="s">
        <v>81</v>
      </c>
      <c r="AI291" s="55" t="s">
        <v>322</v>
      </c>
      <c r="AJ291" s="55" t="s">
        <v>81</v>
      </c>
      <c r="AK291" s="55">
        <v>2023</v>
      </c>
      <c r="AL291" s="4" t="s">
        <v>5946</v>
      </c>
      <c r="AM291" s="4" t="s">
        <v>5947</v>
      </c>
      <c r="AN291" s="4" t="s">
        <v>5945</v>
      </c>
      <c r="AO291" s="4" t="s">
        <v>5948</v>
      </c>
      <c r="AP291" s="4" t="s">
        <v>5949</v>
      </c>
      <c r="AQ291" s="55" t="s">
        <v>285</v>
      </c>
      <c r="AR291" s="4" t="s">
        <v>110</v>
      </c>
      <c r="AS291" s="4"/>
      <c r="AT291" s="72"/>
      <c r="AU291" s="4"/>
      <c r="AV291" s="4"/>
      <c r="AW291" s="4"/>
      <c r="AX291" s="4"/>
      <c r="AY291" s="4"/>
      <c r="AZ291" s="4"/>
      <c r="BA291" s="4" t="s">
        <v>90</v>
      </c>
      <c r="BB291" s="4">
        <v>10800</v>
      </c>
      <c r="BC291" s="4">
        <v>2700</v>
      </c>
      <c r="BD291" s="4">
        <v>0</v>
      </c>
      <c r="BE291" s="4" t="s">
        <v>296</v>
      </c>
      <c r="BF291" s="4"/>
      <c r="BG291" s="4"/>
      <c r="BH291" s="4" t="s">
        <v>3510</v>
      </c>
      <c r="BI291" s="72">
        <f>VLOOKUP(A291,'ID Block'!A:L,12,0)</f>
        <v>45474</v>
      </c>
      <c r="BJ291" s="154" t="str">
        <f>VLOOKUP(A291,'ID Block'!A:M,13,0)</f>
        <v>Longtime Absenteeism</v>
      </c>
      <c r="BK291" s="4">
        <f t="shared" si="5"/>
        <v>259</v>
      </c>
      <c r="BL291" s="105" t="s">
        <v>168</v>
      </c>
      <c r="BM291" s="10"/>
      <c r="BN291" s="183"/>
      <c r="BO291" s="183"/>
    </row>
    <row r="292" ht="14.4" s="67" customFormat="1">
      <c r="A292" s="4">
        <v>171534</v>
      </c>
      <c r="B292" s="4"/>
      <c r="C292" s="55" t="s">
        <v>5950</v>
      </c>
      <c r="D292" s="4" t="s">
        <v>1181</v>
      </c>
      <c r="E292" s="4" t="s">
        <v>114</v>
      </c>
      <c r="F292" s="55">
        <v>149550</v>
      </c>
      <c r="G292" s="4" t="s">
        <v>67</v>
      </c>
      <c r="H292" s="4" t="s">
        <v>68</v>
      </c>
      <c r="I292" s="4" t="s">
        <v>2494</v>
      </c>
      <c r="J292" s="55" t="s">
        <v>155</v>
      </c>
      <c r="K292" s="4" t="s">
        <v>71</v>
      </c>
      <c r="L292" s="4" t="s">
        <v>72</v>
      </c>
      <c r="M292" s="4" t="s">
        <v>196</v>
      </c>
      <c r="N292" s="4" t="s">
        <v>74</v>
      </c>
      <c r="O292" s="4" t="s">
        <v>75</v>
      </c>
      <c r="P292" s="4">
        <v>30</v>
      </c>
      <c r="Q292" s="57">
        <v>45442</v>
      </c>
      <c r="R292" s="57">
        <v>45460</v>
      </c>
      <c r="S292" s="113"/>
      <c r="T292" s="113"/>
      <c r="U292" s="4"/>
      <c r="V292" s="4"/>
      <c r="W292" s="105" t="s">
        <v>5951</v>
      </c>
      <c r="X292" s="114">
        <v>1985605389</v>
      </c>
      <c r="Y292" s="55">
        <v>1722529090</v>
      </c>
      <c r="Z292" s="4"/>
      <c r="AA292" s="4">
        <v>1715849620</v>
      </c>
      <c r="AB292" s="4" t="s">
        <v>5952</v>
      </c>
      <c r="AC292" s="4" t="s">
        <v>79</v>
      </c>
      <c r="AD292" s="113">
        <v>36162</v>
      </c>
      <c r="AE292" s="107"/>
      <c r="AF292" s="4" t="s">
        <v>80</v>
      </c>
      <c r="AG292" s="114">
        <v>4211916160</v>
      </c>
      <c r="AH292" s="4" t="s">
        <v>81</v>
      </c>
      <c r="AI292" s="55" t="s">
        <v>322</v>
      </c>
      <c r="AJ292" s="55" t="s">
        <v>81</v>
      </c>
      <c r="AK292" s="55">
        <v>2021</v>
      </c>
      <c r="AL292" s="4" t="s">
        <v>5953</v>
      </c>
      <c r="AM292" s="4" t="s">
        <v>5954</v>
      </c>
      <c r="AN292" s="4" t="s">
        <v>5955</v>
      </c>
      <c r="AO292" s="4" t="s">
        <v>5956</v>
      </c>
      <c r="AP292" s="4" t="s">
        <v>5957</v>
      </c>
      <c r="AQ292" s="55" t="s">
        <v>910</v>
      </c>
      <c r="AR292" s="4" t="s">
        <v>1494</v>
      </c>
      <c r="AS292" s="4" t="s">
        <v>5437</v>
      </c>
      <c r="AT292" s="72" t="s">
        <v>81</v>
      </c>
      <c r="AU292" s="4" t="s">
        <v>81</v>
      </c>
      <c r="AV292" s="4" t="s">
        <v>81</v>
      </c>
      <c r="AW292" s="4" t="s">
        <v>81</v>
      </c>
      <c r="AX292" s="4" t="s">
        <v>81</v>
      </c>
      <c r="AY292" s="4" t="s">
        <v>81</v>
      </c>
      <c r="AZ292" s="4" t="s">
        <v>81</v>
      </c>
      <c r="BA292" s="4" t="s">
        <v>90</v>
      </c>
      <c r="BB292" s="4">
        <v>10800</v>
      </c>
      <c r="BC292" s="4">
        <v>2700</v>
      </c>
      <c r="BD292" s="4">
        <v>1000</v>
      </c>
      <c r="BE292" s="4" t="s">
        <v>166</v>
      </c>
      <c r="BF292" s="4"/>
      <c r="BG292" s="4"/>
      <c r="BH292" s="4" t="s">
        <v>3510</v>
      </c>
      <c r="BI292" s="72">
        <f>VLOOKUP(A292,'ID Block'!A:L,12,0)</f>
        <v>45513</v>
      </c>
      <c r="BJ292" s="154" t="str">
        <f>VLOOKUP(A292,'ID Block'!A:M,13,0)</f>
        <v>Better Opportunity</v>
      </c>
      <c r="BK292" s="4">
        <f t="shared" si="5"/>
        <v>53</v>
      </c>
      <c r="BL292" s="105"/>
      <c r="BM292" s="10"/>
      <c r="BN292" s="183"/>
      <c r="BO292" s="183"/>
    </row>
    <row r="293" ht="14.4" s="67" customFormat="1">
      <c r="A293" s="201" t="s">
        <v>5958</v>
      </c>
      <c r="B293" s="4"/>
      <c r="C293" s="55" t="s">
        <v>81</v>
      </c>
      <c r="D293" s="4" t="s">
        <v>5959</v>
      </c>
      <c r="E293" s="4" t="s">
        <v>114</v>
      </c>
      <c r="F293" s="55">
        <v>1310581588</v>
      </c>
      <c r="G293" s="4" t="s">
        <v>4150</v>
      </c>
      <c r="H293" s="4" t="s">
        <v>5960</v>
      </c>
      <c r="I293" s="4" t="s">
        <v>5961</v>
      </c>
      <c r="J293" s="55" t="s">
        <v>167</v>
      </c>
      <c r="K293" s="4" t="s">
        <v>71</v>
      </c>
      <c r="L293" s="4" t="s">
        <v>5962</v>
      </c>
      <c r="M293" s="4" t="s">
        <v>74</v>
      </c>
      <c r="N293" s="4" t="s">
        <v>3488</v>
      </c>
      <c r="O293" s="4" t="s">
        <v>75</v>
      </c>
      <c r="P293" s="4">
        <v>1</v>
      </c>
      <c r="Q293" s="57">
        <v>45023</v>
      </c>
      <c r="R293" s="57">
        <v>45032</v>
      </c>
      <c r="S293" s="113">
        <v>44631</v>
      </c>
      <c r="T293" s="113">
        <v>45323</v>
      </c>
      <c r="U293" s="4"/>
      <c r="V293" s="4"/>
      <c r="W293" s="105"/>
      <c r="X293" s="114">
        <v>1834971595</v>
      </c>
      <c r="Y293" s="55"/>
      <c r="Z293" s="4" t="s">
        <v>5963</v>
      </c>
      <c r="AA293" s="4">
        <v>1827263329</v>
      </c>
      <c r="AB293" s="4" t="s">
        <v>101</v>
      </c>
      <c r="AC293" s="4" t="s">
        <v>119</v>
      </c>
      <c r="AD293" s="113">
        <v>36344</v>
      </c>
      <c r="AE293" s="107">
        <f>((TODAY())-AD293)/365</f>
        <v>25.624657534246577</v>
      </c>
      <c r="AF293" s="4" t="s">
        <v>80</v>
      </c>
      <c r="AG293" s="114">
        <v>9163937353</v>
      </c>
      <c r="AH293" s="4" t="s">
        <v>81</v>
      </c>
      <c r="AI293" s="55" t="s">
        <v>104</v>
      </c>
      <c r="AJ293" s="55" t="s">
        <v>5642</v>
      </c>
      <c r="AK293" s="55">
        <v>2024</v>
      </c>
      <c r="AL293" s="4" t="s">
        <v>2010</v>
      </c>
      <c r="AM293" s="4" t="s">
        <v>5963</v>
      </c>
      <c r="AN293" s="4" t="s">
        <v>5964</v>
      </c>
      <c r="AO293" s="4" t="s">
        <v>5965</v>
      </c>
      <c r="AP293" s="4" t="s">
        <v>5966</v>
      </c>
      <c r="AQ293" s="55" t="s">
        <v>3467</v>
      </c>
      <c r="AR293" s="4" t="s">
        <v>110</v>
      </c>
      <c r="AS293" s="4"/>
      <c r="AT293" s="72"/>
      <c r="AU293" s="4"/>
      <c r="AV293" s="4"/>
      <c r="AW293" s="4"/>
      <c r="AX293" s="4"/>
      <c r="AY293" s="4"/>
      <c r="AZ293" s="4"/>
      <c r="BA293" s="4" t="s">
        <v>90</v>
      </c>
      <c r="BB293" s="4" t="s">
        <v>5962</v>
      </c>
      <c r="BC293" s="4" t="s">
        <v>167</v>
      </c>
      <c r="BD293" s="4" t="s">
        <v>167</v>
      </c>
      <c r="BE293" s="4" t="s">
        <v>91</v>
      </c>
      <c r="BF293" s="4">
        <v>160186</v>
      </c>
      <c r="BG293" s="4" t="s">
        <v>4715</v>
      </c>
      <c r="BH293" s="4" t="s">
        <v>5962</v>
      </c>
      <c r="BI293" s="72"/>
      <c r="BJ293" s="154"/>
      <c r="BK293" s="4"/>
      <c r="BL293" s="105"/>
      <c r="BM293" s="10"/>
      <c r="BN293" s="183"/>
      <c r="BO293" s="183"/>
    </row>
    <row r="294" ht="14.4" s="67" customFormat="1">
      <c r="A294" s="4">
        <v>171611</v>
      </c>
      <c r="B294" s="4"/>
      <c r="C294" s="55"/>
      <c r="D294" s="4" t="s">
        <v>5967</v>
      </c>
      <c r="E294" s="4" t="s">
        <v>114</v>
      </c>
      <c r="F294" s="55"/>
      <c r="G294" s="4" t="s">
        <v>67</v>
      </c>
      <c r="H294" s="4" t="s">
        <v>68</v>
      </c>
      <c r="I294" s="4" t="s">
        <v>2494</v>
      </c>
      <c r="J294" s="55" t="s">
        <v>1285</v>
      </c>
      <c r="K294" s="4" t="s">
        <v>71</v>
      </c>
      <c r="L294" s="4" t="s">
        <v>72</v>
      </c>
      <c r="M294" s="4" t="s">
        <v>115</v>
      </c>
      <c r="N294" s="4" t="s">
        <v>74</v>
      </c>
      <c r="O294" s="4" t="s">
        <v>75</v>
      </c>
      <c r="P294" s="4">
        <v>32</v>
      </c>
      <c r="Q294" s="57">
        <v>45449</v>
      </c>
      <c r="R294" s="57">
        <v>45471</v>
      </c>
      <c r="S294" s="113"/>
      <c r="T294" s="113"/>
      <c r="U294" s="4"/>
      <c r="V294" s="4"/>
      <c r="W294" s="105" t="s">
        <v>5968</v>
      </c>
      <c r="X294" s="114">
        <v>1976327974</v>
      </c>
      <c r="Y294" s="55"/>
      <c r="Z294" s="4" t="s">
        <v>5969</v>
      </c>
      <c r="AA294" s="4">
        <v>1916327974</v>
      </c>
      <c r="AB294" s="4" t="s">
        <v>101</v>
      </c>
      <c r="AC294" s="4" t="s">
        <v>133</v>
      </c>
      <c r="AD294" s="113">
        <v>36216</v>
      </c>
      <c r="AE294" s="107"/>
      <c r="AF294" s="4" t="s">
        <v>80</v>
      </c>
      <c r="AG294" s="114">
        <v>2858310150</v>
      </c>
      <c r="AH294" s="4" t="s">
        <v>81</v>
      </c>
      <c r="AI294" s="55" t="s">
        <v>723</v>
      </c>
      <c r="AJ294" s="55" t="s">
        <v>81</v>
      </c>
      <c r="AK294" s="55">
        <v>2022</v>
      </c>
      <c r="AL294" s="4" t="s">
        <v>209</v>
      </c>
      <c r="AM294" s="4" t="s">
        <v>5970</v>
      </c>
      <c r="AN294" s="4" t="s">
        <v>5971</v>
      </c>
      <c r="AO294" s="4" t="s">
        <v>5972</v>
      </c>
      <c r="AP294" s="4" t="s">
        <v>5973</v>
      </c>
      <c r="AQ294" s="55" t="s">
        <v>5974</v>
      </c>
      <c r="AR294" s="4" t="s">
        <v>260</v>
      </c>
      <c r="AS294" s="4" t="s">
        <v>81</v>
      </c>
      <c r="AT294" s="72" t="s">
        <v>81</v>
      </c>
      <c r="AU294" s="4" t="s">
        <v>81</v>
      </c>
      <c r="AV294" s="4" t="s">
        <v>81</v>
      </c>
      <c r="AW294" s="4" t="s">
        <v>81</v>
      </c>
      <c r="AX294" s="4" t="s">
        <v>81</v>
      </c>
      <c r="AY294" s="4" t="s">
        <v>81</v>
      </c>
      <c r="AZ294" s="4" t="s">
        <v>81</v>
      </c>
      <c r="BA294" s="4" t="s">
        <v>90</v>
      </c>
      <c r="BB294" s="4">
        <v>10800</v>
      </c>
      <c r="BC294" s="4">
        <v>2700</v>
      </c>
      <c r="BD294" s="4">
        <v>0</v>
      </c>
      <c r="BE294" s="4" t="s">
        <v>91</v>
      </c>
      <c r="BF294" s="4"/>
      <c r="BG294" s="4"/>
      <c r="BH294" s="4" t="s">
        <v>3510</v>
      </c>
      <c r="BI294" s="72">
        <f>VLOOKUP(A294,'ID Block'!A:L,12,0)</f>
        <v>45510</v>
      </c>
      <c r="BJ294" s="154" t="str">
        <f>VLOOKUP(A294,'ID Block'!A:M,13,0)</f>
        <v>Better Opportunity</v>
      </c>
      <c r="BK294" s="4">
        <f t="shared" si="5"/>
        <v>39</v>
      </c>
      <c r="BL294" s="105"/>
      <c r="BM294" s="10"/>
      <c r="BN294" s="183"/>
      <c r="BO294" s="183"/>
    </row>
    <row r="295" ht="14.4" s="67" customFormat="1">
      <c r="A295" s="4">
        <v>171574</v>
      </c>
      <c r="B295" s="4"/>
      <c r="C295" s="55" t="s">
        <v>5975</v>
      </c>
      <c r="D295" s="4" t="s">
        <v>5976</v>
      </c>
      <c r="E295" s="4" t="s">
        <v>1765</v>
      </c>
      <c r="F295" s="55">
        <v>1317674085</v>
      </c>
      <c r="G295" s="4" t="s">
        <v>67</v>
      </c>
      <c r="H295" s="4" t="s">
        <v>68</v>
      </c>
      <c r="I295" s="4" t="s">
        <v>2494</v>
      </c>
      <c r="J295" s="55" t="s">
        <v>155</v>
      </c>
      <c r="K295" s="4" t="s">
        <v>1766</v>
      </c>
      <c r="L295" s="4" t="s">
        <v>1767</v>
      </c>
      <c r="M295" s="4" t="s">
        <v>196</v>
      </c>
      <c r="N295" s="4" t="s">
        <v>74</v>
      </c>
      <c r="O295" s="4" t="s">
        <v>75</v>
      </c>
      <c r="P295" s="4">
        <v>33</v>
      </c>
      <c r="Q295" s="57">
        <v>45451</v>
      </c>
      <c r="R295" s="57">
        <v>45358</v>
      </c>
      <c r="S295" s="113" t="s">
        <v>242</v>
      </c>
      <c r="T295" s="113" t="s">
        <v>242</v>
      </c>
      <c r="U295" s="4" t="s">
        <v>242</v>
      </c>
      <c r="V295" s="4" t="s">
        <v>242</v>
      </c>
      <c r="W295" s="105" t="s">
        <v>5977</v>
      </c>
      <c r="X295" s="114">
        <v>1907313207</v>
      </c>
      <c r="Y295" s="55">
        <v>1303631783</v>
      </c>
      <c r="Z295" s="4" t="s">
        <v>5978</v>
      </c>
      <c r="AA295" s="4">
        <v>1774924015</v>
      </c>
      <c r="AB295" s="4" t="s">
        <v>101</v>
      </c>
      <c r="AC295" s="4" t="s">
        <v>133</v>
      </c>
      <c r="AD295" s="113">
        <v>36883</v>
      </c>
      <c r="AE295" s="107">
        <v>23</v>
      </c>
      <c r="AF295" s="4" t="s">
        <v>80</v>
      </c>
      <c r="AG295" s="114">
        <v>7361133023</v>
      </c>
      <c r="AH295" s="4" t="s">
        <v>81</v>
      </c>
      <c r="AI295" s="55" t="s">
        <v>5979</v>
      </c>
      <c r="AJ295" s="55"/>
      <c r="AK295" s="55">
        <v>2023</v>
      </c>
      <c r="AL295" s="4" t="s">
        <v>2619</v>
      </c>
      <c r="AM295" s="4" t="s">
        <v>5980</v>
      </c>
      <c r="AN295" s="4" t="s">
        <v>5981</v>
      </c>
      <c r="AO295" s="4" t="s">
        <v>5982</v>
      </c>
      <c r="AP295" s="4" t="s">
        <v>5983</v>
      </c>
      <c r="AQ295" s="55" t="s">
        <v>353</v>
      </c>
      <c r="AR295" s="4" t="s">
        <v>1774</v>
      </c>
      <c r="AS295" s="4" t="s">
        <v>81</v>
      </c>
      <c r="AT295" s="72" t="s">
        <v>81</v>
      </c>
      <c r="AU295" s="4" t="s">
        <v>81</v>
      </c>
      <c r="AV295" s="4" t="s">
        <v>81</v>
      </c>
      <c r="AW295" s="4" t="s">
        <v>81</v>
      </c>
      <c r="AX295" s="4" t="s">
        <v>81</v>
      </c>
      <c r="AY295" s="4" t="s">
        <v>81</v>
      </c>
      <c r="AZ295" s="4" t="s">
        <v>81</v>
      </c>
      <c r="BA295" s="4" t="s">
        <v>90</v>
      </c>
      <c r="BB295" s="4">
        <v>10800</v>
      </c>
      <c r="BC295" s="4">
        <v>2700</v>
      </c>
      <c r="BD295" s="4">
        <v>1000</v>
      </c>
      <c r="BE295" s="4" t="s">
        <v>166</v>
      </c>
      <c r="BF295" s="4" t="s">
        <v>242</v>
      </c>
      <c r="BG295" s="4" t="s">
        <v>242</v>
      </c>
      <c r="BH295" s="4" t="s">
        <v>3510</v>
      </c>
      <c r="BI295" s="72">
        <f>VLOOKUP(A295,'ID Block'!A:L,12,0)</f>
        <v>45512</v>
      </c>
      <c r="BJ295" s="154" t="str">
        <f>VLOOKUP(A295,'ID Block'!A:M,13,0)</f>
        <v>Better Opportunity</v>
      </c>
      <c r="BK295" s="4">
        <f t="shared" si="5"/>
        <v>154</v>
      </c>
      <c r="BL295" s="105"/>
      <c r="BM295" s="10"/>
      <c r="BN295" s="183"/>
      <c r="BO295" s="183"/>
    </row>
    <row r="296" ht="14.4" s="67" customFormat="1">
      <c r="A296" s="4">
        <v>171647</v>
      </c>
      <c r="B296" s="4"/>
      <c r="C296" s="55" t="s">
        <v>5984</v>
      </c>
      <c r="D296" s="4" t="s">
        <v>5985</v>
      </c>
      <c r="E296" s="4" t="s">
        <v>1765</v>
      </c>
      <c r="F296" s="55">
        <v>1010989027</v>
      </c>
      <c r="G296" s="4" t="s">
        <v>67</v>
      </c>
      <c r="H296" s="4" t="s">
        <v>68</v>
      </c>
      <c r="I296" s="4" t="s">
        <v>2494</v>
      </c>
      <c r="J296" s="55" t="s">
        <v>155</v>
      </c>
      <c r="K296" s="4" t="s">
        <v>1766</v>
      </c>
      <c r="L296" s="4" t="s">
        <v>1767</v>
      </c>
      <c r="M296" s="4" t="s">
        <v>196</v>
      </c>
      <c r="N296" s="4" t="s">
        <v>74</v>
      </c>
      <c r="O296" s="4" t="s">
        <v>75</v>
      </c>
      <c r="P296" s="4">
        <v>33</v>
      </c>
      <c r="Q296" s="57">
        <v>45455</v>
      </c>
      <c r="R296" s="57">
        <v>45474</v>
      </c>
      <c r="S296" s="113" t="s">
        <v>242</v>
      </c>
      <c r="T296" s="113" t="s">
        <v>242</v>
      </c>
      <c r="U296" s="4" t="s">
        <v>242</v>
      </c>
      <c r="V296" s="4" t="s">
        <v>242</v>
      </c>
      <c r="W296" s="105" t="s">
        <v>5986</v>
      </c>
      <c r="X296" s="114">
        <v>1810172075</v>
      </c>
      <c r="Y296" s="55">
        <v>1636286205</v>
      </c>
      <c r="Z296" s="4" t="s">
        <v>5987</v>
      </c>
      <c r="AA296" s="4">
        <v>1636286205</v>
      </c>
      <c r="AB296" s="4" t="s">
        <v>101</v>
      </c>
      <c r="AC296" s="4" t="s">
        <v>119</v>
      </c>
      <c r="AD296" s="113">
        <v>36031</v>
      </c>
      <c r="AE296" s="107">
        <v>26</v>
      </c>
      <c r="AF296" s="4" t="s">
        <v>80</v>
      </c>
      <c r="AG296" s="114">
        <v>2405239027</v>
      </c>
      <c r="AH296" s="4" t="s">
        <v>81</v>
      </c>
      <c r="AI296" s="55" t="s">
        <v>5988</v>
      </c>
      <c r="AJ296" s="55"/>
      <c r="AK296" s="55">
        <v>2023</v>
      </c>
      <c r="AL296" s="4" t="s">
        <v>5989</v>
      </c>
      <c r="AM296" s="4" t="s">
        <v>5987</v>
      </c>
      <c r="AN296" s="4" t="s">
        <v>5990</v>
      </c>
      <c r="AO296" s="4" t="s">
        <v>5991</v>
      </c>
      <c r="AP296" s="4" t="s">
        <v>5992</v>
      </c>
      <c r="AQ296" s="55" t="s">
        <v>203</v>
      </c>
      <c r="AR296" s="4" t="s">
        <v>1774</v>
      </c>
      <c r="AS296" s="4" t="s">
        <v>81</v>
      </c>
      <c r="AT296" s="72" t="s">
        <v>81</v>
      </c>
      <c r="AU296" s="4" t="s">
        <v>81</v>
      </c>
      <c r="AV296" s="4" t="s">
        <v>81</v>
      </c>
      <c r="AW296" s="4" t="s">
        <v>81</v>
      </c>
      <c r="AX296" s="4" t="s">
        <v>81</v>
      </c>
      <c r="AY296" s="4" t="s">
        <v>81</v>
      </c>
      <c r="AZ296" s="4" t="s">
        <v>81</v>
      </c>
      <c r="BA296" s="4" t="s">
        <v>90</v>
      </c>
      <c r="BB296" s="4">
        <v>10800</v>
      </c>
      <c r="BC296" s="4">
        <v>2700</v>
      </c>
      <c r="BD296" s="4">
        <v>1000</v>
      </c>
      <c r="BE296" s="4" t="s">
        <v>166</v>
      </c>
      <c r="BF296" s="4" t="s">
        <v>242</v>
      </c>
      <c r="BG296" s="4" t="s">
        <v>242</v>
      </c>
      <c r="BH296" s="4" t="s">
        <v>3510</v>
      </c>
      <c r="BI296" s="72">
        <f>VLOOKUP(A296,'ID Block'!A:L,12,0)</f>
        <v>45513</v>
      </c>
      <c r="BJ296" s="154" t="str">
        <f>VLOOKUP(A296,'ID Block'!A:M,13,0)</f>
        <v>Better Opportunity</v>
      </c>
      <c r="BK296" s="4">
        <f t="shared" si="5"/>
        <v>39</v>
      </c>
      <c r="BL296" s="105"/>
      <c r="BM296" s="10"/>
      <c r="BN296" s="183"/>
      <c r="BO296" s="183"/>
    </row>
    <row r="297" ht="14.4" s="67" customFormat="1">
      <c r="A297" s="4">
        <v>171728</v>
      </c>
      <c r="B297" s="4"/>
      <c r="C297" s="55" t="s">
        <v>2699</v>
      </c>
      <c r="D297" s="4" t="s">
        <v>5993</v>
      </c>
      <c r="E297" s="4" t="s">
        <v>114</v>
      </c>
      <c r="F297" s="55"/>
      <c r="G297" s="4" t="s">
        <v>67</v>
      </c>
      <c r="H297" s="4" t="s">
        <v>68</v>
      </c>
      <c r="I297" s="4" t="s">
        <v>2494</v>
      </c>
      <c r="J297" s="55" t="s">
        <v>1725</v>
      </c>
      <c r="K297" s="4" t="s">
        <v>71</v>
      </c>
      <c r="L297" s="4" t="s">
        <v>72</v>
      </c>
      <c r="M297" s="4" t="s">
        <v>115</v>
      </c>
      <c r="N297" s="4" t="s">
        <v>74</v>
      </c>
      <c r="O297" s="4" t="s">
        <v>75</v>
      </c>
      <c r="P297" s="4">
        <v>37</v>
      </c>
      <c r="Q297" s="57">
        <v>45476</v>
      </c>
      <c r="R297" s="57">
        <v>45485</v>
      </c>
      <c r="S297" s="113" t="s">
        <v>242</v>
      </c>
      <c r="T297" s="113" t="s">
        <v>242</v>
      </c>
      <c r="U297" s="4" t="s">
        <v>242</v>
      </c>
      <c r="V297" s="4" t="s">
        <v>242</v>
      </c>
      <c r="W297" s="105" t="s">
        <v>5994</v>
      </c>
      <c r="X297" s="114">
        <v>1963673040</v>
      </c>
      <c r="Y297" s="55">
        <v>1963673040</v>
      </c>
      <c r="Z297" s="4" t="s">
        <v>2421</v>
      </c>
      <c r="AA297" s="4">
        <v>1710578661</v>
      </c>
      <c r="AB297" s="4" t="s">
        <v>101</v>
      </c>
      <c r="AC297" s="4" t="s">
        <v>133</v>
      </c>
      <c r="AD297" s="113">
        <v>35391</v>
      </c>
      <c r="AE297" s="107"/>
      <c r="AF297" s="4" t="s">
        <v>80</v>
      </c>
      <c r="AG297" s="114"/>
      <c r="AH297" s="4" t="s">
        <v>81</v>
      </c>
      <c r="AI297" s="55" t="s">
        <v>779</v>
      </c>
      <c r="AJ297" s="55" t="s">
        <v>81</v>
      </c>
      <c r="AK297" s="55">
        <v>2022</v>
      </c>
      <c r="AL297" s="4" t="s">
        <v>5995</v>
      </c>
      <c r="AM297" s="4" t="s">
        <v>2421</v>
      </c>
      <c r="AN297" s="4" t="s">
        <v>5996</v>
      </c>
      <c r="AO297" s="4" t="s">
        <v>5997</v>
      </c>
      <c r="AP297" s="4" t="s">
        <v>5998</v>
      </c>
      <c r="AQ297" s="55" t="s">
        <v>285</v>
      </c>
      <c r="AR297" s="4" t="s">
        <v>110</v>
      </c>
      <c r="AS297" s="4" t="s">
        <v>81</v>
      </c>
      <c r="AT297" s="72" t="s">
        <v>81</v>
      </c>
      <c r="AU297" s="4" t="s">
        <v>81</v>
      </c>
      <c r="AV297" s="4" t="s">
        <v>81</v>
      </c>
      <c r="AW297" s="4" t="s">
        <v>81</v>
      </c>
      <c r="AX297" s="4" t="s">
        <v>81</v>
      </c>
      <c r="AY297" s="4" t="s">
        <v>81</v>
      </c>
      <c r="AZ297" s="4" t="s">
        <v>81</v>
      </c>
      <c r="BA297" s="4" t="s">
        <v>90</v>
      </c>
      <c r="BB297" s="4">
        <v>10800</v>
      </c>
      <c r="BC297" s="4">
        <v>2700</v>
      </c>
      <c r="BD297" s="4">
        <v>0</v>
      </c>
      <c r="BE297" s="4" t="s">
        <v>91</v>
      </c>
      <c r="BF297" s="4" t="s">
        <v>242</v>
      </c>
      <c r="BG297" s="4" t="s">
        <v>242</v>
      </c>
      <c r="BH297" s="4" t="s">
        <v>3510</v>
      </c>
      <c r="BI297" s="72"/>
      <c r="BJ297" s="154"/>
      <c r="BK297" s="4"/>
      <c r="BL297" s="105"/>
      <c r="BM297" s="10"/>
      <c r="BN297" s="183"/>
      <c r="BO297" s="183">
        <v>1715840348</v>
      </c>
    </row>
    <row r="298" ht="17.55" customHeight="1" s="67" customFormat="1">
      <c r="A298" s="4">
        <v>171764</v>
      </c>
      <c r="B298" s="4"/>
      <c r="C298" s="55" t="s">
        <v>5999</v>
      </c>
      <c r="D298" s="4" t="s">
        <v>4846</v>
      </c>
      <c r="E298" s="4" t="s">
        <v>2094</v>
      </c>
      <c r="F298" s="55">
        <v>1110597067</v>
      </c>
      <c r="G298" s="4" t="s">
        <v>67</v>
      </c>
      <c r="H298" s="4" t="s">
        <v>68</v>
      </c>
      <c r="I298" s="4" t="s">
        <v>2494</v>
      </c>
      <c r="J298" s="55" t="s">
        <v>297</v>
      </c>
      <c r="K298" s="4" t="s">
        <v>71</v>
      </c>
      <c r="L298" s="4" t="s">
        <v>1767</v>
      </c>
      <c r="M298" s="4" t="s">
        <v>2643</v>
      </c>
      <c r="N298" s="4" t="s">
        <v>74</v>
      </c>
      <c r="O298" s="4" t="s">
        <v>2068</v>
      </c>
      <c r="P298" s="4">
        <v>39</v>
      </c>
      <c r="Q298" s="57">
        <v>45633</v>
      </c>
      <c r="R298" s="57">
        <v>45498</v>
      </c>
      <c r="S298" s="113" t="s">
        <v>81</v>
      </c>
      <c r="T298" s="113" t="s">
        <v>81</v>
      </c>
      <c r="U298" s="4" t="s">
        <v>81</v>
      </c>
      <c r="V298" s="4"/>
      <c r="W298" s="105" t="s">
        <v>4847</v>
      </c>
      <c r="X298" s="114"/>
      <c r="Y298" s="55">
        <v>1748816449</v>
      </c>
      <c r="Z298" s="4" t="s">
        <v>6000</v>
      </c>
      <c r="AA298" s="4">
        <v>1936144751</v>
      </c>
      <c r="AB298" s="4" t="s">
        <v>101</v>
      </c>
      <c r="AC298" s="4" t="s">
        <v>119</v>
      </c>
      <c r="AD298" s="113">
        <v>36205</v>
      </c>
      <c r="AE298" s="107"/>
      <c r="AF298" s="4" t="s">
        <v>80</v>
      </c>
      <c r="AG298" s="114">
        <v>1510778358</v>
      </c>
      <c r="AH298" s="4" t="s">
        <v>795</v>
      </c>
      <c r="AI298" s="55" t="s">
        <v>513</v>
      </c>
      <c r="AJ298" s="55" t="s">
        <v>6001</v>
      </c>
      <c r="AK298" s="55">
        <v>2024</v>
      </c>
      <c r="AL298" s="4" t="s">
        <v>6002</v>
      </c>
      <c r="AM298" s="4" t="s">
        <v>6000</v>
      </c>
      <c r="AN298" s="4" t="s">
        <v>3408</v>
      </c>
      <c r="AO298" s="4" t="s">
        <v>6003</v>
      </c>
      <c r="AP298" s="4" t="s">
        <v>6004</v>
      </c>
      <c r="AQ298" s="55" t="s">
        <v>6003</v>
      </c>
      <c r="AR298" s="4" t="s">
        <v>110</v>
      </c>
      <c r="AS298" s="4" t="s">
        <v>795</v>
      </c>
      <c r="AT298" s="72" t="s">
        <v>795</v>
      </c>
      <c r="AU298" s="4" t="s">
        <v>795</v>
      </c>
      <c r="AV298" s="4" t="s">
        <v>795</v>
      </c>
      <c r="AW298" s="4" t="s">
        <v>795</v>
      </c>
      <c r="AX298" s="4" t="s">
        <v>795</v>
      </c>
      <c r="AY298" s="4" t="s">
        <v>795</v>
      </c>
      <c r="AZ298" s="4" t="s">
        <v>795</v>
      </c>
      <c r="BA298" s="4" t="s">
        <v>90</v>
      </c>
      <c r="BB298" s="4">
        <v>10800</v>
      </c>
      <c r="BC298" s="4">
        <v>2700</v>
      </c>
      <c r="BD298" s="4"/>
      <c r="BE298" s="4" t="s">
        <v>91</v>
      </c>
      <c r="BF298" s="4" t="s">
        <v>81</v>
      </c>
      <c r="BG298" s="4" t="s">
        <v>81</v>
      </c>
      <c r="BH298" s="4" t="s">
        <v>3510</v>
      </c>
      <c r="BI298" s="72">
        <f>VLOOKUP(A298,'ID Block'!A:L,12,0)</f>
        <v>45513</v>
      </c>
      <c r="BJ298" s="154" t="str">
        <f>VLOOKUP(A298,'ID Block'!A:M,13,0)</f>
        <v>Family purpose</v>
      </c>
      <c r="BK298" s="4">
        <f t="shared" si="5"/>
        <v>15</v>
      </c>
      <c r="BL298" s="105"/>
      <c r="BM298" s="10"/>
      <c r="BN298" s="183"/>
      <c r="BO298" s="183">
        <v>1968638774</v>
      </c>
    </row>
    <row r="299" ht="14.4" s="67" customFormat="1">
      <c r="A299" s="4">
        <v>171501</v>
      </c>
      <c r="B299" s="4"/>
      <c r="C299" s="55" t="s">
        <v>6005</v>
      </c>
      <c r="D299" s="4" t="s">
        <v>6006</v>
      </c>
      <c r="E299" s="4" t="s">
        <v>114</v>
      </c>
      <c r="F299" s="55">
        <v>308624</v>
      </c>
      <c r="G299" s="4" t="s">
        <v>67</v>
      </c>
      <c r="H299" s="4" t="s">
        <v>68</v>
      </c>
      <c r="I299" s="4" t="s">
        <v>2494</v>
      </c>
      <c r="J299" s="55" t="s">
        <v>297</v>
      </c>
      <c r="K299" s="4" t="s">
        <v>71</v>
      </c>
      <c r="L299" s="4" t="s">
        <v>72</v>
      </c>
      <c r="M299" s="4" t="s">
        <v>196</v>
      </c>
      <c r="N299" s="4" t="s">
        <v>74</v>
      </c>
      <c r="O299" s="4" t="s">
        <v>75</v>
      </c>
      <c r="P299" s="4">
        <v>29</v>
      </c>
      <c r="Q299" s="57">
        <v>45432</v>
      </c>
      <c r="R299" s="57">
        <v>45444</v>
      </c>
      <c r="S299" s="113"/>
      <c r="T299" s="113"/>
      <c r="U299" s="4"/>
      <c r="V299" s="4"/>
      <c r="W299" s="105" t="s">
        <v>6007</v>
      </c>
      <c r="X299" s="114">
        <v>1737524848</v>
      </c>
      <c r="Y299" s="55">
        <v>1736404085</v>
      </c>
      <c r="Z299" s="4" t="s">
        <v>6008</v>
      </c>
      <c r="AA299" s="4">
        <v>1712712674</v>
      </c>
      <c r="AB299" s="4" t="s">
        <v>144</v>
      </c>
      <c r="AC299" s="4" t="s">
        <v>119</v>
      </c>
      <c r="AD299" s="113">
        <v>34556</v>
      </c>
      <c r="AE299" s="107">
        <f>((TODAY())-AD299)/365</f>
        <v>30.523287671232875</v>
      </c>
      <c r="AF299" s="4" t="s">
        <v>80</v>
      </c>
      <c r="AG299" s="114">
        <v>5050746147</v>
      </c>
      <c r="AH299" s="4" t="s">
        <v>81</v>
      </c>
      <c r="AI299" s="55" t="s">
        <v>6009</v>
      </c>
      <c r="AJ299" s="55" t="s">
        <v>81</v>
      </c>
      <c r="AK299" s="55">
        <v>2017</v>
      </c>
      <c r="AL299" s="4" t="s">
        <v>209</v>
      </c>
      <c r="AM299" s="4" t="s">
        <v>6010</v>
      </c>
      <c r="AN299" s="4" t="s">
        <v>6011</v>
      </c>
      <c r="AO299" s="4" t="s">
        <v>6012</v>
      </c>
      <c r="AP299" s="4" t="s">
        <v>6013</v>
      </c>
      <c r="AQ299" s="55" t="s">
        <v>1188</v>
      </c>
      <c r="AR299" s="4" t="s">
        <v>110</v>
      </c>
      <c r="AS299" s="4" t="s">
        <v>81</v>
      </c>
      <c r="AT299" s="72" t="s">
        <v>81</v>
      </c>
      <c r="AU299" s="4" t="s">
        <v>81</v>
      </c>
      <c r="AV299" s="4" t="s">
        <v>81</v>
      </c>
      <c r="AW299" s="4" t="s">
        <v>81</v>
      </c>
      <c r="AX299" s="4" t="s">
        <v>81</v>
      </c>
      <c r="AY299" s="4" t="s">
        <v>81</v>
      </c>
      <c r="AZ299" s="4" t="s">
        <v>81</v>
      </c>
      <c r="BA299" s="4" t="s">
        <v>90</v>
      </c>
      <c r="BB299" s="4">
        <v>10800</v>
      </c>
      <c r="BC299" s="4">
        <v>2700</v>
      </c>
      <c r="BD299" s="4">
        <v>0</v>
      </c>
      <c r="BE299" s="4" t="s">
        <v>91</v>
      </c>
      <c r="BF299" s="4"/>
      <c r="BG299" s="4"/>
      <c r="BH299" s="4" t="s">
        <v>3510</v>
      </c>
      <c r="BI299" s="72">
        <f>VLOOKUP(A299,'ID Block'!A:L,12,0)</f>
        <v>45516</v>
      </c>
      <c r="BJ299" s="154" t="str">
        <f>VLOOKUP(A299,'ID Block'!A:M,13,0)</f>
        <v>Better Opportunity</v>
      </c>
      <c r="BK299" s="4">
        <f t="shared" si="5"/>
        <v>72</v>
      </c>
      <c r="BL299" s="105"/>
      <c r="BM299" s="10"/>
      <c r="BN299" s="183"/>
      <c r="BO299" s="183"/>
    </row>
    <row r="300" ht="14.4" s="67" customFormat="1">
      <c r="A300" s="4">
        <v>171788</v>
      </c>
      <c r="B300" s="4"/>
      <c r="C300" s="55" t="s">
        <v>6014</v>
      </c>
      <c r="D300" s="4" t="s">
        <v>6015</v>
      </c>
      <c r="E300" s="4" t="s">
        <v>66</v>
      </c>
      <c r="F300" s="55"/>
      <c r="G300" s="4" t="s">
        <v>67</v>
      </c>
      <c r="H300" s="4" t="s">
        <v>68</v>
      </c>
      <c r="I300" s="4" t="s">
        <v>2494</v>
      </c>
      <c r="J300" s="55" t="s">
        <v>214</v>
      </c>
      <c r="K300" s="4" t="s">
        <v>71</v>
      </c>
      <c r="L300" s="4" t="s">
        <v>72</v>
      </c>
      <c r="M300" s="4" t="s">
        <v>6016</v>
      </c>
      <c r="N300" s="4"/>
      <c r="O300" s="4"/>
      <c r="P300" s="4">
        <v>40</v>
      </c>
      <c r="Q300" s="57">
        <v>45492</v>
      </c>
      <c r="R300" s="57">
        <v>45504</v>
      </c>
      <c r="S300" s="113"/>
      <c r="T300" s="113"/>
      <c r="U300" s="4"/>
      <c r="V300" s="4"/>
      <c r="W300" s="105"/>
      <c r="X300" s="114">
        <v>1576681739</v>
      </c>
      <c r="Y300" s="55"/>
      <c r="Z300" s="4"/>
      <c r="AA300" s="4"/>
      <c r="AB300" s="4"/>
      <c r="AC300" s="4"/>
      <c r="AD300" s="113"/>
      <c r="AE300" s="107"/>
      <c r="AF300" s="4"/>
      <c r="AG300" s="114"/>
      <c r="AH300" s="4"/>
      <c r="AI300" s="55"/>
      <c r="AJ300" s="55"/>
      <c r="AK300" s="55"/>
      <c r="AL300" s="4"/>
      <c r="AM300" s="4"/>
      <c r="AN300" s="4"/>
      <c r="AO300" s="4"/>
      <c r="AP300" s="4"/>
      <c r="AQ300" s="55"/>
      <c r="AR300" s="4"/>
      <c r="AS300" s="4"/>
      <c r="AT300" s="72"/>
      <c r="AU300" s="4"/>
      <c r="AV300" s="4"/>
      <c r="AW300" s="4"/>
      <c r="AX300" s="4"/>
      <c r="AY300" s="4"/>
      <c r="AZ300" s="4"/>
      <c r="BA300" s="4" t="s">
        <v>90</v>
      </c>
      <c r="BB300" s="4">
        <v>10800</v>
      </c>
      <c r="BC300" s="4">
        <v>2700</v>
      </c>
      <c r="BD300" s="4">
        <v>0</v>
      </c>
      <c r="BE300" s="4" t="s">
        <v>91</v>
      </c>
      <c r="BF300" s="4"/>
      <c r="BG300" s="4"/>
      <c r="BH300" s="4" t="s">
        <v>3510</v>
      </c>
      <c r="BI300" s="72">
        <f>VLOOKUP(A300,'ID Block'!A:L,12,0)</f>
        <v>45515</v>
      </c>
      <c r="BJ300" s="154" t="str">
        <f>VLOOKUP(A300,'ID Block'!A:M,13,0)</f>
        <v>Family purpose</v>
      </c>
      <c r="BK300" s="4">
        <f t="shared" si="5"/>
        <v>11</v>
      </c>
      <c r="BL300" s="105"/>
      <c r="BM300" s="10"/>
      <c r="BN300" s="183"/>
      <c r="BO300" s="183">
        <v>1715840348</v>
      </c>
    </row>
    <row r="301" ht="14.4" s="67" customFormat="1">
      <c r="A301" s="4">
        <v>171675</v>
      </c>
      <c r="B301" s="4"/>
      <c r="C301" s="55" t="s">
        <v>6017</v>
      </c>
      <c r="D301" s="4" t="s">
        <v>6018</v>
      </c>
      <c r="E301" s="4" t="s">
        <v>66</v>
      </c>
      <c r="F301" s="55">
        <v>1012656470</v>
      </c>
      <c r="G301" s="4" t="s">
        <v>67</v>
      </c>
      <c r="H301" s="4" t="s">
        <v>68</v>
      </c>
      <c r="I301" s="4" t="s">
        <v>2494</v>
      </c>
      <c r="J301" s="55" t="s">
        <v>1725</v>
      </c>
      <c r="K301" s="4" t="s">
        <v>71</v>
      </c>
      <c r="L301" s="4" t="s">
        <v>72</v>
      </c>
      <c r="M301" s="4" t="s">
        <v>115</v>
      </c>
      <c r="N301" s="4" t="s">
        <v>74</v>
      </c>
      <c r="O301" s="4" t="s">
        <v>75</v>
      </c>
      <c r="P301" s="4">
        <v>35</v>
      </c>
      <c r="Q301" s="57">
        <v>45466</v>
      </c>
      <c r="R301" s="57">
        <v>45475</v>
      </c>
      <c r="S301" s="113"/>
      <c r="T301" s="113"/>
      <c r="U301" s="4"/>
      <c r="V301" s="4"/>
      <c r="W301" s="105" t="s">
        <v>6019</v>
      </c>
      <c r="X301" s="114">
        <v>1790401207</v>
      </c>
      <c r="Y301" s="55">
        <v>1818700324</v>
      </c>
      <c r="Z301" s="4" t="s">
        <v>6020</v>
      </c>
      <c r="AA301" s="4">
        <v>1736259679</v>
      </c>
      <c r="AB301" s="4" t="s">
        <v>132</v>
      </c>
      <c r="AC301" s="4" t="s">
        <v>102</v>
      </c>
      <c r="AD301" s="113">
        <v>36104</v>
      </c>
      <c r="AE301" s="107"/>
      <c r="AF301" s="4" t="s">
        <v>80</v>
      </c>
      <c r="AG301" s="114">
        <v>1956790305</v>
      </c>
      <c r="AH301" s="4" t="s">
        <v>6021</v>
      </c>
      <c r="AI301" s="55" t="s">
        <v>6022</v>
      </c>
      <c r="AJ301" s="55" t="s">
        <v>81</v>
      </c>
      <c r="AK301" s="55">
        <v>2021</v>
      </c>
      <c r="AL301" s="4" t="s">
        <v>2278</v>
      </c>
      <c r="AM301" s="4" t="s">
        <v>2352</v>
      </c>
      <c r="AN301" s="4" t="s">
        <v>6020</v>
      </c>
      <c r="AO301" s="4" t="s">
        <v>6023</v>
      </c>
      <c r="AP301" s="4" t="s">
        <v>6024</v>
      </c>
      <c r="AQ301" s="55" t="s">
        <v>499</v>
      </c>
      <c r="AR301" s="4" t="s">
        <v>110</v>
      </c>
      <c r="AS301" s="4" t="s">
        <v>81</v>
      </c>
      <c r="AT301" s="72" t="s">
        <v>81</v>
      </c>
      <c r="AU301" s="4" t="s">
        <v>81</v>
      </c>
      <c r="AV301" s="4" t="s">
        <v>81</v>
      </c>
      <c r="AW301" s="4" t="s">
        <v>81</v>
      </c>
      <c r="AX301" s="4" t="s">
        <v>81</v>
      </c>
      <c r="AY301" s="4" t="s">
        <v>81</v>
      </c>
      <c r="AZ301" s="4" t="s">
        <v>81</v>
      </c>
      <c r="BA301" s="4" t="s">
        <v>90</v>
      </c>
      <c r="BB301" s="4">
        <v>10800</v>
      </c>
      <c r="BC301" s="4">
        <v>2700</v>
      </c>
      <c r="BD301" s="4">
        <v>0</v>
      </c>
      <c r="BE301" s="4" t="s">
        <v>91</v>
      </c>
      <c r="BF301" s="4"/>
      <c r="BG301" s="4"/>
      <c r="BH301" s="4" t="s">
        <v>3510</v>
      </c>
      <c r="BI301" s="72">
        <f>VLOOKUP(A301,'ID Block'!A:L,12,0)</f>
        <v>45510</v>
      </c>
      <c r="BJ301" s="154" t="str">
        <f>VLOOKUP(A301,'ID Block'!A:M,13,0)</f>
        <v>Higher Study</v>
      </c>
      <c r="BK301" s="4">
        <f t="shared" si="5"/>
        <v>35</v>
      </c>
      <c r="BL301" s="105"/>
      <c r="BM301" s="10"/>
      <c r="BN301" s="183"/>
      <c r="BO301" s="183"/>
    </row>
    <row r="302" ht="14.4" s="67" customFormat="1">
      <c r="A302" s="4">
        <v>171330</v>
      </c>
      <c r="B302" s="4"/>
      <c r="C302" s="55" t="s">
        <v>6025</v>
      </c>
      <c r="D302" s="4" t="s">
        <v>6026</v>
      </c>
      <c r="E302" s="4" t="s">
        <v>114</v>
      </c>
      <c r="F302" s="55">
        <v>1310554798</v>
      </c>
      <c r="G302" s="4" t="s">
        <v>67</v>
      </c>
      <c r="H302" s="4" t="s">
        <v>68</v>
      </c>
      <c r="I302" s="4" t="s">
        <v>2494</v>
      </c>
      <c r="J302" s="55" t="s">
        <v>155</v>
      </c>
      <c r="K302" s="4" t="s">
        <v>71</v>
      </c>
      <c r="L302" s="4" t="s">
        <v>72</v>
      </c>
      <c r="M302" s="4" t="s">
        <v>196</v>
      </c>
      <c r="N302" s="4" t="s">
        <v>74</v>
      </c>
      <c r="O302" s="4" t="s">
        <v>75</v>
      </c>
      <c r="P302" s="4">
        <v>22</v>
      </c>
      <c r="Q302" s="57">
        <v>45323</v>
      </c>
      <c r="R302" s="57">
        <v>45339</v>
      </c>
      <c r="S302" s="113"/>
      <c r="T302" s="113"/>
      <c r="U302" s="4"/>
      <c r="V302" s="4"/>
      <c r="W302" s="105" t="s">
        <v>6027</v>
      </c>
      <c r="X302" s="114">
        <v>1771771113</v>
      </c>
      <c r="Y302" s="55"/>
      <c r="Z302" s="4" t="s">
        <v>6028</v>
      </c>
      <c r="AA302" s="4">
        <v>1740603391</v>
      </c>
      <c r="AB302" s="4" t="s">
        <v>101</v>
      </c>
      <c r="AC302" s="4" t="s">
        <v>133</v>
      </c>
      <c r="AD302" s="113">
        <v>35796</v>
      </c>
      <c r="AE302" s="107">
        <f>((TODAY())-AD302)/365</f>
        <v>27.126027397260273</v>
      </c>
      <c r="AF302" s="4" t="s">
        <v>80</v>
      </c>
      <c r="AG302" s="114">
        <v>5105666076</v>
      </c>
      <c r="AH302" s="4" t="s">
        <v>81</v>
      </c>
      <c r="AI302" s="55" t="s">
        <v>322</v>
      </c>
      <c r="AJ302" s="55" t="s">
        <v>81</v>
      </c>
      <c r="AK302" s="55">
        <v>2023</v>
      </c>
      <c r="AL302" s="4" t="s">
        <v>6029</v>
      </c>
      <c r="AM302" s="4" t="s">
        <v>6028</v>
      </c>
      <c r="AN302" s="4" t="s">
        <v>6030</v>
      </c>
      <c r="AO302" s="4" t="s">
        <v>6031</v>
      </c>
      <c r="AP302" s="4" t="s">
        <v>6032</v>
      </c>
      <c r="AQ302" s="55" t="s">
        <v>6033</v>
      </c>
      <c r="AR302" s="4" t="s">
        <v>110</v>
      </c>
      <c r="AS302" s="4" t="s">
        <v>81</v>
      </c>
      <c r="AT302" s="72" t="s">
        <v>81</v>
      </c>
      <c r="AU302" s="4" t="s">
        <v>81</v>
      </c>
      <c r="AV302" s="4" t="s">
        <v>81</v>
      </c>
      <c r="AW302" s="4" t="s">
        <v>81</v>
      </c>
      <c r="AX302" s="4" t="s">
        <v>81</v>
      </c>
      <c r="AY302" s="4"/>
      <c r="AZ302" s="4"/>
      <c r="BA302" s="4" t="s">
        <v>90</v>
      </c>
      <c r="BB302" s="4">
        <v>10800</v>
      </c>
      <c r="BC302" s="4">
        <v>2700</v>
      </c>
      <c r="BD302" s="4">
        <v>1000</v>
      </c>
      <c r="BE302" s="4" t="s">
        <v>166</v>
      </c>
      <c r="BF302" s="4"/>
      <c r="BG302" s="4"/>
      <c r="BH302" s="4" t="s">
        <v>3510</v>
      </c>
      <c r="BI302" s="72">
        <f>VLOOKUP(A302,'ID Block'!A:L,12,0)</f>
        <v>45506</v>
      </c>
      <c r="BJ302" s="154" t="str">
        <f>VLOOKUP(A302,'ID Block'!A:M,13,0)</f>
        <v>Better Opportunity</v>
      </c>
      <c r="BK302" s="4">
        <f t="shared" si="5"/>
        <v>167</v>
      </c>
      <c r="BL302" s="105"/>
      <c r="BM302" s="10"/>
      <c r="BN302" s="183"/>
      <c r="BO302" s="183"/>
    </row>
    <row r="303" ht="14.4" s="67" customFormat="1">
      <c r="A303" s="4">
        <v>171229</v>
      </c>
      <c r="B303" s="4"/>
      <c r="C303" s="55" t="s">
        <v>3315</v>
      </c>
      <c r="D303" s="4" t="s">
        <v>6034</v>
      </c>
      <c r="E303" s="4" t="s">
        <v>114</v>
      </c>
      <c r="F303" s="55">
        <v>1010868064</v>
      </c>
      <c r="G303" s="4" t="s">
        <v>67</v>
      </c>
      <c r="H303" s="4" t="s">
        <v>68</v>
      </c>
      <c r="I303" s="4" t="s">
        <v>69</v>
      </c>
      <c r="J303" s="55" t="s">
        <v>297</v>
      </c>
      <c r="K303" s="4" t="s">
        <v>71</v>
      </c>
      <c r="L303" s="4" t="s">
        <v>72</v>
      </c>
      <c r="M303" s="4" t="s">
        <v>98</v>
      </c>
      <c r="N303" s="4" t="s">
        <v>74</v>
      </c>
      <c r="O303" s="4" t="s">
        <v>75</v>
      </c>
      <c r="P303" s="4">
        <v>18</v>
      </c>
      <c r="Q303" s="57">
        <v>45246</v>
      </c>
      <c r="R303" s="57">
        <v>45256</v>
      </c>
      <c r="S303" s="113"/>
      <c r="T303" s="113"/>
      <c r="U303" s="4"/>
      <c r="V303" s="4"/>
      <c r="W303" s="105" t="s">
        <v>6035</v>
      </c>
      <c r="X303" s="114">
        <v>1787711289</v>
      </c>
      <c r="Y303" s="55"/>
      <c r="Z303" s="4" t="s">
        <v>6036</v>
      </c>
      <c r="AA303" s="4">
        <v>1521316161</v>
      </c>
      <c r="AB303" s="4" t="s">
        <v>101</v>
      </c>
      <c r="AC303" s="4" t="s">
        <v>102</v>
      </c>
      <c r="AD303" s="113">
        <v>35272</v>
      </c>
      <c r="AE303" s="107">
        <f>((TODAY())-AD303)/365</f>
        <v>28.561643835616437</v>
      </c>
      <c r="AF303" s="4" t="s">
        <v>80</v>
      </c>
      <c r="AG303" s="114">
        <v>2403198621</v>
      </c>
      <c r="AH303" s="4" t="s">
        <v>81</v>
      </c>
      <c r="AI303" s="55" t="s">
        <v>290</v>
      </c>
      <c r="AJ303" s="55" t="s">
        <v>81</v>
      </c>
      <c r="AK303" s="55">
        <v>2020</v>
      </c>
      <c r="AL303" s="4" t="s">
        <v>1102</v>
      </c>
      <c r="AM303" s="4" t="s">
        <v>6036</v>
      </c>
      <c r="AN303" s="4" t="s">
        <v>6037</v>
      </c>
      <c r="AO303" s="4" t="s">
        <v>6038</v>
      </c>
      <c r="AP303" s="4" t="s">
        <v>6039</v>
      </c>
      <c r="AQ303" s="55" t="s">
        <v>88</v>
      </c>
      <c r="AR303" s="4" t="s">
        <v>110</v>
      </c>
      <c r="AS303" s="4" t="s">
        <v>81</v>
      </c>
      <c r="AT303" s="72" t="s">
        <v>81</v>
      </c>
      <c r="AU303" s="4" t="s">
        <v>81</v>
      </c>
      <c r="AV303" s="4" t="s">
        <v>81</v>
      </c>
      <c r="AW303" s="4"/>
      <c r="AX303" s="4"/>
      <c r="AY303" s="4"/>
      <c r="AZ303" s="4"/>
      <c r="BA303" s="4" t="s">
        <v>90</v>
      </c>
      <c r="BB303" s="4">
        <v>10800</v>
      </c>
      <c r="BC303" s="4">
        <v>2700</v>
      </c>
      <c r="BD303" s="4">
        <v>0</v>
      </c>
      <c r="BE303" s="4" t="s">
        <v>296</v>
      </c>
      <c r="BF303" s="4"/>
      <c r="BG303" s="4"/>
      <c r="BH303" s="4" t="s">
        <v>3510</v>
      </c>
      <c r="BI303" s="72">
        <f>VLOOKUP(A303,'ID Block'!A:L,12,0)</f>
        <v>45518</v>
      </c>
      <c r="BJ303" s="154" t="str">
        <f>VLOOKUP(A303,'ID Block'!A:M,13,0)</f>
        <v>Better Opportunity</v>
      </c>
      <c r="BK303" s="4">
        <f t="shared" si="5"/>
        <v>262</v>
      </c>
      <c r="BL303" s="105"/>
      <c r="BM303" s="10"/>
      <c r="BN303" s="183"/>
      <c r="BO303" s="183"/>
    </row>
    <row r="304" ht="14.4" s="67" customFormat="1">
      <c r="A304" s="4">
        <v>171751</v>
      </c>
      <c r="B304" s="4"/>
      <c r="C304" s="55" t="s">
        <v>6040</v>
      </c>
      <c r="D304" s="4" t="s">
        <v>6041</v>
      </c>
      <c r="E304" s="4" t="s">
        <v>114</v>
      </c>
      <c r="F304" s="55" t="s">
        <v>6042</v>
      </c>
      <c r="G304" s="4" t="s">
        <v>67</v>
      </c>
      <c r="H304" s="4" t="s">
        <v>68</v>
      </c>
      <c r="I304" s="4" t="s">
        <v>69</v>
      </c>
      <c r="J304" s="55" t="s">
        <v>155</v>
      </c>
      <c r="K304" s="4" t="s">
        <v>1766</v>
      </c>
      <c r="L304" s="4" t="s">
        <v>1767</v>
      </c>
      <c r="M304" s="4" t="s">
        <v>196</v>
      </c>
      <c r="N304" s="4" t="s">
        <v>74</v>
      </c>
      <c r="O304" s="4" t="s">
        <v>2024</v>
      </c>
      <c r="P304" s="4">
        <v>38</v>
      </c>
      <c r="Q304" s="57">
        <v>45482</v>
      </c>
      <c r="R304" s="57">
        <v>45505</v>
      </c>
      <c r="S304" s="113" t="s">
        <v>81</v>
      </c>
      <c r="T304" s="113" t="s">
        <v>81</v>
      </c>
      <c r="U304" s="4" t="s">
        <v>81</v>
      </c>
      <c r="V304" s="4" t="s">
        <v>242</v>
      </c>
      <c r="W304" s="105" t="s">
        <v>6043</v>
      </c>
      <c r="X304" s="114">
        <v>1704874581</v>
      </c>
      <c r="Y304" s="55">
        <v>1704874581</v>
      </c>
      <c r="Z304" s="4" t="s">
        <v>6044</v>
      </c>
      <c r="AA304" s="4">
        <v>1704874581</v>
      </c>
      <c r="AB304" s="4" t="s">
        <v>186</v>
      </c>
      <c r="AC304" s="4" t="s">
        <v>79</v>
      </c>
      <c r="AD304" s="113">
        <v>31536</v>
      </c>
      <c r="AE304" s="107"/>
      <c r="AF304" s="4" t="s">
        <v>80</v>
      </c>
      <c r="AG304" s="114">
        <v>2693004981563</v>
      </c>
      <c r="AH304" s="4" t="s">
        <v>81</v>
      </c>
      <c r="AI304" s="55" t="s">
        <v>312</v>
      </c>
      <c r="AJ304" s="55" t="s">
        <v>312</v>
      </c>
      <c r="AK304" s="55">
        <v>2013</v>
      </c>
      <c r="AL304" s="4" t="s">
        <v>6045</v>
      </c>
      <c r="AM304" s="4" t="s">
        <v>6046</v>
      </c>
      <c r="AN304" s="4" t="s">
        <v>6047</v>
      </c>
      <c r="AO304" s="4" t="s">
        <v>6048</v>
      </c>
      <c r="AP304" s="4" t="s">
        <v>6048</v>
      </c>
      <c r="AQ304" s="55" t="s">
        <v>499</v>
      </c>
      <c r="AR304" s="4" t="s">
        <v>89</v>
      </c>
      <c r="AS304" s="4" t="s">
        <v>6044</v>
      </c>
      <c r="AT304" s="72" t="s">
        <v>6049</v>
      </c>
      <c r="AU304" s="4">
        <v>19875017143000000</v>
      </c>
      <c r="AV304" s="4" t="s">
        <v>81</v>
      </c>
      <c r="AW304" s="4" t="s">
        <v>81</v>
      </c>
      <c r="AX304" s="4" t="s">
        <v>81</v>
      </c>
      <c r="AY304" s="4" t="s">
        <v>81</v>
      </c>
      <c r="AZ304" s="4" t="s">
        <v>81</v>
      </c>
      <c r="BA304" s="4" t="s">
        <v>90</v>
      </c>
      <c r="BB304" s="4">
        <v>10800</v>
      </c>
      <c r="BC304" s="4">
        <v>2700</v>
      </c>
      <c r="BD304" s="4">
        <v>1000</v>
      </c>
      <c r="BE304" s="4"/>
      <c r="BF304" s="4"/>
      <c r="BG304" s="4"/>
      <c r="BH304" s="4" t="s">
        <v>3499</v>
      </c>
      <c r="BI304" s="72">
        <f>VLOOKUP(A304,'ID Block'!A:L,12,0)</f>
        <v>45518</v>
      </c>
      <c r="BJ304" s="154" t="str">
        <f>VLOOKUP(A304,'ID Block'!A:M,13,0)</f>
        <v>Unauthorized Absent</v>
      </c>
      <c r="BK304" s="4">
        <f t="shared" si="5"/>
        <v>13</v>
      </c>
      <c r="BL304" s="105"/>
      <c r="BM304" s="10"/>
      <c r="BN304" s="183"/>
      <c r="BO304" s="183"/>
    </row>
    <row r="305" ht="14.4" s="67" customFormat="1">
      <c r="A305" s="4">
        <v>171740</v>
      </c>
      <c r="B305" s="4"/>
      <c r="C305" s="55" t="s">
        <v>6050</v>
      </c>
      <c r="D305" s="4" t="s">
        <v>6051</v>
      </c>
      <c r="E305" s="4" t="s">
        <v>114</v>
      </c>
      <c r="F305" s="55">
        <v>1215381294</v>
      </c>
      <c r="G305" s="4" t="s">
        <v>67</v>
      </c>
      <c r="H305" s="4" t="s">
        <v>68</v>
      </c>
      <c r="I305" s="4" t="s">
        <v>69</v>
      </c>
      <c r="J305" s="55" t="s">
        <v>155</v>
      </c>
      <c r="K305" s="4" t="s">
        <v>1766</v>
      </c>
      <c r="L305" s="4" t="s">
        <v>1767</v>
      </c>
      <c r="M305" s="4" t="s">
        <v>196</v>
      </c>
      <c r="N305" s="4" t="s">
        <v>74</v>
      </c>
      <c r="O305" s="4" t="s">
        <v>2024</v>
      </c>
      <c r="P305" s="4">
        <v>38</v>
      </c>
      <c r="Q305" s="57">
        <v>45482</v>
      </c>
      <c r="R305" s="57">
        <v>45505</v>
      </c>
      <c r="S305" s="113" t="s">
        <v>81</v>
      </c>
      <c r="T305" s="113" t="s">
        <v>81</v>
      </c>
      <c r="U305" s="4" t="s">
        <v>81</v>
      </c>
      <c r="V305" s="4" t="s">
        <v>242</v>
      </c>
      <c r="W305" s="105" t="s">
        <v>6052</v>
      </c>
      <c r="X305" s="114">
        <v>1744126518</v>
      </c>
      <c r="Y305" s="55">
        <v>1870481186</v>
      </c>
      <c r="Z305" s="4" t="s">
        <v>6053</v>
      </c>
      <c r="AA305" s="4">
        <v>1782047781</v>
      </c>
      <c r="AB305" s="4" t="s">
        <v>382</v>
      </c>
      <c r="AC305" s="4" t="s">
        <v>133</v>
      </c>
      <c r="AD305" s="113">
        <v>36831</v>
      </c>
      <c r="AE305" s="107"/>
      <c r="AF305" s="4" t="s">
        <v>80</v>
      </c>
      <c r="AG305" s="114">
        <v>7361705275</v>
      </c>
      <c r="AH305" s="4" t="s">
        <v>81</v>
      </c>
      <c r="AI305" s="55" t="s">
        <v>322</v>
      </c>
      <c r="AJ305" s="55" t="s">
        <v>81</v>
      </c>
      <c r="AK305" s="55" t="s">
        <v>81</v>
      </c>
      <c r="AL305" s="4" t="s">
        <v>6054</v>
      </c>
      <c r="AM305" s="4" t="s">
        <v>6055</v>
      </c>
      <c r="AN305" s="4" t="s">
        <v>6056</v>
      </c>
      <c r="AO305" s="4" t="s">
        <v>6057</v>
      </c>
      <c r="AP305" s="4" t="s">
        <v>6058</v>
      </c>
      <c r="AQ305" s="55" t="s">
        <v>223</v>
      </c>
      <c r="AR305" s="4" t="s">
        <v>110</v>
      </c>
      <c r="AS305" s="4" t="s">
        <v>81</v>
      </c>
      <c r="AT305" s="72" t="s">
        <v>81</v>
      </c>
      <c r="AU305" s="4" t="s">
        <v>81</v>
      </c>
      <c r="AV305" s="4" t="s">
        <v>81</v>
      </c>
      <c r="AW305" s="4" t="s">
        <v>81</v>
      </c>
      <c r="AX305" s="4" t="s">
        <v>81</v>
      </c>
      <c r="AY305" s="4" t="s">
        <v>81</v>
      </c>
      <c r="AZ305" s="4" t="s">
        <v>81</v>
      </c>
      <c r="BA305" s="4" t="s">
        <v>90</v>
      </c>
      <c r="BB305" s="4">
        <v>10800</v>
      </c>
      <c r="BC305" s="4">
        <v>2700</v>
      </c>
      <c r="BD305" s="4">
        <v>1000</v>
      </c>
      <c r="BE305" s="4"/>
      <c r="BF305" s="4"/>
      <c r="BG305" s="4"/>
      <c r="BH305" s="4" t="s">
        <v>3499</v>
      </c>
      <c r="BI305" s="72">
        <f>VLOOKUP(A305,'ID Block'!A:L,12,0)</f>
        <v>45518</v>
      </c>
      <c r="BJ305" s="154" t="str">
        <f>VLOOKUP(A305,'ID Block'!A:M,13,0)</f>
        <v>Unauthorized Absent</v>
      </c>
      <c r="BK305" s="4">
        <f t="shared" si="5"/>
        <v>13</v>
      </c>
      <c r="BL305" s="105"/>
      <c r="BM305" s="10"/>
      <c r="BN305" s="183"/>
      <c r="BO305" s="183"/>
    </row>
    <row r="306" ht="14.4" s="67" customFormat="1">
      <c r="A306" s="4">
        <v>171530</v>
      </c>
      <c r="B306" s="4"/>
      <c r="C306" s="55" t="s">
        <v>6059</v>
      </c>
      <c r="D306" s="4" t="s">
        <v>6060</v>
      </c>
      <c r="E306" s="4" t="s">
        <v>114</v>
      </c>
      <c r="F306" s="55">
        <v>1510207266</v>
      </c>
      <c r="G306" s="4" t="s">
        <v>67</v>
      </c>
      <c r="H306" s="4" t="s">
        <v>68</v>
      </c>
      <c r="I306" s="4" t="s">
        <v>69</v>
      </c>
      <c r="J306" s="55" t="s">
        <v>155</v>
      </c>
      <c r="K306" s="4" t="s">
        <v>71</v>
      </c>
      <c r="L306" s="4" t="s">
        <v>72</v>
      </c>
      <c r="M306" s="4" t="s">
        <v>196</v>
      </c>
      <c r="N306" s="4" t="s">
        <v>74</v>
      </c>
      <c r="O306" s="4" t="s">
        <v>75</v>
      </c>
      <c r="P306" s="4">
        <v>30</v>
      </c>
      <c r="Q306" s="57">
        <v>45442</v>
      </c>
      <c r="R306" s="57">
        <v>45458</v>
      </c>
      <c r="S306" s="113"/>
      <c r="T306" s="113"/>
      <c r="U306" s="4"/>
      <c r="V306" s="4"/>
      <c r="W306" s="105" t="s">
        <v>6061</v>
      </c>
      <c r="X306" s="114">
        <v>1910886729</v>
      </c>
      <c r="Y306" s="55">
        <v>1910886729</v>
      </c>
      <c r="Z306" s="4" t="s">
        <v>101</v>
      </c>
      <c r="AA306" s="4">
        <v>1739471007</v>
      </c>
      <c r="AB306" s="4" t="s">
        <v>101</v>
      </c>
      <c r="AC306" s="4" t="s">
        <v>119</v>
      </c>
      <c r="AD306" s="113">
        <v>37259</v>
      </c>
      <c r="AE306" s="107"/>
      <c r="AF306" s="4" t="s">
        <v>80</v>
      </c>
      <c r="AG306" s="114">
        <v>5563925477</v>
      </c>
      <c r="AH306" s="4" t="s">
        <v>6062</v>
      </c>
      <c r="AI306" s="55" t="s">
        <v>1368</v>
      </c>
      <c r="AJ306" s="55" t="s">
        <v>1368</v>
      </c>
      <c r="AK306" s="55">
        <v>2022</v>
      </c>
      <c r="AL306" s="4" t="s">
        <v>1368</v>
      </c>
      <c r="AM306" s="4" t="s">
        <v>6063</v>
      </c>
      <c r="AN306" s="4" t="s">
        <v>6064</v>
      </c>
      <c r="AO306" s="4" t="s">
        <v>6065</v>
      </c>
      <c r="AP306" s="4" t="s">
        <v>6066</v>
      </c>
      <c r="AQ306" s="55" t="s">
        <v>285</v>
      </c>
      <c r="AR306" s="4" t="s">
        <v>260</v>
      </c>
      <c r="AS306" s="4" t="s">
        <v>1752</v>
      </c>
      <c r="AT306" s="72" t="s">
        <v>1752</v>
      </c>
      <c r="AU306" s="4" t="s">
        <v>81</v>
      </c>
      <c r="AV306" s="4" t="s">
        <v>81</v>
      </c>
      <c r="AW306" s="4" t="s">
        <v>81</v>
      </c>
      <c r="AX306" s="4" t="s">
        <v>81</v>
      </c>
      <c r="AY306" s="4" t="s">
        <v>81</v>
      </c>
      <c r="AZ306" s="4" t="s">
        <v>81</v>
      </c>
      <c r="BA306" s="4" t="s">
        <v>90</v>
      </c>
      <c r="BB306" s="4">
        <v>10800</v>
      </c>
      <c r="BC306" s="4">
        <v>2700</v>
      </c>
      <c r="BD306" s="4">
        <v>1000</v>
      </c>
      <c r="BE306" s="4" t="s">
        <v>166</v>
      </c>
      <c r="BF306" s="4"/>
      <c r="BG306" s="4"/>
      <c r="BH306" s="4" t="s">
        <v>3499</v>
      </c>
      <c r="BI306" s="72">
        <f>VLOOKUP(A306,'ID Block'!A:L,12,0)</f>
        <v>45518</v>
      </c>
      <c r="BJ306" s="154" t="str">
        <f>VLOOKUP(A306,'ID Block'!A:M,13,0)</f>
        <v>Unauthorized Absent</v>
      </c>
      <c r="BK306" s="4">
        <f t="shared" si="5"/>
        <v>60</v>
      </c>
      <c r="BL306" s="105"/>
      <c r="BM306" s="10"/>
      <c r="BN306" s="183"/>
      <c r="BO306" s="183"/>
    </row>
    <row r="307" ht="14.4" s="67" customFormat="1">
      <c r="A307" s="4">
        <v>171511</v>
      </c>
      <c r="B307" s="4"/>
      <c r="C307" s="55" t="s">
        <v>6067</v>
      </c>
      <c r="D307" s="4" t="s">
        <v>6068</v>
      </c>
      <c r="E307" s="4" t="s">
        <v>114</v>
      </c>
      <c r="F307" s="55"/>
      <c r="G307" s="4" t="s">
        <v>67</v>
      </c>
      <c r="H307" s="4" t="s">
        <v>68</v>
      </c>
      <c r="I307" s="4" t="s">
        <v>69</v>
      </c>
      <c r="J307" s="55" t="s">
        <v>155</v>
      </c>
      <c r="K307" s="4" t="s">
        <v>71</v>
      </c>
      <c r="L307" s="4" t="s">
        <v>72</v>
      </c>
      <c r="M307" s="4" t="s">
        <v>196</v>
      </c>
      <c r="N307" s="4" t="s">
        <v>74</v>
      </c>
      <c r="O307" s="4" t="s">
        <v>75</v>
      </c>
      <c r="P307" s="4">
        <v>29</v>
      </c>
      <c r="Q307" s="57">
        <v>45432</v>
      </c>
      <c r="R307" s="57">
        <v>45457</v>
      </c>
      <c r="S307" s="113"/>
      <c r="T307" s="113"/>
      <c r="U307" s="4"/>
      <c r="V307" s="4"/>
      <c r="W307" s="105"/>
      <c r="X307" s="114">
        <v>1766301788</v>
      </c>
      <c r="Y307" s="55"/>
      <c r="Z307" s="4" t="s">
        <v>1567</v>
      </c>
      <c r="AA307" s="4">
        <v>1716530626</v>
      </c>
      <c r="AB307" s="4" t="s">
        <v>101</v>
      </c>
      <c r="AC307" s="4" t="s">
        <v>119</v>
      </c>
      <c r="AD307" s="113">
        <v>35771</v>
      </c>
      <c r="AE307" s="107"/>
      <c r="AF307" s="4" t="s">
        <v>80</v>
      </c>
      <c r="AG307" s="114">
        <v>2852925474</v>
      </c>
      <c r="AH307" s="4" t="s">
        <v>81</v>
      </c>
      <c r="AI307" s="55" t="s">
        <v>1101</v>
      </c>
      <c r="AJ307" s="55" t="s">
        <v>1334</v>
      </c>
      <c r="AK307" s="55">
        <v>2022</v>
      </c>
      <c r="AL307" s="4" t="s">
        <v>534</v>
      </c>
      <c r="AM307" s="4" t="s">
        <v>1567</v>
      </c>
      <c r="AN307" s="4" t="s">
        <v>6069</v>
      </c>
      <c r="AO307" s="4" t="s">
        <v>6070</v>
      </c>
      <c r="AP307" s="4" t="s">
        <v>6071</v>
      </c>
      <c r="AQ307" s="55" t="s">
        <v>6072</v>
      </c>
      <c r="AR307" s="4" t="s">
        <v>110</v>
      </c>
      <c r="AS307" s="4" t="s">
        <v>81</v>
      </c>
      <c r="AT307" s="72" t="s">
        <v>1334</v>
      </c>
      <c r="AU307" s="4" t="s">
        <v>81</v>
      </c>
      <c r="AV307" s="4" t="s">
        <v>81</v>
      </c>
      <c r="AW307" s="4" t="s">
        <v>81</v>
      </c>
      <c r="AX307" s="4" t="s">
        <v>81</v>
      </c>
      <c r="AY307" s="4" t="s">
        <v>81</v>
      </c>
      <c r="AZ307" s="4" t="s">
        <v>81</v>
      </c>
      <c r="BA307" s="4" t="s">
        <v>90</v>
      </c>
      <c r="BB307" s="4">
        <v>10800</v>
      </c>
      <c r="BC307" s="4">
        <v>2700</v>
      </c>
      <c r="BD307" s="4">
        <v>1000</v>
      </c>
      <c r="BE307" s="4" t="s">
        <v>166</v>
      </c>
      <c r="BF307" s="4"/>
      <c r="BG307" s="4"/>
      <c r="BH307" s="4" t="s">
        <v>3499</v>
      </c>
      <c r="BI307" s="72">
        <f>VLOOKUP(A307,'ID Block'!A:L,12,0)</f>
        <v>45518</v>
      </c>
      <c r="BJ307" s="154" t="str">
        <f>VLOOKUP(A307,'ID Block'!A:M,13,0)</f>
        <v>Unauthorized Absent</v>
      </c>
      <c r="BK307" s="4">
        <f t="shared" si="5"/>
        <v>61</v>
      </c>
      <c r="BL307" s="105"/>
      <c r="BM307" s="10"/>
      <c r="BN307" s="183"/>
      <c r="BO307" s="183"/>
    </row>
    <row r="308" ht="16.95" customHeight="1" s="67" customFormat="1">
      <c r="A308" s="4">
        <v>171685</v>
      </c>
      <c r="B308" s="4"/>
      <c r="C308" s="55" t="s">
        <v>2829</v>
      </c>
      <c r="D308" s="4" t="s">
        <v>6073</v>
      </c>
      <c r="E308" s="4" t="s">
        <v>66</v>
      </c>
      <c r="F308" s="55">
        <v>1110192507</v>
      </c>
      <c r="G308" s="4" t="s">
        <v>67</v>
      </c>
      <c r="H308" s="4" t="s">
        <v>68</v>
      </c>
      <c r="I308" s="4" t="s">
        <v>69</v>
      </c>
      <c r="J308" s="55" t="s">
        <v>1725</v>
      </c>
      <c r="K308" s="4" t="s">
        <v>71</v>
      </c>
      <c r="L308" s="4" t="s">
        <v>72</v>
      </c>
      <c r="M308" s="4" t="s">
        <v>115</v>
      </c>
      <c r="N308" s="4" t="s">
        <v>74</v>
      </c>
      <c r="O308" s="4" t="s">
        <v>75</v>
      </c>
      <c r="P308" s="4">
        <v>35</v>
      </c>
      <c r="Q308" s="57">
        <v>45466</v>
      </c>
      <c r="R308" s="57">
        <v>45475</v>
      </c>
      <c r="S308" s="113"/>
      <c r="T308" s="113"/>
      <c r="U308" s="4"/>
      <c r="V308" s="4"/>
      <c r="W308" s="105" t="s">
        <v>6074</v>
      </c>
      <c r="X308" s="114">
        <v>1731713377</v>
      </c>
      <c r="Y308" s="55">
        <v>1686008978</v>
      </c>
      <c r="Z308" s="4"/>
      <c r="AA308" s="4">
        <v>1916250333</v>
      </c>
      <c r="AB308" s="4" t="s">
        <v>81</v>
      </c>
      <c r="AC308" s="4" t="s">
        <v>133</v>
      </c>
      <c r="AD308" s="113">
        <v>36187</v>
      </c>
      <c r="AE308" s="107"/>
      <c r="AF308" s="4" t="s">
        <v>80</v>
      </c>
      <c r="AG308" s="114">
        <v>7355042040</v>
      </c>
      <c r="AH308" s="4" t="s">
        <v>81</v>
      </c>
      <c r="AI308" s="55" t="s">
        <v>6075</v>
      </c>
      <c r="AJ308" s="55" t="s">
        <v>312</v>
      </c>
      <c r="AK308" s="55">
        <v>2021</v>
      </c>
      <c r="AL308" s="4" t="s">
        <v>6076</v>
      </c>
      <c r="AM308" s="4" t="s">
        <v>6077</v>
      </c>
      <c r="AN308" s="4" t="s">
        <v>5945</v>
      </c>
      <c r="AO308" s="4" t="s">
        <v>6078</v>
      </c>
      <c r="AP308" s="4" t="s">
        <v>6079</v>
      </c>
      <c r="AQ308" s="55" t="s">
        <v>6080</v>
      </c>
      <c r="AR308" s="4" t="s">
        <v>110</v>
      </c>
      <c r="AS308" s="4" t="s">
        <v>81</v>
      </c>
      <c r="AT308" s="72" t="s">
        <v>81</v>
      </c>
      <c r="AU308" s="4" t="s">
        <v>81</v>
      </c>
      <c r="AV308" s="4" t="s">
        <v>81</v>
      </c>
      <c r="AW308" s="4" t="s">
        <v>81</v>
      </c>
      <c r="AX308" s="4" t="s">
        <v>81</v>
      </c>
      <c r="AY308" s="4" t="s">
        <v>81</v>
      </c>
      <c r="AZ308" s="4" t="s">
        <v>81</v>
      </c>
      <c r="BA308" s="4" t="s">
        <v>90</v>
      </c>
      <c r="BB308" s="4">
        <v>10800</v>
      </c>
      <c r="BC308" s="4">
        <v>2700</v>
      </c>
      <c r="BD308" s="4">
        <v>0</v>
      </c>
      <c r="BE308" s="4" t="s">
        <v>91</v>
      </c>
      <c r="BF308" s="4" t="s">
        <v>242</v>
      </c>
      <c r="BG308" s="4" t="s">
        <v>242</v>
      </c>
      <c r="BH308" s="4" t="s">
        <v>3510</v>
      </c>
      <c r="BI308" s="72">
        <f>VLOOKUP(A308,'ID Block'!A:L,12,0)</f>
        <v>45530</v>
      </c>
      <c r="BJ308" s="154" t="str">
        <f>VLOOKUP(A308,'ID Block'!A:M,13,0)</f>
        <v>Sickness issue</v>
      </c>
      <c r="BK308" s="4">
        <f t="shared" si="5"/>
        <v>55</v>
      </c>
      <c r="BL308" s="105"/>
      <c r="BM308" s="10"/>
      <c r="BN308" s="183"/>
      <c r="BO308" s="183"/>
    </row>
    <row r="309" ht="14.4" s="67" customFormat="1">
      <c r="A309" s="4">
        <v>171479</v>
      </c>
      <c r="B309" s="4"/>
      <c r="C309" s="55" t="s">
        <v>6081</v>
      </c>
      <c r="D309" s="4" t="s">
        <v>6082</v>
      </c>
      <c r="E309" s="4" t="s">
        <v>114</v>
      </c>
      <c r="F309" s="55" t="s">
        <v>6083</v>
      </c>
      <c r="G309" s="4" t="s">
        <v>67</v>
      </c>
      <c r="H309" s="4" t="s">
        <v>68</v>
      </c>
      <c r="I309" s="4" t="s">
        <v>69</v>
      </c>
      <c r="J309" s="55" t="s">
        <v>155</v>
      </c>
      <c r="K309" s="4" t="s">
        <v>71</v>
      </c>
      <c r="L309" s="4" t="s">
        <v>72</v>
      </c>
      <c r="M309" s="4" t="s">
        <v>196</v>
      </c>
      <c r="N309" s="4" t="s">
        <v>74</v>
      </c>
      <c r="O309" s="4" t="s">
        <v>75</v>
      </c>
      <c r="P309" s="4">
        <v>28</v>
      </c>
      <c r="Q309" s="57">
        <v>45419</v>
      </c>
      <c r="R309" s="57">
        <v>45439</v>
      </c>
      <c r="S309" s="113"/>
      <c r="T309" s="113"/>
      <c r="U309" s="4"/>
      <c r="V309" s="4"/>
      <c r="W309" s="105" t="s">
        <v>6084</v>
      </c>
      <c r="X309" s="114">
        <v>1797901451</v>
      </c>
      <c r="Y309" s="55">
        <v>1608445706</v>
      </c>
      <c r="Z309" s="4" t="s">
        <v>5159</v>
      </c>
      <c r="AA309" s="4">
        <v>1797901451</v>
      </c>
      <c r="AB309" s="4" t="s">
        <v>101</v>
      </c>
      <c r="AC309" s="4" t="s">
        <v>102</v>
      </c>
      <c r="AD309" s="113">
        <v>36393</v>
      </c>
      <c r="AE309" s="107">
        <f>((TODAY())-AD309)/365</f>
        <v>25.49041095890411</v>
      </c>
      <c r="AF309" s="4" t="s">
        <v>80</v>
      </c>
      <c r="AG309" s="114">
        <v>8704923575</v>
      </c>
      <c r="AH309" s="4" t="s">
        <v>81</v>
      </c>
      <c r="AI309" s="55" t="s">
        <v>1517</v>
      </c>
      <c r="AJ309" s="55" t="s">
        <v>81</v>
      </c>
      <c r="AK309" s="55">
        <v>2023</v>
      </c>
      <c r="AL309" s="4" t="s">
        <v>2661</v>
      </c>
      <c r="AM309" s="4" t="s">
        <v>4787</v>
      </c>
      <c r="AN309" s="4" t="s">
        <v>6085</v>
      </c>
      <c r="AO309" s="4" t="s">
        <v>6086</v>
      </c>
      <c r="AP309" s="4" t="s">
        <v>2451</v>
      </c>
      <c r="AQ309" s="55" t="s">
        <v>88</v>
      </c>
      <c r="AR309" s="4" t="s">
        <v>110</v>
      </c>
      <c r="AS309" s="4" t="s">
        <v>81</v>
      </c>
      <c r="AT309" s="72" t="s">
        <v>81</v>
      </c>
      <c r="AU309" s="4" t="s">
        <v>81</v>
      </c>
      <c r="AV309" s="4" t="s">
        <v>81</v>
      </c>
      <c r="AW309" s="4" t="s">
        <v>81</v>
      </c>
      <c r="AX309" s="4" t="s">
        <v>81</v>
      </c>
      <c r="AY309" s="4" t="s">
        <v>81</v>
      </c>
      <c r="AZ309" s="4" t="s">
        <v>81</v>
      </c>
      <c r="BA309" s="4" t="s">
        <v>90</v>
      </c>
      <c r="BB309" s="4">
        <v>10800</v>
      </c>
      <c r="BC309" s="4">
        <v>2700</v>
      </c>
      <c r="BD309" s="4">
        <v>1000</v>
      </c>
      <c r="BE309" s="4" t="s">
        <v>166</v>
      </c>
      <c r="BF309" s="4"/>
      <c r="BG309" s="4"/>
      <c r="BH309" s="4" t="s">
        <v>3510</v>
      </c>
      <c r="BI309" s="72">
        <f>VLOOKUP(A309,'ID Block'!A:L,12,0)</f>
        <v>45527</v>
      </c>
      <c r="BJ309" s="154" t="str">
        <f>VLOOKUP(A309,'ID Block'!A:M,13,0)</f>
        <v>Better Opportunity</v>
      </c>
      <c r="BK309" s="4">
        <f t="shared" si="5"/>
        <v>88</v>
      </c>
      <c r="BL309" s="105"/>
      <c r="BM309" s="10"/>
      <c r="BN309" s="183"/>
      <c r="BO309" s="183"/>
    </row>
    <row r="310" ht="14.4" s="67" customFormat="1">
      <c r="A310" s="4">
        <v>171624</v>
      </c>
      <c r="B310" s="4"/>
      <c r="C310" s="55" t="s">
        <v>2698</v>
      </c>
      <c r="D310" s="4" t="s">
        <v>6087</v>
      </c>
      <c r="E310" s="4" t="s">
        <v>66</v>
      </c>
      <c r="F310" s="55">
        <v>178164</v>
      </c>
      <c r="G310" s="4" t="s">
        <v>67</v>
      </c>
      <c r="H310" s="4" t="s">
        <v>68</v>
      </c>
      <c r="I310" s="4" t="s">
        <v>69</v>
      </c>
      <c r="J310" s="55" t="s">
        <v>1285</v>
      </c>
      <c r="K310" s="4" t="s">
        <v>71</v>
      </c>
      <c r="L310" s="4" t="s">
        <v>72</v>
      </c>
      <c r="M310" s="4" t="s">
        <v>115</v>
      </c>
      <c r="N310" s="4" t="s">
        <v>74</v>
      </c>
      <c r="O310" s="4" t="s">
        <v>75</v>
      </c>
      <c r="P310" s="4">
        <v>32</v>
      </c>
      <c r="Q310" s="57">
        <v>45449</v>
      </c>
      <c r="R310" s="57">
        <v>45471</v>
      </c>
      <c r="S310" s="113"/>
      <c r="T310" s="113"/>
      <c r="U310" s="4"/>
      <c r="V310" s="4"/>
      <c r="W310" s="105"/>
      <c r="X310" s="114">
        <v>1998500367</v>
      </c>
      <c r="Y310" s="55"/>
      <c r="Z310" s="4" t="s">
        <v>6088</v>
      </c>
      <c r="AA310" s="4">
        <v>1998500367</v>
      </c>
      <c r="AB310" s="4" t="s">
        <v>118</v>
      </c>
      <c r="AC310" s="4" t="s">
        <v>79</v>
      </c>
      <c r="AD310" s="113">
        <v>36182</v>
      </c>
      <c r="AE310" s="107"/>
      <c r="AF310" s="4" t="s">
        <v>80</v>
      </c>
      <c r="AG310" s="114">
        <v>9576972112</v>
      </c>
      <c r="AH310" s="4" t="s">
        <v>81</v>
      </c>
      <c r="AI310" s="55" t="s">
        <v>6089</v>
      </c>
      <c r="AJ310" s="55" t="s">
        <v>81</v>
      </c>
      <c r="AK310" s="55">
        <v>2021</v>
      </c>
      <c r="AL310" s="4" t="s">
        <v>6090</v>
      </c>
      <c r="AM310" s="4" t="s">
        <v>6091</v>
      </c>
      <c r="AN310" s="4" t="s">
        <v>1430</v>
      </c>
      <c r="AO310" s="4" t="s">
        <v>6092</v>
      </c>
      <c r="AP310" s="4" t="s">
        <v>6093</v>
      </c>
      <c r="AQ310" s="55" t="s">
        <v>88</v>
      </c>
      <c r="AR310" s="4" t="s">
        <v>110</v>
      </c>
      <c r="AS310" s="4" t="s">
        <v>81</v>
      </c>
      <c r="AT310" s="72" t="s">
        <v>81</v>
      </c>
      <c r="AU310" s="4" t="s">
        <v>81</v>
      </c>
      <c r="AV310" s="4" t="s">
        <v>81</v>
      </c>
      <c r="AW310" s="4" t="s">
        <v>81</v>
      </c>
      <c r="AX310" s="4" t="s">
        <v>81</v>
      </c>
      <c r="AY310" s="4" t="s">
        <v>81</v>
      </c>
      <c r="AZ310" s="4" t="s">
        <v>81</v>
      </c>
      <c r="BA310" s="4" t="s">
        <v>90</v>
      </c>
      <c r="BB310" s="4">
        <v>10800</v>
      </c>
      <c r="BC310" s="4">
        <v>2700</v>
      </c>
      <c r="BD310" s="4">
        <v>0</v>
      </c>
      <c r="BE310" s="4" t="s">
        <v>91</v>
      </c>
      <c r="BF310" s="4"/>
      <c r="BG310" s="4"/>
      <c r="BH310" s="4" t="s">
        <v>3510</v>
      </c>
      <c r="BI310" s="72">
        <f>VLOOKUP(A310,'ID Block'!A:L,12,0)</f>
        <v>45518</v>
      </c>
      <c r="BJ310" s="154" t="str">
        <f>VLOOKUP(A310,'ID Block'!A:M,13,0)</f>
        <v>Sickness issue</v>
      </c>
      <c r="BK310" s="4">
        <f t="shared" si="5"/>
        <v>47</v>
      </c>
      <c r="BL310" s="105"/>
      <c r="BM310" s="10"/>
      <c r="BN310" s="183"/>
      <c r="BO310" s="183"/>
    </row>
    <row r="311" ht="14.4" s="67" customFormat="1">
      <c r="A311" s="4">
        <v>171736</v>
      </c>
      <c r="B311" s="4"/>
      <c r="C311" s="55" t="s">
        <v>6094</v>
      </c>
      <c r="D311" s="4" t="s">
        <v>2826</v>
      </c>
      <c r="E311" s="4" t="s">
        <v>66</v>
      </c>
      <c r="F311" s="55">
        <v>658758</v>
      </c>
      <c r="G311" s="4" t="s">
        <v>67</v>
      </c>
      <c r="H311" s="4" t="s">
        <v>68</v>
      </c>
      <c r="I311" s="4" t="s">
        <v>69</v>
      </c>
      <c r="J311" s="55" t="s">
        <v>297</v>
      </c>
      <c r="K311" s="4" t="s">
        <v>1766</v>
      </c>
      <c r="L311" s="4" t="s">
        <v>1767</v>
      </c>
      <c r="M311" s="4" t="s">
        <v>2643</v>
      </c>
      <c r="N311" s="4" t="s">
        <v>5698</v>
      </c>
      <c r="O311" s="4" t="s">
        <v>2024</v>
      </c>
      <c r="P311" s="4">
        <v>38</v>
      </c>
      <c r="Q311" s="57">
        <v>45482</v>
      </c>
      <c r="R311" s="57">
        <v>45498</v>
      </c>
      <c r="S311" s="113" t="s">
        <v>81</v>
      </c>
      <c r="T311" s="113" t="s">
        <v>81</v>
      </c>
      <c r="U311" s="4" t="s">
        <v>81</v>
      </c>
      <c r="V311" s="4" t="s">
        <v>242</v>
      </c>
      <c r="W311" s="105" t="s">
        <v>6095</v>
      </c>
      <c r="X311" s="114">
        <v>1978558128</v>
      </c>
      <c r="Y311" s="55">
        <v>1921236860</v>
      </c>
      <c r="Z311" s="4" t="s">
        <v>6096</v>
      </c>
      <c r="AA311" s="4">
        <v>1921236860</v>
      </c>
      <c r="AB311" s="4" t="s">
        <v>118</v>
      </c>
      <c r="AC311" s="4" t="s">
        <v>79</v>
      </c>
      <c r="AD311" s="113">
        <v>31745</v>
      </c>
      <c r="AE311" s="107"/>
      <c r="AF311" s="4" t="s">
        <v>80</v>
      </c>
      <c r="AG311" s="114" t="s">
        <v>6097</v>
      </c>
      <c r="AH311" s="4" t="s">
        <v>795</v>
      </c>
      <c r="AI311" s="55" t="s">
        <v>322</v>
      </c>
      <c r="AJ311" s="55" t="s">
        <v>81</v>
      </c>
      <c r="AK311" s="55">
        <v>2015</v>
      </c>
      <c r="AL311" s="4" t="s">
        <v>4125</v>
      </c>
      <c r="AM311" s="4" t="s">
        <v>6098</v>
      </c>
      <c r="AN311" s="4" t="s">
        <v>5214</v>
      </c>
      <c r="AO311" s="4" t="s">
        <v>6099</v>
      </c>
      <c r="AP311" s="4" t="s">
        <v>6099</v>
      </c>
      <c r="AQ311" s="55" t="s">
        <v>6099</v>
      </c>
      <c r="AR311" s="4" t="s">
        <v>795</v>
      </c>
      <c r="AS311" s="4" t="s">
        <v>6096</v>
      </c>
      <c r="AT311" s="72" t="s">
        <v>795</v>
      </c>
      <c r="AU311" s="4" t="s">
        <v>795</v>
      </c>
      <c r="AV311" s="4" t="s">
        <v>795</v>
      </c>
      <c r="AW311" s="4" t="s">
        <v>795</v>
      </c>
      <c r="AX311" s="4" t="s">
        <v>795</v>
      </c>
      <c r="AY311" s="4" t="s">
        <v>795</v>
      </c>
      <c r="AZ311" s="4" t="s">
        <v>795</v>
      </c>
      <c r="BA311" s="4" t="s">
        <v>90</v>
      </c>
      <c r="BB311" s="4">
        <v>10800</v>
      </c>
      <c r="BC311" s="4">
        <v>2700</v>
      </c>
      <c r="BD311" s="4"/>
      <c r="BE311" s="4"/>
      <c r="BF311" s="4"/>
      <c r="BG311" s="4"/>
      <c r="BH311" s="4" t="s">
        <v>3499</v>
      </c>
      <c r="BI311" s="72">
        <f>VLOOKUP(A311,'ID Block'!A:L,12,0)</f>
        <v>45521</v>
      </c>
      <c r="BJ311" s="154" t="str">
        <f>VLOOKUP(A311,'ID Block'!A:M,13,0)</f>
        <v>Unauthorized Absent</v>
      </c>
      <c r="BK311" s="4">
        <f t="shared" si="5"/>
        <v>23</v>
      </c>
      <c r="BL311" s="105"/>
      <c r="BM311" s="10"/>
      <c r="BN311" s="183"/>
      <c r="BO311" s="183">
        <v>1978558128</v>
      </c>
    </row>
    <row r="312" ht="14.4" s="67" customFormat="1">
      <c r="A312" s="4">
        <v>171798</v>
      </c>
      <c r="B312" s="4"/>
      <c r="C312" s="55" t="s">
        <v>2585</v>
      </c>
      <c r="D312" s="4" t="s">
        <v>6100</v>
      </c>
      <c r="E312" s="4" t="s">
        <v>66</v>
      </c>
      <c r="F312" s="55"/>
      <c r="G312" s="4" t="s">
        <v>67</v>
      </c>
      <c r="H312" s="4" t="s">
        <v>68</v>
      </c>
      <c r="I312" s="4" t="s">
        <v>69</v>
      </c>
      <c r="J312" s="55" t="s">
        <v>214</v>
      </c>
      <c r="K312" s="4" t="s">
        <v>71</v>
      </c>
      <c r="L312" s="4" t="s">
        <v>72</v>
      </c>
      <c r="M312" s="4" t="s">
        <v>6016</v>
      </c>
      <c r="N312" s="4"/>
      <c r="O312" s="4"/>
      <c r="P312" s="4">
        <v>40</v>
      </c>
      <c r="Q312" s="57">
        <v>45492</v>
      </c>
      <c r="R312" s="57">
        <v>45504</v>
      </c>
      <c r="S312" s="113"/>
      <c r="T312" s="113"/>
      <c r="U312" s="4"/>
      <c r="V312" s="4"/>
      <c r="W312" s="105"/>
      <c r="X312" s="114">
        <v>1828776196</v>
      </c>
      <c r="Y312" s="55"/>
      <c r="Z312" s="4"/>
      <c r="AA312" s="4"/>
      <c r="AB312" s="4"/>
      <c r="AC312" s="4"/>
      <c r="AD312" s="113"/>
      <c r="AE312" s="107"/>
      <c r="AF312" s="4" t="s">
        <v>80</v>
      </c>
      <c r="AG312" s="114"/>
      <c r="AH312" s="4"/>
      <c r="AI312" s="55"/>
      <c r="AJ312" s="55"/>
      <c r="AK312" s="55"/>
      <c r="AL312" s="4"/>
      <c r="AM312" s="4"/>
      <c r="AN312" s="4"/>
      <c r="AO312" s="4"/>
      <c r="AP312" s="4"/>
      <c r="AQ312" s="55"/>
      <c r="AR312" s="4"/>
      <c r="AS312" s="4"/>
      <c r="AT312" s="72"/>
      <c r="AU312" s="4"/>
      <c r="AV312" s="4"/>
      <c r="AW312" s="4"/>
      <c r="AX312" s="4"/>
      <c r="AY312" s="4"/>
      <c r="AZ312" s="4"/>
      <c r="BA312" s="4" t="s">
        <v>90</v>
      </c>
      <c r="BB312" s="4">
        <v>10800</v>
      </c>
      <c r="BC312" s="4">
        <v>2700</v>
      </c>
      <c r="BD312" s="4">
        <v>0</v>
      </c>
      <c r="BE312" s="4" t="s">
        <v>91</v>
      </c>
      <c r="BF312" s="4"/>
      <c r="BG312" s="4"/>
      <c r="BH312" s="4" t="s">
        <v>3499</v>
      </c>
      <c r="BI312" s="72">
        <f>VLOOKUP(A312,'ID Block'!A:L,12,0)</f>
        <v>45521</v>
      </c>
      <c r="BJ312" s="154" t="str">
        <f>VLOOKUP(A312,'ID Block'!A:M,13,0)</f>
        <v>Unauthorized Absent</v>
      </c>
      <c r="BK312" s="4">
        <f t="shared" si="5"/>
        <v>17</v>
      </c>
      <c r="BL312" s="105"/>
      <c r="BM312" s="10"/>
      <c r="BN312" s="183"/>
      <c r="BO312" s="183">
        <v>1828776196</v>
      </c>
    </row>
    <row r="313" ht="14.4" s="67" customFormat="1">
      <c r="A313" s="4">
        <v>171490</v>
      </c>
      <c r="B313" s="4"/>
      <c r="C313" s="55" t="s">
        <v>5096</v>
      </c>
      <c r="D313" s="4" t="s">
        <v>6101</v>
      </c>
      <c r="E313" s="4" t="s">
        <v>114</v>
      </c>
      <c r="F313" s="55">
        <v>1110192808</v>
      </c>
      <c r="G313" s="4" t="s">
        <v>67</v>
      </c>
      <c r="H313" s="4" t="s">
        <v>68</v>
      </c>
      <c r="I313" s="4" t="s">
        <v>69</v>
      </c>
      <c r="J313" s="55" t="s">
        <v>297</v>
      </c>
      <c r="K313" s="4" t="s">
        <v>71</v>
      </c>
      <c r="L313" s="4" t="s">
        <v>72</v>
      </c>
      <c r="M313" s="4" t="s">
        <v>196</v>
      </c>
      <c r="N313" s="4" t="s">
        <v>74</v>
      </c>
      <c r="O313" s="4" t="s">
        <v>75</v>
      </c>
      <c r="P313" s="4">
        <v>29</v>
      </c>
      <c r="Q313" s="57">
        <v>45432</v>
      </c>
      <c r="R313" s="57">
        <v>45444</v>
      </c>
      <c r="S313" s="113"/>
      <c r="T313" s="113"/>
      <c r="U313" s="4"/>
      <c r="V313" s="4"/>
      <c r="W313" s="105" t="s">
        <v>6102</v>
      </c>
      <c r="X313" s="114">
        <v>1848177232</v>
      </c>
      <c r="Y313" s="55">
        <v>1533815631</v>
      </c>
      <c r="Z313" s="4" t="s">
        <v>1806</v>
      </c>
      <c r="AA313" s="4">
        <v>1778407845</v>
      </c>
      <c r="AB313" s="4" t="s">
        <v>101</v>
      </c>
      <c r="AC313" s="4" t="s">
        <v>79</v>
      </c>
      <c r="AD313" s="113">
        <v>35990</v>
      </c>
      <c r="AE313" s="107">
        <f>((TODAY())-AD313)/365</f>
        <v>26.594520547945205</v>
      </c>
      <c r="AF313" s="4" t="s">
        <v>80</v>
      </c>
      <c r="AG313" s="114">
        <v>8254957106</v>
      </c>
      <c r="AH313" s="4" t="s">
        <v>81</v>
      </c>
      <c r="AI313" s="55" t="s">
        <v>723</v>
      </c>
      <c r="AJ313" s="55" t="s">
        <v>569</v>
      </c>
      <c r="AK313" s="55">
        <v>2021</v>
      </c>
      <c r="AL313" s="4" t="s">
        <v>6103</v>
      </c>
      <c r="AM313" s="4" t="s">
        <v>1806</v>
      </c>
      <c r="AN313" s="4" t="s">
        <v>6104</v>
      </c>
      <c r="AO313" s="4" t="s">
        <v>6105</v>
      </c>
      <c r="AP313" s="4" t="s">
        <v>6106</v>
      </c>
      <c r="AQ313" s="55" t="s">
        <v>499</v>
      </c>
      <c r="AR313" s="4" t="s">
        <v>110</v>
      </c>
      <c r="AS313" s="4" t="s">
        <v>81</v>
      </c>
      <c r="AT313" s="72" t="s">
        <v>81</v>
      </c>
      <c r="AU313" s="4" t="s">
        <v>81</v>
      </c>
      <c r="AV313" s="4" t="s">
        <v>81</v>
      </c>
      <c r="AW313" s="4" t="s">
        <v>81</v>
      </c>
      <c r="AX313" s="4" t="s">
        <v>81</v>
      </c>
      <c r="AY313" s="4" t="s">
        <v>81</v>
      </c>
      <c r="AZ313" s="4" t="s">
        <v>81</v>
      </c>
      <c r="BA313" s="4" t="s">
        <v>90</v>
      </c>
      <c r="BB313" s="4">
        <v>10800</v>
      </c>
      <c r="BC313" s="4">
        <v>2700</v>
      </c>
      <c r="BD313" s="4">
        <v>0</v>
      </c>
      <c r="BE313" s="4" t="s">
        <v>91</v>
      </c>
      <c r="BF313" s="4"/>
      <c r="BG313" s="4"/>
      <c r="BH313" s="4" t="s">
        <v>3510</v>
      </c>
      <c r="BI313" s="72">
        <f>VLOOKUP(A313,'ID Block'!A:L,12,0)</f>
        <v>45524</v>
      </c>
      <c r="BJ313" s="154" t="str">
        <f>VLOOKUP(A313,'ID Block'!A:M,13,0)</f>
        <v>Family purpose</v>
      </c>
      <c r="BK313" s="4">
        <f t="shared" si="5"/>
        <v>80</v>
      </c>
      <c r="BL313" s="105"/>
      <c r="BM313" s="10"/>
      <c r="BN313" s="183"/>
      <c r="BO313" s="183"/>
    </row>
    <row r="314" ht="14.4" s="67" customFormat="1">
      <c r="A314" s="4">
        <v>171787</v>
      </c>
      <c r="B314" s="4"/>
      <c r="C314" s="55" t="s">
        <v>6107</v>
      </c>
      <c r="D314" s="4" t="s">
        <v>6108</v>
      </c>
      <c r="E314" s="4" t="s">
        <v>66</v>
      </c>
      <c r="F314" s="55"/>
      <c r="G314" s="4" t="s">
        <v>67</v>
      </c>
      <c r="H314" s="4" t="s">
        <v>68</v>
      </c>
      <c r="I314" s="4" t="s">
        <v>69</v>
      </c>
      <c r="J314" s="55" t="s">
        <v>214</v>
      </c>
      <c r="K314" s="4" t="s">
        <v>71</v>
      </c>
      <c r="L314" s="4" t="s">
        <v>72</v>
      </c>
      <c r="M314" s="4" t="s">
        <v>6016</v>
      </c>
      <c r="N314" s="4"/>
      <c r="O314" s="4"/>
      <c r="P314" s="4">
        <v>40</v>
      </c>
      <c r="Q314" s="57">
        <v>45492</v>
      </c>
      <c r="R314" s="57">
        <v>45504</v>
      </c>
      <c r="S314" s="113"/>
      <c r="T314" s="113"/>
      <c r="U314" s="4"/>
      <c r="V314" s="4"/>
      <c r="W314" s="105"/>
      <c r="X314" s="114">
        <v>1853459113</v>
      </c>
      <c r="Y314" s="55"/>
      <c r="Z314" s="4"/>
      <c r="AA314" s="4"/>
      <c r="AB314" s="4"/>
      <c r="AC314" s="4"/>
      <c r="AD314" s="113"/>
      <c r="AE314" s="107"/>
      <c r="AF314" s="4" t="s">
        <v>80</v>
      </c>
      <c r="AG314" s="114"/>
      <c r="AH314" s="4"/>
      <c r="AI314" s="55"/>
      <c r="AJ314" s="55"/>
      <c r="AK314" s="55"/>
      <c r="AL314" s="4"/>
      <c r="AM314" s="4"/>
      <c r="AN314" s="4"/>
      <c r="AO314" s="4"/>
      <c r="AP314" s="4"/>
      <c r="AQ314" s="55"/>
      <c r="AR314" s="4"/>
      <c r="AS314" s="4"/>
      <c r="AT314" s="72"/>
      <c r="AU314" s="4"/>
      <c r="AV314" s="4"/>
      <c r="AW314" s="4"/>
      <c r="AX314" s="4"/>
      <c r="AY314" s="4"/>
      <c r="AZ314" s="4"/>
      <c r="BA314" s="4" t="s">
        <v>90</v>
      </c>
      <c r="BB314" s="4">
        <v>10800</v>
      </c>
      <c r="BC314" s="4">
        <v>2700</v>
      </c>
      <c r="BD314" s="4">
        <v>0</v>
      </c>
      <c r="BE314" s="4" t="s">
        <v>91</v>
      </c>
      <c r="BF314" s="4"/>
      <c r="BG314" s="4"/>
      <c r="BH314" s="4" t="s">
        <v>3510</v>
      </c>
      <c r="BI314" s="72">
        <f>VLOOKUP(A314,'ID Block'!A:L,12,0)</f>
        <v>45527</v>
      </c>
      <c r="BJ314" s="154" t="str">
        <f>VLOOKUP(A314,'ID Block'!A:M,13,0)</f>
        <v>Family purpose</v>
      </c>
      <c r="BK314" s="4">
        <f t="shared" si="5"/>
        <v>23</v>
      </c>
      <c r="BL314" s="105"/>
      <c r="BM314" s="10"/>
      <c r="BN314" s="183"/>
      <c r="BO314" s="183">
        <v>1624673431</v>
      </c>
    </row>
    <row r="315" ht="14.4" s="67" customFormat="1">
      <c r="A315" s="4">
        <v>171777</v>
      </c>
      <c r="B315" s="4"/>
      <c r="C315" s="55" t="s">
        <v>6109</v>
      </c>
      <c r="D315" s="4" t="s">
        <v>6110</v>
      </c>
      <c r="E315" s="4" t="s">
        <v>6111</v>
      </c>
      <c r="F315" s="55">
        <v>1010986555</v>
      </c>
      <c r="G315" s="4" t="s">
        <v>67</v>
      </c>
      <c r="H315" s="4" t="s">
        <v>68</v>
      </c>
      <c r="I315" s="4" t="s">
        <v>69</v>
      </c>
      <c r="J315" s="55" t="s">
        <v>297</v>
      </c>
      <c r="K315" s="4" t="s">
        <v>71</v>
      </c>
      <c r="L315" s="4" t="s">
        <v>1767</v>
      </c>
      <c r="M315" s="4" t="s">
        <v>2643</v>
      </c>
      <c r="N315" s="4" t="s">
        <v>74</v>
      </c>
      <c r="O315" s="4" t="s">
        <v>2068</v>
      </c>
      <c r="P315" s="4">
        <v>39</v>
      </c>
      <c r="Q315" s="57">
        <v>45633</v>
      </c>
      <c r="R315" s="57">
        <v>45498</v>
      </c>
      <c r="S315" s="113" t="s">
        <v>81</v>
      </c>
      <c r="T315" s="113" t="s">
        <v>81</v>
      </c>
      <c r="U315" s="4" t="s">
        <v>81</v>
      </c>
      <c r="V315" s="4"/>
      <c r="W315" s="105" t="s">
        <v>6112</v>
      </c>
      <c r="X315" s="114">
        <v>1534718532</v>
      </c>
      <c r="Y315" s="55">
        <v>1330995725</v>
      </c>
      <c r="Z315" s="4" t="s">
        <v>6113</v>
      </c>
      <c r="AA315" s="4">
        <v>1534718532</v>
      </c>
      <c r="AB315" s="4" t="s">
        <v>359</v>
      </c>
      <c r="AC315" s="4" t="s">
        <v>79</v>
      </c>
      <c r="AD315" s="113">
        <v>35914</v>
      </c>
      <c r="AE315" s="107"/>
      <c r="AF315" s="4" t="s">
        <v>80</v>
      </c>
      <c r="AG315" s="114">
        <v>6007293977</v>
      </c>
      <c r="AH315" s="4" t="s">
        <v>81</v>
      </c>
      <c r="AI315" s="55" t="s">
        <v>6114</v>
      </c>
      <c r="AJ315" s="55" t="s">
        <v>81</v>
      </c>
      <c r="AK315" s="55" t="s">
        <v>81</v>
      </c>
      <c r="AL315" s="4" t="s">
        <v>6115</v>
      </c>
      <c r="AM315" s="4" t="s">
        <v>6113</v>
      </c>
      <c r="AN315" s="4" t="s">
        <v>6116</v>
      </c>
      <c r="AO315" s="4" t="s">
        <v>6117</v>
      </c>
      <c r="AP315" s="4" t="s">
        <v>6118</v>
      </c>
      <c r="AQ315" s="55" t="s">
        <v>6119</v>
      </c>
      <c r="AR315" s="4" t="s">
        <v>110</v>
      </c>
      <c r="AS315" s="4" t="s">
        <v>81</v>
      </c>
      <c r="AT315" s="72" t="s">
        <v>81</v>
      </c>
      <c r="AU315" s="4" t="s">
        <v>81</v>
      </c>
      <c r="AV315" s="4" t="s">
        <v>81</v>
      </c>
      <c r="AW315" s="4" t="s">
        <v>81</v>
      </c>
      <c r="AX315" s="4" t="s">
        <v>81</v>
      </c>
      <c r="AY315" s="4" t="s">
        <v>81</v>
      </c>
      <c r="AZ315" s="4" t="s">
        <v>81</v>
      </c>
      <c r="BA315" s="4" t="s">
        <v>90</v>
      </c>
      <c r="BB315" s="4">
        <v>10800</v>
      </c>
      <c r="BC315" s="4">
        <v>2700</v>
      </c>
      <c r="BD315" s="4"/>
      <c r="BE315" s="4" t="s">
        <v>91</v>
      </c>
      <c r="BF315" s="4" t="s">
        <v>81</v>
      </c>
      <c r="BG315" s="4" t="s">
        <v>81</v>
      </c>
      <c r="BH315" s="4" t="s">
        <v>3510</v>
      </c>
      <c r="BI315" s="72">
        <f>VLOOKUP(A315,'ID Block'!A:L,12,0)</f>
        <v>45524</v>
      </c>
      <c r="BJ315" s="154" t="str">
        <f>VLOOKUP(A315,'ID Block'!A:M,13,0)</f>
        <v>Better Opportunity</v>
      </c>
      <c r="BK315" s="4">
        <f t="shared" si="5"/>
        <v>26</v>
      </c>
      <c r="BL315" s="105"/>
      <c r="BM315" s="10"/>
      <c r="BN315" s="183"/>
      <c r="BO315" s="183">
        <v>1534718532</v>
      </c>
    </row>
    <row r="316" ht="14.4" s="67" customFormat="1">
      <c r="A316" s="4">
        <v>171261</v>
      </c>
      <c r="B316" s="4"/>
      <c r="C316" s="55" t="s">
        <v>6120</v>
      </c>
      <c r="D316" s="4" t="s">
        <v>6121</v>
      </c>
      <c r="E316" s="4" t="s">
        <v>66</v>
      </c>
      <c r="F316" s="55">
        <v>1310426347</v>
      </c>
      <c r="G316" s="4" t="s">
        <v>67</v>
      </c>
      <c r="H316" s="4" t="s">
        <v>68</v>
      </c>
      <c r="I316" s="4" t="s">
        <v>69</v>
      </c>
      <c r="J316" s="55" t="s">
        <v>297</v>
      </c>
      <c r="K316" s="4" t="s">
        <v>71</v>
      </c>
      <c r="L316" s="4" t="s">
        <v>72</v>
      </c>
      <c r="M316" s="4" t="s">
        <v>2643</v>
      </c>
      <c r="N316" s="4" t="s">
        <v>74</v>
      </c>
      <c r="O316" s="4" t="s">
        <v>75</v>
      </c>
      <c r="P316" s="4">
        <v>19</v>
      </c>
      <c r="Q316" s="57">
        <v>45251</v>
      </c>
      <c r="R316" s="57">
        <v>45256</v>
      </c>
      <c r="S316" s="113"/>
      <c r="T316" s="113"/>
      <c r="U316" s="4"/>
      <c r="V316" s="4"/>
      <c r="W316" s="105" t="s">
        <v>6122</v>
      </c>
      <c r="X316" s="114">
        <v>1834104392</v>
      </c>
      <c r="Y316" s="55">
        <v>1865140789</v>
      </c>
      <c r="Z316" s="4" t="s">
        <v>6123</v>
      </c>
      <c r="AA316" s="4">
        <v>1865140789</v>
      </c>
      <c r="AB316" s="4" t="s">
        <v>101</v>
      </c>
      <c r="AC316" s="4" t="s">
        <v>79</v>
      </c>
      <c r="AD316" s="113">
        <v>36875</v>
      </c>
      <c r="AE316" s="107">
        <f>((TODAY())-AD316)/365</f>
        <v>24.16986301369863</v>
      </c>
      <c r="AF316" s="4" t="s">
        <v>80</v>
      </c>
      <c r="AG316" s="114">
        <v>7815260414</v>
      </c>
      <c r="AH316" s="4" t="s">
        <v>81</v>
      </c>
      <c r="AI316" s="55" t="s">
        <v>6124</v>
      </c>
      <c r="AJ316" s="55" t="s">
        <v>81</v>
      </c>
      <c r="AK316" s="55">
        <v>2023</v>
      </c>
      <c r="AL316" s="4" t="s">
        <v>6029</v>
      </c>
      <c r="AM316" s="4" t="s">
        <v>6123</v>
      </c>
      <c r="AN316" s="4" t="s">
        <v>6125</v>
      </c>
      <c r="AO316" s="4" t="s">
        <v>6126</v>
      </c>
      <c r="AP316" s="4" t="s">
        <v>6127</v>
      </c>
      <c r="AQ316" s="55" t="s">
        <v>3382</v>
      </c>
      <c r="AR316" s="4" t="s">
        <v>110</v>
      </c>
      <c r="AS316" s="4" t="s">
        <v>81</v>
      </c>
      <c r="AT316" s="72" t="s">
        <v>81</v>
      </c>
      <c r="AU316" s="4" t="s">
        <v>81</v>
      </c>
      <c r="AV316" s="4" t="s">
        <v>81</v>
      </c>
      <c r="AW316" s="4" t="s">
        <v>81</v>
      </c>
      <c r="AX316" s="4" t="s">
        <v>81</v>
      </c>
      <c r="AY316" s="4"/>
      <c r="AZ316" s="4"/>
      <c r="BA316" s="4" t="s">
        <v>90</v>
      </c>
      <c r="BB316" s="4">
        <v>10800</v>
      </c>
      <c r="BC316" s="4">
        <v>2700</v>
      </c>
      <c r="BD316" s="4">
        <v>0</v>
      </c>
      <c r="BE316" s="4" t="s">
        <v>91</v>
      </c>
      <c r="BF316" s="4"/>
      <c r="BG316" s="4"/>
      <c r="BH316" s="4" t="s">
        <v>3510</v>
      </c>
      <c r="BI316" s="72">
        <f>VLOOKUP(A316,'ID Block'!A:L,12,0)</f>
        <v>45524</v>
      </c>
      <c r="BJ316" s="154" t="str">
        <f>VLOOKUP(A316,'ID Block'!A:M,13,0)</f>
        <v>Better Opportunity</v>
      </c>
      <c r="BK316" s="4">
        <f t="shared" si="5"/>
        <v>268</v>
      </c>
      <c r="BL316" s="105"/>
      <c r="BM316" s="10"/>
      <c r="BN316" s="183"/>
      <c r="BO316" s="183"/>
    </row>
    <row r="317" ht="14.4" s="67" customFormat="1">
      <c r="A317" s="4">
        <v>171452</v>
      </c>
      <c r="B317" s="4"/>
      <c r="C317" s="55" t="s">
        <v>5027</v>
      </c>
      <c r="D317" s="4" t="s">
        <v>6128</v>
      </c>
      <c r="E317" s="4" t="s">
        <v>114</v>
      </c>
      <c r="F317" s="55">
        <v>1110584162</v>
      </c>
      <c r="G317" s="4" t="s">
        <v>67</v>
      </c>
      <c r="H317" s="4" t="s">
        <v>68</v>
      </c>
      <c r="I317" s="4" t="s">
        <v>69</v>
      </c>
      <c r="J317" s="55" t="s">
        <v>297</v>
      </c>
      <c r="K317" s="4" t="s">
        <v>71</v>
      </c>
      <c r="L317" s="4" t="s">
        <v>72</v>
      </c>
      <c r="M317" s="4" t="s">
        <v>308</v>
      </c>
      <c r="N317" s="4" t="s">
        <v>74</v>
      </c>
      <c r="O317" s="4" t="s">
        <v>75</v>
      </c>
      <c r="P317" s="4">
        <v>27</v>
      </c>
      <c r="Q317" s="57">
        <v>45408</v>
      </c>
      <c r="R317" s="57">
        <v>45417</v>
      </c>
      <c r="S317" s="113"/>
      <c r="T317" s="113"/>
      <c r="U317" s="4"/>
      <c r="V317" s="4"/>
      <c r="W317" s="105" t="s">
        <v>6129</v>
      </c>
      <c r="X317" s="114">
        <v>1627644865</v>
      </c>
      <c r="Y317" s="55">
        <v>1932877107</v>
      </c>
      <c r="Z317" s="4" t="s">
        <v>1984</v>
      </c>
      <c r="AA317" s="4">
        <v>1815202482</v>
      </c>
      <c r="AB317" s="4" t="s">
        <v>132</v>
      </c>
      <c r="AC317" s="4" t="s">
        <v>79</v>
      </c>
      <c r="AD317" s="113">
        <v>36242</v>
      </c>
      <c r="AE317" s="107">
        <f>((TODAY())-AD317)/365</f>
        <v>25.904109589041095</v>
      </c>
      <c r="AF317" s="4" t="s">
        <v>80</v>
      </c>
      <c r="AG317" s="114">
        <v>2857729442</v>
      </c>
      <c r="AH317" s="4" t="s">
        <v>81</v>
      </c>
      <c r="AI317" s="55" t="s">
        <v>322</v>
      </c>
      <c r="AJ317" s="55" t="s">
        <v>81</v>
      </c>
      <c r="AK317" s="55">
        <v>2020</v>
      </c>
      <c r="AL317" s="4" t="s">
        <v>209</v>
      </c>
      <c r="AM317" s="4" t="s">
        <v>6130</v>
      </c>
      <c r="AN317" s="4" t="s">
        <v>1984</v>
      </c>
      <c r="AO317" s="4" t="s">
        <v>6131</v>
      </c>
      <c r="AP317" s="4" t="s">
        <v>6132</v>
      </c>
      <c r="AQ317" s="55" t="s">
        <v>328</v>
      </c>
      <c r="AR317" s="4" t="s">
        <v>110</v>
      </c>
      <c r="AS317" s="4" t="s">
        <v>81</v>
      </c>
      <c r="AT317" s="72" t="s">
        <v>81</v>
      </c>
      <c r="AU317" s="4" t="s">
        <v>81</v>
      </c>
      <c r="AV317" s="4" t="s">
        <v>81</v>
      </c>
      <c r="AW317" s="4" t="s">
        <v>81</v>
      </c>
      <c r="AX317" s="4" t="s">
        <v>81</v>
      </c>
      <c r="AY317" s="4" t="s">
        <v>81</v>
      </c>
      <c r="AZ317" s="4" t="s">
        <v>81</v>
      </c>
      <c r="BA317" s="4" t="s">
        <v>90</v>
      </c>
      <c r="BB317" s="4">
        <v>10800</v>
      </c>
      <c r="BC317" s="4">
        <v>2700</v>
      </c>
      <c r="BD317" s="4">
        <v>0</v>
      </c>
      <c r="BE317" s="4" t="s">
        <v>91</v>
      </c>
      <c r="BF317" s="4"/>
      <c r="BG317" s="4"/>
      <c r="BH317" s="4" t="s">
        <v>3510</v>
      </c>
      <c r="BI317" s="72">
        <f>VLOOKUP(A317,'ID Block'!A:L,12,0)</f>
        <v>45525</v>
      </c>
      <c r="BJ317" s="154" t="str">
        <f>VLOOKUP(A317,'ID Block'!A:M,13,0)</f>
        <v>Better Opportunity</v>
      </c>
      <c r="BK317" s="4">
        <f t="shared" si="5"/>
        <v>108</v>
      </c>
      <c r="BL317" s="105"/>
      <c r="BM317" s="10"/>
      <c r="BN317" s="183"/>
      <c r="BO317" s="183"/>
    </row>
    <row r="318" ht="14.4" s="67" customFormat="1">
      <c r="A318" s="4">
        <v>171679</v>
      </c>
      <c r="B318" s="4"/>
      <c r="C318" s="55" t="s">
        <v>2573</v>
      </c>
      <c r="D318" s="4" t="s">
        <v>6133</v>
      </c>
      <c r="E318" s="4" t="s">
        <v>114</v>
      </c>
      <c r="F318" s="55">
        <v>990810</v>
      </c>
      <c r="G318" s="4" t="s">
        <v>67</v>
      </c>
      <c r="H318" s="4" t="s">
        <v>68</v>
      </c>
      <c r="I318" s="4" t="s">
        <v>69</v>
      </c>
      <c r="J318" s="55" t="s">
        <v>1725</v>
      </c>
      <c r="K318" s="4" t="s">
        <v>71</v>
      </c>
      <c r="L318" s="4" t="s">
        <v>72</v>
      </c>
      <c r="M318" s="4" t="s">
        <v>115</v>
      </c>
      <c r="N318" s="4" t="s">
        <v>74</v>
      </c>
      <c r="O318" s="4" t="s">
        <v>75</v>
      </c>
      <c r="P318" s="4">
        <v>35</v>
      </c>
      <c r="Q318" s="57">
        <v>45466</v>
      </c>
      <c r="R318" s="57">
        <v>45475</v>
      </c>
      <c r="S318" s="113"/>
      <c r="T318" s="113"/>
      <c r="U318" s="4"/>
      <c r="V318" s="4"/>
      <c r="W318" s="105" t="s">
        <v>6134</v>
      </c>
      <c r="X318" s="114">
        <v>1677818874</v>
      </c>
      <c r="Y318" s="55">
        <v>1858466444</v>
      </c>
      <c r="Z318" s="4" t="s">
        <v>6135</v>
      </c>
      <c r="AA318" s="4">
        <v>1714269732</v>
      </c>
      <c r="AB318" s="4" t="s">
        <v>132</v>
      </c>
      <c r="AC318" s="4" t="s">
        <v>133</v>
      </c>
      <c r="AD318" s="113">
        <v>32043</v>
      </c>
      <c r="AE318" s="107"/>
      <c r="AF318" s="4" t="s">
        <v>80</v>
      </c>
      <c r="AG318" s="114">
        <v>5994488830</v>
      </c>
      <c r="AH318" s="4" t="s">
        <v>81</v>
      </c>
      <c r="AI318" s="55" t="s">
        <v>1339</v>
      </c>
      <c r="AJ318" s="55" t="s">
        <v>81</v>
      </c>
      <c r="AK318" s="55">
        <v>2011</v>
      </c>
      <c r="AL318" s="4" t="s">
        <v>372</v>
      </c>
      <c r="AM318" s="4" t="s">
        <v>6136</v>
      </c>
      <c r="AN318" s="4" t="s">
        <v>6137</v>
      </c>
      <c r="AO318" s="4" t="s">
        <v>6138</v>
      </c>
      <c r="AP318" s="4" t="s">
        <v>6138</v>
      </c>
      <c r="AQ318" s="55" t="s">
        <v>6139</v>
      </c>
      <c r="AR318" s="4" t="s">
        <v>110</v>
      </c>
      <c r="AS318" s="4" t="s">
        <v>81</v>
      </c>
      <c r="AT318" s="72" t="s">
        <v>81</v>
      </c>
      <c r="AU318" s="4" t="s">
        <v>81</v>
      </c>
      <c r="AV318" s="4" t="s">
        <v>81</v>
      </c>
      <c r="AW318" s="4" t="s">
        <v>81</v>
      </c>
      <c r="AX318" s="4" t="s">
        <v>81</v>
      </c>
      <c r="AY318" s="4" t="s">
        <v>81</v>
      </c>
      <c r="AZ318" s="4" t="s">
        <v>81</v>
      </c>
      <c r="BA318" s="4" t="s">
        <v>90</v>
      </c>
      <c r="BB318" s="4">
        <v>10800</v>
      </c>
      <c r="BC318" s="4">
        <v>2700</v>
      </c>
      <c r="BD318" s="4">
        <v>0</v>
      </c>
      <c r="BE318" s="4" t="s">
        <v>91</v>
      </c>
      <c r="BF318" s="4"/>
      <c r="BG318" s="4"/>
      <c r="BH318" s="4" t="s">
        <v>3510</v>
      </c>
      <c r="BI318" s="72">
        <f>VLOOKUP(A318,'ID Block'!A:L,12,0)</f>
        <v>45524</v>
      </c>
      <c r="BJ318" s="154" t="str">
        <f>VLOOKUP(A318,'ID Block'!A:M,13,0)</f>
        <v>Better Opportunity</v>
      </c>
      <c r="BK318" s="4">
        <f t="shared" si="5"/>
        <v>49</v>
      </c>
      <c r="BL318" s="105"/>
      <c r="BM318" s="10"/>
      <c r="BN318" s="183"/>
      <c r="BO318" s="183"/>
    </row>
    <row r="319" ht="14.4" s="67" customFormat="1">
      <c r="A319" s="4">
        <v>171035</v>
      </c>
      <c r="B319" s="4"/>
      <c r="C319" s="55" t="s">
        <v>6140</v>
      </c>
      <c r="D319" s="4" t="s">
        <v>6141</v>
      </c>
      <c r="E319" s="4" t="s">
        <v>114</v>
      </c>
      <c r="F319" s="55">
        <v>1313827942</v>
      </c>
      <c r="G319" s="4" t="s">
        <v>67</v>
      </c>
      <c r="H319" s="4" t="s">
        <v>68</v>
      </c>
      <c r="I319" s="4" t="s">
        <v>69</v>
      </c>
      <c r="J319" s="55" t="s">
        <v>70</v>
      </c>
      <c r="K319" s="4" t="s">
        <v>71</v>
      </c>
      <c r="L319" s="4" t="s">
        <v>72</v>
      </c>
      <c r="M319" s="4" t="s">
        <v>2643</v>
      </c>
      <c r="N319" s="4" t="s">
        <v>74</v>
      </c>
      <c r="O319" s="4" t="s">
        <v>75</v>
      </c>
      <c r="P319" s="4">
        <v>3</v>
      </c>
      <c r="Q319" s="57">
        <v>45033</v>
      </c>
      <c r="R319" s="57">
        <v>45040</v>
      </c>
      <c r="S319" s="113"/>
      <c r="T319" s="113"/>
      <c r="U319" s="4"/>
      <c r="V319" s="4"/>
      <c r="W319" s="105" t="s">
        <v>6142</v>
      </c>
      <c r="X319" s="114">
        <v>1755900397</v>
      </c>
      <c r="Y319" s="55"/>
      <c r="Z319" s="4" t="s">
        <v>6143</v>
      </c>
      <c r="AA319" s="4">
        <v>1748281757</v>
      </c>
      <c r="AB319" s="4" t="s">
        <v>132</v>
      </c>
      <c r="AC319" s="4" t="s">
        <v>79</v>
      </c>
      <c r="AD319" s="113">
        <v>36827</v>
      </c>
      <c r="AE319" s="107">
        <f>((TODAY())-AD319)/365</f>
        <v>24.301369863013697</v>
      </c>
      <c r="AF319" s="4" t="s">
        <v>80</v>
      </c>
      <c r="AG319" s="114" t="s">
        <v>6144</v>
      </c>
      <c r="AH319" s="4" t="s">
        <v>81</v>
      </c>
      <c r="AI319" s="55" t="s">
        <v>104</v>
      </c>
      <c r="AJ319" s="55" t="s">
        <v>120</v>
      </c>
      <c r="AK319" s="55">
        <v>2024</v>
      </c>
      <c r="AL319" s="4" t="s">
        <v>2789</v>
      </c>
      <c r="AM319" s="4" t="s">
        <v>6145</v>
      </c>
      <c r="AN319" s="4" t="s">
        <v>6143</v>
      </c>
      <c r="AO319" s="4" t="s">
        <v>6146</v>
      </c>
      <c r="AP319" s="4" t="s">
        <v>6147</v>
      </c>
      <c r="AQ319" s="55" t="s">
        <v>3969</v>
      </c>
      <c r="AR319" s="4" t="s">
        <v>110</v>
      </c>
      <c r="AS319" s="4"/>
      <c r="AT319" s="72"/>
      <c r="AU319" s="4"/>
      <c r="AV319" s="4"/>
      <c r="AW319" s="4"/>
      <c r="AX319" s="4"/>
      <c r="AY319" s="4"/>
      <c r="AZ319" s="4"/>
      <c r="BA319" s="4" t="s">
        <v>90</v>
      </c>
      <c r="BB319" s="4">
        <v>12000</v>
      </c>
      <c r="BC319" s="4">
        <v>3000</v>
      </c>
      <c r="BD319" s="4">
        <v>0</v>
      </c>
      <c r="BE319" s="4" t="s">
        <v>91</v>
      </c>
      <c r="BF319" s="4">
        <v>160509</v>
      </c>
      <c r="BG319" s="4" t="s">
        <v>92</v>
      </c>
      <c r="BH319" s="4" t="s">
        <v>3510</v>
      </c>
      <c r="BI319" s="72">
        <f>VLOOKUP(A319,'ID Block'!A:L,12,0)</f>
        <v>45525</v>
      </c>
      <c r="BJ319" s="154" t="str">
        <f>VLOOKUP(A319,'ID Block'!A:M,13,0)</f>
        <v>Better Opportunity</v>
      </c>
      <c r="BK319" s="4">
        <f t="shared" si="5"/>
        <v>485</v>
      </c>
      <c r="BL319" s="105"/>
      <c r="BM319" s="10"/>
      <c r="BN319" s="183"/>
      <c r="BO319" s="183"/>
    </row>
    <row r="320" ht="14.4" s="67" customFormat="1">
      <c r="A320" s="4">
        <v>171795</v>
      </c>
      <c r="B320" s="4"/>
      <c r="C320" s="55" t="s">
        <v>6148</v>
      </c>
      <c r="D320" s="4" t="s">
        <v>6149</v>
      </c>
      <c r="E320" s="4" t="s">
        <v>66</v>
      </c>
      <c r="F320" s="55"/>
      <c r="G320" s="4" t="s">
        <v>67</v>
      </c>
      <c r="H320" s="4" t="s">
        <v>68</v>
      </c>
      <c r="I320" s="4" t="s">
        <v>69</v>
      </c>
      <c r="J320" s="55" t="s">
        <v>214</v>
      </c>
      <c r="K320" s="4" t="s">
        <v>71</v>
      </c>
      <c r="L320" s="4" t="s">
        <v>72</v>
      </c>
      <c r="M320" s="4" t="s">
        <v>6016</v>
      </c>
      <c r="N320" s="4"/>
      <c r="O320" s="4"/>
      <c r="P320" s="4">
        <v>40</v>
      </c>
      <c r="Q320" s="57">
        <v>45492</v>
      </c>
      <c r="R320" s="57">
        <v>45504</v>
      </c>
      <c r="S320" s="113"/>
      <c r="T320" s="113"/>
      <c r="U320" s="4"/>
      <c r="V320" s="4"/>
      <c r="W320" s="105"/>
      <c r="X320" s="114">
        <v>1758538454</v>
      </c>
      <c r="Y320" s="55"/>
      <c r="Z320" s="4"/>
      <c r="AA320" s="4"/>
      <c r="AB320" s="4"/>
      <c r="AC320" s="4"/>
      <c r="AD320" s="113"/>
      <c r="AE320" s="107"/>
      <c r="AF320" s="4" t="s">
        <v>360</v>
      </c>
      <c r="AG320" s="114"/>
      <c r="AH320" s="4"/>
      <c r="AI320" s="55"/>
      <c r="AJ320" s="55"/>
      <c r="AK320" s="55"/>
      <c r="AL320" s="4"/>
      <c r="AM320" s="4"/>
      <c r="AN320" s="4"/>
      <c r="AO320" s="4"/>
      <c r="AP320" s="4"/>
      <c r="AQ320" s="55"/>
      <c r="AR320" s="4"/>
      <c r="AS320" s="4"/>
      <c r="AT320" s="72"/>
      <c r="AU320" s="4"/>
      <c r="AV320" s="4"/>
      <c r="AW320" s="4"/>
      <c r="AX320" s="4"/>
      <c r="AY320" s="4"/>
      <c r="AZ320" s="4"/>
      <c r="BA320" s="4" t="s">
        <v>90</v>
      </c>
      <c r="BB320" s="4">
        <v>10800</v>
      </c>
      <c r="BC320" s="4">
        <v>2700</v>
      </c>
      <c r="BD320" s="4">
        <v>0</v>
      </c>
      <c r="BE320" s="4" t="s">
        <v>91</v>
      </c>
      <c r="BF320" s="4"/>
      <c r="BG320" s="4"/>
      <c r="BH320" s="4" t="s">
        <v>3510</v>
      </c>
      <c r="BI320" s="72">
        <f>VLOOKUP(A320,'ID Block'!A:L,12,0)</f>
        <v>45527</v>
      </c>
      <c r="BJ320" s="154" t="str">
        <f>VLOOKUP(A320,'ID Block'!A:M,13,0)</f>
        <v>Better Opportunity</v>
      </c>
      <c r="BK320" s="4">
        <f t="shared" si="5"/>
        <v>23</v>
      </c>
      <c r="BL320" s="105"/>
      <c r="BM320" s="10"/>
      <c r="BN320" s="183"/>
      <c r="BO320" s="183">
        <v>1758538454</v>
      </c>
    </row>
    <row r="321" ht="14.4" s="67" customFormat="1">
      <c r="A321" s="4">
        <v>171802</v>
      </c>
      <c r="B321" s="4"/>
      <c r="C321" s="55" t="s">
        <v>5696</v>
      </c>
      <c r="D321" s="4" t="s">
        <v>6150</v>
      </c>
      <c r="E321" s="4" t="s">
        <v>66</v>
      </c>
      <c r="F321" s="55">
        <v>110599572</v>
      </c>
      <c r="G321" s="4" t="s">
        <v>67</v>
      </c>
      <c r="H321" s="4" t="s">
        <v>68</v>
      </c>
      <c r="I321" s="4" t="s">
        <v>69</v>
      </c>
      <c r="J321" s="55" t="s">
        <v>214</v>
      </c>
      <c r="K321" s="4" t="s">
        <v>71</v>
      </c>
      <c r="L321" s="4" t="s">
        <v>72</v>
      </c>
      <c r="M321" s="4" t="s">
        <v>6016</v>
      </c>
      <c r="N321" s="4" t="s">
        <v>74</v>
      </c>
      <c r="O321" s="4" t="s">
        <v>2068</v>
      </c>
      <c r="P321" s="4">
        <v>40</v>
      </c>
      <c r="Q321" s="57">
        <v>45492</v>
      </c>
      <c r="R321" s="57">
        <v>45504</v>
      </c>
      <c r="S321" s="113"/>
      <c r="T321" s="113"/>
      <c r="U321" s="4"/>
      <c r="V321" s="4"/>
      <c r="W321" s="105"/>
      <c r="X321" s="114">
        <v>1950501424</v>
      </c>
      <c r="Y321" s="55"/>
      <c r="Z321" s="4" t="s">
        <v>6151</v>
      </c>
      <c r="AA321" s="4">
        <v>1621107613</v>
      </c>
      <c r="AB321" s="4" t="s">
        <v>242</v>
      </c>
      <c r="AC321" s="4" t="s">
        <v>79</v>
      </c>
      <c r="AD321" s="113">
        <v>36193</v>
      </c>
      <c r="AE321" s="107"/>
      <c r="AF321" s="4" t="s">
        <v>80</v>
      </c>
      <c r="AG321" s="114"/>
      <c r="AH321" s="4"/>
      <c r="AI321" s="55"/>
      <c r="AJ321" s="55"/>
      <c r="AK321" s="55"/>
      <c r="AL321" s="4"/>
      <c r="AM321" s="4" t="s">
        <v>6152</v>
      </c>
      <c r="AN321" s="4" t="s">
        <v>1550</v>
      </c>
      <c r="AO321" s="4" t="s">
        <v>6153</v>
      </c>
      <c r="AP321" s="4" t="s">
        <v>6154</v>
      </c>
      <c r="AQ321" s="55" t="s">
        <v>6153</v>
      </c>
      <c r="AR321" s="4"/>
      <c r="AS321" s="4"/>
      <c r="AT321" s="72"/>
      <c r="AU321" s="4"/>
      <c r="AV321" s="4"/>
      <c r="AW321" s="4"/>
      <c r="AX321" s="4"/>
      <c r="AY321" s="4"/>
      <c r="AZ321" s="4"/>
      <c r="BA321" s="4" t="s">
        <v>90</v>
      </c>
      <c r="BB321" s="4">
        <v>10800</v>
      </c>
      <c r="BC321" s="4">
        <v>2700</v>
      </c>
      <c r="BD321" s="4">
        <v>0</v>
      </c>
      <c r="BE321" s="4" t="s">
        <v>91</v>
      </c>
      <c r="BF321" s="4"/>
      <c r="BG321" s="4"/>
      <c r="BH321" s="4" t="s">
        <v>3510</v>
      </c>
      <c r="BI321" s="72">
        <f>VLOOKUP(A321,'ID Block'!A:L,12,0)</f>
        <v>45519</v>
      </c>
      <c r="BJ321" s="154" t="str">
        <f>VLOOKUP(A321,'ID Block'!A:M,13,0)</f>
        <v>Family purpose</v>
      </c>
      <c r="BK321" s="4">
        <f t="shared" si="5"/>
        <v>15</v>
      </c>
      <c r="BL321" s="105"/>
      <c r="BM321" s="10"/>
      <c r="BN321" s="183"/>
      <c r="BO321" s="183">
        <v>1950501424</v>
      </c>
    </row>
    <row r="322" ht="14.4" s="67" customFormat="1">
      <c r="A322" s="4">
        <v>171263</v>
      </c>
      <c r="B322" s="4"/>
      <c r="C322" s="55"/>
      <c r="D322" s="4" t="s">
        <v>6155</v>
      </c>
      <c r="E322" s="4" t="s">
        <v>66</v>
      </c>
      <c r="F322" s="55">
        <v>355347</v>
      </c>
      <c r="G322" s="4" t="s">
        <v>67</v>
      </c>
      <c r="H322" s="4" t="s">
        <v>68</v>
      </c>
      <c r="I322" s="4" t="s">
        <v>69</v>
      </c>
      <c r="J322" s="55" t="s">
        <v>297</v>
      </c>
      <c r="K322" s="4" t="s">
        <v>71</v>
      </c>
      <c r="L322" s="4" t="s">
        <v>72</v>
      </c>
      <c r="M322" s="4" t="s">
        <v>115</v>
      </c>
      <c r="N322" s="4" t="s">
        <v>74</v>
      </c>
      <c r="O322" s="4" t="s">
        <v>75</v>
      </c>
      <c r="P322" s="4">
        <v>19</v>
      </c>
      <c r="Q322" s="57">
        <v>45251</v>
      </c>
      <c r="R322" s="57">
        <v>45256</v>
      </c>
      <c r="S322" s="113"/>
      <c r="T322" s="113"/>
      <c r="U322" s="4"/>
      <c r="V322" s="4"/>
      <c r="W322" s="105" t="s">
        <v>6156</v>
      </c>
      <c r="X322" s="114">
        <v>1557137389</v>
      </c>
      <c r="Y322" s="55">
        <v>1516130802</v>
      </c>
      <c r="Z322" s="4" t="s">
        <v>444</v>
      </c>
      <c r="AA322" s="4">
        <v>1516130802</v>
      </c>
      <c r="AB322" s="4" t="s">
        <v>410</v>
      </c>
      <c r="AC322" s="4" t="s">
        <v>133</v>
      </c>
      <c r="AD322" s="113">
        <v>34716</v>
      </c>
      <c r="AE322" s="107">
        <f>((TODAY())-AD322)/365</f>
        <v>30.084931506849315</v>
      </c>
      <c r="AF322" s="4" t="s">
        <v>80</v>
      </c>
      <c r="AG322" s="114">
        <v>4625401163</v>
      </c>
      <c r="AH322" s="4" t="s">
        <v>81</v>
      </c>
      <c r="AI322" s="55" t="s">
        <v>322</v>
      </c>
      <c r="AJ322" s="55" t="s">
        <v>81</v>
      </c>
      <c r="AK322" s="55">
        <v>2019</v>
      </c>
      <c r="AL322" s="4" t="s">
        <v>6157</v>
      </c>
      <c r="AM322" s="4" t="s">
        <v>6158</v>
      </c>
      <c r="AN322" s="4" t="s">
        <v>6159</v>
      </c>
      <c r="AO322" s="4" t="s">
        <v>6160</v>
      </c>
      <c r="AP322" s="4" t="s">
        <v>6161</v>
      </c>
      <c r="AQ322" s="55" t="s">
        <v>6162</v>
      </c>
      <c r="AR322" s="4" t="s">
        <v>89</v>
      </c>
      <c r="AS322" s="4" t="s">
        <v>444</v>
      </c>
      <c r="AT322" s="72">
        <v>33970</v>
      </c>
      <c r="AU322" s="4" t="s">
        <v>6163</v>
      </c>
      <c r="AV322" s="4">
        <v>43862</v>
      </c>
      <c r="AW322" s="4" t="s">
        <v>81</v>
      </c>
      <c r="AX322" s="4" t="s">
        <v>81</v>
      </c>
      <c r="AY322" s="4"/>
      <c r="AZ322" s="4"/>
      <c r="BA322" s="4" t="s">
        <v>90</v>
      </c>
      <c r="BB322" s="4">
        <v>10800</v>
      </c>
      <c r="BC322" s="4">
        <v>2700</v>
      </c>
      <c r="BD322" s="4">
        <v>0</v>
      </c>
      <c r="BE322" s="4" t="s">
        <v>91</v>
      </c>
      <c r="BF322" s="4"/>
      <c r="BG322" s="4"/>
      <c r="BH322" s="4" t="s">
        <v>3510</v>
      </c>
      <c r="BI322" s="72">
        <f>VLOOKUP(A322,'ID Block'!A:L,12,0)</f>
        <v>45527</v>
      </c>
      <c r="BJ322" s="154" t="str">
        <f>VLOOKUP(A322,'ID Block'!A:M,13,0)</f>
        <v>Family purpose</v>
      </c>
      <c r="BK322" s="4">
        <f t="shared" si="5"/>
        <v>271</v>
      </c>
      <c r="BL322" s="105"/>
      <c r="BM322" s="10"/>
      <c r="BN322" s="183"/>
      <c r="BO322" s="183"/>
    </row>
    <row r="323" ht="14.4" s="67" customFormat="1">
      <c r="A323" s="4">
        <v>171482</v>
      </c>
      <c r="B323" s="4"/>
      <c r="C323" s="55" t="s">
        <v>6164</v>
      </c>
      <c r="D323" s="4" t="s">
        <v>6165</v>
      </c>
      <c r="E323" s="4" t="s">
        <v>114</v>
      </c>
      <c r="F323" s="55">
        <v>737122</v>
      </c>
      <c r="G323" s="4" t="s">
        <v>67</v>
      </c>
      <c r="H323" s="4" t="s">
        <v>68</v>
      </c>
      <c r="I323" s="4" t="s">
        <v>69</v>
      </c>
      <c r="J323" s="55" t="s">
        <v>155</v>
      </c>
      <c r="K323" s="4" t="s">
        <v>71</v>
      </c>
      <c r="L323" s="4" t="s">
        <v>72</v>
      </c>
      <c r="M323" s="4" t="s">
        <v>196</v>
      </c>
      <c r="N323" s="4" t="s">
        <v>74</v>
      </c>
      <c r="O323" s="4" t="s">
        <v>75</v>
      </c>
      <c r="P323" s="4">
        <v>28</v>
      </c>
      <c r="Q323" s="57">
        <v>45419</v>
      </c>
      <c r="R323" s="57">
        <v>45438</v>
      </c>
      <c r="S323" s="113"/>
      <c r="T323" s="113"/>
      <c r="U323" s="4"/>
      <c r="V323" s="4"/>
      <c r="W323" s="105" t="s">
        <v>6166</v>
      </c>
      <c r="X323" s="114">
        <v>1609047671</v>
      </c>
      <c r="Y323" s="55">
        <v>1851513981</v>
      </c>
      <c r="Z323" s="4"/>
      <c r="AA323" s="4">
        <v>1951436019</v>
      </c>
      <c r="AB323" s="4" t="s">
        <v>252</v>
      </c>
      <c r="AC323" s="4" t="s">
        <v>79</v>
      </c>
      <c r="AD323" s="113">
        <v>35100</v>
      </c>
      <c r="AE323" s="107">
        <f>((TODAY())-AD323)/365</f>
        <v>29.03287671232877</v>
      </c>
      <c r="AF323" s="4" t="s">
        <v>80</v>
      </c>
      <c r="AG323" s="114" t="s">
        <v>6167</v>
      </c>
      <c r="AH323" s="4" t="s">
        <v>81</v>
      </c>
      <c r="AI323" s="55" t="s">
        <v>1517</v>
      </c>
      <c r="AJ323" s="55" t="s">
        <v>81</v>
      </c>
      <c r="AK323" s="55">
        <v>2023</v>
      </c>
      <c r="AL323" s="4" t="s">
        <v>6168</v>
      </c>
      <c r="AM323" s="4" t="s">
        <v>6169</v>
      </c>
      <c r="AN323" s="4" t="s">
        <v>6170</v>
      </c>
      <c r="AO323" s="4" t="s">
        <v>6171</v>
      </c>
      <c r="AP323" s="4" t="s">
        <v>6172</v>
      </c>
      <c r="AQ323" s="55" t="s">
        <v>88</v>
      </c>
      <c r="AR323" s="4" t="s">
        <v>110</v>
      </c>
      <c r="AS323" s="4" t="s">
        <v>81</v>
      </c>
      <c r="AT323" s="72" t="s">
        <v>81</v>
      </c>
      <c r="AU323" s="4" t="s">
        <v>81</v>
      </c>
      <c r="AV323" s="4" t="s">
        <v>81</v>
      </c>
      <c r="AW323" s="4" t="s">
        <v>81</v>
      </c>
      <c r="AX323" s="4" t="s">
        <v>81</v>
      </c>
      <c r="AY323" s="4" t="s">
        <v>81</v>
      </c>
      <c r="AZ323" s="4" t="s">
        <v>81</v>
      </c>
      <c r="BA323" s="4" t="s">
        <v>90</v>
      </c>
      <c r="BB323" s="4">
        <v>10800</v>
      </c>
      <c r="BC323" s="4">
        <v>2700</v>
      </c>
      <c r="BD323" s="4">
        <v>1000</v>
      </c>
      <c r="BE323" s="4" t="s">
        <v>166</v>
      </c>
      <c r="BF323" s="4"/>
      <c r="BG323" s="4"/>
      <c r="BH323" s="4" t="s">
        <v>3510</v>
      </c>
      <c r="BI323" s="72">
        <f>VLOOKUP(A323,'ID Block'!A:L,12,0)</f>
        <v>45533</v>
      </c>
      <c r="BJ323" s="154" t="str">
        <f>VLOOKUP(A323,'ID Block'!A:M,13,0)</f>
        <v>Better Opportunity</v>
      </c>
      <c r="BK323" s="4">
        <f t="shared" si="5"/>
        <v>95</v>
      </c>
      <c r="BL323" s="105"/>
      <c r="BM323" s="10"/>
      <c r="BN323" s="183"/>
      <c r="BO323" s="183"/>
    </row>
    <row r="324" ht="14.4" s="67" customFormat="1">
      <c r="A324" s="4">
        <v>171790</v>
      </c>
      <c r="B324" s="4"/>
      <c r="C324" s="55" t="s">
        <v>6173</v>
      </c>
      <c r="D324" s="4" t="s">
        <v>6174</v>
      </c>
      <c r="E324" s="4" t="s">
        <v>114</v>
      </c>
      <c r="F324" s="55" t="s">
        <v>81</v>
      </c>
      <c r="G324" s="4" t="s">
        <v>67</v>
      </c>
      <c r="H324" s="4" t="s">
        <v>68</v>
      </c>
      <c r="I324" s="4" t="s">
        <v>69</v>
      </c>
      <c r="J324" s="55" t="s">
        <v>214</v>
      </c>
      <c r="K324" s="4" t="s">
        <v>71</v>
      </c>
      <c r="L324" s="4" t="s">
        <v>72</v>
      </c>
      <c r="M324" s="4" t="s">
        <v>6016</v>
      </c>
      <c r="N324" s="4" t="s">
        <v>74</v>
      </c>
      <c r="O324" s="4" t="s">
        <v>2068</v>
      </c>
      <c r="P324" s="4">
        <v>40</v>
      </c>
      <c r="Q324" s="57">
        <v>45492</v>
      </c>
      <c r="R324" s="57">
        <v>45504</v>
      </c>
      <c r="S324" s="113"/>
      <c r="T324" s="113"/>
      <c r="U324" s="4"/>
      <c r="V324" s="4"/>
      <c r="W324" s="105"/>
      <c r="X324" s="114">
        <v>1603754290</v>
      </c>
      <c r="Y324" s="55"/>
      <c r="Z324" s="4" t="s">
        <v>6175</v>
      </c>
      <c r="AA324" s="4">
        <v>1742022982</v>
      </c>
      <c r="AB324" s="4" t="s">
        <v>6176</v>
      </c>
      <c r="AC324" s="4" t="s">
        <v>133</v>
      </c>
      <c r="AD324" s="113">
        <v>36316</v>
      </c>
      <c r="AE324" s="107"/>
      <c r="AF324" s="4" t="s">
        <v>80</v>
      </c>
      <c r="AG324" s="114">
        <v>3304262904</v>
      </c>
      <c r="AH324" s="4"/>
      <c r="AI324" s="55" t="s">
        <v>322</v>
      </c>
      <c r="AJ324" s="55"/>
      <c r="AK324" s="55"/>
      <c r="AL324" s="4"/>
      <c r="AM324" s="4" t="s">
        <v>6177</v>
      </c>
      <c r="AN324" s="4" t="s">
        <v>6178</v>
      </c>
      <c r="AO324" s="4" t="s">
        <v>6179</v>
      </c>
      <c r="AP324" s="4" t="s">
        <v>6180</v>
      </c>
      <c r="AQ324" s="55" t="s">
        <v>1282</v>
      </c>
      <c r="AR324" s="4"/>
      <c r="AS324" s="4"/>
      <c r="AT324" s="72"/>
      <c r="AU324" s="4"/>
      <c r="AV324" s="4"/>
      <c r="AW324" s="4"/>
      <c r="AX324" s="4"/>
      <c r="AY324" s="4"/>
      <c r="AZ324" s="4"/>
      <c r="BA324" s="4" t="s">
        <v>90</v>
      </c>
      <c r="BB324" s="4">
        <v>10800</v>
      </c>
      <c r="BC324" s="4">
        <v>2700</v>
      </c>
      <c r="BD324" s="4">
        <v>0</v>
      </c>
      <c r="BE324" s="4" t="s">
        <v>91</v>
      </c>
      <c r="BF324" s="4"/>
      <c r="BG324" s="4"/>
      <c r="BH324" s="4" t="s">
        <v>3499</v>
      </c>
      <c r="BI324" s="72">
        <f>VLOOKUP(A324,'ID Block'!A:L,12,0)</f>
        <v>45525</v>
      </c>
      <c r="BJ324" s="154" t="str">
        <f>VLOOKUP(A324,'ID Block'!A:M,13,0)</f>
        <v>Unauthorized Absent</v>
      </c>
      <c r="BK324" s="4">
        <f t="shared" si="5"/>
        <v>21</v>
      </c>
      <c r="BL324" s="105"/>
      <c r="BM324" s="10"/>
      <c r="BN324" s="183"/>
      <c r="BO324" s="183">
        <v>1926329156</v>
      </c>
    </row>
    <row r="325" ht="14.4" s="67" customFormat="1">
      <c r="A325" s="4">
        <v>171044</v>
      </c>
      <c r="B325" s="4"/>
      <c r="C325" s="55" t="s">
        <v>6181</v>
      </c>
      <c r="D325" s="4" t="s">
        <v>6182</v>
      </c>
      <c r="E325" s="4" t="s">
        <v>66</v>
      </c>
      <c r="F325" s="55">
        <v>852315</v>
      </c>
      <c r="G325" s="4" t="s">
        <v>67</v>
      </c>
      <c r="H325" s="4" t="s">
        <v>68</v>
      </c>
      <c r="I325" s="4" t="s">
        <v>69</v>
      </c>
      <c r="J325" s="55" t="s">
        <v>70</v>
      </c>
      <c r="K325" s="4" t="s">
        <v>71</v>
      </c>
      <c r="L325" s="4" t="s">
        <v>72</v>
      </c>
      <c r="M325" s="4" t="s">
        <v>2643</v>
      </c>
      <c r="N325" s="4" t="s">
        <v>74</v>
      </c>
      <c r="O325" s="4" t="s">
        <v>75</v>
      </c>
      <c r="P325" s="4">
        <v>3</v>
      </c>
      <c r="Q325" s="57">
        <v>45037</v>
      </c>
      <c r="R325" s="57">
        <v>45044</v>
      </c>
      <c r="S325" s="113"/>
      <c r="T325" s="113"/>
      <c r="U325" s="4"/>
      <c r="V325" s="4"/>
      <c r="W325" s="105" t="s">
        <v>6183</v>
      </c>
      <c r="X325" s="114">
        <v>1567892356</v>
      </c>
      <c r="Y325" s="55"/>
      <c r="Z325" s="4" t="s">
        <v>6184</v>
      </c>
      <c r="AA325" s="4">
        <v>1568174811</v>
      </c>
      <c r="AB325" s="4" t="s">
        <v>118</v>
      </c>
      <c r="AC325" s="4" t="s">
        <v>79</v>
      </c>
      <c r="AD325" s="113">
        <v>33606</v>
      </c>
      <c r="AE325" s="107">
        <f>((TODAY())-AD325)/365</f>
        <v>33.12602739726027</v>
      </c>
      <c r="AF325" s="4" t="s">
        <v>80</v>
      </c>
      <c r="AG325" s="114">
        <v>5993080133</v>
      </c>
      <c r="AH325" s="4" t="s">
        <v>81</v>
      </c>
      <c r="AI325" s="55" t="s">
        <v>104</v>
      </c>
      <c r="AJ325" s="55" t="s">
        <v>120</v>
      </c>
      <c r="AK325" s="55">
        <v>2023</v>
      </c>
      <c r="AL325" s="4" t="s">
        <v>6185</v>
      </c>
      <c r="AM325" s="4" t="s">
        <v>6186</v>
      </c>
      <c r="AN325" s="4" t="s">
        <v>6187</v>
      </c>
      <c r="AO325" s="4" t="s">
        <v>6188</v>
      </c>
      <c r="AP325" s="4" t="s">
        <v>6188</v>
      </c>
      <c r="AQ325" s="55" t="s">
        <v>3784</v>
      </c>
      <c r="AR325" s="4" t="s">
        <v>110</v>
      </c>
      <c r="AS325" s="4"/>
      <c r="AT325" s="72"/>
      <c r="AU325" s="4"/>
      <c r="AV325" s="4"/>
      <c r="AW325" s="4"/>
      <c r="AX325" s="4"/>
      <c r="AY325" s="4"/>
      <c r="AZ325" s="4"/>
      <c r="BA325" s="4" t="s">
        <v>90</v>
      </c>
      <c r="BB325" s="4">
        <v>10800</v>
      </c>
      <c r="BC325" s="4">
        <v>2700</v>
      </c>
      <c r="BD325" s="4">
        <v>0</v>
      </c>
      <c r="BE325" s="4" t="s">
        <v>91</v>
      </c>
      <c r="BF325" s="4">
        <v>161262</v>
      </c>
      <c r="BG325" s="4" t="s">
        <v>92</v>
      </c>
      <c r="BH325" s="4" t="s">
        <v>3499</v>
      </c>
      <c r="BI325" s="72">
        <f>VLOOKUP(A325,'ID Block'!A:L,12,0)</f>
        <v>45526</v>
      </c>
      <c r="BJ325" s="154" t="str">
        <f>VLOOKUP(A325,'ID Block'!A:M,13,0)</f>
        <v>Unauthorized Absent</v>
      </c>
      <c r="BK325" s="4">
        <f ref="BK325:BK368" t="shared" si="7">BI325-R325</f>
        <v>482</v>
      </c>
      <c r="BL325" s="105"/>
      <c r="BM325" s="10"/>
      <c r="BN325" s="183"/>
      <c r="BO325" s="183"/>
    </row>
    <row r="326" ht="14.4" s="67" customFormat="1">
      <c r="A326" s="4">
        <v>171475</v>
      </c>
      <c r="B326" s="4"/>
      <c r="C326" s="55" t="s">
        <v>2793</v>
      </c>
      <c r="D326" s="4" t="s">
        <v>6189</v>
      </c>
      <c r="E326" s="4" t="s">
        <v>114</v>
      </c>
      <c r="F326" s="55">
        <v>1210841038</v>
      </c>
      <c r="G326" s="4" t="s">
        <v>67</v>
      </c>
      <c r="H326" s="4" t="s">
        <v>68</v>
      </c>
      <c r="I326" s="4" t="s">
        <v>69</v>
      </c>
      <c r="J326" s="55" t="s">
        <v>307</v>
      </c>
      <c r="K326" s="4" t="s">
        <v>71</v>
      </c>
      <c r="L326" s="4" t="s">
        <v>72</v>
      </c>
      <c r="M326" s="4" t="s">
        <v>98</v>
      </c>
      <c r="N326" s="4" t="s">
        <v>74</v>
      </c>
      <c r="O326" s="4" t="s">
        <v>75</v>
      </c>
      <c r="P326" s="4">
        <v>28</v>
      </c>
      <c r="Q326" s="57">
        <v>45419</v>
      </c>
      <c r="R326" s="57">
        <v>45434</v>
      </c>
      <c r="S326" s="113"/>
      <c r="T326" s="113"/>
      <c r="U326" s="4"/>
      <c r="V326" s="4"/>
      <c r="W326" s="105" t="s">
        <v>6190</v>
      </c>
      <c r="X326" s="114">
        <v>1683252684</v>
      </c>
      <c r="Y326" s="55">
        <v>1871574707</v>
      </c>
      <c r="Z326" s="4" t="s">
        <v>6191</v>
      </c>
      <c r="AA326" s="4">
        <v>1618727462</v>
      </c>
      <c r="AB326" s="4" t="s">
        <v>382</v>
      </c>
      <c r="AC326" s="4" t="s">
        <v>119</v>
      </c>
      <c r="AD326" s="113">
        <v>36533</v>
      </c>
      <c r="AE326" s="107">
        <f>((TODAY())-AD326)/365</f>
        <v>25.106849315068494</v>
      </c>
      <c r="AF326" s="4" t="s">
        <v>80</v>
      </c>
      <c r="AG326" s="114">
        <v>7811188122</v>
      </c>
      <c r="AH326" s="4" t="s">
        <v>81</v>
      </c>
      <c r="AI326" s="55" t="s">
        <v>6192</v>
      </c>
      <c r="AJ326" s="55" t="s">
        <v>81</v>
      </c>
      <c r="AK326" s="55">
        <v>2023</v>
      </c>
      <c r="AL326" s="4" t="s">
        <v>209</v>
      </c>
      <c r="AM326" s="4" t="s">
        <v>6193</v>
      </c>
      <c r="AN326" s="4" t="s">
        <v>6194</v>
      </c>
      <c r="AO326" s="4" t="s">
        <v>6195</v>
      </c>
      <c r="AP326" s="4" t="s">
        <v>6195</v>
      </c>
      <c r="AQ326" s="55" t="s">
        <v>6196</v>
      </c>
      <c r="AR326" s="4" t="s">
        <v>110</v>
      </c>
      <c r="AS326" s="4" t="s">
        <v>81</v>
      </c>
      <c r="AT326" s="72" t="s">
        <v>81</v>
      </c>
      <c r="AU326" s="4" t="s">
        <v>81</v>
      </c>
      <c r="AV326" s="4" t="s">
        <v>81</v>
      </c>
      <c r="AW326" s="4" t="s">
        <v>81</v>
      </c>
      <c r="AX326" s="4" t="s">
        <v>81</v>
      </c>
      <c r="AY326" s="4" t="s">
        <v>81</v>
      </c>
      <c r="AZ326" s="4" t="s">
        <v>81</v>
      </c>
      <c r="BA326" s="4" t="s">
        <v>90</v>
      </c>
      <c r="BB326" s="4">
        <v>10800</v>
      </c>
      <c r="BC326" s="4">
        <v>2700</v>
      </c>
      <c r="BD326" s="4">
        <v>0</v>
      </c>
      <c r="BE326" s="4" t="s">
        <v>91</v>
      </c>
      <c r="BF326" s="4"/>
      <c r="BG326" s="4"/>
      <c r="BH326" s="4" t="s">
        <v>3510</v>
      </c>
      <c r="BI326" s="72">
        <f>VLOOKUP(A326,'ID Block'!A:L,12,0)</f>
        <v>45539</v>
      </c>
      <c r="BJ326" s="154" t="str">
        <f>VLOOKUP(A326,'ID Block'!A:M,13,0)</f>
        <v>Sickness issue</v>
      </c>
      <c r="BK326" s="4">
        <f t="shared" si="7"/>
        <v>105</v>
      </c>
      <c r="BL326" s="105"/>
      <c r="BM326" s="10"/>
      <c r="BN326" s="183"/>
      <c r="BO326" s="183"/>
    </row>
    <row r="327" ht="14.4" s="67" customFormat="1">
      <c r="A327" s="4">
        <v>171708</v>
      </c>
      <c r="B327" s="4"/>
      <c r="C327" s="55" t="s">
        <v>6197</v>
      </c>
      <c r="D327" s="4" t="s">
        <v>6198</v>
      </c>
      <c r="E327" s="4" t="s">
        <v>114</v>
      </c>
      <c r="F327" s="55">
        <v>1211741848</v>
      </c>
      <c r="G327" s="4" t="s">
        <v>67</v>
      </c>
      <c r="H327" s="4" t="s">
        <v>68</v>
      </c>
      <c r="I327" s="4" t="s">
        <v>69</v>
      </c>
      <c r="J327" s="55" t="s">
        <v>155</v>
      </c>
      <c r="K327" s="4" t="s">
        <v>1766</v>
      </c>
      <c r="L327" s="4" t="s">
        <v>1767</v>
      </c>
      <c r="M327" s="4" t="s">
        <v>196</v>
      </c>
      <c r="N327" s="4" t="s">
        <v>74</v>
      </c>
      <c r="O327" s="4" t="s">
        <v>75</v>
      </c>
      <c r="P327" s="4">
        <v>36</v>
      </c>
      <c r="Q327" s="57">
        <v>45475</v>
      </c>
      <c r="R327" s="57">
        <v>45488</v>
      </c>
      <c r="S327" s="113" t="s">
        <v>242</v>
      </c>
      <c r="T327" s="113" t="s">
        <v>242</v>
      </c>
      <c r="U327" s="4" t="s">
        <v>242</v>
      </c>
      <c r="V327" s="4" t="s">
        <v>242</v>
      </c>
      <c r="W327" s="105" t="s">
        <v>6199</v>
      </c>
      <c r="X327" s="114">
        <v>1688877893</v>
      </c>
      <c r="Y327" s="55">
        <v>1688877893</v>
      </c>
      <c r="Z327" s="4" t="s">
        <v>6200</v>
      </c>
      <c r="AA327" s="4">
        <v>1863153810</v>
      </c>
      <c r="AB327" s="4" t="s">
        <v>101</v>
      </c>
      <c r="AC327" s="4" t="s">
        <v>133</v>
      </c>
      <c r="AD327" s="113">
        <v>36438</v>
      </c>
      <c r="AE327" s="107">
        <v>24</v>
      </c>
      <c r="AF327" s="4" t="s">
        <v>80</v>
      </c>
      <c r="AG327" s="114">
        <v>5106127318</v>
      </c>
      <c r="AH327" s="4" t="s">
        <v>81</v>
      </c>
      <c r="AI327" s="55" t="s">
        <v>925</v>
      </c>
      <c r="AJ327" s="55"/>
      <c r="AK327" s="55">
        <v>2023</v>
      </c>
      <c r="AL327" s="4" t="s">
        <v>6201</v>
      </c>
      <c r="AM327" s="4" t="s">
        <v>6200</v>
      </c>
      <c r="AN327" s="4" t="s">
        <v>6202</v>
      </c>
      <c r="AO327" s="4" t="s">
        <v>6203</v>
      </c>
      <c r="AP327" s="4" t="s">
        <v>6204</v>
      </c>
      <c r="AQ327" s="55" t="s">
        <v>1563</v>
      </c>
      <c r="AR327" s="4" t="s">
        <v>1774</v>
      </c>
      <c r="AS327" s="4" t="s">
        <v>81</v>
      </c>
      <c r="AT327" s="72" t="s">
        <v>81</v>
      </c>
      <c r="AU327" s="4" t="s">
        <v>81</v>
      </c>
      <c r="AV327" s="4" t="s">
        <v>81</v>
      </c>
      <c r="AW327" s="4" t="s">
        <v>81</v>
      </c>
      <c r="AX327" s="4" t="s">
        <v>81</v>
      </c>
      <c r="AY327" s="4" t="s">
        <v>81</v>
      </c>
      <c r="AZ327" s="4" t="s">
        <v>81</v>
      </c>
      <c r="BA327" s="4" t="s">
        <v>90</v>
      </c>
      <c r="BB327" s="4">
        <v>10800</v>
      </c>
      <c r="BC327" s="4">
        <v>2700</v>
      </c>
      <c r="BD327" s="4">
        <v>1000</v>
      </c>
      <c r="BE327" s="4" t="s">
        <v>166</v>
      </c>
      <c r="BF327" s="4" t="s">
        <v>242</v>
      </c>
      <c r="BG327" s="4" t="s">
        <v>242</v>
      </c>
      <c r="BH327" s="4" t="s">
        <v>3510</v>
      </c>
      <c r="BI327" s="72">
        <f>VLOOKUP(A327,'ID Block'!A:L,12,0)</f>
        <v>45532</v>
      </c>
      <c r="BJ327" s="154" t="str">
        <f>VLOOKUP(A327,'ID Block'!A:M,13,0)</f>
        <v>Better Opportunity</v>
      </c>
      <c r="BK327" s="4">
        <f t="shared" si="7"/>
        <v>44</v>
      </c>
      <c r="BL327" s="105"/>
      <c r="BM327" s="10"/>
      <c r="BN327" s="183"/>
      <c r="BO327" s="183"/>
    </row>
    <row r="328" ht="14.4" s="67" customFormat="1">
      <c r="A328" s="4">
        <v>171838</v>
      </c>
      <c r="B328" s="4"/>
      <c r="C328" s="55"/>
      <c r="D328" s="4" t="s">
        <v>6205</v>
      </c>
      <c r="E328" s="4" t="s">
        <v>114</v>
      </c>
      <c r="F328" s="55"/>
      <c r="G328" s="4" t="s">
        <v>67</v>
      </c>
      <c r="H328" s="4" t="s">
        <v>68</v>
      </c>
      <c r="I328" s="4" t="s">
        <v>69</v>
      </c>
      <c r="J328" s="55" t="s">
        <v>2495</v>
      </c>
      <c r="K328" s="4" t="s">
        <v>71</v>
      </c>
      <c r="L328" s="4" t="s">
        <v>72</v>
      </c>
      <c r="M328" s="4" t="s">
        <v>287</v>
      </c>
      <c r="N328" s="4" t="s">
        <v>74</v>
      </c>
      <c r="O328" s="4" t="s">
        <v>75</v>
      </c>
      <c r="P328" s="4">
        <v>42</v>
      </c>
      <c r="Q328" s="57">
        <v>45518</v>
      </c>
      <c r="R328" s="57">
        <v>45525</v>
      </c>
      <c r="S328" s="113"/>
      <c r="T328" s="113"/>
      <c r="U328" s="4"/>
      <c r="V328" s="4"/>
      <c r="W328" s="105"/>
      <c r="X328" s="114">
        <v>1927227559</v>
      </c>
      <c r="Y328" s="55"/>
      <c r="Z328" s="4"/>
      <c r="AA328" s="4"/>
      <c r="AB328" s="4"/>
      <c r="AC328" s="4" t="s">
        <v>133</v>
      </c>
      <c r="AD328" s="113">
        <v>35390</v>
      </c>
      <c r="AE328" s="107"/>
      <c r="AF328" s="4" t="s">
        <v>80</v>
      </c>
      <c r="AG328" s="114"/>
      <c r="AH328" s="4"/>
      <c r="AI328" s="55"/>
      <c r="AJ328" s="55"/>
      <c r="AK328" s="55"/>
      <c r="AL328" s="4"/>
      <c r="AM328" s="4"/>
      <c r="AN328" s="4"/>
      <c r="AO328" s="4"/>
      <c r="AP328" s="4"/>
      <c r="AQ328" s="55"/>
      <c r="AR328" s="4"/>
      <c r="AS328" s="4"/>
      <c r="AT328" s="72"/>
      <c r="AU328" s="4"/>
      <c r="AV328" s="4"/>
      <c r="AW328" s="4"/>
      <c r="AX328" s="4"/>
      <c r="AY328" s="4"/>
      <c r="AZ328" s="4"/>
      <c r="BA328" s="4" t="s">
        <v>90</v>
      </c>
      <c r="BB328" s="4">
        <v>10800</v>
      </c>
      <c r="BC328" s="4">
        <v>2700</v>
      </c>
      <c r="BD328" s="4">
        <v>0</v>
      </c>
      <c r="BE328" s="4" t="s">
        <v>91</v>
      </c>
      <c r="BF328" s="4"/>
      <c r="BG328" s="4"/>
      <c r="BH328" s="4" t="s">
        <v>3499</v>
      </c>
      <c r="BI328" s="72">
        <f>VLOOKUP(A328,'ID Block'!A:L,12,0)</f>
        <v>45536</v>
      </c>
      <c r="BJ328" s="154" t="str">
        <f>VLOOKUP(A328,'ID Block'!A:M,13,0)</f>
        <v>Unauthorized Absent</v>
      </c>
      <c r="BK328" s="4">
        <f t="shared" si="7"/>
        <v>11</v>
      </c>
      <c r="BL328" s="105"/>
      <c r="BM328" s="10"/>
      <c r="BN328" s="183"/>
      <c r="BO328" s="183">
        <v>1927227559</v>
      </c>
    </row>
    <row r="329" ht="14.4" s="67" customFormat="1">
      <c r="A329" s="4">
        <v>171503</v>
      </c>
      <c r="B329" s="4"/>
      <c r="C329" s="55" t="s">
        <v>5240</v>
      </c>
      <c r="D329" s="4" t="s">
        <v>6206</v>
      </c>
      <c r="E329" s="4" t="s">
        <v>66</v>
      </c>
      <c r="F329" s="55">
        <v>639158</v>
      </c>
      <c r="G329" s="4" t="s">
        <v>67</v>
      </c>
      <c r="H329" s="4" t="s">
        <v>68</v>
      </c>
      <c r="I329" s="4" t="s">
        <v>69</v>
      </c>
      <c r="J329" s="55" t="s">
        <v>319</v>
      </c>
      <c r="K329" s="4" t="s">
        <v>71</v>
      </c>
      <c r="L329" s="4" t="s">
        <v>72</v>
      </c>
      <c r="M329" s="4" t="s">
        <v>196</v>
      </c>
      <c r="N329" s="4" t="s">
        <v>74</v>
      </c>
      <c r="O329" s="4" t="s">
        <v>75</v>
      </c>
      <c r="P329" s="4">
        <v>29</v>
      </c>
      <c r="Q329" s="57">
        <v>45432</v>
      </c>
      <c r="R329" s="57">
        <v>45444</v>
      </c>
      <c r="S329" s="113"/>
      <c r="T329" s="113"/>
      <c r="U329" s="4"/>
      <c r="V329" s="4"/>
      <c r="W329" s="105" t="s">
        <v>6207</v>
      </c>
      <c r="X329" s="114">
        <v>1798978489</v>
      </c>
      <c r="Y329" s="55">
        <v>1798978489</v>
      </c>
      <c r="Z329" s="4" t="s">
        <v>6208</v>
      </c>
      <c r="AA329" s="4">
        <v>1712503571</v>
      </c>
      <c r="AB329" s="4" t="s">
        <v>118</v>
      </c>
      <c r="AC329" s="4" t="s">
        <v>133</v>
      </c>
      <c r="AD329" s="113">
        <v>35743</v>
      </c>
      <c r="AE329" s="107">
        <f>((TODAY())-AD329)/365</f>
        <v>27.27123287671233</v>
      </c>
      <c r="AF329" s="4" t="s">
        <v>80</v>
      </c>
      <c r="AG329" s="114">
        <v>4203018017</v>
      </c>
      <c r="AH329" s="4" t="s">
        <v>81</v>
      </c>
      <c r="AI329" s="55" t="s">
        <v>322</v>
      </c>
      <c r="AJ329" s="55" t="s">
        <v>81</v>
      </c>
      <c r="AK329" s="55">
        <v>2018</v>
      </c>
      <c r="AL329" s="4" t="s">
        <v>6209</v>
      </c>
      <c r="AM329" s="4" t="s">
        <v>4693</v>
      </c>
      <c r="AN329" s="4" t="s">
        <v>6210</v>
      </c>
      <c r="AO329" s="4" t="s">
        <v>6211</v>
      </c>
      <c r="AP329" s="4" t="s">
        <v>6212</v>
      </c>
      <c r="AQ329" s="55" t="s">
        <v>6213</v>
      </c>
      <c r="AR329" s="4" t="s">
        <v>110</v>
      </c>
      <c r="AS329" s="4" t="s">
        <v>81</v>
      </c>
      <c r="AT329" s="72" t="s">
        <v>81</v>
      </c>
      <c r="AU329" s="4" t="s">
        <v>81</v>
      </c>
      <c r="AV329" s="4" t="s">
        <v>81</v>
      </c>
      <c r="AW329" s="4" t="s">
        <v>81</v>
      </c>
      <c r="AX329" s="4" t="s">
        <v>81</v>
      </c>
      <c r="AY329" s="4" t="s">
        <v>81</v>
      </c>
      <c r="AZ329" s="4" t="s">
        <v>81</v>
      </c>
      <c r="BA329" s="4" t="s">
        <v>90</v>
      </c>
      <c r="BB329" s="4">
        <v>10800</v>
      </c>
      <c r="BC329" s="4">
        <v>2700</v>
      </c>
      <c r="BD329" s="4">
        <v>0</v>
      </c>
      <c r="BE329" s="4" t="s">
        <v>91</v>
      </c>
      <c r="BF329" s="4"/>
      <c r="BG329" s="4"/>
      <c r="BH329" s="4" t="s">
        <v>3499</v>
      </c>
      <c r="BI329" s="72">
        <f>VLOOKUP(A329,'ID Block'!A:L,12,0)</f>
        <v>45536</v>
      </c>
      <c r="BJ329" s="154" t="str">
        <f>VLOOKUP(A329,'ID Block'!A:M,13,0)</f>
        <v>Unauthorized Absent</v>
      </c>
      <c r="BK329" s="4">
        <f t="shared" si="7"/>
        <v>92</v>
      </c>
      <c r="BL329" s="105"/>
      <c r="BM329" s="10"/>
      <c r="BN329" s="183"/>
      <c r="BO329" s="183"/>
    </row>
    <row r="330" ht="14.4" s="67" customFormat="1">
      <c r="A330" s="4">
        <v>171782</v>
      </c>
      <c r="B330" s="4" t="s">
        <v>2694</v>
      </c>
      <c r="C330" s="55" t="s">
        <v>6214</v>
      </c>
      <c r="D330" s="4" t="s">
        <v>6214</v>
      </c>
      <c r="E330" s="4" t="s">
        <v>66</v>
      </c>
      <c r="F330" s="55">
        <v>624236</v>
      </c>
      <c r="G330" s="4" t="s">
        <v>67</v>
      </c>
      <c r="H330" s="4" t="s">
        <v>68</v>
      </c>
      <c r="I330" s="4" t="s">
        <v>69</v>
      </c>
      <c r="J330" s="55" t="s">
        <v>214</v>
      </c>
      <c r="K330" s="4" t="s">
        <v>71</v>
      </c>
      <c r="L330" s="4" t="s">
        <v>1767</v>
      </c>
      <c r="M330" s="4" t="s">
        <v>115</v>
      </c>
      <c r="N330" s="4" t="s">
        <v>74</v>
      </c>
      <c r="O330" s="4" t="s">
        <v>2068</v>
      </c>
      <c r="P330" s="4">
        <v>40</v>
      </c>
      <c r="Q330" s="57">
        <v>45492</v>
      </c>
      <c r="R330" s="57">
        <v>45505</v>
      </c>
      <c r="S330" s="113"/>
      <c r="T330" s="113"/>
      <c r="U330" s="4"/>
      <c r="V330" s="4"/>
      <c r="W330" s="105"/>
      <c r="X330" s="114">
        <v>1784907521</v>
      </c>
      <c r="Y330" s="55"/>
      <c r="Z330" s="4" t="s">
        <v>6085</v>
      </c>
      <c r="AA330" s="4">
        <v>1704793155</v>
      </c>
      <c r="AB330" s="4" t="s">
        <v>132</v>
      </c>
      <c r="AC330" s="4" t="s">
        <v>133</v>
      </c>
      <c r="AD330" s="113">
        <v>33733</v>
      </c>
      <c r="AE330" s="107"/>
      <c r="AF330" s="4" t="s">
        <v>5264</v>
      </c>
      <c r="AG330" s="114">
        <v>3711933253</v>
      </c>
      <c r="AH330" s="4"/>
      <c r="AI330" s="55" t="s">
        <v>1619</v>
      </c>
      <c r="AJ330" s="55"/>
      <c r="AK330" s="55"/>
      <c r="AL330" s="4"/>
      <c r="AM330" s="4" t="s">
        <v>6215</v>
      </c>
      <c r="AN330" s="4" t="s">
        <v>6085</v>
      </c>
      <c r="AO330" s="4" t="s">
        <v>6216</v>
      </c>
      <c r="AP330" s="4" t="s">
        <v>6216</v>
      </c>
      <c r="AQ330" s="55" t="s">
        <v>6217</v>
      </c>
      <c r="AR330" s="4"/>
      <c r="AS330" s="4"/>
      <c r="AT330" s="72"/>
      <c r="AU330" s="4"/>
      <c r="AV330" s="4"/>
      <c r="AW330" s="4"/>
      <c r="AX330" s="4"/>
      <c r="AY330" s="4"/>
      <c r="AZ330" s="4"/>
      <c r="BA330" s="4" t="s">
        <v>90</v>
      </c>
      <c r="BB330" s="4">
        <v>10800</v>
      </c>
      <c r="BC330" s="4">
        <v>2700</v>
      </c>
      <c r="BD330" s="4"/>
      <c r="BE330" s="4" t="s">
        <v>91</v>
      </c>
      <c r="BF330" s="4"/>
      <c r="BG330" s="4"/>
      <c r="BH330" s="4" t="s">
        <v>3510</v>
      </c>
      <c r="BI330" s="72">
        <f>VLOOKUP(A330,'ID Block'!A:L,12,0)</f>
        <v>45542</v>
      </c>
      <c r="BJ330" s="154" t="str">
        <f>VLOOKUP(A330,'ID Block'!A:M,13,0)</f>
        <v>Sickness issue</v>
      </c>
      <c r="BK330" s="4">
        <f t="shared" si="7"/>
        <v>37</v>
      </c>
      <c r="BL330" s="105"/>
      <c r="BM330" s="10"/>
      <c r="BN330" s="183"/>
      <c r="BO330" s="183">
        <v>1784907521</v>
      </c>
    </row>
    <row r="331" ht="14.4" s="67" customFormat="1">
      <c r="A331" s="4">
        <v>171591</v>
      </c>
      <c r="B331" s="4"/>
      <c r="C331" s="55" t="s">
        <v>6218</v>
      </c>
      <c r="D331" s="4" t="s">
        <v>6219</v>
      </c>
      <c r="E331" s="4" t="s">
        <v>1765</v>
      </c>
      <c r="F331" s="55">
        <v>1215367392</v>
      </c>
      <c r="G331" s="4" t="s">
        <v>67</v>
      </c>
      <c r="H331" s="4" t="s">
        <v>68</v>
      </c>
      <c r="I331" s="4" t="s">
        <v>69</v>
      </c>
      <c r="J331" s="55" t="s">
        <v>155</v>
      </c>
      <c r="K331" s="4" t="s">
        <v>1766</v>
      </c>
      <c r="L331" s="4" t="s">
        <v>1767</v>
      </c>
      <c r="M331" s="4" t="s">
        <v>196</v>
      </c>
      <c r="N331" s="4" t="s">
        <v>74</v>
      </c>
      <c r="O331" s="4" t="s">
        <v>75</v>
      </c>
      <c r="P331" s="4">
        <v>33</v>
      </c>
      <c r="Q331" s="57">
        <v>45451</v>
      </c>
      <c r="R331" s="57">
        <v>45449</v>
      </c>
      <c r="S331" s="113" t="s">
        <v>242</v>
      </c>
      <c r="T331" s="113" t="s">
        <v>242</v>
      </c>
      <c r="U331" s="4" t="s">
        <v>242</v>
      </c>
      <c r="V331" s="4" t="s">
        <v>242</v>
      </c>
      <c r="W331" s="105" t="s">
        <v>6220</v>
      </c>
      <c r="X331" s="114">
        <v>1845136967</v>
      </c>
      <c r="Y331" s="55">
        <v>1845136582</v>
      </c>
      <c r="Z331" s="4" t="s">
        <v>6221</v>
      </c>
      <c r="AA331" s="4">
        <v>1845136582</v>
      </c>
      <c r="AB331" s="4" t="s">
        <v>2892</v>
      </c>
      <c r="AC331" s="4" t="s">
        <v>119</v>
      </c>
      <c r="AD331" s="113">
        <v>36453</v>
      </c>
      <c r="AE331" s="107">
        <v>25</v>
      </c>
      <c r="AF331" s="4" t="s">
        <v>80</v>
      </c>
      <c r="AG331" s="114">
        <v>1027447869</v>
      </c>
      <c r="AH331" s="4" t="s">
        <v>81</v>
      </c>
      <c r="AI331" s="55" t="s">
        <v>6222</v>
      </c>
      <c r="AJ331" s="55"/>
      <c r="AK331" s="55">
        <v>2023</v>
      </c>
      <c r="AL331" s="4" t="s">
        <v>6223</v>
      </c>
      <c r="AM331" s="4" t="s">
        <v>6221</v>
      </c>
      <c r="AN331" s="4" t="s">
        <v>6224</v>
      </c>
      <c r="AO331" s="4" t="s">
        <v>6225</v>
      </c>
      <c r="AP331" s="4" t="s">
        <v>6226</v>
      </c>
      <c r="AQ331" s="55" t="s">
        <v>88</v>
      </c>
      <c r="AR331" s="4" t="s">
        <v>1774</v>
      </c>
      <c r="AS331" s="4" t="s">
        <v>81</v>
      </c>
      <c r="AT331" s="72" t="s">
        <v>81</v>
      </c>
      <c r="AU331" s="4" t="s">
        <v>81</v>
      </c>
      <c r="AV331" s="4" t="s">
        <v>81</v>
      </c>
      <c r="AW331" s="4" t="s">
        <v>81</v>
      </c>
      <c r="AX331" s="4" t="s">
        <v>81</v>
      </c>
      <c r="AY331" s="4" t="s">
        <v>81</v>
      </c>
      <c r="AZ331" s="4" t="s">
        <v>81</v>
      </c>
      <c r="BA331" s="4" t="s">
        <v>90</v>
      </c>
      <c r="BB331" s="4">
        <v>10800</v>
      </c>
      <c r="BC331" s="4">
        <v>2700</v>
      </c>
      <c r="BD331" s="4">
        <v>1000</v>
      </c>
      <c r="BE331" s="4" t="s">
        <v>166</v>
      </c>
      <c r="BF331" s="4" t="s">
        <v>242</v>
      </c>
      <c r="BG331" s="4" t="s">
        <v>242</v>
      </c>
      <c r="BH331" s="4" t="s">
        <v>3510</v>
      </c>
      <c r="BI331" s="72">
        <f>VLOOKUP(A331,'ID Block'!A:L,12,0)</f>
        <v>45531</v>
      </c>
      <c r="BJ331" s="154" t="str">
        <f>VLOOKUP(A331,'ID Block'!A:M,13,0)</f>
        <v>Better Opportunity</v>
      </c>
      <c r="BK331" s="4">
        <f t="shared" si="7"/>
        <v>82</v>
      </c>
      <c r="BL331" s="105"/>
      <c r="BM331" s="10"/>
      <c r="BN331" s="183"/>
      <c r="BO331" s="183"/>
    </row>
    <row r="332" ht="14.4" s="67" customFormat="1">
      <c r="A332" s="4">
        <v>171619</v>
      </c>
      <c r="B332" s="4"/>
      <c r="C332" s="55"/>
      <c r="D332" s="4" t="s">
        <v>6227</v>
      </c>
      <c r="E332" s="4" t="s">
        <v>114</v>
      </c>
      <c r="F332" s="55">
        <v>1110248255</v>
      </c>
      <c r="G332" s="4" t="s">
        <v>67</v>
      </c>
      <c r="H332" s="4" t="s">
        <v>68</v>
      </c>
      <c r="I332" s="4" t="s">
        <v>69</v>
      </c>
      <c r="J332" s="55" t="s">
        <v>1285</v>
      </c>
      <c r="K332" s="4" t="s">
        <v>71</v>
      </c>
      <c r="L332" s="4" t="s">
        <v>72</v>
      </c>
      <c r="M332" s="4" t="s">
        <v>115</v>
      </c>
      <c r="N332" s="4" t="s">
        <v>74</v>
      </c>
      <c r="O332" s="4" t="s">
        <v>75</v>
      </c>
      <c r="P332" s="4">
        <v>32</v>
      </c>
      <c r="Q332" s="57">
        <v>45449</v>
      </c>
      <c r="R332" s="57">
        <v>45458</v>
      </c>
      <c r="S332" s="113"/>
      <c r="T332" s="113"/>
      <c r="U332" s="4"/>
      <c r="V332" s="4"/>
      <c r="W332" s="105" t="s">
        <v>6228</v>
      </c>
      <c r="X332" s="114">
        <v>1949375939</v>
      </c>
      <c r="Y332" s="55">
        <v>1752029645</v>
      </c>
      <c r="Z332" s="4" t="s">
        <v>6229</v>
      </c>
      <c r="AA332" s="4">
        <v>1964653134</v>
      </c>
      <c r="AB332" s="4" t="s">
        <v>252</v>
      </c>
      <c r="AC332" s="4" t="s">
        <v>1450</v>
      </c>
      <c r="AD332" s="113">
        <v>36017</v>
      </c>
      <c r="AE332" s="107"/>
      <c r="AF332" s="4" t="s">
        <v>80</v>
      </c>
      <c r="AG332" s="114">
        <v>3763816877</v>
      </c>
      <c r="AH332" s="4" t="s">
        <v>81</v>
      </c>
      <c r="AI332" s="55" t="s">
        <v>217</v>
      </c>
      <c r="AJ332" s="55" t="s">
        <v>81</v>
      </c>
      <c r="AK332" s="55">
        <v>2022</v>
      </c>
      <c r="AL332" s="4" t="s">
        <v>5790</v>
      </c>
      <c r="AM332" s="4" t="s">
        <v>6230</v>
      </c>
      <c r="AN332" s="4" t="s">
        <v>6231</v>
      </c>
      <c r="AO332" s="4" t="s">
        <v>6232</v>
      </c>
      <c r="AP332" s="4" t="s">
        <v>6232</v>
      </c>
      <c r="AQ332" s="55" t="s">
        <v>469</v>
      </c>
      <c r="AR332" s="4" t="s">
        <v>110</v>
      </c>
      <c r="AS332" s="4" t="s">
        <v>81</v>
      </c>
      <c r="AT332" s="72" t="s">
        <v>81</v>
      </c>
      <c r="AU332" s="4" t="s">
        <v>81</v>
      </c>
      <c r="AV332" s="4" t="s">
        <v>81</v>
      </c>
      <c r="AW332" s="4" t="s">
        <v>81</v>
      </c>
      <c r="AX332" s="4" t="s">
        <v>81</v>
      </c>
      <c r="AY332" s="4" t="s">
        <v>81</v>
      </c>
      <c r="AZ332" s="4" t="s">
        <v>81</v>
      </c>
      <c r="BA332" s="4" t="s">
        <v>90</v>
      </c>
      <c r="BB332" s="4">
        <v>10800</v>
      </c>
      <c r="BC332" s="4">
        <v>2700</v>
      </c>
      <c r="BD332" s="4">
        <v>0</v>
      </c>
      <c r="BE332" s="4" t="s">
        <v>91</v>
      </c>
      <c r="BF332" s="4"/>
      <c r="BG332" s="4"/>
      <c r="BH332" s="4" t="s">
        <v>3510</v>
      </c>
      <c r="BI332" s="72">
        <f>VLOOKUP(A332,'ID Block'!A:L,12,0)</f>
        <v>45530</v>
      </c>
      <c r="BJ332" s="154" t="str">
        <f>VLOOKUP(A332,'ID Block'!A:M,13,0)</f>
        <v>Family Issue.</v>
      </c>
      <c r="BK332" s="4">
        <f t="shared" si="7"/>
        <v>72</v>
      </c>
      <c r="BL332" s="105"/>
      <c r="BM332" s="10"/>
      <c r="BN332" s="183"/>
      <c r="BO332" s="183"/>
    </row>
    <row r="333" ht="14.4" s="67" customFormat="1">
      <c r="A333" s="4">
        <v>171366</v>
      </c>
      <c r="B333" s="4"/>
      <c r="C333" s="55" t="s">
        <v>6233</v>
      </c>
      <c r="D333" s="4" t="s">
        <v>6234</v>
      </c>
      <c r="E333" s="4" t="s">
        <v>114</v>
      </c>
      <c r="F333" s="55">
        <v>1213539723</v>
      </c>
      <c r="G333" s="4" t="s">
        <v>67</v>
      </c>
      <c r="H333" s="4" t="s">
        <v>68</v>
      </c>
      <c r="I333" s="4" t="s">
        <v>69</v>
      </c>
      <c r="J333" s="55" t="s">
        <v>155</v>
      </c>
      <c r="K333" s="4" t="s">
        <v>71</v>
      </c>
      <c r="L333" s="4" t="s">
        <v>72</v>
      </c>
      <c r="M333" s="4" t="s">
        <v>196</v>
      </c>
      <c r="N333" s="4" t="s">
        <v>74</v>
      </c>
      <c r="O333" s="4" t="s">
        <v>75</v>
      </c>
      <c r="P333" s="4">
        <v>24</v>
      </c>
      <c r="Q333" s="57">
        <v>45353</v>
      </c>
      <c r="R333" s="57">
        <v>45369</v>
      </c>
      <c r="S333" s="113"/>
      <c r="T333" s="113"/>
      <c r="U333" s="4"/>
      <c r="V333" s="4"/>
      <c r="W333" s="105" t="s">
        <v>6235</v>
      </c>
      <c r="X333" s="114">
        <v>1884416949</v>
      </c>
      <c r="Y333" s="55">
        <v>1980916363</v>
      </c>
      <c r="Z333" s="4" t="s">
        <v>6236</v>
      </c>
      <c r="AA333" s="4">
        <v>1718656633</v>
      </c>
      <c r="AB333" s="4" t="s">
        <v>101</v>
      </c>
      <c r="AC333" s="4" t="s">
        <v>133</v>
      </c>
      <c r="AD333" s="113">
        <v>36474</v>
      </c>
      <c r="AE333" s="107">
        <f>((TODAY())-AD333)/365</f>
        <v>25.268493150684932</v>
      </c>
      <c r="AF333" s="4" t="s">
        <v>80</v>
      </c>
      <c r="AG333" s="114">
        <v>1029271259</v>
      </c>
      <c r="AH333" s="4" t="s">
        <v>81</v>
      </c>
      <c r="AI333" s="55" t="s">
        <v>994</v>
      </c>
      <c r="AJ333" s="55" t="s">
        <v>81</v>
      </c>
      <c r="AK333" s="55">
        <v>2022</v>
      </c>
      <c r="AL333" s="4" t="s">
        <v>188</v>
      </c>
      <c r="AM333" s="4" t="s">
        <v>6236</v>
      </c>
      <c r="AN333" s="4" t="s">
        <v>6237</v>
      </c>
      <c r="AO333" s="4" t="s">
        <v>6238</v>
      </c>
      <c r="AP333" s="4" t="s">
        <v>6239</v>
      </c>
      <c r="AQ333" s="55" t="s">
        <v>317</v>
      </c>
      <c r="AR333" s="4" t="s">
        <v>110</v>
      </c>
      <c r="AS333" s="4" t="s">
        <v>81</v>
      </c>
      <c r="AT333" s="72" t="s">
        <v>81</v>
      </c>
      <c r="AU333" s="4" t="s">
        <v>81</v>
      </c>
      <c r="AV333" s="4" t="s">
        <v>81</v>
      </c>
      <c r="AW333" s="4" t="s">
        <v>81</v>
      </c>
      <c r="AX333" s="4" t="s">
        <v>81</v>
      </c>
      <c r="AY333" s="4"/>
      <c r="AZ333" s="4"/>
      <c r="BA333" s="4" t="s">
        <v>90</v>
      </c>
      <c r="BB333" s="4">
        <v>10800</v>
      </c>
      <c r="BC333" s="4">
        <v>2700</v>
      </c>
      <c r="BD333" s="4">
        <v>1000</v>
      </c>
      <c r="BE333" s="4" t="s">
        <v>166</v>
      </c>
      <c r="BF333" s="4"/>
      <c r="BG333" s="4"/>
      <c r="BH333" s="4" t="s">
        <v>3510</v>
      </c>
      <c r="BI333" s="72">
        <f>VLOOKUP(A333,'ID Block'!A:L,12,0)</f>
        <v>45534</v>
      </c>
      <c r="BJ333" s="154" t="str">
        <f>VLOOKUP(A333,'ID Block'!A:M,13,0)</f>
        <v>Better Opportunity</v>
      </c>
      <c r="BK333" s="4">
        <f t="shared" si="7"/>
        <v>165</v>
      </c>
      <c r="BL333" s="105"/>
      <c r="BM333" s="10"/>
      <c r="BN333" s="183"/>
      <c r="BO333" s="183"/>
    </row>
    <row r="334" ht="14.4" s="67" customFormat="1">
      <c r="A334" s="4">
        <v>171671</v>
      </c>
      <c r="B334" s="4"/>
      <c r="C334" s="55" t="s">
        <v>2568</v>
      </c>
      <c r="D334" s="4" t="s">
        <v>6240</v>
      </c>
      <c r="E334" s="4" t="s">
        <v>114</v>
      </c>
      <c r="F334" s="55">
        <v>742169</v>
      </c>
      <c r="G334" s="4" t="s">
        <v>67</v>
      </c>
      <c r="H334" s="4" t="s">
        <v>68</v>
      </c>
      <c r="I334" s="4" t="s">
        <v>69</v>
      </c>
      <c r="J334" s="55" t="s">
        <v>1846</v>
      </c>
      <c r="K334" s="4" t="s">
        <v>71</v>
      </c>
      <c r="L334" s="4" t="s">
        <v>72</v>
      </c>
      <c r="M334" s="4" t="s">
        <v>115</v>
      </c>
      <c r="N334" s="4" t="s">
        <v>74</v>
      </c>
      <c r="O334" s="4" t="s">
        <v>75</v>
      </c>
      <c r="P334" s="4">
        <v>35</v>
      </c>
      <c r="Q334" s="57">
        <v>45466</v>
      </c>
      <c r="R334" s="57">
        <v>45475</v>
      </c>
      <c r="S334" s="113"/>
      <c r="T334" s="113"/>
      <c r="U334" s="4"/>
      <c r="V334" s="4"/>
      <c r="W334" s="105" t="s">
        <v>6241</v>
      </c>
      <c r="X334" s="114">
        <v>1765280697</v>
      </c>
      <c r="Y334" s="55">
        <v>1741892707</v>
      </c>
      <c r="Z334" s="4" t="s">
        <v>6242</v>
      </c>
      <c r="AA334" s="4">
        <v>1741892707</v>
      </c>
      <c r="AB334" s="4" t="s">
        <v>252</v>
      </c>
      <c r="AC334" s="4" t="s">
        <v>133</v>
      </c>
      <c r="AD334" s="113"/>
      <c r="AE334" s="107"/>
      <c r="AF334" s="4" t="s">
        <v>80</v>
      </c>
      <c r="AG334" s="114">
        <v>19949018977000100</v>
      </c>
      <c r="AH334" s="4" t="s">
        <v>81</v>
      </c>
      <c r="AI334" s="55" t="s">
        <v>265</v>
      </c>
      <c r="AJ334" s="55" t="s">
        <v>81</v>
      </c>
      <c r="AK334" s="55">
        <v>2019</v>
      </c>
      <c r="AL334" s="4" t="s">
        <v>6243</v>
      </c>
      <c r="AM334" s="4" t="s">
        <v>6244</v>
      </c>
      <c r="AN334" s="4" t="s">
        <v>1739</v>
      </c>
      <c r="AO334" s="4" t="s">
        <v>6245</v>
      </c>
      <c r="AP334" s="4" t="s">
        <v>6246</v>
      </c>
      <c r="AQ334" s="55" t="s">
        <v>6247</v>
      </c>
      <c r="AR334" s="4" t="s">
        <v>110</v>
      </c>
      <c r="AS334" s="4" t="s">
        <v>81</v>
      </c>
      <c r="AT334" s="72" t="s">
        <v>81</v>
      </c>
      <c r="AU334" s="4" t="s">
        <v>81</v>
      </c>
      <c r="AV334" s="4" t="s">
        <v>81</v>
      </c>
      <c r="AW334" s="4" t="s">
        <v>81</v>
      </c>
      <c r="AX334" s="4" t="s">
        <v>81</v>
      </c>
      <c r="AY334" s="4" t="s">
        <v>81</v>
      </c>
      <c r="AZ334" s="4" t="s">
        <v>81</v>
      </c>
      <c r="BA334" s="4" t="s">
        <v>90</v>
      </c>
      <c r="BB334" s="4">
        <v>10800</v>
      </c>
      <c r="BC334" s="4">
        <v>2700</v>
      </c>
      <c r="BD334" s="4">
        <v>0</v>
      </c>
      <c r="BE334" s="4" t="s">
        <v>91</v>
      </c>
      <c r="BF334" s="4"/>
      <c r="BG334" s="4"/>
      <c r="BH334" s="4" t="s">
        <v>3510</v>
      </c>
      <c r="BI334" s="72">
        <f>VLOOKUP(A334,'ID Block'!A:L,12,0)</f>
        <v>45529</v>
      </c>
      <c r="BJ334" s="154" t="str">
        <f>VLOOKUP(A334,'ID Block'!A:M,13,0)</f>
        <v>Family Issue.</v>
      </c>
      <c r="BK334" s="4">
        <f t="shared" si="7"/>
        <v>54</v>
      </c>
      <c r="BL334" s="105"/>
      <c r="BM334" s="10"/>
      <c r="BN334" s="183"/>
      <c r="BO334" s="183"/>
    </row>
    <row r="335" ht="14.4" s="67" customFormat="1">
      <c r="A335" s="4">
        <v>171216</v>
      </c>
      <c r="B335" s="4"/>
      <c r="C335" s="55" t="s">
        <v>6248</v>
      </c>
      <c r="D335" s="4" t="s">
        <v>6249</v>
      </c>
      <c r="E335" s="4" t="s">
        <v>114</v>
      </c>
      <c r="F335" s="55">
        <v>10010966361</v>
      </c>
      <c r="G335" s="4" t="s">
        <v>67</v>
      </c>
      <c r="H335" s="4" t="s">
        <v>68</v>
      </c>
      <c r="I335" s="4" t="s">
        <v>69</v>
      </c>
      <c r="J335" s="55" t="s">
        <v>341</v>
      </c>
      <c r="K335" s="4" t="s">
        <v>71</v>
      </c>
      <c r="L335" s="4" t="s">
        <v>72</v>
      </c>
      <c r="M335" s="4" t="s">
        <v>308</v>
      </c>
      <c r="N335" s="4" t="s">
        <v>74</v>
      </c>
      <c r="O335" s="4" t="s">
        <v>75</v>
      </c>
      <c r="P335" s="4">
        <v>18</v>
      </c>
      <c r="Q335" s="57">
        <v>45246</v>
      </c>
      <c r="R335" s="57">
        <v>45256</v>
      </c>
      <c r="S335" s="113"/>
      <c r="T335" s="113"/>
      <c r="U335" s="4"/>
      <c r="V335" s="4"/>
      <c r="W335" s="105" t="s">
        <v>443</v>
      </c>
      <c r="X335" s="114">
        <v>1746047604</v>
      </c>
      <c r="Y335" s="55">
        <v>1611939438</v>
      </c>
      <c r="Z335" s="4" t="s">
        <v>6250</v>
      </c>
      <c r="AA335" s="4">
        <v>1675672368</v>
      </c>
      <c r="AB335" s="4" t="s">
        <v>252</v>
      </c>
      <c r="AC335" s="4" t="s">
        <v>119</v>
      </c>
      <c r="AD335" s="113">
        <v>31932</v>
      </c>
      <c r="AE335" s="107">
        <f>((TODAY())-AD335)/365</f>
        <v>37.71232876712329</v>
      </c>
      <c r="AF335" s="4" t="s">
        <v>80</v>
      </c>
      <c r="AG335" s="114">
        <v>6877077765</v>
      </c>
      <c r="AH335" s="4" t="s">
        <v>81</v>
      </c>
      <c r="AI335" s="55" t="s">
        <v>967</v>
      </c>
      <c r="AJ335" s="55" t="s">
        <v>81</v>
      </c>
      <c r="AK335" s="55">
        <v>2019</v>
      </c>
      <c r="AL335" s="4" t="s">
        <v>967</v>
      </c>
      <c r="AM335" s="4" t="s">
        <v>6251</v>
      </c>
      <c r="AN335" s="4" t="s">
        <v>6252</v>
      </c>
      <c r="AO335" s="4" t="s">
        <v>6253</v>
      </c>
      <c r="AP335" s="4" t="s">
        <v>6253</v>
      </c>
      <c r="AQ335" s="55" t="s">
        <v>285</v>
      </c>
      <c r="AR335" s="4" t="s">
        <v>110</v>
      </c>
      <c r="AS335" s="4" t="s">
        <v>1334</v>
      </c>
      <c r="AT335" s="72" t="s">
        <v>1334</v>
      </c>
      <c r="AU335" s="4" t="s">
        <v>81</v>
      </c>
      <c r="AV335" s="4" t="s">
        <v>81</v>
      </c>
      <c r="AW335" s="4"/>
      <c r="AX335" s="4"/>
      <c r="AY335" s="4"/>
      <c r="AZ335" s="4"/>
      <c r="BA335" s="4" t="s">
        <v>90</v>
      </c>
      <c r="BB335" s="4">
        <v>10800</v>
      </c>
      <c r="BC335" s="4">
        <v>2700</v>
      </c>
      <c r="BD335" s="4">
        <v>0</v>
      </c>
      <c r="BE335" s="4" t="s">
        <v>296</v>
      </c>
      <c r="BF335" s="4"/>
      <c r="BG335" s="4"/>
      <c r="BH335" s="4" t="s">
        <v>3510</v>
      </c>
      <c r="BI335" s="72">
        <f>VLOOKUP(A335,'ID Block'!A:L,12,0)</f>
        <v>45536</v>
      </c>
      <c r="BJ335" s="154" t="str">
        <f>VLOOKUP(A335,'ID Block'!A:M,13,0)</f>
        <v>Better Opportunity</v>
      </c>
      <c r="BK335" s="4">
        <f t="shared" si="7"/>
        <v>280</v>
      </c>
      <c r="BL335" s="105"/>
      <c r="BM335" s="10"/>
      <c r="BN335" s="183"/>
      <c r="BO335" s="183"/>
    </row>
    <row r="336" ht="14.4" s="67" customFormat="1">
      <c r="A336" s="4">
        <v>171598</v>
      </c>
      <c r="B336" s="4"/>
      <c r="C336" s="55" t="s">
        <v>5061</v>
      </c>
      <c r="D336" s="4" t="s">
        <v>6254</v>
      </c>
      <c r="E336" s="4" t="s">
        <v>114</v>
      </c>
      <c r="F336" s="55">
        <v>1210825819</v>
      </c>
      <c r="G336" s="4" t="s">
        <v>67</v>
      </c>
      <c r="H336" s="4" t="s">
        <v>68</v>
      </c>
      <c r="I336" s="4" t="s">
        <v>69</v>
      </c>
      <c r="J336" s="55" t="s">
        <v>297</v>
      </c>
      <c r="K336" s="4" t="s">
        <v>71</v>
      </c>
      <c r="L336" s="4" t="s">
        <v>72</v>
      </c>
      <c r="M336" s="4" t="s">
        <v>98</v>
      </c>
      <c r="N336" s="4" t="s">
        <v>74</v>
      </c>
      <c r="O336" s="4" t="s">
        <v>75</v>
      </c>
      <c r="P336" s="4">
        <v>32</v>
      </c>
      <c r="Q336" s="57">
        <v>45449</v>
      </c>
      <c r="R336" s="57">
        <v>45459</v>
      </c>
      <c r="S336" s="113"/>
      <c r="T336" s="113"/>
      <c r="U336" s="4"/>
      <c r="V336" s="4"/>
      <c r="W336" s="105" t="s">
        <v>6255</v>
      </c>
      <c r="X336" s="114">
        <v>1896419300</v>
      </c>
      <c r="Y336" s="55">
        <v>1572056126</v>
      </c>
      <c r="Z336" s="4" t="s">
        <v>6256</v>
      </c>
      <c r="AA336" s="4">
        <v>1728208447</v>
      </c>
      <c r="AB336" s="4" t="s">
        <v>101</v>
      </c>
      <c r="AC336" s="4" t="s">
        <v>133</v>
      </c>
      <c r="AD336" s="113">
        <v>36492</v>
      </c>
      <c r="AE336" s="107"/>
      <c r="AF336" s="4" t="s">
        <v>80</v>
      </c>
      <c r="AG336" s="114">
        <v>6465206461</v>
      </c>
      <c r="AH336" s="4" t="s">
        <v>81</v>
      </c>
      <c r="AI336" s="55" t="s">
        <v>994</v>
      </c>
      <c r="AJ336" s="55" t="s">
        <v>6257</v>
      </c>
      <c r="AK336" s="55">
        <v>2023</v>
      </c>
      <c r="AL336" s="4" t="s">
        <v>6258</v>
      </c>
      <c r="AM336" s="4" t="s">
        <v>6256</v>
      </c>
      <c r="AN336" s="4" t="s">
        <v>6259</v>
      </c>
      <c r="AO336" s="4" t="s">
        <v>6260</v>
      </c>
      <c r="AP336" s="4" t="s">
        <v>6261</v>
      </c>
      <c r="AQ336" s="55" t="s">
        <v>2827</v>
      </c>
      <c r="AR336" s="4" t="s">
        <v>110</v>
      </c>
      <c r="AS336" s="4" t="s">
        <v>81</v>
      </c>
      <c r="AT336" s="72" t="s">
        <v>81</v>
      </c>
      <c r="AU336" s="4" t="s">
        <v>81</v>
      </c>
      <c r="AV336" s="4" t="s">
        <v>81</v>
      </c>
      <c r="AW336" s="4" t="s">
        <v>81</v>
      </c>
      <c r="AX336" s="4" t="s">
        <v>81</v>
      </c>
      <c r="AY336" s="4" t="s">
        <v>81</v>
      </c>
      <c r="AZ336" s="4" t="s">
        <v>81</v>
      </c>
      <c r="BA336" s="4" t="s">
        <v>90</v>
      </c>
      <c r="BB336" s="4">
        <v>10800</v>
      </c>
      <c r="BC336" s="4">
        <v>2700</v>
      </c>
      <c r="BD336" s="4">
        <v>0</v>
      </c>
      <c r="BE336" s="4" t="s">
        <v>91</v>
      </c>
      <c r="BF336" s="4"/>
      <c r="BG336" s="4"/>
      <c r="BH336" s="4" t="s">
        <v>3510</v>
      </c>
      <c r="BI336" s="72">
        <f>VLOOKUP(A336,'ID Block'!A:L,12,0)</f>
        <v>45528</v>
      </c>
      <c r="BJ336" s="154" t="str">
        <f>VLOOKUP(A336,'ID Block'!A:M,13,0)</f>
        <v>Better Opportunity</v>
      </c>
      <c r="BK336" s="4">
        <f t="shared" si="7"/>
        <v>69</v>
      </c>
      <c r="BL336" s="105"/>
      <c r="BM336" s="10"/>
      <c r="BN336" s="183"/>
      <c r="BO336" s="183"/>
    </row>
    <row r="337" ht="14.4" s="67" customFormat="1">
      <c r="A337" s="4">
        <v>171102</v>
      </c>
      <c r="B337" s="4"/>
      <c r="C337" s="55" t="s">
        <v>6262</v>
      </c>
      <c r="D337" s="4" t="s">
        <v>6263</v>
      </c>
      <c r="E337" s="4" t="s">
        <v>114</v>
      </c>
      <c r="F337" s="55">
        <v>296224</v>
      </c>
      <c r="G337" s="4" t="s">
        <v>67</v>
      </c>
      <c r="H337" s="4" t="s">
        <v>68</v>
      </c>
      <c r="I337" s="4" t="s">
        <v>69</v>
      </c>
      <c r="J337" s="55" t="s">
        <v>214</v>
      </c>
      <c r="K337" s="4" t="s">
        <v>71</v>
      </c>
      <c r="L337" s="4" t="s">
        <v>72</v>
      </c>
      <c r="M337" s="4" t="s">
        <v>2643</v>
      </c>
      <c r="N337" s="4" t="s">
        <v>74</v>
      </c>
      <c r="O337" s="4" t="s">
        <v>75</v>
      </c>
      <c r="P337" s="4">
        <v>10</v>
      </c>
      <c r="Q337" s="57">
        <v>45110</v>
      </c>
      <c r="R337" s="57">
        <v>45113</v>
      </c>
      <c r="S337" s="113"/>
      <c r="T337" s="113"/>
      <c r="U337" s="4"/>
      <c r="V337" s="4"/>
      <c r="W337" s="105" t="s">
        <v>6264</v>
      </c>
      <c r="X337" s="114">
        <v>1674498445</v>
      </c>
      <c r="Y337" s="55">
        <v>1794900192</v>
      </c>
      <c r="Z337" s="4" t="s">
        <v>6265</v>
      </c>
      <c r="AA337" s="4">
        <v>1712029173</v>
      </c>
      <c r="AB337" s="4" t="s">
        <v>101</v>
      </c>
      <c r="AC337" s="4" t="s">
        <v>79</v>
      </c>
      <c r="AD337" s="113">
        <v>35150</v>
      </c>
      <c r="AE337" s="107">
        <f>((TODAY())-AD337)/365</f>
        <v>28.895890410958906</v>
      </c>
      <c r="AF337" s="4" t="s">
        <v>80</v>
      </c>
      <c r="AG337" s="114">
        <v>3751704853</v>
      </c>
      <c r="AH337" s="4" t="s">
        <v>81</v>
      </c>
      <c r="AI337" s="55" t="s">
        <v>290</v>
      </c>
      <c r="AJ337" s="55" t="s">
        <v>81</v>
      </c>
      <c r="AK337" s="55" t="s">
        <v>81</v>
      </c>
      <c r="AL337" s="4" t="s">
        <v>6266</v>
      </c>
      <c r="AM337" s="4" t="s">
        <v>6267</v>
      </c>
      <c r="AN337" s="4" t="s">
        <v>6268</v>
      </c>
      <c r="AO337" s="4" t="s">
        <v>6269</v>
      </c>
      <c r="AP337" s="4" t="s">
        <v>6270</v>
      </c>
      <c r="AQ337" s="55" t="s">
        <v>151</v>
      </c>
      <c r="AR337" s="4" t="s">
        <v>224</v>
      </c>
      <c r="AS337" s="4"/>
      <c r="AT337" s="72"/>
      <c r="AU337" s="4"/>
      <c r="AV337" s="4"/>
      <c r="AW337" s="4"/>
      <c r="AX337" s="4"/>
      <c r="AY337" s="4"/>
      <c r="AZ337" s="4"/>
      <c r="BA337" s="4" t="s">
        <v>90</v>
      </c>
      <c r="BB337" s="4">
        <v>10800</v>
      </c>
      <c r="BC337" s="4">
        <v>2700</v>
      </c>
      <c r="BD337" s="4">
        <v>0</v>
      </c>
      <c r="BE337" s="4" t="s">
        <v>91</v>
      </c>
      <c r="BF337" s="4" t="s">
        <v>167</v>
      </c>
      <c r="BG337" s="4" t="s">
        <v>167</v>
      </c>
      <c r="BH337" s="4" t="s">
        <v>3510</v>
      </c>
      <c r="BI337" s="72">
        <f>VLOOKUP(A337,'ID Block'!A:L,12,0)</f>
        <v>45536</v>
      </c>
      <c r="BJ337" s="154" t="str">
        <f>VLOOKUP(A337,'ID Block'!A:M,13,0)</f>
        <v>Better Opportunity</v>
      </c>
      <c r="BK337" s="4">
        <f t="shared" si="7"/>
        <v>423</v>
      </c>
      <c r="BL337" s="105"/>
      <c r="BM337" s="10"/>
      <c r="BN337" s="183"/>
      <c r="BO337" s="183"/>
    </row>
    <row r="338" ht="14.4" s="67" customFormat="1">
      <c r="A338" s="4">
        <v>171564</v>
      </c>
      <c r="B338" s="4"/>
      <c r="C338" s="55" t="s">
        <v>6271</v>
      </c>
      <c r="D338" s="4" t="s">
        <v>6272</v>
      </c>
      <c r="E338" s="4" t="s">
        <v>66</v>
      </c>
      <c r="F338" s="55" t="s">
        <v>6273</v>
      </c>
      <c r="G338" s="4" t="s">
        <v>67</v>
      </c>
      <c r="H338" s="4" t="s">
        <v>68</v>
      </c>
      <c r="I338" s="4" t="s">
        <v>69</v>
      </c>
      <c r="J338" s="55" t="s">
        <v>1285</v>
      </c>
      <c r="K338" s="4" t="s">
        <v>71</v>
      </c>
      <c r="L338" s="4" t="s">
        <v>72</v>
      </c>
      <c r="M338" s="4" t="s">
        <v>115</v>
      </c>
      <c r="N338" s="4" t="s">
        <v>74</v>
      </c>
      <c r="O338" s="4" t="s">
        <v>75</v>
      </c>
      <c r="P338" s="4">
        <v>31</v>
      </c>
      <c r="Q338" s="57">
        <v>45447</v>
      </c>
      <c r="R338" s="57">
        <v>45453</v>
      </c>
      <c r="S338" s="113"/>
      <c r="T338" s="113"/>
      <c r="U338" s="4"/>
      <c r="V338" s="4"/>
      <c r="W338" s="105" t="s">
        <v>6274</v>
      </c>
      <c r="X338" s="114">
        <v>1680111273</v>
      </c>
      <c r="Y338" s="55">
        <v>1749283013</v>
      </c>
      <c r="Z338" s="4" t="s">
        <v>6275</v>
      </c>
      <c r="AA338" s="4">
        <v>1799724055</v>
      </c>
      <c r="AB338" s="4" t="s">
        <v>144</v>
      </c>
      <c r="AC338" s="4" t="s">
        <v>119</v>
      </c>
      <c r="AD338" s="113">
        <v>34207</v>
      </c>
      <c r="AE338" s="107">
        <f>((TODAY())-AD338)/365</f>
        <v>31.47945205479452</v>
      </c>
      <c r="AF338" s="4" t="s">
        <v>80</v>
      </c>
      <c r="AG338" s="114">
        <v>9554744384</v>
      </c>
      <c r="AH338" s="4" t="s">
        <v>6276</v>
      </c>
      <c r="AI338" s="55" t="s">
        <v>1929</v>
      </c>
      <c r="AJ338" s="55" t="s">
        <v>81</v>
      </c>
      <c r="AK338" s="55">
        <v>2017</v>
      </c>
      <c r="AL338" s="4" t="s">
        <v>6277</v>
      </c>
      <c r="AM338" s="4" t="s">
        <v>6278</v>
      </c>
      <c r="AN338" s="4" t="s">
        <v>6279</v>
      </c>
      <c r="AO338" s="4" t="s">
        <v>6280</v>
      </c>
      <c r="AP338" s="4" t="s">
        <v>6281</v>
      </c>
      <c r="AQ338" s="55" t="s">
        <v>88</v>
      </c>
      <c r="AR338" s="4" t="s">
        <v>110</v>
      </c>
      <c r="AS338" s="4" t="s">
        <v>81</v>
      </c>
      <c r="AT338" s="72" t="s">
        <v>81</v>
      </c>
      <c r="AU338" s="4" t="s">
        <v>81</v>
      </c>
      <c r="AV338" s="4" t="s">
        <v>81</v>
      </c>
      <c r="AW338" s="4" t="s">
        <v>81</v>
      </c>
      <c r="AX338" s="4" t="s">
        <v>81</v>
      </c>
      <c r="AY338" s="4" t="s">
        <v>81</v>
      </c>
      <c r="AZ338" s="4" t="s">
        <v>81</v>
      </c>
      <c r="BA338" s="4" t="s">
        <v>90</v>
      </c>
      <c r="BB338" s="4">
        <v>10800</v>
      </c>
      <c r="BC338" s="4">
        <v>2700</v>
      </c>
      <c r="BD338" s="4">
        <v>0</v>
      </c>
      <c r="BE338" s="4" t="s">
        <v>91</v>
      </c>
      <c r="BF338" s="4"/>
      <c r="BG338" s="4"/>
      <c r="BH338" s="4" t="s">
        <v>3510</v>
      </c>
      <c r="BI338" s="72">
        <f>VLOOKUP(A338,'ID Block'!A:L,12,0)</f>
        <v>45536</v>
      </c>
      <c r="BJ338" s="154" t="str">
        <f>VLOOKUP(A338,'ID Block'!A:M,13,0)</f>
        <v>Sickness issue</v>
      </c>
      <c r="BK338" s="4">
        <f t="shared" si="7"/>
        <v>83</v>
      </c>
      <c r="BL338" s="105"/>
      <c r="BM338" s="10"/>
      <c r="BN338" s="183"/>
      <c r="BO338" s="183"/>
    </row>
    <row r="339" ht="14.4" s="67" customFormat="1">
      <c r="A339" s="4">
        <v>171467</v>
      </c>
      <c r="B339" s="4"/>
      <c r="C339" s="55" t="s">
        <v>5077</v>
      </c>
      <c r="D339" s="4" t="s">
        <v>6282</v>
      </c>
      <c r="E339" s="4" t="s">
        <v>114</v>
      </c>
      <c r="F339" s="55">
        <v>611522</v>
      </c>
      <c r="G339" s="4" t="s">
        <v>67</v>
      </c>
      <c r="H339" s="4" t="s">
        <v>68</v>
      </c>
      <c r="I339" s="4" t="s">
        <v>69</v>
      </c>
      <c r="J339" s="55" t="s">
        <v>297</v>
      </c>
      <c r="K339" s="4" t="s">
        <v>71</v>
      </c>
      <c r="L339" s="4" t="s">
        <v>72</v>
      </c>
      <c r="M339" s="4" t="s">
        <v>308</v>
      </c>
      <c r="N339" s="4" t="s">
        <v>74</v>
      </c>
      <c r="O339" s="4" t="s">
        <v>75</v>
      </c>
      <c r="P339" s="4">
        <v>28</v>
      </c>
      <c r="Q339" s="57">
        <v>45419</v>
      </c>
      <c r="R339" s="57">
        <v>45434</v>
      </c>
      <c r="S339" s="113"/>
      <c r="T339" s="113"/>
      <c r="U339" s="4"/>
      <c r="V339" s="4"/>
      <c r="W339" s="105" t="s">
        <v>6283</v>
      </c>
      <c r="X339" s="114">
        <v>1779045328</v>
      </c>
      <c r="Y339" s="55">
        <v>1779045328</v>
      </c>
      <c r="Z339" s="4" t="s">
        <v>6284</v>
      </c>
      <c r="AA339" s="4">
        <v>1779045328</v>
      </c>
      <c r="AB339" s="4" t="s">
        <v>81</v>
      </c>
      <c r="AC339" s="4" t="s">
        <v>79</v>
      </c>
      <c r="AD339" s="113">
        <v>35103</v>
      </c>
      <c r="AE339" s="107">
        <f>((TODAY())-AD339)/365</f>
        <v>29.024657534246575</v>
      </c>
      <c r="AF339" s="4" t="s">
        <v>80</v>
      </c>
      <c r="AG339" s="114">
        <v>9576534649</v>
      </c>
      <c r="AH339" s="4" t="s">
        <v>81</v>
      </c>
      <c r="AI339" s="55" t="s">
        <v>6285</v>
      </c>
      <c r="AJ339" s="55" t="s">
        <v>81</v>
      </c>
      <c r="AK339" s="55">
        <v>2019</v>
      </c>
      <c r="AL339" s="4" t="s">
        <v>6286</v>
      </c>
      <c r="AM339" s="4" t="s">
        <v>6287</v>
      </c>
      <c r="AN339" s="4" t="s">
        <v>6288</v>
      </c>
      <c r="AO339" s="4" t="s">
        <v>6289</v>
      </c>
      <c r="AP339" s="4" t="s">
        <v>6290</v>
      </c>
      <c r="AQ339" s="55" t="s">
        <v>6291</v>
      </c>
      <c r="AR339" s="4" t="s">
        <v>110</v>
      </c>
      <c r="AS339" s="4" t="s">
        <v>81</v>
      </c>
      <c r="AT339" s="72" t="s">
        <v>81</v>
      </c>
      <c r="AU339" s="4" t="s">
        <v>81</v>
      </c>
      <c r="AV339" s="4" t="s">
        <v>81</v>
      </c>
      <c r="AW339" s="4" t="s">
        <v>81</v>
      </c>
      <c r="AX339" s="4" t="s">
        <v>81</v>
      </c>
      <c r="AY339" s="4" t="s">
        <v>81</v>
      </c>
      <c r="AZ339" s="4" t="s">
        <v>81</v>
      </c>
      <c r="BA339" s="4" t="s">
        <v>90</v>
      </c>
      <c r="BB339" s="4">
        <v>10800</v>
      </c>
      <c r="BC339" s="4">
        <v>2700</v>
      </c>
      <c r="BD339" s="4">
        <v>0</v>
      </c>
      <c r="BE339" s="4" t="s">
        <v>91</v>
      </c>
      <c r="BF339" s="4"/>
      <c r="BG339" s="4"/>
      <c r="BH339" s="4" t="s">
        <v>3510</v>
      </c>
      <c r="BI339" s="72">
        <f>VLOOKUP(A339,'ID Block'!A:L,12,0)</f>
        <v>45540</v>
      </c>
      <c r="BJ339" s="154" t="str">
        <f>VLOOKUP(A339,'ID Block'!A:M,13,0)</f>
        <v>Better Opportunity</v>
      </c>
      <c r="BK339" s="4">
        <f t="shared" si="7"/>
        <v>106</v>
      </c>
      <c r="BL339" s="105"/>
      <c r="BM339" s="10"/>
      <c r="BN339" s="183"/>
      <c r="BO339" s="183"/>
    </row>
    <row r="340" ht="14.4" s="67" customFormat="1">
      <c r="A340" s="4">
        <v>171792</v>
      </c>
      <c r="B340" s="4"/>
      <c r="C340" s="55" t="s">
        <v>2701</v>
      </c>
      <c r="D340" s="4" t="s">
        <v>6292</v>
      </c>
      <c r="E340" s="4" t="s">
        <v>114</v>
      </c>
      <c r="F340" s="55">
        <v>1110453387</v>
      </c>
      <c r="G340" s="4" t="s">
        <v>67</v>
      </c>
      <c r="H340" s="4" t="s">
        <v>68</v>
      </c>
      <c r="I340" s="4" t="s">
        <v>69</v>
      </c>
      <c r="J340" s="55" t="s">
        <v>214</v>
      </c>
      <c r="K340" s="4" t="s">
        <v>71</v>
      </c>
      <c r="L340" s="4" t="s">
        <v>72</v>
      </c>
      <c r="M340" s="4" t="s">
        <v>6016</v>
      </c>
      <c r="N340" s="4" t="s">
        <v>74</v>
      </c>
      <c r="O340" s="4" t="s">
        <v>2068</v>
      </c>
      <c r="P340" s="4">
        <v>40</v>
      </c>
      <c r="Q340" s="57">
        <v>45492</v>
      </c>
      <c r="R340" s="57">
        <v>45504</v>
      </c>
      <c r="S340" s="113"/>
      <c r="T340" s="113"/>
      <c r="U340" s="4"/>
      <c r="V340" s="4"/>
      <c r="W340" s="105"/>
      <c r="X340" s="114">
        <v>1789957484</v>
      </c>
      <c r="Y340" s="55"/>
      <c r="Z340" s="4" t="s">
        <v>2788</v>
      </c>
      <c r="AA340" s="4">
        <v>1319790312</v>
      </c>
      <c r="AB340" s="4" t="s">
        <v>81</v>
      </c>
      <c r="AC340" s="4" t="s">
        <v>79</v>
      </c>
      <c r="AD340" s="113" t="s">
        <v>6293</v>
      </c>
      <c r="AE340" s="107"/>
      <c r="AF340" s="4" t="s">
        <v>80</v>
      </c>
      <c r="AG340" s="114">
        <v>6008717115</v>
      </c>
      <c r="AH340" s="4"/>
      <c r="AI340" s="55" t="s">
        <v>6294</v>
      </c>
      <c r="AJ340" s="55"/>
      <c r="AK340" s="55"/>
      <c r="AL340" s="4"/>
      <c r="AM340" s="4" t="s">
        <v>6295</v>
      </c>
      <c r="AN340" s="4" t="s">
        <v>1520</v>
      </c>
      <c r="AO340" s="4" t="s">
        <v>6296</v>
      </c>
      <c r="AP340" s="4" t="s">
        <v>6297</v>
      </c>
      <c r="AQ340" s="55" t="s">
        <v>6296</v>
      </c>
      <c r="AR340" s="4"/>
      <c r="AS340" s="4"/>
      <c r="AT340" s="72"/>
      <c r="AU340" s="4"/>
      <c r="AV340" s="4"/>
      <c r="AW340" s="4"/>
      <c r="AX340" s="4"/>
      <c r="AY340" s="4"/>
      <c r="AZ340" s="4"/>
      <c r="BA340" s="4" t="s">
        <v>90</v>
      </c>
      <c r="BB340" s="4">
        <v>10800</v>
      </c>
      <c r="BC340" s="4">
        <v>2700</v>
      </c>
      <c r="BD340" s="4">
        <v>0</v>
      </c>
      <c r="BE340" s="4" t="s">
        <v>91</v>
      </c>
      <c r="BF340" s="4"/>
      <c r="BG340" s="4"/>
      <c r="BH340" s="4" t="s">
        <v>3510</v>
      </c>
      <c r="BI340" s="72">
        <f>VLOOKUP(A340,'ID Block'!A:L,12,0)</f>
        <v>45537</v>
      </c>
      <c r="BJ340" s="154" t="str">
        <f>VLOOKUP(A340,'ID Block'!A:M,13,0)</f>
        <v>Better Opportunity</v>
      </c>
      <c r="BK340" s="4">
        <f t="shared" si="7"/>
        <v>33</v>
      </c>
      <c r="BL340" s="105"/>
      <c r="BM340" s="10"/>
      <c r="BN340" s="183"/>
      <c r="BO340" s="183"/>
    </row>
    <row r="341" ht="14.4" s="67" customFormat="1">
      <c r="A341" s="4">
        <v>171541</v>
      </c>
      <c r="B341" s="4"/>
      <c r="C341" s="55" t="s">
        <v>2692</v>
      </c>
      <c r="D341" s="4" t="s">
        <v>6298</v>
      </c>
      <c r="E341" s="4" t="s">
        <v>66</v>
      </c>
      <c r="F341" s="55" t="s">
        <v>6299</v>
      </c>
      <c r="G341" s="4" t="s">
        <v>67</v>
      </c>
      <c r="H341" s="4" t="s">
        <v>68</v>
      </c>
      <c r="I341" s="4" t="s">
        <v>69</v>
      </c>
      <c r="J341" s="55" t="s">
        <v>1285</v>
      </c>
      <c r="K341" s="4" t="s">
        <v>71</v>
      </c>
      <c r="L341" s="4" t="s">
        <v>72</v>
      </c>
      <c r="M341" s="4" t="s">
        <v>115</v>
      </c>
      <c r="N341" s="4" t="s">
        <v>74</v>
      </c>
      <c r="O341" s="4" t="s">
        <v>75</v>
      </c>
      <c r="P341" s="4">
        <v>31</v>
      </c>
      <c r="Q341" s="57">
        <v>45447</v>
      </c>
      <c r="R341" s="57">
        <v>45453</v>
      </c>
      <c r="S341" s="113"/>
      <c r="T341" s="113"/>
      <c r="U341" s="4"/>
      <c r="V341" s="4"/>
      <c r="W341" s="105" t="s">
        <v>6300</v>
      </c>
      <c r="X341" s="114">
        <v>1831492686</v>
      </c>
      <c r="Y341" s="55"/>
      <c r="Z341" s="4" t="s">
        <v>6301</v>
      </c>
      <c r="AA341" s="4">
        <v>1621636160</v>
      </c>
      <c r="AB341" s="4" t="s">
        <v>78</v>
      </c>
      <c r="AC341" s="4" t="s">
        <v>1109</v>
      </c>
      <c r="AD341" s="113">
        <v>35796</v>
      </c>
      <c r="AE341" s="107">
        <f>((TODAY())-AD341)/365</f>
        <v>27.126027397260273</v>
      </c>
      <c r="AF341" s="4" t="s">
        <v>80</v>
      </c>
      <c r="AG341" s="114">
        <v>51058622360</v>
      </c>
      <c r="AH341" s="4" t="s">
        <v>81</v>
      </c>
      <c r="AI341" s="55" t="s">
        <v>333</v>
      </c>
      <c r="AJ341" s="55" t="s">
        <v>81</v>
      </c>
      <c r="AK341" s="55">
        <v>2021</v>
      </c>
      <c r="AL341" s="4" t="s">
        <v>1149</v>
      </c>
      <c r="AM341" s="4" t="s">
        <v>6302</v>
      </c>
      <c r="AN341" s="4" t="s">
        <v>6303</v>
      </c>
      <c r="AO341" s="4" t="s">
        <v>6304</v>
      </c>
      <c r="AP341" s="4" t="s">
        <v>6305</v>
      </c>
      <c r="AQ341" s="55" t="s">
        <v>457</v>
      </c>
      <c r="AR341" s="4" t="s">
        <v>89</v>
      </c>
      <c r="AS341" s="4" t="s">
        <v>6301</v>
      </c>
      <c r="AT341" s="72">
        <v>35740</v>
      </c>
      <c r="AU341" s="4" t="s">
        <v>81</v>
      </c>
      <c r="AV341" s="4" t="s">
        <v>81</v>
      </c>
      <c r="AW341" s="4" t="s">
        <v>81</v>
      </c>
      <c r="AX341" s="4" t="s">
        <v>81</v>
      </c>
      <c r="AY341" s="4" t="s">
        <v>81</v>
      </c>
      <c r="AZ341" s="4" t="s">
        <v>81</v>
      </c>
      <c r="BA341" s="4" t="s">
        <v>90</v>
      </c>
      <c r="BB341" s="4">
        <v>10800</v>
      </c>
      <c r="BC341" s="4">
        <v>2700</v>
      </c>
      <c r="BD341" s="4">
        <v>0</v>
      </c>
      <c r="BE341" s="4" t="s">
        <v>91</v>
      </c>
      <c r="BF341" s="4"/>
      <c r="BG341" s="4"/>
      <c r="BH341" s="4" t="s">
        <v>3510</v>
      </c>
      <c r="BI341" s="72">
        <f>VLOOKUP(A341,'ID Block'!A:L,12,0)</f>
        <v>45539</v>
      </c>
      <c r="BJ341" s="154" t="str">
        <f>VLOOKUP(A341,'ID Block'!A:M,13,0)</f>
        <v>Sickness </v>
      </c>
      <c r="BK341" s="4">
        <f t="shared" si="7"/>
        <v>86</v>
      </c>
      <c r="BL341" s="105"/>
      <c r="BM341" s="10"/>
      <c r="BN341" s="183"/>
      <c r="BO341" s="183"/>
    </row>
    <row r="342" ht="14.4" s="167" customFormat="1">
      <c r="A342" s="157">
        <v>171641</v>
      </c>
      <c r="B342" s="157"/>
      <c r="C342" s="160" t="s">
        <v>3032</v>
      </c>
      <c r="D342" s="157" t="s">
        <v>6306</v>
      </c>
      <c r="E342" s="157" t="s">
        <v>66</v>
      </c>
      <c r="F342" s="160">
        <v>1212675244</v>
      </c>
      <c r="G342" s="157" t="s">
        <v>67</v>
      </c>
      <c r="H342" s="157" t="s">
        <v>68</v>
      </c>
      <c r="I342" s="157" t="s">
        <v>69</v>
      </c>
      <c r="J342" s="160" t="s">
        <v>1725</v>
      </c>
      <c r="K342" s="157" t="s">
        <v>71</v>
      </c>
      <c r="L342" s="157" t="s">
        <v>72</v>
      </c>
      <c r="M342" s="157" t="s">
        <v>115</v>
      </c>
      <c r="N342" s="157" t="s">
        <v>74</v>
      </c>
      <c r="O342" s="157" t="s">
        <v>75</v>
      </c>
      <c r="P342" s="157">
        <v>34</v>
      </c>
      <c r="Q342" s="161">
        <v>45455</v>
      </c>
      <c r="R342" s="161">
        <v>45475</v>
      </c>
      <c r="S342" s="162"/>
      <c r="T342" s="162"/>
      <c r="U342" s="157"/>
      <c r="V342" s="157"/>
      <c r="W342" s="163" t="s">
        <v>6307</v>
      </c>
      <c r="X342" s="164">
        <v>1614944260</v>
      </c>
      <c r="Y342" s="160"/>
      <c r="Z342" s="157" t="s">
        <v>6308</v>
      </c>
      <c r="AA342" s="157">
        <v>1770461381</v>
      </c>
      <c r="AB342" s="157" t="s">
        <v>118</v>
      </c>
      <c r="AC342" s="157" t="s">
        <v>119</v>
      </c>
      <c r="AD342" s="162">
        <v>36523</v>
      </c>
      <c r="AE342" s="165"/>
      <c r="AF342" s="157" t="s">
        <v>80</v>
      </c>
      <c r="AG342" s="164">
        <v>1504242734</v>
      </c>
      <c r="AH342" s="157" t="s">
        <v>81</v>
      </c>
      <c r="AI342" s="160" t="s">
        <v>723</v>
      </c>
      <c r="AJ342" s="160" t="s">
        <v>683</v>
      </c>
      <c r="AK342" s="160">
        <v>2021</v>
      </c>
      <c r="AL342" s="157" t="s">
        <v>4668</v>
      </c>
      <c r="AM342" s="157" t="s">
        <v>5437</v>
      </c>
      <c r="AN342" s="157" t="s">
        <v>6309</v>
      </c>
      <c r="AO342" s="157" t="s">
        <v>6310</v>
      </c>
      <c r="AP342" s="157" t="s">
        <v>6311</v>
      </c>
      <c r="AQ342" s="160" t="s">
        <v>285</v>
      </c>
      <c r="AR342" s="157" t="s">
        <v>110</v>
      </c>
      <c r="AS342" s="157" t="s">
        <v>81</v>
      </c>
      <c r="AT342" s="166" t="s">
        <v>81</v>
      </c>
      <c r="AU342" s="157" t="s">
        <v>81</v>
      </c>
      <c r="AV342" s="157" t="s">
        <v>81</v>
      </c>
      <c r="AW342" s="157" t="s">
        <v>81</v>
      </c>
      <c r="AX342" s="157" t="s">
        <v>81</v>
      </c>
      <c r="AY342" s="157" t="s">
        <v>81</v>
      </c>
      <c r="AZ342" s="157" t="s">
        <v>81</v>
      </c>
      <c r="BA342" s="157" t="s">
        <v>90</v>
      </c>
      <c r="BB342" s="157">
        <v>10800</v>
      </c>
      <c r="BC342" s="157">
        <v>2700</v>
      </c>
      <c r="BD342" s="157">
        <v>0</v>
      </c>
      <c r="BE342" s="157" t="s">
        <v>91</v>
      </c>
      <c r="BF342" s="157"/>
      <c r="BG342" s="157"/>
      <c r="BH342" s="157" t="s">
        <v>3510</v>
      </c>
      <c r="BI342" s="72" t="str">
        <f>VLOOKUP(A342,'ID Block'!A:L,12,0)</f>
        <v>16-Sep -24</v>
      </c>
      <c r="BJ342" s="154" t="str">
        <f>VLOOKUP(A342,'ID Block'!A:M,13,0)</f>
        <v>Sickness </v>
      </c>
      <c r="BK342" s="4" t="e">
        <f t="shared" si="7"/>
        <v>#VALUE!</v>
      </c>
      <c r="BL342" s="163">
        <v>1314942736</v>
      </c>
      <c r="BM342" s="197"/>
      <c r="BN342" s="184"/>
      <c r="BO342" s="184"/>
    </row>
    <row r="343" ht="22.95" customHeight="1" s="67" customFormat="1">
      <c r="A343" s="4">
        <v>171704</v>
      </c>
      <c r="B343" s="4"/>
      <c r="C343" s="55" t="s">
        <v>2864</v>
      </c>
      <c r="D343" s="4" t="s">
        <v>2865</v>
      </c>
      <c r="E343" s="4" t="s">
        <v>114</v>
      </c>
      <c r="F343" s="55">
        <v>1110307947</v>
      </c>
      <c r="G343" s="4" t="s">
        <v>67</v>
      </c>
      <c r="H343" s="4" t="s">
        <v>68</v>
      </c>
      <c r="I343" s="4" t="s">
        <v>69</v>
      </c>
      <c r="J343" s="55" t="s">
        <v>155</v>
      </c>
      <c r="K343" s="4" t="s">
        <v>71</v>
      </c>
      <c r="L343" s="4" t="s">
        <v>72</v>
      </c>
      <c r="M343" s="4" t="s">
        <v>196</v>
      </c>
      <c r="N343" s="4" t="s">
        <v>74</v>
      </c>
      <c r="O343" s="4" t="s">
        <v>75</v>
      </c>
      <c r="P343" s="4">
        <v>36</v>
      </c>
      <c r="Q343" s="57">
        <v>45475</v>
      </c>
      <c r="R343" s="57">
        <v>45490</v>
      </c>
      <c r="S343" s="113"/>
      <c r="T343" s="113"/>
      <c r="U343" s="4"/>
      <c r="V343" s="4"/>
      <c r="W343" s="105" t="s">
        <v>6312</v>
      </c>
      <c r="X343" s="114">
        <v>1963754294</v>
      </c>
      <c r="Y343" s="55">
        <v>1963754294</v>
      </c>
      <c r="Z343" s="4" t="s">
        <v>6313</v>
      </c>
      <c r="AA343" s="4">
        <v>1761978096</v>
      </c>
      <c r="AB343" s="4" t="s">
        <v>186</v>
      </c>
      <c r="AC343" s="4" t="s">
        <v>133</v>
      </c>
      <c r="AD343" s="113">
        <v>35490</v>
      </c>
      <c r="AE343" s="107"/>
      <c r="AF343" s="4" t="s">
        <v>80</v>
      </c>
      <c r="AG343" s="114">
        <v>5553896464</v>
      </c>
      <c r="AH343" s="4" t="s">
        <v>81</v>
      </c>
      <c r="AI343" s="55" t="s">
        <v>6314</v>
      </c>
      <c r="AJ343" s="55" t="s">
        <v>265</v>
      </c>
      <c r="AK343" s="55">
        <v>2025</v>
      </c>
      <c r="AL343" s="4" t="s">
        <v>858</v>
      </c>
      <c r="AM343" s="4" t="s">
        <v>6315</v>
      </c>
      <c r="AN343" s="4" t="s">
        <v>6316</v>
      </c>
      <c r="AO343" s="4" t="s">
        <v>6317</v>
      </c>
      <c r="AP343" s="4" t="s">
        <v>6318</v>
      </c>
      <c r="AQ343" s="55" t="s">
        <v>6319</v>
      </c>
      <c r="AR343" s="4" t="s">
        <v>89</v>
      </c>
      <c r="AS343" s="4" t="s">
        <v>6313</v>
      </c>
      <c r="AT343" s="72">
        <v>35164</v>
      </c>
      <c r="AU343" s="4" t="s">
        <v>81</v>
      </c>
      <c r="AV343" s="4" t="s">
        <v>81</v>
      </c>
      <c r="AW343" s="4" t="s">
        <v>81</v>
      </c>
      <c r="AX343" s="4" t="s">
        <v>81</v>
      </c>
      <c r="AY343" s="4" t="s">
        <v>81</v>
      </c>
      <c r="AZ343" s="4" t="s">
        <v>81</v>
      </c>
      <c r="BA343" s="4" t="s">
        <v>90</v>
      </c>
      <c r="BB343" s="4">
        <v>10800</v>
      </c>
      <c r="BC343" s="4">
        <v>2700</v>
      </c>
      <c r="BD343" s="4">
        <v>1000</v>
      </c>
      <c r="BE343" s="4" t="s">
        <v>166</v>
      </c>
      <c r="BF343" s="4"/>
      <c r="BG343" s="4"/>
      <c r="BH343" s="4" t="s">
        <v>3499</v>
      </c>
      <c r="BI343" s="72">
        <f>VLOOKUP(A343,'ID Block'!A:L,12,0)</f>
        <v>45540</v>
      </c>
      <c r="BJ343" s="154" t="str">
        <f>VLOOKUP(A343,'ID Block'!A:M,13,0)</f>
        <v>Better Opportunity</v>
      </c>
      <c r="BK343" s="4">
        <f t="shared" si="7"/>
        <v>50</v>
      </c>
      <c r="BL343" s="105">
        <v>1580639463</v>
      </c>
      <c r="BM343" s="10"/>
      <c r="BN343" s="183"/>
      <c r="BO343" s="183"/>
    </row>
    <row r="344" ht="14.4" s="67" customFormat="1">
      <c r="A344" s="4">
        <v>171523</v>
      </c>
      <c r="B344" s="4"/>
      <c r="C344" s="55" t="s">
        <v>6320</v>
      </c>
      <c r="D344" s="4" t="s">
        <v>6321</v>
      </c>
      <c r="E344" s="4" t="s">
        <v>114</v>
      </c>
      <c r="F344" s="55">
        <v>1210848271</v>
      </c>
      <c r="G344" s="4" t="s">
        <v>67</v>
      </c>
      <c r="H344" s="4" t="s">
        <v>68</v>
      </c>
      <c r="I344" s="4" t="s">
        <v>69</v>
      </c>
      <c r="J344" s="55" t="s">
        <v>155</v>
      </c>
      <c r="K344" s="4" t="s">
        <v>71</v>
      </c>
      <c r="L344" s="4" t="s">
        <v>72</v>
      </c>
      <c r="M344" s="4" t="s">
        <v>196</v>
      </c>
      <c r="N344" s="4" t="s">
        <v>74</v>
      </c>
      <c r="O344" s="4" t="s">
        <v>75</v>
      </c>
      <c r="P344" s="4">
        <v>30</v>
      </c>
      <c r="Q344" s="57">
        <v>45442</v>
      </c>
      <c r="R344" s="57">
        <v>45456</v>
      </c>
      <c r="S344" s="113"/>
      <c r="T344" s="113"/>
      <c r="U344" s="4"/>
      <c r="V344" s="4"/>
      <c r="W344" s="105" t="s">
        <v>6322</v>
      </c>
      <c r="X344" s="114">
        <v>1567847304</v>
      </c>
      <c r="Y344" s="55">
        <v>1852593554</v>
      </c>
      <c r="Z344" s="4" t="s">
        <v>6323</v>
      </c>
      <c r="AA344" s="4">
        <v>1914675061</v>
      </c>
      <c r="AB344" s="4" t="s">
        <v>101</v>
      </c>
      <c r="AC344" s="4" t="s">
        <v>79</v>
      </c>
      <c r="AD344" s="113">
        <v>35857</v>
      </c>
      <c r="AE344" s="107"/>
      <c r="AF344" s="4" t="s">
        <v>80</v>
      </c>
      <c r="AG344" s="114">
        <v>6004452014</v>
      </c>
      <c r="AH344" s="4" t="s">
        <v>81</v>
      </c>
      <c r="AI344" s="55" t="s">
        <v>322</v>
      </c>
      <c r="AJ344" s="55" t="s">
        <v>265</v>
      </c>
      <c r="AK344" s="55">
        <v>2021</v>
      </c>
      <c r="AL344" s="4" t="s">
        <v>6324</v>
      </c>
      <c r="AM344" s="4" t="s">
        <v>6323</v>
      </c>
      <c r="AN344" s="4" t="s">
        <v>3587</v>
      </c>
      <c r="AO344" s="4" t="s">
        <v>6325</v>
      </c>
      <c r="AP344" s="4" t="s">
        <v>6326</v>
      </c>
      <c r="AQ344" s="55" t="s">
        <v>6327</v>
      </c>
      <c r="AR344" s="4" t="s">
        <v>110</v>
      </c>
      <c r="AS344" s="4" t="s">
        <v>81</v>
      </c>
      <c r="AT344" s="72" t="s">
        <v>81</v>
      </c>
      <c r="AU344" s="4" t="s">
        <v>81</v>
      </c>
      <c r="AV344" s="4" t="s">
        <v>81</v>
      </c>
      <c r="AW344" s="4" t="s">
        <v>81</v>
      </c>
      <c r="AX344" s="4" t="s">
        <v>81</v>
      </c>
      <c r="AY344" s="4" t="s">
        <v>81</v>
      </c>
      <c r="AZ344" s="4" t="s">
        <v>81</v>
      </c>
      <c r="BA344" s="4" t="s">
        <v>90</v>
      </c>
      <c r="BB344" s="4">
        <v>10800</v>
      </c>
      <c r="BC344" s="4">
        <v>2700</v>
      </c>
      <c r="BD344" s="4">
        <v>1000</v>
      </c>
      <c r="BE344" s="4" t="s">
        <v>166</v>
      </c>
      <c r="BF344" s="4"/>
      <c r="BG344" s="4"/>
      <c r="BH344" s="4" t="s">
        <v>3510</v>
      </c>
      <c r="BI344" s="72">
        <f>VLOOKUP(A344,'ID Block'!A:L,12,0)</f>
        <v>45547</v>
      </c>
      <c r="BJ344" s="154" t="str">
        <f>VLOOKUP(A344,'ID Block'!A:M,13,0)</f>
        <v>Better Opportunity</v>
      </c>
      <c r="BK344" s="4">
        <f t="shared" si="7"/>
        <v>91</v>
      </c>
      <c r="BL344" s="105" t="s">
        <v>6328</v>
      </c>
      <c r="BM344" s="10"/>
      <c r="BN344" s="185"/>
      <c r="BO344" s="183"/>
    </row>
    <row r="345" ht="14.4" s="67" customFormat="1">
      <c r="A345" s="4">
        <v>171689</v>
      </c>
      <c r="B345" s="4"/>
      <c r="C345" s="55" t="s">
        <v>3022</v>
      </c>
      <c r="D345" s="4" t="s">
        <v>4507</v>
      </c>
      <c r="E345" s="4" t="s">
        <v>114</v>
      </c>
      <c r="F345" s="55">
        <v>947334</v>
      </c>
      <c r="G345" s="4" t="s">
        <v>67</v>
      </c>
      <c r="H345" s="4" t="s">
        <v>68</v>
      </c>
      <c r="I345" s="4" t="s">
        <v>69</v>
      </c>
      <c r="J345" s="55" t="s">
        <v>1725</v>
      </c>
      <c r="K345" s="4" t="s">
        <v>71</v>
      </c>
      <c r="L345" s="4" t="s">
        <v>72</v>
      </c>
      <c r="M345" s="4" t="s">
        <v>115</v>
      </c>
      <c r="N345" s="4" t="s">
        <v>74</v>
      </c>
      <c r="O345" s="4" t="s">
        <v>75</v>
      </c>
      <c r="P345" s="4">
        <v>35</v>
      </c>
      <c r="Q345" s="57">
        <v>45466</v>
      </c>
      <c r="R345" s="57">
        <v>45475</v>
      </c>
      <c r="S345" s="113"/>
      <c r="T345" s="113"/>
      <c r="U345" s="4"/>
      <c r="V345" s="4"/>
      <c r="W345" s="105" t="s">
        <v>6329</v>
      </c>
      <c r="X345" s="114">
        <v>1712949444</v>
      </c>
      <c r="Y345" s="55">
        <v>1620137604</v>
      </c>
      <c r="Z345" s="4" t="s">
        <v>6330</v>
      </c>
      <c r="AA345" s="4">
        <v>1731200423</v>
      </c>
      <c r="AB345" s="4" t="s">
        <v>132</v>
      </c>
      <c r="AC345" s="4" t="s">
        <v>119</v>
      </c>
      <c r="AD345" s="113">
        <v>33970</v>
      </c>
      <c r="AE345" s="107"/>
      <c r="AF345" s="4" t="s">
        <v>80</v>
      </c>
      <c r="AG345" s="114">
        <v>6879447073</v>
      </c>
      <c r="AH345" s="4" t="s">
        <v>81</v>
      </c>
      <c r="AI345" s="55" t="s">
        <v>322</v>
      </c>
      <c r="AJ345" s="55" t="s">
        <v>81</v>
      </c>
      <c r="AK345" s="55">
        <v>2017</v>
      </c>
      <c r="AL345" s="4" t="s">
        <v>188</v>
      </c>
      <c r="AM345" s="4" t="s">
        <v>6331</v>
      </c>
      <c r="AN345" s="4" t="s">
        <v>6330</v>
      </c>
      <c r="AO345" s="4" t="s">
        <v>6332</v>
      </c>
      <c r="AP345" s="4" t="s">
        <v>6332</v>
      </c>
      <c r="AQ345" s="55" t="s">
        <v>88</v>
      </c>
      <c r="AR345" s="4" t="s">
        <v>6333</v>
      </c>
      <c r="AS345" s="4" t="s">
        <v>81</v>
      </c>
      <c r="AT345" s="72" t="s">
        <v>81</v>
      </c>
      <c r="AU345" s="4" t="s">
        <v>6334</v>
      </c>
      <c r="AV345" s="4" t="s">
        <v>81</v>
      </c>
      <c r="AW345" s="4" t="s">
        <v>81</v>
      </c>
      <c r="AX345" s="4" t="s">
        <v>81</v>
      </c>
      <c r="AY345" s="4" t="s">
        <v>81</v>
      </c>
      <c r="AZ345" s="4" t="s">
        <v>81</v>
      </c>
      <c r="BA345" s="4" t="s">
        <v>90</v>
      </c>
      <c r="BB345" s="4">
        <v>10800</v>
      </c>
      <c r="BC345" s="4">
        <v>2700</v>
      </c>
      <c r="BD345" s="4">
        <v>0</v>
      </c>
      <c r="BE345" s="4" t="s">
        <v>91</v>
      </c>
      <c r="BF345" s="4" t="s">
        <v>242</v>
      </c>
      <c r="BG345" s="4" t="s">
        <v>242</v>
      </c>
      <c r="BH345" s="4" t="s">
        <v>3499</v>
      </c>
      <c r="BI345" s="72">
        <f>VLOOKUP(A345,'ID Block'!A:L,12,0)</f>
        <v>45545</v>
      </c>
      <c r="BJ345" s="154" t="str">
        <f>VLOOKUP(A345,'ID Block'!A:M,13,0)</f>
        <v>Unauthorized Absent</v>
      </c>
      <c r="BK345" s="4">
        <f t="shared" si="7"/>
        <v>70</v>
      </c>
      <c r="BL345" s="105">
        <v>1828822309</v>
      </c>
      <c r="BM345" s="10"/>
      <c r="BN345" s="185"/>
      <c r="BO345" s="183"/>
    </row>
    <row r="346" ht="14.4" s="67" customFormat="1">
      <c r="A346" s="4">
        <v>171849</v>
      </c>
      <c r="B346" s="4"/>
      <c r="C346" s="55" t="s">
        <v>6335</v>
      </c>
      <c r="D346" s="4" t="s">
        <v>6336</v>
      </c>
      <c r="E346" s="4" t="s">
        <v>114</v>
      </c>
      <c r="F346" s="55"/>
      <c r="G346" s="4" t="s">
        <v>67</v>
      </c>
      <c r="H346" s="4" t="s">
        <v>68</v>
      </c>
      <c r="I346" s="4" t="s">
        <v>69</v>
      </c>
      <c r="J346" s="55" t="s">
        <v>155</v>
      </c>
      <c r="K346" s="4" t="s">
        <v>71</v>
      </c>
      <c r="L346" s="4" t="s">
        <v>72</v>
      </c>
      <c r="M346" s="4" t="s">
        <v>196</v>
      </c>
      <c r="N346" s="4" t="s">
        <v>74</v>
      </c>
      <c r="O346" s="4" t="s">
        <v>75</v>
      </c>
      <c r="P346" s="4">
        <v>42</v>
      </c>
      <c r="Q346" s="57">
        <v>45517</v>
      </c>
      <c r="R346" s="57">
        <v>45534</v>
      </c>
      <c r="S346" s="113"/>
      <c r="T346" s="113"/>
      <c r="U346" s="4"/>
      <c r="V346" s="4"/>
      <c r="W346" s="105"/>
      <c r="X346" s="114">
        <v>1797675848</v>
      </c>
      <c r="Y346" s="55"/>
      <c r="Z346" s="4"/>
      <c r="AA346" s="4"/>
      <c r="AB346" s="4"/>
      <c r="AC346" s="4"/>
      <c r="AD346" s="113"/>
      <c r="AE346" s="107"/>
      <c r="AF346" s="4" t="s">
        <v>360</v>
      </c>
      <c r="AG346" s="114"/>
      <c r="AH346" s="4"/>
      <c r="AI346" s="55"/>
      <c r="AJ346" s="55"/>
      <c r="AK346" s="55"/>
      <c r="AL346" s="4"/>
      <c r="AM346" s="4"/>
      <c r="AN346" s="4"/>
      <c r="AO346" s="4"/>
      <c r="AP346" s="4"/>
      <c r="AQ346" s="55"/>
      <c r="AR346" s="4"/>
      <c r="AS346" s="4"/>
      <c r="AT346" s="72"/>
      <c r="AU346" s="4"/>
      <c r="AV346" s="4"/>
      <c r="AW346" s="4"/>
      <c r="AX346" s="4"/>
      <c r="AY346" s="4"/>
      <c r="AZ346" s="4"/>
      <c r="BA346" s="4" t="s">
        <v>90</v>
      </c>
      <c r="BB346" s="4">
        <v>10800</v>
      </c>
      <c r="BC346" s="4">
        <v>2700</v>
      </c>
      <c r="BD346" s="4">
        <v>1000</v>
      </c>
      <c r="BE346" s="4" t="s">
        <v>166</v>
      </c>
      <c r="BF346" s="4"/>
      <c r="BG346" s="4"/>
      <c r="BH346" s="4" t="s">
        <v>3510</v>
      </c>
      <c r="BI346" s="72" t="str">
        <f>VLOOKUP(A346,'ID Block'!A:L,12,0)</f>
        <v>10-Sep -24</v>
      </c>
      <c r="BJ346" s="154" t="str">
        <f>VLOOKUP(A346,'ID Block'!A:M,13,0)</f>
        <v>Better Opportunity</v>
      </c>
      <c r="BK346" s="4" t="e">
        <f t="shared" si="7"/>
        <v>#VALUE!</v>
      </c>
      <c r="BL346" s="105"/>
      <c r="BM346" s="10"/>
      <c r="BN346" s="185"/>
      <c r="BO346" s="183">
        <v>1797675848</v>
      </c>
    </row>
    <row r="347" ht="14.4" s="67" customFormat="1">
      <c r="A347" s="4">
        <v>171485</v>
      </c>
      <c r="B347" s="4"/>
      <c r="C347" s="55" t="s">
        <v>2690</v>
      </c>
      <c r="D347" s="4" t="s">
        <v>6337</v>
      </c>
      <c r="E347" s="4" t="s">
        <v>114</v>
      </c>
      <c r="F347" s="55">
        <v>1410922415</v>
      </c>
      <c r="G347" s="4" t="s">
        <v>67</v>
      </c>
      <c r="H347" s="4" t="s">
        <v>68</v>
      </c>
      <c r="I347" s="4" t="s">
        <v>69</v>
      </c>
      <c r="J347" s="55" t="s">
        <v>307</v>
      </c>
      <c r="K347" s="4" t="s">
        <v>71</v>
      </c>
      <c r="L347" s="4" t="s">
        <v>72</v>
      </c>
      <c r="M347" s="4" t="s">
        <v>196</v>
      </c>
      <c r="N347" s="4" t="s">
        <v>74</v>
      </c>
      <c r="O347" s="4" t="s">
        <v>75</v>
      </c>
      <c r="P347" s="4">
        <v>29</v>
      </c>
      <c r="Q347" s="57">
        <v>45432</v>
      </c>
      <c r="R347" s="57">
        <v>45444</v>
      </c>
      <c r="S347" s="113"/>
      <c r="T347" s="113"/>
      <c r="U347" s="4"/>
      <c r="V347" s="4"/>
      <c r="W347" s="105" t="s">
        <v>6338</v>
      </c>
      <c r="X347" s="114">
        <v>1858529180</v>
      </c>
      <c r="Y347" s="55">
        <v>1995558482</v>
      </c>
      <c r="Z347" s="4" t="s">
        <v>6339</v>
      </c>
      <c r="AA347" s="4">
        <v>1702000121</v>
      </c>
      <c r="AB347" s="4" t="s">
        <v>101</v>
      </c>
      <c r="AC347" s="4" t="s">
        <v>119</v>
      </c>
      <c r="AD347" s="113">
        <v>36936</v>
      </c>
      <c r="AE347" s="107">
        <f>((TODAY())-AD347)/365</f>
        <v>24.002739726027396</v>
      </c>
      <c r="AF347" s="4" t="s">
        <v>80</v>
      </c>
      <c r="AG347" s="114">
        <v>8713534454</v>
      </c>
      <c r="AH347" s="4" t="s">
        <v>81</v>
      </c>
      <c r="AI347" s="55" t="s">
        <v>5988</v>
      </c>
      <c r="AJ347" s="55" t="s">
        <v>81</v>
      </c>
      <c r="AK347" s="55">
        <v>2024</v>
      </c>
      <c r="AL347" s="4" t="s">
        <v>3894</v>
      </c>
      <c r="AM347" s="4" t="s">
        <v>6339</v>
      </c>
      <c r="AN347" s="4" t="s">
        <v>6340</v>
      </c>
      <c r="AO347" s="4" t="s">
        <v>6341</v>
      </c>
      <c r="AP347" s="4" t="s">
        <v>6342</v>
      </c>
      <c r="AQ347" s="55" t="s">
        <v>499</v>
      </c>
      <c r="AR347" s="4" t="s">
        <v>110</v>
      </c>
      <c r="AS347" s="4" t="s">
        <v>81</v>
      </c>
      <c r="AT347" s="72" t="s">
        <v>81</v>
      </c>
      <c r="AU347" s="4" t="s">
        <v>81</v>
      </c>
      <c r="AV347" s="4" t="s">
        <v>81</v>
      </c>
      <c r="AW347" s="4" t="s">
        <v>81</v>
      </c>
      <c r="AX347" s="4" t="s">
        <v>81</v>
      </c>
      <c r="AY347" s="4" t="s">
        <v>81</v>
      </c>
      <c r="AZ347" s="4" t="s">
        <v>81</v>
      </c>
      <c r="BA347" s="4" t="s">
        <v>90</v>
      </c>
      <c r="BB347" s="4">
        <v>10800</v>
      </c>
      <c r="BC347" s="4">
        <v>2700</v>
      </c>
      <c r="BD347" s="4">
        <v>0</v>
      </c>
      <c r="BE347" s="4" t="s">
        <v>91</v>
      </c>
      <c r="BF347" s="4"/>
      <c r="BG347" s="4"/>
      <c r="BH347" s="4" t="s">
        <v>3510</v>
      </c>
      <c r="BI347" s="72">
        <f>VLOOKUP(A347,'ID Block'!A:L,12,0)</f>
        <v>45543</v>
      </c>
      <c r="BJ347" s="154" t="str">
        <f>VLOOKUP(A347,'ID Block'!A:M,13,0)</f>
        <v>Family Issue.</v>
      </c>
      <c r="BK347" s="4">
        <f t="shared" si="7"/>
        <v>99</v>
      </c>
      <c r="BL347" s="105"/>
      <c r="BM347" s="10"/>
      <c r="BN347" s="185"/>
      <c r="BO347" s="183">
        <v>1858529180</v>
      </c>
    </row>
    <row r="348" ht="14.4" s="67" customFormat="1">
      <c r="A348" s="4">
        <v>171694</v>
      </c>
      <c r="B348" s="4"/>
      <c r="C348" s="55" t="s">
        <v>6343</v>
      </c>
      <c r="D348" s="4" t="s">
        <v>6344</v>
      </c>
      <c r="E348" s="4" t="s">
        <v>114</v>
      </c>
      <c r="F348" s="55">
        <v>1215381158</v>
      </c>
      <c r="G348" s="4" t="s">
        <v>67</v>
      </c>
      <c r="H348" s="4" t="s">
        <v>68</v>
      </c>
      <c r="I348" s="4" t="s">
        <v>69</v>
      </c>
      <c r="J348" s="55" t="s">
        <v>155</v>
      </c>
      <c r="K348" s="4" t="s">
        <v>1766</v>
      </c>
      <c r="L348" s="4" t="s">
        <v>1767</v>
      </c>
      <c r="M348" s="4" t="s">
        <v>196</v>
      </c>
      <c r="N348" s="4" t="s">
        <v>74</v>
      </c>
      <c r="O348" s="4" t="s">
        <v>75</v>
      </c>
      <c r="P348" s="4">
        <v>36</v>
      </c>
      <c r="Q348" s="57">
        <v>45475</v>
      </c>
      <c r="R348" s="57">
        <v>45488</v>
      </c>
      <c r="S348" s="113" t="s">
        <v>242</v>
      </c>
      <c r="T348" s="113" t="s">
        <v>242</v>
      </c>
      <c r="U348" s="4" t="s">
        <v>242</v>
      </c>
      <c r="V348" s="4" t="s">
        <v>242</v>
      </c>
      <c r="W348" s="105" t="s">
        <v>6345</v>
      </c>
      <c r="X348" s="114">
        <v>1852043107</v>
      </c>
      <c r="Y348" s="55">
        <v>1852043107</v>
      </c>
      <c r="Z348" s="4" t="s">
        <v>6346</v>
      </c>
      <c r="AA348" s="4">
        <v>1710450674</v>
      </c>
      <c r="AB348" s="4" t="s">
        <v>101</v>
      </c>
      <c r="AC348" s="4" t="s">
        <v>79</v>
      </c>
      <c r="AD348" s="113">
        <v>36168</v>
      </c>
      <c r="AE348" s="107">
        <v>24</v>
      </c>
      <c r="AF348" s="4" t="s">
        <v>80</v>
      </c>
      <c r="AG348" s="114">
        <v>5104830863</v>
      </c>
      <c r="AH348" s="4" t="s">
        <v>81</v>
      </c>
      <c r="AI348" s="55" t="s">
        <v>925</v>
      </c>
      <c r="AJ348" s="55"/>
      <c r="AK348" s="55">
        <v>2022</v>
      </c>
      <c r="AL348" s="4" t="s">
        <v>2545</v>
      </c>
      <c r="AM348" s="4" t="s">
        <v>6346</v>
      </c>
      <c r="AN348" s="4" t="s">
        <v>6347</v>
      </c>
      <c r="AO348" s="4" t="s">
        <v>6348</v>
      </c>
      <c r="AP348" s="4" t="s">
        <v>6349</v>
      </c>
      <c r="AQ348" s="55" t="s">
        <v>6350</v>
      </c>
      <c r="AR348" s="4" t="s">
        <v>110</v>
      </c>
      <c r="AS348" s="4" t="s">
        <v>242</v>
      </c>
      <c r="AT348" s="72" t="s">
        <v>242</v>
      </c>
      <c r="AU348" s="4" t="s">
        <v>242</v>
      </c>
      <c r="AV348" s="4" t="s">
        <v>242</v>
      </c>
      <c r="AW348" s="4" t="s">
        <v>242</v>
      </c>
      <c r="AX348" s="4" t="s">
        <v>242</v>
      </c>
      <c r="AY348" s="4" t="s">
        <v>242</v>
      </c>
      <c r="AZ348" s="4" t="s">
        <v>242</v>
      </c>
      <c r="BA348" s="4" t="s">
        <v>90</v>
      </c>
      <c r="BB348" s="4">
        <v>10800</v>
      </c>
      <c r="BC348" s="4">
        <v>2700</v>
      </c>
      <c r="BD348" s="4">
        <v>1000</v>
      </c>
      <c r="BE348" s="4" t="s">
        <v>166</v>
      </c>
      <c r="BF348" s="4" t="s">
        <v>242</v>
      </c>
      <c r="BG348" s="4" t="s">
        <v>242</v>
      </c>
      <c r="BH348" s="4" t="s">
        <v>3510</v>
      </c>
      <c r="BI348" s="72" t="str">
        <f>VLOOKUP(A348,'ID Block'!A:L,12,0)</f>
        <v>20-Sep -24</v>
      </c>
      <c r="BJ348" s="154" t="str">
        <f>VLOOKUP(A348,'ID Block'!A:M,13,0)</f>
        <v>Better Opportunity</v>
      </c>
      <c r="BK348" s="4" t="e">
        <f t="shared" si="7"/>
        <v>#VALUE!</v>
      </c>
      <c r="BL348" s="105"/>
      <c r="BM348" s="10"/>
      <c r="BN348" s="185"/>
      <c r="BO348" s="183"/>
    </row>
    <row r="349" ht="14.4" s="67" customFormat="1">
      <c r="A349" s="4">
        <v>171582</v>
      </c>
      <c r="B349" s="4"/>
      <c r="C349" s="55" t="s">
        <v>6351</v>
      </c>
      <c r="D349" s="4" t="s">
        <v>6352</v>
      </c>
      <c r="E349" s="4" t="s">
        <v>1765</v>
      </c>
      <c r="F349" s="55">
        <v>759851</v>
      </c>
      <c r="G349" s="4" t="s">
        <v>67</v>
      </c>
      <c r="H349" s="4" t="s">
        <v>68</v>
      </c>
      <c r="I349" s="4" t="s">
        <v>69</v>
      </c>
      <c r="J349" s="55" t="s">
        <v>155</v>
      </c>
      <c r="K349" s="4" t="s">
        <v>1766</v>
      </c>
      <c r="L349" s="4" t="s">
        <v>1767</v>
      </c>
      <c r="M349" s="4" t="s">
        <v>196</v>
      </c>
      <c r="N349" s="4" t="s">
        <v>74</v>
      </c>
      <c r="O349" s="4" t="s">
        <v>75</v>
      </c>
      <c r="P349" s="4">
        <v>33</v>
      </c>
      <c r="Q349" s="57">
        <v>45451</v>
      </c>
      <c r="R349" s="57">
        <v>45474</v>
      </c>
      <c r="S349" s="113" t="s">
        <v>242</v>
      </c>
      <c r="T349" s="113" t="s">
        <v>242</v>
      </c>
      <c r="U349" s="4" t="s">
        <v>242</v>
      </c>
      <c r="V349" s="4" t="s">
        <v>242</v>
      </c>
      <c r="W349" s="105" t="s">
        <v>6353</v>
      </c>
      <c r="X349" s="114">
        <v>1962054797</v>
      </c>
      <c r="Y349" s="55">
        <v>1962054797</v>
      </c>
      <c r="Z349" s="4" t="s">
        <v>6354</v>
      </c>
      <c r="AA349" s="4">
        <v>1728903760</v>
      </c>
      <c r="AB349" s="4" t="s">
        <v>101</v>
      </c>
      <c r="AC349" s="4" t="s">
        <v>119</v>
      </c>
      <c r="AD349" s="113">
        <v>35349</v>
      </c>
      <c r="AE349" s="107">
        <v>28</v>
      </c>
      <c r="AF349" s="4" t="s">
        <v>80</v>
      </c>
      <c r="AG349" s="114">
        <v>3750974226</v>
      </c>
      <c r="AH349" s="4" t="s">
        <v>81</v>
      </c>
      <c r="AI349" s="55" t="s">
        <v>265</v>
      </c>
      <c r="AJ349" s="55"/>
      <c r="AK349" s="55">
        <v>2021</v>
      </c>
      <c r="AL349" s="4" t="s">
        <v>6355</v>
      </c>
      <c r="AM349" s="4" t="s">
        <v>6354</v>
      </c>
      <c r="AN349" s="4" t="s">
        <v>6356</v>
      </c>
      <c r="AO349" s="4" t="s">
        <v>6357</v>
      </c>
      <c r="AP349" s="4" t="s">
        <v>6358</v>
      </c>
      <c r="AQ349" s="55" t="s">
        <v>6357</v>
      </c>
      <c r="AR349" s="4" t="s">
        <v>1774</v>
      </c>
      <c r="AS349" s="4" t="s">
        <v>81</v>
      </c>
      <c r="AT349" s="72" t="s">
        <v>81</v>
      </c>
      <c r="AU349" s="4" t="s">
        <v>81</v>
      </c>
      <c r="AV349" s="4" t="s">
        <v>81</v>
      </c>
      <c r="AW349" s="4" t="s">
        <v>81</v>
      </c>
      <c r="AX349" s="4" t="s">
        <v>81</v>
      </c>
      <c r="AY349" s="4" t="s">
        <v>81</v>
      </c>
      <c r="AZ349" s="4" t="s">
        <v>81</v>
      </c>
      <c r="BA349" s="4" t="s">
        <v>90</v>
      </c>
      <c r="BB349" s="4">
        <v>10800</v>
      </c>
      <c r="BC349" s="4">
        <v>2700</v>
      </c>
      <c r="BD349" s="4">
        <v>1000</v>
      </c>
      <c r="BE349" s="4" t="s">
        <v>166</v>
      </c>
      <c r="BF349" s="4" t="s">
        <v>242</v>
      </c>
      <c r="BG349" s="4" t="s">
        <v>242</v>
      </c>
      <c r="BH349" s="4" t="s">
        <v>3510</v>
      </c>
      <c r="BI349" s="72" t="str">
        <f>VLOOKUP(A349,'ID Block'!A:L,12,0)</f>
        <v>23-Sep -24</v>
      </c>
      <c r="BJ349" s="154" t="str">
        <f>VLOOKUP(A349,'ID Block'!A:M,13,0)</f>
        <v>Voluntary/Resign</v>
      </c>
      <c r="BK349" s="4" t="e">
        <f t="shared" si="7"/>
        <v>#VALUE!</v>
      </c>
      <c r="BL349" s="105"/>
      <c r="BM349" s="10"/>
      <c r="BN349" s="185"/>
      <c r="BO349" s="183"/>
    </row>
    <row r="350" ht="14.4" s="67" customFormat="1">
      <c r="A350" s="4">
        <v>171683</v>
      </c>
      <c r="B350" s="4"/>
      <c r="C350" s="55" t="s">
        <v>3004</v>
      </c>
      <c r="D350" s="4" t="s">
        <v>6359</v>
      </c>
      <c r="E350" s="4" t="s">
        <v>66</v>
      </c>
      <c r="F350" s="55">
        <v>1010939917</v>
      </c>
      <c r="G350" s="4" t="s">
        <v>67</v>
      </c>
      <c r="H350" s="4" t="s">
        <v>68</v>
      </c>
      <c r="I350" s="4" t="s">
        <v>69</v>
      </c>
      <c r="J350" s="55" t="s">
        <v>1846</v>
      </c>
      <c r="K350" s="4" t="s">
        <v>71</v>
      </c>
      <c r="L350" s="4" t="s">
        <v>72</v>
      </c>
      <c r="M350" s="4" t="s">
        <v>115</v>
      </c>
      <c r="N350" s="4" t="s">
        <v>74</v>
      </c>
      <c r="O350" s="4" t="s">
        <v>75</v>
      </c>
      <c r="P350" s="4">
        <v>35</v>
      </c>
      <c r="Q350" s="57">
        <v>45466</v>
      </c>
      <c r="R350" s="57">
        <v>45475</v>
      </c>
      <c r="S350" s="113"/>
      <c r="T350" s="113"/>
      <c r="U350" s="4"/>
      <c r="V350" s="4"/>
      <c r="W350" s="105" t="s">
        <v>6360</v>
      </c>
      <c r="X350" s="114">
        <v>1915114542</v>
      </c>
      <c r="Y350" s="55"/>
      <c r="Z350" s="4" t="s">
        <v>6361</v>
      </c>
      <c r="AA350" s="4">
        <v>1841060152</v>
      </c>
      <c r="AB350" s="4" t="s">
        <v>78</v>
      </c>
      <c r="AC350" s="4" t="s">
        <v>79</v>
      </c>
      <c r="AD350" s="113">
        <v>35976</v>
      </c>
      <c r="AE350" s="107"/>
      <c r="AF350" s="4" t="s">
        <v>80</v>
      </c>
      <c r="AG350" s="114">
        <v>6454748713</v>
      </c>
      <c r="AH350" s="4" t="s">
        <v>81</v>
      </c>
      <c r="AI350" s="55" t="s">
        <v>723</v>
      </c>
      <c r="AJ350" s="55" t="s">
        <v>265</v>
      </c>
      <c r="AK350" s="55">
        <v>2022</v>
      </c>
      <c r="AL350" s="4" t="s">
        <v>6362</v>
      </c>
      <c r="AM350" s="4" t="s">
        <v>6363</v>
      </c>
      <c r="AN350" s="4" t="s">
        <v>1093</v>
      </c>
      <c r="AO350" s="4" t="s">
        <v>6364</v>
      </c>
      <c r="AP350" s="4" t="s">
        <v>6365</v>
      </c>
      <c r="AQ350" s="55" t="s">
        <v>5020</v>
      </c>
      <c r="AR350" s="4" t="s">
        <v>89</v>
      </c>
      <c r="AS350" s="4" t="s">
        <v>6361</v>
      </c>
      <c r="AT350" s="72" t="s">
        <v>6366</v>
      </c>
      <c r="AU350" s="4" t="s">
        <v>81</v>
      </c>
      <c r="AV350" s="4" t="s">
        <v>81</v>
      </c>
      <c r="AW350" s="4" t="s">
        <v>81</v>
      </c>
      <c r="AX350" s="4" t="s">
        <v>81</v>
      </c>
      <c r="AY350" s="4" t="s">
        <v>81</v>
      </c>
      <c r="AZ350" s="4" t="s">
        <v>81</v>
      </c>
      <c r="BA350" s="4" t="s">
        <v>90</v>
      </c>
      <c r="BB350" s="4">
        <v>10800</v>
      </c>
      <c r="BC350" s="4">
        <v>2700</v>
      </c>
      <c r="BD350" s="4">
        <v>0</v>
      </c>
      <c r="BE350" s="4" t="s">
        <v>91</v>
      </c>
      <c r="BF350" s="4" t="s">
        <v>242</v>
      </c>
      <c r="BG350" s="4" t="s">
        <v>242</v>
      </c>
      <c r="BH350" s="4" t="s">
        <v>3510</v>
      </c>
      <c r="BI350" s="72" t="str">
        <f>VLOOKUP(A350,'ID Block'!A:L,12,0)</f>
        <v>24-Sep -24</v>
      </c>
      <c r="BJ350" s="154" t="str">
        <f>VLOOKUP(A350,'ID Block'!A:M,13,0)</f>
        <v>Sickness </v>
      </c>
      <c r="BK350" s="4" t="e">
        <f t="shared" si="7"/>
        <v>#VALUE!</v>
      </c>
      <c r="BL350" s="105"/>
      <c r="BM350" s="10"/>
      <c r="BN350" s="185"/>
      <c r="BO350" s="183"/>
    </row>
    <row r="351" ht="14.4" s="67" customFormat="1">
      <c r="A351" s="21">
        <v>171453</v>
      </c>
      <c r="B351" s="4"/>
      <c r="C351" s="55" t="s">
        <v>6367</v>
      </c>
      <c r="D351" s="4" t="s">
        <v>6368</v>
      </c>
      <c r="E351" s="4" t="s">
        <v>114</v>
      </c>
      <c r="F351" s="55">
        <v>1310536028</v>
      </c>
      <c r="G351" s="4" t="s">
        <v>67</v>
      </c>
      <c r="H351" s="4" t="s">
        <v>68</v>
      </c>
      <c r="I351" s="4" t="s">
        <v>69</v>
      </c>
      <c r="J351" s="55" t="s">
        <v>407</v>
      </c>
      <c r="K351" s="4" t="s">
        <v>71</v>
      </c>
      <c r="L351" s="4" t="s">
        <v>72</v>
      </c>
      <c r="M351" s="4" t="s">
        <v>2643</v>
      </c>
      <c r="N351" s="4" t="s">
        <v>74</v>
      </c>
      <c r="O351" s="4" t="s">
        <v>75</v>
      </c>
      <c r="P351" s="4">
        <v>27</v>
      </c>
      <c r="Q351" s="57">
        <v>45408</v>
      </c>
      <c r="R351" s="57">
        <v>45421</v>
      </c>
      <c r="S351" s="113"/>
      <c r="T351" s="113"/>
      <c r="U351" s="4"/>
      <c r="V351" s="4"/>
      <c r="W351" s="105" t="s">
        <v>992</v>
      </c>
      <c r="X351" s="114">
        <v>1833500400</v>
      </c>
      <c r="Y351" s="55">
        <v>1942551040</v>
      </c>
      <c r="Z351" s="4" t="s">
        <v>6369</v>
      </c>
      <c r="AA351" s="4">
        <v>1317020309</v>
      </c>
      <c r="AB351" s="4" t="s">
        <v>382</v>
      </c>
      <c r="AC351" s="4" t="s">
        <v>119</v>
      </c>
      <c r="AD351" s="113">
        <v>36515</v>
      </c>
      <c r="AE351" s="107">
        <f>((TODAY())-AD351)/365</f>
        <v>25.156164383561645</v>
      </c>
      <c r="AF351" s="4" t="s">
        <v>80</v>
      </c>
      <c r="AG351" s="114">
        <v>7804450430</v>
      </c>
      <c r="AH351" s="4" t="s">
        <v>81</v>
      </c>
      <c r="AI351" s="55" t="s">
        <v>994</v>
      </c>
      <c r="AJ351" s="55" t="s">
        <v>81</v>
      </c>
      <c r="AK351" s="55">
        <v>2024</v>
      </c>
      <c r="AL351" s="4" t="s">
        <v>995</v>
      </c>
      <c r="AM351" s="4" t="s">
        <v>996</v>
      </c>
      <c r="AN351" s="4" t="s">
        <v>997</v>
      </c>
      <c r="AO351" s="4" t="s">
        <v>6370</v>
      </c>
      <c r="AP351" s="4" t="s">
        <v>6371</v>
      </c>
      <c r="AQ351" s="55" t="s">
        <v>1000</v>
      </c>
      <c r="AR351" s="4" t="s">
        <v>110</v>
      </c>
      <c r="AS351" s="4" t="s">
        <v>81</v>
      </c>
      <c r="AT351" s="72" t="s">
        <v>81</v>
      </c>
      <c r="AU351" s="4" t="s">
        <v>81</v>
      </c>
      <c r="AV351" s="4" t="s">
        <v>81</v>
      </c>
      <c r="AW351" s="4" t="s">
        <v>81</v>
      </c>
      <c r="AX351" s="4" t="s">
        <v>81</v>
      </c>
      <c r="AY351" s="4" t="s">
        <v>81</v>
      </c>
      <c r="AZ351" s="4" t="s">
        <v>81</v>
      </c>
      <c r="BA351" s="4" t="s">
        <v>90</v>
      </c>
      <c r="BB351" s="4">
        <v>10800</v>
      </c>
      <c r="BC351" s="4">
        <v>2700</v>
      </c>
      <c r="BD351" s="4">
        <v>0</v>
      </c>
      <c r="BE351" s="4" t="s">
        <v>91</v>
      </c>
      <c r="BF351" s="4"/>
      <c r="BG351" s="4"/>
      <c r="BH351" s="4" t="s">
        <v>3510</v>
      </c>
      <c r="BI351" s="72">
        <f>VLOOKUP(A351,'ID Block'!A:L,12,0)</f>
        <v>45566</v>
      </c>
      <c r="BJ351" s="154" t="str">
        <f>VLOOKUP(A351,'ID Block'!A:M,13,0)</f>
        <v>Better Opportunity</v>
      </c>
      <c r="BK351" s="4">
        <f t="shared" si="7"/>
        <v>145</v>
      </c>
      <c r="BL351" s="105"/>
      <c r="BM351" s="10"/>
      <c r="BN351" s="185"/>
      <c r="BO351" s="183"/>
    </row>
    <row r="352" ht="14.4" s="67" customFormat="1">
      <c r="A352" s="4">
        <v>171835</v>
      </c>
      <c r="B352" s="4"/>
      <c r="C352" s="55" t="s">
        <v>81</v>
      </c>
      <c r="D352" s="4" t="s">
        <v>6372</v>
      </c>
      <c r="E352" s="4" t="s">
        <v>114</v>
      </c>
      <c r="F352" s="55">
        <v>1412737309</v>
      </c>
      <c r="G352" s="4" t="s">
        <v>67</v>
      </c>
      <c r="H352" s="4" t="s">
        <v>2465</v>
      </c>
      <c r="I352" s="4" t="s">
        <v>2494</v>
      </c>
      <c r="J352" s="55" t="s">
        <v>341</v>
      </c>
      <c r="K352" s="4" t="s">
        <v>71</v>
      </c>
      <c r="L352" s="4" t="s">
        <v>72</v>
      </c>
      <c r="M352" s="4" t="s">
        <v>98</v>
      </c>
      <c r="N352" s="4" t="s">
        <v>74</v>
      </c>
      <c r="O352" s="4" t="s">
        <v>75</v>
      </c>
      <c r="P352" s="4">
        <v>42</v>
      </c>
      <c r="Q352" s="57">
        <v>45518</v>
      </c>
      <c r="R352" s="57">
        <v>45525</v>
      </c>
      <c r="S352" s="113"/>
      <c r="T352" s="113"/>
      <c r="U352" s="4"/>
      <c r="V352" s="4"/>
      <c r="W352" s="105" t="s">
        <v>6373</v>
      </c>
      <c r="X352" s="114">
        <v>1993131951</v>
      </c>
      <c r="Y352" s="55">
        <v>1841441849</v>
      </c>
      <c r="Z352" s="4" t="s">
        <v>6374</v>
      </c>
      <c r="AA352" s="4">
        <v>1780615173</v>
      </c>
      <c r="AB352" s="4" t="s">
        <v>252</v>
      </c>
      <c r="AC352" s="4" t="s">
        <v>79</v>
      </c>
      <c r="AD352" s="113">
        <v>37263</v>
      </c>
      <c r="AE352" s="107"/>
      <c r="AF352" s="4" t="s">
        <v>80</v>
      </c>
      <c r="AG352" s="114">
        <v>7362723319</v>
      </c>
      <c r="AH352" s="4" t="s">
        <v>81</v>
      </c>
      <c r="AI352" s="55" t="s">
        <v>322</v>
      </c>
      <c r="AJ352" s="55" t="s">
        <v>81</v>
      </c>
      <c r="AK352" s="55"/>
      <c r="AL352" s="4" t="s">
        <v>1102</v>
      </c>
      <c r="AM352" s="4" t="s">
        <v>6375</v>
      </c>
      <c r="AN352" s="4" t="s">
        <v>6376</v>
      </c>
      <c r="AO352" s="4" t="s">
        <v>6377</v>
      </c>
      <c r="AP352" s="4" t="s">
        <v>6378</v>
      </c>
      <c r="AQ352" s="55" t="s">
        <v>6377</v>
      </c>
      <c r="AR352" s="4" t="s">
        <v>110</v>
      </c>
      <c r="AS352" s="4" t="s">
        <v>81</v>
      </c>
      <c r="AT352" s="72" t="s">
        <v>81</v>
      </c>
      <c r="AU352" s="4" t="s">
        <v>81</v>
      </c>
      <c r="AV352" s="4" t="s">
        <v>81</v>
      </c>
      <c r="AW352" s="4" t="s">
        <v>81</v>
      </c>
      <c r="AX352" s="4" t="s">
        <v>81</v>
      </c>
      <c r="AY352" s="4" t="s">
        <v>81</v>
      </c>
      <c r="AZ352" s="4" t="s">
        <v>81</v>
      </c>
      <c r="BA352" s="4" t="s">
        <v>90</v>
      </c>
      <c r="BB352" s="4" t="s">
        <v>81</v>
      </c>
      <c r="BC352" s="4">
        <v>10800</v>
      </c>
      <c r="BD352" s="4">
        <v>2700</v>
      </c>
      <c r="BE352" s="4" t="s">
        <v>91</v>
      </c>
      <c r="BF352" s="4"/>
      <c r="BG352" s="4"/>
      <c r="BH352" s="4" t="s">
        <v>3510</v>
      </c>
      <c r="BI352" s="72"/>
      <c r="BJ352" s="154"/>
      <c r="BK352" s="4"/>
      <c r="BL352" s="105">
        <v>1993131951</v>
      </c>
      <c r="BM352" s="10"/>
      <c r="BN352" s="185"/>
      <c r="BO352" s="183"/>
    </row>
    <row r="353" ht="14.4" s="67" customFormat="1">
      <c r="A353" s="4">
        <v>171193</v>
      </c>
      <c r="B353" s="4"/>
      <c r="C353" s="55"/>
      <c r="D353" s="4" t="s">
        <v>6298</v>
      </c>
      <c r="E353" s="4" t="s">
        <v>66</v>
      </c>
      <c r="F353" s="55">
        <v>1014025697</v>
      </c>
      <c r="G353" s="4" t="s">
        <v>67</v>
      </c>
      <c r="H353" s="4" t="s">
        <v>68</v>
      </c>
      <c r="I353" s="4" t="s">
        <v>69</v>
      </c>
      <c r="J353" s="55" t="s">
        <v>407</v>
      </c>
      <c r="K353" s="4" t="s">
        <v>71</v>
      </c>
      <c r="L353" s="4" t="s">
        <v>72</v>
      </c>
      <c r="M353" s="4" t="s">
        <v>2643</v>
      </c>
      <c r="N353" s="4" t="s">
        <v>74</v>
      </c>
      <c r="O353" s="4" t="s">
        <v>75</v>
      </c>
      <c r="P353" s="4">
        <v>17</v>
      </c>
      <c r="Q353" s="57">
        <v>45224</v>
      </c>
      <c r="R353" s="57">
        <v>45235</v>
      </c>
      <c r="S353" s="113"/>
      <c r="T353" s="113"/>
      <c r="U353" s="4"/>
      <c r="V353" s="4"/>
      <c r="W353" s="105" t="s">
        <v>6379</v>
      </c>
      <c r="X353" s="114">
        <v>1868280746</v>
      </c>
      <c r="Y353" s="55">
        <v>1824530745</v>
      </c>
      <c r="Z353" s="4" t="s">
        <v>6380</v>
      </c>
      <c r="AA353" s="4">
        <v>1824530745</v>
      </c>
      <c r="AB353" s="4" t="s">
        <v>433</v>
      </c>
      <c r="AC353" s="4" t="s">
        <v>133</v>
      </c>
      <c r="AD353" s="113">
        <v>35150</v>
      </c>
      <c r="AE353" s="107">
        <f>((TODAY())-AD353)/365</f>
        <v>28.895890410958906</v>
      </c>
      <c r="AF353" s="4" t="s">
        <v>80</v>
      </c>
      <c r="AG353" s="114">
        <v>1954454391</v>
      </c>
      <c r="AH353" s="4" t="s">
        <v>6381</v>
      </c>
      <c r="AI353" s="55" t="s">
        <v>253</v>
      </c>
      <c r="AJ353" s="55" t="s">
        <v>81</v>
      </c>
      <c r="AK353" s="55">
        <v>2020</v>
      </c>
      <c r="AL353" s="4" t="s">
        <v>6382</v>
      </c>
      <c r="AM353" s="4" t="s">
        <v>6383</v>
      </c>
      <c r="AN353" s="4" t="s">
        <v>6384</v>
      </c>
      <c r="AO353" s="4" t="s">
        <v>6385</v>
      </c>
      <c r="AP353" s="4" t="s">
        <v>6386</v>
      </c>
      <c r="AQ353" s="55" t="s">
        <v>366</v>
      </c>
      <c r="AR353" s="4" t="s">
        <v>89</v>
      </c>
      <c r="AS353" s="4" t="s">
        <v>6380</v>
      </c>
      <c r="AT353" s="72">
        <v>36444</v>
      </c>
      <c r="AU353" s="4" t="s">
        <v>81</v>
      </c>
      <c r="AV353" s="4" t="s">
        <v>81</v>
      </c>
      <c r="AW353" s="4"/>
      <c r="AX353" s="4"/>
      <c r="AY353" s="4"/>
      <c r="AZ353" s="4"/>
      <c r="BA353" s="4" t="s">
        <v>90</v>
      </c>
      <c r="BB353" s="4">
        <v>10800</v>
      </c>
      <c r="BC353" s="4">
        <v>2700</v>
      </c>
      <c r="BD353" s="4">
        <v>0</v>
      </c>
      <c r="BE353" s="4" t="s">
        <v>296</v>
      </c>
      <c r="BF353" s="4"/>
      <c r="BG353" s="4"/>
      <c r="BH353" s="4" t="s">
        <v>3510</v>
      </c>
      <c r="BI353" s="72" t="str">
        <f>VLOOKUP(A353,'ID Block'!A:L,12,0)</f>
        <v>1-Oct -24</v>
      </c>
      <c r="BJ353" s="154" t="str">
        <f>VLOOKUP(A353,'ID Block'!A:M,13,0)</f>
        <v>Pegnancy purpose</v>
      </c>
      <c r="BK353" s="4" t="e">
        <f t="shared" si="7"/>
        <v>#VALUE!</v>
      </c>
      <c r="BL353" s="105"/>
      <c r="BM353" s="10"/>
      <c r="BN353" s="185"/>
      <c r="BO353" s="183"/>
    </row>
    <row r="354" ht="14.4" s="67" customFormat="1">
      <c r="A354" s="4">
        <v>171688</v>
      </c>
      <c r="B354" s="4"/>
      <c r="C354" s="55" t="s">
        <v>2837</v>
      </c>
      <c r="D354" s="4" t="s">
        <v>6387</v>
      </c>
      <c r="E354" s="4" t="s">
        <v>66</v>
      </c>
      <c r="F354" s="55">
        <v>1010970413</v>
      </c>
      <c r="G354" s="4" t="s">
        <v>67</v>
      </c>
      <c r="H354" s="4" t="s">
        <v>68</v>
      </c>
      <c r="I354" s="4" t="s">
        <v>69</v>
      </c>
      <c r="J354" s="55" t="s">
        <v>1725</v>
      </c>
      <c r="K354" s="4" t="s">
        <v>71</v>
      </c>
      <c r="L354" s="4" t="s">
        <v>72</v>
      </c>
      <c r="M354" s="4" t="s">
        <v>115</v>
      </c>
      <c r="N354" s="4" t="s">
        <v>74</v>
      </c>
      <c r="O354" s="4" t="s">
        <v>75</v>
      </c>
      <c r="P354" s="4">
        <v>35</v>
      </c>
      <c r="Q354" s="57">
        <v>45466</v>
      </c>
      <c r="R354" s="57">
        <v>45475</v>
      </c>
      <c r="S354" s="113"/>
      <c r="T354" s="113"/>
      <c r="U354" s="4"/>
      <c r="V354" s="4"/>
      <c r="W354" s="105" t="s">
        <v>6388</v>
      </c>
      <c r="X354" s="114">
        <v>1533949954</v>
      </c>
      <c r="Y354" s="55">
        <v>1915655416</v>
      </c>
      <c r="Z354" s="4" t="s">
        <v>6389</v>
      </c>
      <c r="AA354" s="4">
        <v>1915655416</v>
      </c>
      <c r="AB354" s="4" t="s">
        <v>78</v>
      </c>
      <c r="AC354" s="4" t="s">
        <v>102</v>
      </c>
      <c r="AD354" s="113">
        <v>35433</v>
      </c>
      <c r="AE354" s="107"/>
      <c r="AF354" s="4" t="s">
        <v>80</v>
      </c>
      <c r="AG354" s="114">
        <v>6457908702</v>
      </c>
      <c r="AH354" s="4" t="s">
        <v>81</v>
      </c>
      <c r="AI354" s="55" t="s">
        <v>322</v>
      </c>
      <c r="AJ354" s="55" t="s">
        <v>265</v>
      </c>
      <c r="AK354" s="55" t="s">
        <v>6390</v>
      </c>
      <c r="AL354" s="4" t="s">
        <v>209</v>
      </c>
      <c r="AM354" s="4" t="s">
        <v>6391</v>
      </c>
      <c r="AN354" s="4" t="s">
        <v>1596</v>
      </c>
      <c r="AO354" s="4" t="s">
        <v>6392</v>
      </c>
      <c r="AP354" s="4" t="s">
        <v>6392</v>
      </c>
      <c r="AQ354" s="55" t="s">
        <v>6392</v>
      </c>
      <c r="AR354" s="4" t="s">
        <v>89</v>
      </c>
      <c r="AS354" s="4" t="s">
        <v>6393</v>
      </c>
      <c r="AT354" s="72">
        <v>32519</v>
      </c>
      <c r="AU354" s="4" t="s">
        <v>6394</v>
      </c>
      <c r="AV354" s="4" t="s">
        <v>6395</v>
      </c>
      <c r="AW354" s="4" t="s">
        <v>81</v>
      </c>
      <c r="AX354" s="4" t="s">
        <v>81</v>
      </c>
      <c r="AY354" s="4" t="s">
        <v>81</v>
      </c>
      <c r="AZ354" s="4" t="s">
        <v>81</v>
      </c>
      <c r="BA354" s="4" t="s">
        <v>90</v>
      </c>
      <c r="BB354" s="4">
        <v>10800</v>
      </c>
      <c r="BC354" s="4">
        <v>2700</v>
      </c>
      <c r="BD354" s="4">
        <v>0</v>
      </c>
      <c r="BE354" s="4" t="s">
        <v>91</v>
      </c>
      <c r="BF354" s="4" t="s">
        <v>242</v>
      </c>
      <c r="BG354" s="4" t="s">
        <v>242</v>
      </c>
      <c r="BH354" s="4" t="s">
        <v>3510</v>
      </c>
      <c r="BI354" s="72" t="str">
        <f>VLOOKUP(A354,'ID Block'!A:L,12,0)</f>
        <v>30-Sep -24</v>
      </c>
      <c r="BJ354" s="154" t="str">
        <f>VLOOKUP(A354,'ID Block'!A:M,13,0)</f>
        <v>Better opprtunity</v>
      </c>
      <c r="BK354" s="4" t="e">
        <f t="shared" si="7"/>
        <v>#VALUE!</v>
      </c>
      <c r="BL354" s="105"/>
      <c r="BM354" s="10"/>
      <c r="BN354" s="195"/>
      <c r="BO354" s="183"/>
    </row>
    <row r="355" ht="14.4" s="67" customFormat="1">
      <c r="A355" s="4">
        <v>171897</v>
      </c>
      <c r="B355" s="4">
        <v>171897</v>
      </c>
      <c r="C355" s="55" t="s">
        <v>6396</v>
      </c>
      <c r="D355" s="272" t="s">
        <v>6397</v>
      </c>
      <c r="E355" s="4" t="s">
        <v>114</v>
      </c>
      <c r="F355" s="55">
        <v>1110592664</v>
      </c>
      <c r="G355" s="4" t="s">
        <v>67</v>
      </c>
      <c r="H355" s="4" t="s">
        <v>2465</v>
      </c>
      <c r="I355" s="4" t="s">
        <v>69</v>
      </c>
      <c r="J355" s="55" t="s">
        <v>155</v>
      </c>
      <c r="K355" s="4" t="s">
        <v>1766</v>
      </c>
      <c r="L355" s="4" t="s">
        <v>2466</v>
      </c>
      <c r="M355" s="4" t="s">
        <v>196</v>
      </c>
      <c r="N355" s="4" t="s">
        <v>74</v>
      </c>
      <c r="O355" s="4" t="s">
        <v>75</v>
      </c>
      <c r="P355" s="4">
        <v>43</v>
      </c>
      <c r="Q355" s="57">
        <v>45525</v>
      </c>
      <c r="R355" s="57">
        <v>45541</v>
      </c>
      <c r="S355" s="113" t="s">
        <v>242</v>
      </c>
      <c r="T355" s="113" t="s">
        <v>242</v>
      </c>
      <c r="U355" s="4" t="s">
        <v>242</v>
      </c>
      <c r="V355" s="4" t="s">
        <v>242</v>
      </c>
      <c r="W355" s="105" t="s">
        <v>6398</v>
      </c>
      <c r="X355" s="114">
        <v>1311164674</v>
      </c>
      <c r="Y355" s="55">
        <v>1311164674</v>
      </c>
      <c r="Z355" s="4" t="s">
        <v>6399</v>
      </c>
      <c r="AA355" s="4">
        <v>1752317278</v>
      </c>
      <c r="AB355" s="4" t="s">
        <v>132</v>
      </c>
      <c r="AC355" s="4" t="s">
        <v>119</v>
      </c>
      <c r="AD355" s="113" t="s">
        <v>6400</v>
      </c>
      <c r="AE355" s="107">
        <v>26</v>
      </c>
      <c r="AF355" s="4" t="s">
        <v>80</v>
      </c>
      <c r="AG355" s="114">
        <v>8254378626</v>
      </c>
      <c r="AH355" s="4" t="s">
        <v>242</v>
      </c>
      <c r="AI355" s="55" t="s">
        <v>925</v>
      </c>
      <c r="AJ355" s="55" t="s">
        <v>242</v>
      </c>
      <c r="AK355" s="55">
        <v>2022</v>
      </c>
      <c r="AL355" s="4" t="s">
        <v>209</v>
      </c>
      <c r="AM355" s="4" t="s">
        <v>6401</v>
      </c>
      <c r="AN355" s="4" t="s">
        <v>6399</v>
      </c>
      <c r="AO355" s="4" t="s">
        <v>6402</v>
      </c>
      <c r="AP355" s="4" t="s">
        <v>6403</v>
      </c>
      <c r="AQ355" s="55">
        <v>19</v>
      </c>
      <c r="AR355" s="4" t="s">
        <v>110</v>
      </c>
      <c r="AS355" s="4" t="s">
        <v>81</v>
      </c>
      <c r="AT355" s="72" t="s">
        <v>81</v>
      </c>
      <c r="AU355" s="4" t="s">
        <v>81</v>
      </c>
      <c r="AV355" s="4" t="s">
        <v>81</v>
      </c>
      <c r="AW355" s="4" t="s">
        <v>81</v>
      </c>
      <c r="AX355" s="4" t="s">
        <v>81</v>
      </c>
      <c r="AY355" s="4" t="s">
        <v>81</v>
      </c>
      <c r="AZ355" s="4" t="s">
        <v>81</v>
      </c>
      <c r="BA355" s="4"/>
      <c r="BB355" s="4">
        <v>10800</v>
      </c>
      <c r="BC355" s="4">
        <v>2700</v>
      </c>
      <c r="BD355" s="4">
        <v>1000</v>
      </c>
      <c r="BE355" s="4" t="s">
        <v>166</v>
      </c>
      <c r="BF355" s="4" t="s">
        <v>242</v>
      </c>
      <c r="BG355" s="4" t="s">
        <v>242</v>
      </c>
      <c r="BH355" s="4" t="s">
        <v>3510</v>
      </c>
      <c r="BI355" s="72">
        <f>VLOOKUP(A355,'ID Block'!A:L,12,0)</f>
        <v>45572</v>
      </c>
      <c r="BJ355" s="154" t="str">
        <f>VLOOKUP(A355,'ID Block'!A:M,13,0)</f>
        <v>Insufficient Salary</v>
      </c>
      <c r="BK355" s="4">
        <f t="shared" si="7"/>
        <v>31</v>
      </c>
      <c r="BL355" s="105"/>
      <c r="BM355" s="10"/>
      <c r="BN355" s="195"/>
      <c r="BO355" s="183"/>
    </row>
    <row r="356" ht="14.4" s="67" customFormat="1">
      <c r="A356" s="4">
        <v>171933</v>
      </c>
      <c r="B356" s="4"/>
      <c r="C356" s="55" t="s">
        <v>6404</v>
      </c>
      <c r="D356" s="4" t="s">
        <v>3322</v>
      </c>
      <c r="E356" s="4" t="s">
        <v>114</v>
      </c>
      <c r="F356" s="55">
        <v>173516</v>
      </c>
      <c r="G356" s="4" t="s">
        <v>67</v>
      </c>
      <c r="H356" s="4" t="s">
        <v>2465</v>
      </c>
      <c r="I356" s="4" t="s">
        <v>69</v>
      </c>
      <c r="J356" s="55" t="s">
        <v>155</v>
      </c>
      <c r="K356" s="4" t="s">
        <v>1766</v>
      </c>
      <c r="L356" s="4" t="s">
        <v>2466</v>
      </c>
      <c r="M356" s="4" t="s">
        <v>196</v>
      </c>
      <c r="N356" s="4" t="s">
        <v>74</v>
      </c>
      <c r="O356" s="4" t="s">
        <v>75</v>
      </c>
      <c r="P356" s="4">
        <v>44</v>
      </c>
      <c r="Q356" s="57">
        <v>45532</v>
      </c>
      <c r="R356" s="57">
        <v>45552</v>
      </c>
      <c r="S356" s="113" t="s">
        <v>242</v>
      </c>
      <c r="T356" s="113" t="s">
        <v>242</v>
      </c>
      <c r="U356" s="4" t="s">
        <v>242</v>
      </c>
      <c r="V356" s="4" t="s">
        <v>242</v>
      </c>
      <c r="W356" s="105" t="s">
        <v>6405</v>
      </c>
      <c r="X356" s="114">
        <v>1646152164</v>
      </c>
      <c r="Y356" s="55">
        <v>1646152164</v>
      </c>
      <c r="Z356" s="4" t="s">
        <v>6406</v>
      </c>
      <c r="AA356" s="4">
        <v>1723047074</v>
      </c>
      <c r="AB356" s="4" t="s">
        <v>252</v>
      </c>
      <c r="AC356" s="4" t="s">
        <v>79</v>
      </c>
      <c r="AD356" s="113">
        <v>36078</v>
      </c>
      <c r="AE356" s="107">
        <v>26</v>
      </c>
      <c r="AF356" s="4" t="s">
        <v>80</v>
      </c>
      <c r="AG356" s="114">
        <v>1954656771</v>
      </c>
      <c r="AH356" s="4" t="s">
        <v>242</v>
      </c>
      <c r="AI356" s="55" t="s">
        <v>925</v>
      </c>
      <c r="AJ356" s="55" t="s">
        <v>242</v>
      </c>
      <c r="AK356" s="55">
        <v>2021</v>
      </c>
      <c r="AL356" s="4" t="s">
        <v>209</v>
      </c>
      <c r="AM356" s="4" t="s">
        <v>6407</v>
      </c>
      <c r="AN356" s="4" t="s">
        <v>6408</v>
      </c>
      <c r="AO356" s="4" t="s">
        <v>2687</v>
      </c>
      <c r="AP356" s="4" t="s">
        <v>6409</v>
      </c>
      <c r="AQ356" s="55" t="s">
        <v>2689</v>
      </c>
      <c r="AR356" s="4" t="s">
        <v>110</v>
      </c>
      <c r="AS356" s="4" t="s">
        <v>81</v>
      </c>
      <c r="AT356" s="72" t="s">
        <v>81</v>
      </c>
      <c r="AU356" s="4" t="s">
        <v>81</v>
      </c>
      <c r="AV356" s="4" t="s">
        <v>81</v>
      </c>
      <c r="AW356" s="4" t="s">
        <v>81</v>
      </c>
      <c r="AX356" s="4" t="s">
        <v>81</v>
      </c>
      <c r="AY356" s="4" t="s">
        <v>81</v>
      </c>
      <c r="AZ356" s="4" t="s">
        <v>81</v>
      </c>
      <c r="BA356" s="4" t="s">
        <v>90</v>
      </c>
      <c r="BB356" s="4">
        <v>10800</v>
      </c>
      <c r="BC356" s="4">
        <v>2700</v>
      </c>
      <c r="BD356" s="4">
        <v>1000</v>
      </c>
      <c r="BE356" s="4" t="s">
        <v>166</v>
      </c>
      <c r="BF356" s="4" t="s">
        <v>242</v>
      </c>
      <c r="BG356" s="4" t="s">
        <v>242</v>
      </c>
      <c r="BH356" s="4" t="s">
        <v>3510</v>
      </c>
      <c r="BI356" s="72">
        <f>VLOOKUP(A356,'ID Block'!A:L,12,0)</f>
        <v>45563</v>
      </c>
      <c r="BJ356" s="154" t="str">
        <f>VLOOKUP(A356,'ID Block'!A:M,13,0)</f>
        <v>Better Opportunity</v>
      </c>
      <c r="BK356" s="4">
        <f t="shared" si="7"/>
        <v>11</v>
      </c>
      <c r="BL356" s="105">
        <v>1646152164</v>
      </c>
      <c r="BM356" s="10"/>
      <c r="BN356" s="195"/>
      <c r="BO356" s="183"/>
    </row>
    <row r="357" ht="14.4" s="67" customFormat="1">
      <c r="A357" s="4">
        <v>171954</v>
      </c>
      <c r="B357" s="4"/>
      <c r="C357" s="55" t="s">
        <v>2793</v>
      </c>
      <c r="D357" s="4" t="s">
        <v>6410</v>
      </c>
      <c r="E357" s="4" t="s">
        <v>66</v>
      </c>
      <c r="F357" s="55"/>
      <c r="G357" s="4" t="s">
        <v>67</v>
      </c>
      <c r="H357" s="4" t="s">
        <v>2465</v>
      </c>
      <c r="I357" s="4" t="s">
        <v>69</v>
      </c>
      <c r="J357" s="55" t="s">
        <v>2495</v>
      </c>
      <c r="K357" s="4" t="s">
        <v>1766</v>
      </c>
      <c r="L357" s="4" t="s">
        <v>2466</v>
      </c>
      <c r="M357" s="4" t="s">
        <v>458</v>
      </c>
      <c r="N357" s="4" t="s">
        <v>74</v>
      </c>
      <c r="O357" s="4" t="s">
        <v>75</v>
      </c>
      <c r="P357" s="4">
        <v>45</v>
      </c>
      <c r="Q357" s="57">
        <v>45541</v>
      </c>
      <c r="R357" s="57">
        <v>45551</v>
      </c>
      <c r="S357" s="113"/>
      <c r="T357" s="113"/>
      <c r="U357" s="4"/>
      <c r="V357" s="4"/>
      <c r="W357" s="105"/>
      <c r="X357" s="114"/>
      <c r="Y357" s="55"/>
      <c r="Z357" s="4"/>
      <c r="AA357" s="4"/>
      <c r="AB357" s="4"/>
      <c r="AC357" s="4"/>
      <c r="AD357" s="113"/>
      <c r="AE357" s="107"/>
      <c r="AF357" s="4" t="s">
        <v>80</v>
      </c>
      <c r="AG357" s="114"/>
      <c r="AH357" s="4"/>
      <c r="AI357" s="55"/>
      <c r="AJ357" s="55"/>
      <c r="AK357" s="55"/>
      <c r="AL357" s="4"/>
      <c r="AM357" s="4"/>
      <c r="AN357" s="4"/>
      <c r="AO357" s="4"/>
      <c r="AP357" s="4"/>
      <c r="AQ357" s="55"/>
      <c r="AR357" s="4"/>
      <c r="AS357" s="4"/>
      <c r="AT357" s="72"/>
      <c r="AU357" s="4"/>
      <c r="AV357" s="4"/>
      <c r="AW357" s="4"/>
      <c r="AX357" s="4"/>
      <c r="AY357" s="4"/>
      <c r="AZ357" s="4"/>
      <c r="BA357" s="4" t="s">
        <v>90</v>
      </c>
      <c r="BB357" s="4">
        <v>10800</v>
      </c>
      <c r="BC357" s="4">
        <v>2700</v>
      </c>
      <c r="BD357" s="4">
        <v>0</v>
      </c>
      <c r="BE357" s="4" t="s">
        <v>91</v>
      </c>
      <c r="BF357" s="4"/>
      <c r="BG357" s="4"/>
      <c r="BH357" s="4" t="s">
        <v>3510</v>
      </c>
      <c r="BI357" s="307">
        <v>45562</v>
      </c>
      <c r="BJ357" s="154"/>
      <c r="BK357" s="4">
        <f t="shared" si="7"/>
        <v>11</v>
      </c>
      <c r="BL357" s="105"/>
      <c r="BM357" s="10"/>
      <c r="BN357" s="195"/>
      <c r="BO357" s="183"/>
    </row>
    <row r="358" ht="14.4">
      <c r="A358" s="21">
        <v>171845</v>
      </c>
      <c r="B358" s="21"/>
      <c r="C358" s="99" t="s">
        <v>81</v>
      </c>
      <c r="D358" s="21" t="s">
        <v>2438</v>
      </c>
      <c r="E358" s="21" t="s">
        <v>66</v>
      </c>
      <c r="F358" s="99">
        <v>11175974021</v>
      </c>
      <c r="G358" s="21" t="s">
        <v>67</v>
      </c>
      <c r="H358" s="21" t="s">
        <v>2465</v>
      </c>
      <c r="I358" s="21" t="s">
        <v>2494</v>
      </c>
      <c r="J358" s="99" t="s">
        <v>2520</v>
      </c>
      <c r="K358" s="21" t="s">
        <v>71</v>
      </c>
      <c r="L358" s="21" t="s">
        <v>72</v>
      </c>
      <c r="M358" s="21" t="s">
        <v>287</v>
      </c>
      <c r="N358" s="21" t="s">
        <v>74</v>
      </c>
      <c r="O358" s="21" t="s">
        <v>75</v>
      </c>
      <c r="P358" s="21">
        <v>42</v>
      </c>
      <c r="Q358" s="181">
        <v>45518</v>
      </c>
      <c r="R358" s="181">
        <v>45525</v>
      </c>
      <c r="S358" s="134"/>
      <c r="T358" s="134"/>
      <c r="U358" s="21"/>
      <c r="V358" s="21"/>
      <c r="W358" s="182" t="s">
        <v>6411</v>
      </c>
      <c r="X358" s="135">
        <v>1614009688</v>
      </c>
      <c r="Y358" s="99">
        <v>1569161306</v>
      </c>
      <c r="Z358" s="21" t="s">
        <v>6412</v>
      </c>
      <c r="AA358" s="21">
        <v>1569161306</v>
      </c>
      <c r="AB358" s="21" t="s">
        <v>78</v>
      </c>
      <c r="AC358" s="21" t="s">
        <v>119</v>
      </c>
      <c r="AD358" s="134">
        <v>35811</v>
      </c>
      <c r="AE358" s="110"/>
      <c r="AF358" s="21" t="s">
        <v>80</v>
      </c>
      <c r="AG358" s="135">
        <v>5551511537</v>
      </c>
      <c r="AH358" s="21" t="s">
        <v>81</v>
      </c>
      <c r="AI358" s="99" t="s">
        <v>217</v>
      </c>
      <c r="AJ358" s="99" t="s">
        <v>81</v>
      </c>
      <c r="AK358" s="99"/>
      <c r="AL358" s="21" t="s">
        <v>6413</v>
      </c>
      <c r="AM358" s="21" t="s">
        <v>6414</v>
      </c>
      <c r="AN358" s="21" t="s">
        <v>1032</v>
      </c>
      <c r="AO358" s="21" t="s">
        <v>6415</v>
      </c>
      <c r="AP358" s="21" t="s">
        <v>6416</v>
      </c>
      <c r="AQ358" s="99" t="s">
        <v>2444</v>
      </c>
      <c r="AR358" s="21" t="s">
        <v>89</v>
      </c>
      <c r="AS358" s="21" t="s">
        <v>6417</v>
      </c>
      <c r="AT358" s="118" t="s">
        <v>81</v>
      </c>
      <c r="AU358" s="21" t="s">
        <v>81</v>
      </c>
      <c r="AV358" s="21" t="s">
        <v>81</v>
      </c>
      <c r="AW358" s="21" t="s">
        <v>81</v>
      </c>
      <c r="AX358" s="21" t="s">
        <v>81</v>
      </c>
      <c r="AY358" s="21" t="s">
        <v>81</v>
      </c>
      <c r="AZ358" s="21" t="s">
        <v>81</v>
      </c>
      <c r="BA358" s="21" t="s">
        <v>90</v>
      </c>
      <c r="BB358" s="21" t="s">
        <v>81</v>
      </c>
      <c r="BC358" s="21">
        <v>10800</v>
      </c>
      <c r="BD358" s="21">
        <v>2700</v>
      </c>
      <c r="BE358" s="21" t="s">
        <v>91</v>
      </c>
      <c r="BF358" s="21"/>
      <c r="BG358" s="21"/>
      <c r="BH358" s="4" t="s">
        <v>3510</v>
      </c>
      <c r="BI358" s="72">
        <f>VLOOKUP(A358,'ID Block'!A:L,12,0)</f>
        <v>45568</v>
      </c>
      <c r="BJ358" s="154" t="str">
        <f>VLOOKUP(A358,'ID Block'!A:M,13,0)</f>
        <v>Sickness</v>
      </c>
      <c r="BK358" s="4">
        <f t="shared" si="7"/>
        <v>43</v>
      </c>
      <c r="BL358" s="182"/>
      <c r="BM358" s="20"/>
      <c r="BN358" s="196"/>
      <c r="BO358" s="186"/>
    </row>
    <row r="359" ht="16.05" customHeight="1" s="67" customFormat="1">
      <c r="A359" s="4">
        <v>171536</v>
      </c>
      <c r="B359" s="4"/>
      <c r="C359" s="55" t="s">
        <v>6418</v>
      </c>
      <c r="D359" s="4" t="s">
        <v>6419</v>
      </c>
      <c r="E359" s="4" t="s">
        <v>114</v>
      </c>
      <c r="F359" s="55" t="s">
        <v>6420</v>
      </c>
      <c r="G359" s="4" t="s">
        <v>67</v>
      </c>
      <c r="H359" s="4" t="s">
        <v>68</v>
      </c>
      <c r="I359" s="4" t="s">
        <v>69</v>
      </c>
      <c r="J359" s="55" t="s">
        <v>155</v>
      </c>
      <c r="K359" s="4" t="s">
        <v>71</v>
      </c>
      <c r="L359" s="4" t="s">
        <v>72</v>
      </c>
      <c r="M359" s="4" t="s">
        <v>196</v>
      </c>
      <c r="N359" s="4" t="s">
        <v>74</v>
      </c>
      <c r="O359" s="4" t="s">
        <v>75</v>
      </c>
      <c r="P359" s="4">
        <v>30</v>
      </c>
      <c r="Q359" s="57">
        <v>45442</v>
      </c>
      <c r="R359" s="57">
        <v>45456</v>
      </c>
      <c r="S359" s="113"/>
      <c r="T359" s="113"/>
      <c r="U359" s="4"/>
      <c r="V359" s="4"/>
      <c r="W359" s="105" t="s">
        <v>6421</v>
      </c>
      <c r="X359" s="114">
        <v>1897703142</v>
      </c>
      <c r="Y359" s="55">
        <v>1618511217</v>
      </c>
      <c r="Z359" s="4" t="s">
        <v>6422</v>
      </c>
      <c r="AA359" s="4">
        <v>1618511217</v>
      </c>
      <c r="AB359" s="4" t="s">
        <v>252</v>
      </c>
      <c r="AC359" s="4" t="s">
        <v>102</v>
      </c>
      <c r="AD359" s="113">
        <v>35887</v>
      </c>
      <c r="AE359" s="107"/>
      <c r="AF359" s="4" t="s">
        <v>80</v>
      </c>
      <c r="AG359" s="114" t="s">
        <v>6423</v>
      </c>
      <c r="AH359" s="4" t="s">
        <v>6423</v>
      </c>
      <c r="AI359" s="55" t="s">
        <v>6424</v>
      </c>
      <c r="AJ359" s="55" t="s">
        <v>925</v>
      </c>
      <c r="AK359" s="55">
        <v>2023</v>
      </c>
      <c r="AL359" s="4" t="s">
        <v>6425</v>
      </c>
      <c r="AM359" s="4" t="s">
        <v>6426</v>
      </c>
      <c r="AN359" s="4" t="s">
        <v>6427</v>
      </c>
      <c r="AO359" s="4" t="s">
        <v>6428</v>
      </c>
      <c r="AP359" s="4" t="s">
        <v>6429</v>
      </c>
      <c r="AQ359" s="55" t="s">
        <v>1188</v>
      </c>
      <c r="AR359" s="4" t="s">
        <v>5910</v>
      </c>
      <c r="AS359" s="4" t="s">
        <v>81</v>
      </c>
      <c r="AT359" s="72" t="s">
        <v>81</v>
      </c>
      <c r="AU359" s="4" t="s">
        <v>81</v>
      </c>
      <c r="AV359" s="4" t="s">
        <v>81</v>
      </c>
      <c r="AW359" s="4" t="s">
        <v>81</v>
      </c>
      <c r="AX359" s="4" t="s">
        <v>81</v>
      </c>
      <c r="AY359" s="4" t="s">
        <v>81</v>
      </c>
      <c r="AZ359" s="4" t="s">
        <v>81</v>
      </c>
      <c r="BA359" s="4" t="s">
        <v>90</v>
      </c>
      <c r="BB359" s="4">
        <v>10800</v>
      </c>
      <c r="BC359" s="4">
        <v>2700</v>
      </c>
      <c r="BD359" s="4">
        <v>1000</v>
      </c>
      <c r="BE359" s="4" t="s">
        <v>166</v>
      </c>
      <c r="BF359" s="4"/>
      <c r="BG359" s="4"/>
      <c r="BH359" s="4" t="s">
        <v>3510</v>
      </c>
      <c r="BI359" s="72">
        <f>VLOOKUP(A359,'ID Block'!A:L,12,0)</f>
        <v>45565</v>
      </c>
      <c r="BJ359" s="154" t="str">
        <f>VLOOKUP(A359,'ID Block'!A:M,13,0)</f>
        <v>Better Opportunity</v>
      </c>
      <c r="BK359" s="4">
        <f t="shared" si="7"/>
        <v>109</v>
      </c>
      <c r="BL359" s="105"/>
      <c r="BM359" s="10"/>
      <c r="BN359" s="195"/>
      <c r="BO359" s="183"/>
    </row>
    <row r="360" ht="16.05" customHeight="1" s="67" customFormat="1">
      <c r="A360" s="4">
        <v>171442</v>
      </c>
      <c r="B360" s="4"/>
      <c r="C360" s="55" t="s">
        <v>4311</v>
      </c>
      <c r="D360" s="4" t="s">
        <v>6430</v>
      </c>
      <c r="E360" s="4" t="s">
        <v>114</v>
      </c>
      <c r="F360" s="55">
        <v>438576</v>
      </c>
      <c r="G360" s="4" t="s">
        <v>67</v>
      </c>
      <c r="H360" s="4" t="s">
        <v>68</v>
      </c>
      <c r="I360" s="4" t="s">
        <v>69</v>
      </c>
      <c r="J360" s="55" t="s">
        <v>576</v>
      </c>
      <c r="K360" s="4" t="s">
        <v>71</v>
      </c>
      <c r="L360" s="4" t="s">
        <v>72</v>
      </c>
      <c r="M360" s="4" t="s">
        <v>115</v>
      </c>
      <c r="N360" s="4" t="s">
        <v>74</v>
      </c>
      <c r="O360" s="4" t="s">
        <v>75</v>
      </c>
      <c r="P360" s="4">
        <v>27</v>
      </c>
      <c r="Q360" s="57">
        <v>45408</v>
      </c>
      <c r="R360" s="57">
        <v>45415</v>
      </c>
      <c r="S360" s="113"/>
      <c r="T360" s="113"/>
      <c r="U360" s="4"/>
      <c r="V360" s="4"/>
      <c r="W360" s="105" t="s">
        <v>6431</v>
      </c>
      <c r="X360" s="114">
        <v>1687379407</v>
      </c>
      <c r="Y360" s="55">
        <v>1784680792</v>
      </c>
      <c r="Z360" s="4" t="s">
        <v>6432</v>
      </c>
      <c r="AA360" s="4">
        <v>1745290278</v>
      </c>
      <c r="AB360" s="4" t="s">
        <v>132</v>
      </c>
      <c r="AC360" s="4" t="s">
        <v>133</v>
      </c>
      <c r="AD360" s="113">
        <v>34430</v>
      </c>
      <c r="AE360" s="107">
        <f>((TODAY())-AD360)/365</f>
        <v>30.86849315068493</v>
      </c>
      <c r="AF360" s="4" t="s">
        <v>80</v>
      </c>
      <c r="AG360" s="114">
        <v>9559265401</v>
      </c>
      <c r="AH360" s="4" t="s">
        <v>81</v>
      </c>
      <c r="AI360" s="55" t="s">
        <v>6433</v>
      </c>
      <c r="AJ360" s="55" t="s">
        <v>81</v>
      </c>
      <c r="AK360" s="55">
        <v>2018</v>
      </c>
      <c r="AL360" s="4" t="s">
        <v>6433</v>
      </c>
      <c r="AM360" s="4" t="s">
        <v>6432</v>
      </c>
      <c r="AN360" s="4" t="s">
        <v>6434</v>
      </c>
      <c r="AO360" s="4" t="s">
        <v>6435</v>
      </c>
      <c r="AP360" s="4" t="s">
        <v>6436</v>
      </c>
      <c r="AQ360" s="55" t="s">
        <v>666</v>
      </c>
      <c r="AR360" s="4" t="s">
        <v>89</v>
      </c>
      <c r="AS360" s="4" t="s">
        <v>3919</v>
      </c>
      <c r="AT360" s="72">
        <v>37618</v>
      </c>
      <c r="AU360" s="4" t="s">
        <v>6437</v>
      </c>
      <c r="AV360" s="4">
        <v>45365</v>
      </c>
      <c r="AW360" s="4" t="s">
        <v>81</v>
      </c>
      <c r="AX360" s="4" t="s">
        <v>81</v>
      </c>
      <c r="AY360" s="4" t="s">
        <v>81</v>
      </c>
      <c r="AZ360" s="4" t="s">
        <v>81</v>
      </c>
      <c r="BA360" s="4" t="s">
        <v>90</v>
      </c>
      <c r="BB360" s="4">
        <v>10800</v>
      </c>
      <c r="BC360" s="4">
        <v>2700</v>
      </c>
      <c r="BD360" s="4">
        <v>0</v>
      </c>
      <c r="BE360" s="4" t="s">
        <v>91</v>
      </c>
      <c r="BF360" s="4"/>
      <c r="BG360" s="4"/>
      <c r="BH360" s="4" t="s">
        <v>3510</v>
      </c>
      <c r="BI360" s="72">
        <f>VLOOKUP(A360,'ID Block'!A:L,12,0)</f>
        <v>45553</v>
      </c>
      <c r="BJ360" s="154" t="str">
        <f>VLOOKUP(A360,'ID Block'!A:M,13,0)</f>
        <v>Better Opportunity </v>
      </c>
      <c r="BK360" s="4">
        <f t="shared" si="7"/>
        <v>138</v>
      </c>
      <c r="BL360" s="105"/>
      <c r="BM360" s="10"/>
      <c r="BN360" s="195"/>
      <c r="BO360" s="183"/>
    </row>
    <row r="361" ht="14.4" s="67" customFormat="1">
      <c r="A361" s="4">
        <v>171518</v>
      </c>
      <c r="B361" s="4"/>
      <c r="C361" s="55" t="s">
        <v>6438</v>
      </c>
      <c r="D361" s="4" t="s">
        <v>6439</v>
      </c>
      <c r="E361" s="4" t="s">
        <v>114</v>
      </c>
      <c r="F361" s="55">
        <v>269492</v>
      </c>
      <c r="G361" s="4" t="s">
        <v>67</v>
      </c>
      <c r="H361" s="4" t="s">
        <v>68</v>
      </c>
      <c r="I361" s="4" t="s">
        <v>69</v>
      </c>
      <c r="J361" s="55" t="s">
        <v>155</v>
      </c>
      <c r="K361" s="4" t="s">
        <v>71</v>
      </c>
      <c r="L361" s="4" t="s">
        <v>72</v>
      </c>
      <c r="M361" s="4" t="s">
        <v>196</v>
      </c>
      <c r="N361" s="4" t="s">
        <v>74</v>
      </c>
      <c r="O361" s="4" t="s">
        <v>75</v>
      </c>
      <c r="P361" s="4">
        <v>30</v>
      </c>
      <c r="Q361" s="57">
        <v>45442</v>
      </c>
      <c r="R361" s="57">
        <v>45458</v>
      </c>
      <c r="S361" s="113"/>
      <c r="T361" s="113"/>
      <c r="U361" s="4"/>
      <c r="V361" s="4"/>
      <c r="W361" s="105" t="s">
        <v>6440</v>
      </c>
      <c r="X361" s="114">
        <v>1952807424</v>
      </c>
      <c r="Y361" s="55">
        <v>1568422123</v>
      </c>
      <c r="Z361" s="4" t="s">
        <v>6441</v>
      </c>
      <c r="AA361" s="4">
        <v>1926879142</v>
      </c>
      <c r="AB361" s="4" t="s">
        <v>101</v>
      </c>
      <c r="AC361" s="4" t="s">
        <v>133</v>
      </c>
      <c r="AD361" s="113">
        <v>35796</v>
      </c>
      <c r="AE361" s="107"/>
      <c r="AF361" s="4" t="s">
        <v>80</v>
      </c>
      <c r="AG361" s="114">
        <v>9153906079</v>
      </c>
      <c r="AH361" s="4" t="s">
        <v>81</v>
      </c>
      <c r="AI361" s="55" t="s">
        <v>347</v>
      </c>
      <c r="AJ361" s="55" t="s">
        <v>81</v>
      </c>
      <c r="AK361" s="55">
        <v>2019</v>
      </c>
      <c r="AL361" s="4" t="s">
        <v>6442</v>
      </c>
      <c r="AM361" s="4" t="s">
        <v>6441</v>
      </c>
      <c r="AN361" s="4" t="s">
        <v>6443</v>
      </c>
      <c r="AO361" s="4" t="s">
        <v>6444</v>
      </c>
      <c r="AP361" s="4" t="s">
        <v>6445</v>
      </c>
      <c r="AQ361" s="55" t="s">
        <v>203</v>
      </c>
      <c r="AR361" s="4" t="s">
        <v>260</v>
      </c>
      <c r="AS361" s="4" t="s">
        <v>81</v>
      </c>
      <c r="AT361" s="72" t="s">
        <v>81</v>
      </c>
      <c r="AU361" s="4" t="s">
        <v>81</v>
      </c>
      <c r="AV361" s="4" t="s">
        <v>81</v>
      </c>
      <c r="AW361" s="4" t="s">
        <v>81</v>
      </c>
      <c r="AX361" s="4" t="s">
        <v>81</v>
      </c>
      <c r="AY361" s="4" t="s">
        <v>81</v>
      </c>
      <c r="AZ361" s="4" t="s">
        <v>81</v>
      </c>
      <c r="BA361" s="4" t="s">
        <v>90</v>
      </c>
      <c r="BB361" s="4">
        <v>10800</v>
      </c>
      <c r="BC361" s="4">
        <v>2700</v>
      </c>
      <c r="BD361" s="4">
        <v>1000</v>
      </c>
      <c r="BE361" s="4" t="s">
        <v>166</v>
      </c>
      <c r="BF361" s="4"/>
      <c r="BG361" s="4"/>
      <c r="BH361" s="4" t="s">
        <v>3510</v>
      </c>
      <c r="BI361" s="72">
        <f>VLOOKUP(A361,'ID Block'!A:L,12,0)</f>
        <v>45572</v>
      </c>
      <c r="BJ361" s="154" t="str">
        <f>VLOOKUP(A361,'ID Block'!A:M,13,0)</f>
        <v>Better Opportunity</v>
      </c>
      <c r="BK361" s="4">
        <f t="shared" si="7"/>
        <v>114</v>
      </c>
      <c r="BL361" s="105"/>
      <c r="BM361" s="10"/>
      <c r="BN361" s="195"/>
      <c r="BO361" s="183"/>
    </row>
    <row r="362" ht="14.4" s="67" customFormat="1">
      <c r="A362" s="4">
        <v>171287</v>
      </c>
      <c r="B362" s="4"/>
      <c r="C362" s="55" t="s">
        <v>6446</v>
      </c>
      <c r="D362" s="4" t="s">
        <v>6447</v>
      </c>
      <c r="E362" s="4" t="s">
        <v>66</v>
      </c>
      <c r="F362" s="55">
        <v>2.81</v>
      </c>
      <c r="G362" s="4" t="s">
        <v>67</v>
      </c>
      <c r="H362" s="4" t="s">
        <v>68</v>
      </c>
      <c r="I362" s="4" t="s">
        <v>69</v>
      </c>
      <c r="J362" s="55" t="s">
        <v>341</v>
      </c>
      <c r="K362" s="4" t="s">
        <v>71</v>
      </c>
      <c r="L362" s="4" t="s">
        <v>72</v>
      </c>
      <c r="M362" s="4" t="s">
        <v>115</v>
      </c>
      <c r="N362" s="4" t="s">
        <v>74</v>
      </c>
      <c r="O362" s="4" t="s">
        <v>75</v>
      </c>
      <c r="P362" s="4">
        <v>20</v>
      </c>
      <c r="Q362" s="57">
        <v>45256</v>
      </c>
      <c r="R362" s="57">
        <v>45261</v>
      </c>
      <c r="S362" s="113"/>
      <c r="T362" s="113"/>
      <c r="U362" s="4"/>
      <c r="V362" s="4"/>
      <c r="W362" s="105" t="s">
        <v>6448</v>
      </c>
      <c r="X362" s="114">
        <v>1798011750</v>
      </c>
      <c r="Y362" s="55">
        <v>1798011750</v>
      </c>
      <c r="Z362" s="4" t="s">
        <v>6449</v>
      </c>
      <c r="AA362" s="4" t="s">
        <v>6450</v>
      </c>
      <c r="AB362" s="4" t="s">
        <v>132</v>
      </c>
      <c r="AC362" s="4" t="s">
        <v>133</v>
      </c>
      <c r="AD362" s="113">
        <v>35432</v>
      </c>
      <c r="AE362" s="107">
        <f>((TODAY())-AD362)/365</f>
        <v>28.123287671232877</v>
      </c>
      <c r="AF362" s="4" t="s">
        <v>80</v>
      </c>
      <c r="AG362" s="114">
        <v>6001839072</v>
      </c>
      <c r="AH362" s="4" t="s">
        <v>81</v>
      </c>
      <c r="AI362" s="55" t="s">
        <v>217</v>
      </c>
      <c r="AJ362" s="55" t="s">
        <v>683</v>
      </c>
      <c r="AK362" s="55">
        <v>2023</v>
      </c>
      <c r="AL362" s="4" t="s">
        <v>6451</v>
      </c>
      <c r="AM362" s="4" t="s">
        <v>6452</v>
      </c>
      <c r="AN362" s="4" t="s">
        <v>6449</v>
      </c>
      <c r="AO362" s="4" t="s">
        <v>6453</v>
      </c>
      <c r="AP362" s="4" t="s">
        <v>6454</v>
      </c>
      <c r="AQ362" s="55" t="s">
        <v>6455</v>
      </c>
      <c r="AR362" s="4" t="s">
        <v>110</v>
      </c>
      <c r="AS362" s="4" t="s">
        <v>790</v>
      </c>
      <c r="AT362" s="72" t="s">
        <v>790</v>
      </c>
      <c r="AU362" s="4" t="s">
        <v>81</v>
      </c>
      <c r="AV362" s="4" t="s">
        <v>81</v>
      </c>
      <c r="AW362" s="4" t="s">
        <v>81</v>
      </c>
      <c r="AX362" s="4" t="s">
        <v>81</v>
      </c>
      <c r="AY362" s="4"/>
      <c r="AZ362" s="4"/>
      <c r="BA362" s="4" t="s">
        <v>90</v>
      </c>
      <c r="BB362" s="4">
        <v>10800</v>
      </c>
      <c r="BC362" s="4">
        <v>2700</v>
      </c>
      <c r="BD362" s="4">
        <v>0</v>
      </c>
      <c r="BE362" s="4" t="s">
        <v>91</v>
      </c>
      <c r="BF362" s="4"/>
      <c r="BG362" s="4"/>
      <c r="BH362" s="4" t="s">
        <v>3510</v>
      </c>
      <c r="BI362" s="72">
        <f>VLOOKUP(A362,'ID Block'!A:L,12,0)</f>
        <v>45568</v>
      </c>
      <c r="BJ362" s="154" t="str">
        <f>VLOOKUP(A362,'ID Block'!A:M,13,0)</f>
        <v>Better Opportunity</v>
      </c>
      <c r="BK362" s="4">
        <f t="shared" si="7"/>
        <v>307</v>
      </c>
      <c r="BL362" s="105"/>
      <c r="BM362" s="10"/>
      <c r="BN362" s="195"/>
      <c r="BO362" s="183"/>
    </row>
    <row r="363" ht="14.4" s="67" customFormat="1">
      <c r="A363" s="4">
        <v>171870</v>
      </c>
      <c r="B363" s="4"/>
      <c r="C363" s="55" t="s">
        <v>2829</v>
      </c>
      <c r="D363" s="4" t="s">
        <v>5480</v>
      </c>
      <c r="E363" s="4" t="s">
        <v>66</v>
      </c>
      <c r="F363" s="55"/>
      <c r="G363" s="4" t="s">
        <v>67</v>
      </c>
      <c r="H363" s="4" t="s">
        <v>68</v>
      </c>
      <c r="I363" s="4" t="s">
        <v>2494</v>
      </c>
      <c r="J363" s="55" t="s">
        <v>2495</v>
      </c>
      <c r="K363" s="4" t="s">
        <v>71</v>
      </c>
      <c r="L363" s="4" t="s">
        <v>72</v>
      </c>
      <c r="M363" s="4" t="s">
        <v>369</v>
      </c>
      <c r="N363" s="4" t="s">
        <v>74</v>
      </c>
      <c r="O363" s="4" t="s">
        <v>75</v>
      </c>
      <c r="P363" s="4">
        <v>43</v>
      </c>
      <c r="Q363" s="57">
        <v>45525</v>
      </c>
      <c r="R363" s="57">
        <v>45533</v>
      </c>
      <c r="S363" s="113"/>
      <c r="T363" s="113"/>
      <c r="U363" s="4"/>
      <c r="V363" s="4"/>
      <c r="W363" s="105"/>
      <c r="X363" s="114">
        <v>1828822309</v>
      </c>
      <c r="Y363" s="55"/>
      <c r="Z363" s="4"/>
      <c r="AA363" s="4"/>
      <c r="AB363" s="4"/>
      <c r="AC363" s="4"/>
      <c r="AD363" s="113">
        <v>33970</v>
      </c>
      <c r="AE363" s="107"/>
      <c r="AF363" s="4" t="s">
        <v>80</v>
      </c>
      <c r="AG363" s="114">
        <v>6879447073</v>
      </c>
      <c r="AH363" s="4"/>
      <c r="AI363" s="55"/>
      <c r="AJ363" s="55"/>
      <c r="AK363" s="55"/>
      <c r="AL363" s="4"/>
      <c r="AM363" s="4" t="s">
        <v>6331</v>
      </c>
      <c r="AN363" s="4" t="s">
        <v>6456</v>
      </c>
      <c r="AO363" s="4"/>
      <c r="AP363" s="4"/>
      <c r="AQ363" s="55"/>
      <c r="AR363" s="4"/>
      <c r="AS363" s="4"/>
      <c r="AT363" s="72"/>
      <c r="AU363" s="4"/>
      <c r="AV363" s="4"/>
      <c r="AW363" s="4"/>
      <c r="AX363" s="4"/>
      <c r="AY363" s="4"/>
      <c r="AZ363" s="4"/>
      <c r="BA363" s="4" t="s">
        <v>90</v>
      </c>
      <c r="BB363" s="4">
        <v>10800</v>
      </c>
      <c r="BC363" s="4">
        <v>2700</v>
      </c>
      <c r="BD363" s="4">
        <v>0</v>
      </c>
      <c r="BE363" s="4" t="s">
        <v>91</v>
      </c>
      <c r="BF363" s="4"/>
      <c r="BG363" s="4"/>
      <c r="BH363" s="4" t="s">
        <v>3510</v>
      </c>
      <c r="BI363" s="72">
        <f>VLOOKUP(A363,'ID Block'!A:L,12,0)</f>
        <v>45563</v>
      </c>
      <c r="BJ363" s="154" t="str">
        <f>VLOOKUP(A363,'ID Block'!A:M,13,0)</f>
        <v>Graduate</v>
      </c>
      <c r="BK363" s="4">
        <f t="shared" si="7"/>
        <v>30</v>
      </c>
      <c r="BL363" s="105"/>
      <c r="BM363" s="12"/>
      <c r="BN363" s="12"/>
      <c r="BO363" s="9"/>
    </row>
    <row r="364" ht="14.4" s="67" customFormat="1">
      <c r="A364" s="4">
        <v>171971</v>
      </c>
      <c r="B364" s="4">
        <v>171971</v>
      </c>
      <c r="C364" s="55" t="s">
        <v>6457</v>
      </c>
      <c r="D364" s="4" t="s">
        <v>6458</v>
      </c>
      <c r="E364" s="4" t="s">
        <v>114</v>
      </c>
      <c r="F364" s="55">
        <v>1210755890</v>
      </c>
      <c r="G364" s="4" t="s">
        <v>67</v>
      </c>
      <c r="H364" s="4" t="s">
        <v>2465</v>
      </c>
      <c r="I364" s="4" t="s">
        <v>69</v>
      </c>
      <c r="J364" s="55" t="s">
        <v>155</v>
      </c>
      <c r="K364" s="4" t="s">
        <v>1766</v>
      </c>
      <c r="L364" s="4" t="s">
        <v>2466</v>
      </c>
      <c r="M364" s="4" t="s">
        <v>171</v>
      </c>
      <c r="N364" s="4" t="s">
        <v>74</v>
      </c>
      <c r="O364" s="4" t="s">
        <v>75</v>
      </c>
      <c r="P364" s="4">
        <v>45</v>
      </c>
      <c r="Q364" s="57">
        <v>45540</v>
      </c>
      <c r="R364" s="57">
        <v>45559</v>
      </c>
      <c r="S364" s="113" t="s">
        <v>242</v>
      </c>
      <c r="T364" s="113" t="s">
        <v>242</v>
      </c>
      <c r="U364" s="4" t="s">
        <v>242</v>
      </c>
      <c r="V364" s="4" t="s">
        <v>242</v>
      </c>
      <c r="W364" s="105" t="s">
        <v>6459</v>
      </c>
      <c r="X364" s="114">
        <v>1628603981</v>
      </c>
      <c r="Y364" s="55">
        <v>1856919594</v>
      </c>
      <c r="Z364" s="4" t="s">
        <v>6460</v>
      </c>
      <c r="AA364" s="4">
        <v>1711597071</v>
      </c>
      <c r="AB364" s="4" t="s">
        <v>252</v>
      </c>
      <c r="AC364" s="4" t="s">
        <v>133</v>
      </c>
      <c r="AD364" s="113">
        <v>36050</v>
      </c>
      <c r="AE364" s="107">
        <v>27</v>
      </c>
      <c r="AF364" s="4" t="s">
        <v>80</v>
      </c>
      <c r="AG364" s="114">
        <v>1027327202</v>
      </c>
      <c r="AH364" s="4" t="s">
        <v>242</v>
      </c>
      <c r="AI364" s="55" t="s">
        <v>925</v>
      </c>
      <c r="AJ364" s="55" t="s">
        <v>242</v>
      </c>
      <c r="AK364" s="55">
        <v>2021</v>
      </c>
      <c r="AL364" s="4" t="s">
        <v>83</v>
      </c>
      <c r="AM364" s="4" t="s">
        <v>6461</v>
      </c>
      <c r="AN364" s="4" t="s">
        <v>6462</v>
      </c>
      <c r="AO364" s="4" t="s">
        <v>6463</v>
      </c>
      <c r="AP364" s="4" t="s">
        <v>6464</v>
      </c>
      <c r="AQ364" s="55" t="s">
        <v>285</v>
      </c>
      <c r="AR364" s="4" t="s">
        <v>110</v>
      </c>
      <c r="AS364" s="4" t="s">
        <v>81</v>
      </c>
      <c r="AT364" s="72" t="s">
        <v>81</v>
      </c>
      <c r="AU364" s="4" t="s">
        <v>81</v>
      </c>
      <c r="AV364" s="4" t="s">
        <v>81</v>
      </c>
      <c r="AW364" s="4" t="s">
        <v>81</v>
      </c>
      <c r="AX364" s="4" t="s">
        <v>81</v>
      </c>
      <c r="AY364" s="4" t="s">
        <v>81</v>
      </c>
      <c r="AZ364" s="4" t="s">
        <v>81</v>
      </c>
      <c r="BA364" s="4" t="s">
        <v>90</v>
      </c>
      <c r="BB364" s="4">
        <v>10800</v>
      </c>
      <c r="BC364" s="4">
        <v>2700</v>
      </c>
      <c r="BD364" s="4">
        <v>1000</v>
      </c>
      <c r="BE364" s="4" t="s">
        <v>166</v>
      </c>
      <c r="BF364" s="4" t="s">
        <v>242</v>
      </c>
      <c r="BG364" s="4" t="s">
        <v>242</v>
      </c>
      <c r="BH364" s="4" t="s">
        <v>3510</v>
      </c>
      <c r="BI364" s="72">
        <f>VLOOKUP(A364,'ID Block'!A:L,12,0)</f>
        <v>45573</v>
      </c>
      <c r="BJ364" s="154" t="str">
        <f>VLOOKUP(A364,'ID Block'!A:M,13,0)</f>
        <v>Better Opportunity</v>
      </c>
      <c r="BK364" s="4">
        <f t="shared" si="7"/>
        <v>14</v>
      </c>
      <c r="BL364" s="105"/>
      <c r="BM364" s="9"/>
      <c r="BN364" s="9"/>
      <c r="BO364" s="9"/>
    </row>
    <row r="365" ht="14.4" s="67" customFormat="1">
      <c r="A365" s="4">
        <v>171443</v>
      </c>
      <c r="B365" s="4"/>
      <c r="C365" s="55" t="s">
        <v>2846</v>
      </c>
      <c r="D365" s="4" t="s">
        <v>6465</v>
      </c>
      <c r="E365" s="4" t="s">
        <v>114</v>
      </c>
      <c r="F365" s="55">
        <v>831767</v>
      </c>
      <c r="G365" s="4" t="s">
        <v>67</v>
      </c>
      <c r="H365" s="4" t="s">
        <v>68</v>
      </c>
      <c r="I365" s="4" t="s">
        <v>69</v>
      </c>
      <c r="J365" s="55" t="s">
        <v>307</v>
      </c>
      <c r="K365" s="4" t="s">
        <v>71</v>
      </c>
      <c r="L365" s="4" t="s">
        <v>72</v>
      </c>
      <c r="M365" s="4" t="s">
        <v>98</v>
      </c>
      <c r="N365" s="4" t="s">
        <v>74</v>
      </c>
      <c r="O365" s="4" t="s">
        <v>75</v>
      </c>
      <c r="P365" s="4">
        <v>27</v>
      </c>
      <c r="Q365" s="57">
        <v>45408</v>
      </c>
      <c r="R365" s="57">
        <v>45415</v>
      </c>
      <c r="S365" s="113"/>
      <c r="T365" s="113"/>
      <c r="U365" s="4"/>
      <c r="V365" s="4"/>
      <c r="W365" s="105" t="s">
        <v>6466</v>
      </c>
      <c r="X365" s="114">
        <v>1681899974</v>
      </c>
      <c r="Y365" s="55">
        <v>1875213203</v>
      </c>
      <c r="Z365" s="4" t="s">
        <v>6467</v>
      </c>
      <c r="AA365" s="4">
        <v>1712697837</v>
      </c>
      <c r="AB365" s="4" t="s">
        <v>132</v>
      </c>
      <c r="AC365" s="4" t="s">
        <v>133</v>
      </c>
      <c r="AD365" s="113">
        <v>34778</v>
      </c>
      <c r="AE365" s="107">
        <f>((TODAY())-AD365)/365</f>
        <v>29.915068493150685</v>
      </c>
      <c r="AF365" s="4" t="s">
        <v>80</v>
      </c>
      <c r="AG365" s="114">
        <v>2850643541</v>
      </c>
      <c r="AH365" s="4" t="s">
        <v>81</v>
      </c>
      <c r="AI365" s="55" t="s">
        <v>6468</v>
      </c>
      <c r="AJ365" s="55" t="s">
        <v>81</v>
      </c>
      <c r="AK365" s="55">
        <v>2014</v>
      </c>
      <c r="AL365" s="4" t="s">
        <v>6469</v>
      </c>
      <c r="AM365" s="4" t="s">
        <v>6470</v>
      </c>
      <c r="AN365" s="4" t="s">
        <v>6467</v>
      </c>
      <c r="AO365" s="4" t="s">
        <v>6471</v>
      </c>
      <c r="AP365" s="4" t="s">
        <v>6472</v>
      </c>
      <c r="AQ365" s="55" t="s">
        <v>499</v>
      </c>
      <c r="AR365" s="4" t="s">
        <v>110</v>
      </c>
      <c r="AS365" s="4" t="s">
        <v>81</v>
      </c>
      <c r="AT365" s="72" t="s">
        <v>81</v>
      </c>
      <c r="AU365" s="4" t="s">
        <v>81</v>
      </c>
      <c r="AV365" s="4" t="s">
        <v>81</v>
      </c>
      <c r="AW365" s="4" t="s">
        <v>81</v>
      </c>
      <c r="AX365" s="4" t="s">
        <v>81</v>
      </c>
      <c r="AY365" s="4" t="s">
        <v>81</v>
      </c>
      <c r="AZ365" s="4" t="s">
        <v>81</v>
      </c>
      <c r="BA365" s="4" t="s">
        <v>90</v>
      </c>
      <c r="BB365" s="4">
        <v>10800</v>
      </c>
      <c r="BC365" s="4">
        <v>2700</v>
      </c>
      <c r="BD365" s="4">
        <v>0</v>
      </c>
      <c r="BE365" s="4" t="s">
        <v>91</v>
      </c>
      <c r="BF365" s="4"/>
      <c r="BG365" s="4"/>
      <c r="BH365" s="4" t="s">
        <v>3510</v>
      </c>
      <c r="BI365" s="72">
        <f>VLOOKUP(A365,'ID Block'!A:L,12,0)</f>
        <v>45574</v>
      </c>
      <c r="BJ365" s="154" t="str">
        <f>VLOOKUP(A365,'ID Block'!A:M,13,0)</f>
        <v>Resign</v>
      </c>
      <c r="BK365" s="4">
        <f t="shared" si="7"/>
        <v>159</v>
      </c>
      <c r="BL365" s="105"/>
      <c r="BM365" s="9"/>
      <c r="BN365" s="9"/>
      <c r="BO365" s="9"/>
    </row>
    <row r="366" ht="14.4" s="67" customFormat="1">
      <c r="A366" s="4">
        <v>171602</v>
      </c>
      <c r="B366" s="4"/>
      <c r="C366" s="55" t="s">
        <v>6473</v>
      </c>
      <c r="D366" s="4" t="s">
        <v>6474</v>
      </c>
      <c r="E366" s="4" t="s">
        <v>114</v>
      </c>
      <c r="F366" s="55" t="s">
        <v>6475</v>
      </c>
      <c r="G366" s="4" t="s">
        <v>67</v>
      </c>
      <c r="H366" s="4" t="s">
        <v>68</v>
      </c>
      <c r="I366" s="4" t="s">
        <v>69</v>
      </c>
      <c r="J366" s="55" t="s">
        <v>1285</v>
      </c>
      <c r="K366" s="4" t="s">
        <v>71</v>
      </c>
      <c r="L366" s="4" t="s">
        <v>72</v>
      </c>
      <c r="M366" s="4" t="s">
        <v>115</v>
      </c>
      <c r="N366" s="4" t="s">
        <v>74</v>
      </c>
      <c r="O366" s="4" t="s">
        <v>75</v>
      </c>
      <c r="P366" s="4">
        <v>32</v>
      </c>
      <c r="Q366" s="57">
        <v>45449</v>
      </c>
      <c r="R366" s="57">
        <v>45458</v>
      </c>
      <c r="S366" s="113"/>
      <c r="T366" s="113"/>
      <c r="U366" s="4"/>
      <c r="V366" s="4"/>
      <c r="W366" s="105" t="s">
        <v>6476</v>
      </c>
      <c r="X366" s="114">
        <v>1766392260</v>
      </c>
      <c r="Y366" s="55">
        <v>1332413157</v>
      </c>
      <c r="Z366" s="4" t="s">
        <v>6477</v>
      </c>
      <c r="AA366" s="4">
        <v>1332413157</v>
      </c>
      <c r="AB366" s="4" t="s">
        <v>186</v>
      </c>
      <c r="AC366" s="4" t="s">
        <v>119</v>
      </c>
      <c r="AD366" s="113">
        <v>32508</v>
      </c>
      <c r="AE366" s="107"/>
      <c r="AF366" s="4" t="s">
        <v>80</v>
      </c>
      <c r="AG366" s="114">
        <v>6438083138</v>
      </c>
      <c r="AH366" s="4" t="s">
        <v>81</v>
      </c>
      <c r="AI366" s="55" t="s">
        <v>265</v>
      </c>
      <c r="AJ366" s="55" t="s">
        <v>81</v>
      </c>
      <c r="AK366" s="55">
        <v>2014</v>
      </c>
      <c r="AL366" s="4" t="s">
        <v>161</v>
      </c>
      <c r="AM366" s="4" t="s">
        <v>6478</v>
      </c>
      <c r="AN366" s="4" t="s">
        <v>220</v>
      </c>
      <c r="AO366" s="4" t="s">
        <v>6479</v>
      </c>
      <c r="AP366" s="4" t="s">
        <v>6480</v>
      </c>
      <c r="AQ366" s="55" t="s">
        <v>2689</v>
      </c>
      <c r="AR366" s="4" t="s">
        <v>89</v>
      </c>
      <c r="AS366" s="4" t="s">
        <v>6481</v>
      </c>
      <c r="AT366" s="72">
        <v>33407</v>
      </c>
      <c r="AU366" s="4" t="s">
        <v>81</v>
      </c>
      <c r="AV366" s="4" t="s">
        <v>81</v>
      </c>
      <c r="AW366" s="4" t="s">
        <v>81</v>
      </c>
      <c r="AX366" s="4" t="s">
        <v>81</v>
      </c>
      <c r="AY366" s="4" t="s">
        <v>81</v>
      </c>
      <c r="AZ366" s="4" t="s">
        <v>81</v>
      </c>
      <c r="BA366" s="4" t="s">
        <v>90</v>
      </c>
      <c r="BB366" s="4">
        <v>10800</v>
      </c>
      <c r="BC366" s="4">
        <v>2700</v>
      </c>
      <c r="BD366" s="4">
        <v>0</v>
      </c>
      <c r="BE366" s="4" t="s">
        <v>91</v>
      </c>
      <c r="BF366" s="4"/>
      <c r="BG366" s="4"/>
      <c r="BH366" s="4" t="s">
        <v>3510</v>
      </c>
      <c r="BI366" s="72">
        <f>VLOOKUP(A366,'ID Block'!A:L,12,0)</f>
        <v>45580</v>
      </c>
      <c r="BJ366" s="154" t="str">
        <f>VLOOKUP(A366,'ID Block'!A:M,13,0)</f>
        <v>Mother's sickness issue</v>
      </c>
      <c r="BK366" s="4">
        <f t="shared" si="7"/>
        <v>122</v>
      </c>
      <c r="BL366" s="105"/>
      <c r="BM366" s="9"/>
      <c r="BN366" s="9"/>
      <c r="BO366" s="9"/>
    </row>
    <row r="367" ht="14.4" s="67" customFormat="1">
      <c r="A367" s="4">
        <v>171951</v>
      </c>
      <c r="B367" s="4"/>
      <c r="C367" s="55" t="s">
        <v>3012</v>
      </c>
      <c r="D367" s="4" t="s">
        <v>6482</v>
      </c>
      <c r="E367" s="4" t="s">
        <v>66</v>
      </c>
      <c r="F367" s="55"/>
      <c r="G367" s="4" t="s">
        <v>67</v>
      </c>
      <c r="H367" s="4" t="s">
        <v>2465</v>
      </c>
      <c r="I367" s="4" t="s">
        <v>69</v>
      </c>
      <c r="J367" s="55" t="s">
        <v>2495</v>
      </c>
      <c r="K367" s="4" t="s">
        <v>1766</v>
      </c>
      <c r="L367" s="4" t="s">
        <v>2466</v>
      </c>
      <c r="M367" s="4" t="s">
        <v>369</v>
      </c>
      <c r="N367" s="4" t="s">
        <v>74</v>
      </c>
      <c r="O367" s="4" t="s">
        <v>75</v>
      </c>
      <c r="P367" s="4">
        <v>45</v>
      </c>
      <c r="Q367" s="57">
        <v>45541</v>
      </c>
      <c r="R367" s="57">
        <v>45551</v>
      </c>
      <c r="S367" s="113"/>
      <c r="T367" s="113"/>
      <c r="U367" s="4"/>
      <c r="V367" s="4"/>
      <c r="W367" s="105"/>
      <c r="X367" s="114"/>
      <c r="Y367" s="55"/>
      <c r="Z367" s="4"/>
      <c r="AA367" s="4"/>
      <c r="AB367" s="4"/>
      <c r="AC367" s="4"/>
      <c r="AD367" s="113"/>
      <c r="AE367" s="107"/>
      <c r="AF367" s="4" t="s">
        <v>80</v>
      </c>
      <c r="AG367" s="114"/>
      <c r="AH367" s="4"/>
      <c r="AI367" s="55"/>
      <c r="AJ367" s="55"/>
      <c r="AK367" s="55"/>
      <c r="AL367" s="4"/>
      <c r="AM367" s="4"/>
      <c r="AN367" s="4"/>
      <c r="AO367" s="4"/>
      <c r="AP367" s="4"/>
      <c r="AQ367" s="55"/>
      <c r="AR367" s="4"/>
      <c r="AS367" s="4"/>
      <c r="AT367" s="72"/>
      <c r="AU367" s="4"/>
      <c r="AV367" s="4"/>
      <c r="AW367" s="4"/>
      <c r="AX367" s="4"/>
      <c r="AY367" s="4"/>
      <c r="AZ367" s="4"/>
      <c r="BA367" s="4" t="s">
        <v>90</v>
      </c>
      <c r="BB367" s="4">
        <v>10800</v>
      </c>
      <c r="BC367" s="4">
        <v>2700</v>
      </c>
      <c r="BD367" s="4">
        <v>0</v>
      </c>
      <c r="BE367" s="4" t="s">
        <v>91</v>
      </c>
      <c r="BF367" s="4"/>
      <c r="BG367" s="4"/>
      <c r="BH367" s="4" t="s">
        <v>3510</v>
      </c>
      <c r="BI367" s="72">
        <f>VLOOKUP(A367,'ID Block'!A:L,12,0)</f>
        <v>45573</v>
      </c>
      <c r="BJ367" s="154" t="str">
        <f>VLOOKUP(A367,'ID Block'!A:M,13,0)</f>
        <v>Better opprtunity</v>
      </c>
      <c r="BK367" s="4">
        <f t="shared" si="7"/>
        <v>22</v>
      </c>
      <c r="BL367" s="105"/>
      <c r="BM367" s="9"/>
      <c r="BN367" s="9"/>
      <c r="BO367" s="9"/>
    </row>
    <row r="368" ht="14.4" s="67" customFormat="1">
      <c r="A368" s="4">
        <v>171420</v>
      </c>
      <c r="B368" s="4"/>
      <c r="C368" s="55" t="s">
        <v>4663</v>
      </c>
      <c r="D368" s="4" t="s">
        <v>6483</v>
      </c>
      <c r="E368" s="4" t="s">
        <v>66</v>
      </c>
      <c r="F368" s="55">
        <v>1010741996</v>
      </c>
      <c r="G368" s="4" t="s">
        <v>67</v>
      </c>
      <c r="H368" s="4" t="s">
        <v>68</v>
      </c>
      <c r="I368" s="4" t="s">
        <v>69</v>
      </c>
      <c r="J368" s="55" t="s">
        <v>341</v>
      </c>
      <c r="K368" s="4" t="s">
        <v>71</v>
      </c>
      <c r="L368" s="4" t="s">
        <v>72</v>
      </c>
      <c r="M368" s="4" t="str">
        <f>VLOOKUP(A368,[1]Sheet1!$C:$G,5,0)</f>
        <v>Md Mehedi Hasan</v>
      </c>
      <c r="N368" s="4" t="s">
        <v>74</v>
      </c>
      <c r="O368" s="4" t="s">
        <v>75</v>
      </c>
      <c r="P368" s="4">
        <v>26</v>
      </c>
      <c r="Q368" s="57">
        <v>45397</v>
      </c>
      <c r="R368" s="57">
        <v>45405</v>
      </c>
      <c r="S368" s="113"/>
      <c r="T368" s="113"/>
      <c r="U368" s="4"/>
      <c r="V368" s="4"/>
      <c r="W368" s="105" t="s">
        <v>6484</v>
      </c>
      <c r="X368" s="114">
        <v>1991697998</v>
      </c>
      <c r="Y368" s="55">
        <v>1991697998</v>
      </c>
      <c r="Z368" s="4" t="s">
        <v>3558</v>
      </c>
      <c r="AA368" s="4">
        <v>1635402723</v>
      </c>
      <c r="AB368" s="4" t="s">
        <v>132</v>
      </c>
      <c r="AC368" s="4" t="s">
        <v>119</v>
      </c>
      <c r="AD368" s="113">
        <v>35677</v>
      </c>
      <c r="AE368" s="107">
        <f ref="AE368:AE399" t="shared" si="8" ca="1">((TODAY())-AD368)/365</f>
        <v>27.45205479452055</v>
      </c>
      <c r="AF368" s="4" t="s">
        <v>80</v>
      </c>
      <c r="AG368" s="114">
        <v>3302849579</v>
      </c>
      <c r="AH368" s="4" t="s">
        <v>81</v>
      </c>
      <c r="AI368" s="55" t="s">
        <v>847</v>
      </c>
      <c r="AJ368" s="55" t="s">
        <v>81</v>
      </c>
      <c r="AK368" s="55">
        <v>2023</v>
      </c>
      <c r="AL368" s="4" t="s">
        <v>6485</v>
      </c>
      <c r="AM368" s="4" t="s">
        <v>6486</v>
      </c>
      <c r="AN368" s="4" t="s">
        <v>3587</v>
      </c>
      <c r="AO368" s="4" t="s">
        <v>6487</v>
      </c>
      <c r="AP368" s="4" t="s">
        <v>6488</v>
      </c>
      <c r="AQ368" s="55" t="s">
        <v>6489</v>
      </c>
      <c r="AR368" s="4" t="s">
        <v>89</v>
      </c>
      <c r="AS368" s="4" t="s">
        <v>6490</v>
      </c>
      <c r="AT368" s="72">
        <v>35065</v>
      </c>
      <c r="AU368" s="4" t="s">
        <v>6491</v>
      </c>
      <c r="AV368" s="4" t="s">
        <v>81</v>
      </c>
      <c r="AW368" s="4" t="s">
        <v>81</v>
      </c>
      <c r="AX368" s="4" t="s">
        <v>81</v>
      </c>
      <c r="AY368" s="4" t="s">
        <v>81</v>
      </c>
      <c r="AZ368" s="4" t="s">
        <v>81</v>
      </c>
      <c r="BA368" s="4" t="s">
        <v>90</v>
      </c>
      <c r="BB368" s="4">
        <v>10800</v>
      </c>
      <c r="BC368" s="4">
        <v>2700</v>
      </c>
      <c r="BD368" s="4">
        <v>0</v>
      </c>
      <c r="BE368" s="4" t="s">
        <v>91</v>
      </c>
      <c r="BF368" s="4"/>
      <c r="BG368" s="4"/>
      <c r="BH368" s="4" t="s">
        <v>3510</v>
      </c>
      <c r="BI368" s="72">
        <f>VLOOKUP(A368,'ID Block'!A:L,12,0)</f>
        <v>45581</v>
      </c>
      <c r="BJ368" s="154" t="str">
        <f>VLOOKUP(A368,'ID Block'!A:M,13,0)</f>
        <v>Resign</v>
      </c>
      <c r="BK368" s="4">
        <f t="shared" si="7"/>
        <v>176</v>
      </c>
      <c r="BL368" s="105"/>
      <c r="BM368" s="9"/>
      <c r="BN368" s="9"/>
      <c r="BO368" s="9"/>
    </row>
    <row r="369" ht="14.4" s="67" customFormat="1">
      <c r="A369" s="4">
        <v>171421</v>
      </c>
      <c r="B369" s="4"/>
      <c r="C369" s="55" t="s">
        <v>911</v>
      </c>
      <c r="D369" s="4" t="s">
        <v>912</v>
      </c>
      <c r="E369" s="4" t="s">
        <v>66</v>
      </c>
      <c r="F369" s="55">
        <v>981559</v>
      </c>
      <c r="G369" s="4" t="s">
        <v>67</v>
      </c>
      <c r="H369" s="4" t="s">
        <v>68</v>
      </c>
      <c r="I369" s="4" t="s">
        <v>69</v>
      </c>
      <c r="J369" s="55" t="s">
        <v>307</v>
      </c>
      <c r="K369" s="4" t="s">
        <v>71</v>
      </c>
      <c r="L369" s="4" t="s">
        <v>72</v>
      </c>
      <c r="M369" s="4" t="str">
        <f>VLOOKUP(A369,[1]Sheet1!$C:$G,5,0)</f>
        <v>Sabrina Sultana Mou</v>
      </c>
      <c r="N369" s="4" t="s">
        <v>74</v>
      </c>
      <c r="O369" s="4" t="s">
        <v>75</v>
      </c>
      <c r="P369" s="4">
        <v>26</v>
      </c>
      <c r="Q369" s="57">
        <v>45397</v>
      </c>
      <c r="R369" s="57">
        <v>45413</v>
      </c>
      <c r="S369" s="113"/>
      <c r="T369" s="113"/>
      <c r="U369" s="4"/>
      <c r="V369" s="4"/>
      <c r="W369" s="105" t="s">
        <v>913</v>
      </c>
      <c r="X369" s="114">
        <v>1629541617</v>
      </c>
      <c r="Y369" s="55">
        <v>1751764858</v>
      </c>
      <c r="Z369" s="4" t="s">
        <v>914</v>
      </c>
      <c r="AA369" s="4">
        <v>1751764868</v>
      </c>
      <c r="AB369" s="4" t="s">
        <v>101</v>
      </c>
      <c r="AC369" s="4" t="s">
        <v>79</v>
      </c>
      <c r="AD369" s="113">
        <v>35626</v>
      </c>
      <c r="AE369" s="107">
        <f t="shared" si="8" ca="1"/>
        <v>27.59178082191781</v>
      </c>
      <c r="AF369" s="4" t="s">
        <v>80</v>
      </c>
      <c r="AG369" s="114">
        <v>8258716367</v>
      </c>
      <c r="AH369" s="4" t="s">
        <v>81</v>
      </c>
      <c r="AI369" s="55" t="s">
        <v>915</v>
      </c>
      <c r="AJ369" s="55" t="s">
        <v>81</v>
      </c>
      <c r="AK369" s="55">
        <v>2022</v>
      </c>
      <c r="AL369" s="4" t="s">
        <v>916</v>
      </c>
      <c r="AM369" s="4" t="s">
        <v>914</v>
      </c>
      <c r="AN369" s="4" t="s">
        <v>917</v>
      </c>
      <c r="AO369" s="4" t="s">
        <v>918</v>
      </c>
      <c r="AP369" s="4" t="s">
        <v>919</v>
      </c>
      <c r="AQ369" s="55" t="s">
        <v>920</v>
      </c>
      <c r="AR369" s="4" t="s">
        <v>110</v>
      </c>
      <c r="AS369" s="4" t="s">
        <v>81</v>
      </c>
      <c r="AT369" s="72" t="s">
        <v>81</v>
      </c>
      <c r="AU369" s="4" t="s">
        <v>81</v>
      </c>
      <c r="AV369" s="4" t="s">
        <v>81</v>
      </c>
      <c r="AW369" s="4" t="s">
        <v>81</v>
      </c>
      <c r="AX369" s="4" t="s">
        <v>81</v>
      </c>
      <c r="AY369" s="4" t="s">
        <v>81</v>
      </c>
      <c r="AZ369" s="4" t="s">
        <v>81</v>
      </c>
      <c r="BA369" s="4" t="s">
        <v>90</v>
      </c>
      <c r="BB369" s="4">
        <v>10800</v>
      </c>
      <c r="BC369" s="4">
        <v>2700</v>
      </c>
      <c r="BD369" s="4">
        <v>0</v>
      </c>
      <c r="BE369" s="4" t="s">
        <v>91</v>
      </c>
      <c r="BF369" s="4"/>
      <c r="BG369" s="4"/>
      <c r="BH369" s="4" t="s">
        <v>3510</v>
      </c>
      <c r="BI369" s="72"/>
      <c r="BJ369" s="154"/>
      <c r="BK369" s="4"/>
      <c r="BL369" s="105"/>
      <c r="BM369" s="9"/>
      <c r="BN369" s="9"/>
      <c r="BO369" s="9"/>
    </row>
    <row r="370" ht="14.4" s="67" customFormat="1">
      <c r="A370" s="4">
        <v>171424</v>
      </c>
      <c r="B370" s="4"/>
      <c r="C370" s="55" t="s">
        <v>921</v>
      </c>
      <c r="D370" s="4" t="s">
        <v>922</v>
      </c>
      <c r="E370" s="4" t="s">
        <v>114</v>
      </c>
      <c r="F370" s="55">
        <v>1210566990</v>
      </c>
      <c r="G370" s="4" t="s">
        <v>67</v>
      </c>
      <c r="H370" s="4" t="s">
        <v>68</v>
      </c>
      <c r="I370" s="4" t="s">
        <v>69</v>
      </c>
      <c r="J370" s="55" t="s">
        <v>155</v>
      </c>
      <c r="K370" s="4" t="s">
        <v>71</v>
      </c>
      <c r="L370" s="4" t="s">
        <v>72</v>
      </c>
      <c r="M370" s="4" t="str">
        <f>VLOOKUP(A370,[1]Sheet1!$C:$G,5,0)</f>
        <v>Rakib Ahsan</v>
      </c>
      <c r="N370" s="4" t="s">
        <v>74</v>
      </c>
      <c r="O370" s="4" t="s">
        <v>75</v>
      </c>
      <c r="P370" s="4">
        <v>26</v>
      </c>
      <c r="Q370" s="57">
        <v>45397</v>
      </c>
      <c r="R370" s="57">
        <v>45423</v>
      </c>
      <c r="S370" s="113"/>
      <c r="T370" s="113"/>
      <c r="U370" s="4"/>
      <c r="V370" s="4"/>
      <c r="W370" s="105" t="s">
        <v>923</v>
      </c>
      <c r="X370" s="114">
        <v>1904071323</v>
      </c>
      <c r="Y370" s="55">
        <v>1969766616</v>
      </c>
      <c r="Z370" s="4" t="s">
        <v>924</v>
      </c>
      <c r="AA370" s="4">
        <v>1969766616</v>
      </c>
      <c r="AB370" s="4" t="s">
        <v>101</v>
      </c>
      <c r="AC370" s="4" t="s">
        <v>119</v>
      </c>
      <c r="AD370" s="113">
        <v>36227</v>
      </c>
      <c r="AE370" s="107">
        <f t="shared" si="8" ca="1"/>
        <v>25.945205479452056</v>
      </c>
      <c r="AF370" s="4" t="s">
        <v>80</v>
      </c>
      <c r="AG370" s="114">
        <v>1505034981</v>
      </c>
      <c r="AH370" s="4" t="s">
        <v>81</v>
      </c>
      <c r="AI370" s="55" t="s">
        <v>925</v>
      </c>
      <c r="AJ370" s="55" t="s">
        <v>81</v>
      </c>
      <c r="AK370" s="55">
        <v>2021</v>
      </c>
      <c r="AL370" s="4" t="s">
        <v>209</v>
      </c>
      <c r="AM370" s="4" t="s">
        <v>924</v>
      </c>
      <c r="AN370" s="4" t="s">
        <v>926</v>
      </c>
      <c r="AO370" s="4" t="s">
        <v>927</v>
      </c>
      <c r="AP370" s="4" t="s">
        <v>928</v>
      </c>
      <c r="AQ370" s="55" t="s">
        <v>929</v>
      </c>
      <c r="AR370" s="4" t="s">
        <v>110</v>
      </c>
      <c r="AS370" s="4" t="s">
        <v>81</v>
      </c>
      <c r="AT370" s="72" t="s">
        <v>242</v>
      </c>
      <c r="AU370" s="4" t="s">
        <v>81</v>
      </c>
      <c r="AV370" s="4" t="s">
        <v>81</v>
      </c>
      <c r="AW370" s="4" t="s">
        <v>81</v>
      </c>
      <c r="AX370" s="4" t="s">
        <v>81</v>
      </c>
      <c r="AY370" s="4" t="s">
        <v>81</v>
      </c>
      <c r="AZ370" s="4" t="s">
        <v>81</v>
      </c>
      <c r="BA370" s="4" t="s">
        <v>90</v>
      </c>
      <c r="BB370" s="4">
        <v>10800</v>
      </c>
      <c r="BC370" s="4">
        <v>2700</v>
      </c>
      <c r="BD370" s="4">
        <v>1000</v>
      </c>
      <c r="BE370" s="4" t="s">
        <v>166</v>
      </c>
      <c r="BF370" s="4"/>
      <c r="BG370" s="4"/>
      <c r="BH370" s="4" t="s">
        <v>3510</v>
      </c>
      <c r="BI370" s="72"/>
      <c r="BJ370" s="154"/>
      <c r="BK370" s="4"/>
      <c r="BL370" s="105"/>
      <c r="BM370" s="9"/>
      <c r="BN370" s="9"/>
      <c r="BO370" s="9"/>
    </row>
    <row r="371" ht="14.4" s="67" customFormat="1">
      <c r="A371" s="4">
        <v>171425</v>
      </c>
      <c r="B371" s="4"/>
      <c r="C371" s="55" t="s">
        <v>930</v>
      </c>
      <c r="D371" s="4" t="s">
        <v>931</v>
      </c>
      <c r="E371" s="4" t="s">
        <v>114</v>
      </c>
      <c r="F371" s="55">
        <v>882925</v>
      </c>
      <c r="G371" s="4" t="s">
        <v>67</v>
      </c>
      <c r="H371" s="4" t="s">
        <v>68</v>
      </c>
      <c r="I371" s="4" t="s">
        <v>69</v>
      </c>
      <c r="J371" s="55" t="s">
        <v>155</v>
      </c>
      <c r="K371" s="4" t="s">
        <v>71</v>
      </c>
      <c r="L371" s="4" t="s">
        <v>72</v>
      </c>
      <c r="M371" s="4" t="str">
        <f>VLOOKUP(A371,[1]Sheet1!$C:$G,5,0)</f>
        <v>Md. Tanjir Ahmed</v>
      </c>
      <c r="N371" s="4" t="s">
        <v>74</v>
      </c>
      <c r="O371" s="4" t="s">
        <v>75</v>
      </c>
      <c r="P371" s="4">
        <v>26</v>
      </c>
      <c r="Q371" s="57">
        <v>45397</v>
      </c>
      <c r="R371" s="57">
        <v>45423</v>
      </c>
      <c r="S371" s="113"/>
      <c r="T371" s="113"/>
      <c r="U371" s="4"/>
      <c r="V371" s="4"/>
      <c r="W371" s="105" t="s">
        <v>932</v>
      </c>
      <c r="X371" s="114">
        <v>1850400615</v>
      </c>
      <c r="Y371" s="55">
        <v>1850400615</v>
      </c>
      <c r="Z371" s="4" t="s">
        <v>933</v>
      </c>
      <c r="AA371" s="4">
        <v>1711576563</v>
      </c>
      <c r="AB371" s="4" t="s">
        <v>101</v>
      </c>
      <c r="AC371" s="4" t="s">
        <v>133</v>
      </c>
      <c r="AD371" s="113">
        <v>32935</v>
      </c>
      <c r="AE371" s="107">
        <f t="shared" si="8" ca="1"/>
        <v>34.964383561643835</v>
      </c>
      <c r="AF371" s="4" t="s">
        <v>80</v>
      </c>
      <c r="AG371" s="114">
        <v>3286958016</v>
      </c>
      <c r="AH371" s="4" t="s">
        <v>81</v>
      </c>
      <c r="AI371" s="55" t="s">
        <v>265</v>
      </c>
      <c r="AJ371" s="55" t="s">
        <v>81</v>
      </c>
      <c r="AK371" s="55">
        <v>2015</v>
      </c>
      <c r="AL371" s="4" t="s">
        <v>209</v>
      </c>
      <c r="AM371" s="4" t="s">
        <v>933</v>
      </c>
      <c r="AN371" s="4" t="s">
        <v>934</v>
      </c>
      <c r="AO371" s="4" t="s">
        <v>935</v>
      </c>
      <c r="AP371" s="4" t="s">
        <v>936</v>
      </c>
      <c r="AQ371" s="55" t="s">
        <v>842</v>
      </c>
      <c r="AR371" s="4" t="s">
        <v>89</v>
      </c>
      <c r="AS371" s="4" t="s">
        <v>937</v>
      </c>
      <c r="AT371" s="72">
        <v>44959</v>
      </c>
      <c r="AU371" s="4" t="s">
        <v>81</v>
      </c>
      <c r="AV371" s="4" t="s">
        <v>81</v>
      </c>
      <c r="AW371" s="4" t="s">
        <v>81</v>
      </c>
      <c r="AX371" s="4" t="s">
        <v>81</v>
      </c>
      <c r="AY371" s="4" t="s">
        <v>81</v>
      </c>
      <c r="AZ371" s="4" t="s">
        <v>81</v>
      </c>
      <c r="BA371" s="4" t="s">
        <v>90</v>
      </c>
      <c r="BB371" s="4">
        <v>10800</v>
      </c>
      <c r="BC371" s="4">
        <v>2700</v>
      </c>
      <c r="BD371" s="4">
        <v>1000</v>
      </c>
      <c r="BE371" s="4" t="s">
        <v>166</v>
      </c>
      <c r="BF371" s="4"/>
      <c r="BG371" s="4"/>
      <c r="BH371" s="4" t="s">
        <v>3510</v>
      </c>
      <c r="BI371" s="72"/>
      <c r="BJ371" s="154"/>
      <c r="BK371" s="4"/>
      <c r="BL371" s="105"/>
      <c r="BM371" s="9"/>
      <c r="BN371" s="9"/>
      <c r="BO371" s="9"/>
    </row>
    <row r="372" ht="14.4" s="67" customFormat="1">
      <c r="A372" s="4">
        <v>171430</v>
      </c>
      <c r="B372" s="4"/>
      <c r="C372" s="55" t="s">
        <v>938</v>
      </c>
      <c r="D372" s="4" t="s">
        <v>939</v>
      </c>
      <c r="E372" s="4" t="s">
        <v>114</v>
      </c>
      <c r="F372" s="55">
        <v>1111469551</v>
      </c>
      <c r="G372" s="4" t="s">
        <v>67</v>
      </c>
      <c r="H372" s="4" t="s">
        <v>68</v>
      </c>
      <c r="I372" s="4" t="s">
        <v>69</v>
      </c>
      <c r="J372" s="55" t="s">
        <v>155</v>
      </c>
      <c r="K372" s="4" t="s">
        <v>71</v>
      </c>
      <c r="L372" s="4" t="s">
        <v>72</v>
      </c>
      <c r="M372" s="4" t="str">
        <f>VLOOKUP(A372,[1]Sheet1!$C:$G,5,0)</f>
        <v>Mohammad Joshim</v>
      </c>
      <c r="N372" s="4" t="s">
        <v>74</v>
      </c>
      <c r="O372" s="4" t="s">
        <v>75</v>
      </c>
      <c r="P372" s="4">
        <v>26</v>
      </c>
      <c r="Q372" s="57">
        <v>45397</v>
      </c>
      <c r="R372" s="57">
        <v>45416</v>
      </c>
      <c r="S372" s="113"/>
      <c r="T372" s="113"/>
      <c r="U372" s="4"/>
      <c r="V372" s="4"/>
      <c r="W372" s="105" t="s">
        <v>940</v>
      </c>
      <c r="X372" s="114">
        <v>1830848193</v>
      </c>
      <c r="Y372" s="55"/>
      <c r="Z372" s="4" t="s">
        <v>941</v>
      </c>
      <c r="AA372" s="4" t="s">
        <v>942</v>
      </c>
      <c r="AB372" s="4" t="s">
        <v>252</v>
      </c>
      <c r="AC372" s="4" t="s">
        <v>102</v>
      </c>
      <c r="AD372" s="113">
        <v>35756</v>
      </c>
      <c r="AE372" s="107">
        <f t="shared" si="8" ca="1"/>
        <v>27.235616438356164</v>
      </c>
      <c r="AF372" s="4" t="s">
        <v>360</v>
      </c>
      <c r="AG372" s="114">
        <v>6002998653</v>
      </c>
      <c r="AH372" s="4" t="s">
        <v>81</v>
      </c>
      <c r="AI372" s="55" t="s">
        <v>322</v>
      </c>
      <c r="AJ372" s="55" t="s">
        <v>81</v>
      </c>
      <c r="AK372" s="55">
        <v>2021</v>
      </c>
      <c r="AL372" s="4" t="s">
        <v>943</v>
      </c>
      <c r="AM372" s="4" t="s">
        <v>944</v>
      </c>
      <c r="AN372" s="4" t="s">
        <v>945</v>
      </c>
      <c r="AO372" s="4" t="s">
        <v>946</v>
      </c>
      <c r="AP372" s="4" t="s">
        <v>947</v>
      </c>
      <c r="AQ372" s="55" t="s">
        <v>88</v>
      </c>
      <c r="AR372" s="4" t="s">
        <v>110</v>
      </c>
      <c r="AS372" s="4" t="s">
        <v>81</v>
      </c>
      <c r="AT372" s="72" t="s">
        <v>81</v>
      </c>
      <c r="AU372" s="4" t="s">
        <v>81</v>
      </c>
      <c r="AV372" s="4" t="s">
        <v>81</v>
      </c>
      <c r="AW372" s="4" t="s">
        <v>81</v>
      </c>
      <c r="AX372" s="4" t="s">
        <v>81</v>
      </c>
      <c r="AY372" s="4" t="s">
        <v>81</v>
      </c>
      <c r="AZ372" s="4" t="s">
        <v>81</v>
      </c>
      <c r="BA372" s="4" t="s">
        <v>90</v>
      </c>
      <c r="BB372" s="4">
        <v>10800</v>
      </c>
      <c r="BC372" s="4">
        <v>2700</v>
      </c>
      <c r="BD372" s="4">
        <v>1000</v>
      </c>
      <c r="BE372" s="4" t="s">
        <v>166</v>
      </c>
      <c r="BF372" s="4"/>
      <c r="BG372" s="4"/>
      <c r="BH372" s="4" t="s">
        <v>3510</v>
      </c>
      <c r="BI372" s="72"/>
      <c r="BJ372" s="154"/>
      <c r="BK372" s="4"/>
      <c r="BL372" s="105"/>
      <c r="BM372" s="9"/>
      <c r="BN372" s="9"/>
      <c r="BO372" s="9"/>
    </row>
    <row r="373" ht="14.4" s="67" customFormat="1">
      <c r="A373" s="4">
        <v>171431</v>
      </c>
      <c r="B373" s="4"/>
      <c r="C373" s="55" t="s">
        <v>948</v>
      </c>
      <c r="D373" s="4" t="s">
        <v>949</v>
      </c>
      <c r="E373" s="4" t="s">
        <v>114</v>
      </c>
      <c r="F373" s="55">
        <v>1111441391</v>
      </c>
      <c r="G373" s="4" t="s">
        <v>67</v>
      </c>
      <c r="H373" s="4" t="s">
        <v>68</v>
      </c>
      <c r="I373" s="4" t="s">
        <v>69</v>
      </c>
      <c r="J373" s="55" t="s">
        <v>155</v>
      </c>
      <c r="K373" s="4" t="s">
        <v>71</v>
      </c>
      <c r="L373" s="4" t="s">
        <v>72</v>
      </c>
      <c r="M373" s="4" t="str">
        <f>VLOOKUP(A373,[1]Sheet1!$C:$G,5,0)</f>
        <v>Rakib Ahsan</v>
      </c>
      <c r="N373" s="4" t="s">
        <v>74</v>
      </c>
      <c r="O373" s="4" t="s">
        <v>75</v>
      </c>
      <c r="P373" s="4">
        <v>26</v>
      </c>
      <c r="Q373" s="57">
        <v>45397</v>
      </c>
      <c r="R373" s="57">
        <v>45415</v>
      </c>
      <c r="S373" s="113"/>
      <c r="T373" s="113"/>
      <c r="U373" s="4"/>
      <c r="V373" s="4"/>
      <c r="W373" s="105" t="s">
        <v>950</v>
      </c>
      <c r="X373" s="114">
        <v>1817939836</v>
      </c>
      <c r="Y373" s="55">
        <v>1330858545</v>
      </c>
      <c r="Z373" s="4" t="s">
        <v>951</v>
      </c>
      <c r="AA373" s="4">
        <v>1624754005</v>
      </c>
      <c r="AB373" s="4" t="s">
        <v>252</v>
      </c>
      <c r="AC373" s="4" t="s">
        <v>79</v>
      </c>
      <c r="AD373" s="113">
        <v>35996</v>
      </c>
      <c r="AE373" s="107">
        <f t="shared" si="8" ca="1"/>
        <v>26.578082191780823</v>
      </c>
      <c r="AF373" s="4" t="s">
        <v>360</v>
      </c>
      <c r="AG373" s="114" t="s">
        <v>952</v>
      </c>
      <c r="AH373" s="4" t="s">
        <v>81</v>
      </c>
      <c r="AI373" s="55" t="s">
        <v>953</v>
      </c>
      <c r="AJ373" s="55" t="s">
        <v>81</v>
      </c>
      <c r="AK373" s="55">
        <v>2021</v>
      </c>
      <c r="AL373" s="4" t="s">
        <v>209</v>
      </c>
      <c r="AM373" s="4" t="s">
        <v>954</v>
      </c>
      <c r="AN373" s="4" t="s">
        <v>955</v>
      </c>
      <c r="AO373" s="4" t="s">
        <v>151</v>
      </c>
      <c r="AP373" s="4" t="s">
        <v>956</v>
      </c>
      <c r="AQ373" s="55" t="s">
        <v>88</v>
      </c>
      <c r="AR373" s="4" t="s">
        <v>110</v>
      </c>
      <c r="AS373" s="4" t="s">
        <v>81</v>
      </c>
      <c r="AT373" s="72" t="s">
        <v>81</v>
      </c>
      <c r="AU373" s="4" t="s">
        <v>81</v>
      </c>
      <c r="AV373" s="4" t="s">
        <v>81</v>
      </c>
      <c r="AW373" s="4" t="s">
        <v>81</v>
      </c>
      <c r="AX373" s="4" t="s">
        <v>81</v>
      </c>
      <c r="AY373" s="4" t="s">
        <v>81</v>
      </c>
      <c r="AZ373" s="4" t="s">
        <v>81</v>
      </c>
      <c r="BA373" s="4" t="s">
        <v>90</v>
      </c>
      <c r="BB373" s="4">
        <v>10800</v>
      </c>
      <c r="BC373" s="4">
        <v>2700</v>
      </c>
      <c r="BD373" s="4">
        <v>1000</v>
      </c>
      <c r="BE373" s="4" t="s">
        <v>166</v>
      </c>
      <c r="BF373" s="4"/>
      <c r="BG373" s="4"/>
      <c r="BH373" s="4" t="s">
        <v>3510</v>
      </c>
      <c r="BI373" s="72"/>
      <c r="BJ373" s="154"/>
      <c r="BK373" s="4"/>
      <c r="BL373" s="105"/>
      <c r="BM373" s="9"/>
      <c r="BN373" s="9"/>
      <c r="BO373" s="9"/>
    </row>
    <row r="374" ht="14.4" s="67" customFormat="1">
      <c r="A374" s="4">
        <v>171440</v>
      </c>
      <c r="B374" s="4"/>
      <c r="C374" s="55" t="s">
        <v>957</v>
      </c>
      <c r="D374" s="4" t="s">
        <v>958</v>
      </c>
      <c r="E374" s="4" t="s">
        <v>66</v>
      </c>
      <c r="F374" s="55">
        <v>1010940108</v>
      </c>
      <c r="G374" s="4" t="s">
        <v>67</v>
      </c>
      <c r="H374" s="4" t="s">
        <v>68</v>
      </c>
      <c r="I374" s="4" t="s">
        <v>69</v>
      </c>
      <c r="J374" s="55" t="s">
        <v>319</v>
      </c>
      <c r="K374" s="4" t="s">
        <v>71</v>
      </c>
      <c r="L374" s="4" t="s">
        <v>72</v>
      </c>
      <c r="M374" s="4" t="str">
        <f>VLOOKUP(A374,[1]Sheet1!$C:$G,5,0)</f>
        <v>Sabrina Sultana Mou</v>
      </c>
      <c r="N374" s="4" t="s">
        <v>74</v>
      </c>
      <c r="O374" s="4" t="s">
        <v>75</v>
      </c>
      <c r="P374" s="4">
        <v>27</v>
      </c>
      <c r="Q374" s="57">
        <v>45408</v>
      </c>
      <c r="R374" s="57">
        <v>45415</v>
      </c>
      <c r="S374" s="113"/>
      <c r="T374" s="113"/>
      <c r="U374" s="4"/>
      <c r="V374" s="4"/>
      <c r="W374" s="105" t="s">
        <v>959</v>
      </c>
      <c r="X374" s="114">
        <v>1644336594</v>
      </c>
      <c r="Y374" s="55"/>
      <c r="Z374" s="4" t="s">
        <v>391</v>
      </c>
      <c r="AA374" s="4">
        <v>1764129022</v>
      </c>
      <c r="AB374" s="4" t="s">
        <v>132</v>
      </c>
      <c r="AC374" s="4" t="s">
        <v>79</v>
      </c>
      <c r="AD374" s="113">
        <v>35657</v>
      </c>
      <c r="AE374" s="107">
        <f t="shared" si="8" ca="1"/>
        <v>27.506849315068493</v>
      </c>
      <c r="AF374" s="4" t="s">
        <v>80</v>
      </c>
      <c r="AG374" s="114">
        <v>6915004342</v>
      </c>
      <c r="AH374" s="4" t="s">
        <v>81</v>
      </c>
      <c r="AI374" s="55" t="s">
        <v>322</v>
      </c>
      <c r="AJ374" s="55" t="s">
        <v>81</v>
      </c>
      <c r="AK374" s="55">
        <v>2022</v>
      </c>
      <c r="AL374" s="4" t="s">
        <v>960</v>
      </c>
      <c r="AM374" s="4" t="s">
        <v>961</v>
      </c>
      <c r="AN374" s="4" t="s">
        <v>391</v>
      </c>
      <c r="AO374" s="4" t="s">
        <v>962</v>
      </c>
      <c r="AP374" s="4" t="s">
        <v>963</v>
      </c>
      <c r="AQ374" s="55" t="s">
        <v>666</v>
      </c>
      <c r="AR374" s="4" t="s">
        <v>110</v>
      </c>
      <c r="AS374" s="4" t="s">
        <v>81</v>
      </c>
      <c r="AT374" s="72" t="s">
        <v>81</v>
      </c>
      <c r="AU374" s="4" t="s">
        <v>81</v>
      </c>
      <c r="AV374" s="4" t="s">
        <v>81</v>
      </c>
      <c r="AW374" s="4" t="s">
        <v>81</v>
      </c>
      <c r="AX374" s="4" t="s">
        <v>81</v>
      </c>
      <c r="AY374" s="4" t="s">
        <v>81</v>
      </c>
      <c r="AZ374" s="4" t="s">
        <v>81</v>
      </c>
      <c r="BA374" s="4" t="s">
        <v>90</v>
      </c>
      <c r="BB374" s="4">
        <v>10800</v>
      </c>
      <c r="BC374" s="4">
        <v>2700</v>
      </c>
      <c r="BD374" s="4">
        <v>0</v>
      </c>
      <c r="BE374" s="4" t="s">
        <v>91</v>
      </c>
      <c r="BF374" s="4"/>
      <c r="BG374" s="4"/>
      <c r="BH374" s="4" t="s">
        <v>3510</v>
      </c>
      <c r="BI374" s="72"/>
      <c r="BJ374" s="154"/>
      <c r="BK374" s="4"/>
      <c r="BL374" s="105"/>
      <c r="BM374" s="9"/>
      <c r="BN374" s="9"/>
      <c r="BO374" s="9"/>
    </row>
    <row r="375" ht="14.4" s="67" customFormat="1">
      <c r="A375" s="4">
        <v>171441</v>
      </c>
      <c r="B375" s="4"/>
      <c r="C375" s="55"/>
      <c r="D375" s="4" t="s">
        <v>964</v>
      </c>
      <c r="E375" s="4" t="s">
        <v>114</v>
      </c>
      <c r="F375" s="55">
        <v>437658</v>
      </c>
      <c r="G375" s="4" t="s">
        <v>67</v>
      </c>
      <c r="H375" s="4" t="s">
        <v>68</v>
      </c>
      <c r="I375" s="4" t="s">
        <v>69</v>
      </c>
      <c r="J375" s="55" t="s">
        <v>297</v>
      </c>
      <c r="K375" s="4" t="s">
        <v>71</v>
      </c>
      <c r="L375" s="4" t="s">
        <v>72</v>
      </c>
      <c r="M375" s="4" t="str">
        <f>VLOOKUP(A375,[1]Sheet1!$C:$G,5,0)</f>
        <v>Abdulla Al Mamun</v>
      </c>
      <c r="N375" s="4" t="s">
        <v>74</v>
      </c>
      <c r="O375" s="4" t="s">
        <v>75</v>
      </c>
      <c r="P375" s="4">
        <v>27</v>
      </c>
      <c r="Q375" s="57">
        <v>45408</v>
      </c>
      <c r="R375" s="57">
        <v>45417</v>
      </c>
      <c r="S375" s="113"/>
      <c r="T375" s="113"/>
      <c r="U375" s="4"/>
      <c r="V375" s="4"/>
      <c r="W375" s="105" t="s">
        <v>965</v>
      </c>
      <c r="X375" s="114">
        <v>1935965685</v>
      </c>
      <c r="Y375" s="55">
        <v>1985781008</v>
      </c>
      <c r="Z375" s="4" t="s">
        <v>966</v>
      </c>
      <c r="AA375" s="4">
        <v>1985781008</v>
      </c>
      <c r="AB375" s="4" t="s">
        <v>101</v>
      </c>
      <c r="AC375" s="4" t="s">
        <v>133</v>
      </c>
      <c r="AD375" s="113">
        <v>35348</v>
      </c>
      <c r="AE375" s="107">
        <f t="shared" si="8" ca="1"/>
        <v>28.353424657534248</v>
      </c>
      <c r="AF375" s="4" t="s">
        <v>80</v>
      </c>
      <c r="AG375" s="114">
        <v>9552941826</v>
      </c>
      <c r="AH375" s="4" t="s">
        <v>81</v>
      </c>
      <c r="AI375" s="55" t="s">
        <v>967</v>
      </c>
      <c r="AJ375" s="55" t="s">
        <v>81</v>
      </c>
      <c r="AK375" s="55">
        <v>2020</v>
      </c>
      <c r="AL375" s="4" t="s">
        <v>968</v>
      </c>
      <c r="AM375" s="4" t="s">
        <v>966</v>
      </c>
      <c r="AN375" s="4" t="s">
        <v>969</v>
      </c>
      <c r="AO375" s="4" t="s">
        <v>970</v>
      </c>
      <c r="AP375" s="4" t="s">
        <v>971</v>
      </c>
      <c r="AQ375" s="55" t="s">
        <v>666</v>
      </c>
      <c r="AR375" s="4" t="s">
        <v>110</v>
      </c>
      <c r="AS375" s="4" t="s">
        <v>81</v>
      </c>
      <c r="AT375" s="72" t="s">
        <v>81</v>
      </c>
      <c r="AU375" s="4" t="s">
        <v>81</v>
      </c>
      <c r="AV375" s="4" t="s">
        <v>81</v>
      </c>
      <c r="AW375" s="4" t="s">
        <v>81</v>
      </c>
      <c r="AX375" s="4" t="s">
        <v>81</v>
      </c>
      <c r="AY375" s="4" t="s">
        <v>81</v>
      </c>
      <c r="AZ375" s="4" t="s">
        <v>81</v>
      </c>
      <c r="BA375" s="4" t="s">
        <v>90</v>
      </c>
      <c r="BB375" s="4">
        <v>10800</v>
      </c>
      <c r="BC375" s="4">
        <v>2700</v>
      </c>
      <c r="BD375" s="4">
        <v>0</v>
      </c>
      <c r="BE375" s="4" t="s">
        <v>91</v>
      </c>
      <c r="BF375" s="4"/>
      <c r="BG375" s="4"/>
      <c r="BH375" s="4" t="s">
        <v>3510</v>
      </c>
      <c r="BI375" s="72"/>
      <c r="BJ375" s="154"/>
      <c r="BK375" s="4"/>
      <c r="BL375" s="105"/>
      <c r="BM375" s="9"/>
      <c r="BN375" s="9"/>
      <c r="BO375" s="9"/>
    </row>
    <row r="376" ht="14.4" s="67" customFormat="1">
      <c r="A376" s="4">
        <v>171447</v>
      </c>
      <c r="B376" s="4"/>
      <c r="C376" s="55" t="s">
        <v>972</v>
      </c>
      <c r="D376" s="4" t="s">
        <v>973</v>
      </c>
      <c r="E376" s="4" t="s">
        <v>66</v>
      </c>
      <c r="F376" s="55">
        <v>1110249913</v>
      </c>
      <c r="G376" s="4" t="s">
        <v>67</v>
      </c>
      <c r="H376" s="4" t="s">
        <v>68</v>
      </c>
      <c r="I376" s="4" t="s">
        <v>69</v>
      </c>
      <c r="J376" s="55" t="s">
        <v>341</v>
      </c>
      <c r="K376" s="4" t="s">
        <v>71</v>
      </c>
      <c r="L376" s="4" t="s">
        <v>72</v>
      </c>
      <c r="M376" s="4" t="str">
        <f>VLOOKUP(A376,[1]Sheet1!$C:$G,5,0)</f>
        <v>Md Mehedi Hasan</v>
      </c>
      <c r="N376" s="4" t="s">
        <v>74</v>
      </c>
      <c r="O376" s="4" t="s">
        <v>75</v>
      </c>
      <c r="P376" s="4">
        <v>27</v>
      </c>
      <c r="Q376" s="57">
        <v>45408</v>
      </c>
      <c r="R376" s="57">
        <v>45413</v>
      </c>
      <c r="S376" s="113"/>
      <c r="T376" s="113"/>
      <c r="U376" s="4"/>
      <c r="V376" s="4"/>
      <c r="W376" s="105" t="s">
        <v>974</v>
      </c>
      <c r="X376" s="114">
        <v>1533058698</v>
      </c>
      <c r="Y376" s="55"/>
      <c r="Z376" s="4" t="s">
        <v>975</v>
      </c>
      <c r="AA376" s="4">
        <v>1567832406</v>
      </c>
      <c r="AB376" s="4" t="s">
        <v>78</v>
      </c>
      <c r="AC376" s="4" t="s">
        <v>79</v>
      </c>
      <c r="AD376" s="113">
        <v>35933</v>
      </c>
      <c r="AE376" s="107">
        <f t="shared" si="8" ca="1"/>
        <v>26.75068493150685</v>
      </c>
      <c r="AF376" s="4" t="s">
        <v>80</v>
      </c>
      <c r="AG376" s="114">
        <v>3754904336</v>
      </c>
      <c r="AH376" s="4" t="s">
        <v>81</v>
      </c>
      <c r="AI376" s="55" t="s">
        <v>322</v>
      </c>
      <c r="AJ376" s="55" t="s">
        <v>81</v>
      </c>
      <c r="AK376" s="55">
        <v>2020</v>
      </c>
      <c r="AL376" s="4" t="s">
        <v>976</v>
      </c>
      <c r="AM376" s="4" t="s">
        <v>977</v>
      </c>
      <c r="AN376" s="4" t="s">
        <v>131</v>
      </c>
      <c r="AO376" s="4" t="s">
        <v>978</v>
      </c>
      <c r="AP376" s="4" t="s">
        <v>979</v>
      </c>
      <c r="AQ376" s="55" t="s">
        <v>980</v>
      </c>
      <c r="AR376" s="4" t="s">
        <v>89</v>
      </c>
      <c r="AS376" s="4" t="s">
        <v>975</v>
      </c>
      <c r="AT376" s="72">
        <v>36400</v>
      </c>
      <c r="AU376" s="4" t="s">
        <v>81</v>
      </c>
      <c r="AV376" s="4" t="s">
        <v>81</v>
      </c>
      <c r="AW376" s="4" t="s">
        <v>81</v>
      </c>
      <c r="AX376" s="4" t="s">
        <v>81</v>
      </c>
      <c r="AY376" s="4" t="s">
        <v>81</v>
      </c>
      <c r="AZ376" s="4" t="s">
        <v>81</v>
      </c>
      <c r="BA376" s="4" t="s">
        <v>90</v>
      </c>
      <c r="BB376" s="4">
        <v>10800</v>
      </c>
      <c r="BC376" s="4">
        <v>2700</v>
      </c>
      <c r="BD376" s="4">
        <v>0</v>
      </c>
      <c r="BE376" s="4" t="s">
        <v>91</v>
      </c>
      <c r="BF376" s="4"/>
      <c r="BG376" s="4"/>
      <c r="BH376" s="4" t="s">
        <v>3510</v>
      </c>
      <c r="BI376" s="72"/>
      <c r="BJ376" s="154"/>
      <c r="BK376" s="4"/>
      <c r="BL376" s="105"/>
      <c r="BM376" s="9"/>
      <c r="BN376" s="9"/>
      <c r="BO376" s="9"/>
    </row>
    <row r="377" ht="14.4" s="67" customFormat="1">
      <c r="A377" s="4">
        <v>171450</v>
      </c>
      <c r="B377" s="4"/>
      <c r="C377" s="55" t="s">
        <v>981</v>
      </c>
      <c r="D377" s="4" t="s">
        <v>982</v>
      </c>
      <c r="E377" s="4" t="s">
        <v>114</v>
      </c>
      <c r="F377" s="55">
        <v>376301</v>
      </c>
      <c r="G377" s="4" t="s">
        <v>67</v>
      </c>
      <c r="H377" s="4" t="s">
        <v>68</v>
      </c>
      <c r="I377" s="4" t="s">
        <v>69</v>
      </c>
      <c r="J377" s="55" t="s">
        <v>319</v>
      </c>
      <c r="K377" s="4" t="s">
        <v>71</v>
      </c>
      <c r="L377" s="4" t="s">
        <v>72</v>
      </c>
      <c r="M377" s="4" t="str">
        <f>VLOOKUP(A377,[1]Sheet1!$C:$G,5,0)</f>
        <v>Halima akter</v>
      </c>
      <c r="N377" s="4" t="s">
        <v>74</v>
      </c>
      <c r="O377" s="4" t="s">
        <v>75</v>
      </c>
      <c r="P377" s="4">
        <v>27</v>
      </c>
      <c r="Q377" s="57">
        <v>45408</v>
      </c>
      <c r="R377" s="57">
        <v>45413</v>
      </c>
      <c r="S377" s="113"/>
      <c r="T377" s="113"/>
      <c r="U377" s="4"/>
      <c r="V377" s="4"/>
      <c r="W377" s="105" t="s">
        <v>983</v>
      </c>
      <c r="X377" s="114">
        <v>1818573788</v>
      </c>
      <c r="Y377" s="55">
        <v>1533894296</v>
      </c>
      <c r="Z377" s="4" t="s">
        <v>984</v>
      </c>
      <c r="AA377" s="4">
        <v>1533894296</v>
      </c>
      <c r="AB377" s="4" t="s">
        <v>101</v>
      </c>
      <c r="AC377" s="4" t="s">
        <v>119</v>
      </c>
      <c r="AD377" s="113">
        <v>34429</v>
      </c>
      <c r="AE377" s="107">
        <f t="shared" si="8" ca="1"/>
        <v>30.87123287671233</v>
      </c>
      <c r="AF377" s="4" t="s">
        <v>360</v>
      </c>
      <c r="AG377" s="114">
        <v>19944462495000000</v>
      </c>
      <c r="AH377" s="4" t="s">
        <v>985</v>
      </c>
      <c r="AI377" s="55" t="s">
        <v>513</v>
      </c>
      <c r="AJ377" s="55" t="s">
        <v>81</v>
      </c>
      <c r="AK377" s="55">
        <v>2021</v>
      </c>
      <c r="AL377" s="4" t="s">
        <v>986</v>
      </c>
      <c r="AM377" s="4" t="s">
        <v>984</v>
      </c>
      <c r="AN377" s="4" t="s">
        <v>987</v>
      </c>
      <c r="AO377" s="4" t="s">
        <v>988</v>
      </c>
      <c r="AP377" s="4" t="s">
        <v>989</v>
      </c>
      <c r="AQ377" s="55" t="s">
        <v>499</v>
      </c>
      <c r="AR377" s="4" t="s">
        <v>110</v>
      </c>
      <c r="AS377" s="4" t="s">
        <v>985</v>
      </c>
      <c r="AT377" s="72" t="s">
        <v>985</v>
      </c>
      <c r="AU377" s="4" t="s">
        <v>985</v>
      </c>
      <c r="AV377" s="4" t="s">
        <v>985</v>
      </c>
      <c r="AW377" s="4" t="s">
        <v>81</v>
      </c>
      <c r="AX377" s="4" t="s">
        <v>81</v>
      </c>
      <c r="AY377" s="4" t="s">
        <v>81</v>
      </c>
      <c r="AZ377" s="4" t="s">
        <v>81</v>
      </c>
      <c r="BA377" s="4" t="s">
        <v>90</v>
      </c>
      <c r="BB377" s="4">
        <v>10800</v>
      </c>
      <c r="BC377" s="4">
        <v>2700</v>
      </c>
      <c r="BD377" s="4">
        <v>0</v>
      </c>
      <c r="BE377" s="4" t="s">
        <v>91</v>
      </c>
      <c r="BF377" s="4"/>
      <c r="BG377" s="4"/>
      <c r="BH377" s="4" t="s">
        <v>3510</v>
      </c>
      <c r="BI377" s="72"/>
      <c r="BJ377" s="154"/>
      <c r="BK377" s="4"/>
      <c r="BL377" s="105"/>
      <c r="BM377" s="9"/>
      <c r="BN377" s="9"/>
      <c r="BO377" s="9"/>
    </row>
    <row r="378" ht="14.4" s="67" customFormat="1">
      <c r="A378" s="4">
        <v>171454</v>
      </c>
      <c r="B378" s="4"/>
      <c r="C378" s="55" t="s">
        <v>990</v>
      </c>
      <c r="D378" s="4" t="s">
        <v>991</v>
      </c>
      <c r="E378" s="4" t="s">
        <v>66</v>
      </c>
      <c r="F378" s="55">
        <v>1310536028</v>
      </c>
      <c r="G378" s="4" t="s">
        <v>67</v>
      </c>
      <c r="H378" s="4" t="s">
        <v>68</v>
      </c>
      <c r="I378" s="4" t="s">
        <v>69</v>
      </c>
      <c r="J378" s="55" t="s">
        <v>341</v>
      </c>
      <c r="K378" s="4" t="s">
        <v>71</v>
      </c>
      <c r="L378" s="4" t="s">
        <v>72</v>
      </c>
      <c r="M378" s="4" t="str">
        <f>VLOOKUP(A378,[1]Sheet1!$C:$G,5,0)</f>
        <v>Md Mehedi Hasan</v>
      </c>
      <c r="N378" s="4" t="s">
        <v>74</v>
      </c>
      <c r="O378" s="4" t="s">
        <v>75</v>
      </c>
      <c r="P378" s="4">
        <v>27</v>
      </c>
      <c r="Q378" s="57">
        <v>45408</v>
      </c>
      <c r="R378" s="57">
        <v>45413</v>
      </c>
      <c r="S378" s="113"/>
      <c r="T378" s="113"/>
      <c r="U378" s="4"/>
      <c r="V378" s="4"/>
      <c r="W378" s="105" t="s">
        <v>992</v>
      </c>
      <c r="X378" s="114">
        <v>1942551040</v>
      </c>
      <c r="Y378" s="55">
        <v>1942551040</v>
      </c>
      <c r="Z378" s="4" t="s">
        <v>993</v>
      </c>
      <c r="AA378" s="4">
        <v>1317020309</v>
      </c>
      <c r="AB378" s="4" t="s">
        <v>382</v>
      </c>
      <c r="AC378" s="4" t="s">
        <v>119</v>
      </c>
      <c r="AD378" s="113">
        <v>36515</v>
      </c>
      <c r="AE378" s="107">
        <f t="shared" si="8" ca="1"/>
        <v>25.156164383561645</v>
      </c>
      <c r="AF378" s="4" t="s">
        <v>80</v>
      </c>
      <c r="AG378" s="114">
        <v>7804450430</v>
      </c>
      <c r="AH378" s="4" t="s">
        <v>81</v>
      </c>
      <c r="AI378" s="55" t="s">
        <v>994</v>
      </c>
      <c r="AJ378" s="55" t="s">
        <v>81</v>
      </c>
      <c r="AK378" s="55">
        <v>2024</v>
      </c>
      <c r="AL378" s="4" t="s">
        <v>995</v>
      </c>
      <c r="AM378" s="4" t="s">
        <v>996</v>
      </c>
      <c r="AN378" s="4" t="s">
        <v>997</v>
      </c>
      <c r="AO378" s="4" t="s">
        <v>998</v>
      </c>
      <c r="AP378" s="4" t="s">
        <v>999</v>
      </c>
      <c r="AQ378" s="55" t="s">
        <v>1000</v>
      </c>
      <c r="AR378" s="4" t="s">
        <v>110</v>
      </c>
      <c r="AS378" s="4" t="s">
        <v>81</v>
      </c>
      <c r="AT378" s="72" t="s">
        <v>81</v>
      </c>
      <c r="AU378" s="4" t="s">
        <v>81</v>
      </c>
      <c r="AV378" s="4" t="s">
        <v>81</v>
      </c>
      <c r="AW378" s="4" t="s">
        <v>81</v>
      </c>
      <c r="AX378" s="4" t="s">
        <v>81</v>
      </c>
      <c r="AY378" s="4" t="s">
        <v>81</v>
      </c>
      <c r="AZ378" s="4" t="s">
        <v>81</v>
      </c>
      <c r="BA378" s="4" t="s">
        <v>90</v>
      </c>
      <c r="BB378" s="4">
        <v>10800</v>
      </c>
      <c r="BC378" s="4">
        <v>2700</v>
      </c>
      <c r="BD378" s="4">
        <v>0</v>
      </c>
      <c r="BE378" s="4" t="s">
        <v>91</v>
      </c>
      <c r="BF378" s="4"/>
      <c r="BG378" s="4"/>
      <c r="BH378" s="4" t="s">
        <v>3510</v>
      </c>
      <c r="BI378" s="72"/>
      <c r="BJ378" s="154"/>
      <c r="BK378" s="4"/>
      <c r="BL378" s="105"/>
      <c r="BM378" s="9"/>
      <c r="BN378" s="9"/>
      <c r="BO378" s="9"/>
    </row>
    <row r="379" ht="14.4" s="67" customFormat="1">
      <c r="A379" s="4">
        <v>171457</v>
      </c>
      <c r="B379" s="4"/>
      <c r="C379" s="55" t="s">
        <v>1001</v>
      </c>
      <c r="D379" s="4" t="s">
        <v>1002</v>
      </c>
      <c r="E379" s="4" t="s">
        <v>66</v>
      </c>
      <c r="F379" s="55">
        <v>1212611783</v>
      </c>
      <c r="G379" s="4" t="s">
        <v>67</v>
      </c>
      <c r="H379" s="4" t="s">
        <v>68</v>
      </c>
      <c r="I379" s="4" t="s">
        <v>69</v>
      </c>
      <c r="J379" s="55" t="s">
        <v>319</v>
      </c>
      <c r="K379" s="4" t="s">
        <v>71</v>
      </c>
      <c r="L379" s="4" t="s">
        <v>72</v>
      </c>
      <c r="M379" s="4" t="str">
        <f>VLOOKUP(A379,[1]Sheet1!$C:$G,5,0)</f>
        <v>Halima akter</v>
      </c>
      <c r="N379" s="4" t="s">
        <v>74</v>
      </c>
      <c r="O379" s="4" t="s">
        <v>75</v>
      </c>
      <c r="P379" s="4">
        <v>27</v>
      </c>
      <c r="Q379" s="57">
        <v>45408</v>
      </c>
      <c r="R379" s="57">
        <v>45413</v>
      </c>
      <c r="S379" s="113"/>
      <c r="T379" s="113"/>
      <c r="U379" s="4"/>
      <c r="V379" s="4"/>
      <c r="W379" s="105" t="s">
        <v>1003</v>
      </c>
      <c r="X379" s="114">
        <v>1957750288</v>
      </c>
      <c r="Y379" s="55"/>
      <c r="Z379" s="4" t="s">
        <v>1004</v>
      </c>
      <c r="AA379" s="4">
        <v>1784070801</v>
      </c>
      <c r="AB379" s="4" t="s">
        <v>78</v>
      </c>
      <c r="AC379" s="4" t="s">
        <v>79</v>
      </c>
      <c r="AD379" s="113">
        <v>36892</v>
      </c>
      <c r="AE379" s="107">
        <f t="shared" si="8" ca="1"/>
        <v>24.123287671232877</v>
      </c>
      <c r="AF379" s="4" t="s">
        <v>80</v>
      </c>
      <c r="AG379" s="114">
        <v>1511067322</v>
      </c>
      <c r="AH379" s="4" t="s">
        <v>81</v>
      </c>
      <c r="AI379" s="55" t="s">
        <v>1005</v>
      </c>
      <c r="AJ379" s="55" t="s">
        <v>81</v>
      </c>
      <c r="AK379" s="55">
        <v>2022</v>
      </c>
      <c r="AL379" s="4" t="s">
        <v>1006</v>
      </c>
      <c r="AM379" s="4" t="s">
        <v>1007</v>
      </c>
      <c r="AN379" s="4" t="s">
        <v>1008</v>
      </c>
      <c r="AO379" s="4" t="s">
        <v>1009</v>
      </c>
      <c r="AP379" s="4" t="s">
        <v>1010</v>
      </c>
      <c r="AQ379" s="55" t="s">
        <v>499</v>
      </c>
      <c r="AR379" s="4" t="s">
        <v>89</v>
      </c>
      <c r="AS379" s="4" t="s">
        <v>1004</v>
      </c>
      <c r="AT379" s="72">
        <v>36234</v>
      </c>
      <c r="AU379" s="4" t="s">
        <v>81</v>
      </c>
      <c r="AV379" s="4" t="s">
        <v>81</v>
      </c>
      <c r="AW379" s="4" t="s">
        <v>81</v>
      </c>
      <c r="AX379" s="4" t="s">
        <v>81</v>
      </c>
      <c r="AY379" s="4" t="s">
        <v>81</v>
      </c>
      <c r="AZ379" s="4" t="s">
        <v>81</v>
      </c>
      <c r="BA379" s="4" t="s">
        <v>90</v>
      </c>
      <c r="BB379" s="4">
        <v>10800</v>
      </c>
      <c r="BC379" s="4">
        <v>2700</v>
      </c>
      <c r="BD379" s="4">
        <v>0</v>
      </c>
      <c r="BE379" s="4" t="s">
        <v>91</v>
      </c>
      <c r="BF379" s="4"/>
      <c r="BG379" s="4"/>
      <c r="BH379" s="4" t="s">
        <v>3510</v>
      </c>
      <c r="BI379" s="72"/>
      <c r="BJ379" s="154"/>
      <c r="BK379" s="4"/>
      <c r="BL379" s="105"/>
      <c r="BM379" s="9"/>
      <c r="BN379" s="9"/>
      <c r="BO379" s="9"/>
    </row>
    <row r="380" ht="14.4" s="67" customFormat="1">
      <c r="A380" s="4">
        <v>171458</v>
      </c>
      <c r="B380" s="4"/>
      <c r="C380" s="55" t="s">
        <v>1011</v>
      </c>
      <c r="D380" s="4" t="s">
        <v>1012</v>
      </c>
      <c r="E380" s="4" t="s">
        <v>66</v>
      </c>
      <c r="F380" s="55">
        <v>1212605247</v>
      </c>
      <c r="G380" s="4" t="s">
        <v>67</v>
      </c>
      <c r="H380" s="4" t="s">
        <v>68</v>
      </c>
      <c r="I380" s="4" t="s">
        <v>69</v>
      </c>
      <c r="J380" s="55" t="s">
        <v>576</v>
      </c>
      <c r="K380" s="4" t="s">
        <v>71</v>
      </c>
      <c r="L380" s="4" t="s">
        <v>72</v>
      </c>
      <c r="M380" s="4" t="str">
        <f>VLOOKUP(A380,[1]Sheet1!$C:$G,5,0)</f>
        <v>Mizanur Rahman</v>
      </c>
      <c r="N380" s="4" t="s">
        <v>74</v>
      </c>
      <c r="O380" s="4" t="s">
        <v>75</v>
      </c>
      <c r="P380" s="4">
        <v>27</v>
      </c>
      <c r="Q380" s="57">
        <v>45408</v>
      </c>
      <c r="R380" s="57">
        <v>45413</v>
      </c>
      <c r="S380" s="113"/>
      <c r="T380" s="113"/>
      <c r="U380" s="4"/>
      <c r="V380" s="4"/>
      <c r="W380" s="105" t="s">
        <v>1013</v>
      </c>
      <c r="X380" s="114">
        <v>1755118705</v>
      </c>
      <c r="Y380" s="55"/>
      <c r="Z380" s="4" t="s">
        <v>1014</v>
      </c>
      <c r="AA380" s="4">
        <v>1300331014</v>
      </c>
      <c r="AB380" s="4" t="s">
        <v>118</v>
      </c>
      <c r="AC380" s="4" t="s">
        <v>102</v>
      </c>
      <c r="AD380" s="113">
        <v>36786</v>
      </c>
      <c r="AE380" s="107">
        <f t="shared" si="8" ca="1"/>
        <v>24.413698630136988</v>
      </c>
      <c r="AF380" s="4" t="s">
        <v>80</v>
      </c>
      <c r="AG380" s="114">
        <v>2859902963</v>
      </c>
      <c r="AH380" s="4" t="s">
        <v>81</v>
      </c>
      <c r="AI380" s="55" t="s">
        <v>347</v>
      </c>
      <c r="AJ380" s="55" t="s">
        <v>81</v>
      </c>
      <c r="AK380" s="55">
        <v>2023</v>
      </c>
      <c r="AL380" s="4" t="s">
        <v>1015</v>
      </c>
      <c r="AM380" s="4" t="s">
        <v>1016</v>
      </c>
      <c r="AN380" s="4" t="s">
        <v>1014</v>
      </c>
      <c r="AO380" s="4" t="s">
        <v>1017</v>
      </c>
      <c r="AP380" s="4" t="s">
        <v>1018</v>
      </c>
      <c r="AQ380" s="55" t="s">
        <v>727</v>
      </c>
      <c r="AR380" s="4" t="s">
        <v>110</v>
      </c>
      <c r="AS380" s="4" t="s">
        <v>81</v>
      </c>
      <c r="AT380" s="72" t="s">
        <v>81</v>
      </c>
      <c r="AU380" s="4" t="s">
        <v>81</v>
      </c>
      <c r="AV380" s="4" t="s">
        <v>81</v>
      </c>
      <c r="AW380" s="4" t="s">
        <v>81</v>
      </c>
      <c r="AX380" s="4" t="s">
        <v>81</v>
      </c>
      <c r="AY380" s="4" t="s">
        <v>81</v>
      </c>
      <c r="AZ380" s="4" t="s">
        <v>81</v>
      </c>
      <c r="BA380" s="4" t="s">
        <v>90</v>
      </c>
      <c r="BB380" s="4">
        <v>10800</v>
      </c>
      <c r="BC380" s="4">
        <v>2700</v>
      </c>
      <c r="BD380" s="4">
        <v>0</v>
      </c>
      <c r="BE380" s="4" t="s">
        <v>91</v>
      </c>
      <c r="BF380" s="4"/>
      <c r="BG380" s="4"/>
      <c r="BH380" s="4" t="s">
        <v>3510</v>
      </c>
      <c r="BI380" s="72"/>
      <c r="BJ380" s="154"/>
      <c r="BK380" s="4"/>
      <c r="BL380" s="105"/>
      <c r="BM380" s="9"/>
      <c r="BN380" s="9"/>
      <c r="BO380" s="9"/>
    </row>
    <row r="381" ht="14.4" s="67" customFormat="1">
      <c r="A381" s="4">
        <v>171460</v>
      </c>
      <c r="B381" s="4"/>
      <c r="C381" s="55" t="s">
        <v>1019</v>
      </c>
      <c r="D381" s="4" t="s">
        <v>1020</v>
      </c>
      <c r="E381" s="4" t="s">
        <v>114</v>
      </c>
      <c r="F381" s="55">
        <v>581711</v>
      </c>
      <c r="G381" s="4" t="s">
        <v>67</v>
      </c>
      <c r="H381" s="4" t="s">
        <v>68</v>
      </c>
      <c r="I381" s="4" t="s">
        <v>69</v>
      </c>
      <c r="J381" s="55" t="s">
        <v>297</v>
      </c>
      <c r="K381" s="4" t="s">
        <v>71</v>
      </c>
      <c r="L381" s="4" t="s">
        <v>72</v>
      </c>
      <c r="M381" s="4" t="str">
        <f>VLOOKUP(A381,[1]Sheet1!$C:$G,5,0)</f>
        <v>Abdulla Al Mamun</v>
      </c>
      <c r="N381" s="4" t="s">
        <v>74</v>
      </c>
      <c r="O381" s="4" t="s">
        <v>75</v>
      </c>
      <c r="P381" s="4">
        <v>27</v>
      </c>
      <c r="Q381" s="57">
        <v>45408</v>
      </c>
      <c r="R381" s="57">
        <v>45413</v>
      </c>
      <c r="S381" s="113"/>
      <c r="T381" s="113"/>
      <c r="U381" s="4"/>
      <c r="V381" s="4"/>
      <c r="W381" s="105" t="s">
        <v>1021</v>
      </c>
      <c r="X381" s="114">
        <v>1836738378</v>
      </c>
      <c r="Y381" s="55"/>
      <c r="Z381" s="4" t="s">
        <v>1022</v>
      </c>
      <c r="AA381" s="4">
        <v>1600369413</v>
      </c>
      <c r="AB381" s="4" t="s">
        <v>382</v>
      </c>
      <c r="AC381" s="4" t="s">
        <v>119</v>
      </c>
      <c r="AD381" s="113">
        <v>32509</v>
      </c>
      <c r="AE381" s="107">
        <f t="shared" si="8" ca="1"/>
        <v>36.131506849315066</v>
      </c>
      <c r="AF381" s="4" t="s">
        <v>80</v>
      </c>
      <c r="AG381" s="114">
        <v>7793387361</v>
      </c>
      <c r="AH381" s="4" t="s">
        <v>81</v>
      </c>
      <c r="AI381" s="55" t="s">
        <v>1023</v>
      </c>
      <c r="AJ381" s="55" t="s">
        <v>81</v>
      </c>
      <c r="AK381" s="55">
        <v>2019</v>
      </c>
      <c r="AL381" s="4" t="s">
        <v>1024</v>
      </c>
      <c r="AM381" s="4" t="s">
        <v>1025</v>
      </c>
      <c r="AN381" s="4" t="s">
        <v>1026</v>
      </c>
      <c r="AO381" s="4" t="s">
        <v>1027</v>
      </c>
      <c r="AP381" s="4" t="s">
        <v>1028</v>
      </c>
      <c r="AQ381" s="55" t="s">
        <v>499</v>
      </c>
      <c r="AR381" s="4" t="s">
        <v>110</v>
      </c>
      <c r="AS381" s="4" t="s">
        <v>81</v>
      </c>
      <c r="AT381" s="72" t="s">
        <v>81</v>
      </c>
      <c r="AU381" s="4" t="s">
        <v>81</v>
      </c>
      <c r="AV381" s="4" t="s">
        <v>81</v>
      </c>
      <c r="AW381" s="4" t="s">
        <v>81</v>
      </c>
      <c r="AX381" s="4" t="s">
        <v>81</v>
      </c>
      <c r="AY381" s="4" t="s">
        <v>81</v>
      </c>
      <c r="AZ381" s="4" t="s">
        <v>81</v>
      </c>
      <c r="BA381" s="4" t="s">
        <v>90</v>
      </c>
      <c r="BB381" s="4">
        <v>10800</v>
      </c>
      <c r="BC381" s="4">
        <v>2700</v>
      </c>
      <c r="BD381" s="4">
        <v>0</v>
      </c>
      <c r="BE381" s="4" t="s">
        <v>91</v>
      </c>
      <c r="BF381" s="4"/>
      <c r="BG381" s="4"/>
      <c r="BH381" s="4" t="s">
        <v>3510</v>
      </c>
      <c r="BI381" s="72"/>
      <c r="BJ381" s="154"/>
      <c r="BK381" s="4"/>
      <c r="BL381" s="105"/>
      <c r="BM381" s="9"/>
      <c r="BN381" s="9"/>
      <c r="BO381" s="9"/>
    </row>
    <row r="382" ht="14.4" s="67" customFormat="1">
      <c r="A382" s="4">
        <v>171461</v>
      </c>
      <c r="B382" s="4"/>
      <c r="C382" s="55" t="s">
        <v>1029</v>
      </c>
      <c r="D382" s="4" t="s">
        <v>1030</v>
      </c>
      <c r="E382" s="4" t="s">
        <v>66</v>
      </c>
      <c r="F382" s="55">
        <v>1310588269</v>
      </c>
      <c r="G382" s="4" t="s">
        <v>67</v>
      </c>
      <c r="H382" s="4" t="s">
        <v>68</v>
      </c>
      <c r="I382" s="4" t="s">
        <v>69</v>
      </c>
      <c r="J382" s="55" t="s">
        <v>319</v>
      </c>
      <c r="K382" s="4" t="s">
        <v>71</v>
      </c>
      <c r="L382" s="4" t="s">
        <v>72</v>
      </c>
      <c r="M382" s="4" t="str">
        <f>VLOOKUP(A382,[1]Sheet1!$C:$G,5,0)</f>
        <v>Halima akter</v>
      </c>
      <c r="N382" s="4" t="s">
        <v>74</v>
      </c>
      <c r="O382" s="4" t="s">
        <v>75</v>
      </c>
      <c r="P382" s="4">
        <v>27</v>
      </c>
      <c r="Q382" s="57">
        <v>45408</v>
      </c>
      <c r="R382" s="57">
        <v>45413</v>
      </c>
      <c r="S382" s="113"/>
      <c r="T382" s="113"/>
      <c r="U382" s="4"/>
      <c r="V382" s="4"/>
      <c r="W382" s="105" t="s">
        <v>1031</v>
      </c>
      <c r="X382" s="114">
        <v>1767125882</v>
      </c>
      <c r="Y382" s="55">
        <v>1929739806</v>
      </c>
      <c r="Z382" s="4" t="s">
        <v>1032</v>
      </c>
      <c r="AA382" s="4">
        <v>1929739806</v>
      </c>
      <c r="AB382" s="4" t="s">
        <v>132</v>
      </c>
      <c r="AC382" s="4" t="s">
        <v>133</v>
      </c>
      <c r="AD382" s="113">
        <v>36795</v>
      </c>
      <c r="AE382" s="107">
        <f t="shared" si="8" ca="1"/>
        <v>24.389041095890413</v>
      </c>
      <c r="AF382" s="4" t="s">
        <v>80</v>
      </c>
      <c r="AG382" s="114">
        <v>6914521510</v>
      </c>
      <c r="AH382" s="4" t="s">
        <v>81</v>
      </c>
      <c r="AI382" s="55" t="s">
        <v>1033</v>
      </c>
      <c r="AJ382" s="55" t="s">
        <v>81</v>
      </c>
      <c r="AK382" s="55">
        <v>2023</v>
      </c>
      <c r="AL382" s="4" t="s">
        <v>1034</v>
      </c>
      <c r="AM382" s="4" t="s">
        <v>1035</v>
      </c>
      <c r="AN382" s="4" t="s">
        <v>1032</v>
      </c>
      <c r="AO382" s="4" t="s">
        <v>1036</v>
      </c>
      <c r="AP382" s="4" t="s">
        <v>1037</v>
      </c>
      <c r="AQ382" s="55" t="s">
        <v>666</v>
      </c>
      <c r="AR382" s="4" t="s">
        <v>110</v>
      </c>
      <c r="AS382" s="4" t="s">
        <v>81</v>
      </c>
      <c r="AT382" s="72" t="s">
        <v>81</v>
      </c>
      <c r="AU382" s="4" t="s">
        <v>81</v>
      </c>
      <c r="AV382" s="4" t="s">
        <v>81</v>
      </c>
      <c r="AW382" s="4" t="s">
        <v>81</v>
      </c>
      <c r="AX382" s="4" t="s">
        <v>81</v>
      </c>
      <c r="AY382" s="4" t="s">
        <v>81</v>
      </c>
      <c r="AZ382" s="4" t="s">
        <v>81</v>
      </c>
      <c r="BA382" s="4" t="s">
        <v>90</v>
      </c>
      <c r="BB382" s="4">
        <v>10800</v>
      </c>
      <c r="BC382" s="4">
        <v>2700</v>
      </c>
      <c r="BD382" s="4">
        <v>0</v>
      </c>
      <c r="BE382" s="4" t="s">
        <v>91</v>
      </c>
      <c r="BF382" s="4"/>
      <c r="BG382" s="4"/>
      <c r="BH382" s="4" t="s">
        <v>3510</v>
      </c>
      <c r="BI382" s="72"/>
      <c r="BJ382" s="154"/>
      <c r="BK382" s="4"/>
      <c r="BL382" s="105"/>
      <c r="BM382" s="9"/>
      <c r="BN382" s="9"/>
      <c r="BO382" s="9"/>
    </row>
    <row r="383" ht="14.4" s="67" customFormat="1">
      <c r="A383" s="4">
        <v>171462</v>
      </c>
      <c r="B383" s="4"/>
      <c r="C383" s="55" t="s">
        <v>1038</v>
      </c>
      <c r="D383" s="4" t="s">
        <v>1039</v>
      </c>
      <c r="E383" s="4" t="s">
        <v>66</v>
      </c>
      <c r="F383" s="55">
        <v>332539</v>
      </c>
      <c r="G383" s="4" t="s">
        <v>67</v>
      </c>
      <c r="H383" s="4" t="s">
        <v>68</v>
      </c>
      <c r="I383" s="4" t="s">
        <v>69</v>
      </c>
      <c r="J383" s="55" t="s">
        <v>341</v>
      </c>
      <c r="K383" s="4" t="s">
        <v>71</v>
      </c>
      <c r="L383" s="4" t="s">
        <v>72</v>
      </c>
      <c r="M383" s="4" t="str">
        <f>VLOOKUP(A383,[1]Sheet1!$C:$G,5,0)</f>
        <v>Md Mehedi Hasan</v>
      </c>
      <c r="N383" s="4" t="s">
        <v>74</v>
      </c>
      <c r="O383" s="4" t="s">
        <v>75</v>
      </c>
      <c r="P383" s="4">
        <v>27</v>
      </c>
      <c r="Q383" s="57">
        <v>45408</v>
      </c>
      <c r="R383" s="57">
        <v>45415</v>
      </c>
      <c r="S383" s="113"/>
      <c r="T383" s="113"/>
      <c r="U383" s="4"/>
      <c r="V383" s="4"/>
      <c r="W383" s="105" t="s">
        <v>1040</v>
      </c>
      <c r="X383" s="114">
        <v>1739803012</v>
      </c>
      <c r="Y383" s="55"/>
      <c r="Z383" s="4" t="s">
        <v>1041</v>
      </c>
      <c r="AA383" s="4" t="s">
        <v>1042</v>
      </c>
      <c r="AB383" s="4" t="s">
        <v>1043</v>
      </c>
      <c r="AC383" s="4" t="s">
        <v>79</v>
      </c>
      <c r="AD383" s="113">
        <v>34319</v>
      </c>
      <c r="AE383" s="107">
        <f t="shared" si="8" ca="1"/>
        <v>31.172602739726027</v>
      </c>
      <c r="AF383" s="4" t="s">
        <v>80</v>
      </c>
      <c r="AG383" s="114">
        <v>5084621340</v>
      </c>
      <c r="AH383" s="4" t="s">
        <v>81</v>
      </c>
      <c r="AI383" s="55" t="s">
        <v>241</v>
      </c>
      <c r="AJ383" s="55" t="s">
        <v>81</v>
      </c>
      <c r="AK383" s="55">
        <v>2021</v>
      </c>
      <c r="AL383" s="4" t="s">
        <v>1044</v>
      </c>
      <c r="AM383" s="4" t="s">
        <v>1045</v>
      </c>
      <c r="AN383" s="4" t="s">
        <v>1046</v>
      </c>
      <c r="AO383" s="4" t="s">
        <v>1047</v>
      </c>
      <c r="AP383" s="4" t="s">
        <v>1048</v>
      </c>
      <c r="AQ383" s="55" t="s">
        <v>1049</v>
      </c>
      <c r="AR383" s="4" t="s">
        <v>110</v>
      </c>
      <c r="AS383" s="4" t="s">
        <v>81</v>
      </c>
      <c r="AT383" s="72" t="s">
        <v>81</v>
      </c>
      <c r="AU383" s="4" t="s">
        <v>81</v>
      </c>
      <c r="AV383" s="4" t="s">
        <v>81</v>
      </c>
      <c r="AW383" s="4" t="s">
        <v>81</v>
      </c>
      <c r="AX383" s="4" t="s">
        <v>81</v>
      </c>
      <c r="AY383" s="4" t="s">
        <v>81</v>
      </c>
      <c r="AZ383" s="4" t="s">
        <v>81</v>
      </c>
      <c r="BA383" s="4" t="s">
        <v>90</v>
      </c>
      <c r="BB383" s="4">
        <v>10800</v>
      </c>
      <c r="BC383" s="4">
        <v>2700</v>
      </c>
      <c r="BD383" s="4">
        <v>0</v>
      </c>
      <c r="BE383" s="4" t="s">
        <v>91</v>
      </c>
      <c r="BF383" s="4"/>
      <c r="BG383" s="4"/>
      <c r="BH383" s="4" t="s">
        <v>3510</v>
      </c>
      <c r="BI383" s="72"/>
      <c r="BJ383" s="154"/>
      <c r="BK383" s="4"/>
      <c r="BL383" s="105"/>
      <c r="BM383" s="9"/>
      <c r="BN383" s="9"/>
      <c r="BO383" s="9"/>
    </row>
    <row r="384" ht="14.4" s="67" customFormat="1">
      <c r="A384" s="4">
        <v>171465</v>
      </c>
      <c r="B384" s="4"/>
      <c r="C384" s="55" t="s">
        <v>1050</v>
      </c>
      <c r="D384" s="4" t="s">
        <v>1051</v>
      </c>
      <c r="E384" s="4" t="s">
        <v>66</v>
      </c>
      <c r="F384" s="55">
        <v>530082</v>
      </c>
      <c r="G384" s="4" t="s">
        <v>67</v>
      </c>
      <c r="H384" s="4" t="s">
        <v>68</v>
      </c>
      <c r="I384" s="4" t="s">
        <v>69</v>
      </c>
      <c r="J384" s="55" t="s">
        <v>341</v>
      </c>
      <c r="K384" s="4" t="s">
        <v>71</v>
      </c>
      <c r="L384" s="4" t="s">
        <v>72</v>
      </c>
      <c r="M384" s="4" t="str">
        <f>VLOOKUP(A384,[1]Sheet1!$C:$G,5,0)</f>
        <v>Md Mehedi Hasan</v>
      </c>
      <c r="N384" s="4" t="s">
        <v>74</v>
      </c>
      <c r="O384" s="4" t="s">
        <v>75</v>
      </c>
      <c r="P384" s="4">
        <v>28</v>
      </c>
      <c r="Q384" s="57">
        <v>45419</v>
      </c>
      <c r="R384" s="57">
        <v>45434</v>
      </c>
      <c r="S384" s="113"/>
      <c r="T384" s="113"/>
      <c r="U384" s="4"/>
      <c r="V384" s="4"/>
      <c r="W384" s="105" t="s">
        <v>1052</v>
      </c>
      <c r="X384" s="114">
        <v>1756009301</v>
      </c>
      <c r="Y384" s="55">
        <v>1945742674</v>
      </c>
      <c r="Z384" s="4" t="s">
        <v>1053</v>
      </c>
      <c r="AA384" s="4">
        <v>1945742674</v>
      </c>
      <c r="AB384" s="4" t="s">
        <v>101</v>
      </c>
      <c r="AC384" s="4" t="s">
        <v>79</v>
      </c>
      <c r="AD384" s="113">
        <v>33409</v>
      </c>
      <c r="AE384" s="107">
        <f t="shared" si="8" ca="1"/>
        <v>33.66575342465753</v>
      </c>
      <c r="AF384" s="4" t="s">
        <v>80</v>
      </c>
      <c r="AG384" s="114">
        <v>5085056967</v>
      </c>
      <c r="AH384" s="4" t="s">
        <v>81</v>
      </c>
      <c r="AI384" s="55" t="s">
        <v>322</v>
      </c>
      <c r="AJ384" s="55" t="s">
        <v>81</v>
      </c>
      <c r="AK384" s="55">
        <v>2015</v>
      </c>
      <c r="AL384" s="4" t="s">
        <v>1054</v>
      </c>
      <c r="AM384" s="4" t="s">
        <v>1055</v>
      </c>
      <c r="AN384" s="4" t="s">
        <v>1056</v>
      </c>
      <c r="AO384" s="4" t="s">
        <v>1057</v>
      </c>
      <c r="AP384" s="4" t="s">
        <v>1057</v>
      </c>
      <c r="AQ384" s="55" t="s">
        <v>1058</v>
      </c>
      <c r="AR384" s="4" t="s">
        <v>110</v>
      </c>
      <c r="AS384" s="4" t="s">
        <v>81</v>
      </c>
      <c r="AT384" s="72" t="s">
        <v>81</v>
      </c>
      <c r="AU384" s="4" t="s">
        <v>81</v>
      </c>
      <c r="AV384" s="4" t="s">
        <v>81</v>
      </c>
      <c r="AW384" s="4" t="s">
        <v>81</v>
      </c>
      <c r="AX384" s="4" t="s">
        <v>81</v>
      </c>
      <c r="AY384" s="4" t="s">
        <v>81</v>
      </c>
      <c r="AZ384" s="4" t="s">
        <v>81</v>
      </c>
      <c r="BA384" s="4" t="s">
        <v>90</v>
      </c>
      <c r="BB384" s="4">
        <v>10800</v>
      </c>
      <c r="BC384" s="4">
        <v>2700</v>
      </c>
      <c r="BD384" s="4">
        <v>0</v>
      </c>
      <c r="BE384" s="4" t="s">
        <v>91</v>
      </c>
      <c r="BF384" s="4"/>
      <c r="BG384" s="4"/>
      <c r="BH384" s="4" t="s">
        <v>3510</v>
      </c>
      <c r="BI384" s="72"/>
      <c r="BJ384" s="154"/>
      <c r="BK384" s="4"/>
      <c r="BL384" s="105"/>
      <c r="BM384" s="9"/>
      <c r="BN384" s="9"/>
      <c r="BO384" s="9"/>
    </row>
    <row r="385" ht="14.4" s="67" customFormat="1">
      <c r="A385" s="4">
        <v>171468</v>
      </c>
      <c r="B385" s="4"/>
      <c r="C385" s="55" t="s">
        <v>1059</v>
      </c>
      <c r="D385" s="4" t="s">
        <v>1060</v>
      </c>
      <c r="E385" s="4" t="s">
        <v>114</v>
      </c>
      <c r="F385" s="55">
        <v>397603</v>
      </c>
      <c r="G385" s="4" t="s">
        <v>67</v>
      </c>
      <c r="H385" s="4" t="s">
        <v>68</v>
      </c>
      <c r="I385" s="4" t="s">
        <v>69</v>
      </c>
      <c r="J385" s="55" t="s">
        <v>307</v>
      </c>
      <c r="K385" s="4" t="s">
        <v>71</v>
      </c>
      <c r="L385" s="4" t="s">
        <v>72</v>
      </c>
      <c r="M385" s="4" t="str">
        <f>VLOOKUP(A385,[1]Sheet1!$C:$G,5,0)</f>
        <v>Sabrina Sultana Mou</v>
      </c>
      <c r="N385" s="4" t="s">
        <v>74</v>
      </c>
      <c r="O385" s="4" t="s">
        <v>75</v>
      </c>
      <c r="P385" s="4">
        <v>28</v>
      </c>
      <c r="Q385" s="57">
        <v>45419</v>
      </c>
      <c r="R385" s="57">
        <v>45434</v>
      </c>
      <c r="S385" s="113"/>
      <c r="T385" s="113"/>
      <c r="U385" s="4"/>
      <c r="V385" s="4"/>
      <c r="W385" s="105" t="s">
        <v>1061</v>
      </c>
      <c r="X385" s="114">
        <v>1937150947</v>
      </c>
      <c r="Y385" s="55">
        <v>1710928221</v>
      </c>
      <c r="Z385" s="4" t="s">
        <v>132</v>
      </c>
      <c r="AA385" s="4">
        <v>1721252203</v>
      </c>
      <c r="AB385" s="4" t="s">
        <v>132</v>
      </c>
      <c r="AC385" s="4" t="s">
        <v>133</v>
      </c>
      <c r="AD385" s="113">
        <v>31734</v>
      </c>
      <c r="AE385" s="107">
        <f t="shared" si="8" ca="1"/>
        <v>38.25479452054795</v>
      </c>
      <c r="AF385" s="4" t="s">
        <v>360</v>
      </c>
      <c r="AG385" s="114">
        <v>1943442770</v>
      </c>
      <c r="AH385" s="4" t="s">
        <v>81</v>
      </c>
      <c r="AI385" s="55" t="s">
        <v>1062</v>
      </c>
      <c r="AJ385" s="55" t="s">
        <v>81</v>
      </c>
      <c r="AK385" s="55">
        <v>2015</v>
      </c>
      <c r="AL385" s="4" t="s">
        <v>1063</v>
      </c>
      <c r="AM385" s="4" t="s">
        <v>1064</v>
      </c>
      <c r="AN385" s="4" t="s">
        <v>1065</v>
      </c>
      <c r="AO385" s="4" t="s">
        <v>1066</v>
      </c>
      <c r="AP385" s="4" t="s">
        <v>1067</v>
      </c>
      <c r="AQ385" s="55" t="s">
        <v>1068</v>
      </c>
      <c r="AR385" s="4" t="s">
        <v>89</v>
      </c>
      <c r="AS385" s="4" t="s">
        <v>81</v>
      </c>
      <c r="AT385" s="72" t="s">
        <v>1069</v>
      </c>
      <c r="AU385" s="4" t="s">
        <v>1070</v>
      </c>
      <c r="AV385" s="4" t="s">
        <v>81</v>
      </c>
      <c r="AW385" s="4" t="s">
        <v>81</v>
      </c>
      <c r="AX385" s="4" t="s">
        <v>81</v>
      </c>
      <c r="AY385" s="4" t="s">
        <v>81</v>
      </c>
      <c r="AZ385" s="4" t="s">
        <v>81</v>
      </c>
      <c r="BA385" s="4" t="s">
        <v>90</v>
      </c>
      <c r="BB385" s="4">
        <v>10800</v>
      </c>
      <c r="BC385" s="4">
        <v>2700</v>
      </c>
      <c r="BD385" s="4">
        <v>0</v>
      </c>
      <c r="BE385" s="4" t="s">
        <v>91</v>
      </c>
      <c r="BF385" s="4"/>
      <c r="BG385" s="4"/>
      <c r="BH385" s="4" t="s">
        <v>3510</v>
      </c>
      <c r="BI385" s="72"/>
      <c r="BJ385" s="154"/>
      <c r="BK385" s="4"/>
      <c r="BL385" s="105"/>
      <c r="BM385" s="9"/>
      <c r="BN385" s="9"/>
      <c r="BO385" s="9"/>
    </row>
    <row r="386" ht="14.4" s="67" customFormat="1">
      <c r="A386" s="4">
        <v>171471</v>
      </c>
      <c r="B386" s="4"/>
      <c r="C386" s="55" t="s">
        <v>1071</v>
      </c>
      <c r="D386" s="4" t="s">
        <v>1072</v>
      </c>
      <c r="E386" s="4" t="s">
        <v>114</v>
      </c>
      <c r="F386" s="55">
        <v>1410949036</v>
      </c>
      <c r="G386" s="4" t="s">
        <v>67</v>
      </c>
      <c r="H386" s="4" t="s">
        <v>68</v>
      </c>
      <c r="I386" s="4" t="s">
        <v>69</v>
      </c>
      <c r="J386" s="55" t="s">
        <v>97</v>
      </c>
      <c r="K386" s="4" t="s">
        <v>71</v>
      </c>
      <c r="L386" s="4" t="s">
        <v>72</v>
      </c>
      <c r="M386" s="4" t="str">
        <f>VLOOKUP(A386,[1]Sheet1!$C:$G,5,0)</f>
        <v>Halima akter</v>
      </c>
      <c r="N386" s="4" t="s">
        <v>74</v>
      </c>
      <c r="O386" s="4" t="s">
        <v>75</v>
      </c>
      <c r="P386" s="4">
        <v>28</v>
      </c>
      <c r="Q386" s="57">
        <v>45419</v>
      </c>
      <c r="R386" s="57">
        <v>45428</v>
      </c>
      <c r="S386" s="113"/>
      <c r="T386" s="113"/>
      <c r="U386" s="4"/>
      <c r="V386" s="4"/>
      <c r="W386" s="105" t="s">
        <v>1073</v>
      </c>
      <c r="X386" s="114">
        <v>1521326041</v>
      </c>
      <c r="Y386" s="55">
        <v>1819486114</v>
      </c>
      <c r="Z386" s="4" t="s">
        <v>1074</v>
      </c>
      <c r="AA386" s="4">
        <v>1819486114</v>
      </c>
      <c r="AB386" s="4" t="s">
        <v>132</v>
      </c>
      <c r="AC386" s="4" t="s">
        <v>79</v>
      </c>
      <c r="AD386" s="113">
        <v>36954</v>
      </c>
      <c r="AE386" s="107">
        <f t="shared" si="8" ca="1"/>
        <v>23.953424657534246</v>
      </c>
      <c r="AF386" s="4" t="s">
        <v>80</v>
      </c>
      <c r="AG386" s="114">
        <v>1964270464</v>
      </c>
      <c r="AH386" s="4" t="s">
        <v>81</v>
      </c>
      <c r="AI386" s="55" t="s">
        <v>290</v>
      </c>
      <c r="AJ386" s="55" t="s">
        <v>81</v>
      </c>
      <c r="AK386" s="55">
        <v>2024</v>
      </c>
      <c r="AL386" s="4" t="s">
        <v>995</v>
      </c>
      <c r="AM386" s="4" t="s">
        <v>1075</v>
      </c>
      <c r="AN386" s="4" t="s">
        <v>1074</v>
      </c>
      <c r="AO386" s="4" t="s">
        <v>1076</v>
      </c>
      <c r="AP386" s="4" t="s">
        <v>1076</v>
      </c>
      <c r="AQ386" s="55" t="s">
        <v>203</v>
      </c>
      <c r="AR386" s="4" t="s">
        <v>110</v>
      </c>
      <c r="AS386" s="4" t="s">
        <v>1077</v>
      </c>
      <c r="AT386" s="72" t="s">
        <v>81</v>
      </c>
      <c r="AU386" s="4" t="s">
        <v>81</v>
      </c>
      <c r="AV386" s="4" t="s">
        <v>81</v>
      </c>
      <c r="AW386" s="4" t="s">
        <v>81</v>
      </c>
      <c r="AX386" s="4" t="s">
        <v>81</v>
      </c>
      <c r="AY386" s="4" t="s">
        <v>81</v>
      </c>
      <c r="AZ386" s="4" t="s">
        <v>81</v>
      </c>
      <c r="BA386" s="4" t="s">
        <v>90</v>
      </c>
      <c r="BB386" s="4">
        <v>10800</v>
      </c>
      <c r="BC386" s="4">
        <v>2700</v>
      </c>
      <c r="BD386" s="4">
        <v>0</v>
      </c>
      <c r="BE386" s="4" t="s">
        <v>91</v>
      </c>
      <c r="BF386" s="4"/>
      <c r="BG386" s="4"/>
      <c r="BH386" s="4" t="s">
        <v>3510</v>
      </c>
      <c r="BI386" s="72"/>
      <c r="BJ386" s="154"/>
      <c r="BK386" s="4"/>
      <c r="BL386" s="105"/>
      <c r="BM386" s="9"/>
      <c r="BN386" s="9"/>
      <c r="BO386" s="9"/>
    </row>
    <row r="387" ht="14.4" s="67" customFormat="1">
      <c r="A387" s="4">
        <v>171472</v>
      </c>
      <c r="B387" s="4"/>
      <c r="C387" s="55" t="s">
        <v>1078</v>
      </c>
      <c r="D387" s="4" t="s">
        <v>1079</v>
      </c>
      <c r="E387" s="4" t="s">
        <v>114</v>
      </c>
      <c r="F387" s="55">
        <v>1410461651</v>
      </c>
      <c r="G387" s="4" t="s">
        <v>67</v>
      </c>
      <c r="H387" s="4" t="s">
        <v>68</v>
      </c>
      <c r="I387" s="4" t="s">
        <v>69</v>
      </c>
      <c r="J387" s="55" t="s">
        <v>297</v>
      </c>
      <c r="K387" s="4" t="s">
        <v>71</v>
      </c>
      <c r="L387" s="4" t="s">
        <v>72</v>
      </c>
      <c r="M387" s="4" t="str">
        <f>VLOOKUP(A387,[1]Sheet1!$C:$G,5,0)</f>
        <v>Abdulla Al Mamun</v>
      </c>
      <c r="N387" s="4" t="s">
        <v>74</v>
      </c>
      <c r="O387" s="4" t="s">
        <v>75</v>
      </c>
      <c r="P387" s="4">
        <v>28</v>
      </c>
      <c r="Q387" s="57">
        <v>45419</v>
      </c>
      <c r="R387" s="57">
        <v>45434</v>
      </c>
      <c r="S387" s="113"/>
      <c r="T387" s="113"/>
      <c r="U387" s="4"/>
      <c r="V387" s="4"/>
      <c r="W387" s="105" t="s">
        <v>1080</v>
      </c>
      <c r="X387" s="114">
        <v>1711139417</v>
      </c>
      <c r="Y387" s="55"/>
      <c r="Z387" s="4" t="s">
        <v>1081</v>
      </c>
      <c r="AA387" s="4">
        <v>1970601552</v>
      </c>
      <c r="AB387" s="4" t="s">
        <v>101</v>
      </c>
      <c r="AC387" s="4" t="s">
        <v>79</v>
      </c>
      <c r="AD387" s="113">
        <v>36545</v>
      </c>
      <c r="AE387" s="107">
        <f t="shared" si="8" ca="1"/>
        <v>25.073972602739726</v>
      </c>
      <c r="AF387" s="4" t="s">
        <v>80</v>
      </c>
      <c r="AG387" s="114">
        <v>1030575151</v>
      </c>
      <c r="AH387" s="4" t="s">
        <v>81</v>
      </c>
      <c r="AI387" s="55" t="s">
        <v>1082</v>
      </c>
      <c r="AJ387" s="55" t="s">
        <v>81</v>
      </c>
      <c r="AK387" s="55">
        <v>2023</v>
      </c>
      <c r="AL387" s="4" t="s">
        <v>1083</v>
      </c>
      <c r="AM387" s="4" t="s">
        <v>1081</v>
      </c>
      <c r="AN387" s="4" t="s">
        <v>1084</v>
      </c>
      <c r="AO387" s="4" t="s">
        <v>1085</v>
      </c>
      <c r="AP387" s="4" t="s">
        <v>1086</v>
      </c>
      <c r="AQ387" s="55" t="s">
        <v>1087</v>
      </c>
      <c r="AR387" s="4" t="s">
        <v>110</v>
      </c>
      <c r="AS387" s="4" t="s">
        <v>81</v>
      </c>
      <c r="AT387" s="72" t="s">
        <v>81</v>
      </c>
      <c r="AU387" s="4" t="s">
        <v>81</v>
      </c>
      <c r="AV387" s="4" t="s">
        <v>81</v>
      </c>
      <c r="AW387" s="4" t="s">
        <v>81</v>
      </c>
      <c r="AX387" s="4" t="s">
        <v>81</v>
      </c>
      <c r="AY387" s="4" t="s">
        <v>81</v>
      </c>
      <c r="AZ387" s="4" t="s">
        <v>81</v>
      </c>
      <c r="BA387" s="4" t="s">
        <v>90</v>
      </c>
      <c r="BB387" s="4">
        <v>10800</v>
      </c>
      <c r="BC387" s="4">
        <v>2700</v>
      </c>
      <c r="BD387" s="4">
        <v>0</v>
      </c>
      <c r="BE387" s="4" t="s">
        <v>91</v>
      </c>
      <c r="BF387" s="4"/>
      <c r="BG387" s="4"/>
      <c r="BH387" s="4" t="s">
        <v>3510</v>
      </c>
      <c r="BI387" s="72"/>
      <c r="BJ387" s="154"/>
      <c r="BK387" s="4"/>
      <c r="BL387" s="105"/>
      <c r="BM387" s="9"/>
      <c r="BN387" s="9"/>
      <c r="BO387" s="9"/>
    </row>
    <row r="388" ht="14.4" s="67" customFormat="1">
      <c r="A388" s="4">
        <v>171474</v>
      </c>
      <c r="B388" s="4"/>
      <c r="C388" s="55"/>
      <c r="D388" s="4" t="s">
        <v>1088</v>
      </c>
      <c r="E388" s="4" t="s">
        <v>114</v>
      </c>
      <c r="F388" s="55">
        <v>566701</v>
      </c>
      <c r="G388" s="4" t="s">
        <v>67</v>
      </c>
      <c r="H388" s="4" t="s">
        <v>68</v>
      </c>
      <c r="I388" s="4" t="s">
        <v>69</v>
      </c>
      <c r="J388" s="55" t="s">
        <v>297</v>
      </c>
      <c r="K388" s="4" t="s">
        <v>71</v>
      </c>
      <c r="L388" s="4" t="s">
        <v>72</v>
      </c>
      <c r="M388" s="4" t="str">
        <f>VLOOKUP(A388,[1]Sheet1!$C:$G,5,0)</f>
        <v>Halima akter</v>
      </c>
      <c r="N388" s="4" t="s">
        <v>74</v>
      </c>
      <c r="O388" s="4" t="s">
        <v>75</v>
      </c>
      <c r="P388" s="4">
        <v>28</v>
      </c>
      <c r="Q388" s="57">
        <v>45419</v>
      </c>
      <c r="R388" s="57">
        <v>45434</v>
      </c>
      <c r="S388" s="113"/>
      <c r="T388" s="113"/>
      <c r="U388" s="4"/>
      <c r="V388" s="4"/>
      <c r="W388" s="105" t="s">
        <v>1089</v>
      </c>
      <c r="X388" s="114">
        <v>1819148012</v>
      </c>
      <c r="Y388" s="55"/>
      <c r="Z388" s="4" t="s">
        <v>1090</v>
      </c>
      <c r="AA388" s="4">
        <v>1303131139</v>
      </c>
      <c r="AB388" s="4" t="s">
        <v>252</v>
      </c>
      <c r="AC388" s="4" t="s">
        <v>79</v>
      </c>
      <c r="AD388" s="113">
        <v>35267</v>
      </c>
      <c r="AE388" s="107">
        <f t="shared" si="8" ca="1"/>
        <v>28.575342465753426</v>
      </c>
      <c r="AF388" s="4" t="s">
        <v>80</v>
      </c>
      <c r="AG388" s="114">
        <v>8703314487</v>
      </c>
      <c r="AH388" s="4" t="s">
        <v>81</v>
      </c>
      <c r="AI388" s="55" t="s">
        <v>683</v>
      </c>
      <c r="AJ388" s="55" t="s">
        <v>81</v>
      </c>
      <c r="AK388" s="55">
        <v>2019</v>
      </c>
      <c r="AL388" s="4" t="s">
        <v>1091</v>
      </c>
      <c r="AM388" s="4" t="s">
        <v>1092</v>
      </c>
      <c r="AN388" s="4" t="s">
        <v>1093</v>
      </c>
      <c r="AO388" s="4" t="s">
        <v>1094</v>
      </c>
      <c r="AP388" s="4" t="s">
        <v>1095</v>
      </c>
      <c r="AQ388" s="55" t="s">
        <v>1096</v>
      </c>
      <c r="AR388" s="4" t="s">
        <v>110</v>
      </c>
      <c r="AS388" s="4" t="s">
        <v>81</v>
      </c>
      <c r="AT388" s="72" t="s">
        <v>81</v>
      </c>
      <c r="AU388" s="4" t="s">
        <v>81</v>
      </c>
      <c r="AV388" s="4" t="s">
        <v>81</v>
      </c>
      <c r="AW388" s="4" t="s">
        <v>81</v>
      </c>
      <c r="AX388" s="4" t="s">
        <v>81</v>
      </c>
      <c r="AY388" s="4" t="s">
        <v>81</v>
      </c>
      <c r="AZ388" s="4" t="s">
        <v>81</v>
      </c>
      <c r="BA388" s="4" t="s">
        <v>90</v>
      </c>
      <c r="BB388" s="4">
        <v>10800</v>
      </c>
      <c r="BC388" s="4">
        <v>2700</v>
      </c>
      <c r="BD388" s="4">
        <v>0</v>
      </c>
      <c r="BE388" s="4" t="s">
        <v>91</v>
      </c>
      <c r="BF388" s="4"/>
      <c r="BG388" s="4"/>
      <c r="BH388" s="4" t="s">
        <v>3510</v>
      </c>
      <c r="BI388" s="72"/>
      <c r="BJ388" s="154"/>
      <c r="BK388" s="4"/>
      <c r="BL388" s="105"/>
      <c r="BM388" s="9"/>
      <c r="BN388" s="9"/>
      <c r="BO388" s="9"/>
    </row>
    <row r="389" ht="14.4" s="67" customFormat="1">
      <c r="A389" s="4">
        <v>171476</v>
      </c>
      <c r="B389" s="4"/>
      <c r="C389" s="55" t="s">
        <v>1097</v>
      </c>
      <c r="D389" s="4" t="s">
        <v>1098</v>
      </c>
      <c r="E389" s="4" t="s">
        <v>66</v>
      </c>
      <c r="F389" s="55">
        <v>1210864593</v>
      </c>
      <c r="G389" s="4" t="s">
        <v>67</v>
      </c>
      <c r="H389" s="4" t="s">
        <v>68</v>
      </c>
      <c r="I389" s="4" t="s">
        <v>69</v>
      </c>
      <c r="J389" s="55" t="s">
        <v>319</v>
      </c>
      <c r="K389" s="4" t="s">
        <v>71</v>
      </c>
      <c r="L389" s="4" t="s">
        <v>72</v>
      </c>
      <c r="M389" s="4" t="str">
        <f>VLOOKUP(A389,[1]Sheet1!$C:$G,5,0)</f>
        <v>Halima akter</v>
      </c>
      <c r="N389" s="4" t="s">
        <v>74</v>
      </c>
      <c r="O389" s="4" t="s">
        <v>75</v>
      </c>
      <c r="P389" s="4">
        <v>28</v>
      </c>
      <c r="Q389" s="57">
        <v>45419</v>
      </c>
      <c r="R389" s="57">
        <v>45434</v>
      </c>
      <c r="S389" s="113"/>
      <c r="T389" s="113"/>
      <c r="U389" s="4"/>
      <c r="V389" s="4"/>
      <c r="W389" s="105" t="s">
        <v>1099</v>
      </c>
      <c r="X389" s="114">
        <v>1533954125</v>
      </c>
      <c r="Y389" s="55">
        <v>1944001291</v>
      </c>
      <c r="Z389" s="4" t="s">
        <v>1100</v>
      </c>
      <c r="AA389" s="4">
        <v>1725327280</v>
      </c>
      <c r="AB389" s="4" t="s">
        <v>101</v>
      </c>
      <c r="AC389" s="4" t="s">
        <v>133</v>
      </c>
      <c r="AD389" s="113">
        <v>36243</v>
      </c>
      <c r="AE389" s="107">
        <f t="shared" si="8" ca="1"/>
        <v>25.9013698630137</v>
      </c>
      <c r="AF389" s="4" t="s">
        <v>360</v>
      </c>
      <c r="AG389" s="114">
        <v>5107629122</v>
      </c>
      <c r="AH389" s="4" t="s">
        <v>81</v>
      </c>
      <c r="AI389" s="55" t="s">
        <v>1101</v>
      </c>
      <c r="AJ389" s="55" t="s">
        <v>81</v>
      </c>
      <c r="AK389" s="55">
        <v>2024</v>
      </c>
      <c r="AL389" s="4" t="s">
        <v>1102</v>
      </c>
      <c r="AM389" s="4" t="s">
        <v>1100</v>
      </c>
      <c r="AN389" s="4" t="s">
        <v>1103</v>
      </c>
      <c r="AO389" s="4" t="s">
        <v>1104</v>
      </c>
      <c r="AP389" s="4" t="s">
        <v>1104</v>
      </c>
      <c r="AQ389" s="55" t="s">
        <v>666</v>
      </c>
      <c r="AR389" s="4" t="s">
        <v>110</v>
      </c>
      <c r="AS389" s="4" t="s">
        <v>81</v>
      </c>
      <c r="AT389" s="72" t="s">
        <v>81</v>
      </c>
      <c r="AU389" s="4" t="s">
        <v>81</v>
      </c>
      <c r="AV389" s="4" t="s">
        <v>81</v>
      </c>
      <c r="AW389" s="4" t="s">
        <v>81</v>
      </c>
      <c r="AX389" s="4" t="s">
        <v>81</v>
      </c>
      <c r="AY389" s="4" t="s">
        <v>81</v>
      </c>
      <c r="AZ389" s="4" t="s">
        <v>81</v>
      </c>
      <c r="BA389" s="4" t="s">
        <v>90</v>
      </c>
      <c r="BB389" s="4">
        <v>10800</v>
      </c>
      <c r="BC389" s="4">
        <v>2700</v>
      </c>
      <c r="BD389" s="4">
        <v>0</v>
      </c>
      <c r="BE389" s="4" t="s">
        <v>91</v>
      </c>
      <c r="BF389" s="4"/>
      <c r="BG389" s="4"/>
      <c r="BH389" s="4" t="s">
        <v>3510</v>
      </c>
      <c r="BI389" s="72"/>
      <c r="BJ389" s="154"/>
      <c r="BK389" s="4"/>
      <c r="BL389" s="105"/>
      <c r="BM389" s="9"/>
      <c r="BN389" s="9"/>
      <c r="BO389" s="9"/>
    </row>
    <row r="390" ht="14.4" s="67" customFormat="1">
      <c r="A390" s="4">
        <v>171478</v>
      </c>
      <c r="B390" s="4"/>
      <c r="C390" s="55" t="s">
        <v>6492</v>
      </c>
      <c r="D390" s="4" t="s">
        <v>6493</v>
      </c>
      <c r="E390" s="4" t="s">
        <v>114</v>
      </c>
      <c r="F390" s="55">
        <v>1212660018</v>
      </c>
      <c r="G390" s="4" t="s">
        <v>67</v>
      </c>
      <c r="H390" s="4" t="s">
        <v>68</v>
      </c>
      <c r="I390" s="4" t="s">
        <v>69</v>
      </c>
      <c r="J390" s="55" t="s">
        <v>155</v>
      </c>
      <c r="K390" s="4" t="s">
        <v>71</v>
      </c>
      <c r="L390" s="4" t="s">
        <v>72</v>
      </c>
      <c r="M390" s="4" t="str">
        <f>VLOOKUP(A390,[1]Sheet1!$C:$G,5,0)</f>
        <v>Nasir Uddin</v>
      </c>
      <c r="N390" s="4" t="s">
        <v>74</v>
      </c>
      <c r="O390" s="4" t="s">
        <v>75</v>
      </c>
      <c r="P390" s="4">
        <v>28</v>
      </c>
      <c r="Q390" s="57">
        <v>45419</v>
      </c>
      <c r="R390" s="57">
        <v>45439</v>
      </c>
      <c r="S390" s="113"/>
      <c r="T390" s="113"/>
      <c r="U390" s="4"/>
      <c r="V390" s="4"/>
      <c r="W390" s="105" t="s">
        <v>6494</v>
      </c>
      <c r="X390" s="114">
        <v>1774298663</v>
      </c>
      <c r="Y390" s="55">
        <v>1774298663</v>
      </c>
      <c r="Z390" s="4" t="s">
        <v>6495</v>
      </c>
      <c r="AA390" s="4">
        <v>1745172061</v>
      </c>
      <c r="AB390" s="4" t="s">
        <v>101</v>
      </c>
      <c r="AC390" s="4" t="s">
        <v>79</v>
      </c>
      <c r="AD390" s="113">
        <v>36438</v>
      </c>
      <c r="AE390" s="107">
        <f t="shared" si="8" ca="1"/>
        <v>25.367123287671234</v>
      </c>
      <c r="AF390" s="4" t="s">
        <v>80</v>
      </c>
      <c r="AG390" s="114">
        <v>1027014503</v>
      </c>
      <c r="AH390" s="4" t="s">
        <v>81</v>
      </c>
      <c r="AI390" s="55" t="s">
        <v>2523</v>
      </c>
      <c r="AJ390" s="55" t="s">
        <v>81</v>
      </c>
      <c r="AK390" s="55">
        <v>2022</v>
      </c>
      <c r="AL390" s="4" t="s">
        <v>1287</v>
      </c>
      <c r="AM390" s="4" t="s">
        <v>6496</v>
      </c>
      <c r="AN390" s="4" t="s">
        <v>6497</v>
      </c>
      <c r="AO390" s="4" t="s">
        <v>6498</v>
      </c>
      <c r="AP390" s="4" t="s">
        <v>6499</v>
      </c>
      <c r="AQ390" s="55" t="s">
        <v>6500</v>
      </c>
      <c r="AR390" s="4" t="s">
        <v>110</v>
      </c>
      <c r="AS390" s="4" t="s">
        <v>81</v>
      </c>
      <c r="AT390" s="72" t="s">
        <v>81</v>
      </c>
      <c r="AU390" s="4" t="s">
        <v>81</v>
      </c>
      <c r="AV390" s="4" t="s">
        <v>81</v>
      </c>
      <c r="AW390" s="4" t="s">
        <v>81</v>
      </c>
      <c r="AX390" s="4" t="s">
        <v>81</v>
      </c>
      <c r="AY390" s="4" t="s">
        <v>81</v>
      </c>
      <c r="AZ390" s="4" t="s">
        <v>81</v>
      </c>
      <c r="BA390" s="4" t="s">
        <v>90</v>
      </c>
      <c r="BB390" s="4">
        <v>10800</v>
      </c>
      <c r="BC390" s="4">
        <v>2700</v>
      </c>
      <c r="BD390" s="4">
        <v>1000</v>
      </c>
      <c r="BE390" s="4" t="s">
        <v>166</v>
      </c>
      <c r="BF390" s="4"/>
      <c r="BG390" s="4"/>
      <c r="BH390" s="4" t="s">
        <v>3510</v>
      </c>
      <c r="BI390" s="72">
        <f>VLOOKUP(A390,'ID Block'!A:L,12,0)</f>
        <v>45582</v>
      </c>
      <c r="BJ390" s="154" t="str">
        <f>VLOOKUP(A390,'ID Block'!A:M,13,0)</f>
        <v>Family Issue</v>
      </c>
      <c r="BK390" s="4">
        <f ref="BK390:BK433" t="shared" si="9">BI390-R390</f>
        <v>143</v>
      </c>
      <c r="BL390" s="105"/>
      <c r="BM390" s="9"/>
      <c r="BN390" s="9"/>
      <c r="BO390" s="9"/>
    </row>
    <row r="391" ht="14.4" s="67" customFormat="1">
      <c r="A391" s="4">
        <v>171483</v>
      </c>
      <c r="B391" s="4"/>
      <c r="C391" s="55" t="s">
        <v>1105</v>
      </c>
      <c r="D391" s="4" t="s">
        <v>1106</v>
      </c>
      <c r="E391" s="4" t="s">
        <v>114</v>
      </c>
      <c r="F391" s="55">
        <v>1410849212</v>
      </c>
      <c r="G391" s="4" t="s">
        <v>67</v>
      </c>
      <c r="H391" s="4" t="s">
        <v>68</v>
      </c>
      <c r="I391" s="4" t="s">
        <v>69</v>
      </c>
      <c r="J391" s="55" t="s">
        <v>155</v>
      </c>
      <c r="K391" s="4" t="s">
        <v>71</v>
      </c>
      <c r="L391" s="4" t="s">
        <v>72</v>
      </c>
      <c r="M391" s="4" t="str">
        <f>VLOOKUP(A391,[1]Sheet1!$C:$G,5,0)</f>
        <v>Abu MD. Rifat Imtiaz</v>
      </c>
      <c r="N391" s="4" t="s">
        <v>74</v>
      </c>
      <c r="O391" s="4" t="s">
        <v>75</v>
      </c>
      <c r="P391" s="4">
        <v>28</v>
      </c>
      <c r="Q391" s="57">
        <v>45419</v>
      </c>
      <c r="R391" s="57">
        <v>45438</v>
      </c>
      <c r="S391" s="113"/>
      <c r="T391" s="113"/>
      <c r="U391" s="4"/>
      <c r="V391" s="4"/>
      <c r="W391" s="105" t="s">
        <v>1107</v>
      </c>
      <c r="X391" s="114">
        <v>1956090283</v>
      </c>
      <c r="Y391" s="55">
        <v>1954943389</v>
      </c>
      <c r="Z391" s="4" t="s">
        <v>1108</v>
      </c>
      <c r="AA391" s="4">
        <v>1954943389</v>
      </c>
      <c r="AB391" s="4" t="s">
        <v>132</v>
      </c>
      <c r="AC391" s="4" t="s">
        <v>1109</v>
      </c>
      <c r="AD391" s="113">
        <v>37285</v>
      </c>
      <c r="AE391" s="107">
        <f t="shared" si="8" ca="1"/>
        <v>23.046575342465754</v>
      </c>
      <c r="AF391" s="4" t="s">
        <v>80</v>
      </c>
      <c r="AG391" s="114">
        <v>1963920572</v>
      </c>
      <c r="AH391" s="4" t="s">
        <v>81</v>
      </c>
      <c r="AI391" s="55" t="s">
        <v>322</v>
      </c>
      <c r="AJ391" s="55" t="s">
        <v>81</v>
      </c>
      <c r="AK391" s="55">
        <v>2024</v>
      </c>
      <c r="AL391" s="4" t="s">
        <v>106</v>
      </c>
      <c r="AM391" s="4" t="s">
        <v>1110</v>
      </c>
      <c r="AN391" s="4" t="s">
        <v>1108</v>
      </c>
      <c r="AO391" s="4" t="s">
        <v>1111</v>
      </c>
      <c r="AP391" s="4" t="s">
        <v>1112</v>
      </c>
      <c r="AQ391" s="55" t="s">
        <v>328</v>
      </c>
      <c r="AR391" s="4" t="s">
        <v>110</v>
      </c>
      <c r="AS391" s="4" t="s">
        <v>81</v>
      </c>
      <c r="AT391" s="72" t="s">
        <v>81</v>
      </c>
      <c r="AU391" s="4" t="s">
        <v>81</v>
      </c>
      <c r="AV391" s="4" t="s">
        <v>81</v>
      </c>
      <c r="AW391" s="4" t="s">
        <v>81</v>
      </c>
      <c r="AX391" s="4" t="s">
        <v>81</v>
      </c>
      <c r="AY391" s="4" t="s">
        <v>81</v>
      </c>
      <c r="AZ391" s="4" t="s">
        <v>81</v>
      </c>
      <c r="BA391" s="4" t="s">
        <v>90</v>
      </c>
      <c r="BB391" s="4">
        <v>10800</v>
      </c>
      <c r="BC391" s="4">
        <v>2700</v>
      </c>
      <c r="BD391" s="4">
        <v>1000</v>
      </c>
      <c r="BE391" s="4" t="s">
        <v>166</v>
      </c>
      <c r="BF391" s="4"/>
      <c r="BG391" s="4"/>
      <c r="BH391" s="4" t="s">
        <v>3510</v>
      </c>
      <c r="BI391" s="72"/>
      <c r="BJ391" s="154"/>
      <c r="BK391" s="4"/>
      <c r="BL391" s="105"/>
      <c r="BM391" s="9"/>
      <c r="BN391" s="9"/>
      <c r="BO391" s="9"/>
    </row>
    <row r="392" ht="17.55" customHeight="1" s="67" customFormat="1">
      <c r="A392" s="4">
        <v>171484</v>
      </c>
      <c r="B392" s="4"/>
      <c r="C392" s="55" t="s">
        <v>1113</v>
      </c>
      <c r="D392" s="4" t="s">
        <v>1114</v>
      </c>
      <c r="E392" s="4" t="s">
        <v>114</v>
      </c>
      <c r="F392" s="55">
        <v>1118802135</v>
      </c>
      <c r="G392" s="4" t="s">
        <v>67</v>
      </c>
      <c r="H392" s="4" t="s">
        <v>68</v>
      </c>
      <c r="I392" s="4" t="s">
        <v>69</v>
      </c>
      <c r="J392" s="55" t="s">
        <v>319</v>
      </c>
      <c r="K392" s="4" t="s">
        <v>71</v>
      </c>
      <c r="L392" s="4" t="s">
        <v>72</v>
      </c>
      <c r="M392" s="4" t="str">
        <f>VLOOKUP(A392,[1]Sheet1!$C:$G,5,0)</f>
        <v>Halima akter</v>
      </c>
      <c r="N392" s="4" t="s">
        <v>74</v>
      </c>
      <c r="O392" s="4" t="s">
        <v>75</v>
      </c>
      <c r="P392" s="4">
        <v>29</v>
      </c>
      <c r="Q392" s="57">
        <v>45432</v>
      </c>
      <c r="R392" s="57">
        <v>45444</v>
      </c>
      <c r="S392" s="113"/>
      <c r="T392" s="113"/>
      <c r="U392" s="4"/>
      <c r="V392" s="4"/>
      <c r="W392" s="105" t="s">
        <v>1115</v>
      </c>
      <c r="X392" s="114">
        <v>1937393525</v>
      </c>
      <c r="Y392" s="55"/>
      <c r="Z392" s="4" t="s">
        <v>1116</v>
      </c>
      <c r="AA392" s="4">
        <v>1931315076</v>
      </c>
      <c r="AB392" s="4" t="s">
        <v>252</v>
      </c>
      <c r="AC392" s="4" t="s">
        <v>133</v>
      </c>
      <c r="AD392" s="113">
        <v>35967</v>
      </c>
      <c r="AE392" s="107">
        <f t="shared" si="8" ca="1"/>
        <v>26.65753424657534</v>
      </c>
      <c r="AF392" s="4" t="s">
        <v>80</v>
      </c>
      <c r="AG392" s="114">
        <v>2861037832</v>
      </c>
      <c r="AH392" s="4" t="s">
        <v>1117</v>
      </c>
      <c r="AI392" s="55" t="s">
        <v>347</v>
      </c>
      <c r="AJ392" s="55" t="s">
        <v>1118</v>
      </c>
      <c r="AK392" s="55">
        <v>2020</v>
      </c>
      <c r="AL392" s="4" t="s">
        <v>1118</v>
      </c>
      <c r="AM392" s="4" t="s">
        <v>1119</v>
      </c>
      <c r="AN392" s="4" t="s">
        <v>888</v>
      </c>
      <c r="AO392" s="4" t="s">
        <v>1120</v>
      </c>
      <c r="AP392" s="4" t="s">
        <v>1121</v>
      </c>
      <c r="AQ392" s="55" t="s">
        <v>1122</v>
      </c>
      <c r="AR392" s="4" t="s">
        <v>110</v>
      </c>
      <c r="AS392" s="4" t="s">
        <v>81</v>
      </c>
      <c r="AT392" s="72" t="s">
        <v>81</v>
      </c>
      <c r="AU392" s="4" t="s">
        <v>81</v>
      </c>
      <c r="AV392" s="4" t="s">
        <v>81</v>
      </c>
      <c r="AW392" s="4" t="s">
        <v>81</v>
      </c>
      <c r="AX392" s="4" t="s">
        <v>81</v>
      </c>
      <c r="AY392" s="4" t="s">
        <v>81</v>
      </c>
      <c r="AZ392" s="4" t="s">
        <v>81</v>
      </c>
      <c r="BA392" s="4" t="s">
        <v>90</v>
      </c>
      <c r="BB392" s="4">
        <v>10800</v>
      </c>
      <c r="BC392" s="4">
        <v>2700</v>
      </c>
      <c r="BD392" s="4">
        <v>0</v>
      </c>
      <c r="BE392" s="4" t="s">
        <v>91</v>
      </c>
      <c r="BF392" s="4"/>
      <c r="BG392" s="4"/>
      <c r="BH392" s="4" t="s">
        <v>3510</v>
      </c>
      <c r="BI392" s="72"/>
      <c r="BJ392" s="154"/>
      <c r="BK392" s="4"/>
      <c r="BL392" s="105"/>
      <c r="BM392" s="9"/>
      <c r="BN392" s="9"/>
      <c r="BO392" s="9"/>
    </row>
    <row r="393" ht="14.4" s="67" customFormat="1">
      <c r="A393" s="4">
        <v>171486</v>
      </c>
      <c r="B393" s="4"/>
      <c r="C393" s="55" t="s">
        <v>1123</v>
      </c>
      <c r="D393" s="4" t="s">
        <v>1124</v>
      </c>
      <c r="E393" s="4" t="s">
        <v>66</v>
      </c>
      <c r="F393" s="55">
        <v>1010655917</v>
      </c>
      <c r="G393" s="4" t="s">
        <v>67</v>
      </c>
      <c r="H393" s="4" t="s">
        <v>68</v>
      </c>
      <c r="I393" s="4" t="s">
        <v>69</v>
      </c>
      <c r="J393" s="55" t="s">
        <v>297</v>
      </c>
      <c r="K393" s="4" t="s">
        <v>71</v>
      </c>
      <c r="L393" s="4" t="s">
        <v>72</v>
      </c>
      <c r="M393" s="4" t="str">
        <f>VLOOKUP(A393,[1]Sheet1!$C:$G,5,0)</f>
        <v>Abdulla Al Mamun</v>
      </c>
      <c r="N393" s="4" t="s">
        <v>74</v>
      </c>
      <c r="O393" s="4" t="s">
        <v>75</v>
      </c>
      <c r="P393" s="4">
        <v>29</v>
      </c>
      <c r="Q393" s="57">
        <v>45432</v>
      </c>
      <c r="R393" s="57">
        <v>45444</v>
      </c>
      <c r="S393" s="113"/>
      <c r="T393" s="113"/>
      <c r="U393" s="4"/>
      <c r="V393" s="4"/>
      <c r="W393" s="105" t="s">
        <v>1125</v>
      </c>
      <c r="X393" s="114">
        <v>1880836177</v>
      </c>
      <c r="Y393" s="55"/>
      <c r="Z393" s="4" t="s">
        <v>1126</v>
      </c>
      <c r="AA393" s="4">
        <v>1913775791</v>
      </c>
      <c r="AB393" s="4" t="s">
        <v>118</v>
      </c>
      <c r="AC393" s="4" t="s">
        <v>79</v>
      </c>
      <c r="AD393" s="113">
        <v>35792</v>
      </c>
      <c r="AE393" s="107">
        <f t="shared" si="8" ca="1"/>
        <v>27.136986301369863</v>
      </c>
      <c r="AF393" s="4" t="s">
        <v>80</v>
      </c>
      <c r="AG393" s="114">
        <v>6912962153</v>
      </c>
      <c r="AH393" s="4" t="s">
        <v>81</v>
      </c>
      <c r="AI393" s="55" t="s">
        <v>925</v>
      </c>
      <c r="AJ393" s="55" t="s">
        <v>81</v>
      </c>
      <c r="AK393" s="55">
        <v>2019</v>
      </c>
      <c r="AL393" s="4" t="s">
        <v>1127</v>
      </c>
      <c r="AM393" s="4" t="s">
        <v>1128</v>
      </c>
      <c r="AN393" s="4" t="s">
        <v>1129</v>
      </c>
      <c r="AO393" s="4" t="s">
        <v>1130</v>
      </c>
      <c r="AP393" s="4" t="s">
        <v>1131</v>
      </c>
      <c r="AQ393" s="55" t="s">
        <v>1132</v>
      </c>
      <c r="AR393" s="4" t="s">
        <v>110</v>
      </c>
      <c r="AS393" s="4" t="s">
        <v>81</v>
      </c>
      <c r="AT393" s="72" t="s">
        <v>81</v>
      </c>
      <c r="AU393" s="4" t="s">
        <v>81</v>
      </c>
      <c r="AV393" s="4" t="s">
        <v>81</v>
      </c>
      <c r="AW393" s="4" t="s">
        <v>81</v>
      </c>
      <c r="AX393" s="4" t="s">
        <v>81</v>
      </c>
      <c r="AY393" s="4" t="s">
        <v>81</v>
      </c>
      <c r="AZ393" s="4" t="s">
        <v>81</v>
      </c>
      <c r="BA393" s="4" t="s">
        <v>90</v>
      </c>
      <c r="BB393" s="4">
        <v>10800</v>
      </c>
      <c r="BC393" s="4">
        <v>2700</v>
      </c>
      <c r="BD393" s="4">
        <v>0</v>
      </c>
      <c r="BE393" s="4" t="s">
        <v>91</v>
      </c>
      <c r="BF393" s="4"/>
      <c r="BG393" s="4"/>
      <c r="BH393" s="4" t="s">
        <v>3510</v>
      </c>
      <c r="BI393" s="72"/>
      <c r="BJ393" s="154"/>
      <c r="BK393" s="4"/>
      <c r="BL393" s="105"/>
      <c r="BM393" s="9"/>
      <c r="BN393" s="9"/>
      <c r="BO393" s="9"/>
    </row>
    <row r="394" ht="14.4" s="67" customFormat="1">
      <c r="A394" s="4">
        <v>171487</v>
      </c>
      <c r="B394" s="4"/>
      <c r="C394" s="55" t="s">
        <v>1133</v>
      </c>
      <c r="D394" s="4" t="s">
        <v>1134</v>
      </c>
      <c r="E394" s="4" t="s">
        <v>114</v>
      </c>
      <c r="F394" s="55">
        <v>1010788009</v>
      </c>
      <c r="G394" s="4" t="s">
        <v>67</v>
      </c>
      <c r="H394" s="4" t="s">
        <v>68</v>
      </c>
      <c r="I394" s="4" t="s">
        <v>69</v>
      </c>
      <c r="J394" s="55" t="s">
        <v>297</v>
      </c>
      <c r="K394" s="4" t="s">
        <v>71</v>
      </c>
      <c r="L394" s="4" t="s">
        <v>72</v>
      </c>
      <c r="M394" s="4" t="str">
        <f>VLOOKUP(A394,[1]Sheet1!$C:$G,5,0)</f>
        <v>Abdulla Al Mamun</v>
      </c>
      <c r="N394" s="4" t="s">
        <v>74</v>
      </c>
      <c r="O394" s="4" t="s">
        <v>75</v>
      </c>
      <c r="P394" s="4">
        <v>29</v>
      </c>
      <c r="Q394" s="57">
        <v>45432</v>
      </c>
      <c r="R394" s="57">
        <v>45444</v>
      </c>
      <c r="S394" s="113"/>
      <c r="T394" s="113"/>
      <c r="U394" s="4"/>
      <c r="V394" s="4"/>
      <c r="W394" s="105" t="s">
        <v>1135</v>
      </c>
      <c r="X394" s="114">
        <v>1875599808</v>
      </c>
      <c r="Y394" s="55">
        <v>1875599808</v>
      </c>
      <c r="Z394" s="4" t="s">
        <v>1136</v>
      </c>
      <c r="AA394" s="4">
        <v>1795868096</v>
      </c>
      <c r="AB394" s="4" t="s">
        <v>81</v>
      </c>
      <c r="AC394" s="4" t="s">
        <v>79</v>
      </c>
      <c r="AD394" s="113">
        <v>35431</v>
      </c>
      <c r="AE394" s="107">
        <f t="shared" si="8" ca="1"/>
        <v>28.126027397260273</v>
      </c>
      <c r="AF394" s="4" t="s">
        <v>80</v>
      </c>
      <c r="AG394" s="114">
        <v>1503857086</v>
      </c>
      <c r="AH394" s="4" t="s">
        <v>81</v>
      </c>
      <c r="AI394" s="55" t="s">
        <v>265</v>
      </c>
      <c r="AJ394" s="55" t="s">
        <v>81</v>
      </c>
      <c r="AK394" s="55">
        <v>2022</v>
      </c>
      <c r="AL394" s="4" t="s">
        <v>1137</v>
      </c>
      <c r="AM394" s="4" t="s">
        <v>1138</v>
      </c>
      <c r="AN394" s="4" t="s">
        <v>1139</v>
      </c>
      <c r="AO394" s="4" t="s">
        <v>1140</v>
      </c>
      <c r="AP394" s="4" t="s">
        <v>1141</v>
      </c>
      <c r="AQ394" s="55" t="s">
        <v>1142</v>
      </c>
      <c r="AR394" s="4" t="s">
        <v>110</v>
      </c>
      <c r="AS394" s="4" t="s">
        <v>81</v>
      </c>
      <c r="AT394" s="72" t="s">
        <v>81</v>
      </c>
      <c r="AU394" s="4" t="s">
        <v>81</v>
      </c>
      <c r="AV394" s="4" t="s">
        <v>81</v>
      </c>
      <c r="AW394" s="4" t="s">
        <v>81</v>
      </c>
      <c r="AX394" s="4" t="s">
        <v>81</v>
      </c>
      <c r="AY394" s="4" t="s">
        <v>81</v>
      </c>
      <c r="AZ394" s="4" t="s">
        <v>81</v>
      </c>
      <c r="BA394" s="4" t="s">
        <v>90</v>
      </c>
      <c r="BB394" s="4">
        <v>10800</v>
      </c>
      <c r="BC394" s="4">
        <v>2700</v>
      </c>
      <c r="BD394" s="4">
        <v>0</v>
      </c>
      <c r="BE394" s="4" t="s">
        <v>91</v>
      </c>
      <c r="BF394" s="4"/>
      <c r="BG394" s="4"/>
      <c r="BH394" s="4" t="s">
        <v>3510</v>
      </c>
      <c r="BI394" s="72"/>
      <c r="BJ394" s="154"/>
      <c r="BK394" s="4"/>
      <c r="BL394" s="105"/>
      <c r="BM394" s="9"/>
      <c r="BN394" s="9"/>
      <c r="BO394" s="9"/>
    </row>
    <row r="395" ht="14.4" s="67" customFormat="1">
      <c r="A395" s="4">
        <v>171488</v>
      </c>
      <c r="B395" s="4"/>
      <c r="C395" s="55" t="s">
        <v>1143</v>
      </c>
      <c r="D395" s="4" t="s">
        <v>1144</v>
      </c>
      <c r="E395" s="4" t="s">
        <v>66</v>
      </c>
      <c r="F395" s="55">
        <v>1310589823</v>
      </c>
      <c r="G395" s="4" t="s">
        <v>67</v>
      </c>
      <c r="H395" s="4" t="s">
        <v>68</v>
      </c>
      <c r="I395" s="4" t="s">
        <v>69</v>
      </c>
      <c r="J395" s="55" t="s">
        <v>1145</v>
      </c>
      <c r="K395" s="4" t="s">
        <v>71</v>
      </c>
      <c r="L395" s="4" t="s">
        <v>72</v>
      </c>
      <c r="M395" s="4" t="str">
        <f>VLOOKUP(A395,[1]Sheet1!$C:$G,5,0)</f>
        <v>Sabrina Sultana Mou</v>
      </c>
      <c r="N395" s="4" t="s">
        <v>74</v>
      </c>
      <c r="O395" s="4" t="s">
        <v>75</v>
      </c>
      <c r="P395" s="4">
        <v>29</v>
      </c>
      <c r="Q395" s="57">
        <v>45432</v>
      </c>
      <c r="R395" s="57">
        <v>45444</v>
      </c>
      <c r="S395" s="113"/>
      <c r="T395" s="113"/>
      <c r="U395" s="4"/>
      <c r="V395" s="4"/>
      <c r="W395" s="105" t="s">
        <v>1146</v>
      </c>
      <c r="X395" s="114">
        <v>1880247826</v>
      </c>
      <c r="Y395" s="55"/>
      <c r="Z395" s="4" t="s">
        <v>1147</v>
      </c>
      <c r="AA395" s="4">
        <v>1731775872</v>
      </c>
      <c r="AB395" s="4" t="s">
        <v>252</v>
      </c>
      <c r="AC395" s="4" t="s">
        <v>79</v>
      </c>
      <c r="AD395" s="113">
        <v>36067</v>
      </c>
      <c r="AE395" s="107">
        <f t="shared" si="8" ca="1"/>
        <v>26.383561643835616</v>
      </c>
      <c r="AF395" s="4" t="s">
        <v>80</v>
      </c>
      <c r="AG395" s="114">
        <v>1954876270</v>
      </c>
      <c r="AH395" s="4" t="s">
        <v>81</v>
      </c>
      <c r="AI395" s="55" t="s">
        <v>1148</v>
      </c>
      <c r="AJ395" s="55" t="s">
        <v>81</v>
      </c>
      <c r="AK395" s="55">
        <v>2022</v>
      </c>
      <c r="AL395" s="4" t="s">
        <v>1149</v>
      </c>
      <c r="AM395" s="4" t="s">
        <v>1150</v>
      </c>
      <c r="AN395" s="4" t="s">
        <v>1151</v>
      </c>
      <c r="AO395" s="4" t="s">
        <v>1152</v>
      </c>
      <c r="AP395" s="4" t="s">
        <v>1153</v>
      </c>
      <c r="AQ395" s="55" t="s">
        <v>285</v>
      </c>
      <c r="AR395" s="4" t="s">
        <v>110</v>
      </c>
      <c r="AS395" s="4" t="s">
        <v>1151</v>
      </c>
      <c r="AT395" s="72" t="s">
        <v>1154</v>
      </c>
      <c r="AU395" s="4" t="s">
        <v>81</v>
      </c>
      <c r="AV395" s="4" t="s">
        <v>81</v>
      </c>
      <c r="AW395" s="4" t="s">
        <v>81</v>
      </c>
      <c r="AX395" s="4" t="s">
        <v>81</v>
      </c>
      <c r="AY395" s="4" t="s">
        <v>81</v>
      </c>
      <c r="AZ395" s="4" t="s">
        <v>81</v>
      </c>
      <c r="BA395" s="4" t="s">
        <v>90</v>
      </c>
      <c r="BB395" s="4">
        <v>10800</v>
      </c>
      <c r="BC395" s="4">
        <v>2700</v>
      </c>
      <c r="BD395" s="4">
        <v>0</v>
      </c>
      <c r="BE395" s="4" t="s">
        <v>91</v>
      </c>
      <c r="BF395" s="4"/>
      <c r="BG395" s="4"/>
      <c r="BH395" s="4" t="s">
        <v>3510</v>
      </c>
      <c r="BI395" s="72"/>
      <c r="BJ395" s="154"/>
      <c r="BK395" s="4"/>
      <c r="BL395" s="105"/>
      <c r="BM395" s="9"/>
      <c r="BN395" s="9"/>
      <c r="BO395" s="9"/>
    </row>
    <row r="396" ht="14.4" s="67" customFormat="1">
      <c r="A396" s="4">
        <v>171492</v>
      </c>
      <c r="B396" s="4"/>
      <c r="C396" s="55" t="s">
        <v>1155</v>
      </c>
      <c r="D396" s="4" t="s">
        <v>1156</v>
      </c>
      <c r="E396" s="4" t="s">
        <v>114</v>
      </c>
      <c r="F396" s="55">
        <v>1110376688</v>
      </c>
      <c r="G396" s="4" t="s">
        <v>67</v>
      </c>
      <c r="H396" s="4" t="s">
        <v>68</v>
      </c>
      <c r="I396" s="4" t="s">
        <v>69</v>
      </c>
      <c r="J396" s="55" t="s">
        <v>307</v>
      </c>
      <c r="K396" s="4" t="s">
        <v>71</v>
      </c>
      <c r="L396" s="4" t="s">
        <v>72</v>
      </c>
      <c r="M396" s="4" t="str">
        <f>VLOOKUP(A396,[1]Sheet1!$C:$G,5,0)</f>
        <v>Nazmus Sakib</v>
      </c>
      <c r="N396" s="4" t="s">
        <v>74</v>
      </c>
      <c r="O396" s="4" t="s">
        <v>75</v>
      </c>
      <c r="P396" s="4">
        <v>29</v>
      </c>
      <c r="Q396" s="57">
        <v>45432</v>
      </c>
      <c r="R396" s="57">
        <v>45444</v>
      </c>
      <c r="S396" s="113"/>
      <c r="T396" s="113"/>
      <c r="U396" s="4"/>
      <c r="V396" s="4"/>
      <c r="W396" s="105" t="s">
        <v>1157</v>
      </c>
      <c r="X396" s="114">
        <v>1575200219</v>
      </c>
      <c r="Y396" s="55">
        <v>1741137979</v>
      </c>
      <c r="Z396" s="4" t="s">
        <v>101</v>
      </c>
      <c r="AA396" s="4">
        <v>1740644413</v>
      </c>
      <c r="AB396" s="4" t="s">
        <v>81</v>
      </c>
      <c r="AC396" s="4" t="s">
        <v>133</v>
      </c>
      <c r="AD396" s="113">
        <v>34997</v>
      </c>
      <c r="AE396" s="107">
        <f t="shared" si="8" ca="1"/>
        <v>29.315068493150687</v>
      </c>
      <c r="AF396" s="4" t="s">
        <v>360</v>
      </c>
      <c r="AG396" s="114">
        <v>2401534819</v>
      </c>
      <c r="AH396" s="4" t="s">
        <v>81</v>
      </c>
      <c r="AI396" s="55" t="s">
        <v>513</v>
      </c>
      <c r="AJ396" s="55" t="s">
        <v>81</v>
      </c>
      <c r="AK396" s="55">
        <v>2023</v>
      </c>
      <c r="AL396" s="4" t="s">
        <v>1158</v>
      </c>
      <c r="AM396" s="4" t="s">
        <v>1159</v>
      </c>
      <c r="AN396" s="4" t="s">
        <v>1160</v>
      </c>
      <c r="AO396" s="4" t="s">
        <v>1161</v>
      </c>
      <c r="AP396" s="4" t="s">
        <v>1162</v>
      </c>
      <c r="AQ396" s="55" t="s">
        <v>88</v>
      </c>
      <c r="AR396" s="4" t="s">
        <v>110</v>
      </c>
      <c r="AS396" s="4" t="s">
        <v>81</v>
      </c>
      <c r="AT396" s="72" t="s">
        <v>81</v>
      </c>
      <c r="AU396" s="4" t="s">
        <v>81</v>
      </c>
      <c r="AV396" s="4" t="s">
        <v>81</v>
      </c>
      <c r="AW396" s="4" t="s">
        <v>81</v>
      </c>
      <c r="AX396" s="4" t="s">
        <v>81</v>
      </c>
      <c r="AY396" s="4" t="s">
        <v>81</v>
      </c>
      <c r="AZ396" s="4" t="s">
        <v>81</v>
      </c>
      <c r="BA396" s="4" t="s">
        <v>90</v>
      </c>
      <c r="BB396" s="4">
        <v>10800</v>
      </c>
      <c r="BC396" s="4">
        <v>2700</v>
      </c>
      <c r="BD396" s="4">
        <v>0</v>
      </c>
      <c r="BE396" s="4" t="s">
        <v>91</v>
      </c>
      <c r="BF396" s="4"/>
      <c r="BG396" s="4"/>
      <c r="BH396" s="4" t="s">
        <v>3510</v>
      </c>
      <c r="BI396" s="72"/>
      <c r="BJ396" s="154"/>
      <c r="BK396" s="4"/>
      <c r="BL396" s="105"/>
      <c r="BM396" s="9"/>
      <c r="BN396" s="9"/>
      <c r="BO396" s="9"/>
    </row>
    <row r="397" ht="14.4" s="67" customFormat="1">
      <c r="A397" s="4">
        <v>171493</v>
      </c>
      <c r="B397" s="4"/>
      <c r="C397" s="55" t="s">
        <v>1163</v>
      </c>
      <c r="D397" s="4" t="s">
        <v>1164</v>
      </c>
      <c r="E397" s="4" t="s">
        <v>114</v>
      </c>
      <c r="F397" s="55">
        <v>1110152055</v>
      </c>
      <c r="G397" s="4" t="s">
        <v>67</v>
      </c>
      <c r="H397" s="4" t="s">
        <v>68</v>
      </c>
      <c r="I397" s="4" t="s">
        <v>69</v>
      </c>
      <c r="J397" s="55" t="s">
        <v>319</v>
      </c>
      <c r="K397" s="4" t="s">
        <v>71</v>
      </c>
      <c r="L397" s="4" t="s">
        <v>72</v>
      </c>
      <c r="M397" s="4" t="str">
        <f>VLOOKUP(A397,[1]Sheet1!$C:$G,5,0)</f>
        <v>Nazmus Sakib</v>
      </c>
      <c r="N397" s="4" t="s">
        <v>74</v>
      </c>
      <c r="O397" s="4" t="s">
        <v>75</v>
      </c>
      <c r="P397" s="4">
        <v>29</v>
      </c>
      <c r="Q397" s="57">
        <v>45432</v>
      </c>
      <c r="R397" s="57">
        <v>45444</v>
      </c>
      <c r="S397" s="113"/>
      <c r="T397" s="113"/>
      <c r="U397" s="4"/>
      <c r="V397" s="4"/>
      <c r="W397" s="105" t="s">
        <v>1165</v>
      </c>
      <c r="X397" s="114">
        <v>1407092229</v>
      </c>
      <c r="Y397" s="55">
        <v>1607323267</v>
      </c>
      <c r="Z397" s="4" t="s">
        <v>1166</v>
      </c>
      <c r="AA397" s="4">
        <v>1927924071</v>
      </c>
      <c r="AB397" s="4" t="s">
        <v>132</v>
      </c>
      <c r="AC397" s="4" t="s">
        <v>79</v>
      </c>
      <c r="AD397" s="113">
        <v>36156</v>
      </c>
      <c r="AE397" s="107">
        <f t="shared" si="8" ca="1"/>
        <v>26.13972602739726</v>
      </c>
      <c r="AF397" s="4" t="s">
        <v>80</v>
      </c>
      <c r="AG397" s="114">
        <v>6454948495</v>
      </c>
      <c r="AH397" s="4" t="s">
        <v>81</v>
      </c>
      <c r="AI397" s="55" t="s">
        <v>1148</v>
      </c>
      <c r="AJ397" s="55" t="s">
        <v>81</v>
      </c>
      <c r="AK397" s="55">
        <v>2020</v>
      </c>
      <c r="AL397" s="4" t="s">
        <v>1167</v>
      </c>
      <c r="AM397" s="4" t="s">
        <v>1168</v>
      </c>
      <c r="AN397" s="4" t="s">
        <v>1166</v>
      </c>
      <c r="AO397" s="4" t="s">
        <v>1169</v>
      </c>
      <c r="AP397" s="4" t="s">
        <v>1169</v>
      </c>
      <c r="AQ397" s="55" t="s">
        <v>88</v>
      </c>
      <c r="AR397" s="4" t="s">
        <v>110</v>
      </c>
      <c r="AS397" s="4" t="s">
        <v>81</v>
      </c>
      <c r="AT397" s="72" t="s">
        <v>81</v>
      </c>
      <c r="AU397" s="4" t="s">
        <v>81</v>
      </c>
      <c r="AV397" s="4" t="s">
        <v>81</v>
      </c>
      <c r="AW397" s="4" t="s">
        <v>81</v>
      </c>
      <c r="AX397" s="4" t="s">
        <v>81</v>
      </c>
      <c r="AY397" s="4" t="s">
        <v>81</v>
      </c>
      <c r="AZ397" s="4" t="s">
        <v>81</v>
      </c>
      <c r="BA397" s="4" t="s">
        <v>90</v>
      </c>
      <c r="BB397" s="4">
        <v>10800</v>
      </c>
      <c r="BC397" s="4">
        <v>2700</v>
      </c>
      <c r="BD397" s="4">
        <v>0</v>
      </c>
      <c r="BE397" s="4" t="s">
        <v>91</v>
      </c>
      <c r="BF397" s="4"/>
      <c r="BG397" s="4"/>
      <c r="BH397" s="4" t="s">
        <v>3510</v>
      </c>
      <c r="BI397" s="72"/>
      <c r="BJ397" s="154"/>
      <c r="BK397" s="4"/>
      <c r="BL397" s="105"/>
      <c r="BM397" s="9"/>
      <c r="BN397" s="9"/>
      <c r="BO397" s="9"/>
    </row>
    <row r="398" ht="14.4" s="67" customFormat="1">
      <c r="A398" s="4">
        <v>171494</v>
      </c>
      <c r="B398" s="4"/>
      <c r="C398" s="55" t="s">
        <v>1170</v>
      </c>
      <c r="D398" s="4" t="s">
        <v>1171</v>
      </c>
      <c r="E398" s="4" t="s">
        <v>66</v>
      </c>
      <c r="F398" s="55">
        <v>1312715781</v>
      </c>
      <c r="G398" s="4" t="s">
        <v>67</v>
      </c>
      <c r="H398" s="4" t="s">
        <v>68</v>
      </c>
      <c r="I398" s="4" t="s">
        <v>69</v>
      </c>
      <c r="J398" s="55" t="s">
        <v>319</v>
      </c>
      <c r="K398" s="4" t="s">
        <v>71</v>
      </c>
      <c r="L398" s="4" t="s">
        <v>72</v>
      </c>
      <c r="M398" s="4" t="str">
        <f>VLOOKUP(A398,[1]Sheet1!$C:$G,5,0)</f>
        <v>Nazmus Sakib</v>
      </c>
      <c r="N398" s="4" t="s">
        <v>74</v>
      </c>
      <c r="O398" s="4" t="s">
        <v>75</v>
      </c>
      <c r="P398" s="4">
        <v>29</v>
      </c>
      <c r="Q398" s="57">
        <v>45432</v>
      </c>
      <c r="R398" s="57">
        <v>45444</v>
      </c>
      <c r="S398" s="113"/>
      <c r="T398" s="113"/>
      <c r="U398" s="4"/>
      <c r="V398" s="4"/>
      <c r="W398" s="105" t="s">
        <v>1172</v>
      </c>
      <c r="X398" s="114">
        <v>1322375485</v>
      </c>
      <c r="Y398" s="55">
        <v>1605021597</v>
      </c>
      <c r="Z398" s="4" t="s">
        <v>118</v>
      </c>
      <c r="AA398" s="4">
        <v>1618183411</v>
      </c>
      <c r="AB398" s="4" t="s">
        <v>118</v>
      </c>
      <c r="AC398" s="4" t="s">
        <v>119</v>
      </c>
      <c r="AD398" s="113">
        <v>36744</v>
      </c>
      <c r="AE398" s="107">
        <f t="shared" si="8" ca="1"/>
        <v>24.528767123287672</v>
      </c>
      <c r="AF398" s="4" t="s">
        <v>80</v>
      </c>
      <c r="AG398" s="114">
        <v>1962893143</v>
      </c>
      <c r="AH398" s="4" t="s">
        <v>81</v>
      </c>
      <c r="AI398" s="55" t="s">
        <v>967</v>
      </c>
      <c r="AJ398" s="55" t="s">
        <v>81</v>
      </c>
      <c r="AK398" s="55">
        <v>2021</v>
      </c>
      <c r="AL398" s="4" t="s">
        <v>1173</v>
      </c>
      <c r="AM398" s="4" t="s">
        <v>1174</v>
      </c>
      <c r="AN398" s="4" t="s">
        <v>1175</v>
      </c>
      <c r="AO398" s="4" t="s">
        <v>1176</v>
      </c>
      <c r="AP398" s="4" t="s">
        <v>1177</v>
      </c>
      <c r="AQ398" s="55" t="s">
        <v>1178</v>
      </c>
      <c r="AR398" s="4" t="s">
        <v>110</v>
      </c>
      <c r="AS398" s="4" t="s">
        <v>81</v>
      </c>
      <c r="AT398" s="72" t="s">
        <v>81</v>
      </c>
      <c r="AU398" s="4" t="s">
        <v>81</v>
      </c>
      <c r="AV398" s="4" t="s">
        <v>81</v>
      </c>
      <c r="AW398" s="4" t="s">
        <v>81</v>
      </c>
      <c r="AX398" s="4" t="s">
        <v>81</v>
      </c>
      <c r="AY398" s="4" t="s">
        <v>81</v>
      </c>
      <c r="AZ398" s="4" t="s">
        <v>81</v>
      </c>
      <c r="BA398" s="4" t="s">
        <v>90</v>
      </c>
      <c r="BB398" s="4">
        <v>10800</v>
      </c>
      <c r="BC398" s="4">
        <v>2700</v>
      </c>
      <c r="BD398" s="4">
        <v>0</v>
      </c>
      <c r="BE398" s="4" t="s">
        <v>91</v>
      </c>
      <c r="BF398" s="4"/>
      <c r="BG398" s="4"/>
      <c r="BH398" s="4" t="s">
        <v>3510</v>
      </c>
      <c r="BI398" s="72"/>
      <c r="BJ398" s="154"/>
      <c r="BK398" s="4"/>
      <c r="BL398" s="105"/>
      <c r="BM398" s="9"/>
      <c r="BN398" s="9"/>
      <c r="BO398" s="9"/>
    </row>
    <row r="399" ht="14.4" s="67" customFormat="1">
      <c r="A399" s="4">
        <v>171495</v>
      </c>
      <c r="B399" s="4"/>
      <c r="C399" s="55"/>
      <c r="D399" s="4" t="s">
        <v>1179</v>
      </c>
      <c r="E399" s="4" t="s">
        <v>66</v>
      </c>
      <c r="F399" s="55">
        <v>1313741866</v>
      </c>
      <c r="G399" s="4" t="s">
        <v>67</v>
      </c>
      <c r="H399" s="4" t="s">
        <v>68</v>
      </c>
      <c r="I399" s="4" t="s">
        <v>69</v>
      </c>
      <c r="J399" s="55" t="s">
        <v>1145</v>
      </c>
      <c r="K399" s="4" t="s">
        <v>71</v>
      </c>
      <c r="L399" s="4" t="s">
        <v>72</v>
      </c>
      <c r="M399" s="4" t="str">
        <f>VLOOKUP(A399,[1]Sheet1!$C:$G,5,0)</f>
        <v>Abdulla Al Mamun</v>
      </c>
      <c r="N399" s="4" t="s">
        <v>74</v>
      </c>
      <c r="O399" s="4" t="s">
        <v>75</v>
      </c>
      <c r="P399" s="4">
        <v>29</v>
      </c>
      <c r="Q399" s="57">
        <v>45432</v>
      </c>
      <c r="R399" s="57">
        <v>45444</v>
      </c>
      <c r="S399" s="113"/>
      <c r="T399" s="113"/>
      <c r="U399" s="4"/>
      <c r="V399" s="4"/>
      <c r="W399" s="105" t="s">
        <v>1180</v>
      </c>
      <c r="X399" s="114">
        <v>1709248116</v>
      </c>
      <c r="Y399" s="55">
        <v>1705172202</v>
      </c>
      <c r="Z399" s="4" t="s">
        <v>1181</v>
      </c>
      <c r="AA399" s="4">
        <v>1987142636</v>
      </c>
      <c r="AB399" s="4" t="s">
        <v>78</v>
      </c>
      <c r="AC399" s="4" t="s">
        <v>133</v>
      </c>
      <c r="AD399" s="113">
        <v>36519</v>
      </c>
      <c r="AE399" s="107">
        <f t="shared" si="8" ca="1"/>
        <v>25.145205479452056</v>
      </c>
      <c r="AF399" s="4" t="s">
        <v>80</v>
      </c>
      <c r="AG399" s="114">
        <v>2412832699</v>
      </c>
      <c r="AH399" s="4" t="s">
        <v>81</v>
      </c>
      <c r="AI399" s="55" t="s">
        <v>1182</v>
      </c>
      <c r="AJ399" s="55" t="s">
        <v>81</v>
      </c>
      <c r="AK399" s="55">
        <v>2023</v>
      </c>
      <c r="AL399" s="4" t="s">
        <v>1183</v>
      </c>
      <c r="AM399" s="4" t="s">
        <v>1184</v>
      </c>
      <c r="AN399" s="4" t="s">
        <v>1185</v>
      </c>
      <c r="AO399" s="4" t="s">
        <v>1186</v>
      </c>
      <c r="AP399" s="4" t="s">
        <v>1187</v>
      </c>
      <c r="AQ399" s="55" t="s">
        <v>1188</v>
      </c>
      <c r="AR399" s="4" t="s">
        <v>89</v>
      </c>
      <c r="AS399" s="4" t="s">
        <v>1181</v>
      </c>
      <c r="AT399" s="72">
        <v>36763</v>
      </c>
      <c r="AU399" s="4" t="s">
        <v>81</v>
      </c>
      <c r="AV399" s="4" t="s">
        <v>81</v>
      </c>
      <c r="AW399" s="4" t="s">
        <v>81</v>
      </c>
      <c r="AX399" s="4" t="s">
        <v>81</v>
      </c>
      <c r="AY399" s="4" t="s">
        <v>81</v>
      </c>
      <c r="AZ399" s="4" t="s">
        <v>81</v>
      </c>
      <c r="BA399" s="4" t="s">
        <v>90</v>
      </c>
      <c r="BB399" s="4">
        <v>10800</v>
      </c>
      <c r="BC399" s="4">
        <v>2700</v>
      </c>
      <c r="BD399" s="4">
        <v>0</v>
      </c>
      <c r="BE399" s="4" t="s">
        <v>91</v>
      </c>
      <c r="BF399" s="4"/>
      <c r="BG399" s="4"/>
      <c r="BH399" s="4" t="s">
        <v>3510</v>
      </c>
      <c r="BI399" s="72"/>
      <c r="BJ399" s="154"/>
      <c r="BK399" s="4"/>
      <c r="BL399" s="105"/>
      <c r="BM399" s="9"/>
      <c r="BN399" s="9"/>
      <c r="BO399" s="9"/>
    </row>
    <row r="400" ht="14.4" s="67" customFormat="1">
      <c r="A400" s="4">
        <v>171496</v>
      </c>
      <c r="B400" s="4"/>
      <c r="C400" s="55" t="s">
        <v>1189</v>
      </c>
      <c r="D400" s="4" t="s">
        <v>1190</v>
      </c>
      <c r="E400" s="4" t="s">
        <v>114</v>
      </c>
      <c r="F400" s="55">
        <v>1117599050</v>
      </c>
      <c r="G400" s="4" t="s">
        <v>67</v>
      </c>
      <c r="H400" s="4" t="s">
        <v>68</v>
      </c>
      <c r="I400" s="4" t="s">
        <v>69</v>
      </c>
      <c r="J400" s="55" t="s">
        <v>297</v>
      </c>
      <c r="K400" s="4" t="s">
        <v>71</v>
      </c>
      <c r="L400" s="4" t="s">
        <v>72</v>
      </c>
      <c r="M400" s="4" t="str">
        <f>VLOOKUP(A400,[1]Sheet1!$C:$G,5,0)</f>
        <v>Abdulla Al Mamun</v>
      </c>
      <c r="N400" s="4" t="s">
        <v>74</v>
      </c>
      <c r="O400" s="4" t="s">
        <v>75</v>
      </c>
      <c r="P400" s="4">
        <v>29</v>
      </c>
      <c r="Q400" s="57">
        <v>45432</v>
      </c>
      <c r="R400" s="57">
        <v>45444</v>
      </c>
      <c r="S400" s="113"/>
      <c r="T400" s="113"/>
      <c r="U400" s="4"/>
      <c r="V400" s="4"/>
      <c r="W400" s="105" t="s">
        <v>1191</v>
      </c>
      <c r="X400" s="114">
        <v>1836897675</v>
      </c>
      <c r="Y400" s="55">
        <v>1767735373</v>
      </c>
      <c r="Z400" s="4" t="s">
        <v>1192</v>
      </c>
      <c r="AA400" s="4">
        <v>1827446994</v>
      </c>
      <c r="AB400" s="4" t="s">
        <v>252</v>
      </c>
      <c r="AC400" s="4" t="s">
        <v>119</v>
      </c>
      <c r="AD400" s="113">
        <v>35746</v>
      </c>
      <c r="AE400" s="107">
        <f ref="AE400:AE430" t="shared" si="10" ca="1">((TODAY())-AD400)/365</f>
        <v>27.263013698630136</v>
      </c>
      <c r="AF400" s="4" t="s">
        <v>80</v>
      </c>
      <c r="AG400" s="114">
        <v>4651541072</v>
      </c>
      <c r="AH400" s="4" t="s">
        <v>81</v>
      </c>
      <c r="AI400" s="55" t="s">
        <v>1193</v>
      </c>
      <c r="AJ400" s="55" t="s">
        <v>81</v>
      </c>
      <c r="AK400" s="55">
        <v>2021</v>
      </c>
      <c r="AL400" s="4" t="s">
        <v>1194</v>
      </c>
      <c r="AM400" s="4" t="s">
        <v>1195</v>
      </c>
      <c r="AN400" s="4" t="s">
        <v>1196</v>
      </c>
      <c r="AO400" s="4" t="s">
        <v>1197</v>
      </c>
      <c r="AP400" s="4" t="s">
        <v>1198</v>
      </c>
      <c r="AQ400" s="55" t="s">
        <v>1199</v>
      </c>
      <c r="AR400" s="4" t="s">
        <v>1200</v>
      </c>
      <c r="AS400" s="4" t="s">
        <v>81</v>
      </c>
      <c r="AT400" s="72" t="s">
        <v>81</v>
      </c>
      <c r="AU400" s="4" t="s">
        <v>81</v>
      </c>
      <c r="AV400" s="4" t="s">
        <v>81</v>
      </c>
      <c r="AW400" s="4" t="s">
        <v>81</v>
      </c>
      <c r="AX400" s="4" t="s">
        <v>81</v>
      </c>
      <c r="AY400" s="4" t="s">
        <v>81</v>
      </c>
      <c r="AZ400" s="4" t="s">
        <v>81</v>
      </c>
      <c r="BA400" s="4" t="s">
        <v>90</v>
      </c>
      <c r="BB400" s="4">
        <v>10800</v>
      </c>
      <c r="BC400" s="4">
        <v>2700</v>
      </c>
      <c r="BD400" s="4">
        <v>0</v>
      </c>
      <c r="BE400" s="4" t="s">
        <v>91</v>
      </c>
      <c r="BF400" s="4"/>
      <c r="BG400" s="4"/>
      <c r="BH400" s="4" t="s">
        <v>3510</v>
      </c>
      <c r="BI400" s="72"/>
      <c r="BJ400" s="154"/>
      <c r="BK400" s="4"/>
      <c r="BL400" s="105"/>
      <c r="BM400" s="9"/>
      <c r="BN400" s="9"/>
      <c r="BO400" s="9"/>
    </row>
    <row r="401" ht="14.4" s="67" customFormat="1">
      <c r="A401" s="4">
        <v>171497</v>
      </c>
      <c r="B401" s="4"/>
      <c r="C401" s="55" t="s">
        <v>1201</v>
      </c>
      <c r="D401" s="4" t="s">
        <v>1202</v>
      </c>
      <c r="E401" s="4" t="s">
        <v>66</v>
      </c>
      <c r="F401" s="55">
        <v>1113355766</v>
      </c>
      <c r="G401" s="4" t="s">
        <v>67</v>
      </c>
      <c r="H401" s="4" t="s">
        <v>68</v>
      </c>
      <c r="I401" s="4" t="s">
        <v>69</v>
      </c>
      <c r="J401" s="55" t="s">
        <v>319</v>
      </c>
      <c r="K401" s="4" t="s">
        <v>71</v>
      </c>
      <c r="L401" s="4" t="s">
        <v>72</v>
      </c>
      <c r="M401" s="4" t="str">
        <f>VLOOKUP(A401,[1]Sheet1!$C:$G,5,0)</f>
        <v>Nazmus Sakib</v>
      </c>
      <c r="N401" s="4" t="s">
        <v>74</v>
      </c>
      <c r="O401" s="4" t="s">
        <v>75</v>
      </c>
      <c r="P401" s="4">
        <v>29</v>
      </c>
      <c r="Q401" s="57">
        <v>45432</v>
      </c>
      <c r="R401" s="57">
        <v>45444</v>
      </c>
      <c r="S401" s="113"/>
      <c r="T401" s="113"/>
      <c r="U401" s="4"/>
      <c r="V401" s="4"/>
      <c r="W401" s="105" t="s">
        <v>1203</v>
      </c>
      <c r="X401" s="114">
        <v>1884326829</v>
      </c>
      <c r="Y401" s="55">
        <v>1715625839</v>
      </c>
      <c r="Z401" s="4" t="s">
        <v>1204</v>
      </c>
      <c r="AA401" s="4">
        <v>1990550899</v>
      </c>
      <c r="AB401" s="4" t="s">
        <v>252</v>
      </c>
      <c r="AC401" s="4" t="s">
        <v>133</v>
      </c>
      <c r="AD401" s="113">
        <v>36050</v>
      </c>
      <c r="AE401" s="107">
        <f t="shared" si="10" ca="1"/>
        <v>26.43013698630137</v>
      </c>
      <c r="AF401" s="4" t="s">
        <v>80</v>
      </c>
      <c r="AG401" s="114">
        <v>7804567803</v>
      </c>
      <c r="AH401" s="4" t="s">
        <v>81</v>
      </c>
      <c r="AI401" s="55" t="s">
        <v>322</v>
      </c>
      <c r="AJ401" s="55" t="s">
        <v>1044</v>
      </c>
      <c r="AK401" s="55">
        <v>2022</v>
      </c>
      <c r="AL401" s="4" t="s">
        <v>265</v>
      </c>
      <c r="AM401" s="4" t="s">
        <v>1205</v>
      </c>
      <c r="AN401" s="4" t="s">
        <v>1206</v>
      </c>
      <c r="AO401" s="4" t="s">
        <v>1207</v>
      </c>
      <c r="AP401" s="4" t="s">
        <v>1208</v>
      </c>
      <c r="AQ401" s="55" t="s">
        <v>1209</v>
      </c>
      <c r="AR401" s="4" t="s">
        <v>1200</v>
      </c>
      <c r="AS401" s="4" t="s">
        <v>81</v>
      </c>
      <c r="AT401" s="72" t="s">
        <v>81</v>
      </c>
      <c r="AU401" s="4" t="s">
        <v>81</v>
      </c>
      <c r="AV401" s="4" t="s">
        <v>81</v>
      </c>
      <c r="AW401" s="4" t="s">
        <v>81</v>
      </c>
      <c r="AX401" s="4" t="s">
        <v>81</v>
      </c>
      <c r="AY401" s="4" t="s">
        <v>81</v>
      </c>
      <c r="AZ401" s="4" t="s">
        <v>81</v>
      </c>
      <c r="BA401" s="4" t="s">
        <v>90</v>
      </c>
      <c r="BB401" s="4">
        <v>10800</v>
      </c>
      <c r="BC401" s="4">
        <v>2700</v>
      </c>
      <c r="BD401" s="4">
        <v>0</v>
      </c>
      <c r="BE401" s="4" t="s">
        <v>91</v>
      </c>
      <c r="BF401" s="4"/>
      <c r="BG401" s="4"/>
      <c r="BH401" s="4" t="s">
        <v>3510</v>
      </c>
      <c r="BI401" s="72"/>
      <c r="BJ401" s="154"/>
      <c r="BK401" s="4"/>
      <c r="BL401" s="105"/>
      <c r="BM401" s="9"/>
      <c r="BN401" s="9"/>
      <c r="BO401" s="9"/>
    </row>
    <row r="402" ht="16.05" customHeight="1" s="67" customFormat="1">
      <c r="A402" s="4">
        <v>171498</v>
      </c>
      <c r="B402" s="4"/>
      <c r="C402" s="55" t="s">
        <v>1210</v>
      </c>
      <c r="D402" s="4" t="s">
        <v>1211</v>
      </c>
      <c r="E402" s="4" t="s">
        <v>66</v>
      </c>
      <c r="F402" s="55">
        <v>1010792557</v>
      </c>
      <c r="G402" s="4" t="s">
        <v>67</v>
      </c>
      <c r="H402" s="4" t="s">
        <v>68</v>
      </c>
      <c r="I402" s="4" t="s">
        <v>69</v>
      </c>
      <c r="J402" s="55" t="s">
        <v>341</v>
      </c>
      <c r="K402" s="4" t="s">
        <v>71</v>
      </c>
      <c r="L402" s="4" t="s">
        <v>72</v>
      </c>
      <c r="M402" s="4" t="str">
        <f>VLOOKUP(A402,[1]Sheet1!$C:$G,5,0)</f>
        <v>Md Mehedi Hasan</v>
      </c>
      <c r="N402" s="4" t="s">
        <v>74</v>
      </c>
      <c r="O402" s="4" t="s">
        <v>75</v>
      </c>
      <c r="P402" s="4">
        <v>29</v>
      </c>
      <c r="Q402" s="57">
        <v>45432</v>
      </c>
      <c r="R402" s="57">
        <v>45444</v>
      </c>
      <c r="S402" s="113"/>
      <c r="T402" s="113"/>
      <c r="U402" s="4"/>
      <c r="V402" s="4"/>
      <c r="W402" s="105" t="s">
        <v>1212</v>
      </c>
      <c r="X402" s="114">
        <v>1700525743</v>
      </c>
      <c r="Y402" s="55"/>
      <c r="Z402" s="4" t="s">
        <v>1213</v>
      </c>
      <c r="AA402" s="4">
        <v>1917926144</v>
      </c>
      <c r="AB402" s="4" t="s">
        <v>118</v>
      </c>
      <c r="AC402" s="4" t="s">
        <v>79</v>
      </c>
      <c r="AD402" s="113">
        <v>35893</v>
      </c>
      <c r="AE402" s="107">
        <f t="shared" si="10" ca="1"/>
        <v>26.86027397260274</v>
      </c>
      <c r="AF402" s="4" t="s">
        <v>80</v>
      </c>
      <c r="AG402" s="114">
        <v>1954737480</v>
      </c>
      <c r="AH402" s="4" t="s">
        <v>81</v>
      </c>
      <c r="AI402" s="55" t="s">
        <v>1214</v>
      </c>
      <c r="AJ402" s="55" t="s">
        <v>81</v>
      </c>
      <c r="AK402" s="55">
        <v>2020</v>
      </c>
      <c r="AL402" s="4" t="s">
        <v>1215</v>
      </c>
      <c r="AM402" s="4" t="s">
        <v>1216</v>
      </c>
      <c r="AN402" s="4" t="s">
        <v>1217</v>
      </c>
      <c r="AO402" s="4" t="s">
        <v>1218</v>
      </c>
      <c r="AP402" s="4" t="s">
        <v>1219</v>
      </c>
      <c r="AQ402" s="55" t="s">
        <v>88</v>
      </c>
      <c r="AR402" s="4" t="s">
        <v>1200</v>
      </c>
      <c r="AS402" s="4" t="s">
        <v>81</v>
      </c>
      <c r="AT402" s="72" t="s">
        <v>81</v>
      </c>
      <c r="AU402" s="4" t="s">
        <v>81</v>
      </c>
      <c r="AV402" s="4" t="s">
        <v>81</v>
      </c>
      <c r="AW402" s="4" t="s">
        <v>81</v>
      </c>
      <c r="AX402" s="4" t="s">
        <v>81</v>
      </c>
      <c r="AY402" s="4" t="s">
        <v>81</v>
      </c>
      <c r="AZ402" s="4" t="s">
        <v>81</v>
      </c>
      <c r="BA402" s="4" t="s">
        <v>90</v>
      </c>
      <c r="BB402" s="4">
        <v>10800</v>
      </c>
      <c r="BC402" s="4">
        <v>2700</v>
      </c>
      <c r="BD402" s="4">
        <v>0</v>
      </c>
      <c r="BE402" s="4" t="s">
        <v>91</v>
      </c>
      <c r="BF402" s="4"/>
      <c r="BG402" s="4"/>
      <c r="BH402" s="4" t="s">
        <v>3510</v>
      </c>
      <c r="BI402" s="72"/>
      <c r="BJ402" s="154"/>
      <c r="BK402" s="4"/>
      <c r="BL402" s="105"/>
      <c r="BM402" s="9"/>
      <c r="BN402" s="9"/>
      <c r="BO402" s="9"/>
    </row>
    <row r="403" ht="16.05" customHeight="1" s="67" customFormat="1">
      <c r="A403" s="4">
        <v>171499</v>
      </c>
      <c r="B403" s="4"/>
      <c r="C403" s="55" t="s">
        <v>1220</v>
      </c>
      <c r="D403" s="4" t="s">
        <v>1221</v>
      </c>
      <c r="E403" s="4" t="s">
        <v>114</v>
      </c>
      <c r="F403" s="55">
        <v>1310637401</v>
      </c>
      <c r="G403" s="4" t="s">
        <v>67</v>
      </c>
      <c r="H403" s="4" t="s">
        <v>68</v>
      </c>
      <c r="I403" s="4" t="s">
        <v>69</v>
      </c>
      <c r="J403" s="55" t="s">
        <v>319</v>
      </c>
      <c r="K403" s="4" t="s">
        <v>71</v>
      </c>
      <c r="L403" s="4" t="s">
        <v>72</v>
      </c>
      <c r="M403" s="4" t="str">
        <f>VLOOKUP(A403,[1]Sheet1!$C:$G,5,0)</f>
        <v>Nazmus Sakib</v>
      </c>
      <c r="N403" s="4" t="s">
        <v>74</v>
      </c>
      <c r="O403" s="4" t="s">
        <v>75</v>
      </c>
      <c r="P403" s="4">
        <v>29</v>
      </c>
      <c r="Q403" s="57">
        <v>45432</v>
      </c>
      <c r="R403" s="57">
        <v>45444</v>
      </c>
      <c r="S403" s="113"/>
      <c r="T403" s="113"/>
      <c r="U403" s="4"/>
      <c r="V403" s="4"/>
      <c r="W403" s="105" t="s">
        <v>1222</v>
      </c>
      <c r="X403" s="114">
        <v>1602253377</v>
      </c>
      <c r="Y403" s="55">
        <v>1719686330</v>
      </c>
      <c r="Z403" s="4" t="s">
        <v>1223</v>
      </c>
      <c r="AA403" s="4">
        <v>1749476787</v>
      </c>
      <c r="AB403" s="4" t="s">
        <v>252</v>
      </c>
      <c r="AC403" s="4" t="s">
        <v>133</v>
      </c>
      <c r="AD403" s="113">
        <v>36787</v>
      </c>
      <c r="AE403" s="107">
        <f t="shared" si="10" ca="1"/>
        <v>24.410958904109588</v>
      </c>
      <c r="AF403" s="4" t="s">
        <v>80</v>
      </c>
      <c r="AG403" s="114">
        <v>7364766464</v>
      </c>
      <c r="AH403" s="4" t="s">
        <v>1224</v>
      </c>
      <c r="AI403" s="55" t="s">
        <v>1101</v>
      </c>
      <c r="AJ403" s="55" t="s">
        <v>1225</v>
      </c>
      <c r="AK403" s="55">
        <v>2022</v>
      </c>
      <c r="AL403" s="4" t="s">
        <v>1226</v>
      </c>
      <c r="AM403" s="4" t="s">
        <v>1227</v>
      </c>
      <c r="AN403" s="4" t="s">
        <v>1228</v>
      </c>
      <c r="AO403" s="4" t="s">
        <v>1229</v>
      </c>
      <c r="AP403" s="4" t="s">
        <v>1230</v>
      </c>
      <c r="AQ403" s="55" t="s">
        <v>1231</v>
      </c>
      <c r="AR403" s="4" t="s">
        <v>1200</v>
      </c>
      <c r="AS403" s="4" t="s">
        <v>81</v>
      </c>
      <c r="AT403" s="72" t="s">
        <v>81</v>
      </c>
      <c r="AU403" s="4" t="s">
        <v>81</v>
      </c>
      <c r="AV403" s="4" t="s">
        <v>81</v>
      </c>
      <c r="AW403" s="4" t="s">
        <v>81</v>
      </c>
      <c r="AX403" s="4" t="s">
        <v>81</v>
      </c>
      <c r="AY403" s="4" t="s">
        <v>81</v>
      </c>
      <c r="AZ403" s="4" t="s">
        <v>81</v>
      </c>
      <c r="BA403" s="4" t="s">
        <v>90</v>
      </c>
      <c r="BB403" s="4">
        <v>10800</v>
      </c>
      <c r="BC403" s="4">
        <v>2700</v>
      </c>
      <c r="BD403" s="4">
        <v>0</v>
      </c>
      <c r="BE403" s="4" t="s">
        <v>91</v>
      </c>
      <c r="BF403" s="4"/>
      <c r="BG403" s="4"/>
      <c r="BH403" s="4" t="s">
        <v>3510</v>
      </c>
      <c r="BI403" s="72"/>
      <c r="BJ403" s="154"/>
      <c r="BK403" s="4"/>
      <c r="BL403" s="105"/>
      <c r="BM403" s="9"/>
      <c r="BN403" s="9"/>
      <c r="BO403" s="9"/>
    </row>
    <row r="404" ht="12.45" customHeight="1" s="67" customFormat="1">
      <c r="A404" s="4">
        <v>171500</v>
      </c>
      <c r="B404" s="4"/>
      <c r="C404" s="55" t="s">
        <v>1232</v>
      </c>
      <c r="D404" s="4" t="s">
        <v>1233</v>
      </c>
      <c r="E404" s="4" t="s">
        <v>66</v>
      </c>
      <c r="F404" s="55">
        <v>997843</v>
      </c>
      <c r="G404" s="4" t="s">
        <v>67</v>
      </c>
      <c r="H404" s="4" t="s">
        <v>68</v>
      </c>
      <c r="I404" s="4" t="s">
        <v>69</v>
      </c>
      <c r="J404" s="55" t="s">
        <v>341</v>
      </c>
      <c r="K404" s="4" t="s">
        <v>71</v>
      </c>
      <c r="L404" s="4" t="s">
        <v>72</v>
      </c>
      <c r="M404" s="4" t="str">
        <f>VLOOKUP(A404,[1]Sheet1!$C:$G,5,0)</f>
        <v>Nazmus Sakib</v>
      </c>
      <c r="N404" s="4" t="s">
        <v>74</v>
      </c>
      <c r="O404" s="4" t="s">
        <v>75</v>
      </c>
      <c r="P404" s="4">
        <v>29</v>
      </c>
      <c r="Q404" s="57">
        <v>45432</v>
      </c>
      <c r="R404" s="57">
        <v>45444</v>
      </c>
      <c r="S404" s="113"/>
      <c r="T404" s="113"/>
      <c r="U404" s="4"/>
      <c r="V404" s="4"/>
      <c r="W404" s="105" t="s">
        <v>1234</v>
      </c>
      <c r="X404" s="114">
        <v>1788658849</v>
      </c>
      <c r="Y404" s="55">
        <v>1788658849</v>
      </c>
      <c r="Z404" s="4" t="s">
        <v>1235</v>
      </c>
      <c r="AA404" s="4">
        <v>1681231225</v>
      </c>
      <c r="AB404" s="4" t="s">
        <v>252</v>
      </c>
      <c r="AC404" s="4" t="s">
        <v>119</v>
      </c>
      <c r="AD404" s="113">
        <v>34665</v>
      </c>
      <c r="AE404" s="107">
        <f t="shared" si="10" ca="1"/>
        <v>30.224657534246575</v>
      </c>
      <c r="AF404" s="4" t="s">
        <v>80</v>
      </c>
      <c r="AG404" s="114">
        <v>9133828914</v>
      </c>
      <c r="AH404" s="4" t="s">
        <v>81</v>
      </c>
      <c r="AI404" s="55" t="s">
        <v>1236</v>
      </c>
      <c r="AJ404" s="55" t="s">
        <v>1024</v>
      </c>
      <c r="AK404" s="55">
        <v>2021</v>
      </c>
      <c r="AL404" s="4" t="s">
        <v>1024</v>
      </c>
      <c r="AM404" s="4" t="s">
        <v>1237</v>
      </c>
      <c r="AN404" s="4" t="s">
        <v>220</v>
      </c>
      <c r="AO404" s="4" t="s">
        <v>1238</v>
      </c>
      <c r="AP404" s="4" t="s">
        <v>1239</v>
      </c>
      <c r="AQ404" s="55" t="s">
        <v>88</v>
      </c>
      <c r="AR404" s="4" t="s">
        <v>89</v>
      </c>
      <c r="AS404" s="4" t="s">
        <v>1240</v>
      </c>
      <c r="AT404" s="72">
        <v>33130</v>
      </c>
      <c r="AU404" s="4" t="s">
        <v>81</v>
      </c>
      <c r="AV404" s="4" t="s">
        <v>81</v>
      </c>
      <c r="AW404" s="4" t="s">
        <v>81</v>
      </c>
      <c r="AX404" s="4" t="s">
        <v>81</v>
      </c>
      <c r="AY404" s="4" t="s">
        <v>81</v>
      </c>
      <c r="AZ404" s="4" t="s">
        <v>81</v>
      </c>
      <c r="BA404" s="4" t="s">
        <v>90</v>
      </c>
      <c r="BB404" s="4">
        <v>10800</v>
      </c>
      <c r="BC404" s="4">
        <v>2700</v>
      </c>
      <c r="BD404" s="4">
        <v>0</v>
      </c>
      <c r="BE404" s="4" t="s">
        <v>91</v>
      </c>
      <c r="BF404" s="4"/>
      <c r="BG404" s="4"/>
      <c r="BH404" s="4" t="s">
        <v>3510</v>
      </c>
      <c r="BI404" s="72"/>
      <c r="BJ404" s="154"/>
      <c r="BK404" s="4"/>
      <c r="BL404" s="105"/>
      <c r="BM404" s="9"/>
      <c r="BN404" s="9"/>
      <c r="BO404" s="9"/>
    </row>
    <row r="405" ht="14.4" s="67" customFormat="1">
      <c r="A405" s="4">
        <v>171502</v>
      </c>
      <c r="B405" s="4"/>
      <c r="C405" s="55" t="s">
        <v>1241</v>
      </c>
      <c r="D405" s="4" t="s">
        <v>1242</v>
      </c>
      <c r="E405" s="4" t="s">
        <v>66</v>
      </c>
      <c r="F405" s="55">
        <v>521722</v>
      </c>
      <c r="G405" s="4" t="s">
        <v>67</v>
      </c>
      <c r="H405" s="4" t="s">
        <v>68</v>
      </c>
      <c r="I405" s="4" t="s">
        <v>69</v>
      </c>
      <c r="J405" s="55" t="s">
        <v>319</v>
      </c>
      <c r="K405" s="4" t="s">
        <v>71</v>
      </c>
      <c r="L405" s="4" t="s">
        <v>72</v>
      </c>
      <c r="M405" s="4" t="str">
        <f>VLOOKUP(A405,[1]Sheet1!$C:$G,5,0)</f>
        <v>Abdulla Al Mamun</v>
      </c>
      <c r="N405" s="4" t="s">
        <v>74</v>
      </c>
      <c r="O405" s="4" t="s">
        <v>75</v>
      </c>
      <c r="P405" s="4">
        <v>29</v>
      </c>
      <c r="Q405" s="57">
        <v>45432</v>
      </c>
      <c r="R405" s="57">
        <v>45444</v>
      </c>
      <c r="S405" s="113"/>
      <c r="T405" s="113"/>
      <c r="U405" s="4"/>
      <c r="V405" s="4"/>
      <c r="W405" s="105" t="s">
        <v>1243</v>
      </c>
      <c r="X405" s="114">
        <v>1606174638</v>
      </c>
      <c r="Y405" s="55">
        <v>1887481124</v>
      </c>
      <c r="Z405" s="4" t="s">
        <v>1244</v>
      </c>
      <c r="AA405" s="4">
        <v>1915455239</v>
      </c>
      <c r="AB405" s="4" t="s">
        <v>101</v>
      </c>
      <c r="AC405" s="4" t="s">
        <v>79</v>
      </c>
      <c r="AD405" s="113">
        <v>35245</v>
      </c>
      <c r="AE405" s="107">
        <f t="shared" si="10" ca="1"/>
        <v>28.635616438356163</v>
      </c>
      <c r="AF405" s="4" t="s">
        <v>80</v>
      </c>
      <c r="AG405" s="114">
        <v>1491451728</v>
      </c>
      <c r="AH405" s="4" t="s">
        <v>1245</v>
      </c>
      <c r="AI405" s="55" t="s">
        <v>265</v>
      </c>
      <c r="AJ405" s="55" t="s">
        <v>1246</v>
      </c>
      <c r="AK405" s="55">
        <v>2018</v>
      </c>
      <c r="AL405" s="4" t="s">
        <v>1247</v>
      </c>
      <c r="AM405" s="4" t="s">
        <v>1248</v>
      </c>
      <c r="AN405" s="4" t="s">
        <v>1249</v>
      </c>
      <c r="AO405" s="4" t="s">
        <v>1250</v>
      </c>
      <c r="AP405" s="4" t="s">
        <v>1251</v>
      </c>
      <c r="AQ405" s="55" t="s">
        <v>1252</v>
      </c>
      <c r="AR405" s="4" t="s">
        <v>110</v>
      </c>
      <c r="AS405" s="4" t="s">
        <v>81</v>
      </c>
      <c r="AT405" s="72" t="s">
        <v>81</v>
      </c>
      <c r="AU405" s="4" t="s">
        <v>81</v>
      </c>
      <c r="AV405" s="4" t="s">
        <v>81</v>
      </c>
      <c r="AW405" s="4" t="s">
        <v>81</v>
      </c>
      <c r="AX405" s="4" t="s">
        <v>81</v>
      </c>
      <c r="AY405" s="4" t="s">
        <v>81</v>
      </c>
      <c r="AZ405" s="4" t="s">
        <v>81</v>
      </c>
      <c r="BA405" s="4" t="s">
        <v>90</v>
      </c>
      <c r="BB405" s="4">
        <v>10800</v>
      </c>
      <c r="BC405" s="4">
        <v>2700</v>
      </c>
      <c r="BD405" s="4">
        <v>0</v>
      </c>
      <c r="BE405" s="4" t="s">
        <v>91</v>
      </c>
      <c r="BF405" s="4"/>
      <c r="BG405" s="4"/>
      <c r="BH405" s="4" t="s">
        <v>3510</v>
      </c>
      <c r="BI405" s="72"/>
      <c r="BJ405" s="154"/>
      <c r="BK405" s="4"/>
      <c r="BL405" s="105"/>
      <c r="BM405" s="9"/>
      <c r="BN405" s="9"/>
      <c r="BO405" s="9"/>
    </row>
    <row r="406" ht="12" customHeight="1" s="67" customFormat="1">
      <c r="A406" s="4">
        <v>171505</v>
      </c>
      <c r="B406" s="4"/>
      <c r="C406" s="55" t="s">
        <v>1253</v>
      </c>
      <c r="D406" s="4" t="s">
        <v>1254</v>
      </c>
      <c r="E406" s="4" t="s">
        <v>66</v>
      </c>
      <c r="F406" s="55">
        <v>855909</v>
      </c>
      <c r="G406" s="4" t="s">
        <v>67</v>
      </c>
      <c r="H406" s="4" t="s">
        <v>68</v>
      </c>
      <c r="I406" s="4" t="s">
        <v>69</v>
      </c>
      <c r="J406" s="55" t="s">
        <v>341</v>
      </c>
      <c r="K406" s="4" t="s">
        <v>71</v>
      </c>
      <c r="L406" s="4" t="s">
        <v>72</v>
      </c>
      <c r="M406" s="4" t="str">
        <f>VLOOKUP(A406,[1]Sheet1!$C:$G,5,0)</f>
        <v>Md Mehedi Hasan</v>
      </c>
      <c r="N406" s="4" t="s">
        <v>74</v>
      </c>
      <c r="O406" s="4" t="s">
        <v>75</v>
      </c>
      <c r="P406" s="4">
        <v>29</v>
      </c>
      <c r="Q406" s="57">
        <v>45432</v>
      </c>
      <c r="R406" s="57">
        <v>45444</v>
      </c>
      <c r="S406" s="113"/>
      <c r="T406" s="113"/>
      <c r="U406" s="4"/>
      <c r="V406" s="4"/>
      <c r="W406" s="105" t="s">
        <v>1255</v>
      </c>
      <c r="X406" s="114">
        <v>1995177113</v>
      </c>
      <c r="Y406" s="55">
        <v>1799724055</v>
      </c>
      <c r="Z406" s="4" t="s">
        <v>1256</v>
      </c>
      <c r="AA406" s="4" t="s">
        <v>1257</v>
      </c>
      <c r="AB406" s="4" t="s">
        <v>144</v>
      </c>
      <c r="AC406" s="4" t="s">
        <v>79</v>
      </c>
      <c r="AD406" s="113">
        <v>35462</v>
      </c>
      <c r="AE406" s="107">
        <f t="shared" si="10" ca="1"/>
        <v>28.041095890410958</v>
      </c>
      <c r="AF406" s="4" t="s">
        <v>80</v>
      </c>
      <c r="AG406" s="114">
        <v>1951975059</v>
      </c>
      <c r="AH406" s="4" t="s">
        <v>81</v>
      </c>
      <c r="AI406" s="55" t="s">
        <v>723</v>
      </c>
      <c r="AJ406" s="55" t="s">
        <v>1258</v>
      </c>
      <c r="AK406" s="55">
        <v>2019</v>
      </c>
      <c r="AL406" s="4" t="s">
        <v>1259</v>
      </c>
      <c r="AM406" s="4" t="s">
        <v>1055</v>
      </c>
      <c r="AN406" s="4" t="s">
        <v>1260</v>
      </c>
      <c r="AO406" s="4" t="s">
        <v>1261</v>
      </c>
      <c r="AP406" s="4" t="s">
        <v>1262</v>
      </c>
      <c r="AQ406" s="55" t="s">
        <v>910</v>
      </c>
      <c r="AR406" s="4" t="s">
        <v>110</v>
      </c>
      <c r="AS406" s="4" t="s">
        <v>81</v>
      </c>
      <c r="AT406" s="72" t="s">
        <v>81</v>
      </c>
      <c r="AU406" s="4" t="s">
        <v>81</v>
      </c>
      <c r="AV406" s="4" t="s">
        <v>81</v>
      </c>
      <c r="AW406" s="4" t="s">
        <v>81</v>
      </c>
      <c r="AX406" s="4" t="s">
        <v>81</v>
      </c>
      <c r="AY406" s="4" t="s">
        <v>81</v>
      </c>
      <c r="AZ406" s="4" t="s">
        <v>81</v>
      </c>
      <c r="BA406" s="4" t="s">
        <v>90</v>
      </c>
      <c r="BB406" s="4">
        <v>10800</v>
      </c>
      <c r="BC406" s="4">
        <v>2700</v>
      </c>
      <c r="BD406" s="4">
        <v>0</v>
      </c>
      <c r="BE406" s="4" t="s">
        <v>91</v>
      </c>
      <c r="BF406" s="4"/>
      <c r="BG406" s="4"/>
      <c r="BH406" s="4" t="s">
        <v>3510</v>
      </c>
      <c r="BI406" s="72"/>
      <c r="BJ406" s="154"/>
      <c r="BK406" s="4"/>
      <c r="BL406" s="105"/>
      <c r="BM406" s="9"/>
      <c r="BN406" s="9"/>
      <c r="BO406" s="9"/>
    </row>
    <row r="407" ht="14.4" s="67" customFormat="1">
      <c r="A407" s="4">
        <v>171506</v>
      </c>
      <c r="B407" s="4"/>
      <c r="C407" s="55" t="s">
        <v>1263</v>
      </c>
      <c r="D407" s="4" t="s">
        <v>1264</v>
      </c>
      <c r="E407" s="4" t="s">
        <v>66</v>
      </c>
      <c r="F407" s="55">
        <v>1415131367</v>
      </c>
      <c r="G407" s="4" t="s">
        <v>67</v>
      </c>
      <c r="H407" s="4" t="s">
        <v>68</v>
      </c>
      <c r="I407" s="4" t="s">
        <v>69</v>
      </c>
      <c r="J407" s="55" t="s">
        <v>319</v>
      </c>
      <c r="K407" s="4" t="s">
        <v>71</v>
      </c>
      <c r="L407" s="4" t="s">
        <v>72</v>
      </c>
      <c r="M407" s="4" t="str">
        <f>VLOOKUP(A407,[1]Sheet1!$C:$G,5,0)</f>
        <v>Abdulla Al Mamun</v>
      </c>
      <c r="N407" s="4" t="s">
        <v>74</v>
      </c>
      <c r="O407" s="4" t="s">
        <v>75</v>
      </c>
      <c r="P407" s="4">
        <v>29</v>
      </c>
      <c r="Q407" s="57">
        <v>45432</v>
      </c>
      <c r="R407" s="57">
        <v>45444</v>
      </c>
      <c r="S407" s="113"/>
      <c r="T407" s="113"/>
      <c r="U407" s="4"/>
      <c r="V407" s="4"/>
      <c r="W407" s="105" t="s">
        <v>1265</v>
      </c>
      <c r="X407" s="114">
        <v>1879881368</v>
      </c>
      <c r="Y407" s="55">
        <v>1965079755</v>
      </c>
      <c r="Z407" s="4" t="s">
        <v>1266</v>
      </c>
      <c r="AA407" s="4">
        <v>1891814288</v>
      </c>
      <c r="AB407" s="4" t="s">
        <v>252</v>
      </c>
      <c r="AC407" s="4" t="s">
        <v>119</v>
      </c>
      <c r="AD407" s="113">
        <v>37619</v>
      </c>
      <c r="AE407" s="107">
        <f t="shared" si="10" ca="1"/>
        <v>22.13150684931507</v>
      </c>
      <c r="AF407" s="4" t="s">
        <v>80</v>
      </c>
      <c r="AG407" s="114">
        <v>1512174606</v>
      </c>
      <c r="AH407" s="4" t="s">
        <v>81</v>
      </c>
      <c r="AI407" s="55" t="s">
        <v>723</v>
      </c>
      <c r="AJ407" s="55" t="s">
        <v>81</v>
      </c>
      <c r="AK407" s="55">
        <v>2023</v>
      </c>
      <c r="AL407" s="4" t="s">
        <v>1267</v>
      </c>
      <c r="AM407" s="4" t="s">
        <v>1268</v>
      </c>
      <c r="AN407" s="4" t="s">
        <v>1269</v>
      </c>
      <c r="AO407" s="4" t="s">
        <v>1270</v>
      </c>
      <c r="AP407" s="4" t="s">
        <v>1271</v>
      </c>
      <c r="AQ407" s="55" t="s">
        <v>285</v>
      </c>
      <c r="AR407" s="4" t="s">
        <v>110</v>
      </c>
      <c r="AS407" s="4" t="s">
        <v>81</v>
      </c>
      <c r="AT407" s="72" t="s">
        <v>81</v>
      </c>
      <c r="AU407" s="4" t="s">
        <v>81</v>
      </c>
      <c r="AV407" s="4" t="s">
        <v>81</v>
      </c>
      <c r="AW407" s="4" t="s">
        <v>81</v>
      </c>
      <c r="AX407" s="4" t="s">
        <v>81</v>
      </c>
      <c r="AY407" s="4" t="s">
        <v>81</v>
      </c>
      <c r="AZ407" s="4" t="s">
        <v>81</v>
      </c>
      <c r="BA407" s="4" t="s">
        <v>90</v>
      </c>
      <c r="BB407" s="4">
        <v>10800</v>
      </c>
      <c r="BC407" s="4">
        <v>2700</v>
      </c>
      <c r="BD407" s="4">
        <v>0</v>
      </c>
      <c r="BE407" s="4" t="s">
        <v>91</v>
      </c>
      <c r="BF407" s="4"/>
      <c r="BG407" s="4"/>
      <c r="BH407" s="4" t="s">
        <v>3510</v>
      </c>
      <c r="BI407" s="72"/>
      <c r="BJ407" s="154"/>
      <c r="BK407" s="4"/>
      <c r="BL407" s="105"/>
      <c r="BM407" s="9"/>
      <c r="BN407" s="9"/>
      <c r="BO407" s="9"/>
    </row>
    <row r="408" ht="14.4" s="67" customFormat="1">
      <c r="A408" s="4">
        <v>171507</v>
      </c>
      <c r="B408" s="4"/>
      <c r="C408" s="55" t="s">
        <v>1272</v>
      </c>
      <c r="D408" s="4" t="s">
        <v>1273</v>
      </c>
      <c r="E408" s="4" t="s">
        <v>66</v>
      </c>
      <c r="F408" s="55">
        <v>1017688258</v>
      </c>
      <c r="G408" s="4" t="s">
        <v>67</v>
      </c>
      <c r="H408" s="4" t="s">
        <v>68</v>
      </c>
      <c r="I408" s="4" t="s">
        <v>69</v>
      </c>
      <c r="J408" s="55" t="s">
        <v>576</v>
      </c>
      <c r="K408" s="4" t="s">
        <v>71</v>
      </c>
      <c r="L408" s="4" t="s">
        <v>72</v>
      </c>
      <c r="M408" s="4" t="str">
        <f>VLOOKUP(A408,[1]Sheet1!$C:$G,5,0)</f>
        <v>Mizanur Rahman</v>
      </c>
      <c r="N408" s="4" t="s">
        <v>74</v>
      </c>
      <c r="O408" s="4" t="s">
        <v>75</v>
      </c>
      <c r="P408" s="4">
        <v>29</v>
      </c>
      <c r="Q408" s="57">
        <v>45432</v>
      </c>
      <c r="R408" s="57">
        <v>45444</v>
      </c>
      <c r="S408" s="113"/>
      <c r="T408" s="113"/>
      <c r="U408" s="4"/>
      <c r="V408" s="4"/>
      <c r="W408" s="105" t="s">
        <v>1274</v>
      </c>
      <c r="X408" s="114">
        <v>1714386077</v>
      </c>
      <c r="Y408" s="55">
        <v>1793819896</v>
      </c>
      <c r="Z408" s="4" t="s">
        <v>1275</v>
      </c>
      <c r="AA408" s="4">
        <v>1718818549</v>
      </c>
      <c r="AB408" s="4" t="s">
        <v>101</v>
      </c>
      <c r="AC408" s="4" t="s">
        <v>79</v>
      </c>
      <c r="AD408" s="113">
        <v>35736</v>
      </c>
      <c r="AE408" s="107">
        <f t="shared" si="10" ca="1"/>
        <v>27.29041095890411</v>
      </c>
      <c r="AF408" s="4" t="s">
        <v>80</v>
      </c>
      <c r="AG408" s="114">
        <v>2855438996</v>
      </c>
      <c r="AH408" s="4" t="s">
        <v>1276</v>
      </c>
      <c r="AI408" s="55" t="s">
        <v>847</v>
      </c>
      <c r="AJ408" s="55" t="s">
        <v>81</v>
      </c>
      <c r="AK408" s="55">
        <v>2022</v>
      </c>
      <c r="AL408" s="4" t="s">
        <v>1277</v>
      </c>
      <c r="AM408" s="4" t="s">
        <v>1278</v>
      </c>
      <c r="AN408" s="4" t="s">
        <v>1279</v>
      </c>
      <c r="AO408" s="4" t="s">
        <v>1280</v>
      </c>
      <c r="AP408" s="4" t="s">
        <v>1281</v>
      </c>
      <c r="AQ408" s="55" t="s">
        <v>1282</v>
      </c>
      <c r="AR408" s="4" t="s">
        <v>110</v>
      </c>
      <c r="AS408" s="4" t="s">
        <v>81</v>
      </c>
      <c r="AT408" s="72" t="s">
        <v>1283</v>
      </c>
      <c r="AU408" s="4" t="s">
        <v>81</v>
      </c>
      <c r="AV408" s="4" t="s">
        <v>81</v>
      </c>
      <c r="AW408" s="4" t="s">
        <v>81</v>
      </c>
      <c r="AX408" s="4" t="s">
        <v>81</v>
      </c>
      <c r="AY408" s="4" t="s">
        <v>81</v>
      </c>
      <c r="AZ408" s="4" t="s">
        <v>81</v>
      </c>
      <c r="BA408" s="4" t="s">
        <v>90</v>
      </c>
      <c r="BB408" s="4">
        <v>10800</v>
      </c>
      <c r="BC408" s="4">
        <v>2700</v>
      </c>
      <c r="BD408" s="4">
        <v>0</v>
      </c>
      <c r="BE408" s="4" t="s">
        <v>91</v>
      </c>
      <c r="BF408" s="4"/>
      <c r="BG408" s="4"/>
      <c r="BH408" s="4" t="s">
        <v>3510</v>
      </c>
      <c r="BI408" s="72"/>
      <c r="BJ408" s="154"/>
      <c r="BK408" s="4"/>
      <c r="BL408" s="105"/>
      <c r="BM408" s="9"/>
      <c r="BN408" s="9"/>
      <c r="BO408" s="9"/>
    </row>
    <row r="409" ht="14.4" s="67" customFormat="1">
      <c r="A409" s="4">
        <v>171538</v>
      </c>
      <c r="B409" s="4"/>
      <c r="C409" s="55" t="s">
        <v>1284</v>
      </c>
      <c r="D409" s="4" t="s">
        <v>882</v>
      </c>
      <c r="E409" s="4" t="s">
        <v>66</v>
      </c>
      <c r="F409" s="55">
        <v>5010944112</v>
      </c>
      <c r="G409" s="4" t="s">
        <v>67</v>
      </c>
      <c r="H409" s="4" t="s">
        <v>68</v>
      </c>
      <c r="I409" s="4" t="s">
        <v>69</v>
      </c>
      <c r="J409" s="55" t="s">
        <v>1285</v>
      </c>
      <c r="K409" s="4" t="s">
        <v>71</v>
      </c>
      <c r="L409" s="4" t="s">
        <v>72</v>
      </c>
      <c r="M409" s="4" t="str">
        <f>VLOOKUP(A409,[1]Sheet1!$C:$G,5,0)</f>
        <v>Aminul Islam Sovo</v>
      </c>
      <c r="N409" s="4" t="s">
        <v>74</v>
      </c>
      <c r="O409" s="4" t="s">
        <v>75</v>
      </c>
      <c r="P409" s="4">
        <v>31</v>
      </c>
      <c r="Q409" s="57">
        <v>45447</v>
      </c>
      <c r="R409" s="57">
        <v>45453</v>
      </c>
      <c r="S409" s="113"/>
      <c r="T409" s="113"/>
      <c r="U409" s="4"/>
      <c r="V409" s="4"/>
      <c r="W409" s="105" t="s">
        <v>1286</v>
      </c>
      <c r="X409" s="114">
        <v>1912465897</v>
      </c>
      <c r="Y409" s="55">
        <v>1737221176</v>
      </c>
      <c r="Z409" s="4" t="s">
        <v>406</v>
      </c>
      <c r="AA409" s="4">
        <v>1737221176</v>
      </c>
      <c r="AB409" s="4" t="s">
        <v>118</v>
      </c>
      <c r="AC409" s="4" t="s">
        <v>119</v>
      </c>
      <c r="AD409" s="113">
        <v>31879</v>
      </c>
      <c r="AE409" s="107">
        <f t="shared" si="10" ca="1"/>
        <v>37.85753424657534</v>
      </c>
      <c r="AF409" s="4" t="s">
        <v>80</v>
      </c>
      <c r="AG409" s="114">
        <v>4193121193</v>
      </c>
      <c r="AH409" s="4" t="s">
        <v>81</v>
      </c>
      <c r="AI409" s="55" t="s">
        <v>683</v>
      </c>
      <c r="AJ409" s="55" t="s">
        <v>81</v>
      </c>
      <c r="AK409" s="55">
        <v>2016</v>
      </c>
      <c r="AL409" s="4" t="s">
        <v>1287</v>
      </c>
      <c r="AM409" s="4" t="s">
        <v>1288</v>
      </c>
      <c r="AN409" s="4" t="s">
        <v>1289</v>
      </c>
      <c r="AO409" s="4" t="s">
        <v>1290</v>
      </c>
      <c r="AP409" s="4" t="s">
        <v>1291</v>
      </c>
      <c r="AQ409" s="55" t="s">
        <v>1292</v>
      </c>
      <c r="AR409" s="4" t="s">
        <v>1200</v>
      </c>
      <c r="AS409" s="4" t="s">
        <v>81</v>
      </c>
      <c r="AT409" s="72" t="s">
        <v>81</v>
      </c>
      <c r="AU409" s="4" t="s">
        <v>81</v>
      </c>
      <c r="AV409" s="4" t="s">
        <v>81</v>
      </c>
      <c r="AW409" s="4" t="s">
        <v>81</v>
      </c>
      <c r="AX409" s="4" t="s">
        <v>81</v>
      </c>
      <c r="AY409" s="4" t="s">
        <v>81</v>
      </c>
      <c r="AZ409" s="4" t="s">
        <v>81</v>
      </c>
      <c r="BA409" s="4" t="s">
        <v>90</v>
      </c>
      <c r="BB409" s="4">
        <v>10800</v>
      </c>
      <c r="BC409" s="4">
        <v>2700</v>
      </c>
      <c r="BD409" s="4">
        <v>0</v>
      </c>
      <c r="BE409" s="4" t="s">
        <v>91</v>
      </c>
      <c r="BF409" s="4"/>
      <c r="BG409" s="4"/>
      <c r="BH409" s="4" t="s">
        <v>3510</v>
      </c>
      <c r="BI409" s="72"/>
      <c r="BJ409" s="154"/>
      <c r="BK409" s="4"/>
      <c r="BL409" s="105"/>
      <c r="BM409" s="9"/>
      <c r="BN409" s="9"/>
      <c r="BO409" s="9"/>
    </row>
    <row r="410" ht="14.4" s="67" customFormat="1">
      <c r="A410" s="4">
        <v>171542</v>
      </c>
      <c r="B410" s="4"/>
      <c r="C410" s="55" t="s">
        <v>1293</v>
      </c>
      <c r="D410" s="4" t="s">
        <v>1294</v>
      </c>
      <c r="E410" s="4" t="s">
        <v>66</v>
      </c>
      <c r="F410" s="55">
        <v>1110214560</v>
      </c>
      <c r="G410" s="4" t="s">
        <v>67</v>
      </c>
      <c r="H410" s="4" t="s">
        <v>68</v>
      </c>
      <c r="I410" s="4" t="s">
        <v>69</v>
      </c>
      <c r="J410" s="55" t="s">
        <v>1285</v>
      </c>
      <c r="K410" s="4" t="s">
        <v>71</v>
      </c>
      <c r="L410" s="4" t="s">
        <v>72</v>
      </c>
      <c r="M410" s="4" t="str">
        <f>VLOOKUP(A410,[1]Sheet1!$C:$G,5,0)</f>
        <v>Aminul Islam Sovo</v>
      </c>
      <c r="N410" s="4" t="s">
        <v>74</v>
      </c>
      <c r="O410" s="4" t="s">
        <v>75</v>
      </c>
      <c r="P410" s="4">
        <v>31</v>
      </c>
      <c r="Q410" s="57">
        <v>45447</v>
      </c>
      <c r="R410" s="57">
        <v>45453</v>
      </c>
      <c r="S410" s="113"/>
      <c r="T410" s="113"/>
      <c r="U410" s="4"/>
      <c r="V410" s="4"/>
      <c r="W410" s="105" t="s">
        <v>1295</v>
      </c>
      <c r="X410" s="114">
        <v>1629560356</v>
      </c>
      <c r="Y410" s="55"/>
      <c r="Z410" s="4" t="s">
        <v>132</v>
      </c>
      <c r="AA410" s="4">
        <v>1680361740</v>
      </c>
      <c r="AB410" s="4" t="s">
        <v>132</v>
      </c>
      <c r="AC410" s="4" t="s">
        <v>79</v>
      </c>
      <c r="AD410" s="113">
        <v>35209</v>
      </c>
      <c r="AE410" s="107">
        <f t="shared" si="10" ca="1"/>
        <v>28.734246575342464</v>
      </c>
      <c r="AF410" s="4" t="s">
        <v>80</v>
      </c>
      <c r="AG410" s="114">
        <v>1910572245</v>
      </c>
      <c r="AH410" s="4" t="s">
        <v>81</v>
      </c>
      <c r="AI410" s="55" t="s">
        <v>299</v>
      </c>
      <c r="AJ410" s="55" t="s">
        <v>81</v>
      </c>
      <c r="AK410" s="55">
        <v>2021</v>
      </c>
      <c r="AL410" s="4" t="s">
        <v>1296</v>
      </c>
      <c r="AM410" s="4" t="s">
        <v>1297</v>
      </c>
      <c r="AN410" s="4" t="s">
        <v>1298</v>
      </c>
      <c r="AO410" s="4" t="s">
        <v>1299</v>
      </c>
      <c r="AP410" s="4" t="s">
        <v>1299</v>
      </c>
      <c r="AQ410" s="55" t="s">
        <v>1300</v>
      </c>
      <c r="AR410" s="4" t="s">
        <v>89</v>
      </c>
      <c r="AS410" s="4" t="s">
        <v>1301</v>
      </c>
      <c r="AT410" s="72">
        <v>33997</v>
      </c>
      <c r="AU410" s="4" t="s">
        <v>81</v>
      </c>
      <c r="AV410" s="4" t="s">
        <v>81</v>
      </c>
      <c r="AW410" s="4" t="s">
        <v>81</v>
      </c>
      <c r="AX410" s="4" t="s">
        <v>81</v>
      </c>
      <c r="AY410" s="4" t="s">
        <v>81</v>
      </c>
      <c r="AZ410" s="4" t="s">
        <v>81</v>
      </c>
      <c r="BA410" s="4" t="s">
        <v>90</v>
      </c>
      <c r="BB410" s="4">
        <v>10800</v>
      </c>
      <c r="BC410" s="4">
        <v>2700</v>
      </c>
      <c r="BD410" s="4">
        <v>0</v>
      </c>
      <c r="BE410" s="4" t="s">
        <v>91</v>
      </c>
      <c r="BF410" s="4"/>
      <c r="BG410" s="4"/>
      <c r="BH410" s="4" t="s">
        <v>3510</v>
      </c>
      <c r="BI410" s="72"/>
      <c r="BJ410" s="154"/>
      <c r="BK410" s="4"/>
      <c r="BL410" s="105"/>
      <c r="BM410" s="9"/>
      <c r="BN410" s="9"/>
      <c r="BO410" s="9"/>
    </row>
    <row r="411" ht="14.4" s="67" customFormat="1">
      <c r="A411" s="4">
        <v>171543</v>
      </c>
      <c r="B411" s="4"/>
      <c r="C411" s="55" t="s">
        <v>1302</v>
      </c>
      <c r="D411" s="4" t="s">
        <v>1303</v>
      </c>
      <c r="E411" s="4" t="s">
        <v>66</v>
      </c>
      <c r="F411" s="55">
        <v>1005170392</v>
      </c>
      <c r="G411" s="4" t="s">
        <v>67</v>
      </c>
      <c r="H411" s="4" t="s">
        <v>68</v>
      </c>
      <c r="I411" s="4" t="s">
        <v>69</v>
      </c>
      <c r="J411" s="55" t="s">
        <v>1285</v>
      </c>
      <c r="K411" s="4" t="s">
        <v>71</v>
      </c>
      <c r="L411" s="4" t="s">
        <v>72</v>
      </c>
      <c r="M411" s="4" t="str">
        <f>VLOOKUP(A411,[1]Sheet1!$C:$G,5,0)</f>
        <v>Md. Moniruzzaman</v>
      </c>
      <c r="N411" s="4" t="s">
        <v>74</v>
      </c>
      <c r="O411" s="4" t="s">
        <v>75</v>
      </c>
      <c r="P411" s="4">
        <v>31</v>
      </c>
      <c r="Q411" s="57">
        <v>45447</v>
      </c>
      <c r="R411" s="57">
        <v>45453</v>
      </c>
      <c r="S411" s="113"/>
      <c r="T411" s="113"/>
      <c r="U411" s="4"/>
      <c r="V411" s="4"/>
      <c r="W411" s="105" t="s">
        <v>1305</v>
      </c>
      <c r="X411" s="114">
        <v>1846124905</v>
      </c>
      <c r="Y411" s="55">
        <v>1826592608</v>
      </c>
      <c r="Z411" s="4" t="s">
        <v>1306</v>
      </c>
      <c r="AA411" s="4">
        <v>1748141628</v>
      </c>
      <c r="AB411" s="4" t="s">
        <v>252</v>
      </c>
      <c r="AC411" s="4" t="s">
        <v>119</v>
      </c>
      <c r="AD411" s="113">
        <v>35822</v>
      </c>
      <c r="AE411" s="107">
        <f t="shared" si="10" ca="1"/>
        <v>27.054794520547944</v>
      </c>
      <c r="AF411" s="4" t="s">
        <v>80</v>
      </c>
      <c r="AG411" s="114">
        <v>4202092401</v>
      </c>
      <c r="AH411" s="4" t="s">
        <v>81</v>
      </c>
      <c r="AI411" s="55" t="s">
        <v>312</v>
      </c>
      <c r="AJ411" s="55" t="s">
        <v>81</v>
      </c>
      <c r="AK411" s="55">
        <v>2020</v>
      </c>
      <c r="AL411" s="4" t="s">
        <v>1307</v>
      </c>
      <c r="AM411" s="4" t="s">
        <v>1308</v>
      </c>
      <c r="AN411" s="4" t="s">
        <v>1309</v>
      </c>
      <c r="AO411" s="4" t="s">
        <v>1310</v>
      </c>
      <c r="AP411" s="4" t="s">
        <v>1311</v>
      </c>
      <c r="AQ411" s="55" t="s">
        <v>1312</v>
      </c>
      <c r="AR411" s="4" t="s">
        <v>110</v>
      </c>
      <c r="AS411" s="4" t="s">
        <v>81</v>
      </c>
      <c r="AT411" s="72" t="s">
        <v>81</v>
      </c>
      <c r="AU411" s="4" t="s">
        <v>81</v>
      </c>
      <c r="AV411" s="4" t="s">
        <v>81</v>
      </c>
      <c r="AW411" s="4" t="s">
        <v>81</v>
      </c>
      <c r="AX411" s="4" t="s">
        <v>81</v>
      </c>
      <c r="AY411" s="4" t="s">
        <v>81</v>
      </c>
      <c r="AZ411" s="4" t="s">
        <v>81</v>
      </c>
      <c r="BA411" s="4" t="s">
        <v>90</v>
      </c>
      <c r="BB411" s="4">
        <v>10800</v>
      </c>
      <c r="BC411" s="4">
        <v>2700</v>
      </c>
      <c r="BD411" s="4">
        <v>0</v>
      </c>
      <c r="BE411" s="4" t="s">
        <v>91</v>
      </c>
      <c r="BF411" s="4"/>
      <c r="BG411" s="4"/>
      <c r="BH411" s="4" t="s">
        <v>3510</v>
      </c>
      <c r="BI411" s="72"/>
      <c r="BJ411" s="154"/>
      <c r="BK411" s="4"/>
      <c r="BL411" s="105"/>
      <c r="BM411" s="9"/>
      <c r="BN411" s="9"/>
      <c r="BO411" s="9"/>
    </row>
    <row r="412" ht="14.4" s="67" customFormat="1">
      <c r="A412" s="4">
        <v>171544</v>
      </c>
      <c r="B412" s="4"/>
      <c r="C412" s="55" t="s">
        <v>1313</v>
      </c>
      <c r="D412" s="4" t="s">
        <v>1314</v>
      </c>
      <c r="E412" s="4" t="s">
        <v>66</v>
      </c>
      <c r="F412" s="55">
        <v>1013145428</v>
      </c>
      <c r="G412" s="4" t="s">
        <v>67</v>
      </c>
      <c r="H412" s="4" t="s">
        <v>68</v>
      </c>
      <c r="I412" s="4" t="s">
        <v>69</v>
      </c>
      <c r="J412" s="55" t="s">
        <v>1285</v>
      </c>
      <c r="K412" s="4" t="s">
        <v>71</v>
      </c>
      <c r="L412" s="4" t="s">
        <v>72</v>
      </c>
      <c r="M412" s="4" t="str">
        <f>VLOOKUP(A412,[1]Sheet1!$C:$G,5,0)</f>
        <v>Md. Moniruzzaman</v>
      </c>
      <c r="N412" s="4" t="s">
        <v>74</v>
      </c>
      <c r="O412" s="4" t="s">
        <v>75</v>
      </c>
      <c r="P412" s="4">
        <v>31</v>
      </c>
      <c r="Q412" s="57">
        <v>45447</v>
      </c>
      <c r="R412" s="57">
        <v>45453</v>
      </c>
      <c r="S412" s="113"/>
      <c r="T412" s="113"/>
      <c r="U412" s="4"/>
      <c r="V412" s="4"/>
      <c r="W412" s="105" t="s">
        <v>1315</v>
      </c>
      <c r="X412" s="114">
        <v>1306796166</v>
      </c>
      <c r="Y412" s="55"/>
      <c r="Z412" s="4" t="s">
        <v>1316</v>
      </c>
      <c r="AA412" s="4">
        <v>1986574969</v>
      </c>
      <c r="AB412" s="4" t="s">
        <v>118</v>
      </c>
      <c r="AC412" s="4" t="s">
        <v>119</v>
      </c>
      <c r="AD412" s="113">
        <v>35991</v>
      </c>
      <c r="AE412" s="107">
        <f t="shared" si="10" ca="1"/>
        <v>26.59178082191781</v>
      </c>
      <c r="AF412" s="4" t="s">
        <v>360</v>
      </c>
      <c r="AG412" s="114">
        <v>8258197527</v>
      </c>
      <c r="AH412" s="4" t="s">
        <v>81</v>
      </c>
      <c r="AI412" s="55" t="s">
        <v>513</v>
      </c>
      <c r="AJ412" s="55" t="s">
        <v>81</v>
      </c>
      <c r="AK412" s="55">
        <v>2024</v>
      </c>
      <c r="AL412" s="4" t="s">
        <v>1317</v>
      </c>
      <c r="AM412" s="4" t="s">
        <v>1318</v>
      </c>
      <c r="AN412" s="4" t="s">
        <v>1319</v>
      </c>
      <c r="AO412" s="4" t="s">
        <v>1320</v>
      </c>
      <c r="AP412" s="4" t="s">
        <v>1321</v>
      </c>
      <c r="AQ412" s="55" t="s">
        <v>1322</v>
      </c>
      <c r="AR412" s="4" t="s">
        <v>110</v>
      </c>
      <c r="AS412" s="4" t="s">
        <v>81</v>
      </c>
      <c r="AT412" s="72" t="s">
        <v>81</v>
      </c>
      <c r="AU412" s="4" t="s">
        <v>81</v>
      </c>
      <c r="AV412" s="4" t="s">
        <v>81</v>
      </c>
      <c r="AW412" s="4" t="s">
        <v>81</v>
      </c>
      <c r="AX412" s="4" t="s">
        <v>81</v>
      </c>
      <c r="AY412" s="4" t="s">
        <v>81</v>
      </c>
      <c r="AZ412" s="4" t="s">
        <v>81</v>
      </c>
      <c r="BA412" s="4" t="s">
        <v>90</v>
      </c>
      <c r="BB412" s="4">
        <v>10800</v>
      </c>
      <c r="BC412" s="4">
        <v>2700</v>
      </c>
      <c r="BD412" s="4">
        <v>0</v>
      </c>
      <c r="BE412" s="4" t="s">
        <v>91</v>
      </c>
      <c r="BF412" s="4"/>
      <c r="BG412" s="4"/>
      <c r="BH412" s="4" t="s">
        <v>3510</v>
      </c>
      <c r="BI412" s="72"/>
      <c r="BJ412" s="154"/>
      <c r="BK412" s="4"/>
      <c r="BL412" s="105"/>
      <c r="BM412" s="9"/>
      <c r="BN412" s="9"/>
      <c r="BO412" s="9"/>
    </row>
    <row r="413" ht="14.4" s="67" customFormat="1">
      <c r="A413" s="4">
        <v>171547</v>
      </c>
      <c r="B413" s="4"/>
      <c r="C413" s="55" t="s">
        <v>1323</v>
      </c>
      <c r="D413" s="4" t="s">
        <v>1324</v>
      </c>
      <c r="E413" s="4" t="s">
        <v>66</v>
      </c>
      <c r="F413" s="55">
        <v>1010869571</v>
      </c>
      <c r="G413" s="4" t="s">
        <v>67</v>
      </c>
      <c r="H413" s="4" t="s">
        <v>68</v>
      </c>
      <c r="I413" s="4" t="s">
        <v>69</v>
      </c>
      <c r="J413" s="55" t="s">
        <v>1285</v>
      </c>
      <c r="K413" s="4" t="s">
        <v>71</v>
      </c>
      <c r="L413" s="4" t="s">
        <v>72</v>
      </c>
      <c r="M413" s="4" t="str">
        <f>VLOOKUP(A413,[1]Sheet1!$C:$G,5,0)</f>
        <v>Halima akter</v>
      </c>
      <c r="N413" s="4" t="s">
        <v>74</v>
      </c>
      <c r="O413" s="4" t="s">
        <v>75</v>
      </c>
      <c r="P413" s="4">
        <v>31</v>
      </c>
      <c r="Q413" s="57">
        <v>45447</v>
      </c>
      <c r="R413" s="57">
        <v>45453</v>
      </c>
      <c r="S413" s="113"/>
      <c r="T413" s="113"/>
      <c r="U413" s="4"/>
      <c r="V413" s="4"/>
      <c r="W413" s="105" t="s">
        <v>1325</v>
      </c>
      <c r="X413" s="114">
        <v>1303154463</v>
      </c>
      <c r="Y413" s="55">
        <v>1618511610</v>
      </c>
      <c r="Z413" s="4" t="s">
        <v>410</v>
      </c>
      <c r="AA413" s="4">
        <v>1618511610</v>
      </c>
      <c r="AB413" s="4" t="s">
        <v>78</v>
      </c>
      <c r="AC413" s="4" t="s">
        <v>79</v>
      </c>
      <c r="AD413" s="113">
        <v>35466</v>
      </c>
      <c r="AE413" s="107">
        <f t="shared" si="10" ca="1"/>
        <v>28.03013698630137</v>
      </c>
      <c r="AF413" s="4" t="s">
        <v>80</v>
      </c>
      <c r="AG413" s="114">
        <v>4653224693</v>
      </c>
      <c r="AH413" s="4" t="s">
        <v>1326</v>
      </c>
      <c r="AI413" s="55" t="s">
        <v>1327</v>
      </c>
      <c r="AJ413" s="55" t="s">
        <v>81</v>
      </c>
      <c r="AK413" s="55">
        <v>2019</v>
      </c>
      <c r="AL413" s="4" t="s">
        <v>1328</v>
      </c>
      <c r="AM413" s="4" t="s">
        <v>1329</v>
      </c>
      <c r="AN413" s="4" t="s">
        <v>1330</v>
      </c>
      <c r="AO413" s="4" t="s">
        <v>1331</v>
      </c>
      <c r="AP413" s="4" t="s">
        <v>1332</v>
      </c>
      <c r="AQ413" s="55" t="s">
        <v>88</v>
      </c>
      <c r="AR413" s="4" t="s">
        <v>89</v>
      </c>
      <c r="AS413" s="4" t="s">
        <v>1333</v>
      </c>
      <c r="AT413" s="72">
        <v>36040</v>
      </c>
      <c r="AU413" s="4" t="s">
        <v>1334</v>
      </c>
      <c r="AV413" s="4" t="s">
        <v>1334</v>
      </c>
      <c r="AW413" s="4" t="s">
        <v>81</v>
      </c>
      <c r="AX413" s="4" t="s">
        <v>81</v>
      </c>
      <c r="AY413" s="4" t="s">
        <v>81</v>
      </c>
      <c r="AZ413" s="4" t="s">
        <v>81</v>
      </c>
      <c r="BA413" s="4" t="s">
        <v>90</v>
      </c>
      <c r="BB413" s="4">
        <v>10800</v>
      </c>
      <c r="BC413" s="4">
        <v>2700</v>
      </c>
      <c r="BD413" s="4">
        <v>0</v>
      </c>
      <c r="BE413" s="4" t="s">
        <v>91</v>
      </c>
      <c r="BF413" s="4"/>
      <c r="BG413" s="4"/>
      <c r="BH413" s="4" t="s">
        <v>3510</v>
      </c>
      <c r="BI413" s="72"/>
      <c r="BJ413" s="154"/>
      <c r="BK413" s="4"/>
      <c r="BL413" s="105"/>
      <c r="BM413" s="9"/>
      <c r="BN413" s="9"/>
      <c r="BO413" s="9"/>
    </row>
    <row r="414" ht="14.4" s="67" customFormat="1">
      <c r="A414" s="4">
        <v>171548</v>
      </c>
      <c r="B414" s="4"/>
      <c r="C414" s="55" t="s">
        <v>1335</v>
      </c>
      <c r="D414" s="4" t="s">
        <v>1336</v>
      </c>
      <c r="E414" s="4" t="s">
        <v>66</v>
      </c>
      <c r="F414" s="55">
        <v>849686</v>
      </c>
      <c r="G414" s="4" t="s">
        <v>67</v>
      </c>
      <c r="H414" s="4" t="s">
        <v>68</v>
      </c>
      <c r="I414" s="4" t="s">
        <v>69</v>
      </c>
      <c r="J414" s="55" t="s">
        <v>307</v>
      </c>
      <c r="K414" s="4" t="s">
        <v>71</v>
      </c>
      <c r="L414" s="4" t="s">
        <v>72</v>
      </c>
      <c r="M414" s="4" t="str">
        <f>VLOOKUP(A414,[1]Sheet1!$C:$G,5,0)</f>
        <v>Nazmus Sakib</v>
      </c>
      <c r="N414" s="4" t="s">
        <v>74</v>
      </c>
      <c r="O414" s="4" t="s">
        <v>75</v>
      </c>
      <c r="P414" s="4">
        <v>31</v>
      </c>
      <c r="Q414" s="57">
        <v>45447</v>
      </c>
      <c r="R414" s="57">
        <v>45453</v>
      </c>
      <c r="S414" s="113"/>
      <c r="T414" s="113"/>
      <c r="U414" s="4"/>
      <c r="V414" s="4"/>
      <c r="W414" s="105" t="s">
        <v>1337</v>
      </c>
      <c r="X414" s="114">
        <v>1794175122</v>
      </c>
      <c r="Y414" s="55"/>
      <c r="Z414" s="4" t="s">
        <v>1338</v>
      </c>
      <c r="AA414" s="4">
        <v>1913180397</v>
      </c>
      <c r="AB414" s="4" t="s">
        <v>410</v>
      </c>
      <c r="AC414" s="4" t="s">
        <v>133</v>
      </c>
      <c r="AD414" s="113">
        <v>35226</v>
      </c>
      <c r="AE414" s="107">
        <f t="shared" si="10" ca="1"/>
        <v>28.687671232876713</v>
      </c>
      <c r="AF414" s="4" t="s">
        <v>80</v>
      </c>
      <c r="AG414" s="114">
        <v>5984198738</v>
      </c>
      <c r="AH414" s="4" t="s">
        <v>81</v>
      </c>
      <c r="AI414" s="55" t="s">
        <v>1339</v>
      </c>
      <c r="AJ414" s="55" t="s">
        <v>81</v>
      </c>
      <c r="AK414" s="55">
        <v>2017</v>
      </c>
      <c r="AL414" s="4" t="s">
        <v>209</v>
      </c>
      <c r="AM414" s="4" t="s">
        <v>1340</v>
      </c>
      <c r="AN414" s="4" t="s">
        <v>1341</v>
      </c>
      <c r="AO414" s="4" t="s">
        <v>1342</v>
      </c>
      <c r="AP414" s="4" t="s">
        <v>1343</v>
      </c>
      <c r="AQ414" s="55" t="s">
        <v>555</v>
      </c>
      <c r="AR414" s="4" t="s">
        <v>89</v>
      </c>
      <c r="AS414" s="4" t="s">
        <v>1338</v>
      </c>
      <c r="AT414" s="72">
        <v>32919</v>
      </c>
      <c r="AU414" s="4" t="s">
        <v>81</v>
      </c>
      <c r="AV414" s="4" t="s">
        <v>81</v>
      </c>
      <c r="AW414" s="4" t="s">
        <v>81</v>
      </c>
      <c r="AX414" s="4" t="s">
        <v>81</v>
      </c>
      <c r="AY414" s="4" t="s">
        <v>81</v>
      </c>
      <c r="AZ414" s="4" t="s">
        <v>81</v>
      </c>
      <c r="BA414" s="4" t="s">
        <v>90</v>
      </c>
      <c r="BB414" s="4">
        <v>10800</v>
      </c>
      <c r="BC414" s="4">
        <v>2700</v>
      </c>
      <c r="BD414" s="4">
        <v>0</v>
      </c>
      <c r="BE414" s="4" t="s">
        <v>91</v>
      </c>
      <c r="BF414" s="4"/>
      <c r="BG414" s="4"/>
      <c r="BH414" s="4" t="s">
        <v>3510</v>
      </c>
      <c r="BI414" s="72"/>
      <c r="BJ414" s="154"/>
      <c r="BK414" s="4"/>
      <c r="BL414" s="105"/>
      <c r="BM414" s="9"/>
      <c r="BN414" s="9"/>
      <c r="BO414" s="9"/>
    </row>
    <row r="415" ht="14.4" s="67" customFormat="1">
      <c r="A415" s="4">
        <v>171552</v>
      </c>
      <c r="B415" s="4"/>
      <c r="C415" s="55" t="s">
        <v>1344</v>
      </c>
      <c r="D415" s="4" t="s">
        <v>1345</v>
      </c>
      <c r="E415" s="4" t="s">
        <v>66</v>
      </c>
      <c r="F415" s="55">
        <v>1010999709</v>
      </c>
      <c r="G415" s="4" t="s">
        <v>67</v>
      </c>
      <c r="H415" s="4" t="s">
        <v>68</v>
      </c>
      <c r="I415" s="4" t="s">
        <v>69</v>
      </c>
      <c r="J415" s="55" t="s">
        <v>1285</v>
      </c>
      <c r="K415" s="4" t="s">
        <v>71</v>
      </c>
      <c r="L415" s="4" t="s">
        <v>72</v>
      </c>
      <c r="M415" s="4" t="str">
        <f>VLOOKUP(A415,[1]Sheet1!$C:$G,5,0)</f>
        <v>Md. Moniruzzaman</v>
      </c>
      <c r="N415" s="4" t="s">
        <v>74</v>
      </c>
      <c r="O415" s="4" t="s">
        <v>75</v>
      </c>
      <c r="P415" s="4">
        <v>31</v>
      </c>
      <c r="Q415" s="57">
        <v>45447</v>
      </c>
      <c r="R415" s="57">
        <v>45453</v>
      </c>
      <c r="S415" s="113"/>
      <c r="T415" s="113"/>
      <c r="U415" s="4"/>
      <c r="V415" s="4"/>
      <c r="W415" s="105" t="s">
        <v>1346</v>
      </c>
      <c r="X415" s="114">
        <v>1610600936</v>
      </c>
      <c r="Y415" s="55">
        <v>1631142618</v>
      </c>
      <c r="Z415" s="4" t="s">
        <v>1347</v>
      </c>
      <c r="AA415" s="4">
        <v>1705703008</v>
      </c>
      <c r="AB415" s="4" t="s">
        <v>78</v>
      </c>
      <c r="AC415" s="4" t="s">
        <v>133</v>
      </c>
      <c r="AD415" s="113">
        <v>35678</v>
      </c>
      <c r="AE415" s="107">
        <f t="shared" si="10" ca="1"/>
        <v>27.44931506849315</v>
      </c>
      <c r="AF415" s="4" t="s">
        <v>80</v>
      </c>
      <c r="AG415" s="114">
        <v>7352467398</v>
      </c>
      <c r="AH415" s="4" t="s">
        <v>81</v>
      </c>
      <c r="AI415" s="55" t="s">
        <v>322</v>
      </c>
      <c r="AJ415" s="55" t="s">
        <v>81</v>
      </c>
      <c r="AK415" s="55">
        <v>2019</v>
      </c>
      <c r="AL415" s="4" t="s">
        <v>1348</v>
      </c>
      <c r="AM415" s="4" t="s">
        <v>1349</v>
      </c>
      <c r="AN415" s="4" t="s">
        <v>1350</v>
      </c>
      <c r="AO415" s="4" t="s">
        <v>1351</v>
      </c>
      <c r="AP415" s="4" t="s">
        <v>1352</v>
      </c>
      <c r="AQ415" s="55" t="s">
        <v>1353</v>
      </c>
      <c r="AR415" s="4" t="s">
        <v>89</v>
      </c>
      <c r="AS415" s="4" t="s">
        <v>1347</v>
      </c>
      <c r="AT415" s="72">
        <v>35066</v>
      </c>
      <c r="AU415" s="4" t="s">
        <v>81</v>
      </c>
      <c r="AV415" s="4" t="s">
        <v>81</v>
      </c>
      <c r="AW415" s="4" t="s">
        <v>81</v>
      </c>
      <c r="AX415" s="4" t="s">
        <v>81</v>
      </c>
      <c r="AY415" s="4" t="s">
        <v>81</v>
      </c>
      <c r="AZ415" s="4" t="s">
        <v>81</v>
      </c>
      <c r="BA415" s="4" t="s">
        <v>90</v>
      </c>
      <c r="BB415" s="4">
        <v>10800</v>
      </c>
      <c r="BC415" s="4">
        <v>2700</v>
      </c>
      <c r="BD415" s="4">
        <v>0</v>
      </c>
      <c r="BE415" s="4" t="s">
        <v>91</v>
      </c>
      <c r="BF415" s="4"/>
      <c r="BG415" s="4"/>
      <c r="BH415" s="4" t="s">
        <v>3510</v>
      </c>
      <c r="BI415" s="72"/>
      <c r="BJ415" s="154"/>
      <c r="BK415" s="4"/>
      <c r="BL415" s="105"/>
      <c r="BM415" s="9"/>
      <c r="BN415" s="9"/>
      <c r="BO415" s="9"/>
    </row>
    <row r="416" ht="14.4" s="67" customFormat="1">
      <c r="A416" s="4">
        <v>171553</v>
      </c>
      <c r="B416" s="4"/>
      <c r="C416" s="55" t="s">
        <v>1354</v>
      </c>
      <c r="D416" s="4" t="s">
        <v>1355</v>
      </c>
      <c r="E416" s="4" t="s">
        <v>66</v>
      </c>
      <c r="F416" s="55">
        <v>904892</v>
      </c>
      <c r="G416" s="4" t="s">
        <v>67</v>
      </c>
      <c r="H416" s="4" t="s">
        <v>68</v>
      </c>
      <c r="I416" s="4" t="s">
        <v>69</v>
      </c>
      <c r="J416" s="55" t="s">
        <v>1285</v>
      </c>
      <c r="K416" s="4" t="s">
        <v>71</v>
      </c>
      <c r="L416" s="4" t="s">
        <v>72</v>
      </c>
      <c r="M416" s="4" t="str">
        <f>VLOOKUP(A416,[1]Sheet1!$C:$G,5,0)</f>
        <v>Aminul Islam Sovo</v>
      </c>
      <c r="N416" s="4" t="s">
        <v>74</v>
      </c>
      <c r="O416" s="4" t="s">
        <v>75</v>
      </c>
      <c r="P416" s="4">
        <v>31</v>
      </c>
      <c r="Q416" s="57">
        <v>45447</v>
      </c>
      <c r="R416" s="57">
        <v>45453</v>
      </c>
      <c r="S416" s="113"/>
      <c r="T416" s="113"/>
      <c r="U416" s="4"/>
      <c r="V416" s="4"/>
      <c r="W416" s="105" t="s">
        <v>1356</v>
      </c>
      <c r="X416" s="114">
        <v>1676573972</v>
      </c>
      <c r="Y416" s="55">
        <v>1511666809</v>
      </c>
      <c r="Z416" s="4" t="s">
        <v>1357</v>
      </c>
      <c r="AA416" s="4">
        <v>1552447293</v>
      </c>
      <c r="AB416" s="4" t="s">
        <v>118</v>
      </c>
      <c r="AC416" s="4" t="s">
        <v>79</v>
      </c>
      <c r="AD416" s="113">
        <v>34632</v>
      </c>
      <c r="AE416" s="107">
        <f t="shared" si="10" ca="1"/>
        <v>30.315068493150687</v>
      </c>
      <c r="AF416" s="4" t="s">
        <v>80</v>
      </c>
      <c r="AG416" s="114">
        <v>6421552495</v>
      </c>
      <c r="AH416" s="4" t="s">
        <v>81</v>
      </c>
      <c r="AI416" s="55" t="s">
        <v>265</v>
      </c>
      <c r="AJ416" s="55" t="s">
        <v>81</v>
      </c>
      <c r="AK416" s="55">
        <v>2016</v>
      </c>
      <c r="AL416" s="4" t="s">
        <v>1358</v>
      </c>
      <c r="AM416" s="4" t="s">
        <v>1359</v>
      </c>
      <c r="AN416" s="4" t="s">
        <v>1360</v>
      </c>
      <c r="AO416" s="4" t="s">
        <v>1361</v>
      </c>
      <c r="AP416" s="4" t="s">
        <v>1362</v>
      </c>
      <c r="AQ416" s="55" t="s">
        <v>223</v>
      </c>
      <c r="AR416" s="4" t="s">
        <v>1363</v>
      </c>
      <c r="AS416" s="4" t="s">
        <v>81</v>
      </c>
      <c r="AT416" s="72" t="s">
        <v>81</v>
      </c>
      <c r="AU416" s="4" t="s">
        <v>81</v>
      </c>
      <c r="AV416" s="4" t="s">
        <v>81</v>
      </c>
      <c r="AW416" s="4" t="s">
        <v>81</v>
      </c>
      <c r="AX416" s="4" t="s">
        <v>81</v>
      </c>
      <c r="AY416" s="4" t="s">
        <v>81</v>
      </c>
      <c r="AZ416" s="4" t="s">
        <v>81</v>
      </c>
      <c r="BA416" s="4" t="s">
        <v>90</v>
      </c>
      <c r="BB416" s="4">
        <v>10800</v>
      </c>
      <c r="BC416" s="4">
        <v>2700</v>
      </c>
      <c r="BD416" s="4">
        <v>0</v>
      </c>
      <c r="BE416" s="4" t="s">
        <v>91</v>
      </c>
      <c r="BF416" s="4"/>
      <c r="BG416" s="4"/>
      <c r="BH416" s="4" t="s">
        <v>3510</v>
      </c>
      <c r="BI416" s="72"/>
      <c r="BJ416" s="154"/>
      <c r="BK416" s="4"/>
      <c r="BL416" s="105"/>
      <c r="BM416" s="9"/>
      <c r="BN416" s="9"/>
      <c r="BO416" s="9"/>
    </row>
    <row r="417" ht="14.4" s="67" customFormat="1">
      <c r="A417" s="4">
        <v>171554</v>
      </c>
      <c r="B417" s="4"/>
      <c r="C417" s="55" t="s">
        <v>1364</v>
      </c>
      <c r="D417" s="4" t="s">
        <v>1365</v>
      </c>
      <c r="E417" s="4" t="s">
        <v>66</v>
      </c>
      <c r="F417" s="55">
        <v>1117518513</v>
      </c>
      <c r="G417" s="4" t="s">
        <v>67</v>
      </c>
      <c r="H417" s="4" t="s">
        <v>68</v>
      </c>
      <c r="I417" s="4" t="s">
        <v>69</v>
      </c>
      <c r="J417" s="55" t="s">
        <v>1285</v>
      </c>
      <c r="K417" s="4" t="s">
        <v>71</v>
      </c>
      <c r="L417" s="4" t="s">
        <v>72</v>
      </c>
      <c r="M417" s="4" t="str">
        <f>VLOOKUP(A417,[1]Sheet1!$C:$G,5,0)</f>
        <v>Aminul Islam Sovo</v>
      </c>
      <c r="N417" s="4" t="s">
        <v>74</v>
      </c>
      <c r="O417" s="4" t="s">
        <v>75</v>
      </c>
      <c r="P417" s="4">
        <v>31</v>
      </c>
      <c r="Q417" s="57">
        <v>45447</v>
      </c>
      <c r="R417" s="57">
        <v>45453</v>
      </c>
      <c r="S417" s="113"/>
      <c r="T417" s="113"/>
      <c r="U417" s="4"/>
      <c r="V417" s="4"/>
      <c r="W417" s="105" t="s">
        <v>1366</v>
      </c>
      <c r="X417" s="114">
        <v>1719187158</v>
      </c>
      <c r="Y417" s="55">
        <v>1755267884</v>
      </c>
      <c r="Z417" s="4" t="s">
        <v>1367</v>
      </c>
      <c r="AA417" s="4">
        <v>1750959509</v>
      </c>
      <c r="AB417" s="4" t="s">
        <v>132</v>
      </c>
      <c r="AC417" s="4" t="s">
        <v>79</v>
      </c>
      <c r="AD417" s="113">
        <v>35718</v>
      </c>
      <c r="AE417" s="107">
        <f t="shared" si="10" ca="1"/>
        <v>27.339726027397262</v>
      </c>
      <c r="AF417" s="4" t="s">
        <v>360</v>
      </c>
      <c r="AG417" s="114">
        <v>7354564085</v>
      </c>
      <c r="AH417" s="4" t="s">
        <v>81</v>
      </c>
      <c r="AI417" s="55" t="s">
        <v>1368</v>
      </c>
      <c r="AJ417" s="55" t="s">
        <v>81</v>
      </c>
      <c r="AK417" s="55">
        <v>2021</v>
      </c>
      <c r="AL417" s="4" t="s">
        <v>1369</v>
      </c>
      <c r="AM417" s="4" t="s">
        <v>1370</v>
      </c>
      <c r="AN417" s="4" t="s">
        <v>1367</v>
      </c>
      <c r="AO417" s="4" t="s">
        <v>1371</v>
      </c>
      <c r="AP417" s="4" t="s">
        <v>1372</v>
      </c>
      <c r="AQ417" s="55" t="s">
        <v>88</v>
      </c>
      <c r="AR417" s="4" t="s">
        <v>110</v>
      </c>
      <c r="AS417" s="4" t="s">
        <v>81</v>
      </c>
      <c r="AT417" s="72" t="s">
        <v>81</v>
      </c>
      <c r="AU417" s="4" t="s">
        <v>81</v>
      </c>
      <c r="AV417" s="4" t="s">
        <v>81</v>
      </c>
      <c r="AW417" s="4" t="s">
        <v>81</v>
      </c>
      <c r="AX417" s="4" t="s">
        <v>81</v>
      </c>
      <c r="AY417" s="4" t="s">
        <v>81</v>
      </c>
      <c r="AZ417" s="4" t="s">
        <v>81</v>
      </c>
      <c r="BA417" s="4" t="s">
        <v>90</v>
      </c>
      <c r="BB417" s="4">
        <v>10800</v>
      </c>
      <c r="BC417" s="4">
        <v>2700</v>
      </c>
      <c r="BD417" s="4">
        <v>0</v>
      </c>
      <c r="BE417" s="4" t="s">
        <v>91</v>
      </c>
      <c r="BF417" s="4"/>
      <c r="BG417" s="4"/>
      <c r="BH417" s="4" t="s">
        <v>3510</v>
      </c>
      <c r="BI417" s="72"/>
      <c r="BJ417" s="154"/>
      <c r="BK417" s="4"/>
      <c r="BL417" s="105"/>
      <c r="BM417" s="9"/>
      <c r="BN417" s="9"/>
      <c r="BO417" s="9"/>
    </row>
    <row r="418" ht="14.4" s="67" customFormat="1">
      <c r="A418" s="4">
        <v>171555</v>
      </c>
      <c r="B418" s="4"/>
      <c r="C418" s="55" t="s">
        <v>1373</v>
      </c>
      <c r="D418" s="4" t="s">
        <v>1374</v>
      </c>
      <c r="E418" s="4" t="s">
        <v>66</v>
      </c>
      <c r="F418" s="55">
        <v>413030</v>
      </c>
      <c r="G418" s="4" t="s">
        <v>67</v>
      </c>
      <c r="H418" s="4" t="s">
        <v>68</v>
      </c>
      <c r="I418" s="4" t="s">
        <v>69</v>
      </c>
      <c r="J418" s="55" t="s">
        <v>307</v>
      </c>
      <c r="K418" s="4" t="s">
        <v>71</v>
      </c>
      <c r="L418" s="4" t="s">
        <v>72</v>
      </c>
      <c r="M418" s="4" t="str">
        <f>VLOOKUP(A418,[1]Sheet1!$C:$G,5,0)</f>
        <v>Nazmus Sakib</v>
      </c>
      <c r="N418" s="4" t="s">
        <v>74</v>
      </c>
      <c r="O418" s="4" t="s">
        <v>75</v>
      </c>
      <c r="P418" s="4">
        <v>31</v>
      </c>
      <c r="Q418" s="57">
        <v>45447</v>
      </c>
      <c r="R418" s="57">
        <v>45453</v>
      </c>
      <c r="S418" s="113"/>
      <c r="T418" s="113"/>
      <c r="U418" s="4"/>
      <c r="V418" s="4"/>
      <c r="W418" s="105" t="s">
        <v>1375</v>
      </c>
      <c r="X418" s="114">
        <v>1531799269</v>
      </c>
      <c r="Y418" s="55"/>
      <c r="Z418" s="4" t="s">
        <v>1376</v>
      </c>
      <c r="AA418" s="4">
        <v>1796336546</v>
      </c>
      <c r="AB418" s="4" t="s">
        <v>132</v>
      </c>
      <c r="AC418" s="4" t="s">
        <v>79</v>
      </c>
      <c r="AD418" s="113">
        <v>35082</v>
      </c>
      <c r="AE418" s="107">
        <f t="shared" si="10" ca="1"/>
        <v>29.08219178082192</v>
      </c>
      <c r="AF418" s="4" t="s">
        <v>80</v>
      </c>
      <c r="AG418" s="114">
        <v>7352541937</v>
      </c>
      <c r="AH418" s="4" t="s">
        <v>1377</v>
      </c>
      <c r="AI418" s="55" t="s">
        <v>82</v>
      </c>
      <c r="AJ418" s="55" t="s">
        <v>81</v>
      </c>
      <c r="AK418" s="55">
        <v>2020</v>
      </c>
      <c r="AL418" s="4" t="s">
        <v>1378</v>
      </c>
      <c r="AM418" s="4" t="s">
        <v>1379</v>
      </c>
      <c r="AN418" s="4" t="s">
        <v>1376</v>
      </c>
      <c r="AO418" s="4" t="s">
        <v>1380</v>
      </c>
      <c r="AP418" s="4" t="s">
        <v>1381</v>
      </c>
      <c r="AQ418" s="55" t="s">
        <v>1382</v>
      </c>
      <c r="AR418" s="4" t="s">
        <v>110</v>
      </c>
      <c r="AS418" s="4" t="s">
        <v>1377</v>
      </c>
      <c r="AT418" s="72" t="s">
        <v>1377</v>
      </c>
      <c r="AU418" s="4" t="s">
        <v>1377</v>
      </c>
      <c r="AV418" s="4" t="s">
        <v>1377</v>
      </c>
      <c r="AW418" s="4" t="s">
        <v>81</v>
      </c>
      <c r="AX418" s="4" t="s">
        <v>81</v>
      </c>
      <c r="AY418" s="4" t="s">
        <v>81</v>
      </c>
      <c r="AZ418" s="4" t="s">
        <v>81</v>
      </c>
      <c r="BA418" s="4" t="s">
        <v>90</v>
      </c>
      <c r="BB418" s="4">
        <v>10800</v>
      </c>
      <c r="BC418" s="4">
        <v>2700</v>
      </c>
      <c r="BD418" s="4">
        <v>0</v>
      </c>
      <c r="BE418" s="4" t="s">
        <v>91</v>
      </c>
      <c r="BF418" s="4"/>
      <c r="BG418" s="4"/>
      <c r="BH418" s="4" t="s">
        <v>3510</v>
      </c>
      <c r="BI418" s="72"/>
      <c r="BJ418" s="154"/>
      <c r="BK418" s="4"/>
      <c r="BL418" s="105"/>
      <c r="BM418" s="9"/>
      <c r="BN418" s="9"/>
      <c r="BO418" s="9"/>
    </row>
    <row r="419" ht="14.4" s="67" customFormat="1">
      <c r="A419" s="4">
        <v>171557</v>
      </c>
      <c r="B419" s="4"/>
      <c r="C419" s="55" t="s">
        <v>1383</v>
      </c>
      <c r="D419" s="4" t="s">
        <v>1384</v>
      </c>
      <c r="E419" s="4" t="s">
        <v>66</v>
      </c>
      <c r="F419" s="55">
        <v>1210961856</v>
      </c>
      <c r="G419" s="4" t="s">
        <v>67</v>
      </c>
      <c r="H419" s="4" t="s">
        <v>68</v>
      </c>
      <c r="I419" s="4" t="s">
        <v>69</v>
      </c>
      <c r="J419" s="55" t="s">
        <v>1285</v>
      </c>
      <c r="K419" s="4" t="s">
        <v>71</v>
      </c>
      <c r="L419" s="4" t="s">
        <v>72</v>
      </c>
      <c r="M419" s="4" t="str">
        <f>VLOOKUP(A419,[1]Sheet1!$C:$G,5,0)</f>
        <v>Aminul Islam Sovo</v>
      </c>
      <c r="N419" s="4" t="s">
        <v>74</v>
      </c>
      <c r="O419" s="4" t="s">
        <v>75</v>
      </c>
      <c r="P419" s="4">
        <v>31</v>
      </c>
      <c r="Q419" s="57">
        <v>45447</v>
      </c>
      <c r="R419" s="57">
        <v>45453</v>
      </c>
      <c r="S419" s="113"/>
      <c r="T419" s="113"/>
      <c r="U419" s="4"/>
      <c r="V419" s="4"/>
      <c r="W419" s="105" t="s">
        <v>1385</v>
      </c>
      <c r="X419" s="114">
        <v>1620589818</v>
      </c>
      <c r="Y419" s="55"/>
      <c r="Z419" s="4" t="s">
        <v>1386</v>
      </c>
      <c r="AA419" s="4" t="s">
        <v>1387</v>
      </c>
      <c r="AB419" s="4" t="s">
        <v>410</v>
      </c>
      <c r="AC419" s="4" t="s">
        <v>79</v>
      </c>
      <c r="AD419" s="113">
        <v>36374</v>
      </c>
      <c r="AE419" s="107">
        <f t="shared" si="10" ca="1"/>
        <v>25.542465753424658</v>
      </c>
      <c r="AF419" s="4" t="s">
        <v>80</v>
      </c>
      <c r="AG419" s="114">
        <v>9154809496</v>
      </c>
      <c r="AH419" s="4" t="s">
        <v>242</v>
      </c>
      <c r="AI419" s="55" t="s">
        <v>886</v>
      </c>
      <c r="AJ419" s="55" t="s">
        <v>81</v>
      </c>
      <c r="AK419" s="55">
        <v>2021</v>
      </c>
      <c r="AL419" s="4" t="s">
        <v>1388</v>
      </c>
      <c r="AM419" s="4" t="s">
        <v>1389</v>
      </c>
      <c r="AN419" s="4" t="s">
        <v>107</v>
      </c>
      <c r="AO419" s="4" t="s">
        <v>1390</v>
      </c>
      <c r="AP419" s="4" t="s">
        <v>1391</v>
      </c>
      <c r="AQ419" s="55" t="s">
        <v>285</v>
      </c>
      <c r="AR419" s="4" t="s">
        <v>89</v>
      </c>
      <c r="AS419" s="4" t="s">
        <v>1392</v>
      </c>
      <c r="AT419" s="72">
        <v>35869</v>
      </c>
      <c r="AU419" s="4" t="s">
        <v>1377</v>
      </c>
      <c r="AV419" s="4" t="s">
        <v>1377</v>
      </c>
      <c r="AW419" s="4" t="s">
        <v>81</v>
      </c>
      <c r="AX419" s="4" t="s">
        <v>81</v>
      </c>
      <c r="AY419" s="4" t="s">
        <v>81</v>
      </c>
      <c r="AZ419" s="4" t="s">
        <v>81</v>
      </c>
      <c r="BA419" s="4" t="s">
        <v>90</v>
      </c>
      <c r="BB419" s="4">
        <v>10800</v>
      </c>
      <c r="BC419" s="4">
        <v>2700</v>
      </c>
      <c r="BD419" s="4">
        <v>0</v>
      </c>
      <c r="BE419" s="4" t="s">
        <v>91</v>
      </c>
      <c r="BF419" s="4"/>
      <c r="BG419" s="4"/>
      <c r="BH419" s="4" t="s">
        <v>3510</v>
      </c>
      <c r="BI419" s="72"/>
      <c r="BJ419" s="154"/>
      <c r="BK419" s="4"/>
      <c r="BL419" s="105"/>
      <c r="BM419" s="9"/>
      <c r="BN419" s="9"/>
      <c r="BO419" s="9"/>
    </row>
    <row r="420" ht="14.4" s="67" customFormat="1">
      <c r="A420" s="4">
        <v>171558</v>
      </c>
      <c r="B420" s="4"/>
      <c r="C420" s="55" t="s">
        <v>1393</v>
      </c>
      <c r="D420" s="4" t="s">
        <v>1394</v>
      </c>
      <c r="E420" s="4" t="s">
        <v>66</v>
      </c>
      <c r="F420" s="55">
        <v>1210848992</v>
      </c>
      <c r="G420" s="4" t="s">
        <v>67</v>
      </c>
      <c r="H420" s="4" t="s">
        <v>68</v>
      </c>
      <c r="I420" s="4" t="s">
        <v>69</v>
      </c>
      <c r="J420" s="55" t="s">
        <v>1285</v>
      </c>
      <c r="K420" s="4" t="s">
        <v>71</v>
      </c>
      <c r="L420" s="4" t="s">
        <v>72</v>
      </c>
      <c r="M420" s="4" t="str">
        <f>VLOOKUP(A420,[1]Sheet1!$C:$G,5,0)</f>
        <v>Md. Moniruzzaman</v>
      </c>
      <c r="N420" s="4" t="s">
        <v>74</v>
      </c>
      <c r="O420" s="4" t="s">
        <v>75</v>
      </c>
      <c r="P420" s="4">
        <v>31</v>
      </c>
      <c r="Q420" s="57">
        <v>45447</v>
      </c>
      <c r="R420" s="57">
        <v>45453</v>
      </c>
      <c r="S420" s="113"/>
      <c r="T420" s="113"/>
      <c r="U420" s="4"/>
      <c r="V420" s="4"/>
      <c r="W420" s="105" t="s">
        <v>1395</v>
      </c>
      <c r="X420" s="114">
        <v>1630362191</v>
      </c>
      <c r="Y420" s="55"/>
      <c r="Z420" s="4" t="s">
        <v>101</v>
      </c>
      <c r="AA420" s="4">
        <v>1753521076</v>
      </c>
      <c r="AB420" s="4" t="s">
        <v>1396</v>
      </c>
      <c r="AC420" s="4" t="s">
        <v>79</v>
      </c>
      <c r="AD420" s="113">
        <v>36296</v>
      </c>
      <c r="AE420" s="107">
        <f t="shared" si="10" ca="1"/>
        <v>25.756164383561643</v>
      </c>
      <c r="AF420" s="4" t="s">
        <v>80</v>
      </c>
      <c r="AG420" s="114">
        <v>6904380679</v>
      </c>
      <c r="AH420" s="4" t="s">
        <v>81</v>
      </c>
      <c r="AI420" s="55" t="s">
        <v>925</v>
      </c>
      <c r="AJ420" s="55" t="s">
        <v>81</v>
      </c>
      <c r="AK420" s="55">
        <v>2022</v>
      </c>
      <c r="AL420" s="4" t="s">
        <v>1397</v>
      </c>
      <c r="AM420" s="4" t="s">
        <v>1398</v>
      </c>
      <c r="AN420" s="4" t="s">
        <v>1399</v>
      </c>
      <c r="AO420" s="4" t="s">
        <v>1400</v>
      </c>
      <c r="AP420" s="4" t="s">
        <v>1401</v>
      </c>
      <c r="AQ420" s="55" t="s">
        <v>223</v>
      </c>
      <c r="AR420" s="4" t="s">
        <v>110</v>
      </c>
      <c r="AS420" s="4" t="s">
        <v>81</v>
      </c>
      <c r="AT420" s="72" t="s">
        <v>81</v>
      </c>
      <c r="AU420" s="4" t="s">
        <v>81</v>
      </c>
      <c r="AV420" s="4" t="s">
        <v>81</v>
      </c>
      <c r="AW420" s="4" t="s">
        <v>81</v>
      </c>
      <c r="AX420" s="4" t="s">
        <v>81</v>
      </c>
      <c r="AY420" s="4" t="s">
        <v>81</v>
      </c>
      <c r="AZ420" s="4" t="s">
        <v>81</v>
      </c>
      <c r="BA420" s="4" t="s">
        <v>90</v>
      </c>
      <c r="BB420" s="4">
        <v>10800</v>
      </c>
      <c r="BC420" s="4">
        <v>2700</v>
      </c>
      <c r="BD420" s="4">
        <v>0</v>
      </c>
      <c r="BE420" s="4" t="s">
        <v>91</v>
      </c>
      <c r="BF420" s="4"/>
      <c r="BG420" s="4"/>
      <c r="BH420" s="4" t="s">
        <v>3510</v>
      </c>
      <c r="BI420" s="72"/>
      <c r="BJ420" s="154"/>
      <c r="BK420" s="4"/>
      <c r="BL420" s="105"/>
      <c r="BM420" s="9"/>
      <c r="BN420" s="9"/>
      <c r="BO420" s="9"/>
    </row>
    <row r="421" ht="14.4" s="67" customFormat="1">
      <c r="A421" s="4">
        <v>171559</v>
      </c>
      <c r="B421" s="4"/>
      <c r="C421" s="55" t="s">
        <v>1402</v>
      </c>
      <c r="D421" s="4" t="s">
        <v>1403</v>
      </c>
      <c r="E421" s="4" t="s">
        <v>66</v>
      </c>
      <c r="F421" s="55">
        <v>1218791870</v>
      </c>
      <c r="G421" s="4" t="s">
        <v>67</v>
      </c>
      <c r="H421" s="4" t="s">
        <v>68</v>
      </c>
      <c r="I421" s="4" t="s">
        <v>69</v>
      </c>
      <c r="J421" s="55" t="s">
        <v>1285</v>
      </c>
      <c r="K421" s="4" t="s">
        <v>71</v>
      </c>
      <c r="L421" s="4" t="s">
        <v>72</v>
      </c>
      <c r="M421" s="4" t="str">
        <f>VLOOKUP(A421,[1]Sheet1!$C:$G,5,0)</f>
        <v>Aminul Islam Sovo</v>
      </c>
      <c r="N421" s="4" t="s">
        <v>74</v>
      </c>
      <c r="O421" s="4" t="s">
        <v>75</v>
      </c>
      <c r="P421" s="4">
        <v>31</v>
      </c>
      <c r="Q421" s="57">
        <v>45447</v>
      </c>
      <c r="R421" s="57">
        <v>45453</v>
      </c>
      <c r="S421" s="113"/>
      <c r="T421" s="113"/>
      <c r="U421" s="4"/>
      <c r="V421" s="4"/>
      <c r="W421" s="105" t="s">
        <v>1404</v>
      </c>
      <c r="X421" s="114">
        <v>1950123026</v>
      </c>
      <c r="Y421" s="55">
        <v>1708578680</v>
      </c>
      <c r="Z421" s="4" t="s">
        <v>101</v>
      </c>
      <c r="AA421" s="4">
        <v>1708674810</v>
      </c>
      <c r="AB421" s="4" t="s">
        <v>101</v>
      </c>
      <c r="AC421" s="4" t="s">
        <v>133</v>
      </c>
      <c r="AD421" s="113">
        <v>36018</v>
      </c>
      <c r="AE421" s="107">
        <f t="shared" si="10" ca="1"/>
        <v>26.517808219178082</v>
      </c>
      <c r="AF421" s="4" t="s">
        <v>80</v>
      </c>
      <c r="AG421" s="114">
        <v>3755688623</v>
      </c>
      <c r="AH421" s="4" t="s">
        <v>1377</v>
      </c>
      <c r="AI421" s="55" t="s">
        <v>347</v>
      </c>
      <c r="AJ421" s="55" t="s">
        <v>81</v>
      </c>
      <c r="AK421" s="55">
        <v>2021</v>
      </c>
      <c r="AL421" s="4" t="s">
        <v>1405</v>
      </c>
      <c r="AM421" s="4" t="s">
        <v>1406</v>
      </c>
      <c r="AN421" s="4" t="s">
        <v>1407</v>
      </c>
      <c r="AO421" s="4" t="s">
        <v>88</v>
      </c>
      <c r="AP421" s="4" t="s">
        <v>1408</v>
      </c>
      <c r="AQ421" s="55" t="s">
        <v>88</v>
      </c>
      <c r="AR421" s="4" t="s">
        <v>110</v>
      </c>
      <c r="AS421" s="4" t="s">
        <v>1377</v>
      </c>
      <c r="AT421" s="72" t="s">
        <v>1377</v>
      </c>
      <c r="AU421" s="4" t="s">
        <v>1377</v>
      </c>
      <c r="AV421" s="4" t="s">
        <v>1377</v>
      </c>
      <c r="AW421" s="4" t="s">
        <v>81</v>
      </c>
      <c r="AX421" s="4" t="s">
        <v>81</v>
      </c>
      <c r="AY421" s="4" t="s">
        <v>81</v>
      </c>
      <c r="AZ421" s="4" t="s">
        <v>81</v>
      </c>
      <c r="BA421" s="4" t="s">
        <v>90</v>
      </c>
      <c r="BB421" s="4">
        <v>10800</v>
      </c>
      <c r="BC421" s="4">
        <v>2700</v>
      </c>
      <c r="BD421" s="4">
        <v>0</v>
      </c>
      <c r="BE421" s="4" t="s">
        <v>91</v>
      </c>
      <c r="BF421" s="4"/>
      <c r="BG421" s="4"/>
      <c r="BH421" s="4" t="s">
        <v>3510</v>
      </c>
      <c r="BI421" s="72"/>
      <c r="BJ421" s="154"/>
      <c r="BK421" s="4"/>
      <c r="BL421" s="105"/>
      <c r="BM421" s="9"/>
      <c r="BN421" s="9"/>
      <c r="BO421" s="9"/>
    </row>
    <row r="422" ht="14.4" s="67" customFormat="1">
      <c r="A422" s="4">
        <v>171560</v>
      </c>
      <c r="B422" s="4"/>
      <c r="C422" s="55" t="s">
        <v>1409</v>
      </c>
      <c r="D422" s="4" t="s">
        <v>1410</v>
      </c>
      <c r="E422" s="4" t="s">
        <v>66</v>
      </c>
      <c r="F422" s="55">
        <v>1110213813</v>
      </c>
      <c r="G422" s="4" t="s">
        <v>67</v>
      </c>
      <c r="H422" s="4" t="s">
        <v>68</v>
      </c>
      <c r="I422" s="4" t="s">
        <v>69</v>
      </c>
      <c r="J422" s="55" t="s">
        <v>1285</v>
      </c>
      <c r="K422" s="4" t="s">
        <v>71</v>
      </c>
      <c r="L422" s="4" t="s">
        <v>72</v>
      </c>
      <c r="M422" s="4" t="str">
        <f>VLOOKUP(A422,[1]Sheet1!$C:$G,5,0)</f>
        <v>Aminul Islam Sovo</v>
      </c>
      <c r="N422" s="4" t="s">
        <v>74</v>
      </c>
      <c r="O422" s="4" t="s">
        <v>75</v>
      </c>
      <c r="P422" s="4">
        <v>31</v>
      </c>
      <c r="Q422" s="57">
        <v>45447</v>
      </c>
      <c r="R422" s="57">
        <v>45453</v>
      </c>
      <c r="S422" s="113"/>
      <c r="T422" s="113"/>
      <c r="U422" s="4"/>
      <c r="V422" s="4"/>
      <c r="W422" s="105" t="s">
        <v>1411</v>
      </c>
      <c r="X422" s="114">
        <v>1729017011</v>
      </c>
      <c r="Y422" s="55"/>
      <c r="Z422" s="4" t="s">
        <v>1412</v>
      </c>
      <c r="AA422" s="4">
        <v>1715770787</v>
      </c>
      <c r="AB422" s="4" t="s">
        <v>132</v>
      </c>
      <c r="AC422" s="4" t="s">
        <v>79</v>
      </c>
      <c r="AD422" s="113">
        <v>35930</v>
      </c>
      <c r="AE422" s="107">
        <f t="shared" si="10" ca="1"/>
        <v>26.75890410958904</v>
      </c>
      <c r="AF422" s="4" t="s">
        <v>80</v>
      </c>
      <c r="AG422" s="114">
        <v>5557243838</v>
      </c>
      <c r="AH422" s="4" t="s">
        <v>81</v>
      </c>
      <c r="AI422" s="55" t="s">
        <v>1413</v>
      </c>
      <c r="AJ422" s="55" t="s">
        <v>81</v>
      </c>
      <c r="AK422" s="55">
        <v>2020</v>
      </c>
      <c r="AL422" s="4" t="s">
        <v>1414</v>
      </c>
      <c r="AM422" s="4" t="s">
        <v>1415</v>
      </c>
      <c r="AN422" s="4" t="s">
        <v>1412</v>
      </c>
      <c r="AO422" s="4" t="s">
        <v>1416</v>
      </c>
      <c r="AP422" s="4" t="s">
        <v>1417</v>
      </c>
      <c r="AQ422" s="55" t="s">
        <v>1418</v>
      </c>
      <c r="AR422" s="4" t="s">
        <v>110</v>
      </c>
      <c r="AS422" s="4" t="s">
        <v>81</v>
      </c>
      <c r="AT422" s="72" t="s">
        <v>81</v>
      </c>
      <c r="AU422" s="4" t="s">
        <v>81</v>
      </c>
      <c r="AV422" s="4" t="s">
        <v>81</v>
      </c>
      <c r="AW422" s="4" t="s">
        <v>81</v>
      </c>
      <c r="AX422" s="4" t="s">
        <v>81</v>
      </c>
      <c r="AY422" s="4" t="s">
        <v>81</v>
      </c>
      <c r="AZ422" s="4" t="s">
        <v>81</v>
      </c>
      <c r="BA422" s="4" t="s">
        <v>90</v>
      </c>
      <c r="BB422" s="4">
        <v>10800</v>
      </c>
      <c r="BC422" s="4">
        <v>2700</v>
      </c>
      <c r="BD422" s="4">
        <v>0</v>
      </c>
      <c r="BE422" s="4" t="s">
        <v>91</v>
      </c>
      <c r="BF422" s="4"/>
      <c r="BG422" s="4"/>
      <c r="BH422" s="4" t="s">
        <v>3510</v>
      </c>
      <c r="BI422" s="72"/>
      <c r="BJ422" s="154"/>
      <c r="BK422" s="4"/>
      <c r="BL422" s="105"/>
      <c r="BM422" s="9"/>
      <c r="BN422" s="9"/>
      <c r="BO422" s="9"/>
    </row>
    <row r="423" ht="14.4" s="67" customFormat="1">
      <c r="A423" s="4">
        <v>171561</v>
      </c>
      <c r="B423" s="4"/>
      <c r="C423" s="55" t="s">
        <v>1419</v>
      </c>
      <c r="D423" s="4" t="s">
        <v>1420</v>
      </c>
      <c r="E423" s="4" t="s">
        <v>66</v>
      </c>
      <c r="F423" s="55">
        <v>620578</v>
      </c>
      <c r="G423" s="4" t="s">
        <v>67</v>
      </c>
      <c r="H423" s="4" t="s">
        <v>68</v>
      </c>
      <c r="I423" s="4" t="s">
        <v>69</v>
      </c>
      <c r="J423" s="55" t="s">
        <v>1285</v>
      </c>
      <c r="K423" s="4" t="s">
        <v>71</v>
      </c>
      <c r="L423" s="4" t="s">
        <v>72</v>
      </c>
      <c r="M423" s="4" t="str">
        <f>VLOOKUP(A423,[1]Sheet1!$C:$G,5,0)</f>
        <v>Md. Moniruzzaman</v>
      </c>
      <c r="N423" s="4" t="s">
        <v>74</v>
      </c>
      <c r="O423" s="4" t="s">
        <v>75</v>
      </c>
      <c r="P423" s="4">
        <v>31</v>
      </c>
      <c r="Q423" s="57">
        <v>45447</v>
      </c>
      <c r="R423" s="57">
        <v>45453</v>
      </c>
      <c r="S423" s="113"/>
      <c r="T423" s="113"/>
      <c r="U423" s="4"/>
      <c r="V423" s="4"/>
      <c r="W423" s="105" t="s">
        <v>1421</v>
      </c>
      <c r="X423" s="114">
        <v>1734742602</v>
      </c>
      <c r="Y423" s="55"/>
      <c r="Z423" s="4" t="s">
        <v>1422</v>
      </c>
      <c r="AA423" s="4">
        <v>1307445366</v>
      </c>
      <c r="AB423" s="4" t="s">
        <v>118</v>
      </c>
      <c r="AC423" s="4" t="s">
        <v>119</v>
      </c>
      <c r="AD423" s="113">
        <v>35553</v>
      </c>
      <c r="AE423" s="107">
        <f t="shared" si="10" ca="1"/>
        <v>27.791780821917808</v>
      </c>
      <c r="AF423" s="4" t="s">
        <v>80</v>
      </c>
      <c r="AG423" s="114">
        <v>9152984283</v>
      </c>
      <c r="AH423" s="4" t="s">
        <v>81</v>
      </c>
      <c r="AI423" s="55" t="s">
        <v>1423</v>
      </c>
      <c r="AJ423" s="55" t="s">
        <v>81</v>
      </c>
      <c r="AK423" s="55">
        <v>2017</v>
      </c>
      <c r="AL423" s="4" t="s">
        <v>1424</v>
      </c>
      <c r="AM423" s="4" t="s">
        <v>1425</v>
      </c>
      <c r="AN423" s="4" t="s">
        <v>1426</v>
      </c>
      <c r="AO423" s="4" t="s">
        <v>1427</v>
      </c>
      <c r="AP423" s="4" t="s">
        <v>1428</v>
      </c>
      <c r="AQ423" s="55" t="s">
        <v>499</v>
      </c>
      <c r="AR423" s="4" t="s">
        <v>110</v>
      </c>
      <c r="AS423" s="4" t="s">
        <v>81</v>
      </c>
      <c r="AT423" s="72" t="s">
        <v>81</v>
      </c>
      <c r="AU423" s="4" t="s">
        <v>81</v>
      </c>
      <c r="AV423" s="4" t="s">
        <v>81</v>
      </c>
      <c r="AW423" s="4" t="s">
        <v>81</v>
      </c>
      <c r="AX423" s="4" t="s">
        <v>81</v>
      </c>
      <c r="AY423" s="4" t="s">
        <v>81</v>
      </c>
      <c r="AZ423" s="4" t="s">
        <v>81</v>
      </c>
      <c r="BA423" s="4" t="s">
        <v>90</v>
      </c>
      <c r="BB423" s="4">
        <v>10800</v>
      </c>
      <c r="BC423" s="4">
        <v>2700</v>
      </c>
      <c r="BD423" s="4">
        <v>0</v>
      </c>
      <c r="BE423" s="4" t="s">
        <v>91</v>
      </c>
      <c r="BF423" s="4"/>
      <c r="BG423" s="4"/>
      <c r="BH423" s="4" t="s">
        <v>3510</v>
      </c>
      <c r="BI423" s="72"/>
      <c r="BJ423" s="154"/>
      <c r="BK423" s="4"/>
      <c r="BL423" s="105"/>
      <c r="BM423" s="9"/>
      <c r="BN423" s="9"/>
      <c r="BO423" s="9"/>
    </row>
    <row r="424" ht="14.4" s="67" customFormat="1">
      <c r="A424" s="4">
        <v>171563</v>
      </c>
      <c r="B424" s="4"/>
      <c r="C424" s="55" t="s">
        <v>1429</v>
      </c>
      <c r="D424" s="4" t="s">
        <v>1430</v>
      </c>
      <c r="E424" s="4" t="s">
        <v>66</v>
      </c>
      <c r="F424" s="55">
        <v>1018860999</v>
      </c>
      <c r="G424" s="4" t="s">
        <v>67</v>
      </c>
      <c r="H424" s="4" t="s">
        <v>68</v>
      </c>
      <c r="I424" s="4" t="s">
        <v>69</v>
      </c>
      <c r="J424" s="55" t="s">
        <v>1285</v>
      </c>
      <c r="K424" s="4" t="s">
        <v>71</v>
      </c>
      <c r="L424" s="4" t="s">
        <v>72</v>
      </c>
      <c r="M424" s="4" t="str">
        <f>VLOOKUP(A424,[1]Sheet1!$C:$G,5,0)</f>
        <v>Aminul Islam Sovo</v>
      </c>
      <c r="N424" s="4" t="s">
        <v>74</v>
      </c>
      <c r="O424" s="4" t="s">
        <v>75</v>
      </c>
      <c r="P424" s="4">
        <v>31</v>
      </c>
      <c r="Q424" s="57">
        <v>45447</v>
      </c>
      <c r="R424" s="57">
        <v>45453</v>
      </c>
      <c r="S424" s="113"/>
      <c r="T424" s="113"/>
      <c r="U424" s="4"/>
      <c r="V424" s="4"/>
      <c r="W424" s="105" t="s">
        <v>1431</v>
      </c>
      <c r="X424" s="114">
        <v>1952005121</v>
      </c>
      <c r="Y424" s="55">
        <v>1540370851</v>
      </c>
      <c r="Z424" s="4" t="s">
        <v>1432</v>
      </c>
      <c r="AA424" s="4">
        <v>1735785827</v>
      </c>
      <c r="AB424" s="4" t="s">
        <v>78</v>
      </c>
      <c r="AC424" s="4" t="s">
        <v>133</v>
      </c>
      <c r="AD424" s="113">
        <v>35829</v>
      </c>
      <c r="AE424" s="107">
        <f t="shared" si="10" ca="1"/>
        <v>27.035616438356165</v>
      </c>
      <c r="AF424" s="4" t="s">
        <v>80</v>
      </c>
      <c r="AG424" s="114">
        <v>5113785280</v>
      </c>
      <c r="AH424" s="4" t="s">
        <v>81</v>
      </c>
      <c r="AI424" s="55" t="s">
        <v>312</v>
      </c>
      <c r="AJ424" s="55" t="s">
        <v>81</v>
      </c>
      <c r="AK424" s="55">
        <v>2021</v>
      </c>
      <c r="AL424" s="4" t="s">
        <v>1433</v>
      </c>
      <c r="AM424" s="4" t="s">
        <v>1434</v>
      </c>
      <c r="AN424" s="4" t="s">
        <v>1435</v>
      </c>
      <c r="AO424" s="4" t="s">
        <v>1436</v>
      </c>
      <c r="AP424" s="4" t="s">
        <v>1437</v>
      </c>
      <c r="AQ424" s="55" t="s">
        <v>88</v>
      </c>
      <c r="AR424" s="4" t="s">
        <v>89</v>
      </c>
      <c r="AS424" s="4" t="s">
        <v>1438</v>
      </c>
      <c r="AT424" s="72">
        <v>30584</v>
      </c>
      <c r="AU424" s="4" t="s">
        <v>81</v>
      </c>
      <c r="AV424" s="4" t="s">
        <v>81</v>
      </c>
      <c r="AW424" s="4" t="s">
        <v>81</v>
      </c>
      <c r="AX424" s="4" t="s">
        <v>81</v>
      </c>
      <c r="AY424" s="4" t="s">
        <v>81</v>
      </c>
      <c r="AZ424" s="4" t="s">
        <v>81</v>
      </c>
      <c r="BA424" s="4" t="s">
        <v>90</v>
      </c>
      <c r="BB424" s="4">
        <v>10800</v>
      </c>
      <c r="BC424" s="4">
        <v>2700</v>
      </c>
      <c r="BD424" s="4">
        <v>0</v>
      </c>
      <c r="BE424" s="4" t="s">
        <v>91</v>
      </c>
      <c r="BF424" s="4"/>
      <c r="BG424" s="4"/>
      <c r="BH424" s="4" t="s">
        <v>3510</v>
      </c>
      <c r="BI424" s="72"/>
      <c r="BJ424" s="154"/>
      <c r="BK424" s="4"/>
      <c r="BL424" s="105"/>
      <c r="BM424" s="9"/>
      <c r="BN424" s="9"/>
      <c r="BO424" s="9"/>
    </row>
    <row r="425" ht="14.4" s="67" customFormat="1">
      <c r="A425" s="4">
        <v>171565</v>
      </c>
      <c r="B425" s="4"/>
      <c r="C425" s="55" t="s">
        <v>1439</v>
      </c>
      <c r="D425" s="4" t="s">
        <v>1440</v>
      </c>
      <c r="E425" s="4" t="s">
        <v>66</v>
      </c>
      <c r="F425" s="55">
        <v>710335</v>
      </c>
      <c r="G425" s="4" t="s">
        <v>67</v>
      </c>
      <c r="H425" s="4" t="s">
        <v>68</v>
      </c>
      <c r="I425" s="4" t="s">
        <v>69</v>
      </c>
      <c r="J425" s="55" t="s">
        <v>1285</v>
      </c>
      <c r="K425" s="4" t="s">
        <v>71</v>
      </c>
      <c r="L425" s="4" t="s">
        <v>72</v>
      </c>
      <c r="M425" s="4" t="str">
        <f>VLOOKUP(A425,[1]Sheet1!$C:$G,5,0)</f>
        <v>Aminul Islam Sovo</v>
      </c>
      <c r="N425" s="4" t="s">
        <v>74</v>
      </c>
      <c r="O425" s="4" t="s">
        <v>75</v>
      </c>
      <c r="P425" s="4">
        <v>31</v>
      </c>
      <c r="Q425" s="57">
        <v>45447</v>
      </c>
      <c r="R425" s="57">
        <v>45453</v>
      </c>
      <c r="S425" s="113"/>
      <c r="T425" s="113"/>
      <c r="U425" s="4"/>
      <c r="V425" s="4"/>
      <c r="W425" s="105" t="s">
        <v>1441</v>
      </c>
      <c r="X425" s="114">
        <v>1709205384</v>
      </c>
      <c r="Y425" s="55">
        <v>1712407284</v>
      </c>
      <c r="Z425" s="4" t="s">
        <v>1442</v>
      </c>
      <c r="AA425" s="4">
        <v>1712407284</v>
      </c>
      <c r="AB425" s="4" t="s">
        <v>132</v>
      </c>
      <c r="AC425" s="4" t="s">
        <v>79</v>
      </c>
      <c r="AD425" s="113">
        <v>34618</v>
      </c>
      <c r="AE425" s="107">
        <f t="shared" si="10" ca="1"/>
        <v>30.353424657534248</v>
      </c>
      <c r="AF425" s="4" t="s">
        <v>80</v>
      </c>
      <c r="AG425" s="114">
        <v>1906365323</v>
      </c>
      <c r="AH425" s="4" t="s">
        <v>81</v>
      </c>
      <c r="AI425" s="55" t="s">
        <v>683</v>
      </c>
      <c r="AJ425" s="55" t="s">
        <v>81</v>
      </c>
      <c r="AK425" s="55">
        <v>2022</v>
      </c>
      <c r="AL425" s="4" t="s">
        <v>1443</v>
      </c>
      <c r="AM425" s="4" t="s">
        <v>1444</v>
      </c>
      <c r="AN425" s="4" t="s">
        <v>1442</v>
      </c>
      <c r="AO425" s="4" t="s">
        <v>1445</v>
      </c>
      <c r="AP425" s="4" t="s">
        <v>1446</v>
      </c>
      <c r="AQ425" s="55" t="s">
        <v>1188</v>
      </c>
      <c r="AR425" s="4" t="s">
        <v>110</v>
      </c>
      <c r="AS425" s="4" t="s">
        <v>81</v>
      </c>
      <c r="AT425" s="72" t="s">
        <v>81</v>
      </c>
      <c r="AU425" s="4" t="s">
        <v>81</v>
      </c>
      <c r="AV425" s="4" t="s">
        <v>81</v>
      </c>
      <c r="AW425" s="4" t="s">
        <v>81</v>
      </c>
      <c r="AX425" s="4" t="s">
        <v>81</v>
      </c>
      <c r="AY425" s="4" t="s">
        <v>81</v>
      </c>
      <c r="AZ425" s="4" t="s">
        <v>81</v>
      </c>
      <c r="BA425" s="4" t="s">
        <v>90</v>
      </c>
      <c r="BB425" s="4">
        <v>10800</v>
      </c>
      <c r="BC425" s="4">
        <v>2700</v>
      </c>
      <c r="BD425" s="4">
        <v>0</v>
      </c>
      <c r="BE425" s="4" t="s">
        <v>91</v>
      </c>
      <c r="BF425" s="4"/>
      <c r="BG425" s="4"/>
      <c r="BH425" s="4" t="s">
        <v>3510</v>
      </c>
      <c r="BI425" s="72"/>
      <c r="BJ425" s="154"/>
      <c r="BK425" s="4"/>
      <c r="BL425" s="105"/>
      <c r="BM425" s="9"/>
      <c r="BN425" s="9"/>
      <c r="BO425" s="9"/>
    </row>
    <row r="426" ht="16.5" customHeight="1" s="67" customFormat="1">
      <c r="A426" s="4">
        <v>171566</v>
      </c>
      <c r="B426" s="4"/>
      <c r="C426" s="55" t="s">
        <v>1447</v>
      </c>
      <c r="D426" s="4" t="s">
        <v>1294</v>
      </c>
      <c r="E426" s="4" t="s">
        <v>66</v>
      </c>
      <c r="F426" s="55">
        <v>1311294405</v>
      </c>
      <c r="G426" s="4" t="s">
        <v>67</v>
      </c>
      <c r="H426" s="4" t="s">
        <v>68</v>
      </c>
      <c r="I426" s="4" t="s">
        <v>69</v>
      </c>
      <c r="J426" s="55" t="s">
        <v>341</v>
      </c>
      <c r="K426" s="4" t="s">
        <v>71</v>
      </c>
      <c r="L426" s="4" t="s">
        <v>72</v>
      </c>
      <c r="M426" s="4" t="str">
        <f>VLOOKUP(A426,[1]Sheet1!$C:$G,5,0)</f>
        <v>Md Mehedi Hasan</v>
      </c>
      <c r="N426" s="4" t="s">
        <v>74</v>
      </c>
      <c r="O426" s="4" t="s">
        <v>75</v>
      </c>
      <c r="P426" s="4">
        <v>31</v>
      </c>
      <c r="Q426" s="57">
        <v>45447</v>
      </c>
      <c r="R426" s="57">
        <v>45453</v>
      </c>
      <c r="S426" s="113"/>
      <c r="T426" s="113"/>
      <c r="U426" s="4"/>
      <c r="V426" s="4"/>
      <c r="W426" s="105" t="s">
        <v>1448</v>
      </c>
      <c r="X426" s="114">
        <v>1318162628</v>
      </c>
      <c r="Y426" s="55"/>
      <c r="Z426" s="4" t="s">
        <v>1449</v>
      </c>
      <c r="AA426" s="4">
        <v>1766235835</v>
      </c>
      <c r="AB426" s="4" t="s">
        <v>132</v>
      </c>
      <c r="AC426" s="4" t="s">
        <v>1450</v>
      </c>
      <c r="AD426" s="113">
        <v>36519</v>
      </c>
      <c r="AE426" s="107">
        <f t="shared" si="10" ca="1"/>
        <v>25.145205479452056</v>
      </c>
      <c r="AF426" s="4" t="s">
        <v>80</v>
      </c>
      <c r="AG426" s="114">
        <v>7804118334</v>
      </c>
      <c r="AH426" s="4" t="s">
        <v>81</v>
      </c>
      <c r="AI426" s="55" t="s">
        <v>925</v>
      </c>
      <c r="AJ426" s="55" t="s">
        <v>81</v>
      </c>
      <c r="AK426" s="55">
        <v>2022</v>
      </c>
      <c r="AL426" s="4" t="s">
        <v>218</v>
      </c>
      <c r="AM426" s="4" t="s">
        <v>1451</v>
      </c>
      <c r="AN426" s="4" t="s">
        <v>1449</v>
      </c>
      <c r="AO426" s="4" t="s">
        <v>1452</v>
      </c>
      <c r="AP426" s="4" t="s">
        <v>1453</v>
      </c>
      <c r="AQ426" s="55" t="s">
        <v>223</v>
      </c>
      <c r="AR426" s="4" t="s">
        <v>110</v>
      </c>
      <c r="AS426" s="4" t="s">
        <v>81</v>
      </c>
      <c r="AT426" s="72" t="s">
        <v>81</v>
      </c>
      <c r="AU426" s="4" t="s">
        <v>81</v>
      </c>
      <c r="AV426" s="4" t="s">
        <v>81</v>
      </c>
      <c r="AW426" s="4" t="s">
        <v>81</v>
      </c>
      <c r="AX426" s="4" t="s">
        <v>81</v>
      </c>
      <c r="AY426" s="4" t="s">
        <v>81</v>
      </c>
      <c r="AZ426" s="4" t="s">
        <v>81</v>
      </c>
      <c r="BA426" s="4" t="s">
        <v>90</v>
      </c>
      <c r="BB426" s="4">
        <v>10800</v>
      </c>
      <c r="BC426" s="4">
        <v>2700</v>
      </c>
      <c r="BD426" s="4">
        <v>0</v>
      </c>
      <c r="BE426" s="4" t="s">
        <v>91</v>
      </c>
      <c r="BF426" s="4"/>
      <c r="BG426" s="4"/>
      <c r="BH426" s="4" t="s">
        <v>3510</v>
      </c>
      <c r="BI426" s="72"/>
      <c r="BJ426" s="154"/>
      <c r="BK426" s="4"/>
      <c r="BL426" s="105"/>
      <c r="BM426" s="9"/>
      <c r="BN426" s="9"/>
      <c r="BO426" s="9"/>
    </row>
    <row r="427" ht="14.4" s="67" customFormat="1">
      <c r="A427" s="4">
        <v>171567</v>
      </c>
      <c r="B427" s="4"/>
      <c r="C427" s="55" t="s">
        <v>1454</v>
      </c>
      <c r="D427" s="4" t="s">
        <v>1455</v>
      </c>
      <c r="E427" s="4" t="s">
        <v>66</v>
      </c>
      <c r="F427" s="55">
        <v>1310588912</v>
      </c>
      <c r="G427" s="4" t="s">
        <v>67</v>
      </c>
      <c r="H427" s="4" t="s">
        <v>68</v>
      </c>
      <c r="I427" s="4" t="s">
        <v>69</v>
      </c>
      <c r="J427" s="55" t="s">
        <v>1285</v>
      </c>
      <c r="K427" s="4" t="s">
        <v>71</v>
      </c>
      <c r="L427" s="4" t="s">
        <v>72</v>
      </c>
      <c r="M427" s="4" t="str">
        <f>VLOOKUP(A427,[1]Sheet1!$C:$G,5,0)</f>
        <v>Aminul Islam Sovo</v>
      </c>
      <c r="N427" s="4" t="s">
        <v>74</v>
      </c>
      <c r="O427" s="4" t="s">
        <v>75</v>
      </c>
      <c r="P427" s="4">
        <v>31</v>
      </c>
      <c r="Q427" s="57">
        <v>45447</v>
      </c>
      <c r="R427" s="57">
        <v>45453</v>
      </c>
      <c r="S427" s="113"/>
      <c r="T427" s="113"/>
      <c r="U427" s="4"/>
      <c r="V427" s="4"/>
      <c r="W427" s="105" t="s">
        <v>1456</v>
      </c>
      <c r="X427" s="114">
        <v>1686051127</v>
      </c>
      <c r="Y427" s="55">
        <v>1944783957</v>
      </c>
      <c r="Z427" s="4" t="s">
        <v>1457</v>
      </c>
      <c r="AA427" s="4">
        <v>1816413989</v>
      </c>
      <c r="AB427" s="4" t="s">
        <v>132</v>
      </c>
      <c r="AC427" s="4" t="s">
        <v>79</v>
      </c>
      <c r="AD427" s="113">
        <v>37190</v>
      </c>
      <c r="AE427" s="107">
        <f t="shared" si="10" ca="1"/>
        <v>23.306849315068494</v>
      </c>
      <c r="AF427" s="4" t="s">
        <v>80</v>
      </c>
      <c r="AG427" s="114">
        <v>2414944005</v>
      </c>
      <c r="AH427" s="4" t="s">
        <v>81</v>
      </c>
      <c r="AI427" s="55" t="s">
        <v>723</v>
      </c>
      <c r="AJ427" s="55" t="s">
        <v>81</v>
      </c>
      <c r="AK427" s="55">
        <v>2022</v>
      </c>
      <c r="AL427" s="4" t="s">
        <v>524</v>
      </c>
      <c r="AM427" s="4" t="s">
        <v>1458</v>
      </c>
      <c r="AN427" s="4" t="s">
        <v>1457</v>
      </c>
      <c r="AO427" s="4" t="s">
        <v>1459</v>
      </c>
      <c r="AP427" s="4" t="s">
        <v>1459</v>
      </c>
      <c r="AQ427" s="55" t="s">
        <v>1460</v>
      </c>
      <c r="AR427" s="4" t="s">
        <v>110</v>
      </c>
      <c r="AS427" s="4" t="s">
        <v>81</v>
      </c>
      <c r="AT427" s="72" t="s">
        <v>81</v>
      </c>
      <c r="AU427" s="4" t="s">
        <v>81</v>
      </c>
      <c r="AV427" s="4" t="s">
        <v>81</v>
      </c>
      <c r="AW427" s="4" t="s">
        <v>81</v>
      </c>
      <c r="AX427" s="4" t="s">
        <v>81</v>
      </c>
      <c r="AY427" s="4" t="s">
        <v>81</v>
      </c>
      <c r="AZ427" s="4" t="s">
        <v>81</v>
      </c>
      <c r="BA427" s="4" t="s">
        <v>90</v>
      </c>
      <c r="BB427" s="4">
        <v>10800</v>
      </c>
      <c r="BC427" s="4">
        <v>2700</v>
      </c>
      <c r="BD427" s="4">
        <v>0</v>
      </c>
      <c r="BE427" s="4" t="s">
        <v>91</v>
      </c>
      <c r="BF427" s="4"/>
      <c r="BG427" s="4"/>
      <c r="BH427" s="4" t="s">
        <v>3510</v>
      </c>
      <c r="BI427" s="72"/>
      <c r="BJ427" s="154"/>
      <c r="BK427" s="4"/>
      <c r="BL427" s="105"/>
      <c r="BM427" s="9"/>
      <c r="BN427" s="9"/>
      <c r="BO427" s="9"/>
    </row>
    <row r="428" ht="14.4" s="67" customFormat="1">
      <c r="A428" s="4">
        <v>171569</v>
      </c>
      <c r="B428" s="4"/>
      <c r="C428" s="55" t="s">
        <v>1461</v>
      </c>
      <c r="D428" s="4" t="s">
        <v>1462</v>
      </c>
      <c r="E428" s="4" t="s">
        <v>66</v>
      </c>
      <c r="F428" s="55">
        <v>372741</v>
      </c>
      <c r="G428" s="4" t="s">
        <v>67</v>
      </c>
      <c r="H428" s="4" t="s">
        <v>68</v>
      </c>
      <c r="I428" s="4" t="s">
        <v>69</v>
      </c>
      <c r="J428" s="55" t="s">
        <v>1285</v>
      </c>
      <c r="K428" s="4" t="s">
        <v>71</v>
      </c>
      <c r="L428" s="4" t="s">
        <v>72</v>
      </c>
      <c r="M428" s="4" t="str">
        <f>VLOOKUP(A428,[1]Sheet1!$C:$G,5,0)</f>
        <v>Md. Moniruzzaman</v>
      </c>
      <c r="N428" s="4" t="s">
        <v>74</v>
      </c>
      <c r="O428" s="4" t="s">
        <v>75</v>
      </c>
      <c r="P428" s="4">
        <v>31</v>
      </c>
      <c r="Q428" s="57">
        <v>45447</v>
      </c>
      <c r="R428" s="57">
        <v>45453</v>
      </c>
      <c r="S428" s="113"/>
      <c r="T428" s="113"/>
      <c r="U428" s="4"/>
      <c r="V428" s="4"/>
      <c r="W428" s="105" t="s">
        <v>1463</v>
      </c>
      <c r="X428" s="114">
        <v>1865069833</v>
      </c>
      <c r="Y428" s="55">
        <v>1763808633</v>
      </c>
      <c r="Z428" s="4" t="s">
        <v>1464</v>
      </c>
      <c r="AA428" s="4">
        <v>1763808633</v>
      </c>
      <c r="AB428" s="4" t="s">
        <v>132</v>
      </c>
      <c r="AC428" s="4" t="s">
        <v>133</v>
      </c>
      <c r="AD428" s="113">
        <v>33942</v>
      </c>
      <c r="AE428" s="107">
        <f t="shared" si="10" ca="1"/>
        <v>32.205479452054796</v>
      </c>
      <c r="AF428" s="4" t="s">
        <v>80</v>
      </c>
      <c r="AG428" s="114">
        <v>1929788972</v>
      </c>
      <c r="AH428" s="4" t="s">
        <v>81</v>
      </c>
      <c r="AI428" s="55" t="s">
        <v>1182</v>
      </c>
      <c r="AJ428" s="55" t="s">
        <v>81</v>
      </c>
      <c r="AK428" s="55">
        <v>2013</v>
      </c>
      <c r="AL428" s="4" t="s">
        <v>1465</v>
      </c>
      <c r="AM428" s="4" t="s">
        <v>1466</v>
      </c>
      <c r="AN428" s="4" t="s">
        <v>1464</v>
      </c>
      <c r="AO428" s="4" t="s">
        <v>1467</v>
      </c>
      <c r="AP428" s="4" t="s">
        <v>1468</v>
      </c>
      <c r="AQ428" s="55" t="s">
        <v>449</v>
      </c>
      <c r="AR428" s="4" t="s">
        <v>110</v>
      </c>
      <c r="AS428" s="4" t="s">
        <v>81</v>
      </c>
      <c r="AT428" s="72" t="s">
        <v>81</v>
      </c>
      <c r="AU428" s="4" t="s">
        <v>81</v>
      </c>
      <c r="AV428" s="4" t="s">
        <v>81</v>
      </c>
      <c r="AW428" s="4" t="s">
        <v>81</v>
      </c>
      <c r="AX428" s="4" t="s">
        <v>81</v>
      </c>
      <c r="AY428" s="4" t="s">
        <v>81</v>
      </c>
      <c r="AZ428" s="4" t="s">
        <v>81</v>
      </c>
      <c r="BA428" s="4" t="s">
        <v>90</v>
      </c>
      <c r="BB428" s="4">
        <v>10800</v>
      </c>
      <c r="BC428" s="4">
        <v>2700</v>
      </c>
      <c r="BD428" s="4">
        <v>0</v>
      </c>
      <c r="BE428" s="4" t="s">
        <v>91</v>
      </c>
      <c r="BF428" s="4"/>
      <c r="BG428" s="4"/>
      <c r="BH428" s="4" t="s">
        <v>3510</v>
      </c>
      <c r="BI428" s="72"/>
      <c r="BJ428" s="154"/>
      <c r="BK428" s="4"/>
      <c r="BL428" s="105"/>
      <c r="BM428" s="9"/>
      <c r="BN428" s="9"/>
      <c r="BO428" s="9"/>
    </row>
    <row r="429" ht="14.4" s="67" customFormat="1">
      <c r="A429" s="4">
        <v>171570</v>
      </c>
      <c r="B429" s="4"/>
      <c r="C429" s="55" t="s">
        <v>1469</v>
      </c>
      <c r="D429" s="4" t="s">
        <v>1470</v>
      </c>
      <c r="E429" s="4" t="s">
        <v>66</v>
      </c>
      <c r="F429" s="55">
        <v>1012756088</v>
      </c>
      <c r="G429" s="4" t="s">
        <v>67</v>
      </c>
      <c r="H429" s="4" t="s">
        <v>68</v>
      </c>
      <c r="I429" s="4" t="s">
        <v>69</v>
      </c>
      <c r="J429" s="55" t="s">
        <v>1285</v>
      </c>
      <c r="K429" s="4" t="s">
        <v>71</v>
      </c>
      <c r="L429" s="4" t="s">
        <v>72</v>
      </c>
      <c r="M429" s="4" t="str">
        <f>VLOOKUP(A429,[1]Sheet1!$C:$G,5,0)</f>
        <v>Aminul Islam Sovo</v>
      </c>
      <c r="N429" s="4" t="s">
        <v>74</v>
      </c>
      <c r="O429" s="4" t="s">
        <v>75</v>
      </c>
      <c r="P429" s="4">
        <v>31</v>
      </c>
      <c r="Q429" s="57">
        <v>45447</v>
      </c>
      <c r="R429" s="57">
        <v>45453</v>
      </c>
      <c r="S429" s="113"/>
      <c r="T429" s="113"/>
      <c r="U429" s="4"/>
      <c r="V429" s="4"/>
      <c r="W429" s="105" t="s">
        <v>1471</v>
      </c>
      <c r="X429" s="114">
        <v>1515226204</v>
      </c>
      <c r="Y429" s="55">
        <v>1737980917</v>
      </c>
      <c r="Z429" s="4" t="s">
        <v>1472</v>
      </c>
      <c r="AA429" s="4">
        <v>1737133220</v>
      </c>
      <c r="AB429" s="4" t="s">
        <v>252</v>
      </c>
      <c r="AC429" s="4" t="s">
        <v>119</v>
      </c>
      <c r="AD429" s="113">
        <v>35279</v>
      </c>
      <c r="AE429" s="107">
        <f t="shared" si="10" ca="1"/>
        <v>28.542465753424658</v>
      </c>
      <c r="AF429" s="4" t="s">
        <v>80</v>
      </c>
      <c r="AG429" s="114">
        <v>6903038013</v>
      </c>
      <c r="AH429" s="4" t="s">
        <v>81</v>
      </c>
      <c r="AI429" s="55" t="s">
        <v>683</v>
      </c>
      <c r="AJ429" s="55" t="s">
        <v>81</v>
      </c>
      <c r="AK429" s="55">
        <v>2020</v>
      </c>
      <c r="AL429" s="4" t="s">
        <v>1473</v>
      </c>
      <c r="AM429" s="4" t="s">
        <v>1474</v>
      </c>
      <c r="AN429" s="4" t="s">
        <v>1475</v>
      </c>
      <c r="AO429" s="4" t="s">
        <v>1476</v>
      </c>
      <c r="AP429" s="4" t="s">
        <v>1477</v>
      </c>
      <c r="AQ429" s="55" t="s">
        <v>1231</v>
      </c>
      <c r="AR429" s="4" t="s">
        <v>110</v>
      </c>
      <c r="AS429" s="4" t="s">
        <v>81</v>
      </c>
      <c r="AT429" s="72" t="s">
        <v>81</v>
      </c>
      <c r="AU429" s="4" t="s">
        <v>81</v>
      </c>
      <c r="AV429" s="4" t="s">
        <v>81</v>
      </c>
      <c r="AW429" s="4" t="s">
        <v>81</v>
      </c>
      <c r="AX429" s="4" t="s">
        <v>81</v>
      </c>
      <c r="AY429" s="4" t="s">
        <v>81</v>
      </c>
      <c r="AZ429" s="4" t="s">
        <v>81</v>
      </c>
      <c r="BA429" s="4" t="s">
        <v>90</v>
      </c>
      <c r="BB429" s="4">
        <v>10800</v>
      </c>
      <c r="BC429" s="4">
        <v>2700</v>
      </c>
      <c r="BD429" s="4">
        <v>0</v>
      </c>
      <c r="BE429" s="4" t="s">
        <v>91</v>
      </c>
      <c r="BF429" s="4"/>
      <c r="BG429" s="4"/>
      <c r="BH429" s="4" t="s">
        <v>3510</v>
      </c>
      <c r="BI429" s="72"/>
      <c r="BJ429" s="154"/>
      <c r="BK429" s="4"/>
      <c r="BL429" s="105"/>
      <c r="BM429" s="9"/>
      <c r="BN429" s="9"/>
      <c r="BO429" s="9"/>
    </row>
    <row r="430" ht="14.4" s="67" customFormat="1">
      <c r="A430" s="4">
        <v>171509</v>
      </c>
      <c r="B430" s="4"/>
      <c r="C430" s="55" t="s">
        <v>1478</v>
      </c>
      <c r="D430" s="4" t="s">
        <v>1479</v>
      </c>
      <c r="E430" s="4" t="s">
        <v>114</v>
      </c>
      <c r="F430" s="55">
        <v>1010881792</v>
      </c>
      <c r="G430" s="4" t="s">
        <v>67</v>
      </c>
      <c r="H430" s="4" t="s">
        <v>68</v>
      </c>
      <c r="I430" s="4" t="s">
        <v>69</v>
      </c>
      <c r="J430" s="55" t="s">
        <v>155</v>
      </c>
      <c r="K430" s="4" t="s">
        <v>71</v>
      </c>
      <c r="L430" s="4" t="s">
        <v>72</v>
      </c>
      <c r="M430" s="4" t="str">
        <f>VLOOKUP(A430,[1]Sheet1!$C:$G,5,0)</f>
        <v>Md. Tanjir Ahmed</v>
      </c>
      <c r="N430" s="4" t="s">
        <v>74</v>
      </c>
      <c r="O430" s="4" t="s">
        <v>75</v>
      </c>
      <c r="P430" s="4">
        <v>29</v>
      </c>
      <c r="Q430" s="57">
        <v>45432</v>
      </c>
      <c r="R430" s="57">
        <v>45454</v>
      </c>
      <c r="S430" s="113"/>
      <c r="T430" s="113"/>
      <c r="U430" s="4"/>
      <c r="V430" s="4"/>
      <c r="W430" s="105" t="s">
        <v>1480</v>
      </c>
      <c r="X430" s="114">
        <v>1988158465</v>
      </c>
      <c r="Y430" s="55">
        <v>1730625174</v>
      </c>
      <c r="Z430" s="4" t="s">
        <v>1481</v>
      </c>
      <c r="AA430" s="4">
        <v>1933223727</v>
      </c>
      <c r="AB430" s="4" t="s">
        <v>132</v>
      </c>
      <c r="AC430" s="4" t="s">
        <v>102</v>
      </c>
      <c r="AD430" s="113">
        <v>35148</v>
      </c>
      <c r="AE430" s="107">
        <f t="shared" si="10" ca="1"/>
        <v>28.9013698630137</v>
      </c>
      <c r="AF430" s="4" t="s">
        <v>80</v>
      </c>
      <c r="AG430" s="114">
        <v>9132671869</v>
      </c>
      <c r="AH430" s="4" t="s">
        <v>81</v>
      </c>
      <c r="AI430" s="55" t="s">
        <v>513</v>
      </c>
      <c r="AJ430" s="55" t="s">
        <v>81</v>
      </c>
      <c r="AK430" s="55">
        <v>2018</v>
      </c>
      <c r="AL430" s="4" t="s">
        <v>218</v>
      </c>
      <c r="AM430" s="4" t="s">
        <v>1482</v>
      </c>
      <c r="AN430" s="4" t="s">
        <v>1481</v>
      </c>
      <c r="AO430" s="4" t="s">
        <v>1483</v>
      </c>
      <c r="AP430" s="4" t="s">
        <v>1484</v>
      </c>
      <c r="AQ430" s="55" t="s">
        <v>1188</v>
      </c>
      <c r="AR430" s="4" t="s">
        <v>1363</v>
      </c>
      <c r="AS430" s="4" t="s">
        <v>81</v>
      </c>
      <c r="AT430" s="72" t="s">
        <v>1283</v>
      </c>
      <c r="AU430" s="4" t="s">
        <v>81</v>
      </c>
      <c r="AV430" s="4" t="s">
        <v>81</v>
      </c>
      <c r="AW430" s="4" t="s">
        <v>81</v>
      </c>
      <c r="AX430" s="4" t="s">
        <v>81</v>
      </c>
      <c r="AY430" s="4" t="s">
        <v>81</v>
      </c>
      <c r="AZ430" s="4" t="s">
        <v>81</v>
      </c>
      <c r="BA430" s="4" t="s">
        <v>90</v>
      </c>
      <c r="BB430" s="4">
        <v>10800</v>
      </c>
      <c r="BC430" s="4">
        <v>2700</v>
      </c>
      <c r="BD430" s="4">
        <v>1000</v>
      </c>
      <c r="BE430" s="4" t="s">
        <v>166</v>
      </c>
      <c r="BF430" s="4"/>
      <c r="BG430" s="4"/>
      <c r="BH430" s="4" t="s">
        <v>3510</v>
      </c>
      <c r="BI430" s="72"/>
      <c r="BJ430" s="154"/>
      <c r="BK430" s="4"/>
      <c r="BL430" s="105"/>
      <c r="BM430" s="9"/>
      <c r="BN430" s="9"/>
      <c r="BO430" s="9"/>
    </row>
    <row r="431" ht="14.4" s="67" customFormat="1">
      <c r="A431" s="4">
        <v>171516</v>
      </c>
      <c r="B431" s="4"/>
      <c r="C431" s="55" t="s">
        <v>1485</v>
      </c>
      <c r="D431" s="4" t="s">
        <v>1486</v>
      </c>
      <c r="E431" s="4" t="s">
        <v>114</v>
      </c>
      <c r="F431" s="55">
        <v>701468</v>
      </c>
      <c r="G431" s="4" t="s">
        <v>67</v>
      </c>
      <c r="H431" s="4" t="s">
        <v>68</v>
      </c>
      <c r="I431" s="4" t="s">
        <v>69</v>
      </c>
      <c r="J431" s="55" t="s">
        <v>155</v>
      </c>
      <c r="K431" s="4" t="s">
        <v>71</v>
      </c>
      <c r="L431" s="4" t="s">
        <v>72</v>
      </c>
      <c r="M431" s="4" t="str">
        <f>VLOOKUP(A431,[1]Sheet1!$C:$G,5,0)</f>
        <v>Nasir Uddin</v>
      </c>
      <c r="N431" s="4" t="s">
        <v>74</v>
      </c>
      <c r="O431" s="4" t="s">
        <v>75</v>
      </c>
      <c r="P431" s="4">
        <v>30</v>
      </c>
      <c r="Q431" s="57">
        <v>45442</v>
      </c>
      <c r="R431" s="57">
        <v>45456</v>
      </c>
      <c r="S431" s="113"/>
      <c r="T431" s="113"/>
      <c r="U431" s="4"/>
      <c r="V431" s="4"/>
      <c r="W431" s="105" t="s">
        <v>1487</v>
      </c>
      <c r="X431" s="114">
        <v>1880249836</v>
      </c>
      <c r="Y431" s="55">
        <v>1793544241</v>
      </c>
      <c r="Z431" s="4" t="s">
        <v>1488</v>
      </c>
      <c r="AA431" s="4">
        <v>1743162759</v>
      </c>
      <c r="AB431" s="4" t="s">
        <v>101</v>
      </c>
      <c r="AC431" s="4" t="s">
        <v>119</v>
      </c>
      <c r="AD431" s="113">
        <v>35318</v>
      </c>
      <c r="AE431" s="107"/>
      <c r="AF431" s="4" t="s">
        <v>80</v>
      </c>
      <c r="AG431" s="114">
        <v>8253189529</v>
      </c>
      <c r="AH431" s="4" t="s">
        <v>1489</v>
      </c>
      <c r="AI431" s="55" t="s">
        <v>513</v>
      </c>
      <c r="AJ431" s="55" t="s">
        <v>1490</v>
      </c>
      <c r="AK431" s="55">
        <v>2021</v>
      </c>
      <c r="AL431" s="4" t="s">
        <v>1102</v>
      </c>
      <c r="AM431" s="4" t="s">
        <v>1488</v>
      </c>
      <c r="AN431" s="4" t="s">
        <v>1491</v>
      </c>
      <c r="AO431" s="4" t="s">
        <v>1492</v>
      </c>
      <c r="AP431" s="4" t="s">
        <v>1493</v>
      </c>
      <c r="AQ431" s="55" t="s">
        <v>285</v>
      </c>
      <c r="AR431" s="4" t="s">
        <v>1494</v>
      </c>
      <c r="AS431" s="4" t="s">
        <v>81</v>
      </c>
      <c r="AT431" s="72" t="s">
        <v>81</v>
      </c>
      <c r="AU431" s="4" t="s">
        <v>81</v>
      </c>
      <c r="AV431" s="4" t="s">
        <v>81</v>
      </c>
      <c r="AW431" s="4" t="s">
        <v>81</v>
      </c>
      <c r="AX431" s="4" t="s">
        <v>81</v>
      </c>
      <c r="AY431" s="4" t="s">
        <v>81</v>
      </c>
      <c r="AZ431" s="4" t="s">
        <v>81</v>
      </c>
      <c r="BA431" s="4" t="s">
        <v>90</v>
      </c>
      <c r="BB431" s="4">
        <v>10800</v>
      </c>
      <c r="BC431" s="4">
        <v>2700</v>
      </c>
      <c r="BD431" s="4">
        <v>1000</v>
      </c>
      <c r="BE431" s="4" t="s">
        <v>166</v>
      </c>
      <c r="BF431" s="4"/>
      <c r="BG431" s="4"/>
      <c r="BH431" s="4" t="s">
        <v>3510</v>
      </c>
      <c r="BI431" s="72"/>
      <c r="BJ431" s="154"/>
      <c r="BK431" s="4"/>
      <c r="BL431" s="105">
        <v>1880249836</v>
      </c>
      <c r="BM431" s="9"/>
      <c r="BN431" s="9"/>
      <c r="BO431" s="9"/>
    </row>
    <row r="432" ht="14.4" s="67" customFormat="1">
      <c r="A432" s="4">
        <v>171522</v>
      </c>
      <c r="B432" s="4"/>
      <c r="C432" s="55" t="s">
        <v>1495</v>
      </c>
      <c r="D432" s="4" t="s">
        <v>1496</v>
      </c>
      <c r="E432" s="4" t="s">
        <v>114</v>
      </c>
      <c r="F432" s="55">
        <v>1210761068</v>
      </c>
      <c r="G432" s="4" t="s">
        <v>67</v>
      </c>
      <c r="H432" s="4" t="s">
        <v>68</v>
      </c>
      <c r="I432" s="4" t="s">
        <v>69</v>
      </c>
      <c r="J432" s="55" t="s">
        <v>155</v>
      </c>
      <c r="K432" s="4" t="s">
        <v>71</v>
      </c>
      <c r="L432" s="4" t="s">
        <v>72</v>
      </c>
      <c r="M432" s="4" t="str">
        <f>VLOOKUP(A432,[1]Sheet1!$C:$G,5,0)</f>
        <v>Abu MD. Rifat Imtiaz</v>
      </c>
      <c r="N432" s="4" t="s">
        <v>74</v>
      </c>
      <c r="O432" s="4" t="s">
        <v>75</v>
      </c>
      <c r="P432" s="4">
        <v>30</v>
      </c>
      <c r="Q432" s="57">
        <v>45442</v>
      </c>
      <c r="R432" s="57">
        <v>45456</v>
      </c>
      <c r="S432" s="113"/>
      <c r="T432" s="113"/>
      <c r="U432" s="4"/>
      <c r="V432" s="4"/>
      <c r="W432" s="105" t="s">
        <v>1497</v>
      </c>
      <c r="X432" s="114">
        <v>1789088348</v>
      </c>
      <c r="Y432" s="55">
        <v>1789088348</v>
      </c>
      <c r="Z432" s="4"/>
      <c r="AA432" s="4">
        <v>1789088348</v>
      </c>
      <c r="AB432" s="4" t="s">
        <v>81</v>
      </c>
      <c r="AC432" s="4" t="s">
        <v>79</v>
      </c>
      <c r="AD432" s="113">
        <v>36275</v>
      </c>
      <c r="AE432" s="107"/>
      <c r="AF432" s="4" t="s">
        <v>80</v>
      </c>
      <c r="AG432" s="114">
        <v>2854720758</v>
      </c>
      <c r="AH432" s="4" t="s">
        <v>81</v>
      </c>
      <c r="AI432" s="55" t="s">
        <v>322</v>
      </c>
      <c r="AJ432" s="55" t="s">
        <v>322</v>
      </c>
      <c r="AK432" s="55">
        <v>2023</v>
      </c>
      <c r="AL432" s="4" t="s">
        <v>322</v>
      </c>
      <c r="AM432" s="4" t="s">
        <v>1498</v>
      </c>
      <c r="AN432" s="4" t="s">
        <v>1499</v>
      </c>
      <c r="AO432" s="4" t="s">
        <v>1500</v>
      </c>
      <c r="AP432" s="4" t="s">
        <v>1501</v>
      </c>
      <c r="AQ432" s="55" t="s">
        <v>1502</v>
      </c>
      <c r="AR432" s="4" t="s">
        <v>81</v>
      </c>
      <c r="AS432" s="4" t="s">
        <v>81</v>
      </c>
      <c r="AT432" s="72" t="s">
        <v>81</v>
      </c>
      <c r="AU432" s="4" t="s">
        <v>81</v>
      </c>
      <c r="AV432" s="4" t="s">
        <v>81</v>
      </c>
      <c r="AW432" s="4" t="s">
        <v>81</v>
      </c>
      <c r="AX432" s="4" t="s">
        <v>81</v>
      </c>
      <c r="AY432" s="4" t="s">
        <v>81</v>
      </c>
      <c r="AZ432" s="4" t="s">
        <v>81</v>
      </c>
      <c r="BA432" s="4" t="s">
        <v>90</v>
      </c>
      <c r="BB432" s="4">
        <v>10800</v>
      </c>
      <c r="BC432" s="4">
        <v>2700</v>
      </c>
      <c r="BD432" s="4">
        <v>1000</v>
      </c>
      <c r="BE432" s="4" t="s">
        <v>166</v>
      </c>
      <c r="BF432" s="4"/>
      <c r="BG432" s="4"/>
      <c r="BH432" s="4" t="s">
        <v>3510</v>
      </c>
      <c r="BI432" s="72"/>
      <c r="BJ432" s="154"/>
      <c r="BK432" s="4"/>
      <c r="BL432" s="105"/>
      <c r="BM432" s="9"/>
      <c r="BN432" s="9"/>
      <c r="BO432" s="9"/>
    </row>
    <row r="433" ht="14.4" s="67" customFormat="1">
      <c r="A433" s="4">
        <v>171525</v>
      </c>
      <c r="B433" s="4"/>
      <c r="C433" s="55" t="s">
        <v>6501</v>
      </c>
      <c r="D433" s="4" t="s">
        <v>5159</v>
      </c>
      <c r="E433" s="4" t="s">
        <v>114</v>
      </c>
      <c r="F433" s="55" t="s">
        <v>81</v>
      </c>
      <c r="G433" s="4" t="s">
        <v>67</v>
      </c>
      <c r="H433" s="4" t="s">
        <v>68</v>
      </c>
      <c r="I433" s="4" t="s">
        <v>69</v>
      </c>
      <c r="J433" s="55" t="s">
        <v>155</v>
      </c>
      <c r="K433" s="4" t="s">
        <v>71</v>
      </c>
      <c r="L433" s="4" t="s">
        <v>72</v>
      </c>
      <c r="M433" s="4" t="str">
        <f>VLOOKUP(A433,[1]Sheet1!$C:$G,5,0)</f>
        <v>Mohammad Joshim</v>
      </c>
      <c r="N433" s="4" t="s">
        <v>74</v>
      </c>
      <c r="O433" s="4" t="s">
        <v>75</v>
      </c>
      <c r="P433" s="4">
        <v>30</v>
      </c>
      <c r="Q433" s="57">
        <v>45442</v>
      </c>
      <c r="R433" s="57">
        <v>45456</v>
      </c>
      <c r="S433" s="113"/>
      <c r="T433" s="113"/>
      <c r="U433" s="4"/>
      <c r="V433" s="4"/>
      <c r="W433" s="105" t="s">
        <v>6502</v>
      </c>
      <c r="X433" s="114">
        <v>1997047744</v>
      </c>
      <c r="Y433" s="55"/>
      <c r="Z433" s="4" t="s">
        <v>6503</v>
      </c>
      <c r="AA433" s="4">
        <v>1996010408</v>
      </c>
      <c r="AB433" s="4" t="s">
        <v>186</v>
      </c>
      <c r="AC433" s="4" t="s">
        <v>119</v>
      </c>
      <c r="AD433" s="113">
        <v>33928</v>
      </c>
      <c r="AE433" s="107"/>
      <c r="AF433" s="4" t="s">
        <v>80</v>
      </c>
      <c r="AG433" s="114">
        <v>5058103473</v>
      </c>
      <c r="AH433" s="4" t="s">
        <v>81</v>
      </c>
      <c r="AI433" s="55" t="s">
        <v>6504</v>
      </c>
      <c r="AJ433" s="55" t="s">
        <v>81</v>
      </c>
      <c r="AK433" s="55">
        <v>2014</v>
      </c>
      <c r="AL433" s="4" t="s">
        <v>6505</v>
      </c>
      <c r="AM433" s="4" t="s">
        <v>664</v>
      </c>
      <c r="AN433" s="4" t="s">
        <v>6506</v>
      </c>
      <c r="AO433" s="4" t="s">
        <v>6507</v>
      </c>
      <c r="AP433" s="4" t="s">
        <v>6507</v>
      </c>
      <c r="AQ433" s="55" t="s">
        <v>328</v>
      </c>
      <c r="AR433" s="4" t="s">
        <v>89</v>
      </c>
      <c r="AS433" s="4" t="s">
        <v>6503</v>
      </c>
      <c r="AT433" s="72" t="s">
        <v>81</v>
      </c>
      <c r="AU433" s="4" t="s">
        <v>81</v>
      </c>
      <c r="AV433" s="4" t="s">
        <v>81</v>
      </c>
      <c r="AW433" s="4" t="s">
        <v>81</v>
      </c>
      <c r="AX433" s="4" t="s">
        <v>81</v>
      </c>
      <c r="AY433" s="4" t="s">
        <v>81</v>
      </c>
      <c r="AZ433" s="4" t="s">
        <v>81</v>
      </c>
      <c r="BA433" s="4" t="s">
        <v>90</v>
      </c>
      <c r="BB433" s="4">
        <v>10800</v>
      </c>
      <c r="BC433" s="4">
        <v>2700</v>
      </c>
      <c r="BD433" s="4">
        <v>1000</v>
      </c>
      <c r="BE433" s="4" t="s">
        <v>166</v>
      </c>
      <c r="BF433" s="4"/>
      <c r="BG433" s="4"/>
      <c r="BH433" s="4" t="s">
        <v>3510</v>
      </c>
      <c r="BI433" s="72">
        <f>VLOOKUP(A433,'ID Block'!A:L,12,0)</f>
        <v>45586</v>
      </c>
      <c r="BJ433" s="154" t="str">
        <f>VLOOKUP(A433,'ID Block'!A:M,13,0)</f>
        <v>Voluntary/Resign</v>
      </c>
      <c r="BK433" s="4">
        <f t="shared" si="9"/>
        <v>130</v>
      </c>
      <c r="BL433" s="105"/>
      <c r="BM433" s="9"/>
      <c r="BN433" s="9"/>
      <c r="BO433" s="9"/>
    </row>
    <row r="434" ht="14.4" s="67" customFormat="1">
      <c r="A434" s="4">
        <v>171533</v>
      </c>
      <c r="B434" s="4"/>
      <c r="C434" s="55" t="s">
        <v>1504</v>
      </c>
      <c r="D434" s="4" t="s">
        <v>1505</v>
      </c>
      <c r="E434" s="4" t="s">
        <v>114</v>
      </c>
      <c r="F434" s="55" t="s">
        <v>81</v>
      </c>
      <c r="G434" s="4" t="s">
        <v>67</v>
      </c>
      <c r="H434" s="4" t="s">
        <v>68</v>
      </c>
      <c r="I434" s="4" t="s">
        <v>69</v>
      </c>
      <c r="J434" s="55" t="s">
        <v>155</v>
      </c>
      <c r="K434" s="4" t="s">
        <v>71</v>
      </c>
      <c r="L434" s="4" t="s">
        <v>72</v>
      </c>
      <c r="M434" s="4" t="str">
        <f>VLOOKUP(A434,[1]Sheet1!$C:$G,5,0)</f>
        <v>Rakib Ahsan</v>
      </c>
      <c r="N434" s="4" t="s">
        <v>74</v>
      </c>
      <c r="O434" s="4" t="s">
        <v>75</v>
      </c>
      <c r="P434" s="4">
        <v>30</v>
      </c>
      <c r="Q434" s="57">
        <v>45442</v>
      </c>
      <c r="R434" s="57">
        <v>45456</v>
      </c>
      <c r="S434" s="113"/>
      <c r="T434" s="113"/>
      <c r="U434" s="4"/>
      <c r="V434" s="4"/>
      <c r="W434" s="105" t="s">
        <v>1506</v>
      </c>
      <c r="X434" s="114">
        <v>1776498429</v>
      </c>
      <c r="Y434" s="55">
        <v>1305248006</v>
      </c>
      <c r="Z434" s="4" t="s">
        <v>1507</v>
      </c>
      <c r="AA434" s="4">
        <v>1737590068</v>
      </c>
      <c r="AB434" s="4" t="s">
        <v>132</v>
      </c>
      <c r="AC434" s="4" t="s">
        <v>119</v>
      </c>
      <c r="AD434" s="113">
        <v>35202</v>
      </c>
      <c r="AE434" s="107"/>
      <c r="AF434" s="4" t="s">
        <v>80</v>
      </c>
      <c r="AG434" s="114">
        <v>1483788442</v>
      </c>
      <c r="AH434" s="4" t="s">
        <v>81</v>
      </c>
      <c r="AI434" s="55" t="s">
        <v>265</v>
      </c>
      <c r="AJ434" s="55" t="s">
        <v>81</v>
      </c>
      <c r="AK434" s="55">
        <v>2022</v>
      </c>
      <c r="AL434" s="4" t="s">
        <v>1508</v>
      </c>
      <c r="AM434" s="4" t="s">
        <v>1509</v>
      </c>
      <c r="AN434" s="4" t="s">
        <v>1507</v>
      </c>
      <c r="AO434" s="4" t="s">
        <v>1510</v>
      </c>
      <c r="AP434" s="4" t="s">
        <v>1511</v>
      </c>
      <c r="AQ434" s="55" t="s">
        <v>1512</v>
      </c>
      <c r="AR434" s="4" t="s">
        <v>81</v>
      </c>
      <c r="AS434" s="4" t="s">
        <v>81</v>
      </c>
      <c r="AT434" s="72" t="s">
        <v>81</v>
      </c>
      <c r="AU434" s="4" t="s">
        <v>81</v>
      </c>
      <c r="AV434" s="4" t="s">
        <v>81</v>
      </c>
      <c r="AW434" s="4" t="s">
        <v>81</v>
      </c>
      <c r="AX434" s="4" t="s">
        <v>81</v>
      </c>
      <c r="AY434" s="4" t="s">
        <v>81</v>
      </c>
      <c r="AZ434" s="4" t="s">
        <v>81</v>
      </c>
      <c r="BA434" s="4" t="s">
        <v>90</v>
      </c>
      <c r="BB434" s="4">
        <v>10800</v>
      </c>
      <c r="BC434" s="4">
        <v>2700</v>
      </c>
      <c r="BD434" s="4">
        <v>1000</v>
      </c>
      <c r="BE434" s="4" t="s">
        <v>166</v>
      </c>
      <c r="BF434" s="4"/>
      <c r="BG434" s="4"/>
      <c r="BH434" s="4" t="s">
        <v>3510</v>
      </c>
      <c r="BI434" s="72"/>
      <c r="BJ434" s="154"/>
      <c r="BK434" s="4"/>
      <c r="BL434" s="105"/>
      <c r="BM434" s="9"/>
      <c r="BN434" s="9"/>
      <c r="BO434" s="9"/>
    </row>
    <row r="435" ht="14.4" s="67" customFormat="1">
      <c r="A435" s="4">
        <v>171539</v>
      </c>
      <c r="B435" s="4"/>
      <c r="C435" s="55" t="s">
        <v>1514</v>
      </c>
      <c r="D435" s="4" t="s">
        <v>1515</v>
      </c>
      <c r="E435" s="4" t="s">
        <v>66</v>
      </c>
      <c r="F435" s="55">
        <v>1110215700</v>
      </c>
      <c r="G435" s="4" t="s">
        <v>67</v>
      </c>
      <c r="H435" s="4" t="s">
        <v>68</v>
      </c>
      <c r="I435" s="4" t="s">
        <v>69</v>
      </c>
      <c r="J435" s="55" t="s">
        <v>1285</v>
      </c>
      <c r="K435" s="4" t="s">
        <v>71</v>
      </c>
      <c r="L435" s="4" t="s">
        <v>72</v>
      </c>
      <c r="M435" s="4" t="str">
        <f>VLOOKUP(A435,[1]Sheet1!$C:$G,5,0)</f>
        <v>Aminul Islam Sovo</v>
      </c>
      <c r="N435" s="4" t="s">
        <v>74</v>
      </c>
      <c r="O435" s="4" t="s">
        <v>75</v>
      </c>
      <c r="P435" s="4">
        <v>31</v>
      </c>
      <c r="Q435" s="57">
        <v>45447</v>
      </c>
      <c r="R435" s="57">
        <v>45456</v>
      </c>
      <c r="S435" s="113"/>
      <c r="T435" s="113"/>
      <c r="U435" s="4"/>
      <c r="V435" s="4"/>
      <c r="W435" s="105" t="s">
        <v>1516</v>
      </c>
      <c r="X435" s="114">
        <v>1810760395</v>
      </c>
      <c r="Y435" s="55">
        <v>1629943181</v>
      </c>
      <c r="Z435" s="4" t="s">
        <v>646</v>
      </c>
      <c r="AA435" s="4">
        <v>1745728136</v>
      </c>
      <c r="AB435" s="4" t="s">
        <v>132</v>
      </c>
      <c r="AC435" s="4" t="s">
        <v>119</v>
      </c>
      <c r="AD435" s="113">
        <v>36079</v>
      </c>
      <c r="AE435" s="107">
        <f>((TODAY())-AD435)/365</f>
        <v>26.350684931506848</v>
      </c>
      <c r="AF435" s="4" t="s">
        <v>80</v>
      </c>
      <c r="AG435" s="114">
        <v>8263947031</v>
      </c>
      <c r="AH435" s="4" t="s">
        <v>81</v>
      </c>
      <c r="AI435" s="55" t="s">
        <v>1517</v>
      </c>
      <c r="AJ435" s="55" t="s">
        <v>81</v>
      </c>
      <c r="AK435" s="55">
        <v>2023</v>
      </c>
      <c r="AL435" s="4" t="s">
        <v>1518</v>
      </c>
      <c r="AM435" s="4" t="s">
        <v>1519</v>
      </c>
      <c r="AN435" s="4" t="s">
        <v>1520</v>
      </c>
      <c r="AO435" s="4" t="s">
        <v>1521</v>
      </c>
      <c r="AP435" s="4" t="s">
        <v>1521</v>
      </c>
      <c r="AQ435" s="55" t="s">
        <v>1522</v>
      </c>
      <c r="AR435" s="4" t="s">
        <v>110</v>
      </c>
      <c r="AS435" s="4" t="s">
        <v>81</v>
      </c>
      <c r="AT435" s="72" t="s">
        <v>81</v>
      </c>
      <c r="AU435" s="4" t="s">
        <v>81</v>
      </c>
      <c r="AV435" s="4" t="s">
        <v>81</v>
      </c>
      <c r="AW435" s="4" t="s">
        <v>81</v>
      </c>
      <c r="AX435" s="4" t="s">
        <v>81</v>
      </c>
      <c r="AY435" s="4" t="s">
        <v>81</v>
      </c>
      <c r="AZ435" s="4" t="s">
        <v>81</v>
      </c>
      <c r="BA435" s="4" t="s">
        <v>90</v>
      </c>
      <c r="BB435" s="4">
        <v>10800</v>
      </c>
      <c r="BC435" s="4">
        <v>2700</v>
      </c>
      <c r="BD435" s="4">
        <v>0</v>
      </c>
      <c r="BE435" s="4" t="s">
        <v>91</v>
      </c>
      <c r="BF435" s="4"/>
      <c r="BG435" s="4"/>
      <c r="BH435" s="4" t="s">
        <v>3510</v>
      </c>
      <c r="BI435" s="72"/>
      <c r="BJ435" s="154"/>
      <c r="BK435" s="4"/>
      <c r="BL435" s="105">
        <v>1810760395</v>
      </c>
      <c r="BM435" s="9"/>
      <c r="BN435" s="9"/>
      <c r="BO435" s="9"/>
    </row>
    <row r="436" ht="14.4" s="67" customFormat="1">
      <c r="A436" s="4">
        <v>171562</v>
      </c>
      <c r="B436" s="4"/>
      <c r="C436" s="55" t="s">
        <v>1523</v>
      </c>
      <c r="D436" s="4" t="s">
        <v>1524</v>
      </c>
      <c r="E436" s="4" t="s">
        <v>66</v>
      </c>
      <c r="F436" s="55">
        <v>745987</v>
      </c>
      <c r="G436" s="4" t="s">
        <v>67</v>
      </c>
      <c r="H436" s="4" t="s">
        <v>68</v>
      </c>
      <c r="I436" s="4" t="s">
        <v>69</v>
      </c>
      <c r="J436" s="55" t="s">
        <v>1285</v>
      </c>
      <c r="K436" s="4" t="s">
        <v>71</v>
      </c>
      <c r="L436" s="4" t="s">
        <v>72</v>
      </c>
      <c r="M436" s="4" t="str">
        <f>VLOOKUP(A436,[1]Sheet1!$C:$G,5,0)</f>
        <v>Aminul Islam Sovo</v>
      </c>
      <c r="N436" s="4" t="s">
        <v>74</v>
      </c>
      <c r="O436" s="4" t="s">
        <v>75</v>
      </c>
      <c r="P436" s="4">
        <v>31</v>
      </c>
      <c r="Q436" s="57">
        <v>45447</v>
      </c>
      <c r="R436" s="57">
        <v>45456</v>
      </c>
      <c r="S436" s="113"/>
      <c r="T436" s="113"/>
      <c r="U436" s="4"/>
      <c r="V436" s="4"/>
      <c r="W436" s="105" t="s">
        <v>1525</v>
      </c>
      <c r="X436" s="114">
        <v>1313166674</v>
      </c>
      <c r="Y436" s="55">
        <v>1721242016</v>
      </c>
      <c r="Z436" s="4" t="s">
        <v>1526</v>
      </c>
      <c r="AA436" s="4">
        <v>1721242016</v>
      </c>
      <c r="AB436" s="4" t="s">
        <v>252</v>
      </c>
      <c r="AC436" s="4" t="s">
        <v>133</v>
      </c>
      <c r="AD436" s="113">
        <v>33973</v>
      </c>
      <c r="AE436" s="107">
        <f>((TODAY())-AD436)/365</f>
        <v>32.12054794520548</v>
      </c>
      <c r="AF436" s="4" t="s">
        <v>80</v>
      </c>
      <c r="AG436" s="114">
        <v>6445014290</v>
      </c>
      <c r="AH436" s="4" t="s">
        <v>81</v>
      </c>
      <c r="AI436" s="55" t="s">
        <v>265</v>
      </c>
      <c r="AJ436" s="55" t="s">
        <v>81</v>
      </c>
      <c r="AK436" s="55">
        <v>2015</v>
      </c>
      <c r="AL436" s="4" t="s">
        <v>1527</v>
      </c>
      <c r="AM436" s="4" t="s">
        <v>1528</v>
      </c>
      <c r="AN436" s="4" t="s">
        <v>1529</v>
      </c>
      <c r="AO436" s="4" t="s">
        <v>1530</v>
      </c>
      <c r="AP436" s="4" t="s">
        <v>1531</v>
      </c>
      <c r="AQ436" s="55" t="s">
        <v>1096</v>
      </c>
      <c r="AR436" s="4" t="s">
        <v>110</v>
      </c>
      <c r="AS436" s="4" t="s">
        <v>81</v>
      </c>
      <c r="AT436" s="72" t="s">
        <v>81</v>
      </c>
      <c r="AU436" s="4" t="s">
        <v>81</v>
      </c>
      <c r="AV436" s="4" t="s">
        <v>81</v>
      </c>
      <c r="AW436" s="4" t="s">
        <v>81</v>
      </c>
      <c r="AX436" s="4" t="s">
        <v>81</v>
      </c>
      <c r="AY436" s="4" t="s">
        <v>81</v>
      </c>
      <c r="AZ436" s="4" t="s">
        <v>81</v>
      </c>
      <c r="BA436" s="4" t="s">
        <v>90</v>
      </c>
      <c r="BB436" s="4">
        <v>10800</v>
      </c>
      <c r="BC436" s="4">
        <v>2700</v>
      </c>
      <c r="BD436" s="4">
        <v>0</v>
      </c>
      <c r="BE436" s="4" t="s">
        <v>91</v>
      </c>
      <c r="BF436" s="4"/>
      <c r="BG436" s="4"/>
      <c r="BH436" s="4" t="s">
        <v>3510</v>
      </c>
      <c r="BI436" s="72"/>
      <c r="BJ436" s="154"/>
      <c r="BK436" s="4"/>
      <c r="BL436" s="105"/>
      <c r="BM436" s="9"/>
      <c r="BN436" s="9"/>
      <c r="BO436" s="9"/>
    </row>
    <row r="437" ht="14.4" s="67" customFormat="1">
      <c r="A437" s="4">
        <v>171568</v>
      </c>
      <c r="B437" s="4"/>
      <c r="C437" s="55" t="s">
        <v>1532</v>
      </c>
      <c r="D437" s="4" t="s">
        <v>1533</v>
      </c>
      <c r="E437" s="4" t="s">
        <v>66</v>
      </c>
      <c r="F437" s="55">
        <v>611423</v>
      </c>
      <c r="G437" s="4" t="s">
        <v>67</v>
      </c>
      <c r="H437" s="4" t="s">
        <v>68</v>
      </c>
      <c r="I437" s="4" t="s">
        <v>69</v>
      </c>
      <c r="J437" s="55" t="s">
        <v>1285</v>
      </c>
      <c r="K437" s="4" t="s">
        <v>71</v>
      </c>
      <c r="L437" s="4" t="s">
        <v>72</v>
      </c>
      <c r="M437" s="4" t="str">
        <f>VLOOKUP(A437,[1]Sheet1!$C:$G,5,0)</f>
        <v>Aminul Islam Sovo</v>
      </c>
      <c r="N437" s="4" t="s">
        <v>74</v>
      </c>
      <c r="O437" s="4" t="s">
        <v>75</v>
      </c>
      <c r="P437" s="4">
        <v>31</v>
      </c>
      <c r="Q437" s="57">
        <v>45447</v>
      </c>
      <c r="R437" s="57">
        <v>45456</v>
      </c>
      <c r="S437" s="113"/>
      <c r="T437" s="113"/>
      <c r="U437" s="4"/>
      <c r="V437" s="4"/>
      <c r="W437" s="105" t="s">
        <v>1534</v>
      </c>
      <c r="X437" s="114">
        <v>1789024755</v>
      </c>
      <c r="Y437" s="55">
        <v>1955986615</v>
      </c>
      <c r="Z437" s="4" t="s">
        <v>1535</v>
      </c>
      <c r="AA437" s="4">
        <v>1789447508</v>
      </c>
      <c r="AB437" s="4" t="s">
        <v>252</v>
      </c>
      <c r="AC437" s="4" t="s">
        <v>119</v>
      </c>
      <c r="AD437" s="113">
        <v>35034</v>
      </c>
      <c r="AE437" s="107">
        <f>((TODAY())-AD437)/365</f>
        <v>29.213698630136985</v>
      </c>
      <c r="AF437" s="4" t="s">
        <v>80</v>
      </c>
      <c r="AG437" s="114">
        <v>9552035165</v>
      </c>
      <c r="AH437" s="4" t="s">
        <v>81</v>
      </c>
      <c r="AI437" s="55" t="s">
        <v>683</v>
      </c>
      <c r="AJ437" s="55" t="s">
        <v>81</v>
      </c>
      <c r="AK437" s="55">
        <v>2019</v>
      </c>
      <c r="AL437" s="4" t="s">
        <v>1536</v>
      </c>
      <c r="AM437" s="4" t="s">
        <v>1537</v>
      </c>
      <c r="AN437" s="4" t="s">
        <v>1538</v>
      </c>
      <c r="AO437" s="4" t="s">
        <v>1539</v>
      </c>
      <c r="AP437" s="4" t="s">
        <v>1540</v>
      </c>
      <c r="AQ437" s="55" t="s">
        <v>499</v>
      </c>
      <c r="AR437" s="4" t="s">
        <v>110</v>
      </c>
      <c r="AS437" s="4" t="s">
        <v>81</v>
      </c>
      <c r="AT437" s="72" t="s">
        <v>81</v>
      </c>
      <c r="AU437" s="4" t="s">
        <v>81</v>
      </c>
      <c r="AV437" s="4" t="s">
        <v>81</v>
      </c>
      <c r="AW437" s="4" t="s">
        <v>81</v>
      </c>
      <c r="AX437" s="4" t="s">
        <v>81</v>
      </c>
      <c r="AY437" s="4" t="s">
        <v>81</v>
      </c>
      <c r="AZ437" s="4" t="s">
        <v>81</v>
      </c>
      <c r="BA437" s="4" t="s">
        <v>90</v>
      </c>
      <c r="BB437" s="4">
        <v>10800</v>
      </c>
      <c r="BC437" s="4">
        <v>2700</v>
      </c>
      <c r="BD437" s="4">
        <v>0</v>
      </c>
      <c r="BE437" s="4" t="s">
        <v>91</v>
      </c>
      <c r="BF437" s="4"/>
      <c r="BG437" s="4"/>
      <c r="BH437" s="4" t="s">
        <v>3510</v>
      </c>
      <c r="BI437" s="72"/>
      <c r="BJ437" s="154"/>
      <c r="BK437" s="4"/>
      <c r="BL437" s="105"/>
      <c r="BM437" s="9"/>
      <c r="BN437" s="9"/>
      <c r="BO437" s="9"/>
    </row>
    <row r="438" ht="14.4" s="67" customFormat="1">
      <c r="A438" s="4">
        <v>171512</v>
      </c>
      <c r="B438" s="4"/>
      <c r="C438" s="55" t="s">
        <v>1541</v>
      </c>
      <c r="D438" s="4" t="s">
        <v>1542</v>
      </c>
      <c r="E438" s="4" t="s">
        <v>114</v>
      </c>
      <c r="F438" s="55"/>
      <c r="G438" s="4" t="s">
        <v>67</v>
      </c>
      <c r="H438" s="4" t="s">
        <v>68</v>
      </c>
      <c r="I438" s="4" t="s">
        <v>69</v>
      </c>
      <c r="J438" s="55" t="s">
        <v>155</v>
      </c>
      <c r="K438" s="4" t="s">
        <v>71</v>
      </c>
      <c r="L438" s="4" t="s">
        <v>72</v>
      </c>
      <c r="M438" s="4" t="str">
        <f>VLOOKUP(A438,[1]Sheet1!$C:$G,5,0)</f>
        <v>Md. Tanjir Ahmed</v>
      </c>
      <c r="N438" s="4" t="s">
        <v>74</v>
      </c>
      <c r="O438" s="4" t="s">
        <v>75</v>
      </c>
      <c r="P438" s="4">
        <v>29</v>
      </c>
      <c r="Q438" s="57">
        <v>45432</v>
      </c>
      <c r="R438" s="57">
        <v>45457</v>
      </c>
      <c r="S438" s="113"/>
      <c r="T438" s="113"/>
      <c r="U438" s="4"/>
      <c r="V438" s="4"/>
      <c r="W438" s="105"/>
      <c r="X438" s="114">
        <v>1739688308</v>
      </c>
      <c r="Y438" s="55"/>
      <c r="Z438" s="4" t="s">
        <v>1543</v>
      </c>
      <c r="AA438" s="4">
        <v>1763645281</v>
      </c>
      <c r="AB438" s="4" t="s">
        <v>101</v>
      </c>
      <c r="AC438" s="4" t="s">
        <v>133</v>
      </c>
      <c r="AD438" s="113">
        <v>35930</v>
      </c>
      <c r="AE438" s="107"/>
      <c r="AF438" s="4" t="s">
        <v>80</v>
      </c>
      <c r="AG438" s="114">
        <v>4204260642</v>
      </c>
      <c r="AH438" s="4" t="s">
        <v>81</v>
      </c>
      <c r="AI438" s="55" t="s">
        <v>1101</v>
      </c>
      <c r="AJ438" s="55" t="s">
        <v>1334</v>
      </c>
      <c r="AK438" s="55">
        <v>2023</v>
      </c>
      <c r="AL438" s="4" t="s">
        <v>986</v>
      </c>
      <c r="AM438" s="4" t="s">
        <v>1543</v>
      </c>
      <c r="AN438" s="4" t="s">
        <v>1544</v>
      </c>
      <c r="AO438" s="4" t="s">
        <v>1545</v>
      </c>
      <c r="AP438" s="4" t="s">
        <v>1546</v>
      </c>
      <c r="AQ438" s="55" t="s">
        <v>353</v>
      </c>
      <c r="AR438" s="4" t="s">
        <v>110</v>
      </c>
      <c r="AS438" s="4" t="s">
        <v>81</v>
      </c>
      <c r="AT438" s="72" t="s">
        <v>1334</v>
      </c>
      <c r="AU438" s="4" t="s">
        <v>81</v>
      </c>
      <c r="AV438" s="4" t="s">
        <v>81</v>
      </c>
      <c r="AW438" s="4" t="s">
        <v>81</v>
      </c>
      <c r="AX438" s="4" t="s">
        <v>81</v>
      </c>
      <c r="AY438" s="4" t="s">
        <v>81</v>
      </c>
      <c r="AZ438" s="4" t="s">
        <v>81</v>
      </c>
      <c r="BA438" s="4" t="s">
        <v>90</v>
      </c>
      <c r="BB438" s="4">
        <v>10800</v>
      </c>
      <c r="BC438" s="4">
        <v>2700</v>
      </c>
      <c r="BD438" s="4">
        <v>1000</v>
      </c>
      <c r="BE438" s="4" t="s">
        <v>166</v>
      </c>
      <c r="BF438" s="4"/>
      <c r="BG438" s="4"/>
      <c r="BH438" s="4" t="s">
        <v>3510</v>
      </c>
      <c r="BI438" s="72"/>
      <c r="BJ438" s="154"/>
      <c r="BK438" s="4"/>
      <c r="BL438" s="105"/>
      <c r="BM438" s="9"/>
      <c r="BN438" s="9"/>
      <c r="BO438" s="9"/>
    </row>
    <row r="439" ht="14.4" s="67" customFormat="1">
      <c r="A439" s="4">
        <v>171515</v>
      </c>
      <c r="B439" s="4"/>
      <c r="C439" s="55" t="s">
        <v>1547</v>
      </c>
      <c r="D439" s="4" t="s">
        <v>1548</v>
      </c>
      <c r="E439" s="4" t="s">
        <v>114</v>
      </c>
      <c r="F439" s="55" t="s">
        <v>1549</v>
      </c>
      <c r="G439" s="4" t="s">
        <v>67</v>
      </c>
      <c r="H439" s="4" t="s">
        <v>68</v>
      </c>
      <c r="I439" s="4" t="s">
        <v>69</v>
      </c>
      <c r="J439" s="55" t="s">
        <v>155</v>
      </c>
      <c r="K439" s="4" t="s">
        <v>71</v>
      </c>
      <c r="L439" s="4" t="s">
        <v>72</v>
      </c>
      <c r="M439" s="4" t="str">
        <f>VLOOKUP(A439,[1]Sheet1!$C:$G,5,0)</f>
        <v>Md. Tanjir Ahmed</v>
      </c>
      <c r="N439" s="4" t="s">
        <v>74</v>
      </c>
      <c r="O439" s="4" t="s">
        <v>75</v>
      </c>
      <c r="P439" s="4">
        <v>30</v>
      </c>
      <c r="Q439" s="57">
        <v>45442</v>
      </c>
      <c r="R439" s="57">
        <v>45458</v>
      </c>
      <c r="S439" s="113"/>
      <c r="T439" s="113"/>
      <c r="U439" s="4"/>
      <c r="V439" s="4"/>
      <c r="W439" s="105" t="s">
        <v>81</v>
      </c>
      <c r="X439" s="114">
        <v>1837738626</v>
      </c>
      <c r="Y439" s="55"/>
      <c r="Z439" s="4" t="s">
        <v>1550</v>
      </c>
      <c r="AA439" s="4">
        <v>1857619156</v>
      </c>
      <c r="AB439" s="4" t="s">
        <v>132</v>
      </c>
      <c r="AC439" s="4" t="s">
        <v>133</v>
      </c>
      <c r="AD439" s="113">
        <v>35696</v>
      </c>
      <c r="AE439" s="107"/>
      <c r="AF439" s="4" t="s">
        <v>80</v>
      </c>
      <c r="AG439" s="114">
        <v>8252805976</v>
      </c>
      <c r="AH439" s="4" t="s">
        <v>81</v>
      </c>
      <c r="AI439" s="55" t="s">
        <v>265</v>
      </c>
      <c r="AJ439" s="55" t="s">
        <v>265</v>
      </c>
      <c r="AK439" s="55">
        <v>2023</v>
      </c>
      <c r="AL439" s="4" t="s">
        <v>1551</v>
      </c>
      <c r="AM439" s="4" t="s">
        <v>1550</v>
      </c>
      <c r="AN439" s="4" t="s">
        <v>1550</v>
      </c>
      <c r="AO439" s="4" t="s">
        <v>1552</v>
      </c>
      <c r="AP439" s="4" t="s">
        <v>1552</v>
      </c>
      <c r="AQ439" s="55" t="s">
        <v>1553</v>
      </c>
      <c r="AR439" s="4" t="s">
        <v>110</v>
      </c>
      <c r="AS439" s="4" t="s">
        <v>81</v>
      </c>
      <c r="AT439" s="72" t="s">
        <v>81</v>
      </c>
      <c r="AU439" s="4" t="s">
        <v>81</v>
      </c>
      <c r="AV439" s="4" t="s">
        <v>81</v>
      </c>
      <c r="AW439" s="4" t="s">
        <v>81</v>
      </c>
      <c r="AX439" s="4" t="s">
        <v>81</v>
      </c>
      <c r="AY439" s="4" t="s">
        <v>81</v>
      </c>
      <c r="AZ439" s="4" t="s">
        <v>81</v>
      </c>
      <c r="BA439" s="4" t="s">
        <v>90</v>
      </c>
      <c r="BB439" s="4">
        <v>10800</v>
      </c>
      <c r="BC439" s="4">
        <v>2700</v>
      </c>
      <c r="BD439" s="4">
        <v>1000</v>
      </c>
      <c r="BE439" s="4" t="s">
        <v>166</v>
      </c>
      <c r="BF439" s="4"/>
      <c r="BG439" s="4"/>
      <c r="BH439" s="4" t="s">
        <v>3510</v>
      </c>
      <c r="BI439" s="72"/>
      <c r="BJ439" s="154"/>
      <c r="BK439" s="4"/>
      <c r="BL439" s="105"/>
      <c r="BM439" s="9"/>
      <c r="BN439" s="9"/>
      <c r="BO439" s="9"/>
    </row>
    <row r="440" ht="14.4" s="67" customFormat="1">
      <c r="A440" s="4">
        <v>171597</v>
      </c>
      <c r="B440" s="4"/>
      <c r="C440" s="55" t="s">
        <v>1554</v>
      </c>
      <c r="D440" s="4" t="s">
        <v>1555</v>
      </c>
      <c r="E440" s="4" t="s">
        <v>114</v>
      </c>
      <c r="F440" s="55">
        <v>1218726521</v>
      </c>
      <c r="G440" s="4" t="s">
        <v>67</v>
      </c>
      <c r="H440" s="4" t="s">
        <v>68</v>
      </c>
      <c r="I440" s="4" t="s">
        <v>69</v>
      </c>
      <c r="J440" s="55" t="s">
        <v>1285</v>
      </c>
      <c r="K440" s="4" t="s">
        <v>71</v>
      </c>
      <c r="L440" s="4" t="s">
        <v>72</v>
      </c>
      <c r="M440" s="4" t="str">
        <f>VLOOKUP(A440,[1]Sheet1!$C:$G,5,0)</f>
        <v>Md. Moniruzzaman</v>
      </c>
      <c r="N440" s="4" t="s">
        <v>74</v>
      </c>
      <c r="O440" s="4" t="s">
        <v>75</v>
      </c>
      <c r="P440" s="4">
        <v>32</v>
      </c>
      <c r="Q440" s="57">
        <v>45449</v>
      </c>
      <c r="R440" s="57">
        <v>45458</v>
      </c>
      <c r="S440" s="113"/>
      <c r="T440" s="113"/>
      <c r="U440" s="4"/>
      <c r="V440" s="4"/>
      <c r="W440" s="105" t="s">
        <v>1556</v>
      </c>
      <c r="X440" s="114">
        <v>1331095080</v>
      </c>
      <c r="Y440" s="55">
        <v>1521533911</v>
      </c>
      <c r="Z440" s="4" t="s">
        <v>1557</v>
      </c>
      <c r="AA440" s="4">
        <v>1681616208</v>
      </c>
      <c r="AB440" s="4" t="s">
        <v>118</v>
      </c>
      <c r="AC440" s="4" t="s">
        <v>133</v>
      </c>
      <c r="AD440" s="113">
        <v>36515</v>
      </c>
      <c r="AE440" s="107"/>
      <c r="AF440" s="4" t="s">
        <v>80</v>
      </c>
      <c r="AG440" s="114">
        <v>8708381010</v>
      </c>
      <c r="AH440" s="4" t="s">
        <v>81</v>
      </c>
      <c r="AI440" s="55" t="s">
        <v>1517</v>
      </c>
      <c r="AJ440" s="55" t="s">
        <v>81</v>
      </c>
      <c r="AK440" s="55">
        <v>2023</v>
      </c>
      <c r="AL440" s="4" t="s">
        <v>1558</v>
      </c>
      <c r="AM440" s="4" t="s">
        <v>1559</v>
      </c>
      <c r="AN440" s="4" t="s">
        <v>1560</v>
      </c>
      <c r="AO440" s="4" t="s">
        <v>1561</v>
      </c>
      <c r="AP440" s="4" t="s">
        <v>1562</v>
      </c>
      <c r="AQ440" s="55" t="s">
        <v>1563</v>
      </c>
      <c r="AR440" s="4" t="s">
        <v>110</v>
      </c>
      <c r="AS440" s="4" t="s">
        <v>81</v>
      </c>
      <c r="AT440" s="72" t="s">
        <v>81</v>
      </c>
      <c r="AU440" s="4" t="s">
        <v>81</v>
      </c>
      <c r="AV440" s="4" t="s">
        <v>81</v>
      </c>
      <c r="AW440" s="4" t="s">
        <v>81</v>
      </c>
      <c r="AX440" s="4" t="s">
        <v>81</v>
      </c>
      <c r="AY440" s="4" t="s">
        <v>81</v>
      </c>
      <c r="AZ440" s="4" t="s">
        <v>81</v>
      </c>
      <c r="BA440" s="4" t="s">
        <v>90</v>
      </c>
      <c r="BB440" s="4">
        <v>10800</v>
      </c>
      <c r="BC440" s="4">
        <v>2700</v>
      </c>
      <c r="BD440" s="4">
        <v>0</v>
      </c>
      <c r="BE440" s="4" t="s">
        <v>91</v>
      </c>
      <c r="BF440" s="4"/>
      <c r="BG440" s="4"/>
      <c r="BH440" s="4" t="s">
        <v>3510</v>
      </c>
      <c r="BI440" s="72"/>
      <c r="BJ440" s="154"/>
      <c r="BK440" s="4"/>
      <c r="BL440" s="105"/>
      <c r="BM440" s="9"/>
      <c r="BN440" s="9"/>
      <c r="BO440" s="9"/>
    </row>
    <row r="441" ht="14.4" s="67" customFormat="1">
      <c r="A441" s="4">
        <v>171599</v>
      </c>
      <c r="B441" s="4"/>
      <c r="C441" s="55"/>
      <c r="D441" s="4" t="s">
        <v>1564</v>
      </c>
      <c r="E441" s="4" t="s">
        <v>114</v>
      </c>
      <c r="F441" s="55">
        <v>1110584055</v>
      </c>
      <c r="G441" s="4" t="s">
        <v>67</v>
      </c>
      <c r="H441" s="4" t="s">
        <v>68</v>
      </c>
      <c r="I441" s="4" t="s">
        <v>69</v>
      </c>
      <c r="J441" s="55" t="s">
        <v>1285</v>
      </c>
      <c r="K441" s="4" t="s">
        <v>71</v>
      </c>
      <c r="L441" s="4" t="s">
        <v>72</v>
      </c>
      <c r="M441" s="4" t="str">
        <f>VLOOKUP(A441,[1]Sheet1!$C:$G,5,0)</f>
        <v>Md Mehedi Hasan</v>
      </c>
      <c r="N441" s="4" t="s">
        <v>74</v>
      </c>
      <c r="O441" s="4" t="s">
        <v>75</v>
      </c>
      <c r="P441" s="4">
        <v>32</v>
      </c>
      <c r="Q441" s="57">
        <v>45449</v>
      </c>
      <c r="R441" s="57">
        <v>45458</v>
      </c>
      <c r="S441" s="113"/>
      <c r="T441" s="113"/>
      <c r="U441" s="4"/>
      <c r="V441" s="4"/>
      <c r="W441" s="105" t="s">
        <v>1565</v>
      </c>
      <c r="X441" s="114">
        <v>1624414903</v>
      </c>
      <c r="Y441" s="55">
        <v>1823278821</v>
      </c>
      <c r="Z441" s="4" t="s">
        <v>1181</v>
      </c>
      <c r="AA441" s="4">
        <v>1950804603</v>
      </c>
      <c r="AB441" s="4" t="s">
        <v>252</v>
      </c>
      <c r="AC441" s="4" t="s">
        <v>119</v>
      </c>
      <c r="AD441" s="113">
        <v>35890</v>
      </c>
      <c r="AE441" s="107"/>
      <c r="AF441" s="4" t="s">
        <v>80</v>
      </c>
      <c r="AG441" s="114">
        <v>6454417103</v>
      </c>
      <c r="AH441" s="4" t="s">
        <v>81</v>
      </c>
      <c r="AI441" s="55" t="s">
        <v>322</v>
      </c>
      <c r="AJ441" s="55" t="s">
        <v>81</v>
      </c>
      <c r="AK441" s="55">
        <v>2020</v>
      </c>
      <c r="AL441" s="4" t="s">
        <v>1566</v>
      </c>
      <c r="AM441" s="4" t="s">
        <v>1567</v>
      </c>
      <c r="AN441" s="4" t="s">
        <v>1568</v>
      </c>
      <c r="AO441" s="4" t="s">
        <v>1569</v>
      </c>
      <c r="AP441" s="4" t="s">
        <v>1570</v>
      </c>
      <c r="AQ441" s="55" t="s">
        <v>328</v>
      </c>
      <c r="AR441" s="4" t="s">
        <v>110</v>
      </c>
      <c r="AS441" s="4" t="s">
        <v>81</v>
      </c>
      <c r="AT441" s="72" t="s">
        <v>81</v>
      </c>
      <c r="AU441" s="4" t="s">
        <v>81</v>
      </c>
      <c r="AV441" s="4" t="s">
        <v>81</v>
      </c>
      <c r="AW441" s="4" t="s">
        <v>81</v>
      </c>
      <c r="AX441" s="4" t="s">
        <v>81</v>
      </c>
      <c r="AY441" s="4" t="s">
        <v>81</v>
      </c>
      <c r="AZ441" s="4" t="s">
        <v>81</v>
      </c>
      <c r="BA441" s="4" t="s">
        <v>90</v>
      </c>
      <c r="BB441" s="4">
        <v>10800</v>
      </c>
      <c r="BC441" s="4">
        <v>2700</v>
      </c>
      <c r="BD441" s="4">
        <v>0</v>
      </c>
      <c r="BE441" s="4" t="s">
        <v>91</v>
      </c>
      <c r="BF441" s="4"/>
      <c r="BG441" s="4"/>
      <c r="BH441" s="4" t="s">
        <v>3510</v>
      </c>
      <c r="BI441" s="72"/>
      <c r="BJ441" s="154"/>
      <c r="BK441" s="4"/>
      <c r="BL441" s="105"/>
      <c r="BM441" s="9"/>
      <c r="BN441" s="9"/>
      <c r="BO441" s="9"/>
    </row>
    <row r="442" ht="14.4" s="67" customFormat="1">
      <c r="A442" s="4">
        <v>171604</v>
      </c>
      <c r="B442" s="4"/>
      <c r="C442" s="55" t="s">
        <v>1571</v>
      </c>
      <c r="D442" s="4" t="s">
        <v>1572</v>
      </c>
      <c r="E442" s="4" t="s">
        <v>114</v>
      </c>
      <c r="F442" s="55">
        <v>243692</v>
      </c>
      <c r="G442" s="4" t="s">
        <v>67</v>
      </c>
      <c r="H442" s="4" t="s">
        <v>68</v>
      </c>
      <c r="I442" s="4" t="s">
        <v>69</v>
      </c>
      <c r="J442" s="55" t="s">
        <v>1285</v>
      </c>
      <c r="K442" s="4" t="s">
        <v>71</v>
      </c>
      <c r="L442" s="4" t="s">
        <v>72</v>
      </c>
      <c r="M442" s="4" t="str">
        <f>VLOOKUP(A442,[1]Sheet1!$C:$G,5,0)</f>
        <v>Aminul Islam Sovo</v>
      </c>
      <c r="N442" s="4" t="s">
        <v>74</v>
      </c>
      <c r="O442" s="4" t="s">
        <v>75</v>
      </c>
      <c r="P442" s="4">
        <v>32</v>
      </c>
      <c r="Q442" s="57">
        <v>45449</v>
      </c>
      <c r="R442" s="57">
        <v>45458</v>
      </c>
      <c r="S442" s="113"/>
      <c r="T442" s="113"/>
      <c r="U442" s="4"/>
      <c r="V442" s="4"/>
      <c r="W442" s="105" t="s">
        <v>1573</v>
      </c>
      <c r="X442" s="114">
        <v>1733478772</v>
      </c>
      <c r="Y442" s="55"/>
      <c r="Z442" s="4" t="s">
        <v>1574</v>
      </c>
      <c r="AA442" s="4">
        <v>1795688532</v>
      </c>
      <c r="AB442" s="4" t="s">
        <v>101</v>
      </c>
      <c r="AC442" s="4" t="s">
        <v>102</v>
      </c>
      <c r="AD442" s="113">
        <v>35052</v>
      </c>
      <c r="AE442" s="107"/>
      <c r="AF442" s="4" t="s">
        <v>360</v>
      </c>
      <c r="AG442" s="114">
        <v>5064650996</v>
      </c>
      <c r="AH442" s="4" t="s">
        <v>81</v>
      </c>
      <c r="AI442" s="55" t="s">
        <v>1182</v>
      </c>
      <c r="AJ442" s="55" t="s">
        <v>81</v>
      </c>
      <c r="AK442" s="55">
        <v>2015</v>
      </c>
      <c r="AL442" s="4" t="s">
        <v>1575</v>
      </c>
      <c r="AM442" s="4" t="s">
        <v>1574</v>
      </c>
      <c r="AN442" s="4" t="s">
        <v>1576</v>
      </c>
      <c r="AO442" s="4" t="s">
        <v>1577</v>
      </c>
      <c r="AP442" s="4" t="s">
        <v>1578</v>
      </c>
      <c r="AQ442" s="55" t="s">
        <v>1579</v>
      </c>
      <c r="AR442" s="4" t="s">
        <v>1580</v>
      </c>
      <c r="AS442" s="4" t="s">
        <v>81</v>
      </c>
      <c r="AT442" s="72" t="s">
        <v>81</v>
      </c>
      <c r="AU442" s="4" t="s">
        <v>81</v>
      </c>
      <c r="AV442" s="4" t="s">
        <v>81</v>
      </c>
      <c r="AW442" s="4" t="s">
        <v>81</v>
      </c>
      <c r="AX442" s="4" t="s">
        <v>81</v>
      </c>
      <c r="AY442" s="4" t="s">
        <v>81</v>
      </c>
      <c r="AZ442" s="4" t="s">
        <v>81</v>
      </c>
      <c r="BA442" s="4" t="s">
        <v>90</v>
      </c>
      <c r="BB442" s="4">
        <v>10800</v>
      </c>
      <c r="BC442" s="4">
        <v>2700</v>
      </c>
      <c r="BD442" s="4">
        <v>0</v>
      </c>
      <c r="BE442" s="4" t="s">
        <v>91</v>
      </c>
      <c r="BF442" s="4"/>
      <c r="BG442" s="4"/>
      <c r="BH442" s="4" t="s">
        <v>3510</v>
      </c>
      <c r="BI442" s="72"/>
      <c r="BJ442" s="154"/>
      <c r="BK442" s="4"/>
      <c r="BL442" s="105"/>
      <c r="BM442" s="9"/>
      <c r="BN442" s="9"/>
      <c r="BO442" s="9"/>
    </row>
    <row r="443" ht="14.4" s="67" customFormat="1">
      <c r="A443" s="4">
        <v>171607</v>
      </c>
      <c r="B443" s="4"/>
      <c r="C443" s="55" t="s">
        <v>1581</v>
      </c>
      <c r="D443" s="4" t="s">
        <v>1582</v>
      </c>
      <c r="E443" s="4" t="s">
        <v>66</v>
      </c>
      <c r="F443" s="55">
        <v>1110584934</v>
      </c>
      <c r="G443" s="4" t="s">
        <v>67</v>
      </c>
      <c r="H443" s="4" t="s">
        <v>68</v>
      </c>
      <c r="I443" s="4" t="s">
        <v>69</v>
      </c>
      <c r="J443" s="55" t="s">
        <v>1285</v>
      </c>
      <c r="K443" s="4" t="s">
        <v>71</v>
      </c>
      <c r="L443" s="4" t="s">
        <v>72</v>
      </c>
      <c r="M443" s="4" t="str">
        <f>VLOOKUP(A443,[1]Sheet1!$C:$G,5,0)</f>
        <v>Aminul Islam Sovo</v>
      </c>
      <c r="N443" s="4" t="s">
        <v>74</v>
      </c>
      <c r="O443" s="4" t="s">
        <v>75</v>
      </c>
      <c r="P443" s="4">
        <v>32</v>
      </c>
      <c r="Q443" s="57">
        <v>45449</v>
      </c>
      <c r="R443" s="57">
        <v>45458</v>
      </c>
      <c r="S443" s="113"/>
      <c r="T443" s="113"/>
      <c r="U443" s="4"/>
      <c r="V443" s="4"/>
      <c r="W443" s="105" t="s">
        <v>1583</v>
      </c>
      <c r="X443" s="114">
        <v>1953525746</v>
      </c>
      <c r="Y443" s="55">
        <v>1624728901</v>
      </c>
      <c r="Z443" s="4" t="s">
        <v>1584</v>
      </c>
      <c r="AA443" s="4">
        <v>1624728901</v>
      </c>
      <c r="AB443" s="4" t="s">
        <v>118</v>
      </c>
      <c r="AC443" s="4" t="s">
        <v>119</v>
      </c>
      <c r="AD443" s="113">
        <v>35898</v>
      </c>
      <c r="AE443" s="107"/>
      <c r="AF443" s="4" t="s">
        <v>80</v>
      </c>
      <c r="AG443" s="114">
        <v>6454395366</v>
      </c>
      <c r="AH443" s="4" t="s">
        <v>81</v>
      </c>
      <c r="AI443" s="55" t="s">
        <v>1585</v>
      </c>
      <c r="AJ443" s="55" t="s">
        <v>81</v>
      </c>
      <c r="AK443" s="55">
        <v>2022</v>
      </c>
      <c r="AL443" s="4" t="s">
        <v>209</v>
      </c>
      <c r="AM443" s="4" t="s">
        <v>1586</v>
      </c>
      <c r="AN443" s="4" t="s">
        <v>1587</v>
      </c>
      <c r="AO443" s="4" t="s">
        <v>1588</v>
      </c>
      <c r="AP443" s="4" t="s">
        <v>1589</v>
      </c>
      <c r="AQ443" s="55" t="s">
        <v>328</v>
      </c>
      <c r="AR443" s="4" t="s">
        <v>110</v>
      </c>
      <c r="AS443" s="4" t="s">
        <v>81</v>
      </c>
      <c r="AT443" s="72" t="s">
        <v>81</v>
      </c>
      <c r="AU443" s="4" t="s">
        <v>81</v>
      </c>
      <c r="AV443" s="4" t="s">
        <v>81</v>
      </c>
      <c r="AW443" s="4" t="s">
        <v>81</v>
      </c>
      <c r="AX443" s="4" t="s">
        <v>81</v>
      </c>
      <c r="AY443" s="4" t="s">
        <v>81</v>
      </c>
      <c r="AZ443" s="4" t="s">
        <v>81</v>
      </c>
      <c r="BA443" s="4" t="s">
        <v>90</v>
      </c>
      <c r="BB443" s="4">
        <v>10800</v>
      </c>
      <c r="BC443" s="4">
        <v>2700</v>
      </c>
      <c r="BD443" s="4">
        <v>0</v>
      </c>
      <c r="BE443" s="4" t="s">
        <v>91</v>
      </c>
      <c r="BF443" s="4"/>
      <c r="BG443" s="4"/>
      <c r="BH443" s="4" t="s">
        <v>3510</v>
      </c>
      <c r="BI443" s="72"/>
      <c r="BJ443" s="154"/>
      <c r="BK443" s="4"/>
      <c r="BL443" s="105"/>
      <c r="BM443" s="9"/>
      <c r="BN443" s="9"/>
      <c r="BO443" s="9"/>
    </row>
    <row r="444" ht="14.4" s="67" customFormat="1">
      <c r="A444" s="4">
        <v>171608</v>
      </c>
      <c r="B444" s="4"/>
      <c r="C444" s="55" t="s">
        <v>1590</v>
      </c>
      <c r="D444" s="4" t="s">
        <v>1591</v>
      </c>
      <c r="E444" s="4" t="s">
        <v>66</v>
      </c>
      <c r="F444" s="55">
        <v>1217606681</v>
      </c>
      <c r="G444" s="4" t="s">
        <v>67</v>
      </c>
      <c r="H444" s="4" t="s">
        <v>68</v>
      </c>
      <c r="I444" s="4" t="s">
        <v>69</v>
      </c>
      <c r="J444" s="55" t="s">
        <v>1285</v>
      </c>
      <c r="K444" s="4" t="s">
        <v>71</v>
      </c>
      <c r="L444" s="4" t="s">
        <v>72</v>
      </c>
      <c r="M444" s="4" t="str">
        <f>VLOOKUP(A444,[1]Sheet1!$C:$G,5,0)</f>
        <v>Md. Moniruzzaman</v>
      </c>
      <c r="N444" s="4" t="s">
        <v>74</v>
      </c>
      <c r="O444" s="4" t="s">
        <v>75</v>
      </c>
      <c r="P444" s="4">
        <v>32</v>
      </c>
      <c r="Q444" s="57">
        <v>45449</v>
      </c>
      <c r="R444" s="57">
        <v>45458</v>
      </c>
      <c r="S444" s="113"/>
      <c r="T444" s="113"/>
      <c r="U444" s="4"/>
      <c r="V444" s="4"/>
      <c r="W444" s="105" t="s">
        <v>1592</v>
      </c>
      <c r="X444" s="114">
        <v>1709113673</v>
      </c>
      <c r="Y444" s="55">
        <v>1706810329</v>
      </c>
      <c r="Z444" s="4" t="s">
        <v>1593</v>
      </c>
      <c r="AA444" s="4">
        <v>1706810329</v>
      </c>
      <c r="AB444" s="4" t="s">
        <v>78</v>
      </c>
      <c r="AC444" s="4" t="s">
        <v>133</v>
      </c>
      <c r="AD444" s="113">
        <v>36127</v>
      </c>
      <c r="AE444" s="107"/>
      <c r="AF444" s="4" t="s">
        <v>80</v>
      </c>
      <c r="AG444" s="114">
        <v>1504266089</v>
      </c>
      <c r="AH444" s="4" t="s">
        <v>81</v>
      </c>
      <c r="AI444" s="55" t="s">
        <v>1594</v>
      </c>
      <c r="AJ444" s="55" t="s">
        <v>81</v>
      </c>
      <c r="AK444" s="55">
        <v>2023</v>
      </c>
      <c r="AL444" s="4" t="s">
        <v>1102</v>
      </c>
      <c r="AM444" s="4" t="s">
        <v>1595</v>
      </c>
      <c r="AN444" s="4" t="s">
        <v>1596</v>
      </c>
      <c r="AO444" s="4" t="s">
        <v>1597</v>
      </c>
      <c r="AP444" s="4" t="s">
        <v>1597</v>
      </c>
      <c r="AQ444" s="55" t="s">
        <v>449</v>
      </c>
      <c r="AR444" s="4" t="s">
        <v>89</v>
      </c>
      <c r="AS444" s="4" t="s">
        <v>1593</v>
      </c>
      <c r="AT444" s="72">
        <v>36049</v>
      </c>
      <c r="AU444" s="4" t="s">
        <v>81</v>
      </c>
      <c r="AV444" s="4" t="s">
        <v>81</v>
      </c>
      <c r="AW444" s="4" t="s">
        <v>81</v>
      </c>
      <c r="AX444" s="4" t="s">
        <v>81</v>
      </c>
      <c r="AY444" s="4" t="s">
        <v>81</v>
      </c>
      <c r="AZ444" s="4" t="s">
        <v>81</v>
      </c>
      <c r="BA444" s="4" t="s">
        <v>90</v>
      </c>
      <c r="BB444" s="4">
        <v>10800</v>
      </c>
      <c r="BC444" s="4">
        <v>2700</v>
      </c>
      <c r="BD444" s="4">
        <v>0</v>
      </c>
      <c r="BE444" s="4" t="s">
        <v>91</v>
      </c>
      <c r="BF444" s="4"/>
      <c r="BG444" s="4"/>
      <c r="BH444" s="4" t="s">
        <v>3510</v>
      </c>
      <c r="BI444" s="72"/>
      <c r="BJ444" s="154"/>
      <c r="BK444" s="4"/>
      <c r="BL444" s="105">
        <v>1709113673</v>
      </c>
      <c r="BM444" s="9"/>
      <c r="BN444" s="9"/>
      <c r="BO444" s="9"/>
    </row>
    <row r="445" ht="14.4" s="67" customFormat="1">
      <c r="A445" s="4">
        <v>171613</v>
      </c>
      <c r="B445" s="4"/>
      <c r="C445" s="55" t="s">
        <v>1598</v>
      </c>
      <c r="D445" s="4" t="s">
        <v>1599</v>
      </c>
      <c r="E445" s="4" t="s">
        <v>114</v>
      </c>
      <c r="F445" s="55">
        <v>736156</v>
      </c>
      <c r="G445" s="4" t="s">
        <v>67</v>
      </c>
      <c r="H445" s="4" t="s">
        <v>68</v>
      </c>
      <c r="I445" s="4" t="s">
        <v>69</v>
      </c>
      <c r="J445" s="55" t="s">
        <v>1285</v>
      </c>
      <c r="K445" s="4" t="s">
        <v>71</v>
      </c>
      <c r="L445" s="4" t="s">
        <v>72</v>
      </c>
      <c r="M445" s="4" t="str">
        <f>VLOOKUP(A445,[1]Sheet1!$C:$G,5,0)</f>
        <v>Md. Moniruzzaman</v>
      </c>
      <c r="N445" s="4" t="s">
        <v>74</v>
      </c>
      <c r="O445" s="4" t="s">
        <v>75</v>
      </c>
      <c r="P445" s="4">
        <v>32</v>
      </c>
      <c r="Q445" s="57">
        <v>45449</v>
      </c>
      <c r="R445" s="57">
        <v>45458</v>
      </c>
      <c r="S445" s="113"/>
      <c r="T445" s="113"/>
      <c r="U445" s="4"/>
      <c r="V445" s="4"/>
      <c r="W445" s="105" t="s">
        <v>1600</v>
      </c>
      <c r="X445" s="114">
        <v>1719234979</v>
      </c>
      <c r="Y445" s="55"/>
      <c r="Z445" s="4" t="s">
        <v>1601</v>
      </c>
      <c r="AA445" s="4">
        <v>1714429902</v>
      </c>
      <c r="AB445" s="4" t="s">
        <v>101</v>
      </c>
      <c r="AC445" s="4" t="s">
        <v>119</v>
      </c>
      <c r="AD445" s="113">
        <v>33041</v>
      </c>
      <c r="AE445" s="107"/>
      <c r="AF445" s="4" t="s">
        <v>673</v>
      </c>
      <c r="AG445" s="114">
        <v>1010146239</v>
      </c>
      <c r="AH445" s="4" t="s">
        <v>81</v>
      </c>
      <c r="AI445" s="55" t="s">
        <v>1602</v>
      </c>
      <c r="AJ445" s="55" t="s">
        <v>81</v>
      </c>
      <c r="AK445" s="55">
        <v>2020</v>
      </c>
      <c r="AL445" s="4" t="s">
        <v>495</v>
      </c>
      <c r="AM445" s="4" t="s">
        <v>1601</v>
      </c>
      <c r="AN445" s="4" t="s">
        <v>1603</v>
      </c>
      <c r="AO445" s="4" t="s">
        <v>1604</v>
      </c>
      <c r="AP445" s="4" t="s">
        <v>1605</v>
      </c>
      <c r="AQ445" s="55" t="s">
        <v>1606</v>
      </c>
      <c r="AR445" s="4" t="s">
        <v>110</v>
      </c>
      <c r="AS445" s="4" t="s">
        <v>81</v>
      </c>
      <c r="AT445" s="72" t="s">
        <v>81</v>
      </c>
      <c r="AU445" s="4" t="s">
        <v>81</v>
      </c>
      <c r="AV445" s="4" t="s">
        <v>81</v>
      </c>
      <c r="AW445" s="4" t="s">
        <v>81</v>
      </c>
      <c r="AX445" s="4" t="s">
        <v>81</v>
      </c>
      <c r="AY445" s="4" t="s">
        <v>81</v>
      </c>
      <c r="AZ445" s="4" t="s">
        <v>81</v>
      </c>
      <c r="BA445" s="4" t="s">
        <v>90</v>
      </c>
      <c r="BB445" s="4">
        <v>10800</v>
      </c>
      <c r="BC445" s="4">
        <v>2700</v>
      </c>
      <c r="BD445" s="4">
        <v>0</v>
      </c>
      <c r="BE445" s="4" t="s">
        <v>91</v>
      </c>
      <c r="BF445" s="4"/>
      <c r="BG445" s="4"/>
      <c r="BH445" s="4" t="s">
        <v>3510</v>
      </c>
      <c r="BI445" s="72"/>
      <c r="BJ445" s="154"/>
      <c r="BK445" s="4"/>
      <c r="BL445" s="105"/>
      <c r="BM445" s="9"/>
      <c r="BN445" s="9"/>
      <c r="BO445" s="9"/>
    </row>
    <row r="446" ht="14.4" s="67" customFormat="1">
      <c r="A446" s="4">
        <v>171618</v>
      </c>
      <c r="B446" s="4"/>
      <c r="C446" s="55" t="s">
        <v>1607</v>
      </c>
      <c r="D446" s="4" t="s">
        <v>1608</v>
      </c>
      <c r="E446" s="4" t="s">
        <v>114</v>
      </c>
      <c r="F446" s="55">
        <v>1212715249</v>
      </c>
      <c r="G446" s="4" t="s">
        <v>67</v>
      </c>
      <c r="H446" s="4" t="s">
        <v>68</v>
      </c>
      <c r="I446" s="4" t="s">
        <v>69</v>
      </c>
      <c r="J446" s="55" t="s">
        <v>1285</v>
      </c>
      <c r="K446" s="4" t="s">
        <v>71</v>
      </c>
      <c r="L446" s="4" t="s">
        <v>72</v>
      </c>
      <c r="M446" s="4" t="str">
        <f>VLOOKUP(A446,[1]Sheet1!$C:$G,5,0)</f>
        <v>Aminul Islam Sovo</v>
      </c>
      <c r="N446" s="4" t="s">
        <v>74</v>
      </c>
      <c r="O446" s="4" t="s">
        <v>75</v>
      </c>
      <c r="P446" s="4">
        <v>32</v>
      </c>
      <c r="Q446" s="57">
        <v>45449</v>
      </c>
      <c r="R446" s="57">
        <v>45458</v>
      </c>
      <c r="S446" s="113"/>
      <c r="T446" s="113"/>
      <c r="U446" s="4"/>
      <c r="V446" s="4"/>
      <c r="W446" s="105" t="s">
        <v>1609</v>
      </c>
      <c r="X446" s="114">
        <v>1776274063</v>
      </c>
      <c r="Y446" s="55"/>
      <c r="Z446" s="4" t="s">
        <v>1610</v>
      </c>
      <c r="AA446" s="4">
        <v>1799929074</v>
      </c>
      <c r="AB446" s="4" t="s">
        <v>252</v>
      </c>
      <c r="AC446" s="4" t="s">
        <v>79</v>
      </c>
      <c r="AD446" s="113"/>
      <c r="AE446" s="107"/>
      <c r="AF446" s="4" t="s">
        <v>80</v>
      </c>
      <c r="AG446" s="114">
        <v>9154591201</v>
      </c>
      <c r="AH446" s="4" t="s">
        <v>81</v>
      </c>
      <c r="AI446" s="55" t="s">
        <v>663</v>
      </c>
      <c r="AJ446" s="55" t="s">
        <v>81</v>
      </c>
      <c r="AK446" s="55">
        <v>2021</v>
      </c>
      <c r="AL446" s="4" t="s">
        <v>1287</v>
      </c>
      <c r="AM446" s="4" t="s">
        <v>1611</v>
      </c>
      <c r="AN446" s="4" t="s">
        <v>1612</v>
      </c>
      <c r="AO446" s="4" t="s">
        <v>1613</v>
      </c>
      <c r="AP446" s="4" t="s">
        <v>1614</v>
      </c>
      <c r="AQ446" s="55" t="s">
        <v>1615</v>
      </c>
      <c r="AR446" s="4" t="s">
        <v>110</v>
      </c>
      <c r="AS446" s="4" t="s">
        <v>81</v>
      </c>
      <c r="AT446" s="72" t="s">
        <v>81</v>
      </c>
      <c r="AU446" s="4" t="s">
        <v>81</v>
      </c>
      <c r="AV446" s="4" t="s">
        <v>81</v>
      </c>
      <c r="AW446" s="4" t="s">
        <v>81</v>
      </c>
      <c r="AX446" s="4" t="s">
        <v>81</v>
      </c>
      <c r="AY446" s="4" t="s">
        <v>81</v>
      </c>
      <c r="AZ446" s="4" t="s">
        <v>81</v>
      </c>
      <c r="BA446" s="4" t="s">
        <v>90</v>
      </c>
      <c r="BB446" s="4">
        <v>10800</v>
      </c>
      <c r="BC446" s="4">
        <v>2700</v>
      </c>
      <c r="BD446" s="4">
        <v>0</v>
      </c>
      <c r="BE446" s="4" t="s">
        <v>91</v>
      </c>
      <c r="BF446" s="4"/>
      <c r="BG446" s="4"/>
      <c r="BH446" s="4" t="s">
        <v>3510</v>
      </c>
      <c r="BI446" s="72"/>
      <c r="BJ446" s="154"/>
      <c r="BK446" s="4"/>
      <c r="BL446" s="105"/>
      <c r="BM446" s="9"/>
      <c r="BN446" s="9"/>
      <c r="BO446" s="9"/>
    </row>
    <row r="447" ht="14.4" s="67" customFormat="1">
      <c r="A447" s="4">
        <v>171622</v>
      </c>
      <c r="B447" s="4"/>
      <c r="C447" s="55"/>
      <c r="D447" s="4" t="s">
        <v>1616</v>
      </c>
      <c r="E447" s="4" t="s">
        <v>66</v>
      </c>
      <c r="F447" s="55">
        <v>1010666017</v>
      </c>
      <c r="G447" s="4" t="s">
        <v>67</v>
      </c>
      <c r="H447" s="4" t="s">
        <v>68</v>
      </c>
      <c r="I447" s="4" t="s">
        <v>69</v>
      </c>
      <c r="J447" s="55" t="s">
        <v>1285</v>
      </c>
      <c r="K447" s="4" t="s">
        <v>71</v>
      </c>
      <c r="L447" s="4" t="s">
        <v>72</v>
      </c>
      <c r="M447" s="4" t="str">
        <f>VLOOKUP(A447,[1]Sheet1!$C:$G,5,0)</f>
        <v>Halima akter</v>
      </c>
      <c r="N447" s="4" t="s">
        <v>74</v>
      </c>
      <c r="O447" s="4" t="s">
        <v>75</v>
      </c>
      <c r="P447" s="4">
        <v>32</v>
      </c>
      <c r="Q447" s="57">
        <v>45449</v>
      </c>
      <c r="R447" s="57">
        <v>45458</v>
      </c>
      <c r="S447" s="113"/>
      <c r="T447" s="113"/>
      <c r="U447" s="4"/>
      <c r="V447" s="4"/>
      <c r="W447" s="105" t="s">
        <v>1617</v>
      </c>
      <c r="X447" s="114">
        <v>1906873823</v>
      </c>
      <c r="Y447" s="55"/>
      <c r="Z447" s="4" t="s">
        <v>1618</v>
      </c>
      <c r="AA447" s="4">
        <v>1632999161</v>
      </c>
      <c r="AB447" s="4" t="s">
        <v>118</v>
      </c>
      <c r="AC447" s="4" t="s">
        <v>79</v>
      </c>
      <c r="AD447" s="113">
        <v>35287</v>
      </c>
      <c r="AE447" s="107"/>
      <c r="AF447" s="4" t="s">
        <v>360</v>
      </c>
      <c r="AG447" s="114">
        <v>2407699459</v>
      </c>
      <c r="AH447" s="4" t="s">
        <v>81</v>
      </c>
      <c r="AI447" s="55" t="s">
        <v>1619</v>
      </c>
      <c r="AJ447" s="55" t="s">
        <v>81</v>
      </c>
      <c r="AK447" s="55">
        <v>2020</v>
      </c>
      <c r="AL447" s="4" t="s">
        <v>1620</v>
      </c>
      <c r="AM447" s="4" t="s">
        <v>1621</v>
      </c>
      <c r="AN447" s="4" t="s">
        <v>1622</v>
      </c>
      <c r="AO447" s="4" t="s">
        <v>1623</v>
      </c>
      <c r="AP447" s="4" t="s">
        <v>1624</v>
      </c>
      <c r="AQ447" s="55" t="s">
        <v>88</v>
      </c>
      <c r="AR447" s="4" t="s">
        <v>110</v>
      </c>
      <c r="AS447" s="4" t="s">
        <v>81</v>
      </c>
      <c r="AT447" s="72" t="s">
        <v>81</v>
      </c>
      <c r="AU447" s="4" t="s">
        <v>81</v>
      </c>
      <c r="AV447" s="4" t="s">
        <v>81</v>
      </c>
      <c r="AW447" s="4" t="s">
        <v>81</v>
      </c>
      <c r="AX447" s="4" t="s">
        <v>81</v>
      </c>
      <c r="AY447" s="4" t="s">
        <v>81</v>
      </c>
      <c r="AZ447" s="4" t="s">
        <v>81</v>
      </c>
      <c r="BA447" s="4" t="s">
        <v>90</v>
      </c>
      <c r="BB447" s="4">
        <v>10800</v>
      </c>
      <c r="BC447" s="4">
        <v>2700</v>
      </c>
      <c r="BD447" s="4">
        <v>0</v>
      </c>
      <c r="BE447" s="4" t="s">
        <v>91</v>
      </c>
      <c r="BF447" s="4"/>
      <c r="BG447" s="4"/>
      <c r="BH447" s="4" t="s">
        <v>3510</v>
      </c>
      <c r="BI447" s="72"/>
      <c r="BJ447" s="154"/>
      <c r="BK447" s="4"/>
      <c r="BL447" s="105"/>
      <c r="BM447" s="9"/>
      <c r="BN447" s="9"/>
      <c r="BO447" s="9"/>
    </row>
    <row r="448" ht="14.4" s="67" customFormat="1">
      <c r="A448" s="4">
        <v>171625</v>
      </c>
      <c r="B448" s="4"/>
      <c r="C448" s="55" t="s">
        <v>1625</v>
      </c>
      <c r="D448" s="4" t="s">
        <v>1626</v>
      </c>
      <c r="E448" s="4" t="s">
        <v>66</v>
      </c>
      <c r="F448" s="55">
        <v>1013198458</v>
      </c>
      <c r="G448" s="4" t="s">
        <v>67</v>
      </c>
      <c r="H448" s="4" t="s">
        <v>68</v>
      </c>
      <c r="I448" s="4" t="s">
        <v>69</v>
      </c>
      <c r="J448" s="55" t="s">
        <v>1285</v>
      </c>
      <c r="K448" s="4" t="s">
        <v>71</v>
      </c>
      <c r="L448" s="4" t="s">
        <v>72</v>
      </c>
      <c r="M448" s="4" t="str">
        <f>VLOOKUP(A448,[1]Sheet1!$C:$G,5,0)</f>
        <v>Md. Moniruzzaman</v>
      </c>
      <c r="N448" s="4" t="s">
        <v>74</v>
      </c>
      <c r="O448" s="4" t="s">
        <v>75</v>
      </c>
      <c r="P448" s="4">
        <v>32</v>
      </c>
      <c r="Q448" s="57">
        <v>45449</v>
      </c>
      <c r="R448" s="57">
        <v>45458</v>
      </c>
      <c r="S448" s="113"/>
      <c r="T448" s="113"/>
      <c r="U448" s="4"/>
      <c r="V448" s="4"/>
      <c r="W448" s="105" t="s">
        <v>1627</v>
      </c>
      <c r="X448" s="114">
        <v>1715243105</v>
      </c>
      <c r="Y448" s="55">
        <v>1712073553</v>
      </c>
      <c r="Z448" s="4" t="s">
        <v>1628</v>
      </c>
      <c r="AA448" s="4">
        <v>1712073553</v>
      </c>
      <c r="AB448" s="4" t="s">
        <v>78</v>
      </c>
      <c r="AC448" s="4" t="s">
        <v>102</v>
      </c>
      <c r="AD448" s="113">
        <v>35753</v>
      </c>
      <c r="AE448" s="107"/>
      <c r="AF448" s="4" t="s">
        <v>80</v>
      </c>
      <c r="AG448" s="114">
        <v>4651640619</v>
      </c>
      <c r="AH448" s="4" t="s">
        <v>81</v>
      </c>
      <c r="AI448" s="55" t="s">
        <v>265</v>
      </c>
      <c r="AJ448" s="55" t="s">
        <v>81</v>
      </c>
      <c r="AK448" s="55">
        <v>2022</v>
      </c>
      <c r="AL448" s="4" t="s">
        <v>209</v>
      </c>
      <c r="AM448" s="4" t="s">
        <v>1629</v>
      </c>
      <c r="AN448" s="4" t="s">
        <v>1630</v>
      </c>
      <c r="AO448" s="4" t="s">
        <v>1631</v>
      </c>
      <c r="AP448" s="4" t="s">
        <v>1632</v>
      </c>
      <c r="AQ448" s="55" t="s">
        <v>1633</v>
      </c>
      <c r="AR448" s="4" t="s">
        <v>89</v>
      </c>
      <c r="AS448" s="4" t="s">
        <v>1628</v>
      </c>
      <c r="AT448" s="72">
        <v>33858</v>
      </c>
      <c r="AU448" s="4" t="s">
        <v>81</v>
      </c>
      <c r="AV448" s="4" t="s">
        <v>81</v>
      </c>
      <c r="AW448" s="4" t="s">
        <v>81</v>
      </c>
      <c r="AX448" s="4" t="s">
        <v>81</v>
      </c>
      <c r="AY448" s="4" t="s">
        <v>81</v>
      </c>
      <c r="AZ448" s="4" t="s">
        <v>81</v>
      </c>
      <c r="BA448" s="4" t="s">
        <v>90</v>
      </c>
      <c r="BB448" s="4">
        <v>10800</v>
      </c>
      <c r="BC448" s="4">
        <v>2700</v>
      </c>
      <c r="BD448" s="4">
        <v>0</v>
      </c>
      <c r="BE448" s="4" t="s">
        <v>91</v>
      </c>
      <c r="BF448" s="4"/>
      <c r="BG448" s="4"/>
      <c r="BH448" s="4" t="s">
        <v>3510</v>
      </c>
      <c r="BI448" s="72"/>
      <c r="BJ448" s="154"/>
      <c r="BK448" s="4"/>
      <c r="BL448" s="105"/>
      <c r="BM448" s="9"/>
      <c r="BN448" s="9"/>
      <c r="BO448" s="9"/>
    </row>
    <row r="449" ht="14.4" s="67" customFormat="1">
      <c r="A449" s="4">
        <v>171628</v>
      </c>
      <c r="B449" s="4"/>
      <c r="C449" s="55" t="s">
        <v>1634</v>
      </c>
      <c r="D449" s="4" t="s">
        <v>1635</v>
      </c>
      <c r="E449" s="4" t="s">
        <v>66</v>
      </c>
      <c r="F449" s="55">
        <v>1317651348</v>
      </c>
      <c r="G449" s="4" t="s">
        <v>67</v>
      </c>
      <c r="H449" s="4" t="s">
        <v>68</v>
      </c>
      <c r="I449" s="4" t="s">
        <v>69</v>
      </c>
      <c r="J449" s="55" t="s">
        <v>1285</v>
      </c>
      <c r="K449" s="4" t="s">
        <v>71</v>
      </c>
      <c r="L449" s="4" t="s">
        <v>72</v>
      </c>
      <c r="M449" s="4" t="str">
        <f>VLOOKUP(A449,[1]Sheet1!$C:$G,5,0)</f>
        <v>Aminul Islam Sovo</v>
      </c>
      <c r="N449" s="4" t="s">
        <v>74</v>
      </c>
      <c r="O449" s="4" t="s">
        <v>75</v>
      </c>
      <c r="P449" s="4">
        <v>32</v>
      </c>
      <c r="Q449" s="57">
        <v>45449</v>
      </c>
      <c r="R449" s="57">
        <v>45458</v>
      </c>
      <c r="S449" s="113"/>
      <c r="T449" s="113"/>
      <c r="U449" s="4"/>
      <c r="V449" s="4"/>
      <c r="W449" s="105" t="s">
        <v>1636</v>
      </c>
      <c r="X449" s="114">
        <v>1722054950</v>
      </c>
      <c r="Y449" s="55"/>
      <c r="Z449" s="4"/>
      <c r="AA449" s="4">
        <v>1742654228</v>
      </c>
      <c r="AB449" s="4" t="s">
        <v>78</v>
      </c>
      <c r="AC449" s="4" t="s">
        <v>119</v>
      </c>
      <c r="AD449" s="113">
        <v>36689</v>
      </c>
      <c r="AE449" s="107"/>
      <c r="AF449" s="4" t="s">
        <v>80</v>
      </c>
      <c r="AG449" s="114" t="s">
        <v>1637</v>
      </c>
      <c r="AH449" s="4" t="s">
        <v>81</v>
      </c>
      <c r="AI449" s="55" t="s">
        <v>421</v>
      </c>
      <c r="AJ449" s="55" t="s">
        <v>421</v>
      </c>
      <c r="AK449" s="55">
        <v>2023</v>
      </c>
      <c r="AL449" s="4" t="s">
        <v>1638</v>
      </c>
      <c r="AM449" s="4" t="s">
        <v>1639</v>
      </c>
      <c r="AN449" s="4" t="s">
        <v>1640</v>
      </c>
      <c r="AO449" s="4" t="s">
        <v>1641</v>
      </c>
      <c r="AP449" s="4" t="s">
        <v>1642</v>
      </c>
      <c r="AQ449" s="55" t="s">
        <v>1209</v>
      </c>
      <c r="AR449" s="4" t="s">
        <v>89</v>
      </c>
      <c r="AS449" s="4" t="s">
        <v>1643</v>
      </c>
      <c r="AT449" s="72" t="s">
        <v>1644</v>
      </c>
      <c r="AU449" s="4" t="s">
        <v>81</v>
      </c>
      <c r="AV449" s="4" t="s">
        <v>81</v>
      </c>
      <c r="AW449" s="4" t="s">
        <v>81</v>
      </c>
      <c r="AX449" s="4" t="s">
        <v>81</v>
      </c>
      <c r="AY449" s="4" t="s">
        <v>81</v>
      </c>
      <c r="AZ449" s="4" t="s">
        <v>81</v>
      </c>
      <c r="BA449" s="4" t="s">
        <v>90</v>
      </c>
      <c r="BB449" s="4">
        <v>10800</v>
      </c>
      <c r="BC449" s="4">
        <v>2700</v>
      </c>
      <c r="BD449" s="4">
        <v>0</v>
      </c>
      <c r="BE449" s="4" t="s">
        <v>91</v>
      </c>
      <c r="BF449" s="4"/>
      <c r="BG449" s="4"/>
      <c r="BH449" s="4" t="s">
        <v>3510</v>
      </c>
      <c r="BI449" s="72"/>
      <c r="BJ449" s="154"/>
      <c r="BK449" s="4"/>
      <c r="BL449" s="105"/>
      <c r="BM449" s="9"/>
      <c r="BN449" s="9"/>
      <c r="BO449" s="9"/>
    </row>
    <row r="450" ht="14.4" s="67" customFormat="1">
      <c r="A450" s="4">
        <v>171629</v>
      </c>
      <c r="B450" s="4"/>
      <c r="C450" s="55" t="s">
        <v>1645</v>
      </c>
      <c r="D450" s="4" t="s">
        <v>1646</v>
      </c>
      <c r="E450" s="4" t="s">
        <v>114</v>
      </c>
      <c r="F450" s="55">
        <v>1110283654</v>
      </c>
      <c r="G450" s="4" t="s">
        <v>67</v>
      </c>
      <c r="H450" s="4" t="s">
        <v>68</v>
      </c>
      <c r="I450" s="4" t="s">
        <v>69</v>
      </c>
      <c r="J450" s="55" t="s">
        <v>1285</v>
      </c>
      <c r="K450" s="4" t="s">
        <v>71</v>
      </c>
      <c r="L450" s="4" t="s">
        <v>72</v>
      </c>
      <c r="M450" s="4" t="str">
        <f>VLOOKUP(A450,[1]Sheet1!$C:$G,5,0)</f>
        <v>Aminul Islam Sovo</v>
      </c>
      <c r="N450" s="4" t="s">
        <v>74</v>
      </c>
      <c r="O450" s="4" t="s">
        <v>75</v>
      </c>
      <c r="P450" s="4">
        <v>32</v>
      </c>
      <c r="Q450" s="57">
        <v>45449</v>
      </c>
      <c r="R450" s="57">
        <v>45458</v>
      </c>
      <c r="S450" s="113"/>
      <c r="T450" s="113"/>
      <c r="U450" s="4"/>
      <c r="V450" s="4"/>
      <c r="W450" s="105" t="s">
        <v>1647</v>
      </c>
      <c r="X450" s="114">
        <v>1795583396</v>
      </c>
      <c r="Y450" s="55"/>
      <c r="Z450" s="4" t="s">
        <v>1648</v>
      </c>
      <c r="AA450" s="4">
        <v>1717083379</v>
      </c>
      <c r="AB450" s="4" t="s">
        <v>118</v>
      </c>
      <c r="AC450" s="4" t="s">
        <v>119</v>
      </c>
      <c r="AD450" s="113">
        <v>35796</v>
      </c>
      <c r="AE450" s="107"/>
      <c r="AF450" s="4" t="s">
        <v>80</v>
      </c>
      <c r="AG450" s="114">
        <v>8715327378</v>
      </c>
      <c r="AH450" s="4" t="s">
        <v>81</v>
      </c>
      <c r="AI450" s="55" t="s">
        <v>253</v>
      </c>
      <c r="AJ450" s="55" t="s">
        <v>81</v>
      </c>
      <c r="AK450" s="55">
        <v>2022</v>
      </c>
      <c r="AL450" s="4" t="s">
        <v>1649</v>
      </c>
      <c r="AM450" s="4" t="s">
        <v>1650</v>
      </c>
      <c r="AN450" s="4" t="s">
        <v>1651</v>
      </c>
      <c r="AO450" s="4" t="s">
        <v>1652</v>
      </c>
      <c r="AP450" s="4" t="s">
        <v>1653</v>
      </c>
      <c r="AQ450" s="55" t="s">
        <v>1654</v>
      </c>
      <c r="AR450" s="4" t="s">
        <v>110</v>
      </c>
      <c r="AS450" s="4" t="s">
        <v>81</v>
      </c>
      <c r="AT450" s="72" t="s">
        <v>81</v>
      </c>
      <c r="AU450" s="4" t="s">
        <v>81</v>
      </c>
      <c r="AV450" s="4" t="s">
        <v>81</v>
      </c>
      <c r="AW450" s="4" t="s">
        <v>81</v>
      </c>
      <c r="AX450" s="4" t="s">
        <v>81</v>
      </c>
      <c r="AY450" s="4" t="s">
        <v>81</v>
      </c>
      <c r="AZ450" s="4" t="s">
        <v>81</v>
      </c>
      <c r="BA450" s="4" t="s">
        <v>90</v>
      </c>
      <c r="BB450" s="4">
        <v>10800</v>
      </c>
      <c r="BC450" s="4">
        <v>2700</v>
      </c>
      <c r="BD450" s="4">
        <v>0</v>
      </c>
      <c r="BE450" s="4" t="s">
        <v>91</v>
      </c>
      <c r="BF450" s="4"/>
      <c r="BG450" s="4"/>
      <c r="BH450" s="4" t="s">
        <v>3510</v>
      </c>
      <c r="BI450" s="72"/>
      <c r="BJ450" s="154"/>
      <c r="BK450" s="4"/>
      <c r="BL450" s="105"/>
      <c r="BM450" s="9"/>
      <c r="BN450" s="9"/>
      <c r="BO450" s="9"/>
    </row>
    <row r="451" ht="14.4" s="67" customFormat="1">
      <c r="A451" s="4">
        <v>171631</v>
      </c>
      <c r="B451" s="4"/>
      <c r="C451" s="55" t="s">
        <v>1655</v>
      </c>
      <c r="D451" s="4" t="s">
        <v>1656</v>
      </c>
      <c r="E451" s="4" t="s">
        <v>114</v>
      </c>
      <c r="F451" s="55">
        <v>471716</v>
      </c>
      <c r="G451" s="4" t="s">
        <v>67</v>
      </c>
      <c r="H451" s="4" t="s">
        <v>68</v>
      </c>
      <c r="I451" s="4" t="s">
        <v>69</v>
      </c>
      <c r="J451" s="55" t="s">
        <v>1285</v>
      </c>
      <c r="K451" s="4" t="s">
        <v>71</v>
      </c>
      <c r="L451" s="4" t="s">
        <v>72</v>
      </c>
      <c r="M451" s="4" t="str">
        <f>VLOOKUP(A451,[1]Sheet1!$C:$G,5,0)</f>
        <v>Md. Moniruzzaman</v>
      </c>
      <c r="N451" s="4" t="s">
        <v>74</v>
      </c>
      <c r="O451" s="4" t="s">
        <v>75</v>
      </c>
      <c r="P451" s="4">
        <v>32</v>
      </c>
      <c r="Q451" s="57">
        <v>45449</v>
      </c>
      <c r="R451" s="57">
        <v>45458</v>
      </c>
      <c r="S451" s="113"/>
      <c r="T451" s="113"/>
      <c r="U451" s="4"/>
      <c r="V451" s="4"/>
      <c r="W451" s="105" t="s">
        <v>1657</v>
      </c>
      <c r="X451" s="114">
        <v>1917814916</v>
      </c>
      <c r="Y451" s="55"/>
      <c r="Z451" s="4" t="s">
        <v>1658</v>
      </c>
      <c r="AA451" s="4">
        <v>1558900012</v>
      </c>
      <c r="AB451" s="4" t="s">
        <v>101</v>
      </c>
      <c r="AC451" s="4" t="s">
        <v>133</v>
      </c>
      <c r="AD451" s="113">
        <v>33969</v>
      </c>
      <c r="AE451" s="107"/>
      <c r="AF451" s="4" t="s">
        <v>360</v>
      </c>
      <c r="AG451" s="114">
        <v>2352925529</v>
      </c>
      <c r="AH451" s="4" t="s">
        <v>81</v>
      </c>
      <c r="AI451" s="55" t="s">
        <v>1659</v>
      </c>
      <c r="AJ451" s="55" t="s">
        <v>81</v>
      </c>
      <c r="AK451" s="55">
        <v>2016</v>
      </c>
      <c r="AL451" s="4" t="s">
        <v>188</v>
      </c>
      <c r="AM451" s="4" t="s">
        <v>1658</v>
      </c>
      <c r="AN451" s="4" t="s">
        <v>1660</v>
      </c>
      <c r="AO451" s="4" t="s">
        <v>1661</v>
      </c>
      <c r="AP451" s="4" t="s">
        <v>1662</v>
      </c>
      <c r="AQ451" s="55" t="s">
        <v>285</v>
      </c>
      <c r="AR451" s="4" t="s">
        <v>110</v>
      </c>
      <c r="AS451" s="4" t="s">
        <v>81</v>
      </c>
      <c r="AT451" s="72" t="s">
        <v>81</v>
      </c>
      <c r="AU451" s="4" t="s">
        <v>81</v>
      </c>
      <c r="AV451" s="4" t="s">
        <v>81</v>
      </c>
      <c r="AW451" s="4" t="s">
        <v>81</v>
      </c>
      <c r="AX451" s="4" t="s">
        <v>81</v>
      </c>
      <c r="AY451" s="4" t="s">
        <v>81</v>
      </c>
      <c r="AZ451" s="4" t="s">
        <v>81</v>
      </c>
      <c r="BA451" s="4" t="s">
        <v>90</v>
      </c>
      <c r="BB451" s="4">
        <v>10800</v>
      </c>
      <c r="BC451" s="4">
        <v>2700</v>
      </c>
      <c r="BD451" s="4">
        <v>0</v>
      </c>
      <c r="BE451" s="4" t="s">
        <v>91</v>
      </c>
      <c r="BF451" s="4"/>
      <c r="BG451" s="4"/>
      <c r="BH451" s="4" t="s">
        <v>3510</v>
      </c>
      <c r="BI451" s="72"/>
      <c r="BJ451" s="154"/>
      <c r="BK451" s="4"/>
      <c r="BL451" s="105"/>
      <c r="BM451" s="9"/>
      <c r="BN451" s="9"/>
      <c r="BO451" s="9"/>
    </row>
    <row r="452" ht="14.4" s="67" customFormat="1">
      <c r="A452" s="4">
        <v>171633</v>
      </c>
      <c r="B452" s="4"/>
      <c r="C452" s="55" t="s">
        <v>1663</v>
      </c>
      <c r="D452" s="4" t="s">
        <v>409</v>
      </c>
      <c r="E452" s="4" t="s">
        <v>114</v>
      </c>
      <c r="F452" s="55" t="s">
        <v>1664</v>
      </c>
      <c r="G452" s="4" t="s">
        <v>67</v>
      </c>
      <c r="H452" s="4" t="s">
        <v>68</v>
      </c>
      <c r="I452" s="4" t="s">
        <v>69</v>
      </c>
      <c r="J452" s="55" t="s">
        <v>1285</v>
      </c>
      <c r="K452" s="4" t="s">
        <v>71</v>
      </c>
      <c r="L452" s="4" t="s">
        <v>72</v>
      </c>
      <c r="M452" s="4" t="str">
        <f>VLOOKUP(A452,[1]Sheet1!$C:$G,5,0)</f>
        <v>Aminul Islam Sovo</v>
      </c>
      <c r="N452" s="4" t="s">
        <v>74</v>
      </c>
      <c r="O452" s="4" t="s">
        <v>75</v>
      </c>
      <c r="P452" s="4">
        <v>32</v>
      </c>
      <c r="Q452" s="57">
        <v>45449</v>
      </c>
      <c r="R452" s="57">
        <v>45458</v>
      </c>
      <c r="S452" s="113"/>
      <c r="T452" s="113"/>
      <c r="U452" s="4"/>
      <c r="V452" s="4"/>
      <c r="W452" s="105" t="s">
        <v>1665</v>
      </c>
      <c r="X452" s="114">
        <v>1731018669</v>
      </c>
      <c r="Y452" s="55"/>
      <c r="Z452" s="4" t="s">
        <v>1666</v>
      </c>
      <c r="AA452" s="4">
        <v>1675355291</v>
      </c>
      <c r="AB452" s="4" t="s">
        <v>252</v>
      </c>
      <c r="AC452" s="4" t="s">
        <v>119</v>
      </c>
      <c r="AD452" s="113">
        <v>34373</v>
      </c>
      <c r="AE452" s="107"/>
      <c r="AF452" s="4" t="s">
        <v>80</v>
      </c>
      <c r="AG452" s="114">
        <v>1001128824</v>
      </c>
      <c r="AH452" s="4" t="s">
        <v>1667</v>
      </c>
      <c r="AI452" s="55" t="s">
        <v>322</v>
      </c>
      <c r="AJ452" s="55" t="s">
        <v>81</v>
      </c>
      <c r="AK452" s="55">
        <v>2020</v>
      </c>
      <c r="AL452" s="4" t="s">
        <v>1102</v>
      </c>
      <c r="AM452" s="4" t="s">
        <v>1668</v>
      </c>
      <c r="AN452" s="4" t="s">
        <v>1669</v>
      </c>
      <c r="AO452" s="4" t="s">
        <v>1670</v>
      </c>
      <c r="AP452" s="4" t="s">
        <v>1671</v>
      </c>
      <c r="AQ452" s="55" t="s">
        <v>353</v>
      </c>
      <c r="AR452" s="4" t="s">
        <v>89</v>
      </c>
      <c r="AS452" s="4" t="s">
        <v>1672</v>
      </c>
      <c r="AT452" s="72">
        <v>38394</v>
      </c>
      <c r="AU452" s="4" t="s">
        <v>81</v>
      </c>
      <c r="AV452" s="4" t="s">
        <v>81</v>
      </c>
      <c r="AW452" s="4" t="s">
        <v>81</v>
      </c>
      <c r="AX452" s="4" t="s">
        <v>81</v>
      </c>
      <c r="AY452" s="4" t="s">
        <v>81</v>
      </c>
      <c r="AZ452" s="4" t="s">
        <v>81</v>
      </c>
      <c r="BA452" s="4" t="s">
        <v>90</v>
      </c>
      <c r="BB452" s="4">
        <v>10800</v>
      </c>
      <c r="BC452" s="4">
        <v>2700</v>
      </c>
      <c r="BD452" s="4">
        <v>0</v>
      </c>
      <c r="BE452" s="4" t="s">
        <v>91</v>
      </c>
      <c r="BF452" s="4"/>
      <c r="BG452" s="4"/>
      <c r="BH452" s="4" t="s">
        <v>3510</v>
      </c>
      <c r="BI452" s="72"/>
      <c r="BJ452" s="154"/>
      <c r="BK452" s="4"/>
      <c r="BL452" s="105"/>
      <c r="BM452" s="9"/>
      <c r="BN452" s="9"/>
      <c r="BO452" s="9"/>
    </row>
    <row r="453" ht="14.4" s="67" customFormat="1">
      <c r="A453" s="4">
        <v>171635</v>
      </c>
      <c r="B453" s="4"/>
      <c r="C453" s="55" t="s">
        <v>1673</v>
      </c>
      <c r="D453" s="4" t="s">
        <v>1674</v>
      </c>
      <c r="E453" s="4" t="s">
        <v>66</v>
      </c>
      <c r="F453" s="55">
        <v>524080</v>
      </c>
      <c r="G453" s="4" t="s">
        <v>67</v>
      </c>
      <c r="H453" s="4" t="s">
        <v>68</v>
      </c>
      <c r="I453" s="4" t="s">
        <v>69</v>
      </c>
      <c r="J453" s="55" t="s">
        <v>1285</v>
      </c>
      <c r="K453" s="4" t="s">
        <v>71</v>
      </c>
      <c r="L453" s="4" t="s">
        <v>72</v>
      </c>
      <c r="M453" s="4" t="str">
        <f>VLOOKUP(A453,[1]Sheet1!$C:$G,5,0)</f>
        <v>Md. Moniruzzaman</v>
      </c>
      <c r="N453" s="4" t="s">
        <v>74</v>
      </c>
      <c r="O453" s="4" t="s">
        <v>75</v>
      </c>
      <c r="P453" s="4">
        <v>32</v>
      </c>
      <c r="Q453" s="57">
        <v>45449</v>
      </c>
      <c r="R453" s="57">
        <v>45458</v>
      </c>
      <c r="S453" s="113"/>
      <c r="T453" s="113"/>
      <c r="U453" s="4"/>
      <c r="V453" s="4"/>
      <c r="W453" s="105" t="s">
        <v>1675</v>
      </c>
      <c r="X453" s="114">
        <v>1731941175</v>
      </c>
      <c r="Y453" s="55">
        <v>1753676825</v>
      </c>
      <c r="Z453" s="4" t="s">
        <v>1676</v>
      </c>
      <c r="AA453" s="4">
        <v>1712332250</v>
      </c>
      <c r="AB453" s="4" t="s">
        <v>101</v>
      </c>
      <c r="AC453" s="4" t="s">
        <v>79</v>
      </c>
      <c r="AD453" s="113">
        <v>34673</v>
      </c>
      <c r="AE453" s="107"/>
      <c r="AF453" s="4" t="s">
        <v>80</v>
      </c>
      <c r="AG453" s="114">
        <v>19949322804000000</v>
      </c>
      <c r="AH453" s="4" t="s">
        <v>81</v>
      </c>
      <c r="AI453" s="55" t="s">
        <v>1677</v>
      </c>
      <c r="AJ453" s="55" t="s">
        <v>81</v>
      </c>
      <c r="AK453" s="55">
        <v>2018</v>
      </c>
      <c r="AL453" s="4" t="s">
        <v>684</v>
      </c>
      <c r="AM453" s="4" t="s">
        <v>1676</v>
      </c>
      <c r="AN453" s="4" t="s">
        <v>1678</v>
      </c>
      <c r="AO453" s="4" t="s">
        <v>1679</v>
      </c>
      <c r="AP453" s="4" t="s">
        <v>1680</v>
      </c>
      <c r="AQ453" s="55" t="s">
        <v>328</v>
      </c>
      <c r="AR453" s="4" t="s">
        <v>110</v>
      </c>
      <c r="AS453" s="4" t="s">
        <v>81</v>
      </c>
      <c r="AT453" s="72" t="s">
        <v>81</v>
      </c>
      <c r="AU453" s="4" t="s">
        <v>81</v>
      </c>
      <c r="AV453" s="4" t="s">
        <v>81</v>
      </c>
      <c r="AW453" s="4" t="s">
        <v>81</v>
      </c>
      <c r="AX453" s="4" t="s">
        <v>81</v>
      </c>
      <c r="AY453" s="4" t="s">
        <v>81</v>
      </c>
      <c r="AZ453" s="4" t="s">
        <v>81</v>
      </c>
      <c r="BA453" s="4" t="s">
        <v>90</v>
      </c>
      <c r="BB453" s="4">
        <v>10800</v>
      </c>
      <c r="BC453" s="4">
        <v>2700</v>
      </c>
      <c r="BD453" s="4">
        <v>0</v>
      </c>
      <c r="BE453" s="4" t="s">
        <v>91</v>
      </c>
      <c r="BF453" s="4"/>
      <c r="BG453" s="4"/>
      <c r="BH453" s="4" t="s">
        <v>3510</v>
      </c>
      <c r="BI453" s="72"/>
      <c r="BJ453" s="154"/>
      <c r="BK453" s="4"/>
      <c r="BL453" s="105">
        <v>1731941175</v>
      </c>
      <c r="BM453" s="9"/>
      <c r="BN453" s="9"/>
      <c r="BO453" s="9"/>
    </row>
    <row r="454" ht="14.4" s="67" customFormat="1">
      <c r="A454" s="4">
        <v>171546</v>
      </c>
      <c r="B454" s="4"/>
      <c r="C454" s="55" t="s">
        <v>1681</v>
      </c>
      <c r="D454" s="4" t="s">
        <v>1682</v>
      </c>
      <c r="E454" s="4" t="s">
        <v>66</v>
      </c>
      <c r="F454" s="55">
        <v>1010869571</v>
      </c>
      <c r="G454" s="4" t="s">
        <v>67</v>
      </c>
      <c r="H454" s="4" t="s">
        <v>68</v>
      </c>
      <c r="I454" s="4" t="s">
        <v>69</v>
      </c>
      <c r="J454" s="55" t="s">
        <v>297</v>
      </c>
      <c r="K454" s="4" t="s">
        <v>71</v>
      </c>
      <c r="L454" s="4" t="s">
        <v>72</v>
      </c>
      <c r="M454" s="4" t="str">
        <f>VLOOKUP(A454,[1]Sheet1!$C:$G,5,0)</f>
        <v>Abdulla Al Mamun</v>
      </c>
      <c r="N454" s="4" t="s">
        <v>74</v>
      </c>
      <c r="O454" s="4" t="s">
        <v>75</v>
      </c>
      <c r="P454" s="4">
        <v>31</v>
      </c>
      <c r="Q454" s="57">
        <v>45447</v>
      </c>
      <c r="R454" s="57">
        <v>45459</v>
      </c>
      <c r="S454" s="113"/>
      <c r="T454" s="113"/>
      <c r="U454" s="4"/>
      <c r="V454" s="4"/>
      <c r="W454" s="105"/>
      <c r="X454" s="114">
        <v>1873916880</v>
      </c>
      <c r="Y454" s="55"/>
      <c r="Z454" s="4" t="s">
        <v>1683</v>
      </c>
      <c r="AA454" s="4"/>
      <c r="AB454" s="4" t="s">
        <v>101</v>
      </c>
      <c r="AC454" s="4" t="s">
        <v>133</v>
      </c>
      <c r="AD454" s="113">
        <v>35949</v>
      </c>
      <c r="AE454" s="107">
        <f>((TODAY())-AD454)/365</f>
        <v>26.706849315068492</v>
      </c>
      <c r="AF454" s="4" t="s">
        <v>80</v>
      </c>
      <c r="AG454" s="114" t="s">
        <v>1684</v>
      </c>
      <c r="AH454" s="4" t="s">
        <v>81</v>
      </c>
      <c r="AI454" s="55" t="s">
        <v>322</v>
      </c>
      <c r="AJ454" s="55" t="s">
        <v>81</v>
      </c>
      <c r="AK454" s="55">
        <v>2019</v>
      </c>
      <c r="AL454" s="4" t="s">
        <v>1685</v>
      </c>
      <c r="AM454" s="4" t="s">
        <v>1683</v>
      </c>
      <c r="AN454" s="4" t="s">
        <v>1686</v>
      </c>
      <c r="AO454" s="4" t="s">
        <v>1687</v>
      </c>
      <c r="AP454" s="4" t="s">
        <v>1688</v>
      </c>
      <c r="AQ454" s="55" t="s">
        <v>88</v>
      </c>
      <c r="AR454" s="4" t="s">
        <v>110</v>
      </c>
      <c r="AS454" s="4" t="s">
        <v>1334</v>
      </c>
      <c r="AT454" s="72" t="s">
        <v>1334</v>
      </c>
      <c r="AU454" s="4" t="s">
        <v>1334</v>
      </c>
      <c r="AV454" s="4" t="s">
        <v>1334</v>
      </c>
      <c r="AW454" s="4" t="s">
        <v>81</v>
      </c>
      <c r="AX454" s="4" t="s">
        <v>81</v>
      </c>
      <c r="AY454" s="4" t="s">
        <v>81</v>
      </c>
      <c r="AZ454" s="4" t="s">
        <v>81</v>
      </c>
      <c r="BA454" s="4" t="s">
        <v>90</v>
      </c>
      <c r="BB454" s="4">
        <v>10800</v>
      </c>
      <c r="BC454" s="4">
        <v>2700</v>
      </c>
      <c r="BD454" s="4">
        <v>0</v>
      </c>
      <c r="BE454" s="4" t="s">
        <v>91</v>
      </c>
      <c r="BF454" s="4"/>
      <c r="BG454" s="4"/>
      <c r="BH454" s="4" t="s">
        <v>3510</v>
      </c>
      <c r="BI454" s="72"/>
      <c r="BJ454" s="154"/>
      <c r="BK454" s="4"/>
      <c r="BL454" s="105"/>
      <c r="BM454" s="9"/>
      <c r="BN454" s="9"/>
      <c r="BO454" s="9"/>
    </row>
    <row r="455" ht="14.4" s="67" customFormat="1">
      <c r="A455" s="4">
        <v>171606</v>
      </c>
      <c r="B455" s="4"/>
      <c r="C455" s="55" t="s">
        <v>1689</v>
      </c>
      <c r="D455" s="4" t="s">
        <v>1690</v>
      </c>
      <c r="E455" s="4" t="s">
        <v>66</v>
      </c>
      <c r="F455" s="55">
        <v>795785</v>
      </c>
      <c r="G455" s="4" t="s">
        <v>67</v>
      </c>
      <c r="H455" s="4" t="s">
        <v>68</v>
      </c>
      <c r="I455" s="4" t="s">
        <v>69</v>
      </c>
      <c r="J455" s="55" t="s">
        <v>1285</v>
      </c>
      <c r="K455" s="4" t="s">
        <v>71</v>
      </c>
      <c r="L455" s="4" t="s">
        <v>72</v>
      </c>
      <c r="M455" s="4" t="str">
        <f>VLOOKUP(A455,[1]Sheet1!$C:$G,5,0)</f>
        <v>Aminul Islam Sovo</v>
      </c>
      <c r="N455" s="4" t="s">
        <v>74</v>
      </c>
      <c r="O455" s="4" t="s">
        <v>75</v>
      </c>
      <c r="P455" s="4">
        <v>32</v>
      </c>
      <c r="Q455" s="57">
        <v>45449</v>
      </c>
      <c r="R455" s="57">
        <v>45459</v>
      </c>
      <c r="S455" s="113"/>
      <c r="T455" s="113"/>
      <c r="U455" s="4"/>
      <c r="V455" s="4"/>
      <c r="W455" s="105" t="s">
        <v>1691</v>
      </c>
      <c r="X455" s="114">
        <v>1406502264</v>
      </c>
      <c r="Y455" s="55">
        <v>1710767949</v>
      </c>
      <c r="Z455" s="4"/>
      <c r="AA455" s="4">
        <v>1710767949</v>
      </c>
      <c r="AB455" s="4" t="s">
        <v>78</v>
      </c>
      <c r="AC455" s="4" t="s">
        <v>79</v>
      </c>
      <c r="AD455" s="113">
        <v>33578</v>
      </c>
      <c r="AE455" s="107"/>
      <c r="AF455" s="4" t="s">
        <v>80</v>
      </c>
      <c r="AG455" s="114">
        <v>8242785502</v>
      </c>
      <c r="AH455" s="4" t="s">
        <v>81</v>
      </c>
      <c r="AI455" s="55" t="s">
        <v>1692</v>
      </c>
      <c r="AJ455" s="55" t="s">
        <v>81</v>
      </c>
      <c r="AK455" s="55">
        <v>2020</v>
      </c>
      <c r="AL455" s="4" t="s">
        <v>1693</v>
      </c>
      <c r="AM455" s="4" t="s">
        <v>1694</v>
      </c>
      <c r="AN455" s="4" t="s">
        <v>1695</v>
      </c>
      <c r="AO455" s="4" t="s">
        <v>1696</v>
      </c>
      <c r="AP455" s="4" t="s">
        <v>1697</v>
      </c>
      <c r="AQ455" s="55" t="s">
        <v>88</v>
      </c>
      <c r="AR455" s="4" t="s">
        <v>89</v>
      </c>
      <c r="AS455" s="4" t="s">
        <v>1698</v>
      </c>
      <c r="AT455" s="72">
        <v>34222</v>
      </c>
      <c r="AU455" s="4" t="s">
        <v>81</v>
      </c>
      <c r="AV455" s="4" t="s">
        <v>81</v>
      </c>
      <c r="AW455" s="4" t="s">
        <v>81</v>
      </c>
      <c r="AX455" s="4" t="s">
        <v>81</v>
      </c>
      <c r="AY455" s="4" t="s">
        <v>81</v>
      </c>
      <c r="AZ455" s="4" t="s">
        <v>81</v>
      </c>
      <c r="BA455" s="4" t="s">
        <v>90</v>
      </c>
      <c r="BB455" s="4">
        <v>10800</v>
      </c>
      <c r="BC455" s="4">
        <v>2700</v>
      </c>
      <c r="BD455" s="4">
        <v>0</v>
      </c>
      <c r="BE455" s="4" t="s">
        <v>91</v>
      </c>
      <c r="BF455" s="4"/>
      <c r="BG455" s="4"/>
      <c r="BH455" s="4" t="s">
        <v>3510</v>
      </c>
      <c r="BI455" s="72"/>
      <c r="BJ455" s="154"/>
      <c r="BK455" s="4"/>
      <c r="BL455" s="105"/>
      <c r="BM455" s="9"/>
      <c r="BN455" s="9"/>
      <c r="BO455" s="9"/>
    </row>
    <row r="456" ht="14.4" s="67" customFormat="1">
      <c r="A456" s="4">
        <v>171610</v>
      </c>
      <c r="B456" s="4"/>
      <c r="C456" s="55" t="s">
        <v>1699</v>
      </c>
      <c r="D456" s="4" t="s">
        <v>1700</v>
      </c>
      <c r="E456" s="4" t="s">
        <v>114</v>
      </c>
      <c r="F456" s="55">
        <v>1217630351</v>
      </c>
      <c r="G456" s="4" t="s">
        <v>67</v>
      </c>
      <c r="H456" s="4" t="s">
        <v>68</v>
      </c>
      <c r="I456" s="4" t="s">
        <v>69</v>
      </c>
      <c r="J456" s="55" t="s">
        <v>341</v>
      </c>
      <c r="K456" s="4" t="s">
        <v>71</v>
      </c>
      <c r="L456" s="4" t="s">
        <v>72</v>
      </c>
      <c r="M456" s="4" t="str">
        <f>VLOOKUP(A456,[1]Sheet1!$C:$G,5,0)</f>
        <v>Sabrina Sultana Mou</v>
      </c>
      <c r="N456" s="4" t="s">
        <v>74</v>
      </c>
      <c r="O456" s="4" t="s">
        <v>75</v>
      </c>
      <c r="P456" s="4">
        <v>32</v>
      </c>
      <c r="Q456" s="57">
        <v>45449</v>
      </c>
      <c r="R456" s="57">
        <v>45459</v>
      </c>
      <c r="S456" s="113"/>
      <c r="T456" s="113"/>
      <c r="U456" s="4"/>
      <c r="V456" s="4"/>
      <c r="W456" s="105" t="s">
        <v>1701</v>
      </c>
      <c r="X456" s="114">
        <v>1307334887</v>
      </c>
      <c r="Y456" s="55">
        <v>1963823771</v>
      </c>
      <c r="Z456" s="4" t="s">
        <v>1702</v>
      </c>
      <c r="AA456" s="4">
        <v>1714723615</v>
      </c>
      <c r="AB456" s="4" t="s">
        <v>132</v>
      </c>
      <c r="AC456" s="4" t="s">
        <v>119</v>
      </c>
      <c r="AD456" s="113">
        <v>36201</v>
      </c>
      <c r="AE456" s="107"/>
      <c r="AF456" s="4" t="s">
        <v>80</v>
      </c>
      <c r="AG456" s="114">
        <v>4204549515</v>
      </c>
      <c r="AH456" s="4" t="s">
        <v>81</v>
      </c>
      <c r="AI456" s="55" t="s">
        <v>723</v>
      </c>
      <c r="AJ456" s="55" t="s">
        <v>81</v>
      </c>
      <c r="AK456" s="55">
        <v>2024</v>
      </c>
      <c r="AL456" s="4" t="s">
        <v>995</v>
      </c>
      <c r="AM456" s="4" t="s">
        <v>1703</v>
      </c>
      <c r="AN456" s="4" t="s">
        <v>1704</v>
      </c>
      <c r="AO456" s="4" t="s">
        <v>1705</v>
      </c>
      <c r="AP456" s="4" t="s">
        <v>1706</v>
      </c>
      <c r="AQ456" s="55" t="s">
        <v>1418</v>
      </c>
      <c r="AR456" s="4" t="s">
        <v>260</v>
      </c>
      <c r="AS456" s="4" t="s">
        <v>81</v>
      </c>
      <c r="AT456" s="72" t="s">
        <v>81</v>
      </c>
      <c r="AU456" s="4" t="s">
        <v>81</v>
      </c>
      <c r="AV456" s="4" t="s">
        <v>81</v>
      </c>
      <c r="AW456" s="4" t="s">
        <v>81</v>
      </c>
      <c r="AX456" s="4" t="s">
        <v>81</v>
      </c>
      <c r="AY456" s="4" t="s">
        <v>81</v>
      </c>
      <c r="AZ456" s="4" t="s">
        <v>81</v>
      </c>
      <c r="BA456" s="4" t="s">
        <v>90</v>
      </c>
      <c r="BB456" s="4">
        <v>10800</v>
      </c>
      <c r="BC456" s="4">
        <v>2700</v>
      </c>
      <c r="BD456" s="4">
        <v>0</v>
      </c>
      <c r="BE456" s="4" t="s">
        <v>91</v>
      </c>
      <c r="BF456" s="4"/>
      <c r="BG456" s="4"/>
      <c r="BH456" s="4" t="s">
        <v>3510</v>
      </c>
      <c r="BI456" s="72"/>
      <c r="BJ456" s="154"/>
      <c r="BK456" s="4"/>
      <c r="BL456" s="105"/>
      <c r="BM456" s="9"/>
      <c r="BN456" s="9"/>
      <c r="BO456" s="9"/>
    </row>
    <row r="457" ht="14.4" s="67" customFormat="1">
      <c r="A457" s="4">
        <v>171617</v>
      </c>
      <c r="B457" s="4"/>
      <c r="C457" s="55" t="s">
        <v>1707</v>
      </c>
      <c r="D457" s="4" t="s">
        <v>1708</v>
      </c>
      <c r="E457" s="4" t="s">
        <v>114</v>
      </c>
      <c r="F457" s="55">
        <v>796610</v>
      </c>
      <c r="G457" s="4" t="s">
        <v>67</v>
      </c>
      <c r="H457" s="4" t="s">
        <v>68</v>
      </c>
      <c r="I457" s="4" t="s">
        <v>69</v>
      </c>
      <c r="J457" s="55" t="s">
        <v>1285</v>
      </c>
      <c r="K457" s="4" t="s">
        <v>71</v>
      </c>
      <c r="L457" s="4" t="s">
        <v>72</v>
      </c>
      <c r="M457" s="4" t="str">
        <f>VLOOKUP(A457,[1]Sheet1!$C:$G,5,0)</f>
        <v>Md. Moniruzzaman</v>
      </c>
      <c r="N457" s="4" t="s">
        <v>74</v>
      </c>
      <c r="O457" s="4" t="s">
        <v>75</v>
      </c>
      <c r="P457" s="4">
        <v>32</v>
      </c>
      <c r="Q457" s="57">
        <v>45449</v>
      </c>
      <c r="R457" s="57">
        <v>45459</v>
      </c>
      <c r="S457" s="113"/>
      <c r="T457" s="113"/>
      <c r="U457" s="4"/>
      <c r="V457" s="4"/>
      <c r="W457" s="105" t="s">
        <v>1709</v>
      </c>
      <c r="X457" s="114">
        <v>1773360903</v>
      </c>
      <c r="Y457" s="55">
        <v>1581733193</v>
      </c>
      <c r="Z457" s="4" t="s">
        <v>1710</v>
      </c>
      <c r="AA457" s="4">
        <v>1787918373</v>
      </c>
      <c r="AB457" s="4" t="s">
        <v>1710</v>
      </c>
      <c r="AC457" s="4" t="s">
        <v>133</v>
      </c>
      <c r="AD457" s="113">
        <v>35292</v>
      </c>
      <c r="AE457" s="107"/>
      <c r="AF457" s="4" t="s">
        <v>80</v>
      </c>
      <c r="AG457" s="114">
        <v>5085738168</v>
      </c>
      <c r="AH457" s="4" t="s">
        <v>1377</v>
      </c>
      <c r="AI457" s="55" t="s">
        <v>779</v>
      </c>
      <c r="AJ457" s="55" t="s">
        <v>1711</v>
      </c>
      <c r="AK457" s="55">
        <v>2018</v>
      </c>
      <c r="AL457" s="4" t="s">
        <v>732</v>
      </c>
      <c r="AM457" s="4" t="s">
        <v>1712</v>
      </c>
      <c r="AN457" s="4" t="s">
        <v>1713</v>
      </c>
      <c r="AO457" s="4" t="s">
        <v>1714</v>
      </c>
      <c r="AP457" s="4" t="s">
        <v>1715</v>
      </c>
      <c r="AQ457" s="55" t="s">
        <v>499</v>
      </c>
      <c r="AR457" s="4" t="s">
        <v>110</v>
      </c>
      <c r="AS457" s="4" t="s">
        <v>1377</v>
      </c>
      <c r="AT457" s="72" t="s">
        <v>1377</v>
      </c>
      <c r="AU457" s="4" t="s">
        <v>81</v>
      </c>
      <c r="AV457" s="4" t="s">
        <v>81</v>
      </c>
      <c r="AW457" s="4" t="s">
        <v>81</v>
      </c>
      <c r="AX457" s="4" t="s">
        <v>81</v>
      </c>
      <c r="AY457" s="4" t="s">
        <v>81</v>
      </c>
      <c r="AZ457" s="4" t="s">
        <v>81</v>
      </c>
      <c r="BA457" s="4" t="s">
        <v>90</v>
      </c>
      <c r="BB457" s="4">
        <v>10800</v>
      </c>
      <c r="BC457" s="4">
        <v>2700</v>
      </c>
      <c r="BD457" s="4">
        <v>0</v>
      </c>
      <c r="BE457" s="4" t="s">
        <v>91</v>
      </c>
      <c r="BF457" s="4"/>
      <c r="BG457" s="4"/>
      <c r="BH457" s="4" t="s">
        <v>3510</v>
      </c>
      <c r="BI457" s="72"/>
      <c r="BJ457" s="154"/>
      <c r="BK457" s="4"/>
      <c r="BL457" s="105"/>
      <c r="BM457" s="9"/>
      <c r="BN457" s="9"/>
      <c r="BO457" s="9"/>
    </row>
    <row r="458" ht="14.4" s="67" customFormat="1">
      <c r="A458" s="4">
        <v>171623</v>
      </c>
      <c r="B458" s="4"/>
      <c r="C458" s="55" t="s">
        <v>1716</v>
      </c>
      <c r="D458" s="4" t="s">
        <v>1717</v>
      </c>
      <c r="E458" s="4" t="s">
        <v>66</v>
      </c>
      <c r="F458" s="55">
        <v>1010962459</v>
      </c>
      <c r="G458" s="4" t="s">
        <v>67</v>
      </c>
      <c r="H458" s="4" t="s">
        <v>68</v>
      </c>
      <c r="I458" s="4" t="s">
        <v>69</v>
      </c>
      <c r="J458" s="55" t="s">
        <v>1285</v>
      </c>
      <c r="K458" s="4" t="s">
        <v>71</v>
      </c>
      <c r="L458" s="4" t="s">
        <v>72</v>
      </c>
      <c r="M458" s="4" t="str">
        <f>VLOOKUP(A458,[1]Sheet1!$C:$G,5,0)</f>
        <v>Md. Moniruzzaman</v>
      </c>
      <c r="N458" s="4" t="s">
        <v>74</v>
      </c>
      <c r="O458" s="4" t="s">
        <v>75</v>
      </c>
      <c r="P458" s="4">
        <v>32</v>
      </c>
      <c r="Q458" s="57">
        <v>45449</v>
      </c>
      <c r="R458" s="57">
        <v>45459</v>
      </c>
      <c r="S458" s="113"/>
      <c r="T458" s="113"/>
      <c r="U458" s="4"/>
      <c r="V458" s="4"/>
      <c r="W458" s="105" t="s">
        <v>1718</v>
      </c>
      <c r="X458" s="114">
        <v>1610746157</v>
      </c>
      <c r="Y458" s="55">
        <v>1936394796</v>
      </c>
      <c r="Z458" s="4" t="s">
        <v>1719</v>
      </c>
      <c r="AA458" s="4">
        <v>1951468384</v>
      </c>
      <c r="AB458" s="4" t="s">
        <v>118</v>
      </c>
      <c r="AC458" s="4" t="s">
        <v>133</v>
      </c>
      <c r="AD458" s="113">
        <v>36005</v>
      </c>
      <c r="AE458" s="107"/>
      <c r="AF458" s="4" t="s">
        <v>80</v>
      </c>
      <c r="AG458" s="114">
        <v>5107694324</v>
      </c>
      <c r="AH458" s="4" t="s">
        <v>81</v>
      </c>
      <c r="AI458" s="55" t="s">
        <v>265</v>
      </c>
      <c r="AJ458" s="55" t="s">
        <v>81</v>
      </c>
      <c r="AK458" s="55">
        <v>2024</v>
      </c>
      <c r="AL458" s="4" t="s">
        <v>1720</v>
      </c>
      <c r="AM458" s="4" t="s">
        <v>1721</v>
      </c>
      <c r="AN458" s="4" t="s">
        <v>1722</v>
      </c>
      <c r="AO458" s="4" t="s">
        <v>1723</v>
      </c>
      <c r="AP458" s="4" t="s">
        <v>1724</v>
      </c>
      <c r="AQ458" s="55" t="s">
        <v>328</v>
      </c>
      <c r="AR458" s="4" t="s">
        <v>260</v>
      </c>
      <c r="AS458" s="4" t="s">
        <v>81</v>
      </c>
      <c r="AT458" s="72" t="s">
        <v>81</v>
      </c>
      <c r="AU458" s="4" t="s">
        <v>81</v>
      </c>
      <c r="AV458" s="4" t="s">
        <v>81</v>
      </c>
      <c r="AW458" s="4" t="s">
        <v>81</v>
      </c>
      <c r="AX458" s="4" t="s">
        <v>81</v>
      </c>
      <c r="AY458" s="4" t="s">
        <v>81</v>
      </c>
      <c r="AZ458" s="4" t="s">
        <v>81</v>
      </c>
      <c r="BA458" s="4" t="s">
        <v>90</v>
      </c>
      <c r="BB458" s="4">
        <v>10800</v>
      </c>
      <c r="BC458" s="4">
        <v>2700</v>
      </c>
      <c r="BD458" s="4">
        <v>0</v>
      </c>
      <c r="BE458" s="4" t="s">
        <v>91</v>
      </c>
      <c r="BF458" s="4"/>
      <c r="BG458" s="4"/>
      <c r="BH458" s="4" t="s">
        <v>3510</v>
      </c>
      <c r="BI458" s="72"/>
      <c r="BJ458" s="154"/>
      <c r="BK458" s="4"/>
      <c r="BL458" s="105"/>
      <c r="BM458" s="9"/>
      <c r="BN458" s="9"/>
      <c r="BO458" s="9"/>
    </row>
    <row r="459" ht="14.4" s="67" customFormat="1">
      <c r="A459" s="4">
        <v>171630</v>
      </c>
      <c r="B459" s="4"/>
      <c r="C459" s="55" t="s">
        <v>5298</v>
      </c>
      <c r="D459" s="4" t="s">
        <v>6508</v>
      </c>
      <c r="E459" s="4" t="s">
        <v>114</v>
      </c>
      <c r="F459" s="55">
        <v>1218677592</v>
      </c>
      <c r="G459" s="4" t="s">
        <v>67</v>
      </c>
      <c r="H459" s="4" t="s">
        <v>68</v>
      </c>
      <c r="I459" s="4" t="s">
        <v>69</v>
      </c>
      <c r="J459" s="55" t="s">
        <v>341</v>
      </c>
      <c r="K459" s="4" t="s">
        <v>71</v>
      </c>
      <c r="L459" s="4" t="s">
        <v>72</v>
      </c>
      <c r="M459" s="4" t="str">
        <f>VLOOKUP(A459,[1]Sheet1!$C:$G,5,0)</f>
        <v>Sabrina Sultana Mou</v>
      </c>
      <c r="N459" s="4" t="s">
        <v>74</v>
      </c>
      <c r="O459" s="4" t="s">
        <v>75</v>
      </c>
      <c r="P459" s="4">
        <v>32</v>
      </c>
      <c r="Q459" s="57">
        <v>45449</v>
      </c>
      <c r="R459" s="57">
        <v>45459</v>
      </c>
      <c r="S459" s="113"/>
      <c r="T459" s="113"/>
      <c r="U459" s="4"/>
      <c r="V459" s="4"/>
      <c r="W459" s="105" t="s">
        <v>6509</v>
      </c>
      <c r="X459" s="114">
        <v>1608001638</v>
      </c>
      <c r="Y459" s="55"/>
      <c r="Z459" s="4" t="s">
        <v>6510</v>
      </c>
      <c r="AA459" s="4">
        <v>1890671527</v>
      </c>
      <c r="AB459" s="4" t="s">
        <v>252</v>
      </c>
      <c r="AC459" s="4" t="s">
        <v>1904</v>
      </c>
      <c r="AD459" s="113">
        <v>36495</v>
      </c>
      <c r="AE459" s="107"/>
      <c r="AF459" s="4" t="s">
        <v>80</v>
      </c>
      <c r="AG459" s="114">
        <v>9163029722</v>
      </c>
      <c r="AH459" s="4" t="s">
        <v>81</v>
      </c>
      <c r="AI459" s="55" t="s">
        <v>1368</v>
      </c>
      <c r="AJ459" s="55" t="s">
        <v>81</v>
      </c>
      <c r="AK459" s="55">
        <v>2023</v>
      </c>
      <c r="AL459" s="4" t="s">
        <v>495</v>
      </c>
      <c r="AM459" s="4" t="s">
        <v>6511</v>
      </c>
      <c r="AN459" s="4" t="s">
        <v>1032</v>
      </c>
      <c r="AO459" s="4" t="s">
        <v>6512</v>
      </c>
      <c r="AP459" s="4" t="s">
        <v>6513</v>
      </c>
      <c r="AQ459" s="55" t="s">
        <v>495</v>
      </c>
      <c r="AR459" s="4" t="s">
        <v>110</v>
      </c>
      <c r="AS459" s="4" t="s">
        <v>81</v>
      </c>
      <c r="AT459" s="72" t="s">
        <v>81</v>
      </c>
      <c r="AU459" s="4" t="s">
        <v>81</v>
      </c>
      <c r="AV459" s="4" t="s">
        <v>81</v>
      </c>
      <c r="AW459" s="4" t="s">
        <v>81</v>
      </c>
      <c r="AX459" s="4" t="s">
        <v>81</v>
      </c>
      <c r="AY459" s="4" t="s">
        <v>81</v>
      </c>
      <c r="AZ459" s="4" t="s">
        <v>81</v>
      </c>
      <c r="BA459" s="4" t="s">
        <v>90</v>
      </c>
      <c r="BB459" s="4">
        <v>10800</v>
      </c>
      <c r="BC459" s="4">
        <v>2700</v>
      </c>
      <c r="BD459" s="4">
        <v>0</v>
      </c>
      <c r="BE459" s="4" t="s">
        <v>91</v>
      </c>
      <c r="BF459" s="4"/>
      <c r="BG459" s="4"/>
      <c r="BH459" s="4" t="s">
        <v>3510</v>
      </c>
      <c r="BI459" s="72"/>
      <c r="BJ459" s="154"/>
      <c r="BK459" s="4"/>
      <c r="BL459" s="105"/>
      <c r="BM459" s="9"/>
      <c r="BN459" s="9"/>
      <c r="BO459" s="9"/>
    </row>
    <row r="460" ht="14.4" s="67" customFormat="1">
      <c r="A460" s="4">
        <v>171636</v>
      </c>
      <c r="B460" s="4"/>
      <c r="C460" s="55"/>
      <c r="D460" s="4" t="s">
        <v>1304</v>
      </c>
      <c r="E460" s="4" t="s">
        <v>114</v>
      </c>
      <c r="F460" s="55"/>
      <c r="G460" s="4" t="s">
        <v>225</v>
      </c>
      <c r="H460" s="4" t="s">
        <v>226</v>
      </c>
      <c r="I460" s="4" t="s">
        <v>69</v>
      </c>
      <c r="J460" s="55" t="s">
        <v>1725</v>
      </c>
      <c r="K460" s="4" t="s">
        <v>71</v>
      </c>
      <c r="L460" s="4" t="s">
        <v>72</v>
      </c>
      <c r="M460" s="4" t="s">
        <v>74</v>
      </c>
      <c r="N460" s="4"/>
      <c r="O460" s="4" t="s">
        <v>75</v>
      </c>
      <c r="P460" s="4"/>
      <c r="Q460" s="57">
        <v>45459</v>
      </c>
      <c r="R460" s="57">
        <v>45459</v>
      </c>
      <c r="S460" s="113"/>
      <c r="T460" s="113"/>
      <c r="U460" s="4"/>
      <c r="V460" s="4"/>
      <c r="W460" s="105"/>
      <c r="X460" s="114">
        <v>1723594727</v>
      </c>
      <c r="Y460" s="55"/>
      <c r="Z460" s="4" t="s">
        <v>1726</v>
      </c>
      <c r="AA460" s="4">
        <v>1744808801</v>
      </c>
      <c r="AB460" s="4" t="s">
        <v>252</v>
      </c>
      <c r="AC460" s="4" t="s">
        <v>133</v>
      </c>
      <c r="AD460" s="113">
        <v>35432</v>
      </c>
      <c r="AE460" s="107"/>
      <c r="AF460" s="4" t="s">
        <v>80</v>
      </c>
      <c r="AG460" s="114">
        <v>8252607315</v>
      </c>
      <c r="AH460" s="4"/>
      <c r="AI460" s="55" t="s">
        <v>683</v>
      </c>
      <c r="AJ460" s="55" t="s">
        <v>81</v>
      </c>
      <c r="AK460" s="55">
        <v>2020</v>
      </c>
      <c r="AL460" s="4" t="s">
        <v>1727</v>
      </c>
      <c r="AM460" s="4" t="s">
        <v>1728</v>
      </c>
      <c r="AN460" s="4" t="s">
        <v>1729</v>
      </c>
      <c r="AO460" s="4" t="s">
        <v>1730</v>
      </c>
      <c r="AP460" s="4" t="s">
        <v>1731</v>
      </c>
      <c r="AQ460" s="55" t="s">
        <v>88</v>
      </c>
      <c r="AR460" s="4" t="s">
        <v>110</v>
      </c>
      <c r="AS460" s="4" t="s">
        <v>81</v>
      </c>
      <c r="AT460" s="72" t="s">
        <v>81</v>
      </c>
      <c r="AU460" s="4" t="s">
        <v>81</v>
      </c>
      <c r="AV460" s="4" t="s">
        <v>81</v>
      </c>
      <c r="AW460" s="4" t="s">
        <v>81</v>
      </c>
      <c r="AX460" s="4" t="s">
        <v>81</v>
      </c>
      <c r="AY460" s="4" t="s">
        <v>81</v>
      </c>
      <c r="AZ460" s="4" t="s">
        <v>81</v>
      </c>
      <c r="BA460" s="4" t="s">
        <v>90</v>
      </c>
      <c r="BB460" s="4">
        <v>14500</v>
      </c>
      <c r="BC460" s="4">
        <v>3500</v>
      </c>
      <c r="BD460" s="4">
        <v>0</v>
      </c>
      <c r="BE460" s="4" t="s">
        <v>91</v>
      </c>
      <c r="BF460" s="4" t="s">
        <v>242</v>
      </c>
      <c r="BG460" s="4" t="s">
        <v>242</v>
      </c>
      <c r="BH460" s="4" t="s">
        <v>3510</v>
      </c>
      <c r="BI460" s="72"/>
      <c r="BJ460" s="154"/>
      <c r="BK460" s="4"/>
      <c r="BL460" s="105"/>
      <c r="BM460" s="9"/>
      <c r="BN460" s="9"/>
      <c r="BO460" s="9"/>
    </row>
    <row r="461" ht="14.4" s="67" customFormat="1">
      <c r="A461" s="4">
        <v>171526</v>
      </c>
      <c r="B461" s="4"/>
      <c r="C461" s="55" t="s">
        <v>1732</v>
      </c>
      <c r="D461" s="4" t="s">
        <v>1733</v>
      </c>
      <c r="E461" s="4" t="s">
        <v>114</v>
      </c>
      <c r="F461" s="55">
        <v>1210647802</v>
      </c>
      <c r="G461" s="4" t="s">
        <v>67</v>
      </c>
      <c r="H461" s="4" t="s">
        <v>68</v>
      </c>
      <c r="I461" s="4" t="s">
        <v>69</v>
      </c>
      <c r="J461" s="55" t="s">
        <v>155</v>
      </c>
      <c r="K461" s="4" t="s">
        <v>71</v>
      </c>
      <c r="L461" s="4" t="s">
        <v>72</v>
      </c>
      <c r="M461" s="4" t="str">
        <f>VLOOKUP(A461,[1]Sheet1!$C:$G,5,0)</f>
        <v>Rakib Ahsan</v>
      </c>
      <c r="N461" s="4" t="s">
        <v>74</v>
      </c>
      <c r="O461" s="4" t="s">
        <v>75</v>
      </c>
      <c r="P461" s="4">
        <v>30</v>
      </c>
      <c r="Q461" s="57">
        <v>45442</v>
      </c>
      <c r="R461" s="57">
        <v>45460</v>
      </c>
      <c r="S461" s="113"/>
      <c r="T461" s="113"/>
      <c r="U461" s="4"/>
      <c r="V461" s="4"/>
      <c r="W461" s="105" t="s">
        <v>1734</v>
      </c>
      <c r="X461" s="114">
        <v>1723023678</v>
      </c>
      <c r="Y461" s="55">
        <v>1676816324</v>
      </c>
      <c r="Z461" s="4" t="s">
        <v>1735</v>
      </c>
      <c r="AA461" s="4">
        <v>1761622334</v>
      </c>
      <c r="AB461" s="4" t="s">
        <v>101</v>
      </c>
      <c r="AC461" s="4" t="s">
        <v>133</v>
      </c>
      <c r="AD461" s="113">
        <v>35857</v>
      </c>
      <c r="AE461" s="107"/>
      <c r="AF461" s="4" t="s">
        <v>80</v>
      </c>
      <c r="AG461" s="114">
        <v>6454588523</v>
      </c>
      <c r="AH461" s="4" t="s">
        <v>81</v>
      </c>
      <c r="AI461" s="55" t="s">
        <v>1736</v>
      </c>
      <c r="AJ461" s="55" t="s">
        <v>81</v>
      </c>
      <c r="AK461" s="55">
        <v>2021</v>
      </c>
      <c r="AL461" s="4" t="s">
        <v>1737</v>
      </c>
      <c r="AM461" s="4" t="s">
        <v>1738</v>
      </c>
      <c r="AN461" s="4" t="s">
        <v>1739</v>
      </c>
      <c r="AO461" s="4" t="s">
        <v>1740</v>
      </c>
      <c r="AP461" s="4" t="s">
        <v>1741</v>
      </c>
      <c r="AQ461" s="55" t="s">
        <v>285</v>
      </c>
      <c r="AR461" s="4" t="s">
        <v>110</v>
      </c>
      <c r="AS461" s="4" t="s">
        <v>81</v>
      </c>
      <c r="AT461" s="72" t="s">
        <v>81</v>
      </c>
      <c r="AU461" s="4" t="s">
        <v>81</v>
      </c>
      <c r="AV461" s="4" t="s">
        <v>81</v>
      </c>
      <c r="AW461" s="4" t="s">
        <v>81</v>
      </c>
      <c r="AX461" s="4" t="s">
        <v>81</v>
      </c>
      <c r="AY461" s="4" t="s">
        <v>81</v>
      </c>
      <c r="AZ461" s="4" t="s">
        <v>81</v>
      </c>
      <c r="BA461" s="4" t="s">
        <v>90</v>
      </c>
      <c r="BB461" s="4">
        <v>10800</v>
      </c>
      <c r="BC461" s="4">
        <v>2700</v>
      </c>
      <c r="BD461" s="4">
        <v>1000</v>
      </c>
      <c r="BE461" s="4" t="s">
        <v>166</v>
      </c>
      <c r="BF461" s="4"/>
      <c r="BG461" s="4"/>
      <c r="BH461" s="4" t="s">
        <v>3510</v>
      </c>
      <c r="BI461" s="72"/>
      <c r="BJ461" s="154"/>
      <c r="BK461" s="4"/>
      <c r="BL461" s="105"/>
      <c r="BM461" s="9"/>
      <c r="BN461" s="9"/>
      <c r="BO461" s="9"/>
    </row>
    <row r="462" ht="14.4" s="67" customFormat="1">
      <c r="A462" s="4">
        <v>171528</v>
      </c>
      <c r="B462" s="4"/>
      <c r="C462" s="55" t="s">
        <v>1743</v>
      </c>
      <c r="D462" s="4" t="s">
        <v>1744</v>
      </c>
      <c r="E462" s="4" t="s">
        <v>114</v>
      </c>
      <c r="F462" s="55">
        <v>1210869182</v>
      </c>
      <c r="G462" s="4" t="s">
        <v>67</v>
      </c>
      <c r="H462" s="4" t="s">
        <v>68</v>
      </c>
      <c r="I462" s="4" t="s">
        <v>69</v>
      </c>
      <c r="J462" s="55" t="s">
        <v>155</v>
      </c>
      <c r="K462" s="4" t="s">
        <v>71</v>
      </c>
      <c r="L462" s="4" t="s">
        <v>72</v>
      </c>
      <c r="M462" s="4" t="str">
        <f>VLOOKUP(A462,[1]Sheet1!$C:$G,5,0)</f>
        <v>Rakib Ahsan</v>
      </c>
      <c r="N462" s="4" t="s">
        <v>74</v>
      </c>
      <c r="O462" s="4" t="s">
        <v>75</v>
      </c>
      <c r="P462" s="4">
        <v>30</v>
      </c>
      <c r="Q462" s="57">
        <v>45442</v>
      </c>
      <c r="R462" s="57">
        <v>45460</v>
      </c>
      <c r="S462" s="113"/>
      <c r="T462" s="113"/>
      <c r="U462" s="4"/>
      <c r="V462" s="4"/>
      <c r="W462" s="105" t="s">
        <v>1745</v>
      </c>
      <c r="X462" s="114">
        <v>1942979541</v>
      </c>
      <c r="Y462" s="55">
        <v>1867206168</v>
      </c>
      <c r="Z462" s="4" t="s">
        <v>1746</v>
      </c>
      <c r="AA462" s="4">
        <v>1937045841</v>
      </c>
      <c r="AB462" s="4" t="s">
        <v>252</v>
      </c>
      <c r="AC462" s="4" t="s">
        <v>102</v>
      </c>
      <c r="AD462" s="113">
        <v>36237</v>
      </c>
      <c r="AE462" s="107"/>
      <c r="AF462" s="4" t="s">
        <v>80</v>
      </c>
      <c r="AG462" s="114">
        <v>2404414498</v>
      </c>
      <c r="AH462" s="4" t="s">
        <v>81</v>
      </c>
      <c r="AI462" s="55" t="s">
        <v>290</v>
      </c>
      <c r="AJ462" s="55" t="s">
        <v>81</v>
      </c>
      <c r="AK462" s="55">
        <v>2023</v>
      </c>
      <c r="AL462" s="4" t="s">
        <v>580</v>
      </c>
      <c r="AM462" s="4" t="s">
        <v>1747</v>
      </c>
      <c r="AN462" s="4" t="s">
        <v>1748</v>
      </c>
      <c r="AO462" s="4" t="s">
        <v>1749</v>
      </c>
      <c r="AP462" s="4" t="s">
        <v>1750</v>
      </c>
      <c r="AQ462" s="55" t="s">
        <v>1751</v>
      </c>
      <c r="AR462" s="4" t="s">
        <v>1752</v>
      </c>
      <c r="AS462" s="4" t="s">
        <v>81</v>
      </c>
      <c r="AT462" s="72" t="s">
        <v>81</v>
      </c>
      <c r="AU462" s="4" t="s">
        <v>81</v>
      </c>
      <c r="AV462" s="4" t="s">
        <v>81</v>
      </c>
      <c r="AW462" s="4" t="s">
        <v>81</v>
      </c>
      <c r="AX462" s="4" t="s">
        <v>81</v>
      </c>
      <c r="AY462" s="4" t="s">
        <v>81</v>
      </c>
      <c r="AZ462" s="4" t="s">
        <v>81</v>
      </c>
      <c r="BA462" s="4" t="s">
        <v>90</v>
      </c>
      <c r="BB462" s="4">
        <v>10800</v>
      </c>
      <c r="BC462" s="4">
        <v>2700</v>
      </c>
      <c r="BD462" s="4">
        <v>1000</v>
      </c>
      <c r="BE462" s="4" t="s">
        <v>166</v>
      </c>
      <c r="BF462" s="4"/>
      <c r="BG462" s="4"/>
      <c r="BH462" s="4" t="s">
        <v>3510</v>
      </c>
      <c r="BI462" s="72"/>
      <c r="BJ462" s="154"/>
      <c r="BK462" s="4"/>
      <c r="BL462" s="105"/>
      <c r="BM462" s="9"/>
      <c r="BN462" s="9"/>
      <c r="BO462" s="9"/>
    </row>
    <row r="463" ht="14.4" s="67" customFormat="1">
      <c r="A463" s="4">
        <v>171632</v>
      </c>
      <c r="B463" s="4"/>
      <c r="C463" s="55" t="s">
        <v>1753</v>
      </c>
      <c r="D463" s="4" t="s">
        <v>1754</v>
      </c>
      <c r="E463" s="4" t="s">
        <v>66</v>
      </c>
      <c r="F463" s="55">
        <v>1217649035</v>
      </c>
      <c r="G463" s="4" t="s">
        <v>67</v>
      </c>
      <c r="H463" s="4" t="s">
        <v>68</v>
      </c>
      <c r="I463" s="4" t="s">
        <v>69</v>
      </c>
      <c r="J463" s="55" t="s">
        <v>407</v>
      </c>
      <c r="K463" s="4" t="s">
        <v>71</v>
      </c>
      <c r="L463" s="4" t="s">
        <v>72</v>
      </c>
      <c r="M463" s="4" t="str">
        <f>VLOOKUP(A463,[1]Sheet1!$C:$G,5,0)</f>
        <v>Halima akter</v>
      </c>
      <c r="N463" s="4" t="s">
        <v>74</v>
      </c>
      <c r="O463" s="4" t="s">
        <v>75</v>
      </c>
      <c r="P463" s="4">
        <v>32</v>
      </c>
      <c r="Q463" s="57">
        <v>45449</v>
      </c>
      <c r="R463" s="57">
        <v>45463</v>
      </c>
      <c r="S463" s="113"/>
      <c r="T463" s="113"/>
      <c r="U463" s="4"/>
      <c r="V463" s="4"/>
      <c r="W463" s="105" t="s">
        <v>1755</v>
      </c>
      <c r="X463" s="114">
        <v>1770501629</v>
      </c>
      <c r="Y463" s="55">
        <v>1318050581</v>
      </c>
      <c r="Z463" s="4" t="s">
        <v>1756</v>
      </c>
      <c r="AA463" s="4">
        <v>1774236570</v>
      </c>
      <c r="AB463" s="4" t="s">
        <v>132</v>
      </c>
      <c r="AC463" s="4" t="s">
        <v>79</v>
      </c>
      <c r="AD463" s="113">
        <v>36220</v>
      </c>
      <c r="AE463" s="107"/>
      <c r="AF463" s="4" t="s">
        <v>360</v>
      </c>
      <c r="AG463" s="114">
        <v>3756723593</v>
      </c>
      <c r="AH463" s="4" t="s">
        <v>1377</v>
      </c>
      <c r="AI463" s="55" t="s">
        <v>1757</v>
      </c>
      <c r="AJ463" s="55" t="s">
        <v>333</v>
      </c>
      <c r="AK463" s="55">
        <v>2021</v>
      </c>
      <c r="AL463" s="4" t="s">
        <v>1758</v>
      </c>
      <c r="AM463" s="4" t="s">
        <v>1759</v>
      </c>
      <c r="AN463" s="4" t="s">
        <v>1760</v>
      </c>
      <c r="AO463" s="4" t="s">
        <v>1761</v>
      </c>
      <c r="AP463" s="4" t="s">
        <v>1762</v>
      </c>
      <c r="AQ463" s="55" t="s">
        <v>499</v>
      </c>
      <c r="AR463" s="4" t="s">
        <v>110</v>
      </c>
      <c r="AS463" s="4" t="s">
        <v>1377</v>
      </c>
      <c r="AT463" s="72" t="s">
        <v>1377</v>
      </c>
      <c r="AU463" s="4" t="s">
        <v>81</v>
      </c>
      <c r="AV463" s="4" t="s">
        <v>81</v>
      </c>
      <c r="AW463" s="4" t="s">
        <v>81</v>
      </c>
      <c r="AX463" s="4" t="s">
        <v>81</v>
      </c>
      <c r="AY463" s="4" t="s">
        <v>81</v>
      </c>
      <c r="AZ463" s="4" t="s">
        <v>81</v>
      </c>
      <c r="BA463" s="4" t="s">
        <v>90</v>
      </c>
      <c r="BB463" s="4">
        <v>10800</v>
      </c>
      <c r="BC463" s="4">
        <v>2700</v>
      </c>
      <c r="BD463" s="4">
        <v>0</v>
      </c>
      <c r="BE463" s="4" t="s">
        <v>91</v>
      </c>
      <c r="BF463" s="4"/>
      <c r="BG463" s="4"/>
      <c r="BH463" s="4" t="s">
        <v>3510</v>
      </c>
      <c r="BI463" s="72"/>
      <c r="BJ463" s="154"/>
      <c r="BK463" s="4"/>
      <c r="BL463" s="105"/>
      <c r="BM463" s="9"/>
      <c r="BN463" s="9"/>
      <c r="BO463" s="9"/>
    </row>
    <row r="464" ht="14.4" s="67" customFormat="1">
      <c r="A464" s="4">
        <v>171583</v>
      </c>
      <c r="B464" s="4"/>
      <c r="C464" s="55" t="s">
        <v>1763</v>
      </c>
      <c r="D464" s="4" t="s">
        <v>1764</v>
      </c>
      <c r="E464" s="4" t="s">
        <v>1765</v>
      </c>
      <c r="F464" s="55">
        <v>131050827</v>
      </c>
      <c r="G464" s="4" t="s">
        <v>67</v>
      </c>
      <c r="H464" s="4" t="s">
        <v>68</v>
      </c>
      <c r="I464" s="4" t="s">
        <v>69</v>
      </c>
      <c r="J464" s="55" t="s">
        <v>155</v>
      </c>
      <c r="K464" s="4" t="s">
        <v>1766</v>
      </c>
      <c r="L464" s="4" t="s">
        <v>1767</v>
      </c>
      <c r="M464" s="4" t="str">
        <f>VLOOKUP(A464,[1]Sheet1!$C:$G,5,0)</f>
        <v>Md. Tanjir Ahmed</v>
      </c>
      <c r="N464" s="4" t="s">
        <v>74</v>
      </c>
      <c r="O464" s="4" t="s">
        <v>75</v>
      </c>
      <c r="P464" s="4">
        <v>33</v>
      </c>
      <c r="Q464" s="57">
        <v>45451</v>
      </c>
      <c r="R464" s="57">
        <v>45468</v>
      </c>
      <c r="S464" s="113" t="s">
        <v>242</v>
      </c>
      <c r="T464" s="113" t="s">
        <v>242</v>
      </c>
      <c r="U464" s="4" t="s">
        <v>242</v>
      </c>
      <c r="V464" s="4" t="s">
        <v>242</v>
      </c>
      <c r="W464" s="105" t="s">
        <v>1768</v>
      </c>
      <c r="X464" s="114">
        <v>1611518935</v>
      </c>
      <c r="Y464" s="55">
        <v>1611518935</v>
      </c>
      <c r="Z464" s="4" t="s">
        <v>1769</v>
      </c>
      <c r="AA464" s="4">
        <v>1916768870</v>
      </c>
      <c r="AB464" s="4" t="s">
        <v>101</v>
      </c>
      <c r="AC464" s="4" t="s">
        <v>102</v>
      </c>
      <c r="AD464" s="113">
        <v>37242</v>
      </c>
      <c r="AE464" s="107">
        <v>24</v>
      </c>
      <c r="AF464" s="4" t="s">
        <v>80</v>
      </c>
      <c r="AG464" s="114">
        <v>2863684979</v>
      </c>
      <c r="AH464" s="4" t="s">
        <v>81</v>
      </c>
      <c r="AI464" s="55" t="s">
        <v>322</v>
      </c>
      <c r="AJ464" s="55"/>
      <c r="AK464" s="55">
        <v>2024</v>
      </c>
      <c r="AL464" s="4" t="s">
        <v>1770</v>
      </c>
      <c r="AM464" s="4" t="s">
        <v>1771</v>
      </c>
      <c r="AN464" s="4" t="s">
        <v>1772</v>
      </c>
      <c r="AO464" s="4" t="s">
        <v>1773</v>
      </c>
      <c r="AP464" s="4" t="s">
        <v>1773</v>
      </c>
      <c r="AQ464" s="55" t="s">
        <v>449</v>
      </c>
      <c r="AR464" s="4" t="s">
        <v>1774</v>
      </c>
      <c r="AS464" s="4" t="s">
        <v>81</v>
      </c>
      <c r="AT464" s="72" t="s">
        <v>81</v>
      </c>
      <c r="AU464" s="4" t="s">
        <v>81</v>
      </c>
      <c r="AV464" s="4" t="s">
        <v>81</v>
      </c>
      <c r="AW464" s="4" t="s">
        <v>81</v>
      </c>
      <c r="AX464" s="4" t="s">
        <v>81</v>
      </c>
      <c r="AY464" s="4" t="s">
        <v>81</v>
      </c>
      <c r="AZ464" s="4" t="s">
        <v>81</v>
      </c>
      <c r="BA464" s="4" t="s">
        <v>90</v>
      </c>
      <c r="BB464" s="4">
        <v>10800</v>
      </c>
      <c r="BC464" s="4">
        <v>2700</v>
      </c>
      <c r="BD464" s="4">
        <v>1000</v>
      </c>
      <c r="BE464" s="4" t="s">
        <v>166</v>
      </c>
      <c r="BF464" s="4" t="s">
        <v>242</v>
      </c>
      <c r="BG464" s="4" t="s">
        <v>242</v>
      </c>
      <c r="BH464" s="4" t="s">
        <v>3510</v>
      </c>
      <c r="BI464" s="72"/>
      <c r="BJ464" s="154"/>
      <c r="BK464" s="4"/>
      <c r="BL464" s="105"/>
      <c r="BM464" s="9"/>
      <c r="BN464" s="9"/>
      <c r="BO464" s="9"/>
    </row>
    <row r="465" ht="14.4" s="67" customFormat="1">
      <c r="A465" s="4">
        <v>171601</v>
      </c>
      <c r="B465" s="4"/>
      <c r="C465" s="55" t="s">
        <v>1775</v>
      </c>
      <c r="D465" s="4" t="s">
        <v>1776</v>
      </c>
      <c r="E465" s="4" t="s">
        <v>114</v>
      </c>
      <c r="F465" s="55"/>
      <c r="G465" s="4" t="s">
        <v>67</v>
      </c>
      <c r="H465" s="4" t="s">
        <v>68</v>
      </c>
      <c r="I465" s="4" t="s">
        <v>69</v>
      </c>
      <c r="J465" s="55" t="s">
        <v>307</v>
      </c>
      <c r="K465" s="4" t="s">
        <v>71</v>
      </c>
      <c r="L465" s="4" t="s">
        <v>72</v>
      </c>
      <c r="M465" s="4" t="str">
        <f>VLOOKUP(A465,[1]Sheet1!$C:$G,5,0)</f>
        <v>Nazimuddoula Leon</v>
      </c>
      <c r="N465" s="4" t="s">
        <v>74</v>
      </c>
      <c r="O465" s="4" t="s">
        <v>75</v>
      </c>
      <c r="P465" s="4">
        <v>32</v>
      </c>
      <c r="Q465" s="57">
        <v>45449</v>
      </c>
      <c r="R465" s="57">
        <v>45471</v>
      </c>
      <c r="S465" s="113"/>
      <c r="T465" s="113"/>
      <c r="U465" s="4"/>
      <c r="V465" s="4"/>
      <c r="W465" s="105"/>
      <c r="X465" s="114">
        <v>1996052336</v>
      </c>
      <c r="Y465" s="55"/>
      <c r="Z465" s="4" t="s">
        <v>1777</v>
      </c>
      <c r="AA465" s="4">
        <v>1996052336</v>
      </c>
      <c r="AB465" s="4" t="s">
        <v>132</v>
      </c>
      <c r="AC465" s="4" t="s">
        <v>133</v>
      </c>
      <c r="AD465" s="113">
        <v>35521</v>
      </c>
      <c r="AE465" s="107"/>
      <c r="AF465" s="4" t="s">
        <v>80</v>
      </c>
      <c r="AG465" s="114">
        <v>1964031619</v>
      </c>
      <c r="AH465" s="4" t="s">
        <v>81</v>
      </c>
      <c r="AI465" s="55" t="s">
        <v>1101</v>
      </c>
      <c r="AJ465" s="55" t="s">
        <v>81</v>
      </c>
      <c r="AK465" s="55">
        <v>2024</v>
      </c>
      <c r="AL465" s="4" t="s">
        <v>986</v>
      </c>
      <c r="AM465" s="4" t="s">
        <v>1778</v>
      </c>
      <c r="AN465" s="4" t="s">
        <v>1779</v>
      </c>
      <c r="AO465" s="4" t="s">
        <v>1780</v>
      </c>
      <c r="AP465" s="4" t="s">
        <v>1781</v>
      </c>
      <c r="AQ465" s="55" t="s">
        <v>285</v>
      </c>
      <c r="AR465" s="4" t="s">
        <v>110</v>
      </c>
      <c r="AS465" s="4" t="s">
        <v>242</v>
      </c>
      <c r="AT465" s="72" t="s">
        <v>242</v>
      </c>
      <c r="AU465" s="4" t="s">
        <v>81</v>
      </c>
      <c r="AV465" s="4" t="s">
        <v>81</v>
      </c>
      <c r="AW465" s="4" t="s">
        <v>81</v>
      </c>
      <c r="AX465" s="4" t="s">
        <v>81</v>
      </c>
      <c r="AY465" s="4" t="s">
        <v>81</v>
      </c>
      <c r="AZ465" s="4" t="s">
        <v>81</v>
      </c>
      <c r="BA465" s="4" t="s">
        <v>90</v>
      </c>
      <c r="BB465" s="4">
        <v>10800</v>
      </c>
      <c r="BC465" s="4">
        <v>2700</v>
      </c>
      <c r="BD465" s="4">
        <v>0</v>
      </c>
      <c r="BE465" s="4" t="s">
        <v>91</v>
      </c>
      <c r="BF465" s="4"/>
      <c r="BG465" s="4"/>
      <c r="BH465" s="4" t="s">
        <v>3510</v>
      </c>
      <c r="BI465" s="72"/>
      <c r="BJ465" s="154"/>
      <c r="BK465" s="4"/>
      <c r="BL465" s="105"/>
      <c r="BM465" s="9"/>
      <c r="BN465" s="9"/>
      <c r="BO465" s="9"/>
    </row>
    <row r="466" ht="14.4" s="67" customFormat="1">
      <c r="A466" s="4">
        <v>171620</v>
      </c>
      <c r="B466" s="4"/>
      <c r="C466" s="55" t="s">
        <v>1782</v>
      </c>
      <c r="D466" s="4" t="s">
        <v>1783</v>
      </c>
      <c r="E466" s="4" t="s">
        <v>66</v>
      </c>
      <c r="F466" s="55"/>
      <c r="G466" s="4" t="s">
        <v>67</v>
      </c>
      <c r="H466" s="4" t="s">
        <v>68</v>
      </c>
      <c r="I466" s="4" t="s">
        <v>69</v>
      </c>
      <c r="J466" s="55" t="s">
        <v>307</v>
      </c>
      <c r="K466" s="4" t="s">
        <v>71</v>
      </c>
      <c r="L466" s="4" t="s">
        <v>72</v>
      </c>
      <c r="M466" s="4" t="str">
        <f>VLOOKUP(A466,[1]Sheet1!$C:$G,5,0)</f>
        <v>Nazimuddoula Leon</v>
      </c>
      <c r="N466" s="4" t="s">
        <v>74</v>
      </c>
      <c r="O466" s="4" t="s">
        <v>75</v>
      </c>
      <c r="P466" s="4">
        <v>32</v>
      </c>
      <c r="Q466" s="57">
        <v>45449</v>
      </c>
      <c r="R466" s="57">
        <v>45471</v>
      </c>
      <c r="S466" s="113"/>
      <c r="T466" s="113"/>
      <c r="U466" s="4"/>
      <c r="V466" s="4"/>
      <c r="W466" s="105"/>
      <c r="X466" s="114">
        <v>1753361538</v>
      </c>
      <c r="Y466" s="55"/>
      <c r="Z466" s="4" t="s">
        <v>1784</v>
      </c>
      <c r="AA466" s="4">
        <v>1796102203</v>
      </c>
      <c r="AB466" s="4" t="s">
        <v>252</v>
      </c>
      <c r="AC466" s="4" t="s">
        <v>133</v>
      </c>
      <c r="AD466" s="113">
        <v>35267</v>
      </c>
      <c r="AE466" s="107"/>
      <c r="AF466" s="4" t="s">
        <v>80</v>
      </c>
      <c r="AG466" s="114">
        <v>5553786202</v>
      </c>
      <c r="AH466" s="4" t="s">
        <v>81</v>
      </c>
      <c r="AI466" s="55" t="s">
        <v>322</v>
      </c>
      <c r="AJ466" s="55" t="s">
        <v>81</v>
      </c>
      <c r="AK466" s="55">
        <v>2022</v>
      </c>
      <c r="AL466" s="4" t="s">
        <v>209</v>
      </c>
      <c r="AM466" s="4" t="s">
        <v>1528</v>
      </c>
      <c r="AN466" s="4" t="s">
        <v>1785</v>
      </c>
      <c r="AO466" s="4" t="s">
        <v>1786</v>
      </c>
      <c r="AP466" s="4" t="s">
        <v>1787</v>
      </c>
      <c r="AQ466" s="55" t="s">
        <v>1788</v>
      </c>
      <c r="AR466" s="4" t="s">
        <v>110</v>
      </c>
      <c r="AS466" s="4" t="s">
        <v>81</v>
      </c>
      <c r="AT466" s="72" t="s">
        <v>81</v>
      </c>
      <c r="AU466" s="4" t="s">
        <v>81</v>
      </c>
      <c r="AV466" s="4" t="s">
        <v>81</v>
      </c>
      <c r="AW466" s="4" t="s">
        <v>81</v>
      </c>
      <c r="AX466" s="4" t="s">
        <v>81</v>
      </c>
      <c r="AY466" s="4" t="s">
        <v>81</v>
      </c>
      <c r="AZ466" s="4" t="s">
        <v>81</v>
      </c>
      <c r="BA466" s="4" t="s">
        <v>90</v>
      </c>
      <c r="BB466" s="4">
        <v>10800</v>
      </c>
      <c r="BC466" s="4">
        <v>2700</v>
      </c>
      <c r="BD466" s="4">
        <v>0</v>
      </c>
      <c r="BE466" s="4" t="s">
        <v>91</v>
      </c>
      <c r="BF466" s="4"/>
      <c r="BG466" s="4"/>
      <c r="BH466" s="4" t="s">
        <v>3510</v>
      </c>
      <c r="BI466" s="72"/>
      <c r="BJ466" s="154"/>
      <c r="BK466" s="4"/>
      <c r="BL466" s="105"/>
      <c r="BM466" s="9"/>
      <c r="BN466" s="9"/>
      <c r="BO466" s="9"/>
    </row>
    <row r="467" ht="14.4" s="67" customFormat="1">
      <c r="A467" s="4">
        <v>171626</v>
      </c>
      <c r="B467" s="4"/>
      <c r="C467" s="55" t="s">
        <v>1789</v>
      </c>
      <c r="D467" s="4" t="s">
        <v>1790</v>
      </c>
      <c r="E467" s="4" t="s">
        <v>66</v>
      </c>
      <c r="F467" s="55"/>
      <c r="G467" s="4" t="s">
        <v>67</v>
      </c>
      <c r="H467" s="4" t="s">
        <v>68</v>
      </c>
      <c r="I467" s="4" t="s">
        <v>69</v>
      </c>
      <c r="J467" s="55" t="s">
        <v>576</v>
      </c>
      <c r="K467" s="4" t="s">
        <v>71</v>
      </c>
      <c r="L467" s="4" t="s">
        <v>72</v>
      </c>
      <c r="M467" s="4" t="str">
        <f>VLOOKUP(A467,[1]Sheet1!$C:$G,5,0)</f>
        <v>Mizanur Rahman</v>
      </c>
      <c r="N467" s="4" t="s">
        <v>74</v>
      </c>
      <c r="O467" s="4" t="s">
        <v>75</v>
      </c>
      <c r="P467" s="4">
        <v>32</v>
      </c>
      <c r="Q467" s="57">
        <v>45449</v>
      </c>
      <c r="R467" s="57">
        <v>45471</v>
      </c>
      <c r="S467" s="113"/>
      <c r="T467" s="113"/>
      <c r="U467" s="4"/>
      <c r="V467" s="4"/>
      <c r="W467" s="105" t="s">
        <v>1791</v>
      </c>
      <c r="X467" s="114">
        <v>1715119851</v>
      </c>
      <c r="Y467" s="55"/>
      <c r="Z467" s="4" t="s">
        <v>1792</v>
      </c>
      <c r="AA467" s="4">
        <v>1714007908</v>
      </c>
      <c r="AB467" s="4" t="s">
        <v>252</v>
      </c>
      <c r="AC467" s="4" t="s">
        <v>79</v>
      </c>
      <c r="AD467" s="113">
        <v>32717</v>
      </c>
      <c r="AE467" s="107"/>
      <c r="AF467" s="4" t="s">
        <v>80</v>
      </c>
      <c r="AG467" s="114">
        <v>8669367008</v>
      </c>
      <c r="AH467" s="4" t="s">
        <v>81</v>
      </c>
      <c r="AI467" s="55" t="s">
        <v>1339</v>
      </c>
      <c r="AJ467" s="55" t="s">
        <v>81</v>
      </c>
      <c r="AK467" s="55">
        <v>2020</v>
      </c>
      <c r="AL467" s="4" t="s">
        <v>209</v>
      </c>
      <c r="AM467" s="4" t="s">
        <v>1793</v>
      </c>
      <c r="AN467" s="4" t="s">
        <v>1794</v>
      </c>
      <c r="AO467" s="4" t="s">
        <v>1795</v>
      </c>
      <c r="AP467" s="4" t="s">
        <v>1796</v>
      </c>
      <c r="AQ467" s="55" t="s">
        <v>285</v>
      </c>
      <c r="AR467" s="4" t="s">
        <v>110</v>
      </c>
      <c r="AS467" s="4" t="s">
        <v>81</v>
      </c>
      <c r="AT467" s="72" t="s">
        <v>81</v>
      </c>
      <c r="AU467" s="4" t="s">
        <v>81</v>
      </c>
      <c r="AV467" s="4" t="s">
        <v>81</v>
      </c>
      <c r="AW467" s="4" t="s">
        <v>81</v>
      </c>
      <c r="AX467" s="4" t="s">
        <v>81</v>
      </c>
      <c r="AY467" s="4" t="s">
        <v>81</v>
      </c>
      <c r="AZ467" s="4" t="s">
        <v>81</v>
      </c>
      <c r="BA467" s="4" t="s">
        <v>90</v>
      </c>
      <c r="BB467" s="4">
        <v>10800</v>
      </c>
      <c r="BC467" s="4">
        <v>2700</v>
      </c>
      <c r="BD467" s="4">
        <v>0</v>
      </c>
      <c r="BE467" s="4" t="s">
        <v>91</v>
      </c>
      <c r="BF467" s="4"/>
      <c r="BG467" s="4"/>
      <c r="BH467" s="4" t="s">
        <v>3510</v>
      </c>
      <c r="BI467" s="72"/>
      <c r="BJ467" s="154"/>
      <c r="BK467" s="4"/>
      <c r="BL467" s="105"/>
      <c r="BM467" s="9"/>
      <c r="BN467" s="9"/>
      <c r="BO467" s="9"/>
    </row>
    <row r="468" ht="14.4" s="67" customFormat="1">
      <c r="A468" s="4">
        <v>171571</v>
      </c>
      <c r="B468" s="4"/>
      <c r="C468" s="55" t="s">
        <v>1797</v>
      </c>
      <c r="D468" s="4" t="s">
        <v>1798</v>
      </c>
      <c r="E468" s="4" t="s">
        <v>114</v>
      </c>
      <c r="F468" s="55">
        <v>1210879195</v>
      </c>
      <c r="G468" s="4" t="s">
        <v>67</v>
      </c>
      <c r="H468" s="4" t="s">
        <v>68</v>
      </c>
      <c r="I468" s="4" t="s">
        <v>69</v>
      </c>
      <c r="J468" s="55" t="s">
        <v>155</v>
      </c>
      <c r="K468" s="4" t="s">
        <v>71</v>
      </c>
      <c r="L468" s="4" t="s">
        <v>72</v>
      </c>
      <c r="M468" s="4" t="str">
        <f>VLOOKUP(A468,[1]Sheet1!$C:$G,5,0)</f>
        <v>Mohammad Joshim</v>
      </c>
      <c r="N468" s="4" t="s">
        <v>74</v>
      </c>
      <c r="O468" s="4" t="s">
        <v>75</v>
      </c>
      <c r="P468" s="4">
        <v>33</v>
      </c>
      <c r="Q468" s="57">
        <v>45451</v>
      </c>
      <c r="R468" s="57">
        <v>45474</v>
      </c>
      <c r="S468" s="113"/>
      <c r="T468" s="113"/>
      <c r="U468" s="4"/>
      <c r="V468" s="4"/>
      <c r="W468" s="105" t="s">
        <v>1799</v>
      </c>
      <c r="X468" s="114">
        <v>1703064634</v>
      </c>
      <c r="Y468" s="55">
        <v>1625004540</v>
      </c>
      <c r="Z468" s="4" t="s">
        <v>1800</v>
      </c>
      <c r="AA468" s="4">
        <v>1625004540</v>
      </c>
      <c r="AB468" s="4" t="s">
        <v>252</v>
      </c>
      <c r="AC468" s="4" t="s">
        <v>119</v>
      </c>
      <c r="AD468" s="113">
        <v>35943</v>
      </c>
      <c r="AE468" s="107"/>
      <c r="AF468" s="4" t="s">
        <v>80</v>
      </c>
      <c r="AG468" s="114">
        <v>1507890059</v>
      </c>
      <c r="AH468" s="4" t="s">
        <v>81</v>
      </c>
      <c r="AI468" s="55" t="s">
        <v>1801</v>
      </c>
      <c r="AJ468" s="55" t="s">
        <v>81</v>
      </c>
      <c r="AK468" s="55">
        <v>2023</v>
      </c>
      <c r="AL468" s="4" t="s">
        <v>188</v>
      </c>
      <c r="AM468" s="4" t="s">
        <v>1802</v>
      </c>
      <c r="AN468" s="4" t="s">
        <v>1803</v>
      </c>
      <c r="AO468" s="4" t="s">
        <v>1804</v>
      </c>
      <c r="AP468" s="4" t="s">
        <v>1804</v>
      </c>
      <c r="AQ468" s="55" t="s">
        <v>328</v>
      </c>
      <c r="AR468" s="4" t="s">
        <v>260</v>
      </c>
      <c r="AS468" s="4" t="s">
        <v>81</v>
      </c>
      <c r="AT468" s="72" t="s">
        <v>81</v>
      </c>
      <c r="AU468" s="4" t="s">
        <v>81</v>
      </c>
      <c r="AV468" s="4" t="s">
        <v>81</v>
      </c>
      <c r="AW468" s="4" t="s">
        <v>81</v>
      </c>
      <c r="AX468" s="4" t="s">
        <v>81</v>
      </c>
      <c r="AY468" s="4" t="s">
        <v>81</v>
      </c>
      <c r="AZ468" s="4" t="s">
        <v>81</v>
      </c>
      <c r="BA468" s="4" t="s">
        <v>90</v>
      </c>
      <c r="BB468" s="4">
        <v>10800</v>
      </c>
      <c r="BC468" s="4">
        <v>2700</v>
      </c>
      <c r="BD468" s="4">
        <v>1000</v>
      </c>
      <c r="BE468" s="4" t="s">
        <v>166</v>
      </c>
      <c r="BF468" s="4"/>
      <c r="BG468" s="4"/>
      <c r="BH468" s="4" t="s">
        <v>3510</v>
      </c>
      <c r="BI468" s="72"/>
      <c r="BJ468" s="154"/>
      <c r="BK468" s="4"/>
      <c r="BL468" s="105"/>
      <c r="BM468" s="9"/>
      <c r="BN468" s="9"/>
      <c r="BO468" s="9"/>
    </row>
    <row r="469" ht="14.4" s="67" customFormat="1">
      <c r="A469" s="4">
        <v>171572</v>
      </c>
      <c r="B469" s="4"/>
      <c r="C469" s="55" t="s">
        <v>1805</v>
      </c>
      <c r="D469" s="4" t="s">
        <v>1806</v>
      </c>
      <c r="E469" s="4" t="s">
        <v>114</v>
      </c>
      <c r="F469" s="55">
        <v>453426</v>
      </c>
      <c r="G469" s="4" t="s">
        <v>67</v>
      </c>
      <c r="H469" s="4" t="s">
        <v>68</v>
      </c>
      <c r="I469" s="4" t="s">
        <v>69</v>
      </c>
      <c r="J469" s="55" t="s">
        <v>155</v>
      </c>
      <c r="K469" s="4" t="s">
        <v>71</v>
      </c>
      <c r="L469" s="4" t="s">
        <v>72</v>
      </c>
      <c r="M469" s="4" t="str">
        <f>VLOOKUP(A469,[1]Sheet1!$C:$G,5,0)</f>
        <v>Abu MD. Rifat Imtiaz</v>
      </c>
      <c r="N469" s="4" t="s">
        <v>74</v>
      </c>
      <c r="O469" s="4" t="s">
        <v>75</v>
      </c>
      <c r="P469" s="4">
        <v>33</v>
      </c>
      <c r="Q469" s="57">
        <v>45451</v>
      </c>
      <c r="R469" s="57">
        <v>45474</v>
      </c>
      <c r="S469" s="113"/>
      <c r="T469" s="113"/>
      <c r="U469" s="4"/>
      <c r="V469" s="4"/>
      <c r="W469" s="105" t="s">
        <v>1807</v>
      </c>
      <c r="X469" s="114">
        <v>1838152161</v>
      </c>
      <c r="Y469" s="55">
        <v>1680183591</v>
      </c>
      <c r="Z469" s="4" t="s">
        <v>1808</v>
      </c>
      <c r="AA469" s="4">
        <v>1716417894</v>
      </c>
      <c r="AB469" s="4" t="s">
        <v>101</v>
      </c>
      <c r="AC469" s="4" t="s">
        <v>119</v>
      </c>
      <c r="AD469" s="113">
        <v>35233</v>
      </c>
      <c r="AE469" s="107"/>
      <c r="AF469" s="4" t="s">
        <v>80</v>
      </c>
      <c r="AG469" s="114">
        <v>7802273990</v>
      </c>
      <c r="AH469" s="4" t="s">
        <v>81</v>
      </c>
      <c r="AI469" s="55" t="s">
        <v>265</v>
      </c>
      <c r="AJ469" s="55" t="s">
        <v>81</v>
      </c>
      <c r="AK469" s="55">
        <v>2020</v>
      </c>
      <c r="AL469" s="4" t="s">
        <v>1809</v>
      </c>
      <c r="AM469" s="4" t="s">
        <v>1808</v>
      </c>
      <c r="AN469" s="4" t="s">
        <v>1810</v>
      </c>
      <c r="AO469" s="4" t="s">
        <v>1811</v>
      </c>
      <c r="AP469" s="4" t="s">
        <v>1812</v>
      </c>
      <c r="AQ469" s="55" t="s">
        <v>499</v>
      </c>
      <c r="AR469" s="4" t="s">
        <v>260</v>
      </c>
      <c r="AS469" s="4" t="s">
        <v>81</v>
      </c>
      <c r="AT469" s="72" t="s">
        <v>81</v>
      </c>
      <c r="AU469" s="4" t="s">
        <v>242</v>
      </c>
      <c r="AV469" s="4" t="s">
        <v>81</v>
      </c>
      <c r="AW469" s="4" t="s">
        <v>81</v>
      </c>
      <c r="AX469" s="4" t="s">
        <v>81</v>
      </c>
      <c r="AY469" s="4" t="s">
        <v>81</v>
      </c>
      <c r="AZ469" s="4" t="s">
        <v>81</v>
      </c>
      <c r="BA469" s="4" t="s">
        <v>90</v>
      </c>
      <c r="BB469" s="4">
        <v>10800</v>
      </c>
      <c r="BC469" s="4">
        <v>2700</v>
      </c>
      <c r="BD469" s="4">
        <v>1000</v>
      </c>
      <c r="BE469" s="4" t="s">
        <v>166</v>
      </c>
      <c r="BF469" s="4" t="s">
        <v>242</v>
      </c>
      <c r="BG469" s="4" t="s">
        <v>242</v>
      </c>
      <c r="BH469" s="4" t="s">
        <v>3510</v>
      </c>
      <c r="BI469" s="72"/>
      <c r="BJ469" s="154"/>
      <c r="BK469" s="4"/>
      <c r="BL469" s="105"/>
      <c r="BM469" s="9"/>
      <c r="BN469" s="9"/>
      <c r="BO469" s="9"/>
    </row>
    <row r="470" ht="14.4" s="67" customFormat="1">
      <c r="A470" s="4">
        <v>171592</v>
      </c>
      <c r="B470" s="4"/>
      <c r="C470" s="55" t="s">
        <v>1813</v>
      </c>
      <c r="D470" s="4" t="s">
        <v>1814</v>
      </c>
      <c r="E470" s="4" t="s">
        <v>1765</v>
      </c>
      <c r="F470" s="55">
        <v>1111317223</v>
      </c>
      <c r="G470" s="4" t="s">
        <v>67</v>
      </c>
      <c r="H470" s="4" t="s">
        <v>68</v>
      </c>
      <c r="I470" s="4" t="s">
        <v>69</v>
      </c>
      <c r="J470" s="55" t="s">
        <v>155</v>
      </c>
      <c r="K470" s="4" t="s">
        <v>1766</v>
      </c>
      <c r="L470" s="4" t="s">
        <v>1767</v>
      </c>
      <c r="M470" s="4" t="str">
        <f>VLOOKUP(A470,[1]Sheet1!$C:$G,5,0)</f>
        <v>Md. Tanjir Ahmed</v>
      </c>
      <c r="N470" s="4" t="s">
        <v>74</v>
      </c>
      <c r="O470" s="4" t="s">
        <v>75</v>
      </c>
      <c r="P470" s="4">
        <v>33</v>
      </c>
      <c r="Q470" s="57">
        <v>45451</v>
      </c>
      <c r="R470" s="57">
        <v>45474</v>
      </c>
      <c r="S470" s="113" t="s">
        <v>242</v>
      </c>
      <c r="T470" s="113" t="s">
        <v>242</v>
      </c>
      <c r="U470" s="4" t="s">
        <v>242</v>
      </c>
      <c r="V470" s="4" t="s">
        <v>242</v>
      </c>
      <c r="W470" s="105" t="s">
        <v>1815</v>
      </c>
      <c r="X470" s="114">
        <v>1601260060</v>
      </c>
      <c r="Y470" s="55">
        <v>1601260060</v>
      </c>
      <c r="Z470" s="4" t="s">
        <v>1816</v>
      </c>
      <c r="AA470" s="4">
        <v>1624902023</v>
      </c>
      <c r="AB470" s="4" t="s">
        <v>118</v>
      </c>
      <c r="AC470" s="4" t="s">
        <v>79</v>
      </c>
      <c r="AD470" s="113">
        <v>35531</v>
      </c>
      <c r="AE470" s="107">
        <v>26</v>
      </c>
      <c r="AF470" s="4" t="s">
        <v>360</v>
      </c>
      <c r="AG470" s="114">
        <v>4203086733</v>
      </c>
      <c r="AH470" s="4" t="s">
        <v>81</v>
      </c>
      <c r="AI470" s="55" t="s">
        <v>322</v>
      </c>
      <c r="AJ470" s="55"/>
      <c r="AK470" s="55">
        <v>2021</v>
      </c>
      <c r="AL470" s="4" t="s">
        <v>1817</v>
      </c>
      <c r="AM470" s="4" t="s">
        <v>1818</v>
      </c>
      <c r="AN470" s="4" t="s">
        <v>1819</v>
      </c>
      <c r="AO470" s="4" t="s">
        <v>1820</v>
      </c>
      <c r="AP470" s="4" t="s">
        <v>1821</v>
      </c>
      <c r="AQ470" s="55" t="s">
        <v>1822</v>
      </c>
      <c r="AR470" s="4" t="s">
        <v>1774</v>
      </c>
      <c r="AS470" s="4" t="s">
        <v>81</v>
      </c>
      <c r="AT470" s="72" t="s">
        <v>81</v>
      </c>
      <c r="AU470" s="4" t="s">
        <v>81</v>
      </c>
      <c r="AV470" s="4" t="s">
        <v>81</v>
      </c>
      <c r="AW470" s="4" t="s">
        <v>81</v>
      </c>
      <c r="AX470" s="4" t="s">
        <v>81</v>
      </c>
      <c r="AY470" s="4" t="s">
        <v>81</v>
      </c>
      <c r="AZ470" s="4" t="s">
        <v>81</v>
      </c>
      <c r="BA470" s="4" t="s">
        <v>90</v>
      </c>
      <c r="BB470" s="4">
        <v>10800</v>
      </c>
      <c r="BC470" s="4">
        <v>2700</v>
      </c>
      <c r="BD470" s="4">
        <v>1000</v>
      </c>
      <c r="BE470" s="4" t="s">
        <v>166</v>
      </c>
      <c r="BF470" s="4" t="s">
        <v>242</v>
      </c>
      <c r="BG470" s="4" t="s">
        <v>242</v>
      </c>
      <c r="BH470" s="4" t="s">
        <v>3510</v>
      </c>
      <c r="BI470" s="72"/>
      <c r="BJ470" s="154"/>
      <c r="BK470" s="4"/>
      <c r="BL470" s="105"/>
      <c r="BM470" s="9"/>
      <c r="BN470" s="9"/>
      <c r="BO470" s="9"/>
    </row>
    <row r="471" ht="14.4" s="67" customFormat="1">
      <c r="A471" s="4">
        <v>171646</v>
      </c>
      <c r="B471" s="4"/>
      <c r="C471" s="55" t="s">
        <v>1823</v>
      </c>
      <c r="D471" s="4" t="s">
        <v>1824</v>
      </c>
      <c r="E471" s="4" t="s">
        <v>1765</v>
      </c>
      <c r="F471" s="55">
        <v>1110151555</v>
      </c>
      <c r="G471" s="4" t="s">
        <v>67</v>
      </c>
      <c r="H471" s="4" t="s">
        <v>68</v>
      </c>
      <c r="I471" s="4" t="s">
        <v>69</v>
      </c>
      <c r="J471" s="55" t="s">
        <v>155</v>
      </c>
      <c r="K471" s="4" t="s">
        <v>1766</v>
      </c>
      <c r="L471" s="4" t="s">
        <v>1767</v>
      </c>
      <c r="M471" s="4" t="str">
        <f>VLOOKUP(A471,[1]Sheet1!$C:$G,5,0)</f>
        <v>Rakib Ahsan</v>
      </c>
      <c r="N471" s="4" t="s">
        <v>74</v>
      </c>
      <c r="O471" s="4" t="s">
        <v>75</v>
      </c>
      <c r="P471" s="4">
        <v>33</v>
      </c>
      <c r="Q471" s="57">
        <v>45455</v>
      </c>
      <c r="R471" s="57">
        <v>45474</v>
      </c>
      <c r="S471" s="113" t="s">
        <v>242</v>
      </c>
      <c r="T471" s="113" t="s">
        <v>242</v>
      </c>
      <c r="U471" s="4" t="s">
        <v>242</v>
      </c>
      <c r="V471" s="4" t="s">
        <v>242</v>
      </c>
      <c r="W471" s="105" t="s">
        <v>1825</v>
      </c>
      <c r="X471" s="114">
        <v>1677714264</v>
      </c>
      <c r="Y471" s="55">
        <v>1844840904</v>
      </c>
      <c r="Z471" s="4" t="s">
        <v>1826</v>
      </c>
      <c r="AA471" s="4">
        <v>1686609889</v>
      </c>
      <c r="AB471" s="4" t="s">
        <v>101</v>
      </c>
      <c r="AC471" s="4" t="s">
        <v>119</v>
      </c>
      <c r="AD471" s="113">
        <v>36171</v>
      </c>
      <c r="AE471" s="107">
        <v>25</v>
      </c>
      <c r="AF471" s="4" t="s">
        <v>80</v>
      </c>
      <c r="AG471" s="114">
        <v>8257924178</v>
      </c>
      <c r="AH471" s="4" t="s">
        <v>81</v>
      </c>
      <c r="AI471" s="55" t="s">
        <v>1182</v>
      </c>
      <c r="AJ471" s="55"/>
      <c r="AK471" s="55">
        <v>2024</v>
      </c>
      <c r="AL471" s="4" t="s">
        <v>1827</v>
      </c>
      <c r="AM471" s="4" t="s">
        <v>1828</v>
      </c>
      <c r="AN471" s="4" t="s">
        <v>1829</v>
      </c>
      <c r="AO471" s="4" t="s">
        <v>1830</v>
      </c>
      <c r="AP471" s="4" t="s">
        <v>1831</v>
      </c>
      <c r="AQ471" s="55" t="s">
        <v>88</v>
      </c>
      <c r="AR471" s="4" t="s">
        <v>89</v>
      </c>
      <c r="AS471" s="4" t="s">
        <v>1832</v>
      </c>
      <c r="AT471" s="72" t="s">
        <v>1833</v>
      </c>
      <c r="AU471" s="4" t="s">
        <v>1834</v>
      </c>
      <c r="AV471" s="4" t="s">
        <v>81</v>
      </c>
      <c r="AW471" s="4" t="s">
        <v>81</v>
      </c>
      <c r="AX471" s="4" t="s">
        <v>81</v>
      </c>
      <c r="AY471" s="4" t="s">
        <v>81</v>
      </c>
      <c r="AZ471" s="4" t="s">
        <v>81</v>
      </c>
      <c r="BA471" s="4" t="s">
        <v>90</v>
      </c>
      <c r="BB471" s="4">
        <v>10800</v>
      </c>
      <c r="BC471" s="4">
        <v>2700</v>
      </c>
      <c r="BD471" s="4">
        <v>1000</v>
      </c>
      <c r="BE471" s="4" t="s">
        <v>166</v>
      </c>
      <c r="BF471" s="4" t="s">
        <v>242</v>
      </c>
      <c r="BG471" s="4" t="s">
        <v>242</v>
      </c>
      <c r="BH471" s="4" t="s">
        <v>3510</v>
      </c>
      <c r="BI471" s="72"/>
      <c r="BJ471" s="154"/>
      <c r="BK471" s="4"/>
      <c r="BL471" s="105"/>
      <c r="BM471" s="9"/>
      <c r="BN471" s="9"/>
      <c r="BO471" s="9"/>
    </row>
    <row r="472" ht="14.4" s="67" customFormat="1">
      <c r="A472" s="4">
        <v>171638</v>
      </c>
      <c r="B472" s="4"/>
      <c r="C472" s="55" t="s">
        <v>1835</v>
      </c>
      <c r="D472" s="4" t="s">
        <v>1836</v>
      </c>
      <c r="E472" s="4" t="s">
        <v>66</v>
      </c>
      <c r="F472" s="55">
        <v>516441</v>
      </c>
      <c r="G472" s="4" t="s">
        <v>67</v>
      </c>
      <c r="H472" s="4" t="s">
        <v>68</v>
      </c>
      <c r="I472" s="4" t="s">
        <v>69</v>
      </c>
      <c r="J472" s="55" t="s">
        <v>1725</v>
      </c>
      <c r="K472" s="4" t="s">
        <v>71</v>
      </c>
      <c r="L472" s="4" t="s">
        <v>72</v>
      </c>
      <c r="M472" s="4" t="str">
        <f>VLOOKUP(A472,[1]Sheet1!$C:$G,5,0)</f>
        <v>Md. Moniruzzaman</v>
      </c>
      <c r="N472" s="4" t="s">
        <v>74</v>
      </c>
      <c r="O472" s="4" t="s">
        <v>75</v>
      </c>
      <c r="P472" s="4">
        <v>34</v>
      </c>
      <c r="Q472" s="57">
        <v>45455</v>
      </c>
      <c r="R472" s="57">
        <v>45475</v>
      </c>
      <c r="S472" s="113"/>
      <c r="T472" s="113"/>
      <c r="U472" s="4"/>
      <c r="V472" s="4"/>
      <c r="W472" s="105" t="s">
        <v>1837</v>
      </c>
      <c r="X472" s="114">
        <v>1814542945</v>
      </c>
      <c r="Y472" s="55">
        <v>1406705202</v>
      </c>
      <c r="Z472" s="4"/>
      <c r="AA472" s="4">
        <v>1775275031</v>
      </c>
      <c r="AB472" s="4" t="s">
        <v>118</v>
      </c>
      <c r="AC472" s="4" t="s">
        <v>79</v>
      </c>
      <c r="AD472" s="113">
        <v>35323</v>
      </c>
      <c r="AE472" s="107"/>
      <c r="AF472" s="4" t="s">
        <v>80</v>
      </c>
      <c r="AG472" s="114">
        <v>7314192852</v>
      </c>
      <c r="AH472" s="4" t="s">
        <v>81</v>
      </c>
      <c r="AI472" s="55" t="s">
        <v>265</v>
      </c>
      <c r="AJ472" s="55" t="s">
        <v>81</v>
      </c>
      <c r="AK472" s="55">
        <v>2021</v>
      </c>
      <c r="AL472" s="4" t="s">
        <v>1838</v>
      </c>
      <c r="AM472" s="4" t="s">
        <v>1839</v>
      </c>
      <c r="AN472" s="4" t="s">
        <v>1840</v>
      </c>
      <c r="AO472" s="4" t="s">
        <v>1841</v>
      </c>
      <c r="AP472" s="4" t="s">
        <v>1842</v>
      </c>
      <c r="AQ472" s="55" t="s">
        <v>1843</v>
      </c>
      <c r="AR472" s="4" t="s">
        <v>110</v>
      </c>
      <c r="AS472" s="4" t="s">
        <v>81</v>
      </c>
      <c r="AT472" s="72" t="s">
        <v>81</v>
      </c>
      <c r="AU472" s="4" t="s">
        <v>81</v>
      </c>
      <c r="AV472" s="4" t="s">
        <v>81</v>
      </c>
      <c r="AW472" s="4" t="s">
        <v>81</v>
      </c>
      <c r="AX472" s="4" t="s">
        <v>81</v>
      </c>
      <c r="AY472" s="4" t="s">
        <v>81</v>
      </c>
      <c r="AZ472" s="4" t="s">
        <v>81</v>
      </c>
      <c r="BA472" s="4" t="s">
        <v>90</v>
      </c>
      <c r="BB472" s="4">
        <v>10800</v>
      </c>
      <c r="BC472" s="4">
        <v>2700</v>
      </c>
      <c r="BD472" s="4">
        <v>0</v>
      </c>
      <c r="BE472" s="4" t="s">
        <v>91</v>
      </c>
      <c r="BF472" s="4"/>
      <c r="BG472" s="4"/>
      <c r="BH472" s="4" t="s">
        <v>3510</v>
      </c>
      <c r="BI472" s="72"/>
      <c r="BJ472" s="154"/>
      <c r="BK472" s="4"/>
      <c r="BL472" s="105"/>
      <c r="BM472" s="9"/>
      <c r="BN472" s="9"/>
      <c r="BO472" s="9"/>
    </row>
    <row r="473" ht="14.4" s="67" customFormat="1">
      <c r="A473" s="4">
        <v>171639</v>
      </c>
      <c r="B473" s="4"/>
      <c r="C473" s="55" t="s">
        <v>1844</v>
      </c>
      <c r="D473" s="4" t="s">
        <v>1845</v>
      </c>
      <c r="E473" s="4" t="s">
        <v>66</v>
      </c>
      <c r="F473" s="55">
        <v>1210821603</v>
      </c>
      <c r="G473" s="4" t="s">
        <v>67</v>
      </c>
      <c r="H473" s="4" t="s">
        <v>68</v>
      </c>
      <c r="I473" s="4" t="s">
        <v>69</v>
      </c>
      <c r="J473" s="55" t="s">
        <v>1846</v>
      </c>
      <c r="K473" s="4" t="s">
        <v>71</v>
      </c>
      <c r="L473" s="4" t="s">
        <v>72</v>
      </c>
      <c r="M473" s="4" t="str">
        <f>VLOOKUP(A473,[1]Sheet1!$C:$G,5,0)</f>
        <v>Md. Moniruzzaman</v>
      </c>
      <c r="N473" s="4" t="s">
        <v>74</v>
      </c>
      <c r="O473" s="4" t="s">
        <v>75</v>
      </c>
      <c r="P473" s="4">
        <v>34</v>
      </c>
      <c r="Q473" s="57">
        <v>45455</v>
      </c>
      <c r="R473" s="57">
        <v>45475</v>
      </c>
      <c r="S473" s="113"/>
      <c r="T473" s="113"/>
      <c r="U473" s="4"/>
      <c r="V473" s="4"/>
      <c r="W473" s="105" t="s">
        <v>1847</v>
      </c>
      <c r="X473" s="114">
        <v>1810653423</v>
      </c>
      <c r="Y473" s="55">
        <v>1707724994</v>
      </c>
      <c r="Z473" s="4" t="s">
        <v>1848</v>
      </c>
      <c r="AA473" s="4">
        <v>1795307366</v>
      </c>
      <c r="AB473" s="4" t="s">
        <v>132</v>
      </c>
      <c r="AC473" s="4" t="s">
        <v>119</v>
      </c>
      <c r="AD473" s="113">
        <v>36427</v>
      </c>
      <c r="AE473" s="107"/>
      <c r="AF473" s="4" t="s">
        <v>80</v>
      </c>
      <c r="AG473" s="114">
        <v>7364272331</v>
      </c>
      <c r="AH473" s="4" t="s">
        <v>1849</v>
      </c>
      <c r="AI473" s="55" t="s">
        <v>1023</v>
      </c>
      <c r="AJ473" s="55" t="s">
        <v>1850</v>
      </c>
      <c r="AK473" s="55">
        <v>2024</v>
      </c>
      <c r="AL473" s="4" t="s">
        <v>1851</v>
      </c>
      <c r="AM473" s="4" t="s">
        <v>1852</v>
      </c>
      <c r="AN473" s="4" t="s">
        <v>1848</v>
      </c>
      <c r="AO473" s="4" t="s">
        <v>1853</v>
      </c>
      <c r="AP473" s="4" t="s">
        <v>1854</v>
      </c>
      <c r="AQ473" s="55" t="s">
        <v>499</v>
      </c>
      <c r="AR473" s="4" t="s">
        <v>89</v>
      </c>
      <c r="AS473" s="4" t="s">
        <v>1855</v>
      </c>
      <c r="AT473" s="72">
        <v>32489</v>
      </c>
      <c r="AU473" s="4" t="s">
        <v>1856</v>
      </c>
      <c r="AV473" s="4" t="s">
        <v>1856</v>
      </c>
      <c r="AW473" s="4" t="s">
        <v>81</v>
      </c>
      <c r="AX473" s="4" t="s">
        <v>81</v>
      </c>
      <c r="AY473" s="4" t="s">
        <v>81</v>
      </c>
      <c r="AZ473" s="4" t="s">
        <v>81</v>
      </c>
      <c r="BA473" s="4" t="s">
        <v>90</v>
      </c>
      <c r="BB473" s="4">
        <v>10800</v>
      </c>
      <c r="BC473" s="4">
        <v>2700</v>
      </c>
      <c r="BD473" s="4">
        <v>0</v>
      </c>
      <c r="BE473" s="4" t="s">
        <v>91</v>
      </c>
      <c r="BF473" s="4"/>
      <c r="BG473" s="4"/>
      <c r="BH473" s="4" t="s">
        <v>3510</v>
      </c>
      <c r="BI473" s="72"/>
      <c r="BJ473" s="154"/>
      <c r="BK473" s="4"/>
      <c r="BL473" s="105"/>
      <c r="BM473" s="9"/>
      <c r="BN473" s="9"/>
      <c r="BO473" s="9"/>
    </row>
    <row r="474" ht="14.4" s="67" customFormat="1">
      <c r="A474" s="4">
        <v>171642</v>
      </c>
      <c r="B474" s="4"/>
      <c r="C474" s="55" t="s">
        <v>1857</v>
      </c>
      <c r="D474" s="4" t="s">
        <v>1858</v>
      </c>
      <c r="E474" s="4" t="s">
        <v>66</v>
      </c>
      <c r="F474" s="55">
        <v>683828</v>
      </c>
      <c r="G474" s="4" t="s">
        <v>67</v>
      </c>
      <c r="H474" s="4" t="s">
        <v>68</v>
      </c>
      <c r="I474" s="4" t="s">
        <v>69</v>
      </c>
      <c r="J474" s="55" t="s">
        <v>1725</v>
      </c>
      <c r="K474" s="4" t="s">
        <v>71</v>
      </c>
      <c r="L474" s="4" t="s">
        <v>72</v>
      </c>
      <c r="M474" s="4" t="str">
        <f>VLOOKUP(A474,[1]Sheet1!$C:$G,5,0)</f>
        <v>Md. Moniruzzaman</v>
      </c>
      <c r="N474" s="4" t="s">
        <v>74</v>
      </c>
      <c r="O474" s="4" t="s">
        <v>75</v>
      </c>
      <c r="P474" s="4">
        <v>34</v>
      </c>
      <c r="Q474" s="57">
        <v>45455</v>
      </c>
      <c r="R474" s="57">
        <v>45475</v>
      </c>
      <c r="S474" s="113"/>
      <c r="T474" s="113"/>
      <c r="U474" s="4"/>
      <c r="V474" s="4"/>
      <c r="W474" s="105" t="s">
        <v>1859</v>
      </c>
      <c r="X474" s="114">
        <v>1314942736</v>
      </c>
      <c r="Y474" s="55">
        <v>1810653423</v>
      </c>
      <c r="Z474" s="4" t="s">
        <v>1860</v>
      </c>
      <c r="AA474" s="4">
        <v>1871969936</v>
      </c>
      <c r="AB474" s="4" t="s">
        <v>433</v>
      </c>
      <c r="AC474" s="4" t="s">
        <v>102</v>
      </c>
      <c r="AD474" s="113">
        <v>35324</v>
      </c>
      <c r="AE474" s="107"/>
      <c r="AF474" s="4" t="s">
        <v>1861</v>
      </c>
      <c r="AG474" s="114">
        <v>3745003982</v>
      </c>
      <c r="AH474" s="4" t="s">
        <v>81</v>
      </c>
      <c r="AI474" s="55" t="s">
        <v>254</v>
      </c>
      <c r="AJ474" s="55" t="s">
        <v>81</v>
      </c>
      <c r="AK474" s="55">
        <v>2020</v>
      </c>
      <c r="AL474" s="4" t="s">
        <v>1862</v>
      </c>
      <c r="AM474" s="4" t="s">
        <v>1863</v>
      </c>
      <c r="AN474" s="4" t="s">
        <v>1864</v>
      </c>
      <c r="AO474" s="4" t="s">
        <v>1865</v>
      </c>
      <c r="AP474" s="4" t="s">
        <v>1866</v>
      </c>
      <c r="AQ474" s="55" t="s">
        <v>1867</v>
      </c>
      <c r="AR474" s="4" t="s">
        <v>367</v>
      </c>
      <c r="AS474" s="4" t="s">
        <v>1860</v>
      </c>
      <c r="AT474" s="72">
        <v>35058</v>
      </c>
      <c r="AU474" s="4" t="s">
        <v>81</v>
      </c>
      <c r="AV474" s="4" t="s">
        <v>81</v>
      </c>
      <c r="AW474" s="4" t="s">
        <v>81</v>
      </c>
      <c r="AX474" s="4" t="s">
        <v>81</v>
      </c>
      <c r="AY474" s="4" t="s">
        <v>81</v>
      </c>
      <c r="AZ474" s="4" t="s">
        <v>81</v>
      </c>
      <c r="BA474" s="4" t="s">
        <v>90</v>
      </c>
      <c r="BB474" s="4">
        <v>10800</v>
      </c>
      <c r="BC474" s="4">
        <v>2700</v>
      </c>
      <c r="BD474" s="4">
        <v>0</v>
      </c>
      <c r="BE474" s="4" t="s">
        <v>91</v>
      </c>
      <c r="BF474" s="4"/>
      <c r="BG474" s="4"/>
      <c r="BH474" s="4" t="s">
        <v>3510</v>
      </c>
      <c r="BI474" s="72"/>
      <c r="BJ474" s="154"/>
      <c r="BK474" s="4"/>
      <c r="BL474" s="105"/>
      <c r="BM474" s="9"/>
      <c r="BN474" s="9"/>
      <c r="BO474" s="9"/>
    </row>
    <row r="475" ht="14.4" s="67" customFormat="1">
      <c r="A475" s="4">
        <v>171666</v>
      </c>
      <c r="B475" s="4"/>
      <c r="C475" s="55" t="s">
        <v>1868</v>
      </c>
      <c r="D475" s="4" t="s">
        <v>1869</v>
      </c>
      <c r="E475" s="4" t="s">
        <v>66</v>
      </c>
      <c r="F475" s="55">
        <v>499130</v>
      </c>
      <c r="G475" s="4" t="s">
        <v>67</v>
      </c>
      <c r="H475" s="4" t="s">
        <v>68</v>
      </c>
      <c r="I475" s="4" t="s">
        <v>69</v>
      </c>
      <c r="J475" s="55" t="s">
        <v>1846</v>
      </c>
      <c r="K475" s="4" t="s">
        <v>71</v>
      </c>
      <c r="L475" s="4" t="s">
        <v>72</v>
      </c>
      <c r="M475" s="4" t="str">
        <f>VLOOKUP(A475,[1]Sheet1!$C:$G,5,0)</f>
        <v>Aminul Islam Sovo</v>
      </c>
      <c r="N475" s="4" t="s">
        <v>74</v>
      </c>
      <c r="O475" s="4" t="s">
        <v>75</v>
      </c>
      <c r="P475" s="4">
        <v>35</v>
      </c>
      <c r="Q475" s="57">
        <v>45466</v>
      </c>
      <c r="R475" s="57">
        <v>45475</v>
      </c>
      <c r="S475" s="113"/>
      <c r="T475" s="113"/>
      <c r="U475" s="4"/>
      <c r="V475" s="4"/>
      <c r="W475" s="105" t="s">
        <v>1870</v>
      </c>
      <c r="X475" s="114">
        <v>1625007459</v>
      </c>
      <c r="Y475" s="55">
        <v>1926807912</v>
      </c>
      <c r="Z475" s="4" t="s">
        <v>1330</v>
      </c>
      <c r="AA475" s="4">
        <v>1931799557</v>
      </c>
      <c r="AB475" s="4" t="s">
        <v>132</v>
      </c>
      <c r="AC475" s="4" t="s">
        <v>133</v>
      </c>
      <c r="AD475" s="113">
        <v>34289</v>
      </c>
      <c r="AE475" s="107"/>
      <c r="AF475" s="4" t="s">
        <v>80</v>
      </c>
      <c r="AG475" s="114">
        <v>3294703271</v>
      </c>
      <c r="AH475" s="4" t="s">
        <v>81</v>
      </c>
      <c r="AI475" s="55" t="s">
        <v>333</v>
      </c>
      <c r="AJ475" s="55" t="s">
        <v>81</v>
      </c>
      <c r="AK475" s="55">
        <v>2018</v>
      </c>
      <c r="AL475" s="4" t="s">
        <v>1871</v>
      </c>
      <c r="AM475" s="4" t="s">
        <v>1872</v>
      </c>
      <c r="AN475" s="4" t="s">
        <v>1330</v>
      </c>
      <c r="AO475" s="4" t="s">
        <v>1873</v>
      </c>
      <c r="AP475" s="4" t="s">
        <v>1874</v>
      </c>
      <c r="AQ475" s="55" t="s">
        <v>223</v>
      </c>
      <c r="AR475" s="4" t="s">
        <v>110</v>
      </c>
      <c r="AS475" s="4" t="s">
        <v>81</v>
      </c>
      <c r="AT475" s="72" t="s">
        <v>81</v>
      </c>
      <c r="AU475" s="4" t="s">
        <v>81</v>
      </c>
      <c r="AV475" s="4" t="s">
        <v>81</v>
      </c>
      <c r="AW475" s="4" t="s">
        <v>81</v>
      </c>
      <c r="AX475" s="4" t="s">
        <v>81</v>
      </c>
      <c r="AY475" s="4" t="s">
        <v>81</v>
      </c>
      <c r="AZ475" s="4" t="s">
        <v>81</v>
      </c>
      <c r="BA475" s="4" t="s">
        <v>90</v>
      </c>
      <c r="BB475" s="4">
        <v>10800</v>
      </c>
      <c r="BC475" s="4">
        <v>2700</v>
      </c>
      <c r="BD475" s="4">
        <v>0</v>
      </c>
      <c r="BE475" s="4" t="s">
        <v>91</v>
      </c>
      <c r="BF475" s="4" t="s">
        <v>242</v>
      </c>
      <c r="BG475" s="4" t="s">
        <v>242</v>
      </c>
      <c r="BH475" s="4" t="s">
        <v>3510</v>
      </c>
      <c r="BI475" s="72"/>
      <c r="BJ475" s="154"/>
      <c r="BK475" s="4"/>
      <c r="BL475" s="105"/>
      <c r="BM475" s="9"/>
      <c r="BN475" s="9"/>
      <c r="BO475" s="9"/>
    </row>
    <row r="476" ht="14.4" s="67" customFormat="1">
      <c r="A476" s="4">
        <v>171667</v>
      </c>
      <c r="B476" s="4"/>
      <c r="C476" s="55" t="s">
        <v>1875</v>
      </c>
      <c r="D476" s="4" t="s">
        <v>1876</v>
      </c>
      <c r="E476" s="4" t="s">
        <v>114</v>
      </c>
      <c r="F476" s="55">
        <v>913292</v>
      </c>
      <c r="G476" s="4" t="s">
        <v>67</v>
      </c>
      <c r="H476" s="4" t="s">
        <v>68</v>
      </c>
      <c r="I476" s="4" t="s">
        <v>69</v>
      </c>
      <c r="J476" s="55" t="s">
        <v>1846</v>
      </c>
      <c r="K476" s="4" t="s">
        <v>71</v>
      </c>
      <c r="L476" s="4" t="s">
        <v>72</v>
      </c>
      <c r="M476" s="4" t="str">
        <f>VLOOKUP(A476,[1]Sheet1!$C:$G,5,0)</f>
        <v>Aminul Islam Sovo</v>
      </c>
      <c r="N476" s="4" t="s">
        <v>74</v>
      </c>
      <c r="O476" s="4" t="s">
        <v>75</v>
      </c>
      <c r="P476" s="4">
        <v>35</v>
      </c>
      <c r="Q476" s="57">
        <v>45466</v>
      </c>
      <c r="R476" s="57">
        <v>45475</v>
      </c>
      <c r="S476" s="113"/>
      <c r="T476" s="113"/>
      <c r="U476" s="4"/>
      <c r="V476" s="4"/>
      <c r="W476" s="105" t="s">
        <v>1877</v>
      </c>
      <c r="X476" s="114">
        <v>1710355308</v>
      </c>
      <c r="Y476" s="55">
        <v>1880385277</v>
      </c>
      <c r="Z476" s="4" t="s">
        <v>101</v>
      </c>
      <c r="AA476" s="4">
        <v>1925885180</v>
      </c>
      <c r="AB476" s="4" t="s">
        <v>101</v>
      </c>
      <c r="AC476" s="4" t="s">
        <v>79</v>
      </c>
      <c r="AD476" s="113">
        <v>35281</v>
      </c>
      <c r="AE476" s="107"/>
      <c r="AF476" s="4" t="s">
        <v>80</v>
      </c>
      <c r="AG476" s="114">
        <v>9565137735</v>
      </c>
      <c r="AH476" s="4" t="s">
        <v>81</v>
      </c>
      <c r="AI476" s="55" t="s">
        <v>723</v>
      </c>
      <c r="AJ476" s="55" t="s">
        <v>81</v>
      </c>
      <c r="AK476" s="55">
        <v>2020</v>
      </c>
      <c r="AL476" s="4" t="s">
        <v>1878</v>
      </c>
      <c r="AM476" s="4" t="s">
        <v>1879</v>
      </c>
      <c r="AN476" s="4" t="s">
        <v>1880</v>
      </c>
      <c r="AO476" s="4" t="s">
        <v>1881</v>
      </c>
      <c r="AP476" s="4" t="s">
        <v>1882</v>
      </c>
      <c r="AQ476" s="55" t="s">
        <v>1883</v>
      </c>
      <c r="AR476" s="4" t="s">
        <v>110</v>
      </c>
      <c r="AS476" s="4" t="s">
        <v>81</v>
      </c>
      <c r="AT476" s="72" t="s">
        <v>81</v>
      </c>
      <c r="AU476" s="4" t="s">
        <v>81</v>
      </c>
      <c r="AV476" s="4" t="s">
        <v>81</v>
      </c>
      <c r="AW476" s="4" t="s">
        <v>81</v>
      </c>
      <c r="AX476" s="4" t="s">
        <v>81</v>
      </c>
      <c r="AY476" s="4" t="s">
        <v>81</v>
      </c>
      <c r="AZ476" s="4" t="s">
        <v>81</v>
      </c>
      <c r="BA476" s="4" t="s">
        <v>90</v>
      </c>
      <c r="BB476" s="4">
        <v>10800</v>
      </c>
      <c r="BC476" s="4">
        <v>2700</v>
      </c>
      <c r="BD476" s="4">
        <v>0</v>
      </c>
      <c r="BE476" s="4" t="s">
        <v>91</v>
      </c>
      <c r="BF476" s="4"/>
      <c r="BG476" s="4"/>
      <c r="BH476" s="4" t="s">
        <v>3510</v>
      </c>
      <c r="BI476" s="72"/>
      <c r="BJ476" s="154"/>
      <c r="BK476" s="4"/>
      <c r="BL476" s="105">
        <v>1957906714</v>
      </c>
      <c r="BM476" s="9"/>
      <c r="BN476" s="9"/>
      <c r="BO476" s="9"/>
    </row>
    <row r="477" ht="14.4" s="67" customFormat="1">
      <c r="A477" s="4">
        <v>171668</v>
      </c>
      <c r="B477" s="4"/>
      <c r="C477" s="55" t="s">
        <v>1884</v>
      </c>
      <c r="D477" s="4" t="s">
        <v>1885</v>
      </c>
      <c r="E477" s="4" t="s">
        <v>114</v>
      </c>
      <c r="F477" s="55" t="s">
        <v>1886</v>
      </c>
      <c r="G477" s="4" t="s">
        <v>67</v>
      </c>
      <c r="H477" s="4" t="s">
        <v>68</v>
      </c>
      <c r="I477" s="4" t="s">
        <v>69</v>
      </c>
      <c r="J477" s="55" t="s">
        <v>1846</v>
      </c>
      <c r="K477" s="4" t="s">
        <v>71</v>
      </c>
      <c r="L477" s="4" t="s">
        <v>72</v>
      </c>
      <c r="M477" s="4" t="str">
        <f>VLOOKUP(A477,[1]Sheet1!$C:$G,5,0)</f>
        <v>Aminul Islam Sovo</v>
      </c>
      <c r="N477" s="4" t="s">
        <v>74</v>
      </c>
      <c r="O477" s="4" t="s">
        <v>75</v>
      </c>
      <c r="P477" s="4">
        <v>35</v>
      </c>
      <c r="Q477" s="57">
        <v>45466</v>
      </c>
      <c r="R477" s="57">
        <v>45475</v>
      </c>
      <c r="S477" s="113"/>
      <c r="T477" s="113"/>
      <c r="U477" s="4"/>
      <c r="V477" s="4"/>
      <c r="W477" s="105" t="s">
        <v>1887</v>
      </c>
      <c r="X477" s="114">
        <v>1717034661</v>
      </c>
      <c r="Y477" s="55">
        <v>1581226265</v>
      </c>
      <c r="Z477" s="4" t="s">
        <v>101</v>
      </c>
      <c r="AA477" s="4">
        <v>1711954448</v>
      </c>
      <c r="AB477" s="4" t="s">
        <v>101</v>
      </c>
      <c r="AC477" s="4" t="s">
        <v>102</v>
      </c>
      <c r="AD477" s="113"/>
      <c r="AE477" s="107"/>
      <c r="AF477" s="4" t="s">
        <v>80</v>
      </c>
      <c r="AG477" s="114">
        <v>4204976353</v>
      </c>
      <c r="AH477" s="4" t="s">
        <v>242</v>
      </c>
      <c r="AI477" s="55" t="s">
        <v>347</v>
      </c>
      <c r="AJ477" s="55" t="s">
        <v>242</v>
      </c>
      <c r="AK477" s="55">
        <v>2023</v>
      </c>
      <c r="AL477" s="4" t="s">
        <v>347</v>
      </c>
      <c r="AM477" s="4" t="s">
        <v>1888</v>
      </c>
      <c r="AN477" s="4" t="s">
        <v>190</v>
      </c>
      <c r="AO477" s="4" t="s">
        <v>1889</v>
      </c>
      <c r="AP477" s="4" t="s">
        <v>1889</v>
      </c>
      <c r="AQ477" s="55" t="s">
        <v>499</v>
      </c>
      <c r="AR477" s="4" t="s">
        <v>89</v>
      </c>
      <c r="AS477" s="4" t="s">
        <v>1890</v>
      </c>
      <c r="AT477" s="72">
        <v>37470</v>
      </c>
      <c r="AU477" s="4" t="s">
        <v>242</v>
      </c>
      <c r="AV477" s="4" t="s">
        <v>242</v>
      </c>
      <c r="AW477" s="4" t="s">
        <v>81</v>
      </c>
      <c r="AX477" s="4" t="s">
        <v>81</v>
      </c>
      <c r="AY477" s="4" t="s">
        <v>81</v>
      </c>
      <c r="AZ477" s="4" t="s">
        <v>81</v>
      </c>
      <c r="BA477" s="4" t="s">
        <v>90</v>
      </c>
      <c r="BB477" s="4">
        <v>10800</v>
      </c>
      <c r="BC477" s="4">
        <v>2700</v>
      </c>
      <c r="BD477" s="4">
        <v>0</v>
      </c>
      <c r="BE477" s="4" t="s">
        <v>91</v>
      </c>
      <c r="BF477" s="4"/>
      <c r="BG477" s="4"/>
      <c r="BH477" s="4" t="s">
        <v>3510</v>
      </c>
      <c r="BI477" s="72"/>
      <c r="BJ477" s="154"/>
      <c r="BK477" s="4"/>
      <c r="BL477" s="105"/>
      <c r="BM477" s="9"/>
      <c r="BN477" s="9"/>
      <c r="BO477" s="9"/>
    </row>
    <row r="478" ht="14.4" s="67" customFormat="1">
      <c r="A478" s="4">
        <v>171672</v>
      </c>
      <c r="B478" s="4"/>
      <c r="C478" s="55" t="s">
        <v>1891</v>
      </c>
      <c r="D478" s="4" t="s">
        <v>1892</v>
      </c>
      <c r="E478" s="4" t="s">
        <v>66</v>
      </c>
      <c r="F478" s="55">
        <v>1110586502</v>
      </c>
      <c r="G478" s="4" t="s">
        <v>67</v>
      </c>
      <c r="H478" s="4" t="s">
        <v>68</v>
      </c>
      <c r="I478" s="4" t="s">
        <v>69</v>
      </c>
      <c r="J478" s="55" t="s">
        <v>1846</v>
      </c>
      <c r="K478" s="4" t="s">
        <v>71</v>
      </c>
      <c r="L478" s="4" t="s">
        <v>72</v>
      </c>
      <c r="M478" s="4" t="str">
        <f>VLOOKUP(A478,[1]Sheet1!$C:$G,5,0)</f>
        <v>Aminul Islam Sovo</v>
      </c>
      <c r="N478" s="4" t="s">
        <v>74</v>
      </c>
      <c r="O478" s="4" t="s">
        <v>75</v>
      </c>
      <c r="P478" s="4">
        <v>35</v>
      </c>
      <c r="Q478" s="57">
        <v>45466</v>
      </c>
      <c r="R478" s="57">
        <v>45475</v>
      </c>
      <c r="S478" s="113"/>
      <c r="T478" s="113"/>
      <c r="U478" s="4"/>
      <c r="V478" s="4"/>
      <c r="W478" s="105" t="s">
        <v>1893</v>
      </c>
      <c r="X478" s="114">
        <v>1730902734</v>
      </c>
      <c r="Y478" s="55">
        <v>1988350481</v>
      </c>
      <c r="Z478" s="4" t="s">
        <v>132</v>
      </c>
      <c r="AA478" s="4">
        <v>1988350481</v>
      </c>
      <c r="AB478" s="4" t="s">
        <v>132</v>
      </c>
      <c r="AC478" s="4" t="s">
        <v>102</v>
      </c>
      <c r="AD478" s="113">
        <v>36445</v>
      </c>
      <c r="AE478" s="107"/>
      <c r="AF478" s="4" t="s">
        <v>80</v>
      </c>
      <c r="AG478" s="114">
        <v>7365290985</v>
      </c>
      <c r="AH478" s="4" t="s">
        <v>81</v>
      </c>
      <c r="AI478" s="55" t="s">
        <v>723</v>
      </c>
      <c r="AJ478" s="55" t="s">
        <v>81</v>
      </c>
      <c r="AK478" s="55">
        <v>2021</v>
      </c>
      <c r="AL478" s="4" t="s">
        <v>81</v>
      </c>
      <c r="AM478" s="4" t="s">
        <v>1894</v>
      </c>
      <c r="AN478" s="4" t="s">
        <v>1895</v>
      </c>
      <c r="AO478" s="4" t="s">
        <v>1896</v>
      </c>
      <c r="AP478" s="4" t="s">
        <v>1897</v>
      </c>
      <c r="AQ478" s="55" t="s">
        <v>1898</v>
      </c>
      <c r="AR478" s="4" t="s">
        <v>89</v>
      </c>
      <c r="AS478" s="4" t="s">
        <v>1899</v>
      </c>
      <c r="AT478" s="72" t="s">
        <v>81</v>
      </c>
      <c r="AU478" s="4" t="s">
        <v>81</v>
      </c>
      <c r="AV478" s="4" t="s">
        <v>81</v>
      </c>
      <c r="AW478" s="4" t="s">
        <v>81</v>
      </c>
      <c r="AX478" s="4" t="s">
        <v>81</v>
      </c>
      <c r="AY478" s="4" t="s">
        <v>81</v>
      </c>
      <c r="AZ478" s="4" t="s">
        <v>81</v>
      </c>
      <c r="BA478" s="4" t="s">
        <v>90</v>
      </c>
      <c r="BB478" s="4">
        <v>10800</v>
      </c>
      <c r="BC478" s="4">
        <v>2700</v>
      </c>
      <c r="BD478" s="4">
        <v>0</v>
      </c>
      <c r="BE478" s="4" t="s">
        <v>91</v>
      </c>
      <c r="BF478" s="4"/>
      <c r="BG478" s="4"/>
      <c r="BH478" s="4" t="s">
        <v>3510</v>
      </c>
      <c r="BI478" s="72"/>
      <c r="BJ478" s="154"/>
      <c r="BK478" s="4"/>
      <c r="BL478" s="105"/>
      <c r="BM478" s="9"/>
      <c r="BN478" s="9"/>
      <c r="BO478" s="9"/>
    </row>
    <row r="479" ht="14.4" s="67" customFormat="1">
      <c r="A479" s="4">
        <v>171673</v>
      </c>
      <c r="B479" s="4"/>
      <c r="C479" s="55" t="s">
        <v>1900</v>
      </c>
      <c r="D479" s="4" t="s">
        <v>1901</v>
      </c>
      <c r="E479" s="4" t="s">
        <v>114</v>
      </c>
      <c r="F479" s="55">
        <v>908898</v>
      </c>
      <c r="G479" s="4" t="s">
        <v>67</v>
      </c>
      <c r="H479" s="4" t="s">
        <v>68</v>
      </c>
      <c r="I479" s="4" t="s">
        <v>69</v>
      </c>
      <c r="J479" s="55" t="s">
        <v>1846</v>
      </c>
      <c r="K479" s="4" t="s">
        <v>71</v>
      </c>
      <c r="L479" s="4" t="s">
        <v>72</v>
      </c>
      <c r="M479" s="4" t="str">
        <f>VLOOKUP(A479,[1]Sheet1!$C:$G,5,0)</f>
        <v>Aminul Islam Sovo</v>
      </c>
      <c r="N479" s="4" t="s">
        <v>74</v>
      </c>
      <c r="O479" s="4" t="s">
        <v>75</v>
      </c>
      <c r="P479" s="4">
        <v>35</v>
      </c>
      <c r="Q479" s="57">
        <v>45466</v>
      </c>
      <c r="R479" s="57">
        <v>45475</v>
      </c>
      <c r="S479" s="113"/>
      <c r="T479" s="113"/>
      <c r="U479" s="4"/>
      <c r="V479" s="4"/>
      <c r="W479" s="105" t="s">
        <v>1902</v>
      </c>
      <c r="X479" s="114">
        <v>1953393882</v>
      </c>
      <c r="Y479" s="55">
        <v>1688309066</v>
      </c>
      <c r="Z479" s="4" t="s">
        <v>1903</v>
      </c>
      <c r="AA479" s="4">
        <v>1688309066</v>
      </c>
      <c r="AB479" s="4" t="s">
        <v>78</v>
      </c>
      <c r="AC479" s="4" t="s">
        <v>1904</v>
      </c>
      <c r="AD479" s="113">
        <v>35286</v>
      </c>
      <c r="AE479" s="107"/>
      <c r="AF479" s="4" t="s">
        <v>80</v>
      </c>
      <c r="AG479" s="114">
        <v>1478661976</v>
      </c>
      <c r="AH479" s="4" t="s">
        <v>81</v>
      </c>
      <c r="AI479" s="55" t="s">
        <v>347</v>
      </c>
      <c r="AJ479" s="55" t="s">
        <v>81</v>
      </c>
      <c r="AK479" s="55">
        <v>2019</v>
      </c>
      <c r="AL479" s="4" t="s">
        <v>1905</v>
      </c>
      <c r="AM479" s="4" t="s">
        <v>1906</v>
      </c>
      <c r="AN479" s="4" t="s">
        <v>715</v>
      </c>
      <c r="AO479" s="4" t="s">
        <v>1907</v>
      </c>
      <c r="AP479" s="4" t="s">
        <v>1908</v>
      </c>
      <c r="AQ479" s="55" t="s">
        <v>1909</v>
      </c>
      <c r="AR479" s="4" t="s">
        <v>89</v>
      </c>
      <c r="AS479" s="4" t="s">
        <v>1903</v>
      </c>
      <c r="AT479" s="72">
        <v>35328</v>
      </c>
      <c r="AU479" s="4" t="s">
        <v>1910</v>
      </c>
      <c r="AV479" s="4">
        <v>43422</v>
      </c>
      <c r="AW479" s="4" t="s">
        <v>81</v>
      </c>
      <c r="AX479" s="4" t="s">
        <v>81</v>
      </c>
      <c r="AY479" s="4" t="s">
        <v>81</v>
      </c>
      <c r="AZ479" s="4" t="s">
        <v>81</v>
      </c>
      <c r="BA479" s="4" t="s">
        <v>90</v>
      </c>
      <c r="BB479" s="4">
        <v>10800</v>
      </c>
      <c r="BC479" s="4">
        <v>2700</v>
      </c>
      <c r="BD479" s="4">
        <v>0</v>
      </c>
      <c r="BE479" s="4" t="s">
        <v>91</v>
      </c>
      <c r="BF479" s="4"/>
      <c r="BG479" s="4"/>
      <c r="BH479" s="4" t="s">
        <v>3510</v>
      </c>
      <c r="BI479" s="72"/>
      <c r="BJ479" s="154"/>
      <c r="BK479" s="4"/>
      <c r="BL479" s="105"/>
      <c r="BM479" s="9"/>
      <c r="BN479" s="9"/>
      <c r="BO479" s="9"/>
    </row>
    <row r="480" ht="14.4" s="67" customFormat="1">
      <c r="A480" s="4">
        <v>171674</v>
      </c>
      <c r="B480" s="4"/>
      <c r="C480" s="55" t="s">
        <v>1911</v>
      </c>
      <c r="D480" s="4" t="s">
        <v>1912</v>
      </c>
      <c r="E480" s="4" t="s">
        <v>66</v>
      </c>
      <c r="F480" s="55" t="s">
        <v>81</v>
      </c>
      <c r="G480" s="4" t="s">
        <v>67</v>
      </c>
      <c r="H480" s="4" t="s">
        <v>68</v>
      </c>
      <c r="I480" s="4" t="s">
        <v>69</v>
      </c>
      <c r="J480" s="55" t="s">
        <v>1846</v>
      </c>
      <c r="K480" s="4" t="s">
        <v>71</v>
      </c>
      <c r="L480" s="4" t="s">
        <v>72</v>
      </c>
      <c r="M480" s="4" t="str">
        <f>VLOOKUP(A480,[1]Sheet1!$C:$G,5,0)</f>
        <v>Aminul Islam Sovo</v>
      </c>
      <c r="N480" s="4" t="s">
        <v>74</v>
      </c>
      <c r="O480" s="4" t="s">
        <v>75</v>
      </c>
      <c r="P480" s="4">
        <v>35</v>
      </c>
      <c r="Q480" s="57">
        <v>45466</v>
      </c>
      <c r="R480" s="57">
        <v>45475</v>
      </c>
      <c r="S480" s="113"/>
      <c r="T480" s="113"/>
      <c r="U480" s="4"/>
      <c r="V480" s="4"/>
      <c r="W480" s="105" t="s">
        <v>1913</v>
      </c>
      <c r="X480" s="114">
        <v>1795846519</v>
      </c>
      <c r="Y480" s="55"/>
      <c r="Z480" s="4" t="s">
        <v>1914</v>
      </c>
      <c r="AA480" s="4">
        <v>1714441518</v>
      </c>
      <c r="AB480" s="4" t="s">
        <v>132</v>
      </c>
      <c r="AC480" s="4" t="s">
        <v>133</v>
      </c>
      <c r="AD480" s="113">
        <v>35753</v>
      </c>
      <c r="AE480" s="107"/>
      <c r="AF480" s="4" t="s">
        <v>80</v>
      </c>
      <c r="AG480" s="114">
        <v>5555639789</v>
      </c>
      <c r="AH480" s="4" t="s">
        <v>81</v>
      </c>
      <c r="AI480" s="55" t="s">
        <v>332</v>
      </c>
      <c r="AJ480" s="55" t="s">
        <v>81</v>
      </c>
      <c r="AK480" s="55">
        <v>2020</v>
      </c>
      <c r="AL480" s="4" t="s">
        <v>1915</v>
      </c>
      <c r="AM480" s="4" t="s">
        <v>1916</v>
      </c>
      <c r="AN480" s="4" t="s">
        <v>1914</v>
      </c>
      <c r="AO480" s="4" t="s">
        <v>1917</v>
      </c>
      <c r="AP480" s="4" t="s">
        <v>1917</v>
      </c>
      <c r="AQ480" s="55" t="s">
        <v>88</v>
      </c>
      <c r="AR480" s="4" t="s">
        <v>110</v>
      </c>
      <c r="AS480" s="4" t="s">
        <v>81</v>
      </c>
      <c r="AT480" s="72" t="s">
        <v>81</v>
      </c>
      <c r="AU480" s="4" t="s">
        <v>81</v>
      </c>
      <c r="AV480" s="4" t="s">
        <v>81</v>
      </c>
      <c r="AW480" s="4" t="s">
        <v>81</v>
      </c>
      <c r="AX480" s="4" t="s">
        <v>81</v>
      </c>
      <c r="AY480" s="4" t="s">
        <v>81</v>
      </c>
      <c r="AZ480" s="4" t="s">
        <v>81</v>
      </c>
      <c r="BA480" s="4" t="s">
        <v>90</v>
      </c>
      <c r="BB480" s="4">
        <v>10800</v>
      </c>
      <c r="BC480" s="4">
        <v>2700</v>
      </c>
      <c r="BD480" s="4">
        <v>0</v>
      </c>
      <c r="BE480" s="4" t="s">
        <v>91</v>
      </c>
      <c r="BF480" s="4" t="s">
        <v>242</v>
      </c>
      <c r="BG480" s="4" t="s">
        <v>242</v>
      </c>
      <c r="BH480" s="4" t="s">
        <v>3510</v>
      </c>
      <c r="BI480" s="72"/>
      <c r="BJ480" s="154"/>
      <c r="BK480" s="4"/>
      <c r="BL480" s="105"/>
      <c r="BM480" s="9"/>
      <c r="BN480" s="9"/>
      <c r="BO480" s="9"/>
    </row>
    <row r="481" ht="14.4" s="67" customFormat="1">
      <c r="A481" s="4">
        <v>171681</v>
      </c>
      <c r="B481" s="4"/>
      <c r="C481" s="55" t="s">
        <v>1918</v>
      </c>
      <c r="D481" s="4" t="s">
        <v>1919</v>
      </c>
      <c r="E481" s="4" t="s">
        <v>66</v>
      </c>
      <c r="F481" s="55">
        <v>1110342206</v>
      </c>
      <c r="G481" s="4" t="s">
        <v>67</v>
      </c>
      <c r="H481" s="4" t="s">
        <v>68</v>
      </c>
      <c r="I481" s="4" t="s">
        <v>69</v>
      </c>
      <c r="J481" s="55" t="s">
        <v>1725</v>
      </c>
      <c r="K481" s="4" t="s">
        <v>71</v>
      </c>
      <c r="L481" s="4" t="s">
        <v>72</v>
      </c>
      <c r="M481" s="4" t="str">
        <f>VLOOKUP(A481,[1]Sheet1!$C:$G,5,0)</f>
        <v>Aminul Islam Sovo</v>
      </c>
      <c r="N481" s="4" t="s">
        <v>74</v>
      </c>
      <c r="O481" s="4" t="s">
        <v>75</v>
      </c>
      <c r="P481" s="4">
        <v>35</v>
      </c>
      <c r="Q481" s="57">
        <v>45466</v>
      </c>
      <c r="R481" s="57">
        <v>45475</v>
      </c>
      <c r="S481" s="113"/>
      <c r="T481" s="113"/>
      <c r="U481" s="4"/>
      <c r="V481" s="4"/>
      <c r="W481" s="105" t="s">
        <v>1920</v>
      </c>
      <c r="X481" s="114">
        <v>1642152093</v>
      </c>
      <c r="Y481" s="55">
        <v>1710355308</v>
      </c>
      <c r="Z481" s="4"/>
      <c r="AA481" s="4">
        <v>1729863670</v>
      </c>
      <c r="AB481" s="4" t="s">
        <v>81</v>
      </c>
      <c r="AC481" s="4" t="s">
        <v>119</v>
      </c>
      <c r="AD481" s="113">
        <v>36120</v>
      </c>
      <c r="AE481" s="107"/>
      <c r="AF481" s="4" t="s">
        <v>80</v>
      </c>
      <c r="AG481" s="114">
        <v>2405108305</v>
      </c>
      <c r="AH481" s="4" t="s">
        <v>81</v>
      </c>
      <c r="AI481" s="55" t="s">
        <v>1921</v>
      </c>
      <c r="AJ481" s="55" t="s">
        <v>81</v>
      </c>
      <c r="AK481" s="55" t="s">
        <v>81</v>
      </c>
      <c r="AL481" s="4" t="s">
        <v>1921</v>
      </c>
      <c r="AM481" s="4" t="s">
        <v>1922</v>
      </c>
      <c r="AN481" s="4" t="s">
        <v>1923</v>
      </c>
      <c r="AO481" s="4" t="s">
        <v>1924</v>
      </c>
      <c r="AP481" s="4" t="s">
        <v>1925</v>
      </c>
      <c r="AQ481" s="55" t="s">
        <v>1209</v>
      </c>
      <c r="AR481" s="4" t="s">
        <v>260</v>
      </c>
      <c r="AS481" s="4" t="s">
        <v>81</v>
      </c>
      <c r="AT481" s="72" t="s">
        <v>81</v>
      </c>
      <c r="AU481" s="4" t="s">
        <v>81</v>
      </c>
      <c r="AV481" s="4" t="s">
        <v>81</v>
      </c>
      <c r="AW481" s="4" t="s">
        <v>81</v>
      </c>
      <c r="AX481" s="4" t="s">
        <v>81</v>
      </c>
      <c r="AY481" s="4" t="s">
        <v>81</v>
      </c>
      <c r="AZ481" s="4" t="s">
        <v>81</v>
      </c>
      <c r="BA481" s="4" t="s">
        <v>90</v>
      </c>
      <c r="BB481" s="4">
        <v>10800</v>
      </c>
      <c r="BC481" s="4">
        <v>2700</v>
      </c>
      <c r="BD481" s="4">
        <v>0</v>
      </c>
      <c r="BE481" s="4" t="s">
        <v>91</v>
      </c>
      <c r="BF481" s="4" t="s">
        <v>242</v>
      </c>
      <c r="BG481" s="4" t="s">
        <v>242</v>
      </c>
      <c r="BH481" s="4" t="s">
        <v>3510</v>
      </c>
      <c r="BI481" s="72"/>
      <c r="BJ481" s="154"/>
      <c r="BK481" s="4"/>
      <c r="BL481" s="105"/>
      <c r="BM481" s="9"/>
      <c r="BN481" s="9"/>
      <c r="BO481" s="9"/>
    </row>
    <row r="482" ht="14.4" s="67" customFormat="1">
      <c r="A482" s="4">
        <v>171682</v>
      </c>
      <c r="B482" s="4"/>
      <c r="C482" s="55" t="s">
        <v>1926</v>
      </c>
      <c r="D482" s="4" t="s">
        <v>882</v>
      </c>
      <c r="E482" s="4" t="s">
        <v>66</v>
      </c>
      <c r="F482" s="55">
        <v>172394</v>
      </c>
      <c r="G482" s="4" t="s">
        <v>67</v>
      </c>
      <c r="H482" s="4" t="s">
        <v>68</v>
      </c>
      <c r="I482" s="4" t="s">
        <v>69</v>
      </c>
      <c r="J482" s="55" t="s">
        <v>1725</v>
      </c>
      <c r="K482" s="4" t="s">
        <v>71</v>
      </c>
      <c r="L482" s="4" t="s">
        <v>72</v>
      </c>
      <c r="M482" s="4" t="str">
        <f>VLOOKUP(A482,[1]Sheet1!$C:$G,5,0)</f>
        <v>Md. Moniruzzaman</v>
      </c>
      <c r="N482" s="4" t="s">
        <v>74</v>
      </c>
      <c r="O482" s="4" t="s">
        <v>75</v>
      </c>
      <c r="P482" s="4">
        <v>35</v>
      </c>
      <c r="Q482" s="57">
        <v>45466</v>
      </c>
      <c r="R482" s="57">
        <v>45475</v>
      </c>
      <c r="S482" s="113"/>
      <c r="T482" s="113"/>
      <c r="U482" s="4"/>
      <c r="V482" s="4"/>
      <c r="W482" s="105" t="s">
        <v>1927</v>
      </c>
      <c r="X482" s="114">
        <v>1732732753</v>
      </c>
      <c r="Y482" s="55">
        <v>1886034655</v>
      </c>
      <c r="Z482" s="4" t="s">
        <v>1928</v>
      </c>
      <c r="AA482" s="4">
        <v>1717034667</v>
      </c>
      <c r="AB482" s="4" t="s">
        <v>410</v>
      </c>
      <c r="AC482" s="4" t="s">
        <v>119</v>
      </c>
      <c r="AD482" s="113">
        <v>34123</v>
      </c>
      <c r="AE482" s="107"/>
      <c r="AF482" s="4" t="s">
        <v>80</v>
      </c>
      <c r="AG482" s="114">
        <v>1450751613</v>
      </c>
      <c r="AH482" s="4" t="s">
        <v>81</v>
      </c>
      <c r="AI482" s="55" t="s">
        <v>1929</v>
      </c>
      <c r="AJ482" s="55" t="s">
        <v>81</v>
      </c>
      <c r="AK482" s="55">
        <v>2019</v>
      </c>
      <c r="AL482" s="4" t="s">
        <v>1930</v>
      </c>
      <c r="AM482" s="4" t="s">
        <v>1931</v>
      </c>
      <c r="AN482" s="4" t="s">
        <v>1932</v>
      </c>
      <c r="AO482" s="4" t="s">
        <v>1933</v>
      </c>
      <c r="AP482" s="4" t="s">
        <v>1934</v>
      </c>
      <c r="AQ482" s="55" t="s">
        <v>555</v>
      </c>
      <c r="AR482" s="4" t="s">
        <v>89</v>
      </c>
      <c r="AS482" s="4" t="s">
        <v>1928</v>
      </c>
      <c r="AT482" s="72">
        <v>34031</v>
      </c>
      <c r="AU482" s="4" t="s">
        <v>81</v>
      </c>
      <c r="AV482" s="4" t="s">
        <v>81</v>
      </c>
      <c r="AW482" s="4" t="s">
        <v>81</v>
      </c>
      <c r="AX482" s="4" t="s">
        <v>81</v>
      </c>
      <c r="AY482" s="4" t="s">
        <v>81</v>
      </c>
      <c r="AZ482" s="4" t="s">
        <v>81</v>
      </c>
      <c r="BA482" s="4" t="s">
        <v>90</v>
      </c>
      <c r="BB482" s="4">
        <v>10800</v>
      </c>
      <c r="BC482" s="4">
        <v>2700</v>
      </c>
      <c r="BD482" s="4">
        <v>0</v>
      </c>
      <c r="BE482" s="4" t="s">
        <v>91</v>
      </c>
      <c r="BF482" s="4" t="s">
        <v>242</v>
      </c>
      <c r="BG482" s="4" t="s">
        <v>242</v>
      </c>
      <c r="BH482" s="4" t="s">
        <v>3510</v>
      </c>
      <c r="BI482" s="72"/>
      <c r="BJ482" s="154"/>
      <c r="BK482" s="4"/>
      <c r="BL482" s="105"/>
      <c r="BM482" s="9"/>
      <c r="BN482" s="9"/>
      <c r="BO482" s="9"/>
    </row>
    <row r="483" ht="28.8" s="67" customFormat="1">
      <c r="A483" s="4">
        <v>171684</v>
      </c>
      <c r="B483" s="4"/>
      <c r="C483" s="55" t="s">
        <v>1935</v>
      </c>
      <c r="D483" s="4" t="s">
        <v>1936</v>
      </c>
      <c r="E483" s="4" t="s">
        <v>66</v>
      </c>
      <c r="F483" s="55">
        <v>1210533041</v>
      </c>
      <c r="G483" s="4" t="s">
        <v>67</v>
      </c>
      <c r="H483" s="4" t="s">
        <v>68</v>
      </c>
      <c r="I483" s="4" t="s">
        <v>69</v>
      </c>
      <c r="J483" s="55" t="s">
        <v>1725</v>
      </c>
      <c r="K483" s="4" t="s">
        <v>71</v>
      </c>
      <c r="L483" s="4" t="s">
        <v>72</v>
      </c>
      <c r="M483" s="4" t="str">
        <f>VLOOKUP(A483,[1]Sheet1!$C:$G,5,0)</f>
        <v>Md. Moniruzzaman</v>
      </c>
      <c r="N483" s="4" t="s">
        <v>74</v>
      </c>
      <c r="O483" s="4" t="s">
        <v>75</v>
      </c>
      <c r="P483" s="4">
        <v>35</v>
      </c>
      <c r="Q483" s="57">
        <v>45466</v>
      </c>
      <c r="R483" s="57">
        <v>45475</v>
      </c>
      <c r="S483" s="113"/>
      <c r="T483" s="113"/>
      <c r="U483" s="4"/>
      <c r="V483" s="4"/>
      <c r="W483" s="105" t="s">
        <v>1937</v>
      </c>
      <c r="X483" s="114">
        <v>1832955464</v>
      </c>
      <c r="Y483" s="55">
        <v>1762691699</v>
      </c>
      <c r="Z483" s="4" t="s">
        <v>1938</v>
      </c>
      <c r="AA483" s="4">
        <v>1762691699</v>
      </c>
      <c r="AB483" s="4" t="s">
        <v>252</v>
      </c>
      <c r="AC483" s="4" t="s">
        <v>119</v>
      </c>
      <c r="AD483" s="113">
        <v>36351</v>
      </c>
      <c r="AE483" s="107"/>
      <c r="AF483" s="4" t="s">
        <v>673</v>
      </c>
      <c r="AG483" s="114">
        <v>2862222250</v>
      </c>
      <c r="AH483" s="4" t="s">
        <v>81</v>
      </c>
      <c r="AI483" s="55" t="s">
        <v>1939</v>
      </c>
      <c r="AJ483" s="55" t="s">
        <v>1940</v>
      </c>
      <c r="AK483" s="55">
        <v>2022</v>
      </c>
      <c r="AL483" s="4" t="s">
        <v>1941</v>
      </c>
      <c r="AM483" s="4" t="s">
        <v>1942</v>
      </c>
      <c r="AN483" s="4" t="s">
        <v>1943</v>
      </c>
      <c r="AO483" s="4" t="s">
        <v>1944</v>
      </c>
      <c r="AP483" s="4" t="s">
        <v>1945</v>
      </c>
      <c r="AQ483" s="55" t="s">
        <v>1946</v>
      </c>
      <c r="AR483" s="4" t="s">
        <v>81</v>
      </c>
      <c r="AS483" s="4" t="s">
        <v>81</v>
      </c>
      <c r="AT483" s="72" t="s">
        <v>81</v>
      </c>
      <c r="AU483" s="4" t="s">
        <v>81</v>
      </c>
      <c r="AV483" s="4" t="s">
        <v>81</v>
      </c>
      <c r="AW483" s="4" t="s">
        <v>81</v>
      </c>
      <c r="AX483" s="4" t="s">
        <v>81</v>
      </c>
      <c r="AY483" s="4" t="s">
        <v>81</v>
      </c>
      <c r="AZ483" s="4" t="s">
        <v>81</v>
      </c>
      <c r="BA483" s="4" t="s">
        <v>90</v>
      </c>
      <c r="BB483" s="4">
        <v>10800</v>
      </c>
      <c r="BC483" s="4">
        <v>2700</v>
      </c>
      <c r="BD483" s="4">
        <v>0</v>
      </c>
      <c r="BE483" s="4" t="s">
        <v>91</v>
      </c>
      <c r="BF483" s="4" t="s">
        <v>242</v>
      </c>
      <c r="BG483" s="4" t="s">
        <v>242</v>
      </c>
      <c r="BH483" s="4" t="s">
        <v>3510</v>
      </c>
      <c r="BI483" s="72"/>
      <c r="BJ483" s="154"/>
      <c r="BK483" s="4"/>
      <c r="BL483" s="105"/>
      <c r="BM483" s="9"/>
      <c r="BN483" s="9"/>
      <c r="BO483" s="9"/>
    </row>
    <row r="484" ht="14.4" s="67" customFormat="1">
      <c r="A484" s="4">
        <v>171686</v>
      </c>
      <c r="B484" s="4"/>
      <c r="C484" s="55" t="s">
        <v>1947</v>
      </c>
      <c r="D484" s="4" t="s">
        <v>1948</v>
      </c>
      <c r="E484" s="4" t="s">
        <v>66</v>
      </c>
      <c r="F484" s="55">
        <v>1210881392</v>
      </c>
      <c r="G484" s="4" t="s">
        <v>67</v>
      </c>
      <c r="H484" s="4" t="s">
        <v>68</v>
      </c>
      <c r="I484" s="4" t="s">
        <v>69</v>
      </c>
      <c r="J484" s="55" t="s">
        <v>1725</v>
      </c>
      <c r="K484" s="4" t="s">
        <v>71</v>
      </c>
      <c r="L484" s="4" t="s">
        <v>72</v>
      </c>
      <c r="M484" s="4" t="str">
        <f>VLOOKUP(A484,[1]Sheet1!$C:$G,5,0)</f>
        <v>Md. Moniruzzaman</v>
      </c>
      <c r="N484" s="4" t="s">
        <v>74</v>
      </c>
      <c r="O484" s="4" t="s">
        <v>75</v>
      </c>
      <c r="P484" s="4">
        <v>35</v>
      </c>
      <c r="Q484" s="57">
        <v>45466</v>
      </c>
      <c r="R484" s="57">
        <v>45475</v>
      </c>
      <c r="S484" s="113"/>
      <c r="T484" s="113"/>
      <c r="U484" s="4"/>
      <c r="V484" s="4"/>
      <c r="W484" s="105" t="s">
        <v>1949</v>
      </c>
      <c r="X484" s="114">
        <v>1765681839</v>
      </c>
      <c r="Y484" s="55">
        <v>1942642669</v>
      </c>
      <c r="Z484" s="4" t="s">
        <v>1950</v>
      </c>
      <c r="AA484" s="4">
        <v>1933754636</v>
      </c>
      <c r="AB484" s="4" t="s">
        <v>132</v>
      </c>
      <c r="AC484" s="4" t="s">
        <v>79</v>
      </c>
      <c r="AD484" s="113">
        <v>36220</v>
      </c>
      <c r="AE484" s="107"/>
      <c r="AF484" s="4" t="s">
        <v>360</v>
      </c>
      <c r="AG484" s="114">
        <v>4654457433</v>
      </c>
      <c r="AH484" s="4" t="s">
        <v>81</v>
      </c>
      <c r="AI484" s="55" t="s">
        <v>1951</v>
      </c>
      <c r="AJ484" s="55" t="s">
        <v>1952</v>
      </c>
      <c r="AK484" s="55">
        <v>2021</v>
      </c>
      <c r="AL484" s="4" t="s">
        <v>1953</v>
      </c>
      <c r="AM484" s="4" t="s">
        <v>1954</v>
      </c>
      <c r="AN484" s="4" t="s">
        <v>1950</v>
      </c>
      <c r="AO484" s="4" t="s">
        <v>1955</v>
      </c>
      <c r="AP484" s="4" t="s">
        <v>1956</v>
      </c>
      <c r="AQ484" s="55" t="s">
        <v>1957</v>
      </c>
      <c r="AR484" s="4" t="s">
        <v>110</v>
      </c>
      <c r="AS484" s="4" t="s">
        <v>81</v>
      </c>
      <c r="AT484" s="72" t="s">
        <v>81</v>
      </c>
      <c r="AU484" s="4" t="s">
        <v>81</v>
      </c>
      <c r="AV484" s="4" t="s">
        <v>81</v>
      </c>
      <c r="AW484" s="4" t="s">
        <v>81</v>
      </c>
      <c r="AX484" s="4" t="s">
        <v>81</v>
      </c>
      <c r="AY484" s="4" t="s">
        <v>81</v>
      </c>
      <c r="AZ484" s="4" t="s">
        <v>81</v>
      </c>
      <c r="BA484" s="4" t="s">
        <v>90</v>
      </c>
      <c r="BB484" s="4">
        <v>10800</v>
      </c>
      <c r="BC484" s="4">
        <v>2700</v>
      </c>
      <c r="BD484" s="4">
        <v>0</v>
      </c>
      <c r="BE484" s="4" t="s">
        <v>91</v>
      </c>
      <c r="BF484" s="4" t="s">
        <v>242</v>
      </c>
      <c r="BG484" s="4" t="s">
        <v>242</v>
      </c>
      <c r="BH484" s="4" t="s">
        <v>3510</v>
      </c>
      <c r="BI484" s="72"/>
      <c r="BJ484" s="154"/>
      <c r="BK484" s="4"/>
      <c r="BL484" s="105"/>
      <c r="BM484" s="9"/>
      <c r="BN484" s="9"/>
      <c r="BO484" s="9"/>
    </row>
    <row r="485" ht="14.4" s="67" customFormat="1">
      <c r="A485" s="4">
        <v>171687</v>
      </c>
      <c r="B485" s="4"/>
      <c r="C485" s="55" t="s">
        <v>1958</v>
      </c>
      <c r="D485" s="4" t="s">
        <v>1959</v>
      </c>
      <c r="E485" s="4" t="s">
        <v>66</v>
      </c>
      <c r="F485" s="55" t="s">
        <v>1960</v>
      </c>
      <c r="G485" s="4" t="s">
        <v>67</v>
      </c>
      <c r="H485" s="4" t="s">
        <v>68</v>
      </c>
      <c r="I485" s="4" t="s">
        <v>69</v>
      </c>
      <c r="J485" s="55" t="s">
        <v>1725</v>
      </c>
      <c r="K485" s="4" t="s">
        <v>71</v>
      </c>
      <c r="L485" s="4" t="s">
        <v>72</v>
      </c>
      <c r="M485" s="4" t="str">
        <f>VLOOKUP(A485,[1]Sheet1!$C:$G,5,0)</f>
        <v>Md. Moniruzzaman</v>
      </c>
      <c r="N485" s="4" t="s">
        <v>74</v>
      </c>
      <c r="O485" s="4" t="s">
        <v>75</v>
      </c>
      <c r="P485" s="4">
        <v>35</v>
      </c>
      <c r="Q485" s="57">
        <v>45466</v>
      </c>
      <c r="R485" s="57">
        <v>45475</v>
      </c>
      <c r="S485" s="113"/>
      <c r="T485" s="113"/>
      <c r="U485" s="4"/>
      <c r="V485" s="4"/>
      <c r="W485" s="105" t="s">
        <v>1961</v>
      </c>
      <c r="X485" s="114">
        <v>1785454260</v>
      </c>
      <c r="Y485" s="55">
        <v>1533403027</v>
      </c>
      <c r="Z485" s="4" t="s">
        <v>81</v>
      </c>
      <c r="AA485" s="4"/>
      <c r="AB485" s="4" t="s">
        <v>81</v>
      </c>
      <c r="AC485" s="4" t="s">
        <v>79</v>
      </c>
      <c r="AD485" s="113">
        <v>35442</v>
      </c>
      <c r="AE485" s="107"/>
      <c r="AF485" s="4" t="s">
        <v>80</v>
      </c>
      <c r="AG485" s="114">
        <v>6452894675</v>
      </c>
      <c r="AH485" s="4" t="s">
        <v>81</v>
      </c>
      <c r="AI485" s="55" t="s">
        <v>254</v>
      </c>
      <c r="AJ485" s="55" t="s">
        <v>1962</v>
      </c>
      <c r="AK485" s="55">
        <v>2024</v>
      </c>
      <c r="AL485" s="4" t="s">
        <v>1962</v>
      </c>
      <c r="AM485" s="4" t="s">
        <v>1963</v>
      </c>
      <c r="AN485" s="4" t="s">
        <v>1964</v>
      </c>
      <c r="AO485" s="4" t="s">
        <v>1965</v>
      </c>
      <c r="AP485" s="4" t="s">
        <v>81</v>
      </c>
      <c r="AQ485" s="55" t="s">
        <v>88</v>
      </c>
      <c r="AR485" s="4" t="s">
        <v>89</v>
      </c>
      <c r="AS485" s="4" t="s">
        <v>1966</v>
      </c>
      <c r="AT485" s="72">
        <v>33315</v>
      </c>
      <c r="AU485" s="4" t="s">
        <v>1967</v>
      </c>
      <c r="AV485" s="4">
        <v>43942</v>
      </c>
      <c r="AW485" s="4" t="s">
        <v>81</v>
      </c>
      <c r="AX485" s="4" t="s">
        <v>81</v>
      </c>
      <c r="AY485" s="4" t="s">
        <v>81</v>
      </c>
      <c r="AZ485" s="4" t="s">
        <v>81</v>
      </c>
      <c r="BA485" s="4" t="s">
        <v>90</v>
      </c>
      <c r="BB485" s="4">
        <v>10800</v>
      </c>
      <c r="BC485" s="4">
        <v>2700</v>
      </c>
      <c r="BD485" s="4">
        <v>0</v>
      </c>
      <c r="BE485" s="4" t="s">
        <v>91</v>
      </c>
      <c r="BF485" s="4" t="s">
        <v>242</v>
      </c>
      <c r="BG485" s="4" t="s">
        <v>242</v>
      </c>
      <c r="BH485" s="4" t="s">
        <v>3510</v>
      </c>
      <c r="BI485" s="72"/>
      <c r="BJ485" s="154"/>
      <c r="BK485" s="4"/>
      <c r="BL485" s="105"/>
      <c r="BM485" s="9"/>
      <c r="BN485" s="9"/>
      <c r="BO485" s="9"/>
    </row>
    <row r="486" ht="14.4" s="67" customFormat="1">
      <c r="A486" s="4">
        <v>171691</v>
      </c>
      <c r="B486" s="4"/>
      <c r="C486" s="55" t="s">
        <v>1968</v>
      </c>
      <c r="D486" s="4" t="s">
        <v>1969</v>
      </c>
      <c r="E486" s="4" t="s">
        <v>114</v>
      </c>
      <c r="F486" s="55">
        <v>1010684459</v>
      </c>
      <c r="G486" s="4" t="s">
        <v>67</v>
      </c>
      <c r="H486" s="4" t="s">
        <v>68</v>
      </c>
      <c r="I486" s="4" t="s">
        <v>69</v>
      </c>
      <c r="J486" s="55" t="s">
        <v>1970</v>
      </c>
      <c r="K486" s="4" t="s">
        <v>71</v>
      </c>
      <c r="L486" s="4" t="s">
        <v>72</v>
      </c>
      <c r="M486" s="4" t="str">
        <f>VLOOKUP(A486,[1]Sheet1!$C:$G,5,0)</f>
        <v>Aminul Islam Sovo</v>
      </c>
      <c r="N486" s="4" t="s">
        <v>74</v>
      </c>
      <c r="O486" s="4" t="s">
        <v>75</v>
      </c>
      <c r="P486" s="4">
        <v>35</v>
      </c>
      <c r="Q486" s="57">
        <v>45466</v>
      </c>
      <c r="R486" s="57">
        <v>45475</v>
      </c>
      <c r="S486" s="113"/>
      <c r="T486" s="113"/>
      <c r="U486" s="4"/>
      <c r="V486" s="4"/>
      <c r="W486" s="105" t="s">
        <v>1971</v>
      </c>
      <c r="X486" s="114">
        <v>1760906767</v>
      </c>
      <c r="Y486" s="55">
        <v>1879791669</v>
      </c>
      <c r="Z486" s="4" t="s">
        <v>1972</v>
      </c>
      <c r="AA486" s="4">
        <v>1734331304</v>
      </c>
      <c r="AB486" s="4" t="s">
        <v>132</v>
      </c>
      <c r="AC486" s="4" t="s">
        <v>133</v>
      </c>
      <c r="AD486" s="113">
        <v>35603</v>
      </c>
      <c r="AE486" s="107"/>
      <c r="AF486" s="4" t="s">
        <v>80</v>
      </c>
      <c r="AG486" s="114">
        <v>9576937420</v>
      </c>
      <c r="AH486" s="4" t="s">
        <v>81</v>
      </c>
      <c r="AI486" s="55" t="s">
        <v>347</v>
      </c>
      <c r="AJ486" s="55" t="s">
        <v>333</v>
      </c>
      <c r="AK486" s="55">
        <v>2020</v>
      </c>
      <c r="AL486" s="4" t="s">
        <v>209</v>
      </c>
      <c r="AM486" s="4" t="s">
        <v>1973</v>
      </c>
      <c r="AN486" s="4" t="s">
        <v>1972</v>
      </c>
      <c r="AO486" s="4" t="s">
        <v>1974</v>
      </c>
      <c r="AP486" s="4" t="s">
        <v>1975</v>
      </c>
      <c r="AQ486" s="55" t="s">
        <v>203</v>
      </c>
      <c r="AR486" s="4" t="s">
        <v>110</v>
      </c>
      <c r="AS486" s="4" t="s">
        <v>81</v>
      </c>
      <c r="AT486" s="72" t="s">
        <v>81</v>
      </c>
      <c r="AU486" s="4" t="s">
        <v>81</v>
      </c>
      <c r="AV486" s="4" t="s">
        <v>81</v>
      </c>
      <c r="AW486" s="4" t="s">
        <v>81</v>
      </c>
      <c r="AX486" s="4" t="s">
        <v>81</v>
      </c>
      <c r="AY486" s="4" t="s">
        <v>81</v>
      </c>
      <c r="AZ486" s="4" t="s">
        <v>81</v>
      </c>
      <c r="BA486" s="4" t="s">
        <v>90</v>
      </c>
      <c r="BB486" s="4">
        <v>10800</v>
      </c>
      <c r="BC486" s="4">
        <v>2700</v>
      </c>
      <c r="BD486" s="4">
        <v>0</v>
      </c>
      <c r="BE486" s="4" t="s">
        <v>91</v>
      </c>
      <c r="BF486" s="4" t="s">
        <v>242</v>
      </c>
      <c r="BG486" s="4" t="s">
        <v>242</v>
      </c>
      <c r="BH486" s="4" t="s">
        <v>3510</v>
      </c>
      <c r="BI486" s="72"/>
      <c r="BJ486" s="154"/>
      <c r="BK486" s="4"/>
      <c r="BL486" s="105"/>
      <c r="BM486" s="9"/>
      <c r="BN486" s="9"/>
      <c r="BO486" s="9"/>
    </row>
    <row r="487" ht="14.4" s="67" customFormat="1">
      <c r="A487" s="4">
        <v>171692</v>
      </c>
      <c r="B487" s="4"/>
      <c r="C487" s="55" t="s">
        <v>1976</v>
      </c>
      <c r="D487" s="4" t="s">
        <v>1977</v>
      </c>
      <c r="E487" s="4" t="s">
        <v>114</v>
      </c>
      <c r="F487" s="55">
        <v>810205</v>
      </c>
      <c r="G487" s="4" t="s">
        <v>67</v>
      </c>
      <c r="H487" s="4" t="s">
        <v>68</v>
      </c>
      <c r="I487" s="4" t="s">
        <v>69</v>
      </c>
      <c r="J487" s="55" t="s">
        <v>1970</v>
      </c>
      <c r="K487" s="4" t="s">
        <v>71</v>
      </c>
      <c r="L487" s="4" t="s">
        <v>72</v>
      </c>
      <c r="M487" s="4" t="str">
        <f>VLOOKUP(A487,[1]Sheet1!$C:$G,5,0)</f>
        <v>Aminul Islam Sovo</v>
      </c>
      <c r="N487" s="4" t="s">
        <v>74</v>
      </c>
      <c r="O487" s="4" t="s">
        <v>75</v>
      </c>
      <c r="P487" s="4">
        <v>35</v>
      </c>
      <c r="Q487" s="57">
        <v>45466</v>
      </c>
      <c r="R487" s="57">
        <v>45475</v>
      </c>
      <c r="S487" s="113"/>
      <c r="T487" s="113"/>
      <c r="U487" s="4"/>
      <c r="V487" s="4"/>
      <c r="W487" s="105" t="s">
        <v>1978</v>
      </c>
      <c r="X487" s="114">
        <v>1876886399</v>
      </c>
      <c r="Y487" s="55">
        <v>1911524113</v>
      </c>
      <c r="Z487" s="4" t="s">
        <v>1979</v>
      </c>
      <c r="AA487" s="4">
        <v>1955723051</v>
      </c>
      <c r="AB487" s="4" t="s">
        <v>1980</v>
      </c>
      <c r="AC487" s="4" t="s">
        <v>79</v>
      </c>
      <c r="AD487" s="113">
        <v>33704</v>
      </c>
      <c r="AE487" s="107"/>
      <c r="AF487" s="4" t="s">
        <v>80</v>
      </c>
      <c r="AG487" s="114">
        <v>19921996712000000</v>
      </c>
      <c r="AH487" s="4" t="s">
        <v>81</v>
      </c>
      <c r="AI487" s="55" t="s">
        <v>1981</v>
      </c>
      <c r="AJ487" s="55" t="s">
        <v>81</v>
      </c>
      <c r="AK487" s="55">
        <v>2017</v>
      </c>
      <c r="AL487" s="4" t="s">
        <v>1982</v>
      </c>
      <c r="AM487" s="4" t="s">
        <v>1983</v>
      </c>
      <c r="AN487" s="4" t="s">
        <v>1984</v>
      </c>
      <c r="AO487" s="4" t="s">
        <v>1985</v>
      </c>
      <c r="AP487" s="4" t="s">
        <v>1986</v>
      </c>
      <c r="AQ487" s="55" t="s">
        <v>1987</v>
      </c>
      <c r="AR487" s="4" t="s">
        <v>89</v>
      </c>
      <c r="AS487" s="4" t="s">
        <v>1979</v>
      </c>
      <c r="AT487" s="72">
        <v>34305</v>
      </c>
      <c r="AU487" s="4" t="s">
        <v>1988</v>
      </c>
      <c r="AV487" s="4">
        <v>44359</v>
      </c>
      <c r="AW487" s="4" t="s">
        <v>81</v>
      </c>
      <c r="AX487" s="4" t="s">
        <v>81</v>
      </c>
      <c r="AY487" s="4" t="s">
        <v>81</v>
      </c>
      <c r="AZ487" s="4" t="s">
        <v>81</v>
      </c>
      <c r="BA487" s="4" t="s">
        <v>90</v>
      </c>
      <c r="BB487" s="4">
        <v>10800</v>
      </c>
      <c r="BC487" s="4">
        <v>2700</v>
      </c>
      <c r="BD487" s="4">
        <v>0</v>
      </c>
      <c r="BE487" s="4" t="s">
        <v>91</v>
      </c>
      <c r="BF487" s="4" t="s">
        <v>242</v>
      </c>
      <c r="BG487" s="4" t="s">
        <v>242</v>
      </c>
      <c r="BH487" s="4" t="s">
        <v>3510</v>
      </c>
      <c r="BI487" s="72"/>
      <c r="BJ487" s="154"/>
      <c r="BK487" s="4"/>
      <c r="BL487" s="105"/>
      <c r="BM487" s="9"/>
      <c r="BN487" s="9"/>
      <c r="BO487" s="9"/>
    </row>
    <row r="488" ht="14.4" s="67" customFormat="1">
      <c r="A488" s="4">
        <v>171648</v>
      </c>
      <c r="B488" s="4"/>
      <c r="C488" s="55" t="s">
        <v>1989</v>
      </c>
      <c r="D488" s="4" t="s">
        <v>1990</v>
      </c>
      <c r="E488" s="4" t="s">
        <v>1765</v>
      </c>
      <c r="F488" s="55">
        <v>1111413354</v>
      </c>
      <c r="G488" s="4" t="s">
        <v>67</v>
      </c>
      <c r="H488" s="4" t="s">
        <v>68</v>
      </c>
      <c r="I488" s="4" t="s">
        <v>69</v>
      </c>
      <c r="J488" s="55" t="s">
        <v>155</v>
      </c>
      <c r="K488" s="4" t="s">
        <v>1766</v>
      </c>
      <c r="L488" s="4" t="s">
        <v>1767</v>
      </c>
      <c r="M488" s="4" t="str">
        <f>VLOOKUP(A488,[1]Sheet1!$C:$G,5,0)</f>
        <v>Abu MD. Rifat Imtiaz</v>
      </c>
      <c r="N488" s="4" t="s">
        <v>74</v>
      </c>
      <c r="O488" s="4" t="s">
        <v>75</v>
      </c>
      <c r="P488" s="4">
        <v>33</v>
      </c>
      <c r="Q488" s="57">
        <v>45455</v>
      </c>
      <c r="R488" s="57">
        <v>45476</v>
      </c>
      <c r="S488" s="113" t="s">
        <v>242</v>
      </c>
      <c r="T488" s="113" t="s">
        <v>242</v>
      </c>
      <c r="U488" s="4" t="s">
        <v>242</v>
      </c>
      <c r="V488" s="4" t="s">
        <v>242</v>
      </c>
      <c r="W488" s="105" t="s">
        <v>1991</v>
      </c>
      <c r="X488" s="114">
        <v>1753383837</v>
      </c>
      <c r="Y488" s="55">
        <v>1707921338</v>
      </c>
      <c r="Z488" s="4" t="s">
        <v>1992</v>
      </c>
      <c r="AA488" s="4">
        <v>1744261640</v>
      </c>
      <c r="AB488" s="4" t="s">
        <v>252</v>
      </c>
      <c r="AC488" s="4" t="s">
        <v>119</v>
      </c>
      <c r="AD488" s="113">
        <v>36088</v>
      </c>
      <c r="AE488" s="107">
        <v>26</v>
      </c>
      <c r="AF488" s="4" t="s">
        <v>80</v>
      </c>
      <c r="AG488" s="114">
        <v>1954144240</v>
      </c>
      <c r="AH488" s="4" t="s">
        <v>81</v>
      </c>
      <c r="AI488" s="55" t="s">
        <v>1993</v>
      </c>
      <c r="AJ488" s="55"/>
      <c r="AK488" s="55">
        <v>2024</v>
      </c>
      <c r="AL488" s="4" t="s">
        <v>1994</v>
      </c>
      <c r="AM488" s="4" t="s">
        <v>1995</v>
      </c>
      <c r="AN488" s="4" t="s">
        <v>1996</v>
      </c>
      <c r="AO488" s="4" t="s">
        <v>1997</v>
      </c>
      <c r="AP488" s="4" t="s">
        <v>1998</v>
      </c>
      <c r="AQ488" s="55" t="s">
        <v>151</v>
      </c>
      <c r="AR488" s="4" t="s">
        <v>1774</v>
      </c>
      <c r="AS488" s="4" t="s">
        <v>81</v>
      </c>
      <c r="AT488" s="72" t="s">
        <v>81</v>
      </c>
      <c r="AU488" s="4" t="s">
        <v>81</v>
      </c>
      <c r="AV488" s="4" t="s">
        <v>81</v>
      </c>
      <c r="AW488" s="4" t="s">
        <v>81</v>
      </c>
      <c r="AX488" s="4" t="s">
        <v>81</v>
      </c>
      <c r="AY488" s="4" t="s">
        <v>81</v>
      </c>
      <c r="AZ488" s="4" t="s">
        <v>81</v>
      </c>
      <c r="BA488" s="4" t="s">
        <v>90</v>
      </c>
      <c r="BB488" s="4">
        <v>10800</v>
      </c>
      <c r="BC488" s="4">
        <v>2700</v>
      </c>
      <c r="BD488" s="4">
        <v>1000</v>
      </c>
      <c r="BE488" s="4" t="s">
        <v>166</v>
      </c>
      <c r="BF488" s="4" t="s">
        <v>242</v>
      </c>
      <c r="BG488" s="4" t="s">
        <v>242</v>
      </c>
      <c r="BH488" s="4" t="s">
        <v>3510</v>
      </c>
      <c r="BI488" s="72"/>
      <c r="BJ488" s="154"/>
      <c r="BK488" s="4"/>
      <c r="BL488" s="105"/>
      <c r="BM488" s="9"/>
      <c r="BN488" s="9"/>
      <c r="BO488" s="9"/>
    </row>
    <row r="489" ht="14.4" s="67" customFormat="1">
      <c r="A489" s="4">
        <v>171652</v>
      </c>
      <c r="B489" s="4"/>
      <c r="C489" s="55" t="s">
        <v>1999</v>
      </c>
      <c r="D489" s="4" t="s">
        <v>2000</v>
      </c>
      <c r="E489" s="4" t="s">
        <v>1765</v>
      </c>
      <c r="F489" s="55">
        <v>1310591202</v>
      </c>
      <c r="G489" s="4" t="s">
        <v>67</v>
      </c>
      <c r="H489" s="4" t="s">
        <v>68</v>
      </c>
      <c r="I489" s="4" t="s">
        <v>69</v>
      </c>
      <c r="J489" s="55" t="s">
        <v>155</v>
      </c>
      <c r="K489" s="4" t="s">
        <v>1766</v>
      </c>
      <c r="L489" s="4" t="s">
        <v>1767</v>
      </c>
      <c r="M489" s="4" t="str">
        <f>VLOOKUP(A489,[1]Sheet1!$C:$G,5,0)</f>
        <v>Abu MD. Rifat Imtiaz</v>
      </c>
      <c r="N489" s="4" t="s">
        <v>74</v>
      </c>
      <c r="O489" s="4" t="s">
        <v>75</v>
      </c>
      <c r="P489" s="4">
        <v>33</v>
      </c>
      <c r="Q489" s="57">
        <v>45455</v>
      </c>
      <c r="R489" s="57">
        <v>45476</v>
      </c>
      <c r="S489" s="113" t="s">
        <v>242</v>
      </c>
      <c r="T489" s="113" t="s">
        <v>242</v>
      </c>
      <c r="U489" s="4" t="s">
        <v>242</v>
      </c>
      <c r="V489" s="4" t="s">
        <v>242</v>
      </c>
      <c r="W489" s="105" t="s">
        <v>2001</v>
      </c>
      <c r="X489" s="114">
        <v>1304349814</v>
      </c>
      <c r="Y489" s="55">
        <v>1304349814</v>
      </c>
      <c r="Z489" s="4" t="s">
        <v>2002</v>
      </c>
      <c r="AA489" s="4">
        <v>1757454507</v>
      </c>
      <c r="AB489" s="4" t="s">
        <v>132</v>
      </c>
      <c r="AC489" s="4" t="s">
        <v>119</v>
      </c>
      <c r="AD489" s="113">
        <v>37237</v>
      </c>
      <c r="AE489" s="107">
        <v>24</v>
      </c>
      <c r="AF489" s="4" t="s">
        <v>80</v>
      </c>
      <c r="AG489" s="114">
        <v>4224123523</v>
      </c>
      <c r="AH489" s="4" t="s">
        <v>81</v>
      </c>
      <c r="AI489" s="55" t="s">
        <v>290</v>
      </c>
      <c r="AJ489" s="55"/>
      <c r="AK489" s="55">
        <v>2024</v>
      </c>
      <c r="AL489" s="4" t="s">
        <v>1994</v>
      </c>
      <c r="AM489" s="4" t="s">
        <v>2003</v>
      </c>
      <c r="AN489" s="4" t="s">
        <v>2004</v>
      </c>
      <c r="AO489" s="4" t="s">
        <v>2005</v>
      </c>
      <c r="AP489" s="4" t="s">
        <v>2005</v>
      </c>
      <c r="AQ489" s="55" t="s">
        <v>151</v>
      </c>
      <c r="AR489" s="4" t="s">
        <v>1774</v>
      </c>
      <c r="AS489" s="4" t="s">
        <v>81</v>
      </c>
      <c r="AT489" s="72" t="s">
        <v>81</v>
      </c>
      <c r="AU489" s="4" t="s">
        <v>81</v>
      </c>
      <c r="AV489" s="4" t="s">
        <v>81</v>
      </c>
      <c r="AW489" s="4" t="s">
        <v>81</v>
      </c>
      <c r="AX489" s="4" t="s">
        <v>81</v>
      </c>
      <c r="AY489" s="4" t="s">
        <v>81</v>
      </c>
      <c r="AZ489" s="4" t="s">
        <v>81</v>
      </c>
      <c r="BA489" s="4" t="s">
        <v>90</v>
      </c>
      <c r="BB489" s="4">
        <v>10800</v>
      </c>
      <c r="BC489" s="4">
        <v>2700</v>
      </c>
      <c r="BD489" s="4">
        <v>1000</v>
      </c>
      <c r="BE489" s="4" t="s">
        <v>166</v>
      </c>
      <c r="BF489" s="4" t="s">
        <v>242</v>
      </c>
      <c r="BG489" s="4" t="s">
        <v>242</v>
      </c>
      <c r="BH489" s="4" t="s">
        <v>3510</v>
      </c>
      <c r="BI489" s="72"/>
      <c r="BJ489" s="154"/>
      <c r="BK489" s="4"/>
      <c r="BL489" s="105"/>
      <c r="BM489" s="9"/>
      <c r="BN489" s="9"/>
      <c r="BO489" s="9"/>
    </row>
    <row r="490" ht="14.4" s="67" customFormat="1">
      <c r="A490" s="4">
        <v>171659</v>
      </c>
      <c r="B490" s="4"/>
      <c r="C490" s="55" t="s">
        <v>2006</v>
      </c>
      <c r="D490" s="4" t="s">
        <v>2007</v>
      </c>
      <c r="E490" s="4" t="s">
        <v>1765</v>
      </c>
      <c r="F490" s="55">
        <v>1311113204</v>
      </c>
      <c r="G490" s="4" t="s">
        <v>67</v>
      </c>
      <c r="H490" s="4" t="s">
        <v>68</v>
      </c>
      <c r="I490" s="4" t="s">
        <v>69</v>
      </c>
      <c r="J490" s="55" t="s">
        <v>155</v>
      </c>
      <c r="K490" s="4" t="s">
        <v>1766</v>
      </c>
      <c r="L490" s="4" t="s">
        <v>1767</v>
      </c>
      <c r="M490" s="4" t="str">
        <f>VLOOKUP(A490,[1]Sheet1!$C:$G,5,0)</f>
        <v>Mohammad Joshim</v>
      </c>
      <c r="N490" s="4" t="s">
        <v>74</v>
      </c>
      <c r="O490" s="4" t="s">
        <v>75</v>
      </c>
      <c r="P490" s="4">
        <v>33</v>
      </c>
      <c r="Q490" s="57">
        <v>45455</v>
      </c>
      <c r="R490" s="57">
        <v>45476</v>
      </c>
      <c r="S490" s="113" t="s">
        <v>242</v>
      </c>
      <c r="T490" s="113" t="s">
        <v>242</v>
      </c>
      <c r="U490" s="4" t="s">
        <v>242</v>
      </c>
      <c r="V490" s="4" t="s">
        <v>242</v>
      </c>
      <c r="W490" s="105" t="s">
        <v>2008</v>
      </c>
      <c r="X490" s="114">
        <v>1878605156</v>
      </c>
      <c r="Y490" s="55">
        <v>1878605156</v>
      </c>
      <c r="Z490" s="4" t="s">
        <v>2009</v>
      </c>
      <c r="AA490" s="4">
        <v>1301618300</v>
      </c>
      <c r="AB490" s="4" t="s">
        <v>101</v>
      </c>
      <c r="AC490" s="4" t="s">
        <v>133</v>
      </c>
      <c r="AD490" s="113">
        <v>36421</v>
      </c>
      <c r="AE490" s="107">
        <v>24</v>
      </c>
      <c r="AF490" s="4" t="s">
        <v>80</v>
      </c>
      <c r="AG490" s="114">
        <v>3773460997</v>
      </c>
      <c r="AH490" s="4" t="s">
        <v>81</v>
      </c>
      <c r="AI490" s="55" t="s">
        <v>290</v>
      </c>
      <c r="AJ490" s="55"/>
      <c r="AK490" s="55">
        <v>2022</v>
      </c>
      <c r="AL490" s="4" t="s">
        <v>2010</v>
      </c>
      <c r="AM490" s="4" t="s">
        <v>2009</v>
      </c>
      <c r="AN490" s="4" t="s">
        <v>2011</v>
      </c>
      <c r="AO490" s="4" t="s">
        <v>2012</v>
      </c>
      <c r="AP490" s="4" t="s">
        <v>2013</v>
      </c>
      <c r="AQ490" s="55" t="s">
        <v>2012</v>
      </c>
      <c r="AR490" s="4" t="s">
        <v>1774</v>
      </c>
      <c r="AS490" s="4" t="s">
        <v>81</v>
      </c>
      <c r="AT490" s="72" t="s">
        <v>81</v>
      </c>
      <c r="AU490" s="4" t="s">
        <v>81</v>
      </c>
      <c r="AV490" s="4" t="s">
        <v>81</v>
      </c>
      <c r="AW490" s="4" t="s">
        <v>81</v>
      </c>
      <c r="AX490" s="4" t="s">
        <v>81</v>
      </c>
      <c r="AY490" s="4" t="s">
        <v>81</v>
      </c>
      <c r="AZ490" s="4" t="s">
        <v>81</v>
      </c>
      <c r="BA490" s="4" t="s">
        <v>90</v>
      </c>
      <c r="BB490" s="4">
        <v>10800</v>
      </c>
      <c r="BC490" s="4">
        <v>2700</v>
      </c>
      <c r="BD490" s="4">
        <v>1000</v>
      </c>
      <c r="BE490" s="4" t="s">
        <v>166</v>
      </c>
      <c r="BF490" s="4" t="s">
        <v>242</v>
      </c>
      <c r="BG490" s="4" t="s">
        <v>242</v>
      </c>
      <c r="BH490" s="4" t="s">
        <v>3510</v>
      </c>
      <c r="BI490" s="72"/>
      <c r="BJ490" s="154"/>
      <c r="BK490" s="4"/>
      <c r="BL490" s="105"/>
      <c r="BM490" s="9"/>
      <c r="BN490" s="9"/>
      <c r="BO490" s="9"/>
    </row>
    <row r="491" ht="14.4" s="67" customFormat="1">
      <c r="A491" s="4">
        <v>171664</v>
      </c>
      <c r="B491" s="4"/>
      <c r="C491" s="55" t="s">
        <v>2014</v>
      </c>
      <c r="D491" s="4" t="s">
        <v>2015</v>
      </c>
      <c r="E491" s="4" t="s">
        <v>1765</v>
      </c>
      <c r="F491" s="55">
        <v>1115230635</v>
      </c>
      <c r="G491" s="4" t="s">
        <v>67</v>
      </c>
      <c r="H491" s="4" t="s">
        <v>68</v>
      </c>
      <c r="I491" s="4" t="s">
        <v>69</v>
      </c>
      <c r="J491" s="55" t="s">
        <v>155</v>
      </c>
      <c r="K491" s="4" t="s">
        <v>1766</v>
      </c>
      <c r="L491" s="4" t="s">
        <v>1767</v>
      </c>
      <c r="M491" s="4" t="str">
        <f>VLOOKUP(A491,[1]Sheet1!$C:$G,5,0)</f>
        <v>Mohammad Joshim</v>
      </c>
      <c r="N491" s="4" t="s">
        <v>74</v>
      </c>
      <c r="O491" s="4" t="s">
        <v>75</v>
      </c>
      <c r="P491" s="4">
        <v>33</v>
      </c>
      <c r="Q491" s="57">
        <v>45455</v>
      </c>
      <c r="R491" s="57">
        <v>45476</v>
      </c>
      <c r="S491" s="113" t="s">
        <v>242</v>
      </c>
      <c r="T491" s="113" t="s">
        <v>242</v>
      </c>
      <c r="U491" s="4" t="s">
        <v>242</v>
      </c>
      <c r="V491" s="4" t="s">
        <v>242</v>
      </c>
      <c r="W491" s="105" t="s">
        <v>2016</v>
      </c>
      <c r="X491" s="114">
        <v>1798495700</v>
      </c>
      <c r="Y491" s="55">
        <v>1798495700</v>
      </c>
      <c r="Z491" s="4" t="s">
        <v>2017</v>
      </c>
      <c r="AA491" s="4">
        <v>1711354528</v>
      </c>
      <c r="AB491" s="4" t="s">
        <v>101</v>
      </c>
      <c r="AC491" s="4" t="s">
        <v>102</v>
      </c>
      <c r="AD491" s="113">
        <v>35856</v>
      </c>
      <c r="AE491" s="107">
        <v>27</v>
      </c>
      <c r="AF491" s="4" t="s">
        <v>360</v>
      </c>
      <c r="AG491" s="114">
        <v>9154095302</v>
      </c>
      <c r="AH491" s="4" t="s">
        <v>81</v>
      </c>
      <c r="AI491" s="55" t="s">
        <v>322</v>
      </c>
      <c r="AJ491" s="55"/>
      <c r="AK491" s="55">
        <v>2020</v>
      </c>
      <c r="AL491" s="4" t="s">
        <v>2018</v>
      </c>
      <c r="AM491" s="4" t="s">
        <v>2017</v>
      </c>
      <c r="AN491" s="4" t="s">
        <v>2019</v>
      </c>
      <c r="AO491" s="4" t="s">
        <v>2020</v>
      </c>
      <c r="AP491" s="4" t="s">
        <v>2021</v>
      </c>
      <c r="AQ491" s="55" t="s">
        <v>2020</v>
      </c>
      <c r="AR491" s="4" t="s">
        <v>1774</v>
      </c>
      <c r="AS491" s="4" t="s">
        <v>81</v>
      </c>
      <c r="AT491" s="72" t="s">
        <v>81</v>
      </c>
      <c r="AU491" s="4" t="s">
        <v>81</v>
      </c>
      <c r="AV491" s="4" t="s">
        <v>81</v>
      </c>
      <c r="AW491" s="4" t="s">
        <v>81</v>
      </c>
      <c r="AX491" s="4" t="s">
        <v>81</v>
      </c>
      <c r="AY491" s="4" t="s">
        <v>81</v>
      </c>
      <c r="AZ491" s="4" t="s">
        <v>81</v>
      </c>
      <c r="BA491" s="4" t="s">
        <v>90</v>
      </c>
      <c r="BB491" s="4">
        <v>10800</v>
      </c>
      <c r="BC491" s="4">
        <v>2700</v>
      </c>
      <c r="BD491" s="4">
        <v>1000</v>
      </c>
      <c r="BE491" s="4" t="s">
        <v>166</v>
      </c>
      <c r="BF491" s="4" t="s">
        <v>242</v>
      </c>
      <c r="BG491" s="4" t="s">
        <v>242</v>
      </c>
      <c r="BH491" s="4" t="s">
        <v>3510</v>
      </c>
      <c r="BI491" s="72"/>
      <c r="BJ491" s="154"/>
      <c r="BK491" s="4"/>
      <c r="BL491" s="105"/>
      <c r="BM491" s="9"/>
      <c r="BN491" s="9"/>
      <c r="BO491" s="9"/>
    </row>
    <row r="492" ht="14.4" s="67" customFormat="1">
      <c r="A492" s="4">
        <v>171742</v>
      </c>
      <c r="B492" s="4"/>
      <c r="C492" s="55" t="s">
        <v>2022</v>
      </c>
      <c r="D492" s="4" t="s">
        <v>2023</v>
      </c>
      <c r="E492" s="4" t="s">
        <v>114</v>
      </c>
      <c r="F492" s="55">
        <v>1010936144</v>
      </c>
      <c r="G492" s="4" t="s">
        <v>67</v>
      </c>
      <c r="H492" s="4" t="s">
        <v>68</v>
      </c>
      <c r="I492" s="4" t="s">
        <v>69</v>
      </c>
      <c r="J492" s="55" t="s">
        <v>155</v>
      </c>
      <c r="K492" s="4" t="s">
        <v>1766</v>
      </c>
      <c r="L492" s="4" t="s">
        <v>1767</v>
      </c>
      <c r="M492" s="4" t="str">
        <f>VLOOKUP(A492,[1]Sheet1!$C:$G,5,0)</f>
        <v>Rakib Ahsan</v>
      </c>
      <c r="N492" s="4" t="s">
        <v>238</v>
      </c>
      <c r="O492" s="4" t="s">
        <v>2024</v>
      </c>
      <c r="P492" s="4">
        <v>38</v>
      </c>
      <c r="Q492" s="57">
        <v>45482</v>
      </c>
      <c r="R492" s="57">
        <v>45505</v>
      </c>
      <c r="S492" s="113" t="s">
        <v>81</v>
      </c>
      <c r="T492" s="113" t="s">
        <v>81</v>
      </c>
      <c r="U492" s="4" t="s">
        <v>81</v>
      </c>
      <c r="V492" s="4" t="s">
        <v>242</v>
      </c>
      <c r="W492" s="105" t="s">
        <v>2025</v>
      </c>
      <c r="X492" s="114">
        <v>1687083624</v>
      </c>
      <c r="Y492" s="55">
        <v>1534700027</v>
      </c>
      <c r="Z492" s="4" t="s">
        <v>2026</v>
      </c>
      <c r="AA492" s="4">
        <v>1677122101</v>
      </c>
      <c r="AB492" s="4" t="s">
        <v>252</v>
      </c>
      <c r="AC492" s="4" t="s">
        <v>119</v>
      </c>
      <c r="AD492" s="113">
        <v>36129</v>
      </c>
      <c r="AE492" s="107"/>
      <c r="AF492" s="4" t="s">
        <v>80</v>
      </c>
      <c r="AG492" s="114">
        <v>4654795352</v>
      </c>
      <c r="AH492" s="4" t="s">
        <v>81</v>
      </c>
      <c r="AI492" s="55" t="s">
        <v>2027</v>
      </c>
      <c r="AJ492" s="55" t="s">
        <v>81</v>
      </c>
      <c r="AK492" s="55" t="s">
        <v>81</v>
      </c>
      <c r="AL492" s="4" t="s">
        <v>2028</v>
      </c>
      <c r="AM492" s="4" t="s">
        <v>2029</v>
      </c>
      <c r="AN492" s="4" t="s">
        <v>2030</v>
      </c>
      <c r="AO492" s="4" t="s">
        <v>2031</v>
      </c>
      <c r="AP492" s="4" t="s">
        <v>2032</v>
      </c>
      <c r="AQ492" s="55" t="s">
        <v>2033</v>
      </c>
      <c r="AR492" s="4" t="s">
        <v>110</v>
      </c>
      <c r="AS492" s="4" t="s">
        <v>81</v>
      </c>
      <c r="AT492" s="72" t="s">
        <v>81</v>
      </c>
      <c r="AU492" s="4" t="s">
        <v>81</v>
      </c>
      <c r="AV492" s="4" t="s">
        <v>81</v>
      </c>
      <c r="AW492" s="4" t="s">
        <v>81</v>
      </c>
      <c r="AX492" s="4" t="s">
        <v>81</v>
      </c>
      <c r="AY492" s="4" t="s">
        <v>81</v>
      </c>
      <c r="AZ492" s="4" t="s">
        <v>81</v>
      </c>
      <c r="BA492" s="4" t="s">
        <v>90</v>
      </c>
      <c r="BB492" s="4">
        <v>10800</v>
      </c>
      <c r="BC492" s="4">
        <v>2700</v>
      </c>
      <c r="BD492" s="4">
        <v>1000</v>
      </c>
      <c r="BE492" s="4"/>
      <c r="BF492" s="4"/>
      <c r="BG492" s="4"/>
      <c r="BH492" s="4" t="s">
        <v>3510</v>
      </c>
      <c r="BI492" s="72"/>
      <c r="BJ492" s="154"/>
      <c r="BK492" s="4"/>
      <c r="BL492" s="105">
        <v>1687083624</v>
      </c>
      <c r="BM492" s="9"/>
      <c r="BN492" s="9"/>
      <c r="BO492" s="9"/>
    </row>
    <row r="493" ht="14.4" s="67" customFormat="1">
      <c r="A493" s="4">
        <v>171753</v>
      </c>
      <c r="B493" s="4"/>
      <c r="C493" s="55" t="s">
        <v>2034</v>
      </c>
      <c r="D493" s="4" t="s">
        <v>2035</v>
      </c>
      <c r="E493" s="4" t="s">
        <v>114</v>
      </c>
      <c r="F493" s="55">
        <v>1117603641</v>
      </c>
      <c r="G493" s="4" t="s">
        <v>67</v>
      </c>
      <c r="H493" s="4" t="s">
        <v>68</v>
      </c>
      <c r="I493" s="4" t="s">
        <v>69</v>
      </c>
      <c r="J493" s="55" t="s">
        <v>155</v>
      </c>
      <c r="K493" s="4" t="s">
        <v>1766</v>
      </c>
      <c r="L493" s="4" t="s">
        <v>1767</v>
      </c>
      <c r="M493" s="4" t="str">
        <f>VLOOKUP(A493,[1]Sheet1!$C:$G,5,0)</f>
        <v>Abu MD. Rifat Imtiaz</v>
      </c>
      <c r="N493" s="4" t="s">
        <v>74</v>
      </c>
      <c r="O493" s="4" t="s">
        <v>2024</v>
      </c>
      <c r="P493" s="4">
        <v>38</v>
      </c>
      <c r="Q493" s="57">
        <v>45482</v>
      </c>
      <c r="R493" s="57">
        <v>45505</v>
      </c>
      <c r="S493" s="113" t="s">
        <v>81</v>
      </c>
      <c r="T493" s="113" t="s">
        <v>81</v>
      </c>
      <c r="U493" s="4" t="s">
        <v>81</v>
      </c>
      <c r="V493" s="4" t="s">
        <v>242</v>
      </c>
      <c r="W493" s="105" t="s">
        <v>2036</v>
      </c>
      <c r="X493" s="114">
        <v>1726538375</v>
      </c>
      <c r="Y493" s="55">
        <v>1521424898</v>
      </c>
      <c r="Z493" s="4" t="s">
        <v>2037</v>
      </c>
      <c r="AA493" s="4">
        <v>1747116622</v>
      </c>
      <c r="AB493" s="4" t="s">
        <v>118</v>
      </c>
      <c r="AC493" s="4" t="s">
        <v>119</v>
      </c>
      <c r="AD493" s="113">
        <v>36175</v>
      </c>
      <c r="AE493" s="107"/>
      <c r="AF493" s="4" t="s">
        <v>80</v>
      </c>
      <c r="AG493" s="114">
        <v>9154311543</v>
      </c>
      <c r="AH493" s="4" t="s">
        <v>81</v>
      </c>
      <c r="AI493" s="55" t="s">
        <v>2038</v>
      </c>
      <c r="AJ493" s="55" t="s">
        <v>2039</v>
      </c>
      <c r="AK493" s="55">
        <v>2023</v>
      </c>
      <c r="AL493" s="4" t="s">
        <v>2010</v>
      </c>
      <c r="AM493" s="4" t="s">
        <v>2040</v>
      </c>
      <c r="AN493" s="4" t="s">
        <v>2041</v>
      </c>
      <c r="AO493" s="4" t="s">
        <v>2042</v>
      </c>
      <c r="AP493" s="4" t="s">
        <v>2043</v>
      </c>
      <c r="AQ493" s="55" t="s">
        <v>1096</v>
      </c>
      <c r="AR493" s="4" t="s">
        <v>89</v>
      </c>
      <c r="AS493" s="4" t="s">
        <v>2044</v>
      </c>
      <c r="AT493" s="72">
        <v>36887</v>
      </c>
      <c r="AU493" s="4" t="s">
        <v>81</v>
      </c>
      <c r="AV493" s="4" t="s">
        <v>81</v>
      </c>
      <c r="AW493" s="4" t="s">
        <v>81</v>
      </c>
      <c r="AX493" s="4" t="s">
        <v>81</v>
      </c>
      <c r="AY493" s="4" t="s">
        <v>81</v>
      </c>
      <c r="AZ493" s="4" t="s">
        <v>81</v>
      </c>
      <c r="BA493" s="4" t="s">
        <v>90</v>
      </c>
      <c r="BB493" s="4">
        <v>10800</v>
      </c>
      <c r="BC493" s="4">
        <v>2700</v>
      </c>
      <c r="BD493" s="4">
        <v>1000</v>
      </c>
      <c r="BE493" s="4"/>
      <c r="BF493" s="4"/>
      <c r="BG493" s="4"/>
      <c r="BH493" s="4" t="s">
        <v>3510</v>
      </c>
      <c r="BI493" s="72"/>
      <c r="BJ493" s="154"/>
      <c r="BK493" s="4"/>
      <c r="BL493" s="105">
        <v>1726538375</v>
      </c>
      <c r="BM493" s="9"/>
      <c r="BN493" s="9"/>
      <c r="BO493" s="9"/>
    </row>
    <row r="494" ht="14.4" s="67" customFormat="1">
      <c r="A494" s="4">
        <v>171755</v>
      </c>
      <c r="B494" s="4"/>
      <c r="C494" s="55" t="s">
        <v>2045</v>
      </c>
      <c r="D494" s="4" t="s">
        <v>2046</v>
      </c>
      <c r="E494" s="4" t="s">
        <v>114</v>
      </c>
      <c r="F494" s="55">
        <v>1117511142</v>
      </c>
      <c r="G494" s="4" t="s">
        <v>67</v>
      </c>
      <c r="H494" s="4" t="s">
        <v>68</v>
      </c>
      <c r="I494" s="4" t="s">
        <v>69</v>
      </c>
      <c r="J494" s="55" t="s">
        <v>155</v>
      </c>
      <c r="K494" s="4" t="s">
        <v>1766</v>
      </c>
      <c r="L494" s="4" t="s">
        <v>1767</v>
      </c>
      <c r="M494" s="4" t="str">
        <f>VLOOKUP(A494,[1]Sheet1!$C:$G,5,0)</f>
        <v>Rakib Ahsan</v>
      </c>
      <c r="N494" s="4" t="s">
        <v>74</v>
      </c>
      <c r="O494" s="4" t="s">
        <v>2024</v>
      </c>
      <c r="P494" s="4">
        <v>38</v>
      </c>
      <c r="Q494" s="57">
        <v>45482</v>
      </c>
      <c r="R494" s="57">
        <v>45505</v>
      </c>
      <c r="S494" s="113" t="s">
        <v>81</v>
      </c>
      <c r="T494" s="113" t="s">
        <v>81</v>
      </c>
      <c r="U494" s="4" t="s">
        <v>81</v>
      </c>
      <c r="V494" s="4" t="s">
        <v>242</v>
      </c>
      <c r="W494" s="105" t="s">
        <v>2047</v>
      </c>
      <c r="X494" s="114">
        <v>1794954838</v>
      </c>
      <c r="Y494" s="55">
        <v>1607313834</v>
      </c>
      <c r="Z494" s="4" t="s">
        <v>2048</v>
      </c>
      <c r="AA494" s="4">
        <v>1533667328</v>
      </c>
      <c r="AB494" s="4" t="s">
        <v>252</v>
      </c>
      <c r="AC494" s="4" t="s">
        <v>79</v>
      </c>
      <c r="AD494" s="113">
        <v>36111</v>
      </c>
      <c r="AE494" s="107"/>
      <c r="AF494" s="4" t="s">
        <v>80</v>
      </c>
      <c r="AG494" s="114">
        <v>1954686208</v>
      </c>
      <c r="AH494" s="4" t="s">
        <v>81</v>
      </c>
      <c r="AI494" s="55" t="s">
        <v>2049</v>
      </c>
      <c r="AJ494" s="55" t="s">
        <v>81</v>
      </c>
      <c r="AK494" s="55" t="s">
        <v>81</v>
      </c>
      <c r="AL494" s="4" t="s">
        <v>2050</v>
      </c>
      <c r="AM494" s="4" t="s">
        <v>2051</v>
      </c>
      <c r="AN494" s="4" t="s">
        <v>2052</v>
      </c>
      <c r="AO494" s="4" t="s">
        <v>2053</v>
      </c>
      <c r="AP494" s="4" t="s">
        <v>2054</v>
      </c>
      <c r="AQ494" s="55" t="s">
        <v>88</v>
      </c>
      <c r="AR494" s="4" t="s">
        <v>110</v>
      </c>
      <c r="AS494" s="4" t="s">
        <v>81</v>
      </c>
      <c r="AT494" s="72" t="s">
        <v>81</v>
      </c>
      <c r="AU494" s="4" t="s">
        <v>81</v>
      </c>
      <c r="AV494" s="4" t="s">
        <v>81</v>
      </c>
      <c r="AW494" s="4" t="s">
        <v>81</v>
      </c>
      <c r="AX494" s="4" t="s">
        <v>81</v>
      </c>
      <c r="AY494" s="4" t="s">
        <v>81</v>
      </c>
      <c r="AZ494" s="4" t="s">
        <v>81</v>
      </c>
      <c r="BA494" s="4" t="s">
        <v>90</v>
      </c>
      <c r="BB494" s="4">
        <v>10800</v>
      </c>
      <c r="BC494" s="4">
        <v>2700</v>
      </c>
      <c r="BD494" s="4">
        <v>1000</v>
      </c>
      <c r="BE494" s="4"/>
      <c r="BF494" s="4"/>
      <c r="BG494" s="4"/>
      <c r="BH494" s="4" t="s">
        <v>3510</v>
      </c>
      <c r="BI494" s="72"/>
      <c r="BJ494" s="154"/>
      <c r="BK494" s="4"/>
      <c r="BL494" s="105"/>
      <c r="BM494" s="9"/>
      <c r="BN494" s="9"/>
      <c r="BO494" s="9"/>
    </row>
    <row r="495" ht="14.4" s="67" customFormat="1">
      <c r="A495" s="4">
        <v>171746</v>
      </c>
      <c r="B495" s="4"/>
      <c r="C495" s="55" t="s">
        <v>2055</v>
      </c>
      <c r="D495" s="4" t="s">
        <v>2056</v>
      </c>
      <c r="E495" s="4" t="s">
        <v>114</v>
      </c>
      <c r="F495" s="55">
        <v>162533</v>
      </c>
      <c r="G495" s="4" t="s">
        <v>67</v>
      </c>
      <c r="H495" s="4" t="s">
        <v>68</v>
      </c>
      <c r="I495" s="4" t="s">
        <v>69</v>
      </c>
      <c r="J495" s="55" t="s">
        <v>155</v>
      </c>
      <c r="K495" s="4" t="s">
        <v>1766</v>
      </c>
      <c r="L495" s="4" t="s">
        <v>1767</v>
      </c>
      <c r="M495" s="4" t="str">
        <f>VLOOKUP(A495,[1]Sheet1!$C:$G,5,0)</f>
        <v>Abu MD. Rifat Imtiaz</v>
      </c>
      <c r="N495" s="4" t="s">
        <v>74</v>
      </c>
      <c r="O495" s="4" t="s">
        <v>2024</v>
      </c>
      <c r="P495" s="4">
        <v>38</v>
      </c>
      <c r="Q495" s="57">
        <v>45482</v>
      </c>
      <c r="R495" s="57">
        <v>45505</v>
      </c>
      <c r="S495" s="113" t="s">
        <v>81</v>
      </c>
      <c r="T495" s="113" t="s">
        <v>81</v>
      </c>
      <c r="U495" s="4" t="s">
        <v>81</v>
      </c>
      <c r="V495" s="4" t="s">
        <v>242</v>
      </c>
      <c r="W495" s="105" t="s">
        <v>2057</v>
      </c>
      <c r="X495" s="114">
        <v>1642052132</v>
      </c>
      <c r="Y495" s="55">
        <v>1642228131</v>
      </c>
      <c r="Z495" s="4" t="s">
        <v>2058</v>
      </c>
      <c r="AA495" s="4">
        <v>1303206148</v>
      </c>
      <c r="AB495" s="4" t="s">
        <v>2059</v>
      </c>
      <c r="AC495" s="4" t="s">
        <v>102</v>
      </c>
      <c r="AD495" s="113">
        <v>35065</v>
      </c>
      <c r="AE495" s="107"/>
      <c r="AF495" s="4" t="s">
        <v>80</v>
      </c>
      <c r="AG495" s="114">
        <v>6002001458</v>
      </c>
      <c r="AH495" s="4" t="s">
        <v>81</v>
      </c>
      <c r="AI495" s="55">
        <v>2019</v>
      </c>
      <c r="AJ495" s="55" t="s">
        <v>81</v>
      </c>
      <c r="AK495" s="55" t="s">
        <v>81</v>
      </c>
      <c r="AL495" s="4" t="s">
        <v>2060</v>
      </c>
      <c r="AM495" s="4" t="s">
        <v>2061</v>
      </c>
      <c r="AN495" s="4" t="s">
        <v>2062</v>
      </c>
      <c r="AO495" s="4" t="s">
        <v>2063</v>
      </c>
      <c r="AP495" s="4" t="s">
        <v>2064</v>
      </c>
      <c r="AQ495" s="55" t="s">
        <v>88</v>
      </c>
      <c r="AR495" s="4" t="s">
        <v>2065</v>
      </c>
      <c r="AS495" s="4" t="s">
        <v>2058</v>
      </c>
      <c r="AT495" s="72">
        <v>35319</v>
      </c>
      <c r="AU495" s="4">
        <v>8251995380</v>
      </c>
      <c r="AV495" s="4" t="s">
        <v>81</v>
      </c>
      <c r="AW495" s="4" t="s">
        <v>81</v>
      </c>
      <c r="AX495" s="4" t="s">
        <v>81</v>
      </c>
      <c r="AY495" s="4" t="s">
        <v>81</v>
      </c>
      <c r="AZ495" s="4" t="s">
        <v>81</v>
      </c>
      <c r="BA495" s="4" t="s">
        <v>90</v>
      </c>
      <c r="BB495" s="4">
        <v>10800</v>
      </c>
      <c r="BC495" s="4">
        <v>2700</v>
      </c>
      <c r="BD495" s="4">
        <v>1000</v>
      </c>
      <c r="BE495" s="4"/>
      <c r="BF495" s="4"/>
      <c r="BG495" s="4"/>
      <c r="BH495" s="4" t="s">
        <v>3510</v>
      </c>
      <c r="BI495" s="72"/>
      <c r="BJ495" s="154"/>
      <c r="BK495" s="4"/>
      <c r="BL495" s="105">
        <v>1642052132</v>
      </c>
      <c r="BM495" s="9"/>
      <c r="BN495" s="9"/>
      <c r="BO495" s="9"/>
    </row>
    <row r="496" ht="14.4" s="67" customFormat="1">
      <c r="A496" s="4">
        <v>171757</v>
      </c>
      <c r="B496" s="4"/>
      <c r="C496" s="55" t="s">
        <v>2066</v>
      </c>
      <c r="D496" s="4" t="s">
        <v>2067</v>
      </c>
      <c r="E496" s="4" t="s">
        <v>114</v>
      </c>
      <c r="F496" s="55">
        <v>1210881065</v>
      </c>
      <c r="G496" s="4" t="s">
        <v>67</v>
      </c>
      <c r="H496" s="4" t="s">
        <v>68</v>
      </c>
      <c r="I496" s="4" t="s">
        <v>69</v>
      </c>
      <c r="J496" s="55" t="s">
        <v>297</v>
      </c>
      <c r="K496" s="4" t="s">
        <v>71</v>
      </c>
      <c r="L496" s="4" t="s">
        <v>1767</v>
      </c>
      <c r="M496" s="4" t="str">
        <f>VLOOKUP(A496,[1]Sheet1!$C:$G,5,0)</f>
        <v>Abdulla Al Mamun</v>
      </c>
      <c r="N496" s="4" t="s">
        <v>74</v>
      </c>
      <c r="O496" s="4" t="s">
        <v>2068</v>
      </c>
      <c r="P496" s="4">
        <v>39</v>
      </c>
      <c r="Q496" s="57">
        <v>45633</v>
      </c>
      <c r="R496" s="57">
        <v>45498</v>
      </c>
      <c r="S496" s="113" t="s">
        <v>81</v>
      </c>
      <c r="T496" s="113" t="s">
        <v>81</v>
      </c>
      <c r="U496" s="4" t="s">
        <v>81</v>
      </c>
      <c r="V496" s="4"/>
      <c r="W496" s="105" t="s">
        <v>2069</v>
      </c>
      <c r="X496" s="114">
        <v>1874076565</v>
      </c>
      <c r="Y496" s="55">
        <v>1712251742</v>
      </c>
      <c r="Z496" s="4" t="s">
        <v>2070</v>
      </c>
      <c r="AA496" s="4">
        <v>1874076565</v>
      </c>
      <c r="AB496" s="4" t="s">
        <v>789</v>
      </c>
      <c r="AC496" s="4" t="s">
        <v>102</v>
      </c>
      <c r="AD496" s="113">
        <v>36542</v>
      </c>
      <c r="AE496" s="107"/>
      <c r="AF496" s="4" t="s">
        <v>80</v>
      </c>
      <c r="AG496" s="114">
        <v>1031445743</v>
      </c>
      <c r="AH496" s="4" t="s">
        <v>81</v>
      </c>
      <c r="AI496" s="55" t="s">
        <v>2071</v>
      </c>
      <c r="AJ496" s="55" t="s">
        <v>81</v>
      </c>
      <c r="AK496" s="55">
        <v>2021</v>
      </c>
      <c r="AL496" s="4" t="s">
        <v>2072</v>
      </c>
      <c r="AM496" s="4" t="s">
        <v>2073</v>
      </c>
      <c r="AN496" s="4" t="s">
        <v>2070</v>
      </c>
      <c r="AO496" s="4" t="s">
        <v>2074</v>
      </c>
      <c r="AP496" s="4" t="s">
        <v>2074</v>
      </c>
      <c r="AQ496" s="55" t="s">
        <v>2074</v>
      </c>
      <c r="AR496" s="4" t="s">
        <v>110</v>
      </c>
      <c r="AS496" s="4" t="s">
        <v>81</v>
      </c>
      <c r="AT496" s="72" t="s">
        <v>81</v>
      </c>
      <c r="AU496" s="4" t="s">
        <v>81</v>
      </c>
      <c r="AV496" s="4" t="s">
        <v>81</v>
      </c>
      <c r="AW496" s="4" t="s">
        <v>81</v>
      </c>
      <c r="AX496" s="4" t="s">
        <v>81</v>
      </c>
      <c r="AY496" s="4" t="s">
        <v>81</v>
      </c>
      <c r="AZ496" s="4" t="s">
        <v>81</v>
      </c>
      <c r="BA496" s="4" t="s">
        <v>90</v>
      </c>
      <c r="BB496" s="4">
        <v>10800</v>
      </c>
      <c r="BC496" s="4">
        <v>2700</v>
      </c>
      <c r="BD496" s="4"/>
      <c r="BE496" s="4" t="s">
        <v>91</v>
      </c>
      <c r="BF496" s="4" t="s">
        <v>81</v>
      </c>
      <c r="BG496" s="4" t="s">
        <v>81</v>
      </c>
      <c r="BH496" s="4" t="s">
        <v>3510</v>
      </c>
      <c r="BI496" s="72"/>
      <c r="BJ496" s="154"/>
      <c r="BK496" s="4"/>
      <c r="BL496" s="105"/>
      <c r="BM496" s="9"/>
      <c r="BN496" s="9"/>
      <c r="BO496" s="9"/>
    </row>
    <row r="497" ht="14.4" s="67" customFormat="1">
      <c r="A497" s="4">
        <v>171768</v>
      </c>
      <c r="B497" s="4"/>
      <c r="C497" s="55" t="s">
        <v>2075</v>
      </c>
      <c r="D497" s="4" t="s">
        <v>2076</v>
      </c>
      <c r="E497" s="4" t="s">
        <v>66</v>
      </c>
      <c r="F497" s="55">
        <v>1310579340</v>
      </c>
      <c r="G497" s="4" t="s">
        <v>67</v>
      </c>
      <c r="H497" s="4" t="s">
        <v>68</v>
      </c>
      <c r="I497" s="4" t="s">
        <v>69</v>
      </c>
      <c r="J497" s="55" t="s">
        <v>297</v>
      </c>
      <c r="K497" s="4" t="s">
        <v>71</v>
      </c>
      <c r="L497" s="4" t="s">
        <v>1767</v>
      </c>
      <c r="M497" s="4" t="str">
        <f>VLOOKUP(A497,[1]Sheet1!$C:$G,5,0)</f>
        <v>Mizanur Rahman</v>
      </c>
      <c r="N497" s="4" t="s">
        <v>74</v>
      </c>
      <c r="O497" s="4" t="s">
        <v>2068</v>
      </c>
      <c r="P497" s="4">
        <v>39</v>
      </c>
      <c r="Q497" s="57">
        <v>45633</v>
      </c>
      <c r="R497" s="57">
        <v>45498</v>
      </c>
      <c r="S497" s="113" t="s">
        <v>81</v>
      </c>
      <c r="T497" s="113" t="s">
        <v>81</v>
      </c>
      <c r="U497" s="4" t="s">
        <v>81</v>
      </c>
      <c r="V497" s="4"/>
      <c r="W497" s="105" t="s">
        <v>2077</v>
      </c>
      <c r="X497" s="114">
        <v>1765903031</v>
      </c>
      <c r="Y497" s="55">
        <v>1970057513</v>
      </c>
      <c r="Z497" s="4" t="s">
        <v>2078</v>
      </c>
      <c r="AA497" s="4">
        <v>1970057513</v>
      </c>
      <c r="AB497" s="4" t="s">
        <v>118</v>
      </c>
      <c r="AC497" s="4" t="s">
        <v>102</v>
      </c>
      <c r="AD497" s="113">
        <v>36312</v>
      </c>
      <c r="AE497" s="107"/>
      <c r="AF497" s="4" t="s">
        <v>80</v>
      </c>
      <c r="AG497" s="114">
        <v>6915221359</v>
      </c>
      <c r="AH497" s="4" t="s">
        <v>81</v>
      </c>
      <c r="AI497" s="55" t="s">
        <v>290</v>
      </c>
      <c r="AJ497" s="55" t="s">
        <v>81</v>
      </c>
      <c r="AK497" s="55" t="s">
        <v>81</v>
      </c>
      <c r="AL497" s="4" t="s">
        <v>188</v>
      </c>
      <c r="AM497" s="4" t="s">
        <v>2078</v>
      </c>
      <c r="AN497" s="4" t="s">
        <v>2079</v>
      </c>
      <c r="AO497" s="4" t="s">
        <v>2080</v>
      </c>
      <c r="AP497" s="4" t="s">
        <v>2081</v>
      </c>
      <c r="AQ497" s="55" t="s">
        <v>2082</v>
      </c>
      <c r="AR497" s="4" t="s">
        <v>110</v>
      </c>
      <c r="AS497" s="4" t="s">
        <v>81</v>
      </c>
      <c r="AT497" s="72" t="s">
        <v>81</v>
      </c>
      <c r="AU497" s="4" t="s">
        <v>81</v>
      </c>
      <c r="AV497" s="4" t="s">
        <v>81</v>
      </c>
      <c r="AW497" s="4" t="s">
        <v>81</v>
      </c>
      <c r="AX497" s="4" t="s">
        <v>81</v>
      </c>
      <c r="AY497" s="4" t="s">
        <v>81</v>
      </c>
      <c r="AZ497" s="4" t="s">
        <v>81</v>
      </c>
      <c r="BA497" s="4" t="s">
        <v>90</v>
      </c>
      <c r="BB497" s="4">
        <v>10800</v>
      </c>
      <c r="BC497" s="4">
        <v>2700</v>
      </c>
      <c r="BD497" s="4"/>
      <c r="BE497" s="4" t="s">
        <v>91</v>
      </c>
      <c r="BF497" s="4" t="s">
        <v>81</v>
      </c>
      <c r="BG497" s="4" t="s">
        <v>81</v>
      </c>
      <c r="BH497" s="4" t="s">
        <v>3510</v>
      </c>
      <c r="BI497" s="72"/>
      <c r="BJ497" s="154"/>
      <c r="BK497" s="4"/>
      <c r="BL497" s="105"/>
      <c r="BM497" s="9"/>
      <c r="BN497" s="9"/>
      <c r="BO497" s="9"/>
    </row>
    <row r="498" ht="14.4" s="67" customFormat="1">
      <c r="A498" s="4">
        <v>171769</v>
      </c>
      <c r="B498" s="4"/>
      <c r="C498" s="55" t="s">
        <v>2083</v>
      </c>
      <c r="D498" s="4" t="s">
        <v>2084</v>
      </c>
      <c r="E498" s="4" t="s">
        <v>2085</v>
      </c>
      <c r="F498" s="55">
        <v>1018803808</v>
      </c>
      <c r="G498" s="4" t="s">
        <v>67</v>
      </c>
      <c r="H498" s="4" t="s">
        <v>68</v>
      </c>
      <c r="I498" s="4" t="s">
        <v>69</v>
      </c>
      <c r="J498" s="55" t="s">
        <v>297</v>
      </c>
      <c r="K498" s="4" t="s">
        <v>71</v>
      </c>
      <c r="L498" s="4" t="s">
        <v>1767</v>
      </c>
      <c r="M498" s="4" t="str">
        <f>VLOOKUP(A498,[1]Sheet1!$C:$G,5,0)</f>
        <v>Halima akter</v>
      </c>
      <c r="N498" s="4" t="s">
        <v>74</v>
      </c>
      <c r="O498" s="4" t="s">
        <v>2068</v>
      </c>
      <c r="P498" s="4">
        <v>39</v>
      </c>
      <c r="Q498" s="57">
        <v>45633</v>
      </c>
      <c r="R498" s="57">
        <v>45498</v>
      </c>
      <c r="S498" s="113" t="s">
        <v>81</v>
      </c>
      <c r="T498" s="113" t="s">
        <v>81</v>
      </c>
      <c r="U498" s="4" t="s">
        <v>81</v>
      </c>
      <c r="V498" s="4"/>
      <c r="W498" s="105" t="s">
        <v>2086</v>
      </c>
      <c r="X498" s="114">
        <v>1725540041</v>
      </c>
      <c r="Y498" s="55">
        <v>1518424835</v>
      </c>
      <c r="Z498" s="4" t="s">
        <v>2087</v>
      </c>
      <c r="AA498" s="4">
        <v>1518424835</v>
      </c>
      <c r="AB498" s="4" t="s">
        <v>252</v>
      </c>
      <c r="AC498" s="4" t="s">
        <v>102</v>
      </c>
      <c r="AD498" s="113">
        <v>35801</v>
      </c>
      <c r="AE498" s="107"/>
      <c r="AF498" s="4" t="s">
        <v>80</v>
      </c>
      <c r="AG498" s="114">
        <v>7355828281</v>
      </c>
      <c r="AH498" s="4" t="s">
        <v>790</v>
      </c>
      <c r="AI498" s="55" t="s">
        <v>254</v>
      </c>
      <c r="AJ498" s="55" t="s">
        <v>81</v>
      </c>
      <c r="AK498" s="55" t="s">
        <v>81</v>
      </c>
      <c r="AL498" s="4" t="s">
        <v>2088</v>
      </c>
      <c r="AM498" s="4" t="s">
        <v>2089</v>
      </c>
      <c r="AN498" s="4" t="s">
        <v>73</v>
      </c>
      <c r="AO498" s="4" t="s">
        <v>2090</v>
      </c>
      <c r="AP498" s="4" t="s">
        <v>2090</v>
      </c>
      <c r="AQ498" s="55" t="s">
        <v>2091</v>
      </c>
      <c r="AR498" s="4" t="s">
        <v>110</v>
      </c>
      <c r="AS498" s="4" t="s">
        <v>790</v>
      </c>
      <c r="AT498" s="72" t="s">
        <v>790</v>
      </c>
      <c r="AU498" s="4" t="s">
        <v>790</v>
      </c>
      <c r="AV498" s="4" t="s">
        <v>790</v>
      </c>
      <c r="AW498" s="4" t="s">
        <v>790</v>
      </c>
      <c r="AX498" s="4" t="s">
        <v>790</v>
      </c>
      <c r="AY498" s="4" t="s">
        <v>790</v>
      </c>
      <c r="AZ498" s="4" t="s">
        <v>790</v>
      </c>
      <c r="BA498" s="4" t="s">
        <v>90</v>
      </c>
      <c r="BB498" s="4">
        <v>10800</v>
      </c>
      <c r="BC498" s="4">
        <v>2700</v>
      </c>
      <c r="BD498" s="4"/>
      <c r="BE498" s="4" t="s">
        <v>91</v>
      </c>
      <c r="BF498" s="4" t="s">
        <v>81</v>
      </c>
      <c r="BG498" s="4" t="s">
        <v>81</v>
      </c>
      <c r="BH498" s="4" t="s">
        <v>3510</v>
      </c>
      <c r="BI498" s="72"/>
      <c r="BJ498" s="154"/>
      <c r="BK498" s="4"/>
      <c r="BL498" s="105"/>
      <c r="BM498" s="9"/>
      <c r="BN498" s="9"/>
      <c r="BO498" s="9"/>
    </row>
    <row r="499" ht="14.4" s="67" customFormat="1">
      <c r="A499" s="4">
        <v>171771</v>
      </c>
      <c r="B499" s="4"/>
      <c r="C499" s="55" t="s">
        <v>2092</v>
      </c>
      <c r="D499" s="4" t="s">
        <v>2093</v>
      </c>
      <c r="E499" s="4" t="s">
        <v>2094</v>
      </c>
      <c r="F499" s="55" t="s">
        <v>2095</v>
      </c>
      <c r="G499" s="4" t="s">
        <v>67</v>
      </c>
      <c r="H499" s="4" t="s">
        <v>68</v>
      </c>
      <c r="I499" s="4" t="s">
        <v>69</v>
      </c>
      <c r="J499" s="55" t="s">
        <v>297</v>
      </c>
      <c r="K499" s="4" t="s">
        <v>71</v>
      </c>
      <c r="L499" s="4" t="s">
        <v>1767</v>
      </c>
      <c r="M499" s="4" t="str">
        <f>VLOOKUP(A499,[1]Sheet1!$C:$G,5,0)</f>
        <v>Halima akter</v>
      </c>
      <c r="N499" s="4" t="s">
        <v>74</v>
      </c>
      <c r="O499" s="4" t="s">
        <v>2068</v>
      </c>
      <c r="P499" s="4">
        <v>39</v>
      </c>
      <c r="Q499" s="57">
        <v>45633</v>
      </c>
      <c r="R499" s="57">
        <v>45498</v>
      </c>
      <c r="S499" s="113" t="s">
        <v>81</v>
      </c>
      <c r="T499" s="113" t="s">
        <v>81</v>
      </c>
      <c r="U499" s="4" t="s">
        <v>81</v>
      </c>
      <c r="V499" s="4"/>
      <c r="W499" s="105" t="s">
        <v>2096</v>
      </c>
      <c r="X499" s="114">
        <v>1790629845</v>
      </c>
      <c r="Y499" s="55">
        <v>1790629845</v>
      </c>
      <c r="Z499" s="4" t="s">
        <v>2097</v>
      </c>
      <c r="AA499" s="4">
        <v>1720572690</v>
      </c>
      <c r="AB499" s="4" t="s">
        <v>101</v>
      </c>
      <c r="AC499" s="4" t="s">
        <v>133</v>
      </c>
      <c r="AD499" s="113">
        <v>35297</v>
      </c>
      <c r="AE499" s="107"/>
      <c r="AF499" s="4" t="s">
        <v>80</v>
      </c>
      <c r="AG499" s="114">
        <v>9153003141</v>
      </c>
      <c r="AH499" s="4" t="s">
        <v>81</v>
      </c>
      <c r="AI499" s="55" t="s">
        <v>82</v>
      </c>
      <c r="AJ499" s="55" t="s">
        <v>81</v>
      </c>
      <c r="AK499" s="55" t="s">
        <v>81</v>
      </c>
      <c r="AL499" s="4" t="s">
        <v>2098</v>
      </c>
      <c r="AM499" s="4" t="s">
        <v>2099</v>
      </c>
      <c r="AN499" s="4" t="s">
        <v>2100</v>
      </c>
      <c r="AO499" s="4" t="s">
        <v>2101</v>
      </c>
      <c r="AP499" s="4" t="s">
        <v>2102</v>
      </c>
      <c r="AQ499" s="55" t="s">
        <v>1209</v>
      </c>
      <c r="AR499" s="4" t="s">
        <v>110</v>
      </c>
      <c r="AS499" s="4" t="s">
        <v>81</v>
      </c>
      <c r="AT499" s="72" t="s">
        <v>81</v>
      </c>
      <c r="AU499" s="4" t="s">
        <v>81</v>
      </c>
      <c r="AV499" s="4" t="s">
        <v>81</v>
      </c>
      <c r="AW499" s="4" t="s">
        <v>81</v>
      </c>
      <c r="AX499" s="4" t="s">
        <v>81</v>
      </c>
      <c r="AY499" s="4" t="s">
        <v>81</v>
      </c>
      <c r="AZ499" s="4" t="s">
        <v>81</v>
      </c>
      <c r="BA499" s="4" t="s">
        <v>90</v>
      </c>
      <c r="BB499" s="4">
        <v>10800</v>
      </c>
      <c r="BC499" s="4">
        <v>2700</v>
      </c>
      <c r="BD499" s="4"/>
      <c r="BE499" s="4" t="s">
        <v>91</v>
      </c>
      <c r="BF499" s="4" t="s">
        <v>81</v>
      </c>
      <c r="BG499" s="4" t="s">
        <v>81</v>
      </c>
      <c r="BH499" s="4" t="s">
        <v>3510</v>
      </c>
      <c r="BI499" s="72"/>
      <c r="BJ499" s="154"/>
      <c r="BK499" s="4"/>
      <c r="BL499" s="105">
        <v>1790629845</v>
      </c>
      <c r="BM499" s="9"/>
      <c r="BN499" s="9"/>
      <c r="BO499" s="9"/>
    </row>
    <row r="500" ht="14.4" s="67" customFormat="1">
      <c r="A500" s="4">
        <v>171776</v>
      </c>
      <c r="B500" s="4"/>
      <c r="C500" s="55" t="s">
        <v>2103</v>
      </c>
      <c r="D500" s="4" t="s">
        <v>2104</v>
      </c>
      <c r="E500" s="4" t="s">
        <v>2085</v>
      </c>
      <c r="F500" s="55">
        <v>414674</v>
      </c>
      <c r="G500" s="4" t="s">
        <v>67</v>
      </c>
      <c r="H500" s="4" t="s">
        <v>68</v>
      </c>
      <c r="I500" s="4" t="s">
        <v>69</v>
      </c>
      <c r="J500" s="55" t="s">
        <v>297</v>
      </c>
      <c r="K500" s="4" t="s">
        <v>71</v>
      </c>
      <c r="L500" s="4" t="s">
        <v>1767</v>
      </c>
      <c r="M500" s="4" t="str">
        <f>VLOOKUP(A500,[1]Sheet1!$C:$G,5,0)</f>
        <v>Halima akter</v>
      </c>
      <c r="N500" s="4" t="s">
        <v>74</v>
      </c>
      <c r="O500" s="4" t="s">
        <v>2068</v>
      </c>
      <c r="P500" s="4">
        <v>39</v>
      </c>
      <c r="Q500" s="57">
        <v>45633</v>
      </c>
      <c r="R500" s="57">
        <v>45498</v>
      </c>
      <c r="S500" s="113" t="s">
        <v>81</v>
      </c>
      <c r="T500" s="113" t="s">
        <v>81</v>
      </c>
      <c r="U500" s="4" t="s">
        <v>81</v>
      </c>
      <c r="V500" s="4"/>
      <c r="W500" s="105" t="s">
        <v>2105</v>
      </c>
      <c r="X500" s="114">
        <v>1930461777</v>
      </c>
      <c r="Y500" s="55">
        <v>1763268764</v>
      </c>
      <c r="Z500" s="4" t="s">
        <v>2106</v>
      </c>
      <c r="AA500" s="4">
        <v>1763268764</v>
      </c>
      <c r="AB500" s="4" t="s">
        <v>81</v>
      </c>
      <c r="AC500" s="4" t="s">
        <v>79</v>
      </c>
      <c r="AD500" s="113">
        <v>35268</v>
      </c>
      <c r="AE500" s="107"/>
      <c r="AF500" s="4" t="s">
        <v>80</v>
      </c>
      <c r="AG500" s="114">
        <v>5072525149</v>
      </c>
      <c r="AH500" s="4" t="s">
        <v>81</v>
      </c>
      <c r="AI500" s="55" t="s">
        <v>1182</v>
      </c>
      <c r="AJ500" s="55" t="s">
        <v>265</v>
      </c>
      <c r="AK500" s="55">
        <v>2024</v>
      </c>
      <c r="AL500" s="4" t="s">
        <v>2107</v>
      </c>
      <c r="AM500" s="4" t="s">
        <v>2106</v>
      </c>
      <c r="AN500" s="4" t="s">
        <v>2108</v>
      </c>
      <c r="AO500" s="4" t="s">
        <v>2109</v>
      </c>
      <c r="AP500" s="4" t="s">
        <v>2110</v>
      </c>
      <c r="AQ500" s="55" t="s">
        <v>2111</v>
      </c>
      <c r="AR500" s="4" t="s">
        <v>110</v>
      </c>
      <c r="AS500" s="4" t="s">
        <v>81</v>
      </c>
      <c r="AT500" s="72" t="s">
        <v>81</v>
      </c>
      <c r="AU500" s="4" t="s">
        <v>81</v>
      </c>
      <c r="AV500" s="4" t="s">
        <v>81</v>
      </c>
      <c r="AW500" s="4" t="s">
        <v>81</v>
      </c>
      <c r="AX500" s="4" t="s">
        <v>81</v>
      </c>
      <c r="AY500" s="4" t="s">
        <v>81</v>
      </c>
      <c r="AZ500" s="4" t="s">
        <v>81</v>
      </c>
      <c r="BA500" s="4" t="s">
        <v>90</v>
      </c>
      <c r="BB500" s="4">
        <v>10800</v>
      </c>
      <c r="BC500" s="4">
        <v>2700</v>
      </c>
      <c r="BD500" s="4"/>
      <c r="BE500" s="4" t="s">
        <v>91</v>
      </c>
      <c r="BF500" s="4" t="s">
        <v>81</v>
      </c>
      <c r="BG500" s="4" t="s">
        <v>81</v>
      </c>
      <c r="BH500" s="4" t="s">
        <v>3510</v>
      </c>
      <c r="BI500" s="72"/>
      <c r="BJ500" s="154"/>
      <c r="BK500" s="4"/>
      <c r="BL500" s="105"/>
      <c r="BM500" s="9"/>
      <c r="BN500" s="9"/>
      <c r="BO500" s="9"/>
    </row>
    <row r="501" ht="14.4" s="67" customFormat="1">
      <c r="A501" s="4">
        <v>171778</v>
      </c>
      <c r="B501" s="4"/>
      <c r="C501" s="55" t="s">
        <v>2112</v>
      </c>
      <c r="D501" s="4" t="s">
        <v>2113</v>
      </c>
      <c r="E501" s="4" t="s">
        <v>114</v>
      </c>
      <c r="F501" s="55" t="s">
        <v>2114</v>
      </c>
      <c r="G501" s="4" t="s">
        <v>67</v>
      </c>
      <c r="H501" s="4" t="s">
        <v>68</v>
      </c>
      <c r="I501" s="4" t="s">
        <v>69</v>
      </c>
      <c r="J501" s="55" t="s">
        <v>297</v>
      </c>
      <c r="K501" s="4" t="s">
        <v>71</v>
      </c>
      <c r="L501" s="4" t="s">
        <v>1767</v>
      </c>
      <c r="M501" s="4" t="str">
        <f>VLOOKUP(A501,[1]Sheet1!$C:$G,5,0)</f>
        <v>Halima akter</v>
      </c>
      <c r="N501" s="4" t="s">
        <v>74</v>
      </c>
      <c r="O501" s="4" t="s">
        <v>2068</v>
      </c>
      <c r="P501" s="4">
        <v>39</v>
      </c>
      <c r="Q501" s="57">
        <v>45633</v>
      </c>
      <c r="R501" s="57">
        <v>45498</v>
      </c>
      <c r="S501" s="113" t="s">
        <v>81</v>
      </c>
      <c r="T501" s="113" t="s">
        <v>81</v>
      </c>
      <c r="U501" s="4" t="s">
        <v>81</v>
      </c>
      <c r="V501" s="4"/>
      <c r="W501" s="105" t="s">
        <v>2115</v>
      </c>
      <c r="X501" s="114">
        <v>1908500795</v>
      </c>
      <c r="Y501" s="55">
        <v>1627808973</v>
      </c>
      <c r="Z501" s="4" t="s">
        <v>2116</v>
      </c>
      <c r="AA501" s="4">
        <v>1627808973</v>
      </c>
      <c r="AB501" s="4" t="s">
        <v>242</v>
      </c>
      <c r="AC501" s="4" t="s">
        <v>119</v>
      </c>
      <c r="AD501" s="113">
        <v>37534</v>
      </c>
      <c r="AE501" s="107"/>
      <c r="AF501" s="4" t="s">
        <v>80</v>
      </c>
      <c r="AG501" s="114">
        <v>7363987418</v>
      </c>
      <c r="AH501" s="4" t="s">
        <v>2117</v>
      </c>
      <c r="AI501" s="55" t="s">
        <v>925</v>
      </c>
      <c r="AJ501" s="55" t="s">
        <v>2118</v>
      </c>
      <c r="AK501" s="55">
        <v>2024</v>
      </c>
      <c r="AL501" s="4" t="s">
        <v>995</v>
      </c>
      <c r="AM501" s="4" t="s">
        <v>2119</v>
      </c>
      <c r="AN501" s="4" t="s">
        <v>2116</v>
      </c>
      <c r="AO501" s="4" t="s">
        <v>2120</v>
      </c>
      <c r="AP501" s="4" t="s">
        <v>2120</v>
      </c>
      <c r="AQ501" s="55" t="s">
        <v>1209</v>
      </c>
      <c r="AR501" s="4" t="s">
        <v>110</v>
      </c>
      <c r="AS501" s="4" t="s">
        <v>242</v>
      </c>
      <c r="AT501" s="72" t="s">
        <v>242</v>
      </c>
      <c r="AU501" s="4" t="s">
        <v>242</v>
      </c>
      <c r="AV501" s="4" t="s">
        <v>242</v>
      </c>
      <c r="AW501" s="4" t="s">
        <v>242</v>
      </c>
      <c r="AX501" s="4" t="s">
        <v>242</v>
      </c>
      <c r="AY501" s="4" t="s">
        <v>242</v>
      </c>
      <c r="AZ501" s="4" t="s">
        <v>242</v>
      </c>
      <c r="BA501" s="4" t="s">
        <v>90</v>
      </c>
      <c r="BB501" s="4">
        <v>10800</v>
      </c>
      <c r="BC501" s="4">
        <v>2700</v>
      </c>
      <c r="BD501" s="4"/>
      <c r="BE501" s="4" t="s">
        <v>91</v>
      </c>
      <c r="BF501" s="4" t="s">
        <v>81</v>
      </c>
      <c r="BG501" s="4" t="s">
        <v>81</v>
      </c>
      <c r="BH501" s="4" t="s">
        <v>3510</v>
      </c>
      <c r="BI501" s="72"/>
      <c r="BJ501" s="154"/>
      <c r="BK501" s="4"/>
      <c r="BL501" s="105">
        <v>1908500795</v>
      </c>
      <c r="BM501" s="9"/>
      <c r="BN501" s="9"/>
      <c r="BO501" s="9"/>
    </row>
    <row r="502" ht="14.4" s="67" customFormat="1">
      <c r="A502" s="4">
        <v>171699</v>
      </c>
      <c r="B502" s="4"/>
      <c r="C502" s="55" t="s">
        <v>2121</v>
      </c>
      <c r="D502" s="4" t="s">
        <v>2122</v>
      </c>
      <c r="E502" s="4" t="s">
        <v>114</v>
      </c>
      <c r="F502" s="55">
        <v>615300</v>
      </c>
      <c r="G502" s="4" t="s">
        <v>67</v>
      </c>
      <c r="H502" s="4" t="s">
        <v>68</v>
      </c>
      <c r="I502" s="4" t="s">
        <v>69</v>
      </c>
      <c r="J502" s="55" t="s">
        <v>155</v>
      </c>
      <c r="K502" s="4" t="s">
        <v>71</v>
      </c>
      <c r="L502" s="4" t="s">
        <v>72</v>
      </c>
      <c r="M502" s="4" t="str">
        <f>VLOOKUP(A502,[1]Sheet1!$C:$G,5,0)</f>
        <v>Mohammad Joshim</v>
      </c>
      <c r="N502" s="4" t="s">
        <v>74</v>
      </c>
      <c r="O502" s="4" t="s">
        <v>75</v>
      </c>
      <c r="P502" s="4">
        <v>36</v>
      </c>
      <c r="Q502" s="57">
        <v>45475</v>
      </c>
      <c r="R502" s="57">
        <v>45491</v>
      </c>
      <c r="S502" s="113"/>
      <c r="T502" s="113"/>
      <c r="U502" s="4"/>
      <c r="V502" s="4"/>
      <c r="W502" s="105" t="s">
        <v>2123</v>
      </c>
      <c r="X502" s="114">
        <v>1880873639</v>
      </c>
      <c r="Y502" s="55">
        <v>1880873639</v>
      </c>
      <c r="Z502" s="4" t="s">
        <v>2124</v>
      </c>
      <c r="AA502" s="4">
        <v>1632121926</v>
      </c>
      <c r="AB502" s="4" t="s">
        <v>186</v>
      </c>
      <c r="AC502" s="4" t="s">
        <v>79</v>
      </c>
      <c r="AD502" s="113">
        <v>35314</v>
      </c>
      <c r="AE502" s="107"/>
      <c r="AF502" s="4" t="s">
        <v>80</v>
      </c>
      <c r="AG502" s="114">
        <v>5102403622</v>
      </c>
      <c r="AH502" s="4" t="s">
        <v>81</v>
      </c>
      <c r="AI502" s="55" t="s">
        <v>2125</v>
      </c>
      <c r="AJ502" s="55" t="s">
        <v>2126</v>
      </c>
      <c r="AK502" s="55">
        <v>2025</v>
      </c>
      <c r="AL502" s="4" t="s">
        <v>2127</v>
      </c>
      <c r="AM502" s="4" t="s">
        <v>2128</v>
      </c>
      <c r="AN502" s="4" t="s">
        <v>2129</v>
      </c>
      <c r="AO502" s="4" t="s">
        <v>2130</v>
      </c>
      <c r="AP502" s="4" t="s">
        <v>2131</v>
      </c>
      <c r="AQ502" s="55" t="s">
        <v>1188</v>
      </c>
      <c r="AR502" s="4" t="s">
        <v>2132</v>
      </c>
      <c r="AS502" s="4" t="s">
        <v>2124</v>
      </c>
      <c r="AT502" s="72">
        <v>35602</v>
      </c>
      <c r="AU502" s="4" t="s">
        <v>81</v>
      </c>
      <c r="AV502" s="4" t="s">
        <v>81</v>
      </c>
      <c r="AW502" s="4" t="s">
        <v>81</v>
      </c>
      <c r="AX502" s="4" t="s">
        <v>81</v>
      </c>
      <c r="AY502" s="4" t="s">
        <v>81</v>
      </c>
      <c r="AZ502" s="4" t="s">
        <v>81</v>
      </c>
      <c r="BA502" s="4" t="s">
        <v>90</v>
      </c>
      <c r="BB502" s="4">
        <v>10800</v>
      </c>
      <c r="BC502" s="4">
        <v>2700</v>
      </c>
      <c r="BD502" s="4">
        <v>1000</v>
      </c>
      <c r="BE502" s="4" t="s">
        <v>166</v>
      </c>
      <c r="BF502" s="4"/>
      <c r="BG502" s="4"/>
      <c r="BH502" s="4" t="s">
        <v>3510</v>
      </c>
      <c r="BI502" s="72"/>
      <c r="BJ502" s="154"/>
      <c r="BK502" s="4"/>
      <c r="BL502" s="105"/>
      <c r="BM502" s="9"/>
      <c r="BN502" s="9"/>
      <c r="BO502" s="9"/>
    </row>
    <row r="503" ht="14.4" s="67" customFormat="1">
      <c r="A503" s="4">
        <v>171745</v>
      </c>
      <c r="B503" s="4"/>
      <c r="C503" s="55" t="s">
        <v>2133</v>
      </c>
      <c r="D503" s="4" t="s">
        <v>2134</v>
      </c>
      <c r="E503" s="4" t="s">
        <v>114</v>
      </c>
      <c r="F503" s="55">
        <v>1010941703</v>
      </c>
      <c r="G503" s="4" t="s">
        <v>67</v>
      </c>
      <c r="H503" s="4" t="s">
        <v>68</v>
      </c>
      <c r="I503" s="4" t="s">
        <v>69</v>
      </c>
      <c r="J503" s="55" t="s">
        <v>155</v>
      </c>
      <c r="K503" s="4" t="s">
        <v>71</v>
      </c>
      <c r="L503" s="4" t="s">
        <v>72</v>
      </c>
      <c r="M503" s="4" t="str">
        <f>VLOOKUP(A503,[1]Sheet1!$C:$G,5,0)</f>
        <v>Abu MD. Rifat Imtiaz</v>
      </c>
      <c r="N503" s="4" t="s">
        <v>74</v>
      </c>
      <c r="O503" s="4" t="s">
        <v>75</v>
      </c>
      <c r="P503" s="4">
        <v>38</v>
      </c>
      <c r="Q503" s="57">
        <v>45482</v>
      </c>
      <c r="R503" s="57">
        <v>45507</v>
      </c>
      <c r="S503" s="113"/>
      <c r="T503" s="113"/>
      <c r="U503" s="4"/>
      <c r="V503" s="4"/>
      <c r="W503" s="105" t="s">
        <v>2135</v>
      </c>
      <c r="X503" s="114">
        <v>1956845082</v>
      </c>
      <c r="Y503" s="55">
        <v>1326268949</v>
      </c>
      <c r="Z503" s="4" t="s">
        <v>2136</v>
      </c>
      <c r="AA503" s="4">
        <v>1948232901</v>
      </c>
      <c r="AB503" s="4" t="s">
        <v>101</v>
      </c>
      <c r="AC503" s="4" t="s">
        <v>1904</v>
      </c>
      <c r="AD503" s="113">
        <v>35647</v>
      </c>
      <c r="AE503" s="107">
        <v>27</v>
      </c>
      <c r="AF503" s="4" t="s">
        <v>80</v>
      </c>
      <c r="AG503" s="114">
        <v>6902158069</v>
      </c>
      <c r="AH503" s="4" t="s">
        <v>242</v>
      </c>
      <c r="AI503" s="55" t="s">
        <v>925</v>
      </c>
      <c r="AJ503" s="55" t="s">
        <v>242</v>
      </c>
      <c r="AK503" s="55">
        <v>2023</v>
      </c>
      <c r="AL503" s="4" t="s">
        <v>2137</v>
      </c>
      <c r="AM503" s="4" t="s">
        <v>2136</v>
      </c>
      <c r="AN503" s="4" t="s">
        <v>2138</v>
      </c>
      <c r="AO503" s="4" t="s">
        <v>1654</v>
      </c>
      <c r="AP503" s="4" t="s">
        <v>1654</v>
      </c>
      <c r="AQ503" s="55" t="s">
        <v>1654</v>
      </c>
      <c r="AR503" s="4" t="s">
        <v>110</v>
      </c>
      <c r="AS503" s="4" t="s">
        <v>81</v>
      </c>
      <c r="AT503" s="72" t="s">
        <v>81</v>
      </c>
      <c r="AU503" s="4" t="s">
        <v>81</v>
      </c>
      <c r="AV503" s="4" t="s">
        <v>81</v>
      </c>
      <c r="AW503" s="4" t="s">
        <v>81</v>
      </c>
      <c r="AX503" s="4" t="s">
        <v>81</v>
      </c>
      <c r="AY503" s="4" t="s">
        <v>81</v>
      </c>
      <c r="AZ503" s="4" t="s">
        <v>81</v>
      </c>
      <c r="BA503" s="4" t="s">
        <v>90</v>
      </c>
      <c r="BB503" s="4">
        <v>10800</v>
      </c>
      <c r="BC503" s="4">
        <v>2700</v>
      </c>
      <c r="BD503" s="4">
        <v>1000</v>
      </c>
      <c r="BE503" s="4" t="s">
        <v>166</v>
      </c>
      <c r="BF503" s="4"/>
      <c r="BG503" s="4"/>
      <c r="BH503" s="4" t="s">
        <v>3510</v>
      </c>
      <c r="BI503" s="72"/>
      <c r="BJ503" s="154"/>
      <c r="BK503" s="4"/>
      <c r="BL503" s="105">
        <v>1956845082</v>
      </c>
      <c r="BM503" s="9"/>
      <c r="BN503" s="9"/>
      <c r="BO503" s="9"/>
    </row>
    <row r="504" ht="14.4" s="67" customFormat="1">
      <c r="A504" s="4">
        <v>171743</v>
      </c>
      <c r="B504" s="4"/>
      <c r="C504" s="55" t="s">
        <v>2139</v>
      </c>
      <c r="D504" s="4" t="s">
        <v>2140</v>
      </c>
      <c r="E504" s="4" t="s">
        <v>114</v>
      </c>
      <c r="F504" s="55">
        <v>1110460084</v>
      </c>
      <c r="G504" s="4" t="s">
        <v>67</v>
      </c>
      <c r="H504" s="4" t="s">
        <v>68</v>
      </c>
      <c r="I504" s="4" t="s">
        <v>69</v>
      </c>
      <c r="J504" s="55" t="s">
        <v>155</v>
      </c>
      <c r="K504" s="4" t="s">
        <v>71</v>
      </c>
      <c r="L504" s="4" t="s">
        <v>72</v>
      </c>
      <c r="M504" s="4" t="str">
        <f>VLOOKUP(A504,[1]Sheet1!$C:$G,5,0)</f>
        <v>Rakib Ahsan</v>
      </c>
      <c r="N504" s="4" t="s">
        <v>74</v>
      </c>
      <c r="O504" s="4" t="s">
        <v>75</v>
      </c>
      <c r="P504" s="4">
        <v>38</v>
      </c>
      <c r="Q504" s="57">
        <v>45482</v>
      </c>
      <c r="R504" s="57">
        <v>45507</v>
      </c>
      <c r="S504" s="113"/>
      <c r="T504" s="113"/>
      <c r="U504" s="4"/>
      <c r="V504" s="4"/>
      <c r="W504" s="105" t="s">
        <v>2141</v>
      </c>
      <c r="X504" s="114">
        <v>1682906550</v>
      </c>
      <c r="Y504" s="55">
        <v>1682906550</v>
      </c>
      <c r="Z504" s="4" t="s">
        <v>2142</v>
      </c>
      <c r="AA504" s="4">
        <v>1758377114</v>
      </c>
      <c r="AB504" s="4" t="s">
        <v>252</v>
      </c>
      <c r="AC504" s="4" t="s">
        <v>79</v>
      </c>
      <c r="AD504" s="113">
        <v>35672</v>
      </c>
      <c r="AE504" s="107">
        <v>27</v>
      </c>
      <c r="AF504" s="4" t="s">
        <v>80</v>
      </c>
      <c r="AG504" s="114">
        <v>3304641370</v>
      </c>
      <c r="AH504" s="4" t="s">
        <v>242</v>
      </c>
      <c r="AI504" s="55" t="s">
        <v>925</v>
      </c>
      <c r="AJ504" s="55" t="s">
        <v>242</v>
      </c>
      <c r="AK504" s="55">
        <v>2020</v>
      </c>
      <c r="AL504" s="4" t="s">
        <v>2143</v>
      </c>
      <c r="AM504" s="4" t="s">
        <v>2144</v>
      </c>
      <c r="AN504" s="4" t="s">
        <v>2145</v>
      </c>
      <c r="AO504" s="4" t="s">
        <v>1188</v>
      </c>
      <c r="AP504" s="4" t="s">
        <v>2146</v>
      </c>
      <c r="AQ504" s="55" t="s">
        <v>1188</v>
      </c>
      <c r="AR504" s="4" t="s">
        <v>110</v>
      </c>
      <c r="AS504" s="4" t="s">
        <v>81</v>
      </c>
      <c r="AT504" s="72" t="s">
        <v>81</v>
      </c>
      <c r="AU504" s="4" t="s">
        <v>81</v>
      </c>
      <c r="AV504" s="4" t="s">
        <v>81</v>
      </c>
      <c r="AW504" s="4" t="s">
        <v>81</v>
      </c>
      <c r="AX504" s="4" t="s">
        <v>81</v>
      </c>
      <c r="AY504" s="4" t="s">
        <v>81</v>
      </c>
      <c r="AZ504" s="4" t="s">
        <v>81</v>
      </c>
      <c r="BA504" s="4" t="s">
        <v>90</v>
      </c>
      <c r="BB504" s="4">
        <v>10800</v>
      </c>
      <c r="BC504" s="4">
        <v>2700</v>
      </c>
      <c r="BD504" s="4">
        <v>1000</v>
      </c>
      <c r="BE504" s="4" t="s">
        <v>166</v>
      </c>
      <c r="BF504" s="4"/>
      <c r="BG504" s="4"/>
      <c r="BH504" s="4" t="s">
        <v>3510</v>
      </c>
      <c r="BI504" s="72"/>
      <c r="BJ504" s="154"/>
      <c r="BK504" s="4"/>
      <c r="BL504" s="105">
        <v>1682906550</v>
      </c>
      <c r="BM504" s="9"/>
      <c r="BN504" s="9"/>
      <c r="BO504" s="9"/>
    </row>
    <row r="505" ht="14.4" s="67" customFormat="1">
      <c r="A505" s="4">
        <v>171752</v>
      </c>
      <c r="B505" s="4"/>
      <c r="C505" s="55" t="s">
        <v>2147</v>
      </c>
      <c r="D505" s="4" t="s">
        <v>2148</v>
      </c>
      <c r="E505" s="4" t="s">
        <v>114</v>
      </c>
      <c r="F505" s="55">
        <v>1110369503</v>
      </c>
      <c r="G505" s="4" t="s">
        <v>67</v>
      </c>
      <c r="H505" s="4" t="s">
        <v>68</v>
      </c>
      <c r="I505" s="4" t="s">
        <v>69</v>
      </c>
      <c r="J505" s="55" t="s">
        <v>155</v>
      </c>
      <c r="K505" s="4" t="s">
        <v>71</v>
      </c>
      <c r="L505" s="4" t="s">
        <v>72</v>
      </c>
      <c r="M505" s="4" t="str">
        <f>VLOOKUP(A505,[1]Sheet1!$C:$G,5,0)</f>
        <v>Nasir Uddin</v>
      </c>
      <c r="N505" s="4" t="s">
        <v>74</v>
      </c>
      <c r="O505" s="4" t="s">
        <v>75</v>
      </c>
      <c r="P505" s="4">
        <v>38</v>
      </c>
      <c r="Q505" s="57">
        <v>45482</v>
      </c>
      <c r="R505" s="57">
        <v>45507</v>
      </c>
      <c r="S505" s="113"/>
      <c r="T505" s="113"/>
      <c r="U505" s="4"/>
      <c r="V505" s="4"/>
      <c r="W505" s="105" t="s">
        <v>2149</v>
      </c>
      <c r="X505" s="114">
        <v>1739876969</v>
      </c>
      <c r="Y505" s="55">
        <v>1739876969</v>
      </c>
      <c r="Z505" s="4" t="s">
        <v>2150</v>
      </c>
      <c r="AA505" s="4">
        <v>1732874142</v>
      </c>
      <c r="AB505" s="4" t="s">
        <v>252</v>
      </c>
      <c r="AC505" s="4" t="s">
        <v>79</v>
      </c>
      <c r="AD505" s="113">
        <v>36193</v>
      </c>
      <c r="AE505" s="107">
        <v>25</v>
      </c>
      <c r="AF505" s="4" t="s">
        <v>80</v>
      </c>
      <c r="AG505" s="114">
        <v>1955276595</v>
      </c>
      <c r="AH505" s="4" t="s">
        <v>242</v>
      </c>
      <c r="AI505" s="55" t="s">
        <v>925</v>
      </c>
      <c r="AJ505" s="55" t="s">
        <v>242</v>
      </c>
      <c r="AK505" s="55">
        <v>2020</v>
      </c>
      <c r="AL505" s="4" t="s">
        <v>2151</v>
      </c>
      <c r="AM505" s="4" t="s">
        <v>2152</v>
      </c>
      <c r="AN505" s="4" t="s">
        <v>2153</v>
      </c>
      <c r="AO505" s="4" t="s">
        <v>1188</v>
      </c>
      <c r="AP505" s="4" t="s">
        <v>2154</v>
      </c>
      <c r="AQ505" s="55" t="s">
        <v>1188</v>
      </c>
      <c r="AR505" s="4" t="s">
        <v>110</v>
      </c>
      <c r="AS505" s="4" t="s">
        <v>81</v>
      </c>
      <c r="AT505" s="72" t="s">
        <v>81</v>
      </c>
      <c r="AU505" s="4" t="s">
        <v>81</v>
      </c>
      <c r="AV505" s="4" t="s">
        <v>81</v>
      </c>
      <c r="AW505" s="4" t="s">
        <v>81</v>
      </c>
      <c r="AX505" s="4" t="s">
        <v>81</v>
      </c>
      <c r="AY505" s="4" t="s">
        <v>81</v>
      </c>
      <c r="AZ505" s="4" t="s">
        <v>81</v>
      </c>
      <c r="BA505" s="4" t="s">
        <v>90</v>
      </c>
      <c r="BB505" s="4">
        <v>10800</v>
      </c>
      <c r="BC505" s="4">
        <v>2700</v>
      </c>
      <c r="BD505" s="4">
        <v>1000</v>
      </c>
      <c r="BE505" s="4" t="s">
        <v>166</v>
      </c>
      <c r="BF505" s="4"/>
      <c r="BG505" s="4"/>
      <c r="BH505" s="4" t="s">
        <v>3510</v>
      </c>
      <c r="BI505" s="72"/>
      <c r="BJ505" s="154"/>
      <c r="BK505" s="4"/>
      <c r="BL505" s="105">
        <v>1739876969</v>
      </c>
      <c r="BM505" s="9"/>
      <c r="BN505" s="9"/>
      <c r="BO505" s="9"/>
    </row>
    <row r="506" ht="14.4" s="67" customFormat="1">
      <c r="A506" s="4">
        <v>171750</v>
      </c>
      <c r="B506" s="4"/>
      <c r="C506" s="55" t="s">
        <v>2155</v>
      </c>
      <c r="D506" s="4" t="s">
        <v>2156</v>
      </c>
      <c r="E506" s="4" t="s">
        <v>114</v>
      </c>
      <c r="F506" s="55">
        <v>1210879191</v>
      </c>
      <c r="G506" s="4" t="s">
        <v>67</v>
      </c>
      <c r="H506" s="4" t="s">
        <v>68</v>
      </c>
      <c r="I506" s="4" t="s">
        <v>69</v>
      </c>
      <c r="J506" s="55" t="s">
        <v>155</v>
      </c>
      <c r="K506" s="4" t="s">
        <v>71</v>
      </c>
      <c r="L506" s="4" t="s">
        <v>72</v>
      </c>
      <c r="M506" s="4" t="str">
        <f>VLOOKUP(A506,[1]Sheet1!$C:$G,5,0)</f>
        <v>Md. Tanjir Ahmed</v>
      </c>
      <c r="N506" s="4" t="s">
        <v>74</v>
      </c>
      <c r="O506" s="4" t="s">
        <v>75</v>
      </c>
      <c r="P506" s="4">
        <v>38</v>
      </c>
      <c r="Q506" s="57">
        <v>45482</v>
      </c>
      <c r="R506" s="57">
        <v>45507</v>
      </c>
      <c r="S506" s="113"/>
      <c r="T506" s="113"/>
      <c r="U506" s="4"/>
      <c r="V506" s="4"/>
      <c r="W506" s="105" t="s">
        <v>2157</v>
      </c>
      <c r="X506" s="114">
        <v>1795078065</v>
      </c>
      <c r="Y506" s="55">
        <v>1795078065</v>
      </c>
      <c r="Z506" s="4" t="s">
        <v>2158</v>
      </c>
      <c r="AA506" s="4">
        <v>1715032121</v>
      </c>
      <c r="AB506" s="4" t="s">
        <v>101</v>
      </c>
      <c r="AC506" s="4" t="s">
        <v>119</v>
      </c>
      <c r="AD506" s="113">
        <v>36477</v>
      </c>
      <c r="AE506" s="107">
        <v>24</v>
      </c>
      <c r="AF506" s="4" t="s">
        <v>80</v>
      </c>
      <c r="AG506" s="114">
        <v>2412817476</v>
      </c>
      <c r="AH506" s="4" t="s">
        <v>242</v>
      </c>
      <c r="AI506" s="55" t="s">
        <v>925</v>
      </c>
      <c r="AJ506" s="55" t="s">
        <v>242</v>
      </c>
      <c r="AK506" s="55">
        <v>2021</v>
      </c>
      <c r="AL506" s="4" t="s">
        <v>524</v>
      </c>
      <c r="AM506" s="4" t="s">
        <v>2158</v>
      </c>
      <c r="AN506" s="4" t="s">
        <v>2159</v>
      </c>
      <c r="AO506" s="4" t="s">
        <v>328</v>
      </c>
      <c r="AP506" s="4" t="s">
        <v>2160</v>
      </c>
      <c r="AQ506" s="55" t="s">
        <v>328</v>
      </c>
      <c r="AR506" s="4" t="s">
        <v>110</v>
      </c>
      <c r="AS506" s="4" t="s">
        <v>81</v>
      </c>
      <c r="AT506" s="72" t="s">
        <v>81</v>
      </c>
      <c r="AU506" s="4" t="s">
        <v>81</v>
      </c>
      <c r="AV506" s="4" t="s">
        <v>81</v>
      </c>
      <c r="AW506" s="4" t="s">
        <v>81</v>
      </c>
      <c r="AX506" s="4" t="s">
        <v>81</v>
      </c>
      <c r="AY506" s="4" t="s">
        <v>81</v>
      </c>
      <c r="AZ506" s="4" t="s">
        <v>81</v>
      </c>
      <c r="BA506" s="4" t="s">
        <v>90</v>
      </c>
      <c r="BB506" s="4">
        <v>10800</v>
      </c>
      <c r="BC506" s="4">
        <v>2700</v>
      </c>
      <c r="BD506" s="4">
        <v>1000</v>
      </c>
      <c r="BE506" s="4" t="s">
        <v>166</v>
      </c>
      <c r="BF506" s="4"/>
      <c r="BG506" s="4"/>
      <c r="BH506" s="4" t="s">
        <v>3510</v>
      </c>
      <c r="BI506" s="72"/>
      <c r="BJ506" s="154"/>
      <c r="BK506" s="4"/>
      <c r="BL506" s="105">
        <v>1795078065</v>
      </c>
      <c r="BM506" s="9"/>
      <c r="BN506" s="9"/>
      <c r="BO506" s="9"/>
    </row>
    <row r="507" ht="14.4" s="67" customFormat="1">
      <c r="A507" s="4">
        <v>171806</v>
      </c>
      <c r="B507" s="4"/>
      <c r="C507" s="55"/>
      <c r="D507" s="4" t="s">
        <v>2161</v>
      </c>
      <c r="E507" s="4" t="s">
        <v>66</v>
      </c>
      <c r="F507" s="55">
        <v>1310628225</v>
      </c>
      <c r="G507" s="4" t="s">
        <v>67</v>
      </c>
      <c r="H507" s="4" t="s">
        <v>68</v>
      </c>
      <c r="I507" s="4" t="s">
        <v>69</v>
      </c>
      <c r="J507" s="55" t="s">
        <v>2162</v>
      </c>
      <c r="K507" s="4" t="s">
        <v>71</v>
      </c>
      <c r="L507" s="4" t="s">
        <v>72</v>
      </c>
      <c r="M507" s="4" t="str">
        <f>VLOOKUP(A507,[1]Sheet1!$C:$G,5,0)</f>
        <v>Mizanur Rahman</v>
      </c>
      <c r="N507" s="4" t="s">
        <v>74</v>
      </c>
      <c r="O507" s="4" t="s">
        <v>75</v>
      </c>
      <c r="P507" s="4">
        <v>41</v>
      </c>
      <c r="Q507" s="57">
        <v>45506</v>
      </c>
      <c r="R507" s="57">
        <v>45517</v>
      </c>
      <c r="S507" s="113"/>
      <c r="T507" s="113"/>
      <c r="U507" s="4"/>
      <c r="V507" s="4"/>
      <c r="W507" s="105"/>
      <c r="X507" s="114">
        <v>1716300392</v>
      </c>
      <c r="Y507" s="55"/>
      <c r="Z507" s="4" t="s">
        <v>2163</v>
      </c>
      <c r="AA507" s="4">
        <v>1921561987</v>
      </c>
      <c r="AB507" s="4" t="s">
        <v>132</v>
      </c>
      <c r="AC507" s="4" t="s">
        <v>133</v>
      </c>
      <c r="AD507" s="113" t="s">
        <v>2164</v>
      </c>
      <c r="AE507" s="107"/>
      <c r="AF507" s="4" t="s">
        <v>80</v>
      </c>
      <c r="AG507" s="114" t="s">
        <v>2165</v>
      </c>
      <c r="AH507" s="4" t="s">
        <v>81</v>
      </c>
      <c r="AI507" s="55" t="s">
        <v>322</v>
      </c>
      <c r="AJ507" s="55"/>
      <c r="AK507" s="55"/>
      <c r="AL507" s="4"/>
      <c r="AM507" s="4" t="s">
        <v>2166</v>
      </c>
      <c r="AN507" s="4" t="s">
        <v>2163</v>
      </c>
      <c r="AO507" s="4" t="s">
        <v>2167</v>
      </c>
      <c r="AP507" s="4" t="s">
        <v>2167</v>
      </c>
      <c r="AQ507" s="55" t="s">
        <v>499</v>
      </c>
      <c r="AR507" s="4"/>
      <c r="AS507" s="4"/>
      <c r="AT507" s="72"/>
      <c r="AU507" s="4"/>
      <c r="AV507" s="4"/>
      <c r="AW507" s="4"/>
      <c r="AX507" s="4"/>
      <c r="AY507" s="4"/>
      <c r="AZ507" s="4"/>
      <c r="BA507" s="4" t="s">
        <v>90</v>
      </c>
      <c r="BB507" s="4">
        <v>10800</v>
      </c>
      <c r="BC507" s="4">
        <v>2700</v>
      </c>
      <c r="BD507" s="4">
        <v>0</v>
      </c>
      <c r="BE507" s="4" t="s">
        <v>91</v>
      </c>
      <c r="BF507" s="4"/>
      <c r="BG507" s="4"/>
      <c r="BH507" s="4" t="s">
        <v>3510</v>
      </c>
      <c r="BI507" s="72"/>
      <c r="BJ507" s="154"/>
      <c r="BK507" s="4"/>
      <c r="BL507" s="105"/>
      <c r="BM507" s="9"/>
      <c r="BN507" s="9"/>
      <c r="BO507" s="9"/>
    </row>
    <row r="508" ht="14.4" s="67" customFormat="1">
      <c r="A508" s="4">
        <v>171809</v>
      </c>
      <c r="B508" s="4"/>
      <c r="C508" s="55"/>
      <c r="D508" s="4" t="s">
        <v>882</v>
      </c>
      <c r="E508" s="4" t="s">
        <v>66</v>
      </c>
      <c r="F508" s="55" t="s">
        <v>2168</v>
      </c>
      <c r="G508" s="4" t="s">
        <v>67</v>
      </c>
      <c r="H508" s="4" t="s">
        <v>68</v>
      </c>
      <c r="I508" s="4" t="s">
        <v>69</v>
      </c>
      <c r="J508" s="55" t="s">
        <v>2162</v>
      </c>
      <c r="K508" s="4" t="s">
        <v>71</v>
      </c>
      <c r="L508" s="4" t="s">
        <v>72</v>
      </c>
      <c r="M508" s="4" t="str">
        <f>VLOOKUP(A508,[1]Sheet1!$C:$G,5,0)</f>
        <v>Nazimuddoula Leon</v>
      </c>
      <c r="N508" s="4" t="s">
        <v>74</v>
      </c>
      <c r="O508" s="4" t="s">
        <v>75</v>
      </c>
      <c r="P508" s="4">
        <v>41</v>
      </c>
      <c r="Q508" s="57">
        <v>45506</v>
      </c>
      <c r="R508" s="57">
        <v>45517</v>
      </c>
      <c r="S508" s="113"/>
      <c r="T508" s="113"/>
      <c r="U508" s="4"/>
      <c r="V508" s="4"/>
      <c r="W508" s="105"/>
      <c r="X508" s="114">
        <v>1873339498</v>
      </c>
      <c r="Y508" s="55"/>
      <c r="Z508" s="4" t="s">
        <v>2169</v>
      </c>
      <c r="AA508" s="4">
        <v>1731504267</v>
      </c>
      <c r="AB508" s="4" t="s">
        <v>132</v>
      </c>
      <c r="AC508" s="4" t="s">
        <v>133</v>
      </c>
      <c r="AD508" s="113">
        <v>34362</v>
      </c>
      <c r="AE508" s="107"/>
      <c r="AF508" s="4" t="s">
        <v>80</v>
      </c>
      <c r="AG508" s="114">
        <v>1000898138</v>
      </c>
      <c r="AH508" s="4" t="s">
        <v>81</v>
      </c>
      <c r="AI508" s="55" t="s">
        <v>322</v>
      </c>
      <c r="AJ508" s="55"/>
      <c r="AK508" s="55"/>
      <c r="AL508" s="4"/>
      <c r="AM508" s="4" t="s">
        <v>2170</v>
      </c>
      <c r="AN508" s="4" t="s">
        <v>2169</v>
      </c>
      <c r="AO508" s="4" t="s">
        <v>2171</v>
      </c>
      <c r="AP508" s="4" t="s">
        <v>2171</v>
      </c>
      <c r="AQ508" s="55" t="s">
        <v>2172</v>
      </c>
      <c r="AR508" s="4"/>
      <c r="AS508" s="4"/>
      <c r="AT508" s="72"/>
      <c r="AU508" s="4"/>
      <c r="AV508" s="4"/>
      <c r="AW508" s="4"/>
      <c r="AX508" s="4"/>
      <c r="AY508" s="4"/>
      <c r="AZ508" s="4"/>
      <c r="BA508" s="4" t="s">
        <v>90</v>
      </c>
      <c r="BB508" s="4">
        <v>10800</v>
      </c>
      <c r="BC508" s="4">
        <v>2700</v>
      </c>
      <c r="BD508" s="4">
        <v>0</v>
      </c>
      <c r="BE508" s="4" t="s">
        <v>91</v>
      </c>
      <c r="BF508" s="4"/>
      <c r="BG508" s="4"/>
      <c r="BH508" s="4" t="s">
        <v>3510</v>
      </c>
      <c r="BI508" s="72"/>
      <c r="BJ508" s="154"/>
      <c r="BK508" s="4"/>
      <c r="BL508" s="105"/>
      <c r="BM508" s="9"/>
      <c r="BN508" s="9"/>
      <c r="BO508" s="9"/>
    </row>
    <row r="509" ht="14.4" s="67" customFormat="1">
      <c r="A509" s="4">
        <v>171816</v>
      </c>
      <c r="B509" s="4"/>
      <c r="C509" s="55"/>
      <c r="D509" s="4" t="s">
        <v>6514</v>
      </c>
      <c r="E509" s="4" t="s">
        <v>66</v>
      </c>
      <c r="F509" s="55">
        <v>1210668390</v>
      </c>
      <c r="G509" s="4" t="s">
        <v>67</v>
      </c>
      <c r="H509" s="4" t="s">
        <v>68</v>
      </c>
      <c r="I509" s="4" t="s">
        <v>69</v>
      </c>
      <c r="J509" s="55" t="s">
        <v>2162</v>
      </c>
      <c r="K509" s="4" t="s">
        <v>71</v>
      </c>
      <c r="L509" s="4" t="s">
        <v>72</v>
      </c>
      <c r="M509" s="4" t="str">
        <f>VLOOKUP(A509,[1]Sheet1!$C:$G,5,0)</f>
        <v>Mizanur Rahman</v>
      </c>
      <c r="N509" s="4" t="s">
        <v>74</v>
      </c>
      <c r="O509" s="4" t="s">
        <v>75</v>
      </c>
      <c r="P509" s="4">
        <v>41</v>
      </c>
      <c r="Q509" s="57">
        <v>45506</v>
      </c>
      <c r="R509" s="57">
        <v>45517</v>
      </c>
      <c r="S509" s="113"/>
      <c r="T509" s="113"/>
      <c r="U509" s="4"/>
      <c r="V509" s="4"/>
      <c r="W509" s="105"/>
      <c r="X509" s="114">
        <v>1776934072</v>
      </c>
      <c r="Y509" s="55"/>
      <c r="Z509" s="4" t="s">
        <v>6515</v>
      </c>
      <c r="AA509" s="4">
        <v>1795435502</v>
      </c>
      <c r="AB509" s="4" t="s">
        <v>252</v>
      </c>
      <c r="AC509" s="4" t="s">
        <v>119</v>
      </c>
      <c r="AD509" s="113">
        <v>35882</v>
      </c>
      <c r="AE509" s="107"/>
      <c r="AF509" s="4" t="s">
        <v>80</v>
      </c>
      <c r="AG509" s="114" t="s">
        <v>6516</v>
      </c>
      <c r="AH509" s="4" t="s">
        <v>81</v>
      </c>
      <c r="AI509" s="55" t="s">
        <v>290</v>
      </c>
      <c r="AJ509" s="55"/>
      <c r="AK509" s="55"/>
      <c r="AL509" s="4"/>
      <c r="AM509" s="4" t="s">
        <v>6517</v>
      </c>
      <c r="AN509" s="4" t="s">
        <v>6518</v>
      </c>
      <c r="AO509" s="4" t="s">
        <v>6519</v>
      </c>
      <c r="AP509" s="4" t="s">
        <v>6520</v>
      </c>
      <c r="AQ509" s="55" t="s">
        <v>6521</v>
      </c>
      <c r="AR509" s="4"/>
      <c r="AS509" s="4"/>
      <c r="AT509" s="72"/>
      <c r="AU509" s="4"/>
      <c r="AV509" s="4"/>
      <c r="AW509" s="4"/>
      <c r="AX509" s="4"/>
      <c r="AY509" s="4"/>
      <c r="AZ509" s="4"/>
      <c r="BA509" s="4" t="s">
        <v>90</v>
      </c>
      <c r="BB509" s="4">
        <v>10800</v>
      </c>
      <c r="BC509" s="4">
        <v>2700</v>
      </c>
      <c r="BD509" s="4">
        <v>0</v>
      </c>
      <c r="BE509" s="4" t="s">
        <v>91</v>
      </c>
      <c r="BF509" s="4"/>
      <c r="BG509" s="4"/>
      <c r="BH509" s="4" t="s">
        <v>3510</v>
      </c>
      <c r="BI509" s="72"/>
      <c r="BJ509" s="154"/>
      <c r="BK509" s="4"/>
      <c r="BL509" s="105"/>
      <c r="BM509" s="9"/>
      <c r="BN509" s="9"/>
      <c r="BO509" s="9"/>
    </row>
    <row r="510" ht="14.4" s="67" customFormat="1">
      <c r="A510" s="4">
        <v>171817</v>
      </c>
      <c r="B510" s="4"/>
      <c r="C510" s="55"/>
      <c r="D510" s="4" t="s">
        <v>2173</v>
      </c>
      <c r="E510" s="4" t="s">
        <v>114</v>
      </c>
      <c r="F510" s="55">
        <v>80392220092010</v>
      </c>
      <c r="G510" s="4" t="s">
        <v>67</v>
      </c>
      <c r="H510" s="4" t="s">
        <v>68</v>
      </c>
      <c r="I510" s="4" t="s">
        <v>69</v>
      </c>
      <c r="J510" s="55" t="s">
        <v>2162</v>
      </c>
      <c r="K510" s="4" t="s">
        <v>71</v>
      </c>
      <c r="L510" s="4" t="s">
        <v>72</v>
      </c>
      <c r="M510" s="4" t="str">
        <f>VLOOKUP(A510,[1]Sheet1!$C:$G,5,0)</f>
        <v>Mizanur Rahman</v>
      </c>
      <c r="N510" s="4" t="s">
        <v>74</v>
      </c>
      <c r="O510" s="4" t="s">
        <v>75</v>
      </c>
      <c r="P510" s="4">
        <v>41</v>
      </c>
      <c r="Q510" s="57">
        <v>45506</v>
      </c>
      <c r="R510" s="57">
        <v>45517</v>
      </c>
      <c r="S510" s="113"/>
      <c r="T510" s="113"/>
      <c r="U510" s="4"/>
      <c r="V510" s="4"/>
      <c r="W510" s="105"/>
      <c r="X510" s="114">
        <v>1723166236</v>
      </c>
      <c r="Y510" s="55"/>
      <c r="Z510" s="4" t="s">
        <v>2174</v>
      </c>
      <c r="AA510" s="4">
        <v>1716872187</v>
      </c>
      <c r="AB510" s="4" t="s">
        <v>101</v>
      </c>
      <c r="AC510" s="4" t="s">
        <v>133</v>
      </c>
      <c r="AD510" s="113">
        <v>35225</v>
      </c>
      <c r="AE510" s="107"/>
      <c r="AF510" s="4" t="s">
        <v>80</v>
      </c>
      <c r="AG510" s="114">
        <v>2392417560</v>
      </c>
      <c r="AH510" s="4" t="s">
        <v>242</v>
      </c>
      <c r="AI510" s="55" t="s">
        <v>322</v>
      </c>
      <c r="AJ510" s="55"/>
      <c r="AK510" s="55"/>
      <c r="AL510" s="4"/>
      <c r="AM510" s="4" t="s">
        <v>2174</v>
      </c>
      <c r="AN510" s="4" t="s">
        <v>2175</v>
      </c>
      <c r="AO510" s="4" t="s">
        <v>1282</v>
      </c>
      <c r="AP510" s="4" t="s">
        <v>2176</v>
      </c>
      <c r="AQ510" s="55" t="s">
        <v>499</v>
      </c>
      <c r="AR510" s="4"/>
      <c r="AS510" s="4"/>
      <c r="AT510" s="72"/>
      <c r="AU510" s="4"/>
      <c r="AV510" s="4"/>
      <c r="AW510" s="4"/>
      <c r="AX510" s="4"/>
      <c r="AY510" s="4"/>
      <c r="AZ510" s="4"/>
      <c r="BA510" s="4" t="s">
        <v>90</v>
      </c>
      <c r="BB510" s="4">
        <v>10800</v>
      </c>
      <c r="BC510" s="4">
        <v>2700</v>
      </c>
      <c r="BD510" s="4">
        <v>0</v>
      </c>
      <c r="BE510" s="4" t="s">
        <v>91</v>
      </c>
      <c r="BF510" s="4"/>
      <c r="BG510" s="4"/>
      <c r="BH510" s="4" t="s">
        <v>3510</v>
      </c>
      <c r="BI510" s="72"/>
      <c r="BJ510" s="154"/>
      <c r="BK510" s="4"/>
      <c r="BL510" s="105"/>
      <c r="BM510" s="9"/>
      <c r="BN510" s="9"/>
      <c r="BO510" s="9"/>
    </row>
    <row r="511" ht="14.4" s="67" customFormat="1">
      <c r="A511" s="4">
        <v>171828</v>
      </c>
      <c r="B511" s="4"/>
      <c r="C511" s="55"/>
      <c r="D511" s="4" t="s">
        <v>6522</v>
      </c>
      <c r="E511" s="4" t="s">
        <v>114</v>
      </c>
      <c r="F511" s="55">
        <v>240524</v>
      </c>
      <c r="G511" s="4" t="s">
        <v>67</v>
      </c>
      <c r="H511" s="4" t="s">
        <v>68</v>
      </c>
      <c r="I511" s="4" t="s">
        <v>69</v>
      </c>
      <c r="J511" s="55" t="s">
        <v>2162</v>
      </c>
      <c r="K511" s="4" t="s">
        <v>71</v>
      </c>
      <c r="L511" s="4" t="s">
        <v>72</v>
      </c>
      <c r="M511" s="4" t="str">
        <f>VLOOKUP(A511,[1]Sheet1!$C:$G,5,0)</f>
        <v>Md. Moniruzzaman</v>
      </c>
      <c r="N511" s="4" t="s">
        <v>74</v>
      </c>
      <c r="O511" s="4" t="s">
        <v>75</v>
      </c>
      <c r="P511" s="4">
        <v>41</v>
      </c>
      <c r="Q511" s="57">
        <v>45506</v>
      </c>
      <c r="R511" s="57">
        <v>45517</v>
      </c>
      <c r="S511" s="113"/>
      <c r="T511" s="113"/>
      <c r="U511" s="4"/>
      <c r="V511" s="4"/>
      <c r="W511" s="105"/>
      <c r="X511" s="114">
        <v>1811419369</v>
      </c>
      <c r="Y511" s="55"/>
      <c r="Z511" s="4" t="s">
        <v>6523</v>
      </c>
      <c r="AA511" s="4">
        <v>1982584989</v>
      </c>
      <c r="AB511" s="4" t="s">
        <v>252</v>
      </c>
      <c r="AC511" s="4" t="s">
        <v>133</v>
      </c>
      <c r="AD511" s="113">
        <v>35362</v>
      </c>
      <c r="AE511" s="107"/>
      <c r="AF511" s="4" t="s">
        <v>360</v>
      </c>
      <c r="AG511" s="114">
        <v>2857002105</v>
      </c>
      <c r="AH511" s="4" t="s">
        <v>6524</v>
      </c>
      <c r="AI511" s="55" t="s">
        <v>217</v>
      </c>
      <c r="AJ511" s="55"/>
      <c r="AK511" s="55"/>
      <c r="AL511" s="4"/>
      <c r="AM511" s="4" t="s">
        <v>6525</v>
      </c>
      <c r="AN511" s="4" t="s">
        <v>6526</v>
      </c>
      <c r="AO511" s="4" t="s">
        <v>6527</v>
      </c>
      <c r="AP511" s="4" t="s">
        <v>6528</v>
      </c>
      <c r="AQ511" s="55" t="s">
        <v>6529</v>
      </c>
      <c r="AR511" s="4"/>
      <c r="AS511" s="4"/>
      <c r="AT511" s="72"/>
      <c r="AU511" s="4"/>
      <c r="AV511" s="4"/>
      <c r="AW511" s="4"/>
      <c r="AX511" s="4"/>
      <c r="AY511" s="4"/>
      <c r="AZ511" s="4"/>
      <c r="BA511" s="4" t="s">
        <v>90</v>
      </c>
      <c r="BB511" s="4">
        <v>10800</v>
      </c>
      <c r="BC511" s="4">
        <v>2700</v>
      </c>
      <c r="BD511" s="4">
        <v>0</v>
      </c>
      <c r="BE511" s="4" t="s">
        <v>91</v>
      </c>
      <c r="BF511" s="4"/>
      <c r="BG511" s="4"/>
      <c r="BH511" s="4" t="s">
        <v>3510</v>
      </c>
      <c r="BI511" s="72"/>
      <c r="BJ511" s="154"/>
      <c r="BK511" s="4"/>
      <c r="BL511" s="105">
        <v>1811419369</v>
      </c>
      <c r="BM511" s="9"/>
      <c r="BN511" s="9"/>
      <c r="BO511" s="9"/>
    </row>
    <row r="512" ht="14.4" s="67" customFormat="1">
      <c r="A512" s="4">
        <v>171829</v>
      </c>
      <c r="B512" s="4"/>
      <c r="C512" s="55"/>
      <c r="D512" s="4" t="s">
        <v>1181</v>
      </c>
      <c r="E512" s="4" t="s">
        <v>114</v>
      </c>
      <c r="F512" s="55">
        <v>678897</v>
      </c>
      <c r="G512" s="4" t="s">
        <v>67</v>
      </c>
      <c r="H512" s="4" t="s">
        <v>68</v>
      </c>
      <c r="I512" s="4" t="s">
        <v>69</v>
      </c>
      <c r="J512" s="55" t="s">
        <v>2162</v>
      </c>
      <c r="K512" s="4" t="s">
        <v>71</v>
      </c>
      <c r="L512" s="4" t="s">
        <v>72</v>
      </c>
      <c r="M512" s="4" t="str">
        <f>VLOOKUP(A512,[1]Sheet1!$C:$G,5,0)</f>
        <v>Mizanur Rahman</v>
      </c>
      <c r="N512" s="4" t="s">
        <v>74</v>
      </c>
      <c r="O512" s="4" t="s">
        <v>75</v>
      </c>
      <c r="P512" s="4">
        <v>41</v>
      </c>
      <c r="Q512" s="57">
        <v>45506</v>
      </c>
      <c r="R512" s="57">
        <v>45517</v>
      </c>
      <c r="S512" s="113"/>
      <c r="T512" s="113"/>
      <c r="U512" s="4"/>
      <c r="V512" s="4"/>
      <c r="W512" s="105"/>
      <c r="X512" s="114">
        <v>1701484635</v>
      </c>
      <c r="Y512" s="55"/>
      <c r="Z512" s="4" t="s">
        <v>2177</v>
      </c>
      <c r="AA512" s="4">
        <v>1301089378</v>
      </c>
      <c r="AB512" s="4" t="s">
        <v>186</v>
      </c>
      <c r="AC512" s="4" t="s">
        <v>133</v>
      </c>
      <c r="AD512" s="113">
        <v>33913</v>
      </c>
      <c r="AE512" s="107"/>
      <c r="AF512" s="4" t="s">
        <v>80</v>
      </c>
      <c r="AG512" s="114">
        <v>6418584000142</v>
      </c>
      <c r="AH512" s="4" t="s">
        <v>81</v>
      </c>
      <c r="AI512" s="55" t="s">
        <v>217</v>
      </c>
      <c r="AJ512" s="55"/>
      <c r="AK512" s="55"/>
      <c r="AL512" s="4"/>
      <c r="AM512" s="4" t="s">
        <v>2178</v>
      </c>
      <c r="AN512" s="4" t="s">
        <v>2179</v>
      </c>
      <c r="AO512" s="4" t="s">
        <v>2180</v>
      </c>
      <c r="AP512" s="4" t="s">
        <v>2181</v>
      </c>
      <c r="AQ512" s="55" t="s">
        <v>666</v>
      </c>
      <c r="AR512" s="4"/>
      <c r="AS512" s="4"/>
      <c r="AT512" s="72"/>
      <c r="AU512" s="4"/>
      <c r="AV512" s="4"/>
      <c r="AW512" s="4"/>
      <c r="AX512" s="4"/>
      <c r="AY512" s="4"/>
      <c r="AZ512" s="4"/>
      <c r="BA512" s="4" t="s">
        <v>90</v>
      </c>
      <c r="BB512" s="4">
        <v>10800</v>
      </c>
      <c r="BC512" s="4">
        <v>2700</v>
      </c>
      <c r="BD512" s="4">
        <v>0</v>
      </c>
      <c r="BE512" s="4" t="s">
        <v>91</v>
      </c>
      <c r="BF512" s="4"/>
      <c r="BG512" s="4"/>
      <c r="BH512" s="4" t="s">
        <v>3510</v>
      </c>
      <c r="BI512" s="72"/>
      <c r="BJ512" s="154"/>
      <c r="BK512" s="4"/>
      <c r="BL512" s="105"/>
      <c r="BM512" s="9"/>
      <c r="BN512" s="9"/>
      <c r="BO512" s="9"/>
    </row>
    <row r="513" ht="14.4" s="67" customFormat="1">
      <c r="A513" s="4">
        <v>171830</v>
      </c>
      <c r="B513" s="4"/>
      <c r="C513" s="55"/>
      <c r="D513" s="4" t="s">
        <v>2182</v>
      </c>
      <c r="E513" s="4" t="s">
        <v>66</v>
      </c>
      <c r="F513" s="55" t="s">
        <v>81</v>
      </c>
      <c r="G513" s="4" t="s">
        <v>67</v>
      </c>
      <c r="H513" s="4" t="s">
        <v>68</v>
      </c>
      <c r="I513" s="4" t="s">
        <v>69</v>
      </c>
      <c r="J513" s="55" t="s">
        <v>2162</v>
      </c>
      <c r="K513" s="4" t="s">
        <v>71</v>
      </c>
      <c r="L513" s="4" t="s">
        <v>72</v>
      </c>
      <c r="M513" s="4" t="str">
        <f>VLOOKUP(A513,[1]Sheet1!$C:$G,5,0)</f>
        <v>Md. Moniruzzaman</v>
      </c>
      <c r="N513" s="4" t="s">
        <v>74</v>
      </c>
      <c r="O513" s="4" t="s">
        <v>75</v>
      </c>
      <c r="P513" s="4">
        <v>41</v>
      </c>
      <c r="Q513" s="57">
        <v>45506</v>
      </c>
      <c r="R513" s="57">
        <v>45517</v>
      </c>
      <c r="S513" s="113"/>
      <c r="T513" s="113"/>
      <c r="U513" s="4"/>
      <c r="V513" s="4"/>
      <c r="W513" s="105"/>
      <c r="X513" s="114">
        <v>1952114663</v>
      </c>
      <c r="Y513" s="55"/>
      <c r="Z513" s="4" t="s">
        <v>81</v>
      </c>
      <c r="AA513" s="4">
        <v>1793528572</v>
      </c>
      <c r="AB513" s="4" t="s">
        <v>2183</v>
      </c>
      <c r="AC513" s="4" t="s">
        <v>2184</v>
      </c>
      <c r="AD513" s="113">
        <v>35175</v>
      </c>
      <c r="AE513" s="107"/>
      <c r="AF513" s="4" t="s">
        <v>2185</v>
      </c>
      <c r="AG513" s="114">
        <v>5103416383</v>
      </c>
      <c r="AH513" s="4" t="s">
        <v>81</v>
      </c>
      <c r="AI513" s="55" t="s">
        <v>1339</v>
      </c>
      <c r="AJ513" s="55"/>
      <c r="AK513" s="55"/>
      <c r="AL513" s="4"/>
      <c r="AM513" s="4" t="s">
        <v>2186</v>
      </c>
      <c r="AN513" s="4" t="s">
        <v>2187</v>
      </c>
      <c r="AO513" s="4" t="s">
        <v>2188</v>
      </c>
      <c r="AP513" s="4" t="s">
        <v>2189</v>
      </c>
      <c r="AQ513" s="55" t="s">
        <v>223</v>
      </c>
      <c r="AR513" s="4"/>
      <c r="AS513" s="4"/>
      <c r="AT513" s="72"/>
      <c r="AU513" s="4"/>
      <c r="AV513" s="4"/>
      <c r="AW513" s="4"/>
      <c r="AX513" s="4"/>
      <c r="AY513" s="4"/>
      <c r="AZ513" s="4"/>
      <c r="BA513" s="4" t="s">
        <v>90</v>
      </c>
      <c r="BB513" s="4">
        <v>10800</v>
      </c>
      <c r="BC513" s="4">
        <v>2700</v>
      </c>
      <c r="BD513" s="4">
        <v>0</v>
      </c>
      <c r="BE513" s="4" t="s">
        <v>91</v>
      </c>
      <c r="BF513" s="4"/>
      <c r="BG513" s="4"/>
      <c r="BH513" s="4" t="s">
        <v>3510</v>
      </c>
      <c r="BI513" s="72"/>
      <c r="BJ513" s="154"/>
      <c r="BK513" s="4"/>
      <c r="BL513" s="105"/>
      <c r="BM513" s="9"/>
      <c r="BN513" s="9"/>
      <c r="BO513" s="9"/>
    </row>
    <row r="514" ht="14.4" s="67" customFormat="1">
      <c r="A514" s="4">
        <v>171815</v>
      </c>
      <c r="B514" s="4"/>
      <c r="C514" s="55"/>
      <c r="D514" s="4" t="s">
        <v>6530</v>
      </c>
      <c r="E514" s="4" t="s">
        <v>114</v>
      </c>
      <c r="F514" s="55">
        <v>1411458804</v>
      </c>
      <c r="G514" s="4" t="s">
        <v>67</v>
      </c>
      <c r="H514" s="4" t="s">
        <v>68</v>
      </c>
      <c r="I514" s="4" t="s">
        <v>69</v>
      </c>
      <c r="J514" s="55" t="s">
        <v>97</v>
      </c>
      <c r="K514" s="4" t="s">
        <v>71</v>
      </c>
      <c r="L514" s="4" t="s">
        <v>72</v>
      </c>
      <c r="M514" s="4" t="str">
        <f>VLOOKUP(A514,[1]Sheet1!$C:$G,5,0)</f>
        <v>Halima akter</v>
      </c>
      <c r="N514" s="4" t="s">
        <v>74</v>
      </c>
      <c r="O514" s="4" t="s">
        <v>75</v>
      </c>
      <c r="P514" s="4">
        <v>41</v>
      </c>
      <c r="Q514" s="57">
        <v>45506</v>
      </c>
      <c r="R514" s="57">
        <v>45513</v>
      </c>
      <c r="S514" s="113"/>
      <c r="T514" s="113"/>
      <c r="U514" s="4"/>
      <c r="V514" s="4"/>
      <c r="W514" s="105"/>
      <c r="X514" s="114">
        <v>1923984234</v>
      </c>
      <c r="Y514" s="55"/>
      <c r="Z514" s="4" t="s">
        <v>6531</v>
      </c>
      <c r="AA514" s="4">
        <v>1725791832</v>
      </c>
      <c r="AB514" s="4" t="s">
        <v>101</v>
      </c>
      <c r="AC514" s="4" t="s">
        <v>119</v>
      </c>
      <c r="AD514" s="113">
        <v>37056</v>
      </c>
      <c r="AE514" s="107"/>
      <c r="AF514" s="4" t="s">
        <v>80</v>
      </c>
      <c r="AG514" s="114">
        <v>1964244527</v>
      </c>
      <c r="AH514" s="4" t="s">
        <v>6532</v>
      </c>
      <c r="AI514" s="55" t="s">
        <v>290</v>
      </c>
      <c r="AJ514" s="55"/>
      <c r="AK514" s="55"/>
      <c r="AL514" s="4"/>
      <c r="AM514" s="4" t="s">
        <v>6531</v>
      </c>
      <c r="AN514" s="4" t="s">
        <v>6533</v>
      </c>
      <c r="AO514" s="4" t="s">
        <v>6534</v>
      </c>
      <c r="AP514" s="4" t="s">
        <v>6535</v>
      </c>
      <c r="AQ514" s="55" t="s">
        <v>629</v>
      </c>
      <c r="AR514" s="4"/>
      <c r="AS514" s="4"/>
      <c r="AT514" s="72"/>
      <c r="AU514" s="4"/>
      <c r="AV514" s="4"/>
      <c r="AW514" s="4"/>
      <c r="AX514" s="4"/>
      <c r="AY514" s="4"/>
      <c r="AZ514" s="4"/>
      <c r="BA514" s="4" t="s">
        <v>90</v>
      </c>
      <c r="BB514" s="4">
        <v>10800</v>
      </c>
      <c r="BC514" s="4">
        <v>2700</v>
      </c>
      <c r="BD514" s="4">
        <v>0</v>
      </c>
      <c r="BE514" s="4" t="s">
        <v>91</v>
      </c>
      <c r="BF514" s="4"/>
      <c r="BG514" s="4"/>
      <c r="BH514" s="4" t="s">
        <v>3510</v>
      </c>
      <c r="BI514" s="72"/>
      <c r="BJ514" s="154"/>
      <c r="BK514" s="4"/>
      <c r="BL514" s="105"/>
      <c r="BM514" s="9"/>
      <c r="BN514" s="9"/>
      <c r="BO514" s="9"/>
    </row>
    <row r="515" ht="14.4" s="67" customFormat="1">
      <c r="A515" s="4">
        <v>171364</v>
      </c>
      <c r="B515" s="4"/>
      <c r="C515" s="55" t="s">
        <v>2190</v>
      </c>
      <c r="D515" s="4" t="s">
        <v>2191</v>
      </c>
      <c r="E515" s="4" t="s">
        <v>114</v>
      </c>
      <c r="F515" s="55" t="s">
        <v>81</v>
      </c>
      <c r="G515" s="4" t="s">
        <v>67</v>
      </c>
      <c r="H515" s="4" t="s">
        <v>68</v>
      </c>
      <c r="I515" s="4" t="s">
        <v>69</v>
      </c>
      <c r="J515" s="55" t="s">
        <v>155</v>
      </c>
      <c r="K515" s="4" t="s">
        <v>71</v>
      </c>
      <c r="L515" s="4" t="s">
        <v>72</v>
      </c>
      <c r="M515" s="4" t="str">
        <f>VLOOKUP(A515,[1]Sheet1!$C:$G,5,0)</f>
        <v>Nasir Uddin</v>
      </c>
      <c r="N515" s="4" t="s">
        <v>74</v>
      </c>
      <c r="O515" s="4" t="s">
        <v>75</v>
      </c>
      <c r="P515" s="4">
        <v>23</v>
      </c>
      <c r="Q515" s="57">
        <v>45338</v>
      </c>
      <c r="R515" s="57">
        <v>45357</v>
      </c>
      <c r="S515" s="113"/>
      <c r="T515" s="113"/>
      <c r="U515" s="4"/>
      <c r="V515" s="4"/>
      <c r="W515" s="105" t="s">
        <v>2192</v>
      </c>
      <c r="X515" s="114">
        <v>1637018069</v>
      </c>
      <c r="Y515" s="55"/>
      <c r="Z515" s="4" t="s">
        <v>2193</v>
      </c>
      <c r="AA515" s="4">
        <v>1626904548</v>
      </c>
      <c r="AB515" s="4" t="s">
        <v>252</v>
      </c>
      <c r="AC515" s="4" t="s">
        <v>79</v>
      </c>
      <c r="AD515" s="113">
        <v>36870</v>
      </c>
      <c r="AE515" s="107">
        <f>((TODAY())-AD515)/365</f>
        <v>24.183561643835617</v>
      </c>
      <c r="AF515" s="4" t="s">
        <v>80</v>
      </c>
      <c r="AG515" s="114">
        <v>3764102624</v>
      </c>
      <c r="AH515" s="4" t="s">
        <v>81</v>
      </c>
      <c r="AI515" s="55" t="s">
        <v>322</v>
      </c>
      <c r="AJ515" s="55" t="s">
        <v>81</v>
      </c>
      <c r="AK515" s="55">
        <v>2021</v>
      </c>
      <c r="AL515" s="4" t="s">
        <v>2194</v>
      </c>
      <c r="AM515" s="4" t="s">
        <v>2195</v>
      </c>
      <c r="AN515" s="4" t="s">
        <v>2196</v>
      </c>
      <c r="AO515" s="4" t="s">
        <v>2197</v>
      </c>
      <c r="AP515" s="4" t="s">
        <v>2197</v>
      </c>
      <c r="AQ515" s="55" t="s">
        <v>203</v>
      </c>
      <c r="AR515" s="4" t="s">
        <v>110</v>
      </c>
      <c r="AS515" s="4" t="s">
        <v>81</v>
      </c>
      <c r="AT515" s="72" t="s">
        <v>81</v>
      </c>
      <c r="AU515" s="4" t="s">
        <v>81</v>
      </c>
      <c r="AV515" s="4" t="s">
        <v>81</v>
      </c>
      <c r="AW515" s="4" t="s">
        <v>81</v>
      </c>
      <c r="AX515" s="4" t="s">
        <v>81</v>
      </c>
      <c r="AY515" s="4"/>
      <c r="AZ515" s="4"/>
      <c r="BA515" s="4" t="s">
        <v>90</v>
      </c>
      <c r="BB515" s="4">
        <v>10800</v>
      </c>
      <c r="BC515" s="4">
        <v>2700</v>
      </c>
      <c r="BD515" s="4">
        <v>1000</v>
      </c>
      <c r="BE515" s="4" t="s">
        <v>166</v>
      </c>
      <c r="BF515" s="4"/>
      <c r="BG515" s="4"/>
      <c r="BH515" s="4" t="s">
        <v>3510</v>
      </c>
      <c r="BI515" s="72"/>
      <c r="BJ515" s="154"/>
      <c r="BK515" s="4"/>
      <c r="BL515" s="105"/>
      <c r="BM515" s="9"/>
      <c r="BN515" s="9"/>
      <c r="BO515" s="9"/>
    </row>
    <row r="516" ht="14.4" s="67" customFormat="1">
      <c r="A516" s="4">
        <v>171383</v>
      </c>
      <c r="B516" s="4"/>
      <c r="C516" s="55" t="s">
        <v>6536</v>
      </c>
      <c r="D516" s="4" t="s">
        <v>264</v>
      </c>
      <c r="E516" s="4" t="s">
        <v>114</v>
      </c>
      <c r="F516" s="55">
        <v>1310551811</v>
      </c>
      <c r="G516" s="4" t="s">
        <v>67</v>
      </c>
      <c r="H516" s="4" t="s">
        <v>68</v>
      </c>
      <c r="I516" s="4" t="s">
        <v>69</v>
      </c>
      <c r="J516" s="55" t="s">
        <v>155</v>
      </c>
      <c r="K516" s="4" t="s">
        <v>71</v>
      </c>
      <c r="L516" s="4" t="s">
        <v>72</v>
      </c>
      <c r="M516" s="4" t="str">
        <f>VLOOKUP(A516,[1]Sheet1!$C:$G,5,0)</f>
        <v>Mohammad Joshim</v>
      </c>
      <c r="N516" s="4" t="s">
        <v>74</v>
      </c>
      <c r="O516" s="4" t="s">
        <v>75</v>
      </c>
      <c r="P516" s="4">
        <v>24</v>
      </c>
      <c r="Q516" s="57">
        <v>45353</v>
      </c>
      <c r="R516" s="57">
        <v>45371</v>
      </c>
      <c r="S516" s="113"/>
      <c r="T516" s="113"/>
      <c r="U516" s="4"/>
      <c r="V516" s="4"/>
      <c r="W516" s="105" t="s">
        <v>6537</v>
      </c>
      <c r="X516" s="114">
        <v>1533418260</v>
      </c>
      <c r="Y516" s="55"/>
      <c r="Z516" s="4" t="s">
        <v>6538</v>
      </c>
      <c r="AA516" s="4">
        <v>1712027585</v>
      </c>
      <c r="AB516" s="4" t="s">
        <v>101</v>
      </c>
      <c r="AC516" s="4" t="s">
        <v>79</v>
      </c>
      <c r="AD516" s="113">
        <v>36389</v>
      </c>
      <c r="AE516" s="107">
        <f>((TODAY())-AD516)/365</f>
        <v>25.5013698630137</v>
      </c>
      <c r="AF516" s="4" t="s">
        <v>80</v>
      </c>
      <c r="AG516" s="114" t="s">
        <v>81</v>
      </c>
      <c r="AH516" s="4" t="s">
        <v>6539</v>
      </c>
      <c r="AI516" s="55" t="s">
        <v>1339</v>
      </c>
      <c r="AJ516" s="55" t="s">
        <v>81</v>
      </c>
      <c r="AK516" s="55">
        <v>2023</v>
      </c>
      <c r="AL516" s="4" t="s">
        <v>6540</v>
      </c>
      <c r="AM516" s="4" t="s">
        <v>6538</v>
      </c>
      <c r="AN516" s="4" t="s">
        <v>6541</v>
      </c>
      <c r="AO516" s="4" t="s">
        <v>6542</v>
      </c>
      <c r="AP516" s="4" t="s">
        <v>6543</v>
      </c>
      <c r="AQ516" s="55" t="s">
        <v>88</v>
      </c>
      <c r="AR516" s="4" t="s">
        <v>110</v>
      </c>
      <c r="AS516" s="4" t="s">
        <v>81</v>
      </c>
      <c r="AT516" s="72" t="s">
        <v>81</v>
      </c>
      <c r="AU516" s="4" t="s">
        <v>81</v>
      </c>
      <c r="AV516" s="4" t="s">
        <v>81</v>
      </c>
      <c r="AW516" s="4" t="s">
        <v>81</v>
      </c>
      <c r="AX516" s="4" t="s">
        <v>81</v>
      </c>
      <c r="AY516" s="4"/>
      <c r="AZ516" s="4"/>
      <c r="BA516" s="4" t="s">
        <v>90</v>
      </c>
      <c r="BB516" s="4">
        <v>10800</v>
      </c>
      <c r="BC516" s="4">
        <v>2700</v>
      </c>
      <c r="BD516" s="4">
        <v>1000</v>
      </c>
      <c r="BE516" s="4" t="s">
        <v>166</v>
      </c>
      <c r="BF516" s="4"/>
      <c r="BG516" s="4"/>
      <c r="BH516" s="4" t="s">
        <v>3510</v>
      </c>
      <c r="BI516" s="72">
        <f>VLOOKUP(A516,'ID Block'!A:L,12,0)</f>
        <v>45589</v>
      </c>
      <c r="BJ516" s="154" t="str">
        <f>VLOOKUP(A516,'ID Block'!A:M,13,0)</f>
        <v>Better Opportunity</v>
      </c>
      <c r="BK516" s="4">
        <f ref="BK516:BK537" t="shared" si="11">BI516-R516</f>
        <v>218</v>
      </c>
      <c r="BL516" s="105"/>
      <c r="BM516" s="9"/>
      <c r="BN516" s="9"/>
      <c r="BO516" s="9"/>
    </row>
    <row r="517" ht="14.4" s="67" customFormat="1">
      <c r="A517" s="4">
        <v>171711</v>
      </c>
      <c r="B517" s="4"/>
      <c r="C517" s="55" t="s">
        <v>2198</v>
      </c>
      <c r="D517" s="4" t="s">
        <v>2199</v>
      </c>
      <c r="E517" s="4" t="s">
        <v>66</v>
      </c>
      <c r="F517" s="55">
        <v>496458</v>
      </c>
      <c r="G517" s="4" t="s">
        <v>67</v>
      </c>
      <c r="H517" s="4" t="s">
        <v>68</v>
      </c>
      <c r="I517" s="4" t="s">
        <v>69</v>
      </c>
      <c r="J517" s="55" t="s">
        <v>1725</v>
      </c>
      <c r="K517" s="4" t="s">
        <v>71</v>
      </c>
      <c r="L517" s="4" t="s">
        <v>72</v>
      </c>
      <c r="M517" s="4" t="str">
        <f>VLOOKUP(A517,[1]Sheet1!$C:$G,5,0)</f>
        <v>Md. Moniruzzaman</v>
      </c>
      <c r="N517" s="4" t="s">
        <v>74</v>
      </c>
      <c r="O517" s="4" t="s">
        <v>75</v>
      </c>
      <c r="P517" s="4">
        <v>37</v>
      </c>
      <c r="Q517" s="57">
        <v>45476</v>
      </c>
      <c r="R517" s="57">
        <v>45485</v>
      </c>
      <c r="S517" s="113" t="s">
        <v>242</v>
      </c>
      <c r="T517" s="113" t="s">
        <v>242</v>
      </c>
      <c r="U517" s="4" t="s">
        <v>242</v>
      </c>
      <c r="V517" s="4" t="s">
        <v>242</v>
      </c>
      <c r="W517" s="105" t="s">
        <v>2200</v>
      </c>
      <c r="X517" s="114">
        <v>1799552123</v>
      </c>
      <c r="Y517" s="55">
        <v>1721138894</v>
      </c>
      <c r="Z517" s="4" t="s">
        <v>2201</v>
      </c>
      <c r="AA517" s="4">
        <v>1721138894</v>
      </c>
      <c r="AB517" s="4" t="s">
        <v>101</v>
      </c>
      <c r="AC517" s="4" t="s">
        <v>102</v>
      </c>
      <c r="AD517" s="113">
        <v>34683</v>
      </c>
      <c r="AE517" s="107"/>
      <c r="AF517" s="4" t="s">
        <v>80</v>
      </c>
      <c r="AG517" s="114">
        <v>9591820395</v>
      </c>
      <c r="AH517" s="4" t="s">
        <v>81</v>
      </c>
      <c r="AI517" s="55" t="s">
        <v>2202</v>
      </c>
      <c r="AJ517" s="55" t="s">
        <v>81</v>
      </c>
      <c r="AK517" s="55">
        <v>2019</v>
      </c>
      <c r="AL517" s="4" t="s">
        <v>2203</v>
      </c>
      <c r="AM517" s="4" t="s">
        <v>2201</v>
      </c>
      <c r="AN517" s="4" t="s">
        <v>2204</v>
      </c>
      <c r="AO517" s="4" t="s">
        <v>2205</v>
      </c>
      <c r="AP517" s="4" t="s">
        <v>2206</v>
      </c>
      <c r="AQ517" s="55" t="s">
        <v>223</v>
      </c>
      <c r="AR517" s="4" t="s">
        <v>110</v>
      </c>
      <c r="AS517" s="4" t="s">
        <v>81</v>
      </c>
      <c r="AT517" s="72" t="s">
        <v>81</v>
      </c>
      <c r="AU517" s="4" t="s">
        <v>81</v>
      </c>
      <c r="AV517" s="4" t="s">
        <v>81</v>
      </c>
      <c r="AW517" s="4" t="s">
        <v>81</v>
      </c>
      <c r="AX517" s="4" t="s">
        <v>81</v>
      </c>
      <c r="AY517" s="4" t="s">
        <v>81</v>
      </c>
      <c r="AZ517" s="4" t="s">
        <v>81</v>
      </c>
      <c r="BA517" s="4" t="s">
        <v>90</v>
      </c>
      <c r="BB517" s="4">
        <v>10800</v>
      </c>
      <c r="BC517" s="4">
        <v>2700</v>
      </c>
      <c r="BD517" s="4">
        <v>0</v>
      </c>
      <c r="BE517" s="4" t="s">
        <v>91</v>
      </c>
      <c r="BF517" s="4" t="s">
        <v>242</v>
      </c>
      <c r="BG517" s="4" t="s">
        <v>242</v>
      </c>
      <c r="BH517" s="4" t="s">
        <v>3510</v>
      </c>
      <c r="BI517" s="72"/>
      <c r="BJ517" s="154"/>
      <c r="BK517" s="4"/>
      <c r="BL517" s="105"/>
      <c r="BM517" s="9"/>
      <c r="BN517" s="9"/>
      <c r="BO517" s="9"/>
    </row>
    <row r="518" ht="14.4" s="67" customFormat="1">
      <c r="A518" s="4">
        <v>171712</v>
      </c>
      <c r="B518" s="4"/>
      <c r="C518" s="55" t="s">
        <v>2207</v>
      </c>
      <c r="D518" s="4" t="s">
        <v>2208</v>
      </c>
      <c r="E518" s="4" t="s">
        <v>66</v>
      </c>
      <c r="F518" s="55">
        <v>725286</v>
      </c>
      <c r="G518" s="4" t="s">
        <v>67</v>
      </c>
      <c r="H518" s="4" t="s">
        <v>68</v>
      </c>
      <c r="I518" s="4" t="s">
        <v>69</v>
      </c>
      <c r="J518" s="55" t="s">
        <v>341</v>
      </c>
      <c r="K518" s="4" t="s">
        <v>71</v>
      </c>
      <c r="L518" s="4" t="s">
        <v>72</v>
      </c>
      <c r="M518" s="4" t="str">
        <f>VLOOKUP(A518,[1]Sheet1!$C:$G,5,0)</f>
        <v>Md Mehedi Hasan</v>
      </c>
      <c r="N518" s="4" t="s">
        <v>74</v>
      </c>
      <c r="O518" s="4" t="s">
        <v>75</v>
      </c>
      <c r="P518" s="4">
        <v>37</v>
      </c>
      <c r="Q518" s="57">
        <v>45476</v>
      </c>
      <c r="R518" s="57">
        <v>45485</v>
      </c>
      <c r="S518" s="113" t="s">
        <v>242</v>
      </c>
      <c r="T518" s="113" t="s">
        <v>242</v>
      </c>
      <c r="U518" s="4" t="s">
        <v>242</v>
      </c>
      <c r="V518" s="4" t="s">
        <v>242</v>
      </c>
      <c r="W518" s="105" t="s">
        <v>2209</v>
      </c>
      <c r="X518" s="114">
        <v>1767643007</v>
      </c>
      <c r="Y518" s="55">
        <v>1926806839</v>
      </c>
      <c r="Z518" s="4" t="s">
        <v>2210</v>
      </c>
      <c r="AA518" s="4">
        <v>1739815898</v>
      </c>
      <c r="AB518" s="4" t="s">
        <v>118</v>
      </c>
      <c r="AC518" s="4" t="s">
        <v>79</v>
      </c>
      <c r="AD518" s="113">
        <v>33270</v>
      </c>
      <c r="AE518" s="107"/>
      <c r="AF518" s="4" t="s">
        <v>80</v>
      </c>
      <c r="AG518" s="114">
        <v>4607276674</v>
      </c>
      <c r="AH518" s="4" t="s">
        <v>242</v>
      </c>
      <c r="AI518" s="55" t="s">
        <v>2211</v>
      </c>
      <c r="AJ518" s="55" t="s">
        <v>242</v>
      </c>
      <c r="AK518" s="55">
        <v>2017</v>
      </c>
      <c r="AL518" s="4" t="s">
        <v>2212</v>
      </c>
      <c r="AM518" s="4" t="s">
        <v>2213</v>
      </c>
      <c r="AN518" s="4" t="s">
        <v>2214</v>
      </c>
      <c r="AO518" s="4" t="s">
        <v>2215</v>
      </c>
      <c r="AP518" s="4" t="s">
        <v>2216</v>
      </c>
      <c r="AQ518" s="55" t="s">
        <v>1292</v>
      </c>
      <c r="AR518" s="4" t="s">
        <v>110</v>
      </c>
      <c r="AS518" s="4" t="s">
        <v>242</v>
      </c>
      <c r="AT518" s="72" t="s">
        <v>242</v>
      </c>
      <c r="AU518" s="4" t="s">
        <v>242</v>
      </c>
      <c r="AV518" s="4" t="s">
        <v>242</v>
      </c>
      <c r="AW518" s="4" t="s">
        <v>81</v>
      </c>
      <c r="AX518" s="4" t="s">
        <v>81</v>
      </c>
      <c r="AY518" s="4" t="s">
        <v>81</v>
      </c>
      <c r="AZ518" s="4" t="s">
        <v>81</v>
      </c>
      <c r="BA518" s="4" t="s">
        <v>90</v>
      </c>
      <c r="BB518" s="4">
        <v>10800</v>
      </c>
      <c r="BC518" s="4">
        <v>2700</v>
      </c>
      <c r="BD518" s="4">
        <v>0</v>
      </c>
      <c r="BE518" s="4" t="s">
        <v>91</v>
      </c>
      <c r="BF518" s="4" t="s">
        <v>242</v>
      </c>
      <c r="BG518" s="4" t="s">
        <v>242</v>
      </c>
      <c r="BH518" s="4" t="s">
        <v>3510</v>
      </c>
      <c r="BI518" s="72"/>
      <c r="BJ518" s="154"/>
      <c r="BK518" s="4"/>
      <c r="BL518" s="105"/>
      <c r="BM518" s="9"/>
      <c r="BN518" s="9"/>
      <c r="BO518" s="9"/>
    </row>
    <row r="519" ht="14.4" s="67" customFormat="1">
      <c r="A519" s="4">
        <v>171714</v>
      </c>
      <c r="B519" s="4"/>
      <c r="C519" s="55" t="s">
        <v>2217</v>
      </c>
      <c r="D519" s="4" t="s">
        <v>2218</v>
      </c>
      <c r="E519" s="4" t="s">
        <v>66</v>
      </c>
      <c r="F519" s="55">
        <v>1210961977</v>
      </c>
      <c r="G519" s="4" t="s">
        <v>67</v>
      </c>
      <c r="H519" s="4" t="s">
        <v>68</v>
      </c>
      <c r="I519" s="4" t="s">
        <v>69</v>
      </c>
      <c r="J519" s="55" t="s">
        <v>1725</v>
      </c>
      <c r="K519" s="4" t="s">
        <v>71</v>
      </c>
      <c r="L519" s="4" t="s">
        <v>72</v>
      </c>
      <c r="M519" s="4" t="str">
        <f>VLOOKUP(A519,[1]Sheet1!$C:$G,5,0)</f>
        <v>Md. Moniruzzaman</v>
      </c>
      <c r="N519" s="4" t="s">
        <v>74</v>
      </c>
      <c r="O519" s="4" t="s">
        <v>75</v>
      </c>
      <c r="P519" s="4">
        <v>37</v>
      </c>
      <c r="Q519" s="57">
        <v>45476</v>
      </c>
      <c r="R519" s="57">
        <v>45485</v>
      </c>
      <c r="S519" s="113" t="s">
        <v>242</v>
      </c>
      <c r="T519" s="113" t="s">
        <v>242</v>
      </c>
      <c r="U519" s="4" t="s">
        <v>242</v>
      </c>
      <c r="V519" s="4" t="s">
        <v>242</v>
      </c>
      <c r="W519" s="105" t="s">
        <v>2219</v>
      </c>
      <c r="X519" s="114">
        <v>1615245024</v>
      </c>
      <c r="Y519" s="55">
        <v>1676235414</v>
      </c>
      <c r="Z519" s="4" t="s">
        <v>2220</v>
      </c>
      <c r="AA519" s="4">
        <v>1676235414</v>
      </c>
      <c r="AB519" s="4" t="s">
        <v>101</v>
      </c>
      <c r="AC519" s="4" t="s">
        <v>133</v>
      </c>
      <c r="AD519" s="113">
        <v>36184</v>
      </c>
      <c r="AE519" s="107"/>
      <c r="AF519" s="4" t="s">
        <v>80</v>
      </c>
      <c r="AG519" s="114">
        <v>8254748117</v>
      </c>
      <c r="AH519" s="4" t="s">
        <v>81</v>
      </c>
      <c r="AI519" s="55" t="s">
        <v>265</v>
      </c>
      <c r="AJ519" s="55" t="s">
        <v>81</v>
      </c>
      <c r="AK519" s="55">
        <v>2022</v>
      </c>
      <c r="AL519" s="4" t="s">
        <v>2221</v>
      </c>
      <c r="AM519" s="4" t="s">
        <v>2220</v>
      </c>
      <c r="AN519" s="4" t="s">
        <v>2222</v>
      </c>
      <c r="AO519" s="4" t="s">
        <v>2223</v>
      </c>
      <c r="AP519" s="4" t="s">
        <v>2223</v>
      </c>
      <c r="AQ519" s="55" t="s">
        <v>285</v>
      </c>
      <c r="AR519" s="4" t="s">
        <v>110</v>
      </c>
      <c r="AS519" s="4" t="s">
        <v>81</v>
      </c>
      <c r="AT519" s="72" t="s">
        <v>81</v>
      </c>
      <c r="AU519" s="4" t="s">
        <v>81</v>
      </c>
      <c r="AV519" s="4" t="s">
        <v>81</v>
      </c>
      <c r="AW519" s="4" t="s">
        <v>81</v>
      </c>
      <c r="AX519" s="4" t="s">
        <v>81</v>
      </c>
      <c r="AY519" s="4" t="s">
        <v>81</v>
      </c>
      <c r="AZ519" s="4" t="s">
        <v>81</v>
      </c>
      <c r="BA519" s="4" t="s">
        <v>90</v>
      </c>
      <c r="BB519" s="4">
        <v>10800</v>
      </c>
      <c r="BC519" s="4">
        <v>2700</v>
      </c>
      <c r="BD519" s="4">
        <v>0</v>
      </c>
      <c r="BE519" s="4" t="s">
        <v>91</v>
      </c>
      <c r="BF519" s="4" t="s">
        <v>242</v>
      </c>
      <c r="BG519" s="4" t="s">
        <v>242</v>
      </c>
      <c r="BH519" s="4" t="s">
        <v>3510</v>
      </c>
      <c r="BI519" s="72"/>
      <c r="BJ519" s="154"/>
      <c r="BK519" s="4"/>
      <c r="BL519" s="105"/>
      <c r="BM519" s="9"/>
      <c r="BN519" s="9"/>
      <c r="BO519" s="9"/>
    </row>
    <row r="520" ht="28.8" s="67" customFormat="1">
      <c r="A520" s="4">
        <v>171715</v>
      </c>
      <c r="B520" s="4"/>
      <c r="C520" s="55" t="s">
        <v>2224</v>
      </c>
      <c r="D520" s="4" t="s">
        <v>2225</v>
      </c>
      <c r="E520" s="4" t="s">
        <v>66</v>
      </c>
      <c r="F520" s="55">
        <v>1410999495</v>
      </c>
      <c r="G520" s="4" t="s">
        <v>67</v>
      </c>
      <c r="H520" s="4" t="s">
        <v>68</v>
      </c>
      <c r="I520" s="4" t="s">
        <v>69</v>
      </c>
      <c r="J520" s="55" t="s">
        <v>1725</v>
      </c>
      <c r="K520" s="4" t="s">
        <v>71</v>
      </c>
      <c r="L520" s="4" t="s">
        <v>72</v>
      </c>
      <c r="M520" s="4" t="str">
        <f>VLOOKUP(A520,[1]Sheet1!$C:$G,5,0)</f>
        <v>Md. Moniruzzaman</v>
      </c>
      <c r="N520" s="4" t="s">
        <v>74</v>
      </c>
      <c r="O520" s="4" t="s">
        <v>75</v>
      </c>
      <c r="P520" s="4">
        <v>37</v>
      </c>
      <c r="Q520" s="57">
        <v>45476</v>
      </c>
      <c r="R520" s="57">
        <v>45485</v>
      </c>
      <c r="S520" s="113" t="s">
        <v>242</v>
      </c>
      <c r="T520" s="113" t="s">
        <v>242</v>
      </c>
      <c r="U520" s="4" t="s">
        <v>242</v>
      </c>
      <c r="V520" s="4" t="s">
        <v>242</v>
      </c>
      <c r="W520" s="105" t="s">
        <v>2226</v>
      </c>
      <c r="X520" s="114">
        <v>1688813551</v>
      </c>
      <c r="Y520" s="55">
        <v>1308347479</v>
      </c>
      <c r="Z520" s="4" t="s">
        <v>2227</v>
      </c>
      <c r="AA520" s="4">
        <v>1308347480</v>
      </c>
      <c r="AB520" s="4" t="s">
        <v>118</v>
      </c>
      <c r="AC520" s="4" t="s">
        <v>133</v>
      </c>
      <c r="AD520" s="113">
        <v>37133</v>
      </c>
      <c r="AE520" s="107"/>
      <c r="AF520" s="4" t="s">
        <v>80</v>
      </c>
      <c r="AG520" s="114">
        <v>5573295176</v>
      </c>
      <c r="AH520" s="4" t="s">
        <v>81</v>
      </c>
      <c r="AI520" s="55" t="s">
        <v>2228</v>
      </c>
      <c r="AJ520" s="55" t="s">
        <v>2229</v>
      </c>
      <c r="AK520" s="55">
        <v>2023</v>
      </c>
      <c r="AL520" s="4" t="s">
        <v>2230</v>
      </c>
      <c r="AM520" s="4" t="s">
        <v>2231</v>
      </c>
      <c r="AN520" s="4" t="s">
        <v>2232</v>
      </c>
      <c r="AO520" s="4" t="s">
        <v>2233</v>
      </c>
      <c r="AP520" s="4" t="s">
        <v>2234</v>
      </c>
      <c r="AQ520" s="55" t="s">
        <v>2235</v>
      </c>
      <c r="AR520" s="4" t="s">
        <v>110</v>
      </c>
      <c r="AS520" s="4" t="s">
        <v>81</v>
      </c>
      <c r="AT520" s="72" t="s">
        <v>81</v>
      </c>
      <c r="AU520" s="4" t="s">
        <v>81</v>
      </c>
      <c r="AV520" s="4" t="s">
        <v>81</v>
      </c>
      <c r="AW520" s="4" t="s">
        <v>81</v>
      </c>
      <c r="AX520" s="4" t="s">
        <v>81</v>
      </c>
      <c r="AY520" s="4" t="s">
        <v>81</v>
      </c>
      <c r="AZ520" s="4" t="s">
        <v>81</v>
      </c>
      <c r="BA520" s="4" t="s">
        <v>90</v>
      </c>
      <c r="BB520" s="4">
        <v>10800</v>
      </c>
      <c r="BC520" s="4">
        <v>2700</v>
      </c>
      <c r="BD520" s="4">
        <v>0</v>
      </c>
      <c r="BE520" s="4" t="s">
        <v>91</v>
      </c>
      <c r="BF520" s="4" t="s">
        <v>242</v>
      </c>
      <c r="BG520" s="4" t="s">
        <v>242</v>
      </c>
      <c r="BH520" s="4" t="s">
        <v>3510</v>
      </c>
      <c r="BI520" s="72"/>
      <c r="BJ520" s="154"/>
      <c r="BK520" s="4"/>
      <c r="BL520" s="105"/>
      <c r="BM520" s="9"/>
      <c r="BN520" s="9"/>
      <c r="BO520" s="9"/>
    </row>
    <row r="521" ht="14.4" s="67" customFormat="1">
      <c r="A521" s="4">
        <v>171716</v>
      </c>
      <c r="B521" s="4"/>
      <c r="C521" s="55" t="s">
        <v>2236</v>
      </c>
      <c r="D521" s="4" t="s">
        <v>2237</v>
      </c>
      <c r="E521" s="4" t="s">
        <v>66</v>
      </c>
      <c r="F521" s="55">
        <v>481892</v>
      </c>
      <c r="G521" s="4" t="s">
        <v>67</v>
      </c>
      <c r="H521" s="4" t="s">
        <v>68</v>
      </c>
      <c r="I521" s="4" t="s">
        <v>69</v>
      </c>
      <c r="J521" s="55" t="s">
        <v>341</v>
      </c>
      <c r="K521" s="4" t="s">
        <v>71</v>
      </c>
      <c r="L521" s="4" t="s">
        <v>72</v>
      </c>
      <c r="M521" s="4" t="str">
        <f>VLOOKUP(A521,[1]Sheet1!$C:$G,5,0)</f>
        <v>Md Mehedi Hasan</v>
      </c>
      <c r="N521" s="4" t="s">
        <v>74</v>
      </c>
      <c r="O521" s="4" t="s">
        <v>75</v>
      </c>
      <c r="P521" s="4">
        <v>37</v>
      </c>
      <c r="Q521" s="57">
        <v>45476</v>
      </c>
      <c r="R521" s="57">
        <v>45485</v>
      </c>
      <c r="S521" s="113" t="s">
        <v>242</v>
      </c>
      <c r="T521" s="113" t="s">
        <v>242</v>
      </c>
      <c r="U521" s="4" t="s">
        <v>242</v>
      </c>
      <c r="V521" s="4" t="s">
        <v>242</v>
      </c>
      <c r="W521" s="105" t="s">
        <v>2238</v>
      </c>
      <c r="X521" s="114">
        <v>1740876840</v>
      </c>
      <c r="Y521" s="55">
        <v>1923305952</v>
      </c>
      <c r="Z521" s="4" t="s">
        <v>2239</v>
      </c>
      <c r="AA521" s="4">
        <v>1714221005</v>
      </c>
      <c r="AB521" s="4" t="s">
        <v>78</v>
      </c>
      <c r="AC521" s="4" t="s">
        <v>119</v>
      </c>
      <c r="AD521" s="113">
        <v>33602</v>
      </c>
      <c r="AE521" s="107"/>
      <c r="AF521" s="4" t="s">
        <v>80</v>
      </c>
      <c r="AG521" s="114">
        <v>7792058526</v>
      </c>
      <c r="AH521" s="4" t="s">
        <v>242</v>
      </c>
      <c r="AI521" s="55" t="s">
        <v>265</v>
      </c>
      <c r="AJ521" s="55" t="s">
        <v>242</v>
      </c>
      <c r="AK521" s="55">
        <v>2015</v>
      </c>
      <c r="AL521" s="4" t="s">
        <v>2240</v>
      </c>
      <c r="AM521" s="4" t="s">
        <v>2241</v>
      </c>
      <c r="AN521" s="4" t="s">
        <v>2242</v>
      </c>
      <c r="AO521" s="4" t="s">
        <v>2243</v>
      </c>
      <c r="AP521" s="4" t="s">
        <v>2244</v>
      </c>
      <c r="AQ521" s="55" t="s">
        <v>2245</v>
      </c>
      <c r="AR521" s="4" t="s">
        <v>89</v>
      </c>
      <c r="AS521" s="4" t="s">
        <v>2239</v>
      </c>
      <c r="AT521" s="72">
        <v>20021983</v>
      </c>
      <c r="AU521" s="4" t="s">
        <v>242</v>
      </c>
      <c r="AV521" s="4" t="s">
        <v>242</v>
      </c>
      <c r="AW521" s="4" t="s">
        <v>81</v>
      </c>
      <c r="AX521" s="4" t="s">
        <v>81</v>
      </c>
      <c r="AY521" s="4" t="s">
        <v>81</v>
      </c>
      <c r="AZ521" s="4" t="s">
        <v>81</v>
      </c>
      <c r="BA521" s="4" t="s">
        <v>90</v>
      </c>
      <c r="BB521" s="4">
        <v>10800</v>
      </c>
      <c r="BC521" s="4">
        <v>2700</v>
      </c>
      <c r="BD521" s="4">
        <v>0</v>
      </c>
      <c r="BE521" s="4" t="s">
        <v>91</v>
      </c>
      <c r="BF521" s="4" t="s">
        <v>242</v>
      </c>
      <c r="BG521" s="4" t="s">
        <v>242</v>
      </c>
      <c r="BH521" s="4" t="s">
        <v>3510</v>
      </c>
      <c r="BI521" s="72"/>
      <c r="BJ521" s="154"/>
      <c r="BK521" s="4"/>
      <c r="BL521" s="105"/>
      <c r="BM521" s="9"/>
      <c r="BN521" s="9"/>
      <c r="BO521" s="9"/>
    </row>
    <row r="522" ht="14.4" s="67" customFormat="1">
      <c r="A522" s="4">
        <v>171717</v>
      </c>
      <c r="B522" s="4"/>
      <c r="C522" s="55" t="s">
        <v>2246</v>
      </c>
      <c r="D522" s="4" t="s">
        <v>2247</v>
      </c>
      <c r="E522" s="4" t="s">
        <v>66</v>
      </c>
      <c r="F522" s="55">
        <v>1110214219</v>
      </c>
      <c r="G522" s="4" t="s">
        <v>67</v>
      </c>
      <c r="H522" s="4" t="s">
        <v>68</v>
      </c>
      <c r="I522" s="4" t="s">
        <v>69</v>
      </c>
      <c r="J522" s="55" t="s">
        <v>1725</v>
      </c>
      <c r="K522" s="4" t="s">
        <v>71</v>
      </c>
      <c r="L522" s="4" t="s">
        <v>72</v>
      </c>
      <c r="M522" s="4" t="str">
        <f>VLOOKUP(A522,[1]Sheet1!$C:$G,5,0)</f>
        <v>Aminul Islam Sovo</v>
      </c>
      <c r="N522" s="4" t="s">
        <v>74</v>
      </c>
      <c r="O522" s="4" t="s">
        <v>75</v>
      </c>
      <c r="P522" s="4">
        <v>37</v>
      </c>
      <c r="Q522" s="57">
        <v>45476</v>
      </c>
      <c r="R522" s="57">
        <v>45485</v>
      </c>
      <c r="S522" s="113" t="s">
        <v>242</v>
      </c>
      <c r="T522" s="113" t="s">
        <v>242</v>
      </c>
      <c r="U522" s="4" t="s">
        <v>242</v>
      </c>
      <c r="V522" s="4" t="s">
        <v>242</v>
      </c>
      <c r="W522" s="105" t="s">
        <v>2248</v>
      </c>
      <c r="X522" s="114">
        <v>1781468772</v>
      </c>
      <c r="Y522" s="55">
        <v>1776228858</v>
      </c>
      <c r="Z522" s="4" t="s">
        <v>2249</v>
      </c>
      <c r="AA522" s="4">
        <v>1781468772</v>
      </c>
      <c r="AB522" s="4" t="s">
        <v>132</v>
      </c>
      <c r="AC522" s="4"/>
      <c r="AD522" s="113">
        <v>36106</v>
      </c>
      <c r="AE522" s="107"/>
      <c r="AF522" s="4" t="s">
        <v>80</v>
      </c>
      <c r="AG522" s="114">
        <v>7807901157</v>
      </c>
      <c r="AH522" s="4" t="s">
        <v>81</v>
      </c>
      <c r="AI522" s="55" t="s">
        <v>82</v>
      </c>
      <c r="AJ522" s="55" t="s">
        <v>81</v>
      </c>
      <c r="AK522" s="55">
        <v>2023</v>
      </c>
      <c r="AL522" s="4" t="s">
        <v>2250</v>
      </c>
      <c r="AM522" s="4" t="s">
        <v>2251</v>
      </c>
      <c r="AN522" s="4" t="s">
        <v>2252</v>
      </c>
      <c r="AO522" s="4" t="s">
        <v>2253</v>
      </c>
      <c r="AP522" s="4" t="s">
        <v>2253</v>
      </c>
      <c r="AQ522" s="55" t="s">
        <v>2254</v>
      </c>
      <c r="AR522" s="4" t="s">
        <v>110</v>
      </c>
      <c r="AS522" s="4" t="s">
        <v>81</v>
      </c>
      <c r="AT522" s="72" t="s">
        <v>81</v>
      </c>
      <c r="AU522" s="4" t="s">
        <v>81</v>
      </c>
      <c r="AV522" s="4" t="s">
        <v>81</v>
      </c>
      <c r="AW522" s="4" t="s">
        <v>81</v>
      </c>
      <c r="AX522" s="4" t="s">
        <v>81</v>
      </c>
      <c r="AY522" s="4" t="s">
        <v>81</v>
      </c>
      <c r="AZ522" s="4" t="s">
        <v>81</v>
      </c>
      <c r="BA522" s="4" t="s">
        <v>90</v>
      </c>
      <c r="BB522" s="4">
        <v>10800</v>
      </c>
      <c r="BC522" s="4">
        <v>2700</v>
      </c>
      <c r="BD522" s="4">
        <v>0</v>
      </c>
      <c r="BE522" s="4" t="s">
        <v>91</v>
      </c>
      <c r="BF522" s="4" t="s">
        <v>242</v>
      </c>
      <c r="BG522" s="4" t="s">
        <v>242</v>
      </c>
      <c r="BH522" s="4" t="s">
        <v>3510</v>
      </c>
      <c r="BI522" s="72"/>
      <c r="BJ522" s="154"/>
      <c r="BK522" s="4"/>
      <c r="BL522" s="105"/>
      <c r="BM522" s="9"/>
      <c r="BN522" s="9"/>
      <c r="BO522" s="9"/>
    </row>
    <row r="523" ht="14.4" s="67" customFormat="1">
      <c r="A523" s="4">
        <v>171718</v>
      </c>
      <c r="B523" s="4"/>
      <c r="C523" s="55" t="s">
        <v>2255</v>
      </c>
      <c r="D523" s="4" t="s">
        <v>2256</v>
      </c>
      <c r="E523" s="4" t="s">
        <v>66</v>
      </c>
      <c r="F523" s="55">
        <v>1310589768</v>
      </c>
      <c r="G523" s="4" t="s">
        <v>67</v>
      </c>
      <c r="H523" s="4" t="s">
        <v>68</v>
      </c>
      <c r="I523" s="4" t="s">
        <v>69</v>
      </c>
      <c r="J523" s="55" t="s">
        <v>1725</v>
      </c>
      <c r="K523" s="4" t="s">
        <v>71</v>
      </c>
      <c r="L523" s="4" t="s">
        <v>72</v>
      </c>
      <c r="M523" s="4" t="str">
        <f>VLOOKUP(A523,[1]Sheet1!$C:$G,5,0)</f>
        <v>Aminul Islam Sovo</v>
      </c>
      <c r="N523" s="4" t="s">
        <v>74</v>
      </c>
      <c r="O523" s="4" t="s">
        <v>75</v>
      </c>
      <c r="P523" s="4">
        <v>37</v>
      </c>
      <c r="Q523" s="57">
        <v>45476</v>
      </c>
      <c r="R523" s="57">
        <v>45485</v>
      </c>
      <c r="S523" s="113" t="s">
        <v>242</v>
      </c>
      <c r="T523" s="113" t="s">
        <v>242</v>
      </c>
      <c r="U523" s="4" t="s">
        <v>242</v>
      </c>
      <c r="V523" s="4" t="s">
        <v>242</v>
      </c>
      <c r="W523" s="105" t="s">
        <v>2257</v>
      </c>
      <c r="X523" s="114">
        <v>1630884725</v>
      </c>
      <c r="Y523" s="55">
        <v>1671742166</v>
      </c>
      <c r="Z523" s="4" t="s">
        <v>2258</v>
      </c>
      <c r="AA523" s="4">
        <v>1671742166</v>
      </c>
      <c r="AB523" s="4" t="s">
        <v>101</v>
      </c>
      <c r="AC523" s="4" t="s">
        <v>79</v>
      </c>
      <c r="AD523" s="113">
        <v>37227</v>
      </c>
      <c r="AE523" s="107"/>
      <c r="AF523" s="4" t="s">
        <v>80</v>
      </c>
      <c r="AG523" s="114" t="s">
        <v>81</v>
      </c>
      <c r="AH523" s="4" t="s">
        <v>81</v>
      </c>
      <c r="AI523" s="55" t="s">
        <v>723</v>
      </c>
      <c r="AJ523" s="55" t="s">
        <v>333</v>
      </c>
      <c r="AK523" s="55">
        <v>2023</v>
      </c>
      <c r="AL523" s="4" t="s">
        <v>2259</v>
      </c>
      <c r="AM523" s="4" t="s">
        <v>2258</v>
      </c>
      <c r="AN523" s="4" t="s">
        <v>2260</v>
      </c>
      <c r="AO523" s="4" t="s">
        <v>2261</v>
      </c>
      <c r="AP523" s="4" t="s">
        <v>2262</v>
      </c>
      <c r="AQ523" s="55" t="s">
        <v>2263</v>
      </c>
      <c r="AR523" s="4" t="s">
        <v>110</v>
      </c>
      <c r="AS523" s="4" t="s">
        <v>81</v>
      </c>
      <c r="AT523" s="72" t="s">
        <v>81</v>
      </c>
      <c r="AU523" s="4" t="s">
        <v>81</v>
      </c>
      <c r="AV523" s="4" t="s">
        <v>81</v>
      </c>
      <c r="AW523" s="4" t="s">
        <v>81</v>
      </c>
      <c r="AX523" s="4" t="s">
        <v>81</v>
      </c>
      <c r="AY523" s="4" t="s">
        <v>81</v>
      </c>
      <c r="AZ523" s="4" t="s">
        <v>81</v>
      </c>
      <c r="BA523" s="4" t="s">
        <v>90</v>
      </c>
      <c r="BB523" s="4">
        <v>10800</v>
      </c>
      <c r="BC523" s="4">
        <v>2700</v>
      </c>
      <c r="BD523" s="4">
        <v>0</v>
      </c>
      <c r="BE523" s="4" t="s">
        <v>91</v>
      </c>
      <c r="BF523" s="4" t="s">
        <v>242</v>
      </c>
      <c r="BG523" s="4" t="s">
        <v>242</v>
      </c>
      <c r="BH523" s="4" t="s">
        <v>3510</v>
      </c>
      <c r="BI523" s="72"/>
      <c r="BJ523" s="154"/>
      <c r="BK523" s="4"/>
      <c r="BL523" s="105"/>
      <c r="BM523" s="9"/>
      <c r="BN523" s="9"/>
      <c r="BO523" s="9"/>
    </row>
    <row r="524" ht="14.4" s="67" customFormat="1">
      <c r="A524" s="4">
        <v>171719</v>
      </c>
      <c r="B524" s="4"/>
      <c r="C524" s="55" t="s">
        <v>2264</v>
      </c>
      <c r="D524" s="4" t="s">
        <v>2265</v>
      </c>
      <c r="E524" s="4" t="s">
        <v>66</v>
      </c>
      <c r="F524" s="55">
        <v>942080</v>
      </c>
      <c r="G524" s="4" t="s">
        <v>67</v>
      </c>
      <c r="H524" s="4" t="s">
        <v>68</v>
      </c>
      <c r="I524" s="4" t="s">
        <v>69</v>
      </c>
      <c r="J524" s="55" t="s">
        <v>1725</v>
      </c>
      <c r="K524" s="4" t="s">
        <v>71</v>
      </c>
      <c r="L524" s="4" t="s">
        <v>72</v>
      </c>
      <c r="M524" s="4" t="str">
        <f>VLOOKUP(A524,[1]Sheet1!$C:$G,5,0)</f>
        <v>Aminul Islam Sovo</v>
      </c>
      <c r="N524" s="4" t="s">
        <v>74</v>
      </c>
      <c r="O524" s="4" t="s">
        <v>75</v>
      </c>
      <c r="P524" s="4">
        <v>37</v>
      </c>
      <c r="Q524" s="57">
        <v>45476</v>
      </c>
      <c r="R524" s="57">
        <v>45485</v>
      </c>
      <c r="S524" s="113" t="s">
        <v>242</v>
      </c>
      <c r="T524" s="113" t="s">
        <v>242</v>
      </c>
      <c r="U524" s="4" t="s">
        <v>242</v>
      </c>
      <c r="V524" s="4" t="s">
        <v>242</v>
      </c>
      <c r="W524" s="105" t="s">
        <v>2266</v>
      </c>
      <c r="X524" s="114">
        <v>1632121926</v>
      </c>
      <c r="Y524" s="55">
        <v>1521256879</v>
      </c>
      <c r="Z524" s="4" t="s">
        <v>2122</v>
      </c>
      <c r="AA524" s="4">
        <v>1799100930</v>
      </c>
      <c r="AB524" s="4" t="s">
        <v>78</v>
      </c>
      <c r="AC524" s="4" t="s">
        <v>79</v>
      </c>
      <c r="AD524" s="113">
        <v>35602</v>
      </c>
      <c r="AE524" s="107"/>
      <c r="AF524" s="4" t="s">
        <v>80</v>
      </c>
      <c r="AG524" s="114">
        <v>9163933154</v>
      </c>
      <c r="AH524" s="4" t="s">
        <v>2267</v>
      </c>
      <c r="AI524" s="55" t="s">
        <v>322</v>
      </c>
      <c r="AJ524" s="55" t="s">
        <v>81</v>
      </c>
      <c r="AK524" s="55" t="s">
        <v>322</v>
      </c>
      <c r="AL524" s="4" t="s">
        <v>2268</v>
      </c>
      <c r="AM524" s="4" t="s">
        <v>2269</v>
      </c>
      <c r="AN524" s="4" t="s">
        <v>2270</v>
      </c>
      <c r="AO524" s="4" t="s">
        <v>2271</v>
      </c>
      <c r="AP524" s="4" t="s">
        <v>2272</v>
      </c>
      <c r="AQ524" s="55" t="s">
        <v>2273</v>
      </c>
      <c r="AR524" s="4" t="s">
        <v>89</v>
      </c>
      <c r="AS524" s="4" t="s">
        <v>2122</v>
      </c>
      <c r="AT524" s="72">
        <v>35314</v>
      </c>
      <c r="AU524" s="4" t="s">
        <v>81</v>
      </c>
      <c r="AV524" s="4" t="s">
        <v>81</v>
      </c>
      <c r="AW524" s="4" t="s">
        <v>81</v>
      </c>
      <c r="AX524" s="4" t="s">
        <v>81</v>
      </c>
      <c r="AY524" s="4" t="s">
        <v>81</v>
      </c>
      <c r="AZ524" s="4" t="s">
        <v>81</v>
      </c>
      <c r="BA524" s="4" t="s">
        <v>90</v>
      </c>
      <c r="BB524" s="4">
        <v>10800</v>
      </c>
      <c r="BC524" s="4">
        <v>2700</v>
      </c>
      <c r="BD524" s="4">
        <v>0</v>
      </c>
      <c r="BE524" s="4" t="s">
        <v>91</v>
      </c>
      <c r="BF524" s="4" t="s">
        <v>242</v>
      </c>
      <c r="BG524" s="4" t="s">
        <v>242</v>
      </c>
      <c r="BH524" s="4" t="s">
        <v>3510</v>
      </c>
      <c r="BI524" s="72"/>
      <c r="BJ524" s="154"/>
      <c r="BK524" s="4"/>
      <c r="BL524" s="105"/>
      <c r="BM524" s="9"/>
      <c r="BN524" s="9"/>
      <c r="BO524" s="9"/>
    </row>
    <row r="525" ht="14.4" s="67" customFormat="1">
      <c r="A525" s="4">
        <v>171720</v>
      </c>
      <c r="B525" s="4"/>
      <c r="C525" s="55" t="s">
        <v>2274</v>
      </c>
      <c r="D525" s="4" t="s">
        <v>2275</v>
      </c>
      <c r="E525" s="4" t="s">
        <v>66</v>
      </c>
      <c r="F525" s="55">
        <v>1210759808</v>
      </c>
      <c r="G525" s="4" t="s">
        <v>67</v>
      </c>
      <c r="H525" s="4" t="s">
        <v>68</v>
      </c>
      <c r="I525" s="4" t="s">
        <v>69</v>
      </c>
      <c r="J525" s="55" t="s">
        <v>1725</v>
      </c>
      <c r="K525" s="4" t="s">
        <v>71</v>
      </c>
      <c r="L525" s="4" t="s">
        <v>72</v>
      </c>
      <c r="M525" s="4" t="str">
        <f>VLOOKUP(A525,[1]Sheet1!$C:$G,5,0)</f>
        <v>Aminul Islam Sovo</v>
      </c>
      <c r="N525" s="4" t="s">
        <v>74</v>
      </c>
      <c r="O525" s="4" t="s">
        <v>75</v>
      </c>
      <c r="P525" s="4">
        <v>37</v>
      </c>
      <c r="Q525" s="57">
        <v>45476</v>
      </c>
      <c r="R525" s="57">
        <v>45485</v>
      </c>
      <c r="S525" s="113" t="s">
        <v>242</v>
      </c>
      <c r="T525" s="113" t="s">
        <v>242</v>
      </c>
      <c r="U525" s="4" t="s">
        <v>242</v>
      </c>
      <c r="V525" s="4" t="s">
        <v>242</v>
      </c>
      <c r="W525" s="105" t="s">
        <v>2276</v>
      </c>
      <c r="X525" s="114">
        <v>1409015720</v>
      </c>
      <c r="Y525" s="55">
        <v>1758828976</v>
      </c>
      <c r="Z525" s="4" t="s">
        <v>2277</v>
      </c>
      <c r="AA525" s="4">
        <v>1758828976</v>
      </c>
      <c r="AB525" s="4" t="s">
        <v>101</v>
      </c>
      <c r="AC525" s="4" t="s">
        <v>119</v>
      </c>
      <c r="AD525" s="113"/>
      <c r="AE525" s="107"/>
      <c r="AF525" s="4" t="s">
        <v>360</v>
      </c>
      <c r="AG525" s="114">
        <v>8704667974</v>
      </c>
      <c r="AH525" s="4" t="s">
        <v>81</v>
      </c>
      <c r="AI525" s="55" t="s">
        <v>542</v>
      </c>
      <c r="AJ525" s="55" t="s">
        <v>81</v>
      </c>
      <c r="AK525" s="55">
        <v>2024</v>
      </c>
      <c r="AL525" s="4" t="s">
        <v>2278</v>
      </c>
      <c r="AM525" s="4" t="s">
        <v>2277</v>
      </c>
      <c r="AN525" s="4" t="s">
        <v>2279</v>
      </c>
      <c r="AO525" s="4" t="s">
        <v>2280</v>
      </c>
      <c r="AP525" s="4" t="s">
        <v>2281</v>
      </c>
      <c r="AQ525" s="55" t="s">
        <v>285</v>
      </c>
      <c r="AR525" s="4" t="s">
        <v>260</v>
      </c>
      <c r="AS525" s="4" t="s">
        <v>81</v>
      </c>
      <c r="AT525" s="72" t="s">
        <v>81</v>
      </c>
      <c r="AU525" s="4" t="s">
        <v>81</v>
      </c>
      <c r="AV525" s="4" t="s">
        <v>81</v>
      </c>
      <c r="AW525" s="4" t="s">
        <v>81</v>
      </c>
      <c r="AX525" s="4" t="s">
        <v>81</v>
      </c>
      <c r="AY525" s="4" t="s">
        <v>81</v>
      </c>
      <c r="AZ525" s="4" t="s">
        <v>81</v>
      </c>
      <c r="BA525" s="4" t="s">
        <v>90</v>
      </c>
      <c r="BB525" s="4">
        <v>10800</v>
      </c>
      <c r="BC525" s="4">
        <v>2700</v>
      </c>
      <c r="BD525" s="4">
        <v>0</v>
      </c>
      <c r="BE525" s="4" t="s">
        <v>91</v>
      </c>
      <c r="BF525" s="4" t="s">
        <v>242</v>
      </c>
      <c r="BG525" s="4" t="s">
        <v>242</v>
      </c>
      <c r="BH525" s="4" t="s">
        <v>3510</v>
      </c>
      <c r="BI525" s="72"/>
      <c r="BJ525" s="154"/>
      <c r="BK525" s="4"/>
      <c r="BL525" s="105"/>
      <c r="BM525" s="9"/>
      <c r="BN525" s="9"/>
      <c r="BO525" s="9"/>
    </row>
    <row r="526" ht="14.4" s="67" customFormat="1">
      <c r="A526" s="4">
        <v>171721</v>
      </c>
      <c r="B526" s="4"/>
      <c r="C526" s="55" t="s">
        <v>2282</v>
      </c>
      <c r="D526" s="4" t="s">
        <v>2283</v>
      </c>
      <c r="E526" s="4" t="s">
        <v>66</v>
      </c>
      <c r="F526" s="55">
        <v>1310634013</v>
      </c>
      <c r="G526" s="4" t="s">
        <v>67</v>
      </c>
      <c r="H526" s="4" t="s">
        <v>68</v>
      </c>
      <c r="I526" s="4" t="s">
        <v>69</v>
      </c>
      <c r="J526" s="55" t="s">
        <v>1725</v>
      </c>
      <c r="K526" s="4" t="s">
        <v>71</v>
      </c>
      <c r="L526" s="4" t="s">
        <v>72</v>
      </c>
      <c r="M526" s="4" t="str">
        <f>VLOOKUP(A526,[1]Sheet1!$C:$G,5,0)</f>
        <v>Aminul Islam Sovo</v>
      </c>
      <c r="N526" s="4" t="s">
        <v>74</v>
      </c>
      <c r="O526" s="4" t="s">
        <v>75</v>
      </c>
      <c r="P526" s="4">
        <v>37</v>
      </c>
      <c r="Q526" s="57">
        <v>45476</v>
      </c>
      <c r="R526" s="57">
        <v>45485</v>
      </c>
      <c r="S526" s="113" t="s">
        <v>242</v>
      </c>
      <c r="T526" s="113" t="s">
        <v>242</v>
      </c>
      <c r="U526" s="4" t="s">
        <v>242</v>
      </c>
      <c r="V526" s="4" t="s">
        <v>242</v>
      </c>
      <c r="W526" s="105" t="s">
        <v>2284</v>
      </c>
      <c r="X526" s="114">
        <v>1873885336</v>
      </c>
      <c r="Y526" s="55">
        <v>1304059733</v>
      </c>
      <c r="Z526" s="4" t="s">
        <v>2285</v>
      </c>
      <c r="AA526" s="4">
        <v>1304059733</v>
      </c>
      <c r="AB526" s="4" t="s">
        <v>132</v>
      </c>
      <c r="AC526" s="4" t="s">
        <v>79</v>
      </c>
      <c r="AD526" s="113">
        <v>36172</v>
      </c>
      <c r="AE526" s="107"/>
      <c r="AF526" s="4" t="s">
        <v>80</v>
      </c>
      <c r="AG526" s="114">
        <v>7357847776</v>
      </c>
      <c r="AH526" s="4" t="s">
        <v>81</v>
      </c>
      <c r="AI526" s="55" t="s">
        <v>2286</v>
      </c>
      <c r="AJ526" s="55" t="s">
        <v>347</v>
      </c>
      <c r="AK526" s="55">
        <v>2023</v>
      </c>
      <c r="AL526" s="4" t="s">
        <v>2287</v>
      </c>
      <c r="AM526" s="4" t="s">
        <v>2288</v>
      </c>
      <c r="AN526" s="4" t="s">
        <v>2285</v>
      </c>
      <c r="AO526" s="4" t="s">
        <v>2289</v>
      </c>
      <c r="AP526" s="4" t="s">
        <v>2290</v>
      </c>
      <c r="AQ526" s="55" t="s">
        <v>499</v>
      </c>
      <c r="AR526" s="4" t="s">
        <v>260</v>
      </c>
      <c r="AS526" s="4" t="s">
        <v>81</v>
      </c>
      <c r="AT526" s="72" t="s">
        <v>81</v>
      </c>
      <c r="AU526" s="4" t="s">
        <v>81</v>
      </c>
      <c r="AV526" s="4" t="s">
        <v>81</v>
      </c>
      <c r="AW526" s="4" t="s">
        <v>81</v>
      </c>
      <c r="AX526" s="4" t="s">
        <v>81</v>
      </c>
      <c r="AY526" s="4" t="s">
        <v>81</v>
      </c>
      <c r="AZ526" s="4" t="s">
        <v>81</v>
      </c>
      <c r="BA526" s="4" t="s">
        <v>90</v>
      </c>
      <c r="BB526" s="4">
        <v>10800</v>
      </c>
      <c r="BC526" s="4">
        <v>2700</v>
      </c>
      <c r="BD526" s="4">
        <v>0</v>
      </c>
      <c r="BE526" s="4" t="s">
        <v>91</v>
      </c>
      <c r="BF526" s="4" t="s">
        <v>242</v>
      </c>
      <c r="BG526" s="4" t="s">
        <v>242</v>
      </c>
      <c r="BH526" s="4" t="s">
        <v>3510</v>
      </c>
      <c r="BI526" s="72"/>
      <c r="BJ526" s="154"/>
      <c r="BK526" s="4"/>
      <c r="BL526" s="105"/>
      <c r="BM526" s="9"/>
      <c r="BN526" s="9"/>
      <c r="BO526" s="9"/>
    </row>
    <row r="527" ht="14.4" s="67" customFormat="1">
      <c r="A527" s="4">
        <v>171722</v>
      </c>
      <c r="B527" s="4"/>
      <c r="C527" s="55" t="s">
        <v>2291</v>
      </c>
      <c r="D527" s="4" t="s">
        <v>2292</v>
      </c>
      <c r="E527" s="4" t="s">
        <v>66</v>
      </c>
      <c r="F527" s="55">
        <v>1010944082</v>
      </c>
      <c r="G527" s="4" t="s">
        <v>67</v>
      </c>
      <c r="H527" s="4" t="s">
        <v>68</v>
      </c>
      <c r="I527" s="4" t="s">
        <v>69</v>
      </c>
      <c r="J527" s="55" t="s">
        <v>1725</v>
      </c>
      <c r="K527" s="4" t="s">
        <v>71</v>
      </c>
      <c r="L527" s="4" t="s">
        <v>72</v>
      </c>
      <c r="M527" s="4" t="str">
        <f>VLOOKUP(A527,[1]Sheet1!$C:$G,5,0)</f>
        <v>Aminul Islam Sovo</v>
      </c>
      <c r="N527" s="4" t="s">
        <v>74</v>
      </c>
      <c r="O527" s="4" t="s">
        <v>75</v>
      </c>
      <c r="P527" s="4">
        <v>37</v>
      </c>
      <c r="Q527" s="57">
        <v>45476</v>
      </c>
      <c r="R527" s="57">
        <v>45485</v>
      </c>
      <c r="S527" s="113" t="s">
        <v>242</v>
      </c>
      <c r="T527" s="113" t="s">
        <v>242</v>
      </c>
      <c r="U527" s="4" t="s">
        <v>242</v>
      </c>
      <c r="V527" s="4" t="s">
        <v>242</v>
      </c>
      <c r="W527" s="105" t="s">
        <v>2293</v>
      </c>
      <c r="X527" s="114">
        <v>1688327785</v>
      </c>
      <c r="Y527" s="55">
        <v>1969411324</v>
      </c>
      <c r="Z527" s="4" t="s">
        <v>2294</v>
      </c>
      <c r="AA527" s="4">
        <v>1681590162</v>
      </c>
      <c r="AB527" s="4" t="s">
        <v>132</v>
      </c>
      <c r="AC527" s="4" t="s">
        <v>1904</v>
      </c>
      <c r="AD527" s="113">
        <v>35930</v>
      </c>
      <c r="AE527" s="107"/>
      <c r="AF527" s="4" t="s">
        <v>80</v>
      </c>
      <c r="AG527" s="114" t="s">
        <v>2295</v>
      </c>
      <c r="AH527" s="4" t="s">
        <v>81</v>
      </c>
      <c r="AI527" s="55" t="s">
        <v>2296</v>
      </c>
      <c r="AJ527" s="55" t="s">
        <v>81</v>
      </c>
      <c r="AK527" s="55">
        <v>2020</v>
      </c>
      <c r="AL527" s="4" t="s">
        <v>2297</v>
      </c>
      <c r="AM527" s="4" t="s">
        <v>2298</v>
      </c>
      <c r="AN527" s="4" t="s">
        <v>2299</v>
      </c>
      <c r="AO527" s="4" t="s">
        <v>2300</v>
      </c>
      <c r="AP527" s="4" t="s">
        <v>2301</v>
      </c>
      <c r="AQ527" s="55" t="s">
        <v>88</v>
      </c>
      <c r="AR527" s="4" t="s">
        <v>89</v>
      </c>
      <c r="AS527" s="4" t="s">
        <v>2302</v>
      </c>
      <c r="AT527" s="72" t="s">
        <v>81</v>
      </c>
      <c r="AU527" s="4" t="s">
        <v>2303</v>
      </c>
      <c r="AV527" s="4">
        <v>44483</v>
      </c>
      <c r="AW527" s="4" t="s">
        <v>81</v>
      </c>
      <c r="AX527" s="4" t="s">
        <v>81</v>
      </c>
      <c r="AY527" s="4" t="s">
        <v>81</v>
      </c>
      <c r="AZ527" s="4" t="s">
        <v>81</v>
      </c>
      <c r="BA527" s="4" t="s">
        <v>90</v>
      </c>
      <c r="BB527" s="4">
        <v>10800</v>
      </c>
      <c r="BC527" s="4">
        <v>2700</v>
      </c>
      <c r="BD527" s="4">
        <v>0</v>
      </c>
      <c r="BE527" s="4" t="s">
        <v>91</v>
      </c>
      <c r="BF527" s="4" t="s">
        <v>242</v>
      </c>
      <c r="BG527" s="4" t="s">
        <v>242</v>
      </c>
      <c r="BH527" s="4" t="s">
        <v>3510</v>
      </c>
      <c r="BI527" s="72"/>
      <c r="BJ527" s="154"/>
      <c r="BK527" s="4"/>
      <c r="BL527" s="105"/>
      <c r="BM527" s="9"/>
      <c r="BN527" s="9"/>
      <c r="BO527" s="9"/>
    </row>
    <row r="528" ht="14.4" s="67" customFormat="1">
      <c r="A528" s="4">
        <v>171723</v>
      </c>
      <c r="B528" s="4"/>
      <c r="C528" s="55" t="s">
        <v>2304</v>
      </c>
      <c r="D528" s="4" t="s">
        <v>2305</v>
      </c>
      <c r="E528" s="4" t="s">
        <v>66</v>
      </c>
      <c r="F528" s="55">
        <v>232737</v>
      </c>
      <c r="G528" s="4" t="s">
        <v>67</v>
      </c>
      <c r="H528" s="4" t="s">
        <v>68</v>
      </c>
      <c r="I528" s="4" t="s">
        <v>69</v>
      </c>
      <c r="J528" s="55" t="s">
        <v>1725</v>
      </c>
      <c r="K528" s="4" t="s">
        <v>71</v>
      </c>
      <c r="L528" s="4" t="s">
        <v>72</v>
      </c>
      <c r="M528" s="4" t="str">
        <f>VLOOKUP(A528,[1]Sheet1!$C:$G,5,0)</f>
        <v>Aminul Islam Sovo</v>
      </c>
      <c r="N528" s="4" t="s">
        <v>74</v>
      </c>
      <c r="O528" s="4" t="s">
        <v>75</v>
      </c>
      <c r="P528" s="4">
        <v>37</v>
      </c>
      <c r="Q528" s="57">
        <v>45476</v>
      </c>
      <c r="R528" s="57">
        <v>45485</v>
      </c>
      <c r="S528" s="113" t="s">
        <v>242</v>
      </c>
      <c r="T528" s="113" t="s">
        <v>242</v>
      </c>
      <c r="U528" s="4" t="s">
        <v>242</v>
      </c>
      <c r="V528" s="4" t="s">
        <v>242</v>
      </c>
      <c r="W528" s="105" t="s">
        <v>2306</v>
      </c>
      <c r="X528" s="114">
        <v>1979691477</v>
      </c>
      <c r="Y528" s="55">
        <v>1931132787</v>
      </c>
      <c r="Z528" s="4" t="s">
        <v>2307</v>
      </c>
      <c r="AA528" s="4">
        <v>1931132787</v>
      </c>
      <c r="AB528" s="4" t="s">
        <v>78</v>
      </c>
      <c r="AC528" s="4" t="s">
        <v>79</v>
      </c>
      <c r="AD528" s="113">
        <v>34335</v>
      </c>
      <c r="AE528" s="107"/>
      <c r="AF528" s="4" t="s">
        <v>80</v>
      </c>
      <c r="AG528" s="114" t="s">
        <v>2308</v>
      </c>
      <c r="AH528" s="4" t="s">
        <v>81</v>
      </c>
      <c r="AI528" s="55" t="s">
        <v>2309</v>
      </c>
      <c r="AJ528" s="55" t="s">
        <v>81</v>
      </c>
      <c r="AK528" s="55">
        <v>2017</v>
      </c>
      <c r="AL528" s="4" t="s">
        <v>596</v>
      </c>
      <c r="AM528" s="4" t="s">
        <v>2310</v>
      </c>
      <c r="AN528" s="4" t="s">
        <v>2311</v>
      </c>
      <c r="AO528" s="4" t="s">
        <v>2312</v>
      </c>
      <c r="AP528" s="4" t="s">
        <v>2313</v>
      </c>
      <c r="AQ528" s="55" t="s">
        <v>223</v>
      </c>
      <c r="AR528" s="4" t="s">
        <v>89</v>
      </c>
      <c r="AS528" s="4" t="s">
        <v>2314</v>
      </c>
      <c r="AT528" s="72">
        <v>30262</v>
      </c>
      <c r="AU528" s="4" t="s">
        <v>2315</v>
      </c>
      <c r="AV528" s="4">
        <v>43270</v>
      </c>
      <c r="AW528" s="4" t="s">
        <v>81</v>
      </c>
      <c r="AX528" s="4" t="s">
        <v>81</v>
      </c>
      <c r="AY528" s="4" t="s">
        <v>81</v>
      </c>
      <c r="AZ528" s="4" t="s">
        <v>81</v>
      </c>
      <c r="BA528" s="4" t="s">
        <v>90</v>
      </c>
      <c r="BB528" s="4">
        <v>10800</v>
      </c>
      <c r="BC528" s="4">
        <v>2700</v>
      </c>
      <c r="BD528" s="4">
        <v>0</v>
      </c>
      <c r="BE528" s="4" t="s">
        <v>91</v>
      </c>
      <c r="BF528" s="4" t="s">
        <v>242</v>
      </c>
      <c r="BG528" s="4" t="s">
        <v>242</v>
      </c>
      <c r="BH528" s="4" t="s">
        <v>3510</v>
      </c>
      <c r="BI528" s="72"/>
      <c r="BJ528" s="154"/>
      <c r="BK528" s="4"/>
      <c r="BL528" s="105"/>
      <c r="BM528" s="9"/>
      <c r="BN528" s="9"/>
      <c r="BO528" s="9"/>
    </row>
    <row r="529" ht="14.4" s="67" customFormat="1">
      <c r="A529" s="4">
        <v>171724</v>
      </c>
      <c r="B529" s="4"/>
      <c r="C529" s="55" t="s">
        <v>2316</v>
      </c>
      <c r="D529" s="4" t="s">
        <v>2317</v>
      </c>
      <c r="E529" s="4" t="s">
        <v>66</v>
      </c>
      <c r="F529" s="55">
        <v>654432</v>
      </c>
      <c r="G529" s="4" t="s">
        <v>67</v>
      </c>
      <c r="H529" s="4" t="s">
        <v>68</v>
      </c>
      <c r="I529" s="4" t="s">
        <v>69</v>
      </c>
      <c r="J529" s="55" t="s">
        <v>1725</v>
      </c>
      <c r="K529" s="4" t="s">
        <v>71</v>
      </c>
      <c r="L529" s="4" t="s">
        <v>72</v>
      </c>
      <c r="M529" s="4" t="str">
        <f>VLOOKUP(A529,[1]Sheet1!$C:$G,5,0)</f>
        <v>Aminul Islam Sovo</v>
      </c>
      <c r="N529" s="4" t="s">
        <v>74</v>
      </c>
      <c r="O529" s="4" t="s">
        <v>75</v>
      </c>
      <c r="P529" s="4">
        <v>37</v>
      </c>
      <c r="Q529" s="57">
        <v>45476</v>
      </c>
      <c r="R529" s="57">
        <v>45485</v>
      </c>
      <c r="S529" s="113" t="s">
        <v>242</v>
      </c>
      <c r="T529" s="113" t="s">
        <v>242</v>
      </c>
      <c r="U529" s="4" t="s">
        <v>242</v>
      </c>
      <c r="V529" s="4" t="s">
        <v>242</v>
      </c>
      <c r="W529" s="105" t="s">
        <v>2318</v>
      </c>
      <c r="X529" s="114">
        <v>1303206148</v>
      </c>
      <c r="Y529" s="55">
        <v>1303206148</v>
      </c>
      <c r="Z529" s="4" t="s">
        <v>2056</v>
      </c>
      <c r="AA529" s="4">
        <v>1642052132</v>
      </c>
      <c r="AB529" s="4" t="s">
        <v>78</v>
      </c>
      <c r="AC529" s="4" t="s">
        <v>79</v>
      </c>
      <c r="AD529" s="113">
        <v>35378</v>
      </c>
      <c r="AE529" s="107"/>
      <c r="AF529" s="4" t="s">
        <v>80</v>
      </c>
      <c r="AG529" s="114">
        <v>8251995380</v>
      </c>
      <c r="AH529" s="4" t="s">
        <v>81</v>
      </c>
      <c r="AI529" s="55" t="s">
        <v>2319</v>
      </c>
      <c r="AJ529" s="55" t="s">
        <v>81</v>
      </c>
      <c r="AK529" s="55">
        <v>2019</v>
      </c>
      <c r="AL529" s="4" t="s">
        <v>2320</v>
      </c>
      <c r="AM529" s="4" t="s">
        <v>2321</v>
      </c>
      <c r="AN529" s="4" t="s">
        <v>2322</v>
      </c>
      <c r="AO529" s="4" t="s">
        <v>2323</v>
      </c>
      <c r="AP529" s="4" t="s">
        <v>2324</v>
      </c>
      <c r="AQ529" s="55" t="s">
        <v>88</v>
      </c>
      <c r="AR529" s="4" t="s">
        <v>89</v>
      </c>
      <c r="AS529" s="4" t="s">
        <v>2056</v>
      </c>
      <c r="AT529" s="72">
        <v>35065</v>
      </c>
      <c r="AU529" s="4" t="s">
        <v>81</v>
      </c>
      <c r="AV529" s="4" t="s">
        <v>81</v>
      </c>
      <c r="AW529" s="4" t="s">
        <v>81</v>
      </c>
      <c r="AX529" s="4" t="s">
        <v>81</v>
      </c>
      <c r="AY529" s="4" t="s">
        <v>81</v>
      </c>
      <c r="AZ529" s="4" t="s">
        <v>81</v>
      </c>
      <c r="BA529" s="4" t="s">
        <v>90</v>
      </c>
      <c r="BB529" s="4">
        <v>10800</v>
      </c>
      <c r="BC529" s="4">
        <v>2700</v>
      </c>
      <c r="BD529" s="4">
        <v>0</v>
      </c>
      <c r="BE529" s="4" t="s">
        <v>91</v>
      </c>
      <c r="BF529" s="4" t="s">
        <v>242</v>
      </c>
      <c r="BG529" s="4" t="s">
        <v>242</v>
      </c>
      <c r="BH529" s="4" t="s">
        <v>3510</v>
      </c>
      <c r="BI529" s="72"/>
      <c r="BJ529" s="154"/>
      <c r="BK529" s="4"/>
      <c r="BL529" s="105"/>
      <c r="BM529" s="9"/>
      <c r="BN529" s="9"/>
      <c r="BO529" s="9"/>
    </row>
    <row r="530" ht="14.4" s="67" customFormat="1">
      <c r="A530" s="4">
        <v>171729</v>
      </c>
      <c r="B530" s="4"/>
      <c r="C530" s="55" t="s">
        <v>2325</v>
      </c>
      <c r="D530" s="4" t="s">
        <v>1273</v>
      </c>
      <c r="E530" s="4" t="s">
        <v>66</v>
      </c>
      <c r="F530" s="55" t="s">
        <v>81</v>
      </c>
      <c r="G530" s="4" t="s">
        <v>67</v>
      </c>
      <c r="H530" s="4" t="s">
        <v>68</v>
      </c>
      <c r="I530" s="4" t="s">
        <v>69</v>
      </c>
      <c r="J530" s="55" t="s">
        <v>1846</v>
      </c>
      <c r="K530" s="4" t="s">
        <v>71</v>
      </c>
      <c r="L530" s="4" t="s">
        <v>72</v>
      </c>
      <c r="M530" s="4" t="str">
        <f>VLOOKUP(A530,[1]Sheet1!$C:$G,5,0)</f>
        <v>Md. Moniruzzaman</v>
      </c>
      <c r="N530" s="4" t="s">
        <v>74</v>
      </c>
      <c r="O530" s="4" t="s">
        <v>75</v>
      </c>
      <c r="P530" s="4">
        <v>37</v>
      </c>
      <c r="Q530" s="57">
        <v>45476</v>
      </c>
      <c r="R530" s="57">
        <v>45485</v>
      </c>
      <c r="S530" s="113" t="s">
        <v>242</v>
      </c>
      <c r="T530" s="113" t="s">
        <v>242</v>
      </c>
      <c r="U530" s="4" t="s">
        <v>242</v>
      </c>
      <c r="V530" s="4" t="s">
        <v>242</v>
      </c>
      <c r="W530" s="105" t="s">
        <v>2326</v>
      </c>
      <c r="X530" s="114">
        <v>1318423410</v>
      </c>
      <c r="Y530" s="55">
        <v>1609859173</v>
      </c>
      <c r="Z530" s="4" t="s">
        <v>2327</v>
      </c>
      <c r="AA530" s="4">
        <v>1625227991</v>
      </c>
      <c r="AB530" s="4" t="s">
        <v>101</v>
      </c>
      <c r="AC530" s="4" t="s">
        <v>133</v>
      </c>
      <c r="AD530" s="113">
        <v>36032</v>
      </c>
      <c r="AE530" s="107"/>
      <c r="AF530" s="4" t="s">
        <v>80</v>
      </c>
      <c r="AG530" s="114">
        <v>2854409089</v>
      </c>
      <c r="AH530" s="4" t="s">
        <v>1334</v>
      </c>
      <c r="AI530" s="55" t="s">
        <v>779</v>
      </c>
      <c r="AJ530" s="55" t="s">
        <v>1334</v>
      </c>
      <c r="AK530" s="55">
        <v>2021</v>
      </c>
      <c r="AL530" s="4" t="s">
        <v>83</v>
      </c>
      <c r="AM530" s="4" t="s">
        <v>2328</v>
      </c>
      <c r="AN530" s="4" t="s">
        <v>2329</v>
      </c>
      <c r="AO530" s="4" t="s">
        <v>2330</v>
      </c>
      <c r="AP530" s="4" t="s">
        <v>2331</v>
      </c>
      <c r="AQ530" s="55" t="s">
        <v>2332</v>
      </c>
      <c r="AR530" s="4" t="s">
        <v>89</v>
      </c>
      <c r="AS530" s="4" t="s">
        <v>2333</v>
      </c>
      <c r="AT530" s="72">
        <v>36431</v>
      </c>
      <c r="AU530" s="4" t="s">
        <v>1334</v>
      </c>
      <c r="AV530" s="4" t="s">
        <v>1334</v>
      </c>
      <c r="AW530" s="4" t="s">
        <v>81</v>
      </c>
      <c r="AX530" s="4" t="s">
        <v>81</v>
      </c>
      <c r="AY530" s="4" t="s">
        <v>81</v>
      </c>
      <c r="AZ530" s="4" t="s">
        <v>81</v>
      </c>
      <c r="BA530" s="4" t="s">
        <v>90</v>
      </c>
      <c r="BB530" s="4">
        <v>10800</v>
      </c>
      <c r="BC530" s="4">
        <v>2700</v>
      </c>
      <c r="BD530" s="4">
        <v>0</v>
      </c>
      <c r="BE530" s="4" t="s">
        <v>91</v>
      </c>
      <c r="BF530" s="4" t="s">
        <v>242</v>
      </c>
      <c r="BG530" s="4" t="s">
        <v>242</v>
      </c>
      <c r="BH530" s="4" t="s">
        <v>3510</v>
      </c>
      <c r="BI530" s="72"/>
      <c r="BJ530" s="154"/>
      <c r="BK530" s="4"/>
      <c r="BL530" s="105"/>
      <c r="BM530" s="9"/>
      <c r="BN530" s="9"/>
      <c r="BO530" s="9"/>
    </row>
    <row r="531" ht="14.4" s="67" customFormat="1">
      <c r="A531" s="4">
        <v>171730</v>
      </c>
      <c r="B531" s="4"/>
      <c r="C531" s="55" t="s">
        <v>3297</v>
      </c>
      <c r="D531" s="4" t="s">
        <v>6544</v>
      </c>
      <c r="E531" s="4" t="s">
        <v>66</v>
      </c>
      <c r="F531" s="55">
        <v>1010997942</v>
      </c>
      <c r="G531" s="4" t="s">
        <v>67</v>
      </c>
      <c r="H531" s="4" t="s">
        <v>68</v>
      </c>
      <c r="I531" s="4" t="s">
        <v>69</v>
      </c>
      <c r="J531" s="55" t="s">
        <v>1846</v>
      </c>
      <c r="K531" s="4" t="s">
        <v>71</v>
      </c>
      <c r="L531" s="4" t="s">
        <v>72</v>
      </c>
      <c r="M531" s="4" t="str">
        <f>VLOOKUP(A531,[1]Sheet1!$C:$G,5,0)</f>
        <v>Md. Moniruzzaman</v>
      </c>
      <c r="N531" s="4" t="s">
        <v>74</v>
      </c>
      <c r="O531" s="4" t="s">
        <v>75</v>
      </c>
      <c r="P531" s="4">
        <v>37</v>
      </c>
      <c r="Q531" s="57">
        <v>45476</v>
      </c>
      <c r="R531" s="57">
        <v>45485</v>
      </c>
      <c r="S531" s="113" t="s">
        <v>242</v>
      </c>
      <c r="T531" s="113" t="s">
        <v>242</v>
      </c>
      <c r="U531" s="4" t="s">
        <v>242</v>
      </c>
      <c r="V531" s="4" t="s">
        <v>242</v>
      </c>
      <c r="W531" s="105" t="s">
        <v>6545</v>
      </c>
      <c r="X531" s="114">
        <v>1985091040</v>
      </c>
      <c r="Y531" s="55"/>
      <c r="Z531" s="4" t="s">
        <v>6546</v>
      </c>
      <c r="AA531" s="4">
        <v>1983913037</v>
      </c>
      <c r="AB531" s="4" t="s">
        <v>78</v>
      </c>
      <c r="AC531" s="4" t="s">
        <v>119</v>
      </c>
      <c r="AD531" s="113">
        <v>35440</v>
      </c>
      <c r="AE531" s="107"/>
      <c r="AF531" s="4" t="s">
        <v>80</v>
      </c>
      <c r="AG531" s="114">
        <v>9580508928</v>
      </c>
      <c r="AH531" s="4" t="s">
        <v>81</v>
      </c>
      <c r="AI531" s="55" t="s">
        <v>6547</v>
      </c>
      <c r="AJ531" s="55" t="s">
        <v>81</v>
      </c>
      <c r="AK531" s="55">
        <v>2020</v>
      </c>
      <c r="AL531" s="4" t="s">
        <v>6548</v>
      </c>
      <c r="AM531" s="4" t="s">
        <v>6549</v>
      </c>
      <c r="AN531" s="4" t="s">
        <v>4812</v>
      </c>
      <c r="AO531" s="4" t="s">
        <v>6550</v>
      </c>
      <c r="AP531" s="4" t="s">
        <v>6551</v>
      </c>
      <c r="AQ531" s="55" t="s">
        <v>555</v>
      </c>
      <c r="AR531" s="4" t="s">
        <v>89</v>
      </c>
      <c r="AS531" s="4" t="s">
        <v>6546</v>
      </c>
      <c r="AT531" s="72">
        <v>35023</v>
      </c>
      <c r="AU531" s="4" t="s">
        <v>81</v>
      </c>
      <c r="AV531" s="4" t="s">
        <v>81</v>
      </c>
      <c r="AW531" s="4" t="s">
        <v>81</v>
      </c>
      <c r="AX531" s="4" t="s">
        <v>81</v>
      </c>
      <c r="AY531" s="4" t="s">
        <v>81</v>
      </c>
      <c r="AZ531" s="4" t="s">
        <v>81</v>
      </c>
      <c r="BA531" s="4" t="s">
        <v>90</v>
      </c>
      <c r="BB531" s="4">
        <v>10800</v>
      </c>
      <c r="BC531" s="4">
        <v>2700</v>
      </c>
      <c r="BD531" s="4">
        <v>0</v>
      </c>
      <c r="BE531" s="4" t="s">
        <v>91</v>
      </c>
      <c r="BF531" s="4" t="s">
        <v>242</v>
      </c>
      <c r="BG531" s="4" t="s">
        <v>242</v>
      </c>
      <c r="BH531" s="4" t="s">
        <v>3510</v>
      </c>
      <c r="BI531" s="72">
        <f>VLOOKUP(A531,'ID Block'!A:L,12,0)</f>
        <v>45590</v>
      </c>
      <c r="BJ531" s="154" t="str">
        <f>VLOOKUP(A531,'ID Block'!A:M,13,0)</f>
        <v>Sickness issue</v>
      </c>
      <c r="BK531" s="4">
        <f t="shared" si="11"/>
        <v>105</v>
      </c>
      <c r="BL531" s="105"/>
      <c r="BM531" s="9"/>
      <c r="BN531" s="9"/>
      <c r="BO531" s="9"/>
    </row>
    <row r="532" ht="14.4" s="67" customFormat="1">
      <c r="A532" s="4">
        <v>171732</v>
      </c>
      <c r="B532" s="4" t="s">
        <v>2334</v>
      </c>
      <c r="C532" s="55"/>
      <c r="D532" s="4" t="s">
        <v>2335</v>
      </c>
      <c r="E532" s="4" t="s">
        <v>114</v>
      </c>
      <c r="F532" s="55">
        <v>1214223582</v>
      </c>
      <c r="G532" s="4" t="s">
        <v>67</v>
      </c>
      <c r="H532" s="4" t="s">
        <v>68</v>
      </c>
      <c r="I532" s="4" t="s">
        <v>69</v>
      </c>
      <c r="J532" s="55" t="s">
        <v>307</v>
      </c>
      <c r="K532" s="4" t="s">
        <v>71</v>
      </c>
      <c r="L532" s="4" t="s">
        <v>72</v>
      </c>
      <c r="M532" s="4" t="str">
        <f>VLOOKUP(A532,[1]Sheet1!$C:$G,5,0)</f>
        <v>Nazimuddoula Leon</v>
      </c>
      <c r="N532" s="4" t="s">
        <v>238</v>
      </c>
      <c r="O532" s="4" t="s">
        <v>2336</v>
      </c>
      <c r="P532" s="4">
        <v>37</v>
      </c>
      <c r="Q532" s="57">
        <v>45476</v>
      </c>
      <c r="R532" s="57">
        <v>45485</v>
      </c>
      <c r="S532" s="113" t="s">
        <v>81</v>
      </c>
      <c r="T532" s="113" t="s">
        <v>242</v>
      </c>
      <c r="U532" s="4" t="s">
        <v>242</v>
      </c>
      <c r="V532" s="4" t="s">
        <v>242</v>
      </c>
      <c r="W532" s="105" t="s">
        <v>2337</v>
      </c>
      <c r="X532" s="114">
        <v>1571402089</v>
      </c>
      <c r="Y532" s="55"/>
      <c r="Z532" s="4" t="s">
        <v>2338</v>
      </c>
      <c r="AA532" s="4"/>
      <c r="AB532" s="4" t="s">
        <v>101</v>
      </c>
      <c r="AC532" s="4" t="s">
        <v>79</v>
      </c>
      <c r="AD532" s="113">
        <v>36252</v>
      </c>
      <c r="AE532" s="107"/>
      <c r="AF532" s="4" t="s">
        <v>80</v>
      </c>
      <c r="AG532" s="114">
        <v>1034588352</v>
      </c>
      <c r="AH532" s="4" t="s">
        <v>81</v>
      </c>
      <c r="AI532" s="55" t="s">
        <v>2339</v>
      </c>
      <c r="AJ532" s="55" t="s">
        <v>81</v>
      </c>
      <c r="AK532" s="55" t="s">
        <v>81</v>
      </c>
      <c r="AL532" s="4" t="s">
        <v>2339</v>
      </c>
      <c r="AM532" s="4" t="s">
        <v>2338</v>
      </c>
      <c r="AN532" s="4" t="s">
        <v>2340</v>
      </c>
      <c r="AO532" s="4" t="s">
        <v>2341</v>
      </c>
      <c r="AP532" s="4" t="s">
        <v>2342</v>
      </c>
      <c r="AQ532" s="55" t="s">
        <v>1898</v>
      </c>
      <c r="AR532" s="4" t="s">
        <v>2343</v>
      </c>
      <c r="AS532" s="4" t="s">
        <v>81</v>
      </c>
      <c r="AT532" s="72" t="s">
        <v>81</v>
      </c>
      <c r="AU532" s="4" t="s">
        <v>81</v>
      </c>
      <c r="AV532" s="4" t="s">
        <v>81</v>
      </c>
      <c r="AW532" s="4" t="s">
        <v>81</v>
      </c>
      <c r="AX532" s="4" t="s">
        <v>81</v>
      </c>
      <c r="AY532" s="4" t="s">
        <v>81</v>
      </c>
      <c r="AZ532" s="4" t="s">
        <v>81</v>
      </c>
      <c r="BA532" s="4" t="s">
        <v>90</v>
      </c>
      <c r="BB532" s="4">
        <v>10800</v>
      </c>
      <c r="BC532" s="4">
        <v>2700</v>
      </c>
      <c r="BD532" s="4">
        <v>0</v>
      </c>
      <c r="BE532" s="4" t="s">
        <v>91</v>
      </c>
      <c r="BF532" s="4" t="s">
        <v>81</v>
      </c>
      <c r="BG532" s="4" t="s">
        <v>81</v>
      </c>
      <c r="BH532" s="4" t="s">
        <v>3510</v>
      </c>
      <c r="BI532" s="72"/>
      <c r="BJ532" s="154"/>
      <c r="BK532" s="4"/>
      <c r="BL532" s="105"/>
      <c r="BM532" s="9"/>
      <c r="BN532" s="9"/>
      <c r="BO532" s="9"/>
    </row>
    <row r="533" ht="14.4" s="67" customFormat="1">
      <c r="A533" s="4">
        <v>171734</v>
      </c>
      <c r="B533" s="4"/>
      <c r="C533" s="55" t="s">
        <v>2344</v>
      </c>
      <c r="D533" s="4" t="s">
        <v>2345</v>
      </c>
      <c r="E533" s="4" t="s">
        <v>66</v>
      </c>
      <c r="F533" s="55">
        <v>1010876391</v>
      </c>
      <c r="G533" s="4" t="s">
        <v>67</v>
      </c>
      <c r="H533" s="4" t="s">
        <v>68</v>
      </c>
      <c r="I533" s="4" t="s">
        <v>69</v>
      </c>
      <c r="J533" s="55" t="s">
        <v>341</v>
      </c>
      <c r="K533" s="4" t="s">
        <v>71</v>
      </c>
      <c r="L533" s="4" t="s">
        <v>72</v>
      </c>
      <c r="M533" s="4" t="str">
        <f>VLOOKUP(A533,[1]Sheet1!$C:$G,5,0)</f>
        <v>Nazmus Sakib</v>
      </c>
      <c r="N533" s="4" t="s">
        <v>238</v>
      </c>
      <c r="O533" s="4" t="s">
        <v>2346</v>
      </c>
      <c r="P533" s="4">
        <v>37</v>
      </c>
      <c r="Q533" s="57">
        <v>45476</v>
      </c>
      <c r="R533" s="57">
        <v>45485</v>
      </c>
      <c r="S533" s="113" t="s">
        <v>81</v>
      </c>
      <c r="T533" s="113" t="s">
        <v>242</v>
      </c>
      <c r="U533" s="4" t="s">
        <v>242</v>
      </c>
      <c r="V533" s="4" t="s">
        <v>242</v>
      </c>
      <c r="W533" s="105" t="s">
        <v>2347</v>
      </c>
      <c r="X533" s="114">
        <v>1798043290</v>
      </c>
      <c r="Y533" s="55">
        <v>1918996136</v>
      </c>
      <c r="Z533" s="4" t="s">
        <v>2348</v>
      </c>
      <c r="AA533" s="4">
        <v>1858522994</v>
      </c>
      <c r="AB533" s="4" t="s">
        <v>132</v>
      </c>
      <c r="AC533" s="4" t="s">
        <v>79</v>
      </c>
      <c r="AD533" s="113">
        <v>35667</v>
      </c>
      <c r="AE533" s="107"/>
      <c r="AF533" s="4" t="s">
        <v>80</v>
      </c>
      <c r="AG533" s="114">
        <v>2403006147</v>
      </c>
      <c r="AH533" s="4" t="s">
        <v>81</v>
      </c>
      <c r="AI533" s="55" t="s">
        <v>2349</v>
      </c>
      <c r="AJ533" s="55" t="s">
        <v>2350</v>
      </c>
      <c r="AK533" s="55">
        <v>2021</v>
      </c>
      <c r="AL533" s="4" t="s">
        <v>2351</v>
      </c>
      <c r="AM533" s="4" t="s">
        <v>2352</v>
      </c>
      <c r="AN533" s="4" t="s">
        <v>2348</v>
      </c>
      <c r="AO533" s="4" t="s">
        <v>2353</v>
      </c>
      <c r="AP533" s="4" t="s">
        <v>2354</v>
      </c>
      <c r="AQ533" s="55" t="s">
        <v>88</v>
      </c>
      <c r="AR533" s="4" t="s">
        <v>81</v>
      </c>
      <c r="AS533" s="4" t="s">
        <v>81</v>
      </c>
      <c r="AT533" s="72" t="s">
        <v>81</v>
      </c>
      <c r="AU533" s="4" t="s">
        <v>81</v>
      </c>
      <c r="AV533" s="4" t="s">
        <v>81</v>
      </c>
      <c r="AW533" s="4" t="s">
        <v>81</v>
      </c>
      <c r="AX533" s="4" t="s">
        <v>81</v>
      </c>
      <c r="AY533" s="4" t="s">
        <v>81</v>
      </c>
      <c r="AZ533" s="4" t="s">
        <v>81</v>
      </c>
      <c r="BA533" s="4" t="s">
        <v>90</v>
      </c>
      <c r="BB533" s="4">
        <v>10800</v>
      </c>
      <c r="BC533" s="4">
        <v>2700</v>
      </c>
      <c r="BD533" s="4">
        <v>0</v>
      </c>
      <c r="BE533" s="4" t="s">
        <v>91</v>
      </c>
      <c r="BF533" s="4" t="s">
        <v>81</v>
      </c>
      <c r="BG533" s="4" t="s">
        <v>81</v>
      </c>
      <c r="BH533" s="4" t="s">
        <v>3510</v>
      </c>
      <c r="BI533" s="72"/>
      <c r="BJ533" s="154"/>
      <c r="BK533" s="4"/>
      <c r="BL533" s="105"/>
      <c r="BM533" s="9"/>
      <c r="BN533" s="9"/>
      <c r="BO533" s="9"/>
    </row>
    <row r="534" ht="14.4" s="67" customFormat="1">
      <c r="A534" s="4">
        <v>171733</v>
      </c>
      <c r="B534" s="4"/>
      <c r="C534" s="55" t="s">
        <v>2355</v>
      </c>
      <c r="D534" s="4" t="s">
        <v>2356</v>
      </c>
      <c r="E534" s="4" t="s">
        <v>114</v>
      </c>
      <c r="F534" s="55">
        <v>1117506799</v>
      </c>
      <c r="G534" s="4" t="s">
        <v>67</v>
      </c>
      <c r="H534" s="4" t="s">
        <v>68</v>
      </c>
      <c r="I534" s="4" t="s">
        <v>69</v>
      </c>
      <c r="J534" s="55" t="s">
        <v>1846</v>
      </c>
      <c r="K534" s="4" t="s">
        <v>71</v>
      </c>
      <c r="L534" s="4" t="s">
        <v>72</v>
      </c>
      <c r="M534" s="4" t="str">
        <f>VLOOKUP(A534,[1]Sheet1!$C:$G,5,0)</f>
        <v>Aminul Islam Sovo</v>
      </c>
      <c r="N534" s="4" t="s">
        <v>238</v>
      </c>
      <c r="O534" s="4" t="s">
        <v>2346</v>
      </c>
      <c r="P534" s="4">
        <v>37</v>
      </c>
      <c r="Q534" s="57">
        <v>45476</v>
      </c>
      <c r="R534" s="57">
        <v>45485</v>
      </c>
      <c r="S534" s="113" t="s">
        <v>81</v>
      </c>
      <c r="T534" s="113" t="s">
        <v>242</v>
      </c>
      <c r="U534" s="4" t="s">
        <v>242</v>
      </c>
      <c r="V534" s="4" t="s">
        <v>242</v>
      </c>
      <c r="W534" s="105" t="s">
        <v>2357</v>
      </c>
      <c r="X534" s="114">
        <v>1788177948</v>
      </c>
      <c r="Y534" s="55">
        <v>1743196051</v>
      </c>
      <c r="Z534" s="4" t="s">
        <v>2358</v>
      </c>
      <c r="AA534" s="4">
        <v>1743196051</v>
      </c>
      <c r="AB534" s="4" t="s">
        <v>252</v>
      </c>
      <c r="AC534" s="4" t="s">
        <v>79</v>
      </c>
      <c r="AD534" s="113">
        <v>36322</v>
      </c>
      <c r="AE534" s="107"/>
      <c r="AF534" s="4" t="s">
        <v>80</v>
      </c>
      <c r="AG534" s="114">
        <v>4204583704</v>
      </c>
      <c r="AH534" s="4" t="s">
        <v>81</v>
      </c>
      <c r="AI534" s="55" t="s">
        <v>994</v>
      </c>
      <c r="AJ534" s="55" t="s">
        <v>81</v>
      </c>
      <c r="AK534" s="55" t="s">
        <v>81</v>
      </c>
      <c r="AL534" s="4" t="s">
        <v>2359</v>
      </c>
      <c r="AM534" s="4" t="s">
        <v>2360</v>
      </c>
      <c r="AN534" s="4" t="s">
        <v>2361</v>
      </c>
      <c r="AO534" s="4" t="s">
        <v>2362</v>
      </c>
      <c r="AP534" s="4" t="s">
        <v>2363</v>
      </c>
      <c r="AQ534" s="55" t="s">
        <v>910</v>
      </c>
      <c r="AR534" s="4" t="s">
        <v>2364</v>
      </c>
      <c r="AS534" s="4" t="s">
        <v>2365</v>
      </c>
      <c r="AT534" s="72">
        <v>36475</v>
      </c>
      <c r="AU534" s="4" t="s">
        <v>2366</v>
      </c>
      <c r="AV534" s="4" t="s">
        <v>2367</v>
      </c>
      <c r="AW534" s="4">
        <v>45247</v>
      </c>
      <c r="AX534" s="4" t="s">
        <v>81</v>
      </c>
      <c r="AY534" s="4" t="s">
        <v>81</v>
      </c>
      <c r="AZ534" s="4" t="s">
        <v>81</v>
      </c>
      <c r="BA534" s="4" t="s">
        <v>90</v>
      </c>
      <c r="BB534" s="4">
        <v>10800</v>
      </c>
      <c r="BC534" s="4">
        <v>2700</v>
      </c>
      <c r="BD534" s="4">
        <v>0</v>
      </c>
      <c r="BE534" s="4" t="s">
        <v>91</v>
      </c>
      <c r="BF534" s="4" t="s">
        <v>81</v>
      </c>
      <c r="BG534" s="4" t="s">
        <v>81</v>
      </c>
      <c r="BH534" s="4" t="s">
        <v>3510</v>
      </c>
      <c r="BI534" s="72"/>
      <c r="BJ534" s="154"/>
      <c r="BK534" s="4"/>
      <c r="BL534" s="105"/>
      <c r="BM534" s="9"/>
      <c r="BN534" s="9"/>
      <c r="BO534" s="9"/>
    </row>
    <row r="535" ht="14.4" s="67" customFormat="1">
      <c r="A535" s="4">
        <v>171780</v>
      </c>
      <c r="B535" s="4"/>
      <c r="C535" s="55"/>
      <c r="D535" s="4" t="s">
        <v>2375</v>
      </c>
      <c r="E535" s="4" t="s">
        <v>114</v>
      </c>
      <c r="F535" s="55"/>
      <c r="G535" s="4" t="s">
        <v>225</v>
      </c>
      <c r="H535" s="4" t="s">
        <v>226</v>
      </c>
      <c r="I535" s="4" t="s">
        <v>69</v>
      </c>
      <c r="J535" s="55" t="s">
        <v>214</v>
      </c>
      <c r="K535" s="4" t="s">
        <v>71</v>
      </c>
      <c r="L535" s="4" t="s">
        <v>72</v>
      </c>
      <c r="M535" s="4" t="s">
        <v>238</v>
      </c>
      <c r="N535" s="4"/>
      <c r="O535" s="4" t="s">
        <v>2346</v>
      </c>
      <c r="P535" s="4">
        <v>38</v>
      </c>
      <c r="Q535" s="57">
        <v>45482</v>
      </c>
      <c r="R535" s="57">
        <v>45498</v>
      </c>
      <c r="S535" s="113"/>
      <c r="T535" s="113"/>
      <c r="U535" s="4"/>
      <c r="V535" s="4"/>
      <c r="W535" s="105" t="s">
        <v>2376</v>
      </c>
      <c r="X535" s="114">
        <v>1628647268</v>
      </c>
      <c r="Y535" s="55">
        <v>1577181134</v>
      </c>
      <c r="Z535" s="4"/>
      <c r="AA535" s="4"/>
      <c r="AB535" s="4"/>
      <c r="AC535" s="4" t="s">
        <v>79</v>
      </c>
      <c r="AD535" s="113" t="s">
        <v>2377</v>
      </c>
      <c r="AE535" s="107"/>
      <c r="AF535" s="4" t="s">
        <v>80</v>
      </c>
      <c r="AG535" s="114">
        <v>8252171981</v>
      </c>
      <c r="AH535" s="4" t="s">
        <v>81</v>
      </c>
      <c r="AI535" s="55" t="s">
        <v>2378</v>
      </c>
      <c r="AJ535" s="55"/>
      <c r="AK535" s="55">
        <v>2023</v>
      </c>
      <c r="AL535" s="4"/>
      <c r="AM535" s="4" t="s">
        <v>2379</v>
      </c>
      <c r="AN535" s="4" t="s">
        <v>2380</v>
      </c>
      <c r="AO535" s="4" t="s">
        <v>2381</v>
      </c>
      <c r="AP535" s="4" t="s">
        <v>2381</v>
      </c>
      <c r="AQ535" s="55" t="s">
        <v>88</v>
      </c>
      <c r="AR535" s="4"/>
      <c r="AS535" s="4"/>
      <c r="AT535" s="72"/>
      <c r="AU535" s="4"/>
      <c r="AV535" s="4"/>
      <c r="AW535" s="4"/>
      <c r="AX535" s="4"/>
      <c r="AY535" s="4"/>
      <c r="AZ535" s="4"/>
      <c r="BA535" s="4" t="s">
        <v>90</v>
      </c>
      <c r="BB535" s="4">
        <v>14500</v>
      </c>
      <c r="BC535" s="4">
        <v>3500</v>
      </c>
      <c r="BD535" s="4">
        <v>0</v>
      </c>
      <c r="BE535" s="4"/>
      <c r="BF535" s="4"/>
      <c r="BG535" s="4"/>
      <c r="BH535" s="4" t="s">
        <v>3510</v>
      </c>
      <c r="BI535" s="72"/>
      <c r="BJ535" s="154"/>
      <c r="BK535" s="4"/>
      <c r="BL535" s="105" t="s">
        <v>2382</v>
      </c>
      <c r="BM535" s="9"/>
      <c r="BN535" s="9"/>
      <c r="BO535" s="9"/>
    </row>
    <row r="536" ht="14.4" s="67" customFormat="1">
      <c r="A536" s="4">
        <v>171789</v>
      </c>
      <c r="B536" s="4" t="s">
        <v>2383</v>
      </c>
      <c r="C536" s="55" t="s">
        <v>2384</v>
      </c>
      <c r="D536" s="4" t="s">
        <v>2384</v>
      </c>
      <c r="E536" s="4" t="s">
        <v>114</v>
      </c>
      <c r="F536" s="55">
        <v>1013228433</v>
      </c>
      <c r="G536" s="4" t="s">
        <v>67</v>
      </c>
      <c r="H536" s="4" t="s">
        <v>68</v>
      </c>
      <c r="I536" s="4" t="s">
        <v>69</v>
      </c>
      <c r="J536" s="55" t="s">
        <v>214</v>
      </c>
      <c r="K536" s="4" t="s">
        <v>71</v>
      </c>
      <c r="L536" s="4" t="s">
        <v>1767</v>
      </c>
      <c r="M536" s="4" t="str">
        <f>VLOOKUP(A536,[1]Sheet1!$C:$G,5,0)</f>
        <v>Md. Moniruzzaman</v>
      </c>
      <c r="N536" s="4" t="s">
        <v>74</v>
      </c>
      <c r="O536" s="4" t="s">
        <v>2068</v>
      </c>
      <c r="P536" s="4">
        <v>40</v>
      </c>
      <c r="Q536" s="57">
        <v>45492</v>
      </c>
      <c r="R536" s="57">
        <v>45505</v>
      </c>
      <c r="S536" s="113"/>
      <c r="T536" s="113"/>
      <c r="U536" s="4"/>
      <c r="V536" s="4"/>
      <c r="W536" s="105"/>
      <c r="X536" s="114">
        <v>1409072422</v>
      </c>
      <c r="Y536" s="55"/>
      <c r="Z536" s="4" t="s">
        <v>2385</v>
      </c>
      <c r="AA536" s="4">
        <v>1739963030</v>
      </c>
      <c r="AB536" s="4" t="s">
        <v>101</v>
      </c>
      <c r="AC536" s="4" t="s">
        <v>133</v>
      </c>
      <c r="AD536" s="113">
        <v>35074</v>
      </c>
      <c r="AE536" s="107"/>
      <c r="AF536" s="4" t="s">
        <v>80</v>
      </c>
      <c r="AG536" s="114">
        <v>8696489510</v>
      </c>
      <c r="AH536" s="4"/>
      <c r="AI536" s="55" t="s">
        <v>265</v>
      </c>
      <c r="AJ536" s="55"/>
      <c r="AK536" s="55"/>
      <c r="AL536" s="4"/>
      <c r="AM536" s="4" t="s">
        <v>2385</v>
      </c>
      <c r="AN536" s="4" t="s">
        <v>2386</v>
      </c>
      <c r="AO536" s="4" t="s">
        <v>2387</v>
      </c>
      <c r="AP536" s="4" t="s">
        <v>2388</v>
      </c>
      <c r="AQ536" s="55" t="s">
        <v>88</v>
      </c>
      <c r="AR536" s="4"/>
      <c r="AS536" s="4"/>
      <c r="AT536" s="72"/>
      <c r="AU536" s="4"/>
      <c r="AV536" s="4"/>
      <c r="AW536" s="4"/>
      <c r="AX536" s="4"/>
      <c r="AY536" s="4"/>
      <c r="AZ536" s="4"/>
      <c r="BA536" s="4" t="s">
        <v>90</v>
      </c>
      <c r="BB536" s="4">
        <v>10800</v>
      </c>
      <c r="BC536" s="4">
        <v>2700</v>
      </c>
      <c r="BD536" s="4">
        <v>0</v>
      </c>
      <c r="BE536" s="4" t="s">
        <v>91</v>
      </c>
      <c r="BF536" s="4"/>
      <c r="BG536" s="4"/>
      <c r="BH536" s="4" t="s">
        <v>3510</v>
      </c>
      <c r="BI536" s="72"/>
      <c r="BJ536" s="154"/>
      <c r="BK536" s="4"/>
      <c r="BL536" s="105"/>
      <c r="BM536" s="9"/>
      <c r="BN536" s="9"/>
      <c r="BO536" s="9"/>
    </row>
    <row r="537" ht="14.4" s="67" customFormat="1">
      <c r="A537" s="4">
        <v>171793</v>
      </c>
      <c r="B537" s="4" t="s">
        <v>5556</v>
      </c>
      <c r="C537" s="55" t="s">
        <v>6552</v>
      </c>
      <c r="D537" s="4" t="s">
        <v>6552</v>
      </c>
      <c r="E537" s="4" t="s">
        <v>66</v>
      </c>
      <c r="F537" s="55">
        <v>1112742920</v>
      </c>
      <c r="G537" s="4" t="s">
        <v>67</v>
      </c>
      <c r="H537" s="4" t="s">
        <v>68</v>
      </c>
      <c r="I537" s="4" t="s">
        <v>69</v>
      </c>
      <c r="J537" s="55" t="s">
        <v>214</v>
      </c>
      <c r="K537" s="4" t="s">
        <v>71</v>
      </c>
      <c r="L537" s="4" t="s">
        <v>1767</v>
      </c>
      <c r="M537" s="4" t="str">
        <f>VLOOKUP(A537,[1]Sheet1!$C:$G,5,0)</f>
        <v>Md. Moniruzzaman</v>
      </c>
      <c r="N537" s="4" t="s">
        <v>74</v>
      </c>
      <c r="O537" s="4" t="s">
        <v>2068</v>
      </c>
      <c r="P537" s="4">
        <v>40</v>
      </c>
      <c r="Q537" s="57">
        <v>45492</v>
      </c>
      <c r="R537" s="57">
        <v>45505</v>
      </c>
      <c r="S537" s="113"/>
      <c r="T537" s="113"/>
      <c r="U537" s="4"/>
      <c r="V537" s="4"/>
      <c r="W537" s="105"/>
      <c r="X537" s="114">
        <v>1776801798</v>
      </c>
      <c r="Y537" s="55"/>
      <c r="Z537" s="4" t="s">
        <v>6553</v>
      </c>
      <c r="AA537" s="4">
        <v>1739066345</v>
      </c>
      <c r="AB537" s="4" t="s">
        <v>132</v>
      </c>
      <c r="AC537" s="4" t="s">
        <v>79</v>
      </c>
      <c r="AD537" s="113">
        <v>35742</v>
      </c>
      <c r="AE537" s="107"/>
      <c r="AF537" s="4" t="s">
        <v>80</v>
      </c>
      <c r="AG537" s="114">
        <v>6463230570</v>
      </c>
      <c r="AH537" s="4"/>
      <c r="AI537" s="55" t="s">
        <v>683</v>
      </c>
      <c r="AJ537" s="55"/>
      <c r="AK537" s="55"/>
      <c r="AL537" s="4"/>
      <c r="AM537" s="4" t="s">
        <v>6554</v>
      </c>
      <c r="AN537" s="4" t="s">
        <v>6555</v>
      </c>
      <c r="AO537" s="4" t="s">
        <v>6556</v>
      </c>
      <c r="AP537" s="4" t="s">
        <v>6557</v>
      </c>
      <c r="AQ537" s="55" t="s">
        <v>88</v>
      </c>
      <c r="AR537" s="4"/>
      <c r="AS537" s="4"/>
      <c r="AT537" s="72"/>
      <c r="AU537" s="4"/>
      <c r="AV537" s="4"/>
      <c r="AW537" s="4"/>
      <c r="AX537" s="4"/>
      <c r="AY537" s="4"/>
      <c r="AZ537" s="4"/>
      <c r="BA537" s="4" t="s">
        <v>90</v>
      </c>
      <c r="BB537" s="4">
        <v>10800</v>
      </c>
      <c r="BC537" s="4">
        <v>2700</v>
      </c>
      <c r="BD537" s="4">
        <v>0</v>
      </c>
      <c r="BE537" s="4" t="s">
        <v>91</v>
      </c>
      <c r="BF537" s="4"/>
      <c r="BG537" s="4"/>
      <c r="BH537" s="4" t="s">
        <v>3510</v>
      </c>
      <c r="BI537" s="72">
        <f>VLOOKUP(A537,'ID Block'!A:L,12,0)</f>
        <v>45578</v>
      </c>
      <c r="BJ537" s="154" t="str">
        <f>VLOOKUP(A537,'ID Block'!A:M,13,0)</f>
        <v>Resign</v>
      </c>
      <c r="BK537" s="4">
        <f t="shared" si="11"/>
        <v>73</v>
      </c>
      <c r="BL537" s="105"/>
      <c r="BM537" s="9"/>
      <c r="BN537" s="9"/>
      <c r="BO537" s="9"/>
    </row>
    <row r="538" ht="14.4" s="67" customFormat="1">
      <c r="A538" s="4">
        <v>171794</v>
      </c>
      <c r="B538" s="4" t="s">
        <v>2389</v>
      </c>
      <c r="C538" s="55" t="s">
        <v>2390</v>
      </c>
      <c r="D538" s="4" t="s">
        <v>2390</v>
      </c>
      <c r="E538" s="4" t="s">
        <v>66</v>
      </c>
      <c r="F538" s="55">
        <v>1210880317</v>
      </c>
      <c r="G538" s="4" t="s">
        <v>67</v>
      </c>
      <c r="H538" s="4" t="s">
        <v>68</v>
      </c>
      <c r="I538" s="4" t="s">
        <v>69</v>
      </c>
      <c r="J538" s="55" t="s">
        <v>214</v>
      </c>
      <c r="K538" s="4" t="s">
        <v>71</v>
      </c>
      <c r="L538" s="4" t="s">
        <v>1767</v>
      </c>
      <c r="M538" s="4" t="str">
        <f>VLOOKUP(A538,[1]Sheet1!$C:$G,5,0)</f>
        <v>Md. Moniruzzaman</v>
      </c>
      <c r="N538" s="4" t="s">
        <v>74</v>
      </c>
      <c r="O538" s="4" t="s">
        <v>2068</v>
      </c>
      <c r="P538" s="4">
        <v>40</v>
      </c>
      <c r="Q538" s="57">
        <v>45492</v>
      </c>
      <c r="R538" s="57">
        <v>45505</v>
      </c>
      <c r="S538" s="113"/>
      <c r="T538" s="113"/>
      <c r="U538" s="4"/>
      <c r="V538" s="4"/>
      <c r="W538" s="105"/>
      <c r="X538" s="114">
        <v>1316873478</v>
      </c>
      <c r="Y538" s="55"/>
      <c r="Z538" s="4" t="s">
        <v>2391</v>
      </c>
      <c r="AA538" s="4">
        <v>1628352752</v>
      </c>
      <c r="AB538" s="4" t="s">
        <v>252</v>
      </c>
      <c r="AC538" s="4" t="s">
        <v>119</v>
      </c>
      <c r="AD538" s="113" t="s">
        <v>2392</v>
      </c>
      <c r="AE538" s="107"/>
      <c r="AF538" s="4" t="s">
        <v>80</v>
      </c>
      <c r="AG538" s="114">
        <v>2403935576</v>
      </c>
      <c r="AH538" s="4"/>
      <c r="AI538" s="55" t="s">
        <v>347</v>
      </c>
      <c r="AJ538" s="55"/>
      <c r="AK538" s="55"/>
      <c r="AL538" s="4"/>
      <c r="AM538" s="4" t="s">
        <v>2393</v>
      </c>
      <c r="AN538" s="4" t="s">
        <v>2394</v>
      </c>
      <c r="AO538" s="4" t="s">
        <v>2395</v>
      </c>
      <c r="AP538" s="4" t="s">
        <v>2395</v>
      </c>
      <c r="AQ538" s="55" t="s">
        <v>449</v>
      </c>
      <c r="AR538" s="4"/>
      <c r="AS538" s="4"/>
      <c r="AT538" s="72"/>
      <c r="AU538" s="4"/>
      <c r="AV538" s="4"/>
      <c r="AW538" s="4"/>
      <c r="AX538" s="4"/>
      <c r="AY538" s="4"/>
      <c r="AZ538" s="4"/>
      <c r="BA538" s="4" t="s">
        <v>90</v>
      </c>
      <c r="BB538" s="4">
        <v>10800</v>
      </c>
      <c r="BC538" s="4">
        <v>2700</v>
      </c>
      <c r="BD538" s="4">
        <v>0</v>
      </c>
      <c r="BE538" s="4" t="s">
        <v>91</v>
      </c>
      <c r="BF538" s="4"/>
      <c r="BG538" s="4"/>
      <c r="BH538" s="4" t="s">
        <v>3510</v>
      </c>
      <c r="BI538" s="72"/>
      <c r="BJ538" s="154"/>
      <c r="BK538" s="4"/>
      <c r="BL538" s="105">
        <v>1609260451</v>
      </c>
      <c r="BM538" s="9"/>
      <c r="BN538" s="9"/>
      <c r="BO538" s="9"/>
    </row>
    <row r="539" ht="14.4" s="67" customFormat="1">
      <c r="A539" s="4">
        <v>171800</v>
      </c>
      <c r="B539" s="4" t="s">
        <v>2396</v>
      </c>
      <c r="C539" s="55" t="s">
        <v>2397</v>
      </c>
      <c r="D539" s="4" t="s">
        <v>2397</v>
      </c>
      <c r="E539" s="4" t="s">
        <v>66</v>
      </c>
      <c r="F539" s="55">
        <v>752562</v>
      </c>
      <c r="G539" s="4" t="s">
        <v>67</v>
      </c>
      <c r="H539" s="4" t="s">
        <v>68</v>
      </c>
      <c r="I539" s="4" t="s">
        <v>69</v>
      </c>
      <c r="J539" s="55" t="s">
        <v>214</v>
      </c>
      <c r="K539" s="4" t="s">
        <v>71</v>
      </c>
      <c r="L539" s="4" t="s">
        <v>1767</v>
      </c>
      <c r="M539" s="4" t="str">
        <f>VLOOKUP(A539,[1]Sheet1!$C:$G,5,0)</f>
        <v>Md. Moniruzzaman</v>
      </c>
      <c r="N539" s="4" t="s">
        <v>74</v>
      </c>
      <c r="O539" s="4" t="s">
        <v>2068</v>
      </c>
      <c r="P539" s="4">
        <v>40</v>
      </c>
      <c r="Q539" s="57">
        <v>45492</v>
      </c>
      <c r="R539" s="57">
        <v>45505</v>
      </c>
      <c r="S539" s="113"/>
      <c r="T539" s="113"/>
      <c r="U539" s="4"/>
      <c r="V539" s="4"/>
      <c r="W539" s="105"/>
      <c r="X539" s="114">
        <v>1980600637</v>
      </c>
      <c r="Y539" s="55"/>
      <c r="Z539" s="4" t="s">
        <v>2398</v>
      </c>
      <c r="AA539" s="4">
        <v>1315412744</v>
      </c>
      <c r="AB539" s="4" t="s">
        <v>132</v>
      </c>
      <c r="AC539" s="4" t="s">
        <v>79</v>
      </c>
      <c r="AD539" s="113">
        <v>35554</v>
      </c>
      <c r="AE539" s="107"/>
      <c r="AF539" s="4" t="s">
        <v>80</v>
      </c>
      <c r="AG539" s="114">
        <v>19931915428000100</v>
      </c>
      <c r="AH539" s="4"/>
      <c r="AI539" s="55" t="s">
        <v>265</v>
      </c>
      <c r="AJ539" s="55"/>
      <c r="AK539" s="55"/>
      <c r="AL539" s="4"/>
      <c r="AM539" s="4" t="s">
        <v>2399</v>
      </c>
      <c r="AN539" s="4" t="s">
        <v>2398</v>
      </c>
      <c r="AO539" s="4" t="s">
        <v>2400</v>
      </c>
      <c r="AP539" s="4" t="s">
        <v>2401</v>
      </c>
      <c r="AQ539" s="55" t="s">
        <v>285</v>
      </c>
      <c r="AR539" s="4"/>
      <c r="AS539" s="4"/>
      <c r="AT539" s="72"/>
      <c r="AU539" s="4"/>
      <c r="AV539" s="4"/>
      <c r="AW539" s="4"/>
      <c r="AX539" s="4"/>
      <c r="AY539" s="4"/>
      <c r="AZ539" s="4"/>
      <c r="BA539" s="4" t="s">
        <v>90</v>
      </c>
      <c r="BB539" s="4">
        <v>10800</v>
      </c>
      <c r="BC539" s="4">
        <v>2700</v>
      </c>
      <c r="BD539" s="4">
        <v>0</v>
      </c>
      <c r="BE539" s="4" t="s">
        <v>91</v>
      </c>
      <c r="BF539" s="4"/>
      <c r="BG539" s="4"/>
      <c r="BH539" s="4" t="s">
        <v>3510</v>
      </c>
      <c r="BI539" s="72"/>
      <c r="BJ539" s="154"/>
      <c r="BK539" s="4"/>
      <c r="BL539" s="105">
        <v>1952337974</v>
      </c>
      <c r="BM539" s="9"/>
      <c r="BN539" s="9"/>
      <c r="BO539" s="9"/>
    </row>
    <row r="540" ht="14.4" s="67" customFormat="1">
      <c r="A540" s="4">
        <v>171783</v>
      </c>
      <c r="B540" s="4"/>
      <c r="C540" s="55" t="s">
        <v>2402</v>
      </c>
      <c r="D540" s="4" t="s">
        <v>2402</v>
      </c>
      <c r="E540" s="4" t="s">
        <v>114</v>
      </c>
      <c r="F540" s="55">
        <v>1010665375</v>
      </c>
      <c r="G540" s="4" t="s">
        <v>67</v>
      </c>
      <c r="H540" s="4" t="s">
        <v>68</v>
      </c>
      <c r="I540" s="4" t="s">
        <v>69</v>
      </c>
      <c r="J540" s="55" t="s">
        <v>214</v>
      </c>
      <c r="K540" s="4" t="s">
        <v>71</v>
      </c>
      <c r="L540" s="4" t="s">
        <v>1767</v>
      </c>
      <c r="M540" s="4" t="str">
        <f>VLOOKUP(A540,[1]Sheet1!$C:$G,5,0)</f>
        <v>Md. Moniruzzaman</v>
      </c>
      <c r="N540" s="4" t="s">
        <v>74</v>
      </c>
      <c r="O540" s="4" t="s">
        <v>2068</v>
      </c>
      <c r="P540" s="4">
        <v>40</v>
      </c>
      <c r="Q540" s="57">
        <v>45492</v>
      </c>
      <c r="R540" s="57">
        <v>45505</v>
      </c>
      <c r="S540" s="113"/>
      <c r="T540" s="113"/>
      <c r="U540" s="4"/>
      <c r="V540" s="4"/>
      <c r="W540" s="105"/>
      <c r="X540" s="114">
        <v>1734019831</v>
      </c>
      <c r="Y540" s="55"/>
      <c r="Z540" s="4">
        <v>1715808621</v>
      </c>
      <c r="AA540" s="4">
        <v>1715808621</v>
      </c>
      <c r="AB540" s="4" t="s">
        <v>252</v>
      </c>
      <c r="AC540" s="4" t="s">
        <v>102</v>
      </c>
      <c r="AD540" s="113" t="s">
        <v>2403</v>
      </c>
      <c r="AE540" s="107"/>
      <c r="AF540" s="4" t="s">
        <v>80</v>
      </c>
      <c r="AG540" s="114">
        <v>8704583809</v>
      </c>
      <c r="AH540" s="4"/>
      <c r="AI540" s="55" t="s">
        <v>322</v>
      </c>
      <c r="AJ540" s="55"/>
      <c r="AK540" s="55"/>
      <c r="AL540" s="4"/>
      <c r="AM540" s="4" t="s">
        <v>2404</v>
      </c>
      <c r="AN540" s="4" t="s">
        <v>2405</v>
      </c>
      <c r="AO540" s="4" t="s">
        <v>2406</v>
      </c>
      <c r="AP540" s="4" t="s">
        <v>2407</v>
      </c>
      <c r="AQ540" s="55" t="s">
        <v>2408</v>
      </c>
      <c r="AR540" s="4"/>
      <c r="AS540" s="4"/>
      <c r="AT540" s="72"/>
      <c r="AU540" s="4"/>
      <c r="AV540" s="4"/>
      <c r="AW540" s="4"/>
      <c r="AX540" s="4"/>
      <c r="AY540" s="4"/>
      <c r="AZ540" s="4"/>
      <c r="BA540" s="4" t="s">
        <v>90</v>
      </c>
      <c r="BB540" s="4">
        <v>10800</v>
      </c>
      <c r="BC540" s="4">
        <v>2700</v>
      </c>
      <c r="BD540" s="4">
        <v>0</v>
      </c>
      <c r="BE540" s="4" t="s">
        <v>91</v>
      </c>
      <c r="BF540" s="4"/>
      <c r="BG540" s="4"/>
      <c r="BH540" s="4" t="s">
        <v>3510</v>
      </c>
      <c r="BI540" s="72"/>
      <c r="BJ540" s="154"/>
      <c r="BK540" s="4"/>
      <c r="BL540" s="105">
        <v>1734019831</v>
      </c>
      <c r="BM540" s="9"/>
      <c r="BN540" s="9"/>
      <c r="BO540" s="9"/>
    </row>
    <row r="541" ht="14.4" s="67" customFormat="1">
      <c r="A541" s="4">
        <v>171784</v>
      </c>
      <c r="B541" s="4" t="s">
        <v>2409</v>
      </c>
      <c r="C541" s="55" t="s">
        <v>2410</v>
      </c>
      <c r="D541" s="4" t="s">
        <v>2410</v>
      </c>
      <c r="E541" s="4" t="s">
        <v>66</v>
      </c>
      <c r="F541" s="55">
        <v>423813</v>
      </c>
      <c r="G541" s="4" t="s">
        <v>67</v>
      </c>
      <c r="H541" s="4" t="s">
        <v>68</v>
      </c>
      <c r="I541" s="4" t="s">
        <v>69</v>
      </c>
      <c r="J541" s="55" t="s">
        <v>214</v>
      </c>
      <c r="K541" s="4" t="s">
        <v>71</v>
      </c>
      <c r="L541" s="4" t="s">
        <v>1767</v>
      </c>
      <c r="M541" s="4" t="str">
        <f>VLOOKUP(A541,[1]Sheet1!$C:$G,5,0)</f>
        <v>Md. Moniruzzaman</v>
      </c>
      <c r="N541" s="4" t="s">
        <v>74</v>
      </c>
      <c r="O541" s="4" t="s">
        <v>2068</v>
      </c>
      <c r="P541" s="4">
        <v>40</v>
      </c>
      <c r="Q541" s="57">
        <v>45492</v>
      </c>
      <c r="R541" s="57">
        <v>45505</v>
      </c>
      <c r="S541" s="113"/>
      <c r="T541" s="113"/>
      <c r="U541" s="4"/>
      <c r="V541" s="4"/>
      <c r="W541" s="105"/>
      <c r="X541" s="114">
        <v>1680859636</v>
      </c>
      <c r="Y541" s="55"/>
      <c r="Z541" s="4" t="s">
        <v>2411</v>
      </c>
      <c r="AA541" s="4">
        <v>1954044053</v>
      </c>
      <c r="AB541" s="4" t="s">
        <v>118</v>
      </c>
      <c r="AC541" s="4" t="s">
        <v>119</v>
      </c>
      <c r="AD541" s="113">
        <v>34101</v>
      </c>
      <c r="AE541" s="107"/>
      <c r="AF541" s="4" t="s">
        <v>80</v>
      </c>
      <c r="AG541" s="114" t="s">
        <v>2412</v>
      </c>
      <c r="AH541" s="4"/>
      <c r="AI541" s="55" t="s">
        <v>322</v>
      </c>
      <c r="AJ541" s="55"/>
      <c r="AK541" s="55"/>
      <c r="AL541" s="4"/>
      <c r="AM541" s="4" t="s">
        <v>2413</v>
      </c>
      <c r="AN541" s="4" t="s">
        <v>2414</v>
      </c>
      <c r="AO541" s="4" t="s">
        <v>2415</v>
      </c>
      <c r="AP541" s="4" t="s">
        <v>2416</v>
      </c>
      <c r="AQ541" s="55" t="s">
        <v>2417</v>
      </c>
      <c r="AR541" s="4"/>
      <c r="AS541" s="4"/>
      <c r="AT541" s="72"/>
      <c r="AU541" s="4"/>
      <c r="AV541" s="4"/>
      <c r="AW541" s="4"/>
      <c r="AX541" s="4"/>
      <c r="AY541" s="4"/>
      <c r="AZ541" s="4"/>
      <c r="BA541" s="4" t="s">
        <v>90</v>
      </c>
      <c r="BB541" s="4">
        <v>10800</v>
      </c>
      <c r="BC541" s="4">
        <v>2700</v>
      </c>
      <c r="BD541" s="4">
        <v>0</v>
      </c>
      <c r="BE541" s="4" t="s">
        <v>91</v>
      </c>
      <c r="BF541" s="4"/>
      <c r="BG541" s="4"/>
      <c r="BH541" s="4" t="s">
        <v>3510</v>
      </c>
      <c r="BI541" s="72"/>
      <c r="BJ541" s="154"/>
      <c r="BK541" s="4"/>
      <c r="BL541" s="105"/>
      <c r="BM541" s="9"/>
      <c r="BN541" s="9"/>
      <c r="BO541" s="9"/>
    </row>
    <row r="542" ht="14.4" s="67" customFormat="1">
      <c r="A542" s="4">
        <v>171785</v>
      </c>
      <c r="B542" s="4"/>
      <c r="C542" s="55" t="s">
        <v>2418</v>
      </c>
      <c r="D542" s="4" t="s">
        <v>2419</v>
      </c>
      <c r="E542" s="4" t="s">
        <v>114</v>
      </c>
      <c r="F542" s="55">
        <v>1112807306</v>
      </c>
      <c r="G542" s="4" t="s">
        <v>67</v>
      </c>
      <c r="H542" s="4" t="s">
        <v>68</v>
      </c>
      <c r="I542" s="4" t="s">
        <v>69</v>
      </c>
      <c r="J542" s="55" t="s">
        <v>214</v>
      </c>
      <c r="K542" s="4" t="s">
        <v>71</v>
      </c>
      <c r="L542" s="4" t="s">
        <v>72</v>
      </c>
      <c r="M542" s="4" t="str">
        <f>VLOOKUP(A542,[1]Sheet1!$C:$G,5,0)</f>
        <v>Abdulla Al Mamun</v>
      </c>
      <c r="N542" s="4" t="s">
        <v>74</v>
      </c>
      <c r="O542" s="4" t="s">
        <v>2068</v>
      </c>
      <c r="P542" s="4">
        <v>40</v>
      </c>
      <c r="Q542" s="57">
        <v>45492</v>
      </c>
      <c r="R542" s="57">
        <v>45504</v>
      </c>
      <c r="S542" s="113"/>
      <c r="T542" s="113"/>
      <c r="U542" s="4"/>
      <c r="V542" s="4"/>
      <c r="W542" s="105"/>
      <c r="X542" s="114">
        <v>1712053703</v>
      </c>
      <c r="Y542" s="55"/>
      <c r="Z542" s="4" t="s">
        <v>2420</v>
      </c>
      <c r="AA542" s="4">
        <v>1717423981</v>
      </c>
      <c r="AB542" s="4" t="s">
        <v>252</v>
      </c>
      <c r="AC542" s="4" t="s">
        <v>102</v>
      </c>
      <c r="AD542" s="113">
        <v>35831</v>
      </c>
      <c r="AE542" s="107"/>
      <c r="AF542" s="4" t="s">
        <v>80</v>
      </c>
      <c r="AG542" s="114">
        <v>1503850933</v>
      </c>
      <c r="AH542" s="4"/>
      <c r="AI542" s="55" t="s">
        <v>322</v>
      </c>
      <c r="AJ542" s="55"/>
      <c r="AK542" s="55"/>
      <c r="AL542" s="4"/>
      <c r="AM542" s="4" t="s">
        <v>2421</v>
      </c>
      <c r="AN542" s="4" t="s">
        <v>2422</v>
      </c>
      <c r="AO542" s="4" t="s">
        <v>2423</v>
      </c>
      <c r="AP542" s="4" t="s">
        <v>2424</v>
      </c>
      <c r="AQ542" s="55" t="s">
        <v>1188</v>
      </c>
      <c r="AR542" s="4"/>
      <c r="AS542" s="4"/>
      <c r="AT542" s="72"/>
      <c r="AU542" s="4"/>
      <c r="AV542" s="4"/>
      <c r="AW542" s="4"/>
      <c r="AX542" s="4"/>
      <c r="AY542" s="4"/>
      <c r="AZ542" s="4"/>
      <c r="BA542" s="4" t="s">
        <v>90</v>
      </c>
      <c r="BB542" s="4">
        <v>10800</v>
      </c>
      <c r="BC542" s="4">
        <v>2700</v>
      </c>
      <c r="BD542" s="4">
        <v>0</v>
      </c>
      <c r="BE542" s="4" t="s">
        <v>91</v>
      </c>
      <c r="BF542" s="4"/>
      <c r="BG542" s="4"/>
      <c r="BH542" s="4" t="s">
        <v>3510</v>
      </c>
      <c r="BI542" s="72"/>
      <c r="BJ542" s="154"/>
      <c r="BK542" s="4"/>
      <c r="BL542" s="105"/>
      <c r="BM542" s="9"/>
      <c r="BN542" s="9"/>
      <c r="BO542" s="9"/>
    </row>
    <row r="543" ht="14.4" s="67" customFormat="1">
      <c r="A543" s="4">
        <v>171786</v>
      </c>
      <c r="B543" s="4"/>
      <c r="C543" s="55" t="s">
        <v>2425</v>
      </c>
      <c r="D543" s="4" t="s">
        <v>2426</v>
      </c>
      <c r="E543" s="4" t="s">
        <v>114</v>
      </c>
      <c r="F543" s="55">
        <v>1316545483</v>
      </c>
      <c r="G543" s="4" t="s">
        <v>67</v>
      </c>
      <c r="H543" s="4" t="s">
        <v>68</v>
      </c>
      <c r="I543" s="4" t="s">
        <v>69</v>
      </c>
      <c r="J543" s="55" t="s">
        <v>214</v>
      </c>
      <c r="K543" s="4" t="s">
        <v>71</v>
      </c>
      <c r="L543" s="4" t="s">
        <v>72</v>
      </c>
      <c r="M543" s="4" t="str">
        <f>VLOOKUP(A543,[1]Sheet1!$C:$G,5,0)</f>
        <v>Abdulla Al Mamun</v>
      </c>
      <c r="N543" s="4" t="s">
        <v>74</v>
      </c>
      <c r="O543" s="4" t="s">
        <v>2068</v>
      </c>
      <c r="P543" s="4">
        <v>40</v>
      </c>
      <c r="Q543" s="57">
        <v>45492</v>
      </c>
      <c r="R543" s="57">
        <v>45504</v>
      </c>
      <c r="S543" s="113"/>
      <c r="T543" s="113"/>
      <c r="U543" s="4"/>
      <c r="V543" s="4"/>
      <c r="W543" s="105"/>
      <c r="X543" s="114">
        <v>1704048921</v>
      </c>
      <c r="Y543" s="55"/>
      <c r="Z543" s="4" t="s">
        <v>2427</v>
      </c>
      <c r="AA543" s="4" t="s">
        <v>2428</v>
      </c>
      <c r="AB543" s="4" t="s">
        <v>2429</v>
      </c>
      <c r="AC543" s="4" t="s">
        <v>79</v>
      </c>
      <c r="AD543" s="113" t="s">
        <v>2430</v>
      </c>
      <c r="AE543" s="107"/>
      <c r="AF543" s="4" t="s">
        <v>80</v>
      </c>
      <c r="AG543" s="114" t="s">
        <v>2431</v>
      </c>
      <c r="AH543" s="4"/>
      <c r="AI543" s="55" t="s">
        <v>1619</v>
      </c>
      <c r="AJ543" s="55"/>
      <c r="AK543" s="55"/>
      <c r="AL543" s="4"/>
      <c r="AM543" s="4" t="s">
        <v>2432</v>
      </c>
      <c r="AN543" s="4" t="s">
        <v>2433</v>
      </c>
      <c r="AO543" s="4" t="s">
        <v>2434</v>
      </c>
      <c r="AP543" s="4" t="s">
        <v>2435</v>
      </c>
      <c r="AQ543" s="55" t="s">
        <v>2434</v>
      </c>
      <c r="AR543" s="4"/>
      <c r="AS543" s="4"/>
      <c r="AT543" s="72"/>
      <c r="AU543" s="4"/>
      <c r="AV543" s="4"/>
      <c r="AW543" s="4"/>
      <c r="AX543" s="4"/>
      <c r="AY543" s="4"/>
      <c r="AZ543" s="4"/>
      <c r="BA543" s="4" t="s">
        <v>90</v>
      </c>
      <c r="BB543" s="4">
        <v>10800</v>
      </c>
      <c r="BC543" s="4">
        <v>2700</v>
      </c>
      <c r="BD543" s="4">
        <v>0</v>
      </c>
      <c r="BE543" s="4" t="s">
        <v>91</v>
      </c>
      <c r="BF543" s="4"/>
      <c r="BG543" s="4"/>
      <c r="BH543" s="4" t="s">
        <v>3510</v>
      </c>
      <c r="BI543" s="72"/>
      <c r="BJ543" s="154"/>
      <c r="BK543" s="4"/>
      <c r="BL543" s="105"/>
      <c r="BM543" s="9"/>
      <c r="BN543" s="9"/>
      <c r="BO543" s="9"/>
    </row>
    <row r="544" ht="14.4" s="67" customFormat="1">
      <c r="A544" s="4">
        <v>171797</v>
      </c>
      <c r="B544" s="4"/>
      <c r="C544" s="55" t="s">
        <v>2436</v>
      </c>
      <c r="D544" s="4" t="s">
        <v>2437</v>
      </c>
      <c r="E544" s="4" t="s">
        <v>114</v>
      </c>
      <c r="F544" s="55">
        <v>1217733392</v>
      </c>
      <c r="G544" s="4" t="s">
        <v>67</v>
      </c>
      <c r="H544" s="4" t="s">
        <v>68</v>
      </c>
      <c r="I544" s="4" t="s">
        <v>69</v>
      </c>
      <c r="J544" s="55" t="s">
        <v>214</v>
      </c>
      <c r="K544" s="4" t="s">
        <v>71</v>
      </c>
      <c r="L544" s="4" t="s">
        <v>72</v>
      </c>
      <c r="M544" s="4" t="str">
        <f>VLOOKUP(A544,[1]Sheet1!$C:$G,5,0)</f>
        <v>Halima akter</v>
      </c>
      <c r="N544" s="4" t="s">
        <v>74</v>
      </c>
      <c r="O544" s="4" t="s">
        <v>2068</v>
      </c>
      <c r="P544" s="4">
        <v>40</v>
      </c>
      <c r="Q544" s="57">
        <v>45492</v>
      </c>
      <c r="R544" s="57">
        <v>45504</v>
      </c>
      <c r="S544" s="113"/>
      <c r="T544" s="113"/>
      <c r="U544" s="4"/>
      <c r="V544" s="4"/>
      <c r="W544" s="105"/>
      <c r="X544" s="114">
        <v>1569161306</v>
      </c>
      <c r="Y544" s="55"/>
      <c r="Z544" s="4" t="s">
        <v>2438</v>
      </c>
      <c r="AA544" s="4">
        <v>1614009688</v>
      </c>
      <c r="AB544" s="4" t="s">
        <v>186</v>
      </c>
      <c r="AC544" s="4" t="s">
        <v>102</v>
      </c>
      <c r="AD544" s="113" t="s">
        <v>2439</v>
      </c>
      <c r="AE544" s="107"/>
      <c r="AF544" s="4" t="s">
        <v>80</v>
      </c>
      <c r="AG544" s="114">
        <v>3304395670</v>
      </c>
      <c r="AH544" s="4"/>
      <c r="AI544" s="55" t="s">
        <v>82</v>
      </c>
      <c r="AJ544" s="55"/>
      <c r="AK544" s="55"/>
      <c r="AL544" s="4"/>
      <c r="AM544" s="4" t="s">
        <v>2440</v>
      </c>
      <c r="AN544" s="4" t="s">
        <v>2441</v>
      </c>
      <c r="AO544" s="4" t="s">
        <v>2442</v>
      </c>
      <c r="AP544" s="4" t="s">
        <v>2443</v>
      </c>
      <c r="AQ544" s="55" t="s">
        <v>2444</v>
      </c>
      <c r="AR544" s="4"/>
      <c r="AS544" s="4"/>
      <c r="AT544" s="72"/>
      <c r="AU544" s="4"/>
      <c r="AV544" s="4"/>
      <c r="AW544" s="4"/>
      <c r="AX544" s="4"/>
      <c r="AY544" s="4"/>
      <c r="AZ544" s="4"/>
      <c r="BA544" s="4" t="s">
        <v>90</v>
      </c>
      <c r="BB544" s="4">
        <v>10800</v>
      </c>
      <c r="BC544" s="4">
        <v>2700</v>
      </c>
      <c r="BD544" s="4">
        <v>0</v>
      </c>
      <c r="BE544" s="4" t="s">
        <v>91</v>
      </c>
      <c r="BF544" s="4"/>
      <c r="BG544" s="4"/>
      <c r="BH544" s="4" t="s">
        <v>3510</v>
      </c>
      <c r="BI544" s="72"/>
      <c r="BJ544" s="154"/>
      <c r="BK544" s="4"/>
      <c r="BL544" s="105"/>
      <c r="BM544" s="9"/>
      <c r="BN544" s="9"/>
      <c r="BO544" s="9"/>
    </row>
    <row r="545" ht="14.4" s="67" customFormat="1">
      <c r="A545" s="4">
        <v>171799</v>
      </c>
      <c r="B545" s="4"/>
      <c r="C545" s="55" t="s">
        <v>2445</v>
      </c>
      <c r="D545" s="4" t="s">
        <v>2446</v>
      </c>
      <c r="E545" s="4" t="s">
        <v>114</v>
      </c>
      <c r="F545" s="55">
        <v>1212746896</v>
      </c>
      <c r="G545" s="4" t="s">
        <v>67</v>
      </c>
      <c r="H545" s="4" t="s">
        <v>68</v>
      </c>
      <c r="I545" s="4" t="s">
        <v>69</v>
      </c>
      <c r="J545" s="55" t="s">
        <v>214</v>
      </c>
      <c r="K545" s="4" t="s">
        <v>71</v>
      </c>
      <c r="L545" s="4" t="s">
        <v>72</v>
      </c>
      <c r="M545" s="4" t="str">
        <f>VLOOKUP(A545,[1]Sheet1!$C:$G,5,0)</f>
        <v>Halima akter</v>
      </c>
      <c r="N545" s="4" t="s">
        <v>74</v>
      </c>
      <c r="O545" s="4" t="s">
        <v>2068</v>
      </c>
      <c r="P545" s="4">
        <v>40</v>
      </c>
      <c r="Q545" s="57">
        <v>45492</v>
      </c>
      <c r="R545" s="57">
        <v>45504</v>
      </c>
      <c r="S545" s="113"/>
      <c r="T545" s="113"/>
      <c r="U545" s="4"/>
      <c r="V545" s="4"/>
      <c r="W545" s="105"/>
      <c r="X545" s="114">
        <v>1798159407</v>
      </c>
      <c r="Y545" s="55"/>
      <c r="Z545" s="4" t="s">
        <v>101</v>
      </c>
      <c r="AA545" s="4">
        <v>1736954155</v>
      </c>
      <c r="AB545" s="4" t="s">
        <v>101</v>
      </c>
      <c r="AC545" s="4" t="s">
        <v>2184</v>
      </c>
      <c r="AD545" s="113" t="s">
        <v>2447</v>
      </c>
      <c r="AE545" s="107"/>
      <c r="AF545" s="4" t="s">
        <v>80</v>
      </c>
      <c r="AG545" s="114"/>
      <c r="AH545" s="4"/>
      <c r="AI545" s="55"/>
      <c r="AJ545" s="55"/>
      <c r="AK545" s="55"/>
      <c r="AL545" s="4"/>
      <c r="AM545" s="4" t="s">
        <v>2448</v>
      </c>
      <c r="AN545" s="4" t="s">
        <v>2449</v>
      </c>
      <c r="AO545" s="4" t="s">
        <v>2450</v>
      </c>
      <c r="AP545" s="4" t="s">
        <v>2451</v>
      </c>
      <c r="AQ545" s="55" t="s">
        <v>242</v>
      </c>
      <c r="AR545" s="4"/>
      <c r="AS545" s="4"/>
      <c r="AT545" s="72"/>
      <c r="AU545" s="4"/>
      <c r="AV545" s="4"/>
      <c r="AW545" s="4"/>
      <c r="AX545" s="4"/>
      <c r="AY545" s="4"/>
      <c r="AZ545" s="4"/>
      <c r="BA545" s="4" t="s">
        <v>90</v>
      </c>
      <c r="BB545" s="4">
        <v>10800</v>
      </c>
      <c r="BC545" s="4">
        <v>2700</v>
      </c>
      <c r="BD545" s="4">
        <v>0</v>
      </c>
      <c r="BE545" s="4" t="s">
        <v>91</v>
      </c>
      <c r="BF545" s="4"/>
      <c r="BG545" s="4"/>
      <c r="BH545" s="4" t="s">
        <v>3510</v>
      </c>
      <c r="BI545" s="72"/>
      <c r="BJ545" s="154"/>
      <c r="BK545" s="4"/>
      <c r="BL545" s="105">
        <v>1798159407</v>
      </c>
      <c r="BM545" s="9"/>
      <c r="BN545" s="9"/>
      <c r="BO545" s="9"/>
    </row>
    <row r="546" ht="14.4" s="67" customFormat="1">
      <c r="A546" s="4">
        <v>171801</v>
      </c>
      <c r="B546" s="4"/>
      <c r="C546" s="55" t="s">
        <v>2452</v>
      </c>
      <c r="D546" s="4" t="s">
        <v>2453</v>
      </c>
      <c r="E546" s="4" t="s">
        <v>114</v>
      </c>
      <c r="F546" s="55">
        <v>711049</v>
      </c>
      <c r="G546" s="4" t="s">
        <v>67</v>
      </c>
      <c r="H546" s="4" t="s">
        <v>68</v>
      </c>
      <c r="I546" s="4" t="s">
        <v>69</v>
      </c>
      <c r="J546" s="55" t="s">
        <v>214</v>
      </c>
      <c r="K546" s="4" t="s">
        <v>71</v>
      </c>
      <c r="L546" s="4" t="s">
        <v>72</v>
      </c>
      <c r="M546" s="4" t="str">
        <f>VLOOKUP(A546,[1]Sheet1!$C:$G,5,0)</f>
        <v>Halima akter</v>
      </c>
      <c r="N546" s="4" t="s">
        <v>74</v>
      </c>
      <c r="O546" s="4" t="s">
        <v>2068</v>
      </c>
      <c r="P546" s="4">
        <v>40</v>
      </c>
      <c r="Q546" s="57">
        <v>45492</v>
      </c>
      <c r="R546" s="57">
        <v>45504</v>
      </c>
      <c r="S546" s="113"/>
      <c r="T546" s="113"/>
      <c r="U546" s="4"/>
      <c r="V546" s="4"/>
      <c r="W546" s="105"/>
      <c r="X546" s="114">
        <v>1737065156</v>
      </c>
      <c r="Y546" s="55"/>
      <c r="Z546" s="4" t="s">
        <v>2454</v>
      </c>
      <c r="AA546" s="4">
        <v>1630906990</v>
      </c>
      <c r="AB546" s="4" t="s">
        <v>2455</v>
      </c>
      <c r="AC546" s="4" t="s">
        <v>2456</v>
      </c>
      <c r="AD546" s="113" t="s">
        <v>2457</v>
      </c>
      <c r="AE546" s="107"/>
      <c r="AF546" s="4" t="s">
        <v>80</v>
      </c>
      <c r="AG546" s="114"/>
      <c r="AH546" s="4"/>
      <c r="AI546" s="55"/>
      <c r="AJ546" s="55"/>
      <c r="AK546" s="55"/>
      <c r="AL546" s="4"/>
      <c r="AM546" s="4" t="s">
        <v>2458</v>
      </c>
      <c r="AN546" s="4" t="s">
        <v>2459</v>
      </c>
      <c r="AO546" s="4" t="s">
        <v>2460</v>
      </c>
      <c r="AP546" s="4" t="s">
        <v>2461</v>
      </c>
      <c r="AQ546" s="55" t="s">
        <v>790</v>
      </c>
      <c r="AR546" s="4"/>
      <c r="AS546" s="4"/>
      <c r="AT546" s="72"/>
      <c r="AU546" s="4"/>
      <c r="AV546" s="4"/>
      <c r="AW546" s="4"/>
      <c r="AX546" s="4"/>
      <c r="AY546" s="4"/>
      <c r="AZ546" s="4"/>
      <c r="BA546" s="4" t="s">
        <v>90</v>
      </c>
      <c r="BB546" s="4">
        <v>10800</v>
      </c>
      <c r="BC546" s="4">
        <v>2700</v>
      </c>
      <c r="BD546" s="4">
        <v>0</v>
      </c>
      <c r="BE546" s="4" t="s">
        <v>91</v>
      </c>
      <c r="BF546" s="4"/>
      <c r="BG546" s="4"/>
      <c r="BH546" s="4" t="s">
        <v>3510</v>
      </c>
      <c r="BI546" s="72"/>
      <c r="BJ546" s="154"/>
      <c r="BK546" s="4"/>
      <c r="BL546" s="105">
        <v>1737065156</v>
      </c>
      <c r="BM546" s="9"/>
      <c r="BN546" s="9"/>
      <c r="BO546" s="9"/>
    </row>
    <row r="547" ht="14.4" s="67" customFormat="1">
      <c r="A547" s="4">
        <v>171827</v>
      </c>
      <c r="B547" s="4"/>
      <c r="C547" s="55" t="s">
        <v>2462</v>
      </c>
      <c r="D547" s="4" t="s">
        <v>2463</v>
      </c>
      <c r="E547" s="4" t="s">
        <v>114</v>
      </c>
      <c r="F547" s="55" t="s">
        <v>2464</v>
      </c>
      <c r="G547" s="4" t="s">
        <v>67</v>
      </c>
      <c r="H547" s="4" t="s">
        <v>2465</v>
      </c>
      <c r="I547" s="4" t="s">
        <v>69</v>
      </c>
      <c r="J547" s="55" t="s">
        <v>155</v>
      </c>
      <c r="K547" s="4" t="s">
        <v>1766</v>
      </c>
      <c r="L547" s="4" t="s">
        <v>2466</v>
      </c>
      <c r="M547" s="4" t="str">
        <f>VLOOKUP(A547,[1]Sheet1!$C:$G,5,0)</f>
        <v>Nasir Uddin</v>
      </c>
      <c r="N547" s="4" t="s">
        <v>74</v>
      </c>
      <c r="O547" s="4" t="s">
        <v>75</v>
      </c>
      <c r="P547" s="4">
        <v>41</v>
      </c>
      <c r="Q547" s="57">
        <v>45507</v>
      </c>
      <c r="R547" s="57">
        <v>45530</v>
      </c>
      <c r="S547" s="113" t="s">
        <v>242</v>
      </c>
      <c r="T547" s="113" t="s">
        <v>242</v>
      </c>
      <c r="U547" s="4" t="s">
        <v>242</v>
      </c>
      <c r="V547" s="4" t="s">
        <v>242</v>
      </c>
      <c r="W547" s="105" t="s">
        <v>2467</v>
      </c>
      <c r="X547" s="114">
        <v>1969660958</v>
      </c>
      <c r="Y547" s="55">
        <v>1969660958</v>
      </c>
      <c r="Z547" s="4" t="s">
        <v>2468</v>
      </c>
      <c r="AA547" s="4">
        <v>1301323465</v>
      </c>
      <c r="AB547" s="4" t="s">
        <v>186</v>
      </c>
      <c r="AC547" s="4" t="s">
        <v>119</v>
      </c>
      <c r="AD547" s="113">
        <v>33972</v>
      </c>
      <c r="AE547" s="107">
        <v>31</v>
      </c>
      <c r="AF547" s="4" t="s">
        <v>80</v>
      </c>
      <c r="AG547" s="114">
        <v>9550661897</v>
      </c>
      <c r="AH547" s="4" t="s">
        <v>242</v>
      </c>
      <c r="AI547" s="55" t="s">
        <v>925</v>
      </c>
      <c r="AJ547" s="55" t="s">
        <v>242</v>
      </c>
      <c r="AK547" s="55">
        <v>2017</v>
      </c>
      <c r="AL547" s="4" t="s">
        <v>2469</v>
      </c>
      <c r="AM547" s="4" t="s">
        <v>2470</v>
      </c>
      <c r="AN547" s="4" t="s">
        <v>2471</v>
      </c>
      <c r="AO547" s="4" t="s">
        <v>2472</v>
      </c>
      <c r="AP547" s="4" t="s">
        <v>2472</v>
      </c>
      <c r="AQ547" s="55" t="s">
        <v>666</v>
      </c>
      <c r="AR547" s="4" t="s">
        <v>89</v>
      </c>
      <c r="AS547" s="4" t="s">
        <v>2468</v>
      </c>
      <c r="AT547" s="72">
        <v>45480</v>
      </c>
      <c r="AU547" s="4" t="s">
        <v>81</v>
      </c>
      <c r="AV547" s="4" t="s">
        <v>81</v>
      </c>
      <c r="AW547" s="4" t="s">
        <v>81</v>
      </c>
      <c r="AX547" s="4" t="s">
        <v>81</v>
      </c>
      <c r="AY547" s="4" t="s">
        <v>81</v>
      </c>
      <c r="AZ547" s="4" t="s">
        <v>81</v>
      </c>
      <c r="BA547" s="4" t="s">
        <v>90</v>
      </c>
      <c r="BB547" s="4">
        <v>10800</v>
      </c>
      <c r="BC547" s="4">
        <v>2700</v>
      </c>
      <c r="BD547" s="4">
        <v>1000</v>
      </c>
      <c r="BE547" s="4" t="s">
        <v>166</v>
      </c>
      <c r="BF547" s="4" t="s">
        <v>242</v>
      </c>
      <c r="BG547" s="4" t="s">
        <v>242</v>
      </c>
      <c r="BH547" s="4" t="s">
        <v>3510</v>
      </c>
      <c r="BI547" s="72"/>
      <c r="BJ547" s="154"/>
      <c r="BK547" s="4"/>
      <c r="BL547" s="105"/>
      <c r="BM547" s="9"/>
      <c r="BN547" s="9"/>
      <c r="BO547" s="9"/>
    </row>
    <row r="548" ht="14.4" s="67" customFormat="1">
      <c r="A548" s="4">
        <v>171911</v>
      </c>
      <c r="B548" s="4"/>
      <c r="C548" s="55" t="s">
        <v>2473</v>
      </c>
      <c r="D548" s="4" t="s">
        <v>2474</v>
      </c>
      <c r="E548" s="4" t="s">
        <v>114</v>
      </c>
      <c r="F548" s="55">
        <v>1310551878</v>
      </c>
      <c r="G548" s="4" t="s">
        <v>225</v>
      </c>
      <c r="H548" s="4" t="s">
        <v>226</v>
      </c>
      <c r="I548" s="4" t="s">
        <v>69</v>
      </c>
      <c r="J548" s="55" t="s">
        <v>1725</v>
      </c>
      <c r="K548" s="4" t="s">
        <v>71</v>
      </c>
      <c r="L548" s="4" t="s">
        <v>72</v>
      </c>
      <c r="M548" s="4" t="s">
        <v>74</v>
      </c>
      <c r="N548" s="4" t="s">
        <v>74</v>
      </c>
      <c r="O548" s="4" t="s">
        <v>2475</v>
      </c>
      <c r="P548" s="4">
        <v>44</v>
      </c>
      <c r="Q548" s="57">
        <v>45300</v>
      </c>
      <c r="R548" s="57">
        <v>45536</v>
      </c>
      <c r="S548" s="113"/>
      <c r="T548" s="113"/>
      <c r="U548" s="4"/>
      <c r="V548" s="4"/>
      <c r="W548" s="105" t="s">
        <v>2476</v>
      </c>
      <c r="X548" s="114">
        <v>1602987156</v>
      </c>
      <c r="Y548" s="55"/>
      <c r="Z548" s="4"/>
      <c r="AA548" s="4"/>
      <c r="AB548" s="4"/>
      <c r="AC548" s="4" t="s">
        <v>2477</v>
      </c>
      <c r="AD548" s="113">
        <v>36873</v>
      </c>
      <c r="AE548" s="107"/>
      <c r="AF548" s="4" t="s">
        <v>80</v>
      </c>
      <c r="AG548" s="114">
        <v>2873864652</v>
      </c>
      <c r="AH548" s="4" t="s">
        <v>81</v>
      </c>
      <c r="AI548" s="55" t="s">
        <v>421</v>
      </c>
      <c r="AJ548" s="55" t="s">
        <v>209</v>
      </c>
      <c r="AK548" s="55">
        <v>2024</v>
      </c>
      <c r="AL548" s="4"/>
      <c r="AM548" s="4" t="s">
        <v>2478</v>
      </c>
      <c r="AN548" s="4" t="s">
        <v>2479</v>
      </c>
      <c r="AO548" s="4" t="s">
        <v>2480</v>
      </c>
      <c r="AP548" s="4" t="s">
        <v>2481</v>
      </c>
      <c r="AQ548" s="55" t="s">
        <v>2482</v>
      </c>
      <c r="AR548" s="4"/>
      <c r="AS548" s="4"/>
      <c r="AT548" s="72"/>
      <c r="AU548" s="4"/>
      <c r="AV548" s="4"/>
      <c r="AW548" s="4"/>
      <c r="AX548" s="4"/>
      <c r="AY548" s="4"/>
      <c r="AZ548" s="4"/>
      <c r="BA548" s="4" t="s">
        <v>90</v>
      </c>
      <c r="BB548" s="4">
        <v>14450</v>
      </c>
      <c r="BC548" s="4">
        <v>2550</v>
      </c>
      <c r="BD548" s="4">
        <v>0</v>
      </c>
      <c r="BE548" s="4" t="s">
        <v>91</v>
      </c>
      <c r="BF548" s="4"/>
      <c r="BG548" s="4"/>
      <c r="BH548" s="4" t="s">
        <v>3510</v>
      </c>
      <c r="BI548" s="72"/>
      <c r="BJ548" s="154"/>
      <c r="BK548" s="4"/>
      <c r="BL548" s="105" t="s">
        <v>2483</v>
      </c>
      <c r="BM548" s="9"/>
      <c r="BN548" s="9"/>
      <c r="BO548" s="9"/>
    </row>
    <row r="549" ht="18" customHeight="1" s="67" customFormat="1">
      <c r="A549" s="4">
        <v>171912</v>
      </c>
      <c r="B549" s="4"/>
      <c r="C549" s="55" t="s">
        <v>2484</v>
      </c>
      <c r="D549" s="4" t="s">
        <v>2485</v>
      </c>
      <c r="E549" s="4" t="s">
        <v>114</v>
      </c>
      <c r="F549" s="55">
        <v>1310210211</v>
      </c>
      <c r="G549" s="4" t="s">
        <v>225</v>
      </c>
      <c r="H549" s="4" t="s">
        <v>226</v>
      </c>
      <c r="I549" s="4" t="s">
        <v>69</v>
      </c>
      <c r="J549" s="55" t="s">
        <v>1725</v>
      </c>
      <c r="K549" s="4" t="s">
        <v>71</v>
      </c>
      <c r="L549" s="4" t="s">
        <v>72</v>
      </c>
      <c r="M549" s="4" t="s">
        <v>74</v>
      </c>
      <c r="N549" s="4" t="s">
        <v>74</v>
      </c>
      <c r="O549" s="4" t="s">
        <v>2475</v>
      </c>
      <c r="P549" s="4">
        <v>44</v>
      </c>
      <c r="Q549" s="57">
        <v>45300</v>
      </c>
      <c r="R549" s="57">
        <v>45536</v>
      </c>
      <c r="S549" s="113"/>
      <c r="T549" s="113"/>
      <c r="U549" s="4"/>
      <c r="V549" s="4"/>
      <c r="W549" s="105" t="s">
        <v>2486</v>
      </c>
      <c r="X549" s="114">
        <v>1768282252</v>
      </c>
      <c r="Y549" s="55">
        <v>1977840079</v>
      </c>
      <c r="Z549" s="4" t="s">
        <v>2487</v>
      </c>
      <c r="AA549" s="4">
        <v>1716058542</v>
      </c>
      <c r="AB549" s="4" t="s">
        <v>101</v>
      </c>
      <c r="AC549" s="4" t="s">
        <v>119</v>
      </c>
      <c r="AD549" s="113">
        <v>36142</v>
      </c>
      <c r="AE549" s="107"/>
      <c r="AF549" s="4" t="s">
        <v>80</v>
      </c>
      <c r="AG549" s="114">
        <v>1960717682</v>
      </c>
      <c r="AH549" s="4" t="s">
        <v>81</v>
      </c>
      <c r="AI549" s="55"/>
      <c r="AJ549" s="55"/>
      <c r="AK549" s="55"/>
      <c r="AL549" s="4"/>
      <c r="AM549" s="4" t="s">
        <v>2487</v>
      </c>
      <c r="AN549" s="4" t="s">
        <v>2488</v>
      </c>
      <c r="AO549" s="4" t="s">
        <v>2489</v>
      </c>
      <c r="AP549" s="4" t="s">
        <v>2490</v>
      </c>
      <c r="AQ549" s="55" t="s">
        <v>1188</v>
      </c>
      <c r="AR549" s="4" t="s">
        <v>110</v>
      </c>
      <c r="AS549" s="4" t="s">
        <v>81</v>
      </c>
      <c r="AT549" s="72" t="s">
        <v>81</v>
      </c>
      <c r="AU549" s="4" t="s">
        <v>81</v>
      </c>
      <c r="AV549" s="4" t="s">
        <v>81</v>
      </c>
      <c r="AW549" s="4" t="s">
        <v>81</v>
      </c>
      <c r="AX549" s="4" t="s">
        <v>81</v>
      </c>
      <c r="AY549" s="4" t="s">
        <v>81</v>
      </c>
      <c r="AZ549" s="4" t="s">
        <v>81</v>
      </c>
      <c r="BA549" s="4" t="s">
        <v>90</v>
      </c>
      <c r="BB549" s="4">
        <v>14450</v>
      </c>
      <c r="BC549" s="4">
        <v>2550</v>
      </c>
      <c r="BD549" s="4">
        <v>0</v>
      </c>
      <c r="BE549" s="4" t="s">
        <v>91</v>
      </c>
      <c r="BF549" s="4"/>
      <c r="BG549" s="4"/>
      <c r="BH549" s="4" t="s">
        <v>3510</v>
      </c>
      <c r="BI549" s="72"/>
      <c r="BJ549" s="154"/>
      <c r="BK549" s="4"/>
      <c r="BL549" s="105" t="s">
        <v>2491</v>
      </c>
      <c r="BM549" s="9"/>
      <c r="BN549" s="9"/>
      <c r="BO549" s="9"/>
    </row>
    <row r="550" ht="14.4" s="67" customFormat="1">
      <c r="A550" s="4">
        <v>171883</v>
      </c>
      <c r="B550" s="4"/>
      <c r="C550" s="55" t="s">
        <v>2492</v>
      </c>
      <c r="D550" s="4" t="s">
        <v>2493</v>
      </c>
      <c r="E550" s="4" t="s">
        <v>114</v>
      </c>
      <c r="F550" s="55"/>
      <c r="G550" s="4" t="s">
        <v>67</v>
      </c>
      <c r="H550" s="4" t="s">
        <v>68</v>
      </c>
      <c r="I550" s="4" t="s">
        <v>2494</v>
      </c>
      <c r="J550" s="55" t="s">
        <v>2495</v>
      </c>
      <c r="K550" s="4" t="s">
        <v>71</v>
      </c>
      <c r="L550" s="4" t="s">
        <v>72</v>
      </c>
      <c r="M550" s="4" t="str">
        <f>VLOOKUP(A550,[1]Sheet1!$C:$G,5,0)</f>
        <v>Halima akter</v>
      </c>
      <c r="N550" s="4" t="s">
        <v>74</v>
      </c>
      <c r="O550" s="4" t="s">
        <v>75</v>
      </c>
      <c r="P550" s="4">
        <v>43</v>
      </c>
      <c r="Q550" s="57">
        <v>45525</v>
      </c>
      <c r="R550" s="57">
        <v>45533</v>
      </c>
      <c r="S550" s="113"/>
      <c r="T550" s="113"/>
      <c r="U550" s="4"/>
      <c r="V550" s="4"/>
      <c r="W550" s="105"/>
      <c r="X550" s="114">
        <v>1581690599</v>
      </c>
      <c r="Y550" s="55"/>
      <c r="Z550" s="4"/>
      <c r="AA550" s="4"/>
      <c r="AB550" s="4"/>
      <c r="AC550" s="4"/>
      <c r="AD550" s="113">
        <v>36435</v>
      </c>
      <c r="AE550" s="107"/>
      <c r="AF550" s="4" t="s">
        <v>80</v>
      </c>
      <c r="AG550" s="114">
        <v>2854645534</v>
      </c>
      <c r="AH550" s="4"/>
      <c r="AI550" s="55"/>
      <c r="AJ550" s="55"/>
      <c r="AK550" s="55"/>
      <c r="AL550" s="4"/>
      <c r="AM550" s="4" t="s">
        <v>2496</v>
      </c>
      <c r="AN550" s="4" t="s">
        <v>2497</v>
      </c>
      <c r="AO550" s="4"/>
      <c r="AP550" s="4"/>
      <c r="AQ550" s="55"/>
      <c r="AR550" s="4"/>
      <c r="AS550" s="4"/>
      <c r="AT550" s="72"/>
      <c r="AU550" s="4"/>
      <c r="AV550" s="4"/>
      <c r="AW550" s="4"/>
      <c r="AX550" s="4"/>
      <c r="AY550" s="4"/>
      <c r="AZ550" s="4"/>
      <c r="BA550" s="4" t="s">
        <v>90</v>
      </c>
      <c r="BB550" s="4">
        <v>10800</v>
      </c>
      <c r="BC550" s="4">
        <v>2700</v>
      </c>
      <c r="BD550" s="4">
        <v>0</v>
      </c>
      <c r="BE550" s="4" t="s">
        <v>91</v>
      </c>
      <c r="BF550" s="4"/>
      <c r="BG550" s="4"/>
      <c r="BH550" s="4" t="s">
        <v>3510</v>
      </c>
      <c r="BI550" s="72"/>
      <c r="BJ550" s="154"/>
      <c r="BK550" s="4"/>
      <c r="BL550" s="105"/>
      <c r="BM550" s="9"/>
      <c r="BN550" s="9"/>
      <c r="BO550" s="9"/>
    </row>
    <row r="551" ht="14.4" s="67" customFormat="1">
      <c r="A551" s="4">
        <v>171886</v>
      </c>
      <c r="B551" s="4"/>
      <c r="C551" s="55" t="s">
        <v>2820</v>
      </c>
      <c r="D551" s="4" t="s">
        <v>5837</v>
      </c>
      <c r="E551" s="4" t="s">
        <v>66</v>
      </c>
      <c r="F551" s="55"/>
      <c r="G551" s="4" t="s">
        <v>67</v>
      </c>
      <c r="H551" s="4" t="s">
        <v>68</v>
      </c>
      <c r="I551" s="4" t="s">
        <v>2494</v>
      </c>
      <c r="J551" s="55" t="s">
        <v>2495</v>
      </c>
      <c r="K551" s="4" t="s">
        <v>71</v>
      </c>
      <c r="L551" s="4" t="s">
        <v>72</v>
      </c>
      <c r="M551" s="4" t="str">
        <f>VLOOKUP(A551,[1]Sheet1!$C:$G,5,0)</f>
        <v>Mizanur Rahman</v>
      </c>
      <c r="N551" s="4" t="s">
        <v>74</v>
      </c>
      <c r="O551" s="4" t="s">
        <v>75</v>
      </c>
      <c r="P551" s="4">
        <v>43</v>
      </c>
      <c r="Q551" s="57">
        <v>45525</v>
      </c>
      <c r="R551" s="57">
        <v>45533</v>
      </c>
      <c r="S551" s="113"/>
      <c r="T551" s="113"/>
      <c r="U551" s="4"/>
      <c r="V551" s="4"/>
      <c r="W551" s="105"/>
      <c r="X551" s="114">
        <v>1631845830</v>
      </c>
      <c r="Y551" s="55"/>
      <c r="Z551" s="4"/>
      <c r="AA551" s="4"/>
      <c r="AB551" s="4"/>
      <c r="AC551" s="4"/>
      <c r="AD551" s="113"/>
      <c r="AE551" s="107"/>
      <c r="AF551" s="4" t="s">
        <v>80</v>
      </c>
      <c r="AG551" s="114"/>
      <c r="AH551" s="4"/>
      <c r="AI551" s="55"/>
      <c r="AJ551" s="55"/>
      <c r="AK551" s="55"/>
      <c r="AL551" s="4"/>
      <c r="AM551" s="4"/>
      <c r="AN551" s="4"/>
      <c r="AO551" s="4"/>
      <c r="AP551" s="4"/>
      <c r="AQ551" s="55"/>
      <c r="AR551" s="4"/>
      <c r="AS551" s="4"/>
      <c r="AT551" s="72"/>
      <c r="AU551" s="4"/>
      <c r="AV551" s="4"/>
      <c r="AW551" s="4"/>
      <c r="AX551" s="4"/>
      <c r="AY551" s="4"/>
      <c r="AZ551" s="4"/>
      <c r="BA551" s="4" t="s">
        <v>90</v>
      </c>
      <c r="BB551" s="4">
        <v>10800</v>
      </c>
      <c r="BC551" s="4">
        <v>2700</v>
      </c>
      <c r="BD551" s="4">
        <v>0</v>
      </c>
      <c r="BE551" s="4" t="s">
        <v>91</v>
      </c>
      <c r="BF551" s="4"/>
      <c r="BG551" s="4"/>
      <c r="BH551" s="4" t="s">
        <v>3510</v>
      </c>
      <c r="BI551" s="307">
        <v>45554</v>
      </c>
      <c r="BJ551" s="154"/>
      <c r="BK551" s="4">
        <f>BI551-R551</f>
        <v>21</v>
      </c>
      <c r="BL551" s="105" t="s">
        <v>6558</v>
      </c>
      <c r="BM551" s="9"/>
      <c r="BN551" s="9"/>
      <c r="BO551" s="9"/>
    </row>
    <row r="552" ht="14.4" s="67" customFormat="1">
      <c r="A552" s="4">
        <v>171820</v>
      </c>
      <c r="B552" s="4"/>
      <c r="C552" s="55" t="s">
        <v>2498</v>
      </c>
      <c r="D552" s="4" t="s">
        <v>2499</v>
      </c>
      <c r="E552" s="4" t="s">
        <v>114</v>
      </c>
      <c r="F552" s="55" t="s">
        <v>2500</v>
      </c>
      <c r="G552" s="4" t="s">
        <v>67</v>
      </c>
      <c r="H552" s="4" t="s">
        <v>2465</v>
      </c>
      <c r="I552" s="4" t="s">
        <v>69</v>
      </c>
      <c r="J552" s="55" t="s">
        <v>155</v>
      </c>
      <c r="K552" s="4" t="s">
        <v>71</v>
      </c>
      <c r="L552" s="4" t="s">
        <v>72</v>
      </c>
      <c r="M552" s="4" t="str">
        <f>VLOOKUP(A552,[1]Sheet1!$C:$G,5,0)</f>
        <v>Nasir Uddin</v>
      </c>
      <c r="N552" s="4" t="s">
        <v>74</v>
      </c>
      <c r="O552" s="4" t="s">
        <v>75</v>
      </c>
      <c r="P552" s="4">
        <v>41</v>
      </c>
      <c r="Q552" s="57">
        <v>45507</v>
      </c>
      <c r="R552" s="57">
        <v>45532</v>
      </c>
      <c r="S552" s="113" t="s">
        <v>242</v>
      </c>
      <c r="T552" s="113" t="s">
        <v>242</v>
      </c>
      <c r="U552" s="4" t="s">
        <v>242</v>
      </c>
      <c r="V552" s="4" t="s">
        <v>242</v>
      </c>
      <c r="W552" s="105" t="s">
        <v>2501</v>
      </c>
      <c r="X552" s="114">
        <v>1722908553</v>
      </c>
      <c r="Y552" s="55">
        <v>1722908553</v>
      </c>
      <c r="Z552" s="4" t="s">
        <v>2502</v>
      </c>
      <c r="AA552" s="4" t="s">
        <v>2503</v>
      </c>
      <c r="AB552" s="4" t="s">
        <v>132</v>
      </c>
      <c r="AC552" s="4" t="s">
        <v>102</v>
      </c>
      <c r="AD552" s="113">
        <v>34335</v>
      </c>
      <c r="AE552" s="107">
        <v>30</v>
      </c>
      <c r="AF552" s="4" t="s">
        <v>80</v>
      </c>
      <c r="AG552" s="114">
        <v>5988981873</v>
      </c>
      <c r="AH552" s="4" t="s">
        <v>242</v>
      </c>
      <c r="AI552" s="55" t="s">
        <v>925</v>
      </c>
      <c r="AJ552" s="55" t="s">
        <v>242</v>
      </c>
      <c r="AK552" s="55">
        <v>2015</v>
      </c>
      <c r="AL552" s="4" t="s">
        <v>2010</v>
      </c>
      <c r="AM552" s="4" t="s">
        <v>2504</v>
      </c>
      <c r="AN552" s="4" t="s">
        <v>2502</v>
      </c>
      <c r="AO552" s="4" t="s">
        <v>2505</v>
      </c>
      <c r="AP552" s="4" t="s">
        <v>2506</v>
      </c>
      <c r="AQ552" s="55" t="s">
        <v>88</v>
      </c>
      <c r="AR552" s="4" t="s">
        <v>110</v>
      </c>
      <c r="AS552" s="4" t="s">
        <v>81</v>
      </c>
      <c r="AT552" s="72" t="s">
        <v>81</v>
      </c>
      <c r="AU552" s="4" t="s">
        <v>81</v>
      </c>
      <c r="AV552" s="4" t="s">
        <v>81</v>
      </c>
      <c r="AW552" s="4" t="s">
        <v>81</v>
      </c>
      <c r="AX552" s="4" t="s">
        <v>81</v>
      </c>
      <c r="AY552" s="4" t="s">
        <v>81</v>
      </c>
      <c r="AZ552" s="4" t="s">
        <v>81</v>
      </c>
      <c r="BA552" s="4" t="s">
        <v>90</v>
      </c>
      <c r="BB552" s="4">
        <v>10800</v>
      </c>
      <c r="BC552" s="4">
        <v>2700</v>
      </c>
      <c r="BD552" s="4">
        <v>1000</v>
      </c>
      <c r="BE552" s="4" t="s">
        <v>166</v>
      </c>
      <c r="BF552" s="4" t="s">
        <v>242</v>
      </c>
      <c r="BG552" s="4" t="s">
        <v>242</v>
      </c>
      <c r="BH552" s="4" t="s">
        <v>3510</v>
      </c>
      <c r="BI552" s="72"/>
      <c r="BJ552" s="154"/>
      <c r="BK552" s="4"/>
      <c r="BL552" s="105"/>
      <c r="BM552" s="9"/>
      <c r="BN552" s="9"/>
      <c r="BO552" s="9"/>
    </row>
    <row r="553" ht="14.4" s="67" customFormat="1">
      <c r="A553" s="4">
        <v>171834</v>
      </c>
      <c r="B553" s="4"/>
      <c r="C553" s="55" t="s">
        <v>2508</v>
      </c>
      <c r="D553" s="4" t="s">
        <v>2509</v>
      </c>
      <c r="E553" s="4" t="s">
        <v>114</v>
      </c>
      <c r="F553" s="55">
        <v>1210611793</v>
      </c>
      <c r="G553" s="4" t="s">
        <v>67</v>
      </c>
      <c r="H553" s="4" t="s">
        <v>2465</v>
      </c>
      <c r="I553" s="4" t="s">
        <v>2494</v>
      </c>
      <c r="J553" s="55" t="s">
        <v>97</v>
      </c>
      <c r="K553" s="4" t="s">
        <v>71</v>
      </c>
      <c r="L553" s="4" t="s">
        <v>72</v>
      </c>
      <c r="M553" s="4" t="str">
        <f>VLOOKUP(A553,[1]Sheet1!$C:$G,5,0)</f>
        <v>Halima akter</v>
      </c>
      <c r="N553" s="4" t="s">
        <v>74</v>
      </c>
      <c r="O553" s="4" t="s">
        <v>75</v>
      </c>
      <c r="P553" s="4">
        <v>42</v>
      </c>
      <c r="Q553" s="57">
        <v>45518</v>
      </c>
      <c r="R553" s="57">
        <v>45525</v>
      </c>
      <c r="S553" s="113"/>
      <c r="T553" s="113"/>
      <c r="U553" s="4"/>
      <c r="V553" s="4"/>
      <c r="W553" s="105" t="s">
        <v>2510</v>
      </c>
      <c r="X553" s="114">
        <v>1625226537</v>
      </c>
      <c r="Y553" s="55">
        <v>1954540955</v>
      </c>
      <c r="Z553" s="4" t="s">
        <v>2511</v>
      </c>
      <c r="AA553" s="4">
        <v>1954606288</v>
      </c>
      <c r="AB553" s="4" t="s">
        <v>252</v>
      </c>
      <c r="AC553" s="4" t="s">
        <v>133</v>
      </c>
      <c r="AD553" s="113">
        <v>36188</v>
      </c>
      <c r="AE553" s="107"/>
      <c r="AF553" s="4" t="s">
        <v>80</v>
      </c>
      <c r="AG553" s="114">
        <v>3304722642</v>
      </c>
      <c r="AH553" s="4" t="s">
        <v>2512</v>
      </c>
      <c r="AI553" s="55" t="s">
        <v>2513</v>
      </c>
      <c r="AJ553" s="55" t="s">
        <v>81</v>
      </c>
      <c r="AK553" s="55"/>
      <c r="AL553" s="4" t="s">
        <v>2514</v>
      </c>
      <c r="AM553" s="4" t="s">
        <v>2515</v>
      </c>
      <c r="AN553" s="4" t="s">
        <v>2516</v>
      </c>
      <c r="AO553" s="4" t="s">
        <v>2517</v>
      </c>
      <c r="AP553" s="4" t="s">
        <v>2518</v>
      </c>
      <c r="AQ553" s="55" t="s">
        <v>317</v>
      </c>
      <c r="AR553" s="4" t="s">
        <v>110</v>
      </c>
      <c r="AS553" s="4" t="s">
        <v>81</v>
      </c>
      <c r="AT553" s="72" t="s">
        <v>81</v>
      </c>
      <c r="AU553" s="4" t="s">
        <v>81</v>
      </c>
      <c r="AV553" s="4" t="s">
        <v>81</v>
      </c>
      <c r="AW553" s="4" t="s">
        <v>81</v>
      </c>
      <c r="AX553" s="4" t="s">
        <v>81</v>
      </c>
      <c r="AY553" s="4" t="s">
        <v>81</v>
      </c>
      <c r="AZ553" s="4" t="s">
        <v>81</v>
      </c>
      <c r="BA553" s="4" t="s">
        <v>90</v>
      </c>
      <c r="BB553" s="4">
        <v>10800</v>
      </c>
      <c r="BC553" s="4">
        <v>2700</v>
      </c>
      <c r="BD553" s="4">
        <v>0</v>
      </c>
      <c r="BE553" s="4" t="s">
        <v>91</v>
      </c>
      <c r="BF553" s="4"/>
      <c r="BG553" s="4"/>
      <c r="BH553" s="4" t="s">
        <v>3510</v>
      </c>
      <c r="BI553" s="72"/>
      <c r="BJ553" s="154"/>
      <c r="BK553" s="4"/>
      <c r="BL553" s="105"/>
      <c r="BM553" s="9"/>
      <c r="BN553" s="9"/>
      <c r="BO553" s="9"/>
    </row>
    <row r="554" ht="14.4" s="67" customFormat="1">
      <c r="A554" s="4">
        <v>171837</v>
      </c>
      <c r="B554" s="4"/>
      <c r="C554" s="55" t="s">
        <v>81</v>
      </c>
      <c r="D554" s="4" t="s">
        <v>2519</v>
      </c>
      <c r="E554" s="4" t="s">
        <v>66</v>
      </c>
      <c r="F554" s="55">
        <v>1210739465</v>
      </c>
      <c r="G554" s="4" t="s">
        <v>67</v>
      </c>
      <c r="H554" s="4" t="s">
        <v>2465</v>
      </c>
      <c r="I554" s="4" t="s">
        <v>2494</v>
      </c>
      <c r="J554" s="55" t="s">
        <v>2520</v>
      </c>
      <c r="K554" s="4" t="s">
        <v>71</v>
      </c>
      <c r="L554" s="4" t="s">
        <v>72</v>
      </c>
      <c r="M554" s="4" t="str">
        <f>VLOOKUP(A554,[1]Sheet1!$C:$G,5,0)</f>
        <v>Abdulla Al Mamun</v>
      </c>
      <c r="N554" s="4" t="s">
        <v>74</v>
      </c>
      <c r="O554" s="4" t="s">
        <v>75</v>
      </c>
      <c r="P554" s="4">
        <v>42</v>
      </c>
      <c r="Q554" s="57">
        <v>45518</v>
      </c>
      <c r="R554" s="57">
        <v>45525</v>
      </c>
      <c r="S554" s="113"/>
      <c r="T554" s="113"/>
      <c r="U554" s="4"/>
      <c r="V554" s="4"/>
      <c r="W554" s="105" t="s">
        <v>2521</v>
      </c>
      <c r="X554" s="114">
        <v>1771245972</v>
      </c>
      <c r="Y554" s="55">
        <v>1627597868</v>
      </c>
      <c r="Z554" s="4" t="s">
        <v>2522</v>
      </c>
      <c r="AA554" s="4">
        <v>1703704942</v>
      </c>
      <c r="AB554" s="4" t="s">
        <v>101</v>
      </c>
      <c r="AC554" s="4" t="s">
        <v>133</v>
      </c>
      <c r="AD554" s="113">
        <v>35916</v>
      </c>
      <c r="AE554" s="107"/>
      <c r="AF554" s="4" t="s">
        <v>80</v>
      </c>
      <c r="AG554" s="114">
        <v>6464068169</v>
      </c>
      <c r="AH554" s="4" t="s">
        <v>81</v>
      </c>
      <c r="AI554" s="55" t="s">
        <v>2523</v>
      </c>
      <c r="AJ554" s="55" t="s">
        <v>81</v>
      </c>
      <c r="AK554" s="55"/>
      <c r="AL554" s="4" t="s">
        <v>1209</v>
      </c>
      <c r="AM554" s="4" t="s">
        <v>2522</v>
      </c>
      <c r="AN554" s="4" t="s">
        <v>2524</v>
      </c>
      <c r="AO554" s="4" t="s">
        <v>2525</v>
      </c>
      <c r="AP554" s="4" t="s">
        <v>2526</v>
      </c>
      <c r="AQ554" s="55" t="s">
        <v>2527</v>
      </c>
      <c r="AR554" s="4" t="s">
        <v>110</v>
      </c>
      <c r="AS554" s="4" t="s">
        <v>81</v>
      </c>
      <c r="AT554" s="72" t="s">
        <v>81</v>
      </c>
      <c r="AU554" s="4" t="s">
        <v>81</v>
      </c>
      <c r="AV554" s="4" t="s">
        <v>81</v>
      </c>
      <c r="AW554" s="4" t="s">
        <v>81</v>
      </c>
      <c r="AX554" s="4" t="s">
        <v>81</v>
      </c>
      <c r="AY554" s="4" t="s">
        <v>81</v>
      </c>
      <c r="AZ554" s="4" t="s">
        <v>81</v>
      </c>
      <c r="BA554" s="4" t="s">
        <v>90</v>
      </c>
      <c r="BB554" s="4">
        <v>10800</v>
      </c>
      <c r="BC554" s="4">
        <v>2700</v>
      </c>
      <c r="BD554" s="4">
        <v>0</v>
      </c>
      <c r="BE554" s="4" t="s">
        <v>91</v>
      </c>
      <c r="BF554" s="4"/>
      <c r="BG554" s="4"/>
      <c r="BH554" s="4" t="s">
        <v>3510</v>
      </c>
      <c r="BI554" s="72"/>
      <c r="BJ554" s="154"/>
      <c r="BK554" s="4"/>
      <c r="BL554" s="105"/>
      <c r="BM554" s="9"/>
      <c r="BN554" s="9"/>
      <c r="BO554" s="9"/>
    </row>
    <row r="555" ht="14.4" s="67" customFormat="1">
      <c r="A555" s="4">
        <v>171839</v>
      </c>
      <c r="B555" s="4"/>
      <c r="C555" s="55" t="s">
        <v>81</v>
      </c>
      <c r="D555" s="4" t="s">
        <v>6559</v>
      </c>
      <c r="E555" s="4" t="s">
        <v>114</v>
      </c>
      <c r="F555" s="55">
        <v>1410571195</v>
      </c>
      <c r="G555" s="4" t="s">
        <v>67</v>
      </c>
      <c r="H555" s="4" t="s">
        <v>2465</v>
      </c>
      <c r="I555" s="4" t="s">
        <v>2494</v>
      </c>
      <c r="J555" s="55" t="s">
        <v>307</v>
      </c>
      <c r="K555" s="4" t="s">
        <v>71</v>
      </c>
      <c r="L555" s="4" t="s">
        <v>72</v>
      </c>
      <c r="M555" s="4" t="e">
        <f>VLOOKUP(A555,[1]Sheet1!$C:$G,5,0)</f>
        <v>#N/A</v>
      </c>
      <c r="N555" s="4" t="s">
        <v>74</v>
      </c>
      <c r="O555" s="4" t="s">
        <v>75</v>
      </c>
      <c r="P555" s="4">
        <v>42</v>
      </c>
      <c r="Q555" s="57">
        <v>45518</v>
      </c>
      <c r="R555" s="57">
        <v>45525</v>
      </c>
      <c r="S555" s="113"/>
      <c r="T555" s="113"/>
      <c r="U555" s="4"/>
      <c r="V555" s="4"/>
      <c r="W555" s="105" t="s">
        <v>6560</v>
      </c>
      <c r="X555" s="114">
        <v>1684669459</v>
      </c>
      <c r="Y555" s="55" t="s">
        <v>81</v>
      </c>
      <c r="Z555" s="4" t="s">
        <v>6561</v>
      </c>
      <c r="AA555" s="4">
        <v>1580482105</v>
      </c>
      <c r="AB555" s="4" t="s">
        <v>252</v>
      </c>
      <c r="AC555" s="4" t="s">
        <v>133</v>
      </c>
      <c r="AD555" s="113">
        <v>36901</v>
      </c>
      <c r="AE555" s="107"/>
      <c r="AF555" s="4" t="s">
        <v>80</v>
      </c>
      <c r="AG555" s="114">
        <v>4213120985</v>
      </c>
      <c r="AH555" s="4" t="s">
        <v>81</v>
      </c>
      <c r="AI555" s="55" t="s">
        <v>322</v>
      </c>
      <c r="AJ555" s="55" t="s">
        <v>265</v>
      </c>
      <c r="AK555" s="55">
        <v>2024</v>
      </c>
      <c r="AL555" s="4" t="s">
        <v>3423</v>
      </c>
      <c r="AM555" s="4" t="s">
        <v>2825</v>
      </c>
      <c r="AN555" s="4" t="s">
        <v>6562</v>
      </c>
      <c r="AO555" s="4" t="s">
        <v>4921</v>
      </c>
      <c r="AP555" s="4" t="s">
        <v>6563</v>
      </c>
      <c r="AQ555" s="55" t="s">
        <v>4921</v>
      </c>
      <c r="AR555" s="4" t="s">
        <v>110</v>
      </c>
      <c r="AS555" s="4" t="s">
        <v>81</v>
      </c>
      <c r="AT555" s="72" t="s">
        <v>81</v>
      </c>
      <c r="AU555" s="4" t="s">
        <v>81</v>
      </c>
      <c r="AV555" s="4" t="s">
        <v>81</v>
      </c>
      <c r="AW555" s="4" t="s">
        <v>81</v>
      </c>
      <c r="AX555" s="4" t="s">
        <v>1334</v>
      </c>
      <c r="AY555" s="4" t="s">
        <v>1334</v>
      </c>
      <c r="AZ555" s="4" t="s">
        <v>1334</v>
      </c>
      <c r="BA555" s="4" t="s">
        <v>90</v>
      </c>
      <c r="BB555" s="4">
        <v>10800</v>
      </c>
      <c r="BC555" s="4">
        <v>2700</v>
      </c>
      <c r="BD555" s="4">
        <v>0</v>
      </c>
      <c r="BE555" s="4" t="s">
        <v>91</v>
      </c>
      <c r="BF555" s="4"/>
      <c r="BG555" s="4"/>
      <c r="BH555" s="4" t="s">
        <v>3510</v>
      </c>
      <c r="BI555" s="72">
        <f>VLOOKUP(A555,'ID Block'!A:L,12,0)</f>
        <v>45529</v>
      </c>
      <c r="BJ555" s="154" t="str">
        <f>VLOOKUP(A555,'ID Block'!A:M,13,0)</f>
        <v>Better Opportunity</v>
      </c>
      <c r="BK555" s="4">
        <f>BI555-R555</f>
        <v>4</v>
      </c>
      <c r="BL555" s="105">
        <v>1684669459</v>
      </c>
      <c r="BM555" s="9"/>
      <c r="BN555" s="9"/>
      <c r="BO555" s="9"/>
    </row>
    <row r="556" ht="14.4" s="67" customFormat="1">
      <c r="A556" s="4">
        <v>171840</v>
      </c>
      <c r="B556" s="4"/>
      <c r="C556" s="55" t="s">
        <v>81</v>
      </c>
      <c r="D556" s="4" t="s">
        <v>2528</v>
      </c>
      <c r="E556" s="4" t="s">
        <v>66</v>
      </c>
      <c r="F556" s="55">
        <v>124457</v>
      </c>
      <c r="G556" s="4" t="s">
        <v>67</v>
      </c>
      <c r="H556" s="4" t="s">
        <v>2465</v>
      </c>
      <c r="I556" s="4" t="s">
        <v>2494</v>
      </c>
      <c r="J556" s="55" t="s">
        <v>2520</v>
      </c>
      <c r="K556" s="4" t="s">
        <v>71</v>
      </c>
      <c r="L556" s="4" t="s">
        <v>72</v>
      </c>
      <c r="M556" s="4" t="str">
        <f>VLOOKUP(A556,[1]Sheet1!$C:$G,5,0)</f>
        <v>Abdulla Al Mamun</v>
      </c>
      <c r="N556" s="4" t="s">
        <v>74</v>
      </c>
      <c r="O556" s="4" t="s">
        <v>75</v>
      </c>
      <c r="P556" s="4">
        <v>42</v>
      </c>
      <c r="Q556" s="57">
        <v>45518</v>
      </c>
      <c r="R556" s="57">
        <v>45525</v>
      </c>
      <c r="S556" s="113"/>
      <c r="T556" s="113"/>
      <c r="U556" s="4"/>
      <c r="V556" s="4"/>
      <c r="W556" s="105" t="s">
        <v>2529</v>
      </c>
      <c r="X556" s="114">
        <v>1303822580</v>
      </c>
      <c r="Y556" s="55">
        <v>1886907334</v>
      </c>
      <c r="Z556" s="4" t="s">
        <v>2530</v>
      </c>
      <c r="AA556" s="4">
        <v>1794907335</v>
      </c>
      <c r="AB556" s="4" t="s">
        <v>78</v>
      </c>
      <c r="AC556" s="4" t="s">
        <v>133</v>
      </c>
      <c r="AD556" s="113">
        <v>34257</v>
      </c>
      <c r="AE556" s="107"/>
      <c r="AF556" s="4" t="s">
        <v>80</v>
      </c>
      <c r="AG556" s="114">
        <v>5068186864</v>
      </c>
      <c r="AH556" s="4" t="s">
        <v>81</v>
      </c>
      <c r="AI556" s="55" t="s">
        <v>265</v>
      </c>
      <c r="AJ556" s="55" t="s">
        <v>81</v>
      </c>
      <c r="AK556" s="55"/>
      <c r="AL556" s="4" t="s">
        <v>818</v>
      </c>
      <c r="AM556" s="4" t="s">
        <v>2531</v>
      </c>
      <c r="AN556" s="4" t="s">
        <v>2532</v>
      </c>
      <c r="AO556" s="4" t="s">
        <v>2533</v>
      </c>
      <c r="AP556" s="4" t="s">
        <v>2534</v>
      </c>
      <c r="AQ556" s="55" t="s">
        <v>88</v>
      </c>
      <c r="AR556" s="4" t="s">
        <v>89</v>
      </c>
      <c r="AS556" s="4" t="s">
        <v>2530</v>
      </c>
      <c r="AT556" s="72">
        <v>34312</v>
      </c>
      <c r="AU556" s="4">
        <v>7755601189</v>
      </c>
      <c r="AV556" s="4" t="s">
        <v>81</v>
      </c>
      <c r="AW556" s="4" t="s">
        <v>81</v>
      </c>
      <c r="AX556" s="4" t="s">
        <v>81</v>
      </c>
      <c r="AY556" s="4" t="s">
        <v>81</v>
      </c>
      <c r="AZ556" s="4" t="s">
        <v>81</v>
      </c>
      <c r="BA556" s="4" t="s">
        <v>90</v>
      </c>
      <c r="BB556" s="4">
        <v>10800</v>
      </c>
      <c r="BC556" s="4">
        <v>2700</v>
      </c>
      <c r="BD556" s="4">
        <v>0</v>
      </c>
      <c r="BE556" s="4" t="s">
        <v>91</v>
      </c>
      <c r="BF556" s="4"/>
      <c r="BG556" s="4"/>
      <c r="BH556" s="4" t="s">
        <v>3510</v>
      </c>
      <c r="BI556" s="72"/>
      <c r="BJ556" s="154"/>
      <c r="BK556" s="4"/>
      <c r="BL556" s="105"/>
      <c r="BM556" s="9"/>
      <c r="BN556" s="9"/>
      <c r="BO556" s="9"/>
    </row>
    <row r="557" ht="14.4" s="67" customFormat="1">
      <c r="A557" s="4">
        <v>171854</v>
      </c>
      <c r="B557" s="4"/>
      <c r="C557" s="55" t="s">
        <v>81</v>
      </c>
      <c r="D557" s="4" t="s">
        <v>2535</v>
      </c>
      <c r="E557" s="4" t="s">
        <v>66</v>
      </c>
      <c r="F557" s="55">
        <v>1210959282</v>
      </c>
      <c r="G557" s="4" t="s">
        <v>67</v>
      </c>
      <c r="H557" s="4" t="s">
        <v>2465</v>
      </c>
      <c r="I557" s="4" t="s">
        <v>2494</v>
      </c>
      <c r="J557" s="55" t="s">
        <v>2520</v>
      </c>
      <c r="K557" s="4" t="s">
        <v>71</v>
      </c>
      <c r="L557" s="4" t="s">
        <v>72</v>
      </c>
      <c r="M557" s="4" t="str">
        <f>VLOOKUP(A557,[1]Sheet1!$C:$G,5,0)</f>
        <v>Mizanur Rahman</v>
      </c>
      <c r="N557" s="4" t="s">
        <v>74</v>
      </c>
      <c r="O557" s="4" t="s">
        <v>75</v>
      </c>
      <c r="P557" s="4">
        <v>42</v>
      </c>
      <c r="Q557" s="57">
        <v>45518</v>
      </c>
      <c r="R557" s="57">
        <v>45525</v>
      </c>
      <c r="S557" s="113"/>
      <c r="T557" s="113"/>
      <c r="U557" s="4"/>
      <c r="V557" s="4"/>
      <c r="W557" s="105" t="s">
        <v>81</v>
      </c>
      <c r="X557" s="114">
        <v>1740400155</v>
      </c>
      <c r="Y557" s="55">
        <v>1840223222</v>
      </c>
      <c r="Z557" s="4" t="s">
        <v>2536</v>
      </c>
      <c r="AA557" s="4">
        <v>1840223222</v>
      </c>
      <c r="AB557" s="4" t="s">
        <v>78</v>
      </c>
      <c r="AC557" s="4" t="s">
        <v>133</v>
      </c>
      <c r="AD557" s="113">
        <v>35962</v>
      </c>
      <c r="AE557" s="107"/>
      <c r="AF557" s="4" t="s">
        <v>80</v>
      </c>
      <c r="AG557" s="114">
        <v>7805227811</v>
      </c>
      <c r="AH557" s="4" t="s">
        <v>81</v>
      </c>
      <c r="AI557" s="55" t="s">
        <v>265</v>
      </c>
      <c r="AJ557" s="55" t="s">
        <v>81</v>
      </c>
      <c r="AK557" s="55">
        <v>2022</v>
      </c>
      <c r="AL557" s="4" t="s">
        <v>2537</v>
      </c>
      <c r="AM557" s="4" t="s">
        <v>2538</v>
      </c>
      <c r="AN557" s="4" t="s">
        <v>2539</v>
      </c>
      <c r="AO557" s="4" t="s">
        <v>2540</v>
      </c>
      <c r="AP557" s="4" t="s">
        <v>2541</v>
      </c>
      <c r="AQ557" s="55" t="s">
        <v>2527</v>
      </c>
      <c r="AR557" s="4" t="s">
        <v>89</v>
      </c>
      <c r="AS557" s="4" t="s">
        <v>2536</v>
      </c>
      <c r="AT557" s="72">
        <v>34267</v>
      </c>
      <c r="AU557" s="4">
        <v>5527243017</v>
      </c>
      <c r="AV557" s="4" t="s">
        <v>81</v>
      </c>
      <c r="AW557" s="4" t="s">
        <v>81</v>
      </c>
      <c r="AX557" s="4" t="s">
        <v>81</v>
      </c>
      <c r="AY557" s="4" t="s">
        <v>81</v>
      </c>
      <c r="AZ557" s="4" t="s">
        <v>81</v>
      </c>
      <c r="BA557" s="4" t="s">
        <v>90</v>
      </c>
      <c r="BB557" s="4">
        <v>10800</v>
      </c>
      <c r="BC557" s="4">
        <v>2700</v>
      </c>
      <c r="BD557" s="4">
        <v>0</v>
      </c>
      <c r="BE557" s="4" t="s">
        <v>91</v>
      </c>
      <c r="BF557" s="4"/>
      <c r="BG557" s="4"/>
      <c r="BH557" s="4" t="s">
        <v>3510</v>
      </c>
      <c r="BI557" s="72"/>
      <c r="BJ557" s="154"/>
      <c r="BK557" s="4"/>
      <c r="BL557" s="105"/>
      <c r="BM557" s="9"/>
      <c r="BN557" s="9"/>
      <c r="BO557" s="9"/>
    </row>
    <row r="558" ht="14.4" s="67" customFormat="1">
      <c r="A558" s="4">
        <v>171865</v>
      </c>
      <c r="B558" s="4"/>
      <c r="C558" s="55" t="s">
        <v>81</v>
      </c>
      <c r="D558" s="4" t="s">
        <v>1294</v>
      </c>
      <c r="E558" s="4" t="s">
        <v>66</v>
      </c>
      <c r="F558" s="55">
        <v>1218770288</v>
      </c>
      <c r="G558" s="4" t="s">
        <v>67</v>
      </c>
      <c r="H558" s="4" t="s">
        <v>2465</v>
      </c>
      <c r="I558" s="4" t="s">
        <v>2494</v>
      </c>
      <c r="J558" s="55" t="s">
        <v>2520</v>
      </c>
      <c r="K558" s="4" t="s">
        <v>71</v>
      </c>
      <c r="L558" s="4" t="s">
        <v>72</v>
      </c>
      <c r="M558" s="4" t="e">
        <f>VLOOKUP(A558,[1]Sheet1!$C:$G,5,0)</f>
        <v>#N/A</v>
      </c>
      <c r="N558" s="4" t="s">
        <v>74</v>
      </c>
      <c r="O558" s="4" t="s">
        <v>75</v>
      </c>
      <c r="P558" s="4">
        <v>42</v>
      </c>
      <c r="Q558" s="57">
        <v>45518</v>
      </c>
      <c r="R558" s="57">
        <v>45525</v>
      </c>
      <c r="S558" s="113"/>
      <c r="T558" s="113"/>
      <c r="U558" s="4"/>
      <c r="V558" s="4"/>
      <c r="W558" s="105" t="s">
        <v>6564</v>
      </c>
      <c r="X558" s="114">
        <v>1613005596</v>
      </c>
      <c r="Y558" s="55">
        <v>1700971005</v>
      </c>
      <c r="Z558" s="4"/>
      <c r="AA558" s="4">
        <v>1608223437</v>
      </c>
      <c r="AB558" s="4" t="s">
        <v>6565</v>
      </c>
      <c r="AC558" s="4" t="s">
        <v>5921</v>
      </c>
      <c r="AD558" s="113">
        <v>36437</v>
      </c>
      <c r="AE558" s="107"/>
      <c r="AF558" s="4" t="s">
        <v>80</v>
      </c>
      <c r="AG558" s="114">
        <v>7814893959</v>
      </c>
      <c r="AH558" s="4" t="s">
        <v>81</v>
      </c>
      <c r="AI558" s="55" t="s">
        <v>322</v>
      </c>
      <c r="AJ558" s="55" t="s">
        <v>81</v>
      </c>
      <c r="AK558" s="55">
        <v>2024</v>
      </c>
      <c r="AL558" s="4" t="s">
        <v>6566</v>
      </c>
      <c r="AM558" s="4" t="s">
        <v>6567</v>
      </c>
      <c r="AN558" s="4" t="s">
        <v>6568</v>
      </c>
      <c r="AO558" s="4" t="s">
        <v>6569</v>
      </c>
      <c r="AP558" s="4" t="s">
        <v>6570</v>
      </c>
      <c r="AQ558" s="55" t="s">
        <v>5589</v>
      </c>
      <c r="AR558" s="4" t="s">
        <v>89</v>
      </c>
      <c r="AS558" s="4" t="s">
        <v>6571</v>
      </c>
      <c r="AT558" s="72">
        <v>31810</v>
      </c>
      <c r="AU558" s="4">
        <v>1490916721</v>
      </c>
      <c r="AV558" s="4" t="s">
        <v>6572</v>
      </c>
      <c r="AW558" s="4">
        <v>44098</v>
      </c>
      <c r="AX558" s="4" t="s">
        <v>81</v>
      </c>
      <c r="AY558" s="4" t="s">
        <v>81</v>
      </c>
      <c r="AZ558" s="4" t="s">
        <v>81</v>
      </c>
      <c r="BA558" s="4" t="s">
        <v>90</v>
      </c>
      <c r="BB558" s="4">
        <v>10800</v>
      </c>
      <c r="BC558" s="4">
        <v>2700</v>
      </c>
      <c r="BD558" s="4">
        <v>0</v>
      </c>
      <c r="BE558" s="4" t="s">
        <v>91</v>
      </c>
      <c r="BF558" s="4"/>
      <c r="BG558" s="4"/>
      <c r="BH558" s="4" t="s">
        <v>3510</v>
      </c>
      <c r="BI558" s="72">
        <f>VLOOKUP(A558,'ID Block'!A:L,12,0)</f>
        <v>45528</v>
      </c>
      <c r="BJ558" s="154" t="str">
        <f>VLOOKUP(A558,'ID Block'!A:M,13,0)</f>
        <v>Better Opportunity</v>
      </c>
      <c r="BK558" s="4">
        <f>BI558-R558</f>
        <v>3</v>
      </c>
      <c r="BL558" s="105">
        <v>1700971005</v>
      </c>
      <c r="BM558" s="9"/>
      <c r="BN558" s="9"/>
      <c r="BO558" s="9"/>
    </row>
    <row r="559" ht="14.4" s="67" customFormat="1">
      <c r="A559" s="4">
        <v>171869</v>
      </c>
      <c r="B559" s="4"/>
      <c r="C559" s="55" t="s">
        <v>81</v>
      </c>
      <c r="D559" s="4" t="s">
        <v>2542</v>
      </c>
      <c r="E559" s="4" t="s">
        <v>66</v>
      </c>
      <c r="F559" s="55">
        <v>1113432398</v>
      </c>
      <c r="G559" s="4" t="s">
        <v>67</v>
      </c>
      <c r="H559" s="4" t="s">
        <v>2465</v>
      </c>
      <c r="I559" s="4" t="s">
        <v>2494</v>
      </c>
      <c r="J559" s="55" t="s">
        <v>2520</v>
      </c>
      <c r="K559" s="4" t="s">
        <v>71</v>
      </c>
      <c r="L559" s="4" t="s">
        <v>72</v>
      </c>
      <c r="M559" s="4" t="str">
        <f>VLOOKUP(A559,[1]Sheet1!$C:$G,5,0)</f>
        <v>Halima akter</v>
      </c>
      <c r="N559" s="4" t="s">
        <v>74</v>
      </c>
      <c r="O559" s="4" t="s">
        <v>75</v>
      </c>
      <c r="P559" s="4">
        <v>42</v>
      </c>
      <c r="Q559" s="57">
        <v>45518</v>
      </c>
      <c r="R559" s="57">
        <v>45525</v>
      </c>
      <c r="S559" s="113"/>
      <c r="T559" s="113"/>
      <c r="U559" s="4"/>
      <c r="V559" s="4"/>
      <c r="W559" s="105" t="s">
        <v>2543</v>
      </c>
      <c r="X559" s="114">
        <v>1629388424</v>
      </c>
      <c r="Y559" s="55">
        <v>1736283797</v>
      </c>
      <c r="Z559" s="4" t="s">
        <v>2544</v>
      </c>
      <c r="AA559" s="4">
        <v>1780322573</v>
      </c>
      <c r="AB559" s="4" t="s">
        <v>132</v>
      </c>
      <c r="AC559" s="4" t="s">
        <v>133</v>
      </c>
      <c r="AD559" s="113">
        <v>36379</v>
      </c>
      <c r="AE559" s="107"/>
      <c r="AF559" s="4" t="s">
        <v>80</v>
      </c>
      <c r="AG559" s="114">
        <v>9165050775</v>
      </c>
      <c r="AH559" s="4" t="s">
        <v>81</v>
      </c>
      <c r="AI559" s="55" t="s">
        <v>925</v>
      </c>
      <c r="AJ559" s="55" t="s">
        <v>81</v>
      </c>
      <c r="AK559" s="55"/>
      <c r="AL559" s="4" t="s">
        <v>2545</v>
      </c>
      <c r="AM559" s="4" t="s">
        <v>2546</v>
      </c>
      <c r="AN559" s="4" t="s">
        <v>2547</v>
      </c>
      <c r="AO559" s="4" t="s">
        <v>2548</v>
      </c>
      <c r="AP559" s="4" t="s">
        <v>2549</v>
      </c>
      <c r="AQ559" s="55" t="s">
        <v>285</v>
      </c>
      <c r="AR559" s="4" t="s">
        <v>110</v>
      </c>
      <c r="AS559" s="4" t="s">
        <v>81</v>
      </c>
      <c r="AT559" s="72" t="s">
        <v>81</v>
      </c>
      <c r="AU559" s="4" t="s">
        <v>81</v>
      </c>
      <c r="AV559" s="4" t="s">
        <v>81</v>
      </c>
      <c r="AW559" s="4" t="s">
        <v>81</v>
      </c>
      <c r="AX559" s="4" t="s">
        <v>81</v>
      </c>
      <c r="AY559" s="4" t="s">
        <v>81</v>
      </c>
      <c r="AZ559" s="4" t="s">
        <v>81</v>
      </c>
      <c r="BA559" s="4" t="s">
        <v>90</v>
      </c>
      <c r="BB559" s="4">
        <v>10800</v>
      </c>
      <c r="BC559" s="4">
        <v>2700</v>
      </c>
      <c r="BD559" s="4">
        <v>0</v>
      </c>
      <c r="BE559" s="4" t="s">
        <v>91</v>
      </c>
      <c r="BF559" s="4"/>
      <c r="BG559" s="4"/>
      <c r="BH559" s="4" t="s">
        <v>3510</v>
      </c>
      <c r="BI559" s="72"/>
      <c r="BJ559" s="154"/>
      <c r="BK559" s="4"/>
      <c r="BL559" s="105"/>
      <c r="BM559" s="9"/>
      <c r="BN559" s="9"/>
      <c r="BO559" s="9"/>
    </row>
    <row r="560" ht="14.4" s="67" customFormat="1">
      <c r="A560" s="4">
        <v>171841</v>
      </c>
      <c r="B560" s="4"/>
      <c r="C560" s="55" t="s">
        <v>2550</v>
      </c>
      <c r="D560" s="4" t="s">
        <v>2551</v>
      </c>
      <c r="E560" s="4" t="s">
        <v>114</v>
      </c>
      <c r="F560" s="55">
        <v>522527</v>
      </c>
      <c r="G560" s="4" t="s">
        <v>67</v>
      </c>
      <c r="H560" s="4" t="s">
        <v>2465</v>
      </c>
      <c r="I560" s="4" t="s">
        <v>2494</v>
      </c>
      <c r="J560" s="55" t="s">
        <v>307</v>
      </c>
      <c r="K560" s="4" t="s">
        <v>71</v>
      </c>
      <c r="L560" s="4" t="s">
        <v>72</v>
      </c>
      <c r="M560" s="4" t="str">
        <f>VLOOKUP(A560,[1]Sheet1!$C:$G,5,0)</f>
        <v>Sabrina Sultana Mou</v>
      </c>
      <c r="N560" s="4" t="s">
        <v>74</v>
      </c>
      <c r="O560" s="4" t="s">
        <v>75</v>
      </c>
      <c r="P560" s="4">
        <v>42</v>
      </c>
      <c r="Q560" s="57">
        <v>45518</v>
      </c>
      <c r="R560" s="57">
        <v>45525</v>
      </c>
      <c r="S560" s="113"/>
      <c r="T560" s="113"/>
      <c r="U560" s="4"/>
      <c r="V560" s="4"/>
      <c r="W560" s="105" t="s">
        <v>2552</v>
      </c>
      <c r="X560" s="114">
        <v>1402322208</v>
      </c>
      <c r="Y560" s="55">
        <v>1937913016</v>
      </c>
      <c r="Z560" s="4"/>
      <c r="AA560" s="4">
        <v>1937913016</v>
      </c>
      <c r="AB560" s="4" t="s">
        <v>101</v>
      </c>
      <c r="AC560" s="4" t="s">
        <v>79</v>
      </c>
      <c r="AD560" s="113" t="s">
        <v>2553</v>
      </c>
      <c r="AE560" s="107"/>
      <c r="AF560" s="4" t="s">
        <v>80</v>
      </c>
      <c r="AG560" s="114">
        <v>4152349421</v>
      </c>
      <c r="AH560" s="4" t="s">
        <v>81</v>
      </c>
      <c r="AI560" s="55" t="s">
        <v>217</v>
      </c>
      <c r="AJ560" s="55" t="s">
        <v>1692</v>
      </c>
      <c r="AK560" s="55">
        <v>2019</v>
      </c>
      <c r="AL560" s="4" t="s">
        <v>2554</v>
      </c>
      <c r="AM560" s="4" t="s">
        <v>2555</v>
      </c>
      <c r="AN560" s="4" t="s">
        <v>425</v>
      </c>
      <c r="AO560" s="4" t="s">
        <v>2556</v>
      </c>
      <c r="AP560" s="4" t="s">
        <v>2557</v>
      </c>
      <c r="AQ560" s="55" t="s">
        <v>88</v>
      </c>
      <c r="AR560" s="4" t="s">
        <v>89</v>
      </c>
      <c r="AS560" s="4" t="s">
        <v>2558</v>
      </c>
      <c r="AT560" s="72" t="s">
        <v>2559</v>
      </c>
      <c r="AU560" s="4" t="s">
        <v>81</v>
      </c>
      <c r="AV560" s="4" t="s">
        <v>2560</v>
      </c>
      <c r="AW560" s="4" t="s">
        <v>2561</v>
      </c>
      <c r="AX560" s="4" t="s">
        <v>81</v>
      </c>
      <c r="AY560" s="4" t="s">
        <v>81</v>
      </c>
      <c r="AZ560" s="4" t="s">
        <v>81</v>
      </c>
      <c r="BA560" s="4" t="s">
        <v>90</v>
      </c>
      <c r="BB560" s="4">
        <v>10800</v>
      </c>
      <c r="BC560" s="4">
        <v>2700</v>
      </c>
      <c r="BD560" s="4">
        <v>0</v>
      </c>
      <c r="BE560" s="4" t="s">
        <v>91</v>
      </c>
      <c r="BF560" s="4"/>
      <c r="BG560" s="4"/>
      <c r="BH560" s="4" t="s">
        <v>3510</v>
      </c>
      <c r="BI560" s="72"/>
      <c r="BJ560" s="154"/>
      <c r="BK560" s="4"/>
      <c r="BL560" s="105"/>
      <c r="BM560" s="9"/>
      <c r="BN560" s="9"/>
      <c r="BO560" s="9"/>
    </row>
    <row r="561" ht="14.4" s="67" customFormat="1">
      <c r="A561" s="4">
        <v>171758</v>
      </c>
      <c r="B561" s="4"/>
      <c r="C561" s="55"/>
      <c r="D561" s="4" t="s">
        <v>2562</v>
      </c>
      <c r="E561" s="4" t="s">
        <v>114</v>
      </c>
      <c r="F561" s="55"/>
      <c r="G561" s="4" t="s">
        <v>67</v>
      </c>
      <c r="H561" s="4" t="s">
        <v>68</v>
      </c>
      <c r="I561" s="4" t="s">
        <v>69</v>
      </c>
      <c r="J561" s="55" t="s">
        <v>214</v>
      </c>
      <c r="K561" s="4" t="s">
        <v>71</v>
      </c>
      <c r="L561" s="4" t="s">
        <v>1767</v>
      </c>
      <c r="M561" s="4" t="str">
        <f>VLOOKUP(A561,[1]Sheet1!$C:$G,5,0)</f>
        <v>Nazmus Sakib</v>
      </c>
      <c r="N561" s="4" t="s">
        <v>74</v>
      </c>
      <c r="O561" s="4" t="s">
        <v>2068</v>
      </c>
      <c r="P561" s="4">
        <v>39</v>
      </c>
      <c r="Q561" s="57">
        <v>45485</v>
      </c>
      <c r="R561" s="57">
        <v>45505</v>
      </c>
      <c r="S561" s="113"/>
      <c r="T561" s="113"/>
      <c r="U561" s="4"/>
      <c r="V561" s="4"/>
      <c r="W561" s="105"/>
      <c r="X561" s="114">
        <v>1726006111</v>
      </c>
      <c r="Y561" s="55"/>
      <c r="Z561" s="4"/>
      <c r="AA561" s="4"/>
      <c r="AB561" s="4"/>
      <c r="AC561" s="4"/>
      <c r="AD561" s="113">
        <v>36225</v>
      </c>
      <c r="AE561" s="107"/>
      <c r="AF561" s="4" t="s">
        <v>80</v>
      </c>
      <c r="AG561" s="114">
        <v>1515296620</v>
      </c>
      <c r="AH561" s="4"/>
      <c r="AI561" s="55"/>
      <c r="AJ561" s="55"/>
      <c r="AK561" s="55"/>
      <c r="AL561" s="4"/>
      <c r="AM561" s="4" t="s">
        <v>2563</v>
      </c>
      <c r="AN561" s="4" t="s">
        <v>2564</v>
      </c>
      <c r="AO561" s="4"/>
      <c r="AP561" s="4"/>
      <c r="AQ561" s="55"/>
      <c r="AR561" s="4"/>
      <c r="AS561" s="4"/>
      <c r="AT561" s="72"/>
      <c r="AU561" s="4"/>
      <c r="AV561" s="4"/>
      <c r="AW561" s="4"/>
      <c r="AX561" s="4"/>
      <c r="AY561" s="4"/>
      <c r="AZ561" s="4"/>
      <c r="BA561" s="4" t="s">
        <v>90</v>
      </c>
      <c r="BB561" s="4">
        <v>10800</v>
      </c>
      <c r="BC561" s="4">
        <v>2700</v>
      </c>
      <c r="BD561" s="4">
        <v>0</v>
      </c>
      <c r="BE561" s="4" t="s">
        <v>91</v>
      </c>
      <c r="BF561" s="4"/>
      <c r="BG561" s="4"/>
      <c r="BH561" s="4" t="s">
        <v>3510</v>
      </c>
      <c r="BI561" s="72"/>
      <c r="BJ561" s="154"/>
      <c r="BK561" s="4"/>
      <c r="BL561" s="105"/>
      <c r="BM561" s="9"/>
      <c r="BN561" s="9"/>
      <c r="BO561" s="9"/>
    </row>
    <row r="562" ht="14.4" s="67" customFormat="1">
      <c r="A562" s="4">
        <v>171774</v>
      </c>
      <c r="B562" s="4"/>
      <c r="C562" s="55"/>
      <c r="D562" s="4" t="s">
        <v>2565</v>
      </c>
      <c r="E562" s="4" t="s">
        <v>114</v>
      </c>
      <c r="F562" s="55"/>
      <c r="G562" s="4" t="s">
        <v>67</v>
      </c>
      <c r="H562" s="4" t="s">
        <v>68</v>
      </c>
      <c r="I562" s="4" t="s">
        <v>69</v>
      </c>
      <c r="J562" s="55" t="s">
        <v>214</v>
      </c>
      <c r="K562" s="4" t="s">
        <v>71</v>
      </c>
      <c r="L562" s="4" t="s">
        <v>1767</v>
      </c>
      <c r="M562" s="4" t="str">
        <f>VLOOKUP(A562,[1]Sheet1!$C:$G,5,0)</f>
        <v>Md Mehedi Hasan</v>
      </c>
      <c r="N562" s="4" t="s">
        <v>74</v>
      </c>
      <c r="O562" s="4" t="s">
        <v>2068</v>
      </c>
      <c r="P562" s="4">
        <v>39</v>
      </c>
      <c r="Q562" s="57">
        <v>45485</v>
      </c>
      <c r="R562" s="57">
        <v>45505</v>
      </c>
      <c r="S562" s="113"/>
      <c r="T562" s="113"/>
      <c r="U562" s="4"/>
      <c r="V562" s="4"/>
      <c r="W562" s="105"/>
      <c r="X562" s="114">
        <v>1677179445</v>
      </c>
      <c r="Y562" s="55"/>
      <c r="Z562" s="4"/>
      <c r="AA562" s="4"/>
      <c r="AB562" s="4"/>
      <c r="AC562" s="4"/>
      <c r="AD562" s="113">
        <v>35350</v>
      </c>
      <c r="AE562" s="107"/>
      <c r="AF562" s="4" t="s">
        <v>80</v>
      </c>
      <c r="AG562" s="114">
        <v>6405777308</v>
      </c>
      <c r="AH562" s="4"/>
      <c r="AI562" s="55"/>
      <c r="AJ562" s="55"/>
      <c r="AK562" s="55"/>
      <c r="AL562" s="4"/>
      <c r="AM562" s="4" t="s">
        <v>2566</v>
      </c>
      <c r="AN562" s="4" t="s">
        <v>2567</v>
      </c>
      <c r="AO562" s="4"/>
      <c r="AP562" s="4"/>
      <c r="AQ562" s="55"/>
      <c r="AR562" s="4"/>
      <c r="AS562" s="4"/>
      <c r="AT562" s="72"/>
      <c r="AU562" s="4"/>
      <c r="AV562" s="4"/>
      <c r="AW562" s="4"/>
      <c r="AX562" s="4"/>
      <c r="AY562" s="4"/>
      <c r="AZ562" s="4"/>
      <c r="BA562" s="4" t="s">
        <v>90</v>
      </c>
      <c r="BB562" s="4">
        <v>10800</v>
      </c>
      <c r="BC562" s="4">
        <v>2700</v>
      </c>
      <c r="BD562" s="4">
        <v>0</v>
      </c>
      <c r="BE562" s="4" t="s">
        <v>91</v>
      </c>
      <c r="BF562" s="4"/>
      <c r="BG562" s="4"/>
      <c r="BH562" s="4" t="s">
        <v>3510</v>
      </c>
      <c r="BI562" s="72"/>
      <c r="BJ562" s="154"/>
      <c r="BK562" s="4"/>
      <c r="BL562" s="105"/>
      <c r="BM562" s="9"/>
      <c r="BN562" s="9"/>
      <c r="BO562" s="9"/>
    </row>
    <row r="563" ht="14.4" s="67" customFormat="1">
      <c r="A563" s="4">
        <v>171878</v>
      </c>
      <c r="B563" s="4"/>
      <c r="C563" s="55" t="s">
        <v>2568</v>
      </c>
      <c r="D563" s="4" t="s">
        <v>2569</v>
      </c>
      <c r="E563" s="4" t="s">
        <v>114</v>
      </c>
      <c r="F563" s="55"/>
      <c r="G563" s="4" t="s">
        <v>67</v>
      </c>
      <c r="H563" s="4" t="s">
        <v>68</v>
      </c>
      <c r="I563" s="4" t="s">
        <v>2494</v>
      </c>
      <c r="J563" s="55" t="s">
        <v>2495</v>
      </c>
      <c r="K563" s="4" t="s">
        <v>71</v>
      </c>
      <c r="L563" s="4" t="s">
        <v>72</v>
      </c>
      <c r="M563" s="4" t="str">
        <f>VLOOKUP(A563,[1]Sheet1!$C:$G,5,0)</f>
        <v>Md. Moniruzzaman</v>
      </c>
      <c r="N563" s="4" t="s">
        <v>74</v>
      </c>
      <c r="O563" s="4" t="s">
        <v>75</v>
      </c>
      <c r="P563" s="4">
        <v>43</v>
      </c>
      <c r="Q563" s="57">
        <v>45525</v>
      </c>
      <c r="R563" s="57">
        <v>45533</v>
      </c>
      <c r="S563" s="113"/>
      <c r="T563" s="113"/>
      <c r="U563" s="4"/>
      <c r="V563" s="4"/>
      <c r="W563" s="105"/>
      <c r="X563" s="114">
        <v>1798593738</v>
      </c>
      <c r="Y563" s="55"/>
      <c r="Z563" s="4"/>
      <c r="AA563" s="4"/>
      <c r="AB563" s="4"/>
      <c r="AC563" s="4"/>
      <c r="AD563" s="113">
        <v>35794</v>
      </c>
      <c r="AE563" s="107"/>
      <c r="AF563" s="4" t="s">
        <v>80</v>
      </c>
      <c r="AG563" s="114">
        <v>9152214087</v>
      </c>
      <c r="AH563" s="4"/>
      <c r="AI563" s="55"/>
      <c r="AJ563" s="55"/>
      <c r="AK563" s="55"/>
      <c r="AL563" s="4"/>
      <c r="AM563" s="4" t="s">
        <v>2570</v>
      </c>
      <c r="AN563" s="4" t="s">
        <v>2571</v>
      </c>
      <c r="AO563" s="4"/>
      <c r="AP563" s="4"/>
      <c r="AQ563" s="55"/>
      <c r="AR563" s="4"/>
      <c r="AS563" s="4"/>
      <c r="AT563" s="72"/>
      <c r="AU563" s="4"/>
      <c r="AV563" s="4"/>
      <c r="AW563" s="4"/>
      <c r="AX563" s="4"/>
      <c r="AY563" s="4"/>
      <c r="AZ563" s="4"/>
      <c r="BA563" s="4" t="s">
        <v>90</v>
      </c>
      <c r="BB563" s="4">
        <v>10800</v>
      </c>
      <c r="BC563" s="4">
        <v>2700</v>
      </c>
      <c r="BD563" s="4">
        <v>0</v>
      </c>
      <c r="BE563" s="4" t="s">
        <v>91</v>
      </c>
      <c r="BF563" s="4"/>
      <c r="BG563" s="4"/>
      <c r="BH563" s="4" t="s">
        <v>3510</v>
      </c>
      <c r="BI563" s="72"/>
      <c r="BJ563" s="154"/>
      <c r="BK563" s="4"/>
      <c r="BL563" s="150" t="s">
        <v>2572</v>
      </c>
      <c r="BM563" s="9"/>
      <c r="BN563" s="9"/>
      <c r="BO563" s="9"/>
    </row>
    <row r="564" ht="14.4" s="67" customFormat="1">
      <c r="A564" s="4">
        <v>171884</v>
      </c>
      <c r="B564" s="4"/>
      <c r="C564" s="55" t="s">
        <v>2573</v>
      </c>
      <c r="D564" s="4" t="s">
        <v>2574</v>
      </c>
      <c r="E564" s="4" t="s">
        <v>114</v>
      </c>
      <c r="F564" s="55"/>
      <c r="G564" s="4" t="s">
        <v>67</v>
      </c>
      <c r="H564" s="4" t="s">
        <v>68</v>
      </c>
      <c r="I564" s="4" t="s">
        <v>2494</v>
      </c>
      <c r="J564" s="55" t="s">
        <v>2495</v>
      </c>
      <c r="K564" s="4" t="s">
        <v>71</v>
      </c>
      <c r="L564" s="4" t="s">
        <v>72</v>
      </c>
      <c r="M564" s="4" t="str">
        <f>VLOOKUP(A564,[1]Sheet1!$C:$G,5,0)</f>
        <v>Md. Moniruzzaman</v>
      </c>
      <c r="N564" s="4" t="s">
        <v>74</v>
      </c>
      <c r="O564" s="4" t="s">
        <v>75</v>
      </c>
      <c r="P564" s="4">
        <v>43</v>
      </c>
      <c r="Q564" s="57">
        <v>45525</v>
      </c>
      <c r="R564" s="57">
        <v>45533</v>
      </c>
      <c r="S564" s="113"/>
      <c r="T564" s="113"/>
      <c r="U564" s="4"/>
      <c r="V564" s="4"/>
      <c r="W564" s="105"/>
      <c r="X564" s="114">
        <v>1778854868</v>
      </c>
      <c r="Y564" s="55"/>
      <c r="Z564" s="4"/>
      <c r="AA564" s="4"/>
      <c r="AB564" s="4"/>
      <c r="AC564" s="4"/>
      <c r="AD564" s="113">
        <v>35442</v>
      </c>
      <c r="AE564" s="107"/>
      <c r="AF564" s="4" t="s">
        <v>80</v>
      </c>
      <c r="AG564" s="114">
        <v>5553071019</v>
      </c>
      <c r="AH564" s="4"/>
      <c r="AI564" s="55"/>
      <c r="AJ564" s="55"/>
      <c r="AK564" s="55"/>
      <c r="AL564" s="4"/>
      <c r="AM564" s="4" t="s">
        <v>2575</v>
      </c>
      <c r="AN564" s="4" t="s">
        <v>2576</v>
      </c>
      <c r="AO564" s="4"/>
      <c r="AP564" s="4"/>
      <c r="AQ564" s="55"/>
      <c r="AR564" s="4"/>
      <c r="AS564" s="4"/>
      <c r="AT564" s="72"/>
      <c r="AU564" s="4"/>
      <c r="AV564" s="4"/>
      <c r="AW564" s="4"/>
      <c r="AX564" s="4"/>
      <c r="AY564" s="4"/>
      <c r="AZ564" s="4"/>
      <c r="BA564" s="4" t="s">
        <v>90</v>
      </c>
      <c r="BB564" s="4">
        <v>10800</v>
      </c>
      <c r="BC564" s="4">
        <v>2700</v>
      </c>
      <c r="BD564" s="4">
        <v>0</v>
      </c>
      <c r="BE564" s="4" t="s">
        <v>91</v>
      </c>
      <c r="BF564" s="4"/>
      <c r="BG564" s="4"/>
      <c r="BH564" s="4" t="s">
        <v>3510</v>
      </c>
      <c r="BI564" s="72"/>
      <c r="BJ564" s="154"/>
      <c r="BK564" s="4"/>
      <c r="BL564" s="105"/>
      <c r="BM564" s="9"/>
      <c r="BN564" s="9"/>
      <c r="BO564" s="9"/>
    </row>
    <row r="565" ht="14.4" s="67" customFormat="1">
      <c r="A565" s="4">
        <v>171872</v>
      </c>
      <c r="B565" s="4"/>
      <c r="C565" s="55" t="s">
        <v>2577</v>
      </c>
      <c r="D565" s="4" t="s">
        <v>2578</v>
      </c>
      <c r="E565" s="4" t="s">
        <v>66</v>
      </c>
      <c r="F565" s="55"/>
      <c r="G565" s="4" t="s">
        <v>67</v>
      </c>
      <c r="H565" s="4" t="s">
        <v>68</v>
      </c>
      <c r="I565" s="4" t="s">
        <v>2494</v>
      </c>
      <c r="J565" s="55" t="s">
        <v>2495</v>
      </c>
      <c r="K565" s="4" t="s">
        <v>71</v>
      </c>
      <c r="L565" s="4" t="s">
        <v>72</v>
      </c>
      <c r="M565" s="4" t="str">
        <f>VLOOKUP(A565,[1]Sheet1!$C:$G,5,0)</f>
        <v>Abdulla Al Mamun</v>
      </c>
      <c r="N565" s="4" t="s">
        <v>74</v>
      </c>
      <c r="O565" s="4" t="s">
        <v>75</v>
      </c>
      <c r="P565" s="4">
        <v>43</v>
      </c>
      <c r="Q565" s="57">
        <v>45525</v>
      </c>
      <c r="R565" s="57">
        <v>45533</v>
      </c>
      <c r="S565" s="113"/>
      <c r="T565" s="113"/>
      <c r="U565" s="4"/>
      <c r="V565" s="4"/>
      <c r="W565" s="105"/>
      <c r="X565" s="114">
        <v>1875128597</v>
      </c>
      <c r="Y565" s="55"/>
      <c r="Z565" s="4"/>
      <c r="AA565" s="4"/>
      <c r="AB565" s="4"/>
      <c r="AC565" s="4"/>
      <c r="AD565" s="113">
        <v>35896</v>
      </c>
      <c r="AE565" s="107"/>
      <c r="AF565" s="4" t="s">
        <v>80</v>
      </c>
      <c r="AG565" s="114">
        <v>8704087553</v>
      </c>
      <c r="AH565" s="4"/>
      <c r="AI565" s="55"/>
      <c r="AJ565" s="55"/>
      <c r="AK565" s="55"/>
      <c r="AL565" s="4"/>
      <c r="AM565" s="4" t="s">
        <v>2579</v>
      </c>
      <c r="AN565" s="4" t="s">
        <v>2580</v>
      </c>
      <c r="AO565" s="4"/>
      <c r="AP565" s="4"/>
      <c r="AQ565" s="55"/>
      <c r="AR565" s="4"/>
      <c r="AS565" s="4"/>
      <c r="AT565" s="72"/>
      <c r="AU565" s="4"/>
      <c r="AV565" s="4"/>
      <c r="AW565" s="4"/>
      <c r="AX565" s="4"/>
      <c r="AY565" s="4"/>
      <c r="AZ565" s="4"/>
      <c r="BA565" s="4" t="s">
        <v>90</v>
      </c>
      <c r="BB565" s="4">
        <v>10800</v>
      </c>
      <c r="BC565" s="4">
        <v>2700</v>
      </c>
      <c r="BD565" s="4">
        <v>0</v>
      </c>
      <c r="BE565" s="4" t="s">
        <v>91</v>
      </c>
      <c r="BF565" s="4"/>
      <c r="BG565" s="4"/>
      <c r="BH565" s="4" t="s">
        <v>3510</v>
      </c>
      <c r="BI565" s="72"/>
      <c r="BJ565" s="154"/>
      <c r="BK565" s="4"/>
      <c r="BL565" s="105"/>
      <c r="BM565" s="9"/>
      <c r="BN565" s="9"/>
      <c r="BO565" s="9"/>
    </row>
    <row r="566" ht="14.4" s="67" customFormat="1">
      <c r="A566" s="4">
        <v>171887</v>
      </c>
      <c r="B566" s="4"/>
      <c r="C566" s="55" t="s">
        <v>2581</v>
      </c>
      <c r="D566" s="4" t="s">
        <v>2582</v>
      </c>
      <c r="E566" s="4" t="s">
        <v>66</v>
      </c>
      <c r="F566" s="55"/>
      <c r="G566" s="4" t="s">
        <v>67</v>
      </c>
      <c r="H566" s="4" t="s">
        <v>68</v>
      </c>
      <c r="I566" s="4" t="s">
        <v>2494</v>
      </c>
      <c r="J566" s="55" t="s">
        <v>2495</v>
      </c>
      <c r="K566" s="4" t="s">
        <v>71</v>
      </c>
      <c r="L566" s="4" t="s">
        <v>72</v>
      </c>
      <c r="M566" s="4" t="str">
        <f>VLOOKUP(A566,[1]Sheet1!$C:$G,5,0)</f>
        <v>Halima akter</v>
      </c>
      <c r="N566" s="4" t="s">
        <v>74</v>
      </c>
      <c r="O566" s="4" t="s">
        <v>75</v>
      </c>
      <c r="P566" s="4">
        <v>43</v>
      </c>
      <c r="Q566" s="57">
        <v>45525</v>
      </c>
      <c r="R566" s="57">
        <v>45533</v>
      </c>
      <c r="S566" s="113"/>
      <c r="T566" s="113"/>
      <c r="U566" s="4"/>
      <c r="V566" s="4"/>
      <c r="W566" s="105"/>
      <c r="X566" s="114">
        <v>1883448989</v>
      </c>
      <c r="Y566" s="55"/>
      <c r="Z566" s="4"/>
      <c r="AA566" s="4"/>
      <c r="AB566" s="4"/>
      <c r="AC566" s="4"/>
      <c r="AD566" s="113">
        <v>36442</v>
      </c>
      <c r="AE566" s="107"/>
      <c r="AF566" s="4" t="s">
        <v>360</v>
      </c>
      <c r="AG566" s="114">
        <v>6904457758</v>
      </c>
      <c r="AH566" s="4"/>
      <c r="AI566" s="55"/>
      <c r="AJ566" s="55"/>
      <c r="AK566" s="55"/>
      <c r="AL566" s="4"/>
      <c r="AM566" s="4" t="s">
        <v>2583</v>
      </c>
      <c r="AN566" s="4" t="s">
        <v>2584</v>
      </c>
      <c r="AO566" s="4"/>
      <c r="AP566" s="4"/>
      <c r="AQ566" s="55"/>
      <c r="AR566" s="4"/>
      <c r="AS566" s="4"/>
      <c r="AT566" s="72"/>
      <c r="AU566" s="4"/>
      <c r="AV566" s="4"/>
      <c r="AW566" s="4"/>
      <c r="AX566" s="4"/>
      <c r="AY566" s="4"/>
      <c r="AZ566" s="4"/>
      <c r="BA566" s="4" t="s">
        <v>90</v>
      </c>
      <c r="BB566" s="4">
        <v>10800</v>
      </c>
      <c r="BC566" s="4">
        <v>2700</v>
      </c>
      <c r="BD566" s="4">
        <v>0</v>
      </c>
      <c r="BE566" s="4" t="s">
        <v>91</v>
      </c>
      <c r="BF566" s="4"/>
      <c r="BG566" s="4"/>
      <c r="BH566" s="4" t="s">
        <v>3510</v>
      </c>
      <c r="BI566" s="72"/>
      <c r="BJ566" s="154"/>
      <c r="BK566" s="4"/>
      <c r="BL566" s="105"/>
      <c r="BM566" s="9"/>
      <c r="BN566" s="9"/>
      <c r="BO566" s="9"/>
    </row>
    <row r="567" ht="14.4" s="67" customFormat="1">
      <c r="A567" s="4">
        <v>171871</v>
      </c>
      <c r="B567" s="4"/>
      <c r="C567" s="55" t="s">
        <v>2585</v>
      </c>
      <c r="D567" s="4" t="s">
        <v>2586</v>
      </c>
      <c r="E567" s="4" t="s">
        <v>66</v>
      </c>
      <c r="F567" s="55"/>
      <c r="G567" s="4" t="s">
        <v>67</v>
      </c>
      <c r="H567" s="4" t="s">
        <v>68</v>
      </c>
      <c r="I567" s="4" t="s">
        <v>2494</v>
      </c>
      <c r="J567" s="55" t="s">
        <v>2495</v>
      </c>
      <c r="K567" s="4" t="s">
        <v>71</v>
      </c>
      <c r="L567" s="4" t="s">
        <v>72</v>
      </c>
      <c r="M567" s="4" t="str">
        <f>VLOOKUP(A567,[1]Sheet1!$C:$G,5,0)</f>
        <v>Abdulla Al Mamun</v>
      </c>
      <c r="N567" s="4" t="s">
        <v>74</v>
      </c>
      <c r="O567" s="4" t="s">
        <v>75</v>
      </c>
      <c r="P567" s="4">
        <v>43</v>
      </c>
      <c r="Q567" s="57">
        <v>45525</v>
      </c>
      <c r="R567" s="57">
        <v>45533</v>
      </c>
      <c r="S567" s="113"/>
      <c r="T567" s="113"/>
      <c r="U567" s="4"/>
      <c r="V567" s="4"/>
      <c r="W567" s="105"/>
      <c r="X567" s="114">
        <v>1865329584</v>
      </c>
      <c r="Y567" s="55"/>
      <c r="Z567" s="4"/>
      <c r="AA567" s="4"/>
      <c r="AB567" s="4"/>
      <c r="AC567" s="4"/>
      <c r="AD567" s="113" t="s">
        <v>2587</v>
      </c>
      <c r="AE567" s="107"/>
      <c r="AF567" s="4" t="s">
        <v>360</v>
      </c>
      <c r="AG567" s="114">
        <v>2402641431</v>
      </c>
      <c r="AH567" s="4"/>
      <c r="AI567" s="55"/>
      <c r="AJ567" s="55"/>
      <c r="AK567" s="55"/>
      <c r="AL567" s="4"/>
      <c r="AM567" s="4" t="s">
        <v>2588</v>
      </c>
      <c r="AN567" s="4" t="s">
        <v>2589</v>
      </c>
      <c r="AO567" s="4"/>
      <c r="AP567" s="4"/>
      <c r="AQ567" s="55"/>
      <c r="AR567" s="4"/>
      <c r="AS567" s="4"/>
      <c r="AT567" s="72"/>
      <c r="AU567" s="4"/>
      <c r="AV567" s="4"/>
      <c r="AW567" s="4"/>
      <c r="AX567" s="4"/>
      <c r="AY567" s="4"/>
      <c r="AZ567" s="4"/>
      <c r="BA567" s="4" t="s">
        <v>90</v>
      </c>
      <c r="BB567" s="4">
        <v>10800</v>
      </c>
      <c r="BC567" s="4">
        <v>2700</v>
      </c>
      <c r="BD567" s="4">
        <v>0</v>
      </c>
      <c r="BE567" s="4" t="s">
        <v>91</v>
      </c>
      <c r="BF567" s="4"/>
      <c r="BG567" s="4"/>
      <c r="BH567" s="4" t="s">
        <v>3510</v>
      </c>
      <c r="BI567" s="72"/>
      <c r="BJ567" s="154"/>
      <c r="BK567" s="4"/>
      <c r="BL567" s="105"/>
      <c r="BM567" s="9"/>
      <c r="BN567" s="9"/>
      <c r="BO567" s="9"/>
    </row>
    <row r="568" ht="14.4" s="67" customFormat="1">
      <c r="A568" s="4">
        <v>171875</v>
      </c>
      <c r="B568" s="4"/>
      <c r="C568" s="55" t="s">
        <v>2590</v>
      </c>
      <c r="D568" s="4" t="s">
        <v>2591</v>
      </c>
      <c r="E568" s="4" t="s">
        <v>66</v>
      </c>
      <c r="F568" s="55"/>
      <c r="G568" s="4" t="s">
        <v>67</v>
      </c>
      <c r="H568" s="4" t="s">
        <v>68</v>
      </c>
      <c r="I568" s="4" t="s">
        <v>2494</v>
      </c>
      <c r="J568" s="55" t="s">
        <v>2495</v>
      </c>
      <c r="K568" s="4" t="s">
        <v>71</v>
      </c>
      <c r="L568" s="4" t="s">
        <v>72</v>
      </c>
      <c r="M568" s="4" t="str">
        <f>VLOOKUP(A568,[1]Sheet1!$C:$G,5,0)</f>
        <v>Mizanur Rahman</v>
      </c>
      <c r="N568" s="4" t="s">
        <v>74</v>
      </c>
      <c r="O568" s="4" t="s">
        <v>75</v>
      </c>
      <c r="P568" s="4">
        <v>43</v>
      </c>
      <c r="Q568" s="57">
        <v>45525</v>
      </c>
      <c r="R568" s="57">
        <v>45533</v>
      </c>
      <c r="S568" s="113"/>
      <c r="T568" s="113"/>
      <c r="U568" s="4"/>
      <c r="V568" s="4"/>
      <c r="W568" s="105"/>
      <c r="X568" s="114">
        <v>1533609757</v>
      </c>
      <c r="Y568" s="55"/>
      <c r="Z568" s="4"/>
      <c r="AA568" s="4"/>
      <c r="AB568" s="4"/>
      <c r="AC568" s="4"/>
      <c r="AD568" s="113">
        <v>35285</v>
      </c>
      <c r="AE568" s="107"/>
      <c r="AF568" s="4" t="s">
        <v>80</v>
      </c>
      <c r="AG568" s="114">
        <v>4202162915</v>
      </c>
      <c r="AH568" s="4"/>
      <c r="AI568" s="55"/>
      <c r="AJ568" s="55"/>
      <c r="AK568" s="55"/>
      <c r="AL568" s="4"/>
      <c r="AM568" s="4" t="s">
        <v>2592</v>
      </c>
      <c r="AN568" s="4" t="s">
        <v>2593</v>
      </c>
      <c r="AO568" s="4"/>
      <c r="AP568" s="4"/>
      <c r="AQ568" s="55"/>
      <c r="AR568" s="4"/>
      <c r="AS568" s="4"/>
      <c r="AT568" s="72"/>
      <c r="AU568" s="4"/>
      <c r="AV568" s="4"/>
      <c r="AW568" s="4"/>
      <c r="AX568" s="4"/>
      <c r="AY568" s="4"/>
      <c r="AZ568" s="4"/>
      <c r="BA568" s="4" t="s">
        <v>90</v>
      </c>
      <c r="BB568" s="4">
        <v>10800</v>
      </c>
      <c r="BC568" s="4">
        <v>2700</v>
      </c>
      <c r="BD568" s="4">
        <v>0</v>
      </c>
      <c r="BE568" s="4" t="s">
        <v>91</v>
      </c>
      <c r="BF568" s="4"/>
      <c r="BG568" s="4"/>
      <c r="BH568" s="4" t="s">
        <v>3510</v>
      </c>
      <c r="BI568" s="72"/>
      <c r="BJ568" s="154"/>
      <c r="BK568" s="4"/>
      <c r="BL568" s="105"/>
      <c r="BM568" s="9"/>
      <c r="BN568" s="9"/>
      <c r="BO568" s="9"/>
    </row>
    <row r="569" ht="14.4" s="67" customFormat="1">
      <c r="A569" s="4">
        <v>171881</v>
      </c>
      <c r="B569" s="4"/>
      <c r="C569" s="55" t="s">
        <v>2594</v>
      </c>
      <c r="D569" s="4" t="s">
        <v>2595</v>
      </c>
      <c r="E569" s="4" t="s">
        <v>114</v>
      </c>
      <c r="F569" s="55"/>
      <c r="G569" s="4" t="s">
        <v>67</v>
      </c>
      <c r="H569" s="4" t="s">
        <v>68</v>
      </c>
      <c r="I569" s="4" t="s">
        <v>2494</v>
      </c>
      <c r="J569" s="55" t="s">
        <v>2495</v>
      </c>
      <c r="K569" s="4" t="s">
        <v>71</v>
      </c>
      <c r="L569" s="4" t="s">
        <v>72</v>
      </c>
      <c r="M569" s="4" t="str">
        <f>VLOOKUP(A569,[1]Sheet1!$C:$G,5,0)</f>
        <v>Mizanur Rahman</v>
      </c>
      <c r="N569" s="4" t="s">
        <v>74</v>
      </c>
      <c r="O569" s="4" t="s">
        <v>75</v>
      </c>
      <c r="P569" s="4">
        <v>43</v>
      </c>
      <c r="Q569" s="57">
        <v>45525</v>
      </c>
      <c r="R569" s="57">
        <v>45533</v>
      </c>
      <c r="S569" s="113"/>
      <c r="T569" s="113"/>
      <c r="U569" s="4"/>
      <c r="V569" s="4"/>
      <c r="W569" s="105"/>
      <c r="X569" s="114">
        <v>1881344479</v>
      </c>
      <c r="Y569" s="55"/>
      <c r="Z569" s="4"/>
      <c r="AA569" s="4"/>
      <c r="AB569" s="4"/>
      <c r="AC569" s="4"/>
      <c r="AD569" s="113">
        <v>36315</v>
      </c>
      <c r="AE569" s="107"/>
      <c r="AF569" s="4" t="s">
        <v>80</v>
      </c>
      <c r="AG569" s="114">
        <v>4207720410</v>
      </c>
      <c r="AH569" s="4"/>
      <c r="AI569" s="55"/>
      <c r="AJ569" s="55"/>
      <c r="AK569" s="55"/>
      <c r="AL569" s="4"/>
      <c r="AM569" s="4" t="s">
        <v>2596</v>
      </c>
      <c r="AN569" s="4" t="s">
        <v>2597</v>
      </c>
      <c r="AO569" s="4"/>
      <c r="AP569" s="4"/>
      <c r="AQ569" s="55"/>
      <c r="AR569" s="4"/>
      <c r="AS569" s="4"/>
      <c r="AT569" s="72"/>
      <c r="AU569" s="4"/>
      <c r="AV569" s="4"/>
      <c r="AW569" s="4"/>
      <c r="AX569" s="4"/>
      <c r="AY569" s="4"/>
      <c r="AZ569" s="4"/>
      <c r="BA569" s="4" t="s">
        <v>90</v>
      </c>
      <c r="BB569" s="4">
        <v>10800</v>
      </c>
      <c r="BC569" s="4">
        <v>2700</v>
      </c>
      <c r="BD569" s="4">
        <v>0</v>
      </c>
      <c r="BE569" s="4" t="s">
        <v>91</v>
      </c>
      <c r="BF569" s="4"/>
      <c r="BG569" s="4"/>
      <c r="BH569" s="4" t="s">
        <v>3510</v>
      </c>
      <c r="BI569" s="72"/>
      <c r="BJ569" s="154"/>
      <c r="BK569" s="4"/>
      <c r="BL569" s="105"/>
      <c r="BM569" s="9"/>
      <c r="BN569" s="9"/>
      <c r="BO569" s="9"/>
    </row>
    <row r="570" ht="14.4" s="67" customFormat="1">
      <c r="A570" s="4">
        <v>171766</v>
      </c>
      <c r="B570" s="4"/>
      <c r="C570" s="55"/>
      <c r="D570" s="4" t="s">
        <v>2598</v>
      </c>
      <c r="E570" s="4" t="s">
        <v>114</v>
      </c>
      <c r="F570" s="55"/>
      <c r="G570" s="4" t="s">
        <v>67</v>
      </c>
      <c r="H570" s="4" t="s">
        <v>68</v>
      </c>
      <c r="I570" s="4" t="s">
        <v>69</v>
      </c>
      <c r="J570" s="55" t="s">
        <v>214</v>
      </c>
      <c r="K570" s="4" t="s">
        <v>71</v>
      </c>
      <c r="L570" s="4" t="s">
        <v>1767</v>
      </c>
      <c r="M570" s="4" t="str">
        <f>VLOOKUP(A570,[1]Sheet1!$C:$G,5,0)</f>
        <v>Nazimuddoula Leon</v>
      </c>
      <c r="N570" s="4" t="s">
        <v>74</v>
      </c>
      <c r="O570" s="4" t="s">
        <v>2068</v>
      </c>
      <c r="P570" s="4">
        <v>39</v>
      </c>
      <c r="Q570" s="57">
        <v>45485</v>
      </c>
      <c r="R570" s="57">
        <v>45504</v>
      </c>
      <c r="S570" s="113"/>
      <c r="T570" s="113"/>
      <c r="U570" s="4"/>
      <c r="V570" s="4"/>
      <c r="W570" s="105"/>
      <c r="X570" s="114">
        <v>1791825935</v>
      </c>
      <c r="Y570" s="55"/>
      <c r="Z570" s="4"/>
      <c r="AA570" s="4"/>
      <c r="AB570" s="4"/>
      <c r="AC570" s="4"/>
      <c r="AD570" s="113">
        <v>28856</v>
      </c>
      <c r="AE570" s="107"/>
      <c r="AF570" s="4" t="s">
        <v>80</v>
      </c>
      <c r="AG570" s="114" t="s">
        <v>2599</v>
      </c>
      <c r="AH570" s="4"/>
      <c r="AI570" s="55"/>
      <c r="AJ570" s="55"/>
      <c r="AK570" s="55"/>
      <c r="AL570" s="4"/>
      <c r="AM570" s="4" t="s">
        <v>2600</v>
      </c>
      <c r="AN570" s="4" t="s">
        <v>2601</v>
      </c>
      <c r="AO570" s="4"/>
      <c r="AP570" s="4"/>
      <c r="AQ570" s="55"/>
      <c r="AR570" s="4"/>
      <c r="AS570" s="4"/>
      <c r="AT570" s="72"/>
      <c r="AU570" s="4"/>
      <c r="AV570" s="4"/>
      <c r="AW570" s="4"/>
      <c r="AX570" s="4"/>
      <c r="AY570" s="4"/>
      <c r="AZ570" s="4"/>
      <c r="BA570" s="4" t="s">
        <v>90</v>
      </c>
      <c r="BB570" s="4">
        <v>10800</v>
      </c>
      <c r="BC570" s="4">
        <v>2700</v>
      </c>
      <c r="BD570" s="4">
        <v>0</v>
      </c>
      <c r="BE570" s="4" t="s">
        <v>91</v>
      </c>
      <c r="BF570" s="4"/>
      <c r="BG570" s="4"/>
      <c r="BH570" s="4" t="s">
        <v>3510</v>
      </c>
      <c r="BI570" s="72"/>
      <c r="BJ570" s="154"/>
      <c r="BK570" s="4"/>
      <c r="BL570" s="105"/>
      <c r="BM570" s="9"/>
      <c r="BN570" s="9"/>
      <c r="BO570" s="9"/>
    </row>
    <row r="571" ht="14.4" s="67" customFormat="1">
      <c r="A571" s="4">
        <v>171880</v>
      </c>
      <c r="B571" s="4"/>
      <c r="C571" s="55" t="s">
        <v>2602</v>
      </c>
      <c r="D571" s="4" t="s">
        <v>2603</v>
      </c>
      <c r="E571" s="4" t="s">
        <v>114</v>
      </c>
      <c r="F571" s="55"/>
      <c r="G571" s="4" t="s">
        <v>67</v>
      </c>
      <c r="H571" s="4" t="s">
        <v>68</v>
      </c>
      <c r="I571" s="4" t="s">
        <v>2494</v>
      </c>
      <c r="J571" s="55" t="s">
        <v>2495</v>
      </c>
      <c r="K571" s="4" t="s">
        <v>71</v>
      </c>
      <c r="L571" s="4" t="s">
        <v>72</v>
      </c>
      <c r="M571" s="4" t="str">
        <f>VLOOKUP(A571,[1]Sheet1!$C:$G,5,0)</f>
        <v>Nazmus Sakib</v>
      </c>
      <c r="N571" s="4" t="s">
        <v>74</v>
      </c>
      <c r="O571" s="4" t="s">
        <v>75</v>
      </c>
      <c r="P571" s="4">
        <v>43</v>
      </c>
      <c r="Q571" s="57">
        <v>45525</v>
      </c>
      <c r="R571" s="57">
        <v>45533</v>
      </c>
      <c r="S571" s="113"/>
      <c r="T571" s="113"/>
      <c r="U571" s="4"/>
      <c r="V571" s="4"/>
      <c r="W571" s="105"/>
      <c r="X571" s="114">
        <v>1777849454</v>
      </c>
      <c r="Y571" s="55"/>
      <c r="Z571" s="4"/>
      <c r="AA571" s="4"/>
      <c r="AB571" s="4"/>
      <c r="AC571" s="4"/>
      <c r="AD571" s="113">
        <v>34982</v>
      </c>
      <c r="AE571" s="107"/>
      <c r="AF571" s="4" t="s">
        <v>80</v>
      </c>
      <c r="AG571" s="114">
        <v>3753523798</v>
      </c>
      <c r="AH571" s="4"/>
      <c r="AI571" s="55"/>
      <c r="AJ571" s="55"/>
      <c r="AK571" s="55"/>
      <c r="AL571" s="4"/>
      <c r="AM571" s="4" t="s">
        <v>2604</v>
      </c>
      <c r="AN571" s="4" t="s">
        <v>2605</v>
      </c>
      <c r="AO571" s="4"/>
      <c r="AP571" s="4"/>
      <c r="AQ571" s="55"/>
      <c r="AR571" s="4"/>
      <c r="AS571" s="4"/>
      <c r="AT571" s="72"/>
      <c r="AU571" s="4"/>
      <c r="AV571" s="4"/>
      <c r="AW571" s="4"/>
      <c r="AX571" s="4"/>
      <c r="AY571" s="4"/>
      <c r="AZ571" s="4"/>
      <c r="BA571" s="4" t="s">
        <v>90</v>
      </c>
      <c r="BB571" s="4">
        <v>10800</v>
      </c>
      <c r="BC571" s="4">
        <v>2700</v>
      </c>
      <c r="BD571" s="4">
        <v>0</v>
      </c>
      <c r="BE571" s="4" t="s">
        <v>91</v>
      </c>
      <c r="BF571" s="4"/>
      <c r="BG571" s="4"/>
      <c r="BH571" s="4" t="s">
        <v>3510</v>
      </c>
      <c r="BI571" s="72"/>
      <c r="BJ571" s="154"/>
      <c r="BK571" s="4"/>
      <c r="BL571" s="105"/>
      <c r="BM571" s="9"/>
      <c r="BN571" s="9"/>
      <c r="BO571" s="9"/>
    </row>
    <row r="572" ht="14.4" s="67" customFormat="1">
      <c r="A572" s="4">
        <v>171874</v>
      </c>
      <c r="B572" s="4"/>
      <c r="C572" s="55" t="s">
        <v>2606</v>
      </c>
      <c r="D572" s="4" t="s">
        <v>2607</v>
      </c>
      <c r="E572" s="4" t="s">
        <v>66</v>
      </c>
      <c r="F572" s="55"/>
      <c r="G572" s="4" t="s">
        <v>67</v>
      </c>
      <c r="H572" s="4" t="s">
        <v>68</v>
      </c>
      <c r="I572" s="4" t="s">
        <v>2494</v>
      </c>
      <c r="J572" s="55" t="s">
        <v>2495</v>
      </c>
      <c r="K572" s="4" t="s">
        <v>71</v>
      </c>
      <c r="L572" s="4" t="s">
        <v>72</v>
      </c>
      <c r="M572" s="4" t="str">
        <f>VLOOKUP(A572,[1]Sheet1!$C:$G,5,0)</f>
        <v>Abdulla Al Mamun</v>
      </c>
      <c r="N572" s="4" t="s">
        <v>74</v>
      </c>
      <c r="O572" s="4" t="s">
        <v>75</v>
      </c>
      <c r="P572" s="4">
        <v>43</v>
      </c>
      <c r="Q572" s="57">
        <v>45525</v>
      </c>
      <c r="R572" s="57">
        <v>45533</v>
      </c>
      <c r="S572" s="113"/>
      <c r="T572" s="113"/>
      <c r="U572" s="4"/>
      <c r="V572" s="4"/>
      <c r="W572" s="105"/>
      <c r="X572" s="114">
        <v>1734934834</v>
      </c>
      <c r="Y572" s="55"/>
      <c r="Z572" s="4"/>
      <c r="AA572" s="4"/>
      <c r="AB572" s="4"/>
      <c r="AC572" s="4"/>
      <c r="AD572" s="113" t="s">
        <v>2608</v>
      </c>
      <c r="AE572" s="107"/>
      <c r="AF572" s="4" t="s">
        <v>80</v>
      </c>
      <c r="AG572" s="114">
        <v>5563955169</v>
      </c>
      <c r="AH572" s="4"/>
      <c r="AI572" s="55"/>
      <c r="AJ572" s="55"/>
      <c r="AK572" s="55"/>
      <c r="AL572" s="4"/>
      <c r="AM572" s="4" t="s">
        <v>2609</v>
      </c>
      <c r="AN572" s="4" t="s">
        <v>2610</v>
      </c>
      <c r="AO572" s="4"/>
      <c r="AP572" s="4"/>
      <c r="AQ572" s="55"/>
      <c r="AR572" s="4"/>
      <c r="AS572" s="4"/>
      <c r="AT572" s="72"/>
      <c r="AU572" s="4"/>
      <c r="AV572" s="4"/>
      <c r="AW572" s="4"/>
      <c r="AX572" s="4"/>
      <c r="AY572" s="4"/>
      <c r="AZ572" s="4"/>
      <c r="BA572" s="4" t="s">
        <v>90</v>
      </c>
      <c r="BB572" s="4">
        <v>10800</v>
      </c>
      <c r="BC572" s="4">
        <v>2700</v>
      </c>
      <c r="BD572" s="4">
        <v>0</v>
      </c>
      <c r="BE572" s="4" t="s">
        <v>91</v>
      </c>
      <c r="BF572" s="4"/>
      <c r="BG572" s="4"/>
      <c r="BH572" s="4" t="s">
        <v>3510</v>
      </c>
      <c r="BI572" s="72"/>
      <c r="BJ572" s="154"/>
      <c r="BK572" s="4"/>
      <c r="BL572" s="105"/>
      <c r="BM572" s="9"/>
      <c r="BN572" s="9"/>
      <c r="BO572" s="9"/>
    </row>
    <row r="573" ht="14.4" s="67" customFormat="1">
      <c r="A573" s="4">
        <v>171710</v>
      </c>
      <c r="B573" s="4"/>
      <c r="C573" s="55" t="s">
        <v>2611</v>
      </c>
      <c r="D573" s="4" t="s">
        <v>100</v>
      </c>
      <c r="E573" s="4" t="s">
        <v>114</v>
      </c>
      <c r="F573" s="55"/>
      <c r="G573" s="4" t="s">
        <v>67</v>
      </c>
      <c r="H573" s="4" t="s">
        <v>68</v>
      </c>
      <c r="I573" s="4" t="s">
        <v>69</v>
      </c>
      <c r="J573" s="55" t="s">
        <v>155</v>
      </c>
      <c r="K573" s="4" t="s">
        <v>71</v>
      </c>
      <c r="L573" s="4" t="s">
        <v>72</v>
      </c>
      <c r="M573" s="4" t="str">
        <f>VLOOKUP(A573,[1]Sheet1!$C:$G,5,0)</f>
        <v>Nasir Uddin</v>
      </c>
      <c r="N573" s="4" t="s">
        <v>74</v>
      </c>
      <c r="O573" s="4" t="s">
        <v>75</v>
      </c>
      <c r="P573" s="4">
        <v>36</v>
      </c>
      <c r="Q573" s="57">
        <v>45475</v>
      </c>
      <c r="R573" s="57">
        <v>45497</v>
      </c>
      <c r="S573" s="113"/>
      <c r="T573" s="113"/>
      <c r="U573" s="4"/>
      <c r="V573" s="4"/>
      <c r="W573" s="105"/>
      <c r="X573" s="114">
        <v>1306959818</v>
      </c>
      <c r="Y573" s="55"/>
      <c r="Z573" s="4"/>
      <c r="AA573" s="4"/>
      <c r="AB573" s="4"/>
      <c r="AC573" s="4"/>
      <c r="AD573" s="113">
        <v>36139</v>
      </c>
      <c r="AE573" s="107"/>
      <c r="AF573" s="4" t="s">
        <v>80</v>
      </c>
      <c r="AG573" s="114">
        <v>7807090563</v>
      </c>
      <c r="AH573" s="4"/>
      <c r="AI573" s="55"/>
      <c r="AJ573" s="55"/>
      <c r="AK573" s="55"/>
      <c r="AL573" s="4"/>
      <c r="AM573" s="4" t="s">
        <v>2612</v>
      </c>
      <c r="AN573" s="4" t="s">
        <v>2613</v>
      </c>
      <c r="AO573" s="4"/>
      <c r="AP573" s="4"/>
      <c r="AQ573" s="55"/>
      <c r="AR573" s="4"/>
      <c r="AS573" s="4"/>
      <c r="AT573" s="72"/>
      <c r="AU573" s="4"/>
      <c r="AV573" s="4"/>
      <c r="AW573" s="4"/>
      <c r="AX573" s="4"/>
      <c r="AY573" s="4"/>
      <c r="AZ573" s="4"/>
      <c r="BA573" s="4" t="s">
        <v>90</v>
      </c>
      <c r="BB573" s="4">
        <v>10800</v>
      </c>
      <c r="BC573" s="4">
        <v>2700</v>
      </c>
      <c r="BD573" s="4">
        <v>1000</v>
      </c>
      <c r="BE573" s="4" t="s">
        <v>166</v>
      </c>
      <c r="BF573" s="4"/>
      <c r="BG573" s="4"/>
      <c r="BH573" s="4" t="s">
        <v>3510</v>
      </c>
      <c r="BI573" s="72"/>
      <c r="BJ573" s="154"/>
      <c r="BK573" s="4"/>
      <c r="BL573" s="105"/>
      <c r="BM573" s="9"/>
      <c r="BN573" s="9"/>
      <c r="BO573" s="9"/>
    </row>
    <row r="574" ht="14.4" s="67" customFormat="1">
      <c r="A574" s="4">
        <v>171861</v>
      </c>
      <c r="B574" s="4">
        <v>171861</v>
      </c>
      <c r="C574" s="55" t="s">
        <v>2614</v>
      </c>
      <c r="D574" s="4" t="s">
        <v>2615</v>
      </c>
      <c r="E574" s="4" t="s">
        <v>114</v>
      </c>
      <c r="F574" s="55">
        <v>1218853952</v>
      </c>
      <c r="G574" s="4" t="s">
        <v>67</v>
      </c>
      <c r="H574" s="4" t="s">
        <v>2465</v>
      </c>
      <c r="I574" s="4" t="s">
        <v>69</v>
      </c>
      <c r="J574" s="55" t="s">
        <v>155</v>
      </c>
      <c r="K574" s="4" t="s">
        <v>1766</v>
      </c>
      <c r="L574" s="4" t="s">
        <v>2466</v>
      </c>
      <c r="M574" s="4" t="str">
        <f>VLOOKUP(A574,[1]Sheet1!$C:$G,5,0)</f>
        <v>Abu MD. Rifat Imtiaz</v>
      </c>
      <c r="N574" s="4" t="s">
        <v>74</v>
      </c>
      <c r="O574" s="4" t="s">
        <v>75</v>
      </c>
      <c r="P574" s="4">
        <v>42</v>
      </c>
      <c r="Q574" s="57">
        <v>45518</v>
      </c>
      <c r="R574" s="57">
        <v>45535</v>
      </c>
      <c r="S574" s="113" t="s">
        <v>242</v>
      </c>
      <c r="T574" s="113" t="s">
        <v>242</v>
      </c>
      <c r="U574" s="4" t="s">
        <v>242</v>
      </c>
      <c r="V574" s="4" t="s">
        <v>242</v>
      </c>
      <c r="W574" s="105" t="s">
        <v>2616</v>
      </c>
      <c r="X574" s="114">
        <v>1521539964</v>
      </c>
      <c r="Y574" s="55" t="s">
        <v>242</v>
      </c>
      <c r="Z574" s="4" t="s">
        <v>2617</v>
      </c>
      <c r="AA574" s="4">
        <v>1305156009</v>
      </c>
      <c r="AB574" s="4" t="s">
        <v>2059</v>
      </c>
      <c r="AC574" s="4" t="s">
        <v>133</v>
      </c>
      <c r="AD574" s="113">
        <v>36262</v>
      </c>
      <c r="AE574" s="107">
        <v>25</v>
      </c>
      <c r="AF574" s="4" t="s">
        <v>2618</v>
      </c>
      <c r="AG574" s="114">
        <v>6914079444</v>
      </c>
      <c r="AH574" s="4" t="s">
        <v>795</v>
      </c>
      <c r="AI574" s="55" t="s">
        <v>925</v>
      </c>
      <c r="AJ574" s="55"/>
      <c r="AK574" s="55">
        <v>2023</v>
      </c>
      <c r="AL574" s="4" t="s">
        <v>2619</v>
      </c>
      <c r="AM574" s="4" t="s">
        <v>2620</v>
      </c>
      <c r="AN574" s="4" t="s">
        <v>2621</v>
      </c>
      <c r="AO574" s="4" t="s">
        <v>2622</v>
      </c>
      <c r="AP574" s="4" t="s">
        <v>2623</v>
      </c>
      <c r="AQ574" s="55" t="s">
        <v>2624</v>
      </c>
      <c r="AR574" s="4" t="s">
        <v>2625</v>
      </c>
      <c r="AS574" s="4" t="s">
        <v>81</v>
      </c>
      <c r="AT574" s="72" t="s">
        <v>81</v>
      </c>
      <c r="AU574" s="4" t="s">
        <v>81</v>
      </c>
      <c r="AV574" s="4" t="s">
        <v>81</v>
      </c>
      <c r="AW574" s="4" t="s">
        <v>81</v>
      </c>
      <c r="AX574" s="4" t="s">
        <v>81</v>
      </c>
      <c r="AY574" s="4" t="s">
        <v>81</v>
      </c>
      <c r="AZ574" s="4" t="s">
        <v>81</v>
      </c>
      <c r="BA574" s="4"/>
      <c r="BB574" s="4">
        <v>10800</v>
      </c>
      <c r="BC574" s="4">
        <v>2700</v>
      </c>
      <c r="BD574" s="4">
        <v>1000</v>
      </c>
      <c r="BE574" s="4" t="s">
        <v>166</v>
      </c>
      <c r="BF574" s="4" t="s">
        <v>242</v>
      </c>
      <c r="BG574" s="4" t="s">
        <v>242</v>
      </c>
      <c r="BH574" s="4" t="s">
        <v>3510</v>
      </c>
      <c r="BI574" s="72"/>
      <c r="BJ574" s="154"/>
      <c r="BK574" s="4"/>
      <c r="BL574" s="105"/>
      <c r="BM574" s="9"/>
      <c r="BN574" s="9"/>
      <c r="BO574" s="9"/>
    </row>
    <row r="575" ht="14.4" s="67" customFormat="1">
      <c r="A575" s="4">
        <v>171917</v>
      </c>
      <c r="B575" s="4"/>
      <c r="C575" s="55" t="s">
        <v>2626</v>
      </c>
      <c r="D575" s="4" t="s">
        <v>2627</v>
      </c>
      <c r="E575" s="4" t="s">
        <v>66</v>
      </c>
      <c r="F575" s="55"/>
      <c r="G575" s="4" t="s">
        <v>67</v>
      </c>
      <c r="H575" s="4" t="s">
        <v>68</v>
      </c>
      <c r="I575" s="4" t="s">
        <v>69</v>
      </c>
      <c r="J575" s="55" t="s">
        <v>2495</v>
      </c>
      <c r="K575" s="4" t="s">
        <v>71</v>
      </c>
      <c r="L575" s="4" t="s">
        <v>72</v>
      </c>
      <c r="M575" s="4" t="str">
        <f>VLOOKUP(A575,[1]Sheet1!$C:$G,5,0)</f>
        <v>Nazmus Sakib</v>
      </c>
      <c r="N575" s="4" t="s">
        <v>74</v>
      </c>
      <c r="O575" s="4" t="s">
        <v>75</v>
      </c>
      <c r="P575" s="4">
        <v>44</v>
      </c>
      <c r="Q575" s="57">
        <v>45533</v>
      </c>
      <c r="R575" s="57">
        <v>45541</v>
      </c>
      <c r="S575" s="113"/>
      <c r="T575" s="113"/>
      <c r="U575" s="4"/>
      <c r="V575" s="4"/>
      <c r="W575" s="105"/>
      <c r="X575" s="114">
        <v>1768529102</v>
      </c>
      <c r="Y575" s="55"/>
      <c r="Z575" s="4"/>
      <c r="AA575" s="4"/>
      <c r="AB575" s="4"/>
      <c r="AC575" s="4"/>
      <c r="AD575" s="113"/>
      <c r="AE575" s="107"/>
      <c r="AF575" s="4" t="s">
        <v>80</v>
      </c>
      <c r="AG575" s="114"/>
      <c r="AH575" s="4"/>
      <c r="AI575" s="55"/>
      <c r="AJ575" s="55"/>
      <c r="AK575" s="55"/>
      <c r="AL575" s="4"/>
      <c r="AM575" s="4"/>
      <c r="AN575" s="4"/>
      <c r="AO575" s="4"/>
      <c r="AP575" s="4"/>
      <c r="AQ575" s="55"/>
      <c r="AR575" s="4"/>
      <c r="AS575" s="4"/>
      <c r="AT575" s="72"/>
      <c r="AU575" s="4"/>
      <c r="AV575" s="4"/>
      <c r="AW575" s="4"/>
      <c r="AX575" s="4"/>
      <c r="AY575" s="4"/>
      <c r="AZ575" s="4"/>
      <c r="BA575" s="4" t="s">
        <v>90</v>
      </c>
      <c r="BB575" s="4">
        <v>10800</v>
      </c>
      <c r="BC575" s="4">
        <v>2700</v>
      </c>
      <c r="BD575" s="4">
        <v>0</v>
      </c>
      <c r="BE575" s="4" t="s">
        <v>91</v>
      </c>
      <c r="BF575" s="4"/>
      <c r="BG575" s="4"/>
      <c r="BH575" s="4" t="s">
        <v>3510</v>
      </c>
      <c r="BI575" s="72"/>
      <c r="BJ575" s="154"/>
      <c r="BK575" s="4"/>
      <c r="BL575" s="105"/>
      <c r="BM575" s="9"/>
      <c r="BN575" s="9"/>
      <c r="BO575" s="9"/>
    </row>
    <row r="576" ht="14.4" s="67" customFormat="1">
      <c r="A576" s="4">
        <v>171923</v>
      </c>
      <c r="B576" s="4"/>
      <c r="C576" s="55" t="s">
        <v>2628</v>
      </c>
      <c r="D576" s="4" t="s">
        <v>2629</v>
      </c>
      <c r="E576" s="4" t="s">
        <v>114</v>
      </c>
      <c r="F576" s="55"/>
      <c r="G576" s="4" t="s">
        <v>67</v>
      </c>
      <c r="H576" s="4" t="s">
        <v>68</v>
      </c>
      <c r="I576" s="4" t="s">
        <v>69</v>
      </c>
      <c r="J576" s="55" t="s">
        <v>2495</v>
      </c>
      <c r="K576" s="4" t="s">
        <v>71</v>
      </c>
      <c r="L576" s="4" t="s">
        <v>72</v>
      </c>
      <c r="M576" s="4" t="str">
        <f>VLOOKUP(A576,[1]Sheet1!$C:$G,5,0)</f>
        <v>Sabrina Sultana Mou</v>
      </c>
      <c r="N576" s="4" t="s">
        <v>74</v>
      </c>
      <c r="O576" s="4" t="s">
        <v>75</v>
      </c>
      <c r="P576" s="4">
        <v>44</v>
      </c>
      <c r="Q576" s="57">
        <v>45533</v>
      </c>
      <c r="R576" s="57">
        <v>45541</v>
      </c>
      <c r="S576" s="113"/>
      <c r="T576" s="113"/>
      <c r="U576" s="4"/>
      <c r="V576" s="4"/>
      <c r="W576" s="105"/>
      <c r="X576" s="114">
        <v>1709066428</v>
      </c>
      <c r="Y576" s="55"/>
      <c r="Z576" s="4"/>
      <c r="AA576" s="4"/>
      <c r="AB576" s="4"/>
      <c r="AC576" s="4"/>
      <c r="AD576" s="113"/>
      <c r="AE576" s="107"/>
      <c r="AF576" s="4" t="s">
        <v>80</v>
      </c>
      <c r="AG576" s="114"/>
      <c r="AH576" s="4"/>
      <c r="AI576" s="55"/>
      <c r="AJ576" s="55"/>
      <c r="AK576" s="55"/>
      <c r="AL576" s="4"/>
      <c r="AM576" s="4"/>
      <c r="AN576" s="4"/>
      <c r="AO576" s="4"/>
      <c r="AP576" s="4"/>
      <c r="AQ576" s="55"/>
      <c r="AR576" s="4"/>
      <c r="AS576" s="4"/>
      <c r="AT576" s="72"/>
      <c r="AU576" s="4"/>
      <c r="AV576" s="4"/>
      <c r="AW576" s="4"/>
      <c r="AX576" s="4"/>
      <c r="AY576" s="4"/>
      <c r="AZ576" s="4"/>
      <c r="BA576" s="4" t="s">
        <v>90</v>
      </c>
      <c r="BB576" s="4">
        <v>10800</v>
      </c>
      <c r="BC576" s="4">
        <v>2700</v>
      </c>
      <c r="BD576" s="4">
        <v>0</v>
      </c>
      <c r="BE576" s="4" t="s">
        <v>91</v>
      </c>
      <c r="BF576" s="4"/>
      <c r="BG576" s="4"/>
      <c r="BH576" s="4" t="s">
        <v>3510</v>
      </c>
      <c r="BI576" s="72"/>
      <c r="BJ576" s="154"/>
      <c r="BK576" s="4"/>
      <c r="BL576" s="105" t="s">
        <v>2630</v>
      </c>
      <c r="BM576" s="9"/>
      <c r="BN576" s="9"/>
      <c r="BO576" s="9"/>
    </row>
    <row r="577" ht="14.4" s="67" customFormat="1">
      <c r="A577" s="4">
        <v>171925</v>
      </c>
      <c r="B577" s="4"/>
      <c r="C577" s="55" t="s">
        <v>1323</v>
      </c>
      <c r="D577" s="4" t="s">
        <v>2631</v>
      </c>
      <c r="E577" s="4" t="s">
        <v>114</v>
      </c>
      <c r="F577" s="55"/>
      <c r="G577" s="4" t="s">
        <v>67</v>
      </c>
      <c r="H577" s="4" t="s">
        <v>68</v>
      </c>
      <c r="I577" s="4" t="s">
        <v>69</v>
      </c>
      <c r="J577" s="55" t="s">
        <v>2495</v>
      </c>
      <c r="K577" s="4" t="s">
        <v>71</v>
      </c>
      <c r="L577" s="4" t="s">
        <v>72</v>
      </c>
      <c r="M577" s="4" t="str">
        <f>VLOOKUP(A577,[1]Sheet1!$C:$G,5,0)</f>
        <v>Md. Moniruzzaman</v>
      </c>
      <c r="N577" s="4" t="s">
        <v>74</v>
      </c>
      <c r="O577" s="4" t="s">
        <v>75</v>
      </c>
      <c r="P577" s="4">
        <v>44</v>
      </c>
      <c r="Q577" s="57">
        <v>45533</v>
      </c>
      <c r="R577" s="57">
        <v>45541</v>
      </c>
      <c r="S577" s="113"/>
      <c r="T577" s="113"/>
      <c r="U577" s="4"/>
      <c r="V577" s="4"/>
      <c r="W577" s="105"/>
      <c r="X577" s="114">
        <v>1813777641</v>
      </c>
      <c r="Y577" s="55"/>
      <c r="Z577" s="4"/>
      <c r="AA577" s="4"/>
      <c r="AB577" s="4"/>
      <c r="AC577" s="4"/>
      <c r="AD577" s="113"/>
      <c r="AE577" s="107"/>
      <c r="AF577" s="4" t="s">
        <v>80</v>
      </c>
      <c r="AG577" s="114"/>
      <c r="AH577" s="4"/>
      <c r="AI577" s="55"/>
      <c r="AJ577" s="55"/>
      <c r="AK577" s="55"/>
      <c r="AL577" s="4"/>
      <c r="AM577" s="4"/>
      <c r="AN577" s="4"/>
      <c r="AO577" s="4"/>
      <c r="AP577" s="4"/>
      <c r="AQ577" s="55"/>
      <c r="AR577" s="4"/>
      <c r="AS577" s="4"/>
      <c r="AT577" s="72"/>
      <c r="AU577" s="4"/>
      <c r="AV577" s="4"/>
      <c r="AW577" s="4"/>
      <c r="AX577" s="4"/>
      <c r="AY577" s="4"/>
      <c r="AZ577" s="4"/>
      <c r="BA577" s="4" t="s">
        <v>90</v>
      </c>
      <c r="BB577" s="4">
        <v>10800</v>
      </c>
      <c r="BC577" s="4">
        <v>2700</v>
      </c>
      <c r="BD577" s="4">
        <v>0</v>
      </c>
      <c r="BE577" s="4" t="s">
        <v>91</v>
      </c>
      <c r="BF577" s="4"/>
      <c r="BG577" s="4"/>
      <c r="BH577" s="4" t="s">
        <v>3510</v>
      </c>
      <c r="BI577" s="72"/>
      <c r="BJ577" s="154"/>
      <c r="BK577" s="4"/>
      <c r="BL577" s="105"/>
      <c r="BM577" s="9"/>
      <c r="BN577" s="9"/>
      <c r="BO577" s="9"/>
    </row>
    <row r="578" ht="14.4" s="67" customFormat="1">
      <c r="A578" s="4">
        <v>171926</v>
      </c>
      <c r="B578" s="4"/>
      <c r="C578" s="55" t="s">
        <v>2632</v>
      </c>
      <c r="D578" s="4" t="s">
        <v>2633</v>
      </c>
      <c r="E578" s="4" t="s">
        <v>114</v>
      </c>
      <c r="F578" s="55"/>
      <c r="G578" s="4" t="s">
        <v>67</v>
      </c>
      <c r="H578" s="4" t="s">
        <v>68</v>
      </c>
      <c r="I578" s="4" t="s">
        <v>69</v>
      </c>
      <c r="J578" s="55" t="s">
        <v>2495</v>
      </c>
      <c r="K578" s="4" t="s">
        <v>71</v>
      </c>
      <c r="L578" s="4" t="s">
        <v>72</v>
      </c>
      <c r="M578" s="4" t="str">
        <f>VLOOKUP(A578,[1]Sheet1!$C:$G,5,0)</f>
        <v>Aminul Islam Sovo</v>
      </c>
      <c r="N578" s="4" t="s">
        <v>74</v>
      </c>
      <c r="O578" s="4" t="s">
        <v>75</v>
      </c>
      <c r="P578" s="4">
        <v>44</v>
      </c>
      <c r="Q578" s="57">
        <v>45533</v>
      </c>
      <c r="R578" s="57">
        <v>45541</v>
      </c>
      <c r="S578" s="113"/>
      <c r="T578" s="113"/>
      <c r="U578" s="4"/>
      <c r="V578" s="4"/>
      <c r="W578" s="105"/>
      <c r="X578" s="114">
        <v>1756658563</v>
      </c>
      <c r="Y578" s="55"/>
      <c r="Z578" s="4"/>
      <c r="AA578" s="4"/>
      <c r="AB578" s="4"/>
      <c r="AC578" s="4"/>
      <c r="AD578" s="113"/>
      <c r="AE578" s="107"/>
      <c r="AF578" s="4" t="s">
        <v>80</v>
      </c>
      <c r="AG578" s="114"/>
      <c r="AH578" s="4"/>
      <c r="AI578" s="55"/>
      <c r="AJ578" s="55"/>
      <c r="AK578" s="55"/>
      <c r="AL578" s="4"/>
      <c r="AM578" s="4"/>
      <c r="AN578" s="4"/>
      <c r="AO578" s="4"/>
      <c r="AP578" s="4"/>
      <c r="AQ578" s="55"/>
      <c r="AR578" s="4"/>
      <c r="AS578" s="4"/>
      <c r="AT578" s="72"/>
      <c r="AU578" s="4"/>
      <c r="AV578" s="4"/>
      <c r="AW578" s="4"/>
      <c r="AX578" s="4"/>
      <c r="AY578" s="4"/>
      <c r="AZ578" s="4"/>
      <c r="BA578" s="4" t="s">
        <v>90</v>
      </c>
      <c r="BB578" s="4">
        <v>10800</v>
      </c>
      <c r="BC578" s="4">
        <v>2700</v>
      </c>
      <c r="BD578" s="4">
        <v>0</v>
      </c>
      <c r="BE578" s="4" t="s">
        <v>91</v>
      </c>
      <c r="BF578" s="4"/>
      <c r="BG578" s="4"/>
      <c r="BH578" s="4" t="s">
        <v>3510</v>
      </c>
      <c r="BI578" s="72"/>
      <c r="BJ578" s="154"/>
      <c r="BK578" s="4"/>
      <c r="BL578" s="105"/>
      <c r="BM578" s="9"/>
      <c r="BN578" s="9"/>
      <c r="BO578" s="9"/>
    </row>
    <row r="579" ht="14.4" s="67" customFormat="1">
      <c r="A579" s="4">
        <v>171913</v>
      </c>
      <c r="B579" s="4"/>
      <c r="C579" s="55" t="s">
        <v>2856</v>
      </c>
      <c r="D579" s="4" t="s">
        <v>6573</v>
      </c>
      <c r="E579" s="4" t="s">
        <v>114</v>
      </c>
      <c r="F579" s="55"/>
      <c r="G579" s="4" t="s">
        <v>67</v>
      </c>
      <c r="H579" s="4" t="s">
        <v>68</v>
      </c>
      <c r="I579" s="4" t="s">
        <v>69</v>
      </c>
      <c r="J579" s="55" t="s">
        <v>2495</v>
      </c>
      <c r="K579" s="4" t="s">
        <v>71</v>
      </c>
      <c r="L579" s="4" t="s">
        <v>72</v>
      </c>
      <c r="M579" s="4" t="str">
        <f>VLOOKUP(A579,[1]Sheet1!$C:$G,5,0)</f>
        <v>Halima Akter</v>
      </c>
      <c r="N579" s="4" t="s">
        <v>74</v>
      </c>
      <c r="O579" s="4" t="s">
        <v>75</v>
      </c>
      <c r="P579" s="4">
        <v>44</v>
      </c>
      <c r="Q579" s="57">
        <v>45533</v>
      </c>
      <c r="R579" s="57">
        <v>45541</v>
      </c>
      <c r="S579" s="113"/>
      <c r="T579" s="113"/>
      <c r="U579" s="4"/>
      <c r="V579" s="4"/>
      <c r="W579" s="105"/>
      <c r="X579" s="114">
        <v>1818960373</v>
      </c>
      <c r="Y579" s="55"/>
      <c r="Z579" s="4"/>
      <c r="AA579" s="4"/>
      <c r="AB579" s="4"/>
      <c r="AC579" s="4"/>
      <c r="AD579" s="113"/>
      <c r="AE579" s="107"/>
      <c r="AF579" s="4" t="s">
        <v>80</v>
      </c>
      <c r="AG579" s="114"/>
      <c r="AH579" s="4"/>
      <c r="AI579" s="55"/>
      <c r="AJ579" s="55"/>
      <c r="AK579" s="55"/>
      <c r="AL579" s="4"/>
      <c r="AM579" s="4"/>
      <c r="AN579" s="4"/>
      <c r="AO579" s="4"/>
      <c r="AP579" s="4"/>
      <c r="AQ579" s="55"/>
      <c r="AR579" s="4"/>
      <c r="AS579" s="4"/>
      <c r="AT579" s="72"/>
      <c r="AU579" s="4"/>
      <c r="AV579" s="4"/>
      <c r="AW579" s="4"/>
      <c r="AX579" s="4"/>
      <c r="AY579" s="4"/>
      <c r="AZ579" s="4"/>
      <c r="BA579" s="4" t="s">
        <v>90</v>
      </c>
      <c r="BB579" s="4">
        <v>10800</v>
      </c>
      <c r="BC579" s="4">
        <v>2700</v>
      </c>
      <c r="BD579" s="4">
        <v>0</v>
      </c>
      <c r="BE579" s="4" t="s">
        <v>91</v>
      </c>
      <c r="BF579" s="4"/>
      <c r="BG579" s="4"/>
      <c r="BH579" s="4" t="s">
        <v>3510</v>
      </c>
      <c r="BI579" s="308">
        <v>45561</v>
      </c>
      <c r="BJ579" s="154"/>
      <c r="BK579" s="4">
        <f>BI579-R579</f>
        <v>20</v>
      </c>
      <c r="BL579" s="105"/>
      <c r="BM579" s="9"/>
      <c r="BN579" s="9"/>
      <c r="BO579" s="9"/>
    </row>
    <row r="580" ht="14.4" s="67" customFormat="1">
      <c r="A580" s="4">
        <v>171914</v>
      </c>
      <c r="B580" s="4"/>
      <c r="C580" s="55" t="s">
        <v>2634</v>
      </c>
      <c r="D580" s="4" t="s">
        <v>2635</v>
      </c>
      <c r="E580" s="4" t="s">
        <v>66</v>
      </c>
      <c r="F580" s="55"/>
      <c r="G580" s="4" t="s">
        <v>67</v>
      </c>
      <c r="H580" s="4" t="s">
        <v>68</v>
      </c>
      <c r="I580" s="4" t="s">
        <v>69</v>
      </c>
      <c r="J580" s="55" t="s">
        <v>2495</v>
      </c>
      <c r="K580" s="4" t="s">
        <v>71</v>
      </c>
      <c r="L580" s="4" t="s">
        <v>72</v>
      </c>
      <c r="M580" s="4" t="str">
        <f>VLOOKUP(A580,[1]Sheet1!$C:$G,5,0)</f>
        <v>Mizanur Rahman</v>
      </c>
      <c r="N580" s="4" t="s">
        <v>74</v>
      </c>
      <c r="O580" s="4" t="s">
        <v>75</v>
      </c>
      <c r="P580" s="4">
        <v>44</v>
      </c>
      <c r="Q580" s="57">
        <v>45533</v>
      </c>
      <c r="R580" s="57">
        <v>45541</v>
      </c>
      <c r="S580" s="113"/>
      <c r="T580" s="113"/>
      <c r="U580" s="4"/>
      <c r="V580" s="4"/>
      <c r="W580" s="105"/>
      <c r="X580" s="114">
        <v>1687147080</v>
      </c>
      <c r="Y580" s="55"/>
      <c r="Z580" s="4"/>
      <c r="AA580" s="4"/>
      <c r="AB580" s="4"/>
      <c r="AC580" s="4"/>
      <c r="AD580" s="113"/>
      <c r="AE580" s="107"/>
      <c r="AF580" s="4" t="s">
        <v>360</v>
      </c>
      <c r="AG580" s="114"/>
      <c r="AH580" s="4"/>
      <c r="AI580" s="55"/>
      <c r="AJ580" s="55"/>
      <c r="AK580" s="55"/>
      <c r="AL580" s="4"/>
      <c r="AM580" s="4"/>
      <c r="AN580" s="4"/>
      <c r="AO580" s="4"/>
      <c r="AP580" s="4"/>
      <c r="AQ580" s="55"/>
      <c r="AR580" s="4"/>
      <c r="AS580" s="4"/>
      <c r="AT580" s="72"/>
      <c r="AU580" s="4"/>
      <c r="AV580" s="4"/>
      <c r="AW580" s="4"/>
      <c r="AX580" s="4"/>
      <c r="AY580" s="4"/>
      <c r="AZ580" s="4"/>
      <c r="BA580" s="4" t="s">
        <v>90</v>
      </c>
      <c r="BB580" s="4">
        <v>10800</v>
      </c>
      <c r="BC580" s="4">
        <v>2700</v>
      </c>
      <c r="BD580" s="4">
        <v>0</v>
      </c>
      <c r="BE580" s="4" t="s">
        <v>91</v>
      </c>
      <c r="BF580" s="4"/>
      <c r="BG580" s="4"/>
      <c r="BH580" s="4" t="s">
        <v>3510</v>
      </c>
      <c r="BI580" s="72"/>
      <c r="BJ580" s="154"/>
      <c r="BK580" s="4"/>
      <c r="BL580" s="105"/>
      <c r="BM580" s="9"/>
      <c r="BN580" s="9"/>
      <c r="BO580" s="9"/>
    </row>
    <row r="581" ht="14.4" s="67" customFormat="1">
      <c r="A581" s="4">
        <v>171915</v>
      </c>
      <c r="B581" s="4"/>
      <c r="C581" s="55" t="s">
        <v>2636</v>
      </c>
      <c r="D581" s="4" t="s">
        <v>2637</v>
      </c>
      <c r="E581" s="4" t="s">
        <v>114</v>
      </c>
      <c r="F581" s="55"/>
      <c r="G581" s="4" t="s">
        <v>67</v>
      </c>
      <c r="H581" s="4" t="s">
        <v>68</v>
      </c>
      <c r="I581" s="4" t="s">
        <v>69</v>
      </c>
      <c r="J581" s="55" t="s">
        <v>2495</v>
      </c>
      <c r="K581" s="4" t="s">
        <v>71</v>
      </c>
      <c r="L581" s="4" t="s">
        <v>72</v>
      </c>
      <c r="M581" s="4" t="str">
        <f>VLOOKUP(A581,[1]Sheet1!$C:$G,5,0)</f>
        <v>Abdulla Al Mamun</v>
      </c>
      <c r="N581" s="4" t="s">
        <v>74</v>
      </c>
      <c r="O581" s="4" t="s">
        <v>75</v>
      </c>
      <c r="P581" s="4">
        <v>44</v>
      </c>
      <c r="Q581" s="57">
        <v>45533</v>
      </c>
      <c r="R581" s="57">
        <v>45541</v>
      </c>
      <c r="S581" s="113"/>
      <c r="T581" s="113"/>
      <c r="U581" s="4"/>
      <c r="V581" s="4"/>
      <c r="W581" s="105"/>
      <c r="X581" s="114">
        <v>1756633461</v>
      </c>
      <c r="Y581" s="55"/>
      <c r="Z581" s="4"/>
      <c r="AA581" s="4"/>
      <c r="AB581" s="4"/>
      <c r="AC581" s="4"/>
      <c r="AD581" s="113"/>
      <c r="AE581" s="107"/>
      <c r="AF581" s="4" t="s">
        <v>80</v>
      </c>
      <c r="AG581" s="114"/>
      <c r="AH581" s="4"/>
      <c r="AI581" s="55"/>
      <c r="AJ581" s="55"/>
      <c r="AK581" s="55"/>
      <c r="AL581" s="4"/>
      <c r="AM581" s="4"/>
      <c r="AN581" s="4"/>
      <c r="AO581" s="4"/>
      <c r="AP581" s="4"/>
      <c r="AQ581" s="55"/>
      <c r="AR581" s="4"/>
      <c r="AS581" s="4"/>
      <c r="AT581" s="72"/>
      <c r="AU581" s="4"/>
      <c r="AV581" s="4"/>
      <c r="AW581" s="4"/>
      <c r="AX581" s="4"/>
      <c r="AY581" s="4"/>
      <c r="AZ581" s="4"/>
      <c r="BA581" s="4" t="s">
        <v>90</v>
      </c>
      <c r="BB581" s="4">
        <v>10800</v>
      </c>
      <c r="BC581" s="4">
        <v>2700</v>
      </c>
      <c r="BD581" s="4">
        <v>0</v>
      </c>
      <c r="BE581" s="4" t="s">
        <v>91</v>
      </c>
      <c r="BF581" s="4"/>
      <c r="BG581" s="4"/>
      <c r="BH581" s="4" t="s">
        <v>3510</v>
      </c>
      <c r="BI581" s="72"/>
      <c r="BJ581" s="154"/>
      <c r="BK581" s="4"/>
      <c r="BL581" s="105"/>
      <c r="BM581" s="9"/>
      <c r="BN581" s="9"/>
      <c r="BO581" s="9"/>
    </row>
    <row r="582" ht="14.4" s="67" customFormat="1">
      <c r="A582" s="4">
        <v>171918</v>
      </c>
      <c r="B582" s="4"/>
      <c r="C582" s="55" t="s">
        <v>2638</v>
      </c>
      <c r="D582" s="4" t="s">
        <v>2639</v>
      </c>
      <c r="E582" s="4" t="s">
        <v>66</v>
      </c>
      <c r="F582" s="55"/>
      <c r="G582" s="4" t="s">
        <v>67</v>
      </c>
      <c r="H582" s="4" t="s">
        <v>68</v>
      </c>
      <c r="I582" s="4" t="s">
        <v>69</v>
      </c>
      <c r="J582" s="55" t="s">
        <v>2495</v>
      </c>
      <c r="K582" s="4" t="s">
        <v>71</v>
      </c>
      <c r="L582" s="4" t="s">
        <v>72</v>
      </c>
      <c r="M582" s="4" t="str">
        <f>VLOOKUP(A582,[1]Sheet1!$C:$G,5,0)</f>
        <v>Mizanur Rahman</v>
      </c>
      <c r="N582" s="4" t="s">
        <v>74</v>
      </c>
      <c r="O582" s="4" t="s">
        <v>75</v>
      </c>
      <c r="P582" s="4">
        <v>44</v>
      </c>
      <c r="Q582" s="57">
        <v>45533</v>
      </c>
      <c r="R582" s="57">
        <v>45541</v>
      </c>
      <c r="S582" s="113"/>
      <c r="T582" s="113"/>
      <c r="U582" s="4"/>
      <c r="V582" s="4"/>
      <c r="W582" s="105"/>
      <c r="X582" s="114">
        <v>1998455484</v>
      </c>
      <c r="Y582" s="55"/>
      <c r="Z582" s="4"/>
      <c r="AA582" s="4"/>
      <c r="AB582" s="4"/>
      <c r="AC582" s="4"/>
      <c r="AD582" s="113"/>
      <c r="AE582" s="107"/>
      <c r="AF582" s="4" t="s">
        <v>80</v>
      </c>
      <c r="AG582" s="114"/>
      <c r="AH582" s="4"/>
      <c r="AI582" s="55"/>
      <c r="AJ582" s="55"/>
      <c r="AK582" s="55"/>
      <c r="AL582" s="4"/>
      <c r="AM582" s="4"/>
      <c r="AN582" s="4"/>
      <c r="AO582" s="4"/>
      <c r="AP582" s="4"/>
      <c r="AQ582" s="55"/>
      <c r="AR582" s="4"/>
      <c r="AS582" s="4"/>
      <c r="AT582" s="72"/>
      <c r="AU582" s="4"/>
      <c r="AV582" s="4"/>
      <c r="AW582" s="4"/>
      <c r="AX582" s="4"/>
      <c r="AY582" s="4"/>
      <c r="AZ582" s="4"/>
      <c r="BA582" s="4" t="s">
        <v>90</v>
      </c>
      <c r="BB582" s="4">
        <v>10800</v>
      </c>
      <c r="BC582" s="4">
        <v>2700</v>
      </c>
      <c r="BD582" s="4">
        <v>0</v>
      </c>
      <c r="BE582" s="4" t="s">
        <v>91</v>
      </c>
      <c r="BF582" s="4"/>
      <c r="BG582" s="4"/>
      <c r="BH582" s="4" t="s">
        <v>3510</v>
      </c>
      <c r="BI582" s="72"/>
      <c r="BJ582" s="154"/>
      <c r="BK582" s="4"/>
      <c r="BL582" s="105"/>
      <c r="BM582" s="9"/>
      <c r="BN582" s="9"/>
      <c r="BO582" s="9"/>
    </row>
    <row r="583" ht="14.4" s="67" customFormat="1">
      <c r="A583" s="4">
        <v>171920</v>
      </c>
      <c r="B583" s="4"/>
      <c r="C583" s="55" t="s">
        <v>2640</v>
      </c>
      <c r="D583" s="4" t="s">
        <v>2641</v>
      </c>
      <c r="E583" s="4" t="s">
        <v>66</v>
      </c>
      <c r="F583" s="55"/>
      <c r="G583" s="4" t="s">
        <v>67</v>
      </c>
      <c r="H583" s="4" t="s">
        <v>68</v>
      </c>
      <c r="I583" s="4" t="s">
        <v>69</v>
      </c>
      <c r="J583" s="55" t="s">
        <v>2495</v>
      </c>
      <c r="K583" s="4" t="s">
        <v>71</v>
      </c>
      <c r="L583" s="4" t="s">
        <v>72</v>
      </c>
      <c r="M583" s="4" t="str">
        <f>VLOOKUP(A583,[1]Sheet1!$C:$G,5,0)</f>
        <v>Mizanur Rahman</v>
      </c>
      <c r="N583" s="4" t="s">
        <v>74</v>
      </c>
      <c r="O583" s="4" t="s">
        <v>75</v>
      </c>
      <c r="P583" s="4">
        <v>44</v>
      </c>
      <c r="Q583" s="57">
        <v>45533</v>
      </c>
      <c r="R583" s="57">
        <v>45541</v>
      </c>
      <c r="S583" s="113"/>
      <c r="T583" s="113"/>
      <c r="U583" s="4"/>
      <c r="V583" s="4"/>
      <c r="W583" s="105"/>
      <c r="X583" s="114">
        <v>1618935662</v>
      </c>
      <c r="Y583" s="55"/>
      <c r="Z583" s="4"/>
      <c r="AA583" s="4"/>
      <c r="AB583" s="4"/>
      <c r="AC583" s="4"/>
      <c r="AD583" s="113"/>
      <c r="AE583" s="107"/>
      <c r="AF583" s="4" t="s">
        <v>80</v>
      </c>
      <c r="AG583" s="114"/>
      <c r="AH583" s="4"/>
      <c r="AI583" s="55"/>
      <c r="AJ583" s="55"/>
      <c r="AK583" s="55"/>
      <c r="AL583" s="4"/>
      <c r="AM583" s="4"/>
      <c r="AN583" s="4"/>
      <c r="AO583" s="4"/>
      <c r="AP583" s="4"/>
      <c r="AQ583" s="55"/>
      <c r="AR583" s="4"/>
      <c r="AS583" s="4"/>
      <c r="AT583" s="72"/>
      <c r="AU583" s="4"/>
      <c r="AV583" s="4"/>
      <c r="AW583" s="4"/>
      <c r="AX583" s="4"/>
      <c r="AY583" s="4"/>
      <c r="AZ583" s="4"/>
      <c r="BA583" s="4" t="s">
        <v>90</v>
      </c>
      <c r="BB583" s="4">
        <v>10800</v>
      </c>
      <c r="BC583" s="4">
        <v>2700</v>
      </c>
      <c r="BD583" s="4">
        <v>0</v>
      </c>
      <c r="BE583" s="4" t="s">
        <v>91</v>
      </c>
      <c r="BF583" s="4"/>
      <c r="BG583" s="4"/>
      <c r="BH583" s="4" t="s">
        <v>3510</v>
      </c>
      <c r="BI583" s="72"/>
      <c r="BJ583" s="154"/>
      <c r="BK583" s="4"/>
      <c r="BL583" s="105"/>
      <c r="BM583" s="9"/>
      <c r="BN583" s="9"/>
      <c r="BO583" s="9"/>
    </row>
    <row r="584" ht="14.4" s="67" customFormat="1">
      <c r="A584" s="4">
        <v>171922</v>
      </c>
      <c r="B584" s="4"/>
      <c r="C584" s="55" t="s">
        <v>2642</v>
      </c>
      <c r="D584" s="4" t="s">
        <v>2643</v>
      </c>
      <c r="E584" s="4" t="s">
        <v>66</v>
      </c>
      <c r="F584" s="55"/>
      <c r="G584" s="4" t="s">
        <v>67</v>
      </c>
      <c r="H584" s="4" t="s">
        <v>68</v>
      </c>
      <c r="I584" s="4" t="s">
        <v>69</v>
      </c>
      <c r="J584" s="55" t="s">
        <v>2495</v>
      </c>
      <c r="K584" s="4" t="s">
        <v>71</v>
      </c>
      <c r="L584" s="4" t="s">
        <v>72</v>
      </c>
      <c r="M584" s="4" t="str">
        <f>VLOOKUP(A584,[1]Sheet1!$C:$G,5,0)</f>
        <v>Halima Akter</v>
      </c>
      <c r="N584" s="4" t="s">
        <v>74</v>
      </c>
      <c r="O584" s="4" t="s">
        <v>75</v>
      </c>
      <c r="P584" s="4">
        <v>44</v>
      </c>
      <c r="Q584" s="57">
        <v>45533</v>
      </c>
      <c r="R584" s="57">
        <v>45541</v>
      </c>
      <c r="S584" s="113"/>
      <c r="T584" s="113"/>
      <c r="U584" s="4"/>
      <c r="V584" s="4"/>
      <c r="W584" s="105"/>
      <c r="X584" s="114">
        <v>1780443645</v>
      </c>
      <c r="Y584" s="55"/>
      <c r="Z584" s="4"/>
      <c r="AA584" s="4"/>
      <c r="AB584" s="4"/>
      <c r="AC584" s="4"/>
      <c r="AD584" s="113"/>
      <c r="AE584" s="107"/>
      <c r="AF584" s="4" t="s">
        <v>80</v>
      </c>
      <c r="AG584" s="114"/>
      <c r="AH584" s="4"/>
      <c r="AI584" s="55"/>
      <c r="AJ584" s="55"/>
      <c r="AK584" s="55"/>
      <c r="AL584" s="4"/>
      <c r="AM584" s="4"/>
      <c r="AN584" s="4"/>
      <c r="AO584" s="4"/>
      <c r="AP584" s="4"/>
      <c r="AQ584" s="55"/>
      <c r="AR584" s="4"/>
      <c r="AS584" s="4"/>
      <c r="AT584" s="72"/>
      <c r="AU584" s="4"/>
      <c r="AV584" s="4"/>
      <c r="AW584" s="4"/>
      <c r="AX584" s="4"/>
      <c r="AY584" s="4"/>
      <c r="AZ584" s="4"/>
      <c r="BA584" s="4" t="s">
        <v>90</v>
      </c>
      <c r="BB584" s="4">
        <v>10800</v>
      </c>
      <c r="BC584" s="4">
        <v>2700</v>
      </c>
      <c r="BD584" s="4">
        <v>0</v>
      </c>
      <c r="BE584" s="4" t="s">
        <v>91</v>
      </c>
      <c r="BF584" s="4"/>
      <c r="BG584" s="4"/>
      <c r="BH584" s="4" t="s">
        <v>3510</v>
      </c>
      <c r="BI584" s="72"/>
      <c r="BJ584" s="154"/>
      <c r="BK584" s="4"/>
      <c r="BL584" s="105"/>
      <c r="BM584" s="9"/>
      <c r="BN584" s="9"/>
      <c r="BO584" s="9"/>
    </row>
    <row r="585" ht="14.4" s="67" customFormat="1">
      <c r="A585" s="4">
        <v>171924</v>
      </c>
      <c r="B585" s="4"/>
      <c r="C585" s="55" t="s">
        <v>2644</v>
      </c>
      <c r="D585" s="4" t="s">
        <v>2645</v>
      </c>
      <c r="E585" s="4" t="s">
        <v>114</v>
      </c>
      <c r="F585" s="55"/>
      <c r="G585" s="4" t="s">
        <v>67</v>
      </c>
      <c r="H585" s="4" t="s">
        <v>68</v>
      </c>
      <c r="I585" s="4" t="s">
        <v>69</v>
      </c>
      <c r="J585" s="55" t="s">
        <v>2495</v>
      </c>
      <c r="K585" s="4" t="s">
        <v>71</v>
      </c>
      <c r="L585" s="4" t="s">
        <v>72</v>
      </c>
      <c r="M585" s="4" t="str">
        <f>VLOOKUP(A585,[1]Sheet1!$C:$G,5,0)</f>
        <v>Abdulla Al Mamun</v>
      </c>
      <c r="N585" s="4" t="s">
        <v>74</v>
      </c>
      <c r="O585" s="4" t="s">
        <v>75</v>
      </c>
      <c r="P585" s="4">
        <v>44</v>
      </c>
      <c r="Q585" s="57">
        <v>45533</v>
      </c>
      <c r="R585" s="57">
        <v>45541</v>
      </c>
      <c r="S585" s="113"/>
      <c r="T585" s="113"/>
      <c r="U585" s="4"/>
      <c r="V585" s="4"/>
      <c r="W585" s="105"/>
      <c r="X585" s="114">
        <v>1687387601</v>
      </c>
      <c r="Y585" s="55"/>
      <c r="Z585" s="4"/>
      <c r="AA585" s="4"/>
      <c r="AB585" s="4"/>
      <c r="AC585" s="4"/>
      <c r="AD585" s="113"/>
      <c r="AE585" s="107"/>
      <c r="AF585" s="4" t="s">
        <v>80</v>
      </c>
      <c r="AG585" s="114"/>
      <c r="AH585" s="4"/>
      <c r="AI585" s="55"/>
      <c r="AJ585" s="55"/>
      <c r="AK585" s="55"/>
      <c r="AL585" s="4"/>
      <c r="AM585" s="4"/>
      <c r="AN585" s="4"/>
      <c r="AO585" s="4"/>
      <c r="AP585" s="4"/>
      <c r="AQ585" s="55"/>
      <c r="AR585" s="4"/>
      <c r="AS585" s="4"/>
      <c r="AT585" s="72"/>
      <c r="AU585" s="4"/>
      <c r="AV585" s="4"/>
      <c r="AW585" s="4"/>
      <c r="AX585" s="4"/>
      <c r="AY585" s="4"/>
      <c r="AZ585" s="4"/>
      <c r="BA585" s="4" t="s">
        <v>90</v>
      </c>
      <c r="BB585" s="4">
        <v>10800</v>
      </c>
      <c r="BC585" s="4">
        <v>2700</v>
      </c>
      <c r="BD585" s="4">
        <v>0</v>
      </c>
      <c r="BE585" s="4" t="s">
        <v>91</v>
      </c>
      <c r="BF585" s="4"/>
      <c r="BG585" s="4"/>
      <c r="BH585" s="4" t="s">
        <v>3510</v>
      </c>
      <c r="BI585" s="72"/>
      <c r="BJ585" s="154"/>
      <c r="BK585" s="4"/>
      <c r="BL585" s="105"/>
      <c r="BM585" s="9"/>
      <c r="BN585" s="9"/>
      <c r="BO585" s="9"/>
    </row>
    <row r="586" ht="14.4" s="67" customFormat="1">
      <c r="A586" s="4">
        <v>171899</v>
      </c>
      <c r="B586" s="4">
        <v>171899</v>
      </c>
      <c r="C586" s="55" t="s">
        <v>6574</v>
      </c>
      <c r="D586" s="4" t="s">
        <v>6575</v>
      </c>
      <c r="E586" s="4" t="s">
        <v>114</v>
      </c>
      <c r="F586" s="55">
        <v>658217</v>
      </c>
      <c r="G586" s="4" t="s">
        <v>67</v>
      </c>
      <c r="H586" s="4" t="s">
        <v>2465</v>
      </c>
      <c r="I586" s="4" t="s">
        <v>69</v>
      </c>
      <c r="J586" s="55" t="s">
        <v>155</v>
      </c>
      <c r="K586" s="4" t="s">
        <v>1766</v>
      </c>
      <c r="L586" s="4" t="s">
        <v>2466</v>
      </c>
      <c r="M586" s="4" t="e">
        <f>VLOOKUP(A586,[1]Sheet1!$C:$G,5,0)</f>
        <v>#N/A</v>
      </c>
      <c r="N586" s="4" t="s">
        <v>74</v>
      </c>
      <c r="O586" s="4" t="s">
        <v>75</v>
      </c>
      <c r="P586" s="4">
        <v>43</v>
      </c>
      <c r="Q586" s="57">
        <v>45525</v>
      </c>
      <c r="R586" s="57">
        <v>45543</v>
      </c>
      <c r="S586" s="113" t="s">
        <v>242</v>
      </c>
      <c r="T586" s="113" t="s">
        <v>242</v>
      </c>
      <c r="U586" s="4" t="s">
        <v>242</v>
      </c>
      <c r="V586" s="4" t="s">
        <v>242</v>
      </c>
      <c r="W586" s="105" t="s">
        <v>6576</v>
      </c>
      <c r="X586" s="114">
        <v>1712300473</v>
      </c>
      <c r="Y586" s="55">
        <v>1712300473</v>
      </c>
      <c r="Z586" s="4" t="s">
        <v>6577</v>
      </c>
      <c r="AA586" s="4">
        <v>1710409940</v>
      </c>
      <c r="AB586" s="4" t="s">
        <v>252</v>
      </c>
      <c r="AC586" s="4" t="s">
        <v>119</v>
      </c>
      <c r="AD586" s="113" t="s">
        <v>6578</v>
      </c>
      <c r="AE586" s="107">
        <v>27</v>
      </c>
      <c r="AF586" s="4" t="s">
        <v>80</v>
      </c>
      <c r="AG586" s="114">
        <v>6001638870</v>
      </c>
      <c r="AH586" s="4" t="s">
        <v>242</v>
      </c>
      <c r="AI586" s="55" t="s">
        <v>925</v>
      </c>
      <c r="AJ586" s="55" t="s">
        <v>242</v>
      </c>
      <c r="AK586" s="55">
        <v>2020</v>
      </c>
      <c r="AL586" s="4" t="s">
        <v>1809</v>
      </c>
      <c r="AM586" s="4" t="s">
        <v>6579</v>
      </c>
      <c r="AN586" s="4" t="s">
        <v>6580</v>
      </c>
      <c r="AO586" s="4" t="s">
        <v>6581</v>
      </c>
      <c r="AP586" s="4" t="s">
        <v>6582</v>
      </c>
      <c r="AQ586" s="55" t="s">
        <v>555</v>
      </c>
      <c r="AR586" s="4" t="s">
        <v>110</v>
      </c>
      <c r="AS586" s="4" t="s">
        <v>81</v>
      </c>
      <c r="AT586" s="72" t="s">
        <v>81</v>
      </c>
      <c r="AU586" s="4" t="s">
        <v>81</v>
      </c>
      <c r="AV586" s="4" t="s">
        <v>81</v>
      </c>
      <c r="AW586" s="4" t="s">
        <v>81</v>
      </c>
      <c r="AX586" s="4" t="s">
        <v>81</v>
      </c>
      <c r="AY586" s="4" t="s">
        <v>81</v>
      </c>
      <c r="AZ586" s="4" t="s">
        <v>81</v>
      </c>
      <c r="BA586" s="4"/>
      <c r="BB586" s="4">
        <v>10800</v>
      </c>
      <c r="BC586" s="4">
        <v>2700</v>
      </c>
      <c r="BD586" s="4">
        <v>1000</v>
      </c>
      <c r="BE586" s="4" t="s">
        <v>166</v>
      </c>
      <c r="BF586" s="4" t="s">
        <v>242</v>
      </c>
      <c r="BG586" s="4" t="s">
        <v>242</v>
      </c>
      <c r="BH586" s="4" t="s">
        <v>3510</v>
      </c>
      <c r="BI586" s="72">
        <f>VLOOKUP(A586,'ID Block'!A:L,12,0)</f>
        <v>45552</v>
      </c>
      <c r="BJ586" s="154" t="str">
        <f>VLOOKUP(A586,'ID Block'!A:M,13,0)</f>
        <v>Better Opportunity</v>
      </c>
      <c r="BK586" s="4">
        <f ref="BK586:BK587" t="shared" si="16">BI586-R586</f>
        <v>9</v>
      </c>
      <c r="BL586" s="105"/>
      <c r="BM586" s="9"/>
      <c r="BN586" s="9"/>
      <c r="BO586" s="9"/>
    </row>
    <row r="587" ht="14.4" s="67" customFormat="1">
      <c r="A587" s="4">
        <v>171893</v>
      </c>
      <c r="B587" s="4">
        <v>171893</v>
      </c>
      <c r="C587" s="55" t="s">
        <v>6583</v>
      </c>
      <c r="D587" s="4" t="s">
        <v>6584</v>
      </c>
      <c r="E587" s="4" t="s">
        <v>114</v>
      </c>
      <c r="F587" s="55">
        <v>1010955842</v>
      </c>
      <c r="G587" s="4" t="s">
        <v>67</v>
      </c>
      <c r="H587" s="4" t="s">
        <v>2465</v>
      </c>
      <c r="I587" s="4" t="s">
        <v>69</v>
      </c>
      <c r="J587" s="55" t="s">
        <v>155</v>
      </c>
      <c r="K587" s="4" t="s">
        <v>1766</v>
      </c>
      <c r="L587" s="4" t="s">
        <v>2466</v>
      </c>
      <c r="M587" s="4" t="e">
        <f>VLOOKUP(A587,[1]Sheet1!$C:$G,5,0)</f>
        <v>#N/A</v>
      </c>
      <c r="N587" s="4" t="s">
        <v>74</v>
      </c>
      <c r="O587" s="4" t="s">
        <v>75</v>
      </c>
      <c r="P587" s="4">
        <v>43</v>
      </c>
      <c r="Q587" s="57">
        <v>45525</v>
      </c>
      <c r="R587" s="57">
        <v>45544</v>
      </c>
      <c r="S587" s="113" t="s">
        <v>242</v>
      </c>
      <c r="T587" s="113" t="s">
        <v>242</v>
      </c>
      <c r="U587" s="4" t="s">
        <v>242</v>
      </c>
      <c r="V587" s="4" t="s">
        <v>242</v>
      </c>
      <c r="W587" s="105" t="s">
        <v>6585</v>
      </c>
      <c r="X587" s="114">
        <v>1733000336</v>
      </c>
      <c r="Y587" s="55">
        <v>1911287797</v>
      </c>
      <c r="Z587" s="4" t="s">
        <v>6586</v>
      </c>
      <c r="AA587" s="4">
        <v>1708444877</v>
      </c>
      <c r="AB587" s="4" t="s">
        <v>101</v>
      </c>
      <c r="AC587" s="4" t="s">
        <v>119</v>
      </c>
      <c r="AD587" s="113" t="s">
        <v>6587</v>
      </c>
      <c r="AE587" s="107">
        <v>27</v>
      </c>
      <c r="AF587" s="4" t="s">
        <v>80</v>
      </c>
      <c r="AG587" s="114">
        <v>4658031853</v>
      </c>
      <c r="AH587" s="4" t="s">
        <v>242</v>
      </c>
      <c r="AI587" s="55" t="s">
        <v>925</v>
      </c>
      <c r="AJ587" s="55" t="s">
        <v>242</v>
      </c>
      <c r="AK587" s="55">
        <v>2024</v>
      </c>
      <c r="AL587" s="4" t="s">
        <v>3766</v>
      </c>
      <c r="AM587" s="4" t="s">
        <v>6586</v>
      </c>
      <c r="AN587" s="4" t="s">
        <v>6588</v>
      </c>
      <c r="AO587" s="4" t="s">
        <v>3552</v>
      </c>
      <c r="AP587" s="4" t="s">
        <v>6589</v>
      </c>
      <c r="AQ587" s="55" t="s">
        <v>499</v>
      </c>
      <c r="AR587" s="4" t="s">
        <v>110</v>
      </c>
      <c r="AS587" s="4" t="s">
        <v>81</v>
      </c>
      <c r="AT587" s="72" t="s">
        <v>81</v>
      </c>
      <c r="AU587" s="4" t="s">
        <v>81</v>
      </c>
      <c r="AV587" s="4" t="s">
        <v>81</v>
      </c>
      <c r="AW587" s="4" t="s">
        <v>81</v>
      </c>
      <c r="AX587" s="4" t="s">
        <v>81</v>
      </c>
      <c r="AY587" s="4" t="s">
        <v>81</v>
      </c>
      <c r="AZ587" s="4" t="s">
        <v>81</v>
      </c>
      <c r="BA587" s="4"/>
      <c r="BB587" s="4">
        <v>10800</v>
      </c>
      <c r="BC587" s="4">
        <v>2700</v>
      </c>
      <c r="BD587" s="4">
        <v>1000</v>
      </c>
      <c r="BE587" s="4" t="s">
        <v>166</v>
      </c>
      <c r="BF587" s="4" t="s">
        <v>242</v>
      </c>
      <c r="BG587" s="4" t="s">
        <v>242</v>
      </c>
      <c r="BH587" s="4" t="s">
        <v>3510</v>
      </c>
      <c r="BI587" s="72">
        <f>VLOOKUP(A587,'ID Block'!A:L,12,0)</f>
        <v>45556</v>
      </c>
      <c r="BJ587" s="154" t="str">
        <f>VLOOKUP(A587,'ID Block'!A:M,13,0)</f>
        <v>Better Opportunity</v>
      </c>
      <c r="BK587" s="4">
        <f t="shared" si="16"/>
        <v>12</v>
      </c>
      <c r="BL587" s="105"/>
      <c r="BM587" s="9"/>
      <c r="BN587" s="9"/>
      <c r="BO587" s="9"/>
    </row>
    <row r="588" ht="14.4" s="67" customFormat="1">
      <c r="A588" s="4">
        <v>171895</v>
      </c>
      <c r="B588" s="4">
        <v>171895</v>
      </c>
      <c r="C588" s="55" t="s">
        <v>2646</v>
      </c>
      <c r="D588" s="4" t="s">
        <v>2647</v>
      </c>
      <c r="E588" s="4" t="s">
        <v>114</v>
      </c>
      <c r="F588" s="55">
        <v>11101514642</v>
      </c>
      <c r="G588" s="4" t="s">
        <v>67</v>
      </c>
      <c r="H588" s="4" t="s">
        <v>2465</v>
      </c>
      <c r="I588" s="4" t="s">
        <v>69</v>
      </c>
      <c r="J588" s="55" t="s">
        <v>155</v>
      </c>
      <c r="K588" s="4" t="s">
        <v>1766</v>
      </c>
      <c r="L588" s="4" t="s">
        <v>2466</v>
      </c>
      <c r="M588" s="4" t="str">
        <f>VLOOKUP(A588,[1]Sheet1!$C:$G,5,0)</f>
        <v>Md. Tanjir Ahmed</v>
      </c>
      <c r="N588" s="4" t="s">
        <v>74</v>
      </c>
      <c r="O588" s="4" t="s">
        <v>75</v>
      </c>
      <c r="P588" s="4">
        <v>43</v>
      </c>
      <c r="Q588" s="57">
        <v>45525</v>
      </c>
      <c r="R588" s="57">
        <v>45544</v>
      </c>
      <c r="S588" s="113" t="s">
        <v>242</v>
      </c>
      <c r="T588" s="113" t="s">
        <v>242</v>
      </c>
      <c r="U588" s="4" t="s">
        <v>242</v>
      </c>
      <c r="V588" s="4" t="s">
        <v>242</v>
      </c>
      <c r="W588" s="105" t="s">
        <v>2648</v>
      </c>
      <c r="X588" s="114">
        <v>1866120208</v>
      </c>
      <c r="Y588" s="55">
        <v>1647663559</v>
      </c>
      <c r="Z588" s="4" t="s">
        <v>2649</v>
      </c>
      <c r="AA588" s="4">
        <v>1946955606</v>
      </c>
      <c r="AB588" s="4" t="s">
        <v>101</v>
      </c>
      <c r="AC588" s="4" t="s">
        <v>133</v>
      </c>
      <c r="AD588" s="113">
        <v>36251</v>
      </c>
      <c r="AE588" s="107">
        <v>27</v>
      </c>
      <c r="AF588" s="4" t="s">
        <v>80</v>
      </c>
      <c r="AG588" s="114">
        <v>5104896260</v>
      </c>
      <c r="AH588" s="4" t="s">
        <v>242</v>
      </c>
      <c r="AI588" s="55" t="s">
        <v>925</v>
      </c>
      <c r="AJ588" s="55" t="s">
        <v>242</v>
      </c>
      <c r="AK588" s="55">
        <v>2022</v>
      </c>
      <c r="AL588" s="4" t="s">
        <v>2650</v>
      </c>
      <c r="AM588" s="4" t="s">
        <v>2651</v>
      </c>
      <c r="AN588" s="4" t="s">
        <v>2652</v>
      </c>
      <c r="AO588" s="4" t="s">
        <v>2653</v>
      </c>
      <c r="AP588" s="4" t="s">
        <v>2653</v>
      </c>
      <c r="AQ588" s="55" t="s">
        <v>88</v>
      </c>
      <c r="AR588" s="4" t="s">
        <v>2625</v>
      </c>
      <c r="AS588" s="4" t="s">
        <v>2654</v>
      </c>
      <c r="AT588" s="72" t="s">
        <v>81</v>
      </c>
      <c r="AU588" s="4" t="s">
        <v>2655</v>
      </c>
      <c r="AV588" s="4" t="s">
        <v>81</v>
      </c>
      <c r="AW588" s="4" t="s">
        <v>81</v>
      </c>
      <c r="AX588" s="4" t="s">
        <v>81</v>
      </c>
      <c r="AY588" s="4" t="s">
        <v>81</v>
      </c>
      <c r="AZ588" s="4" t="s">
        <v>81</v>
      </c>
      <c r="BA588" s="4"/>
      <c r="BB588" s="4">
        <v>10800</v>
      </c>
      <c r="BC588" s="4">
        <v>2700</v>
      </c>
      <c r="BD588" s="4">
        <v>1000</v>
      </c>
      <c r="BE588" s="4" t="s">
        <v>166</v>
      </c>
      <c r="BF588" s="4" t="s">
        <v>242</v>
      </c>
      <c r="BG588" s="4" t="s">
        <v>242</v>
      </c>
      <c r="BH588" s="4" t="s">
        <v>3510</v>
      </c>
      <c r="BI588" s="72"/>
      <c r="BJ588" s="154"/>
      <c r="BK588" s="4"/>
      <c r="BL588" s="105"/>
      <c r="BM588" s="9"/>
      <c r="BN588" s="9"/>
      <c r="BO588" s="9"/>
    </row>
    <row r="589" ht="14.4" s="67" customFormat="1">
      <c r="A589" s="4">
        <v>171905</v>
      </c>
      <c r="B589" s="4">
        <v>171905</v>
      </c>
      <c r="C589" s="55" t="s">
        <v>2656</v>
      </c>
      <c r="D589" s="4" t="s">
        <v>2657</v>
      </c>
      <c r="E589" s="4" t="s">
        <v>114</v>
      </c>
      <c r="F589" s="55">
        <v>1116472806</v>
      </c>
      <c r="G589" s="4" t="s">
        <v>67</v>
      </c>
      <c r="H589" s="4" t="s">
        <v>2465</v>
      </c>
      <c r="I589" s="4" t="s">
        <v>69</v>
      </c>
      <c r="J589" s="55" t="s">
        <v>155</v>
      </c>
      <c r="K589" s="4" t="s">
        <v>1766</v>
      </c>
      <c r="L589" s="4" t="s">
        <v>2466</v>
      </c>
      <c r="M589" s="4" t="str">
        <f>VLOOKUP(A589,[1]Sheet1!$C:$G,5,0)</f>
        <v>Md. Tanjir Ahmed</v>
      </c>
      <c r="N589" s="4" t="s">
        <v>74</v>
      </c>
      <c r="O589" s="4" t="s">
        <v>75</v>
      </c>
      <c r="P589" s="4">
        <v>43</v>
      </c>
      <c r="Q589" s="57">
        <v>45525</v>
      </c>
      <c r="R589" s="57">
        <v>45545</v>
      </c>
      <c r="S589" s="113" t="s">
        <v>242</v>
      </c>
      <c r="T589" s="113" t="s">
        <v>242</v>
      </c>
      <c r="U589" s="4" t="s">
        <v>242</v>
      </c>
      <c r="V589" s="4" t="s">
        <v>242</v>
      </c>
      <c r="W589" s="105" t="s">
        <v>2658</v>
      </c>
      <c r="X589" s="114">
        <v>1601965025</v>
      </c>
      <c r="Y589" s="55">
        <v>1601965025</v>
      </c>
      <c r="Z589" s="4" t="s">
        <v>2659</v>
      </c>
      <c r="AA589" s="4">
        <v>1726749555</v>
      </c>
      <c r="AB589" s="4" t="s">
        <v>252</v>
      </c>
      <c r="AC589" s="4" t="s">
        <v>79</v>
      </c>
      <c r="AD589" s="113" t="s">
        <v>2660</v>
      </c>
      <c r="AE589" s="107">
        <v>26</v>
      </c>
      <c r="AF589" s="4" t="s">
        <v>80</v>
      </c>
      <c r="AG589" s="114">
        <v>6915340704</v>
      </c>
      <c r="AH589" s="4" t="s">
        <v>242</v>
      </c>
      <c r="AI589" s="55" t="s">
        <v>925</v>
      </c>
      <c r="AJ589" s="55" t="s">
        <v>242</v>
      </c>
      <c r="AK589" s="55">
        <v>2020</v>
      </c>
      <c r="AL589" s="4" t="s">
        <v>2661</v>
      </c>
      <c r="AM589" s="4" t="s">
        <v>2662</v>
      </c>
      <c r="AN589" s="4" t="s">
        <v>2663</v>
      </c>
      <c r="AO589" s="4" t="s">
        <v>2664</v>
      </c>
      <c r="AP589" s="4" t="s">
        <v>2665</v>
      </c>
      <c r="AQ589" s="55" t="s">
        <v>457</v>
      </c>
      <c r="AR589" s="4" t="s">
        <v>110</v>
      </c>
      <c r="AS589" s="4" t="s">
        <v>81</v>
      </c>
      <c r="AT589" s="72" t="s">
        <v>81</v>
      </c>
      <c r="AU589" s="4" t="s">
        <v>81</v>
      </c>
      <c r="AV589" s="4" t="s">
        <v>81</v>
      </c>
      <c r="AW589" s="4" t="s">
        <v>81</v>
      </c>
      <c r="AX589" s="4" t="s">
        <v>81</v>
      </c>
      <c r="AY589" s="4" t="s">
        <v>81</v>
      </c>
      <c r="AZ589" s="4" t="s">
        <v>81</v>
      </c>
      <c r="BA589" s="4"/>
      <c r="BB589" s="4">
        <v>10800</v>
      </c>
      <c r="BC589" s="4">
        <v>2700</v>
      </c>
      <c r="BD589" s="4">
        <v>1000</v>
      </c>
      <c r="BE589" s="4" t="s">
        <v>166</v>
      </c>
      <c r="BF589" s="4" t="s">
        <v>242</v>
      </c>
      <c r="BG589" s="4" t="s">
        <v>242</v>
      </c>
      <c r="BH589" s="4" t="s">
        <v>3510</v>
      </c>
      <c r="BI589" s="72"/>
      <c r="BJ589" s="154"/>
      <c r="BK589" s="4"/>
      <c r="BL589" s="105"/>
      <c r="BM589" s="9"/>
      <c r="BN589" s="9"/>
      <c r="BO589" s="9"/>
    </row>
    <row r="590" ht="14.4" s="67" customFormat="1">
      <c r="A590" s="4">
        <v>171902</v>
      </c>
      <c r="B590" s="4"/>
      <c r="C590" s="55" t="s">
        <v>2666</v>
      </c>
      <c r="D590" s="4" t="s">
        <v>2667</v>
      </c>
      <c r="E590" s="4" t="s">
        <v>114</v>
      </c>
      <c r="F590" s="55">
        <v>1310661778</v>
      </c>
      <c r="G590" s="4" t="s">
        <v>67</v>
      </c>
      <c r="H590" s="4" t="s">
        <v>2465</v>
      </c>
      <c r="I590" s="4" t="s">
        <v>69</v>
      </c>
      <c r="J590" s="55" t="s">
        <v>155</v>
      </c>
      <c r="K590" s="4" t="s">
        <v>1766</v>
      </c>
      <c r="L590" s="4" t="s">
        <v>2466</v>
      </c>
      <c r="M590" s="4" t="str">
        <f>VLOOKUP(A590,[1]Sheet1!$C:$G,5,0)</f>
        <v>Nasir Uddin</v>
      </c>
      <c r="N590" s="4" t="s">
        <v>74</v>
      </c>
      <c r="O590" s="4" t="s">
        <v>75</v>
      </c>
      <c r="P590" s="4">
        <v>43</v>
      </c>
      <c r="Q590" s="57">
        <v>45525</v>
      </c>
      <c r="R590" s="57">
        <v>45548</v>
      </c>
      <c r="S590" s="113" t="s">
        <v>242</v>
      </c>
      <c r="T590" s="113" t="s">
        <v>242</v>
      </c>
      <c r="U590" s="4" t="s">
        <v>242</v>
      </c>
      <c r="V590" s="4"/>
      <c r="W590" s="105" t="s">
        <v>2668</v>
      </c>
      <c r="X590" s="114">
        <v>1620108733</v>
      </c>
      <c r="Y590" s="55">
        <v>1620108733</v>
      </c>
      <c r="Z590" s="4" t="s">
        <v>115</v>
      </c>
      <c r="AA590" s="4">
        <v>1556334327</v>
      </c>
      <c r="AB590" s="4" t="s">
        <v>101</v>
      </c>
      <c r="AC590" s="4" t="s">
        <v>133</v>
      </c>
      <c r="AD590" s="113">
        <v>36392</v>
      </c>
      <c r="AE590" s="107">
        <v>26</v>
      </c>
      <c r="AF590" s="4" t="s">
        <v>80</v>
      </c>
      <c r="AG590" s="114">
        <v>5558069869</v>
      </c>
      <c r="AH590" s="4" t="s">
        <v>242</v>
      </c>
      <c r="AI590" s="55" t="s">
        <v>925</v>
      </c>
      <c r="AJ590" s="55" t="s">
        <v>242</v>
      </c>
      <c r="AK590" s="55">
        <v>2022</v>
      </c>
      <c r="AL590" s="4" t="s">
        <v>106</v>
      </c>
      <c r="AM590" s="4" t="s">
        <v>115</v>
      </c>
      <c r="AN590" s="4" t="s">
        <v>2669</v>
      </c>
      <c r="AO590" s="4" t="s">
        <v>2505</v>
      </c>
      <c r="AP590" s="4" t="s">
        <v>2505</v>
      </c>
      <c r="AQ590" s="55" t="s">
        <v>88</v>
      </c>
      <c r="AR590" s="4" t="s">
        <v>110</v>
      </c>
      <c r="AS590" s="4" t="s">
        <v>81</v>
      </c>
      <c r="AT590" s="72" t="s">
        <v>81</v>
      </c>
      <c r="AU590" s="4" t="s">
        <v>81</v>
      </c>
      <c r="AV590" s="4" t="s">
        <v>81</v>
      </c>
      <c r="AW590" s="4" t="s">
        <v>81</v>
      </c>
      <c r="AX590" s="4" t="s">
        <v>81</v>
      </c>
      <c r="AY590" s="4" t="s">
        <v>81</v>
      </c>
      <c r="AZ590" s="4" t="s">
        <v>81</v>
      </c>
      <c r="BA590" s="4" t="s">
        <v>90</v>
      </c>
      <c r="BB590" s="4">
        <v>10800</v>
      </c>
      <c r="BC590" s="4">
        <v>2700</v>
      </c>
      <c r="BD590" s="4">
        <v>1000</v>
      </c>
      <c r="BE590" s="4" t="s">
        <v>166</v>
      </c>
      <c r="BF590" s="4" t="s">
        <v>242</v>
      </c>
      <c r="BG590" s="4" t="s">
        <v>242</v>
      </c>
      <c r="BH590" s="4" t="s">
        <v>3510</v>
      </c>
      <c r="BI590" s="72"/>
      <c r="BJ590" s="154"/>
      <c r="BK590" s="4"/>
      <c r="BL590" s="105" t="s">
        <v>2670</v>
      </c>
      <c r="BM590" s="9"/>
      <c r="BN590" s="9"/>
      <c r="BO590" s="9"/>
    </row>
    <row r="591" ht="14.4" s="67" customFormat="1">
      <c r="A591" s="4">
        <v>171927</v>
      </c>
      <c r="B591" s="4"/>
      <c r="C591" s="55" t="s">
        <v>2671</v>
      </c>
      <c r="D591" s="4" t="s">
        <v>2672</v>
      </c>
      <c r="E591" s="4" t="s">
        <v>114</v>
      </c>
      <c r="F591" s="55">
        <v>1210889626</v>
      </c>
      <c r="G591" s="4" t="s">
        <v>67</v>
      </c>
      <c r="H591" s="4" t="s">
        <v>2465</v>
      </c>
      <c r="I591" s="4" t="s">
        <v>69</v>
      </c>
      <c r="J591" s="55" t="s">
        <v>155</v>
      </c>
      <c r="K591" s="4" t="s">
        <v>1766</v>
      </c>
      <c r="L591" s="4" t="s">
        <v>2466</v>
      </c>
      <c r="M591" s="4" t="str">
        <f>VLOOKUP(A591,[1]Sheet1!$C:$G,5,0)</f>
        <v>Abu MD. Rifat Imtiaz</v>
      </c>
      <c r="N591" s="4" t="s">
        <v>74</v>
      </c>
      <c r="O591" s="4" t="s">
        <v>75</v>
      </c>
      <c r="P591" s="4">
        <v>44</v>
      </c>
      <c r="Q591" s="57">
        <v>45532</v>
      </c>
      <c r="R591" s="57">
        <v>45551</v>
      </c>
      <c r="S591" s="113" t="s">
        <v>242</v>
      </c>
      <c r="T591" s="113" t="s">
        <v>242</v>
      </c>
      <c r="U591" s="4" t="s">
        <v>242</v>
      </c>
      <c r="V591" s="4" t="s">
        <v>242</v>
      </c>
      <c r="W591" s="105" t="s">
        <v>2673</v>
      </c>
      <c r="X591" s="114">
        <v>1944265133</v>
      </c>
      <c r="Y591" s="55">
        <v>1944265133</v>
      </c>
      <c r="Z591" s="4" t="s">
        <v>2674</v>
      </c>
      <c r="AA591" s="4">
        <v>1332415646</v>
      </c>
      <c r="AB591" s="4" t="s">
        <v>186</v>
      </c>
      <c r="AC591" s="4" t="s">
        <v>79</v>
      </c>
      <c r="AD591" s="113" t="s">
        <v>2675</v>
      </c>
      <c r="AE591" s="107">
        <v>25</v>
      </c>
      <c r="AF591" s="4" t="s">
        <v>80</v>
      </c>
      <c r="AG591" s="114">
        <v>3754333320</v>
      </c>
      <c r="AH591" s="4" t="s">
        <v>242</v>
      </c>
      <c r="AI591" s="55" t="s">
        <v>925</v>
      </c>
      <c r="AJ591" s="55" t="s">
        <v>242</v>
      </c>
      <c r="AK591" s="55">
        <v>2023</v>
      </c>
      <c r="AL591" s="4" t="s">
        <v>209</v>
      </c>
      <c r="AM591" s="4" t="s">
        <v>2676</v>
      </c>
      <c r="AN591" s="4" t="s">
        <v>2677</v>
      </c>
      <c r="AO591" s="4" t="s">
        <v>2505</v>
      </c>
      <c r="AP591" s="4" t="s">
        <v>2678</v>
      </c>
      <c r="AQ591" s="55" t="s">
        <v>88</v>
      </c>
      <c r="AR591" s="4" t="s">
        <v>89</v>
      </c>
      <c r="AS591" s="4" t="s">
        <v>2674</v>
      </c>
      <c r="AT591" s="72">
        <v>37633</v>
      </c>
      <c r="AU591" s="4" t="s">
        <v>2679</v>
      </c>
      <c r="AV591" s="4">
        <v>45328</v>
      </c>
      <c r="AW591" s="4" t="s">
        <v>81</v>
      </c>
      <c r="AX591" s="4" t="s">
        <v>81</v>
      </c>
      <c r="AY591" s="4" t="s">
        <v>81</v>
      </c>
      <c r="AZ591" s="4" t="s">
        <v>81</v>
      </c>
      <c r="BA591" s="4" t="s">
        <v>90</v>
      </c>
      <c r="BB591" s="4">
        <v>10800</v>
      </c>
      <c r="BC591" s="4">
        <v>2700</v>
      </c>
      <c r="BD591" s="4">
        <v>1000</v>
      </c>
      <c r="BE591" s="4" t="s">
        <v>166</v>
      </c>
      <c r="BF591" s="4" t="s">
        <v>242</v>
      </c>
      <c r="BG591" s="4" t="s">
        <v>242</v>
      </c>
      <c r="BH591" s="4" t="s">
        <v>3510</v>
      </c>
      <c r="BI591" s="72"/>
      <c r="BJ591" s="154"/>
      <c r="BK591" s="4"/>
      <c r="BL591" s="105">
        <v>1944265133</v>
      </c>
      <c r="BM591" s="9"/>
      <c r="BN591" s="9"/>
      <c r="BO591" s="9"/>
    </row>
    <row r="592" ht="14.4" s="67" customFormat="1">
      <c r="A592" s="4">
        <v>171938</v>
      </c>
      <c r="B592" s="4"/>
      <c r="C592" s="55" t="s">
        <v>2680</v>
      </c>
      <c r="D592" s="4" t="s">
        <v>2681</v>
      </c>
      <c r="E592" s="4" t="s">
        <v>114</v>
      </c>
      <c r="F592" s="55">
        <v>742896</v>
      </c>
      <c r="G592" s="4" t="s">
        <v>67</v>
      </c>
      <c r="H592" s="4" t="s">
        <v>2465</v>
      </c>
      <c r="I592" s="4" t="s">
        <v>69</v>
      </c>
      <c r="J592" s="55" t="s">
        <v>155</v>
      </c>
      <c r="K592" s="4" t="s">
        <v>1766</v>
      </c>
      <c r="L592" s="4" t="s">
        <v>2466</v>
      </c>
      <c r="M592" s="4" t="str">
        <f>VLOOKUP(A592,[1]Sheet1!$C:$G,5,0)</f>
        <v>Mohammad Joshim</v>
      </c>
      <c r="N592" s="4" t="s">
        <v>74</v>
      </c>
      <c r="O592" s="4" t="s">
        <v>75</v>
      </c>
      <c r="P592" s="4">
        <v>44</v>
      </c>
      <c r="Q592" s="57">
        <v>45532</v>
      </c>
      <c r="R592" s="57">
        <v>45552</v>
      </c>
      <c r="S592" s="113" t="s">
        <v>242</v>
      </c>
      <c r="T592" s="113" t="s">
        <v>242</v>
      </c>
      <c r="U592" s="4" t="s">
        <v>242</v>
      </c>
      <c r="V592" s="4" t="s">
        <v>242</v>
      </c>
      <c r="W592" s="105" t="s">
        <v>2682</v>
      </c>
      <c r="X592" s="114">
        <v>1787878181</v>
      </c>
      <c r="Y592" s="55">
        <v>1915982366</v>
      </c>
      <c r="Z592" s="4" t="s">
        <v>2683</v>
      </c>
      <c r="AA592" s="4">
        <v>1781995745</v>
      </c>
      <c r="AB592" s="4" t="s">
        <v>382</v>
      </c>
      <c r="AC592" s="4" t="s">
        <v>133</v>
      </c>
      <c r="AD592" s="113" t="s">
        <v>2684</v>
      </c>
      <c r="AE592" s="107">
        <v>29</v>
      </c>
      <c r="AF592" s="4" t="s">
        <v>80</v>
      </c>
      <c r="AG592" s="114">
        <v>7759296580</v>
      </c>
      <c r="AH592" s="4" t="s">
        <v>242</v>
      </c>
      <c r="AI592" s="55" t="s">
        <v>2211</v>
      </c>
      <c r="AJ592" s="55" t="s">
        <v>242</v>
      </c>
      <c r="AK592" s="55">
        <v>2024</v>
      </c>
      <c r="AL592" s="4" t="s">
        <v>209</v>
      </c>
      <c r="AM592" s="4" t="s">
        <v>2685</v>
      </c>
      <c r="AN592" s="4" t="s">
        <v>2686</v>
      </c>
      <c r="AO592" s="4" t="s">
        <v>2687</v>
      </c>
      <c r="AP592" s="4" t="s">
        <v>2688</v>
      </c>
      <c r="AQ592" s="55" t="s">
        <v>2689</v>
      </c>
      <c r="AR592" s="4" t="s">
        <v>110</v>
      </c>
      <c r="AS592" s="4" t="s">
        <v>81</v>
      </c>
      <c r="AT592" s="72" t="s">
        <v>81</v>
      </c>
      <c r="AU592" s="4" t="s">
        <v>81</v>
      </c>
      <c r="AV592" s="4" t="s">
        <v>81</v>
      </c>
      <c r="AW592" s="4" t="s">
        <v>81</v>
      </c>
      <c r="AX592" s="4" t="s">
        <v>81</v>
      </c>
      <c r="AY592" s="4" t="s">
        <v>81</v>
      </c>
      <c r="AZ592" s="4" t="s">
        <v>81</v>
      </c>
      <c r="BA592" s="4" t="s">
        <v>90</v>
      </c>
      <c r="BB592" s="4">
        <v>10800</v>
      </c>
      <c r="BC592" s="4">
        <v>2700</v>
      </c>
      <c r="BD592" s="4">
        <v>1000</v>
      </c>
      <c r="BE592" s="4" t="s">
        <v>166</v>
      </c>
      <c r="BF592" s="4" t="s">
        <v>242</v>
      </c>
      <c r="BG592" s="4" t="s">
        <v>242</v>
      </c>
      <c r="BH592" s="4" t="s">
        <v>3510</v>
      </c>
      <c r="BI592" s="72"/>
      <c r="BJ592" s="154"/>
      <c r="BK592" s="4"/>
      <c r="BL592" s="105">
        <v>1787878181</v>
      </c>
      <c r="BM592" s="9"/>
      <c r="BN592" s="9"/>
      <c r="BO592" s="9"/>
    </row>
    <row r="593" ht="14.4" s="67" customFormat="1">
      <c r="A593" s="4">
        <v>171953</v>
      </c>
      <c r="B593" s="4"/>
      <c r="C593" s="55" t="s">
        <v>2690</v>
      </c>
      <c r="D593" s="4" t="s">
        <v>2691</v>
      </c>
      <c r="E593" s="4" t="s">
        <v>66</v>
      </c>
      <c r="F593" s="55"/>
      <c r="G593" s="4" t="s">
        <v>67</v>
      </c>
      <c r="H593" s="4" t="s">
        <v>2465</v>
      </c>
      <c r="I593" s="4" t="s">
        <v>69</v>
      </c>
      <c r="J593" s="55" t="s">
        <v>2495</v>
      </c>
      <c r="K593" s="4" t="s">
        <v>1766</v>
      </c>
      <c r="L593" s="4" t="s">
        <v>2466</v>
      </c>
      <c r="M593" s="4" t="str">
        <f>VLOOKUP(A593,[1]Sheet1!$C:$G,5,0)</f>
        <v>Sabrina Sultana Mou</v>
      </c>
      <c r="N593" s="4" t="s">
        <v>74</v>
      </c>
      <c r="O593" s="4" t="s">
        <v>75</v>
      </c>
      <c r="P593" s="4">
        <v>45</v>
      </c>
      <c r="Q593" s="57">
        <v>45541</v>
      </c>
      <c r="R593" s="57">
        <v>45551</v>
      </c>
      <c r="S593" s="113"/>
      <c r="T593" s="113"/>
      <c r="U593" s="4"/>
      <c r="V593" s="4"/>
      <c r="W593" s="105"/>
      <c r="X593" s="114"/>
      <c r="Y593" s="55"/>
      <c r="Z593" s="4"/>
      <c r="AA593" s="4"/>
      <c r="AB593" s="4"/>
      <c r="AC593" s="4"/>
      <c r="AD593" s="113"/>
      <c r="AE593" s="107"/>
      <c r="AF593" s="4" t="s">
        <v>80</v>
      </c>
      <c r="AG593" s="114"/>
      <c r="AH593" s="4"/>
      <c r="AI593" s="55"/>
      <c r="AJ593" s="55"/>
      <c r="AK593" s="55"/>
      <c r="AL593" s="4"/>
      <c r="AM593" s="4"/>
      <c r="AN593" s="4"/>
      <c r="AO593" s="4"/>
      <c r="AP593" s="4"/>
      <c r="AQ593" s="55"/>
      <c r="AR593" s="4"/>
      <c r="AS593" s="4"/>
      <c r="AT593" s="72"/>
      <c r="AU593" s="4"/>
      <c r="AV593" s="4"/>
      <c r="AW593" s="4"/>
      <c r="AX593" s="4"/>
      <c r="AY593" s="4"/>
      <c r="AZ593" s="4"/>
      <c r="BA593" s="4" t="s">
        <v>90</v>
      </c>
      <c r="BB593" s="4">
        <v>10800</v>
      </c>
      <c r="BC593" s="4">
        <v>2700</v>
      </c>
      <c r="BD593" s="4">
        <v>0</v>
      </c>
      <c r="BE593" s="4" t="s">
        <v>91</v>
      </c>
      <c r="BF593" s="4"/>
      <c r="BG593" s="4"/>
      <c r="BH593" s="4" t="s">
        <v>3510</v>
      </c>
      <c r="BI593" s="72"/>
      <c r="BJ593" s="154"/>
      <c r="BK593" s="4"/>
      <c r="BL593" s="105"/>
      <c r="BM593" s="9"/>
      <c r="BN593" s="9"/>
      <c r="BO593" s="9"/>
    </row>
    <row r="594" ht="14.4" s="67" customFormat="1">
      <c r="A594" s="4">
        <v>171947</v>
      </c>
      <c r="B594" s="4"/>
      <c r="C594" s="55" t="s">
        <v>2692</v>
      </c>
      <c r="D594" s="4" t="s">
        <v>2693</v>
      </c>
      <c r="E594" s="4" t="s">
        <v>66</v>
      </c>
      <c r="F594" s="55"/>
      <c r="G594" s="4" t="s">
        <v>67</v>
      </c>
      <c r="H594" s="4" t="s">
        <v>2465</v>
      </c>
      <c r="I594" s="4" t="s">
        <v>69</v>
      </c>
      <c r="J594" s="55" t="s">
        <v>2495</v>
      </c>
      <c r="K594" s="4" t="s">
        <v>1766</v>
      </c>
      <c r="L594" s="4" t="s">
        <v>2466</v>
      </c>
      <c r="M594" s="4" t="str">
        <f>VLOOKUP(A594,[1]Sheet1!$C:$G,5,0)</f>
        <v>Aminul Islam Sovo</v>
      </c>
      <c r="N594" s="4" t="s">
        <v>74</v>
      </c>
      <c r="O594" s="4" t="s">
        <v>75</v>
      </c>
      <c r="P594" s="4">
        <v>45</v>
      </c>
      <c r="Q594" s="57">
        <v>45541</v>
      </c>
      <c r="R594" s="57">
        <v>45551</v>
      </c>
      <c r="S594" s="113"/>
      <c r="T594" s="113"/>
      <c r="U594" s="4"/>
      <c r="V594" s="4"/>
      <c r="W594" s="105"/>
      <c r="X594" s="114"/>
      <c r="Y594" s="55"/>
      <c r="Z594" s="4"/>
      <c r="AA594" s="4"/>
      <c r="AB594" s="4"/>
      <c r="AC594" s="4"/>
      <c r="AD594" s="113"/>
      <c r="AE594" s="107"/>
      <c r="AF594" s="4" t="s">
        <v>80</v>
      </c>
      <c r="AG594" s="114"/>
      <c r="AH594" s="4"/>
      <c r="AI594" s="55"/>
      <c r="AJ594" s="55"/>
      <c r="AK594" s="55"/>
      <c r="AL594" s="4"/>
      <c r="AM594" s="4"/>
      <c r="AN594" s="4"/>
      <c r="AO594" s="4"/>
      <c r="AP594" s="4"/>
      <c r="AQ594" s="55"/>
      <c r="AR594" s="4"/>
      <c r="AS594" s="4"/>
      <c r="AT594" s="72"/>
      <c r="AU594" s="4"/>
      <c r="AV594" s="4"/>
      <c r="AW594" s="4"/>
      <c r="AX594" s="4"/>
      <c r="AY594" s="4"/>
      <c r="AZ594" s="4"/>
      <c r="BA594" s="4" t="s">
        <v>90</v>
      </c>
      <c r="BB594" s="4">
        <v>10800</v>
      </c>
      <c r="BC594" s="4">
        <v>2700</v>
      </c>
      <c r="BD594" s="4">
        <v>0</v>
      </c>
      <c r="BE594" s="4" t="s">
        <v>91</v>
      </c>
      <c r="BF594" s="4"/>
      <c r="BG594" s="4"/>
      <c r="BH594" s="4" t="s">
        <v>3510</v>
      </c>
      <c r="BI594" s="72"/>
      <c r="BJ594" s="154"/>
      <c r="BK594" s="4"/>
      <c r="BL594" s="105"/>
      <c r="BM594" s="9"/>
      <c r="BN594" s="9"/>
      <c r="BO594" s="9"/>
    </row>
    <row r="595" ht="14.4" s="67" customFormat="1">
      <c r="A595" s="4">
        <v>171948</v>
      </c>
      <c r="B595" s="4"/>
      <c r="C595" s="55" t="s">
        <v>2694</v>
      </c>
      <c r="D595" s="4" t="s">
        <v>2695</v>
      </c>
      <c r="E595" s="4" t="s">
        <v>66</v>
      </c>
      <c r="F595" s="55"/>
      <c r="G595" s="4" t="s">
        <v>67</v>
      </c>
      <c r="H595" s="4" t="s">
        <v>2465</v>
      </c>
      <c r="I595" s="4" t="s">
        <v>69</v>
      </c>
      <c r="J595" s="55" t="s">
        <v>2495</v>
      </c>
      <c r="K595" s="4" t="s">
        <v>1766</v>
      </c>
      <c r="L595" s="4" t="s">
        <v>2466</v>
      </c>
      <c r="M595" s="4" t="str">
        <f>VLOOKUP(A595,[1]Sheet1!$C:$G,5,0)</f>
        <v>Md. Moniruzzaman</v>
      </c>
      <c r="N595" s="4" t="s">
        <v>74</v>
      </c>
      <c r="O595" s="4" t="s">
        <v>75</v>
      </c>
      <c r="P595" s="4">
        <v>45</v>
      </c>
      <c r="Q595" s="57">
        <v>45541</v>
      </c>
      <c r="R595" s="57">
        <v>45551</v>
      </c>
      <c r="S595" s="113"/>
      <c r="T595" s="113"/>
      <c r="U595" s="4"/>
      <c r="V595" s="4"/>
      <c r="W595" s="105"/>
      <c r="X595" s="114"/>
      <c r="Y595" s="55"/>
      <c r="Z595" s="4"/>
      <c r="AA595" s="4"/>
      <c r="AB595" s="4"/>
      <c r="AC595" s="4"/>
      <c r="AD595" s="113"/>
      <c r="AE595" s="107"/>
      <c r="AF595" s="4" t="s">
        <v>80</v>
      </c>
      <c r="AG595" s="114"/>
      <c r="AH595" s="4"/>
      <c r="AI595" s="55"/>
      <c r="AJ595" s="55"/>
      <c r="AK595" s="55"/>
      <c r="AL595" s="4"/>
      <c r="AM595" s="4"/>
      <c r="AN595" s="4"/>
      <c r="AO595" s="4"/>
      <c r="AP595" s="4"/>
      <c r="AQ595" s="55"/>
      <c r="AR595" s="4"/>
      <c r="AS595" s="4"/>
      <c r="AT595" s="72"/>
      <c r="AU595" s="4"/>
      <c r="AV595" s="4"/>
      <c r="AW595" s="4"/>
      <c r="AX595" s="4"/>
      <c r="AY595" s="4"/>
      <c r="AZ595" s="4"/>
      <c r="BA595" s="4" t="s">
        <v>90</v>
      </c>
      <c r="BB595" s="4">
        <v>10800</v>
      </c>
      <c r="BC595" s="4">
        <v>2700</v>
      </c>
      <c r="BD595" s="4">
        <v>0</v>
      </c>
      <c r="BE595" s="4" t="s">
        <v>91</v>
      </c>
      <c r="BF595" s="4"/>
      <c r="BG595" s="4"/>
      <c r="BH595" s="4" t="s">
        <v>3510</v>
      </c>
      <c r="BI595" s="72"/>
      <c r="BJ595" s="154"/>
      <c r="BK595" s="4"/>
      <c r="BL595" s="105"/>
      <c r="BM595" s="9"/>
      <c r="BN595" s="9"/>
      <c r="BO595" s="9"/>
    </row>
    <row r="596" ht="14.4" s="67" customFormat="1">
      <c r="A596" s="4">
        <v>171949</v>
      </c>
      <c r="B596" s="4"/>
      <c r="C596" s="55" t="s">
        <v>6271</v>
      </c>
      <c r="D596" s="4" t="s">
        <v>6590</v>
      </c>
      <c r="E596" s="4" t="s">
        <v>66</v>
      </c>
      <c r="F596" s="55"/>
      <c r="G596" s="4" t="s">
        <v>67</v>
      </c>
      <c r="H596" s="4" t="s">
        <v>2465</v>
      </c>
      <c r="I596" s="4" t="s">
        <v>69</v>
      </c>
      <c r="J596" s="55" t="s">
        <v>2495</v>
      </c>
      <c r="K596" s="4" t="s">
        <v>1766</v>
      </c>
      <c r="L596" s="4" t="s">
        <v>2466</v>
      </c>
      <c r="M596" s="4" t="str">
        <f>VLOOKUP(A596,[1]Sheet1!$C:$G,5,0)</f>
        <v>Md. Moniruzzaman</v>
      </c>
      <c r="N596" s="4" t="s">
        <v>74</v>
      </c>
      <c r="O596" s="4" t="s">
        <v>75</v>
      </c>
      <c r="P596" s="4">
        <v>45</v>
      </c>
      <c r="Q596" s="57">
        <v>45541</v>
      </c>
      <c r="R596" s="57">
        <v>45551</v>
      </c>
      <c r="S596" s="113"/>
      <c r="T596" s="113"/>
      <c r="U596" s="4"/>
      <c r="V596" s="4"/>
      <c r="W596" s="105"/>
      <c r="X596" s="114"/>
      <c r="Y596" s="55"/>
      <c r="Z596" s="4"/>
      <c r="AA596" s="4"/>
      <c r="AB596" s="4"/>
      <c r="AC596" s="4"/>
      <c r="AD596" s="113"/>
      <c r="AE596" s="107"/>
      <c r="AF596" s="4" t="s">
        <v>80</v>
      </c>
      <c r="AG596" s="114"/>
      <c r="AH596" s="4"/>
      <c r="AI596" s="55"/>
      <c r="AJ596" s="55"/>
      <c r="AK596" s="55"/>
      <c r="AL596" s="4"/>
      <c r="AM596" s="4"/>
      <c r="AN596" s="4"/>
      <c r="AO596" s="4"/>
      <c r="AP596" s="4"/>
      <c r="AQ596" s="55"/>
      <c r="AR596" s="4"/>
      <c r="AS596" s="4"/>
      <c r="AT596" s="72"/>
      <c r="AU596" s="4"/>
      <c r="AV596" s="4"/>
      <c r="AW596" s="4"/>
      <c r="AX596" s="4"/>
      <c r="AY596" s="4"/>
      <c r="AZ596" s="4"/>
      <c r="BA596" s="4" t="s">
        <v>90</v>
      </c>
      <c r="BB596" s="4">
        <v>10800</v>
      </c>
      <c r="BC596" s="4">
        <v>2700</v>
      </c>
      <c r="BD596" s="4">
        <v>0</v>
      </c>
      <c r="BE596" s="4" t="s">
        <v>91</v>
      </c>
      <c r="BF596" s="4"/>
      <c r="BG596" s="4"/>
      <c r="BH596" s="4" t="s">
        <v>3510</v>
      </c>
      <c r="BI596" s="72">
        <f>VLOOKUP(A596,'ID Block'!A:L,12,0)</f>
        <v>45589</v>
      </c>
      <c r="BJ596" s="154" t="str">
        <f>VLOOKUP(A596,'ID Block'!A:M,13,0)</f>
        <v>sickness </v>
      </c>
      <c r="BK596" s="4">
        <f ref="BK596:BK628" t="shared" si="17">BI596-R596</f>
        <v>38</v>
      </c>
      <c r="BL596" s="105"/>
      <c r="BM596" s="9"/>
      <c r="BN596" s="9"/>
      <c r="BO596" s="9"/>
    </row>
    <row r="597" ht="14.4" s="67" customFormat="1">
      <c r="A597" s="4">
        <v>171955</v>
      </c>
      <c r="B597" s="4"/>
      <c r="C597" s="55" t="s">
        <v>2698</v>
      </c>
      <c r="D597" s="4" t="s">
        <v>2643</v>
      </c>
      <c r="E597" s="4" t="s">
        <v>66</v>
      </c>
      <c r="F597" s="55"/>
      <c r="G597" s="4" t="s">
        <v>67</v>
      </c>
      <c r="H597" s="4" t="s">
        <v>2465</v>
      </c>
      <c r="I597" s="4" t="s">
        <v>69</v>
      </c>
      <c r="J597" s="55" t="s">
        <v>2495</v>
      </c>
      <c r="K597" s="4" t="s">
        <v>1766</v>
      </c>
      <c r="L597" s="4" t="s">
        <v>2466</v>
      </c>
      <c r="M597" s="4" t="str">
        <f>VLOOKUP(A597,[1]Sheet1!$C:$G,5,0)</f>
        <v>Aminul Islam Sovo</v>
      </c>
      <c r="N597" s="4" t="s">
        <v>74</v>
      </c>
      <c r="O597" s="4" t="s">
        <v>75</v>
      </c>
      <c r="P597" s="4">
        <v>45</v>
      </c>
      <c r="Q597" s="57">
        <v>45541</v>
      </c>
      <c r="R597" s="57">
        <v>45551</v>
      </c>
      <c r="S597" s="113"/>
      <c r="T597" s="113"/>
      <c r="U597" s="4"/>
      <c r="V597" s="4"/>
      <c r="W597" s="105"/>
      <c r="X597" s="114"/>
      <c r="Y597" s="55"/>
      <c r="Z597" s="4"/>
      <c r="AA597" s="4"/>
      <c r="AB597" s="4"/>
      <c r="AC597" s="4"/>
      <c r="AD597" s="113"/>
      <c r="AE597" s="107"/>
      <c r="AF597" s="4" t="s">
        <v>80</v>
      </c>
      <c r="AG597" s="114"/>
      <c r="AH597" s="4"/>
      <c r="AI597" s="55"/>
      <c r="AJ597" s="55"/>
      <c r="AK597" s="55"/>
      <c r="AL597" s="4"/>
      <c r="AM597" s="4"/>
      <c r="AN597" s="4"/>
      <c r="AO597" s="4"/>
      <c r="AP597" s="4"/>
      <c r="AQ597" s="55"/>
      <c r="AR597" s="4"/>
      <c r="AS597" s="4"/>
      <c r="AT597" s="72"/>
      <c r="AU597" s="4"/>
      <c r="AV597" s="4"/>
      <c r="AW597" s="4"/>
      <c r="AX597" s="4"/>
      <c r="AY597" s="4"/>
      <c r="AZ597" s="4"/>
      <c r="BA597" s="4" t="s">
        <v>90</v>
      </c>
      <c r="BB597" s="4">
        <v>10800</v>
      </c>
      <c r="BC597" s="4">
        <v>2700</v>
      </c>
      <c r="BD597" s="4">
        <v>0</v>
      </c>
      <c r="BE597" s="4" t="s">
        <v>91</v>
      </c>
      <c r="BF597" s="4"/>
      <c r="BG597" s="4"/>
      <c r="BH597" s="4" t="s">
        <v>3510</v>
      </c>
      <c r="BI597" s="72"/>
      <c r="BJ597" s="154"/>
      <c r="BK597" s="4"/>
      <c r="BL597" s="105"/>
      <c r="BM597" s="9"/>
      <c r="BN597" s="9"/>
      <c r="BO597" s="9"/>
    </row>
    <row r="598" ht="14.4" s="67" customFormat="1">
      <c r="A598" s="4">
        <v>171959</v>
      </c>
      <c r="B598" s="4"/>
      <c r="C598" s="55" t="s">
        <v>2699</v>
      </c>
      <c r="D598" s="4" t="s">
        <v>2700</v>
      </c>
      <c r="E598" s="4" t="s">
        <v>114</v>
      </c>
      <c r="F598" s="55"/>
      <c r="G598" s="4" t="s">
        <v>67</v>
      </c>
      <c r="H598" s="4" t="s">
        <v>2465</v>
      </c>
      <c r="I598" s="4" t="s">
        <v>69</v>
      </c>
      <c r="J598" s="55" t="s">
        <v>2495</v>
      </c>
      <c r="K598" s="4" t="s">
        <v>1766</v>
      </c>
      <c r="L598" s="4" t="s">
        <v>2466</v>
      </c>
      <c r="M598" s="4" t="str">
        <f>VLOOKUP(A598,[1]Sheet1!$C:$G,5,0)</f>
        <v>Aminul Islam Sovo</v>
      </c>
      <c r="N598" s="4" t="s">
        <v>74</v>
      </c>
      <c r="O598" s="4" t="s">
        <v>75</v>
      </c>
      <c r="P598" s="4">
        <v>45</v>
      </c>
      <c r="Q598" s="57">
        <v>45541</v>
      </c>
      <c r="R598" s="57">
        <v>45551</v>
      </c>
      <c r="S598" s="113"/>
      <c r="T598" s="113"/>
      <c r="U598" s="4"/>
      <c r="V598" s="4"/>
      <c r="W598" s="105"/>
      <c r="X598" s="114"/>
      <c r="Y598" s="55"/>
      <c r="Z598" s="4"/>
      <c r="AA598" s="4"/>
      <c r="AB598" s="4"/>
      <c r="AC598" s="4"/>
      <c r="AD598" s="113"/>
      <c r="AE598" s="107"/>
      <c r="AF598" s="4" t="s">
        <v>360</v>
      </c>
      <c r="AG598" s="114"/>
      <c r="AH598" s="4"/>
      <c r="AI598" s="55"/>
      <c r="AJ598" s="55"/>
      <c r="AK598" s="55"/>
      <c r="AL598" s="4"/>
      <c r="AM598" s="4"/>
      <c r="AN598" s="4"/>
      <c r="AO598" s="4"/>
      <c r="AP598" s="4"/>
      <c r="AQ598" s="55"/>
      <c r="AR598" s="4"/>
      <c r="AS598" s="4"/>
      <c r="AT598" s="72"/>
      <c r="AU598" s="4"/>
      <c r="AV598" s="4"/>
      <c r="AW598" s="4"/>
      <c r="AX598" s="4"/>
      <c r="AY598" s="4"/>
      <c r="AZ598" s="4"/>
      <c r="BA598" s="4" t="s">
        <v>90</v>
      </c>
      <c r="BB598" s="4">
        <v>10800</v>
      </c>
      <c r="BC598" s="4">
        <v>2700</v>
      </c>
      <c r="BD598" s="4">
        <v>0</v>
      </c>
      <c r="BE598" s="4" t="s">
        <v>91</v>
      </c>
      <c r="BF598" s="4"/>
      <c r="BG598" s="4"/>
      <c r="BH598" s="4" t="s">
        <v>3510</v>
      </c>
      <c r="BI598" s="72"/>
      <c r="BJ598" s="154"/>
      <c r="BK598" s="4"/>
      <c r="BL598" s="105"/>
      <c r="BM598" s="9"/>
      <c r="BN598" s="9"/>
      <c r="BO598" s="9"/>
    </row>
    <row r="599" ht="14.4" s="67" customFormat="1">
      <c r="A599" s="4">
        <v>171943</v>
      </c>
      <c r="B599" s="4"/>
      <c r="C599" s="55" t="s">
        <v>2701</v>
      </c>
      <c r="D599" s="4" t="s">
        <v>2702</v>
      </c>
      <c r="E599" s="4" t="s">
        <v>114</v>
      </c>
      <c r="F599" s="55"/>
      <c r="G599" s="4" t="s">
        <v>67</v>
      </c>
      <c r="H599" s="4" t="s">
        <v>2465</v>
      </c>
      <c r="I599" s="4" t="s">
        <v>69</v>
      </c>
      <c r="J599" s="55" t="s">
        <v>2495</v>
      </c>
      <c r="K599" s="4" t="s">
        <v>1766</v>
      </c>
      <c r="L599" s="4" t="s">
        <v>2466</v>
      </c>
      <c r="M599" s="4" t="str">
        <f>VLOOKUP(A599,[1]Sheet1!$C:$G,5,0)</f>
        <v>Halima akter</v>
      </c>
      <c r="N599" s="4" t="s">
        <v>74</v>
      </c>
      <c r="O599" s="4" t="s">
        <v>75</v>
      </c>
      <c r="P599" s="4">
        <v>45</v>
      </c>
      <c r="Q599" s="57">
        <v>45541</v>
      </c>
      <c r="R599" s="57">
        <v>45551</v>
      </c>
      <c r="S599" s="113"/>
      <c r="T599" s="113"/>
      <c r="U599" s="4"/>
      <c r="V599" s="4"/>
      <c r="W599" s="105"/>
      <c r="X599" s="114"/>
      <c r="Y599" s="55"/>
      <c r="Z599" s="4"/>
      <c r="AA599" s="4"/>
      <c r="AB599" s="4"/>
      <c r="AC599" s="4"/>
      <c r="AD599" s="113"/>
      <c r="AE599" s="107"/>
      <c r="AF599" s="4" t="s">
        <v>80</v>
      </c>
      <c r="AG599" s="114"/>
      <c r="AH599" s="4"/>
      <c r="AI599" s="55"/>
      <c r="AJ599" s="55"/>
      <c r="AK599" s="55"/>
      <c r="AL599" s="4"/>
      <c r="AM599" s="4"/>
      <c r="AN599" s="4"/>
      <c r="AO599" s="4"/>
      <c r="AP599" s="4"/>
      <c r="AQ599" s="55"/>
      <c r="AR599" s="4"/>
      <c r="AS599" s="4"/>
      <c r="AT599" s="72"/>
      <c r="AU599" s="4"/>
      <c r="AV599" s="4"/>
      <c r="AW599" s="4"/>
      <c r="AX599" s="4"/>
      <c r="AY599" s="4"/>
      <c r="AZ599" s="4"/>
      <c r="BA599" s="4" t="s">
        <v>90</v>
      </c>
      <c r="BB599" s="4">
        <v>10800</v>
      </c>
      <c r="BC599" s="4">
        <v>2700</v>
      </c>
      <c r="BD599" s="4">
        <v>0</v>
      </c>
      <c r="BE599" s="4" t="s">
        <v>91</v>
      </c>
      <c r="BF599" s="4"/>
      <c r="BG599" s="4"/>
      <c r="BH599" s="4" t="s">
        <v>3510</v>
      </c>
      <c r="BI599" s="72"/>
      <c r="BJ599" s="154"/>
      <c r="BK599" s="4"/>
      <c r="BL599" s="105"/>
      <c r="BM599" s="9"/>
      <c r="BN599" s="9"/>
      <c r="BO599" s="9"/>
    </row>
    <row r="600" ht="14.4" s="67" customFormat="1">
      <c r="A600" s="4">
        <v>171944</v>
      </c>
      <c r="B600" s="4"/>
      <c r="C600" s="55" t="s">
        <v>2703</v>
      </c>
      <c r="D600" s="4" t="s">
        <v>2704</v>
      </c>
      <c r="E600" s="4" t="s">
        <v>66</v>
      </c>
      <c r="F600" s="55"/>
      <c r="G600" s="4" t="s">
        <v>67</v>
      </c>
      <c r="H600" s="4" t="s">
        <v>2465</v>
      </c>
      <c r="I600" s="4" t="s">
        <v>69</v>
      </c>
      <c r="J600" s="55" t="s">
        <v>2495</v>
      </c>
      <c r="K600" s="4" t="s">
        <v>1766</v>
      </c>
      <c r="L600" s="4" t="s">
        <v>2466</v>
      </c>
      <c r="M600" s="4" t="str">
        <f>VLOOKUP(A600,[1]Sheet1!$C:$G,5,0)</f>
        <v>Abdulla Al Mamun</v>
      </c>
      <c r="N600" s="4" t="s">
        <v>74</v>
      </c>
      <c r="O600" s="4" t="s">
        <v>75</v>
      </c>
      <c r="P600" s="4">
        <v>45</v>
      </c>
      <c r="Q600" s="57">
        <v>45541</v>
      </c>
      <c r="R600" s="57">
        <v>45551</v>
      </c>
      <c r="S600" s="113"/>
      <c r="T600" s="113"/>
      <c r="U600" s="4"/>
      <c r="V600" s="4"/>
      <c r="W600" s="105"/>
      <c r="X600" s="114"/>
      <c r="Y600" s="55"/>
      <c r="Z600" s="4"/>
      <c r="AA600" s="4"/>
      <c r="AB600" s="4"/>
      <c r="AC600" s="4"/>
      <c r="AD600" s="113"/>
      <c r="AE600" s="107"/>
      <c r="AF600" s="4" t="s">
        <v>80</v>
      </c>
      <c r="AG600" s="114"/>
      <c r="AH600" s="4"/>
      <c r="AI600" s="55"/>
      <c r="AJ600" s="55"/>
      <c r="AK600" s="55"/>
      <c r="AL600" s="4"/>
      <c r="AM600" s="4"/>
      <c r="AN600" s="4"/>
      <c r="AO600" s="4"/>
      <c r="AP600" s="4"/>
      <c r="AQ600" s="55"/>
      <c r="AR600" s="4"/>
      <c r="AS600" s="4"/>
      <c r="AT600" s="72"/>
      <c r="AU600" s="4"/>
      <c r="AV600" s="4"/>
      <c r="AW600" s="4"/>
      <c r="AX600" s="4"/>
      <c r="AY600" s="4"/>
      <c r="AZ600" s="4"/>
      <c r="BA600" s="4" t="s">
        <v>90</v>
      </c>
      <c r="BB600" s="4">
        <v>10800</v>
      </c>
      <c r="BC600" s="4">
        <v>2700</v>
      </c>
      <c r="BD600" s="4">
        <v>0</v>
      </c>
      <c r="BE600" s="4" t="s">
        <v>91</v>
      </c>
      <c r="BF600" s="4"/>
      <c r="BG600" s="4"/>
      <c r="BH600" s="4" t="s">
        <v>3510</v>
      </c>
      <c r="BI600" s="72"/>
      <c r="BJ600" s="154"/>
      <c r="BK600" s="4"/>
      <c r="BL600" s="105"/>
      <c r="BM600" s="9"/>
      <c r="BN600" s="9"/>
      <c r="BO600" s="9"/>
    </row>
    <row r="601" ht="14.4" s="67" customFormat="1">
      <c r="A601" s="4">
        <v>171945</v>
      </c>
      <c r="B601" s="4"/>
      <c r="C601" s="55" t="s">
        <v>2705</v>
      </c>
      <c r="D601" s="4" t="s">
        <v>2706</v>
      </c>
      <c r="E601" s="4" t="s">
        <v>66</v>
      </c>
      <c r="F601" s="55"/>
      <c r="G601" s="4" t="s">
        <v>67</v>
      </c>
      <c r="H601" s="4" t="s">
        <v>2465</v>
      </c>
      <c r="I601" s="4" t="s">
        <v>69</v>
      </c>
      <c r="J601" s="55" t="s">
        <v>2495</v>
      </c>
      <c r="K601" s="4" t="s">
        <v>1766</v>
      </c>
      <c r="L601" s="4" t="s">
        <v>2466</v>
      </c>
      <c r="M601" s="4" t="str">
        <f>VLOOKUP(A601,[1]Sheet1!$C:$G,5,0)</f>
        <v>Abdulla Al Mamun</v>
      </c>
      <c r="N601" s="4" t="s">
        <v>74</v>
      </c>
      <c r="O601" s="4" t="s">
        <v>75</v>
      </c>
      <c r="P601" s="4">
        <v>45</v>
      </c>
      <c r="Q601" s="57">
        <v>45541</v>
      </c>
      <c r="R601" s="57">
        <v>45551</v>
      </c>
      <c r="S601" s="113"/>
      <c r="T601" s="113"/>
      <c r="U601" s="4"/>
      <c r="V601" s="4"/>
      <c r="W601" s="105"/>
      <c r="X601" s="114"/>
      <c r="Y601" s="55"/>
      <c r="Z601" s="4"/>
      <c r="AA601" s="4"/>
      <c r="AB601" s="4"/>
      <c r="AC601" s="4"/>
      <c r="AD601" s="113"/>
      <c r="AE601" s="107"/>
      <c r="AF601" s="4" t="s">
        <v>80</v>
      </c>
      <c r="AG601" s="114"/>
      <c r="AH601" s="4"/>
      <c r="AI601" s="55"/>
      <c r="AJ601" s="55"/>
      <c r="AK601" s="55"/>
      <c r="AL601" s="4"/>
      <c r="AM601" s="4"/>
      <c r="AN601" s="4"/>
      <c r="AO601" s="4"/>
      <c r="AP601" s="4"/>
      <c r="AQ601" s="55"/>
      <c r="AR601" s="4"/>
      <c r="AS601" s="4"/>
      <c r="AT601" s="72"/>
      <c r="AU601" s="4"/>
      <c r="AV601" s="4"/>
      <c r="AW601" s="4"/>
      <c r="AX601" s="4"/>
      <c r="AY601" s="4"/>
      <c r="AZ601" s="4"/>
      <c r="BA601" s="4" t="s">
        <v>90</v>
      </c>
      <c r="BB601" s="4">
        <v>10800</v>
      </c>
      <c r="BC601" s="4">
        <v>2700</v>
      </c>
      <c r="BD601" s="4">
        <v>0</v>
      </c>
      <c r="BE601" s="4" t="s">
        <v>91</v>
      </c>
      <c r="BF601" s="4"/>
      <c r="BG601" s="4"/>
      <c r="BH601" s="4" t="s">
        <v>3510</v>
      </c>
      <c r="BI601" s="72"/>
      <c r="BJ601" s="154"/>
      <c r="BK601" s="4"/>
      <c r="BL601" s="105"/>
      <c r="BM601" s="9"/>
      <c r="BN601" s="9"/>
      <c r="BO601" s="9"/>
    </row>
    <row r="602" ht="14.4" s="67" customFormat="1">
      <c r="A602" s="4">
        <v>171946</v>
      </c>
      <c r="B602" s="4"/>
      <c r="C602" s="55" t="s">
        <v>2707</v>
      </c>
      <c r="D602" s="4" t="s">
        <v>2708</v>
      </c>
      <c r="E602" s="4" t="s">
        <v>66</v>
      </c>
      <c r="F602" s="55"/>
      <c r="G602" s="4" t="s">
        <v>67</v>
      </c>
      <c r="H602" s="4" t="s">
        <v>2465</v>
      </c>
      <c r="I602" s="4" t="s">
        <v>69</v>
      </c>
      <c r="J602" s="55" t="s">
        <v>2495</v>
      </c>
      <c r="K602" s="4" t="s">
        <v>1766</v>
      </c>
      <c r="L602" s="4" t="s">
        <v>2466</v>
      </c>
      <c r="M602" s="4" t="str">
        <f>VLOOKUP(A602,[1]Sheet1!$C:$G,5,0)</f>
        <v>Abdulla Al Mamun</v>
      </c>
      <c r="N602" s="4" t="s">
        <v>74</v>
      </c>
      <c r="O602" s="4" t="s">
        <v>75</v>
      </c>
      <c r="P602" s="4">
        <v>45</v>
      </c>
      <c r="Q602" s="57">
        <v>45541</v>
      </c>
      <c r="R602" s="57">
        <v>45551</v>
      </c>
      <c r="S602" s="113"/>
      <c r="T602" s="113"/>
      <c r="U602" s="4"/>
      <c r="V602" s="4"/>
      <c r="W602" s="105"/>
      <c r="X602" s="114"/>
      <c r="Y602" s="55"/>
      <c r="Z602" s="4"/>
      <c r="AA602" s="4"/>
      <c r="AB602" s="4"/>
      <c r="AC602" s="4"/>
      <c r="AD602" s="113"/>
      <c r="AE602" s="107"/>
      <c r="AF602" s="4" t="s">
        <v>80</v>
      </c>
      <c r="AG602" s="114"/>
      <c r="AH602" s="4"/>
      <c r="AI602" s="55"/>
      <c r="AJ602" s="55"/>
      <c r="AK602" s="55"/>
      <c r="AL602" s="4"/>
      <c r="AM602" s="4"/>
      <c r="AN602" s="4"/>
      <c r="AO602" s="4"/>
      <c r="AP602" s="4"/>
      <c r="AQ602" s="55"/>
      <c r="AR602" s="4"/>
      <c r="AS602" s="4"/>
      <c r="AT602" s="72"/>
      <c r="AU602" s="4"/>
      <c r="AV602" s="4"/>
      <c r="AW602" s="4"/>
      <c r="AX602" s="4"/>
      <c r="AY602" s="4"/>
      <c r="AZ602" s="4"/>
      <c r="BA602" s="4" t="s">
        <v>90</v>
      </c>
      <c r="BB602" s="4">
        <v>10800</v>
      </c>
      <c r="BC602" s="4">
        <v>2700</v>
      </c>
      <c r="BD602" s="4">
        <v>0</v>
      </c>
      <c r="BE602" s="4" t="s">
        <v>91</v>
      </c>
      <c r="BF602" s="4"/>
      <c r="BG602" s="4"/>
      <c r="BH602" s="4" t="s">
        <v>3510</v>
      </c>
      <c r="BI602" s="72"/>
      <c r="BJ602" s="154"/>
      <c r="BK602" s="4"/>
      <c r="BL602" s="105"/>
      <c r="BM602" s="9"/>
      <c r="BN602" s="9"/>
      <c r="BO602" s="9"/>
    </row>
    <row r="603" ht="14.4" s="67" customFormat="1">
      <c r="A603" s="4">
        <v>171952</v>
      </c>
      <c r="B603" s="4"/>
      <c r="C603" s="55" t="s">
        <v>2709</v>
      </c>
      <c r="D603" s="4" t="s">
        <v>2710</v>
      </c>
      <c r="E603" s="4" t="s">
        <v>66</v>
      </c>
      <c r="F603" s="55"/>
      <c r="G603" s="4" t="s">
        <v>67</v>
      </c>
      <c r="H603" s="4" t="s">
        <v>2465</v>
      </c>
      <c r="I603" s="4" t="s">
        <v>69</v>
      </c>
      <c r="J603" s="55" t="s">
        <v>2495</v>
      </c>
      <c r="K603" s="4" t="s">
        <v>1766</v>
      </c>
      <c r="L603" s="4" t="s">
        <v>2466</v>
      </c>
      <c r="M603" s="4" t="str">
        <f>VLOOKUP(A603,[1]Sheet1!$C:$G,5,0)</f>
        <v>Halima akter</v>
      </c>
      <c r="N603" s="4" t="s">
        <v>74</v>
      </c>
      <c r="O603" s="4" t="s">
        <v>75</v>
      </c>
      <c r="P603" s="4">
        <v>45</v>
      </c>
      <c r="Q603" s="57">
        <v>45541</v>
      </c>
      <c r="R603" s="57">
        <v>45551</v>
      </c>
      <c r="S603" s="113"/>
      <c r="T603" s="113"/>
      <c r="U603" s="4"/>
      <c r="V603" s="4"/>
      <c r="W603" s="105"/>
      <c r="X603" s="114"/>
      <c r="Y603" s="55"/>
      <c r="Z603" s="4"/>
      <c r="AA603" s="4"/>
      <c r="AB603" s="4"/>
      <c r="AC603" s="4"/>
      <c r="AD603" s="113"/>
      <c r="AE603" s="107"/>
      <c r="AF603" s="4" t="s">
        <v>80</v>
      </c>
      <c r="AG603" s="114"/>
      <c r="AH603" s="4"/>
      <c r="AI603" s="55"/>
      <c r="AJ603" s="55"/>
      <c r="AK603" s="55"/>
      <c r="AL603" s="4"/>
      <c r="AM603" s="4"/>
      <c r="AN603" s="4"/>
      <c r="AO603" s="4"/>
      <c r="AP603" s="4"/>
      <c r="AQ603" s="55"/>
      <c r="AR603" s="4"/>
      <c r="AS603" s="4"/>
      <c r="AT603" s="72"/>
      <c r="AU603" s="4"/>
      <c r="AV603" s="4"/>
      <c r="AW603" s="4"/>
      <c r="AX603" s="4"/>
      <c r="AY603" s="4"/>
      <c r="AZ603" s="4"/>
      <c r="BA603" s="4" t="s">
        <v>90</v>
      </c>
      <c r="BB603" s="4">
        <v>10800</v>
      </c>
      <c r="BC603" s="4">
        <v>2700</v>
      </c>
      <c r="BD603" s="4">
        <v>0</v>
      </c>
      <c r="BE603" s="4" t="s">
        <v>91</v>
      </c>
      <c r="BF603" s="4"/>
      <c r="BG603" s="4"/>
      <c r="BH603" s="4" t="s">
        <v>3510</v>
      </c>
      <c r="BI603" s="72"/>
      <c r="BJ603" s="154"/>
      <c r="BK603" s="4"/>
      <c r="BL603" s="105"/>
      <c r="BM603" s="9"/>
      <c r="BN603" s="9"/>
      <c r="BO603" s="9"/>
    </row>
    <row r="604" ht="14.4" s="67" customFormat="1">
      <c r="A604" s="4">
        <v>171958</v>
      </c>
      <c r="B604" s="4"/>
      <c r="C604" s="55" t="s">
        <v>6591</v>
      </c>
      <c r="D604" s="4" t="s">
        <v>6592</v>
      </c>
      <c r="E604" s="4" t="s">
        <v>114</v>
      </c>
      <c r="F604" s="55"/>
      <c r="G604" s="4" t="s">
        <v>67</v>
      </c>
      <c r="H604" s="4" t="s">
        <v>2465</v>
      </c>
      <c r="I604" s="4" t="s">
        <v>69</v>
      </c>
      <c r="J604" s="55" t="s">
        <v>2495</v>
      </c>
      <c r="K604" s="4" t="s">
        <v>1766</v>
      </c>
      <c r="L604" s="4" t="s">
        <v>2466</v>
      </c>
      <c r="M604" s="4" t="str">
        <f>VLOOKUP(A604,[1]Sheet1!$C:$G,5,0)</f>
        <v>Halima akter</v>
      </c>
      <c r="N604" s="4" t="s">
        <v>74</v>
      </c>
      <c r="O604" s="4" t="s">
        <v>75</v>
      </c>
      <c r="P604" s="4">
        <v>45</v>
      </c>
      <c r="Q604" s="57">
        <v>45541</v>
      </c>
      <c r="R604" s="57">
        <v>45551</v>
      </c>
      <c r="S604" s="113"/>
      <c r="T604" s="113"/>
      <c r="U604" s="4"/>
      <c r="V604" s="4"/>
      <c r="W604" s="105"/>
      <c r="X604" s="114"/>
      <c r="Y604" s="55"/>
      <c r="Z604" s="4"/>
      <c r="AA604" s="4"/>
      <c r="AB604" s="4"/>
      <c r="AC604" s="4"/>
      <c r="AD604" s="113"/>
      <c r="AE604" s="107"/>
      <c r="AF604" s="4" t="s">
        <v>80</v>
      </c>
      <c r="AG604" s="114"/>
      <c r="AH604" s="4"/>
      <c r="AI604" s="55"/>
      <c r="AJ604" s="55"/>
      <c r="AK604" s="55"/>
      <c r="AL604" s="4"/>
      <c r="AM604" s="4"/>
      <c r="AN604" s="4"/>
      <c r="AO604" s="4"/>
      <c r="AP604" s="4"/>
      <c r="AQ604" s="55"/>
      <c r="AR604" s="4"/>
      <c r="AS604" s="4"/>
      <c r="AT604" s="72"/>
      <c r="AU604" s="4"/>
      <c r="AV604" s="4"/>
      <c r="AW604" s="4"/>
      <c r="AX604" s="4"/>
      <c r="AY604" s="4"/>
      <c r="AZ604" s="4"/>
      <c r="BA604" s="4" t="s">
        <v>90</v>
      </c>
      <c r="BB604" s="4">
        <v>10800</v>
      </c>
      <c r="BC604" s="4">
        <v>2700</v>
      </c>
      <c r="BD604" s="4">
        <v>0</v>
      </c>
      <c r="BE604" s="4" t="s">
        <v>91</v>
      </c>
      <c r="BF604" s="4"/>
      <c r="BG604" s="4"/>
      <c r="BH604" s="4" t="s">
        <v>3510</v>
      </c>
      <c r="BI604" s="72">
        <f>VLOOKUP(A604,'ID Block'!A:L,12,0)</f>
        <v>45586</v>
      </c>
      <c r="BJ604" s="154" t="str">
        <f>VLOOKUP(A604,'ID Block'!A:M,13,0)</f>
        <v>Graduate</v>
      </c>
      <c r="BK604" s="4">
        <f t="shared" si="17"/>
        <v>35</v>
      </c>
      <c r="BL604" s="105"/>
      <c r="BM604" s="9"/>
      <c r="BN604" s="9"/>
      <c r="BO604" s="9"/>
    </row>
    <row r="605" ht="14.4" s="67" customFormat="1">
      <c r="A605" s="4">
        <v>171956</v>
      </c>
      <c r="B605" s="4"/>
      <c r="C605" s="55" t="s">
        <v>2711</v>
      </c>
      <c r="D605" s="4" t="s">
        <v>2712</v>
      </c>
      <c r="E605" s="4" t="s">
        <v>66</v>
      </c>
      <c r="F605" s="55"/>
      <c r="G605" s="4" t="s">
        <v>67</v>
      </c>
      <c r="H605" s="4" t="s">
        <v>2465</v>
      </c>
      <c r="I605" s="4" t="s">
        <v>69</v>
      </c>
      <c r="J605" s="55" t="s">
        <v>2495</v>
      </c>
      <c r="K605" s="4" t="s">
        <v>1766</v>
      </c>
      <c r="L605" s="4" t="s">
        <v>2466</v>
      </c>
      <c r="M605" s="4" t="str">
        <f>VLOOKUP(A605,[1]Sheet1!$C:$G,5,0)</f>
        <v>Mizanur Rahman</v>
      </c>
      <c r="N605" s="4" t="s">
        <v>74</v>
      </c>
      <c r="O605" s="4" t="s">
        <v>75</v>
      </c>
      <c r="P605" s="4">
        <v>45</v>
      </c>
      <c r="Q605" s="57">
        <v>45541</v>
      </c>
      <c r="R605" s="57">
        <v>45551</v>
      </c>
      <c r="S605" s="113"/>
      <c r="T605" s="113"/>
      <c r="U605" s="4"/>
      <c r="V605" s="4"/>
      <c r="W605" s="105"/>
      <c r="X605" s="114"/>
      <c r="Y605" s="55"/>
      <c r="Z605" s="4"/>
      <c r="AA605" s="4"/>
      <c r="AB605" s="4"/>
      <c r="AC605" s="4"/>
      <c r="AD605" s="113"/>
      <c r="AE605" s="107"/>
      <c r="AF605" s="4" t="s">
        <v>80</v>
      </c>
      <c r="AG605" s="114"/>
      <c r="AH605" s="4"/>
      <c r="AI605" s="55"/>
      <c r="AJ605" s="55"/>
      <c r="AK605" s="55"/>
      <c r="AL605" s="4"/>
      <c r="AM605" s="4"/>
      <c r="AN605" s="4"/>
      <c r="AO605" s="4"/>
      <c r="AP605" s="4"/>
      <c r="AQ605" s="55"/>
      <c r="AR605" s="4"/>
      <c r="AS605" s="4"/>
      <c r="AT605" s="72"/>
      <c r="AU605" s="4"/>
      <c r="AV605" s="4"/>
      <c r="AW605" s="4"/>
      <c r="AX605" s="4"/>
      <c r="AY605" s="4"/>
      <c r="AZ605" s="4"/>
      <c r="BA605" s="4" t="s">
        <v>90</v>
      </c>
      <c r="BB605" s="4">
        <v>10800</v>
      </c>
      <c r="BC605" s="4">
        <v>2700</v>
      </c>
      <c r="BD605" s="4">
        <v>0</v>
      </c>
      <c r="BE605" s="4" t="s">
        <v>91</v>
      </c>
      <c r="BF605" s="4"/>
      <c r="BG605" s="4"/>
      <c r="BH605" s="4" t="s">
        <v>3510</v>
      </c>
      <c r="BI605" s="72"/>
      <c r="BJ605" s="154"/>
      <c r="BK605" s="4"/>
      <c r="BL605" s="105"/>
      <c r="BM605" s="9"/>
      <c r="BN605" s="9"/>
      <c r="BO605" s="9"/>
    </row>
    <row r="606" ht="14.4" s="67" customFormat="1">
      <c r="A606" s="4">
        <v>171963</v>
      </c>
      <c r="B606" s="4">
        <v>171963</v>
      </c>
      <c r="C606" s="55" t="s">
        <v>2713</v>
      </c>
      <c r="D606" s="4" t="s">
        <v>2714</v>
      </c>
      <c r="E606" s="4" t="s">
        <v>114</v>
      </c>
      <c r="F606" s="55">
        <v>1312666935</v>
      </c>
      <c r="G606" s="4" t="s">
        <v>67</v>
      </c>
      <c r="H606" s="4" t="s">
        <v>2465</v>
      </c>
      <c r="I606" s="4" t="s">
        <v>69</v>
      </c>
      <c r="J606" s="55" t="s">
        <v>155</v>
      </c>
      <c r="K606" s="4" t="s">
        <v>1766</v>
      </c>
      <c r="L606" s="4" t="s">
        <v>2466</v>
      </c>
      <c r="M606" s="4" t="str">
        <f>VLOOKUP(A606,[1]Sheet1!$C:$G,5,0)</f>
        <v>Nasir Uddin</v>
      </c>
      <c r="N606" s="4" t="s">
        <v>74</v>
      </c>
      <c r="O606" s="4" t="s">
        <v>75</v>
      </c>
      <c r="P606" s="4">
        <v>45</v>
      </c>
      <c r="Q606" s="57">
        <v>45540</v>
      </c>
      <c r="R606" s="57">
        <v>45558</v>
      </c>
      <c r="S606" s="113" t="s">
        <v>242</v>
      </c>
      <c r="T606" s="113" t="s">
        <v>242</v>
      </c>
      <c r="U606" s="4" t="s">
        <v>242</v>
      </c>
      <c r="V606" s="4" t="s">
        <v>242</v>
      </c>
      <c r="W606" s="105" t="s">
        <v>2715</v>
      </c>
      <c r="X606" s="114">
        <v>1896092696</v>
      </c>
      <c r="Y606" s="55">
        <v>1924675280</v>
      </c>
      <c r="Z606" s="4" t="s">
        <v>2716</v>
      </c>
      <c r="AA606" s="4">
        <v>1763053605</v>
      </c>
      <c r="AB606" s="4" t="s">
        <v>252</v>
      </c>
      <c r="AC606" s="4" t="s">
        <v>119</v>
      </c>
      <c r="AD606" s="113">
        <v>37173</v>
      </c>
      <c r="AE606" s="107">
        <v>24</v>
      </c>
      <c r="AF606" s="4" t="s">
        <v>80</v>
      </c>
      <c r="AG606" s="114">
        <v>9582009610</v>
      </c>
      <c r="AH606" s="4" t="s">
        <v>242</v>
      </c>
      <c r="AI606" s="55" t="s">
        <v>925</v>
      </c>
      <c r="AJ606" s="55" t="s">
        <v>242</v>
      </c>
      <c r="AK606" s="55">
        <v>2022</v>
      </c>
      <c r="AL606" s="4" t="s">
        <v>2010</v>
      </c>
      <c r="AM606" s="4" t="s">
        <v>2717</v>
      </c>
      <c r="AN606" s="4" t="s">
        <v>2718</v>
      </c>
      <c r="AO606" s="4" t="s">
        <v>2719</v>
      </c>
      <c r="AP606" s="4" t="s">
        <v>2720</v>
      </c>
      <c r="AQ606" s="55" t="s">
        <v>2721</v>
      </c>
      <c r="AR606" s="4" t="s">
        <v>110</v>
      </c>
      <c r="AS606" s="4" t="s">
        <v>81</v>
      </c>
      <c r="AT606" s="72" t="s">
        <v>81</v>
      </c>
      <c r="AU606" s="4" t="s">
        <v>81</v>
      </c>
      <c r="AV606" s="4" t="s">
        <v>81</v>
      </c>
      <c r="AW606" s="4" t="s">
        <v>81</v>
      </c>
      <c r="AX606" s="4" t="s">
        <v>81</v>
      </c>
      <c r="AY606" s="4" t="s">
        <v>81</v>
      </c>
      <c r="AZ606" s="4" t="s">
        <v>2722</v>
      </c>
      <c r="BA606" s="4" t="s">
        <v>90</v>
      </c>
      <c r="BB606" s="4">
        <v>10800</v>
      </c>
      <c r="BC606" s="4">
        <v>2700</v>
      </c>
      <c r="BD606" s="4">
        <v>1000</v>
      </c>
      <c r="BE606" s="4" t="s">
        <v>166</v>
      </c>
      <c r="BF606" s="4" t="s">
        <v>242</v>
      </c>
      <c r="BG606" s="4" t="s">
        <v>242</v>
      </c>
      <c r="BH606" s="4" t="s">
        <v>3510</v>
      </c>
      <c r="BI606" s="72"/>
      <c r="BJ606" s="154"/>
      <c r="BK606" s="4"/>
      <c r="BL606" s="105"/>
      <c r="BM606" s="9"/>
      <c r="BN606" s="9"/>
      <c r="BO606" s="9"/>
    </row>
    <row r="607" ht="14.4" s="67" customFormat="1">
      <c r="A607" s="4">
        <v>171968</v>
      </c>
      <c r="B607" s="4">
        <v>171968</v>
      </c>
      <c r="C607" s="55" t="s">
        <v>2723</v>
      </c>
      <c r="D607" s="4" t="s">
        <v>2724</v>
      </c>
      <c r="E607" s="4" t="s">
        <v>114</v>
      </c>
      <c r="F607" s="55">
        <v>1410899210</v>
      </c>
      <c r="G607" s="4" t="s">
        <v>67</v>
      </c>
      <c r="H607" s="4" t="s">
        <v>2465</v>
      </c>
      <c r="I607" s="4" t="s">
        <v>69</v>
      </c>
      <c r="J607" s="55" t="s">
        <v>155</v>
      </c>
      <c r="K607" s="4" t="s">
        <v>1766</v>
      </c>
      <c r="L607" s="4" t="s">
        <v>2466</v>
      </c>
      <c r="M607" s="4" t="str">
        <f>VLOOKUP(A607,[1]Sheet1!$C:$G,5,0)</f>
        <v>Mohammad Joshim</v>
      </c>
      <c r="N607" s="4" t="s">
        <v>74</v>
      </c>
      <c r="O607" s="4" t="s">
        <v>75</v>
      </c>
      <c r="P607" s="4">
        <v>45</v>
      </c>
      <c r="Q607" s="57">
        <v>45540</v>
      </c>
      <c r="R607" s="57">
        <v>45558</v>
      </c>
      <c r="S607" s="113" t="s">
        <v>242</v>
      </c>
      <c r="T607" s="113" t="s">
        <v>242</v>
      </c>
      <c r="U607" s="4" t="s">
        <v>242</v>
      </c>
      <c r="V607" s="4" t="s">
        <v>242</v>
      </c>
      <c r="W607" s="105" t="s">
        <v>2725</v>
      </c>
      <c r="X607" s="114">
        <v>1918956338</v>
      </c>
      <c r="Y607" s="55">
        <v>1645056959</v>
      </c>
      <c r="Z607" s="4" t="s">
        <v>2726</v>
      </c>
      <c r="AA607" s="4">
        <v>1918956337</v>
      </c>
      <c r="AB607" s="4" t="s">
        <v>101</v>
      </c>
      <c r="AC607" s="4" t="s">
        <v>79</v>
      </c>
      <c r="AD607" s="113">
        <v>36291</v>
      </c>
      <c r="AE607" s="107">
        <v>24</v>
      </c>
      <c r="AF607" s="4" t="s">
        <v>80</v>
      </c>
      <c r="AG607" s="114">
        <v>4210773968</v>
      </c>
      <c r="AH607" s="4" t="s">
        <v>242</v>
      </c>
      <c r="AI607" s="55" t="s">
        <v>925</v>
      </c>
      <c r="AJ607" s="55" t="s">
        <v>242</v>
      </c>
      <c r="AK607" s="55">
        <v>2023</v>
      </c>
      <c r="AL607" s="4" t="s">
        <v>2727</v>
      </c>
      <c r="AM607" s="4" t="s">
        <v>2728</v>
      </c>
      <c r="AN607" s="4" t="s">
        <v>2729</v>
      </c>
      <c r="AO607" s="4" t="s">
        <v>2730</v>
      </c>
      <c r="AP607" s="4" t="s">
        <v>2730</v>
      </c>
      <c r="AQ607" s="55" t="s">
        <v>2731</v>
      </c>
      <c r="AR607" s="4" t="s">
        <v>89</v>
      </c>
      <c r="AS607" s="4" t="s">
        <v>2732</v>
      </c>
      <c r="AT607" s="72" t="s">
        <v>81</v>
      </c>
      <c r="AU607" s="4" t="s">
        <v>81</v>
      </c>
      <c r="AV607" s="4" t="s">
        <v>81</v>
      </c>
      <c r="AW607" s="4" t="s">
        <v>81</v>
      </c>
      <c r="AX607" s="4" t="s">
        <v>81</v>
      </c>
      <c r="AY607" s="4" t="s">
        <v>81</v>
      </c>
      <c r="AZ607" s="4" t="s">
        <v>81</v>
      </c>
      <c r="BA607" s="4" t="s">
        <v>90</v>
      </c>
      <c r="BB607" s="4">
        <v>10800</v>
      </c>
      <c r="BC607" s="4">
        <v>2700</v>
      </c>
      <c r="BD607" s="4">
        <v>1000</v>
      </c>
      <c r="BE607" s="4" t="s">
        <v>166</v>
      </c>
      <c r="BF607" s="4" t="s">
        <v>242</v>
      </c>
      <c r="BG607" s="4" t="s">
        <v>242</v>
      </c>
      <c r="BH607" s="4" t="s">
        <v>3510</v>
      </c>
      <c r="BI607" s="72"/>
      <c r="BJ607" s="154"/>
      <c r="BK607" s="4"/>
      <c r="BL607" s="105"/>
      <c r="BM607" s="9"/>
      <c r="BN607" s="9"/>
      <c r="BO607" s="9"/>
    </row>
    <row r="608" ht="14.4" s="67" customFormat="1">
      <c r="A608" s="4">
        <v>171964</v>
      </c>
      <c r="B608" s="4">
        <v>171964</v>
      </c>
      <c r="C608" s="55" t="s">
        <v>2733</v>
      </c>
      <c r="D608" s="4" t="s">
        <v>2734</v>
      </c>
      <c r="E608" s="4" t="s">
        <v>114</v>
      </c>
      <c r="F608" s="55">
        <v>1012692526</v>
      </c>
      <c r="G608" s="4" t="s">
        <v>67</v>
      </c>
      <c r="H608" s="4" t="s">
        <v>2465</v>
      </c>
      <c r="I608" s="4" t="s">
        <v>69</v>
      </c>
      <c r="J608" s="55" t="s">
        <v>155</v>
      </c>
      <c r="K608" s="4" t="s">
        <v>1766</v>
      </c>
      <c r="L608" s="4" t="s">
        <v>2466</v>
      </c>
      <c r="M608" s="4" t="str">
        <f>VLOOKUP(A608,[1]Sheet1!$C:$G,5,0)</f>
        <v>Md. Tanjir Ahmed</v>
      </c>
      <c r="N608" s="4" t="s">
        <v>74</v>
      </c>
      <c r="O608" s="4" t="s">
        <v>75</v>
      </c>
      <c r="P608" s="4">
        <v>45</v>
      </c>
      <c r="Q608" s="57">
        <v>45540</v>
      </c>
      <c r="R608" s="57">
        <v>45560</v>
      </c>
      <c r="S608" s="113" t="s">
        <v>242</v>
      </c>
      <c r="T608" s="113" t="s">
        <v>242</v>
      </c>
      <c r="U608" s="4" t="s">
        <v>242</v>
      </c>
      <c r="V608" s="4" t="s">
        <v>242</v>
      </c>
      <c r="W608" s="105" t="s">
        <v>2735</v>
      </c>
      <c r="X608" s="114">
        <v>1788260071</v>
      </c>
      <c r="Y608" s="55">
        <v>1788260071</v>
      </c>
      <c r="Z608" s="4" t="s">
        <v>2736</v>
      </c>
      <c r="AA608" s="4">
        <v>197244650</v>
      </c>
      <c r="AB608" s="4" t="s">
        <v>252</v>
      </c>
      <c r="AC608" s="4" t="s">
        <v>119</v>
      </c>
      <c r="AD608" s="113">
        <v>35776</v>
      </c>
      <c r="AE608" s="107">
        <v>26</v>
      </c>
      <c r="AF608" s="4" t="s">
        <v>80</v>
      </c>
      <c r="AG608" s="114">
        <v>1507191532</v>
      </c>
      <c r="AH608" s="4" t="s">
        <v>242</v>
      </c>
      <c r="AI608" s="55" t="s">
        <v>925</v>
      </c>
      <c r="AJ608" s="55" t="s">
        <v>242</v>
      </c>
      <c r="AK608" s="55">
        <v>2022</v>
      </c>
      <c r="AL608" s="4" t="s">
        <v>2737</v>
      </c>
      <c r="AM608" s="4" t="s">
        <v>2738</v>
      </c>
      <c r="AN608" s="4" t="s">
        <v>2739</v>
      </c>
      <c r="AO608" s="4" t="s">
        <v>2740</v>
      </c>
      <c r="AP608" s="4" t="s">
        <v>2741</v>
      </c>
      <c r="AQ608" s="55" t="s">
        <v>1188</v>
      </c>
      <c r="AR608" s="4" t="s">
        <v>110</v>
      </c>
      <c r="AS608" s="4" t="s">
        <v>81</v>
      </c>
      <c r="AT608" s="72" t="s">
        <v>81</v>
      </c>
      <c r="AU608" s="4" t="s">
        <v>81</v>
      </c>
      <c r="AV608" s="4" t="s">
        <v>81</v>
      </c>
      <c r="AW608" s="4" t="s">
        <v>81</v>
      </c>
      <c r="AX608" s="4" t="s">
        <v>81</v>
      </c>
      <c r="AY608" s="4" t="s">
        <v>81</v>
      </c>
      <c r="AZ608" s="4" t="s">
        <v>81</v>
      </c>
      <c r="BA608" s="4" t="s">
        <v>90</v>
      </c>
      <c r="BB608" s="4">
        <v>10800</v>
      </c>
      <c r="BC608" s="4">
        <v>2700</v>
      </c>
      <c r="BD608" s="4">
        <v>1000</v>
      </c>
      <c r="BE608" s="4" t="s">
        <v>166</v>
      </c>
      <c r="BF608" s="4" t="s">
        <v>242</v>
      </c>
      <c r="BG608" s="4" t="s">
        <v>242</v>
      </c>
      <c r="BH608" s="4" t="s">
        <v>3510</v>
      </c>
      <c r="BI608" s="72"/>
      <c r="BJ608" s="154"/>
      <c r="BK608" s="4"/>
      <c r="BL608" s="105"/>
      <c r="BM608" s="9"/>
      <c r="BN608" s="9"/>
      <c r="BO608" s="9"/>
    </row>
    <row r="609" ht="14.4" s="67" customFormat="1">
      <c r="A609" s="4">
        <v>171961</v>
      </c>
      <c r="B609" s="4">
        <v>171961</v>
      </c>
      <c r="C609" s="55" t="s">
        <v>2997</v>
      </c>
      <c r="D609" s="4" t="s">
        <v>2998</v>
      </c>
      <c r="E609" s="4" t="s">
        <v>114</v>
      </c>
      <c r="F609" s="55">
        <v>1118969682</v>
      </c>
      <c r="G609" s="4" t="s">
        <v>67</v>
      </c>
      <c r="H609" s="4" t="s">
        <v>2465</v>
      </c>
      <c r="I609" s="4" t="s">
        <v>69</v>
      </c>
      <c r="J609" s="55" t="s">
        <v>155</v>
      </c>
      <c r="K609" s="4" t="s">
        <v>1766</v>
      </c>
      <c r="L609" s="4" t="s">
        <v>2466</v>
      </c>
      <c r="M609" s="4" t="str">
        <f>VLOOKUP(A609,[1]Sheet1!$C:$G,5,0)</f>
        <v>Abu MD. Rifat Imtiaz</v>
      </c>
      <c r="N609" s="4" t="s">
        <v>74</v>
      </c>
      <c r="O609" s="4" t="s">
        <v>75</v>
      </c>
      <c r="P609" s="4">
        <v>45</v>
      </c>
      <c r="Q609" s="57">
        <v>45540</v>
      </c>
      <c r="R609" s="57">
        <v>45560</v>
      </c>
      <c r="S609" s="113" t="s">
        <v>242</v>
      </c>
      <c r="T609" s="113" t="s">
        <v>242</v>
      </c>
      <c r="U609" s="4" t="s">
        <v>242</v>
      </c>
      <c r="V609" s="4" t="s">
        <v>242</v>
      </c>
      <c r="W609" s="105" t="s">
        <v>2999</v>
      </c>
      <c r="X609" s="114">
        <v>1941074197</v>
      </c>
      <c r="Y609" s="55">
        <v>1941074197</v>
      </c>
      <c r="Z609" s="4" t="s">
        <v>3000</v>
      </c>
      <c r="AA609" s="4">
        <v>1518792539</v>
      </c>
      <c r="AB609" s="4" t="s">
        <v>382</v>
      </c>
      <c r="AC609" s="4" t="s">
        <v>2456</v>
      </c>
      <c r="AD609" s="113">
        <v>35796</v>
      </c>
      <c r="AE609" s="107">
        <v>27</v>
      </c>
      <c r="AF609" s="4" t="s">
        <v>80</v>
      </c>
      <c r="AG609" s="114">
        <v>1952841409</v>
      </c>
      <c r="AH609" s="4" t="s">
        <v>242</v>
      </c>
      <c r="AI609" s="55" t="s">
        <v>925</v>
      </c>
      <c r="AJ609" s="55" t="s">
        <v>242</v>
      </c>
      <c r="AK609" s="55">
        <v>2020</v>
      </c>
      <c r="AL609" s="4" t="s">
        <v>2010</v>
      </c>
      <c r="AM609" s="4" t="s">
        <v>3001</v>
      </c>
      <c r="AN609" s="4" t="s">
        <v>820</v>
      </c>
      <c r="AO609" s="4" t="s">
        <v>3002</v>
      </c>
      <c r="AP609" s="4" t="s">
        <v>3003</v>
      </c>
      <c r="AQ609" s="55" t="s">
        <v>88</v>
      </c>
      <c r="AR609" s="4" t="s">
        <v>110</v>
      </c>
      <c r="AS609" s="4" t="s">
        <v>81</v>
      </c>
      <c r="AT609" s="72" t="s">
        <v>81</v>
      </c>
      <c r="AU609" s="4" t="s">
        <v>81</v>
      </c>
      <c r="AV609" s="4" t="s">
        <v>81</v>
      </c>
      <c r="AW609" s="4" t="s">
        <v>81</v>
      </c>
      <c r="AX609" s="4" t="s">
        <v>81</v>
      </c>
      <c r="AY609" s="4" t="s">
        <v>81</v>
      </c>
      <c r="AZ609" s="4" t="s">
        <v>81</v>
      </c>
      <c r="BA609" s="4" t="s">
        <v>90</v>
      </c>
      <c r="BB609" s="4">
        <v>10800</v>
      </c>
      <c r="BC609" s="4">
        <v>2700</v>
      </c>
      <c r="BD609" s="4">
        <v>1000</v>
      </c>
      <c r="BE609" s="4" t="s">
        <v>166</v>
      </c>
      <c r="BF609" s="4" t="s">
        <v>242</v>
      </c>
      <c r="BG609" s="4" t="s">
        <v>242</v>
      </c>
      <c r="BH609" s="4" t="s">
        <v>3510</v>
      </c>
      <c r="BI609" s="72">
        <f>VLOOKUP(A609,'ID Block'!A:L,12,0)</f>
        <v>45581</v>
      </c>
      <c r="BJ609" s="154" t="str">
        <f>VLOOKUP(A609,'ID Block'!A:M,13,0)</f>
        <v>Voluntary/Resign</v>
      </c>
      <c r="BK609" s="4">
        <f t="shared" si="17"/>
        <v>21</v>
      </c>
      <c r="BL609" s="105"/>
      <c r="BM609" s="9"/>
      <c r="BN609" s="9"/>
      <c r="BO609" s="9"/>
    </row>
    <row r="610" ht="14.4" s="67" customFormat="1">
      <c r="A610" s="207">
        <v>171508</v>
      </c>
      <c r="B610" s="207"/>
      <c r="C610" s="208" t="s">
        <v>6593</v>
      </c>
      <c r="D610" s="207" t="s">
        <v>6594</v>
      </c>
      <c r="E610" s="207" t="s">
        <v>114</v>
      </c>
      <c r="F610" s="208">
        <v>158281</v>
      </c>
      <c r="G610" s="207" t="s">
        <v>67</v>
      </c>
      <c r="H610" s="207" t="s">
        <v>68</v>
      </c>
      <c r="I610" s="207" t="s">
        <v>69</v>
      </c>
      <c r="J610" s="208" t="s">
        <v>155</v>
      </c>
      <c r="K610" s="207" t="s">
        <v>71</v>
      </c>
      <c r="L610" s="207" t="s">
        <v>72</v>
      </c>
      <c r="M610" s="207" t="s">
        <v>196</v>
      </c>
      <c r="N610" s="207" t="s">
        <v>74</v>
      </c>
      <c r="O610" s="207" t="s">
        <v>75</v>
      </c>
      <c r="P610" s="207">
        <v>29</v>
      </c>
      <c r="Q610" s="209">
        <v>45432</v>
      </c>
      <c r="R610" s="209">
        <v>45454</v>
      </c>
      <c r="S610" s="210"/>
      <c r="T610" s="210"/>
      <c r="U610" s="207"/>
      <c r="V610" s="207"/>
      <c r="W610" s="105" t="s">
        <v>6595</v>
      </c>
      <c r="X610" s="211">
        <v>1319292260</v>
      </c>
      <c r="Y610" s="208"/>
      <c r="Z610" s="207" t="s">
        <v>6596</v>
      </c>
      <c r="AA610" s="207">
        <v>1722355388</v>
      </c>
      <c r="AB610" s="207" t="s">
        <v>101</v>
      </c>
      <c r="AC610" s="207" t="s">
        <v>79</v>
      </c>
      <c r="AD610" s="210">
        <v>35128</v>
      </c>
      <c r="AE610" s="212">
        <f>((TODAY())-AD610)/365</f>
        <v>28.956164383561642</v>
      </c>
      <c r="AF610" s="207" t="s">
        <v>80</v>
      </c>
      <c r="AG610" s="211">
        <v>7352828896</v>
      </c>
      <c r="AH610" s="207" t="s">
        <v>242</v>
      </c>
      <c r="AI610" s="208" t="s">
        <v>2211</v>
      </c>
      <c r="AJ610" s="208" t="s">
        <v>81</v>
      </c>
      <c r="AK610" s="208">
        <v>2019</v>
      </c>
      <c r="AL610" s="207" t="s">
        <v>6597</v>
      </c>
      <c r="AM610" s="207" t="s">
        <v>6596</v>
      </c>
      <c r="AN610" s="207" t="s">
        <v>820</v>
      </c>
      <c r="AO610" s="207" t="s">
        <v>6598</v>
      </c>
      <c r="AP610" s="207" t="s">
        <v>6599</v>
      </c>
      <c r="AQ610" s="208" t="s">
        <v>428</v>
      </c>
      <c r="AR610" s="207" t="s">
        <v>1363</v>
      </c>
      <c r="AS610" s="207" t="s">
        <v>81</v>
      </c>
      <c r="AT610" s="213" t="s">
        <v>1283</v>
      </c>
      <c r="AU610" s="207" t="s">
        <v>81</v>
      </c>
      <c r="AV610" s="207" t="s">
        <v>81</v>
      </c>
      <c r="AW610" s="207" t="s">
        <v>81</v>
      </c>
      <c r="AX610" s="207" t="s">
        <v>81</v>
      </c>
      <c r="AY610" s="207" t="s">
        <v>81</v>
      </c>
      <c r="AZ610" s="207" t="s">
        <v>81</v>
      </c>
      <c r="BA610" s="207" t="s">
        <v>90</v>
      </c>
      <c r="BB610" s="207">
        <v>10800</v>
      </c>
      <c r="BC610" s="207">
        <v>2700</v>
      </c>
      <c r="BD610" s="207">
        <v>1000</v>
      </c>
      <c r="BE610" s="207" t="s">
        <v>166</v>
      </c>
      <c r="BF610" s="207"/>
      <c r="BG610" s="207"/>
      <c r="BH610" s="4" t="s">
        <v>3510</v>
      </c>
      <c r="BI610" s="72">
        <f>VLOOKUP(A610,'ID Block'!A:L,12,0)</f>
        <v>45551</v>
      </c>
      <c r="BJ610" s="154" t="str">
        <f>VLOOKUP(A610,'ID Block'!A:M,13,0)</f>
        <v>Better Opportunity</v>
      </c>
      <c r="BK610" s="4">
        <f t="shared" si="17"/>
        <v>97</v>
      </c>
      <c r="BL610" s="105"/>
      <c r="BM610" s="9"/>
      <c r="BN610" s="9"/>
      <c r="BO610" s="9"/>
    </row>
    <row r="611" ht="14.4" s="67" customFormat="1">
      <c r="A611" s="207">
        <v>171921</v>
      </c>
      <c r="B611" s="207"/>
      <c r="C611" s="208" t="s">
        <v>3052</v>
      </c>
      <c r="D611" s="207" t="s">
        <v>6600</v>
      </c>
      <c r="E611" s="207" t="s">
        <v>66</v>
      </c>
      <c r="F611" s="208"/>
      <c r="G611" s="207" t="s">
        <v>67</v>
      </c>
      <c r="H611" s="207" t="s">
        <v>68</v>
      </c>
      <c r="I611" s="207" t="s">
        <v>69</v>
      </c>
      <c r="J611" s="208" t="s">
        <v>2495</v>
      </c>
      <c r="K611" s="207" t="s">
        <v>71</v>
      </c>
      <c r="L611" s="207" t="s">
        <v>72</v>
      </c>
      <c r="M611" s="4" t="s">
        <v>287</v>
      </c>
      <c r="N611" s="207" t="s">
        <v>74</v>
      </c>
      <c r="O611" s="207" t="s">
        <v>75</v>
      </c>
      <c r="P611" s="207">
        <v>44</v>
      </c>
      <c r="Q611" s="209">
        <v>45533</v>
      </c>
      <c r="R611" s="209">
        <v>45541</v>
      </c>
      <c r="S611" s="210"/>
      <c r="T611" s="210"/>
      <c r="U611" s="207"/>
      <c r="V611" s="207"/>
      <c r="W611" s="105"/>
      <c r="X611" s="211">
        <v>1613493223</v>
      </c>
      <c r="Y611" s="208"/>
      <c r="Z611" s="207"/>
      <c r="AA611" s="207"/>
      <c r="AB611" s="207"/>
      <c r="AC611" s="207"/>
      <c r="AD611" s="210"/>
      <c r="AE611" s="212"/>
      <c r="AF611" s="207" t="s">
        <v>360</v>
      </c>
      <c r="AG611" s="211"/>
      <c r="AH611" s="207"/>
      <c r="AI611" s="208"/>
      <c r="AJ611" s="208"/>
      <c r="AK611" s="208"/>
      <c r="AL611" s="207"/>
      <c r="AM611" s="207"/>
      <c r="AN611" s="207"/>
      <c r="AO611" s="207"/>
      <c r="AP611" s="207"/>
      <c r="AQ611" s="208"/>
      <c r="AR611" s="207"/>
      <c r="AS611" s="207"/>
      <c r="AT611" s="213"/>
      <c r="AU611" s="207"/>
      <c r="AV611" s="207"/>
      <c r="AW611" s="207"/>
      <c r="AX611" s="207"/>
      <c r="AY611" s="207"/>
      <c r="AZ611" s="207"/>
      <c r="BA611" s="207" t="s">
        <v>90</v>
      </c>
      <c r="BB611" s="207">
        <v>10800</v>
      </c>
      <c r="BC611" s="207">
        <v>2700</v>
      </c>
      <c r="BD611" s="207">
        <v>0</v>
      </c>
      <c r="BE611" s="207" t="s">
        <v>91</v>
      </c>
      <c r="BF611" s="207"/>
      <c r="BG611" s="207"/>
      <c r="BH611" s="4" t="s">
        <v>3510</v>
      </c>
      <c r="BI611" s="72"/>
      <c r="BJ611" s="154"/>
      <c r="BK611" s="4"/>
      <c r="BL611" s="105"/>
      <c r="BM611" s="9"/>
      <c r="BN611" s="9"/>
      <c r="BO611" s="9"/>
    </row>
    <row r="612" ht="14.4" s="67" customFormat="1">
      <c r="A612" s="4">
        <v>171279</v>
      </c>
      <c r="B612" s="4"/>
      <c r="C612" s="55" t="s">
        <v>6601</v>
      </c>
      <c r="D612" s="4" t="s">
        <v>6602</v>
      </c>
      <c r="E612" s="4" t="s">
        <v>114</v>
      </c>
      <c r="F612" s="55" t="s">
        <v>81</v>
      </c>
      <c r="G612" s="4" t="s">
        <v>67</v>
      </c>
      <c r="H612" s="4" t="s">
        <v>68</v>
      </c>
      <c r="I612" s="4" t="s">
        <v>69</v>
      </c>
      <c r="J612" s="55" t="s">
        <v>341</v>
      </c>
      <c r="K612" s="4" t="s">
        <v>71</v>
      </c>
      <c r="L612" s="4" t="s">
        <v>72</v>
      </c>
      <c r="M612" s="4" t="s">
        <v>342</v>
      </c>
      <c r="N612" s="4" t="s">
        <v>74</v>
      </c>
      <c r="O612" s="4" t="s">
        <v>75</v>
      </c>
      <c r="P612" s="4">
        <v>20</v>
      </c>
      <c r="Q612" s="57">
        <v>45256</v>
      </c>
      <c r="R612" s="57">
        <v>45261</v>
      </c>
      <c r="S612" s="113"/>
      <c r="T612" s="113"/>
      <c r="U612" s="4"/>
      <c r="V612" s="4"/>
      <c r="W612" s="105" t="s">
        <v>6603</v>
      </c>
      <c r="X612" s="114">
        <v>1617841334</v>
      </c>
      <c r="Y612" s="55">
        <v>1642072210</v>
      </c>
      <c r="Z612" s="4" t="s">
        <v>6604</v>
      </c>
      <c r="AA612" s="4">
        <v>1642072210</v>
      </c>
      <c r="AB612" s="4" t="s">
        <v>252</v>
      </c>
      <c r="AC612" s="4" t="s">
        <v>102</v>
      </c>
      <c r="AD612" s="113">
        <v>34695</v>
      </c>
      <c r="AE612" s="107">
        <f>((TODAY())-AD612)/365</f>
        <v>30.14246575342466</v>
      </c>
      <c r="AF612" s="4" t="s">
        <v>80</v>
      </c>
      <c r="AG612" s="114">
        <v>5967172379</v>
      </c>
      <c r="AH612" s="4" t="s">
        <v>81</v>
      </c>
      <c r="AI612" s="55" t="s">
        <v>217</v>
      </c>
      <c r="AJ612" s="55" t="s">
        <v>81</v>
      </c>
      <c r="AK612" s="55">
        <v>2016</v>
      </c>
      <c r="AL612" s="4" t="s">
        <v>6605</v>
      </c>
      <c r="AM612" s="4" t="s">
        <v>6606</v>
      </c>
      <c r="AN612" s="4" t="s">
        <v>6607</v>
      </c>
      <c r="AO612" s="4" t="s">
        <v>6608</v>
      </c>
      <c r="AP612" s="4" t="s">
        <v>6608</v>
      </c>
      <c r="AQ612" s="55" t="s">
        <v>6609</v>
      </c>
      <c r="AR612" s="4" t="s">
        <v>110</v>
      </c>
      <c r="AS612" s="4" t="s">
        <v>81</v>
      </c>
      <c r="AT612" s="72" t="s">
        <v>81</v>
      </c>
      <c r="AU612" s="4" t="s">
        <v>81</v>
      </c>
      <c r="AV612" s="4" t="s">
        <v>81</v>
      </c>
      <c r="AW612" s="4" t="s">
        <v>81</v>
      </c>
      <c r="AX612" s="4" t="s">
        <v>81</v>
      </c>
      <c r="AY612" s="4"/>
      <c r="AZ612" s="4"/>
      <c r="BA612" s="4" t="s">
        <v>90</v>
      </c>
      <c r="BB612" s="4">
        <v>10800</v>
      </c>
      <c r="BC612" s="4">
        <v>2700</v>
      </c>
      <c r="BD612" s="4">
        <v>0</v>
      </c>
      <c r="BE612" s="4" t="s">
        <v>91</v>
      </c>
      <c r="BF612" s="4"/>
      <c r="BG612" s="4"/>
      <c r="BH612" s="4" t="s">
        <v>3510</v>
      </c>
      <c r="BI612" s="72"/>
      <c r="BJ612" s="154"/>
      <c r="BK612" s="4"/>
      <c r="BL612" s="105"/>
      <c r="BM612" s="9"/>
      <c r="BN612" s="9"/>
      <c r="BO612" s="9"/>
    </row>
    <row r="613" ht="14.4" s="67" customFormat="1">
      <c r="A613" s="4">
        <v>171221</v>
      </c>
      <c r="B613" s="4"/>
      <c r="C613" s="55" t="s">
        <v>2590</v>
      </c>
      <c r="D613" s="4" t="s">
        <v>6610</v>
      </c>
      <c r="E613" s="4" t="s">
        <v>66</v>
      </c>
      <c r="F613" s="55">
        <v>1011147958</v>
      </c>
      <c r="G613" s="4" t="s">
        <v>67</v>
      </c>
      <c r="H613" s="4" t="s">
        <v>68</v>
      </c>
      <c r="I613" s="4" t="s">
        <v>69</v>
      </c>
      <c r="J613" s="55" t="s">
        <v>341</v>
      </c>
      <c r="K613" s="4" t="s">
        <v>71</v>
      </c>
      <c r="L613" s="4" t="s">
        <v>72</v>
      </c>
      <c r="M613" s="4" t="e">
        <v>#N/A</v>
      </c>
      <c r="N613" s="4" t="s">
        <v>74</v>
      </c>
      <c r="O613" s="4" t="s">
        <v>75</v>
      </c>
      <c r="P613" s="4">
        <v>18</v>
      </c>
      <c r="Q613" s="57">
        <v>45246</v>
      </c>
      <c r="R613" s="57">
        <v>45256</v>
      </c>
      <c r="S613" s="113"/>
      <c r="T613" s="113"/>
      <c r="U613" s="4"/>
      <c r="V613" s="4"/>
      <c r="W613" s="105" t="s">
        <v>443</v>
      </c>
      <c r="X613" s="114">
        <v>1748704576</v>
      </c>
      <c r="Y613" s="55">
        <v>1704744049</v>
      </c>
      <c r="Z613" s="4" t="s">
        <v>6611</v>
      </c>
      <c r="AA613" s="4">
        <v>1704744049</v>
      </c>
      <c r="AB613" s="4" t="s">
        <v>132</v>
      </c>
      <c r="AC613" s="4" t="s">
        <v>79</v>
      </c>
      <c r="AD613" s="113">
        <v>35643</v>
      </c>
      <c r="AE613" s="107">
        <f>((TODAY())-AD613)/365</f>
        <v>27.545205479452054</v>
      </c>
      <c r="AF613" s="4" t="s">
        <v>80</v>
      </c>
      <c r="AG613" s="114">
        <v>3752634240</v>
      </c>
      <c r="AH613" s="4" t="s">
        <v>81</v>
      </c>
      <c r="AI613" s="55" t="s">
        <v>1082</v>
      </c>
      <c r="AJ613" s="55" t="s">
        <v>81</v>
      </c>
      <c r="AK613" s="55">
        <v>2022</v>
      </c>
      <c r="AL613" s="4" t="s">
        <v>6612</v>
      </c>
      <c r="AM613" s="4" t="s">
        <v>6613</v>
      </c>
      <c r="AN613" s="4" t="s">
        <v>6611</v>
      </c>
      <c r="AO613" s="4" t="s">
        <v>6614</v>
      </c>
      <c r="AP613" s="4" t="s">
        <v>6615</v>
      </c>
      <c r="AQ613" s="55" t="s">
        <v>88</v>
      </c>
      <c r="AR613" s="4" t="s">
        <v>81</v>
      </c>
      <c r="AS613" s="4" t="s">
        <v>81</v>
      </c>
      <c r="AT613" s="72" t="s">
        <v>81</v>
      </c>
      <c r="AU613" s="4" t="s">
        <v>81</v>
      </c>
      <c r="AV613" s="4" t="s">
        <v>81</v>
      </c>
      <c r="AW613" s="4"/>
      <c r="AX613" s="4"/>
      <c r="AY613" s="4"/>
      <c r="AZ613" s="4"/>
      <c r="BA613" s="4" t="s">
        <v>90</v>
      </c>
      <c r="BB613" s="4">
        <v>10800</v>
      </c>
      <c r="BC613" s="4">
        <v>2700</v>
      </c>
      <c r="BD613" s="4">
        <v>0</v>
      </c>
      <c r="BE613" s="4" t="s">
        <v>296</v>
      </c>
      <c r="BF613" s="4"/>
      <c r="BG613" s="4"/>
      <c r="BH613" s="4" t="s">
        <v>3510</v>
      </c>
      <c r="BI613" s="72">
        <f>VLOOKUP(A613,'ID Block'!A:L,12,0)</f>
        <v>45589</v>
      </c>
      <c r="BJ613" s="154" t="str">
        <f>VLOOKUP(A613,'ID Block'!A:M,13,0)</f>
        <v>Family issue</v>
      </c>
      <c r="BK613" s="4">
        <f ref="BK613:BK615" t="shared" si="18">BI613-R613</f>
        <v>333</v>
      </c>
      <c r="BL613" s="105"/>
      <c r="BM613" s="9"/>
      <c r="BN613" s="9"/>
      <c r="BO613" s="9"/>
    </row>
    <row r="614" ht="14.4" s="67" customFormat="1">
      <c r="A614" s="4">
        <v>171271</v>
      </c>
      <c r="B614" s="4"/>
      <c r="C614" s="55" t="s">
        <v>6616</v>
      </c>
      <c r="D614" s="4" t="s">
        <v>6617</v>
      </c>
      <c r="E614" s="4" t="s">
        <v>114</v>
      </c>
      <c r="F614" s="55">
        <v>985377</v>
      </c>
      <c r="G614" s="4" t="s">
        <v>67</v>
      </c>
      <c r="H614" s="4" t="s">
        <v>68</v>
      </c>
      <c r="I614" s="4" t="s">
        <v>69</v>
      </c>
      <c r="J614" s="55" t="s">
        <v>319</v>
      </c>
      <c r="K614" s="4" t="s">
        <v>71</v>
      </c>
      <c r="L614" s="4" t="s">
        <v>72</v>
      </c>
      <c r="M614" s="4" t="e">
        <v>#N/A</v>
      </c>
      <c r="N614" s="4" t="s">
        <v>74</v>
      </c>
      <c r="O614" s="4" t="s">
        <v>75</v>
      </c>
      <c r="P614" s="4">
        <v>20</v>
      </c>
      <c r="Q614" s="57">
        <v>45256</v>
      </c>
      <c r="R614" s="57">
        <v>45261</v>
      </c>
      <c r="S614" s="113"/>
      <c r="T614" s="113"/>
      <c r="U614" s="4"/>
      <c r="V614" s="4"/>
      <c r="W614" s="105" t="s">
        <v>6618</v>
      </c>
      <c r="X614" s="114">
        <v>1747655339</v>
      </c>
      <c r="Y614" s="55">
        <v>1961276645</v>
      </c>
      <c r="Z614" s="4" t="s">
        <v>6619</v>
      </c>
      <c r="AA614" s="4">
        <v>1771834769</v>
      </c>
      <c r="AB614" s="4" t="s">
        <v>1980</v>
      </c>
      <c r="AC614" s="4" t="s">
        <v>102</v>
      </c>
      <c r="AD614" s="113">
        <v>35001</v>
      </c>
      <c r="AE614" s="107">
        <f>((TODAY())-AD614)/365</f>
        <v>29.304109589041097</v>
      </c>
      <c r="AF614" s="4" t="s">
        <v>80</v>
      </c>
      <c r="AG614" s="114">
        <v>7763103939</v>
      </c>
      <c r="AH614" s="4" t="s">
        <v>81</v>
      </c>
      <c r="AI614" s="55" t="s">
        <v>290</v>
      </c>
      <c r="AJ614" s="55" t="s">
        <v>81</v>
      </c>
      <c r="AK614" s="55">
        <v>2021</v>
      </c>
      <c r="AL614" s="4" t="s">
        <v>5946</v>
      </c>
      <c r="AM614" s="4" t="s">
        <v>6620</v>
      </c>
      <c r="AN614" s="4" t="s">
        <v>6621</v>
      </c>
      <c r="AO614" s="4" t="s">
        <v>6622</v>
      </c>
      <c r="AP614" s="4" t="s">
        <v>6623</v>
      </c>
      <c r="AQ614" s="55" t="s">
        <v>6624</v>
      </c>
      <c r="AR614" s="4" t="s">
        <v>89</v>
      </c>
      <c r="AS614" s="4" t="s">
        <v>6619</v>
      </c>
      <c r="AT614" s="72">
        <v>35370</v>
      </c>
      <c r="AU614" s="4" t="s">
        <v>81</v>
      </c>
      <c r="AV614" s="4" t="s">
        <v>81</v>
      </c>
      <c r="AW614" s="4" t="s">
        <v>81</v>
      </c>
      <c r="AX614" s="4" t="s">
        <v>81</v>
      </c>
      <c r="AY614" s="4"/>
      <c r="AZ614" s="4"/>
      <c r="BA614" s="4" t="s">
        <v>90</v>
      </c>
      <c r="BB614" s="4">
        <v>10800</v>
      </c>
      <c r="BC614" s="4">
        <v>2700</v>
      </c>
      <c r="BD614" s="4">
        <v>0</v>
      </c>
      <c r="BE614" s="4" t="s">
        <v>91</v>
      </c>
      <c r="BF614" s="4"/>
      <c r="BG614" s="4"/>
      <c r="BH614" s="4" t="s">
        <v>3510</v>
      </c>
      <c r="BI614" s="309">
        <v>45514</v>
      </c>
      <c r="BJ614" s="154"/>
      <c r="BK614" s="4">
        <f t="shared" si="18"/>
        <v>253</v>
      </c>
      <c r="BL614" s="105"/>
      <c r="BM614" s="9"/>
      <c r="BN614" s="9"/>
      <c r="BO614" s="9"/>
    </row>
    <row r="615" ht="19.95" customHeight="1" s="67" customFormat="1">
      <c r="A615" s="207">
        <v>171707</v>
      </c>
      <c r="B615" s="207"/>
      <c r="C615" s="208" t="s">
        <v>6625</v>
      </c>
      <c r="D615" s="207" t="s">
        <v>6626</v>
      </c>
      <c r="E615" s="207" t="s">
        <v>114</v>
      </c>
      <c r="F615" s="208">
        <v>1012719218</v>
      </c>
      <c r="G615" s="207" t="s">
        <v>67</v>
      </c>
      <c r="H615" s="207" t="s">
        <v>68</v>
      </c>
      <c r="I615" s="207" t="s">
        <v>69</v>
      </c>
      <c r="J615" s="208" t="s">
        <v>155</v>
      </c>
      <c r="K615" s="207" t="s">
        <v>71</v>
      </c>
      <c r="L615" s="207" t="s">
        <v>72</v>
      </c>
      <c r="M615" s="4" t="e">
        <v>#N/A</v>
      </c>
      <c r="N615" s="207" t="s">
        <v>74</v>
      </c>
      <c r="O615" s="207" t="s">
        <v>75</v>
      </c>
      <c r="P615" s="207">
        <v>36</v>
      </c>
      <c r="Q615" s="209">
        <v>45475</v>
      </c>
      <c r="R615" s="209">
        <v>45490</v>
      </c>
      <c r="S615" s="210"/>
      <c r="T615" s="210"/>
      <c r="U615" s="207"/>
      <c r="V615" s="207"/>
      <c r="W615" s="105" t="s">
        <v>6627</v>
      </c>
      <c r="X615" s="211">
        <v>1798430138</v>
      </c>
      <c r="Y615" s="208">
        <v>1835948210</v>
      </c>
      <c r="Z615" s="207" t="s">
        <v>2613</v>
      </c>
      <c r="AA615" s="207">
        <v>1746024655</v>
      </c>
      <c r="AB615" s="207" t="s">
        <v>132</v>
      </c>
      <c r="AC615" s="207" t="s">
        <v>79</v>
      </c>
      <c r="AD615" s="210">
        <v>36139</v>
      </c>
      <c r="AE615" s="212"/>
      <c r="AF615" s="207" t="s">
        <v>80</v>
      </c>
      <c r="AG615" s="211">
        <v>7807090563</v>
      </c>
      <c r="AH615" s="207" t="s">
        <v>81</v>
      </c>
      <c r="AI615" s="208" t="s">
        <v>6628</v>
      </c>
      <c r="AJ615" s="208" t="s">
        <v>81</v>
      </c>
      <c r="AK615" s="208" t="s">
        <v>81</v>
      </c>
      <c r="AL615" s="207" t="s">
        <v>81</v>
      </c>
      <c r="AM615" s="207" t="s">
        <v>2612</v>
      </c>
      <c r="AN615" s="207" t="s">
        <v>2613</v>
      </c>
      <c r="AO615" s="207" t="s">
        <v>6629</v>
      </c>
      <c r="AP615" s="207" t="s">
        <v>6630</v>
      </c>
      <c r="AQ615" s="208" t="s">
        <v>6631</v>
      </c>
      <c r="AR615" s="207" t="s">
        <v>110</v>
      </c>
      <c r="AS615" s="207" t="s">
        <v>81</v>
      </c>
      <c r="AT615" s="213" t="s">
        <v>81</v>
      </c>
      <c r="AU615" s="207" t="s">
        <v>81</v>
      </c>
      <c r="AV615" s="207" t="s">
        <v>81</v>
      </c>
      <c r="AW615" s="207" t="s">
        <v>81</v>
      </c>
      <c r="AX615" s="207" t="s">
        <v>81</v>
      </c>
      <c r="AY615" s="207" t="s">
        <v>81</v>
      </c>
      <c r="AZ615" s="207" t="s">
        <v>81</v>
      </c>
      <c r="BA615" s="207" t="s">
        <v>90</v>
      </c>
      <c r="BB615" s="207">
        <v>10800</v>
      </c>
      <c r="BC615" s="207">
        <v>2700</v>
      </c>
      <c r="BD615" s="207">
        <v>1000</v>
      </c>
      <c r="BE615" s="207" t="s">
        <v>166</v>
      </c>
      <c r="BF615" s="207"/>
      <c r="BG615" s="207"/>
      <c r="BH615" s="4" t="s">
        <v>3510</v>
      </c>
      <c r="BI615" s="72">
        <f>VLOOKUP(A615,'ID Block'!A:L,12,0)</f>
        <v>45589</v>
      </c>
      <c r="BJ615" s="154" t="str">
        <f>VLOOKUP(A615,'ID Block'!A:M,13,0)</f>
        <v>Better Opportunity</v>
      </c>
      <c r="BK615" s="4">
        <f t="shared" si="18"/>
        <v>99</v>
      </c>
      <c r="BL615" s="105"/>
      <c r="BM615" s="9"/>
      <c r="BN615" s="9"/>
      <c r="BO615" s="9"/>
    </row>
    <row r="616" ht="19.95" customHeight="1" s="67" customFormat="1">
      <c r="A616" s="207">
        <v>171796</v>
      </c>
      <c r="B616" s="207"/>
      <c r="C616" s="208" t="s">
        <v>3078</v>
      </c>
      <c r="D616" s="207" t="s">
        <v>6068</v>
      </c>
      <c r="E616" s="207" t="s">
        <v>114</v>
      </c>
      <c r="F616" s="208">
        <v>1110156766</v>
      </c>
      <c r="G616" s="207" t="s">
        <v>67</v>
      </c>
      <c r="H616" s="207" t="s">
        <v>68</v>
      </c>
      <c r="I616" s="207" t="s">
        <v>69</v>
      </c>
      <c r="J616" s="208" t="s">
        <v>214</v>
      </c>
      <c r="K616" s="207" t="s">
        <v>71</v>
      </c>
      <c r="L616" s="207" t="s">
        <v>72</v>
      </c>
      <c r="M616" s="4" t="s">
        <v>73</v>
      </c>
      <c r="N616" s="207" t="s">
        <v>74</v>
      </c>
      <c r="O616" s="207" t="s">
        <v>2068</v>
      </c>
      <c r="P616" s="207">
        <v>40</v>
      </c>
      <c r="Q616" s="209">
        <v>45492</v>
      </c>
      <c r="R616" s="209">
        <v>45504</v>
      </c>
      <c r="S616" s="210"/>
      <c r="T616" s="210"/>
      <c r="U616" s="207"/>
      <c r="V616" s="207"/>
      <c r="W616" s="105"/>
      <c r="X616" s="211">
        <v>1760717147</v>
      </c>
      <c r="Y616" s="208"/>
      <c r="Z616" s="207" t="s">
        <v>6632</v>
      </c>
      <c r="AA616" s="207">
        <v>1711978046</v>
      </c>
      <c r="AB616" s="207" t="s">
        <v>101</v>
      </c>
      <c r="AC616" s="207" t="s">
        <v>133</v>
      </c>
      <c r="AD616" s="210" t="s">
        <v>6633</v>
      </c>
      <c r="AE616" s="212"/>
      <c r="AF616" s="207" t="s">
        <v>80</v>
      </c>
      <c r="AG616" s="211">
        <v>1902285855</v>
      </c>
      <c r="AH616" s="207"/>
      <c r="AI616" s="208" t="s">
        <v>6634</v>
      </c>
      <c r="AJ616" s="208"/>
      <c r="AK616" s="208"/>
      <c r="AL616" s="207"/>
      <c r="AM616" s="207" t="s">
        <v>6635</v>
      </c>
      <c r="AN616" s="207" t="s">
        <v>6636</v>
      </c>
      <c r="AO616" s="207" t="s">
        <v>6637</v>
      </c>
      <c r="AP616" s="207" t="s">
        <v>6638</v>
      </c>
      <c r="AQ616" s="208" t="s">
        <v>6639</v>
      </c>
      <c r="AR616" s="207"/>
      <c r="AS616" s="207"/>
      <c r="AT616" s="213"/>
      <c r="AU616" s="207"/>
      <c r="AV616" s="207"/>
      <c r="AW616" s="207"/>
      <c r="AX616" s="207"/>
      <c r="AY616" s="207"/>
      <c r="AZ616" s="207"/>
      <c r="BA616" s="207" t="s">
        <v>90</v>
      </c>
      <c r="BB616" s="207">
        <v>10800</v>
      </c>
      <c r="BC616" s="207">
        <v>2700</v>
      </c>
      <c r="BD616" s="207">
        <v>0</v>
      </c>
      <c r="BE616" s="207" t="s">
        <v>91</v>
      </c>
      <c r="BF616" s="207"/>
      <c r="BG616" s="207"/>
      <c r="BH616" s="4" t="s">
        <v>3510</v>
      </c>
      <c r="BI616" s="72">
        <f>VLOOKUP(A616,'ID Block'!A:L,12,0)</f>
        <v>45589</v>
      </c>
      <c r="BJ616" s="154" t="str">
        <f>VLOOKUP(A616,'ID Block'!A:M,13,0)</f>
        <v>Family issue</v>
      </c>
      <c r="BK616" s="4">
        <f t="shared" si="17"/>
        <v>85</v>
      </c>
      <c r="BL616" s="105"/>
      <c r="BM616" s="9"/>
      <c r="BN616" s="9"/>
      <c r="BO616" s="9"/>
    </row>
    <row r="617" ht="19.95" customHeight="1" s="67" customFormat="1">
      <c r="A617" s="207">
        <v>171966</v>
      </c>
      <c r="B617" s="207">
        <v>171966</v>
      </c>
      <c r="C617" s="208" t="s">
        <v>6640</v>
      </c>
      <c r="D617" s="207" t="s">
        <v>6641</v>
      </c>
      <c r="E617" s="207" t="s">
        <v>114</v>
      </c>
      <c r="F617" s="208">
        <v>1722425087</v>
      </c>
      <c r="G617" s="207" t="s">
        <v>67</v>
      </c>
      <c r="H617" s="207" t="s">
        <v>2465</v>
      </c>
      <c r="I617" s="207" t="s">
        <v>69</v>
      </c>
      <c r="J617" s="208" t="s">
        <v>155</v>
      </c>
      <c r="K617" s="207" t="s">
        <v>1766</v>
      </c>
      <c r="L617" s="207" t="s">
        <v>2466</v>
      </c>
      <c r="M617" s="4" t="s">
        <v>156</v>
      </c>
      <c r="N617" s="207" t="s">
        <v>74</v>
      </c>
      <c r="O617" s="207" t="s">
        <v>75</v>
      </c>
      <c r="P617" s="207">
        <v>45</v>
      </c>
      <c r="Q617" s="209">
        <v>45540</v>
      </c>
      <c r="R617" s="209">
        <v>45559</v>
      </c>
      <c r="S617" s="210" t="s">
        <v>242</v>
      </c>
      <c r="T617" s="210" t="s">
        <v>242</v>
      </c>
      <c r="U617" s="207" t="s">
        <v>242</v>
      </c>
      <c r="V617" s="207" t="s">
        <v>242</v>
      </c>
      <c r="W617" s="105" t="s">
        <v>6642</v>
      </c>
      <c r="X617" s="211">
        <v>1722425087</v>
      </c>
      <c r="Y617" s="208">
        <v>1843288765</v>
      </c>
      <c r="Z617" s="207" t="s">
        <v>6643</v>
      </c>
      <c r="AA617" s="207">
        <v>1763987698</v>
      </c>
      <c r="AB617" s="207" t="s">
        <v>252</v>
      </c>
      <c r="AC617" s="207" t="s">
        <v>2456</v>
      </c>
      <c r="AD617" s="210" t="s">
        <v>6644</v>
      </c>
      <c r="AE617" s="212">
        <v>28</v>
      </c>
      <c r="AF617" s="207" t="s">
        <v>360</v>
      </c>
      <c r="AG617" s="211">
        <v>3267159923</v>
      </c>
      <c r="AH617" s="207" t="s">
        <v>242</v>
      </c>
      <c r="AI617" s="208" t="s">
        <v>2211</v>
      </c>
      <c r="AJ617" s="208" t="s">
        <v>242</v>
      </c>
      <c r="AK617" s="208">
        <v>2018</v>
      </c>
      <c r="AL617" s="207" t="s">
        <v>83</v>
      </c>
      <c r="AM617" s="207" t="s">
        <v>6645</v>
      </c>
      <c r="AN617" s="207" t="s">
        <v>6646</v>
      </c>
      <c r="AO617" s="207" t="s">
        <v>6647</v>
      </c>
      <c r="AP617" s="207" t="s">
        <v>6648</v>
      </c>
      <c r="AQ617" s="208" t="s">
        <v>1188</v>
      </c>
      <c r="AR617" s="207" t="s">
        <v>110</v>
      </c>
      <c r="AS617" s="207" t="s">
        <v>81</v>
      </c>
      <c r="AT617" s="213" t="s">
        <v>81</v>
      </c>
      <c r="AU617" s="207" t="s">
        <v>81</v>
      </c>
      <c r="AV617" s="207" t="s">
        <v>81</v>
      </c>
      <c r="AW617" s="207" t="s">
        <v>81</v>
      </c>
      <c r="AX617" s="207" t="s">
        <v>81</v>
      </c>
      <c r="AY617" s="207" t="s">
        <v>81</v>
      </c>
      <c r="AZ617" s="207" t="s">
        <v>81</v>
      </c>
      <c r="BA617" s="207"/>
      <c r="BB617" s="207">
        <v>10800</v>
      </c>
      <c r="BC617" s="207">
        <v>2700</v>
      </c>
      <c r="BD617" s="207">
        <v>1000</v>
      </c>
      <c r="BE617" s="207" t="s">
        <v>166</v>
      </c>
      <c r="BF617" s="207" t="s">
        <v>242</v>
      </c>
      <c r="BG617" s="207" t="s">
        <v>242</v>
      </c>
      <c r="BH617" s="4" t="s">
        <v>3510</v>
      </c>
      <c r="BI617" s="72">
        <f>VLOOKUP(A617,'ID Block'!A:L,12,0)</f>
        <v>45589</v>
      </c>
      <c r="BJ617" s="154" t="str">
        <f>VLOOKUP(A617,'ID Block'!A:M,13,0)</f>
        <v>Personal Issue</v>
      </c>
      <c r="BK617" s="4">
        <f t="shared" si="17"/>
        <v>30</v>
      </c>
      <c r="BL617" s="105"/>
      <c r="BM617" s="9"/>
      <c r="BN617" s="9"/>
      <c r="BO617" s="9"/>
    </row>
    <row r="618" ht="19.95" customHeight="1" s="67" customFormat="1">
      <c r="A618" s="207">
        <v>171491</v>
      </c>
      <c r="B618" s="207"/>
      <c r="C618" s="208" t="s">
        <v>5278</v>
      </c>
      <c r="D618" s="207" t="s">
        <v>6649</v>
      </c>
      <c r="E618" s="207" t="s">
        <v>66</v>
      </c>
      <c r="F618" s="208">
        <v>1110224753</v>
      </c>
      <c r="G618" s="207" t="s">
        <v>67</v>
      </c>
      <c r="H618" s="207" t="s">
        <v>68</v>
      </c>
      <c r="I618" s="207" t="s">
        <v>69</v>
      </c>
      <c r="J618" s="208" t="s">
        <v>1145</v>
      </c>
      <c r="K618" s="207" t="s">
        <v>71</v>
      </c>
      <c r="L618" s="207" t="s">
        <v>72</v>
      </c>
      <c r="M618" s="4" t="s">
        <v>115</v>
      </c>
      <c r="N618" s="207" t="s">
        <v>74</v>
      </c>
      <c r="O618" s="207" t="s">
        <v>75</v>
      </c>
      <c r="P618" s="207">
        <v>29</v>
      </c>
      <c r="Q618" s="209">
        <v>45432</v>
      </c>
      <c r="R618" s="209">
        <v>45444</v>
      </c>
      <c r="S618" s="210"/>
      <c r="T618" s="210"/>
      <c r="U618" s="207"/>
      <c r="V618" s="207"/>
      <c r="W618" s="105" t="s">
        <v>6650</v>
      </c>
      <c r="X618" s="211">
        <v>1753127755</v>
      </c>
      <c r="Y618" s="208">
        <v>1715020303</v>
      </c>
      <c r="Z618" s="207" t="s">
        <v>6651</v>
      </c>
      <c r="AA618" s="207" t="s">
        <v>6652</v>
      </c>
      <c r="AB618" s="207" t="s">
        <v>101</v>
      </c>
      <c r="AC618" s="207" t="s">
        <v>119</v>
      </c>
      <c r="AD618" s="210">
        <v>35768</v>
      </c>
      <c r="AE618" s="212">
        <f>((TODAY())-AD618)/365</f>
        <v>27.202739726027396</v>
      </c>
      <c r="AF618" s="207" t="s">
        <v>80</v>
      </c>
      <c r="AG618" s="211">
        <v>7355512851</v>
      </c>
      <c r="AH618" s="207" t="s">
        <v>6653</v>
      </c>
      <c r="AI618" s="208" t="s">
        <v>513</v>
      </c>
      <c r="AJ618" s="208" t="s">
        <v>81</v>
      </c>
      <c r="AK618" s="208">
        <v>2021</v>
      </c>
      <c r="AL618" s="207" t="s">
        <v>2727</v>
      </c>
      <c r="AM618" s="207" t="s">
        <v>6654</v>
      </c>
      <c r="AN618" s="207" t="s">
        <v>6655</v>
      </c>
      <c r="AO618" s="207" t="s">
        <v>6656</v>
      </c>
      <c r="AP618" s="207" t="s">
        <v>6657</v>
      </c>
      <c r="AQ618" s="208" t="s">
        <v>2444</v>
      </c>
      <c r="AR618" s="207" t="s">
        <v>110</v>
      </c>
      <c r="AS618" s="207" t="s">
        <v>81</v>
      </c>
      <c r="AT618" s="213" t="s">
        <v>81</v>
      </c>
      <c r="AU618" s="207" t="s">
        <v>81</v>
      </c>
      <c r="AV618" s="207" t="s">
        <v>81</v>
      </c>
      <c r="AW618" s="207" t="s">
        <v>81</v>
      </c>
      <c r="AX618" s="207" t="s">
        <v>81</v>
      </c>
      <c r="AY618" s="207" t="s">
        <v>81</v>
      </c>
      <c r="AZ618" s="207" t="s">
        <v>81</v>
      </c>
      <c r="BA618" s="207" t="s">
        <v>90</v>
      </c>
      <c r="BB618" s="207">
        <v>10800</v>
      </c>
      <c r="BC618" s="207">
        <v>2700</v>
      </c>
      <c r="BD618" s="207">
        <v>0</v>
      </c>
      <c r="BE618" s="207" t="s">
        <v>91</v>
      </c>
      <c r="BF618" s="207"/>
      <c r="BG618" s="207"/>
      <c r="BH618" s="4" t="s">
        <v>3510</v>
      </c>
      <c r="BI618" s="72">
        <f>VLOOKUP(A618,'ID Block'!A:L,12,0)</f>
        <v>45589</v>
      </c>
      <c r="BJ618" s="154" t="str">
        <f>VLOOKUP(A618,'ID Block'!A:M,13,0)</f>
        <v>Sickness </v>
      </c>
      <c r="BK618" s="4">
        <f t="shared" si="17"/>
        <v>145</v>
      </c>
      <c r="BL618" s="105"/>
      <c r="BM618" s="9"/>
      <c r="BN618" s="9"/>
      <c r="BO618" s="9"/>
    </row>
    <row r="619" ht="19.95" customHeight="1" s="67" customFormat="1">
      <c r="A619" s="4">
        <v>171277</v>
      </c>
      <c r="B619" s="4"/>
      <c r="C619" s="55" t="s">
        <v>6658</v>
      </c>
      <c r="D619" s="4" t="s">
        <v>6659</v>
      </c>
      <c r="E619" s="4" t="s">
        <v>66</v>
      </c>
      <c r="F619" s="55" t="s">
        <v>81</v>
      </c>
      <c r="G619" s="4" t="s">
        <v>67</v>
      </c>
      <c r="H619" s="4" t="s">
        <v>68</v>
      </c>
      <c r="I619" s="4" t="s">
        <v>69</v>
      </c>
      <c r="J619" s="55" t="s">
        <v>341</v>
      </c>
      <c r="K619" s="4" t="s">
        <v>71</v>
      </c>
      <c r="L619" s="4" t="s">
        <v>72</v>
      </c>
      <c r="M619" s="4" t="s">
        <v>458</v>
      </c>
      <c r="N619" s="4" t="s">
        <v>74</v>
      </c>
      <c r="O619" s="4" t="s">
        <v>75</v>
      </c>
      <c r="P619" s="4">
        <v>20</v>
      </c>
      <c r="Q619" s="57">
        <v>45256</v>
      </c>
      <c r="R619" s="57">
        <v>45261</v>
      </c>
      <c r="S619" s="113"/>
      <c r="T619" s="113"/>
      <c r="U619" s="4"/>
      <c r="V619" s="4"/>
      <c r="W619" s="105" t="s">
        <v>6660</v>
      </c>
      <c r="X619" s="114">
        <v>1949078967</v>
      </c>
      <c r="Y619" s="55">
        <v>1771721923</v>
      </c>
      <c r="Z619" s="4"/>
      <c r="AA619" s="4">
        <v>1721806813</v>
      </c>
      <c r="AB619" s="4" t="s">
        <v>6661</v>
      </c>
      <c r="AC619" s="4" t="s">
        <v>102</v>
      </c>
      <c r="AD619" s="113">
        <v>35716</v>
      </c>
      <c r="AE619" s="107">
        <f>((TODAY())-AD619)/365</f>
        <v>27.345205479452055</v>
      </c>
      <c r="AF619" s="4" t="s">
        <v>80</v>
      </c>
      <c r="AG619" s="114">
        <v>4659630018</v>
      </c>
      <c r="AH619" s="4" t="s">
        <v>81</v>
      </c>
      <c r="AI619" s="55" t="s">
        <v>6662</v>
      </c>
      <c r="AJ619" s="55" t="s">
        <v>82</v>
      </c>
      <c r="AK619" s="55">
        <v>2022</v>
      </c>
      <c r="AL619" s="4" t="s">
        <v>6663</v>
      </c>
      <c r="AM619" s="4" t="s">
        <v>6664</v>
      </c>
      <c r="AN619" s="4" t="s">
        <v>6665</v>
      </c>
      <c r="AO619" s="4" t="s">
        <v>6666</v>
      </c>
      <c r="AP619" s="4" t="s">
        <v>6667</v>
      </c>
      <c r="AQ619" s="55" t="s">
        <v>6668</v>
      </c>
      <c r="AR619" s="4" t="s">
        <v>89</v>
      </c>
      <c r="AS619" s="4" t="s">
        <v>5959</v>
      </c>
      <c r="AT619" s="72">
        <v>35114</v>
      </c>
      <c r="AU619" s="4" t="s">
        <v>81</v>
      </c>
      <c r="AV619" s="4" t="s">
        <v>81</v>
      </c>
      <c r="AW619" s="4" t="s">
        <v>81</v>
      </c>
      <c r="AX619" s="4" t="s">
        <v>81</v>
      </c>
      <c r="AY619" s="4"/>
      <c r="AZ619" s="4"/>
      <c r="BA619" s="4" t="s">
        <v>90</v>
      </c>
      <c r="BB619" s="4">
        <v>10800</v>
      </c>
      <c r="BC619" s="4">
        <v>2700</v>
      </c>
      <c r="BD619" s="4">
        <v>0</v>
      </c>
      <c r="BE619" s="4" t="s">
        <v>91</v>
      </c>
      <c r="BF619" s="4"/>
      <c r="BG619" s="4"/>
      <c r="BH619" s="4" t="s">
        <v>3510</v>
      </c>
      <c r="BI619" s="72"/>
      <c r="BJ619" s="154"/>
      <c r="BK619" s="4"/>
      <c r="BL619" s="105"/>
      <c r="BM619" s="9"/>
      <c r="BN619" s="9"/>
      <c r="BO619" s="9"/>
    </row>
    <row r="620" ht="19.95" customHeight="1" s="67" customFormat="1">
      <c r="A620" s="207">
        <v>171670</v>
      </c>
      <c r="B620" s="207"/>
      <c r="C620" s="208" t="s">
        <v>3307</v>
      </c>
      <c r="D620" s="207" t="s">
        <v>6669</v>
      </c>
      <c r="E620" s="207" t="s">
        <v>66</v>
      </c>
      <c r="F620" s="208">
        <v>783083</v>
      </c>
      <c r="G620" s="207" t="s">
        <v>67</v>
      </c>
      <c r="H620" s="207" t="s">
        <v>68</v>
      </c>
      <c r="I620" s="207" t="s">
        <v>69</v>
      </c>
      <c r="J620" s="208" t="s">
        <v>1846</v>
      </c>
      <c r="K620" s="207" t="s">
        <v>71</v>
      </c>
      <c r="L620" s="207" t="s">
        <v>72</v>
      </c>
      <c r="M620" s="4" t="s">
        <v>369</v>
      </c>
      <c r="N620" s="207" t="s">
        <v>74</v>
      </c>
      <c r="O620" s="207" t="s">
        <v>75</v>
      </c>
      <c r="P620" s="207">
        <v>35</v>
      </c>
      <c r="Q620" s="209">
        <v>45466</v>
      </c>
      <c r="R620" s="209">
        <v>45475</v>
      </c>
      <c r="S620" s="210"/>
      <c r="T620" s="210"/>
      <c r="U620" s="207"/>
      <c r="V620" s="207"/>
      <c r="W620" s="105" t="s">
        <v>6670</v>
      </c>
      <c r="X620" s="211">
        <v>1716060152</v>
      </c>
      <c r="Y620" s="208"/>
      <c r="Z620" s="207" t="s">
        <v>6671</v>
      </c>
      <c r="AA620" s="207">
        <v>1934273424</v>
      </c>
      <c r="AB620" s="207" t="s">
        <v>101</v>
      </c>
      <c r="AC620" s="207" t="s">
        <v>119</v>
      </c>
      <c r="AD620" s="210">
        <v>34705</v>
      </c>
      <c r="AE620" s="212"/>
      <c r="AF620" s="207" t="s">
        <v>80</v>
      </c>
      <c r="AG620" s="211">
        <v>2364312849</v>
      </c>
      <c r="AH620" s="207" t="s">
        <v>81</v>
      </c>
      <c r="AI620" s="208" t="s">
        <v>2039</v>
      </c>
      <c r="AJ620" s="208" t="s">
        <v>81</v>
      </c>
      <c r="AK620" s="208">
        <v>2020</v>
      </c>
      <c r="AL620" s="207" t="s">
        <v>1328</v>
      </c>
      <c r="AM620" s="207" t="s">
        <v>6671</v>
      </c>
      <c r="AN620" s="207" t="s">
        <v>6672</v>
      </c>
      <c r="AO620" s="207" t="s">
        <v>6673</v>
      </c>
      <c r="AP620" s="207" t="s">
        <v>6674</v>
      </c>
      <c r="AQ620" s="208" t="s">
        <v>499</v>
      </c>
      <c r="AR620" s="207" t="s">
        <v>110</v>
      </c>
      <c r="AS620" s="207" t="s">
        <v>81</v>
      </c>
      <c r="AT620" s="213" t="s">
        <v>81</v>
      </c>
      <c r="AU620" s="207" t="s">
        <v>81</v>
      </c>
      <c r="AV620" s="207" t="s">
        <v>81</v>
      </c>
      <c r="AW620" s="207" t="s">
        <v>81</v>
      </c>
      <c r="AX620" s="207" t="s">
        <v>81</v>
      </c>
      <c r="AY620" s="207" t="s">
        <v>81</v>
      </c>
      <c r="AZ620" s="207" t="s">
        <v>81</v>
      </c>
      <c r="BA620" s="207" t="s">
        <v>90</v>
      </c>
      <c r="BB620" s="207">
        <v>10800</v>
      </c>
      <c r="BC620" s="207">
        <v>2700</v>
      </c>
      <c r="BD620" s="207">
        <v>0</v>
      </c>
      <c r="BE620" s="207" t="s">
        <v>91</v>
      </c>
      <c r="BF620" s="207"/>
      <c r="BG620" s="207"/>
      <c r="BH620" s="4" t="s">
        <v>3510</v>
      </c>
      <c r="BI620" s="72">
        <f>VLOOKUP(A620,'ID Block'!A:L,12,0)</f>
        <v>45602</v>
      </c>
      <c r="BJ620" s="154" t="str">
        <f>VLOOKUP(A620,'ID Block'!A:M,13,0)</f>
        <v>Sickness issue</v>
      </c>
      <c r="BK620" s="4">
        <f t="shared" si="17"/>
        <v>127</v>
      </c>
      <c r="BL620" s="105"/>
      <c r="BM620" s="9"/>
      <c r="BN620" s="9"/>
      <c r="BO620" s="9"/>
    </row>
    <row r="621" ht="19.95" customHeight="1" s="67" customFormat="1">
      <c r="A621" s="207">
        <v>171876</v>
      </c>
      <c r="B621" s="207"/>
      <c r="C621" s="208" t="s">
        <v>6173</v>
      </c>
      <c r="D621" s="207" t="s">
        <v>6675</v>
      </c>
      <c r="E621" s="207" t="s">
        <v>66</v>
      </c>
      <c r="F621" s="208"/>
      <c r="G621" s="207" t="s">
        <v>67</v>
      </c>
      <c r="H621" s="207" t="s">
        <v>68</v>
      </c>
      <c r="I621" s="207" t="s">
        <v>2494</v>
      </c>
      <c r="J621" s="208" t="s">
        <v>2495</v>
      </c>
      <c r="K621" s="207" t="s">
        <v>71</v>
      </c>
      <c r="L621" s="207" t="s">
        <v>72</v>
      </c>
      <c r="M621" s="4" t="s">
        <v>115</v>
      </c>
      <c r="N621" s="207" t="s">
        <v>74</v>
      </c>
      <c r="O621" s="207" t="s">
        <v>75</v>
      </c>
      <c r="P621" s="207">
        <v>43</v>
      </c>
      <c r="Q621" s="209">
        <v>45525</v>
      </c>
      <c r="R621" s="209">
        <v>45533</v>
      </c>
      <c r="S621" s="210"/>
      <c r="T621" s="210"/>
      <c r="U621" s="207"/>
      <c r="V621" s="207"/>
      <c r="W621" s="105"/>
      <c r="X621" s="211">
        <v>1861076715</v>
      </c>
      <c r="Y621" s="208"/>
      <c r="Z621" s="207"/>
      <c r="AA621" s="207"/>
      <c r="AB621" s="207"/>
      <c r="AC621" s="207"/>
      <c r="AD621" s="210" t="s">
        <v>6676</v>
      </c>
      <c r="AE621" s="212"/>
      <c r="AF621" s="207" t="s">
        <v>80</v>
      </c>
      <c r="AG621" s="211">
        <v>3259021990</v>
      </c>
      <c r="AH621" s="207"/>
      <c r="AI621" s="208"/>
      <c r="AJ621" s="208"/>
      <c r="AK621" s="208"/>
      <c r="AL621" s="207"/>
      <c r="AM621" s="207" t="s">
        <v>6677</v>
      </c>
      <c r="AN621" s="207" t="s">
        <v>6085</v>
      </c>
      <c r="AO621" s="207"/>
      <c r="AP621" s="207"/>
      <c r="AQ621" s="208"/>
      <c r="AR621" s="207"/>
      <c r="AS621" s="207"/>
      <c r="AT621" s="213"/>
      <c r="AU621" s="207"/>
      <c r="AV621" s="207"/>
      <c r="AW621" s="207"/>
      <c r="AX621" s="207"/>
      <c r="AY621" s="207"/>
      <c r="AZ621" s="207"/>
      <c r="BA621" s="207" t="s">
        <v>90</v>
      </c>
      <c r="BB621" s="207">
        <v>10800</v>
      </c>
      <c r="BC621" s="207">
        <v>2700</v>
      </c>
      <c r="BD621" s="207">
        <v>0</v>
      </c>
      <c r="BE621" s="207" t="s">
        <v>91</v>
      </c>
      <c r="BF621" s="207"/>
      <c r="BG621" s="207"/>
      <c r="BH621" s="4" t="s">
        <v>3510</v>
      </c>
      <c r="BI621" s="72"/>
      <c r="BJ621" s="154"/>
      <c r="BK621" s="207"/>
      <c r="BL621" s="105"/>
      <c r="BM621" s="9"/>
      <c r="BN621" s="9"/>
      <c r="BO621" s="9"/>
    </row>
    <row r="622" ht="19.95" customHeight="1" s="67" customFormat="1">
      <c r="A622" s="4">
        <v>171997</v>
      </c>
      <c r="B622" s="4">
        <v>171997</v>
      </c>
      <c r="C622" s="55" t="s">
        <v>6678</v>
      </c>
      <c r="D622" s="4" t="s">
        <v>6679</v>
      </c>
      <c r="E622" s="4" t="s">
        <v>114</v>
      </c>
      <c r="F622" s="55">
        <v>1311143578</v>
      </c>
      <c r="G622" s="4" t="s">
        <v>67</v>
      </c>
      <c r="H622" s="4" t="s">
        <v>2465</v>
      </c>
      <c r="I622" s="4" t="s">
        <v>69</v>
      </c>
      <c r="J622" s="55" t="s">
        <v>155</v>
      </c>
      <c r="K622" s="4" t="s">
        <v>1766</v>
      </c>
      <c r="L622" s="4" t="s">
        <v>2466</v>
      </c>
      <c r="M622" s="4" t="s">
        <v>196</v>
      </c>
      <c r="N622" s="4" t="s">
        <v>74</v>
      </c>
      <c r="O622" s="4" t="s">
        <v>75</v>
      </c>
      <c r="P622" s="4">
        <v>46</v>
      </c>
      <c r="Q622" s="57">
        <v>45555</v>
      </c>
      <c r="R622" s="57">
        <v>45572</v>
      </c>
      <c r="S622" s="113" t="s">
        <v>242</v>
      </c>
      <c r="T622" s="113" t="s">
        <v>242</v>
      </c>
      <c r="U622" s="4" t="s">
        <v>242</v>
      </c>
      <c r="V622" s="4" t="s">
        <v>242</v>
      </c>
      <c r="W622" s="105" t="s">
        <v>6680</v>
      </c>
      <c r="X622" s="114">
        <v>1624019203</v>
      </c>
      <c r="Y622" s="55">
        <v>1581085013</v>
      </c>
      <c r="Z622" s="4" t="s">
        <v>4676</v>
      </c>
      <c r="AA622" s="4">
        <v>1569146573</v>
      </c>
      <c r="AB622" s="4" t="s">
        <v>382</v>
      </c>
      <c r="AC622" s="4" t="s">
        <v>133</v>
      </c>
      <c r="AD622" s="113">
        <v>36780</v>
      </c>
      <c r="AE622" s="107">
        <v>24</v>
      </c>
      <c r="AF622" s="4" t="s">
        <v>80</v>
      </c>
      <c r="AG622" s="114">
        <v>7812160989</v>
      </c>
      <c r="AH622" s="4" t="s">
        <v>242</v>
      </c>
      <c r="AI622" s="55" t="s">
        <v>925</v>
      </c>
      <c r="AJ622" s="55" t="s">
        <v>242</v>
      </c>
      <c r="AK622" s="55">
        <v>2024</v>
      </c>
      <c r="AL622" s="4" t="s">
        <v>2768</v>
      </c>
      <c r="AM622" s="4" t="s">
        <v>6681</v>
      </c>
      <c r="AN622" s="4" t="s">
        <v>6682</v>
      </c>
      <c r="AO622" s="4" t="s">
        <v>6683</v>
      </c>
      <c r="AP622" s="4" t="s">
        <v>6684</v>
      </c>
      <c r="AQ622" s="55" t="s">
        <v>688</v>
      </c>
      <c r="AR622" s="4" t="s">
        <v>110</v>
      </c>
      <c r="AS622" s="4" t="s">
        <v>81</v>
      </c>
      <c r="AT622" s="72" t="s">
        <v>81</v>
      </c>
      <c r="AU622" s="4" t="s">
        <v>81</v>
      </c>
      <c r="AV622" s="4" t="s">
        <v>81</v>
      </c>
      <c r="AW622" s="4" t="s">
        <v>81</v>
      </c>
      <c r="AX622" s="4" t="s">
        <v>81</v>
      </c>
      <c r="AY622" s="4" t="s">
        <v>81</v>
      </c>
      <c r="AZ622" s="4" t="s">
        <v>81</v>
      </c>
      <c r="BA622" s="4" t="s">
        <v>90</v>
      </c>
      <c r="BB622" s="4">
        <v>10800</v>
      </c>
      <c r="BC622" s="4">
        <v>2700</v>
      </c>
      <c r="BD622" s="4">
        <v>1000</v>
      </c>
      <c r="BE622" s="4" t="s">
        <v>166</v>
      </c>
      <c r="BF622" s="4" t="s">
        <v>242</v>
      </c>
      <c r="BG622" s="4" t="s">
        <v>242</v>
      </c>
      <c r="BH622" s="4" t="s">
        <v>3510</v>
      </c>
      <c r="BI622" s="72">
        <f>VLOOKUP(A622,'ID Block'!A:L,12,0)</f>
        <v>45586</v>
      </c>
      <c r="BJ622" s="154" t="str">
        <f>VLOOKUP(A622,'ID Block'!A:M,13,0)</f>
        <v>Better Opportunity</v>
      </c>
      <c r="BK622" s="4">
        <f t="shared" si="17"/>
        <v>14</v>
      </c>
      <c r="BL622" s="105"/>
      <c r="BM622" s="9"/>
      <c r="BN622" s="9"/>
      <c r="BO622" s="9"/>
    </row>
    <row r="623" ht="19.95" customHeight="1" s="67" customFormat="1">
      <c r="A623" s="207">
        <v>171950</v>
      </c>
      <c r="B623" s="207"/>
      <c r="C623" s="208" t="s">
        <v>2696</v>
      </c>
      <c r="D623" s="207" t="s">
        <v>2697</v>
      </c>
      <c r="E623" s="207" t="s">
        <v>66</v>
      </c>
      <c r="F623" s="208"/>
      <c r="G623" s="207" t="s">
        <v>67</v>
      </c>
      <c r="H623" s="207" t="s">
        <v>2465</v>
      </c>
      <c r="I623" s="207" t="s">
        <v>69</v>
      </c>
      <c r="J623" s="208" t="s">
        <v>2495</v>
      </c>
      <c r="K623" s="207" t="s">
        <v>1766</v>
      </c>
      <c r="L623" s="207" t="s">
        <v>2466</v>
      </c>
      <c r="M623" s="4" t="s">
        <v>1304</v>
      </c>
      <c r="N623" s="207" t="s">
        <v>74</v>
      </c>
      <c r="O623" s="207" t="s">
        <v>75</v>
      </c>
      <c r="P623" s="207">
        <v>45</v>
      </c>
      <c r="Q623" s="209">
        <v>45541</v>
      </c>
      <c r="R623" s="209">
        <v>45551</v>
      </c>
      <c r="S623" s="210"/>
      <c r="T623" s="210"/>
      <c r="U623" s="207"/>
      <c r="V623" s="207"/>
      <c r="W623" s="105"/>
      <c r="X623" s="211"/>
      <c r="Y623" s="208"/>
      <c r="Z623" s="207"/>
      <c r="AA623" s="207"/>
      <c r="AB623" s="207"/>
      <c r="AC623" s="207"/>
      <c r="AD623" s="210"/>
      <c r="AE623" s="212"/>
      <c r="AF623" s="207" t="s">
        <v>80</v>
      </c>
      <c r="AG623" s="211"/>
      <c r="AH623" s="207"/>
      <c r="AI623" s="208"/>
      <c r="AJ623" s="208"/>
      <c r="AK623" s="208"/>
      <c r="AL623" s="207"/>
      <c r="AM623" s="207"/>
      <c r="AN623" s="207"/>
      <c r="AO623" s="207"/>
      <c r="AP623" s="207"/>
      <c r="AQ623" s="208"/>
      <c r="AR623" s="207"/>
      <c r="AS623" s="207"/>
      <c r="AT623" s="213"/>
      <c r="AU623" s="207"/>
      <c r="AV623" s="207"/>
      <c r="AW623" s="207"/>
      <c r="AX623" s="207"/>
      <c r="AY623" s="207"/>
      <c r="AZ623" s="207"/>
      <c r="BA623" s="207" t="s">
        <v>90</v>
      </c>
      <c r="BB623" s="207">
        <v>10800</v>
      </c>
      <c r="BC623" s="207">
        <v>2700</v>
      </c>
      <c r="BD623" s="207">
        <v>0</v>
      </c>
      <c r="BE623" s="207" t="s">
        <v>91</v>
      </c>
      <c r="BF623" s="207"/>
      <c r="BG623" s="207"/>
      <c r="BH623" s="4" t="s">
        <v>3510</v>
      </c>
      <c r="BI623" s="72">
        <f>VLOOKUP(A623,'ID Block'!A:L,12,0)</f>
        <v>45593</v>
      </c>
      <c r="BJ623" s="154" t="str">
        <f>VLOOKUP(A623,'ID Block'!A:M,13,0)</f>
        <v>Sickness </v>
      </c>
      <c r="BK623" s="4">
        <f t="shared" si="17"/>
        <v>42</v>
      </c>
      <c r="BL623" s="105"/>
      <c r="BM623" s="9"/>
      <c r="BN623" s="9"/>
      <c r="BO623" s="9"/>
    </row>
    <row r="624" ht="19.95" customHeight="1" s="67" customFormat="1">
      <c r="A624" s="4">
        <v>171791</v>
      </c>
      <c r="B624" s="4"/>
      <c r="C624" s="55" t="s">
        <v>6685</v>
      </c>
      <c r="D624" s="4" t="s">
        <v>6686</v>
      </c>
      <c r="E624" s="4" t="s">
        <v>114</v>
      </c>
      <c r="F624" s="55"/>
      <c r="G624" s="4" t="s">
        <v>67</v>
      </c>
      <c r="H624" s="4" t="s">
        <v>68</v>
      </c>
      <c r="I624" s="4" t="s">
        <v>2494</v>
      </c>
      <c r="J624" s="55" t="s">
        <v>214</v>
      </c>
      <c r="K624" s="4" t="s">
        <v>71</v>
      </c>
      <c r="L624" s="4" t="s">
        <v>72</v>
      </c>
      <c r="M624" s="4" t="str">
        <f>VLOOKUP(A624,[1]Sheet1!$C:$G,5,0)</f>
        <v>Abdulla Al Mamun</v>
      </c>
      <c r="N624" s="4" t="s">
        <v>74</v>
      </c>
      <c r="O624" s="4"/>
      <c r="P624" s="4">
        <v>40</v>
      </c>
      <c r="Q624" s="57">
        <v>45492</v>
      </c>
      <c r="R624" s="57">
        <v>45504</v>
      </c>
      <c r="S624" s="113"/>
      <c r="T624" s="113"/>
      <c r="U624" s="4"/>
      <c r="V624" s="4"/>
      <c r="W624" s="105"/>
      <c r="X624" s="114">
        <v>1762350737</v>
      </c>
      <c r="Y624" s="55">
        <v>1581686084</v>
      </c>
      <c r="Z624" s="4"/>
      <c r="AA624" s="4"/>
      <c r="AB624" s="4"/>
      <c r="AC624" s="4" t="s">
        <v>119</v>
      </c>
      <c r="AD624" s="113" t="s">
        <v>6687</v>
      </c>
      <c r="AE624" s="107"/>
      <c r="AF624" s="4" t="s">
        <v>80</v>
      </c>
      <c r="AG624" s="114"/>
      <c r="AH624" s="4"/>
      <c r="AI624" s="55"/>
      <c r="AJ624" s="55"/>
      <c r="AK624" s="55"/>
      <c r="AL624" s="4"/>
      <c r="AM624" s="4"/>
      <c r="AN624" s="4"/>
      <c r="AO624" s="4" t="s">
        <v>6688</v>
      </c>
      <c r="AP624" s="4" t="s">
        <v>6689</v>
      </c>
      <c r="AQ624" s="55"/>
      <c r="AR624" s="4"/>
      <c r="AS624" s="4"/>
      <c r="AT624" s="72"/>
      <c r="AU624" s="4"/>
      <c r="AV624" s="4"/>
      <c r="AW624" s="4"/>
      <c r="AX624" s="4"/>
      <c r="AY624" s="4"/>
      <c r="AZ624" s="4"/>
      <c r="BA624" s="4" t="s">
        <v>90</v>
      </c>
      <c r="BB624" s="4">
        <v>10800</v>
      </c>
      <c r="BC624" s="4">
        <v>2700</v>
      </c>
      <c r="BD624" s="4">
        <v>0</v>
      </c>
      <c r="BE624" s="4" t="s">
        <v>91</v>
      </c>
      <c r="BF624" s="4"/>
      <c r="BG624" s="4"/>
      <c r="BH624" s="4" t="s">
        <v>3510</v>
      </c>
      <c r="BI624" s="113">
        <f>VLOOKUP(A624,'ID Block'!A209:L515,12,0)</f>
        <v>45586</v>
      </c>
      <c r="BJ624" s="154" t="str">
        <f>VLOOKUP(A624,'ID Block'!A:M,13,0)</f>
        <v>Unauthorized Absent</v>
      </c>
      <c r="BK624" s="4">
        <v>1722609434</v>
      </c>
      <c r="BL624" s="270"/>
      <c r="BN624" s="9"/>
      <c r="BO624" s="9"/>
    </row>
    <row r="625" ht="19.95" customHeight="1" s="67" customFormat="1">
      <c r="A625" s="207">
        <v>171916</v>
      </c>
      <c r="B625" s="207"/>
      <c r="C625" s="208" t="s">
        <v>3315</v>
      </c>
      <c r="D625" s="207" t="s">
        <v>6690</v>
      </c>
      <c r="E625" s="207" t="s">
        <v>66</v>
      </c>
      <c r="F625" s="208"/>
      <c r="G625" s="207" t="s">
        <v>67</v>
      </c>
      <c r="H625" s="207" t="s">
        <v>68</v>
      </c>
      <c r="I625" s="207" t="s">
        <v>69</v>
      </c>
      <c r="J625" s="208" t="s">
        <v>2495</v>
      </c>
      <c r="K625" s="207" t="s">
        <v>71</v>
      </c>
      <c r="L625" s="207" t="s">
        <v>72</v>
      </c>
      <c r="M625" s="4" t="s">
        <v>98</v>
      </c>
      <c r="N625" s="207" t="s">
        <v>74</v>
      </c>
      <c r="O625" s="207" t="s">
        <v>75</v>
      </c>
      <c r="P625" s="207">
        <v>44</v>
      </c>
      <c r="Q625" s="209">
        <v>45533</v>
      </c>
      <c r="R625" s="209">
        <v>45541</v>
      </c>
      <c r="S625" s="210"/>
      <c r="T625" s="210"/>
      <c r="U625" s="207"/>
      <c r="V625" s="207"/>
      <c r="W625" s="105"/>
      <c r="X625" s="211">
        <v>1883641450</v>
      </c>
      <c r="Y625" s="208"/>
      <c r="Z625" s="207"/>
      <c r="AA625" s="207"/>
      <c r="AB625" s="207"/>
      <c r="AC625" s="207"/>
      <c r="AD625" s="210"/>
      <c r="AE625" s="212"/>
      <c r="AF625" s="207" t="s">
        <v>80</v>
      </c>
      <c r="AG625" s="211"/>
      <c r="AH625" s="207"/>
      <c r="AI625" s="208"/>
      <c r="AJ625" s="208"/>
      <c r="AK625" s="208"/>
      <c r="AL625" s="207"/>
      <c r="AM625" s="207"/>
      <c r="AN625" s="207"/>
      <c r="AO625" s="207"/>
      <c r="AP625" s="207"/>
      <c r="AQ625" s="208"/>
      <c r="AR625" s="207"/>
      <c r="AS625" s="207"/>
      <c r="AT625" s="213"/>
      <c r="AU625" s="207"/>
      <c r="AV625" s="207"/>
      <c r="AW625" s="207"/>
      <c r="AX625" s="207"/>
      <c r="AY625" s="207"/>
      <c r="AZ625" s="207"/>
      <c r="BA625" s="207" t="s">
        <v>90</v>
      </c>
      <c r="BB625" s="207">
        <v>10800</v>
      </c>
      <c r="BC625" s="207">
        <v>2700</v>
      </c>
      <c r="BD625" s="207">
        <v>0</v>
      </c>
      <c r="BE625" s="207" t="s">
        <v>91</v>
      </c>
      <c r="BF625" s="207"/>
      <c r="BG625" s="207"/>
      <c r="BH625" s="4" t="s">
        <v>3510</v>
      </c>
      <c r="BI625" s="113">
        <f>VLOOKUP(A625,'ID Block'!A210:L516,12,0)</f>
        <v>45605</v>
      </c>
      <c r="BJ625" s="154" t="str">
        <f>VLOOKUP(A625,'ID Block'!A:M,13,0)</f>
        <v>Better opportunity</v>
      </c>
      <c r="BK625" s="4">
        <f t="shared" si="17"/>
        <v>64</v>
      </c>
      <c r="BL625" s="105"/>
      <c r="BM625" s="9"/>
      <c r="BN625" s="9"/>
      <c r="BO625" s="9"/>
    </row>
    <row r="626" ht="19.95" customHeight="1" s="67" customFormat="1">
      <c r="A626" s="207">
        <v>171655</v>
      </c>
      <c r="B626" s="207"/>
      <c r="C626" s="208" t="s">
        <v>6691</v>
      </c>
      <c r="D626" s="207" t="s">
        <v>6692</v>
      </c>
      <c r="E626" s="207" t="s">
        <v>1765</v>
      </c>
      <c r="F626" s="208">
        <v>507192</v>
      </c>
      <c r="G626" s="207" t="s">
        <v>67</v>
      </c>
      <c r="H626" s="207" t="s">
        <v>68</v>
      </c>
      <c r="I626" s="207" t="s">
        <v>69</v>
      </c>
      <c r="J626" s="208" t="s">
        <v>155</v>
      </c>
      <c r="K626" s="207" t="s">
        <v>1766</v>
      </c>
      <c r="L626" s="207" t="s">
        <v>1767</v>
      </c>
      <c r="M626" s="4" t="s">
        <v>196</v>
      </c>
      <c r="N626" s="207" t="s">
        <v>74</v>
      </c>
      <c r="O626" s="207" t="s">
        <v>75</v>
      </c>
      <c r="P626" s="207">
        <v>33</v>
      </c>
      <c r="Q626" s="209">
        <v>45455</v>
      </c>
      <c r="R626" s="209">
        <v>45476</v>
      </c>
      <c r="S626" s="210" t="s">
        <v>242</v>
      </c>
      <c r="T626" s="210" t="s">
        <v>242</v>
      </c>
      <c r="U626" s="207" t="s">
        <v>242</v>
      </c>
      <c r="V626" s="207" t="s">
        <v>242</v>
      </c>
      <c r="W626" s="105" t="s">
        <v>6693</v>
      </c>
      <c r="X626" s="211">
        <v>1717940538</v>
      </c>
      <c r="Y626" s="208">
        <v>1717940538</v>
      </c>
      <c r="Z626" s="207" t="s">
        <v>1304</v>
      </c>
      <c r="AA626" s="207">
        <v>1712645925</v>
      </c>
      <c r="AB626" s="207" t="s">
        <v>101</v>
      </c>
      <c r="AC626" s="207" t="s">
        <v>119</v>
      </c>
      <c r="AD626" s="210">
        <v>35059</v>
      </c>
      <c r="AE626" s="212">
        <v>28</v>
      </c>
      <c r="AF626" s="207" t="s">
        <v>80</v>
      </c>
      <c r="AG626" s="211">
        <v>1453473710</v>
      </c>
      <c r="AH626" s="207" t="s">
        <v>81</v>
      </c>
      <c r="AI626" s="208" t="s">
        <v>290</v>
      </c>
      <c r="AJ626" s="208"/>
      <c r="AK626" s="208">
        <v>2022</v>
      </c>
      <c r="AL626" s="207" t="s">
        <v>6694</v>
      </c>
      <c r="AM626" s="207" t="s">
        <v>1304</v>
      </c>
      <c r="AN626" s="207" t="s">
        <v>6695</v>
      </c>
      <c r="AO626" s="207" t="s">
        <v>6696</v>
      </c>
      <c r="AP626" s="207" t="s">
        <v>6697</v>
      </c>
      <c r="AQ626" s="208" t="s">
        <v>6698</v>
      </c>
      <c r="AR626" s="207" t="s">
        <v>1774</v>
      </c>
      <c r="AS626" s="207" t="s">
        <v>81</v>
      </c>
      <c r="AT626" s="213" t="s">
        <v>81</v>
      </c>
      <c r="AU626" s="207" t="s">
        <v>81</v>
      </c>
      <c r="AV626" s="207" t="s">
        <v>81</v>
      </c>
      <c r="AW626" s="207" t="s">
        <v>81</v>
      </c>
      <c r="AX626" s="207" t="s">
        <v>81</v>
      </c>
      <c r="AY626" s="207" t="s">
        <v>81</v>
      </c>
      <c r="AZ626" s="207" t="s">
        <v>81</v>
      </c>
      <c r="BA626" s="207" t="s">
        <v>90</v>
      </c>
      <c r="BB626" s="207">
        <v>10800</v>
      </c>
      <c r="BC626" s="207">
        <v>2700</v>
      </c>
      <c r="BD626" s="207">
        <v>1000</v>
      </c>
      <c r="BE626" s="207" t="s">
        <v>166</v>
      </c>
      <c r="BF626" s="207" t="s">
        <v>242</v>
      </c>
      <c r="BG626" s="207" t="s">
        <v>242</v>
      </c>
      <c r="BH626" s="4" t="s">
        <v>3510</v>
      </c>
      <c r="BI626" s="113">
        <f>VLOOKUP(A626,'ID Block'!A211:L517,12,0)</f>
        <v>45604</v>
      </c>
      <c r="BJ626" s="154" t="str">
        <f>VLOOKUP(A626,'ID Block'!A:M,13,0)</f>
        <v>Better Opportunity</v>
      </c>
      <c r="BK626" s="4">
        <f t="shared" si="17"/>
        <v>128</v>
      </c>
      <c r="BL626" s="105"/>
      <c r="BM626" s="9"/>
      <c r="BN626" s="9"/>
      <c r="BO626" s="9"/>
    </row>
    <row r="627" ht="19.95" customHeight="1" s="67" customFormat="1">
      <c r="A627" s="4">
        <v>171153</v>
      </c>
      <c r="B627" s="4"/>
      <c r="C627" s="55" t="s">
        <v>3274</v>
      </c>
      <c r="D627" s="4" t="s">
        <v>6699</v>
      </c>
      <c r="E627" s="4" t="s">
        <v>114</v>
      </c>
      <c r="F627" s="55">
        <v>1312638415</v>
      </c>
      <c r="G627" s="4" t="s">
        <v>67</v>
      </c>
      <c r="H627" s="4" t="s">
        <v>68</v>
      </c>
      <c r="I627" s="4" t="s">
        <v>69</v>
      </c>
      <c r="J627" s="55" t="s">
        <v>307</v>
      </c>
      <c r="K627" s="4" t="s">
        <v>71</v>
      </c>
      <c r="L627" s="4" t="s">
        <v>72</v>
      </c>
      <c r="M627" s="4" t="s">
        <v>308</v>
      </c>
      <c r="N627" s="4" t="s">
        <v>74</v>
      </c>
      <c r="O627" s="4" t="s">
        <v>75</v>
      </c>
      <c r="P627" s="4">
        <v>16</v>
      </c>
      <c r="Q627" s="57">
        <v>45206</v>
      </c>
      <c r="R627" s="57">
        <v>45211</v>
      </c>
      <c r="S627" s="113"/>
      <c r="T627" s="113"/>
      <c r="U627" s="4"/>
      <c r="V627" s="4"/>
      <c r="W627" s="105" t="s">
        <v>6700</v>
      </c>
      <c r="X627" s="114">
        <v>1300331014</v>
      </c>
      <c r="Y627" s="55"/>
      <c r="Z627" s="4" t="s">
        <v>4574</v>
      </c>
      <c r="AA627" s="4">
        <v>1741350037</v>
      </c>
      <c r="AB627" s="4" t="s">
        <v>144</v>
      </c>
      <c r="AC627" s="4" t="s">
        <v>119</v>
      </c>
      <c r="AD627" s="113">
        <v>36950</v>
      </c>
      <c r="AE627" s="107">
        <f>((TODAY())-AD627)/365</f>
        <v>23.964383561643835</v>
      </c>
      <c r="AF627" s="4" t="s">
        <v>80</v>
      </c>
      <c r="AG627" s="114">
        <v>3313892584</v>
      </c>
      <c r="AH627" s="4" t="s">
        <v>81</v>
      </c>
      <c r="AI627" s="55" t="s">
        <v>4683</v>
      </c>
      <c r="AJ627" s="55" t="s">
        <v>463</v>
      </c>
      <c r="AK627" s="55">
        <v>2023</v>
      </c>
      <c r="AL627" s="4" t="s">
        <v>6701</v>
      </c>
      <c r="AM627" s="4" t="s">
        <v>3893</v>
      </c>
      <c r="AN627" s="4" t="s">
        <v>6702</v>
      </c>
      <c r="AO627" s="4" t="s">
        <v>6703</v>
      </c>
      <c r="AP627" s="4" t="s">
        <v>6704</v>
      </c>
      <c r="AQ627" s="55" t="s">
        <v>499</v>
      </c>
      <c r="AR627" s="4" t="s">
        <v>110</v>
      </c>
      <c r="AS627" s="4"/>
      <c r="AT627" s="72"/>
      <c r="AU627" s="4"/>
      <c r="AV627" s="4"/>
      <c r="AW627" s="4"/>
      <c r="AX627" s="4"/>
      <c r="AY627" s="4"/>
      <c r="AZ627" s="4"/>
      <c r="BA627" s="4" t="s">
        <v>90</v>
      </c>
      <c r="BB627" s="4">
        <v>10800</v>
      </c>
      <c r="BC627" s="4">
        <v>2700</v>
      </c>
      <c r="BD627" s="4">
        <v>0</v>
      </c>
      <c r="BE627" s="4" t="s">
        <v>296</v>
      </c>
      <c r="BF627" s="4"/>
      <c r="BG627" s="4"/>
      <c r="BH627" s="271" t="s">
        <v>3510</v>
      </c>
      <c r="BI627" s="113">
        <f>VLOOKUP(A627,'ID Block'!A212:L518,12,0)</f>
        <v>45604</v>
      </c>
      <c r="BJ627" s="154" t="str">
        <f>VLOOKUP(A627,'ID Block'!A:M,13,0)</f>
        <v>Better opportunity</v>
      </c>
      <c r="BK627" s="4">
        <f t="shared" si="17"/>
        <v>393</v>
      </c>
      <c r="BL627" s="105"/>
      <c r="BM627" s="9"/>
      <c r="BN627" s="9"/>
      <c r="BO627" s="9"/>
    </row>
    <row r="628" ht="19.95" customHeight="1" s="67" customFormat="1">
      <c r="A628" s="207">
        <v>171919</v>
      </c>
      <c r="B628" s="207"/>
      <c r="C628" s="208" t="s">
        <v>3244</v>
      </c>
      <c r="D628" s="207" t="s">
        <v>2826</v>
      </c>
      <c r="E628" s="207" t="s">
        <v>66</v>
      </c>
      <c r="F628" s="208"/>
      <c r="G628" s="207" t="s">
        <v>67</v>
      </c>
      <c r="H628" s="207" t="s">
        <v>68</v>
      </c>
      <c r="I628" s="207" t="s">
        <v>69</v>
      </c>
      <c r="J628" s="208" t="s">
        <v>2495</v>
      </c>
      <c r="K628" s="207" t="s">
        <v>71</v>
      </c>
      <c r="L628" s="207" t="s">
        <v>72</v>
      </c>
      <c r="M628" s="4" t="s">
        <v>98</v>
      </c>
      <c r="N628" s="207" t="s">
        <v>74</v>
      </c>
      <c r="O628" s="207" t="s">
        <v>75</v>
      </c>
      <c r="P628" s="207">
        <v>44</v>
      </c>
      <c r="Q628" s="209">
        <v>45533</v>
      </c>
      <c r="R628" s="209">
        <v>45541</v>
      </c>
      <c r="S628" s="210"/>
      <c r="T628" s="210"/>
      <c r="U628" s="207"/>
      <c r="V628" s="207"/>
      <c r="W628" s="105"/>
      <c r="X628" s="211">
        <v>1409250642</v>
      </c>
      <c r="Y628" s="208"/>
      <c r="Z628" s="207"/>
      <c r="AA628" s="207"/>
      <c r="AB628" s="207"/>
      <c r="AC628" s="207"/>
      <c r="AD628" s="210"/>
      <c r="AE628" s="212"/>
      <c r="AF628" s="207" t="s">
        <v>80</v>
      </c>
      <c r="AG628" s="211"/>
      <c r="AH628" s="207"/>
      <c r="AI628" s="208"/>
      <c r="AJ628" s="208"/>
      <c r="AK628" s="208"/>
      <c r="AL628" s="207"/>
      <c r="AM628" s="207"/>
      <c r="AN628" s="207"/>
      <c r="AO628" s="207"/>
      <c r="AP628" s="207"/>
      <c r="AQ628" s="208"/>
      <c r="AR628" s="207"/>
      <c r="AS628" s="207"/>
      <c r="AT628" s="213"/>
      <c r="AU628" s="207"/>
      <c r="AV628" s="207"/>
      <c r="AW628" s="207"/>
      <c r="AX628" s="207"/>
      <c r="AY628" s="207"/>
      <c r="AZ628" s="207"/>
      <c r="BA628" s="207" t="s">
        <v>90</v>
      </c>
      <c r="BB628" s="207">
        <v>10800</v>
      </c>
      <c r="BC628" s="207">
        <v>2700</v>
      </c>
      <c r="BD628" s="207">
        <v>0</v>
      </c>
      <c r="BE628" s="207" t="s">
        <v>91</v>
      </c>
      <c r="BF628" s="207"/>
      <c r="BG628" s="207"/>
      <c r="BH628" s="105" t="s">
        <v>3499</v>
      </c>
      <c r="BI628" s="113">
        <f>VLOOKUP(A628,'ID Block'!A213:L519,12,0)</f>
        <v>45581</v>
      </c>
      <c r="BJ628" s="154" t="str">
        <f>VLOOKUP(A628,'ID Block'!A:M,13,0)</f>
        <v>Absenteesm</v>
      </c>
      <c r="BK628" s="4">
        <f t="shared" si="17"/>
        <v>40</v>
      </c>
      <c r="BL628" s="105" t="s">
        <v>168</v>
      </c>
      <c r="BM628" s="9"/>
      <c r="BN628" s="9"/>
      <c r="BO628" s="9"/>
    </row>
    <row r="629" ht="19.95" customHeight="1" s="67" customFormat="1">
      <c r="A629" s="207">
        <v>171818</v>
      </c>
      <c r="B629" s="207"/>
      <c r="C629" s="208"/>
      <c r="D629" s="207" t="s">
        <v>6705</v>
      </c>
      <c r="E629" s="207" t="s">
        <v>66</v>
      </c>
      <c r="F629" s="208" t="s">
        <v>81</v>
      </c>
      <c r="G629" s="207" t="s">
        <v>67</v>
      </c>
      <c r="H629" s="207" t="s">
        <v>68</v>
      </c>
      <c r="I629" s="207" t="s">
        <v>69</v>
      </c>
      <c r="J629" s="208" t="s">
        <v>2162</v>
      </c>
      <c r="K629" s="207" t="s">
        <v>71</v>
      </c>
      <c r="L629" s="207" t="s">
        <v>72</v>
      </c>
      <c r="M629" s="4" t="s">
        <v>98</v>
      </c>
      <c r="N629" s="207" t="s">
        <v>74</v>
      </c>
      <c r="O629" s="207" t="s">
        <v>75</v>
      </c>
      <c r="P629" s="207">
        <v>41</v>
      </c>
      <c r="Q629" s="209">
        <v>45506</v>
      </c>
      <c r="R629" s="209">
        <v>45517</v>
      </c>
      <c r="S629" s="210"/>
      <c r="T629" s="210"/>
      <c r="U629" s="207"/>
      <c r="V629" s="207"/>
      <c r="W629" s="105"/>
      <c r="X629" s="211">
        <v>1332399736</v>
      </c>
      <c r="Y629" s="208"/>
      <c r="Z629" s="207" t="s">
        <v>6706</v>
      </c>
      <c r="AA629" s="207">
        <v>1303485583</v>
      </c>
      <c r="AB629" s="207" t="s">
        <v>78</v>
      </c>
      <c r="AC629" s="207" t="s">
        <v>6707</v>
      </c>
      <c r="AD629" s="210">
        <v>34711</v>
      </c>
      <c r="AE629" s="212"/>
      <c r="AF629" s="207" t="s">
        <v>80</v>
      </c>
      <c r="AG629" s="211">
        <v>1000898138</v>
      </c>
      <c r="AH629" s="207" t="s">
        <v>81</v>
      </c>
      <c r="AI629" s="208" t="s">
        <v>322</v>
      </c>
      <c r="AJ629" s="208"/>
      <c r="AK629" s="208"/>
      <c r="AL629" s="207"/>
      <c r="AM629" s="207" t="s">
        <v>6708</v>
      </c>
      <c r="AN629" s="207" t="s">
        <v>6709</v>
      </c>
      <c r="AO629" s="207" t="s">
        <v>6710</v>
      </c>
      <c r="AP629" s="207" t="s">
        <v>6710</v>
      </c>
      <c r="AQ629" s="208" t="s">
        <v>1751</v>
      </c>
      <c r="AR629" s="207"/>
      <c r="AS629" s="207"/>
      <c r="AT629" s="213"/>
      <c r="AU629" s="207"/>
      <c r="AV629" s="207"/>
      <c r="AW629" s="207"/>
      <c r="AX629" s="207"/>
      <c r="AY629" s="207"/>
      <c r="AZ629" s="207"/>
      <c r="BA629" s="207" t="s">
        <v>90</v>
      </c>
      <c r="BB629" s="207">
        <v>10800</v>
      </c>
      <c r="BC629" s="207">
        <v>2700</v>
      </c>
      <c r="BD629" s="207">
        <v>0</v>
      </c>
      <c r="BE629" s="207" t="s">
        <v>91</v>
      </c>
      <c r="BF629" s="207"/>
      <c r="BG629" s="207"/>
      <c r="BH629" s="105" t="s">
        <v>3499</v>
      </c>
      <c r="BI629" s="113">
        <f>VLOOKUP(A629,'ID Block'!A214:L520,12,0)</f>
        <v>45567</v>
      </c>
      <c r="BJ629" s="154" t="str">
        <f>VLOOKUP(A629,'ID Block'!A:M,13,0)</f>
        <v>Absenteesm</v>
      </c>
      <c r="BK629" s="207">
        <v>1332399736</v>
      </c>
      <c r="BL629" s="105" t="s">
        <v>168</v>
      </c>
      <c r="BM629" s="9"/>
      <c r="BN629" s="9"/>
      <c r="BO629" s="9"/>
    </row>
    <row r="630" ht="19.95" customHeight="1" s="67" customFormat="1">
      <c r="A630" s="207">
        <v>171727</v>
      </c>
      <c r="B630" s="207"/>
      <c r="C630" s="208" t="s">
        <v>3265</v>
      </c>
      <c r="D630" s="207" t="s">
        <v>6711</v>
      </c>
      <c r="E630" s="207" t="s">
        <v>66</v>
      </c>
      <c r="F630" s="208" t="s">
        <v>81</v>
      </c>
      <c r="G630" s="207" t="s">
        <v>67</v>
      </c>
      <c r="H630" s="207" t="s">
        <v>68</v>
      </c>
      <c r="I630" s="207" t="s">
        <v>69</v>
      </c>
      <c r="J630" s="208" t="s">
        <v>307</v>
      </c>
      <c r="K630" s="207" t="s">
        <v>71</v>
      </c>
      <c r="L630" s="207" t="s">
        <v>72</v>
      </c>
      <c r="M630" s="4" t="s">
        <v>98</v>
      </c>
      <c r="N630" s="207" t="s">
        <v>74</v>
      </c>
      <c r="O630" s="207" t="s">
        <v>75</v>
      </c>
      <c r="P630" s="207">
        <v>37</v>
      </c>
      <c r="Q630" s="209">
        <v>45476</v>
      </c>
      <c r="R630" s="209">
        <v>45485</v>
      </c>
      <c r="S630" s="210" t="s">
        <v>242</v>
      </c>
      <c r="T630" s="210" t="s">
        <v>242</v>
      </c>
      <c r="U630" s="207" t="s">
        <v>242</v>
      </c>
      <c r="V630" s="207" t="s">
        <v>242</v>
      </c>
      <c r="W630" s="105" t="s">
        <v>6712</v>
      </c>
      <c r="X630" s="211">
        <v>1739820147</v>
      </c>
      <c r="Y630" s="208"/>
      <c r="Z630" s="207" t="s">
        <v>6713</v>
      </c>
      <c r="AA630" s="207">
        <v>1793592236</v>
      </c>
      <c r="AB630" s="207" t="s">
        <v>132</v>
      </c>
      <c r="AC630" s="207" t="s">
        <v>119</v>
      </c>
      <c r="AD630" s="210"/>
      <c r="AE630" s="212"/>
      <c r="AF630" s="207" t="s">
        <v>80</v>
      </c>
      <c r="AG630" s="211">
        <v>1965404674</v>
      </c>
      <c r="AH630" s="207" t="s">
        <v>81</v>
      </c>
      <c r="AI630" s="208" t="s">
        <v>6714</v>
      </c>
      <c r="AJ630" s="208" t="s">
        <v>6715</v>
      </c>
      <c r="AK630" s="208">
        <v>2024</v>
      </c>
      <c r="AL630" s="207" t="s">
        <v>2545</v>
      </c>
      <c r="AM630" s="207" t="s">
        <v>6716</v>
      </c>
      <c r="AN630" s="207" t="s">
        <v>6713</v>
      </c>
      <c r="AO630" s="207" t="s">
        <v>6717</v>
      </c>
      <c r="AP630" s="207" t="s">
        <v>6717</v>
      </c>
      <c r="AQ630" s="208" t="s">
        <v>3068</v>
      </c>
      <c r="AR630" s="207" t="s">
        <v>6718</v>
      </c>
      <c r="AS630" s="207" t="s">
        <v>5447</v>
      </c>
      <c r="AT630" s="213" t="s">
        <v>5447</v>
      </c>
      <c r="AU630" s="207" t="s">
        <v>5447</v>
      </c>
      <c r="AV630" s="207" t="s">
        <v>5447</v>
      </c>
      <c r="AW630" s="207" t="s">
        <v>81</v>
      </c>
      <c r="AX630" s="207" t="s">
        <v>81</v>
      </c>
      <c r="AY630" s="207" t="s">
        <v>81</v>
      </c>
      <c r="AZ630" s="207" t="s">
        <v>81</v>
      </c>
      <c r="BA630" s="207" t="s">
        <v>90</v>
      </c>
      <c r="BB630" s="207">
        <v>10800</v>
      </c>
      <c r="BC630" s="207">
        <v>2700</v>
      </c>
      <c r="BD630" s="207">
        <v>0</v>
      </c>
      <c r="BE630" s="207" t="s">
        <v>91</v>
      </c>
      <c r="BF630" s="207" t="s">
        <v>242</v>
      </c>
      <c r="BG630" s="207" t="s">
        <v>242</v>
      </c>
      <c r="BH630" s="105" t="s">
        <v>3499</v>
      </c>
      <c r="BI630" s="113">
        <f>VLOOKUP(A630,'ID Block'!A215:L521,12,0)</f>
        <v>45559</v>
      </c>
      <c r="BJ630" s="154" t="str">
        <f>VLOOKUP(A630,'ID Block'!A:M,13,0)</f>
        <v>Absenteesm</v>
      </c>
      <c r="BK630" s="207">
        <v>1739820147</v>
      </c>
      <c r="BL630" s="105" t="s">
        <v>168</v>
      </c>
      <c r="BM630" s="9"/>
      <c r="BN630" s="9"/>
      <c r="BO630" s="9"/>
    </row>
    <row r="631" ht="19.95" customHeight="1" s="67" customFormat="1">
      <c r="A631" s="4">
        <v>171351</v>
      </c>
      <c r="B631" s="4"/>
      <c r="C631" s="55" t="s">
        <v>4612</v>
      </c>
      <c r="D631" s="4" t="s">
        <v>6719</v>
      </c>
      <c r="E631" s="4" t="s">
        <v>114</v>
      </c>
      <c r="F631" s="55">
        <v>1417712242</v>
      </c>
      <c r="G631" s="4" t="s">
        <v>67</v>
      </c>
      <c r="H631" s="4" t="s">
        <v>68</v>
      </c>
      <c r="I631" s="4" t="s">
        <v>69</v>
      </c>
      <c r="J631" s="55" t="s">
        <v>341</v>
      </c>
      <c r="K631" s="4" t="s">
        <v>71</v>
      </c>
      <c r="L631" s="4" t="s">
        <v>72</v>
      </c>
      <c r="M631" s="4" t="s">
        <v>342</v>
      </c>
      <c r="N631" s="4" t="s">
        <v>74</v>
      </c>
      <c r="O631" s="4" t="s">
        <v>75</v>
      </c>
      <c r="P631" s="4">
        <v>23</v>
      </c>
      <c r="Q631" s="57">
        <v>45338</v>
      </c>
      <c r="R631" s="57">
        <v>45356</v>
      </c>
      <c r="S631" s="113"/>
      <c r="T631" s="113"/>
      <c r="U631" s="4"/>
      <c r="V631" s="4"/>
      <c r="W631" s="105" t="s">
        <v>6720</v>
      </c>
      <c r="X631" s="114">
        <v>1750964100</v>
      </c>
      <c r="Y631" s="55"/>
      <c r="Z631" s="4" t="s">
        <v>6721</v>
      </c>
      <c r="AA631" s="4">
        <v>1784061322</v>
      </c>
      <c r="AB631" s="4" t="s">
        <v>118</v>
      </c>
      <c r="AC631" s="4" t="s">
        <v>119</v>
      </c>
      <c r="AD631" s="113">
        <v>37491</v>
      </c>
      <c r="AE631" s="107">
        <f>((TODAY())-AD631)/365</f>
        <v>22.482191780821918</v>
      </c>
      <c r="AF631" s="4" t="s">
        <v>80</v>
      </c>
      <c r="AG631" s="114">
        <v>8261430139</v>
      </c>
      <c r="AH631" s="4" t="s">
        <v>81</v>
      </c>
      <c r="AI631" s="55" t="s">
        <v>6089</v>
      </c>
      <c r="AJ631" s="55" t="s">
        <v>81</v>
      </c>
      <c r="AK631" s="55">
        <v>2023</v>
      </c>
      <c r="AL631" s="4" t="s">
        <v>1102</v>
      </c>
      <c r="AM631" s="4" t="s">
        <v>2806</v>
      </c>
      <c r="AN631" s="4" t="s">
        <v>6722</v>
      </c>
      <c r="AO631" s="4" t="s">
        <v>6723</v>
      </c>
      <c r="AP631" s="4" t="s">
        <v>6724</v>
      </c>
      <c r="AQ631" s="55" t="s">
        <v>1788</v>
      </c>
      <c r="AR631" s="4" t="s">
        <v>110</v>
      </c>
      <c r="AS631" s="4" t="s">
        <v>81</v>
      </c>
      <c r="AT631" s="72" t="s">
        <v>81</v>
      </c>
      <c r="AU631" s="4" t="s">
        <v>81</v>
      </c>
      <c r="AV631" s="4" t="s">
        <v>81</v>
      </c>
      <c r="AW631" s="4" t="s">
        <v>81</v>
      </c>
      <c r="AX631" s="4" t="s">
        <v>81</v>
      </c>
      <c r="AY631" s="4"/>
      <c r="AZ631" s="4"/>
      <c r="BA631" s="4" t="s">
        <v>90</v>
      </c>
      <c r="BB631" s="4">
        <v>10800</v>
      </c>
      <c r="BC631" s="4">
        <v>2700</v>
      </c>
      <c r="BD631" s="4">
        <v>0</v>
      </c>
      <c r="BE631" s="4" t="s">
        <v>91</v>
      </c>
      <c r="BF631" s="4"/>
      <c r="BG631" s="4"/>
      <c r="BH631" s="105" t="s">
        <v>3510</v>
      </c>
      <c r="BI631" s="113">
        <f>VLOOKUP(A631,'ID Block'!A216:L522,12,0)</f>
        <v>45606</v>
      </c>
      <c r="BJ631" s="154" t="str">
        <f>VLOOKUP(A631,'ID Block'!A:M,13,0)</f>
        <v>Study Purpose</v>
      </c>
      <c r="BK631" s="4">
        <f ref="BK631:BK641" t="shared" si="19">BI631-R631</f>
        <v>250</v>
      </c>
      <c r="BL631" s="105" t="s">
        <v>168</v>
      </c>
      <c r="BM631" s="9"/>
      <c r="BN631" s="9"/>
      <c r="BO631" s="9"/>
    </row>
    <row r="632" ht="19.95" customHeight="1" s="67" customFormat="1">
      <c r="A632" s="4">
        <v>171311</v>
      </c>
      <c r="B632" s="4"/>
      <c r="C632" s="55" t="s">
        <v>4293</v>
      </c>
      <c r="D632" s="4" t="s">
        <v>6725</v>
      </c>
      <c r="E632" s="4" t="s">
        <v>66</v>
      </c>
      <c r="F632" s="55">
        <v>1012682547</v>
      </c>
      <c r="G632" s="4" t="s">
        <v>67</v>
      </c>
      <c r="H632" s="4" t="s">
        <v>68</v>
      </c>
      <c r="I632" s="4" t="s">
        <v>69</v>
      </c>
      <c r="J632" s="55" t="s">
        <v>307</v>
      </c>
      <c r="K632" s="4" t="s">
        <v>71</v>
      </c>
      <c r="L632" s="4" t="s">
        <v>72</v>
      </c>
      <c r="M632" s="4" t="s">
        <v>98</v>
      </c>
      <c r="N632" s="4" t="s">
        <v>74</v>
      </c>
      <c r="O632" s="4" t="s">
        <v>75</v>
      </c>
      <c r="P632" s="4">
        <v>21</v>
      </c>
      <c r="Q632" s="57">
        <v>45267</v>
      </c>
      <c r="R632" s="57">
        <v>45292</v>
      </c>
      <c r="S632" s="113"/>
      <c r="T632" s="113"/>
      <c r="U632" s="4"/>
      <c r="V632" s="4"/>
      <c r="W632" s="105" t="s">
        <v>6726</v>
      </c>
      <c r="X632" s="114">
        <v>1784109153</v>
      </c>
      <c r="Y632" s="55">
        <v>1521316161</v>
      </c>
      <c r="Z632" s="4" t="s">
        <v>6727</v>
      </c>
      <c r="AA632" s="4">
        <v>1938356831</v>
      </c>
      <c r="AB632" s="4" t="s">
        <v>118</v>
      </c>
      <c r="AC632" s="4" t="s">
        <v>119</v>
      </c>
      <c r="AD632" s="113">
        <v>35390</v>
      </c>
      <c r="AE632" s="107">
        <f>((TODAY())-AD632)/365</f>
        <v>28.23835616438356</v>
      </c>
      <c r="AF632" s="4" t="s">
        <v>80</v>
      </c>
      <c r="AG632" s="114">
        <v>2852911144</v>
      </c>
      <c r="AH632" s="4" t="s">
        <v>81</v>
      </c>
      <c r="AI632" s="55" t="s">
        <v>290</v>
      </c>
      <c r="AJ632" s="55" t="s">
        <v>81</v>
      </c>
      <c r="AK632" s="55">
        <v>2021</v>
      </c>
      <c r="AL632" s="4" t="s">
        <v>6728</v>
      </c>
      <c r="AM632" s="4" t="s">
        <v>6729</v>
      </c>
      <c r="AN632" s="4" t="s">
        <v>6730</v>
      </c>
      <c r="AO632" s="4" t="s">
        <v>6731</v>
      </c>
      <c r="AP632" s="4" t="s">
        <v>6732</v>
      </c>
      <c r="AQ632" s="55" t="s">
        <v>2689</v>
      </c>
      <c r="AR632" s="4" t="s">
        <v>110</v>
      </c>
      <c r="AS632" s="4" t="s">
        <v>81</v>
      </c>
      <c r="AT632" s="72" t="s">
        <v>81</v>
      </c>
      <c r="AU632" s="4" t="s">
        <v>81</v>
      </c>
      <c r="AV632" s="4" t="s">
        <v>81</v>
      </c>
      <c r="AW632" s="4" t="s">
        <v>81</v>
      </c>
      <c r="AX632" s="4" t="s">
        <v>81</v>
      </c>
      <c r="AY632" s="4"/>
      <c r="AZ632" s="4"/>
      <c r="BA632" s="4" t="s">
        <v>90</v>
      </c>
      <c r="BB632" s="4">
        <v>10800</v>
      </c>
      <c r="BC632" s="4">
        <v>2700</v>
      </c>
      <c r="BD632" s="4">
        <v>0</v>
      </c>
      <c r="BE632" s="4" t="s">
        <v>91</v>
      </c>
      <c r="BF632" s="4"/>
      <c r="BG632" s="4"/>
      <c r="BH632" s="105" t="s">
        <v>3510</v>
      </c>
      <c r="BI632" s="113">
        <v>45614</v>
      </c>
      <c r="BJ632" s="154" t="str">
        <f>VLOOKUP(A632,'ID Block'!A:M,13,0)</f>
        <v>Better Opportunity</v>
      </c>
      <c r="BK632" s="4">
        <f t="shared" si="19"/>
        <v>322</v>
      </c>
      <c r="BL632" s="105" t="s">
        <v>168</v>
      </c>
      <c r="BM632" s="9"/>
      <c r="BN632" s="9"/>
      <c r="BO632" s="9"/>
    </row>
    <row r="633" ht="19.95" customHeight="1" s="67" customFormat="1">
      <c r="A633" s="207">
        <v>171550</v>
      </c>
      <c r="B633" s="207"/>
      <c r="C633" s="208" t="s">
        <v>6733</v>
      </c>
      <c r="D633" s="207" t="s">
        <v>6734</v>
      </c>
      <c r="E633" s="207" t="s">
        <v>66</v>
      </c>
      <c r="F633" s="208">
        <v>138832</v>
      </c>
      <c r="G633" s="207" t="s">
        <v>67</v>
      </c>
      <c r="H633" s="207" t="s">
        <v>68</v>
      </c>
      <c r="I633" s="207" t="s">
        <v>69</v>
      </c>
      <c r="J633" s="208" t="s">
        <v>1285</v>
      </c>
      <c r="K633" s="207" t="s">
        <v>71</v>
      </c>
      <c r="L633" s="207" t="s">
        <v>72</v>
      </c>
      <c r="M633" s="4" t="s">
        <v>1304</v>
      </c>
      <c r="N633" s="207" t="s">
        <v>74</v>
      </c>
      <c r="O633" s="207" t="s">
        <v>75</v>
      </c>
      <c r="P633" s="207">
        <v>31</v>
      </c>
      <c r="Q633" s="209">
        <v>45447</v>
      </c>
      <c r="R633" s="209">
        <v>45453</v>
      </c>
      <c r="S633" s="210"/>
      <c r="T633" s="210"/>
      <c r="U633" s="207"/>
      <c r="V633" s="207"/>
      <c r="W633" s="105" t="s">
        <v>6735</v>
      </c>
      <c r="X633" s="211">
        <v>1711938133</v>
      </c>
      <c r="Y633" s="208">
        <v>1581738142</v>
      </c>
      <c r="Z633" s="207" t="s">
        <v>6736</v>
      </c>
      <c r="AA633" s="207">
        <v>1731803415</v>
      </c>
      <c r="AB633" s="207" t="s">
        <v>101</v>
      </c>
      <c r="AC633" s="207" t="s">
        <v>133</v>
      </c>
      <c r="AD633" s="210">
        <v>32810</v>
      </c>
      <c r="AE633" s="212">
        <f>((TODAY())-AD633)/365</f>
        <v>35.30684931506849</v>
      </c>
      <c r="AF633" s="207" t="s">
        <v>80</v>
      </c>
      <c r="AG633" s="211">
        <v>9112797353</v>
      </c>
      <c r="AH633" s="207" t="s">
        <v>81</v>
      </c>
      <c r="AI633" s="208" t="s">
        <v>312</v>
      </c>
      <c r="AJ633" s="208" t="s">
        <v>81</v>
      </c>
      <c r="AK633" s="208">
        <v>2011</v>
      </c>
      <c r="AL633" s="207" t="s">
        <v>6737</v>
      </c>
      <c r="AM633" s="207" t="s">
        <v>6736</v>
      </c>
      <c r="AN633" s="207" t="s">
        <v>6738</v>
      </c>
      <c r="AO633" s="207" t="s">
        <v>6739</v>
      </c>
      <c r="AP633" s="207" t="s">
        <v>6740</v>
      </c>
      <c r="AQ633" s="208" t="s">
        <v>6741</v>
      </c>
      <c r="AR633" s="207" t="s">
        <v>89</v>
      </c>
      <c r="AS633" s="207" t="s">
        <v>6742</v>
      </c>
      <c r="AT633" s="213">
        <v>31048</v>
      </c>
      <c r="AU633" s="207" t="s">
        <v>6743</v>
      </c>
      <c r="AV633" s="207" t="s">
        <v>6744</v>
      </c>
      <c r="AW633" s="207" t="s">
        <v>81</v>
      </c>
      <c r="AX633" s="207" t="s">
        <v>81</v>
      </c>
      <c r="AY633" s="207" t="s">
        <v>81</v>
      </c>
      <c r="AZ633" s="207" t="s">
        <v>81</v>
      </c>
      <c r="BA633" s="207" t="s">
        <v>90</v>
      </c>
      <c r="BB633" s="207">
        <v>10800</v>
      </c>
      <c r="BC633" s="207">
        <v>2700</v>
      </c>
      <c r="BD633" s="207">
        <v>0</v>
      </c>
      <c r="BE633" s="207" t="s">
        <v>91</v>
      </c>
      <c r="BF633" s="207"/>
      <c r="BG633" s="207"/>
      <c r="BH633" s="105" t="s">
        <v>3510</v>
      </c>
      <c r="BI633" s="113">
        <v>45613</v>
      </c>
      <c r="BJ633" s="154" t="str">
        <f>VLOOKUP(A633,'ID Block'!A:M,13,0)</f>
        <v>Better Opportunity</v>
      </c>
      <c r="BK633" s="4">
        <f t="shared" si="19"/>
        <v>160</v>
      </c>
      <c r="BL633" s="105" t="s">
        <v>168</v>
      </c>
      <c r="BM633" s="9"/>
      <c r="BN633" s="9"/>
      <c r="BO633" s="9"/>
    </row>
    <row r="634" ht="19.95" customHeight="1" s="67" customFormat="1">
      <c r="A634" s="207">
        <v>171612</v>
      </c>
      <c r="B634" s="207"/>
      <c r="C634" s="208" t="s">
        <v>6745</v>
      </c>
      <c r="D634" s="207" t="s">
        <v>6746</v>
      </c>
      <c r="E634" s="207" t="s">
        <v>114</v>
      </c>
      <c r="F634" s="208">
        <v>831996</v>
      </c>
      <c r="G634" s="207" t="s">
        <v>67</v>
      </c>
      <c r="H634" s="207" t="s">
        <v>68</v>
      </c>
      <c r="I634" s="207" t="s">
        <v>69</v>
      </c>
      <c r="J634" s="208" t="s">
        <v>1285</v>
      </c>
      <c r="K634" s="207" t="s">
        <v>71</v>
      </c>
      <c r="L634" s="207" t="s">
        <v>72</v>
      </c>
      <c r="M634" s="4" t="s">
        <v>369</v>
      </c>
      <c r="N634" s="207" t="s">
        <v>74</v>
      </c>
      <c r="O634" s="207" t="s">
        <v>75</v>
      </c>
      <c r="P634" s="207">
        <v>32</v>
      </c>
      <c r="Q634" s="209">
        <v>45449</v>
      </c>
      <c r="R634" s="209">
        <v>45458</v>
      </c>
      <c r="S634" s="210"/>
      <c r="T634" s="210"/>
      <c r="U634" s="207"/>
      <c r="V634" s="207"/>
      <c r="W634" s="105" t="s">
        <v>6747</v>
      </c>
      <c r="X634" s="211">
        <v>1747606908</v>
      </c>
      <c r="Y634" s="208">
        <v>1617606908</v>
      </c>
      <c r="Z634" s="207" t="s">
        <v>6748</v>
      </c>
      <c r="AA634" s="207">
        <v>1924385354</v>
      </c>
      <c r="AB634" s="207" t="s">
        <v>132</v>
      </c>
      <c r="AC634" s="207" t="s">
        <v>133</v>
      </c>
      <c r="AD634" s="210">
        <v>35431</v>
      </c>
      <c r="AE634" s="212"/>
      <c r="AF634" s="207" t="s">
        <v>80</v>
      </c>
      <c r="AG634" s="211">
        <v>9107200884</v>
      </c>
      <c r="AH634" s="207" t="s">
        <v>81</v>
      </c>
      <c r="AI634" s="208" t="s">
        <v>4786</v>
      </c>
      <c r="AJ634" s="208" t="s">
        <v>81</v>
      </c>
      <c r="AK634" s="208">
        <v>2022</v>
      </c>
      <c r="AL634" s="207" t="s">
        <v>6749</v>
      </c>
      <c r="AM634" s="207" t="s">
        <v>6750</v>
      </c>
      <c r="AN634" s="207" t="s">
        <v>6748</v>
      </c>
      <c r="AO634" s="207" t="s">
        <v>6751</v>
      </c>
      <c r="AP634" s="207" t="s">
        <v>6752</v>
      </c>
      <c r="AQ634" s="208" t="s">
        <v>6753</v>
      </c>
      <c r="AR634" s="207" t="s">
        <v>260</v>
      </c>
      <c r="AS634" s="207" t="s">
        <v>81</v>
      </c>
      <c r="AT634" s="213" t="s">
        <v>81</v>
      </c>
      <c r="AU634" s="207" t="s">
        <v>81</v>
      </c>
      <c r="AV634" s="207" t="s">
        <v>81</v>
      </c>
      <c r="AW634" s="207" t="s">
        <v>81</v>
      </c>
      <c r="AX634" s="207" t="s">
        <v>81</v>
      </c>
      <c r="AY634" s="207" t="s">
        <v>81</v>
      </c>
      <c r="AZ634" s="207" t="s">
        <v>81</v>
      </c>
      <c r="BA634" s="207" t="s">
        <v>90</v>
      </c>
      <c r="BB634" s="207">
        <v>10800</v>
      </c>
      <c r="BC634" s="207">
        <v>2700</v>
      </c>
      <c r="BD634" s="207">
        <v>0</v>
      </c>
      <c r="BE634" s="207" t="s">
        <v>91</v>
      </c>
      <c r="BF634" s="207"/>
      <c r="BG634" s="207"/>
      <c r="BH634" s="105" t="s">
        <v>3510</v>
      </c>
      <c r="BI634" s="113">
        <v>45612</v>
      </c>
      <c r="BJ634" s="154" t="str">
        <f>VLOOKUP(A634,'ID Block'!A:M,13,0)</f>
        <v>higher study</v>
      </c>
      <c r="BK634" s="4">
        <f t="shared" si="19"/>
        <v>154</v>
      </c>
      <c r="BL634" s="105" t="s">
        <v>168</v>
      </c>
      <c r="BM634" s="9"/>
      <c r="BN634" s="9"/>
      <c r="BO634" s="9"/>
    </row>
    <row r="635" ht="19.95" customHeight="1" s="67" customFormat="1">
      <c r="A635" s="207">
        <v>171615</v>
      </c>
      <c r="B635" s="207"/>
      <c r="C635" s="208" t="s">
        <v>6754</v>
      </c>
      <c r="D635" s="207" t="s">
        <v>6755</v>
      </c>
      <c r="E635" s="207" t="s">
        <v>114</v>
      </c>
      <c r="F635" s="208">
        <v>12127179333</v>
      </c>
      <c r="G635" s="207" t="s">
        <v>67</v>
      </c>
      <c r="H635" s="207" t="s">
        <v>68</v>
      </c>
      <c r="I635" s="207" t="s">
        <v>69</v>
      </c>
      <c r="J635" s="208" t="s">
        <v>155</v>
      </c>
      <c r="K635" s="207" t="s">
        <v>71</v>
      </c>
      <c r="L635" s="207" t="s">
        <v>72</v>
      </c>
      <c r="M635" s="4" t="s">
        <v>156</v>
      </c>
      <c r="N635" s="207" t="s">
        <v>74</v>
      </c>
      <c r="O635" s="207" t="s">
        <v>75</v>
      </c>
      <c r="P635" s="207">
        <v>32</v>
      </c>
      <c r="Q635" s="209">
        <v>45449</v>
      </c>
      <c r="R635" s="209">
        <v>45474</v>
      </c>
      <c r="S635" s="210"/>
      <c r="T635" s="210"/>
      <c r="U635" s="207"/>
      <c r="V635" s="207"/>
      <c r="W635" s="105"/>
      <c r="X635" s="211">
        <v>1826459168</v>
      </c>
      <c r="Y635" s="208"/>
      <c r="Z635" s="207" t="s">
        <v>6756</v>
      </c>
      <c r="AA635" s="207">
        <v>1826459168</v>
      </c>
      <c r="AB635" s="207" t="s">
        <v>101</v>
      </c>
      <c r="AC635" s="207" t="s">
        <v>119</v>
      </c>
      <c r="AD635" s="210">
        <v>36307</v>
      </c>
      <c r="AE635" s="212"/>
      <c r="AF635" s="207" t="s">
        <v>80</v>
      </c>
      <c r="AG635" s="211">
        <v>6904439905</v>
      </c>
      <c r="AH635" s="207" t="s">
        <v>242</v>
      </c>
      <c r="AI635" s="208" t="s">
        <v>253</v>
      </c>
      <c r="AJ635" s="208" t="s">
        <v>81</v>
      </c>
      <c r="AK635" s="208">
        <v>2020</v>
      </c>
      <c r="AL635" s="207" t="s">
        <v>1443</v>
      </c>
      <c r="AM635" s="207" t="s">
        <v>6756</v>
      </c>
      <c r="AN635" s="207" t="s">
        <v>6757</v>
      </c>
      <c r="AO635" s="207" t="s">
        <v>6758</v>
      </c>
      <c r="AP635" s="207" t="s">
        <v>6759</v>
      </c>
      <c r="AQ635" s="208" t="s">
        <v>4565</v>
      </c>
      <c r="AR635" s="207" t="s">
        <v>110</v>
      </c>
      <c r="AS635" s="207" t="s">
        <v>81</v>
      </c>
      <c r="AT635" s="213" t="s">
        <v>242</v>
      </c>
      <c r="AU635" s="207" t="s">
        <v>81</v>
      </c>
      <c r="AV635" s="207" t="s">
        <v>81</v>
      </c>
      <c r="AW635" s="207" t="s">
        <v>81</v>
      </c>
      <c r="AX635" s="207" t="s">
        <v>81</v>
      </c>
      <c r="AY635" s="207" t="s">
        <v>81</v>
      </c>
      <c r="AZ635" s="207" t="s">
        <v>81</v>
      </c>
      <c r="BA635" s="207" t="s">
        <v>90</v>
      </c>
      <c r="BB635" s="207">
        <v>10800</v>
      </c>
      <c r="BC635" s="207">
        <v>2700</v>
      </c>
      <c r="BD635" s="207">
        <v>1000</v>
      </c>
      <c r="BE635" s="207" t="s">
        <v>166</v>
      </c>
      <c r="BF635" s="207"/>
      <c r="BG635" s="207"/>
      <c r="BH635" s="105" t="s">
        <v>3510</v>
      </c>
      <c r="BI635" s="113">
        <v>45611</v>
      </c>
      <c r="BJ635" s="154" t="str">
        <f>VLOOKUP(A635,'ID Block'!A:M,13,0)</f>
        <v>Exam</v>
      </c>
      <c r="BK635" s="4">
        <f t="shared" si="19"/>
        <v>137</v>
      </c>
      <c r="BL635" s="105" t="s">
        <v>168</v>
      </c>
      <c r="BM635" s="9"/>
      <c r="BN635" s="9"/>
      <c r="BO635" s="9"/>
    </row>
    <row r="636" ht="19.95" customHeight="1" s="67" customFormat="1">
      <c r="A636" s="4">
        <v>171386</v>
      </c>
      <c r="B636" s="4"/>
      <c r="C636" s="55" t="s">
        <v>6760</v>
      </c>
      <c r="D636" s="4" t="s">
        <v>6761</v>
      </c>
      <c r="E636" s="4" t="s">
        <v>114</v>
      </c>
      <c r="F636" s="55">
        <v>1310267754</v>
      </c>
      <c r="G636" s="4" t="s">
        <v>67</v>
      </c>
      <c r="H636" s="4" t="s">
        <v>68</v>
      </c>
      <c r="I636" s="4" t="s">
        <v>69</v>
      </c>
      <c r="J636" s="55" t="s">
        <v>155</v>
      </c>
      <c r="K636" s="4" t="s">
        <v>71</v>
      </c>
      <c r="L636" s="4" t="s">
        <v>72</v>
      </c>
      <c r="M636" s="4" t="s">
        <v>271</v>
      </c>
      <c r="N636" s="4" t="s">
        <v>74</v>
      </c>
      <c r="O636" s="4" t="s">
        <v>75</v>
      </c>
      <c r="P636" s="4">
        <v>24</v>
      </c>
      <c r="Q636" s="57">
        <v>45353</v>
      </c>
      <c r="R636" s="57">
        <v>45371</v>
      </c>
      <c r="S636" s="113"/>
      <c r="T636" s="113"/>
      <c r="U636" s="4"/>
      <c r="V636" s="4"/>
      <c r="W636" s="105" t="s">
        <v>6762</v>
      </c>
      <c r="X636" s="114">
        <v>1756803516</v>
      </c>
      <c r="Y636" s="55">
        <v>1756803516</v>
      </c>
      <c r="Z636" s="4" t="s">
        <v>6763</v>
      </c>
      <c r="AA636" s="4">
        <v>1723646943</v>
      </c>
      <c r="AB636" s="4" t="s">
        <v>252</v>
      </c>
      <c r="AC636" s="4" t="s">
        <v>79</v>
      </c>
      <c r="AD636" s="113">
        <v>36320</v>
      </c>
      <c r="AE636" s="107">
        <f>((TODAY())-AD636)/365</f>
        <v>25.69041095890411</v>
      </c>
      <c r="AF636" s="4" t="s">
        <v>80</v>
      </c>
      <c r="AG636" s="114">
        <v>5554720044</v>
      </c>
      <c r="AH636" s="4" t="s">
        <v>81</v>
      </c>
      <c r="AI636" s="55" t="s">
        <v>1993</v>
      </c>
      <c r="AJ636" s="55" t="s">
        <v>81</v>
      </c>
      <c r="AK636" s="55">
        <v>2024</v>
      </c>
      <c r="AL636" s="4" t="s">
        <v>580</v>
      </c>
      <c r="AM636" s="4" t="s">
        <v>6763</v>
      </c>
      <c r="AN636" s="4" t="s">
        <v>6764</v>
      </c>
      <c r="AO636" s="4" t="s">
        <v>6765</v>
      </c>
      <c r="AP636" s="4" t="s">
        <v>6766</v>
      </c>
      <c r="AQ636" s="55" t="s">
        <v>666</v>
      </c>
      <c r="AR636" s="4" t="s">
        <v>110</v>
      </c>
      <c r="AS636" s="4" t="s">
        <v>81</v>
      </c>
      <c r="AT636" s="72" t="s">
        <v>81</v>
      </c>
      <c r="AU636" s="4" t="s">
        <v>81</v>
      </c>
      <c r="AV636" s="4" t="s">
        <v>81</v>
      </c>
      <c r="AW636" s="4" t="s">
        <v>81</v>
      </c>
      <c r="AX636" s="4" t="s">
        <v>81</v>
      </c>
      <c r="AY636" s="4"/>
      <c r="AZ636" s="4"/>
      <c r="BA636" s="4" t="s">
        <v>90</v>
      </c>
      <c r="BB636" s="4">
        <v>10800</v>
      </c>
      <c r="BC636" s="4">
        <v>2700</v>
      </c>
      <c r="BD636" s="4">
        <v>1000</v>
      </c>
      <c r="BE636" s="4" t="s">
        <v>166</v>
      </c>
      <c r="BF636" s="4"/>
      <c r="BG636" s="4"/>
      <c r="BH636" s="105" t="s">
        <v>3510</v>
      </c>
      <c r="BI636" s="293">
        <v>45610</v>
      </c>
      <c r="BJ636" s="154" t="str">
        <f>VLOOKUP(A636,'ID Block'!A:M,13,0)</f>
        <v>Better Opportunity</v>
      </c>
      <c r="BK636" s="4">
        <f t="shared" si="19"/>
        <v>239</v>
      </c>
      <c r="BL636" s="105" t="s">
        <v>168</v>
      </c>
      <c r="BM636" s="9"/>
      <c r="BN636" s="9"/>
      <c r="BO636" s="9"/>
    </row>
    <row r="637" ht="19.95" customHeight="1" s="67" customFormat="1">
      <c r="A637" s="207">
        <v>171781</v>
      </c>
      <c r="B637" s="207"/>
      <c r="C637" s="208" t="s">
        <v>6767</v>
      </c>
      <c r="D637" s="207" t="s">
        <v>6768</v>
      </c>
      <c r="E637" s="207" t="s">
        <v>66</v>
      </c>
      <c r="F637" s="208">
        <v>161537</v>
      </c>
      <c r="G637" s="207" t="s">
        <v>67</v>
      </c>
      <c r="H637" s="207" t="s">
        <v>68</v>
      </c>
      <c r="I637" s="207" t="s">
        <v>69</v>
      </c>
      <c r="J637" s="208" t="s">
        <v>214</v>
      </c>
      <c r="K637" s="207" t="s">
        <v>71</v>
      </c>
      <c r="L637" s="207" t="s">
        <v>72</v>
      </c>
      <c r="M637" s="4" t="s">
        <v>287</v>
      </c>
      <c r="N637" s="207" t="s">
        <v>74</v>
      </c>
      <c r="O637" s="207" t="s">
        <v>2068</v>
      </c>
      <c r="P637" s="207">
        <v>40</v>
      </c>
      <c r="Q637" s="209">
        <v>45492</v>
      </c>
      <c r="R637" s="209">
        <v>45504</v>
      </c>
      <c r="S637" s="210"/>
      <c r="T637" s="210"/>
      <c r="U637" s="207"/>
      <c r="V637" s="207"/>
      <c r="W637" s="105"/>
      <c r="X637" s="211">
        <v>1533116252</v>
      </c>
      <c r="Y637" s="208"/>
      <c r="Z637" s="207" t="s">
        <v>6769</v>
      </c>
      <c r="AA637" s="207">
        <v>1776401166</v>
      </c>
      <c r="AB637" s="207" t="s">
        <v>6770</v>
      </c>
      <c r="AC637" s="207" t="s">
        <v>119</v>
      </c>
      <c r="AD637" s="210" t="s">
        <v>6771</v>
      </c>
      <c r="AE637" s="212"/>
      <c r="AF637" s="207" t="s">
        <v>80</v>
      </c>
      <c r="AG637" s="211">
        <v>6454531986</v>
      </c>
      <c r="AH637" s="207"/>
      <c r="AI637" s="208" t="s">
        <v>347</v>
      </c>
      <c r="AJ637" s="208"/>
      <c r="AK637" s="208"/>
      <c r="AL637" s="207"/>
      <c r="AM637" s="207" t="s">
        <v>6151</v>
      </c>
      <c r="AN637" s="207" t="s">
        <v>6769</v>
      </c>
      <c r="AO637" s="207" t="s">
        <v>6772</v>
      </c>
      <c r="AP637" s="207" t="s">
        <v>6773</v>
      </c>
      <c r="AQ637" s="208" t="s">
        <v>6774</v>
      </c>
      <c r="AR637" s="207"/>
      <c r="AS637" s="207"/>
      <c r="AT637" s="213"/>
      <c r="AU637" s="207"/>
      <c r="AV637" s="207"/>
      <c r="AW637" s="207"/>
      <c r="AX637" s="207"/>
      <c r="AY637" s="207"/>
      <c r="AZ637" s="207"/>
      <c r="BA637" s="207" t="s">
        <v>90</v>
      </c>
      <c r="BB637" s="207">
        <v>10800</v>
      </c>
      <c r="BC637" s="207">
        <v>2700</v>
      </c>
      <c r="BD637" s="207">
        <v>0</v>
      </c>
      <c r="BE637" s="207" t="s">
        <v>91</v>
      </c>
      <c r="BF637" s="207"/>
      <c r="BG637" s="207"/>
      <c r="BH637" s="105" t="s">
        <v>3510</v>
      </c>
      <c r="BI637" s="294">
        <v>45594</v>
      </c>
      <c r="BJ637" s="154" t="str">
        <f>VLOOKUP(A637,'ID Block'!A:M,13,0)</f>
        <v>Family Issue</v>
      </c>
      <c r="BK637" s="4">
        <f t="shared" si="19"/>
        <v>90</v>
      </c>
      <c r="BL637" s="105" t="s">
        <v>168</v>
      </c>
      <c r="BM637" s="9"/>
      <c r="BN637" s="9"/>
      <c r="BO637" s="9"/>
    </row>
    <row r="638" ht="20.55" customHeight="1" s="67" customFormat="1">
      <c r="A638" s="207">
        <v>171630</v>
      </c>
      <c r="B638" s="207"/>
      <c r="C638" s="208" t="s">
        <v>5298</v>
      </c>
      <c r="D638" s="207" t="s">
        <v>6508</v>
      </c>
      <c r="E638" s="207" t="s">
        <v>114</v>
      </c>
      <c r="F638" s="208">
        <v>1218677592</v>
      </c>
      <c r="G638" s="207" t="s">
        <v>67</v>
      </c>
      <c r="H638" s="207" t="s">
        <v>68</v>
      </c>
      <c r="I638" s="207" t="s">
        <v>69</v>
      </c>
      <c r="J638" s="208" t="s">
        <v>341</v>
      </c>
      <c r="K638" s="207" t="s">
        <v>71</v>
      </c>
      <c r="L638" s="207" t="s">
        <v>72</v>
      </c>
      <c r="M638" s="4" t="s">
        <v>458</v>
      </c>
      <c r="N638" s="207" t="s">
        <v>74</v>
      </c>
      <c r="O638" s="207" t="s">
        <v>75</v>
      </c>
      <c r="P638" s="207">
        <v>32</v>
      </c>
      <c r="Q638" s="209">
        <v>45449</v>
      </c>
      <c r="R638" s="209">
        <v>45459</v>
      </c>
      <c r="S638" s="210"/>
      <c r="T638" s="210"/>
      <c r="U638" s="207"/>
      <c r="V638" s="207"/>
      <c r="W638" s="105" t="s">
        <v>6509</v>
      </c>
      <c r="X638" s="211">
        <v>1608001638</v>
      </c>
      <c r="Y638" s="208"/>
      <c r="Z638" s="207" t="s">
        <v>6510</v>
      </c>
      <c r="AA638" s="207">
        <v>1890671527</v>
      </c>
      <c r="AB638" s="207" t="s">
        <v>252</v>
      </c>
      <c r="AC638" s="207" t="s">
        <v>1904</v>
      </c>
      <c r="AD638" s="210">
        <v>36495</v>
      </c>
      <c r="AE638" s="212"/>
      <c r="AF638" s="207" t="s">
        <v>80</v>
      </c>
      <c r="AG638" s="211">
        <v>9163029722</v>
      </c>
      <c r="AH638" s="207" t="s">
        <v>81</v>
      </c>
      <c r="AI638" s="208" t="s">
        <v>1368</v>
      </c>
      <c r="AJ638" s="208" t="s">
        <v>81</v>
      </c>
      <c r="AK638" s="208">
        <v>2023</v>
      </c>
      <c r="AL638" s="207" t="s">
        <v>495</v>
      </c>
      <c r="AM638" s="207" t="s">
        <v>6511</v>
      </c>
      <c r="AN638" s="207" t="s">
        <v>1032</v>
      </c>
      <c r="AO638" s="207" t="s">
        <v>6512</v>
      </c>
      <c r="AP638" s="207" t="s">
        <v>6513</v>
      </c>
      <c r="AQ638" s="208" t="s">
        <v>495</v>
      </c>
      <c r="AR638" s="207" t="s">
        <v>110</v>
      </c>
      <c r="AS638" s="207" t="s">
        <v>81</v>
      </c>
      <c r="AT638" s="213" t="s">
        <v>81</v>
      </c>
      <c r="AU638" s="207" t="s">
        <v>81</v>
      </c>
      <c r="AV638" s="207" t="s">
        <v>81</v>
      </c>
      <c r="AW638" s="207" t="s">
        <v>81</v>
      </c>
      <c r="AX638" s="207" t="s">
        <v>81</v>
      </c>
      <c r="AY638" s="207" t="s">
        <v>81</v>
      </c>
      <c r="AZ638" s="207" t="s">
        <v>81</v>
      </c>
      <c r="BA638" s="207" t="s">
        <v>90</v>
      </c>
      <c r="BB638" s="207">
        <v>10800</v>
      </c>
      <c r="BC638" s="207">
        <v>2700</v>
      </c>
      <c r="BD638" s="207">
        <v>0</v>
      </c>
      <c r="BE638" s="207" t="s">
        <v>91</v>
      </c>
      <c r="BF638" s="207"/>
      <c r="BG638" s="207"/>
      <c r="BH638" s="105" t="s">
        <v>3510</v>
      </c>
      <c r="BI638" s="285">
        <v>45620</v>
      </c>
      <c r="BJ638" s="154" t="str">
        <f>VLOOKUP(A638,'ID Block'!A:M,13,0)</f>
        <v>Better opportunity</v>
      </c>
      <c r="BK638" s="4">
        <f t="shared" si="19"/>
        <v>161</v>
      </c>
      <c r="BL638" s="105" t="s">
        <v>168</v>
      </c>
      <c r="BM638" s="9"/>
      <c r="BN638" s="9"/>
      <c r="BO638" s="9"/>
    </row>
    <row r="639" ht="20.55" customHeight="1" s="67" customFormat="1">
      <c r="A639" s="207">
        <v>171828</v>
      </c>
      <c r="B639" s="207"/>
      <c r="C639" s="208"/>
      <c r="D639" s="207" t="s">
        <v>6522</v>
      </c>
      <c r="E639" s="207" t="s">
        <v>114</v>
      </c>
      <c r="F639" s="208">
        <v>240524</v>
      </c>
      <c r="G639" s="207" t="s">
        <v>67</v>
      </c>
      <c r="H639" s="207" t="s">
        <v>68</v>
      </c>
      <c r="I639" s="207" t="s">
        <v>69</v>
      </c>
      <c r="J639" s="208" t="s">
        <v>2162</v>
      </c>
      <c r="K639" s="207" t="s">
        <v>71</v>
      </c>
      <c r="L639" s="207" t="s">
        <v>72</v>
      </c>
      <c r="M639" s="4" t="s">
        <v>1304</v>
      </c>
      <c r="N639" s="207" t="s">
        <v>74</v>
      </c>
      <c r="O639" s="207" t="s">
        <v>75</v>
      </c>
      <c r="P639" s="207">
        <v>41</v>
      </c>
      <c r="Q639" s="209">
        <v>45506</v>
      </c>
      <c r="R639" s="209">
        <v>45517</v>
      </c>
      <c r="S639" s="210"/>
      <c r="T639" s="210"/>
      <c r="U639" s="207"/>
      <c r="V639" s="207"/>
      <c r="W639" s="105"/>
      <c r="X639" s="211">
        <v>1811419369</v>
      </c>
      <c r="Y639" s="208"/>
      <c r="Z639" s="207" t="s">
        <v>6523</v>
      </c>
      <c r="AA639" s="207">
        <v>1982584989</v>
      </c>
      <c r="AB639" s="207" t="s">
        <v>252</v>
      </c>
      <c r="AC639" s="207" t="s">
        <v>133</v>
      </c>
      <c r="AD639" s="210">
        <v>35362</v>
      </c>
      <c r="AE639" s="212"/>
      <c r="AF639" s="207" t="s">
        <v>360</v>
      </c>
      <c r="AG639" s="211">
        <v>2857002105</v>
      </c>
      <c r="AH639" s="207" t="s">
        <v>6524</v>
      </c>
      <c r="AI639" s="208" t="s">
        <v>217</v>
      </c>
      <c r="AJ639" s="208"/>
      <c r="AK639" s="208"/>
      <c r="AL639" s="207"/>
      <c r="AM639" s="207" t="s">
        <v>6525</v>
      </c>
      <c r="AN639" s="207" t="s">
        <v>6526</v>
      </c>
      <c r="AO639" s="207" t="s">
        <v>6527</v>
      </c>
      <c r="AP639" s="207" t="s">
        <v>6528</v>
      </c>
      <c r="AQ639" s="208" t="s">
        <v>6529</v>
      </c>
      <c r="AR639" s="207"/>
      <c r="AS639" s="207"/>
      <c r="AT639" s="213"/>
      <c r="AU639" s="207"/>
      <c r="AV639" s="207"/>
      <c r="AW639" s="207"/>
      <c r="AX639" s="207"/>
      <c r="AY639" s="207"/>
      <c r="AZ639" s="207"/>
      <c r="BA639" s="207" t="s">
        <v>90</v>
      </c>
      <c r="BB639" s="207">
        <v>10800</v>
      </c>
      <c r="BC639" s="207">
        <v>2700</v>
      </c>
      <c r="BD639" s="207">
        <v>0</v>
      </c>
      <c r="BE639" s="207" t="s">
        <v>91</v>
      </c>
      <c r="BF639" s="207"/>
      <c r="BG639" s="207"/>
      <c r="BH639" s="105" t="s">
        <v>3499</v>
      </c>
      <c r="BI639" s="293">
        <v>45618</v>
      </c>
      <c r="BJ639" s="154" t="str">
        <f>VLOOKUP(A639,'ID Block'!A:M,13,0)</f>
        <v>Unauthorized Absent</v>
      </c>
      <c r="BK639" s="4">
        <f t="shared" si="19"/>
        <v>101</v>
      </c>
      <c r="BL639" s="105" t="s">
        <v>168</v>
      </c>
      <c r="BM639" s="9"/>
      <c r="BN639" s="9"/>
      <c r="BO639" s="9"/>
    </row>
    <row r="640" ht="20.55" customHeight="1" s="67" customFormat="1">
      <c r="A640" s="207">
        <v>171815</v>
      </c>
      <c r="B640" s="207"/>
      <c r="C640" s="208"/>
      <c r="D640" s="207" t="s">
        <v>6530</v>
      </c>
      <c r="E640" s="207" t="s">
        <v>114</v>
      </c>
      <c r="F640" s="208">
        <v>1411458804</v>
      </c>
      <c r="G640" s="207" t="s">
        <v>67</v>
      </c>
      <c r="H640" s="207" t="s">
        <v>68</v>
      </c>
      <c r="I640" s="207" t="s">
        <v>69</v>
      </c>
      <c r="J640" s="208" t="s">
        <v>97</v>
      </c>
      <c r="K640" s="207" t="s">
        <v>71</v>
      </c>
      <c r="L640" s="207" t="s">
        <v>72</v>
      </c>
      <c r="M640" s="4" t="s">
        <v>73</v>
      </c>
      <c r="N640" s="207" t="s">
        <v>74</v>
      </c>
      <c r="O640" s="207" t="s">
        <v>75</v>
      </c>
      <c r="P640" s="207">
        <v>41</v>
      </c>
      <c r="Q640" s="209">
        <v>45506</v>
      </c>
      <c r="R640" s="209">
        <v>45513</v>
      </c>
      <c r="S640" s="210"/>
      <c r="T640" s="210"/>
      <c r="U640" s="207"/>
      <c r="V640" s="207"/>
      <c r="W640" s="105"/>
      <c r="X640" s="211">
        <v>1923984234</v>
      </c>
      <c r="Y640" s="208"/>
      <c r="Z640" s="207" t="s">
        <v>6531</v>
      </c>
      <c r="AA640" s="207">
        <v>1725791832</v>
      </c>
      <c r="AB640" s="207" t="s">
        <v>101</v>
      </c>
      <c r="AC640" s="207" t="s">
        <v>119</v>
      </c>
      <c r="AD640" s="210">
        <v>37056</v>
      </c>
      <c r="AE640" s="212"/>
      <c r="AF640" s="207" t="s">
        <v>80</v>
      </c>
      <c r="AG640" s="211">
        <v>1964244527</v>
      </c>
      <c r="AH640" s="207" t="s">
        <v>6532</v>
      </c>
      <c r="AI640" s="208" t="s">
        <v>290</v>
      </c>
      <c r="AJ640" s="208"/>
      <c r="AK640" s="208"/>
      <c r="AL640" s="207"/>
      <c r="AM640" s="207" t="s">
        <v>6531</v>
      </c>
      <c r="AN640" s="207" t="s">
        <v>6533</v>
      </c>
      <c r="AO640" s="207" t="s">
        <v>6534</v>
      </c>
      <c r="AP640" s="207" t="s">
        <v>6535</v>
      </c>
      <c r="AQ640" s="208" t="s">
        <v>629</v>
      </c>
      <c r="AR640" s="207"/>
      <c r="AS640" s="207"/>
      <c r="AT640" s="213"/>
      <c r="AU640" s="207"/>
      <c r="AV640" s="207"/>
      <c r="AW640" s="207"/>
      <c r="AX640" s="207"/>
      <c r="AY640" s="207"/>
      <c r="AZ640" s="207"/>
      <c r="BA640" s="207" t="s">
        <v>90</v>
      </c>
      <c r="BB640" s="207">
        <v>10800</v>
      </c>
      <c r="BC640" s="207">
        <v>2700</v>
      </c>
      <c r="BD640" s="207">
        <v>0</v>
      </c>
      <c r="BE640" s="207" t="s">
        <v>91</v>
      </c>
      <c r="BF640" s="207"/>
      <c r="BG640" s="207"/>
      <c r="BH640" s="105" t="s">
        <v>3510</v>
      </c>
      <c r="BI640" s="293">
        <v>45596</v>
      </c>
      <c r="BJ640" s="154" t="str">
        <f>VLOOKUP(A640,'ID Block'!A:M,13,0)</f>
        <v>Family Issue</v>
      </c>
      <c r="BK640" s="4">
        <f t="shared" si="19"/>
        <v>83</v>
      </c>
      <c r="BL640" s="105" t="s">
        <v>168</v>
      </c>
      <c r="BM640" s="9"/>
      <c r="BN640" s="9"/>
      <c r="BO640" s="9"/>
    </row>
    <row r="641" ht="20.55" customHeight="1" s="67" customFormat="1">
      <c r="A641" s="207">
        <v>172034</v>
      </c>
      <c r="B641" s="207">
        <v>172034</v>
      </c>
      <c r="C641" s="208" t="s">
        <v>6775</v>
      </c>
      <c r="D641" s="207" t="s">
        <v>3156</v>
      </c>
      <c r="E641" s="207" t="s">
        <v>114</v>
      </c>
      <c r="F641" s="208">
        <v>1110433207</v>
      </c>
      <c r="G641" s="207" t="s">
        <v>67</v>
      </c>
      <c r="H641" s="207" t="s">
        <v>2465</v>
      </c>
      <c r="I641" s="207" t="s">
        <v>69</v>
      </c>
      <c r="J641" s="208" t="s">
        <v>155</v>
      </c>
      <c r="K641" s="207" t="s">
        <v>1766</v>
      </c>
      <c r="L641" s="207" t="s">
        <v>2466</v>
      </c>
      <c r="M641" s="4" t="s">
        <v>271</v>
      </c>
      <c r="N641" s="207" t="s">
        <v>74</v>
      </c>
      <c r="O641" s="207" t="s">
        <v>75</v>
      </c>
      <c r="P641" s="207">
        <v>49</v>
      </c>
      <c r="Q641" s="209">
        <v>45579</v>
      </c>
      <c r="R641" s="209">
        <v>45596</v>
      </c>
      <c r="S641" s="210" t="s">
        <v>242</v>
      </c>
      <c r="T641" s="210" t="s">
        <v>242</v>
      </c>
      <c r="U641" s="207" t="s">
        <v>242</v>
      </c>
      <c r="V641" s="207" t="s">
        <v>242</v>
      </c>
      <c r="W641" s="105" t="s">
        <v>6776</v>
      </c>
      <c r="X641" s="211">
        <v>1873737372</v>
      </c>
      <c r="Y641" s="208">
        <v>1855555323</v>
      </c>
      <c r="Z641" s="207" t="s">
        <v>6777</v>
      </c>
      <c r="AA641" s="207">
        <v>1878394894</v>
      </c>
      <c r="AB641" s="207" t="s">
        <v>2892</v>
      </c>
      <c r="AC641" s="207" t="s">
        <v>2456</v>
      </c>
      <c r="AD641" s="210" t="s">
        <v>6778</v>
      </c>
      <c r="AE641" s="212">
        <v>26</v>
      </c>
      <c r="AF641" s="207" t="s">
        <v>80</v>
      </c>
      <c r="AG641" s="211">
        <v>1955541196</v>
      </c>
      <c r="AH641" s="207" t="s">
        <v>242</v>
      </c>
      <c r="AI641" s="208" t="s">
        <v>925</v>
      </c>
      <c r="AJ641" s="208"/>
      <c r="AK641" s="208">
        <v>2021</v>
      </c>
      <c r="AL641" s="207" t="s">
        <v>3159</v>
      </c>
      <c r="AM641" s="207" t="s">
        <v>6779</v>
      </c>
      <c r="AN641" s="207" t="s">
        <v>6780</v>
      </c>
      <c r="AO641" s="207" t="s">
        <v>6781</v>
      </c>
      <c r="AP641" s="207" t="s">
        <v>6782</v>
      </c>
      <c r="AQ641" s="208" t="s">
        <v>6783</v>
      </c>
      <c r="AR641" s="207" t="s">
        <v>110</v>
      </c>
      <c r="AS641" s="207" t="s">
        <v>242</v>
      </c>
      <c r="AT641" s="213" t="s">
        <v>242</v>
      </c>
      <c r="AU641" s="207" t="s">
        <v>242</v>
      </c>
      <c r="AV641" s="207" t="s">
        <v>242</v>
      </c>
      <c r="AW641" s="207" t="s">
        <v>81</v>
      </c>
      <c r="AX641" s="207" t="s">
        <v>81</v>
      </c>
      <c r="AY641" s="207" t="s">
        <v>81</v>
      </c>
      <c r="AZ641" s="207" t="s">
        <v>81</v>
      </c>
      <c r="BA641" s="207" t="s">
        <v>90</v>
      </c>
      <c r="BB641" s="207">
        <v>10800</v>
      </c>
      <c r="BC641" s="207">
        <v>2700</v>
      </c>
      <c r="BD641" s="207">
        <v>1000</v>
      </c>
      <c r="BE641" s="207" t="s">
        <v>166</v>
      </c>
      <c r="BF641" s="207" t="s">
        <v>242</v>
      </c>
      <c r="BG641" s="207" t="s">
        <v>242</v>
      </c>
      <c r="BH641" s="105" t="s">
        <v>3510</v>
      </c>
      <c r="BI641" s="293">
        <v>45620</v>
      </c>
      <c r="BJ641" s="154" t="str">
        <f>VLOOKUP(A641,'ID Block'!A:M,13,0)</f>
        <v>Better Opportunity</v>
      </c>
      <c r="BK641" s="4">
        <f t="shared" si="19"/>
        <v>24</v>
      </c>
      <c r="BL641" s="105" t="s">
        <v>168</v>
      </c>
      <c r="BM641" s="9"/>
      <c r="BN641" s="9"/>
      <c r="BO641" s="9"/>
    </row>
  </sheetData>
  <conditionalFormatting sqref="A611">
    <cfRule type="duplicateValues" dxfId="234" priority="1491"/>
    <cfRule type="duplicateValues" dxfId="234" priority="1486"/>
    <cfRule type="duplicateValues" dxfId="234" priority="1485"/>
    <cfRule type="duplicateValues" dxfId="234" priority="1484"/>
    <cfRule type="duplicateValues" dxfId="234" priority="1483"/>
    <cfRule type="duplicateValues" dxfId="234" priority="1482"/>
    <cfRule type="duplicateValues" dxfId="234" priority="1492"/>
    <cfRule type="duplicateValues" dxfId="234" priority="1481"/>
    <cfRule type="duplicateValues" dxfId="234" priority="1490"/>
    <cfRule type="duplicateValues" dxfId="234" priority="1489"/>
    <cfRule type="duplicateValues" dxfId="234" priority="1488"/>
    <cfRule type="duplicateValues" dxfId="234" priority="1487"/>
  </conditionalFormatting>
  <conditionalFormatting sqref="A612">
    <cfRule type="duplicateValues" dxfId="234" priority="1465"/>
    <cfRule type="duplicateValues" dxfId="234" priority="1460"/>
    <cfRule type="duplicateValues" dxfId="234" priority="1461"/>
    <cfRule type="duplicateValues" dxfId="234" priority="1462"/>
    <cfRule type="duplicateValues" dxfId="234" priority="1463"/>
    <cfRule type="duplicateValues" dxfId="234" priority="1464"/>
    <cfRule type="duplicateValues" dxfId="234" priority="1472"/>
    <cfRule type="duplicateValues" dxfId="234" priority="1471"/>
    <cfRule type="duplicateValues" dxfId="234" priority="1470"/>
    <cfRule type="duplicateValues" dxfId="234" priority="1469"/>
    <cfRule type="duplicateValues" dxfId="234" priority="1468"/>
    <cfRule type="duplicateValues" dxfId="234" priority="1467"/>
    <cfRule type="duplicateValues" dxfId="234" priority="1466"/>
  </conditionalFormatting>
  <conditionalFormatting sqref="A613">
    <cfRule type="duplicateValues" dxfId="234" priority="1440"/>
    <cfRule type="duplicateValues" dxfId="234" priority="1441"/>
    <cfRule type="duplicateValues" dxfId="234" priority="1442"/>
    <cfRule type="duplicateValues" dxfId="234" priority="1443"/>
    <cfRule type="duplicateValues" dxfId="234" priority="1444"/>
    <cfRule type="duplicateValues" dxfId="234" priority="1445"/>
    <cfRule type="duplicateValues" dxfId="234" priority="1446"/>
    <cfRule type="duplicateValues" dxfId="234" priority="1439"/>
    <cfRule type="duplicateValues" dxfId="234" priority="1448"/>
    <cfRule type="duplicateValues" dxfId="234" priority="1449"/>
    <cfRule type="duplicateValues" dxfId="234" priority="1450"/>
    <cfRule type="duplicateValues" dxfId="234" priority="1447"/>
    <cfRule type="duplicateValues" dxfId="234" priority="1438"/>
  </conditionalFormatting>
  <conditionalFormatting sqref="A614">
    <cfRule type="duplicateValues" dxfId="234" priority="1428"/>
    <cfRule type="duplicateValues" dxfId="234" priority="1419"/>
    <cfRule type="duplicateValues" dxfId="234" priority="1416"/>
    <cfRule type="duplicateValues" dxfId="234" priority="1417"/>
    <cfRule type="duplicateValues" dxfId="234" priority="1418"/>
    <cfRule type="duplicateValues" dxfId="234" priority="1420"/>
    <cfRule type="duplicateValues" dxfId="234" priority="1421"/>
    <cfRule type="duplicateValues" dxfId="234" priority="1422"/>
    <cfRule type="duplicateValues" dxfId="234" priority="1423"/>
    <cfRule type="duplicateValues" dxfId="234" priority="1424"/>
    <cfRule type="duplicateValues" dxfId="234" priority="1425"/>
    <cfRule type="duplicateValues" dxfId="234" priority="1426"/>
    <cfRule type="duplicateValues" dxfId="234" priority="1427"/>
  </conditionalFormatting>
  <conditionalFormatting sqref="A615">
    <cfRule type="duplicateValues" dxfId="234" priority="1373"/>
    <cfRule type="duplicateValues" dxfId="234" priority="1374"/>
    <cfRule type="duplicateValues" dxfId="234" priority="1375"/>
    <cfRule type="duplicateValues" dxfId="234" priority="1376"/>
    <cfRule type="duplicateValues" dxfId="234" priority="1377"/>
    <cfRule type="duplicateValues" dxfId="234" priority="1378"/>
    <cfRule type="duplicateValues" dxfId="234" priority="1379"/>
    <cfRule type="duplicateValues" dxfId="234" priority="1363"/>
    <cfRule type="duplicateValues" dxfId="234" priority="1381"/>
    <cfRule type="duplicateValues" dxfId="234" priority="1382"/>
    <cfRule type="duplicateValues" dxfId="234" priority="1364"/>
    <cfRule type="duplicateValues" dxfId="234" priority="1383"/>
    <cfRule type="duplicateValues" dxfId="234" priority="1384"/>
    <cfRule type="duplicateValues" dxfId="234" priority="1380"/>
  </conditionalFormatting>
  <conditionalFormatting sqref="A616">
    <cfRule type="duplicateValues" dxfId="234" priority="1362"/>
    <cfRule type="duplicateValues" dxfId="234" priority="1341"/>
    <cfRule type="duplicateValues" dxfId="234" priority="1351"/>
    <cfRule type="duplicateValues" dxfId="234" priority="1352"/>
    <cfRule type="duplicateValues" dxfId="234" priority="1353"/>
    <cfRule type="duplicateValues" dxfId="234" priority="1342"/>
    <cfRule type="duplicateValues" dxfId="234" priority="1354"/>
    <cfRule type="duplicateValues" dxfId="234" priority="1355"/>
    <cfRule type="duplicateValues" dxfId="234" priority="1356"/>
    <cfRule type="duplicateValues" dxfId="234" priority="1357"/>
    <cfRule type="duplicateValues" dxfId="234" priority="1358"/>
    <cfRule type="duplicateValues" dxfId="234" priority="1359"/>
    <cfRule type="duplicateValues" dxfId="234" priority="1360"/>
    <cfRule type="duplicateValues" dxfId="234" priority="1361"/>
  </conditionalFormatting>
  <conditionalFormatting sqref="A617">
    <cfRule type="duplicateValues" dxfId="234" priority="1334"/>
    <cfRule type="duplicateValues" dxfId="234" priority="1333"/>
    <cfRule type="duplicateValues" dxfId="234" priority="1332"/>
    <cfRule type="duplicateValues" dxfId="234" priority="1331"/>
    <cfRule type="duplicateValues" dxfId="234" priority="1330"/>
    <cfRule type="duplicateValues" dxfId="234" priority="1329"/>
    <cfRule type="duplicateValues" dxfId="234" priority="1320"/>
    <cfRule type="duplicateValues" dxfId="234" priority="1319"/>
    <cfRule type="duplicateValues" dxfId="234" priority="1335"/>
    <cfRule type="duplicateValues" dxfId="234" priority="1340"/>
    <cfRule type="duplicateValues" dxfId="234" priority="1339"/>
    <cfRule type="duplicateValues" dxfId="234" priority="1338"/>
    <cfRule type="duplicateValues" dxfId="234" priority="1337"/>
    <cfRule type="duplicateValues" dxfId="234" priority="1336"/>
  </conditionalFormatting>
  <conditionalFormatting sqref="A618">
    <cfRule type="duplicateValues" dxfId="234" priority="1313"/>
    <cfRule type="duplicateValues" dxfId="234" priority="1308"/>
    <cfRule type="duplicateValues" dxfId="234" priority="1307"/>
    <cfRule type="duplicateValues" dxfId="234" priority="1298"/>
    <cfRule type="duplicateValues" dxfId="234" priority="1297"/>
    <cfRule type="duplicateValues" dxfId="234" priority="1314"/>
    <cfRule type="duplicateValues" dxfId="234" priority="1315"/>
    <cfRule type="duplicateValues" dxfId="234" priority="1316"/>
    <cfRule type="duplicateValues" dxfId="234" priority="1317"/>
    <cfRule type="duplicateValues" dxfId="234" priority="1309"/>
    <cfRule type="duplicateValues" dxfId="234" priority="1318"/>
    <cfRule type="duplicateValues" dxfId="234" priority="1310"/>
    <cfRule type="duplicateValues" dxfId="234" priority="1311"/>
    <cfRule type="duplicateValues" dxfId="234" priority="1312"/>
  </conditionalFormatting>
  <conditionalFormatting sqref="A619">
    <cfRule type="duplicateValues" dxfId="234" priority="1239"/>
    <cfRule type="duplicateValues" dxfId="234" priority="1251"/>
    <cfRule type="duplicateValues" dxfId="234" priority="1250"/>
    <cfRule type="duplicateValues" dxfId="234" priority="1249"/>
    <cfRule type="duplicateValues" dxfId="234" priority="1248"/>
    <cfRule type="duplicateValues" dxfId="234" priority="1246"/>
    <cfRule type="duplicateValues" dxfId="234" priority="1245"/>
    <cfRule type="duplicateValues" dxfId="234" priority="1244"/>
    <cfRule type="duplicateValues" dxfId="234" priority="1243"/>
    <cfRule type="duplicateValues" dxfId="234" priority="1242"/>
    <cfRule type="duplicateValues" dxfId="234" priority="1241"/>
    <cfRule type="duplicateValues" dxfId="234" priority="1240"/>
    <cfRule type="duplicateValues" dxfId="234" priority="1247"/>
    <cfRule type="duplicateValues" dxfId="234" priority="1238"/>
    <cfRule type="duplicateValues" dxfId="234" priority="1237"/>
  </conditionalFormatting>
  <conditionalFormatting sqref="A620">
    <cfRule type="duplicateValues" dxfId="234" priority="1191"/>
    <cfRule type="duplicateValues" dxfId="234" priority="1199"/>
    <cfRule type="duplicateValues" dxfId="234" priority="1198"/>
    <cfRule type="duplicateValues" dxfId="234" priority="1197"/>
    <cfRule type="duplicateValues" dxfId="234" priority="1196"/>
    <cfRule type="duplicateValues" dxfId="234" priority="1195"/>
    <cfRule type="duplicateValues" dxfId="234" priority="1194"/>
    <cfRule type="duplicateValues" dxfId="234" priority="1193"/>
    <cfRule type="duplicateValues" dxfId="234" priority="1192"/>
    <cfRule type="duplicateValues" dxfId="234" priority="1190"/>
    <cfRule type="duplicateValues" dxfId="234" priority="1176"/>
    <cfRule type="duplicateValues" dxfId="234" priority="1187"/>
    <cfRule type="duplicateValues" dxfId="234" priority="1186"/>
    <cfRule type="duplicateValues" dxfId="234" priority="1175"/>
    <cfRule type="duplicateValues" dxfId="234" priority="1188"/>
    <cfRule type="duplicateValues" dxfId="234" priority="1189"/>
  </conditionalFormatting>
  <conditionalFormatting sqref="A621">
    <cfRule type="duplicateValues" dxfId="234" priority="1166"/>
    <cfRule type="duplicateValues" dxfId="234" priority="1165"/>
    <cfRule type="duplicateValues" dxfId="234" priority="1164"/>
    <cfRule type="duplicateValues" dxfId="234" priority="1163"/>
    <cfRule type="duplicateValues" dxfId="234" priority="1162"/>
    <cfRule type="duplicateValues" dxfId="234" priority="1161"/>
    <cfRule type="duplicateValues" dxfId="234" priority="1151"/>
    <cfRule type="duplicateValues" dxfId="234" priority="1170"/>
    <cfRule type="duplicateValues" dxfId="234" priority="1172"/>
    <cfRule type="duplicateValues" dxfId="234" priority="1173"/>
    <cfRule type="duplicateValues" dxfId="234" priority="1169"/>
    <cfRule type="duplicateValues" dxfId="234" priority="1171"/>
    <cfRule type="duplicateValues" dxfId="234" priority="1174"/>
    <cfRule type="duplicateValues" dxfId="234" priority="1168"/>
    <cfRule type="duplicateValues" dxfId="234" priority="1167"/>
  </conditionalFormatting>
  <conditionalFormatting sqref="A622">
    <cfRule type="duplicateValues" dxfId="234" priority="1136"/>
    <cfRule type="duplicateValues" dxfId="234" priority="1145"/>
    <cfRule type="duplicateValues" dxfId="234" priority="1144"/>
    <cfRule type="duplicateValues" dxfId="234" priority="1137"/>
    <cfRule type="duplicateValues" dxfId="234" priority="1138"/>
    <cfRule type="duplicateValues" dxfId="234" priority="1146"/>
    <cfRule type="duplicateValues" dxfId="234" priority="1140"/>
    <cfRule type="duplicateValues" dxfId="234" priority="1141"/>
    <cfRule type="duplicateValues" dxfId="234" priority="1148"/>
    <cfRule type="duplicateValues" dxfId="234" priority="1147"/>
    <cfRule type="duplicateValues" dxfId="234" priority="1139"/>
    <cfRule type="duplicateValues" dxfId="234" priority="1149"/>
    <cfRule type="duplicateValues" dxfId="234" priority="1150"/>
    <cfRule type="duplicateValues" dxfId="234" priority="1143"/>
    <cfRule type="duplicateValues" dxfId="234" priority="1126"/>
    <cfRule type="duplicateValues" dxfId="234" priority="1142"/>
  </conditionalFormatting>
  <conditionalFormatting sqref="A623">
    <cfRule type="duplicateValues" dxfId="234" priority="1114"/>
    <cfRule type="duplicateValues" dxfId="234" priority="1122"/>
    <cfRule type="duplicateValues" dxfId="234" priority="1113"/>
    <cfRule type="duplicateValues" dxfId="234" priority="1112"/>
    <cfRule type="duplicateValues" dxfId="234" priority="1102"/>
    <cfRule type="duplicateValues" dxfId="234" priority="1123"/>
    <cfRule type="duplicateValues" dxfId="234" priority="1124"/>
    <cfRule type="duplicateValues" dxfId="234" priority="1125"/>
    <cfRule type="duplicateValues" dxfId="234" priority="1119"/>
    <cfRule type="duplicateValues" dxfId="234" priority="1120"/>
    <cfRule type="duplicateValues" dxfId="234" priority="1121"/>
    <cfRule type="duplicateValues" dxfId="234" priority="1118"/>
    <cfRule type="duplicateValues" dxfId="234" priority="1117"/>
    <cfRule type="duplicateValues" dxfId="234" priority="1116"/>
    <cfRule type="duplicateValues" dxfId="234" priority="1115"/>
  </conditionalFormatting>
  <conditionalFormatting sqref="A624">
    <cfRule type="duplicateValues" dxfId="234" priority="1091"/>
    <cfRule type="duplicateValues" dxfId="234" priority="1090"/>
    <cfRule type="duplicateValues" dxfId="234" priority="1095"/>
    <cfRule type="duplicateValues" dxfId="234" priority="1087"/>
    <cfRule type="duplicateValues" dxfId="234" priority="1088"/>
    <cfRule type="duplicateValues" dxfId="234" priority="1094"/>
    <cfRule type="duplicateValues" dxfId="234" priority="1089"/>
    <cfRule type="duplicateValues" dxfId="234" priority="1093"/>
    <cfRule type="duplicateValues" dxfId="234" priority="1092"/>
    <cfRule type="duplicateValues" dxfId="234" priority="1100"/>
    <cfRule type="duplicateValues" dxfId="234" priority="1101"/>
    <cfRule type="duplicateValues" dxfId="234" priority="1099"/>
    <cfRule type="duplicateValues" dxfId="234" priority="1098"/>
    <cfRule type="duplicateValues" dxfId="234" priority="1097"/>
    <cfRule type="duplicateValues" dxfId="234" priority="1096"/>
  </conditionalFormatting>
  <conditionalFormatting sqref="A625">
    <cfRule type="duplicateValues" dxfId="234" priority="1064"/>
    <cfRule type="duplicateValues" dxfId="234" priority="1065"/>
    <cfRule type="duplicateValues" dxfId="234" priority="1068"/>
    <cfRule type="duplicateValues" dxfId="234" priority="1074"/>
    <cfRule type="duplicateValues" dxfId="234" priority="1063"/>
    <cfRule type="duplicateValues" dxfId="234" priority="1062"/>
    <cfRule type="duplicateValues" dxfId="234" priority="1067"/>
    <cfRule type="duplicateValues" dxfId="234" priority="1075"/>
    <cfRule type="duplicateValues" dxfId="234" priority="1066"/>
    <cfRule type="duplicateValues" dxfId="234" priority="1073"/>
    <cfRule type="duplicateValues" dxfId="234" priority="1072"/>
    <cfRule type="duplicateValues" dxfId="234" priority="1071"/>
    <cfRule type="duplicateValues" dxfId="234" priority="1070"/>
    <cfRule type="duplicateValues" dxfId="234" priority="1069"/>
    <cfRule type="duplicateValues" dxfId="234" priority="1051"/>
    <cfRule type="duplicateValues" dxfId="234" priority="1061"/>
  </conditionalFormatting>
  <conditionalFormatting sqref="A626">
    <cfRule type="duplicateValues" dxfId="234" priority="1042"/>
    <cfRule type="duplicateValues" dxfId="234" priority="1043"/>
    <cfRule type="duplicateValues" dxfId="234" priority="1026"/>
    <cfRule type="duplicateValues" dxfId="234" priority="1047"/>
    <cfRule type="duplicateValues" dxfId="234" priority="1036"/>
    <cfRule type="duplicateValues" dxfId="234" priority="1046"/>
    <cfRule type="duplicateValues" dxfId="234" priority="1048"/>
    <cfRule type="duplicateValues" dxfId="234" priority="1045"/>
    <cfRule type="duplicateValues" dxfId="234" priority="1044"/>
    <cfRule type="duplicateValues" dxfId="234" priority="1049"/>
    <cfRule type="duplicateValues" dxfId="234" priority="1041"/>
    <cfRule type="duplicateValues" dxfId="234" priority="1037"/>
    <cfRule type="duplicateValues" dxfId="234" priority="1038"/>
    <cfRule type="duplicateValues" dxfId="234" priority="1039"/>
    <cfRule type="duplicateValues" dxfId="234" priority="1040"/>
    <cfRule type="duplicateValues" dxfId="234" priority="1050"/>
  </conditionalFormatting>
  <conditionalFormatting sqref="A627">
    <cfRule type="duplicateValues" dxfId="234" priority="1013"/>
    <cfRule type="duplicateValues" dxfId="234" priority="1012"/>
    <cfRule type="duplicateValues" dxfId="234" priority="1011"/>
    <cfRule type="duplicateValues" dxfId="234" priority="1010"/>
    <cfRule type="duplicateValues" dxfId="234" priority="999"/>
    <cfRule type="duplicateValues" dxfId="234" priority="1022"/>
    <cfRule type="duplicateValues" dxfId="234" priority="1025"/>
    <cfRule type="duplicateValues" dxfId="234" priority="1024"/>
    <cfRule type="duplicateValues" dxfId="234" priority="1023"/>
    <cfRule type="duplicateValues" dxfId="234" priority="1021"/>
    <cfRule type="duplicateValues" dxfId="234" priority="1020"/>
    <cfRule type="duplicateValues" dxfId="234" priority="1019"/>
    <cfRule type="duplicateValues" dxfId="234" priority="1018"/>
    <cfRule type="duplicateValues" dxfId="234" priority="1017"/>
    <cfRule type="duplicateValues" dxfId="234" priority="1016"/>
    <cfRule type="duplicateValues" dxfId="234" priority="1015"/>
    <cfRule type="duplicateValues" dxfId="234" priority="1014"/>
  </conditionalFormatting>
  <conditionalFormatting sqref="A628">
    <cfRule type="duplicateValues" dxfId="234" priority="985"/>
    <cfRule type="duplicateValues" dxfId="234" priority="984"/>
    <cfRule type="duplicateValues" dxfId="234" priority="983"/>
    <cfRule type="duplicateValues" dxfId="234" priority="982"/>
    <cfRule type="duplicateValues" dxfId="234" priority="981"/>
    <cfRule type="duplicateValues" dxfId="234" priority="992"/>
    <cfRule type="duplicateValues" dxfId="234" priority="991"/>
    <cfRule type="duplicateValues" dxfId="234" priority="995"/>
    <cfRule type="duplicateValues" dxfId="234" priority="993"/>
    <cfRule type="duplicateValues" dxfId="234" priority="996"/>
    <cfRule type="duplicateValues" dxfId="234" priority="997"/>
    <cfRule type="duplicateValues" dxfId="234" priority="989"/>
    <cfRule type="duplicateValues" dxfId="234" priority="988"/>
    <cfRule type="duplicateValues" dxfId="234" priority="987"/>
    <cfRule type="duplicateValues" dxfId="234" priority="986"/>
    <cfRule type="duplicateValues" dxfId="234" priority="994"/>
    <cfRule type="duplicateValues" dxfId="234" priority="990"/>
  </conditionalFormatting>
  <conditionalFormatting sqref="A629">
    <cfRule type="duplicateValues" dxfId="234" priority="971"/>
    <cfRule type="duplicateValues" dxfId="234" priority="969"/>
    <cfRule type="duplicateValues" dxfId="234" priority="968"/>
    <cfRule type="duplicateValues" dxfId="234" priority="967"/>
    <cfRule type="duplicateValues" dxfId="234" priority="966"/>
    <cfRule type="duplicateValues" dxfId="234" priority="962"/>
    <cfRule type="duplicateValues" dxfId="234" priority="964"/>
    <cfRule type="duplicateValues" dxfId="234" priority="963"/>
    <cfRule type="duplicateValues" dxfId="234" priority="957"/>
    <cfRule type="duplicateValues" dxfId="234" priority="961"/>
    <cfRule type="duplicateValues" dxfId="234" priority="960"/>
    <cfRule type="duplicateValues" dxfId="234" priority="959"/>
    <cfRule type="duplicateValues" dxfId="234" priority="956"/>
    <cfRule type="duplicateValues" dxfId="234" priority="958"/>
    <cfRule type="duplicateValues" dxfId="234" priority="955"/>
    <cfRule type="duplicateValues" dxfId="234" priority="970"/>
    <cfRule type="duplicateValues" dxfId="234" priority="965"/>
  </conditionalFormatting>
  <conditionalFormatting sqref="A630">
    <cfRule type="duplicateValues" dxfId="234" priority="938"/>
    <cfRule type="duplicateValues" dxfId="234" priority="936"/>
    <cfRule type="duplicateValues" dxfId="234" priority="934"/>
    <cfRule type="duplicateValues" dxfId="234" priority="933"/>
    <cfRule type="duplicateValues" dxfId="234" priority="932"/>
    <cfRule type="duplicateValues" dxfId="234" priority="931"/>
    <cfRule type="duplicateValues" dxfId="234" priority="930"/>
    <cfRule type="duplicateValues" dxfId="234" priority="929"/>
    <cfRule type="duplicateValues" dxfId="234" priority="937"/>
    <cfRule type="duplicateValues" dxfId="234" priority="939"/>
    <cfRule type="duplicateValues" dxfId="234" priority="935"/>
    <cfRule type="duplicateValues" dxfId="234" priority="940"/>
    <cfRule type="duplicateValues" dxfId="234" priority="941"/>
    <cfRule type="duplicateValues" dxfId="234" priority="942"/>
    <cfRule type="duplicateValues" dxfId="234" priority="943"/>
    <cfRule type="duplicateValues" dxfId="234" priority="944"/>
    <cfRule type="duplicateValues" dxfId="234" priority="945"/>
  </conditionalFormatting>
  <conditionalFormatting sqref="A631">
    <cfRule type="duplicateValues" dxfId="234" priority="919"/>
    <cfRule type="duplicateValues" dxfId="234" priority="918"/>
    <cfRule type="duplicateValues" dxfId="234" priority="905"/>
    <cfRule type="duplicateValues" dxfId="234" priority="906"/>
    <cfRule type="duplicateValues" dxfId="234" priority="907"/>
    <cfRule type="duplicateValues" dxfId="234" priority="908"/>
    <cfRule type="duplicateValues" dxfId="234" priority="909"/>
    <cfRule type="duplicateValues" dxfId="234" priority="910"/>
    <cfRule type="duplicateValues" dxfId="234" priority="911"/>
    <cfRule type="duplicateValues" dxfId="234" priority="912"/>
    <cfRule type="duplicateValues" dxfId="234" priority="913"/>
    <cfRule type="duplicateValues" dxfId="234" priority="914"/>
    <cfRule type="duplicateValues" dxfId="234" priority="904"/>
    <cfRule type="duplicateValues" dxfId="234" priority="903"/>
    <cfRule type="duplicateValues" dxfId="234" priority="902"/>
    <cfRule type="duplicateValues" dxfId="234" priority="915"/>
    <cfRule type="duplicateValues" dxfId="234" priority="916"/>
    <cfRule type="duplicateValues" dxfId="234" priority="917"/>
  </conditionalFormatting>
  <conditionalFormatting sqref="A632">
    <cfRule type="duplicateValues" dxfId="234" priority="822"/>
    <cfRule type="duplicateValues" dxfId="234" priority="823"/>
    <cfRule type="duplicateValues" dxfId="234" priority="824"/>
    <cfRule type="duplicateValues" dxfId="234" priority="825"/>
    <cfRule type="duplicateValues" dxfId="234" priority="826"/>
    <cfRule type="duplicateValues" dxfId="234" priority="827"/>
    <cfRule type="duplicateValues" dxfId="234" priority="828"/>
    <cfRule type="duplicateValues" dxfId="234" priority="829"/>
    <cfRule type="duplicateValues" dxfId="234" priority="830"/>
    <cfRule type="duplicateValues" dxfId="234" priority="836"/>
    <cfRule type="duplicateValues" dxfId="234" priority="841"/>
    <cfRule type="duplicateValues" dxfId="234" priority="835"/>
    <cfRule type="duplicateValues" dxfId="234" priority="834"/>
    <cfRule type="duplicateValues" dxfId="234" priority="833"/>
    <cfRule type="duplicateValues" dxfId="234" priority="842"/>
    <cfRule type="duplicateValues" dxfId="234" priority="808"/>
    <cfRule type="duplicateValues" dxfId="234" priority="832"/>
    <cfRule type="duplicateValues" dxfId="234" priority="821"/>
    <cfRule type="duplicateValues" dxfId="234" priority="809"/>
    <cfRule type="duplicateValues" dxfId="234" priority="831"/>
    <cfRule type="duplicateValues" dxfId="234" priority="837"/>
    <cfRule type="duplicateValues" dxfId="234" priority="838"/>
    <cfRule type="duplicateValues" dxfId="234" priority="839"/>
    <cfRule type="duplicateValues" dxfId="234" priority="840"/>
  </conditionalFormatting>
  <conditionalFormatting sqref="A633">
    <cfRule type="duplicateValues" dxfId="234" priority="777"/>
    <cfRule type="duplicateValues" dxfId="234" priority="796"/>
    <cfRule type="duplicateValues" dxfId="234" priority="797"/>
    <cfRule type="duplicateValues" dxfId="234" priority="800"/>
    <cfRule type="duplicateValues" dxfId="234" priority="801"/>
    <cfRule type="duplicateValues" dxfId="234" priority="802"/>
    <cfRule type="duplicateValues" dxfId="234" priority="803"/>
    <cfRule type="duplicateValues" dxfId="234" priority="804"/>
    <cfRule type="duplicateValues" dxfId="234" priority="805"/>
    <cfRule type="duplicateValues" dxfId="234" priority="806"/>
    <cfRule type="duplicateValues" dxfId="234" priority="807"/>
    <cfRule type="duplicateValues" dxfId="234" priority="788"/>
    <cfRule type="duplicateValues" dxfId="234" priority="776"/>
    <cfRule type="duplicateValues" dxfId="234" priority="787"/>
    <cfRule type="duplicateValues" dxfId="234" priority="789"/>
    <cfRule type="duplicateValues" dxfId="234" priority="790"/>
    <cfRule type="duplicateValues" dxfId="234" priority="791"/>
    <cfRule type="duplicateValues" dxfId="234" priority="792"/>
    <cfRule type="duplicateValues" dxfId="234" priority="793"/>
    <cfRule type="duplicateValues" dxfId="234" priority="794"/>
    <cfRule type="duplicateValues" dxfId="234" priority="795"/>
    <cfRule type="duplicateValues" dxfId="234" priority="798"/>
    <cfRule type="duplicateValues" dxfId="234" priority="799"/>
  </conditionalFormatting>
  <conditionalFormatting sqref="A634">
    <cfRule type="duplicateValues" dxfId="234" priority="744"/>
    <cfRule type="duplicateValues" dxfId="234" priority="765"/>
    <cfRule type="duplicateValues" dxfId="234" priority="745"/>
    <cfRule type="duplicateValues" dxfId="234" priority="757"/>
    <cfRule type="duplicateValues" dxfId="234" priority="756"/>
    <cfRule type="duplicateValues" dxfId="234" priority="755"/>
    <cfRule type="duplicateValues" dxfId="234" priority="775"/>
    <cfRule type="duplicateValues" dxfId="234" priority="774"/>
    <cfRule type="duplicateValues" dxfId="234" priority="773"/>
    <cfRule type="duplicateValues" dxfId="234" priority="772"/>
    <cfRule type="duplicateValues" dxfId="234" priority="771"/>
    <cfRule type="duplicateValues" dxfId="234" priority="770"/>
    <cfRule type="duplicateValues" dxfId="234" priority="769"/>
    <cfRule type="duplicateValues" dxfId="234" priority="768"/>
    <cfRule type="duplicateValues" dxfId="234" priority="767"/>
    <cfRule type="duplicateValues" dxfId="234" priority="766"/>
    <cfRule type="duplicateValues" dxfId="234" priority="764"/>
    <cfRule type="duplicateValues" dxfId="234" priority="763"/>
    <cfRule type="duplicateValues" dxfId="234" priority="762"/>
    <cfRule type="duplicateValues" dxfId="234" priority="761"/>
    <cfRule type="duplicateValues" dxfId="234" priority="760"/>
    <cfRule type="duplicateValues" dxfId="234" priority="759"/>
    <cfRule type="duplicateValues" dxfId="234" priority="758"/>
  </conditionalFormatting>
  <conditionalFormatting sqref="A635">
    <cfRule type="duplicateValues" dxfId="234" priority="713"/>
    <cfRule type="duplicateValues" dxfId="234" priority="712"/>
    <cfRule type="duplicateValues" dxfId="234" priority="723"/>
    <cfRule type="duplicateValues" dxfId="234" priority="724"/>
    <cfRule type="duplicateValues" dxfId="234" priority="725"/>
    <cfRule type="duplicateValues" dxfId="234" priority="726"/>
    <cfRule type="duplicateValues" dxfId="234" priority="728"/>
    <cfRule type="duplicateValues" dxfId="234" priority="729"/>
    <cfRule type="duplicateValues" dxfId="234" priority="730"/>
    <cfRule type="duplicateValues" dxfId="234" priority="731"/>
    <cfRule type="duplicateValues" dxfId="234" priority="732"/>
    <cfRule type="duplicateValues" dxfId="234" priority="733"/>
    <cfRule type="duplicateValues" dxfId="234" priority="734"/>
    <cfRule type="duplicateValues" dxfId="234" priority="727"/>
    <cfRule type="duplicateValues" dxfId="234" priority="735"/>
    <cfRule type="duplicateValues" dxfId="234" priority="736"/>
    <cfRule type="duplicateValues" dxfId="234" priority="737"/>
    <cfRule type="duplicateValues" dxfId="234" priority="738"/>
    <cfRule type="duplicateValues" dxfId="234" priority="739"/>
    <cfRule type="duplicateValues" dxfId="234" priority="740"/>
    <cfRule type="duplicateValues" dxfId="234" priority="741"/>
    <cfRule type="duplicateValues" dxfId="234" priority="742"/>
    <cfRule type="duplicateValues" dxfId="234" priority="743"/>
  </conditionalFormatting>
  <conditionalFormatting sqref="A636">
    <cfRule type="duplicateValues" dxfId="234" priority="263"/>
    <cfRule type="duplicateValues" dxfId="234" priority="262"/>
    <cfRule type="duplicateValues" dxfId="234" priority="261"/>
    <cfRule type="duplicateValues" dxfId="234" priority="260"/>
    <cfRule type="duplicateValues" dxfId="234" priority="258"/>
    <cfRule type="duplicateValues" dxfId="234" priority="257"/>
    <cfRule type="duplicateValues" dxfId="234" priority="256"/>
    <cfRule type="duplicateValues" dxfId="234" priority="255"/>
    <cfRule type="duplicateValues" dxfId="234" priority="254"/>
    <cfRule type="duplicateValues" dxfId="234" priority="279"/>
    <cfRule type="duplicateValues" dxfId="234" priority="243"/>
    <cfRule type="duplicateValues" dxfId="234" priority="242"/>
    <cfRule type="duplicateValues" dxfId="234" priority="270"/>
    <cfRule type="duplicateValues" dxfId="234" priority="259"/>
    <cfRule type="duplicateValues" dxfId="234" priority="272"/>
    <cfRule type="duplicateValues" dxfId="234" priority="280"/>
    <cfRule type="duplicateValues" dxfId="234" priority="269"/>
    <cfRule type="duplicateValues" dxfId="234" priority="281"/>
    <cfRule type="duplicateValues" dxfId="234" priority="271"/>
    <cfRule type="duplicateValues" dxfId="234" priority="273"/>
    <cfRule type="duplicateValues" dxfId="234" priority="274"/>
    <cfRule type="duplicateValues" dxfId="234" priority="275"/>
    <cfRule type="duplicateValues" dxfId="234" priority="277"/>
    <cfRule type="duplicateValues" dxfId="234" priority="278"/>
    <cfRule type="duplicateValues" dxfId="234" priority="268"/>
    <cfRule type="duplicateValues" dxfId="234" priority="267"/>
    <cfRule type="duplicateValues" dxfId="234" priority="266"/>
    <cfRule type="duplicateValues" dxfId="234" priority="265"/>
    <cfRule type="duplicateValues" dxfId="234" priority="264"/>
    <cfRule type="duplicateValues" dxfId="234" priority="276"/>
  </conditionalFormatting>
  <conditionalFormatting sqref="A637">
    <cfRule type="duplicateValues" dxfId="234" priority="241"/>
    <cfRule type="duplicateValues" dxfId="234" priority="240"/>
    <cfRule type="duplicateValues" dxfId="234" priority="239"/>
    <cfRule type="duplicateValues" dxfId="234" priority="238"/>
    <cfRule type="duplicateValues" dxfId="234" priority="237"/>
    <cfRule type="duplicateValues" dxfId="234" priority="236"/>
    <cfRule type="duplicateValues" dxfId="234" priority="235"/>
    <cfRule type="duplicateValues" dxfId="234" priority="234"/>
    <cfRule type="duplicateValues" dxfId="234" priority="233"/>
    <cfRule type="duplicateValues" dxfId="234" priority="232"/>
    <cfRule type="duplicateValues" dxfId="234" priority="231"/>
    <cfRule type="duplicateValues" dxfId="234" priority="230"/>
    <cfRule type="duplicateValues" dxfId="234" priority="229"/>
    <cfRule type="duplicateValues" dxfId="234" priority="227"/>
    <cfRule type="duplicateValues" dxfId="234" priority="226"/>
    <cfRule type="duplicateValues" dxfId="234" priority="225"/>
    <cfRule type="duplicateValues" dxfId="234" priority="224"/>
    <cfRule type="duplicateValues" dxfId="234" priority="216"/>
    <cfRule type="duplicateValues" dxfId="234" priority="206"/>
    <cfRule type="duplicateValues" dxfId="234" priority="205"/>
    <cfRule type="duplicateValues" dxfId="234" priority="223"/>
    <cfRule type="duplicateValues" dxfId="234" priority="220"/>
    <cfRule type="duplicateValues" dxfId="234" priority="222"/>
    <cfRule type="duplicateValues" dxfId="234" priority="221"/>
    <cfRule type="duplicateValues" dxfId="234" priority="219"/>
    <cfRule type="duplicateValues" dxfId="234" priority="228"/>
    <cfRule type="duplicateValues" dxfId="234" priority="218"/>
    <cfRule type="duplicateValues" dxfId="234" priority="217"/>
  </conditionalFormatting>
  <conditionalFormatting sqref="A638:A641">
    <cfRule type="duplicateValues" dxfId="234" priority="144"/>
    <cfRule type="duplicateValues" dxfId="234" priority="143"/>
    <cfRule type="duplicateValues" dxfId="234" priority="142"/>
    <cfRule type="duplicateValues" dxfId="234" priority="141"/>
    <cfRule type="duplicateValues" dxfId="234" priority="140"/>
    <cfRule type="duplicateValues" dxfId="234" priority="139"/>
    <cfRule type="duplicateValues" dxfId="234" priority="162"/>
    <cfRule type="duplicateValues" dxfId="234" priority="137"/>
    <cfRule type="duplicateValues" dxfId="234" priority="136"/>
    <cfRule type="duplicateValues" dxfId="234" priority="135"/>
    <cfRule type="duplicateValues" dxfId="234" priority="134"/>
    <cfRule type="duplicateValues" dxfId="234" priority="133"/>
    <cfRule type="duplicateValues" dxfId="234" priority="132"/>
    <cfRule type="duplicateValues" dxfId="234" priority="131"/>
    <cfRule type="duplicateValues" dxfId="234" priority="161"/>
    <cfRule type="duplicateValues" dxfId="234" priority="129"/>
    <cfRule type="duplicateValues" dxfId="234" priority="128"/>
    <cfRule type="duplicateValues" dxfId="234" priority="127"/>
    <cfRule type="duplicateValues" dxfId="234" priority="126"/>
    <cfRule type="duplicateValues" dxfId="234" priority="116"/>
    <cfRule type="duplicateValues" dxfId="234" priority="115"/>
    <cfRule type="duplicateValues" dxfId="234" priority="160"/>
    <cfRule type="duplicateValues" dxfId="234" priority="159"/>
    <cfRule type="duplicateValues" dxfId="234" priority="158"/>
    <cfRule type="duplicateValues" dxfId="234" priority="157"/>
    <cfRule type="duplicateValues" dxfId="234" priority="156"/>
    <cfRule type="duplicateValues" dxfId="234" priority="130"/>
    <cfRule type="duplicateValues" dxfId="234" priority="155"/>
    <cfRule type="duplicateValues" dxfId="234" priority="154"/>
    <cfRule type="duplicateValues" dxfId="234" priority="153"/>
    <cfRule type="duplicateValues" dxfId="234" priority="152"/>
    <cfRule type="duplicateValues" dxfId="234" priority="151"/>
    <cfRule type="duplicateValues" dxfId="234" priority="150"/>
    <cfRule type="duplicateValues" dxfId="234" priority="149"/>
    <cfRule type="duplicateValues" dxfId="234" priority="148"/>
    <cfRule type="duplicateValues" dxfId="234" priority="147"/>
    <cfRule type="duplicateValues" dxfId="234" priority="146"/>
    <cfRule type="duplicateValues" dxfId="234" priority="145"/>
    <cfRule type="duplicateValues" dxfId="234" priority="138"/>
  </conditionalFormatting>
  <conditionalFormatting sqref="A639">
    <cfRule type="duplicateValues" dxfId="234" priority="100"/>
    <cfRule type="duplicateValues" dxfId="234" priority="101"/>
    <cfRule type="duplicateValues" dxfId="234" priority="102"/>
    <cfRule type="duplicateValues" dxfId="234" priority="103"/>
    <cfRule type="duplicateValues" dxfId="234" priority="104"/>
    <cfRule type="duplicateValues" dxfId="234" priority="105"/>
    <cfRule type="duplicateValues" dxfId="234" priority="106"/>
    <cfRule type="duplicateValues" dxfId="234" priority="107"/>
    <cfRule type="duplicateValues" dxfId="234" priority="108"/>
    <cfRule type="duplicateValues" dxfId="234" priority="109"/>
    <cfRule type="duplicateValues" dxfId="234" priority="110"/>
    <cfRule type="duplicateValues" dxfId="234" priority="112"/>
    <cfRule type="duplicateValues" dxfId="234" priority="113"/>
    <cfRule type="duplicateValues" dxfId="234" priority="114"/>
    <cfRule type="duplicateValues" dxfId="234" priority="111"/>
    <cfRule type="duplicateValues" dxfId="234" priority="67"/>
    <cfRule type="duplicateValues" dxfId="234" priority="68"/>
    <cfRule type="duplicateValues" dxfId="234" priority="78"/>
    <cfRule type="duplicateValues" dxfId="234" priority="79"/>
    <cfRule type="duplicateValues" dxfId="234" priority="80"/>
    <cfRule type="duplicateValues" dxfId="234" priority="81"/>
    <cfRule type="duplicateValues" dxfId="234" priority="82"/>
    <cfRule type="duplicateValues" dxfId="234" priority="83"/>
    <cfRule type="duplicateValues" dxfId="234" priority="84"/>
    <cfRule type="duplicateValues" dxfId="234" priority="85"/>
    <cfRule type="duplicateValues" dxfId="234" priority="86"/>
    <cfRule type="duplicateValues" dxfId="234" priority="87"/>
    <cfRule type="duplicateValues" dxfId="234" priority="88"/>
    <cfRule type="duplicateValues" dxfId="234" priority="89"/>
    <cfRule type="duplicateValues" dxfId="234" priority="90"/>
    <cfRule type="duplicateValues" dxfId="234" priority="91"/>
    <cfRule type="duplicateValues" dxfId="234" priority="92"/>
    <cfRule type="duplicateValues" dxfId="234" priority="93"/>
    <cfRule type="duplicateValues" dxfId="234" priority="94"/>
    <cfRule type="duplicateValues" dxfId="234" priority="95"/>
    <cfRule type="duplicateValues" dxfId="234" priority="96"/>
    <cfRule type="duplicateValues" dxfId="234" priority="97"/>
    <cfRule type="duplicateValues" dxfId="234" priority="98"/>
    <cfRule type="duplicateValues" dxfId="234" priority="99"/>
  </conditionalFormatting>
  <conditionalFormatting sqref="A640">
    <cfRule type="duplicateValues" dxfId="234" priority="57"/>
    <cfRule type="duplicateValues" dxfId="234" priority="45"/>
    <cfRule type="duplicateValues" dxfId="234" priority="60"/>
    <cfRule type="duplicateValues" dxfId="234" priority="59"/>
    <cfRule type="duplicateValues" dxfId="234" priority="58"/>
    <cfRule type="duplicateValues" dxfId="234" priority="56"/>
    <cfRule type="duplicateValues" dxfId="234" priority="55"/>
    <cfRule type="duplicateValues" dxfId="234" priority="44"/>
    <cfRule type="duplicateValues" dxfId="234" priority="43"/>
    <cfRule type="duplicateValues" dxfId="234" priority="42"/>
    <cfRule type="duplicateValues" dxfId="234" priority="41"/>
    <cfRule type="duplicateValues" dxfId="234" priority="40"/>
    <cfRule type="duplicateValues" dxfId="234" priority="39"/>
    <cfRule type="duplicateValues" dxfId="234" priority="38"/>
    <cfRule type="duplicateValues" dxfId="234" priority="37"/>
    <cfRule type="duplicateValues" dxfId="234" priority="36"/>
    <cfRule type="duplicateValues" dxfId="234" priority="54"/>
    <cfRule type="duplicateValues" dxfId="234" priority="53"/>
    <cfRule type="duplicateValues" dxfId="234" priority="52"/>
    <cfRule type="duplicateValues" dxfId="234" priority="51"/>
    <cfRule type="duplicateValues" dxfId="234" priority="50"/>
    <cfRule type="duplicateValues" dxfId="234" priority="35"/>
    <cfRule type="duplicateValues" dxfId="234" priority="49"/>
    <cfRule type="duplicateValues" dxfId="234" priority="48"/>
    <cfRule type="duplicateValues" dxfId="234" priority="47"/>
    <cfRule type="duplicateValues" dxfId="234" priority="34"/>
    <cfRule type="duplicateValues" dxfId="234" priority="33"/>
    <cfRule type="duplicateValues" dxfId="234" priority="32"/>
    <cfRule type="duplicateValues" dxfId="234" priority="31"/>
    <cfRule type="duplicateValues" dxfId="234" priority="30"/>
    <cfRule type="duplicateValues" dxfId="234" priority="46"/>
    <cfRule type="duplicateValues" dxfId="234" priority="20"/>
    <cfRule type="duplicateValues" dxfId="234" priority="19"/>
    <cfRule type="duplicateValues" dxfId="234" priority="66"/>
    <cfRule type="duplicateValues" dxfId="234" priority="65"/>
    <cfRule type="duplicateValues" dxfId="234" priority="64"/>
    <cfRule type="duplicateValues" dxfId="234" priority="63"/>
    <cfRule type="duplicateValues" dxfId="234" priority="62"/>
    <cfRule type="duplicateValues" dxfId="234" priority="61"/>
  </conditionalFormatting>
  <conditionalFormatting sqref="A641">
    <cfRule type="duplicateValues" dxfId="234" priority="8"/>
    <cfRule type="duplicateValues" dxfId="234" priority="16"/>
    <cfRule type="duplicateValues" dxfId="234" priority="1"/>
    <cfRule type="duplicateValues" dxfId="234" priority="17"/>
    <cfRule type="duplicateValues" dxfId="234" priority="10"/>
    <cfRule type="duplicateValues" dxfId="234" priority="6"/>
    <cfRule type="duplicateValues" dxfId="234" priority="2"/>
    <cfRule type="duplicateValues" dxfId="234" priority="9"/>
    <cfRule type="duplicateValues" dxfId="234" priority="11"/>
    <cfRule type="duplicateValues" dxfId="234" priority="7"/>
    <cfRule type="duplicateValues" dxfId="234" priority="12"/>
    <cfRule type="duplicateValues" dxfId="234" priority="13"/>
    <cfRule type="duplicateValues" dxfId="234" priority="14"/>
    <cfRule type="duplicateValues" dxfId="234" priority="18"/>
    <cfRule type="duplicateValues" dxfId="234" priority="15"/>
  </conditionalFormatting>
  <conditionalFormatting sqref="A642:A1048576 A1:A610">
    <cfRule type="duplicateValues" dxfId="234" priority="612557"/>
    <cfRule type="duplicateValues" dxfId="234" priority="1494"/>
    <cfRule type="duplicateValues" dxfId="234" priority="1493"/>
  </conditionalFormatting>
  <conditionalFormatting sqref="A642:A1048576 A1:A618">
    <cfRule type="duplicateValues" dxfId="234" priority="1296"/>
  </conditionalFormatting>
  <conditionalFormatting sqref="A642:A1048576 A1:A619">
    <cfRule type="duplicateValues" dxfId="234" priority="1200"/>
    <cfRule type="duplicateValues" dxfId="234" priority="1203"/>
  </conditionalFormatting>
  <conditionalFormatting sqref="A642:A1048576 A1:A631">
    <cfRule type="duplicateValues" dxfId="234" priority="864"/>
    <cfRule type="duplicateValues" dxfId="234" priority="889"/>
    <cfRule type="duplicateValues" dxfId="234" priority="843"/>
  </conditionalFormatting>
  <conditionalFormatting sqref="A642:A1048576 A1:A635">
    <cfRule type="duplicateValues" dxfId="234" priority="284"/>
    <cfRule type="duplicateValues" dxfId="234" priority="711"/>
    <cfRule type="duplicateValues" dxfId="234" priority="282"/>
    <cfRule type="duplicateValues" dxfId="234" priority="283"/>
  </conditionalFormatting>
  <conditionalFormatting sqref="A642:A1048576 A1:A637">
    <cfRule type="duplicateValues" dxfId="234" priority="168"/>
    <cfRule type="duplicateValues" dxfId="234" priority="190"/>
    <cfRule type="duplicateValues" dxfId="234" priority="195"/>
    <cfRule type="duplicateValues" dxfId="234" priority="163"/>
    <cfRule type="duplicateValues" dxfId="234" priority="201"/>
  </conditionalFormatting>
  <conditionalFormatting sqref="A642:A1048576">
    <cfRule type="duplicateValues" dxfId="234" priority="862"/>
  </conditionalFormatting>
  <conditionalFormatting sqref="B641">
    <cfRule type="duplicateValues" dxfId="234" priority="5"/>
  </conditionalFormatting>
  <conditionalFormatting sqref="C641">
    <cfRule type="duplicateValues" dxfId="234" priority="4"/>
  </conditionalFormatting>
  <conditionalFormatting sqref="D611">
    <cfRule type="duplicateValues" dxfId="0" priority="1479"/>
    <cfRule type="duplicateValues" dxfId="0" priority="1478"/>
    <cfRule type="duplicateValues" dxfId="0" priority="1476"/>
    <cfRule type="duplicateValues" dxfId="0" priority="1475"/>
    <cfRule type="duplicateValues" dxfId="0" priority="1480"/>
    <cfRule type="duplicateValues" dxfId="0" priority="1477"/>
  </conditionalFormatting>
  <conditionalFormatting sqref="D612">
    <cfRule type="duplicateValues" dxfId="0" priority="1457"/>
    <cfRule type="duplicateValues" dxfId="0" priority="1454"/>
    <cfRule type="duplicateValues" dxfId="0" priority="1456"/>
    <cfRule type="duplicateValues" dxfId="0" priority="1455"/>
    <cfRule type="duplicateValues" dxfId="0" priority="1459"/>
    <cfRule type="duplicateValues" dxfId="0" priority="1458"/>
  </conditionalFormatting>
  <conditionalFormatting sqref="D613">
    <cfRule type="duplicateValues" dxfId="0" priority="1436"/>
    <cfRule type="duplicateValues" dxfId="0" priority="1437"/>
    <cfRule type="duplicateValues" dxfId="0" priority="1432"/>
    <cfRule type="duplicateValues" dxfId="0" priority="1433"/>
    <cfRule type="duplicateValues" dxfId="0" priority="1434"/>
    <cfRule type="duplicateValues" dxfId="0" priority="1435"/>
  </conditionalFormatting>
  <conditionalFormatting sqref="D614">
    <cfRule type="duplicateValues" dxfId="0" priority="1414"/>
    <cfRule type="duplicateValues" dxfId="0" priority="1410"/>
    <cfRule type="duplicateValues" dxfId="0" priority="1411"/>
    <cfRule type="duplicateValues" dxfId="0" priority="1412"/>
    <cfRule type="duplicateValues" dxfId="0" priority="1413"/>
    <cfRule type="duplicateValues" dxfId="0" priority="1415"/>
  </conditionalFormatting>
  <conditionalFormatting sqref="D615">
    <cfRule type="duplicateValues" dxfId="0" priority="1369"/>
    <cfRule type="duplicateValues" dxfId="0" priority="1371"/>
    <cfRule type="duplicateValues" dxfId="0" priority="1367"/>
    <cfRule type="duplicateValues" dxfId="0" priority="1372"/>
    <cfRule type="duplicateValues" dxfId="0" priority="1370"/>
    <cfRule type="duplicateValues" dxfId="0" priority="1368"/>
  </conditionalFormatting>
  <conditionalFormatting sqref="D616">
    <cfRule type="duplicateValues" dxfId="0" priority="1346"/>
    <cfRule type="duplicateValues" dxfId="0" priority="1347"/>
    <cfRule type="duplicateValues" dxfId="0" priority="1348"/>
    <cfRule type="duplicateValues" dxfId="0" priority="1349"/>
    <cfRule type="duplicateValues" dxfId="0" priority="1350"/>
    <cfRule type="duplicateValues" dxfId="0" priority="1345"/>
  </conditionalFormatting>
  <conditionalFormatting sqref="D617">
    <cfRule type="duplicateValues" dxfId="0" priority="1328"/>
    <cfRule type="duplicateValues" dxfId="0" priority="1327"/>
    <cfRule type="duplicateValues" dxfId="0" priority="1326"/>
    <cfRule type="duplicateValues" dxfId="0" priority="1325"/>
    <cfRule type="duplicateValues" dxfId="0" priority="1324"/>
    <cfRule type="duplicateValues" dxfId="0" priority="1323"/>
  </conditionalFormatting>
  <conditionalFormatting sqref="D618">
    <cfRule type="duplicateValues" dxfId="0" priority="1301"/>
    <cfRule type="duplicateValues" dxfId="0" priority="1302"/>
    <cfRule type="duplicateValues" dxfId="0" priority="1306"/>
    <cfRule type="duplicateValues" dxfId="0" priority="1305"/>
    <cfRule type="duplicateValues" dxfId="0" priority="1304"/>
    <cfRule type="duplicateValues" dxfId="0" priority="1303"/>
  </conditionalFormatting>
  <conditionalFormatting sqref="D619">
    <cfRule type="duplicateValues" dxfId="0" priority="1236"/>
    <cfRule type="duplicateValues" dxfId="0" priority="1235"/>
    <cfRule type="duplicateValues" dxfId="0" priority="1234"/>
    <cfRule type="duplicateValues" dxfId="0" priority="1233"/>
    <cfRule type="duplicateValues" dxfId="0" priority="1232"/>
    <cfRule type="duplicateValues" dxfId="0" priority="1231"/>
  </conditionalFormatting>
  <conditionalFormatting sqref="D620">
    <cfRule type="duplicateValues" dxfId="234" priority="1185"/>
    <cfRule type="duplicateValues" dxfId="0" priority="1179"/>
    <cfRule type="duplicateValues" dxfId="0" priority="1180"/>
    <cfRule type="duplicateValues" dxfId="0" priority="1181"/>
    <cfRule type="duplicateValues" dxfId="0" priority="1182"/>
    <cfRule type="duplicateValues" dxfId="0" priority="1183"/>
    <cfRule type="duplicateValues" dxfId="0" priority="1184"/>
  </conditionalFormatting>
  <conditionalFormatting sqref="D621">
    <cfRule type="duplicateValues" dxfId="0" priority="1155"/>
    <cfRule type="duplicateValues" dxfId="0" priority="1156"/>
    <cfRule type="duplicateValues" dxfId="0" priority="1157"/>
    <cfRule type="duplicateValues" dxfId="0" priority="1158"/>
    <cfRule type="duplicateValues" dxfId="0" priority="1159"/>
    <cfRule type="duplicateValues" dxfId="234" priority="1160"/>
    <cfRule type="duplicateValues" dxfId="0" priority="1154"/>
  </conditionalFormatting>
  <conditionalFormatting sqref="D622">
    <cfRule type="duplicateValues" dxfId="0" priority="1130"/>
    <cfRule type="duplicateValues" dxfId="0" priority="1131"/>
    <cfRule type="duplicateValues" dxfId="0" priority="1132"/>
    <cfRule type="duplicateValues" dxfId="0" priority="1133"/>
    <cfRule type="duplicateValues" dxfId="0" priority="1134"/>
    <cfRule type="duplicateValues" dxfId="234" priority="1135"/>
    <cfRule type="duplicateValues" dxfId="0" priority="1129"/>
  </conditionalFormatting>
  <conditionalFormatting sqref="D623">
    <cfRule type="duplicateValues" dxfId="0" priority="1107"/>
    <cfRule type="duplicateValues" dxfId="0" priority="1108"/>
    <cfRule type="duplicateValues" dxfId="0" priority="1109"/>
    <cfRule type="duplicateValues" dxfId="0" priority="1110"/>
    <cfRule type="duplicateValues" dxfId="234" priority="1111"/>
    <cfRule type="duplicateValues" dxfId="0" priority="1105"/>
    <cfRule type="duplicateValues" dxfId="0" priority="1106"/>
  </conditionalFormatting>
  <conditionalFormatting sqref="D624">
    <cfRule type="duplicateValues" dxfId="0" priority="1082"/>
    <cfRule type="duplicateValues" dxfId="0" priority="1080"/>
    <cfRule type="duplicateValues" dxfId="0" priority="1081"/>
    <cfRule type="duplicateValues" dxfId="0" priority="1083"/>
    <cfRule type="duplicateValues" dxfId="0" priority="1084"/>
    <cfRule type="duplicateValues" dxfId="0" priority="1085"/>
    <cfRule type="duplicateValues" dxfId="234" priority="1086"/>
  </conditionalFormatting>
  <conditionalFormatting sqref="D625">
    <cfRule type="duplicateValues" dxfId="234" priority="1060"/>
    <cfRule type="duplicateValues" dxfId="0" priority="1059"/>
    <cfRule type="duplicateValues" dxfId="0" priority="1058"/>
    <cfRule type="duplicateValues" dxfId="0" priority="1057"/>
    <cfRule type="duplicateValues" dxfId="0" priority="1056"/>
    <cfRule type="duplicateValues" dxfId="0" priority="1055"/>
    <cfRule type="duplicateValues" dxfId="0" priority="1054"/>
  </conditionalFormatting>
  <conditionalFormatting sqref="D626">
    <cfRule type="duplicateValues" dxfId="0" priority="1030"/>
    <cfRule type="duplicateValues" dxfId="234" priority="1035"/>
    <cfRule type="duplicateValues" dxfId="0" priority="1034"/>
    <cfRule type="duplicateValues" dxfId="0" priority="1033"/>
    <cfRule type="duplicateValues" dxfId="0" priority="1029"/>
    <cfRule type="duplicateValues" dxfId="0" priority="1032"/>
    <cfRule type="duplicateValues" dxfId="0" priority="1031"/>
  </conditionalFormatting>
  <conditionalFormatting sqref="D627">
    <cfRule type="duplicateValues" dxfId="0" priority="1005"/>
    <cfRule type="duplicateValues" dxfId="234" priority="1009"/>
    <cfRule type="duplicateValues" dxfId="0" priority="1008"/>
    <cfRule type="duplicateValues" dxfId="0" priority="1007"/>
    <cfRule type="duplicateValues" dxfId="0" priority="1006"/>
    <cfRule type="duplicateValues" dxfId="0" priority="1004"/>
    <cfRule type="duplicateValues" dxfId="0" priority="1003"/>
  </conditionalFormatting>
  <conditionalFormatting sqref="D628">
    <cfRule type="duplicateValues" dxfId="0" priority="978"/>
    <cfRule type="duplicateValues" dxfId="0" priority="979"/>
    <cfRule type="duplicateValues" dxfId="0" priority="974"/>
    <cfRule type="duplicateValues" dxfId="0" priority="975"/>
    <cfRule type="duplicateValues" dxfId="0" priority="976"/>
    <cfRule type="duplicateValues" dxfId="0" priority="977"/>
    <cfRule type="duplicateValues" dxfId="234" priority="980"/>
  </conditionalFormatting>
  <conditionalFormatting sqref="D629">
    <cfRule type="duplicateValues" dxfId="234" priority="954"/>
    <cfRule type="duplicateValues" dxfId="0" priority="950"/>
    <cfRule type="duplicateValues" dxfId="0" priority="951"/>
    <cfRule type="duplicateValues" dxfId="0" priority="953"/>
    <cfRule type="duplicateValues" dxfId="0" priority="949"/>
    <cfRule type="duplicateValues" dxfId="0" priority="948"/>
    <cfRule type="duplicateValues" dxfId="0" priority="952"/>
  </conditionalFormatting>
  <conditionalFormatting sqref="D630">
    <cfRule type="duplicateValues" dxfId="0" priority="923"/>
    <cfRule type="duplicateValues" dxfId="0" priority="925"/>
    <cfRule type="duplicateValues" dxfId="0" priority="924"/>
    <cfRule type="duplicateValues" dxfId="0" priority="926"/>
    <cfRule type="duplicateValues" dxfId="0" priority="927"/>
    <cfRule type="duplicateValues" dxfId="234" priority="928"/>
    <cfRule type="duplicateValues" dxfId="0" priority="922"/>
  </conditionalFormatting>
  <conditionalFormatting sqref="D631">
    <cfRule type="duplicateValues" dxfId="234" priority="901"/>
    <cfRule type="duplicateValues" dxfId="0" priority="897"/>
    <cfRule type="duplicateValues" dxfId="0" priority="900"/>
    <cfRule type="duplicateValues" dxfId="0" priority="895"/>
    <cfRule type="duplicateValues" dxfId="0" priority="896"/>
    <cfRule type="duplicateValues" dxfId="0" priority="898"/>
    <cfRule type="duplicateValues" dxfId="0" priority="899"/>
  </conditionalFormatting>
  <conditionalFormatting sqref="D632">
    <cfRule type="duplicateValues" dxfId="234" priority="820"/>
    <cfRule type="duplicateValues" dxfId="0" priority="814"/>
    <cfRule type="duplicateValues" dxfId="0" priority="815"/>
    <cfRule type="duplicateValues" dxfId="0" priority="816"/>
    <cfRule type="duplicateValues" dxfId="0" priority="819"/>
    <cfRule type="duplicateValues" dxfId="0" priority="818"/>
    <cfRule type="duplicateValues" dxfId="0" priority="817"/>
  </conditionalFormatting>
  <conditionalFormatting sqref="D633">
    <cfRule type="duplicateValues" dxfId="0" priority="780"/>
    <cfRule type="duplicateValues" dxfId="0" priority="781"/>
    <cfRule type="duplicateValues" dxfId="0" priority="782"/>
    <cfRule type="duplicateValues" dxfId="0" priority="783"/>
    <cfRule type="duplicateValues" dxfId="0" priority="785"/>
    <cfRule type="duplicateValues" dxfId="234" priority="786"/>
    <cfRule type="duplicateValues" dxfId="0" priority="784"/>
  </conditionalFormatting>
  <conditionalFormatting sqref="D634">
    <cfRule type="duplicateValues" dxfId="0" priority="749"/>
    <cfRule type="duplicateValues" dxfId="0" priority="748"/>
    <cfRule type="duplicateValues" dxfId="234" priority="754"/>
    <cfRule type="duplicateValues" dxfId="0" priority="753"/>
    <cfRule type="duplicateValues" dxfId="0" priority="752"/>
    <cfRule type="duplicateValues" dxfId="0" priority="751"/>
    <cfRule type="duplicateValues" dxfId="0" priority="750"/>
  </conditionalFormatting>
  <conditionalFormatting sqref="D635">
    <cfRule type="duplicateValues" dxfId="0" priority="720"/>
    <cfRule type="duplicateValues" dxfId="0" priority="719"/>
    <cfRule type="duplicateValues" dxfId="0" priority="721"/>
    <cfRule type="duplicateValues" dxfId="0" priority="718"/>
    <cfRule type="duplicateValues" dxfId="0" priority="717"/>
    <cfRule type="duplicateValues" dxfId="0" priority="716"/>
    <cfRule type="duplicateValues" dxfId="234" priority="722"/>
  </conditionalFormatting>
  <conditionalFormatting sqref="D636">
    <cfRule type="duplicateValues" dxfId="0" priority="252"/>
    <cfRule type="duplicateValues" dxfId="234" priority="253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</conditionalFormatting>
  <conditionalFormatting sqref="D637"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234" priority="215"/>
  </conditionalFormatting>
  <conditionalFormatting sqref="D638:D641">
    <cfRule type="duplicateValues" dxfId="0" priority="124"/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234" priority="119"/>
    <cfRule type="duplicateValues" dxfId="0" priority="125"/>
  </conditionalFormatting>
  <conditionalFormatting sqref="D639">
    <cfRule type="duplicateValues" dxfId="0" priority="77"/>
    <cfRule type="duplicateValues" dxfId="234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</conditionalFormatting>
  <conditionalFormatting sqref="D640">
    <cfRule type="duplicateValues" dxfId="0" priority="29"/>
    <cfRule type="duplicateValues" dxfId="234" priority="23"/>
    <cfRule type="duplicateValues" dxfId="0" priority="26"/>
    <cfRule type="duplicateValues" dxfId="0" priority="25"/>
    <cfRule type="duplicateValues" dxfId="0" priority="24"/>
    <cfRule type="duplicateValues" dxfId="0" priority="27"/>
    <cfRule type="duplicateValues" dxfId="0" priority="28"/>
  </conditionalFormatting>
  <conditionalFormatting sqref="D641">
    <cfRule type="duplicateValues" dxfId="234" priority="3"/>
  </conditionalFormatting>
  <conditionalFormatting sqref="D642:D1048576 D1:D610">
    <cfRule type="duplicateValues" dxfId="234" priority="1504"/>
    <cfRule type="duplicateValues" dxfId="234" priority="1505"/>
    <cfRule type="duplicateValues" dxfId="234" priority="1503"/>
  </conditionalFormatting>
  <conditionalFormatting sqref="V611">
    <cfRule type="duplicateValues" dxfId="0" priority="1474"/>
  </conditionalFormatting>
  <conditionalFormatting sqref="V612">
    <cfRule type="duplicateValues" dxfId="0" priority="1453"/>
  </conditionalFormatting>
  <conditionalFormatting sqref="V613">
    <cfRule type="duplicateValues" dxfId="0" priority="1431"/>
  </conditionalFormatting>
  <conditionalFormatting sqref="V614">
    <cfRule type="duplicateValues" dxfId="0" priority="1409"/>
  </conditionalFormatting>
  <conditionalFormatting sqref="V615">
    <cfRule type="duplicateValues" dxfId="0" priority="1366"/>
  </conditionalFormatting>
  <conditionalFormatting sqref="V616">
    <cfRule type="duplicateValues" dxfId="0" priority="1344"/>
  </conditionalFormatting>
  <conditionalFormatting sqref="V617">
    <cfRule type="duplicateValues" dxfId="0" priority="1322"/>
  </conditionalFormatting>
  <conditionalFormatting sqref="V618">
    <cfRule type="duplicateValues" dxfId="0" priority="1300"/>
  </conditionalFormatting>
  <conditionalFormatting sqref="V619">
    <cfRule type="duplicateValues" dxfId="0" priority="1230"/>
  </conditionalFormatting>
  <conditionalFormatting sqref="V620">
    <cfRule type="duplicateValues" dxfId="0" priority="1178"/>
  </conditionalFormatting>
  <conditionalFormatting sqref="V621">
    <cfRule type="duplicateValues" dxfId="0" priority="1153"/>
  </conditionalFormatting>
  <conditionalFormatting sqref="V622">
    <cfRule type="duplicateValues" dxfId="0" priority="1128"/>
  </conditionalFormatting>
  <conditionalFormatting sqref="V623">
    <cfRule type="duplicateValues" dxfId="0" priority="1104"/>
  </conditionalFormatting>
  <conditionalFormatting sqref="V624">
    <cfRule type="duplicateValues" dxfId="0" priority="1079"/>
  </conditionalFormatting>
  <conditionalFormatting sqref="V625">
    <cfRule type="duplicateValues" dxfId="0" priority="1053"/>
  </conditionalFormatting>
  <conditionalFormatting sqref="V626">
    <cfRule type="duplicateValues" dxfId="0" priority="1028"/>
  </conditionalFormatting>
  <conditionalFormatting sqref="V627">
    <cfRule type="duplicateValues" dxfId="0" priority="1002"/>
  </conditionalFormatting>
  <conditionalFormatting sqref="V628">
    <cfRule type="duplicateValues" dxfId="0" priority="973"/>
  </conditionalFormatting>
  <conditionalFormatting sqref="V629">
    <cfRule type="duplicateValues" dxfId="0" priority="947"/>
  </conditionalFormatting>
  <conditionalFormatting sqref="V630">
    <cfRule type="duplicateValues" dxfId="0" priority="921"/>
  </conditionalFormatting>
  <conditionalFormatting sqref="V631">
    <cfRule type="duplicateValues" dxfId="0" priority="894"/>
  </conditionalFormatting>
  <conditionalFormatting sqref="V632">
    <cfRule type="duplicateValues" dxfId="0" priority="813"/>
  </conditionalFormatting>
  <conditionalFormatting sqref="V633">
    <cfRule type="duplicateValues" dxfId="0" priority="779"/>
  </conditionalFormatting>
  <conditionalFormatting sqref="V634">
    <cfRule type="duplicateValues" dxfId="0" priority="747"/>
  </conditionalFormatting>
  <conditionalFormatting sqref="V635">
    <cfRule type="duplicateValues" dxfId="0" priority="715"/>
  </conditionalFormatting>
  <conditionalFormatting sqref="V636">
    <cfRule type="duplicateValues" dxfId="0" priority="246"/>
  </conditionalFormatting>
  <conditionalFormatting sqref="V637">
    <cfRule type="duplicateValues" dxfId="0" priority="208"/>
  </conditionalFormatting>
  <conditionalFormatting sqref="V638:V641">
    <cfRule type="duplicateValues" dxfId="0" priority="118"/>
  </conditionalFormatting>
  <conditionalFormatting sqref="V639">
    <cfRule type="duplicateValues" dxfId="0" priority="70"/>
  </conditionalFormatting>
  <conditionalFormatting sqref="V640">
    <cfRule type="duplicateValues" dxfId="0" priority="22"/>
  </conditionalFormatting>
  <conditionalFormatting sqref="AG611">
    <cfRule type="duplicateValues" dxfId="0" priority="1473"/>
  </conditionalFormatting>
  <conditionalFormatting sqref="AG612">
    <cfRule type="duplicateValues" dxfId="0" priority="1452"/>
  </conditionalFormatting>
  <conditionalFormatting sqref="AG613">
    <cfRule type="duplicateValues" dxfId="0" priority="1430"/>
  </conditionalFormatting>
  <conditionalFormatting sqref="AG614">
    <cfRule type="duplicateValues" dxfId="0" priority="1408"/>
  </conditionalFormatting>
  <conditionalFormatting sqref="AG615">
    <cfRule type="duplicateValues" dxfId="0" priority="1365"/>
  </conditionalFormatting>
  <conditionalFormatting sqref="AG616">
    <cfRule type="duplicateValues" dxfId="0" priority="1343"/>
  </conditionalFormatting>
  <conditionalFormatting sqref="AG617">
    <cfRule type="duplicateValues" dxfId="0" priority="1321"/>
  </conditionalFormatting>
  <conditionalFormatting sqref="AG618">
    <cfRule type="duplicateValues" dxfId="0" priority="1299"/>
  </conditionalFormatting>
  <conditionalFormatting sqref="AG619">
    <cfRule type="duplicateValues" dxfId="0" priority="1229"/>
  </conditionalFormatting>
  <conditionalFormatting sqref="AG620">
    <cfRule type="duplicateValues" dxfId="0" priority="1177"/>
  </conditionalFormatting>
  <conditionalFormatting sqref="AG621">
    <cfRule type="duplicateValues" dxfId="0" priority="1152"/>
  </conditionalFormatting>
  <conditionalFormatting sqref="AG622">
    <cfRule type="duplicateValues" dxfId="0" priority="1127"/>
  </conditionalFormatting>
  <conditionalFormatting sqref="AG623">
    <cfRule type="duplicateValues" dxfId="0" priority="1103"/>
  </conditionalFormatting>
  <conditionalFormatting sqref="AG624">
    <cfRule type="duplicateValues" dxfId="0" priority="1078"/>
  </conditionalFormatting>
  <conditionalFormatting sqref="AG625">
    <cfRule type="duplicateValues" dxfId="0" priority="1052"/>
  </conditionalFormatting>
  <conditionalFormatting sqref="AG626">
    <cfRule type="duplicateValues" dxfId="0" priority="1027"/>
  </conditionalFormatting>
  <conditionalFormatting sqref="AG627">
    <cfRule type="duplicateValues" dxfId="0" priority="1001"/>
  </conditionalFormatting>
  <conditionalFormatting sqref="AG628">
    <cfRule type="duplicateValues" dxfId="0" priority="972"/>
  </conditionalFormatting>
  <conditionalFormatting sqref="AG629">
    <cfRule type="duplicateValues" dxfId="0" priority="946"/>
  </conditionalFormatting>
  <conditionalFormatting sqref="AG630">
    <cfRule type="duplicateValues" dxfId="0" priority="920"/>
  </conditionalFormatting>
  <conditionalFormatting sqref="AG631">
    <cfRule type="duplicateValues" dxfId="0" priority="893"/>
  </conditionalFormatting>
  <conditionalFormatting sqref="AG632">
    <cfRule type="duplicateValues" dxfId="0" priority="812"/>
  </conditionalFormatting>
  <conditionalFormatting sqref="AG633">
    <cfRule type="duplicateValues" dxfId="0" priority="778"/>
  </conditionalFormatting>
  <conditionalFormatting sqref="AG634">
    <cfRule type="duplicateValues" dxfId="0" priority="746"/>
  </conditionalFormatting>
  <conditionalFormatting sqref="AG635">
    <cfRule type="duplicateValues" dxfId="0" priority="714"/>
  </conditionalFormatting>
  <conditionalFormatting sqref="AG636">
    <cfRule type="duplicateValues" dxfId="0" priority="245"/>
  </conditionalFormatting>
  <conditionalFormatting sqref="AG637">
    <cfRule type="duplicateValues" dxfId="0" priority="207"/>
  </conditionalFormatting>
  <conditionalFormatting sqref="AG638:AG641">
    <cfRule type="duplicateValues" dxfId="0" priority="117"/>
  </conditionalFormatting>
  <conditionalFormatting sqref="AG639">
    <cfRule type="duplicateValues" dxfId="0" priority="69"/>
  </conditionalFormatting>
  <conditionalFormatting sqref="AG640">
    <cfRule type="duplicateValues" dxfId="0" priority="21"/>
  </conditionalFormatting>
  <conditionalFormatting sqref="BH624:BI627 BI628:BI635">
    <cfRule type="containsBlanks" dxfId="725" priority="998">
      <formula>LEN(TRIM(BH624))=0</formula>
    </cfRule>
  </conditionalFormatting>
  <hyperlinks>
    <hyperlink ref="BM10" r:id="rId1"/>
    <hyperlink ref="BM12" r:id="rId2"/>
    <hyperlink ref="BM13" r:id="rId3"/>
    <hyperlink ref="BM18" r:id="rId4"/>
    <hyperlink ref="BM20" r:id="rId5"/>
    <hyperlink ref="BM21" r:id="rId6"/>
    <hyperlink ref="BM22" r:id="rId7"/>
    <hyperlink ref="BM23" r:id="rId8"/>
    <hyperlink ref="BM26" r:id="rId9"/>
    <hyperlink ref="BM27" r:id="rId10"/>
    <hyperlink ref="BM28" r:id="rId11"/>
    <hyperlink ref="BM29" r:id="rId12"/>
    <hyperlink ref="BM30" r:id="rId13"/>
    <hyperlink ref="W31" r:id="rId14"/>
    <hyperlink ref="BN52" r:id="rId15"/>
    <hyperlink ref="BN53" r:id="rId16"/>
    <hyperlink ref="W73" r:id="rId17"/>
    <hyperlink ref="W86" r:id="rId18"/>
    <hyperlink ref="AI90" r:id="rId19"/>
    <hyperlink ref="AI133" r:id="rId20"/>
    <hyperlink ref="AI204" r:id="rId21"/>
    <hyperlink ref="AI207" r:id="rId22"/>
    <hyperlink ref="W259" r:id="rId23"/>
    <hyperlink ref="W265" r:id="rId24"/>
    <hyperlink ref="W294" r:id="rId25"/>
    <hyperlink ref="W295" r:id="rId26"/>
    <hyperlink ref="W296" r:id="rId27"/>
    <hyperlink ref="W331" r:id="rId28"/>
    <hyperlink ref="W346" display="mailto:sharifhuseinbd@gmail.com" r:id="rId29"/>
    <hyperlink ref="W349" r:id="rId30"/>
    <hyperlink ref="AI440" r:id="rId31"/>
    <hyperlink ref="W467" r:id="rId32"/>
    <hyperlink ref="W470" r:id="rId33"/>
    <hyperlink ref="W471" r:id="rId34"/>
    <hyperlink ref="W488" r:id="rId35"/>
    <hyperlink ref="W489" r:id="rId36"/>
    <hyperlink ref="W490" r:id="rId37"/>
    <hyperlink ref="W491" r:id="rId38"/>
    <hyperlink ref="AJ493" r:id="rId39"/>
    <hyperlink ref="W535" r:id="rId40"/>
    <hyperlink ref="W574" r:id="rId41"/>
    <hyperlink ref="W591" r:id="rId42"/>
    <hyperlink ref="W592" r:id="rId43"/>
    <hyperlink ref="W609" r:id="rId44"/>
    <hyperlink ref="AI620" r:id="rId45"/>
    <hyperlink ref="W622" r:id="rId46"/>
    <hyperlink ref="W626" r:id="rId47"/>
    <hyperlink ref="W641" display="rana99138@gamil.com " r:id="rId48"/>
  </hyperlinks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2"/>
  <sheetViews>
    <sheetView workbookViewId="0">
      <pane xSplit="4" ySplit="1" topLeftCell="P2" activePane="bottomRight" state="frozen"/>
      <selection pane="topRight"/>
      <selection pane="bottomLeft"/>
      <selection pane="bottomRight" activeCell="T14" sqref="T14"/>
    </sheetView>
  </sheetViews>
  <sheetFormatPr defaultColWidth="9.109375" defaultRowHeight="14.4"/>
  <cols>
    <col min="1" max="1" width="4.77734375" customWidth="1" style="89"/>
    <col min="2" max="2" width="7" customWidth="1" style="89"/>
    <col min="3" max="3" width="20.77734375" customWidth="1" style="89"/>
    <col min="4" max="4" width="11.21875" customWidth="1" style="89"/>
    <col min="5" max="5" width="19.77734375" customWidth="1" style="89"/>
    <col min="6" max="6" width="20" customWidth="1" style="89"/>
    <col min="7" max="7" width="16.21875" customWidth="1" style="89"/>
    <col min="8" max="8" width="16.77734375" customWidth="1" style="89"/>
    <col min="9" max="9" width="13.109375" customWidth="1" style="89"/>
    <col min="10" max="10" width="20.5546875" customWidth="1" style="89"/>
    <col min="11" max="11" width="16.44140625" customWidth="1" style="89"/>
    <col min="12" max="12" width="16" customWidth="1" style="89"/>
    <col min="13" max="13" width="12.21875" customWidth="1" style="89"/>
    <col min="14" max="14" width="41.77734375" customWidth="1" style="89"/>
    <col min="15" max="15" width="36.44140625" customWidth="1" style="89"/>
    <col min="16" max="16" width="20" customWidth="1" style="89"/>
    <col min="17" max="17" width="16.77734375" customWidth="1" style="89"/>
    <col min="18" max="20" width="14.77734375" customWidth="1" style="89"/>
    <col min="21" max="22" width="11" customWidth="1" style="89"/>
    <col min="23" max="23" width="16.77734375" customWidth="1" style="89"/>
    <col min="24" max="16384" width="9.109375" customWidth="1" style="89"/>
  </cols>
  <sheetData>
    <row r="1" ht="36" customHeight="1">
      <c r="A1" s="50" t="s">
        <v>6784</v>
      </c>
      <c r="B1" s="50" t="s">
        <v>6785</v>
      </c>
      <c r="C1" s="50" t="s">
        <v>6786</v>
      </c>
      <c r="D1" s="50" t="s">
        <v>6787</v>
      </c>
      <c r="E1" s="50" t="s">
        <v>6788</v>
      </c>
      <c r="F1" s="50" t="s">
        <v>6789</v>
      </c>
      <c r="G1" s="50" t="s">
        <v>6790</v>
      </c>
      <c r="H1" s="50" t="s">
        <v>6791</v>
      </c>
      <c r="I1" s="50" t="s">
        <v>6792</v>
      </c>
      <c r="J1" s="50" t="s">
        <v>6793</v>
      </c>
      <c r="K1" s="50" t="s">
        <v>6794</v>
      </c>
      <c r="L1" s="50" t="s">
        <v>58</v>
      </c>
      <c r="M1" s="50" t="s">
        <v>6795</v>
      </c>
      <c r="N1" s="50" t="s">
        <v>6796</v>
      </c>
      <c r="O1" s="50" t="s">
        <v>6797</v>
      </c>
      <c r="P1" s="127" t="s">
        <v>6798</v>
      </c>
      <c r="Q1" s="127" t="s">
        <v>6799</v>
      </c>
      <c r="R1" s="50" t="s">
        <v>6800</v>
      </c>
      <c r="S1" s="50" t="s">
        <v>6801</v>
      </c>
      <c r="T1" s="50" t="s">
        <v>6802</v>
      </c>
      <c r="U1" s="50" t="s">
        <v>6803</v>
      </c>
      <c r="V1" s="50" t="s">
        <v>6804</v>
      </c>
      <c r="W1" s="50" t="s">
        <v>6805</v>
      </c>
      <c r="BU1" s="90"/>
    </row>
    <row r="2" ht="28.8">
      <c r="A2" s="20">
        <v>1</v>
      </c>
      <c r="B2" s="20">
        <v>171017</v>
      </c>
      <c r="C2" s="20" t="s">
        <v>6374</v>
      </c>
      <c r="D2" s="20">
        <v>1739511788</v>
      </c>
      <c r="E2" s="52" t="s">
        <v>6806</v>
      </c>
      <c r="F2" s="20" t="s">
        <v>67</v>
      </c>
      <c r="G2" s="20" t="s">
        <v>67</v>
      </c>
      <c r="H2" s="20" t="s">
        <v>3486</v>
      </c>
      <c r="I2" s="20" t="s">
        <v>3486</v>
      </c>
      <c r="J2" s="20" t="s">
        <v>69</v>
      </c>
      <c r="K2" s="20" t="s">
        <v>6807</v>
      </c>
      <c r="L2" s="52" t="s">
        <v>6808</v>
      </c>
      <c r="M2" s="52" t="s">
        <v>6808</v>
      </c>
      <c r="N2" s="20" t="s">
        <v>70</v>
      </c>
      <c r="O2" s="20" t="s">
        <v>155</v>
      </c>
      <c r="P2" s="128">
        <v>45090</v>
      </c>
      <c r="Q2" s="128">
        <v>45093</v>
      </c>
      <c r="R2" s="20">
        <v>12000</v>
      </c>
      <c r="S2" s="20">
        <v>2700</v>
      </c>
      <c r="T2" s="20">
        <v>0</v>
      </c>
      <c r="U2" s="20">
        <v>12000</v>
      </c>
      <c r="V2" s="20">
        <v>2700</v>
      </c>
      <c r="W2" s="129" t="s">
        <v>6809</v>
      </c>
      <c r="BR2" s="90"/>
    </row>
  </sheetData>
  <conditionalFormatting sqref="A2">
    <cfRule type="duplicateValues" dxfId="0" priority="81"/>
    <cfRule type="duplicateValues" dxfId="0" priority="92"/>
    <cfRule type="duplicateValues" dxfId="0" priority="87"/>
    <cfRule type="duplicateValues" dxfId="0" priority="79"/>
    <cfRule type="duplicateValues" dxfId="0" priority="80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8"/>
    <cfRule type="duplicateValues" dxfId="0" priority="89"/>
    <cfRule type="duplicateValues" dxfId="0" priority="90"/>
    <cfRule type="duplicateValues" dxfId="0" priority="91"/>
  </conditionalFormatting>
  <conditionalFormatting sqref="B2">
    <cfRule type="duplicateValues" dxfId="0" priority="37"/>
    <cfRule type="duplicateValues" dxfId="0" priority="38"/>
    <cfRule type="duplicateValues" dxfId="0" priority="39"/>
    <cfRule type="duplicateValues" dxfId="0" priority="23"/>
    <cfRule type="duplicateValues" dxfId="0" priority="12"/>
    <cfRule type="duplicateValues" dxfId="0" priority="11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4"/>
    <cfRule type="duplicateValues" dxfId="0" priority="36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</conditionalFormatting>
  <conditionalFormatting sqref="C2"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</conditionalFormatting>
  <conditionalFormatting sqref="D2">
    <cfRule type="duplicateValues" dxfId="0" priority="1"/>
    <cfRule type="duplicateValues" dxfId="0" priority="4"/>
    <cfRule type="duplicateValues" dxfId="0" priority="3"/>
    <cfRule type="duplicateValues" dxfId="0" priority="2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365"/>
  <sheetViews>
    <sheetView showGridLines="0" zoomScale="77" zoomScaleNormal="77" workbookViewId="0">
      <pane xSplit="4" ySplit="1" topLeftCell="H356" activePane="bottomRight" state="frozen"/>
      <selection pane="topRight"/>
      <selection pane="bottomLeft"/>
      <selection pane="bottomRight" activeCell="A366" sqref="A366:XFD366"/>
    </sheetView>
  </sheetViews>
  <sheetFormatPr defaultColWidth="9" defaultRowHeight="25.05" customHeight="1"/>
  <cols>
    <col min="1" max="1" width="12.77734375" customWidth="1" style="58"/>
    <col min="2" max="2" width="20.109375" customWidth="1" style="58"/>
    <col min="3" max="3" width="27.21875" customWidth="1" style="58"/>
    <col min="4" max="4" width="19" customWidth="1" style="58"/>
    <col min="5" max="5" width="16" customWidth="1" style="58"/>
    <col min="6" max="6" width="13.21875" customWidth="1" style="58"/>
    <col min="7" max="7" width="48" customWidth="1" style="58"/>
    <col min="8" max="8" width="26.5546875" customWidth="1" style="58"/>
    <col min="9" max="9" width="17.77734375" customWidth="1" style="58"/>
    <col min="10" max="10" width="31.21875" customWidth="1" style="58"/>
    <col min="11" max="11" width="19.109375" customWidth="1" style="58"/>
    <col min="12" max="12" width="28.5546875" customWidth="1" style="58"/>
    <col min="13" max="13" width="18.77734375" customWidth="1" style="58"/>
    <col min="14" max="14" width="21" customWidth="1" style="58"/>
    <col min="15" max="15" width="35.109375" customWidth="1" style="58"/>
    <col min="16" max="16" width="17.77734375" customWidth="1" style="58"/>
    <col min="17" max="17" width="28.77734375" customWidth="1" style="58"/>
    <col min="18" max="18" width="35.109375" customWidth="1" style="58"/>
    <col min="19" max="19" width="33.77734375" customWidth="1" style="58"/>
    <col min="20" max="20" width="26.109375" customWidth="1" style="58"/>
    <col min="21" max="21" width="28.5546875" customWidth="1" style="58"/>
    <col min="22" max="22" hidden="1" width="25.77734375" customWidth="1" style="58"/>
    <col min="23" max="23" hidden="1" width="17.33203125" customWidth="1" style="58"/>
    <col min="24" max="24" hidden="1" width="13.77734375" customWidth="1" style="58"/>
    <col min="25" max="25" width="33.77734375" customWidth="1" style="58"/>
    <col min="26" max="26" width="47.44140625" customWidth="1" style="58"/>
    <col min="27" max="15723" width="9.109375" customWidth="1" style="58"/>
    <col min="15724" max="16384" width="9" customWidth="1" style="58"/>
  </cols>
  <sheetData>
    <row r="1" ht="28.8" s="65" customFormat="1">
      <c r="A1" s="19" t="s">
        <v>6810</v>
      </c>
      <c r="B1" s="19" t="s">
        <v>2</v>
      </c>
      <c r="C1" s="19" t="s">
        <v>6786</v>
      </c>
      <c r="D1" s="19" t="s">
        <v>23</v>
      </c>
      <c r="E1" s="19" t="s">
        <v>6</v>
      </c>
      <c r="F1" s="19" t="s">
        <v>10</v>
      </c>
      <c r="G1" s="19" t="s">
        <v>6811</v>
      </c>
      <c r="H1" s="19" t="s">
        <v>6812</v>
      </c>
      <c r="I1" s="19" t="s">
        <v>6813</v>
      </c>
      <c r="J1" s="19" t="s">
        <v>6814</v>
      </c>
      <c r="K1" s="19" t="s">
        <v>6815</v>
      </c>
      <c r="L1" s="19" t="s">
        <v>6816</v>
      </c>
      <c r="M1" s="19" t="s">
        <v>6817</v>
      </c>
      <c r="N1" s="19" t="s">
        <v>6818</v>
      </c>
      <c r="O1" s="19" t="s">
        <v>6819</v>
      </c>
      <c r="P1" s="68" t="s">
        <v>6820</v>
      </c>
      <c r="Q1" s="19" t="s">
        <v>6821</v>
      </c>
      <c r="R1" s="19" t="s">
        <v>6822</v>
      </c>
      <c r="S1" s="19" t="s">
        <v>6823</v>
      </c>
      <c r="T1" s="19" t="s">
        <v>34</v>
      </c>
      <c r="U1" s="19" t="s">
        <v>6816</v>
      </c>
      <c r="V1" s="19" t="s">
        <v>6824</v>
      </c>
      <c r="W1" s="19" t="s">
        <v>6825</v>
      </c>
      <c r="X1" s="19" t="s">
        <v>6826</v>
      </c>
      <c r="Y1" s="68" t="s">
        <v>6827</v>
      </c>
      <c r="Z1" s="68" t="s">
        <v>6828</v>
      </c>
    </row>
    <row r="2" ht="14.4" s="53" customFormat="1">
      <c r="A2" s="55">
        <v>171041</v>
      </c>
      <c r="B2" s="55" t="s">
        <v>6829</v>
      </c>
      <c r="C2" s="55" t="s">
        <v>3502</v>
      </c>
      <c r="D2" s="55">
        <v>1905119370</v>
      </c>
      <c r="E2" s="55" t="s">
        <v>67</v>
      </c>
      <c r="F2" s="55" t="s">
        <v>71</v>
      </c>
      <c r="G2" s="55" t="s">
        <v>6830</v>
      </c>
      <c r="H2" s="55" t="s">
        <v>3659</v>
      </c>
      <c r="I2" s="55" t="s">
        <v>74</v>
      </c>
      <c r="J2" s="56">
        <v>45070</v>
      </c>
      <c r="K2" s="56">
        <v>45077</v>
      </c>
      <c r="L2" s="55" t="s">
        <v>6831</v>
      </c>
      <c r="M2" s="55" t="s">
        <v>3510</v>
      </c>
      <c r="N2" s="55" t="s">
        <v>3796</v>
      </c>
      <c r="O2" s="56" t="s">
        <v>6832</v>
      </c>
      <c r="P2" s="55" t="s">
        <v>6833</v>
      </c>
      <c r="Q2" s="56">
        <v>45070</v>
      </c>
      <c r="R2" s="55" t="s">
        <v>6832</v>
      </c>
      <c r="S2" s="55" t="s">
        <v>6833</v>
      </c>
      <c r="T2" s="55" t="s">
        <v>278</v>
      </c>
      <c r="U2" s="55" t="s">
        <v>6831</v>
      </c>
      <c r="V2" s="64" t="s">
        <v>93</v>
      </c>
      <c r="W2" s="64">
        <f>VLOOKUP(A2,Inactive!A:BI,61,0)</f>
        <v>45078</v>
      </c>
      <c r="X2" s="64">
        <f>VLOOKUP(A2,'ID Block'!A:L,12,0)</f>
        <v>45078</v>
      </c>
      <c r="Y2" s="64" t="s">
        <v>6834</v>
      </c>
      <c r="Z2" s="55"/>
    </row>
    <row r="3" ht="14.4" s="53" customFormat="1">
      <c r="A3" s="55">
        <v>171065</v>
      </c>
      <c r="B3" s="55" t="s">
        <v>6835</v>
      </c>
      <c r="C3" s="55" t="s">
        <v>3511</v>
      </c>
      <c r="D3" s="55">
        <v>1750770158</v>
      </c>
      <c r="E3" s="55" t="s">
        <v>67</v>
      </c>
      <c r="F3" s="55" t="s">
        <v>71</v>
      </c>
      <c r="G3" s="55" t="s">
        <v>4223</v>
      </c>
      <c r="H3" s="55" t="s">
        <v>3512</v>
      </c>
      <c r="I3" s="55" t="s">
        <v>74</v>
      </c>
      <c r="J3" s="56">
        <v>45052</v>
      </c>
      <c r="K3" s="56">
        <v>45052</v>
      </c>
      <c r="L3" s="55" t="s">
        <v>6836</v>
      </c>
      <c r="M3" s="55" t="s">
        <v>3510</v>
      </c>
      <c r="N3" s="55" t="s">
        <v>4339</v>
      </c>
      <c r="O3" s="56" t="s">
        <v>6832</v>
      </c>
      <c r="P3" s="55" t="s">
        <v>6833</v>
      </c>
      <c r="Q3" s="56">
        <v>45052</v>
      </c>
      <c r="R3" s="55" t="s">
        <v>6832</v>
      </c>
      <c r="S3" s="55" t="s">
        <v>6833</v>
      </c>
      <c r="T3" s="55" t="s">
        <v>6837</v>
      </c>
      <c r="U3" s="55" t="s">
        <v>6836</v>
      </c>
      <c r="V3" s="64" t="s">
        <v>93</v>
      </c>
      <c r="W3" s="64">
        <f>VLOOKUP(A3,Inactive!A:BI,61,0)</f>
        <v>45084</v>
      </c>
      <c r="X3" s="64">
        <f>VLOOKUP(A3,'ID Block'!A:L,12,0)</f>
        <v>45084</v>
      </c>
      <c r="Y3" s="64" t="s">
        <v>6838</v>
      </c>
      <c r="Z3" s="55"/>
    </row>
    <row r="4" ht="14.4" s="53" customFormat="1">
      <c r="A4" s="55">
        <v>171032</v>
      </c>
      <c r="B4" s="55" t="s">
        <v>4278</v>
      </c>
      <c r="C4" s="55" t="s">
        <v>3515</v>
      </c>
      <c r="D4" s="55">
        <v>1785992222</v>
      </c>
      <c r="E4" s="55" t="s">
        <v>67</v>
      </c>
      <c r="F4" s="55" t="s">
        <v>71</v>
      </c>
      <c r="G4" s="55" t="s">
        <v>3775</v>
      </c>
      <c r="H4" s="55" t="s">
        <v>73</v>
      </c>
      <c r="I4" s="55" t="s">
        <v>74</v>
      </c>
      <c r="J4" s="56">
        <v>45082</v>
      </c>
      <c r="K4" s="56">
        <v>45082</v>
      </c>
      <c r="L4" s="55" t="s">
        <v>6839</v>
      </c>
      <c r="M4" s="55" t="s">
        <v>3510</v>
      </c>
      <c r="N4" s="55" t="s">
        <v>3796</v>
      </c>
      <c r="O4" s="56" t="s">
        <v>6832</v>
      </c>
      <c r="P4" s="55" t="s">
        <v>6833</v>
      </c>
      <c r="Q4" s="56">
        <v>45082</v>
      </c>
      <c r="R4" s="55" t="s">
        <v>6832</v>
      </c>
      <c r="S4" s="55" t="s">
        <v>6833</v>
      </c>
      <c r="T4" s="55" t="s">
        <v>6837</v>
      </c>
      <c r="U4" s="55" t="s">
        <v>6839</v>
      </c>
      <c r="V4" s="64" t="s">
        <v>93</v>
      </c>
      <c r="W4" s="64">
        <f>VLOOKUP(A4,Inactive!A:BI,61,0)</f>
        <v>45083</v>
      </c>
      <c r="X4" s="64">
        <f>VLOOKUP(A4,'ID Block'!A:L,12,0)</f>
        <v>45083</v>
      </c>
      <c r="Y4" s="64" t="s">
        <v>6838</v>
      </c>
      <c r="Z4" s="55"/>
    </row>
    <row r="5" ht="14.4" s="66" customFormat="1">
      <c r="A5" s="4">
        <v>171047</v>
      </c>
      <c r="B5" s="4" t="s">
        <v>6840</v>
      </c>
      <c r="C5" s="4" t="s">
        <v>3523</v>
      </c>
      <c r="D5" s="4">
        <v>1743674224</v>
      </c>
      <c r="E5" s="55" t="s">
        <v>67</v>
      </c>
      <c r="F5" s="4" t="s">
        <v>71</v>
      </c>
      <c r="G5" s="4" t="s">
        <v>6841</v>
      </c>
      <c r="H5" s="4" t="s">
        <v>2643</v>
      </c>
      <c r="I5" s="4" t="s">
        <v>74</v>
      </c>
      <c r="J5" s="56">
        <v>45088</v>
      </c>
      <c r="K5" s="69">
        <v>45082</v>
      </c>
      <c r="L5" s="55" t="s">
        <v>6839</v>
      </c>
      <c r="M5" s="4" t="s">
        <v>3510</v>
      </c>
      <c r="N5" s="55" t="s">
        <v>4339</v>
      </c>
      <c r="O5" s="4"/>
      <c r="P5" s="4"/>
      <c r="Q5" s="4"/>
      <c r="R5" s="4"/>
      <c r="S5" s="4"/>
      <c r="T5" s="4" t="s">
        <v>925</v>
      </c>
      <c r="U5" s="4" t="s">
        <v>6839</v>
      </c>
      <c r="V5" s="64" t="s">
        <v>93</v>
      </c>
      <c r="W5" s="64">
        <f>VLOOKUP(A5,Inactive!A:BI,61,0)</f>
        <v>45082</v>
      </c>
      <c r="X5" s="64">
        <f>VLOOKUP(A5,'ID Block'!A:L,12,0)</f>
        <v>45082</v>
      </c>
      <c r="Y5" s="64" t="s">
        <v>6838</v>
      </c>
      <c r="Z5" s="4"/>
    </row>
    <row r="6" ht="14.4" s="53" customFormat="1">
      <c r="A6" s="55">
        <v>171013</v>
      </c>
      <c r="B6" s="55" t="s">
        <v>6842</v>
      </c>
      <c r="C6" s="55" t="s">
        <v>3545</v>
      </c>
      <c r="D6" s="55">
        <v>1865653928</v>
      </c>
      <c r="E6" s="55" t="s">
        <v>67</v>
      </c>
      <c r="F6" s="55" t="s">
        <v>71</v>
      </c>
      <c r="G6" s="55" t="s">
        <v>4005</v>
      </c>
      <c r="H6" s="55" t="s">
        <v>3659</v>
      </c>
      <c r="I6" s="55" t="s">
        <v>74</v>
      </c>
      <c r="J6" s="56">
        <v>45085</v>
      </c>
      <c r="K6" s="56">
        <v>45093</v>
      </c>
      <c r="L6" s="55" t="s">
        <v>6843</v>
      </c>
      <c r="M6" s="55" t="s">
        <v>3510</v>
      </c>
      <c r="N6" s="55" t="s">
        <v>3796</v>
      </c>
      <c r="O6" s="56" t="s">
        <v>6832</v>
      </c>
      <c r="P6" s="55" t="s">
        <v>6833</v>
      </c>
      <c r="Q6" s="56">
        <v>45144</v>
      </c>
      <c r="R6" s="55" t="s">
        <v>6832</v>
      </c>
      <c r="S6" s="55" t="s">
        <v>6833</v>
      </c>
      <c r="T6" s="55" t="s">
        <v>104</v>
      </c>
      <c r="U6" s="55" t="s">
        <v>6843</v>
      </c>
      <c r="V6" s="64" t="s">
        <v>93</v>
      </c>
      <c r="W6" s="64">
        <f>VLOOKUP(A6,Inactive!A:BI,61,0)</f>
        <v>45094</v>
      </c>
      <c r="X6" s="64">
        <f>VLOOKUP(A6,'ID Block'!A:L,12,0)</f>
        <v>45094</v>
      </c>
      <c r="Y6" s="64" t="s">
        <v>6834</v>
      </c>
      <c r="Z6" s="55"/>
    </row>
    <row r="7" ht="14.4" s="53" customFormat="1">
      <c r="A7" s="55">
        <v>171054</v>
      </c>
      <c r="B7" s="55" t="s">
        <v>6844</v>
      </c>
      <c r="C7" s="55" t="s">
        <v>3535</v>
      </c>
      <c r="D7" s="55">
        <v>1813164079</v>
      </c>
      <c r="E7" s="55" t="s">
        <v>67</v>
      </c>
      <c r="F7" s="55" t="s">
        <v>71</v>
      </c>
      <c r="G7" s="55" t="s">
        <v>97</v>
      </c>
      <c r="H7" s="55" t="s">
        <v>3512</v>
      </c>
      <c r="I7" s="55" t="s">
        <v>74</v>
      </c>
      <c r="J7" s="56">
        <v>45084</v>
      </c>
      <c r="K7" s="56">
        <v>45092</v>
      </c>
      <c r="L7" s="55" t="s">
        <v>6845</v>
      </c>
      <c r="M7" s="55" t="s">
        <v>3510</v>
      </c>
      <c r="N7" s="55" t="s">
        <v>5012</v>
      </c>
      <c r="O7" s="56" t="s">
        <v>6832</v>
      </c>
      <c r="P7" s="55" t="s">
        <v>6833</v>
      </c>
      <c r="Q7" s="56">
        <v>45113</v>
      </c>
      <c r="R7" s="55" t="s">
        <v>6832</v>
      </c>
      <c r="S7" s="55" t="s">
        <v>6833</v>
      </c>
      <c r="T7" s="55" t="s">
        <v>104</v>
      </c>
      <c r="U7" s="55" t="s">
        <v>6845</v>
      </c>
      <c r="V7" s="64" t="s">
        <v>93</v>
      </c>
      <c r="W7" s="64">
        <f>VLOOKUP(A7,Inactive!A:BI,61,0)</f>
        <v>45093</v>
      </c>
      <c r="X7" s="64">
        <f>VLOOKUP(A7,'ID Block'!A:L,12,0)</f>
        <v>45093</v>
      </c>
      <c r="Y7" s="64" t="s">
        <v>6834</v>
      </c>
      <c r="Z7" s="55"/>
    </row>
    <row r="8" ht="14.4" s="53" customFormat="1">
      <c r="A8" s="55">
        <v>171064</v>
      </c>
      <c r="B8" s="55" t="s">
        <v>235</v>
      </c>
      <c r="C8" s="55" t="s">
        <v>3553</v>
      </c>
      <c r="D8" s="55">
        <v>1959026697</v>
      </c>
      <c r="E8" s="55" t="s">
        <v>67</v>
      </c>
      <c r="F8" s="55" t="s">
        <v>71</v>
      </c>
      <c r="G8" s="55" t="s">
        <v>237</v>
      </c>
      <c r="H8" s="55" t="s">
        <v>73</v>
      </c>
      <c r="I8" s="55" t="s">
        <v>74</v>
      </c>
      <c r="J8" s="56">
        <v>45091</v>
      </c>
      <c r="K8" s="56">
        <v>45096</v>
      </c>
      <c r="L8" s="55" t="s">
        <v>6846</v>
      </c>
      <c r="M8" s="55" t="s">
        <v>3510</v>
      </c>
      <c r="N8" s="55" t="s">
        <v>6847</v>
      </c>
      <c r="O8" s="56" t="s">
        <v>6832</v>
      </c>
      <c r="P8" s="55" t="s">
        <v>6833</v>
      </c>
      <c r="Q8" s="56">
        <v>45091</v>
      </c>
      <c r="R8" s="55" t="s">
        <v>6832</v>
      </c>
      <c r="S8" s="55" t="s">
        <v>6833</v>
      </c>
      <c r="T8" s="55" t="s">
        <v>6837</v>
      </c>
      <c r="U8" s="55" t="s">
        <v>6846</v>
      </c>
      <c r="V8" s="64" t="s">
        <v>93</v>
      </c>
      <c r="W8" s="64">
        <f>VLOOKUP(A8,Inactive!A:BI,61,0)</f>
        <v>45097</v>
      </c>
      <c r="X8" s="64">
        <f>VLOOKUP(A8,'ID Block'!A:L,12,0)</f>
        <v>45097</v>
      </c>
      <c r="Y8" s="64" t="s">
        <v>6848</v>
      </c>
      <c r="Z8" s="55"/>
    </row>
    <row r="9" ht="14.4" s="53" customFormat="1">
      <c r="A9" s="55">
        <v>171007</v>
      </c>
      <c r="B9" s="55" t="s">
        <v>6849</v>
      </c>
      <c r="C9" s="55" t="s">
        <v>6850</v>
      </c>
      <c r="D9" s="55">
        <v>1630336594</v>
      </c>
      <c r="E9" s="55" t="s">
        <v>67</v>
      </c>
      <c r="F9" s="55" t="s">
        <v>71</v>
      </c>
      <c r="G9" s="55" t="s">
        <v>6851</v>
      </c>
      <c r="H9" s="55" t="s">
        <v>3503</v>
      </c>
      <c r="I9" s="55" t="s">
        <v>74</v>
      </c>
      <c r="J9" s="56">
        <v>45093</v>
      </c>
      <c r="K9" s="56">
        <v>45102</v>
      </c>
      <c r="L9" s="55" t="s">
        <v>6852</v>
      </c>
      <c r="M9" s="55" t="s">
        <v>3510</v>
      </c>
      <c r="N9" s="55" t="s">
        <v>6853</v>
      </c>
      <c r="O9" s="56" t="s">
        <v>6832</v>
      </c>
      <c r="P9" s="55" t="s">
        <v>6833</v>
      </c>
      <c r="Q9" s="56">
        <v>45093</v>
      </c>
      <c r="R9" s="55" t="s">
        <v>6832</v>
      </c>
      <c r="S9" s="55" t="s">
        <v>6833</v>
      </c>
      <c r="T9" s="55" t="s">
        <v>6837</v>
      </c>
      <c r="U9" s="55" t="s">
        <v>6852</v>
      </c>
      <c r="V9" s="64" t="s">
        <v>93</v>
      </c>
      <c r="W9" s="64">
        <f>VLOOKUP(A9,Inactive!A:BI,61,0)</f>
        <v>45103</v>
      </c>
      <c r="X9" s="64">
        <f>VLOOKUP(A9,'ID Block'!A:L,12,0)</f>
        <v>45103</v>
      </c>
      <c r="Y9" s="64" t="s">
        <v>6834</v>
      </c>
      <c r="Z9" s="55"/>
    </row>
    <row r="10" ht="14.4" s="66" customFormat="1">
      <c r="A10" s="4">
        <v>171016</v>
      </c>
      <c r="B10" s="4" t="s">
        <v>5031</v>
      </c>
      <c r="C10" s="4" t="s">
        <v>3584</v>
      </c>
      <c r="D10" s="4">
        <v>1785816292</v>
      </c>
      <c r="E10" s="55" t="s">
        <v>67</v>
      </c>
      <c r="F10" s="55" t="s">
        <v>71</v>
      </c>
      <c r="G10" s="4" t="s">
        <v>70</v>
      </c>
      <c r="H10" s="4" t="s">
        <v>3512</v>
      </c>
      <c r="I10" s="4" t="s">
        <v>74</v>
      </c>
      <c r="J10" s="69">
        <v>45103</v>
      </c>
      <c r="K10" s="69">
        <v>45103</v>
      </c>
      <c r="L10" s="55" t="s">
        <v>6854</v>
      </c>
      <c r="M10" s="55" t="s">
        <v>3510</v>
      </c>
      <c r="N10" s="55" t="s">
        <v>6855</v>
      </c>
      <c r="O10" s="4" t="s">
        <v>81</v>
      </c>
      <c r="P10" s="4" t="s">
        <v>81</v>
      </c>
      <c r="Q10" s="4" t="s">
        <v>81</v>
      </c>
      <c r="R10" s="4" t="s">
        <v>81</v>
      </c>
      <c r="S10" s="4" t="s">
        <v>81</v>
      </c>
      <c r="T10" s="4" t="s">
        <v>3492</v>
      </c>
      <c r="U10" s="4" t="s">
        <v>6854</v>
      </c>
      <c r="V10" s="4" t="s">
        <v>168</v>
      </c>
      <c r="W10" s="64">
        <f>VLOOKUP(A10,Inactive!A:BI,61,0)</f>
        <v>45103</v>
      </c>
      <c r="X10" s="64">
        <f>VLOOKUP(A10,'ID Block'!A:L,12,0)</f>
        <v>45103</v>
      </c>
      <c r="Y10" s="64" t="s">
        <v>6838</v>
      </c>
      <c r="Z10" s="4"/>
    </row>
    <row r="11" ht="14.4" s="53" customFormat="1">
      <c r="A11" s="55">
        <v>171098</v>
      </c>
      <c r="B11" s="55" t="s">
        <v>854</v>
      </c>
      <c r="C11" s="55" t="s">
        <v>6856</v>
      </c>
      <c r="D11" s="55">
        <v>1302848048</v>
      </c>
      <c r="E11" s="55" t="s">
        <v>67</v>
      </c>
      <c r="F11" s="55" t="s">
        <v>71</v>
      </c>
      <c r="G11" s="55" t="s">
        <v>297</v>
      </c>
      <c r="H11" s="55" t="s">
        <v>2643</v>
      </c>
      <c r="I11" s="55" t="s">
        <v>74</v>
      </c>
      <c r="J11" s="56">
        <v>45116</v>
      </c>
      <c r="K11" s="56">
        <v>45116</v>
      </c>
      <c r="L11" s="55" t="s">
        <v>6854</v>
      </c>
      <c r="M11" s="55" t="s">
        <v>3510</v>
      </c>
      <c r="N11" s="55" t="s">
        <v>4035</v>
      </c>
      <c r="O11" s="56" t="s">
        <v>1752</v>
      </c>
      <c r="P11" s="55" t="s">
        <v>81</v>
      </c>
      <c r="Q11" s="56">
        <v>45116</v>
      </c>
      <c r="R11" s="55" t="s">
        <v>1752</v>
      </c>
      <c r="S11" s="55" t="s">
        <v>81</v>
      </c>
      <c r="T11" s="55" t="s">
        <v>6837</v>
      </c>
      <c r="U11" s="55" t="s">
        <v>6854</v>
      </c>
      <c r="V11" s="64" t="s">
        <v>93</v>
      </c>
      <c r="W11" s="69">
        <v>45117</v>
      </c>
      <c r="X11" s="64">
        <f>VLOOKUP(A11,'ID Block'!A:L,12,0)</f>
        <v>45117</v>
      </c>
      <c r="Y11" s="64" t="s">
        <v>6838</v>
      </c>
      <c r="Z11" s="55"/>
    </row>
    <row r="12" ht="14.4" s="53" customFormat="1">
      <c r="A12" s="55">
        <v>171067</v>
      </c>
      <c r="B12" s="55" t="s">
        <v>3606</v>
      </c>
      <c r="C12" s="55" t="s">
        <v>3607</v>
      </c>
      <c r="D12" s="55">
        <v>1674672004</v>
      </c>
      <c r="E12" s="55" t="s">
        <v>67</v>
      </c>
      <c r="F12" s="55" t="s">
        <v>71</v>
      </c>
      <c r="G12" s="55" t="s">
        <v>155</v>
      </c>
      <c r="H12" s="55" t="s">
        <v>6857</v>
      </c>
      <c r="I12" s="55" t="s">
        <v>74</v>
      </c>
      <c r="J12" s="56">
        <v>45118</v>
      </c>
      <c r="K12" s="56">
        <v>45114</v>
      </c>
      <c r="L12" s="55" t="s">
        <v>6854</v>
      </c>
      <c r="M12" s="55" t="s">
        <v>3510</v>
      </c>
      <c r="N12" s="55" t="s">
        <v>3617</v>
      </c>
      <c r="O12" s="56" t="s">
        <v>6832</v>
      </c>
      <c r="P12" s="55" t="s">
        <v>6833</v>
      </c>
      <c r="Q12" s="56">
        <v>45118</v>
      </c>
      <c r="R12" s="55" t="s">
        <v>6832</v>
      </c>
      <c r="S12" s="55" t="s">
        <v>6833</v>
      </c>
      <c r="T12" s="55" t="s">
        <v>925</v>
      </c>
      <c r="U12" s="55" t="s">
        <v>6854</v>
      </c>
      <c r="V12" s="64" t="s">
        <v>93</v>
      </c>
      <c r="W12" s="64">
        <f>VLOOKUP(A12,Inactive!A:BI,61,0)</f>
        <v>45115</v>
      </c>
      <c r="X12" s="64">
        <f>VLOOKUP(A12,'ID Block'!A:L,12,0)</f>
        <v>45115</v>
      </c>
      <c r="Y12" s="64" t="s">
        <v>6838</v>
      </c>
      <c r="Z12" s="55"/>
    </row>
    <row r="13" ht="14.4" s="53" customFormat="1">
      <c r="A13" s="55">
        <v>171072</v>
      </c>
      <c r="B13" s="55" t="s">
        <v>3627</v>
      </c>
      <c r="C13" s="55" t="s">
        <v>3628</v>
      </c>
      <c r="D13" s="55">
        <v>1773971286</v>
      </c>
      <c r="E13" s="55" t="s">
        <v>67</v>
      </c>
      <c r="F13" s="55" t="s">
        <v>71</v>
      </c>
      <c r="G13" s="55" t="s">
        <v>155</v>
      </c>
      <c r="H13" s="55" t="s">
        <v>6857</v>
      </c>
      <c r="I13" s="55" t="s">
        <v>74</v>
      </c>
      <c r="J13" s="56">
        <v>45127</v>
      </c>
      <c r="K13" s="56">
        <v>45121</v>
      </c>
      <c r="L13" s="55" t="s">
        <v>6854</v>
      </c>
      <c r="M13" s="55" t="s">
        <v>3510</v>
      </c>
      <c r="N13" s="55" t="s">
        <v>6858</v>
      </c>
      <c r="O13" s="56" t="s">
        <v>6832</v>
      </c>
      <c r="P13" s="55" t="s">
        <v>6833</v>
      </c>
      <c r="Q13" s="56">
        <v>45127</v>
      </c>
      <c r="R13" s="55" t="s">
        <v>6832</v>
      </c>
      <c r="S13" s="55" t="s">
        <v>6833</v>
      </c>
      <c r="T13" s="55" t="s">
        <v>925</v>
      </c>
      <c r="U13" s="55" t="s">
        <v>6854</v>
      </c>
      <c r="V13" s="64" t="s">
        <v>93</v>
      </c>
      <c r="W13" s="64">
        <f>VLOOKUP(A13,Inactive!A:BI,61,0)</f>
        <v>45122</v>
      </c>
      <c r="X13" s="64">
        <f>VLOOKUP(A13,'ID Block'!A:L,12,0)</f>
        <v>45122</v>
      </c>
      <c r="Y13" s="64" t="s">
        <v>6838</v>
      </c>
      <c r="Z13" s="55"/>
    </row>
    <row r="14" ht="14.4" s="53" customFormat="1">
      <c r="A14" s="55">
        <v>171040</v>
      </c>
      <c r="B14" s="55" t="s">
        <v>3638</v>
      </c>
      <c r="C14" s="55" t="s">
        <v>3639</v>
      </c>
      <c r="D14" s="55">
        <v>1936495092</v>
      </c>
      <c r="E14" s="55" t="s">
        <v>67</v>
      </c>
      <c r="F14" s="55" t="s">
        <v>71</v>
      </c>
      <c r="G14" s="55" t="s">
        <v>237</v>
      </c>
      <c r="H14" s="55" t="s">
        <v>3659</v>
      </c>
      <c r="I14" s="55" t="s">
        <v>74</v>
      </c>
      <c r="J14" s="56">
        <v>45127</v>
      </c>
      <c r="K14" s="56">
        <v>45120</v>
      </c>
      <c r="L14" s="55" t="s">
        <v>6854</v>
      </c>
      <c r="M14" s="55" t="s">
        <v>3510</v>
      </c>
      <c r="N14" s="55" t="s">
        <v>3978</v>
      </c>
      <c r="O14" s="56" t="s">
        <v>6832</v>
      </c>
      <c r="P14" s="55" t="s">
        <v>6833</v>
      </c>
      <c r="Q14" s="56">
        <v>45127</v>
      </c>
      <c r="R14" s="55" t="s">
        <v>6832</v>
      </c>
      <c r="S14" s="55" t="s">
        <v>6833</v>
      </c>
      <c r="T14" s="55" t="s">
        <v>3492</v>
      </c>
      <c r="U14" s="55" t="s">
        <v>6854</v>
      </c>
      <c r="V14" s="64" t="s">
        <v>93</v>
      </c>
      <c r="W14" s="64">
        <f>VLOOKUP(A14,Inactive!A:BI,61,0)</f>
        <v>45121</v>
      </c>
      <c r="X14" s="64">
        <f>VLOOKUP(A14,'ID Block'!A:L,12,0)</f>
        <v>45121</v>
      </c>
      <c r="Y14" s="64" t="s">
        <v>6838</v>
      </c>
      <c r="Z14" s="55"/>
    </row>
    <row r="15" ht="14.4" s="53" customFormat="1">
      <c r="A15" s="55">
        <v>171012</v>
      </c>
      <c r="B15" s="55" t="s">
        <v>6859</v>
      </c>
      <c r="C15" s="55" t="s">
        <v>3658</v>
      </c>
      <c r="D15" s="55">
        <v>1613446021</v>
      </c>
      <c r="E15" s="55" t="s">
        <v>67</v>
      </c>
      <c r="F15" s="55" t="s">
        <v>71</v>
      </c>
      <c r="G15" s="55" t="s">
        <v>4005</v>
      </c>
      <c r="H15" s="55" t="s">
        <v>3659</v>
      </c>
      <c r="I15" s="55" t="s">
        <v>74</v>
      </c>
      <c r="J15" s="56">
        <v>45127</v>
      </c>
      <c r="K15" s="56">
        <v>45127</v>
      </c>
      <c r="L15" s="55" t="s">
        <v>6854</v>
      </c>
      <c r="M15" s="55" t="s">
        <v>3510</v>
      </c>
      <c r="N15" s="55" t="s">
        <v>4035</v>
      </c>
      <c r="O15" s="56" t="s">
        <v>6832</v>
      </c>
      <c r="P15" s="55" t="s">
        <v>6833</v>
      </c>
      <c r="Q15" s="56">
        <v>45127</v>
      </c>
      <c r="R15" s="55" t="s">
        <v>6832</v>
      </c>
      <c r="S15" s="55" t="s">
        <v>6833</v>
      </c>
      <c r="T15" s="55" t="s">
        <v>3492</v>
      </c>
      <c r="U15" s="55" t="s">
        <v>6854</v>
      </c>
      <c r="V15" s="64" t="s">
        <v>93</v>
      </c>
      <c r="W15" s="64">
        <f>VLOOKUP(A15,Inactive!A:BI,61,0)</f>
        <v>45128</v>
      </c>
      <c r="X15" s="64">
        <f>VLOOKUP(A15,'ID Block'!A:L,12,0)</f>
        <v>45128</v>
      </c>
      <c r="Y15" s="64" t="s">
        <v>6838</v>
      </c>
      <c r="Z15" s="55"/>
    </row>
    <row r="16" ht="14.4" s="53" customFormat="1">
      <c r="A16" s="55">
        <v>171020</v>
      </c>
      <c r="B16" s="55" t="s">
        <v>3691</v>
      </c>
      <c r="C16" s="55" t="s">
        <v>3692</v>
      </c>
      <c r="D16" s="55">
        <v>1737773259</v>
      </c>
      <c r="E16" s="55" t="s">
        <v>67</v>
      </c>
      <c r="F16" s="55" t="s">
        <v>71</v>
      </c>
      <c r="G16" s="55" t="s">
        <v>4223</v>
      </c>
      <c r="H16" s="55" t="s">
        <v>3512</v>
      </c>
      <c r="I16" s="55" t="s">
        <v>74</v>
      </c>
      <c r="J16" s="56">
        <v>45132</v>
      </c>
      <c r="K16" s="56">
        <v>45121</v>
      </c>
      <c r="L16" s="55" t="s">
        <v>6854</v>
      </c>
      <c r="M16" s="55" t="s">
        <v>3510</v>
      </c>
      <c r="N16" s="55" t="s">
        <v>3978</v>
      </c>
      <c r="O16" s="56" t="s">
        <v>1752</v>
      </c>
      <c r="P16" s="55" t="s">
        <v>81</v>
      </c>
      <c r="Q16" s="56">
        <v>45133</v>
      </c>
      <c r="R16" s="55" t="s">
        <v>1752</v>
      </c>
      <c r="S16" s="55" t="s">
        <v>81</v>
      </c>
      <c r="T16" s="55" t="s">
        <v>925</v>
      </c>
      <c r="U16" s="55" t="s">
        <v>6854</v>
      </c>
      <c r="V16" s="64" t="s">
        <v>93</v>
      </c>
      <c r="W16" s="64">
        <f>VLOOKUP(A16,Inactive!A:BI,61,0)</f>
        <v>45122</v>
      </c>
      <c r="X16" s="64">
        <f>VLOOKUP(A16,'ID Block'!A:L,12,0)</f>
        <v>45122</v>
      </c>
      <c r="Y16" s="64" t="s">
        <v>6838</v>
      </c>
      <c r="Z16" s="55"/>
    </row>
    <row r="17" ht="14.4" s="66" customFormat="1">
      <c r="A17" s="55">
        <v>171045</v>
      </c>
      <c r="B17" s="55" t="s">
        <v>3702</v>
      </c>
      <c r="C17" s="55" t="s">
        <v>3703</v>
      </c>
      <c r="D17" s="55">
        <v>1776979961</v>
      </c>
      <c r="E17" s="55" t="s">
        <v>67</v>
      </c>
      <c r="F17" s="55" t="s">
        <v>71</v>
      </c>
      <c r="G17" s="55" t="s">
        <v>237</v>
      </c>
      <c r="H17" s="55" t="s">
        <v>3659</v>
      </c>
      <c r="I17" s="55" t="s">
        <v>74</v>
      </c>
      <c r="J17" s="56">
        <v>45133</v>
      </c>
      <c r="K17" s="56">
        <v>45127</v>
      </c>
      <c r="L17" s="55" t="s">
        <v>6854</v>
      </c>
      <c r="M17" s="55" t="s">
        <v>3510</v>
      </c>
      <c r="N17" s="55" t="s">
        <v>3978</v>
      </c>
      <c r="O17" s="55" t="s">
        <v>1752</v>
      </c>
      <c r="P17" s="55" t="s">
        <v>81</v>
      </c>
      <c r="Q17" s="56">
        <v>45133</v>
      </c>
      <c r="R17" s="55" t="s">
        <v>1752</v>
      </c>
      <c r="S17" s="55" t="s">
        <v>81</v>
      </c>
      <c r="T17" s="55" t="s">
        <v>3492</v>
      </c>
      <c r="U17" s="4" t="s">
        <v>6854</v>
      </c>
      <c r="V17" s="64" t="s">
        <v>93</v>
      </c>
      <c r="W17" s="64">
        <f>VLOOKUP(A17,Inactive!A:BI,61,0)</f>
        <v>45128</v>
      </c>
      <c r="X17" s="64">
        <f>VLOOKUP(A17,'ID Block'!A:L,12,0)</f>
        <v>45128</v>
      </c>
      <c r="Y17" s="64" t="s">
        <v>6838</v>
      </c>
      <c r="Z17" s="4"/>
    </row>
    <row r="18" ht="14.4" s="66" customFormat="1">
      <c r="A18" s="55">
        <v>171015</v>
      </c>
      <c r="B18" s="55" t="s">
        <v>3721</v>
      </c>
      <c r="C18" s="55" t="s">
        <v>3722</v>
      </c>
      <c r="D18" s="55">
        <v>1783904303</v>
      </c>
      <c r="E18" s="55" t="s">
        <v>67</v>
      </c>
      <c r="F18" s="55" t="s">
        <v>71</v>
      </c>
      <c r="G18" s="55" t="s">
        <v>4223</v>
      </c>
      <c r="H18" s="55" t="s">
        <v>3512</v>
      </c>
      <c r="I18" s="55" t="s">
        <v>74</v>
      </c>
      <c r="J18" s="56">
        <v>45132</v>
      </c>
      <c r="K18" s="56">
        <v>45138</v>
      </c>
      <c r="L18" s="55" t="s">
        <v>6852</v>
      </c>
      <c r="M18" s="55" t="s">
        <v>3510</v>
      </c>
      <c r="N18" s="55" t="s">
        <v>6860</v>
      </c>
      <c r="O18" s="55" t="s">
        <v>6832</v>
      </c>
      <c r="P18" s="55" t="s">
        <v>6833</v>
      </c>
      <c r="Q18" s="56">
        <v>45132</v>
      </c>
      <c r="R18" s="55" t="s">
        <v>6832</v>
      </c>
      <c r="S18" s="55" t="s">
        <v>6833</v>
      </c>
      <c r="T18" s="55" t="s">
        <v>925</v>
      </c>
      <c r="U18" s="4" t="s">
        <v>6852</v>
      </c>
      <c r="V18" s="64" t="s">
        <v>93</v>
      </c>
      <c r="W18" s="64">
        <f>VLOOKUP(A18,Inactive!A:BI,61,0)</f>
        <v>45139</v>
      </c>
      <c r="X18" s="64">
        <f>VLOOKUP(A18,'ID Block'!A:L,12,0)</f>
        <v>45139</v>
      </c>
      <c r="Y18" s="64" t="s">
        <v>6834</v>
      </c>
      <c r="Z18" s="4"/>
    </row>
    <row r="19" ht="14.4" s="66" customFormat="1">
      <c r="A19" s="55">
        <v>171026</v>
      </c>
      <c r="B19" s="55" t="s">
        <v>4072</v>
      </c>
      <c r="C19" s="55" t="s">
        <v>3742</v>
      </c>
      <c r="D19" s="55">
        <v>1981133126</v>
      </c>
      <c r="E19" s="55" t="s">
        <v>67</v>
      </c>
      <c r="F19" s="55" t="s">
        <v>71</v>
      </c>
      <c r="G19" s="55" t="s">
        <v>70</v>
      </c>
      <c r="H19" s="55" t="s">
        <v>3659</v>
      </c>
      <c r="I19" s="55" t="s">
        <v>74</v>
      </c>
      <c r="J19" s="56">
        <v>45152</v>
      </c>
      <c r="K19" s="56">
        <v>45152</v>
      </c>
      <c r="L19" s="55" t="s">
        <v>6854</v>
      </c>
      <c r="M19" s="55" t="s">
        <v>3510</v>
      </c>
      <c r="N19" s="55" t="s">
        <v>4611</v>
      </c>
      <c r="O19" s="55" t="s">
        <v>6832</v>
      </c>
      <c r="P19" s="55" t="s">
        <v>6833</v>
      </c>
      <c r="Q19" s="56">
        <v>45152</v>
      </c>
      <c r="R19" s="55" t="s">
        <v>6832</v>
      </c>
      <c r="S19" s="55" t="s">
        <v>6833</v>
      </c>
      <c r="T19" s="55" t="s">
        <v>925</v>
      </c>
      <c r="U19" s="4" t="s">
        <v>6854</v>
      </c>
      <c r="V19" s="64" t="s">
        <v>93</v>
      </c>
      <c r="W19" s="64">
        <f>VLOOKUP(A19,Inactive!A:BI,61,0)</f>
        <v>45152</v>
      </c>
      <c r="X19" s="64">
        <f>VLOOKUP(A19,'ID Block'!A:L,12,0)</f>
        <v>45152</v>
      </c>
      <c r="Y19" s="64" t="s">
        <v>6838</v>
      </c>
      <c r="Z19" s="4"/>
    </row>
    <row r="20" ht="14.4" s="66" customFormat="1">
      <c r="A20" s="55">
        <v>171028</v>
      </c>
      <c r="B20" s="55" t="s">
        <v>4628</v>
      </c>
      <c r="C20" s="55" t="s">
        <v>3732</v>
      </c>
      <c r="D20" s="55">
        <v>1601847941</v>
      </c>
      <c r="E20" s="55" t="s">
        <v>67</v>
      </c>
      <c r="F20" s="55" t="s">
        <v>71</v>
      </c>
      <c r="G20" s="55" t="s">
        <v>70</v>
      </c>
      <c r="H20" s="55" t="s">
        <v>3659</v>
      </c>
      <c r="I20" s="55" t="s">
        <v>74</v>
      </c>
      <c r="J20" s="56">
        <v>45152</v>
      </c>
      <c r="K20" s="56">
        <v>45152</v>
      </c>
      <c r="L20" s="55" t="s">
        <v>6854</v>
      </c>
      <c r="M20" s="55" t="s">
        <v>3510</v>
      </c>
      <c r="N20" s="55" t="s">
        <v>4611</v>
      </c>
      <c r="O20" s="55" t="s">
        <v>6832</v>
      </c>
      <c r="P20" s="55" t="s">
        <v>6833</v>
      </c>
      <c r="Q20" s="56">
        <v>45152</v>
      </c>
      <c r="R20" s="55" t="s">
        <v>6832</v>
      </c>
      <c r="S20" s="55" t="s">
        <v>6833</v>
      </c>
      <c r="T20" s="55" t="s">
        <v>925</v>
      </c>
      <c r="U20" s="4" t="s">
        <v>6854</v>
      </c>
      <c r="V20" s="64" t="s">
        <v>93</v>
      </c>
      <c r="W20" s="64">
        <f>VLOOKUP(A20,Inactive!A:BI,61,0)</f>
        <v>45152</v>
      </c>
      <c r="X20" s="64">
        <f>VLOOKUP(A20,'ID Block'!A:L,12,0)</f>
        <v>45152</v>
      </c>
      <c r="Y20" s="64" t="s">
        <v>6838</v>
      </c>
      <c r="Z20" s="4"/>
    </row>
    <row r="21" ht="14.4" s="66" customFormat="1">
      <c r="A21" s="55">
        <v>171008</v>
      </c>
      <c r="B21" s="55" t="s">
        <v>3751</v>
      </c>
      <c r="C21" s="55" t="s">
        <v>3752</v>
      </c>
      <c r="D21" s="55">
        <v>1708083269</v>
      </c>
      <c r="E21" s="55" t="s">
        <v>67</v>
      </c>
      <c r="F21" s="55" t="s">
        <v>71</v>
      </c>
      <c r="G21" s="55" t="s">
        <v>4005</v>
      </c>
      <c r="H21" s="55" t="s">
        <v>6861</v>
      </c>
      <c r="I21" s="55" t="s">
        <v>74</v>
      </c>
      <c r="J21" s="56">
        <v>45147</v>
      </c>
      <c r="K21" s="56">
        <v>45153</v>
      </c>
      <c r="L21" s="55" t="s">
        <v>6852</v>
      </c>
      <c r="M21" s="55" t="s">
        <v>3510</v>
      </c>
      <c r="N21" s="55" t="s">
        <v>4611</v>
      </c>
      <c r="O21" s="55" t="s">
        <v>6832</v>
      </c>
      <c r="P21" s="55" t="s">
        <v>6833</v>
      </c>
      <c r="Q21" s="56">
        <v>45147</v>
      </c>
      <c r="R21" s="55" t="s">
        <v>6832</v>
      </c>
      <c r="S21" s="55" t="s">
        <v>6833</v>
      </c>
      <c r="T21" s="55" t="s">
        <v>6862</v>
      </c>
      <c r="U21" s="4" t="s">
        <v>6852</v>
      </c>
      <c r="V21" s="64" t="s">
        <v>93</v>
      </c>
      <c r="W21" s="64">
        <f>VLOOKUP(A21,Inactive!A:BI,61,0)</f>
        <v>45154</v>
      </c>
      <c r="X21" s="64">
        <f>VLOOKUP(A21,'ID Block'!A:L,12,0)</f>
        <v>45154</v>
      </c>
      <c r="Y21" s="64" t="s">
        <v>6834</v>
      </c>
      <c r="Z21" s="4"/>
    </row>
    <row r="22" ht="14.4" s="66" customFormat="1">
      <c r="A22" s="55">
        <v>171059</v>
      </c>
      <c r="B22" s="55" t="s">
        <v>4931</v>
      </c>
      <c r="C22" s="55" t="s">
        <v>3762</v>
      </c>
      <c r="D22" s="55">
        <v>1751781909</v>
      </c>
      <c r="E22" s="55" t="s">
        <v>67</v>
      </c>
      <c r="F22" s="55" t="s">
        <v>71</v>
      </c>
      <c r="G22" s="55" t="s">
        <v>3775</v>
      </c>
      <c r="H22" s="55" t="s">
        <v>2643</v>
      </c>
      <c r="I22" s="55" t="s">
        <v>74</v>
      </c>
      <c r="J22" s="56">
        <v>45152</v>
      </c>
      <c r="K22" s="56">
        <v>45152</v>
      </c>
      <c r="L22" s="55" t="s">
        <v>6854</v>
      </c>
      <c r="M22" s="55" t="s">
        <v>3510</v>
      </c>
      <c r="N22" s="55" t="s">
        <v>6863</v>
      </c>
      <c r="O22" s="55" t="s">
        <v>6832</v>
      </c>
      <c r="P22" s="55" t="s">
        <v>6833</v>
      </c>
      <c r="Q22" s="56">
        <v>45152</v>
      </c>
      <c r="R22" s="55" t="s">
        <v>6832</v>
      </c>
      <c r="S22" s="55" t="s">
        <v>6833</v>
      </c>
      <c r="T22" s="55" t="s">
        <v>3492</v>
      </c>
      <c r="U22" s="4" t="s">
        <v>6854</v>
      </c>
      <c r="V22" s="64" t="s">
        <v>93</v>
      </c>
      <c r="W22" s="64">
        <f>VLOOKUP(A22,Inactive!A:BI,61,0)</f>
        <v>45152</v>
      </c>
      <c r="X22" s="64">
        <f>VLOOKUP(A22,'ID Block'!A:L,12,0)</f>
        <v>45152</v>
      </c>
      <c r="Y22" s="64" t="s">
        <v>6838</v>
      </c>
      <c r="Z22" s="4"/>
    </row>
    <row r="23" ht="14.4" s="66" customFormat="1">
      <c r="A23" s="4">
        <v>171087</v>
      </c>
      <c r="B23" s="55" t="s">
        <v>4278</v>
      </c>
      <c r="C23" s="4" t="s">
        <v>3774</v>
      </c>
      <c r="D23" s="4">
        <v>1869907314</v>
      </c>
      <c r="E23" s="55" t="s">
        <v>67</v>
      </c>
      <c r="F23" s="55" t="s">
        <v>71</v>
      </c>
      <c r="G23" s="55" t="s">
        <v>3775</v>
      </c>
      <c r="H23" s="4" t="s">
        <v>2643</v>
      </c>
      <c r="I23" s="55" t="s">
        <v>74</v>
      </c>
      <c r="J23" s="56">
        <v>45152</v>
      </c>
      <c r="K23" s="56">
        <v>45152</v>
      </c>
      <c r="L23" s="55" t="s">
        <v>6864</v>
      </c>
      <c r="M23" s="55" t="s">
        <v>3510</v>
      </c>
      <c r="N23" s="55" t="s">
        <v>4611</v>
      </c>
      <c r="O23" s="55" t="s">
        <v>6832</v>
      </c>
      <c r="P23" s="55" t="s">
        <v>6865</v>
      </c>
      <c r="Q23" s="56">
        <v>45152</v>
      </c>
      <c r="R23" s="55" t="s">
        <v>6832</v>
      </c>
      <c r="S23" s="55" t="s">
        <v>6833</v>
      </c>
      <c r="T23" s="55" t="s">
        <v>3492</v>
      </c>
      <c r="U23" s="4" t="s">
        <v>6864</v>
      </c>
      <c r="V23" s="64" t="s">
        <v>93</v>
      </c>
      <c r="W23" s="64">
        <f>VLOOKUP(A23,Inactive!A:BI,61,0)</f>
        <v>45152</v>
      </c>
      <c r="X23" s="64">
        <f>VLOOKUP(A23,'ID Block'!A:L,12,0)</f>
        <v>45152</v>
      </c>
      <c r="Y23" s="64" t="s">
        <v>6838</v>
      </c>
      <c r="Z23" s="4"/>
    </row>
    <row r="24" ht="14.4" s="66" customFormat="1">
      <c r="A24" s="55">
        <v>171073</v>
      </c>
      <c r="B24" s="55" t="s">
        <v>3786</v>
      </c>
      <c r="C24" s="55" t="s">
        <v>3787</v>
      </c>
      <c r="D24" s="55">
        <v>1770585311</v>
      </c>
      <c r="E24" s="55" t="s">
        <v>67</v>
      </c>
      <c r="F24" s="55" t="s">
        <v>71</v>
      </c>
      <c r="G24" s="55" t="s">
        <v>155</v>
      </c>
      <c r="H24" s="55" t="s">
        <v>6857</v>
      </c>
      <c r="I24" s="55" t="s">
        <v>74</v>
      </c>
      <c r="J24" s="4" t="s">
        <v>69</v>
      </c>
      <c r="K24" s="56">
        <v>45182</v>
      </c>
      <c r="L24" s="69">
        <v>45152</v>
      </c>
      <c r="M24" s="55" t="s">
        <v>6866</v>
      </c>
      <c r="N24" s="4"/>
      <c r="O24" s="4"/>
      <c r="P24" s="4"/>
      <c r="Q24" s="4"/>
      <c r="R24" s="4"/>
      <c r="S24" s="4"/>
      <c r="T24" s="4"/>
      <c r="U24" s="4">
        <v>45152</v>
      </c>
      <c r="V24" s="64" t="s">
        <v>93</v>
      </c>
      <c r="W24" s="72">
        <v>45195</v>
      </c>
      <c r="X24" s="72">
        <v>45183</v>
      </c>
      <c r="Y24" s="4"/>
      <c r="Z24" s="4"/>
    </row>
    <row r="25" ht="14.4" s="66" customFormat="1">
      <c r="A25" s="4">
        <v>171074</v>
      </c>
      <c r="B25" s="55" t="s">
        <v>3797</v>
      </c>
      <c r="C25" s="4" t="s">
        <v>3798</v>
      </c>
      <c r="D25" s="4">
        <v>1620247637</v>
      </c>
      <c r="E25" s="55" t="s">
        <v>67</v>
      </c>
      <c r="F25" s="55" t="s">
        <v>71</v>
      </c>
      <c r="G25" s="55" t="s">
        <v>155</v>
      </c>
      <c r="H25" s="4" t="s">
        <v>6857</v>
      </c>
      <c r="I25" s="55" t="s">
        <v>74</v>
      </c>
      <c r="J25" s="56">
        <v>45152</v>
      </c>
      <c r="K25" s="56">
        <v>45159</v>
      </c>
      <c r="L25" s="55" t="s">
        <v>6852</v>
      </c>
      <c r="M25" s="55" t="s">
        <v>3510</v>
      </c>
      <c r="N25" s="55" t="s">
        <v>6867</v>
      </c>
      <c r="O25" s="55" t="s">
        <v>6832</v>
      </c>
      <c r="P25" s="55" t="s">
        <v>6833</v>
      </c>
      <c r="Q25" s="56">
        <v>45152</v>
      </c>
      <c r="R25" s="55" t="s">
        <v>6832</v>
      </c>
      <c r="S25" s="55" t="s">
        <v>6833</v>
      </c>
      <c r="T25" s="55" t="s">
        <v>3492</v>
      </c>
      <c r="U25" s="4" t="s">
        <v>6852</v>
      </c>
      <c r="V25" s="64" t="s">
        <v>93</v>
      </c>
      <c r="W25" s="64">
        <f>VLOOKUP(A25,Inactive!A:BI,61,0)</f>
        <v>45160</v>
      </c>
      <c r="X25" s="64">
        <f>VLOOKUP(A25,'ID Block'!A:L,12,0)</f>
        <v>45160</v>
      </c>
      <c r="Y25" s="64" t="s">
        <v>6834</v>
      </c>
      <c r="Z25" s="4"/>
    </row>
    <row r="26" ht="14.4" s="66" customFormat="1">
      <c r="A26" s="4">
        <v>171075</v>
      </c>
      <c r="B26" s="55" t="s">
        <v>3807</v>
      </c>
      <c r="C26" s="4" t="s">
        <v>3808</v>
      </c>
      <c r="D26" s="4">
        <v>1580590136</v>
      </c>
      <c r="E26" s="55" t="s">
        <v>67</v>
      </c>
      <c r="F26" s="55" t="s">
        <v>71</v>
      </c>
      <c r="G26" s="55" t="s">
        <v>155</v>
      </c>
      <c r="H26" s="4" t="s">
        <v>6857</v>
      </c>
      <c r="I26" s="55" t="s">
        <v>74</v>
      </c>
      <c r="J26" s="56">
        <v>45154</v>
      </c>
      <c r="K26" s="56">
        <v>45154</v>
      </c>
      <c r="L26" s="55" t="s">
        <v>6854</v>
      </c>
      <c r="M26" s="55" t="s">
        <v>3510</v>
      </c>
      <c r="N26" s="55" t="s">
        <v>6868</v>
      </c>
      <c r="O26" s="55" t="s">
        <v>1752</v>
      </c>
      <c r="P26" s="55" t="s">
        <v>81</v>
      </c>
      <c r="Q26" s="56">
        <v>45154</v>
      </c>
      <c r="R26" s="55" t="s">
        <v>1752</v>
      </c>
      <c r="S26" s="55" t="s">
        <v>81</v>
      </c>
      <c r="T26" s="55" t="s">
        <v>6862</v>
      </c>
      <c r="U26" s="4" t="s">
        <v>6854</v>
      </c>
      <c r="V26" s="64" t="s">
        <v>93</v>
      </c>
      <c r="W26" s="64">
        <f>VLOOKUP(A26,Inactive!A:BI,61,0)</f>
        <v>45155</v>
      </c>
      <c r="X26" s="64">
        <f>VLOOKUP(A26,'ID Block'!A:L,12,0)</f>
        <v>45155</v>
      </c>
      <c r="Y26" s="64" t="s">
        <v>6838</v>
      </c>
      <c r="Z26" s="4"/>
    </row>
    <row r="27" ht="14.4" s="66" customFormat="1">
      <c r="A27" s="4">
        <v>171107</v>
      </c>
      <c r="B27" s="55" t="s">
        <v>3638</v>
      </c>
      <c r="C27" s="4" t="s">
        <v>3817</v>
      </c>
      <c r="D27" s="4">
        <v>1812627583</v>
      </c>
      <c r="E27" s="55" t="s">
        <v>67</v>
      </c>
      <c r="F27" s="55" t="s">
        <v>71</v>
      </c>
      <c r="G27" s="55" t="s">
        <v>237</v>
      </c>
      <c r="H27" s="4" t="s">
        <v>2643</v>
      </c>
      <c r="I27" s="55" t="s">
        <v>74</v>
      </c>
      <c r="J27" s="56">
        <v>45158</v>
      </c>
      <c r="K27" s="56">
        <v>45158</v>
      </c>
      <c r="L27" s="55" t="s">
        <v>6854</v>
      </c>
      <c r="M27" s="55" t="s">
        <v>3510</v>
      </c>
      <c r="N27" s="55" t="s">
        <v>6863</v>
      </c>
      <c r="O27" s="55" t="s">
        <v>6832</v>
      </c>
      <c r="P27" s="55" t="s">
        <v>6833</v>
      </c>
      <c r="Q27" s="56">
        <v>45158</v>
      </c>
      <c r="R27" s="55" t="s">
        <v>6832</v>
      </c>
      <c r="S27" s="55" t="s">
        <v>6833</v>
      </c>
      <c r="T27" s="55" t="s">
        <v>925</v>
      </c>
      <c r="U27" s="4" t="s">
        <v>6854</v>
      </c>
      <c r="V27" s="64" t="s">
        <v>93</v>
      </c>
      <c r="W27" s="64">
        <f>VLOOKUP(A27,Inactive!A:BI,61,0)</f>
        <v>45159</v>
      </c>
      <c r="X27" s="64">
        <f>VLOOKUP(A27,'ID Block'!A:L,12,0)</f>
        <v>45159</v>
      </c>
      <c r="Y27" s="64" t="s">
        <v>6838</v>
      </c>
      <c r="Z27" s="4"/>
    </row>
    <row r="28" ht="14.4" s="66" customFormat="1">
      <c r="A28" s="4">
        <v>171111</v>
      </c>
      <c r="B28" s="55" t="s">
        <v>3826</v>
      </c>
      <c r="C28" s="4" t="s">
        <v>3827</v>
      </c>
      <c r="D28" s="4">
        <v>1533962470</v>
      </c>
      <c r="E28" s="55" t="s">
        <v>67</v>
      </c>
      <c r="F28" s="55" t="s">
        <v>71</v>
      </c>
      <c r="G28" s="55" t="s">
        <v>97</v>
      </c>
      <c r="H28" s="4" t="s">
        <v>115</v>
      </c>
      <c r="I28" s="55" t="s">
        <v>74</v>
      </c>
      <c r="J28" s="56">
        <v>45162</v>
      </c>
      <c r="K28" s="56">
        <v>45163</v>
      </c>
      <c r="L28" s="55" t="s">
        <v>6864</v>
      </c>
      <c r="M28" s="55" t="s">
        <v>3510</v>
      </c>
      <c r="N28" s="55" t="s">
        <v>6869</v>
      </c>
      <c r="O28" s="55" t="s">
        <v>6832</v>
      </c>
      <c r="P28" s="55" t="s">
        <v>6833</v>
      </c>
      <c r="Q28" s="56">
        <v>45162</v>
      </c>
      <c r="R28" s="55" t="s">
        <v>6832</v>
      </c>
      <c r="S28" s="55" t="s">
        <v>6833</v>
      </c>
      <c r="T28" s="55" t="s">
        <v>925</v>
      </c>
      <c r="U28" s="4" t="s">
        <v>6864</v>
      </c>
      <c r="V28" s="64" t="s">
        <v>93</v>
      </c>
      <c r="W28" s="64">
        <f>VLOOKUP(A28,Inactive!A:BI,61,0)</f>
        <v>45164</v>
      </c>
      <c r="X28" s="64">
        <f>VLOOKUP(A28,'ID Block'!A:L,12,0)</f>
        <v>45164</v>
      </c>
      <c r="Y28" s="64" t="s">
        <v>6870</v>
      </c>
      <c r="Z28" s="4"/>
    </row>
    <row r="29" ht="14.4" s="66" customFormat="1">
      <c r="A29" s="4">
        <v>171081</v>
      </c>
      <c r="B29" s="55" t="s">
        <v>3836</v>
      </c>
      <c r="C29" s="4" t="s">
        <v>3837</v>
      </c>
      <c r="D29" s="4">
        <v>1922742698</v>
      </c>
      <c r="E29" s="55" t="s">
        <v>67</v>
      </c>
      <c r="F29" s="55" t="s">
        <v>71</v>
      </c>
      <c r="G29" s="55" t="s">
        <v>155</v>
      </c>
      <c r="H29" s="4" t="s">
        <v>6857</v>
      </c>
      <c r="I29" s="55" t="s">
        <v>74</v>
      </c>
      <c r="J29" s="56">
        <v>45161</v>
      </c>
      <c r="K29" s="56">
        <v>45161</v>
      </c>
      <c r="L29" s="55" t="s">
        <v>6854</v>
      </c>
      <c r="M29" s="55" t="s">
        <v>3510</v>
      </c>
      <c r="N29" s="55" t="s">
        <v>4695</v>
      </c>
      <c r="O29" s="55" t="s">
        <v>6832</v>
      </c>
      <c r="P29" s="55" t="s">
        <v>6833</v>
      </c>
      <c r="Q29" s="56">
        <v>45161</v>
      </c>
      <c r="R29" s="55" t="s">
        <v>6832</v>
      </c>
      <c r="S29" s="55" t="s">
        <v>6833</v>
      </c>
      <c r="T29" s="55" t="s">
        <v>6862</v>
      </c>
      <c r="U29" s="4" t="s">
        <v>6854</v>
      </c>
      <c r="V29" s="64" t="s">
        <v>93</v>
      </c>
      <c r="W29" s="64">
        <f>VLOOKUP(A29,Inactive!A:BI,61,0)</f>
        <v>45162</v>
      </c>
      <c r="X29" s="64">
        <f>VLOOKUP(A29,'ID Block'!A:L,12,0)</f>
        <v>45162</v>
      </c>
      <c r="Y29" s="64" t="s">
        <v>6838</v>
      </c>
      <c r="Z29" s="4"/>
    </row>
    <row r="30" ht="14.4" s="66" customFormat="1">
      <c r="A30" s="55">
        <v>171014</v>
      </c>
      <c r="B30" s="55" t="s">
        <v>3853</v>
      </c>
      <c r="C30" s="55" t="s">
        <v>6871</v>
      </c>
      <c r="D30" s="55">
        <v>1634679435</v>
      </c>
      <c r="E30" s="55" t="s">
        <v>67</v>
      </c>
      <c r="F30" s="55" t="s">
        <v>71</v>
      </c>
      <c r="G30" s="55" t="s">
        <v>4005</v>
      </c>
      <c r="H30" s="55" t="s">
        <v>3659</v>
      </c>
      <c r="I30" s="55" t="s">
        <v>74</v>
      </c>
      <c r="J30" s="56">
        <v>45168</v>
      </c>
      <c r="K30" s="56">
        <v>45175</v>
      </c>
      <c r="L30" s="55" t="s">
        <v>6852</v>
      </c>
      <c r="M30" s="55" t="s">
        <v>6872</v>
      </c>
      <c r="N30" s="55" t="s">
        <v>6873</v>
      </c>
      <c r="O30" s="55" t="s">
        <v>6832</v>
      </c>
      <c r="P30" s="55" t="s">
        <v>6833</v>
      </c>
      <c r="Q30" s="56">
        <v>45168</v>
      </c>
      <c r="R30" s="55" t="s">
        <v>6832</v>
      </c>
      <c r="S30" s="55" t="s">
        <v>6833</v>
      </c>
      <c r="T30" s="55" t="s">
        <v>925</v>
      </c>
      <c r="U30" s="4" t="s">
        <v>6852</v>
      </c>
      <c r="V30" s="64" t="s">
        <v>93</v>
      </c>
      <c r="W30" s="72">
        <v>45179</v>
      </c>
      <c r="X30" s="72">
        <v>45179</v>
      </c>
      <c r="Y30" s="4" t="s">
        <v>6834</v>
      </c>
      <c r="Z30" s="4"/>
    </row>
    <row r="31" ht="14.4" s="66" customFormat="1">
      <c r="A31" s="55">
        <v>171060</v>
      </c>
      <c r="B31" s="55" t="s">
        <v>3845</v>
      </c>
      <c r="C31" s="55" t="s">
        <v>6874</v>
      </c>
      <c r="D31" s="55">
        <v>1855223007</v>
      </c>
      <c r="E31" s="55" t="s">
        <v>67</v>
      </c>
      <c r="F31" s="55" t="s">
        <v>71</v>
      </c>
      <c r="G31" s="55" t="s">
        <v>4223</v>
      </c>
      <c r="H31" s="55" t="s">
        <v>3659</v>
      </c>
      <c r="I31" s="55" t="s">
        <v>74</v>
      </c>
      <c r="J31" s="56">
        <v>45168</v>
      </c>
      <c r="K31" s="56">
        <v>45168</v>
      </c>
      <c r="L31" s="55" t="s">
        <v>6854</v>
      </c>
      <c r="M31" s="55" t="s">
        <v>6872</v>
      </c>
      <c r="N31" s="55" t="s">
        <v>4695</v>
      </c>
      <c r="O31" s="55" t="s">
        <v>6832</v>
      </c>
      <c r="P31" s="55" t="s">
        <v>6833</v>
      </c>
      <c r="Q31" s="56">
        <v>45168</v>
      </c>
      <c r="R31" s="55" t="s">
        <v>6832</v>
      </c>
      <c r="S31" s="55" t="s">
        <v>6833</v>
      </c>
      <c r="T31" s="55" t="s">
        <v>925</v>
      </c>
      <c r="U31" s="4" t="s">
        <v>6854</v>
      </c>
      <c r="V31" s="64" t="s">
        <v>93</v>
      </c>
      <c r="W31" s="72">
        <v>45169</v>
      </c>
      <c r="X31" s="72">
        <v>45172</v>
      </c>
      <c r="Y31" s="64" t="s">
        <v>6838</v>
      </c>
      <c r="Z31" s="4"/>
    </row>
    <row r="32" ht="14.4" s="66" customFormat="1">
      <c r="A32" s="55">
        <v>171115</v>
      </c>
      <c r="B32" s="55" t="s">
        <v>3864</v>
      </c>
      <c r="C32" s="55" t="s">
        <v>3865</v>
      </c>
      <c r="D32" s="55">
        <v>1307032269</v>
      </c>
      <c r="E32" s="55" t="s">
        <v>67</v>
      </c>
      <c r="F32" s="55" t="s">
        <v>71</v>
      </c>
      <c r="G32" s="55" t="s">
        <v>97</v>
      </c>
      <c r="H32" s="55" t="s">
        <v>115</v>
      </c>
      <c r="I32" s="55" t="s">
        <v>74</v>
      </c>
      <c r="J32" s="56">
        <v>45177</v>
      </c>
      <c r="K32" s="56">
        <v>45176</v>
      </c>
      <c r="L32" s="55" t="s">
        <v>6854</v>
      </c>
      <c r="M32" s="55" t="s">
        <v>6872</v>
      </c>
      <c r="N32" s="55" t="s">
        <v>4002</v>
      </c>
      <c r="O32" s="55" t="s">
        <v>6832</v>
      </c>
      <c r="P32" s="55" t="s">
        <v>6833</v>
      </c>
      <c r="Q32" s="56">
        <v>45177</v>
      </c>
      <c r="R32" s="55" t="s">
        <v>6832</v>
      </c>
      <c r="S32" s="55" t="s">
        <v>6833</v>
      </c>
      <c r="T32" s="55" t="s">
        <v>6875</v>
      </c>
      <c r="U32" s="4" t="s">
        <v>6854</v>
      </c>
      <c r="V32" s="64" t="s">
        <v>93</v>
      </c>
      <c r="W32" s="72">
        <v>45179</v>
      </c>
      <c r="X32" s="72">
        <v>45179</v>
      </c>
      <c r="Y32" s="64" t="s">
        <v>6838</v>
      </c>
      <c r="Z32" s="4"/>
    </row>
    <row r="33" ht="28.8" s="66" customFormat="1">
      <c r="A33" s="55">
        <v>171053</v>
      </c>
      <c r="B33" s="55" t="s">
        <v>3873</v>
      </c>
      <c r="C33" s="55" t="s">
        <v>3874</v>
      </c>
      <c r="D33" s="55">
        <v>1609862764</v>
      </c>
      <c r="E33" s="55" t="s">
        <v>67</v>
      </c>
      <c r="F33" s="55" t="s">
        <v>71</v>
      </c>
      <c r="G33" s="55" t="s">
        <v>97</v>
      </c>
      <c r="H33" s="55" t="s">
        <v>115</v>
      </c>
      <c r="I33" s="55" t="s">
        <v>74</v>
      </c>
      <c r="J33" s="56">
        <v>45177</v>
      </c>
      <c r="K33" s="56">
        <v>45184</v>
      </c>
      <c r="L33" s="55" t="s">
        <v>6852</v>
      </c>
      <c r="M33" s="55" t="s">
        <v>6872</v>
      </c>
      <c r="N33" s="55" t="s">
        <v>6876</v>
      </c>
      <c r="O33" s="55" t="s">
        <v>6832</v>
      </c>
      <c r="P33" s="55" t="s">
        <v>6833</v>
      </c>
      <c r="Q33" s="56">
        <v>45177</v>
      </c>
      <c r="R33" s="55" t="s">
        <v>6832</v>
      </c>
      <c r="S33" s="55" t="s">
        <v>6833</v>
      </c>
      <c r="T33" s="55" t="s">
        <v>6875</v>
      </c>
      <c r="U33" s="4" t="s">
        <v>6852</v>
      </c>
      <c r="V33" s="64" t="s">
        <v>93</v>
      </c>
      <c r="W33" s="72">
        <v>45185</v>
      </c>
      <c r="X33" s="72">
        <v>45185</v>
      </c>
      <c r="Y33" s="4" t="s">
        <v>6877</v>
      </c>
      <c r="Z33" s="4"/>
    </row>
    <row r="34" ht="14.4" s="66" customFormat="1">
      <c r="A34" s="55">
        <v>171104</v>
      </c>
      <c r="B34" s="55" t="s">
        <v>3881</v>
      </c>
      <c r="C34" s="55" t="s">
        <v>2706</v>
      </c>
      <c r="D34" s="55">
        <v>1518707935</v>
      </c>
      <c r="E34" s="55" t="s">
        <v>67</v>
      </c>
      <c r="F34" s="55" t="s">
        <v>71</v>
      </c>
      <c r="G34" s="55" t="s">
        <v>2495</v>
      </c>
      <c r="H34" s="55" t="s">
        <v>115</v>
      </c>
      <c r="I34" s="55" t="s">
        <v>74</v>
      </c>
      <c r="J34" s="56">
        <v>45173</v>
      </c>
      <c r="K34" s="56">
        <v>45184</v>
      </c>
      <c r="L34" s="55" t="s">
        <v>6852</v>
      </c>
      <c r="M34" s="55" t="s">
        <v>6872</v>
      </c>
      <c r="N34" s="55" t="s">
        <v>4002</v>
      </c>
      <c r="O34" s="55" t="s">
        <v>6832</v>
      </c>
      <c r="P34" s="55" t="s">
        <v>6833</v>
      </c>
      <c r="Q34" s="56">
        <v>45173</v>
      </c>
      <c r="R34" s="55" t="s">
        <v>6832</v>
      </c>
      <c r="S34" s="55" t="s">
        <v>6833</v>
      </c>
      <c r="T34" s="55" t="s">
        <v>6878</v>
      </c>
      <c r="U34" s="4" t="s">
        <v>6852</v>
      </c>
      <c r="V34" s="64" t="s">
        <v>93</v>
      </c>
      <c r="W34" s="72">
        <v>45201</v>
      </c>
      <c r="X34" s="72">
        <v>45201</v>
      </c>
      <c r="Y34" s="64" t="s">
        <v>6877</v>
      </c>
      <c r="Z34" s="4"/>
    </row>
    <row r="35" ht="14.4" s="66" customFormat="1">
      <c r="A35" s="4">
        <v>171029</v>
      </c>
      <c r="B35" s="55" t="s">
        <v>3890</v>
      </c>
      <c r="C35" s="4" t="s">
        <v>3891</v>
      </c>
      <c r="D35" s="55">
        <v>1707913701</v>
      </c>
      <c r="E35" s="55" t="s">
        <v>67</v>
      </c>
      <c r="F35" s="55" t="s">
        <v>71</v>
      </c>
      <c r="G35" s="55" t="s">
        <v>70</v>
      </c>
      <c r="H35" s="4" t="s">
        <v>2643</v>
      </c>
      <c r="I35" s="4" t="s">
        <v>74</v>
      </c>
      <c r="J35" s="56">
        <v>45168</v>
      </c>
      <c r="K35" s="56">
        <v>45175</v>
      </c>
      <c r="L35" s="55" t="s">
        <v>6852</v>
      </c>
      <c r="M35" s="55" t="s">
        <v>6872</v>
      </c>
      <c r="N35" s="55" t="s">
        <v>6876</v>
      </c>
      <c r="O35" s="55" t="s">
        <v>6832</v>
      </c>
      <c r="P35" s="55" t="s">
        <v>6833</v>
      </c>
      <c r="Q35" s="56">
        <v>45033</v>
      </c>
      <c r="R35" s="55" t="s">
        <v>6832</v>
      </c>
      <c r="S35" s="55" t="s">
        <v>6833</v>
      </c>
      <c r="T35" s="55" t="s">
        <v>925</v>
      </c>
      <c r="U35" s="4" t="s">
        <v>6852</v>
      </c>
      <c r="V35" s="64" t="s">
        <v>93</v>
      </c>
      <c r="W35" s="72">
        <v>45176</v>
      </c>
      <c r="X35" s="72">
        <v>45188</v>
      </c>
      <c r="Y35" s="4" t="s">
        <v>6877</v>
      </c>
      <c r="Z35" s="4"/>
    </row>
    <row r="36" ht="14.4" s="66" customFormat="1">
      <c r="A36" s="55">
        <v>171090</v>
      </c>
      <c r="B36" s="55" t="s">
        <v>3899</v>
      </c>
      <c r="C36" s="55" t="s">
        <v>3900</v>
      </c>
      <c r="D36" s="55">
        <v>1766477705</v>
      </c>
      <c r="E36" s="55" t="s">
        <v>67</v>
      </c>
      <c r="F36" s="55" t="s">
        <v>71</v>
      </c>
      <c r="G36" s="55" t="s">
        <v>2495</v>
      </c>
      <c r="H36" s="55" t="s">
        <v>115</v>
      </c>
      <c r="I36" s="55" t="s">
        <v>74</v>
      </c>
      <c r="J36" s="56">
        <v>45188</v>
      </c>
      <c r="K36" s="56">
        <v>45182</v>
      </c>
      <c r="L36" s="55" t="s">
        <v>6854</v>
      </c>
      <c r="M36" s="55" t="s">
        <v>6872</v>
      </c>
      <c r="N36" s="55" t="s">
        <v>6879</v>
      </c>
      <c r="O36" s="55" t="s">
        <v>1752</v>
      </c>
      <c r="P36" s="55" t="s">
        <v>81</v>
      </c>
      <c r="Q36" s="56">
        <v>45189</v>
      </c>
      <c r="R36" s="55" t="s">
        <v>1752</v>
      </c>
      <c r="S36" s="55" t="s">
        <v>81</v>
      </c>
      <c r="T36" s="55" t="s">
        <v>6878</v>
      </c>
      <c r="U36" s="4" t="s">
        <v>6854</v>
      </c>
      <c r="V36" s="64" t="s">
        <v>93</v>
      </c>
      <c r="W36" s="72">
        <v>45189</v>
      </c>
      <c r="X36" s="72">
        <v>45190</v>
      </c>
      <c r="Y36" s="64" t="s">
        <v>6838</v>
      </c>
      <c r="Z36" s="4"/>
    </row>
    <row r="37" ht="14.4" s="66" customFormat="1">
      <c r="A37" s="55">
        <v>171009</v>
      </c>
      <c r="B37" s="55" t="s">
        <v>3908</v>
      </c>
      <c r="C37" s="55" t="s">
        <v>3909</v>
      </c>
      <c r="D37" s="55">
        <v>1749766889</v>
      </c>
      <c r="E37" s="55" t="s">
        <v>67</v>
      </c>
      <c r="F37" s="55" t="s">
        <v>71</v>
      </c>
      <c r="G37" s="55" t="s">
        <v>4005</v>
      </c>
      <c r="H37" s="55" t="s">
        <v>3659</v>
      </c>
      <c r="I37" s="55" t="s">
        <v>74</v>
      </c>
      <c r="J37" s="56">
        <v>45189</v>
      </c>
      <c r="K37" s="56">
        <v>45185</v>
      </c>
      <c r="L37" s="55" t="s">
        <v>6854</v>
      </c>
      <c r="M37" s="55" t="s">
        <v>6872</v>
      </c>
      <c r="N37" s="55" t="s">
        <v>6880</v>
      </c>
      <c r="O37" s="55" t="s">
        <v>6832</v>
      </c>
      <c r="P37" s="55" t="s">
        <v>6833</v>
      </c>
      <c r="Q37" s="56">
        <v>45189</v>
      </c>
      <c r="R37" s="55" t="s">
        <v>6832</v>
      </c>
      <c r="S37" s="55" t="s">
        <v>6833</v>
      </c>
      <c r="T37" s="55" t="s">
        <v>6875</v>
      </c>
      <c r="U37" s="4" t="s">
        <v>6854</v>
      </c>
      <c r="V37" s="64" t="s">
        <v>93</v>
      </c>
      <c r="W37" s="72">
        <v>45189</v>
      </c>
      <c r="X37" s="72">
        <v>45190</v>
      </c>
      <c r="Y37" s="64" t="s">
        <v>6838</v>
      </c>
      <c r="Z37" s="4"/>
    </row>
    <row r="38" ht="14.4" s="66" customFormat="1">
      <c r="A38" s="55">
        <v>171048</v>
      </c>
      <c r="B38" s="55" t="s">
        <v>3916</v>
      </c>
      <c r="C38" s="55" t="s">
        <v>3917</v>
      </c>
      <c r="D38" s="55">
        <v>1722167080</v>
      </c>
      <c r="E38" s="55" t="s">
        <v>67</v>
      </c>
      <c r="F38" s="55" t="s">
        <v>71</v>
      </c>
      <c r="G38" s="55" t="s">
        <v>237</v>
      </c>
      <c r="H38" s="55" t="s">
        <v>2643</v>
      </c>
      <c r="I38" s="55" t="s">
        <v>74</v>
      </c>
      <c r="J38" s="56">
        <v>45193</v>
      </c>
      <c r="K38" s="56">
        <v>45193</v>
      </c>
      <c r="L38" s="55" t="s">
        <v>6854</v>
      </c>
      <c r="M38" s="55" t="s">
        <v>6872</v>
      </c>
      <c r="N38" s="55" t="s">
        <v>3796</v>
      </c>
      <c r="O38" s="55" t="s">
        <v>1752</v>
      </c>
      <c r="P38" s="55" t="s">
        <v>81</v>
      </c>
      <c r="Q38" s="56">
        <v>45193</v>
      </c>
      <c r="R38" s="55" t="s">
        <v>1752</v>
      </c>
      <c r="S38" s="55" t="s">
        <v>81</v>
      </c>
      <c r="T38" s="55" t="s">
        <v>6878</v>
      </c>
      <c r="U38" s="4" t="s">
        <v>6854</v>
      </c>
      <c r="V38" s="64" t="s">
        <v>93</v>
      </c>
      <c r="W38" s="72">
        <v>45195</v>
      </c>
      <c r="X38" s="72">
        <v>45195</v>
      </c>
      <c r="Y38" s="64" t="s">
        <v>6838</v>
      </c>
      <c r="Z38" s="4"/>
    </row>
    <row r="39" ht="14.4" s="66" customFormat="1">
      <c r="A39" s="55">
        <v>171062</v>
      </c>
      <c r="B39" s="55" t="s">
        <v>3925</v>
      </c>
      <c r="C39" s="55" t="s">
        <v>3926</v>
      </c>
      <c r="D39" s="55">
        <v>1635843223</v>
      </c>
      <c r="E39" s="55" t="s">
        <v>67</v>
      </c>
      <c r="F39" s="55" t="s">
        <v>71</v>
      </c>
      <c r="G39" s="55" t="s">
        <v>237</v>
      </c>
      <c r="H39" s="55" t="s">
        <v>73</v>
      </c>
      <c r="I39" s="55" t="s">
        <v>74</v>
      </c>
      <c r="J39" s="56">
        <v>45175</v>
      </c>
      <c r="K39" s="56">
        <v>45182</v>
      </c>
      <c r="L39" s="55" t="s">
        <v>6852</v>
      </c>
      <c r="M39" s="55" t="s">
        <v>6872</v>
      </c>
      <c r="N39" s="55" t="s">
        <v>6881</v>
      </c>
      <c r="O39" s="55" t="s">
        <v>6832</v>
      </c>
      <c r="P39" s="55" t="s">
        <v>6833</v>
      </c>
      <c r="Q39" s="56">
        <v>45175</v>
      </c>
      <c r="R39" s="55" t="s">
        <v>6832</v>
      </c>
      <c r="S39" s="55" t="s">
        <v>6833</v>
      </c>
      <c r="T39" s="55" t="s">
        <v>6875</v>
      </c>
      <c r="U39" s="4" t="s">
        <v>6852</v>
      </c>
      <c r="V39" s="64" t="s">
        <v>93</v>
      </c>
      <c r="W39" s="72">
        <v>45195</v>
      </c>
      <c r="X39" s="72">
        <v>45195</v>
      </c>
      <c r="Y39" s="64" t="s">
        <v>6877</v>
      </c>
      <c r="Z39" s="4"/>
    </row>
    <row r="40" ht="14.4" s="66" customFormat="1">
      <c r="A40" s="4">
        <v>171094</v>
      </c>
      <c r="B40" s="4" t="s">
        <v>3933</v>
      </c>
      <c r="C40" s="4" t="s">
        <v>3934</v>
      </c>
      <c r="D40" s="4">
        <v>1604138249</v>
      </c>
      <c r="E40" s="4" t="s">
        <v>67</v>
      </c>
      <c r="F40" s="4" t="s">
        <v>71</v>
      </c>
      <c r="G40" s="55" t="s">
        <v>2495</v>
      </c>
      <c r="H40" s="55" t="s">
        <v>115</v>
      </c>
      <c r="I40" s="4" t="s">
        <v>74</v>
      </c>
      <c r="J40" s="69">
        <v>45195</v>
      </c>
      <c r="K40" s="69">
        <v>45195</v>
      </c>
      <c r="L40" s="4" t="s">
        <v>6854</v>
      </c>
      <c r="M40" s="4" t="s">
        <v>6872</v>
      </c>
      <c r="N40" s="4" t="s">
        <v>4321</v>
      </c>
      <c r="O40" s="4" t="s">
        <v>1752</v>
      </c>
      <c r="P40" s="4" t="s">
        <v>81</v>
      </c>
      <c r="Q40" s="69">
        <v>45195</v>
      </c>
      <c r="R40" s="4" t="s">
        <v>1752</v>
      </c>
      <c r="S40" s="4" t="s">
        <v>81</v>
      </c>
      <c r="T40" s="4" t="s">
        <v>925</v>
      </c>
      <c r="U40" s="4" t="s">
        <v>6854</v>
      </c>
      <c r="V40" s="64" t="s">
        <v>93</v>
      </c>
      <c r="W40" s="72">
        <v>45196</v>
      </c>
      <c r="X40" s="72">
        <v>45196</v>
      </c>
      <c r="Y40" s="64" t="s">
        <v>6838</v>
      </c>
      <c r="Z40" s="4"/>
    </row>
    <row r="41" ht="14.4" s="66" customFormat="1">
      <c r="A41" s="55">
        <v>171121</v>
      </c>
      <c r="B41" s="55" t="s">
        <v>538</v>
      </c>
      <c r="C41" s="55" t="s">
        <v>3941</v>
      </c>
      <c r="D41" s="55">
        <v>1910400564</v>
      </c>
      <c r="E41" s="55" t="s">
        <v>67</v>
      </c>
      <c r="F41" s="55" t="s">
        <v>71</v>
      </c>
      <c r="G41" s="55" t="s">
        <v>2495</v>
      </c>
      <c r="H41" s="55" t="s">
        <v>115</v>
      </c>
      <c r="I41" s="55" t="s">
        <v>74</v>
      </c>
      <c r="J41" s="56">
        <v>45201</v>
      </c>
      <c r="K41" s="56">
        <v>45207</v>
      </c>
      <c r="L41" s="55" t="s">
        <v>6852</v>
      </c>
      <c r="M41" s="55" t="s">
        <v>6872</v>
      </c>
      <c r="N41" s="55" t="s">
        <v>6880</v>
      </c>
      <c r="O41" s="55" t="s">
        <v>6832</v>
      </c>
      <c r="P41" s="55" t="s">
        <v>6833</v>
      </c>
      <c r="Q41" s="56">
        <v>45201</v>
      </c>
      <c r="R41" s="55" t="s">
        <v>6832</v>
      </c>
      <c r="S41" s="55" t="s">
        <v>6833</v>
      </c>
      <c r="T41" s="55" t="s">
        <v>6875</v>
      </c>
      <c r="U41" s="4" t="s">
        <v>6852</v>
      </c>
      <c r="V41" s="64" t="s">
        <v>93</v>
      </c>
      <c r="W41" s="72">
        <v>45201</v>
      </c>
      <c r="X41" s="72">
        <v>45208</v>
      </c>
      <c r="Y41" s="64" t="s">
        <v>6882</v>
      </c>
      <c r="Z41" s="4"/>
    </row>
    <row r="42" ht="14.4" s="66" customFormat="1">
      <c r="A42" s="4">
        <v>171145</v>
      </c>
      <c r="B42" s="4" t="s">
        <v>3949</v>
      </c>
      <c r="C42" s="4" t="s">
        <v>3950</v>
      </c>
      <c r="D42" s="4">
        <v>1748221485</v>
      </c>
      <c r="E42" s="4" t="s">
        <v>67</v>
      </c>
      <c r="F42" s="4" t="s">
        <v>1766</v>
      </c>
      <c r="G42" s="4" t="s">
        <v>155</v>
      </c>
      <c r="H42" s="4" t="s">
        <v>6857</v>
      </c>
      <c r="I42" s="4" t="s">
        <v>74</v>
      </c>
      <c r="J42" s="69">
        <v>45209</v>
      </c>
      <c r="K42" s="69">
        <v>45209</v>
      </c>
      <c r="L42" s="4" t="s">
        <v>6854</v>
      </c>
      <c r="M42" s="4" t="s">
        <v>6872</v>
      </c>
      <c r="N42" s="4" t="s">
        <v>6858</v>
      </c>
      <c r="O42" s="4" t="s">
        <v>6832</v>
      </c>
      <c r="P42" s="4" t="s">
        <v>6833</v>
      </c>
      <c r="Q42" s="69">
        <v>45209</v>
      </c>
      <c r="R42" s="4" t="s">
        <v>6832</v>
      </c>
      <c r="S42" s="4" t="s">
        <v>6833</v>
      </c>
      <c r="T42" s="4" t="s">
        <v>925</v>
      </c>
      <c r="U42" s="4" t="s">
        <v>6854</v>
      </c>
      <c r="V42" s="64" t="s">
        <v>93</v>
      </c>
      <c r="W42" s="72">
        <v>45210</v>
      </c>
      <c r="X42" s="72">
        <v>45210</v>
      </c>
      <c r="Y42" s="64" t="s">
        <v>6838</v>
      </c>
      <c r="Z42" s="4"/>
    </row>
    <row r="43" ht="14.4" s="66" customFormat="1">
      <c r="A43" s="55">
        <v>171050</v>
      </c>
      <c r="B43" s="55" t="s">
        <v>6883</v>
      </c>
      <c r="C43" s="55" t="s">
        <v>3957</v>
      </c>
      <c r="D43" s="55">
        <v>1956499430</v>
      </c>
      <c r="E43" s="55" t="s">
        <v>67</v>
      </c>
      <c r="F43" s="55" t="s">
        <v>71</v>
      </c>
      <c r="G43" s="55" t="s">
        <v>97</v>
      </c>
      <c r="H43" s="55" t="s">
        <v>115</v>
      </c>
      <c r="I43" s="55" t="s">
        <v>74</v>
      </c>
      <c r="J43" s="56">
        <v>45205</v>
      </c>
      <c r="K43" s="56">
        <v>45214</v>
      </c>
      <c r="L43" s="55" t="s">
        <v>6864</v>
      </c>
      <c r="M43" s="55" t="s">
        <v>6872</v>
      </c>
      <c r="N43" s="55" t="s">
        <v>3796</v>
      </c>
      <c r="O43" s="55" t="s">
        <v>6832</v>
      </c>
      <c r="P43" s="55" t="s">
        <v>6833</v>
      </c>
      <c r="Q43" s="56">
        <v>45205</v>
      </c>
      <c r="R43" s="55" t="s">
        <v>6832</v>
      </c>
      <c r="S43" s="55" t="s">
        <v>6833</v>
      </c>
      <c r="T43" s="55" t="s">
        <v>925</v>
      </c>
      <c r="U43" s="4" t="s">
        <v>6864</v>
      </c>
      <c r="V43" s="64" t="s">
        <v>93</v>
      </c>
      <c r="W43" s="72">
        <v>45207</v>
      </c>
      <c r="X43" s="72">
        <v>45215</v>
      </c>
      <c r="Y43" s="64" t="s">
        <v>6877</v>
      </c>
      <c r="Z43" s="4"/>
    </row>
    <row r="44" ht="14.4" s="66" customFormat="1">
      <c r="A44" s="55">
        <v>171021</v>
      </c>
      <c r="B44" s="55" t="s">
        <v>6884</v>
      </c>
      <c r="C44" s="55" t="s">
        <v>3963</v>
      </c>
      <c r="D44" s="55">
        <v>1761237800</v>
      </c>
      <c r="E44" s="55" t="s">
        <v>67</v>
      </c>
      <c r="F44" s="55" t="s">
        <v>71</v>
      </c>
      <c r="G44" s="55" t="s">
        <v>155</v>
      </c>
      <c r="H44" s="55" t="s">
        <v>6857</v>
      </c>
      <c r="I44" s="55" t="s">
        <v>74</v>
      </c>
      <c r="J44" s="56">
        <v>45207</v>
      </c>
      <c r="K44" s="56">
        <v>45214</v>
      </c>
      <c r="L44" s="55" t="s">
        <v>6885</v>
      </c>
      <c r="M44" s="55" t="s">
        <v>6872</v>
      </c>
      <c r="N44" s="55" t="s">
        <v>6886</v>
      </c>
      <c r="O44" s="55" t="s">
        <v>6832</v>
      </c>
      <c r="P44" s="55" t="s">
        <v>6833</v>
      </c>
      <c r="Q44" s="56">
        <v>45208</v>
      </c>
      <c r="R44" s="55" t="s">
        <v>6832</v>
      </c>
      <c r="S44" s="55" t="s">
        <v>6833</v>
      </c>
      <c r="T44" s="55" t="s">
        <v>3492</v>
      </c>
      <c r="U44" s="4" t="s">
        <v>6885</v>
      </c>
      <c r="V44" s="64" t="s">
        <v>93</v>
      </c>
      <c r="W44" s="72">
        <v>45207</v>
      </c>
      <c r="X44" s="72">
        <v>45215</v>
      </c>
      <c r="Y44" s="64" t="s">
        <v>6877</v>
      </c>
      <c r="Z44" s="4"/>
    </row>
    <row r="45" ht="14.4" s="66" customFormat="1">
      <c r="A45" s="4">
        <v>171031</v>
      </c>
      <c r="B45" s="4" t="s">
        <v>6887</v>
      </c>
      <c r="C45" s="4" t="s">
        <v>3980</v>
      </c>
      <c r="D45" s="4">
        <v>1609075990</v>
      </c>
      <c r="E45" s="4" t="s">
        <v>67</v>
      </c>
      <c r="F45" s="4" t="s">
        <v>1766</v>
      </c>
      <c r="G45" s="4" t="s">
        <v>155</v>
      </c>
      <c r="H45" s="4" t="s">
        <v>6857</v>
      </c>
      <c r="I45" s="4" t="s">
        <v>74</v>
      </c>
      <c r="J45" s="69">
        <v>45217</v>
      </c>
      <c r="K45" s="69">
        <v>45224</v>
      </c>
      <c r="L45" s="4" t="s">
        <v>6852</v>
      </c>
      <c r="M45" s="4" t="s">
        <v>6872</v>
      </c>
      <c r="N45" s="4" t="s">
        <v>4035</v>
      </c>
      <c r="O45" s="4" t="s">
        <v>6832</v>
      </c>
      <c r="P45" s="4" t="s">
        <v>6833</v>
      </c>
      <c r="Q45" s="69">
        <v>45217</v>
      </c>
      <c r="R45" s="4" t="s">
        <v>6832</v>
      </c>
      <c r="S45" s="4" t="s">
        <v>6833</v>
      </c>
      <c r="T45" s="4" t="s">
        <v>925</v>
      </c>
      <c r="U45" s="4" t="s">
        <v>6852</v>
      </c>
      <c r="V45" s="64" t="s">
        <v>93</v>
      </c>
      <c r="W45" s="72">
        <v>45224</v>
      </c>
      <c r="X45" s="72">
        <v>45225</v>
      </c>
      <c r="Y45" s="64" t="s">
        <v>6877</v>
      </c>
      <c r="Z45" s="4"/>
    </row>
    <row r="46" ht="14.4" s="66" customFormat="1">
      <c r="A46" s="4">
        <v>171147</v>
      </c>
      <c r="B46" s="4" t="s">
        <v>3993</v>
      </c>
      <c r="C46" s="4" t="s">
        <v>3994</v>
      </c>
      <c r="D46" s="4">
        <v>1972768919</v>
      </c>
      <c r="E46" s="4" t="s">
        <v>67</v>
      </c>
      <c r="F46" s="4" t="s">
        <v>1766</v>
      </c>
      <c r="G46" s="4" t="s">
        <v>155</v>
      </c>
      <c r="H46" s="4" t="s">
        <v>3512</v>
      </c>
      <c r="I46" s="4" t="s">
        <v>74</v>
      </c>
      <c r="J46" s="69">
        <v>45224</v>
      </c>
      <c r="K46" s="69">
        <v>45224</v>
      </c>
      <c r="L46" s="4" t="s">
        <v>6854</v>
      </c>
      <c r="M46" s="4" t="s">
        <v>6872</v>
      </c>
      <c r="N46" s="4" t="s">
        <v>4002</v>
      </c>
      <c r="O46" s="4" t="s">
        <v>6832</v>
      </c>
      <c r="P46" s="4" t="s">
        <v>6833</v>
      </c>
      <c r="Q46" s="69">
        <v>45224</v>
      </c>
      <c r="R46" s="4" t="s">
        <v>6832</v>
      </c>
      <c r="S46" s="4" t="s">
        <v>6833</v>
      </c>
      <c r="T46" s="4" t="s">
        <v>925</v>
      </c>
      <c r="U46" s="4" t="s">
        <v>6854</v>
      </c>
      <c r="V46" s="64" t="s">
        <v>93</v>
      </c>
      <c r="W46" s="72">
        <v>45229</v>
      </c>
      <c r="X46" s="72">
        <v>45225</v>
      </c>
      <c r="Y46" s="64" t="s">
        <v>6838</v>
      </c>
      <c r="Z46" s="4"/>
    </row>
    <row r="47" ht="14.4" s="66" customFormat="1">
      <c r="A47" s="55">
        <v>171119</v>
      </c>
      <c r="B47" s="55" t="s">
        <v>4003</v>
      </c>
      <c r="C47" s="55" t="s">
        <v>4004</v>
      </c>
      <c r="D47" s="55">
        <v>1617078638</v>
      </c>
      <c r="E47" s="55" t="s">
        <v>67</v>
      </c>
      <c r="F47" s="55" t="s">
        <v>71</v>
      </c>
      <c r="G47" s="55" t="s">
        <v>407</v>
      </c>
      <c r="H47" s="55" t="s">
        <v>6861</v>
      </c>
      <c r="I47" s="55" t="s">
        <v>74</v>
      </c>
      <c r="J47" s="56">
        <v>45223</v>
      </c>
      <c r="K47" s="56">
        <v>45229</v>
      </c>
      <c r="L47" s="55" t="s">
        <v>6852</v>
      </c>
      <c r="M47" s="55" t="s">
        <v>6872</v>
      </c>
      <c r="N47" s="55" t="s">
        <v>3915</v>
      </c>
      <c r="O47" s="55" t="s">
        <v>6832</v>
      </c>
      <c r="P47" s="55" t="s">
        <v>6833</v>
      </c>
      <c r="Q47" s="56">
        <v>45223</v>
      </c>
      <c r="R47" s="55" t="s">
        <v>6832</v>
      </c>
      <c r="S47" s="55" t="s">
        <v>6833</v>
      </c>
      <c r="T47" s="55" t="s">
        <v>925</v>
      </c>
      <c r="U47" s="4" t="s">
        <v>6852</v>
      </c>
      <c r="V47" s="64" t="s">
        <v>93</v>
      </c>
      <c r="W47" s="72">
        <v>45229</v>
      </c>
      <c r="X47" s="72">
        <v>45229</v>
      </c>
      <c r="Y47" s="64" t="s">
        <v>6877</v>
      </c>
      <c r="Z47" s="4"/>
    </row>
    <row r="48" ht="14.4" s="66" customFormat="1">
      <c r="A48" s="55">
        <v>171018</v>
      </c>
      <c r="B48" s="55" t="s">
        <v>6888</v>
      </c>
      <c r="C48" s="55" t="s">
        <v>3971</v>
      </c>
      <c r="D48" s="55">
        <v>1680056488</v>
      </c>
      <c r="E48" s="55" t="s">
        <v>67</v>
      </c>
      <c r="F48" s="55" t="s">
        <v>71</v>
      </c>
      <c r="G48" s="55" t="s">
        <v>407</v>
      </c>
      <c r="H48" s="55" t="s">
        <v>3659</v>
      </c>
      <c r="I48" s="55" t="s">
        <v>74</v>
      </c>
      <c r="J48" s="70">
        <v>45213</v>
      </c>
      <c r="K48" s="70">
        <v>45220</v>
      </c>
      <c r="L48" s="55" t="s">
        <v>6889</v>
      </c>
      <c r="M48" s="55" t="s">
        <v>3510</v>
      </c>
      <c r="N48" s="55" t="s">
        <v>4339</v>
      </c>
      <c r="O48" s="55" t="s">
        <v>6832</v>
      </c>
      <c r="P48" s="55" t="s">
        <v>6833</v>
      </c>
      <c r="Q48" s="70">
        <v>45214</v>
      </c>
      <c r="R48" s="55" t="s">
        <v>6832</v>
      </c>
      <c r="S48" s="55" t="s">
        <v>6833</v>
      </c>
      <c r="T48" s="55" t="s">
        <v>6837</v>
      </c>
      <c r="U48" s="4" t="s">
        <v>6889</v>
      </c>
      <c r="V48" s="64" t="s">
        <v>93</v>
      </c>
      <c r="W48" s="72">
        <v>45232</v>
      </c>
      <c r="X48" s="72">
        <v>45232</v>
      </c>
      <c r="Y48" s="4" t="s">
        <v>6870</v>
      </c>
      <c r="Z48" s="4"/>
    </row>
    <row r="49" ht="14.4" s="66" customFormat="1">
      <c r="A49" s="55">
        <v>171183</v>
      </c>
      <c r="B49" s="55" t="s">
        <v>4213</v>
      </c>
      <c r="C49" s="55" t="s">
        <v>4030</v>
      </c>
      <c r="D49" s="55">
        <v>1787244605</v>
      </c>
      <c r="E49" s="55" t="s">
        <v>67</v>
      </c>
      <c r="F49" s="55" t="s">
        <v>71</v>
      </c>
      <c r="G49" s="55" t="s">
        <v>2495</v>
      </c>
      <c r="H49" s="55" t="s">
        <v>73</v>
      </c>
      <c r="I49" s="55" t="s">
        <v>74</v>
      </c>
      <c r="J49" s="56">
        <v>45232</v>
      </c>
      <c r="K49" s="56">
        <v>45232</v>
      </c>
      <c r="L49" s="55" t="s">
        <v>6854</v>
      </c>
      <c r="M49" s="55" t="s">
        <v>6872</v>
      </c>
      <c r="N49" s="55" t="s">
        <v>4035</v>
      </c>
      <c r="O49" s="55" t="s">
        <v>6832</v>
      </c>
      <c r="P49" s="55" t="s">
        <v>6833</v>
      </c>
      <c r="Q49" s="56">
        <v>45232</v>
      </c>
      <c r="R49" s="55" t="s">
        <v>6832</v>
      </c>
      <c r="S49" s="55" t="s">
        <v>6833</v>
      </c>
      <c r="T49" s="55" t="s">
        <v>925</v>
      </c>
      <c r="U49" s="4" t="s">
        <v>6854</v>
      </c>
      <c r="V49" s="64" t="s">
        <v>93</v>
      </c>
      <c r="W49" s="72">
        <v>45232</v>
      </c>
      <c r="X49" s="72">
        <v>45233</v>
      </c>
      <c r="Y49" s="4" t="s">
        <v>6838</v>
      </c>
      <c r="Z49" s="4"/>
    </row>
    <row r="50" ht="14.4" s="66" customFormat="1">
      <c r="A50" s="55">
        <v>171097</v>
      </c>
      <c r="B50" s="55" t="s">
        <v>6890</v>
      </c>
      <c r="C50" s="55" t="s">
        <v>4049</v>
      </c>
      <c r="D50" s="55">
        <v>1722306160</v>
      </c>
      <c r="E50" s="55" t="s">
        <v>67</v>
      </c>
      <c r="F50" s="55" t="s">
        <v>71</v>
      </c>
      <c r="G50" s="55" t="s">
        <v>407</v>
      </c>
      <c r="H50" s="55" t="s">
        <v>6861</v>
      </c>
      <c r="I50" s="55" t="s">
        <v>74</v>
      </c>
      <c r="J50" s="56">
        <v>45231</v>
      </c>
      <c r="K50" s="56">
        <v>45237</v>
      </c>
      <c r="L50" s="55" t="s">
        <v>6852</v>
      </c>
      <c r="M50" s="55" t="s">
        <v>6872</v>
      </c>
      <c r="N50" s="55" t="s">
        <v>4035</v>
      </c>
      <c r="O50" s="55" t="s">
        <v>6832</v>
      </c>
      <c r="P50" s="55" t="s">
        <v>6833</v>
      </c>
      <c r="Q50" s="56">
        <v>45231</v>
      </c>
      <c r="R50" s="55" t="s">
        <v>6832</v>
      </c>
      <c r="S50" s="55" t="s">
        <v>6833</v>
      </c>
      <c r="T50" s="55" t="s">
        <v>925</v>
      </c>
      <c r="U50" s="4" t="s">
        <v>6852</v>
      </c>
      <c r="V50" s="64" t="s">
        <v>93</v>
      </c>
      <c r="W50" s="72">
        <v>45232</v>
      </c>
      <c r="X50" s="72">
        <v>45238</v>
      </c>
      <c r="Y50" s="4" t="s">
        <v>6838</v>
      </c>
      <c r="Z50" s="4"/>
    </row>
    <row r="51" ht="14.4" s="66" customFormat="1">
      <c r="A51" s="4">
        <v>171129</v>
      </c>
      <c r="B51" s="4" t="s">
        <v>6891</v>
      </c>
      <c r="C51" s="4" t="s">
        <v>4057</v>
      </c>
      <c r="D51" s="4">
        <v>1625495858</v>
      </c>
      <c r="E51" s="4" t="s">
        <v>67</v>
      </c>
      <c r="F51" s="4" t="s">
        <v>71</v>
      </c>
      <c r="G51" s="4" t="s">
        <v>155</v>
      </c>
      <c r="H51" s="4" t="s">
        <v>6857</v>
      </c>
      <c r="I51" s="4" t="s">
        <v>74</v>
      </c>
      <c r="J51" s="69">
        <v>45235</v>
      </c>
      <c r="K51" s="69">
        <v>45245</v>
      </c>
      <c r="L51" s="4" t="s">
        <v>6892</v>
      </c>
      <c r="M51" s="4" t="s">
        <v>6872</v>
      </c>
      <c r="N51" s="4" t="s">
        <v>4035</v>
      </c>
      <c r="O51" s="4" t="s">
        <v>6832</v>
      </c>
      <c r="P51" s="4" t="s">
        <v>6833</v>
      </c>
      <c r="Q51" s="69">
        <v>45235</v>
      </c>
      <c r="R51" s="4" t="s">
        <v>6832</v>
      </c>
      <c r="S51" s="4" t="s">
        <v>6833</v>
      </c>
      <c r="T51" s="4" t="s">
        <v>925</v>
      </c>
      <c r="U51" s="4" t="s">
        <v>6892</v>
      </c>
      <c r="V51" s="64" t="s">
        <v>93</v>
      </c>
      <c r="W51" s="72">
        <v>45236</v>
      </c>
      <c r="X51" s="72">
        <v>45246</v>
      </c>
      <c r="Y51" s="64" t="s">
        <v>6877</v>
      </c>
      <c r="Z51" s="4"/>
    </row>
    <row r="52" ht="14.4" s="66" customFormat="1">
      <c r="A52" s="55">
        <v>171123</v>
      </c>
      <c r="B52" s="55" t="s">
        <v>2856</v>
      </c>
      <c r="C52" s="55" t="s">
        <v>4051</v>
      </c>
      <c r="D52" s="55">
        <v>1744371007</v>
      </c>
      <c r="E52" s="55" t="s">
        <v>67</v>
      </c>
      <c r="F52" s="55" t="s">
        <v>71</v>
      </c>
      <c r="G52" s="55" t="s">
        <v>2495</v>
      </c>
      <c r="H52" s="55" t="s">
        <v>3659</v>
      </c>
      <c r="I52" s="55" t="s">
        <v>74</v>
      </c>
      <c r="J52" s="56">
        <v>45239</v>
      </c>
      <c r="K52" s="56">
        <v>45245</v>
      </c>
      <c r="L52" s="55" t="s">
        <v>6852</v>
      </c>
      <c r="M52" s="55" t="s">
        <v>6872</v>
      </c>
      <c r="N52" s="55" t="s">
        <v>6893</v>
      </c>
      <c r="O52" s="55" t="s">
        <v>1752</v>
      </c>
      <c r="P52" s="55" t="s">
        <v>81</v>
      </c>
      <c r="Q52" s="56">
        <v>45239</v>
      </c>
      <c r="R52" s="55" t="s">
        <v>1752</v>
      </c>
      <c r="S52" s="55" t="s">
        <v>81</v>
      </c>
      <c r="T52" s="55" t="s">
        <v>925</v>
      </c>
      <c r="U52" s="4" t="s">
        <v>6852</v>
      </c>
      <c r="V52" s="64" t="s">
        <v>93</v>
      </c>
      <c r="W52" s="56">
        <v>45239</v>
      </c>
      <c r="X52" s="56">
        <v>45246</v>
      </c>
      <c r="Y52" s="64" t="s">
        <v>6877</v>
      </c>
      <c r="Z52" s="4"/>
    </row>
    <row r="53" ht="14.4" s="66" customFormat="1">
      <c r="A53" s="55">
        <v>171157</v>
      </c>
      <c r="B53" s="55" t="s">
        <v>2445</v>
      </c>
      <c r="C53" s="55" t="s">
        <v>4065</v>
      </c>
      <c r="D53" s="55">
        <v>1845412782</v>
      </c>
      <c r="E53" s="55" t="s">
        <v>67</v>
      </c>
      <c r="F53" s="55" t="s">
        <v>71</v>
      </c>
      <c r="G53" s="55" t="s">
        <v>2495</v>
      </c>
      <c r="H53" s="55" t="s">
        <v>3659</v>
      </c>
      <c r="I53" s="55" t="s">
        <v>74</v>
      </c>
      <c r="J53" s="56">
        <v>45239</v>
      </c>
      <c r="K53" s="56">
        <v>45245</v>
      </c>
      <c r="L53" s="55" t="s">
        <v>6852</v>
      </c>
      <c r="M53" s="55" t="s">
        <v>6872</v>
      </c>
      <c r="N53" s="55" t="s">
        <v>5012</v>
      </c>
      <c r="O53" s="55" t="s">
        <v>1752</v>
      </c>
      <c r="P53" s="55" t="s">
        <v>81</v>
      </c>
      <c r="Q53" s="56">
        <v>45239</v>
      </c>
      <c r="R53" s="55" t="s">
        <v>1752</v>
      </c>
      <c r="S53" s="55" t="s">
        <v>81</v>
      </c>
      <c r="T53" s="55" t="s">
        <v>925</v>
      </c>
      <c r="U53" s="4" t="s">
        <v>6852</v>
      </c>
      <c r="V53" s="64" t="s">
        <v>93</v>
      </c>
      <c r="W53" s="56">
        <v>45239</v>
      </c>
      <c r="X53" s="56">
        <v>45246</v>
      </c>
      <c r="Y53" s="64" t="s">
        <v>6877</v>
      </c>
      <c r="Z53" s="4"/>
    </row>
    <row r="54" ht="14.4" s="66" customFormat="1">
      <c r="A54" s="4">
        <v>171185</v>
      </c>
      <c r="B54" s="4" t="s">
        <v>2808</v>
      </c>
      <c r="C54" s="4" t="s">
        <v>4082</v>
      </c>
      <c r="D54" s="4">
        <v>1790768959</v>
      </c>
      <c r="E54" s="4" t="s">
        <v>67</v>
      </c>
      <c r="F54" s="4" t="s">
        <v>71</v>
      </c>
      <c r="G54" s="4" t="s">
        <v>2495</v>
      </c>
      <c r="H54" s="4" t="s">
        <v>3659</v>
      </c>
      <c r="I54" s="4" t="s">
        <v>74</v>
      </c>
      <c r="J54" s="69">
        <v>45244</v>
      </c>
      <c r="K54" s="69">
        <v>45251</v>
      </c>
      <c r="L54" s="55" t="s">
        <v>6852</v>
      </c>
      <c r="M54" s="4" t="s">
        <v>6872</v>
      </c>
      <c r="N54" s="4" t="s">
        <v>3796</v>
      </c>
      <c r="O54" s="4" t="s">
        <v>1752</v>
      </c>
      <c r="P54" s="4" t="s">
        <v>81</v>
      </c>
      <c r="Q54" s="69">
        <v>45244</v>
      </c>
      <c r="R54" s="4" t="s">
        <v>1752</v>
      </c>
      <c r="S54" s="4" t="s">
        <v>81</v>
      </c>
      <c r="T54" s="4" t="s">
        <v>925</v>
      </c>
      <c r="U54" s="4" t="s">
        <v>6852</v>
      </c>
      <c r="V54" s="64" t="s">
        <v>93</v>
      </c>
      <c r="W54" s="72">
        <v>45245</v>
      </c>
      <c r="X54" s="72">
        <v>45252</v>
      </c>
      <c r="Y54" s="64" t="s">
        <v>6877</v>
      </c>
      <c r="Z54" s="4"/>
    </row>
    <row r="55" ht="14.4" s="66" customFormat="1">
      <c r="A55" s="55">
        <v>171175</v>
      </c>
      <c r="B55" s="55" t="s">
        <v>2606</v>
      </c>
      <c r="C55" s="55" t="s">
        <v>4089</v>
      </c>
      <c r="D55" s="55">
        <v>1629773652</v>
      </c>
      <c r="E55" s="55" t="s">
        <v>67</v>
      </c>
      <c r="F55" s="55" t="s">
        <v>71</v>
      </c>
      <c r="G55" s="55" t="s">
        <v>2495</v>
      </c>
      <c r="H55" s="55" t="s">
        <v>6861</v>
      </c>
      <c r="I55" s="55" t="s">
        <v>74</v>
      </c>
      <c r="J55" s="56">
        <v>45248</v>
      </c>
      <c r="K55" s="56">
        <v>45254</v>
      </c>
      <c r="L55" s="55" t="s">
        <v>6852</v>
      </c>
      <c r="M55" s="55" t="s">
        <v>6872</v>
      </c>
      <c r="N55" s="55" t="s">
        <v>4035</v>
      </c>
      <c r="O55" s="55" t="s">
        <v>6832</v>
      </c>
      <c r="P55" s="55" t="s">
        <v>6833</v>
      </c>
      <c r="Q55" s="56">
        <v>45248</v>
      </c>
      <c r="R55" s="55" t="s">
        <v>6832</v>
      </c>
      <c r="S55" s="55" t="s">
        <v>6833</v>
      </c>
      <c r="T55" s="55" t="s">
        <v>925</v>
      </c>
      <c r="U55" s="4" t="s">
        <v>6852</v>
      </c>
      <c r="V55" s="64" t="s">
        <v>93</v>
      </c>
      <c r="W55" s="72">
        <v>45250</v>
      </c>
      <c r="X55" s="72">
        <v>45255</v>
      </c>
      <c r="Y55" s="64" t="s">
        <v>6877</v>
      </c>
      <c r="Z55" s="4"/>
    </row>
    <row r="56" ht="14.4" s="66" customFormat="1">
      <c r="A56" s="55">
        <v>171010</v>
      </c>
      <c r="B56" s="55" t="s">
        <v>4098</v>
      </c>
      <c r="C56" s="55" t="s">
        <v>4099</v>
      </c>
      <c r="D56" s="55">
        <v>1865324465</v>
      </c>
      <c r="E56" s="55" t="s">
        <v>67</v>
      </c>
      <c r="F56" s="55" t="s">
        <v>71</v>
      </c>
      <c r="G56" s="55" t="s">
        <v>407</v>
      </c>
      <c r="H56" s="55" t="s">
        <v>73</v>
      </c>
      <c r="I56" s="55" t="s">
        <v>74</v>
      </c>
      <c r="J56" s="56">
        <v>45240</v>
      </c>
      <c r="K56" s="56">
        <v>45247</v>
      </c>
      <c r="L56" s="55" t="s">
        <v>6852</v>
      </c>
      <c r="M56" s="55" t="s">
        <v>6872</v>
      </c>
      <c r="N56" s="55" t="s">
        <v>4321</v>
      </c>
      <c r="O56" s="55" t="s">
        <v>1752</v>
      </c>
      <c r="P56" s="55" t="s">
        <v>81</v>
      </c>
      <c r="Q56" s="56">
        <v>45240</v>
      </c>
      <c r="R56" s="55" t="s">
        <v>1752</v>
      </c>
      <c r="S56" s="55" t="s">
        <v>81</v>
      </c>
      <c r="T56" s="55" t="s">
        <v>925</v>
      </c>
      <c r="U56" s="4" t="s">
        <v>6852</v>
      </c>
      <c r="V56" s="64" t="s">
        <v>93</v>
      </c>
      <c r="W56" s="72">
        <v>45250</v>
      </c>
      <c r="X56" s="72">
        <v>45251</v>
      </c>
      <c r="Y56" s="64" t="s">
        <v>6877</v>
      </c>
      <c r="Z56" s="4"/>
    </row>
    <row r="57" ht="14.4" s="66" customFormat="1">
      <c r="A57" s="4">
        <v>171001</v>
      </c>
      <c r="B57" s="4" t="s">
        <v>6894</v>
      </c>
      <c r="C57" s="4" t="s">
        <v>3512</v>
      </c>
      <c r="D57" s="4">
        <v>1765941991</v>
      </c>
      <c r="E57" s="4" t="s">
        <v>4150</v>
      </c>
      <c r="F57" s="4" t="s">
        <v>1766</v>
      </c>
      <c r="G57" s="4" t="s">
        <v>155</v>
      </c>
      <c r="H57" s="4" t="s">
        <v>74</v>
      </c>
      <c r="I57" s="4" t="s">
        <v>242</v>
      </c>
      <c r="J57" s="69">
        <v>45252</v>
      </c>
      <c r="K57" s="69">
        <v>45266</v>
      </c>
      <c r="L57" s="4" t="s">
        <v>6895</v>
      </c>
      <c r="M57" s="4" t="s">
        <v>6872</v>
      </c>
      <c r="N57" s="4" t="s">
        <v>4611</v>
      </c>
      <c r="O57" s="4" t="s">
        <v>6832</v>
      </c>
      <c r="P57" s="4" t="s">
        <v>6833</v>
      </c>
      <c r="Q57" s="4" t="s">
        <v>242</v>
      </c>
      <c r="R57" s="4" t="s">
        <v>242</v>
      </c>
      <c r="S57" s="4" t="s">
        <v>242</v>
      </c>
      <c r="T57" s="4" t="s">
        <v>3492</v>
      </c>
      <c r="U57" s="4" t="s">
        <v>6895</v>
      </c>
      <c r="V57" s="64" t="s">
        <v>93</v>
      </c>
      <c r="W57" s="72">
        <v>45254</v>
      </c>
      <c r="X57" s="72">
        <v>45266</v>
      </c>
      <c r="Y57" s="64" t="s">
        <v>6896</v>
      </c>
      <c r="Z57" s="4"/>
    </row>
    <row r="58" ht="14.4" s="66" customFormat="1">
      <c r="A58" s="55">
        <v>171057</v>
      </c>
      <c r="B58" s="55" t="s">
        <v>3925</v>
      </c>
      <c r="C58" s="55" t="s">
        <v>2496</v>
      </c>
      <c r="D58" s="55">
        <v>1919212294</v>
      </c>
      <c r="E58" s="55" t="s">
        <v>67</v>
      </c>
      <c r="F58" s="55" t="s">
        <v>71</v>
      </c>
      <c r="G58" s="55" t="s">
        <v>6897</v>
      </c>
      <c r="H58" s="55" t="s">
        <v>2643</v>
      </c>
      <c r="I58" s="55" t="s">
        <v>74</v>
      </c>
      <c r="J58" s="71">
        <v>45259</v>
      </c>
      <c r="K58" s="70">
        <v>45259</v>
      </c>
      <c r="L58" s="55" t="s">
        <v>6854</v>
      </c>
      <c r="M58" s="55" t="s">
        <v>3510</v>
      </c>
      <c r="N58" s="55" t="s">
        <v>6898</v>
      </c>
      <c r="O58" s="55" t="s">
        <v>6832</v>
      </c>
      <c r="P58" s="55" t="s">
        <v>6833</v>
      </c>
      <c r="Q58" s="55" t="s">
        <v>81</v>
      </c>
      <c r="R58" s="55" t="s">
        <v>6832</v>
      </c>
      <c r="S58" s="55" t="s">
        <v>6833</v>
      </c>
      <c r="T58" s="55" t="s">
        <v>6837</v>
      </c>
      <c r="U58" s="4" t="s">
        <v>6854</v>
      </c>
      <c r="V58" s="64" t="s">
        <v>93</v>
      </c>
      <c r="W58" s="72">
        <v>45260</v>
      </c>
      <c r="X58" s="72">
        <v>45260</v>
      </c>
      <c r="Y58" s="4" t="s">
        <v>6838</v>
      </c>
      <c r="Z58" s="4"/>
    </row>
    <row r="59" ht="14.4" s="66" customFormat="1">
      <c r="A59" s="55">
        <v>171236</v>
      </c>
      <c r="B59" s="55" t="s">
        <v>2856</v>
      </c>
      <c r="C59" s="55" t="s">
        <v>4122</v>
      </c>
      <c r="D59" s="55">
        <v>1845309781</v>
      </c>
      <c r="E59" s="55" t="s">
        <v>67</v>
      </c>
      <c r="F59" s="55" t="s">
        <v>71</v>
      </c>
      <c r="G59" s="55" t="s">
        <v>2495</v>
      </c>
      <c r="H59" s="55" t="s">
        <v>3659</v>
      </c>
      <c r="I59" s="55" t="s">
        <v>74</v>
      </c>
      <c r="J59" s="56">
        <v>45264</v>
      </c>
      <c r="K59" s="56">
        <v>45264</v>
      </c>
      <c r="L59" s="55" t="s">
        <v>6854</v>
      </c>
      <c r="M59" s="55" t="s">
        <v>6872</v>
      </c>
      <c r="N59" s="55" t="s">
        <v>6899</v>
      </c>
      <c r="O59" s="55" t="s">
        <v>6832</v>
      </c>
      <c r="P59" s="55" t="s">
        <v>6833</v>
      </c>
      <c r="Q59" s="56">
        <v>45264</v>
      </c>
      <c r="R59" s="55" t="s">
        <v>6832</v>
      </c>
      <c r="S59" s="55" t="s">
        <v>6833</v>
      </c>
      <c r="T59" s="55" t="s">
        <v>925</v>
      </c>
      <c r="U59" s="4" t="s">
        <v>6854</v>
      </c>
      <c r="V59" s="64" t="s">
        <v>93</v>
      </c>
      <c r="W59" s="72">
        <v>45265</v>
      </c>
      <c r="X59" s="72">
        <v>45265</v>
      </c>
      <c r="Y59" s="4" t="s">
        <v>6838</v>
      </c>
      <c r="Z59" s="4"/>
    </row>
    <row r="60" ht="14.4" s="66" customFormat="1">
      <c r="A60" s="4">
        <v>171267</v>
      </c>
      <c r="B60" s="4" t="s">
        <v>2801</v>
      </c>
      <c r="C60" s="4" t="s">
        <v>325</v>
      </c>
      <c r="D60" s="4">
        <v>1771359834</v>
      </c>
      <c r="E60" s="4" t="s">
        <v>67</v>
      </c>
      <c r="F60" s="4" t="s">
        <v>71</v>
      </c>
      <c r="G60" s="4" t="s">
        <v>2495</v>
      </c>
      <c r="H60" s="4" t="s">
        <v>3659</v>
      </c>
      <c r="I60" s="4" t="s">
        <v>74</v>
      </c>
      <c r="J60" s="69">
        <v>45264</v>
      </c>
      <c r="K60" s="69">
        <v>45264</v>
      </c>
      <c r="L60" s="4" t="s">
        <v>6854</v>
      </c>
      <c r="M60" s="4" t="s">
        <v>6872</v>
      </c>
      <c r="N60" s="4" t="s">
        <v>3978</v>
      </c>
      <c r="O60" s="4" t="s">
        <v>6832</v>
      </c>
      <c r="P60" s="4" t="s">
        <v>6833</v>
      </c>
      <c r="Q60" s="69">
        <v>45264</v>
      </c>
      <c r="R60" s="4" t="s">
        <v>6832</v>
      </c>
      <c r="S60" s="4" t="s">
        <v>6833</v>
      </c>
      <c r="T60" s="4" t="s">
        <v>925</v>
      </c>
      <c r="U60" s="4" t="s">
        <v>6854</v>
      </c>
      <c r="V60" s="64" t="s">
        <v>93</v>
      </c>
      <c r="W60" s="72">
        <v>45265</v>
      </c>
      <c r="X60" s="72">
        <v>45265</v>
      </c>
      <c r="Y60" s="4" t="s">
        <v>6838</v>
      </c>
      <c r="Z60" s="4"/>
    </row>
    <row r="61" ht="14.4" s="66" customFormat="1">
      <c r="A61" s="55">
        <v>171066</v>
      </c>
      <c r="B61" s="55" t="s">
        <v>4162</v>
      </c>
      <c r="C61" s="55" t="s">
        <v>6900</v>
      </c>
      <c r="D61" s="55">
        <v>1781466677</v>
      </c>
      <c r="E61" s="55" t="s">
        <v>67</v>
      </c>
      <c r="F61" s="55" t="s">
        <v>71</v>
      </c>
      <c r="G61" s="55" t="s">
        <v>155</v>
      </c>
      <c r="H61" s="55" t="s">
        <v>2643</v>
      </c>
      <c r="I61" s="55" t="s">
        <v>74</v>
      </c>
      <c r="J61" s="71">
        <v>45265</v>
      </c>
      <c r="K61" s="71">
        <v>45253</v>
      </c>
      <c r="L61" s="4" t="s">
        <v>6854</v>
      </c>
      <c r="M61" s="55" t="s">
        <v>3510</v>
      </c>
      <c r="N61" s="55" t="s">
        <v>6901</v>
      </c>
      <c r="O61" s="55" t="s">
        <v>6832</v>
      </c>
      <c r="P61" s="55" t="s">
        <v>6833</v>
      </c>
      <c r="Q61" s="55" t="s">
        <v>81</v>
      </c>
      <c r="R61" s="55" t="s">
        <v>6832</v>
      </c>
      <c r="S61" s="55" t="s">
        <v>6833</v>
      </c>
      <c r="T61" s="55" t="s">
        <v>6902</v>
      </c>
      <c r="U61" s="4" t="s">
        <v>6854</v>
      </c>
      <c r="V61" s="64" t="s">
        <v>93</v>
      </c>
      <c r="W61" s="72">
        <v>45266</v>
      </c>
      <c r="X61" s="72">
        <v>45266</v>
      </c>
      <c r="Y61" s="4" t="s">
        <v>6838</v>
      </c>
      <c r="Z61" s="4" t="s">
        <v>6903</v>
      </c>
    </row>
    <row r="62" ht="14.4" s="66" customFormat="1">
      <c r="A62" s="4">
        <v>171058</v>
      </c>
      <c r="B62" s="4" t="s">
        <v>574</v>
      </c>
      <c r="C62" s="4" t="s">
        <v>6904</v>
      </c>
      <c r="D62" s="4">
        <v>1730241731</v>
      </c>
      <c r="E62" s="4" t="s">
        <v>67</v>
      </c>
      <c r="F62" s="4" t="s">
        <v>71</v>
      </c>
      <c r="G62" s="4" t="s">
        <v>2495</v>
      </c>
      <c r="H62" s="4" t="s">
        <v>3659</v>
      </c>
      <c r="I62" s="4" t="s">
        <v>74</v>
      </c>
      <c r="J62" s="69">
        <v>45265</v>
      </c>
      <c r="K62" s="69">
        <v>45266</v>
      </c>
      <c r="L62" s="4" t="s">
        <v>6854</v>
      </c>
      <c r="M62" s="4" t="s">
        <v>6872</v>
      </c>
      <c r="N62" s="4" t="s">
        <v>3978</v>
      </c>
      <c r="O62" s="4" t="s">
        <v>6832</v>
      </c>
      <c r="P62" s="4" t="s">
        <v>6833</v>
      </c>
      <c r="Q62" s="69">
        <v>45265</v>
      </c>
      <c r="R62" s="4" t="s">
        <v>6832</v>
      </c>
      <c r="S62" s="4" t="s">
        <v>6833</v>
      </c>
      <c r="T62" s="4" t="s">
        <v>925</v>
      </c>
      <c r="U62" s="4" t="s">
        <v>6854</v>
      </c>
      <c r="V62" s="64" t="s">
        <v>93</v>
      </c>
      <c r="W62" s="72">
        <v>45266</v>
      </c>
      <c r="X62" s="72">
        <v>45266</v>
      </c>
      <c r="Y62" s="4" t="s">
        <v>6838</v>
      </c>
      <c r="Z62" s="4"/>
    </row>
    <row r="63" ht="28.8" s="66" customFormat="1">
      <c r="A63" s="55">
        <v>171158</v>
      </c>
      <c r="B63" s="55" t="s">
        <v>538</v>
      </c>
      <c r="C63" s="55" t="s">
        <v>4196</v>
      </c>
      <c r="D63" s="55">
        <v>1629388424</v>
      </c>
      <c r="E63" s="55" t="s">
        <v>67</v>
      </c>
      <c r="F63" s="55" t="s">
        <v>71</v>
      </c>
      <c r="G63" s="55" t="s">
        <v>2495</v>
      </c>
      <c r="H63" s="55" t="s">
        <v>115</v>
      </c>
      <c r="I63" s="55" t="s">
        <v>74</v>
      </c>
      <c r="J63" s="56">
        <v>45268</v>
      </c>
      <c r="K63" s="56">
        <v>45275</v>
      </c>
      <c r="L63" s="55" t="s">
        <v>6852</v>
      </c>
      <c r="M63" s="55" t="s">
        <v>6872</v>
      </c>
      <c r="N63" s="55" t="s">
        <v>4203</v>
      </c>
      <c r="O63" s="55" t="s">
        <v>6832</v>
      </c>
      <c r="P63" s="55" t="s">
        <v>6833</v>
      </c>
      <c r="Q63" s="56">
        <v>45268</v>
      </c>
      <c r="R63" s="55" t="s">
        <v>6832</v>
      </c>
      <c r="S63" s="55" t="s">
        <v>6833</v>
      </c>
      <c r="T63" s="55" t="s">
        <v>925</v>
      </c>
      <c r="U63" s="4" t="s">
        <v>6852</v>
      </c>
      <c r="V63" s="64" t="s">
        <v>93</v>
      </c>
      <c r="W63" s="72">
        <v>45271</v>
      </c>
      <c r="X63" s="72">
        <v>45276</v>
      </c>
      <c r="Y63" s="64" t="s">
        <v>6877</v>
      </c>
      <c r="Z63" s="4"/>
    </row>
    <row r="64" ht="14.4" s="66" customFormat="1">
      <c r="A64" s="4">
        <v>171276</v>
      </c>
      <c r="B64" s="4" t="s">
        <v>4204</v>
      </c>
      <c r="C64" s="4" t="s">
        <v>4205</v>
      </c>
      <c r="D64" s="4">
        <v>1754863249</v>
      </c>
      <c r="E64" s="4" t="s">
        <v>67</v>
      </c>
      <c r="F64" s="4" t="s">
        <v>71</v>
      </c>
      <c r="G64" s="4" t="s">
        <v>2495</v>
      </c>
      <c r="H64" s="4" t="s">
        <v>115</v>
      </c>
      <c r="I64" s="4" t="s">
        <v>74</v>
      </c>
      <c r="J64" s="69">
        <v>45269</v>
      </c>
      <c r="K64" s="69">
        <v>45276</v>
      </c>
      <c r="L64" s="4" t="s">
        <v>6852</v>
      </c>
      <c r="M64" s="4" t="s">
        <v>6872</v>
      </c>
      <c r="N64" s="4" t="s">
        <v>4002</v>
      </c>
      <c r="O64" s="4" t="s">
        <v>6832</v>
      </c>
      <c r="P64" s="4" t="s">
        <v>6833</v>
      </c>
      <c r="Q64" s="69">
        <v>45276</v>
      </c>
      <c r="R64" s="4" t="s">
        <v>6832</v>
      </c>
      <c r="S64" s="4" t="s">
        <v>6833</v>
      </c>
      <c r="T64" s="4" t="s">
        <v>925</v>
      </c>
      <c r="U64" s="4" t="s">
        <v>6852</v>
      </c>
      <c r="V64" s="64" t="s">
        <v>93</v>
      </c>
      <c r="W64" s="72">
        <v>45271</v>
      </c>
      <c r="X64" s="72">
        <v>45277</v>
      </c>
      <c r="Y64" s="64" t="s">
        <v>6877</v>
      </c>
      <c r="Z64" s="4"/>
    </row>
    <row r="65" ht="14.4" s="66" customFormat="1">
      <c r="A65" s="55">
        <v>171179</v>
      </c>
      <c r="B65" s="55" t="s">
        <v>601</v>
      </c>
      <c r="C65" s="55" t="s">
        <v>4287</v>
      </c>
      <c r="D65" s="55">
        <v>1783298179</v>
      </c>
      <c r="E65" s="55" t="s">
        <v>67</v>
      </c>
      <c r="F65" s="55" t="s">
        <v>71</v>
      </c>
      <c r="G65" s="55" t="s">
        <v>2495</v>
      </c>
      <c r="H65" s="55" t="s">
        <v>3659</v>
      </c>
      <c r="I65" s="55" t="s">
        <v>74</v>
      </c>
      <c r="J65" s="56">
        <v>45279</v>
      </c>
      <c r="K65" s="56">
        <v>45288</v>
      </c>
      <c r="L65" s="55" t="s">
        <v>6892</v>
      </c>
      <c r="M65" s="55" t="s">
        <v>6872</v>
      </c>
      <c r="N65" s="55" t="s">
        <v>3796</v>
      </c>
      <c r="O65" s="55" t="s">
        <v>6832</v>
      </c>
      <c r="P65" s="55" t="s">
        <v>6833</v>
      </c>
      <c r="Q65" s="56">
        <v>45288</v>
      </c>
      <c r="R65" s="55" t="s">
        <v>6832</v>
      </c>
      <c r="S65" s="55" t="s">
        <v>6833</v>
      </c>
      <c r="T65" s="55" t="s">
        <v>925</v>
      </c>
      <c r="U65" s="4" t="s">
        <v>6892</v>
      </c>
      <c r="V65" s="64" t="s">
        <v>93</v>
      </c>
      <c r="W65" s="72">
        <v>45281</v>
      </c>
      <c r="X65" s="72">
        <v>45289</v>
      </c>
      <c r="Y65" s="64" t="s">
        <v>6877</v>
      </c>
      <c r="Z65" s="4"/>
    </row>
    <row r="66" ht="14.4" s="66" customFormat="1">
      <c r="A66" s="55">
        <v>171164</v>
      </c>
      <c r="B66" s="55" t="s">
        <v>4293</v>
      </c>
      <c r="C66" s="55" t="s">
        <v>4294</v>
      </c>
      <c r="D66" s="55">
        <v>1750425616</v>
      </c>
      <c r="E66" s="55" t="s">
        <v>67</v>
      </c>
      <c r="F66" s="55" t="s">
        <v>71</v>
      </c>
      <c r="G66" s="55" t="s">
        <v>2495</v>
      </c>
      <c r="H66" s="55" t="s">
        <v>115</v>
      </c>
      <c r="I66" s="55" t="s">
        <v>74</v>
      </c>
      <c r="J66" s="56">
        <v>45283</v>
      </c>
      <c r="K66" s="56">
        <v>45289</v>
      </c>
      <c r="L66" s="55" t="s">
        <v>6852</v>
      </c>
      <c r="M66" s="55" t="s">
        <v>6872</v>
      </c>
      <c r="N66" s="55" t="s">
        <v>4035</v>
      </c>
      <c r="O66" s="55" t="s">
        <v>6832</v>
      </c>
      <c r="P66" s="55" t="s">
        <v>6833</v>
      </c>
      <c r="Q66" s="56">
        <v>45283</v>
      </c>
      <c r="R66" s="55" t="s">
        <v>6832</v>
      </c>
      <c r="S66" s="55" t="s">
        <v>6833</v>
      </c>
      <c r="T66" s="55" t="s">
        <v>925</v>
      </c>
      <c r="U66" s="4" t="s">
        <v>6852</v>
      </c>
      <c r="V66" s="64" t="s">
        <v>93</v>
      </c>
      <c r="W66" s="72">
        <v>45286</v>
      </c>
      <c r="X66" s="72">
        <v>45290</v>
      </c>
      <c r="Y66" s="4" t="s">
        <v>6834</v>
      </c>
      <c r="Z66" s="4"/>
    </row>
    <row r="67" ht="14.4" s="66" customFormat="1">
      <c r="A67" s="55">
        <v>171030</v>
      </c>
      <c r="B67" s="55" t="s">
        <v>6905</v>
      </c>
      <c r="C67" s="55" t="s">
        <v>6906</v>
      </c>
      <c r="D67" s="55">
        <v>1956090283</v>
      </c>
      <c r="E67" s="55" t="s">
        <v>67</v>
      </c>
      <c r="F67" s="55" t="s">
        <v>71</v>
      </c>
      <c r="G67" s="55" t="s">
        <v>155</v>
      </c>
      <c r="H67" s="55" t="s">
        <v>73</v>
      </c>
      <c r="I67" s="55" t="s">
        <v>74</v>
      </c>
      <c r="J67" s="56">
        <v>45274</v>
      </c>
      <c r="K67" s="56">
        <v>45274</v>
      </c>
      <c r="L67" s="55" t="s">
        <v>6854</v>
      </c>
      <c r="M67" s="55" t="s">
        <v>6872</v>
      </c>
      <c r="N67" s="55" t="s">
        <v>4035</v>
      </c>
      <c r="O67" s="55" t="s">
        <v>6832</v>
      </c>
      <c r="P67" s="55" t="s">
        <v>6833</v>
      </c>
      <c r="Q67" s="56">
        <v>45274</v>
      </c>
      <c r="R67" s="55" t="s">
        <v>6832</v>
      </c>
      <c r="S67" s="55" t="s">
        <v>6833</v>
      </c>
      <c r="T67" s="55" t="s">
        <v>3492</v>
      </c>
      <c r="U67" s="4" t="s">
        <v>6854</v>
      </c>
      <c r="V67" s="64" t="s">
        <v>93</v>
      </c>
      <c r="W67" s="72">
        <v>45286</v>
      </c>
      <c r="X67" s="72">
        <v>45286</v>
      </c>
      <c r="Y67" s="4" t="s">
        <v>6838</v>
      </c>
      <c r="Z67" s="4"/>
    </row>
    <row r="68" ht="14.4" s="66" customFormat="1">
      <c r="A68" s="55">
        <v>171241</v>
      </c>
      <c r="B68" s="55" t="s">
        <v>565</v>
      </c>
      <c r="C68" s="55" t="s">
        <v>4304</v>
      </c>
      <c r="D68" s="55">
        <v>1791468763</v>
      </c>
      <c r="E68" s="55" t="s">
        <v>67</v>
      </c>
      <c r="F68" s="55" t="s">
        <v>71</v>
      </c>
      <c r="G68" s="55" t="s">
        <v>2495</v>
      </c>
      <c r="H68" s="55" t="s">
        <v>115</v>
      </c>
      <c r="I68" s="55" t="s">
        <v>74</v>
      </c>
      <c r="J68" s="56">
        <v>45282</v>
      </c>
      <c r="K68" s="56">
        <v>45289</v>
      </c>
      <c r="L68" s="55" t="s">
        <v>6852</v>
      </c>
      <c r="M68" s="55" t="s">
        <v>6872</v>
      </c>
      <c r="N68" s="55" t="s">
        <v>6907</v>
      </c>
      <c r="O68" s="55" t="s">
        <v>6832</v>
      </c>
      <c r="P68" s="55" t="s">
        <v>6833</v>
      </c>
      <c r="Q68" s="56">
        <v>45282</v>
      </c>
      <c r="R68" s="55" t="s">
        <v>6832</v>
      </c>
      <c r="S68" s="55" t="s">
        <v>6833</v>
      </c>
      <c r="T68" s="55" t="s">
        <v>925</v>
      </c>
      <c r="U68" s="4" t="s">
        <v>6852</v>
      </c>
      <c r="V68" s="64" t="s">
        <v>93</v>
      </c>
      <c r="W68" s="72">
        <v>45286</v>
      </c>
      <c r="X68" s="72">
        <v>45290</v>
      </c>
      <c r="Y68" s="4" t="s">
        <v>6834</v>
      </c>
      <c r="Z68" s="4"/>
    </row>
    <row r="69" ht="14.4" s="66" customFormat="1">
      <c r="A69" s="55">
        <v>171042</v>
      </c>
      <c r="B69" s="55" t="s">
        <v>4232</v>
      </c>
      <c r="C69" s="55" t="s">
        <v>4233</v>
      </c>
      <c r="D69" s="55">
        <v>1786025614</v>
      </c>
      <c r="E69" s="55" t="s">
        <v>67</v>
      </c>
      <c r="F69" s="55" t="s">
        <v>71</v>
      </c>
      <c r="G69" s="55" t="s">
        <v>237</v>
      </c>
      <c r="H69" s="55" t="s">
        <v>2643</v>
      </c>
      <c r="I69" s="55" t="s">
        <v>74</v>
      </c>
      <c r="J69" s="56">
        <v>45282</v>
      </c>
      <c r="K69" s="56">
        <v>45282</v>
      </c>
      <c r="L69" s="55" t="s">
        <v>6854</v>
      </c>
      <c r="M69" s="55" t="s">
        <v>6872</v>
      </c>
      <c r="N69" s="55" t="s">
        <v>4035</v>
      </c>
      <c r="O69" s="55" t="s">
        <v>6832</v>
      </c>
      <c r="P69" s="55" t="s">
        <v>6833</v>
      </c>
      <c r="Q69" s="56">
        <v>45280</v>
      </c>
      <c r="R69" s="55" t="s">
        <v>6832</v>
      </c>
      <c r="S69" s="55" t="s">
        <v>6833</v>
      </c>
      <c r="T69" s="55" t="s">
        <v>925</v>
      </c>
      <c r="U69" s="4" t="s">
        <v>6854</v>
      </c>
      <c r="V69" s="64" t="s">
        <v>93</v>
      </c>
      <c r="W69" s="72">
        <v>45286</v>
      </c>
      <c r="X69" s="72">
        <v>45283</v>
      </c>
      <c r="Y69" s="4" t="s">
        <v>6838</v>
      </c>
      <c r="Z69" s="4"/>
    </row>
    <row r="70" ht="14.4" s="66" customFormat="1">
      <c r="A70" s="55">
        <v>171242</v>
      </c>
      <c r="B70" s="55" t="s">
        <v>546</v>
      </c>
      <c r="C70" s="55" t="s">
        <v>6908</v>
      </c>
      <c r="D70" s="55">
        <v>1775524570</v>
      </c>
      <c r="E70" s="55" t="s">
        <v>67</v>
      </c>
      <c r="F70" s="55" t="s">
        <v>71</v>
      </c>
      <c r="G70" s="55" t="s">
        <v>2495</v>
      </c>
      <c r="H70" s="55" t="s">
        <v>115</v>
      </c>
      <c r="I70" s="55" t="s">
        <v>74</v>
      </c>
      <c r="J70" s="56">
        <v>45282</v>
      </c>
      <c r="K70" s="56">
        <v>45289</v>
      </c>
      <c r="L70" s="55" t="s">
        <v>6852</v>
      </c>
      <c r="M70" s="55" t="s">
        <v>6872</v>
      </c>
      <c r="N70" s="55" t="s">
        <v>6907</v>
      </c>
      <c r="O70" s="55" t="s">
        <v>6832</v>
      </c>
      <c r="P70" s="55" t="s">
        <v>6833</v>
      </c>
      <c r="Q70" s="56">
        <v>45282</v>
      </c>
      <c r="R70" s="55" t="s">
        <v>6832</v>
      </c>
      <c r="S70" s="55" t="s">
        <v>6833</v>
      </c>
      <c r="T70" s="55" t="s">
        <v>925</v>
      </c>
      <c r="U70" s="4" t="s">
        <v>6852</v>
      </c>
      <c r="V70" s="64" t="s">
        <v>93</v>
      </c>
      <c r="W70" s="72">
        <v>45286</v>
      </c>
      <c r="X70" s="72">
        <v>45290</v>
      </c>
      <c r="Y70" s="4" t="s">
        <v>6834</v>
      </c>
      <c r="Z70" s="4"/>
    </row>
    <row r="71" ht="14.4" s="66" customFormat="1">
      <c r="A71" s="55">
        <v>171225</v>
      </c>
      <c r="B71" s="55" t="s">
        <v>592</v>
      </c>
      <c r="C71" s="55" t="s">
        <v>6909</v>
      </c>
      <c r="D71" s="55">
        <v>1708610501</v>
      </c>
      <c r="E71" s="55" t="s">
        <v>67</v>
      </c>
      <c r="F71" s="55" t="s">
        <v>71</v>
      </c>
      <c r="G71" s="55" t="s">
        <v>2495</v>
      </c>
      <c r="H71" s="55" t="s">
        <v>115</v>
      </c>
      <c r="I71" s="55" t="s">
        <v>74</v>
      </c>
      <c r="J71" s="56">
        <v>45280</v>
      </c>
      <c r="K71" s="56">
        <v>45287</v>
      </c>
      <c r="L71" s="55" t="s">
        <v>6852</v>
      </c>
      <c r="M71" s="55" t="s">
        <v>6872</v>
      </c>
      <c r="N71" s="55" t="s">
        <v>4035</v>
      </c>
      <c r="O71" s="55" t="s">
        <v>6832</v>
      </c>
      <c r="P71" s="55" t="s">
        <v>6833</v>
      </c>
      <c r="Q71" s="56">
        <v>45280</v>
      </c>
      <c r="R71" s="55" t="s">
        <v>6832</v>
      </c>
      <c r="S71" s="55" t="s">
        <v>6833</v>
      </c>
      <c r="T71" s="55" t="s">
        <v>925</v>
      </c>
      <c r="U71" s="4" t="s">
        <v>6852</v>
      </c>
      <c r="V71" s="64" t="s">
        <v>93</v>
      </c>
      <c r="W71" s="72">
        <v>45286</v>
      </c>
      <c r="X71" s="72">
        <v>45288</v>
      </c>
      <c r="Y71" s="4" t="s">
        <v>6834</v>
      </c>
      <c r="Z71" s="4"/>
    </row>
    <row r="72" ht="14.4" s="66" customFormat="1">
      <c r="A72" s="55">
        <v>171194</v>
      </c>
      <c r="B72" s="55" t="s">
        <v>4012</v>
      </c>
      <c r="C72" s="55" t="s">
        <v>4261</v>
      </c>
      <c r="D72" s="55">
        <v>1611333254</v>
      </c>
      <c r="E72" s="55" t="s">
        <v>67</v>
      </c>
      <c r="F72" s="55" t="s">
        <v>71</v>
      </c>
      <c r="G72" s="55" t="s">
        <v>2495</v>
      </c>
      <c r="H72" s="55" t="s">
        <v>115</v>
      </c>
      <c r="I72" s="55" t="s">
        <v>74</v>
      </c>
      <c r="J72" s="56">
        <v>45279</v>
      </c>
      <c r="K72" s="56">
        <v>45286</v>
      </c>
      <c r="L72" s="55" t="s">
        <v>6852</v>
      </c>
      <c r="M72" s="55" t="s">
        <v>6872</v>
      </c>
      <c r="N72" s="55" t="s">
        <v>4035</v>
      </c>
      <c r="O72" s="55" t="s">
        <v>6832</v>
      </c>
      <c r="P72" s="55" t="s">
        <v>6833</v>
      </c>
      <c r="Q72" s="56">
        <v>45280</v>
      </c>
      <c r="R72" s="55" t="s">
        <v>6832</v>
      </c>
      <c r="S72" s="55" t="s">
        <v>6833</v>
      </c>
      <c r="T72" s="55" t="s">
        <v>925</v>
      </c>
      <c r="U72" s="4" t="s">
        <v>6852</v>
      </c>
      <c r="V72" s="64" t="s">
        <v>93</v>
      </c>
      <c r="W72" s="72">
        <v>45286</v>
      </c>
      <c r="X72" s="72">
        <v>45287</v>
      </c>
      <c r="Y72" s="4" t="s">
        <v>6834</v>
      </c>
      <c r="Z72" s="4"/>
    </row>
    <row r="73" ht="14.4" s="66" customFormat="1">
      <c r="A73" s="55">
        <v>171128</v>
      </c>
      <c r="B73" s="55" t="s">
        <v>3940</v>
      </c>
      <c r="C73" s="55" t="s">
        <v>4279</v>
      </c>
      <c r="D73" s="55">
        <v>1749668578</v>
      </c>
      <c r="E73" s="55" t="s">
        <v>67</v>
      </c>
      <c r="F73" s="55" t="s">
        <v>71</v>
      </c>
      <c r="G73" s="55" t="s">
        <v>4005</v>
      </c>
      <c r="H73" s="55" t="s">
        <v>2643</v>
      </c>
      <c r="I73" s="55" t="s">
        <v>74</v>
      </c>
      <c r="J73" s="70">
        <v>45278</v>
      </c>
      <c r="K73" s="70">
        <v>45287</v>
      </c>
      <c r="L73" s="55" t="s">
        <v>6831</v>
      </c>
      <c r="M73" s="55" t="s">
        <v>3510</v>
      </c>
      <c r="N73" s="55" t="s">
        <v>3796</v>
      </c>
      <c r="O73" s="55" t="s">
        <v>6832</v>
      </c>
      <c r="P73" s="55" t="s">
        <v>6833</v>
      </c>
      <c r="Q73" s="55" t="s">
        <v>81</v>
      </c>
      <c r="R73" s="55" t="s">
        <v>6832</v>
      </c>
      <c r="S73" s="55" t="s">
        <v>6833</v>
      </c>
      <c r="T73" s="55" t="s">
        <v>6837</v>
      </c>
      <c r="U73" s="4" t="s">
        <v>6831</v>
      </c>
      <c r="V73" s="64" t="s">
        <v>93</v>
      </c>
      <c r="W73" s="72">
        <v>45286</v>
      </c>
      <c r="X73" s="72">
        <v>45288</v>
      </c>
      <c r="Y73" s="4" t="s">
        <v>6834</v>
      </c>
      <c r="Z73" s="4"/>
    </row>
    <row r="74" ht="14.4" s="66" customFormat="1">
      <c r="A74" s="4">
        <v>171203</v>
      </c>
      <c r="B74" s="55" t="s">
        <v>6910</v>
      </c>
      <c r="C74" s="55" t="s">
        <v>6911</v>
      </c>
      <c r="D74" s="55">
        <v>1796338138</v>
      </c>
      <c r="E74" s="55" t="s">
        <v>67</v>
      </c>
      <c r="F74" s="55" t="s">
        <v>71</v>
      </c>
      <c r="G74" s="55" t="s">
        <v>155</v>
      </c>
      <c r="H74" s="55" t="s">
        <v>2643</v>
      </c>
      <c r="I74" s="55" t="s">
        <v>74</v>
      </c>
      <c r="J74" s="70">
        <v>45277</v>
      </c>
      <c r="K74" s="70">
        <v>45283</v>
      </c>
      <c r="L74" s="55" t="s">
        <v>6831</v>
      </c>
      <c r="M74" s="55" t="s">
        <v>3510</v>
      </c>
      <c r="N74" s="55" t="s">
        <v>3796</v>
      </c>
      <c r="O74" s="55" t="s">
        <v>6832</v>
      </c>
      <c r="P74" s="55" t="s">
        <v>6833</v>
      </c>
      <c r="Q74" s="55" t="s">
        <v>81</v>
      </c>
      <c r="R74" s="55" t="s">
        <v>6832</v>
      </c>
      <c r="S74" s="55" t="s">
        <v>6833</v>
      </c>
      <c r="T74" s="55" t="s">
        <v>6837</v>
      </c>
      <c r="U74" s="4" t="s">
        <v>6831</v>
      </c>
      <c r="V74" s="64" t="s">
        <v>93</v>
      </c>
      <c r="W74" s="72">
        <v>45286</v>
      </c>
      <c r="X74" s="72">
        <v>45284</v>
      </c>
      <c r="Y74" s="4" t="s">
        <v>6834</v>
      </c>
      <c r="Z74" s="4"/>
    </row>
    <row r="75" ht="14.4" s="66" customFormat="1">
      <c r="A75" s="55">
        <v>171254</v>
      </c>
      <c r="B75" s="55" t="s">
        <v>4213</v>
      </c>
      <c r="C75" s="55" t="s">
        <v>4214</v>
      </c>
      <c r="D75" s="55">
        <v>1832384929</v>
      </c>
      <c r="E75" s="55" t="s">
        <v>67</v>
      </c>
      <c r="F75" s="55" t="s">
        <v>71</v>
      </c>
      <c r="G75" s="55" t="s">
        <v>2495</v>
      </c>
      <c r="H75" s="55" t="s">
        <v>3659</v>
      </c>
      <c r="I75" s="55" t="s">
        <v>74</v>
      </c>
      <c r="J75" s="56">
        <v>45260</v>
      </c>
      <c r="K75" s="56">
        <v>45260</v>
      </c>
      <c r="L75" s="55" t="s">
        <v>6854</v>
      </c>
      <c r="M75" s="55" t="s">
        <v>6872</v>
      </c>
      <c r="N75" s="55" t="s">
        <v>3796</v>
      </c>
      <c r="O75" s="55" t="s">
        <v>1752</v>
      </c>
      <c r="P75" s="55" t="s">
        <v>81</v>
      </c>
      <c r="Q75" s="56">
        <v>45260</v>
      </c>
      <c r="R75" s="55" t="s">
        <v>1752</v>
      </c>
      <c r="S75" s="55" t="s">
        <v>81</v>
      </c>
      <c r="T75" s="55" t="s">
        <v>925</v>
      </c>
      <c r="U75" s="4" t="s">
        <v>6854</v>
      </c>
      <c r="V75" s="64" t="s">
        <v>93</v>
      </c>
      <c r="W75" s="72">
        <v>45281</v>
      </c>
      <c r="X75" s="72">
        <v>45279</v>
      </c>
      <c r="Y75" s="4" t="s">
        <v>6838</v>
      </c>
      <c r="Z75" s="4"/>
    </row>
    <row r="76" ht="14.4" s="66" customFormat="1">
      <c r="A76" s="4">
        <v>171096</v>
      </c>
      <c r="B76" s="55" t="s">
        <v>6912</v>
      </c>
      <c r="C76" s="55" t="s">
        <v>4242</v>
      </c>
      <c r="D76" s="55">
        <v>1989848756</v>
      </c>
      <c r="E76" s="55" t="s">
        <v>67</v>
      </c>
      <c r="F76" s="55" t="s">
        <v>71</v>
      </c>
      <c r="G76" s="55" t="s">
        <v>155</v>
      </c>
      <c r="H76" s="55" t="s">
        <v>2643</v>
      </c>
      <c r="I76" s="55" t="s">
        <v>74</v>
      </c>
      <c r="J76" s="70">
        <v>45275</v>
      </c>
      <c r="K76" s="70">
        <v>45282</v>
      </c>
      <c r="L76" s="55" t="s">
        <v>6831</v>
      </c>
      <c r="M76" s="55" t="s">
        <v>3510</v>
      </c>
      <c r="N76" s="55" t="s">
        <v>3796</v>
      </c>
      <c r="O76" s="55" t="s">
        <v>6832</v>
      </c>
      <c r="P76" s="55" t="s">
        <v>6833</v>
      </c>
      <c r="Q76" s="55" t="s">
        <v>81</v>
      </c>
      <c r="R76" s="55" t="s">
        <v>6832</v>
      </c>
      <c r="S76" s="55" t="s">
        <v>6833</v>
      </c>
      <c r="T76" s="55" t="s">
        <v>6837</v>
      </c>
      <c r="U76" s="4" t="s">
        <v>6831</v>
      </c>
      <c r="V76" s="64" t="s">
        <v>93</v>
      </c>
      <c r="W76" s="72">
        <v>45286</v>
      </c>
      <c r="X76" s="72">
        <v>45283</v>
      </c>
      <c r="Y76" s="4" t="s">
        <v>6834</v>
      </c>
      <c r="Z76" s="4"/>
    </row>
    <row r="77" ht="14.4" s="66" customFormat="1">
      <c r="A77" s="55">
        <v>171133</v>
      </c>
      <c r="B77" s="55" t="s">
        <v>128</v>
      </c>
      <c r="C77" s="55" t="s">
        <v>4222</v>
      </c>
      <c r="D77" s="55">
        <v>1770160585</v>
      </c>
      <c r="E77" s="55" t="s">
        <v>67</v>
      </c>
      <c r="F77" s="55" t="s">
        <v>71</v>
      </c>
      <c r="G77" s="55" t="s">
        <v>6841</v>
      </c>
      <c r="H77" s="55" t="s">
        <v>2643</v>
      </c>
      <c r="I77" s="55" t="s">
        <v>74</v>
      </c>
      <c r="J77" s="70">
        <v>45274</v>
      </c>
      <c r="K77" s="70">
        <v>45279</v>
      </c>
      <c r="L77" s="55" t="s">
        <v>6913</v>
      </c>
      <c r="M77" s="55" t="s">
        <v>3510</v>
      </c>
      <c r="N77" s="55" t="s">
        <v>3796</v>
      </c>
      <c r="O77" s="55" t="s">
        <v>6832</v>
      </c>
      <c r="P77" s="55" t="s">
        <v>6833</v>
      </c>
      <c r="Q77" s="55" t="s">
        <v>81</v>
      </c>
      <c r="R77" s="55" t="s">
        <v>6832</v>
      </c>
      <c r="S77" s="55" t="s">
        <v>6833</v>
      </c>
      <c r="T77" s="55" t="s">
        <v>6837</v>
      </c>
      <c r="U77" s="55" t="s">
        <v>6913</v>
      </c>
      <c r="V77" s="64" t="s">
        <v>93</v>
      </c>
      <c r="W77" s="72">
        <v>45286</v>
      </c>
      <c r="X77" s="72">
        <v>45280</v>
      </c>
      <c r="Y77" s="4" t="s">
        <v>6914</v>
      </c>
      <c r="Z77" s="4"/>
    </row>
    <row r="78" ht="14.4" s="66" customFormat="1">
      <c r="A78" s="55">
        <v>171100</v>
      </c>
      <c r="B78" s="55" t="s">
        <v>4364</v>
      </c>
      <c r="C78" s="55" t="s">
        <v>4312</v>
      </c>
      <c r="D78" s="55">
        <v>1771993993</v>
      </c>
      <c r="E78" s="55" t="s">
        <v>67</v>
      </c>
      <c r="F78" s="55" t="s">
        <v>71</v>
      </c>
      <c r="G78" s="55" t="s">
        <v>6841</v>
      </c>
      <c r="H78" s="55" t="s">
        <v>2643</v>
      </c>
      <c r="I78" s="55" t="s">
        <v>74</v>
      </c>
      <c r="J78" s="70">
        <v>45267</v>
      </c>
      <c r="K78" s="70">
        <v>45275</v>
      </c>
      <c r="L78" s="55" t="s">
        <v>6831</v>
      </c>
      <c r="M78" s="55" t="s">
        <v>3510</v>
      </c>
      <c r="N78" s="55" t="s">
        <v>4321</v>
      </c>
      <c r="O78" s="55" t="s">
        <v>6832</v>
      </c>
      <c r="P78" s="55" t="s">
        <v>6833</v>
      </c>
      <c r="Q78" s="55" t="s">
        <v>81</v>
      </c>
      <c r="R78" s="55" t="s">
        <v>6832</v>
      </c>
      <c r="S78" s="55" t="s">
        <v>6833</v>
      </c>
      <c r="T78" s="55" t="s">
        <v>925</v>
      </c>
      <c r="U78" s="4" t="s">
        <v>6831</v>
      </c>
      <c r="V78" s="64" t="s">
        <v>93</v>
      </c>
      <c r="W78" s="72">
        <v>45291</v>
      </c>
      <c r="X78" s="72">
        <v>45291</v>
      </c>
      <c r="Y78" s="4" t="s">
        <v>6834</v>
      </c>
      <c r="Z78" s="4"/>
    </row>
    <row r="79" ht="14.4" s="66" customFormat="1">
      <c r="A79" s="55">
        <v>171169</v>
      </c>
      <c r="B79" s="55" t="s">
        <v>611</v>
      </c>
      <c r="C79" s="55" t="s">
        <v>4322</v>
      </c>
      <c r="D79" s="55">
        <v>1757193697</v>
      </c>
      <c r="E79" s="55" t="s">
        <v>67</v>
      </c>
      <c r="F79" s="55" t="s">
        <v>71</v>
      </c>
      <c r="G79" s="55" t="s">
        <v>2495</v>
      </c>
      <c r="H79" s="55" t="s">
        <v>115</v>
      </c>
      <c r="I79" s="55" t="s">
        <v>74</v>
      </c>
      <c r="J79" s="56">
        <v>45285</v>
      </c>
      <c r="K79" s="56">
        <v>45291</v>
      </c>
      <c r="L79" s="55" t="s">
        <v>6852</v>
      </c>
      <c r="M79" s="55" t="s">
        <v>6872</v>
      </c>
      <c r="N79" s="55" t="s">
        <v>4035</v>
      </c>
      <c r="O79" s="55" t="s">
        <v>6832</v>
      </c>
      <c r="P79" s="55" t="s">
        <v>6833</v>
      </c>
      <c r="Q79" s="56">
        <v>45283</v>
      </c>
      <c r="R79" s="55" t="s">
        <v>6832</v>
      </c>
      <c r="S79" s="55" t="s">
        <v>6833</v>
      </c>
      <c r="T79" s="55" t="s">
        <v>925</v>
      </c>
      <c r="U79" s="4" t="s">
        <v>6852</v>
      </c>
      <c r="V79" s="64" t="s">
        <v>93</v>
      </c>
      <c r="W79" s="72">
        <v>45287</v>
      </c>
      <c r="X79" s="72">
        <v>45292</v>
      </c>
      <c r="Y79" s="4" t="s">
        <v>6834</v>
      </c>
      <c r="Z79" s="4"/>
    </row>
    <row r="80" ht="14.4" s="66" customFormat="1">
      <c r="A80" s="55">
        <v>171245</v>
      </c>
      <c r="B80" s="55" t="s">
        <v>4332</v>
      </c>
      <c r="C80" s="55" t="s">
        <v>4322</v>
      </c>
      <c r="D80" s="55">
        <v>1628588200</v>
      </c>
      <c r="E80" s="55" t="s">
        <v>67</v>
      </c>
      <c r="F80" s="55" t="s">
        <v>71</v>
      </c>
      <c r="G80" s="55" t="s">
        <v>2495</v>
      </c>
      <c r="H80" s="55" t="s">
        <v>115</v>
      </c>
      <c r="I80" s="55" t="s">
        <v>74</v>
      </c>
      <c r="J80" s="56">
        <v>45289</v>
      </c>
      <c r="K80" s="56">
        <v>45296</v>
      </c>
      <c r="L80" s="55" t="s">
        <v>6852</v>
      </c>
      <c r="M80" s="55" t="s">
        <v>6872</v>
      </c>
      <c r="N80" s="55" t="s">
        <v>4339</v>
      </c>
      <c r="O80" s="55" t="s">
        <v>6832</v>
      </c>
      <c r="P80" s="55" t="s">
        <v>6833</v>
      </c>
      <c r="Q80" s="56">
        <v>45289</v>
      </c>
      <c r="R80" s="55" t="s">
        <v>6832</v>
      </c>
      <c r="S80" s="55" t="s">
        <v>6833</v>
      </c>
      <c r="T80" s="55" t="s">
        <v>925</v>
      </c>
      <c r="U80" s="4" t="s">
        <v>6852</v>
      </c>
      <c r="V80" s="64" t="s">
        <v>93</v>
      </c>
      <c r="W80" s="72">
        <v>45291</v>
      </c>
      <c r="X80" s="72">
        <v>45297</v>
      </c>
      <c r="Y80" s="4" t="s">
        <v>6834</v>
      </c>
      <c r="Z80" s="4"/>
    </row>
    <row r="81" ht="14.4" s="66" customFormat="1">
      <c r="A81" s="55">
        <v>171093</v>
      </c>
      <c r="B81" s="55" t="s">
        <v>3670</v>
      </c>
      <c r="C81" s="55" t="s">
        <v>4340</v>
      </c>
      <c r="D81" s="55">
        <v>1628023466</v>
      </c>
      <c r="E81" s="55" t="s">
        <v>67</v>
      </c>
      <c r="F81" s="55" t="s">
        <v>71</v>
      </c>
      <c r="G81" s="55" t="s">
        <v>237</v>
      </c>
      <c r="H81" s="55" t="s">
        <v>2643</v>
      </c>
      <c r="I81" s="55" t="s">
        <v>74</v>
      </c>
      <c r="J81" s="56">
        <v>45293</v>
      </c>
      <c r="K81" s="56">
        <v>45299</v>
      </c>
      <c r="L81" s="55" t="s">
        <v>6852</v>
      </c>
      <c r="M81" s="55" t="s">
        <v>6872</v>
      </c>
      <c r="N81" s="55" t="s">
        <v>4035</v>
      </c>
      <c r="O81" s="55" t="s">
        <v>6832</v>
      </c>
      <c r="P81" s="55" t="s">
        <v>6833</v>
      </c>
      <c r="Q81" s="56">
        <v>45293</v>
      </c>
      <c r="R81" s="55" t="s">
        <v>6832</v>
      </c>
      <c r="S81" s="55" t="s">
        <v>6833</v>
      </c>
      <c r="T81" s="55" t="s">
        <v>925</v>
      </c>
      <c r="U81" s="4" t="s">
        <v>6852</v>
      </c>
      <c r="V81" s="64" t="s">
        <v>93</v>
      </c>
      <c r="W81" s="72">
        <v>45299</v>
      </c>
      <c r="X81" s="72">
        <v>45300</v>
      </c>
      <c r="Y81" s="4" t="s">
        <v>6834</v>
      </c>
      <c r="Z81" s="4"/>
    </row>
    <row r="82" ht="14.4" s="66" customFormat="1">
      <c r="A82" s="55">
        <v>171239</v>
      </c>
      <c r="B82" s="55" t="s">
        <v>6915</v>
      </c>
      <c r="C82" s="55" t="s">
        <v>4355</v>
      </c>
      <c r="D82" s="55">
        <v>1708915804</v>
      </c>
      <c r="E82" s="55" t="s">
        <v>67</v>
      </c>
      <c r="F82" s="55" t="s">
        <v>71</v>
      </c>
      <c r="G82" s="55" t="s">
        <v>319</v>
      </c>
      <c r="H82" s="55" t="s">
        <v>6916</v>
      </c>
      <c r="I82" s="55" t="s">
        <v>74</v>
      </c>
      <c r="J82" s="71">
        <v>45298</v>
      </c>
      <c r="K82" s="56">
        <v>45306</v>
      </c>
      <c r="L82" s="55" t="s">
        <v>6831</v>
      </c>
      <c r="M82" s="55" t="s">
        <v>3510</v>
      </c>
      <c r="N82" s="55" t="s">
        <v>3796</v>
      </c>
      <c r="O82" s="55" t="s">
        <v>6832</v>
      </c>
      <c r="P82" s="55" t="s">
        <v>6833</v>
      </c>
      <c r="Q82" s="55" t="s">
        <v>81</v>
      </c>
      <c r="R82" s="55" t="s">
        <v>6832</v>
      </c>
      <c r="S82" s="55" t="s">
        <v>6833</v>
      </c>
      <c r="T82" s="55" t="s">
        <v>925</v>
      </c>
      <c r="U82" s="4" t="s">
        <v>6831</v>
      </c>
      <c r="V82" s="64" t="s">
        <v>93</v>
      </c>
      <c r="W82" s="72">
        <v>45300</v>
      </c>
      <c r="X82" s="72">
        <v>45307</v>
      </c>
      <c r="Y82" s="4" t="s">
        <v>6834</v>
      </c>
      <c r="Z82" s="4"/>
    </row>
    <row r="83" ht="14.4" s="66" customFormat="1">
      <c r="A83" s="4">
        <v>171214</v>
      </c>
      <c r="B83" s="55" t="s">
        <v>6917</v>
      </c>
      <c r="C83" s="55" t="s">
        <v>4347</v>
      </c>
      <c r="D83" s="55">
        <v>1988201823</v>
      </c>
      <c r="E83" s="55" t="s">
        <v>67</v>
      </c>
      <c r="F83" s="55" t="s">
        <v>71</v>
      </c>
      <c r="G83" s="55" t="s">
        <v>319</v>
      </c>
      <c r="H83" s="55" t="s">
        <v>6918</v>
      </c>
      <c r="I83" s="55" t="s">
        <v>74</v>
      </c>
      <c r="J83" s="71">
        <v>45298</v>
      </c>
      <c r="K83" s="56">
        <v>45306</v>
      </c>
      <c r="L83" s="55" t="s">
        <v>6831</v>
      </c>
      <c r="M83" s="55" t="s">
        <v>3510</v>
      </c>
      <c r="N83" s="55" t="s">
        <v>3796</v>
      </c>
      <c r="O83" s="55" t="s">
        <v>6832</v>
      </c>
      <c r="P83" s="55" t="s">
        <v>6833</v>
      </c>
      <c r="Q83" s="55" t="s">
        <v>81</v>
      </c>
      <c r="R83" s="55" t="s">
        <v>6832</v>
      </c>
      <c r="S83" s="55" t="s">
        <v>6833</v>
      </c>
      <c r="T83" s="55" t="s">
        <v>925</v>
      </c>
      <c r="U83" s="4" t="s">
        <v>6831</v>
      </c>
      <c r="V83" s="64" t="s">
        <v>93</v>
      </c>
      <c r="W83" s="72">
        <v>45300</v>
      </c>
      <c r="X83" s="72">
        <v>45307</v>
      </c>
      <c r="Y83" s="4" t="s">
        <v>6834</v>
      </c>
      <c r="Z83" s="4"/>
    </row>
    <row r="84" ht="14.4" s="66" customFormat="1">
      <c r="A84" s="55">
        <v>171249</v>
      </c>
      <c r="B84" s="55" t="s">
        <v>1782</v>
      </c>
      <c r="C84" s="55" t="s">
        <v>4373</v>
      </c>
      <c r="D84" s="55">
        <v>1646677374</v>
      </c>
      <c r="E84" s="55" t="s">
        <v>67</v>
      </c>
      <c r="F84" s="55" t="s">
        <v>71</v>
      </c>
      <c r="G84" s="55" t="s">
        <v>5709</v>
      </c>
      <c r="H84" s="55" t="s">
        <v>6861</v>
      </c>
      <c r="I84" s="55" t="s">
        <v>74</v>
      </c>
      <c r="J84" s="56">
        <v>45308</v>
      </c>
      <c r="K84" s="56">
        <v>45308</v>
      </c>
      <c r="L84" s="55" t="s">
        <v>6854</v>
      </c>
      <c r="M84" s="55" t="s">
        <v>6872</v>
      </c>
      <c r="N84" s="55" t="s">
        <v>4556</v>
      </c>
      <c r="O84" s="55" t="s">
        <v>6832</v>
      </c>
      <c r="P84" s="55" t="s">
        <v>6833</v>
      </c>
      <c r="Q84" s="56">
        <v>45308</v>
      </c>
      <c r="R84" s="55" t="s">
        <v>6832</v>
      </c>
      <c r="S84" s="55" t="s">
        <v>6833</v>
      </c>
      <c r="T84" s="55" t="s">
        <v>925</v>
      </c>
      <c r="U84" s="4" t="s">
        <v>6854</v>
      </c>
      <c r="V84" s="64" t="s">
        <v>93</v>
      </c>
      <c r="W84" s="72">
        <v>45313</v>
      </c>
      <c r="X84" s="72">
        <v>45309</v>
      </c>
      <c r="Y84" s="4" t="s">
        <v>6838</v>
      </c>
      <c r="Z84" s="4"/>
    </row>
    <row r="85" ht="14.4" s="66" customFormat="1">
      <c r="A85" s="55">
        <v>171063</v>
      </c>
      <c r="B85" s="55" t="s">
        <v>4311</v>
      </c>
      <c r="C85" s="55" t="s">
        <v>4365</v>
      </c>
      <c r="D85" s="55">
        <v>1701513887</v>
      </c>
      <c r="E85" s="55" t="s">
        <v>67</v>
      </c>
      <c r="F85" s="55" t="s">
        <v>71</v>
      </c>
      <c r="G85" s="55" t="s">
        <v>5709</v>
      </c>
      <c r="H85" s="55" t="s">
        <v>115</v>
      </c>
      <c r="I85" s="55" t="s">
        <v>74</v>
      </c>
      <c r="J85" s="56">
        <v>45304</v>
      </c>
      <c r="K85" s="56">
        <v>45310</v>
      </c>
      <c r="L85" s="55" t="s">
        <v>6852</v>
      </c>
      <c r="M85" s="55" t="s">
        <v>6872</v>
      </c>
      <c r="N85" s="55" t="s">
        <v>4035</v>
      </c>
      <c r="O85" s="55" t="s">
        <v>6832</v>
      </c>
      <c r="P85" s="55" t="s">
        <v>6833</v>
      </c>
      <c r="Q85" s="56">
        <v>45304</v>
      </c>
      <c r="R85" s="55" t="s">
        <v>6832</v>
      </c>
      <c r="S85" s="55" t="s">
        <v>6833</v>
      </c>
      <c r="T85" s="55" t="s">
        <v>925</v>
      </c>
      <c r="U85" s="4" t="s">
        <v>6852</v>
      </c>
      <c r="V85" s="64" t="s">
        <v>93</v>
      </c>
      <c r="W85" s="72">
        <v>45307</v>
      </c>
      <c r="X85" s="72">
        <v>45311</v>
      </c>
      <c r="Y85" s="4" t="s">
        <v>6834</v>
      </c>
      <c r="Z85" s="4"/>
    </row>
    <row r="86" ht="14.4" s="66" customFormat="1">
      <c r="A86" s="55">
        <v>171091</v>
      </c>
      <c r="B86" s="55" t="s">
        <v>6919</v>
      </c>
      <c r="C86" s="55" t="s">
        <v>6920</v>
      </c>
      <c r="D86" s="55">
        <v>1880382553</v>
      </c>
      <c r="E86" s="55" t="s">
        <v>67</v>
      </c>
      <c r="F86" s="55" t="s">
        <v>71</v>
      </c>
      <c r="G86" s="55" t="s">
        <v>97</v>
      </c>
      <c r="H86" s="55" t="s">
        <v>2643</v>
      </c>
      <c r="I86" s="55" t="s">
        <v>74</v>
      </c>
      <c r="J86" s="56">
        <v>45313</v>
      </c>
      <c r="K86" s="56">
        <v>45313</v>
      </c>
      <c r="L86" s="55" t="s">
        <v>6854</v>
      </c>
      <c r="M86" s="55" t="s">
        <v>6872</v>
      </c>
      <c r="N86" s="55" t="s">
        <v>6921</v>
      </c>
      <c r="O86" s="55" t="s">
        <v>6832</v>
      </c>
      <c r="P86" s="55" t="s">
        <v>6833</v>
      </c>
      <c r="Q86" s="56">
        <v>45313</v>
      </c>
      <c r="R86" s="55" t="s">
        <v>6832</v>
      </c>
      <c r="S86" s="55" t="s">
        <v>6833</v>
      </c>
      <c r="T86" s="55" t="s">
        <v>925</v>
      </c>
      <c r="U86" s="4" t="s">
        <v>6854</v>
      </c>
      <c r="V86" s="64" t="s">
        <v>93</v>
      </c>
      <c r="W86" s="72">
        <v>45313</v>
      </c>
      <c r="X86" s="72">
        <v>45314</v>
      </c>
      <c r="Y86" s="4" t="s">
        <v>6838</v>
      </c>
      <c r="Z86" s="4"/>
    </row>
    <row r="87" ht="14.4" s="66" customFormat="1">
      <c r="A87" s="55">
        <v>171130</v>
      </c>
      <c r="B87" s="55" t="s">
        <v>5240</v>
      </c>
      <c r="C87" s="55" t="s">
        <v>4391</v>
      </c>
      <c r="D87" s="55">
        <v>1682932215</v>
      </c>
      <c r="E87" s="55" t="s">
        <v>67</v>
      </c>
      <c r="F87" s="55" t="s">
        <v>71</v>
      </c>
      <c r="G87" s="55" t="s">
        <v>5709</v>
      </c>
      <c r="H87" s="55" t="s">
        <v>6861</v>
      </c>
      <c r="I87" s="55" t="s">
        <v>74</v>
      </c>
      <c r="J87" s="56">
        <v>45307</v>
      </c>
      <c r="K87" s="56">
        <v>45313</v>
      </c>
      <c r="L87" s="55" t="s">
        <v>6852</v>
      </c>
      <c r="M87" s="55" t="s">
        <v>6872</v>
      </c>
      <c r="N87" s="55" t="s">
        <v>4035</v>
      </c>
      <c r="O87" s="55" t="s">
        <v>6832</v>
      </c>
      <c r="P87" s="55" t="s">
        <v>6833</v>
      </c>
      <c r="Q87" s="56">
        <v>45307</v>
      </c>
      <c r="R87" s="55" t="s">
        <v>6832</v>
      </c>
      <c r="S87" s="55" t="s">
        <v>6833</v>
      </c>
      <c r="T87" s="55" t="s">
        <v>925</v>
      </c>
      <c r="U87" s="4" t="s">
        <v>6852</v>
      </c>
      <c r="V87" s="64" t="s">
        <v>93</v>
      </c>
      <c r="W87" s="72">
        <v>45313</v>
      </c>
      <c r="X87" s="72">
        <v>45314</v>
      </c>
      <c r="Y87" s="4" t="s">
        <v>6834</v>
      </c>
      <c r="Z87" s="4"/>
    </row>
    <row r="88" ht="14.4" s="66" customFormat="1">
      <c r="A88" s="55">
        <v>171178</v>
      </c>
      <c r="B88" s="55" t="s">
        <v>649</v>
      </c>
      <c r="C88" s="55" t="s">
        <v>4399</v>
      </c>
      <c r="D88" s="55">
        <v>1740260965</v>
      </c>
      <c r="E88" s="55" t="s">
        <v>67</v>
      </c>
      <c r="F88" s="55" t="s">
        <v>71</v>
      </c>
      <c r="G88" s="55" t="s">
        <v>2495</v>
      </c>
      <c r="H88" s="55" t="s">
        <v>115</v>
      </c>
      <c r="I88" s="55" t="s">
        <v>74</v>
      </c>
      <c r="J88" s="56">
        <v>45308</v>
      </c>
      <c r="K88" s="56">
        <v>45314</v>
      </c>
      <c r="L88" s="55" t="s">
        <v>6852</v>
      </c>
      <c r="M88" s="55" t="s">
        <v>6872</v>
      </c>
      <c r="N88" s="55" t="s">
        <v>4035</v>
      </c>
      <c r="O88" s="55" t="s">
        <v>6832</v>
      </c>
      <c r="P88" s="55" t="s">
        <v>6833</v>
      </c>
      <c r="Q88" s="56">
        <v>45310</v>
      </c>
      <c r="R88" s="55" t="s">
        <v>6832</v>
      </c>
      <c r="S88" s="55" t="s">
        <v>6833</v>
      </c>
      <c r="T88" s="55" t="s">
        <v>925</v>
      </c>
      <c r="U88" s="4" t="s">
        <v>6852</v>
      </c>
      <c r="V88" s="64" t="s">
        <v>93</v>
      </c>
      <c r="W88" s="72">
        <v>45313</v>
      </c>
      <c r="X88" s="72">
        <v>45315</v>
      </c>
      <c r="Y88" s="4" t="s">
        <v>6834</v>
      </c>
      <c r="Z88" s="4"/>
    </row>
    <row r="89" ht="14.4" s="66" customFormat="1">
      <c r="A89" s="55">
        <v>171019</v>
      </c>
      <c r="B89" s="55" t="s">
        <v>248</v>
      </c>
      <c r="C89" s="55" t="s">
        <v>4409</v>
      </c>
      <c r="D89" s="55">
        <v>1794839371</v>
      </c>
      <c r="E89" s="55" t="s">
        <v>67</v>
      </c>
      <c r="F89" s="55" t="s">
        <v>71</v>
      </c>
      <c r="G89" s="55" t="s">
        <v>2495</v>
      </c>
      <c r="H89" s="55" t="s">
        <v>115</v>
      </c>
      <c r="I89" s="55" t="s">
        <v>74</v>
      </c>
      <c r="J89" s="56">
        <v>45309</v>
      </c>
      <c r="K89" s="56">
        <v>45315</v>
      </c>
      <c r="L89" s="55" t="s">
        <v>6852</v>
      </c>
      <c r="M89" s="55" t="s">
        <v>6872</v>
      </c>
      <c r="N89" s="55" t="s">
        <v>4035</v>
      </c>
      <c r="O89" s="55" t="s">
        <v>6832</v>
      </c>
      <c r="P89" s="55" t="s">
        <v>6833</v>
      </c>
      <c r="Q89" s="56">
        <v>45310</v>
      </c>
      <c r="R89" s="55" t="s">
        <v>6832</v>
      </c>
      <c r="S89" s="55" t="s">
        <v>6833</v>
      </c>
      <c r="T89" s="55" t="s">
        <v>925</v>
      </c>
      <c r="U89" s="4" t="s">
        <v>6852</v>
      </c>
      <c r="V89" s="64" t="s">
        <v>93</v>
      </c>
      <c r="W89" s="72">
        <v>45314</v>
      </c>
      <c r="X89" s="72">
        <v>45316</v>
      </c>
      <c r="Y89" s="4" t="s">
        <v>6834</v>
      </c>
      <c r="Z89" s="4"/>
    </row>
    <row r="90" ht="14.4" s="66" customFormat="1">
      <c r="A90" s="55">
        <v>171291</v>
      </c>
      <c r="B90" s="55" t="s">
        <v>659</v>
      </c>
      <c r="C90" s="55" t="s">
        <v>4419</v>
      </c>
      <c r="D90" s="55">
        <v>1733948479</v>
      </c>
      <c r="E90" s="55" t="s">
        <v>67</v>
      </c>
      <c r="F90" s="55" t="s">
        <v>71</v>
      </c>
      <c r="G90" s="55" t="s">
        <v>5709</v>
      </c>
      <c r="H90" s="55" t="s">
        <v>115</v>
      </c>
      <c r="I90" s="55" t="s">
        <v>74</v>
      </c>
      <c r="J90" s="56">
        <v>45317</v>
      </c>
      <c r="K90" s="56">
        <v>45317</v>
      </c>
      <c r="L90" s="55" t="s">
        <v>6854</v>
      </c>
      <c r="M90" s="55" t="s">
        <v>6872</v>
      </c>
      <c r="N90" s="55" t="s">
        <v>4035</v>
      </c>
      <c r="O90" s="55" t="s">
        <v>6832</v>
      </c>
      <c r="P90" s="55" t="s">
        <v>6833</v>
      </c>
      <c r="Q90" s="56">
        <v>45318</v>
      </c>
      <c r="R90" s="55" t="s">
        <v>6832</v>
      </c>
      <c r="S90" s="55" t="s">
        <v>6833</v>
      </c>
      <c r="T90" s="55" t="s">
        <v>925</v>
      </c>
      <c r="U90" s="4" t="s">
        <v>6854</v>
      </c>
      <c r="V90" s="64" t="s">
        <v>93</v>
      </c>
      <c r="W90" s="72">
        <v>45314</v>
      </c>
      <c r="X90" s="72">
        <v>45318</v>
      </c>
      <c r="Y90" s="4" t="s">
        <v>6838</v>
      </c>
      <c r="Z90" s="4"/>
    </row>
    <row r="91" ht="14.4" s="66" customFormat="1">
      <c r="A91" s="55">
        <v>171257</v>
      </c>
      <c r="B91" s="55" t="s">
        <v>4425</v>
      </c>
      <c r="C91" s="55" t="s">
        <v>4426</v>
      </c>
      <c r="D91" s="55">
        <v>1755446564</v>
      </c>
      <c r="E91" s="55" t="s">
        <v>67</v>
      </c>
      <c r="F91" s="55" t="s">
        <v>71</v>
      </c>
      <c r="G91" s="55" t="s">
        <v>155</v>
      </c>
      <c r="H91" s="55" t="s">
        <v>196</v>
      </c>
      <c r="I91" s="55" t="s">
        <v>74</v>
      </c>
      <c r="J91" s="56">
        <v>45312</v>
      </c>
      <c r="K91" s="56">
        <v>45318</v>
      </c>
      <c r="L91" s="55" t="s">
        <v>6852</v>
      </c>
      <c r="M91" s="55" t="s">
        <v>6872</v>
      </c>
      <c r="N91" s="55" t="s">
        <v>4035</v>
      </c>
      <c r="O91" s="55" t="s">
        <v>6832</v>
      </c>
      <c r="P91" s="55" t="s">
        <v>6833</v>
      </c>
      <c r="Q91" s="56">
        <v>45312</v>
      </c>
      <c r="R91" s="55" t="s">
        <v>6832</v>
      </c>
      <c r="S91" s="55" t="s">
        <v>6833</v>
      </c>
      <c r="T91" s="55" t="s">
        <v>925</v>
      </c>
      <c r="U91" s="4" t="s">
        <v>6852</v>
      </c>
      <c r="V91" s="64" t="s">
        <v>93</v>
      </c>
      <c r="W91" s="72">
        <v>45313</v>
      </c>
      <c r="X91" s="72">
        <v>45319</v>
      </c>
      <c r="Y91" s="4" t="s">
        <v>6834</v>
      </c>
      <c r="Z91" s="4"/>
    </row>
    <row r="92" ht="14.4" s="66" customFormat="1">
      <c r="A92" s="55">
        <v>171131</v>
      </c>
      <c r="B92" s="55" t="s">
        <v>6922</v>
      </c>
      <c r="C92" s="55" t="s">
        <v>4434</v>
      </c>
      <c r="D92" s="55">
        <v>1717188406</v>
      </c>
      <c r="E92" s="55" t="s">
        <v>67</v>
      </c>
      <c r="F92" s="55" t="s">
        <v>71</v>
      </c>
      <c r="G92" s="55" t="s">
        <v>155</v>
      </c>
      <c r="H92" s="55" t="s">
        <v>196</v>
      </c>
      <c r="I92" s="55" t="s">
        <v>74</v>
      </c>
      <c r="J92" s="56">
        <v>45313</v>
      </c>
      <c r="K92" s="56">
        <v>45319</v>
      </c>
      <c r="L92" s="55" t="s">
        <v>6852</v>
      </c>
      <c r="M92" s="55" t="s">
        <v>6872</v>
      </c>
      <c r="N92" s="55" t="s">
        <v>4035</v>
      </c>
      <c r="O92" s="55" t="s">
        <v>6832</v>
      </c>
      <c r="P92" s="55" t="s">
        <v>6833</v>
      </c>
      <c r="Q92" s="56">
        <v>45313</v>
      </c>
      <c r="R92" s="55" t="s">
        <v>6832</v>
      </c>
      <c r="S92" s="55" t="s">
        <v>6833</v>
      </c>
      <c r="T92" s="55" t="s">
        <v>925</v>
      </c>
      <c r="U92" s="4" t="s">
        <v>6852</v>
      </c>
      <c r="V92" s="64" t="s">
        <v>93</v>
      </c>
      <c r="W92" s="72">
        <v>45313</v>
      </c>
      <c r="X92" s="72">
        <v>45320</v>
      </c>
      <c r="Y92" s="4" t="s">
        <v>6834</v>
      </c>
      <c r="Z92" s="4"/>
    </row>
    <row r="93" ht="14.4" s="66" customFormat="1">
      <c r="A93" s="55">
        <v>171023</v>
      </c>
      <c r="B93" s="55" t="s">
        <v>823</v>
      </c>
      <c r="C93" s="55" t="s">
        <v>4442</v>
      </c>
      <c r="D93" s="55">
        <v>1817433286</v>
      </c>
      <c r="E93" s="55" t="s">
        <v>67</v>
      </c>
      <c r="F93" s="55" t="s">
        <v>71</v>
      </c>
      <c r="G93" s="55" t="s">
        <v>2495</v>
      </c>
      <c r="H93" s="55" t="s">
        <v>3659</v>
      </c>
      <c r="I93" s="55" t="s">
        <v>74</v>
      </c>
      <c r="J93" s="56">
        <v>44946</v>
      </c>
      <c r="K93" s="56">
        <v>45319</v>
      </c>
      <c r="L93" s="55" t="s">
        <v>6852</v>
      </c>
      <c r="M93" s="55" t="s">
        <v>6872</v>
      </c>
      <c r="N93" s="55" t="s">
        <v>5012</v>
      </c>
      <c r="O93" s="55" t="s">
        <v>6832</v>
      </c>
      <c r="P93" s="55" t="s">
        <v>6833</v>
      </c>
      <c r="Q93" s="56">
        <v>44946</v>
      </c>
      <c r="R93" s="55" t="s">
        <v>6832</v>
      </c>
      <c r="S93" s="55" t="s">
        <v>6833</v>
      </c>
      <c r="T93" s="55" t="s">
        <v>925</v>
      </c>
      <c r="U93" s="4" t="s">
        <v>6852</v>
      </c>
      <c r="V93" s="64" t="s">
        <v>93</v>
      </c>
      <c r="W93" s="72">
        <v>45314</v>
      </c>
      <c r="X93" s="72">
        <v>45320</v>
      </c>
      <c r="Y93" s="4" t="s">
        <v>6834</v>
      </c>
      <c r="Z93" s="4"/>
    </row>
    <row r="94" ht="14.4" s="66" customFormat="1">
      <c r="A94" s="4">
        <v>171232</v>
      </c>
      <c r="B94" s="4" t="s">
        <v>4449</v>
      </c>
      <c r="C94" s="4" t="s">
        <v>4450</v>
      </c>
      <c r="D94" s="4">
        <v>1746047604</v>
      </c>
      <c r="E94" s="4" t="s">
        <v>67</v>
      </c>
      <c r="F94" s="4" t="s">
        <v>71</v>
      </c>
      <c r="G94" s="4" t="s">
        <v>155</v>
      </c>
      <c r="H94" s="4" t="s">
        <v>196</v>
      </c>
      <c r="I94" s="4" t="s">
        <v>74</v>
      </c>
      <c r="J94" s="69">
        <v>45314</v>
      </c>
      <c r="K94" s="69">
        <v>45321</v>
      </c>
      <c r="L94" s="4" t="s">
        <v>6852</v>
      </c>
      <c r="M94" s="4" t="s">
        <v>6872</v>
      </c>
      <c r="N94" s="4" t="s">
        <v>4035</v>
      </c>
      <c r="O94" s="4" t="s">
        <v>6832</v>
      </c>
      <c r="P94" s="4" t="s">
        <v>6833</v>
      </c>
      <c r="Q94" s="69">
        <v>45314</v>
      </c>
      <c r="R94" s="4" t="s">
        <v>6832</v>
      </c>
      <c r="S94" s="4" t="s">
        <v>6833</v>
      </c>
      <c r="T94" s="4" t="s">
        <v>925</v>
      </c>
      <c r="U94" s="4" t="s">
        <v>6852</v>
      </c>
      <c r="V94" s="64" t="s">
        <v>93</v>
      </c>
      <c r="W94" s="72">
        <v>45314</v>
      </c>
      <c r="X94" s="72">
        <v>45322</v>
      </c>
      <c r="Y94" s="4" t="s">
        <v>6834</v>
      </c>
      <c r="Z94" s="4"/>
    </row>
    <row r="95" ht="14.4" s="66" customFormat="1">
      <c r="A95" s="55">
        <v>171156</v>
      </c>
      <c r="B95" s="55" t="s">
        <v>679</v>
      </c>
      <c r="C95" s="55" t="s">
        <v>6923</v>
      </c>
      <c r="D95" s="55">
        <v>1608375344</v>
      </c>
      <c r="E95" s="55" t="s">
        <v>67</v>
      </c>
      <c r="F95" s="55" t="s">
        <v>71</v>
      </c>
      <c r="G95" s="55" t="s">
        <v>5709</v>
      </c>
      <c r="H95" s="55" t="s">
        <v>6861</v>
      </c>
      <c r="I95" s="55" t="s">
        <v>74</v>
      </c>
      <c r="J95" s="56">
        <v>45313</v>
      </c>
      <c r="K95" s="56">
        <v>45322</v>
      </c>
      <c r="L95" s="55" t="s">
        <v>6852</v>
      </c>
      <c r="M95" s="55" t="s">
        <v>6872</v>
      </c>
      <c r="N95" s="55" t="s">
        <v>4695</v>
      </c>
      <c r="O95" s="55" t="s">
        <v>6832</v>
      </c>
      <c r="P95" s="55" t="s">
        <v>6833</v>
      </c>
      <c r="Q95" s="56">
        <v>45313</v>
      </c>
      <c r="R95" s="55" t="s">
        <v>6832</v>
      </c>
      <c r="S95" s="55" t="s">
        <v>6833</v>
      </c>
      <c r="T95" s="55" t="s">
        <v>925</v>
      </c>
      <c r="U95" s="4" t="s">
        <v>6852</v>
      </c>
      <c r="V95" s="64" t="s">
        <v>93</v>
      </c>
      <c r="W95" s="72">
        <v>45314</v>
      </c>
      <c r="X95" s="72">
        <v>45323</v>
      </c>
      <c r="Y95" s="4" t="s">
        <v>6834</v>
      </c>
      <c r="Z95" s="4"/>
    </row>
    <row r="96" ht="14.4" s="66" customFormat="1">
      <c r="A96" s="4">
        <v>171071</v>
      </c>
      <c r="B96" s="4" t="s">
        <v>4460</v>
      </c>
      <c r="C96" s="4" t="s">
        <v>4461</v>
      </c>
      <c r="D96" s="4">
        <v>1684807421</v>
      </c>
      <c r="E96" s="4" t="s">
        <v>67</v>
      </c>
      <c r="F96" s="4" t="s">
        <v>71</v>
      </c>
      <c r="G96" s="4" t="s">
        <v>155</v>
      </c>
      <c r="H96" s="4" t="s">
        <v>196</v>
      </c>
      <c r="I96" s="4" t="s">
        <v>74</v>
      </c>
      <c r="J96" s="69">
        <v>45314</v>
      </c>
      <c r="K96" s="69">
        <v>45322</v>
      </c>
      <c r="L96" s="4" t="s">
        <v>6845</v>
      </c>
      <c r="M96" s="4" t="s">
        <v>6872</v>
      </c>
      <c r="N96" s="4" t="s">
        <v>4035</v>
      </c>
      <c r="O96" s="4" t="s">
        <v>6832</v>
      </c>
      <c r="P96" s="4" t="s">
        <v>6833</v>
      </c>
      <c r="Q96" s="69">
        <v>45314</v>
      </c>
      <c r="R96" s="4" t="s">
        <v>6832</v>
      </c>
      <c r="S96" s="4" t="s">
        <v>6833</v>
      </c>
      <c r="T96" s="4" t="s">
        <v>925</v>
      </c>
      <c r="U96" s="4" t="s">
        <v>6845</v>
      </c>
      <c r="V96" s="64" t="s">
        <v>93</v>
      </c>
      <c r="W96" s="72">
        <v>45314</v>
      </c>
      <c r="X96" s="72">
        <v>45323</v>
      </c>
      <c r="Y96" s="4" t="s">
        <v>6834</v>
      </c>
      <c r="Z96" s="4"/>
    </row>
    <row r="97" ht="14.4" s="66" customFormat="1">
      <c r="A97" s="4">
        <v>171024</v>
      </c>
      <c r="B97" s="4" t="s">
        <v>6924</v>
      </c>
      <c r="C97" s="4" t="s">
        <v>3781</v>
      </c>
      <c r="D97" s="4">
        <v>1728125233</v>
      </c>
      <c r="E97" s="4" t="s">
        <v>67</v>
      </c>
      <c r="F97" s="4" t="s">
        <v>71</v>
      </c>
      <c r="G97" s="4" t="s">
        <v>155</v>
      </c>
      <c r="H97" s="4" t="s">
        <v>196</v>
      </c>
      <c r="I97" s="4" t="s">
        <v>74</v>
      </c>
      <c r="J97" s="69">
        <v>45319</v>
      </c>
      <c r="K97" s="69">
        <v>45325</v>
      </c>
      <c r="L97" s="4" t="s">
        <v>6852</v>
      </c>
      <c r="M97" s="4" t="s">
        <v>6925</v>
      </c>
      <c r="N97" s="4" t="s">
        <v>4035</v>
      </c>
      <c r="O97" s="4" t="s">
        <v>6832</v>
      </c>
      <c r="P97" s="4" t="s">
        <v>6833</v>
      </c>
      <c r="Q97" s="69">
        <v>45319</v>
      </c>
      <c r="R97" s="4" t="s">
        <v>6832</v>
      </c>
      <c r="S97" s="4" t="s">
        <v>6833</v>
      </c>
      <c r="T97" s="4" t="s">
        <v>925</v>
      </c>
      <c r="U97" s="4" t="s">
        <v>6852</v>
      </c>
      <c r="V97" s="64" t="s">
        <v>93</v>
      </c>
      <c r="W97" s="72">
        <v>45320</v>
      </c>
      <c r="X97" s="72">
        <v>45326</v>
      </c>
      <c r="Y97" s="4" t="s">
        <v>6834</v>
      </c>
      <c r="Z97" s="4"/>
    </row>
    <row r="98" ht="14.4" s="66" customFormat="1">
      <c r="A98" s="55">
        <v>171238</v>
      </c>
      <c r="B98" s="55" t="s">
        <v>5096</v>
      </c>
      <c r="C98" s="55" t="s">
        <v>4469</v>
      </c>
      <c r="D98" s="55">
        <v>1712170017</v>
      </c>
      <c r="E98" s="55" t="s">
        <v>67</v>
      </c>
      <c r="F98" s="55" t="s">
        <v>71</v>
      </c>
      <c r="G98" s="55" t="s">
        <v>5709</v>
      </c>
      <c r="H98" s="55" t="s">
        <v>6861</v>
      </c>
      <c r="I98" s="55" t="s">
        <v>74</v>
      </c>
      <c r="J98" s="56">
        <v>45316</v>
      </c>
      <c r="K98" s="56">
        <v>45322</v>
      </c>
      <c r="L98" s="55" t="s">
        <v>6852</v>
      </c>
      <c r="M98" s="55" t="s">
        <v>6872</v>
      </c>
      <c r="N98" s="55" t="s">
        <v>4035</v>
      </c>
      <c r="O98" s="55" t="s">
        <v>6832</v>
      </c>
      <c r="P98" s="55" t="s">
        <v>6833</v>
      </c>
      <c r="Q98" s="56">
        <v>45316</v>
      </c>
      <c r="R98" s="55" t="s">
        <v>6832</v>
      </c>
      <c r="S98" s="55" t="s">
        <v>6833</v>
      </c>
      <c r="T98" s="55" t="s">
        <v>925</v>
      </c>
      <c r="U98" s="4" t="s">
        <v>6852</v>
      </c>
      <c r="V98" s="64" t="s">
        <v>93</v>
      </c>
      <c r="W98" s="72">
        <v>45320</v>
      </c>
      <c r="X98" s="72">
        <v>45323</v>
      </c>
      <c r="Y98" s="4" t="s">
        <v>6834</v>
      </c>
      <c r="Z98" s="4"/>
    </row>
    <row r="99" ht="14.4" s="66" customFormat="1">
      <c r="A99" s="55">
        <v>171252</v>
      </c>
      <c r="B99" s="55" t="s">
        <v>2445</v>
      </c>
      <c r="C99" s="55" t="s">
        <v>4488</v>
      </c>
      <c r="D99" s="55">
        <v>1746874706</v>
      </c>
      <c r="E99" s="55" t="s">
        <v>67</v>
      </c>
      <c r="F99" s="55" t="s">
        <v>71</v>
      </c>
      <c r="G99" s="55" t="s">
        <v>5709</v>
      </c>
      <c r="H99" s="55" t="s">
        <v>6861</v>
      </c>
      <c r="I99" s="55" t="s">
        <v>74</v>
      </c>
      <c r="J99" s="56">
        <v>45316</v>
      </c>
      <c r="K99" s="56">
        <v>45322</v>
      </c>
      <c r="L99" s="55" t="s">
        <v>6852</v>
      </c>
      <c r="M99" s="55" t="s">
        <v>6872</v>
      </c>
      <c r="N99" s="55" t="s">
        <v>4035</v>
      </c>
      <c r="O99" s="55" t="s">
        <v>6832</v>
      </c>
      <c r="P99" s="55" t="s">
        <v>6833</v>
      </c>
      <c r="Q99" s="56">
        <v>45316</v>
      </c>
      <c r="R99" s="55" t="s">
        <v>6832</v>
      </c>
      <c r="S99" s="55" t="s">
        <v>6833</v>
      </c>
      <c r="T99" s="55" t="s">
        <v>925</v>
      </c>
      <c r="U99" s="4" t="s">
        <v>6852</v>
      </c>
      <c r="V99" s="64" t="s">
        <v>93</v>
      </c>
      <c r="W99" s="72">
        <v>45320</v>
      </c>
      <c r="X99" s="72">
        <v>45323</v>
      </c>
      <c r="Y99" s="4" t="s">
        <v>6834</v>
      </c>
      <c r="Z99" s="4"/>
    </row>
    <row r="100" ht="14.4" s="66" customFormat="1">
      <c r="A100" s="55">
        <v>171270</v>
      </c>
      <c r="B100" s="55" t="s">
        <v>2856</v>
      </c>
      <c r="C100" s="55" t="s">
        <v>4480</v>
      </c>
      <c r="D100" s="55">
        <v>1836674048</v>
      </c>
      <c r="E100" s="55" t="s">
        <v>67</v>
      </c>
      <c r="F100" s="55" t="s">
        <v>71</v>
      </c>
      <c r="G100" s="55" t="s">
        <v>5709</v>
      </c>
      <c r="H100" s="55" t="s">
        <v>6861</v>
      </c>
      <c r="I100" s="55" t="s">
        <v>74</v>
      </c>
      <c r="J100" s="56">
        <v>45316</v>
      </c>
      <c r="K100" s="56">
        <v>45322</v>
      </c>
      <c r="L100" s="55" t="s">
        <v>6852</v>
      </c>
      <c r="M100" s="55" t="s">
        <v>6872</v>
      </c>
      <c r="N100" s="55" t="s">
        <v>4035</v>
      </c>
      <c r="O100" s="55" t="s">
        <v>6832</v>
      </c>
      <c r="P100" s="55" t="s">
        <v>6833</v>
      </c>
      <c r="Q100" s="56">
        <v>45316</v>
      </c>
      <c r="R100" s="55" t="s">
        <v>6832</v>
      </c>
      <c r="S100" s="55" t="s">
        <v>6833</v>
      </c>
      <c r="T100" s="55" t="s">
        <v>925</v>
      </c>
      <c r="U100" s="4" t="s">
        <v>6852</v>
      </c>
      <c r="V100" s="64" t="s">
        <v>93</v>
      </c>
      <c r="W100" s="72">
        <v>45320</v>
      </c>
      <c r="X100" s="72">
        <v>45323</v>
      </c>
      <c r="Y100" s="4" t="s">
        <v>6834</v>
      </c>
      <c r="Z100" s="4"/>
    </row>
    <row r="101" ht="14.4" s="66" customFormat="1">
      <c r="A101" s="55">
        <v>171247</v>
      </c>
      <c r="B101" s="55" t="s">
        <v>641</v>
      </c>
      <c r="C101" s="55" t="s">
        <v>4541</v>
      </c>
      <c r="D101" s="55">
        <v>1632380810</v>
      </c>
      <c r="E101" s="55" t="s">
        <v>67</v>
      </c>
      <c r="F101" s="55" t="s">
        <v>71</v>
      </c>
      <c r="G101" s="55" t="s">
        <v>5709</v>
      </c>
      <c r="H101" s="55" t="s">
        <v>115</v>
      </c>
      <c r="I101" s="55" t="s">
        <v>74</v>
      </c>
      <c r="J101" s="56">
        <v>45323</v>
      </c>
      <c r="K101" s="56">
        <v>45329</v>
      </c>
      <c r="L101" s="55" t="s">
        <v>6852</v>
      </c>
      <c r="M101" s="55" t="s">
        <v>6872</v>
      </c>
      <c r="N101" s="55" t="s">
        <v>4547</v>
      </c>
      <c r="O101" s="55" t="s">
        <v>6832</v>
      </c>
      <c r="P101" s="55" t="s">
        <v>6833</v>
      </c>
      <c r="Q101" s="56">
        <v>45323</v>
      </c>
      <c r="R101" s="55" t="s">
        <v>6832</v>
      </c>
      <c r="S101" s="55" t="s">
        <v>6833</v>
      </c>
      <c r="T101" s="55" t="s">
        <v>925</v>
      </c>
      <c r="U101" s="4" t="s">
        <v>6852</v>
      </c>
      <c r="V101" s="64" t="s">
        <v>93</v>
      </c>
      <c r="W101" s="72">
        <v>45327</v>
      </c>
      <c r="X101" s="72">
        <v>45330</v>
      </c>
      <c r="Y101" s="4" t="s">
        <v>6834</v>
      </c>
      <c r="Z101" s="4"/>
    </row>
    <row r="102" ht="14.4" s="66" customFormat="1">
      <c r="A102" s="55">
        <v>171174</v>
      </c>
      <c r="B102" s="55" t="s">
        <v>1220</v>
      </c>
      <c r="C102" s="55" t="s">
        <v>4580</v>
      </c>
      <c r="D102" s="55">
        <v>1748687535</v>
      </c>
      <c r="E102" s="55" t="s">
        <v>67</v>
      </c>
      <c r="F102" s="55" t="s">
        <v>71</v>
      </c>
      <c r="G102" s="55" t="s">
        <v>5709</v>
      </c>
      <c r="H102" s="55" t="s">
        <v>6861</v>
      </c>
      <c r="I102" s="55" t="s">
        <v>74</v>
      </c>
      <c r="J102" s="56">
        <v>45323</v>
      </c>
      <c r="K102" s="56">
        <v>45338</v>
      </c>
      <c r="L102" s="55" t="s">
        <v>6852</v>
      </c>
      <c r="M102" s="55" t="s">
        <v>6872</v>
      </c>
      <c r="N102" s="55" t="s">
        <v>4695</v>
      </c>
      <c r="O102" s="55" t="s">
        <v>6832</v>
      </c>
      <c r="P102" s="55" t="s">
        <v>6833</v>
      </c>
      <c r="Q102" s="56">
        <v>45323</v>
      </c>
      <c r="R102" s="55" t="s">
        <v>6832</v>
      </c>
      <c r="S102" s="55" t="s">
        <v>6833</v>
      </c>
      <c r="T102" s="55" t="s">
        <v>925</v>
      </c>
      <c r="U102" s="4" t="s">
        <v>6852</v>
      </c>
      <c r="V102" s="64" t="s">
        <v>93</v>
      </c>
      <c r="W102" s="72">
        <v>45327</v>
      </c>
      <c r="X102" s="72">
        <v>45338</v>
      </c>
      <c r="Y102" s="4" t="s">
        <v>6834</v>
      </c>
      <c r="Z102" s="4"/>
    </row>
    <row r="103" ht="14.4" s="66" customFormat="1">
      <c r="A103" s="55">
        <v>171215</v>
      </c>
      <c r="B103" s="55" t="s">
        <v>1782</v>
      </c>
      <c r="C103" s="55" t="s">
        <v>6926</v>
      </c>
      <c r="D103" s="55">
        <v>1793931848</v>
      </c>
      <c r="E103" s="55" t="s">
        <v>67</v>
      </c>
      <c r="F103" s="55" t="s">
        <v>71</v>
      </c>
      <c r="G103" s="55" t="s">
        <v>155</v>
      </c>
      <c r="H103" s="55" t="s">
        <v>196</v>
      </c>
      <c r="I103" s="55" t="s">
        <v>74</v>
      </c>
      <c r="J103" s="56">
        <v>45313</v>
      </c>
      <c r="K103" s="56">
        <v>45313</v>
      </c>
      <c r="L103" s="55" t="s">
        <v>6854</v>
      </c>
      <c r="M103" s="55" t="s">
        <v>6872</v>
      </c>
      <c r="N103" s="55" t="s">
        <v>4321</v>
      </c>
      <c r="O103" s="55" t="s">
        <v>6832</v>
      </c>
      <c r="P103" s="55" t="s">
        <v>6833</v>
      </c>
      <c r="Q103" s="56">
        <v>45313</v>
      </c>
      <c r="R103" s="55" t="s">
        <v>6832</v>
      </c>
      <c r="S103" s="55" t="s">
        <v>6833</v>
      </c>
      <c r="T103" s="55" t="s">
        <v>925</v>
      </c>
      <c r="U103" s="4" t="s">
        <v>6854</v>
      </c>
      <c r="V103" s="64" t="s">
        <v>93</v>
      </c>
      <c r="W103" s="72">
        <v>45327</v>
      </c>
      <c r="X103" s="72">
        <v>45327</v>
      </c>
      <c r="Y103" s="4" t="s">
        <v>6838</v>
      </c>
      <c r="Z103" s="4"/>
    </row>
    <row r="104" ht="14.4" s="66" customFormat="1">
      <c r="A104" s="55">
        <v>171092</v>
      </c>
      <c r="B104" s="55" t="s">
        <v>5382</v>
      </c>
      <c r="C104" s="55" t="s">
        <v>4531</v>
      </c>
      <c r="D104" s="55" t="s">
        <v>6927</v>
      </c>
      <c r="E104" s="55" t="s">
        <v>67</v>
      </c>
      <c r="F104" s="55" t="s">
        <v>71</v>
      </c>
      <c r="G104" s="55" t="s">
        <v>2495</v>
      </c>
      <c r="H104" s="55" t="s">
        <v>3659</v>
      </c>
      <c r="I104" s="55" t="s">
        <v>74</v>
      </c>
      <c r="J104" s="56">
        <v>45327</v>
      </c>
      <c r="K104" s="56">
        <v>45327</v>
      </c>
      <c r="L104" s="55" t="s">
        <v>6854</v>
      </c>
      <c r="M104" s="55" t="s">
        <v>6872</v>
      </c>
      <c r="N104" s="55" t="s">
        <v>6928</v>
      </c>
      <c r="O104" s="55" t="s">
        <v>6832</v>
      </c>
      <c r="P104" s="55" t="s">
        <v>6833</v>
      </c>
      <c r="Q104" s="56">
        <v>45327</v>
      </c>
      <c r="R104" s="55" t="s">
        <v>6832</v>
      </c>
      <c r="S104" s="55" t="s">
        <v>6833</v>
      </c>
      <c r="T104" s="55" t="s">
        <v>925</v>
      </c>
      <c r="U104" s="4" t="s">
        <v>6854</v>
      </c>
      <c r="V104" s="64" t="s">
        <v>93</v>
      </c>
      <c r="W104" s="72">
        <v>45327</v>
      </c>
      <c r="X104" s="72">
        <v>45328</v>
      </c>
      <c r="Y104" s="4" t="s">
        <v>6838</v>
      </c>
      <c r="Z104" s="4"/>
    </row>
    <row r="105" ht="14.4" s="66" customFormat="1">
      <c r="A105" s="55">
        <v>171155</v>
      </c>
      <c r="B105" s="55" t="s">
        <v>6929</v>
      </c>
      <c r="C105" s="55" t="s">
        <v>4613</v>
      </c>
      <c r="D105" s="55" t="s">
        <v>6930</v>
      </c>
      <c r="E105" s="55" t="s">
        <v>67</v>
      </c>
      <c r="F105" s="55" t="s">
        <v>71</v>
      </c>
      <c r="G105" s="55" t="s">
        <v>97</v>
      </c>
      <c r="H105" s="55" t="s">
        <v>2643</v>
      </c>
      <c r="I105" s="55" t="s">
        <v>74</v>
      </c>
      <c r="J105" s="56">
        <v>45327</v>
      </c>
      <c r="K105" s="56">
        <v>45337</v>
      </c>
      <c r="L105" s="55" t="s">
        <v>6852</v>
      </c>
      <c r="M105" s="55" t="s">
        <v>6872</v>
      </c>
      <c r="N105" s="55" t="s">
        <v>4695</v>
      </c>
      <c r="O105" s="55" t="s">
        <v>6832</v>
      </c>
      <c r="P105" s="55" t="s">
        <v>6833</v>
      </c>
      <c r="Q105" s="56">
        <v>45327</v>
      </c>
      <c r="R105" s="55" t="s">
        <v>6832</v>
      </c>
      <c r="S105" s="55" t="s">
        <v>6833</v>
      </c>
      <c r="T105" s="55" t="s">
        <v>925</v>
      </c>
      <c r="U105" s="4" t="s">
        <v>6852</v>
      </c>
      <c r="V105" s="64" t="s">
        <v>93</v>
      </c>
      <c r="W105" s="72">
        <v>45329</v>
      </c>
      <c r="X105" s="72">
        <v>45338</v>
      </c>
      <c r="Y105" s="4" t="s">
        <v>6834</v>
      </c>
      <c r="Z105" s="4"/>
    </row>
    <row r="106" ht="14.4" s="66" customFormat="1">
      <c r="A106" s="55">
        <v>171006</v>
      </c>
      <c r="B106" s="55" t="s">
        <v>81</v>
      </c>
      <c r="C106" s="55" t="s">
        <v>3659</v>
      </c>
      <c r="D106" s="55">
        <v>1847270263</v>
      </c>
      <c r="E106" s="55" t="s">
        <v>225</v>
      </c>
      <c r="F106" s="55" t="s">
        <v>71</v>
      </c>
      <c r="G106" s="55" t="s">
        <v>81</v>
      </c>
      <c r="H106" s="55" t="s">
        <v>74</v>
      </c>
      <c r="I106" s="56" t="s">
        <v>167</v>
      </c>
      <c r="J106" s="56">
        <v>45327</v>
      </c>
      <c r="K106" s="56">
        <v>45351</v>
      </c>
      <c r="L106" s="55" t="s">
        <v>6931</v>
      </c>
      <c r="M106" s="55" t="s">
        <v>6872</v>
      </c>
      <c r="N106" s="55" t="s">
        <v>4035</v>
      </c>
      <c r="O106" s="55" t="s">
        <v>6832</v>
      </c>
      <c r="P106" s="55" t="s">
        <v>6833</v>
      </c>
      <c r="Q106" s="56">
        <v>45327</v>
      </c>
      <c r="R106" s="55" t="s">
        <v>6832</v>
      </c>
      <c r="S106" s="55" t="s">
        <v>6833</v>
      </c>
      <c r="T106" s="55" t="s">
        <v>925</v>
      </c>
      <c r="U106" s="4" t="s">
        <v>6931</v>
      </c>
      <c r="V106" s="64" t="s">
        <v>93</v>
      </c>
      <c r="W106" s="72">
        <v>45329</v>
      </c>
      <c r="X106" s="72">
        <v>45352</v>
      </c>
      <c r="Y106" s="4" t="s">
        <v>6834</v>
      </c>
      <c r="Z106" s="4"/>
    </row>
    <row r="107" ht="14.4" s="66" customFormat="1">
      <c r="A107" s="55">
        <v>171213</v>
      </c>
      <c r="B107" s="55" t="s">
        <v>5455</v>
      </c>
      <c r="C107" s="55" t="s">
        <v>4548</v>
      </c>
      <c r="D107" s="55">
        <v>1307768335</v>
      </c>
      <c r="E107" s="55" t="s">
        <v>67</v>
      </c>
      <c r="F107" s="55" t="s">
        <v>71</v>
      </c>
      <c r="G107" s="55" t="s">
        <v>5709</v>
      </c>
      <c r="H107" s="55" t="s">
        <v>6861</v>
      </c>
      <c r="I107" s="55" t="s">
        <v>74</v>
      </c>
      <c r="J107" s="56">
        <v>45323</v>
      </c>
      <c r="K107" s="56">
        <v>45329</v>
      </c>
      <c r="L107" s="55" t="s">
        <v>6852</v>
      </c>
      <c r="M107" s="55" t="s">
        <v>6872</v>
      </c>
      <c r="N107" s="55" t="s">
        <v>4556</v>
      </c>
      <c r="O107" s="55" t="s">
        <v>6832</v>
      </c>
      <c r="P107" s="55" t="s">
        <v>6833</v>
      </c>
      <c r="Q107" s="56">
        <v>45323</v>
      </c>
      <c r="R107" s="55" t="s">
        <v>6832</v>
      </c>
      <c r="S107" s="55" t="s">
        <v>6833</v>
      </c>
      <c r="T107" s="55" t="s">
        <v>925</v>
      </c>
      <c r="U107" s="4" t="s">
        <v>6852</v>
      </c>
      <c r="V107" s="64" t="s">
        <v>93</v>
      </c>
      <c r="W107" s="72">
        <v>45330</v>
      </c>
      <c r="X107" s="72">
        <v>45330</v>
      </c>
      <c r="Y107" s="4" t="s">
        <v>6834</v>
      </c>
      <c r="Z107" s="4"/>
    </row>
    <row r="108" ht="14.4" s="66" customFormat="1">
      <c r="A108" s="55">
        <v>171222</v>
      </c>
      <c r="B108" s="55" t="s">
        <v>2577</v>
      </c>
      <c r="C108" s="55" t="s">
        <v>6932</v>
      </c>
      <c r="D108" s="55">
        <v>1718374060</v>
      </c>
      <c r="E108" s="55" t="s">
        <v>67</v>
      </c>
      <c r="F108" s="55" t="s">
        <v>71</v>
      </c>
      <c r="G108" s="55" t="s">
        <v>5709</v>
      </c>
      <c r="H108" s="55" t="s">
        <v>6861</v>
      </c>
      <c r="I108" s="55" t="s">
        <v>74</v>
      </c>
      <c r="J108" s="56">
        <v>45329</v>
      </c>
      <c r="K108" s="56">
        <v>45335</v>
      </c>
      <c r="L108" s="55" t="s">
        <v>6852</v>
      </c>
      <c r="M108" s="55" t="s">
        <v>6872</v>
      </c>
      <c r="N108" s="55" t="s">
        <v>6933</v>
      </c>
      <c r="O108" s="55" t="s">
        <v>6832</v>
      </c>
      <c r="P108" s="55" t="s">
        <v>6833</v>
      </c>
      <c r="Q108" s="56">
        <v>45330</v>
      </c>
      <c r="R108" s="55" t="s">
        <v>6832</v>
      </c>
      <c r="S108" s="55" t="s">
        <v>6833</v>
      </c>
      <c r="T108" s="55" t="s">
        <v>925</v>
      </c>
      <c r="U108" s="4" t="s">
        <v>6852</v>
      </c>
      <c r="V108" s="64" t="s">
        <v>93</v>
      </c>
      <c r="W108" s="72">
        <v>45330</v>
      </c>
      <c r="X108" s="72">
        <v>45336</v>
      </c>
      <c r="Y108" s="4" t="s">
        <v>6834</v>
      </c>
      <c r="Z108" s="4"/>
    </row>
    <row r="109" ht="14.4" s="66" customFormat="1">
      <c r="A109" s="4">
        <v>171068</v>
      </c>
      <c r="B109" s="4" t="s">
        <v>4588</v>
      </c>
      <c r="C109" s="4" t="s">
        <v>3893</v>
      </c>
      <c r="D109" s="4">
        <v>1880249836</v>
      </c>
      <c r="E109" s="4" t="s">
        <v>67</v>
      </c>
      <c r="F109" s="4" t="s">
        <v>71</v>
      </c>
      <c r="G109" s="4" t="s">
        <v>155</v>
      </c>
      <c r="H109" s="4" t="s">
        <v>196</v>
      </c>
      <c r="I109" s="4" t="s">
        <v>74</v>
      </c>
      <c r="J109" s="69">
        <v>45328</v>
      </c>
      <c r="K109" s="69">
        <v>45337</v>
      </c>
      <c r="L109" s="4" t="s">
        <v>6934</v>
      </c>
      <c r="M109" s="4" t="s">
        <v>6925</v>
      </c>
      <c r="N109" s="4" t="s">
        <v>4035</v>
      </c>
      <c r="O109" s="4" t="s">
        <v>6832</v>
      </c>
      <c r="P109" s="4" t="s">
        <v>6833</v>
      </c>
      <c r="Q109" s="69">
        <v>45328</v>
      </c>
      <c r="R109" s="4" t="s">
        <v>6832</v>
      </c>
      <c r="S109" s="4" t="s">
        <v>6833</v>
      </c>
      <c r="T109" s="4" t="s">
        <v>925</v>
      </c>
      <c r="U109" s="4" t="s">
        <v>6934</v>
      </c>
      <c r="V109" s="64" t="s">
        <v>93</v>
      </c>
      <c r="W109" s="72">
        <v>45330</v>
      </c>
      <c r="X109" s="72">
        <v>45338</v>
      </c>
      <c r="Y109" s="4" t="s">
        <v>6834</v>
      </c>
      <c r="Z109" s="4"/>
    </row>
    <row r="110" ht="14.4" s="66" customFormat="1">
      <c r="A110" s="4">
        <v>171108</v>
      </c>
      <c r="B110" s="4" t="s">
        <v>6935</v>
      </c>
      <c r="C110" s="4" t="s">
        <v>4557</v>
      </c>
      <c r="D110" s="4">
        <v>1787706175</v>
      </c>
      <c r="E110" s="4" t="s">
        <v>67</v>
      </c>
      <c r="F110" s="4" t="s">
        <v>71</v>
      </c>
      <c r="G110" s="4" t="s">
        <v>155</v>
      </c>
      <c r="H110" s="4" t="s">
        <v>196</v>
      </c>
      <c r="I110" s="4" t="s">
        <v>74</v>
      </c>
      <c r="J110" s="69">
        <v>45328</v>
      </c>
      <c r="K110" s="69">
        <v>45335</v>
      </c>
      <c r="L110" s="4" t="s">
        <v>6852</v>
      </c>
      <c r="M110" s="4" t="s">
        <v>6925</v>
      </c>
      <c r="N110" s="4" t="s">
        <v>4035</v>
      </c>
      <c r="O110" s="4" t="s">
        <v>6832</v>
      </c>
      <c r="P110" s="4" t="s">
        <v>6833</v>
      </c>
      <c r="Q110" s="69">
        <v>45328</v>
      </c>
      <c r="R110" s="4" t="s">
        <v>6832</v>
      </c>
      <c r="S110" s="4" t="s">
        <v>6833</v>
      </c>
      <c r="T110" s="4" t="s">
        <v>925</v>
      </c>
      <c r="U110" s="4" t="s">
        <v>6852</v>
      </c>
      <c r="V110" s="64" t="s">
        <v>93</v>
      </c>
      <c r="W110" s="72">
        <v>45330</v>
      </c>
      <c r="X110" s="72">
        <v>45336</v>
      </c>
      <c r="Y110" s="4" t="s">
        <v>6834</v>
      </c>
      <c r="Z110" s="4"/>
    </row>
    <row r="111" ht="14.4" s="66" customFormat="1">
      <c r="A111" s="55">
        <v>171190</v>
      </c>
      <c r="B111" s="55" t="s">
        <v>6936</v>
      </c>
      <c r="C111" s="55" t="s">
        <v>4621</v>
      </c>
      <c r="D111" s="55">
        <v>1934241875</v>
      </c>
      <c r="E111" s="55" t="s">
        <v>67</v>
      </c>
      <c r="F111" s="55" t="s">
        <v>71</v>
      </c>
      <c r="G111" s="55" t="s">
        <v>407</v>
      </c>
      <c r="H111" s="55" t="s">
        <v>2643</v>
      </c>
      <c r="I111" s="55" t="s">
        <v>74</v>
      </c>
      <c r="J111" s="56">
        <v>45338</v>
      </c>
      <c r="K111" s="56">
        <v>45345</v>
      </c>
      <c r="L111" s="55" t="s">
        <v>6852</v>
      </c>
      <c r="M111" s="55" t="s">
        <v>6872</v>
      </c>
      <c r="N111" s="55" t="s">
        <v>6928</v>
      </c>
      <c r="O111" s="55" t="s">
        <v>6832</v>
      </c>
      <c r="P111" s="55" t="s">
        <v>6833</v>
      </c>
      <c r="Q111" s="56">
        <v>45338</v>
      </c>
      <c r="R111" s="55" t="s">
        <v>6832</v>
      </c>
      <c r="S111" s="55" t="s">
        <v>6833</v>
      </c>
      <c r="T111" s="55" t="s">
        <v>925</v>
      </c>
      <c r="U111" s="4" t="s">
        <v>6852</v>
      </c>
      <c r="V111" s="64" t="s">
        <v>93</v>
      </c>
      <c r="W111" s="72">
        <v>45341</v>
      </c>
      <c r="X111" s="72">
        <v>45346</v>
      </c>
      <c r="Y111" s="4" t="s">
        <v>6834</v>
      </c>
      <c r="Z111" s="4"/>
    </row>
    <row r="112" ht="14.4" s="66" customFormat="1">
      <c r="A112" s="55">
        <v>171217</v>
      </c>
      <c r="B112" s="55" t="s">
        <v>4593</v>
      </c>
      <c r="C112" s="55" t="s">
        <v>4594</v>
      </c>
      <c r="D112" s="55" t="s">
        <v>6937</v>
      </c>
      <c r="E112" s="55" t="s">
        <v>67</v>
      </c>
      <c r="F112" s="55" t="s">
        <v>71</v>
      </c>
      <c r="G112" s="55" t="s">
        <v>5709</v>
      </c>
      <c r="H112" s="55" t="s">
        <v>6938</v>
      </c>
      <c r="I112" s="55" t="s">
        <v>74</v>
      </c>
      <c r="J112" s="56">
        <v>45338</v>
      </c>
      <c r="K112" s="56">
        <v>45337</v>
      </c>
      <c r="L112" s="55" t="s">
        <v>6854</v>
      </c>
      <c r="M112" s="55" t="s">
        <v>6872</v>
      </c>
      <c r="N112" s="55" t="s">
        <v>4611</v>
      </c>
      <c r="O112" s="55" t="s">
        <v>6832</v>
      </c>
      <c r="P112" s="55" t="s">
        <v>6833</v>
      </c>
      <c r="Q112" s="56">
        <v>45337</v>
      </c>
      <c r="R112" s="55" t="s">
        <v>6832</v>
      </c>
      <c r="S112" s="55" t="s">
        <v>6833</v>
      </c>
      <c r="T112" s="55" t="s">
        <v>925</v>
      </c>
      <c r="U112" s="4" t="s">
        <v>6854</v>
      </c>
      <c r="V112" s="64" t="s">
        <v>93</v>
      </c>
      <c r="W112" s="72">
        <v>45341</v>
      </c>
      <c r="X112" s="72">
        <v>45338</v>
      </c>
      <c r="Y112" s="4" t="s">
        <v>6838</v>
      </c>
      <c r="Z112" s="4"/>
    </row>
    <row r="113" ht="14.4" s="66" customFormat="1">
      <c r="A113" s="55">
        <v>171125</v>
      </c>
      <c r="B113" s="55" t="s">
        <v>1373</v>
      </c>
      <c r="C113" s="55" t="s">
        <v>4629</v>
      </c>
      <c r="D113" s="55">
        <v>1750741339</v>
      </c>
      <c r="E113" s="55" t="s">
        <v>67</v>
      </c>
      <c r="F113" s="55" t="s">
        <v>71</v>
      </c>
      <c r="G113" s="55" t="s">
        <v>5709</v>
      </c>
      <c r="H113" s="55" t="s">
        <v>6938</v>
      </c>
      <c r="I113" s="55" t="s">
        <v>74</v>
      </c>
      <c r="J113" s="56">
        <v>45346</v>
      </c>
      <c r="K113" s="56">
        <v>45346</v>
      </c>
      <c r="L113" s="55" t="s">
        <v>6854</v>
      </c>
      <c r="M113" s="55" t="s">
        <v>6872</v>
      </c>
      <c r="N113" s="55" t="s">
        <v>6939</v>
      </c>
      <c r="O113" s="55" t="s">
        <v>6832</v>
      </c>
      <c r="P113" s="55" t="s">
        <v>6833</v>
      </c>
      <c r="Q113" s="56">
        <v>45346</v>
      </c>
      <c r="R113" s="55" t="s">
        <v>6832</v>
      </c>
      <c r="S113" s="55" t="s">
        <v>6833</v>
      </c>
      <c r="T113" s="55" t="s">
        <v>925</v>
      </c>
      <c r="U113" s="4" t="s">
        <v>6854</v>
      </c>
      <c r="V113" s="64" t="s">
        <v>93</v>
      </c>
      <c r="W113" s="72">
        <v>45351</v>
      </c>
      <c r="X113" s="72">
        <v>45347</v>
      </c>
      <c r="Y113" s="4" t="s">
        <v>6838</v>
      </c>
      <c r="Z113" s="4"/>
    </row>
    <row r="114" ht="14.4" s="66" customFormat="1">
      <c r="A114" s="4">
        <v>171114</v>
      </c>
      <c r="B114" s="4" t="s">
        <v>6940</v>
      </c>
      <c r="C114" s="4" t="s">
        <v>4654</v>
      </c>
      <c r="D114" s="4">
        <v>1878947201</v>
      </c>
      <c r="E114" s="4" t="s">
        <v>67</v>
      </c>
      <c r="F114" s="4" t="s">
        <v>71</v>
      </c>
      <c r="G114" s="4" t="s">
        <v>155</v>
      </c>
      <c r="H114" s="4" t="s">
        <v>196</v>
      </c>
      <c r="I114" s="4" t="s">
        <v>74</v>
      </c>
      <c r="J114" s="69">
        <v>45345</v>
      </c>
      <c r="K114" s="69">
        <v>45351</v>
      </c>
      <c r="L114" s="4" t="s">
        <v>6852</v>
      </c>
      <c r="M114" s="4" t="s">
        <v>6925</v>
      </c>
      <c r="N114" s="4" t="s">
        <v>4035</v>
      </c>
      <c r="O114" s="4" t="s">
        <v>6832</v>
      </c>
      <c r="P114" s="4" t="s">
        <v>6833</v>
      </c>
      <c r="Q114" s="69">
        <v>45345</v>
      </c>
      <c r="R114" s="4" t="s">
        <v>6832</v>
      </c>
      <c r="S114" s="4" t="s">
        <v>6833</v>
      </c>
      <c r="T114" s="4" t="s">
        <v>925</v>
      </c>
      <c r="U114" s="4" t="s">
        <v>6852</v>
      </c>
      <c r="V114" s="64" t="s">
        <v>93</v>
      </c>
      <c r="W114" s="72">
        <v>45351</v>
      </c>
      <c r="X114" s="72">
        <v>45352</v>
      </c>
      <c r="Y114" s="4" t="s">
        <v>6834</v>
      </c>
      <c r="Z114" s="4"/>
    </row>
    <row r="115" ht="14.4" s="66" customFormat="1">
      <c r="A115" s="55">
        <v>171212</v>
      </c>
      <c r="B115" s="55" t="s">
        <v>6941</v>
      </c>
      <c r="C115" s="55" t="s">
        <v>5065</v>
      </c>
      <c r="D115" s="55">
        <v>1731856232</v>
      </c>
      <c r="E115" s="55" t="s">
        <v>67</v>
      </c>
      <c r="F115" s="55" t="s">
        <v>71</v>
      </c>
      <c r="G115" s="55" t="s">
        <v>5709</v>
      </c>
      <c r="H115" s="55" t="s">
        <v>2643</v>
      </c>
      <c r="I115" s="55" t="s">
        <v>74</v>
      </c>
      <c r="J115" s="56">
        <v>45345</v>
      </c>
      <c r="K115" s="56">
        <v>45352</v>
      </c>
      <c r="L115" s="55" t="s">
        <v>6852</v>
      </c>
      <c r="M115" s="55" t="s">
        <v>6872</v>
      </c>
      <c r="N115" s="55" t="s">
        <v>4035</v>
      </c>
      <c r="O115" s="55" t="s">
        <v>6832</v>
      </c>
      <c r="P115" s="55" t="s">
        <v>6833</v>
      </c>
      <c r="Q115" s="56">
        <v>45345</v>
      </c>
      <c r="R115" s="55" t="s">
        <v>6832</v>
      </c>
      <c r="S115" s="55" t="s">
        <v>6833</v>
      </c>
      <c r="T115" s="55" t="s">
        <v>925</v>
      </c>
      <c r="U115" s="4" t="s">
        <v>6852</v>
      </c>
      <c r="V115" s="64" t="s">
        <v>93</v>
      </c>
      <c r="W115" s="72">
        <v>45351</v>
      </c>
      <c r="X115" s="72">
        <v>45353</v>
      </c>
      <c r="Y115" s="4" t="s">
        <v>6834</v>
      </c>
      <c r="Z115" s="4"/>
    </row>
    <row r="116" ht="14.4" s="66" customFormat="1">
      <c r="A116" s="55">
        <v>171260</v>
      </c>
      <c r="B116" s="55" t="s">
        <v>4663</v>
      </c>
      <c r="C116" s="55" t="s">
        <v>4664</v>
      </c>
      <c r="D116" s="55">
        <v>1709196899</v>
      </c>
      <c r="E116" s="55" t="s">
        <v>67</v>
      </c>
      <c r="F116" s="55" t="s">
        <v>71</v>
      </c>
      <c r="G116" s="55" t="s">
        <v>5709</v>
      </c>
      <c r="H116" s="55" t="s">
        <v>115</v>
      </c>
      <c r="I116" s="55" t="s">
        <v>74</v>
      </c>
      <c r="J116" s="56">
        <v>45345</v>
      </c>
      <c r="K116" s="56">
        <v>45351</v>
      </c>
      <c r="L116" s="55" t="s">
        <v>6852</v>
      </c>
      <c r="M116" s="55" t="s">
        <v>6872</v>
      </c>
      <c r="N116" s="55" t="s">
        <v>4675</v>
      </c>
      <c r="O116" s="55" t="s">
        <v>6832</v>
      </c>
      <c r="P116" s="55" t="s">
        <v>6833</v>
      </c>
      <c r="Q116" s="56">
        <v>45345</v>
      </c>
      <c r="R116" s="55" t="s">
        <v>6832</v>
      </c>
      <c r="S116" s="55" t="s">
        <v>6833</v>
      </c>
      <c r="T116" s="55" t="s">
        <v>925</v>
      </c>
      <c r="U116" s="4" t="s">
        <v>6852</v>
      </c>
      <c r="V116" s="64" t="s">
        <v>93</v>
      </c>
      <c r="W116" s="72">
        <v>45351</v>
      </c>
      <c r="X116" s="72">
        <v>45352</v>
      </c>
      <c r="Y116" s="4" t="s">
        <v>6834</v>
      </c>
      <c r="Z116" s="4"/>
    </row>
    <row r="117" ht="14.4" s="66" customFormat="1">
      <c r="A117" s="55">
        <v>171289</v>
      </c>
      <c r="B117" s="55" t="s">
        <v>873</v>
      </c>
      <c r="C117" s="55" t="s">
        <v>4676</v>
      </c>
      <c r="D117" s="55">
        <v>1709412434</v>
      </c>
      <c r="E117" s="55" t="s">
        <v>67</v>
      </c>
      <c r="F117" s="55" t="s">
        <v>71</v>
      </c>
      <c r="G117" s="55" t="s">
        <v>5709</v>
      </c>
      <c r="H117" s="55" t="s">
        <v>6861</v>
      </c>
      <c r="I117" s="55" t="s">
        <v>74</v>
      </c>
      <c r="J117" s="56">
        <v>45346</v>
      </c>
      <c r="K117" s="56">
        <v>45352</v>
      </c>
      <c r="L117" s="55" t="s">
        <v>6852</v>
      </c>
      <c r="M117" s="55" t="s">
        <v>6872</v>
      </c>
      <c r="N117" s="55" t="s">
        <v>4035</v>
      </c>
      <c r="O117" s="55" t="s">
        <v>6832</v>
      </c>
      <c r="P117" s="55" t="s">
        <v>6833</v>
      </c>
      <c r="Q117" s="56">
        <v>45346</v>
      </c>
      <c r="R117" s="55" t="s">
        <v>6832</v>
      </c>
      <c r="S117" s="55" t="s">
        <v>6833</v>
      </c>
      <c r="T117" s="55" t="s">
        <v>925</v>
      </c>
      <c r="U117" s="4" t="s">
        <v>6852</v>
      </c>
      <c r="V117" s="64" t="s">
        <v>93</v>
      </c>
      <c r="W117" s="72">
        <v>45351</v>
      </c>
      <c r="X117" s="72">
        <v>45352</v>
      </c>
      <c r="Y117" s="4" t="s">
        <v>6834</v>
      </c>
      <c r="Z117" s="4"/>
    </row>
    <row r="118" ht="14.4" s="66" customFormat="1">
      <c r="A118" s="55">
        <v>171292</v>
      </c>
      <c r="B118" s="55" t="s">
        <v>1038</v>
      </c>
      <c r="C118" s="55" t="s">
        <v>2704</v>
      </c>
      <c r="D118" s="55">
        <v>1309293832</v>
      </c>
      <c r="E118" s="55" t="s">
        <v>67</v>
      </c>
      <c r="F118" s="55" t="s">
        <v>71</v>
      </c>
      <c r="G118" s="55" t="s">
        <v>5709</v>
      </c>
      <c r="H118" s="55" t="s">
        <v>115</v>
      </c>
      <c r="I118" s="55" t="s">
        <v>74</v>
      </c>
      <c r="J118" s="56">
        <v>45344</v>
      </c>
      <c r="K118" s="56">
        <v>45351</v>
      </c>
      <c r="L118" s="55" t="s">
        <v>6852</v>
      </c>
      <c r="M118" s="55" t="s">
        <v>6872</v>
      </c>
      <c r="N118" s="55" t="s">
        <v>4690</v>
      </c>
      <c r="O118" s="55" t="s">
        <v>6832</v>
      </c>
      <c r="P118" s="55" t="s">
        <v>6833</v>
      </c>
      <c r="Q118" s="56">
        <v>45344</v>
      </c>
      <c r="R118" s="55" t="s">
        <v>6832</v>
      </c>
      <c r="S118" s="55" t="s">
        <v>6833</v>
      </c>
      <c r="T118" s="55" t="s">
        <v>925</v>
      </c>
      <c r="U118" s="4" t="s">
        <v>6852</v>
      </c>
      <c r="V118" s="64" t="s">
        <v>93</v>
      </c>
      <c r="W118" s="72">
        <v>45351</v>
      </c>
      <c r="X118" s="72">
        <v>45352</v>
      </c>
      <c r="Y118" s="4" t="s">
        <v>6834</v>
      </c>
      <c r="Z118" s="4"/>
    </row>
    <row r="119" ht="14.4" s="66" customFormat="1">
      <c r="A119" s="55">
        <v>171197</v>
      </c>
      <c r="B119" s="55" t="s">
        <v>6942</v>
      </c>
      <c r="C119" s="55" t="s">
        <v>4691</v>
      </c>
      <c r="D119" s="55">
        <v>1776239532</v>
      </c>
      <c r="E119" s="55" t="s">
        <v>67</v>
      </c>
      <c r="F119" s="55" t="s">
        <v>71</v>
      </c>
      <c r="G119" s="55" t="s">
        <v>407</v>
      </c>
      <c r="H119" s="55" t="s">
        <v>2643</v>
      </c>
      <c r="I119" s="55" t="s">
        <v>74</v>
      </c>
      <c r="J119" s="56">
        <v>45344</v>
      </c>
      <c r="K119" s="56">
        <v>45351</v>
      </c>
      <c r="L119" s="55" t="s">
        <v>6852</v>
      </c>
      <c r="M119" s="55" t="s">
        <v>6872</v>
      </c>
      <c r="N119" s="55" t="s">
        <v>4695</v>
      </c>
      <c r="O119" s="55" t="s">
        <v>6832</v>
      </c>
      <c r="P119" s="55" t="s">
        <v>6833</v>
      </c>
      <c r="Q119" s="56">
        <v>45344</v>
      </c>
      <c r="R119" s="55" t="s">
        <v>6832</v>
      </c>
      <c r="S119" s="55" t="s">
        <v>6833</v>
      </c>
      <c r="T119" s="55" t="s">
        <v>925</v>
      </c>
      <c r="U119" s="4" t="s">
        <v>6852</v>
      </c>
      <c r="V119" s="64" t="s">
        <v>93</v>
      </c>
      <c r="W119" s="72">
        <v>45351</v>
      </c>
      <c r="X119" s="72">
        <v>45352</v>
      </c>
      <c r="Y119" s="4" t="s">
        <v>6834</v>
      </c>
      <c r="Z119" s="4"/>
    </row>
    <row r="120" ht="14.4" s="66" customFormat="1">
      <c r="A120" s="55">
        <v>171240</v>
      </c>
      <c r="B120" s="55" t="s">
        <v>4638</v>
      </c>
      <c r="C120" s="55" t="s">
        <v>4639</v>
      </c>
      <c r="D120" s="55">
        <v>1516097114</v>
      </c>
      <c r="E120" s="55" t="s">
        <v>67</v>
      </c>
      <c r="F120" s="55" t="s">
        <v>71</v>
      </c>
      <c r="G120" s="55" t="s">
        <v>155</v>
      </c>
      <c r="H120" s="55" t="s">
        <v>196</v>
      </c>
      <c r="I120" s="55" t="s">
        <v>74</v>
      </c>
      <c r="J120" s="56">
        <v>45340</v>
      </c>
      <c r="K120" s="56">
        <v>45347</v>
      </c>
      <c r="L120" s="55" t="s">
        <v>6943</v>
      </c>
      <c r="M120" s="55" t="s">
        <v>6925</v>
      </c>
      <c r="N120" s="55" t="s">
        <v>4035</v>
      </c>
      <c r="O120" s="55" t="s">
        <v>6832</v>
      </c>
      <c r="P120" s="55" t="s">
        <v>6833</v>
      </c>
      <c r="Q120" s="56">
        <v>45340</v>
      </c>
      <c r="R120" s="55" t="s">
        <v>6832</v>
      </c>
      <c r="S120" s="55" t="s">
        <v>6833</v>
      </c>
      <c r="T120" s="55" t="s">
        <v>925</v>
      </c>
      <c r="U120" s="4" t="s">
        <v>6943</v>
      </c>
      <c r="V120" s="64" t="s">
        <v>93</v>
      </c>
      <c r="W120" s="72">
        <v>45351</v>
      </c>
      <c r="X120" s="72">
        <v>45347</v>
      </c>
      <c r="Y120" s="4" t="s">
        <v>6834</v>
      </c>
      <c r="Z120" s="4"/>
    </row>
    <row r="121" ht="14.4" s="66" customFormat="1">
      <c r="A121" s="55">
        <v>171166</v>
      </c>
      <c r="B121" s="55" t="s">
        <v>745</v>
      </c>
      <c r="C121" s="55" t="s">
        <v>4601</v>
      </c>
      <c r="D121" s="55">
        <v>1782441780</v>
      </c>
      <c r="E121" s="55" t="s">
        <v>67</v>
      </c>
      <c r="F121" s="55" t="s">
        <v>71</v>
      </c>
      <c r="G121" s="55" t="s">
        <v>5709</v>
      </c>
      <c r="H121" s="55" t="s">
        <v>115</v>
      </c>
      <c r="I121" s="55" t="s">
        <v>74</v>
      </c>
      <c r="J121" s="56">
        <v>45337</v>
      </c>
      <c r="K121" s="56">
        <v>45337</v>
      </c>
      <c r="L121" s="55" t="s">
        <v>6854</v>
      </c>
      <c r="M121" s="55" t="s">
        <v>6872</v>
      </c>
      <c r="N121" s="55" t="s">
        <v>4611</v>
      </c>
      <c r="O121" s="55" t="s">
        <v>6832</v>
      </c>
      <c r="P121" s="55" t="s">
        <v>6833</v>
      </c>
      <c r="Q121" s="56">
        <v>45337</v>
      </c>
      <c r="R121" s="55" t="s">
        <v>6832</v>
      </c>
      <c r="S121" s="55" t="s">
        <v>6833</v>
      </c>
      <c r="T121" s="55" t="s">
        <v>925</v>
      </c>
      <c r="U121" s="4" t="s">
        <v>6854</v>
      </c>
      <c r="V121" s="64" t="s">
        <v>93</v>
      </c>
      <c r="W121" s="72">
        <v>45351</v>
      </c>
      <c r="X121" s="72">
        <v>45338</v>
      </c>
      <c r="Y121" s="4" t="s">
        <v>6838</v>
      </c>
      <c r="Z121" s="4"/>
    </row>
    <row r="122" ht="14.4" s="66" customFormat="1">
      <c r="A122" s="55">
        <v>171149</v>
      </c>
      <c r="B122" s="55" t="s">
        <v>2585</v>
      </c>
      <c r="C122" s="55" t="s">
        <v>2706</v>
      </c>
      <c r="D122" s="55">
        <v>1518707935</v>
      </c>
      <c r="E122" s="55" t="s">
        <v>67</v>
      </c>
      <c r="F122" s="55" t="s">
        <v>71</v>
      </c>
      <c r="G122" s="55" t="s">
        <v>5709</v>
      </c>
      <c r="H122" s="55" t="s">
        <v>308</v>
      </c>
      <c r="I122" s="55" t="s">
        <v>74</v>
      </c>
      <c r="J122" s="56">
        <v>45355</v>
      </c>
      <c r="K122" s="56">
        <v>45361</v>
      </c>
      <c r="L122" s="55" t="s">
        <v>6852</v>
      </c>
      <c r="M122" s="55" t="s">
        <v>6872</v>
      </c>
      <c r="N122" s="55" t="s">
        <v>6944</v>
      </c>
      <c r="O122" s="55" t="s">
        <v>6832</v>
      </c>
      <c r="P122" s="55" t="s">
        <v>6833</v>
      </c>
      <c r="Q122" s="56">
        <v>45355</v>
      </c>
      <c r="R122" s="55" t="s">
        <v>6832</v>
      </c>
      <c r="S122" s="55" t="s">
        <v>6833</v>
      </c>
      <c r="T122" s="55" t="s">
        <v>925</v>
      </c>
      <c r="U122" s="4" t="s">
        <v>6852</v>
      </c>
      <c r="V122" s="64" t="s">
        <v>93</v>
      </c>
      <c r="W122" s="72">
        <v>45356</v>
      </c>
      <c r="X122" s="72">
        <v>45362</v>
      </c>
      <c r="Y122" s="4" t="s">
        <v>6834</v>
      </c>
      <c r="Z122" s="4"/>
    </row>
    <row r="123" ht="14.4" s="66" customFormat="1">
      <c r="A123" s="55">
        <v>171321</v>
      </c>
      <c r="B123" s="55" t="s">
        <v>5455</v>
      </c>
      <c r="C123" s="55" t="s">
        <v>4744</v>
      </c>
      <c r="D123" s="55">
        <v>1687971250</v>
      </c>
      <c r="E123" s="55" t="s">
        <v>67</v>
      </c>
      <c r="F123" s="55" t="s">
        <v>71</v>
      </c>
      <c r="G123" s="55" t="s">
        <v>5709</v>
      </c>
      <c r="H123" s="55" t="s">
        <v>308</v>
      </c>
      <c r="I123" s="55" t="s">
        <v>74</v>
      </c>
      <c r="J123" s="56">
        <v>45355</v>
      </c>
      <c r="K123" s="56">
        <v>45361</v>
      </c>
      <c r="L123" s="55" t="s">
        <v>6852</v>
      </c>
      <c r="M123" s="55" t="s">
        <v>6872</v>
      </c>
      <c r="N123" s="55" t="s">
        <v>6944</v>
      </c>
      <c r="O123" s="55" t="s">
        <v>6832</v>
      </c>
      <c r="P123" s="55" t="s">
        <v>6833</v>
      </c>
      <c r="Q123" s="56">
        <v>45355</v>
      </c>
      <c r="R123" s="55" t="s">
        <v>6832</v>
      </c>
      <c r="S123" s="55" t="s">
        <v>6833</v>
      </c>
      <c r="T123" s="55" t="s">
        <v>925</v>
      </c>
      <c r="U123" s="4" t="s">
        <v>6852</v>
      </c>
      <c r="V123" s="64" t="s">
        <v>93</v>
      </c>
      <c r="W123" s="72">
        <v>45356</v>
      </c>
      <c r="X123" s="72">
        <v>45363</v>
      </c>
      <c r="Y123" s="4" t="s">
        <v>6834</v>
      </c>
      <c r="Z123" s="4"/>
    </row>
    <row r="124" ht="14.4" s="66" customFormat="1">
      <c r="A124" s="55">
        <v>171243</v>
      </c>
      <c r="B124" s="55" t="s">
        <v>753</v>
      </c>
      <c r="C124" s="55" t="s">
        <v>4716</v>
      </c>
      <c r="D124" s="55">
        <v>1811697879</v>
      </c>
      <c r="E124" s="55" t="s">
        <v>67</v>
      </c>
      <c r="F124" s="55" t="s">
        <v>71</v>
      </c>
      <c r="G124" s="55" t="s">
        <v>5709</v>
      </c>
      <c r="H124" s="55" t="s">
        <v>2643</v>
      </c>
      <c r="I124" s="55" t="s">
        <v>74</v>
      </c>
      <c r="J124" s="56">
        <v>45354</v>
      </c>
      <c r="K124" s="56">
        <v>45360</v>
      </c>
      <c r="L124" s="55" t="s">
        <v>6945</v>
      </c>
      <c r="M124" s="55" t="s">
        <v>6872</v>
      </c>
      <c r="N124" s="55" t="s">
        <v>4611</v>
      </c>
      <c r="O124" s="55" t="s">
        <v>6832</v>
      </c>
      <c r="P124" s="55" t="s">
        <v>6833</v>
      </c>
      <c r="Q124" s="56">
        <v>45354</v>
      </c>
      <c r="R124" s="55" t="s">
        <v>6832</v>
      </c>
      <c r="S124" s="55" t="s">
        <v>6833</v>
      </c>
      <c r="T124" s="55" t="s">
        <v>925</v>
      </c>
      <c r="U124" s="4" t="s">
        <v>6945</v>
      </c>
      <c r="V124" s="64" t="s">
        <v>93</v>
      </c>
      <c r="W124" s="72">
        <v>45356</v>
      </c>
      <c r="X124" s="72">
        <v>45361</v>
      </c>
      <c r="Y124" s="4" t="s">
        <v>6834</v>
      </c>
      <c r="Z124" s="4"/>
    </row>
    <row r="125" ht="14.4" s="66" customFormat="1">
      <c r="A125" s="55">
        <v>171235</v>
      </c>
      <c r="B125" s="55" t="s">
        <v>902</v>
      </c>
      <c r="C125" s="55" t="s">
        <v>4724</v>
      </c>
      <c r="D125" s="55" t="s">
        <v>6946</v>
      </c>
      <c r="E125" s="55" t="s">
        <v>67</v>
      </c>
      <c r="F125" s="55" t="s">
        <v>71</v>
      </c>
      <c r="G125" s="55" t="s">
        <v>5709</v>
      </c>
      <c r="H125" s="55" t="s">
        <v>115</v>
      </c>
      <c r="I125" s="55" t="s">
        <v>74</v>
      </c>
      <c r="J125" s="56">
        <v>45354</v>
      </c>
      <c r="K125" s="56">
        <v>45361</v>
      </c>
      <c r="L125" s="55" t="s">
        <v>6947</v>
      </c>
      <c r="M125" s="55" t="s">
        <v>6872</v>
      </c>
      <c r="N125" s="55" t="s">
        <v>3796</v>
      </c>
      <c r="O125" s="55" t="s">
        <v>6832</v>
      </c>
      <c r="P125" s="55" t="s">
        <v>6833</v>
      </c>
      <c r="Q125" s="56">
        <v>45354</v>
      </c>
      <c r="R125" s="55" t="s">
        <v>6832</v>
      </c>
      <c r="S125" s="55" t="s">
        <v>6833</v>
      </c>
      <c r="T125" s="55" t="s">
        <v>925</v>
      </c>
      <c r="U125" s="4" t="s">
        <v>6947</v>
      </c>
      <c r="V125" s="64" t="s">
        <v>93</v>
      </c>
      <c r="W125" s="72">
        <v>45356</v>
      </c>
      <c r="X125" s="72">
        <v>45362</v>
      </c>
      <c r="Y125" s="4" t="s">
        <v>6834</v>
      </c>
      <c r="Z125" s="4"/>
    </row>
    <row r="126" ht="14.4" s="66" customFormat="1">
      <c r="A126" s="55">
        <v>171322</v>
      </c>
      <c r="B126" s="55" t="s">
        <v>2445</v>
      </c>
      <c r="C126" s="55" t="s">
        <v>4732</v>
      </c>
      <c r="D126" s="55">
        <v>1301140531</v>
      </c>
      <c r="E126" s="55" t="s">
        <v>67</v>
      </c>
      <c r="F126" s="55" t="s">
        <v>71</v>
      </c>
      <c r="G126" s="55" t="s">
        <v>5709</v>
      </c>
      <c r="H126" s="55" t="s">
        <v>308</v>
      </c>
      <c r="I126" s="55" t="s">
        <v>74</v>
      </c>
      <c r="J126" s="56">
        <v>45354</v>
      </c>
      <c r="K126" s="56">
        <v>45361</v>
      </c>
      <c r="L126" s="55" t="s">
        <v>6945</v>
      </c>
      <c r="M126" s="55" t="s">
        <v>6872</v>
      </c>
      <c r="N126" s="55" t="s">
        <v>4611</v>
      </c>
      <c r="O126" s="55" t="s">
        <v>6832</v>
      </c>
      <c r="P126" s="55" t="s">
        <v>6833</v>
      </c>
      <c r="Q126" s="56">
        <v>45354</v>
      </c>
      <c r="R126" s="55" t="s">
        <v>6832</v>
      </c>
      <c r="S126" s="55" t="s">
        <v>6833</v>
      </c>
      <c r="T126" s="55" t="s">
        <v>925</v>
      </c>
      <c r="U126" s="4" t="s">
        <v>6945</v>
      </c>
      <c r="V126" s="64" t="s">
        <v>93</v>
      </c>
      <c r="W126" s="72">
        <v>45356</v>
      </c>
      <c r="X126" s="72">
        <v>45362</v>
      </c>
      <c r="Y126" s="4" t="s">
        <v>6834</v>
      </c>
      <c r="Z126" s="4"/>
    </row>
    <row r="127" ht="14.4" s="66" customFormat="1">
      <c r="A127" s="4">
        <v>171136</v>
      </c>
      <c r="B127" s="4" t="s">
        <v>4702</v>
      </c>
      <c r="C127" s="4" t="s">
        <v>6948</v>
      </c>
      <c r="D127" s="4">
        <v>1680496389</v>
      </c>
      <c r="E127" s="4" t="s">
        <v>67</v>
      </c>
      <c r="F127" s="4" t="s">
        <v>71</v>
      </c>
      <c r="G127" s="4" t="s">
        <v>155</v>
      </c>
      <c r="H127" s="4" t="s">
        <v>196</v>
      </c>
      <c r="I127" s="4" t="s">
        <v>74</v>
      </c>
      <c r="J127" s="69">
        <v>45356</v>
      </c>
      <c r="K127" s="69">
        <v>45356</v>
      </c>
      <c r="L127" s="4" t="s">
        <v>6854</v>
      </c>
      <c r="M127" s="4" t="s">
        <v>6925</v>
      </c>
      <c r="N127" s="4" t="s">
        <v>4035</v>
      </c>
      <c r="O127" s="4" t="s">
        <v>6832</v>
      </c>
      <c r="P127" s="4" t="s">
        <v>6833</v>
      </c>
      <c r="Q127" s="69">
        <v>45356</v>
      </c>
      <c r="R127" s="4" t="s">
        <v>6832</v>
      </c>
      <c r="S127" s="4" t="s">
        <v>6833</v>
      </c>
      <c r="T127" s="4" t="s">
        <v>925</v>
      </c>
      <c r="U127" s="4" t="s">
        <v>6854</v>
      </c>
      <c r="V127" s="64" t="s">
        <v>93</v>
      </c>
      <c r="W127" s="72">
        <v>45356</v>
      </c>
      <c r="X127" s="72">
        <v>45357</v>
      </c>
      <c r="Y127" s="4" t="s">
        <v>6838</v>
      </c>
      <c r="Z127" s="4"/>
    </row>
    <row r="128" ht="14.4" s="66" customFormat="1">
      <c r="A128" s="4">
        <v>171335</v>
      </c>
      <c r="B128" s="4" t="s">
        <v>4766</v>
      </c>
      <c r="C128" s="4" t="s">
        <v>6949</v>
      </c>
      <c r="D128" s="4">
        <v>1714070733</v>
      </c>
      <c r="E128" s="4" t="s">
        <v>67</v>
      </c>
      <c r="F128" s="4" t="s">
        <v>71</v>
      </c>
      <c r="G128" s="4" t="s">
        <v>155</v>
      </c>
      <c r="H128" s="4" t="s">
        <v>196</v>
      </c>
      <c r="I128" s="4" t="s">
        <v>74</v>
      </c>
      <c r="J128" s="69">
        <v>45359</v>
      </c>
      <c r="K128" s="69">
        <v>45366</v>
      </c>
      <c r="L128" s="4" t="s">
        <v>6845</v>
      </c>
      <c r="M128" s="4" t="s">
        <v>6925</v>
      </c>
      <c r="N128" s="4" t="s">
        <v>4035</v>
      </c>
      <c r="O128" s="4" t="s">
        <v>6832</v>
      </c>
      <c r="P128" s="4" t="s">
        <v>6833</v>
      </c>
      <c r="Q128" s="69">
        <v>45359</v>
      </c>
      <c r="R128" s="4" t="s">
        <v>6832</v>
      </c>
      <c r="S128" s="4" t="s">
        <v>6833</v>
      </c>
      <c r="T128" s="4" t="s">
        <v>925</v>
      </c>
      <c r="U128" s="4" t="s">
        <v>6845</v>
      </c>
      <c r="V128" s="64" t="s">
        <v>93</v>
      </c>
      <c r="W128" s="72">
        <v>45363</v>
      </c>
      <c r="X128" s="72">
        <v>45367</v>
      </c>
      <c r="Y128" s="4" t="s">
        <v>6834</v>
      </c>
      <c r="Z128" s="4"/>
    </row>
    <row r="129" ht="14.4" s="66" customFormat="1">
      <c r="A129" s="55">
        <v>171325</v>
      </c>
      <c r="B129" s="55" t="s">
        <v>2801</v>
      </c>
      <c r="C129" s="55" t="s">
        <v>4791</v>
      </c>
      <c r="D129" s="55">
        <v>1712482180</v>
      </c>
      <c r="E129" s="55" t="s">
        <v>67</v>
      </c>
      <c r="F129" s="55" t="s">
        <v>71</v>
      </c>
      <c r="G129" s="55" t="s">
        <v>5709</v>
      </c>
      <c r="H129" s="55" t="s">
        <v>308</v>
      </c>
      <c r="I129" s="55" t="s">
        <v>74</v>
      </c>
      <c r="J129" s="56">
        <v>45362</v>
      </c>
      <c r="K129" s="56">
        <v>45369</v>
      </c>
      <c r="L129" s="55" t="s">
        <v>6852</v>
      </c>
      <c r="M129" s="55" t="s">
        <v>6872</v>
      </c>
      <c r="N129" s="55" t="s">
        <v>6950</v>
      </c>
      <c r="O129" s="55" t="s">
        <v>6832</v>
      </c>
      <c r="P129" s="55" t="s">
        <v>6833</v>
      </c>
      <c r="Q129" s="56">
        <v>45362</v>
      </c>
      <c r="R129" s="55" t="s">
        <v>6832</v>
      </c>
      <c r="S129" s="55" t="s">
        <v>6833</v>
      </c>
      <c r="T129" s="55" t="s">
        <v>925</v>
      </c>
      <c r="U129" s="4" t="s">
        <v>6852</v>
      </c>
      <c r="V129" s="64" t="s">
        <v>93</v>
      </c>
      <c r="W129" s="72">
        <v>45363</v>
      </c>
      <c r="X129" s="72">
        <v>45370</v>
      </c>
      <c r="Y129" s="4" t="s">
        <v>6834</v>
      </c>
      <c r="Z129" s="4"/>
    </row>
    <row r="130" ht="14.4" s="66" customFormat="1">
      <c r="A130" s="55">
        <v>171228</v>
      </c>
      <c r="B130" s="55" t="s">
        <v>834</v>
      </c>
      <c r="C130" s="55" t="s">
        <v>4783</v>
      </c>
      <c r="D130" s="55">
        <v>1992624800</v>
      </c>
      <c r="E130" s="55" t="s">
        <v>67</v>
      </c>
      <c r="F130" s="55" t="s">
        <v>71</v>
      </c>
      <c r="G130" s="55" t="s">
        <v>5709</v>
      </c>
      <c r="H130" s="55" t="s">
        <v>6938</v>
      </c>
      <c r="I130" s="55" t="s">
        <v>74</v>
      </c>
      <c r="J130" s="56">
        <v>45361</v>
      </c>
      <c r="K130" s="56">
        <v>45367</v>
      </c>
      <c r="L130" s="55" t="s">
        <v>6852</v>
      </c>
      <c r="M130" s="55" t="s">
        <v>6872</v>
      </c>
      <c r="N130" s="55" t="s">
        <v>4675</v>
      </c>
      <c r="O130" s="55" t="s">
        <v>6832</v>
      </c>
      <c r="P130" s="55" t="s">
        <v>6833</v>
      </c>
      <c r="Q130" s="56">
        <v>45361</v>
      </c>
      <c r="R130" s="55" t="s">
        <v>6832</v>
      </c>
      <c r="S130" s="55" t="s">
        <v>6833</v>
      </c>
      <c r="T130" s="55" t="s">
        <v>925</v>
      </c>
      <c r="U130" s="4" t="s">
        <v>6852</v>
      </c>
      <c r="V130" s="64" t="s">
        <v>93</v>
      </c>
      <c r="W130" s="72">
        <v>45363</v>
      </c>
      <c r="X130" s="72">
        <v>45368</v>
      </c>
      <c r="Y130" s="4" t="s">
        <v>6834</v>
      </c>
      <c r="Z130" s="4"/>
    </row>
    <row r="131" ht="14.4" s="66" customFormat="1">
      <c r="A131" s="55">
        <v>171049</v>
      </c>
      <c r="B131" s="55" t="s">
        <v>2856</v>
      </c>
      <c r="C131" s="55" t="s">
        <v>4777</v>
      </c>
      <c r="D131" s="55">
        <v>1743165343</v>
      </c>
      <c r="E131" s="55" t="s">
        <v>67</v>
      </c>
      <c r="F131" s="55" t="s">
        <v>71</v>
      </c>
      <c r="G131" s="55" t="s">
        <v>5709</v>
      </c>
      <c r="H131" s="55" t="s">
        <v>308</v>
      </c>
      <c r="I131" s="55" t="s">
        <v>74</v>
      </c>
      <c r="J131" s="56">
        <v>45360</v>
      </c>
      <c r="K131" s="56">
        <v>45366</v>
      </c>
      <c r="L131" s="55" t="s">
        <v>6852</v>
      </c>
      <c r="M131" s="55" t="s">
        <v>6872</v>
      </c>
      <c r="N131" s="55" t="s">
        <v>4611</v>
      </c>
      <c r="O131" s="55" t="s">
        <v>6832</v>
      </c>
      <c r="P131" s="55" t="s">
        <v>6833</v>
      </c>
      <c r="Q131" s="56">
        <v>45360</v>
      </c>
      <c r="R131" s="55" t="s">
        <v>6832</v>
      </c>
      <c r="S131" s="55" t="s">
        <v>6833</v>
      </c>
      <c r="T131" s="55" t="s">
        <v>925</v>
      </c>
      <c r="U131" s="4" t="s">
        <v>6852</v>
      </c>
      <c r="V131" s="64" t="s">
        <v>93</v>
      </c>
      <c r="W131" s="72">
        <v>45363</v>
      </c>
      <c r="X131" s="72">
        <v>45367</v>
      </c>
      <c r="Y131" s="4" t="s">
        <v>6834</v>
      </c>
      <c r="Z131" s="4"/>
    </row>
    <row r="132" ht="14.4" s="66" customFormat="1">
      <c r="A132" s="55">
        <v>171253</v>
      </c>
      <c r="B132" s="55" t="s">
        <v>4759</v>
      </c>
      <c r="C132" s="55" t="s">
        <v>4760</v>
      </c>
      <c r="D132" s="55" t="s">
        <v>6951</v>
      </c>
      <c r="E132" s="55" t="s">
        <v>67</v>
      </c>
      <c r="F132" s="55" t="s">
        <v>71</v>
      </c>
      <c r="G132" s="55" t="s">
        <v>2495</v>
      </c>
      <c r="H132" s="55" t="s">
        <v>2643</v>
      </c>
      <c r="I132" s="55" t="s">
        <v>74</v>
      </c>
      <c r="J132" s="56">
        <v>45357</v>
      </c>
      <c r="K132" s="56">
        <v>45364</v>
      </c>
      <c r="L132" s="55" t="s">
        <v>6852</v>
      </c>
      <c r="M132" s="55" t="s">
        <v>6872</v>
      </c>
      <c r="N132" s="55" t="s">
        <v>4321</v>
      </c>
      <c r="O132" s="55" t="s">
        <v>6832</v>
      </c>
      <c r="P132" s="55" t="s">
        <v>6833</v>
      </c>
      <c r="Q132" s="56">
        <v>45357</v>
      </c>
      <c r="R132" s="55" t="s">
        <v>6832</v>
      </c>
      <c r="S132" s="55" t="s">
        <v>6833</v>
      </c>
      <c r="T132" s="55" t="s">
        <v>925</v>
      </c>
      <c r="U132" s="4" t="s">
        <v>6852</v>
      </c>
      <c r="V132" s="64" t="s">
        <v>93</v>
      </c>
      <c r="W132" s="72">
        <v>45363</v>
      </c>
      <c r="X132" s="72">
        <v>45365</v>
      </c>
      <c r="Y132" s="4" t="s">
        <v>6834</v>
      </c>
      <c r="Z132" s="4"/>
    </row>
    <row r="133" ht="14.4" s="66" customFormat="1">
      <c r="A133" s="55">
        <v>171039</v>
      </c>
      <c r="B133" s="55" t="s">
        <v>823</v>
      </c>
      <c r="C133" s="55" t="s">
        <v>4810</v>
      </c>
      <c r="D133" s="55">
        <v>1645435329</v>
      </c>
      <c r="E133" s="55" t="s">
        <v>67</v>
      </c>
      <c r="F133" s="55" t="s">
        <v>71</v>
      </c>
      <c r="G133" s="55" t="s">
        <v>5709</v>
      </c>
      <c r="H133" s="55" t="s">
        <v>308</v>
      </c>
      <c r="I133" s="55" t="s">
        <v>74</v>
      </c>
      <c r="J133" s="56">
        <v>45367</v>
      </c>
      <c r="K133" s="56">
        <v>45373</v>
      </c>
      <c r="L133" s="55" t="s">
        <v>6945</v>
      </c>
      <c r="M133" s="55" t="s">
        <v>6872</v>
      </c>
      <c r="N133" s="55" t="s">
        <v>6952</v>
      </c>
      <c r="O133" s="55" t="s">
        <v>6832</v>
      </c>
      <c r="P133" s="55" t="s">
        <v>6833</v>
      </c>
      <c r="Q133" s="56">
        <v>45367</v>
      </c>
      <c r="R133" s="55" t="s">
        <v>6832</v>
      </c>
      <c r="S133" s="55" t="s">
        <v>6833</v>
      </c>
      <c r="T133" s="4" t="s">
        <v>925</v>
      </c>
      <c r="U133" s="4" t="s">
        <v>6945</v>
      </c>
      <c r="V133" s="64" t="s">
        <v>93</v>
      </c>
      <c r="W133" s="72">
        <v>45370</v>
      </c>
      <c r="X133" s="72">
        <v>45374</v>
      </c>
      <c r="Y133" s="4" t="s">
        <v>6838</v>
      </c>
      <c r="Z133" s="4"/>
    </row>
    <row r="134" ht="14.4" s="66" customFormat="1">
      <c r="A134" s="4">
        <v>171205</v>
      </c>
      <c r="B134" s="4" t="s">
        <v>6953</v>
      </c>
      <c r="C134" s="4" t="s">
        <v>4799</v>
      </c>
      <c r="D134" s="4">
        <v>1314223353</v>
      </c>
      <c r="E134" s="4" t="s">
        <v>67</v>
      </c>
      <c r="F134" s="4" t="s">
        <v>71</v>
      </c>
      <c r="G134" s="4" t="s">
        <v>155</v>
      </c>
      <c r="H134" s="4" t="s">
        <v>196</v>
      </c>
      <c r="I134" s="4" t="s">
        <v>74</v>
      </c>
      <c r="J134" s="69">
        <v>45365</v>
      </c>
      <c r="K134" s="69">
        <v>45371</v>
      </c>
      <c r="L134" s="4" t="s">
        <v>6852</v>
      </c>
      <c r="M134" s="4" t="s">
        <v>6925</v>
      </c>
      <c r="N134" s="4" t="s">
        <v>4002</v>
      </c>
      <c r="O134" s="4" t="s">
        <v>6832</v>
      </c>
      <c r="P134" s="4" t="s">
        <v>6833</v>
      </c>
      <c r="Q134" s="69">
        <v>45365</v>
      </c>
      <c r="R134" s="4" t="s">
        <v>6832</v>
      </c>
      <c r="S134" s="4" t="s">
        <v>6833</v>
      </c>
      <c r="T134" s="4" t="s">
        <v>925</v>
      </c>
      <c r="U134" s="4" t="s">
        <v>6852</v>
      </c>
      <c r="V134" s="64" t="s">
        <v>93</v>
      </c>
      <c r="W134" s="72">
        <v>45370</v>
      </c>
      <c r="X134" s="72">
        <v>45372</v>
      </c>
      <c r="Y134" s="4" t="s">
        <v>6834</v>
      </c>
      <c r="Z134" s="4"/>
    </row>
    <row r="135" ht="14.4" s="66" customFormat="1">
      <c r="A135" s="55">
        <v>171049</v>
      </c>
      <c r="B135" s="55" t="s">
        <v>2856</v>
      </c>
      <c r="C135" s="55" t="s">
        <v>4777</v>
      </c>
      <c r="D135" s="55">
        <v>1743165343</v>
      </c>
      <c r="E135" s="55" t="s">
        <v>67</v>
      </c>
      <c r="F135" s="55" t="s">
        <v>71</v>
      </c>
      <c r="G135" s="55" t="s">
        <v>5709</v>
      </c>
      <c r="H135" s="55" t="s">
        <v>308</v>
      </c>
      <c r="I135" s="55" t="s">
        <v>74</v>
      </c>
      <c r="J135" s="56">
        <v>45360</v>
      </c>
      <c r="K135" s="56">
        <v>45366</v>
      </c>
      <c r="L135" s="55" t="s">
        <v>6852</v>
      </c>
      <c r="M135" s="55" t="s">
        <v>6872</v>
      </c>
      <c r="N135" s="55" t="s">
        <v>4611</v>
      </c>
      <c r="O135" s="55" t="s">
        <v>6832</v>
      </c>
      <c r="P135" s="55" t="s">
        <v>6833</v>
      </c>
      <c r="Q135" s="56">
        <v>45360</v>
      </c>
      <c r="R135" s="55" t="s">
        <v>6832</v>
      </c>
      <c r="S135" s="55" t="s">
        <v>6833</v>
      </c>
      <c r="T135" s="4" t="s">
        <v>925</v>
      </c>
      <c r="U135" s="4" t="s">
        <v>6852</v>
      </c>
      <c r="V135" s="64" t="s">
        <v>93</v>
      </c>
      <c r="W135" s="72">
        <v>45370</v>
      </c>
      <c r="X135" s="72">
        <v>45367</v>
      </c>
      <c r="Y135" s="4" t="s">
        <v>6834</v>
      </c>
      <c r="Z135" s="4"/>
    </row>
    <row r="136" ht="14.4" s="66" customFormat="1">
      <c r="A136" s="55">
        <v>171142</v>
      </c>
      <c r="B136" s="55" t="s">
        <v>4828</v>
      </c>
      <c r="C136" s="55" t="s">
        <v>4829</v>
      </c>
      <c r="D136" s="55">
        <v>1989838284</v>
      </c>
      <c r="E136" s="55" t="s">
        <v>67</v>
      </c>
      <c r="F136" s="55" t="s">
        <v>71</v>
      </c>
      <c r="G136" s="55" t="s">
        <v>155</v>
      </c>
      <c r="H136" s="55" t="s">
        <v>196</v>
      </c>
      <c r="I136" s="55" t="s">
        <v>74</v>
      </c>
      <c r="J136" s="56">
        <v>45378</v>
      </c>
      <c r="K136" s="56">
        <v>45378</v>
      </c>
      <c r="L136" s="55" t="s">
        <v>6954</v>
      </c>
      <c r="M136" s="55" t="s">
        <v>6925</v>
      </c>
      <c r="N136" s="55" t="s">
        <v>4002</v>
      </c>
      <c r="O136" s="55" t="s">
        <v>6832</v>
      </c>
      <c r="P136" s="55" t="s">
        <v>6833</v>
      </c>
      <c r="Q136" s="56">
        <v>45378</v>
      </c>
      <c r="R136" s="55" t="s">
        <v>6832</v>
      </c>
      <c r="S136" s="55" t="s">
        <v>6833</v>
      </c>
      <c r="T136" s="55" t="s">
        <v>925</v>
      </c>
      <c r="U136" s="4" t="s">
        <v>6954</v>
      </c>
      <c r="V136" s="64" t="s">
        <v>93</v>
      </c>
      <c r="W136" s="72">
        <v>45382</v>
      </c>
      <c r="X136" s="72">
        <v>45379</v>
      </c>
      <c r="Y136" s="4" t="s">
        <v>6838</v>
      </c>
      <c r="Z136" s="4"/>
    </row>
    <row r="137" ht="14.4" s="66" customFormat="1">
      <c r="A137" s="55">
        <v>171176</v>
      </c>
      <c r="B137" s="55" t="s">
        <v>3257</v>
      </c>
      <c r="C137" s="55" t="s">
        <v>4838</v>
      </c>
      <c r="D137" s="55">
        <v>1533774035</v>
      </c>
      <c r="E137" s="55" t="s">
        <v>67</v>
      </c>
      <c r="F137" s="55" t="s">
        <v>71</v>
      </c>
      <c r="G137" s="55" t="s">
        <v>2495</v>
      </c>
      <c r="H137" s="55" t="s">
        <v>98</v>
      </c>
      <c r="I137" s="55" t="s">
        <v>74</v>
      </c>
      <c r="J137" s="56">
        <v>45376</v>
      </c>
      <c r="K137" s="56">
        <v>45382</v>
      </c>
      <c r="L137" s="55" t="s">
        <v>6852</v>
      </c>
      <c r="M137" s="55" t="s">
        <v>6872</v>
      </c>
      <c r="N137" s="55" t="s">
        <v>4321</v>
      </c>
      <c r="O137" s="55" t="s">
        <v>6832</v>
      </c>
      <c r="P137" s="55" t="s">
        <v>6833</v>
      </c>
      <c r="Q137" s="56">
        <v>45382</v>
      </c>
      <c r="R137" s="55" t="s">
        <v>6832</v>
      </c>
      <c r="S137" s="55" t="s">
        <v>6833</v>
      </c>
      <c r="T137" s="55" t="s">
        <v>925</v>
      </c>
      <c r="U137" s="4" t="s">
        <v>6852</v>
      </c>
      <c r="V137" s="64" t="s">
        <v>93</v>
      </c>
      <c r="W137" s="72">
        <v>45382</v>
      </c>
      <c r="X137" s="72">
        <v>45383</v>
      </c>
      <c r="Y137" s="4" t="s">
        <v>6834</v>
      </c>
      <c r="Z137" s="4"/>
    </row>
    <row r="138" ht="14.4" s="66" customFormat="1">
      <c r="A138" s="55">
        <v>171132</v>
      </c>
      <c r="B138" s="55" t="s">
        <v>891</v>
      </c>
      <c r="C138" s="55" t="s">
        <v>4845</v>
      </c>
      <c r="D138" s="55">
        <v>1983628324</v>
      </c>
      <c r="E138" s="55" t="s">
        <v>67</v>
      </c>
      <c r="F138" s="55" t="s">
        <v>71</v>
      </c>
      <c r="G138" s="55" t="s">
        <v>5709</v>
      </c>
      <c r="H138" s="55" t="s">
        <v>115</v>
      </c>
      <c r="I138" s="55" t="s">
        <v>74</v>
      </c>
      <c r="J138" s="56">
        <v>45376</v>
      </c>
      <c r="K138" s="56">
        <v>45382</v>
      </c>
      <c r="L138" s="55" t="s">
        <v>6852</v>
      </c>
      <c r="M138" s="55" t="s">
        <v>6872</v>
      </c>
      <c r="N138" s="55" t="s">
        <v>3796</v>
      </c>
      <c r="O138" s="55" t="s">
        <v>6832</v>
      </c>
      <c r="P138" s="55" t="s">
        <v>6833</v>
      </c>
      <c r="Q138" s="56">
        <v>45376</v>
      </c>
      <c r="R138" s="55" t="s">
        <v>6832</v>
      </c>
      <c r="S138" s="55" t="s">
        <v>6833</v>
      </c>
      <c r="T138" s="55" t="s">
        <v>925</v>
      </c>
      <c r="U138" s="4" t="s">
        <v>6852</v>
      </c>
      <c r="V138" s="64" t="s">
        <v>93</v>
      </c>
      <c r="W138" s="72">
        <v>45382</v>
      </c>
      <c r="X138" s="72">
        <v>45383</v>
      </c>
      <c r="Y138" s="4" t="s">
        <v>6834</v>
      </c>
      <c r="Z138" s="4"/>
    </row>
    <row r="139" ht="14.4" s="66" customFormat="1">
      <c r="A139" s="55">
        <v>171284</v>
      </c>
      <c r="B139" s="55" t="s">
        <v>5416</v>
      </c>
      <c r="C139" s="55" t="s">
        <v>4846</v>
      </c>
      <c r="D139" s="55">
        <v>1968638774</v>
      </c>
      <c r="E139" s="55" t="s">
        <v>67</v>
      </c>
      <c r="F139" s="55" t="s">
        <v>71</v>
      </c>
      <c r="G139" s="55" t="s">
        <v>5709</v>
      </c>
      <c r="H139" s="55" t="s">
        <v>115</v>
      </c>
      <c r="I139" s="55" t="s">
        <v>74</v>
      </c>
      <c r="J139" s="56">
        <v>45375</v>
      </c>
      <c r="K139" s="56">
        <v>45382</v>
      </c>
      <c r="L139" s="55" t="s">
        <v>6852</v>
      </c>
      <c r="M139" s="55" t="s">
        <v>6872</v>
      </c>
      <c r="N139" s="55" t="s">
        <v>4321</v>
      </c>
      <c r="O139" s="55" t="s">
        <v>6832</v>
      </c>
      <c r="P139" s="55" t="s">
        <v>6833</v>
      </c>
      <c r="Q139" s="56">
        <v>45375</v>
      </c>
      <c r="R139" s="55" t="s">
        <v>6832</v>
      </c>
      <c r="S139" s="55" t="s">
        <v>6833</v>
      </c>
      <c r="T139" s="55" t="s">
        <v>925</v>
      </c>
      <c r="U139" s="4" t="s">
        <v>6852</v>
      </c>
      <c r="V139" s="64" t="s">
        <v>93</v>
      </c>
      <c r="W139" s="72">
        <v>45382</v>
      </c>
      <c r="X139" s="72">
        <v>45383</v>
      </c>
      <c r="Y139" s="4" t="s">
        <v>6834</v>
      </c>
      <c r="Z139" s="4"/>
    </row>
    <row r="140" ht="14.4" s="66" customFormat="1">
      <c r="A140" s="4">
        <v>171141</v>
      </c>
      <c r="B140" s="4" t="s">
        <v>4855</v>
      </c>
      <c r="C140" s="4" t="s">
        <v>4856</v>
      </c>
      <c r="D140" s="4">
        <v>1738134147</v>
      </c>
      <c r="E140" s="4" t="s">
        <v>67</v>
      </c>
      <c r="F140" s="4" t="s">
        <v>71</v>
      </c>
      <c r="G140" s="4" t="s">
        <v>155</v>
      </c>
      <c r="H140" s="4" t="s">
        <v>196</v>
      </c>
      <c r="I140" s="4" t="s">
        <v>74</v>
      </c>
      <c r="J140" s="69">
        <v>45375</v>
      </c>
      <c r="K140" s="69">
        <v>45382</v>
      </c>
      <c r="L140" s="4" t="s">
        <v>6845</v>
      </c>
      <c r="M140" s="4" t="s">
        <v>6925</v>
      </c>
      <c r="N140" s="4" t="s">
        <v>4002</v>
      </c>
      <c r="O140" s="4" t="s">
        <v>6832</v>
      </c>
      <c r="P140" s="4" t="s">
        <v>6833</v>
      </c>
      <c r="Q140" s="69">
        <v>45375</v>
      </c>
      <c r="R140" s="4" t="s">
        <v>6832</v>
      </c>
      <c r="S140" s="4" t="s">
        <v>6833</v>
      </c>
      <c r="T140" s="4" t="s">
        <v>925</v>
      </c>
      <c r="U140" s="4" t="s">
        <v>6845</v>
      </c>
      <c r="V140" s="64" t="s">
        <v>93</v>
      </c>
      <c r="W140" s="72">
        <v>45382</v>
      </c>
      <c r="X140" s="72">
        <v>45383</v>
      </c>
      <c r="Y140" s="4" t="s">
        <v>6834</v>
      </c>
      <c r="Z140" s="4"/>
    </row>
    <row r="141" ht="14.4" s="66" customFormat="1">
      <c r="A141" s="55">
        <v>171167</v>
      </c>
      <c r="B141" s="55" t="s">
        <v>2846</v>
      </c>
      <c r="C141" s="55" t="s">
        <v>4819</v>
      </c>
      <c r="D141" s="55">
        <v>1783904074</v>
      </c>
      <c r="E141" s="55" t="s">
        <v>67</v>
      </c>
      <c r="F141" s="55" t="s">
        <v>71</v>
      </c>
      <c r="G141" s="55" t="s">
        <v>2495</v>
      </c>
      <c r="H141" s="55" t="s">
        <v>2643</v>
      </c>
      <c r="I141" s="55" t="s">
        <v>74</v>
      </c>
      <c r="J141" s="56">
        <v>45373</v>
      </c>
      <c r="K141" s="56">
        <v>45380</v>
      </c>
      <c r="L141" s="55" t="s">
        <v>6852</v>
      </c>
      <c r="M141" s="55" t="s">
        <v>6872</v>
      </c>
      <c r="N141" s="55" t="s">
        <v>3796</v>
      </c>
      <c r="O141" s="55" t="s">
        <v>6832</v>
      </c>
      <c r="P141" s="55" t="s">
        <v>6833</v>
      </c>
      <c r="Q141" s="56">
        <v>45373</v>
      </c>
      <c r="R141" s="55" t="s">
        <v>6832</v>
      </c>
      <c r="S141" s="55" t="s">
        <v>6833</v>
      </c>
      <c r="T141" s="55" t="s">
        <v>925</v>
      </c>
      <c r="U141" s="4" t="s">
        <v>6852</v>
      </c>
      <c r="V141" s="64" t="s">
        <v>93</v>
      </c>
      <c r="W141" s="72">
        <v>45382</v>
      </c>
      <c r="X141" s="72">
        <v>45382</v>
      </c>
      <c r="Y141" s="4" t="s">
        <v>6834</v>
      </c>
      <c r="Z141" s="4"/>
    </row>
    <row r="142" ht="14.4" s="66" customFormat="1">
      <c r="A142" s="4">
        <v>171127</v>
      </c>
      <c r="B142" s="4" t="s">
        <v>6955</v>
      </c>
      <c r="C142" s="4" t="s">
        <v>4932</v>
      </c>
      <c r="D142" s="4">
        <v>1648369636</v>
      </c>
      <c r="E142" s="4" t="s">
        <v>67</v>
      </c>
      <c r="F142" s="4" t="s">
        <v>71</v>
      </c>
      <c r="G142" s="4" t="s">
        <v>155</v>
      </c>
      <c r="H142" s="4" t="s">
        <v>196</v>
      </c>
      <c r="I142" s="4" t="s">
        <v>74</v>
      </c>
      <c r="J142" s="69">
        <v>45391</v>
      </c>
      <c r="K142" s="69">
        <v>45397</v>
      </c>
      <c r="L142" s="4" t="s">
        <v>6956</v>
      </c>
      <c r="M142" s="4" t="s">
        <v>6925</v>
      </c>
      <c r="N142" s="73" t="s">
        <v>4035</v>
      </c>
      <c r="O142" s="4" t="s">
        <v>6832</v>
      </c>
      <c r="P142" s="4" t="s">
        <v>6833</v>
      </c>
      <c r="Q142" s="69">
        <v>45391</v>
      </c>
      <c r="R142" s="4" t="s">
        <v>6832</v>
      </c>
      <c r="S142" s="4" t="s">
        <v>6833</v>
      </c>
      <c r="T142" s="4" t="s">
        <v>925</v>
      </c>
      <c r="U142" s="4" t="s">
        <v>6956</v>
      </c>
      <c r="V142" s="64" t="s">
        <v>93</v>
      </c>
      <c r="W142" s="72">
        <v>45397</v>
      </c>
      <c r="X142" s="72">
        <v>45398</v>
      </c>
      <c r="Y142" s="4" t="s">
        <v>6834</v>
      </c>
      <c r="Z142" s="4"/>
    </row>
    <row r="143" ht="14.4" s="66" customFormat="1">
      <c r="A143" s="4">
        <v>171370</v>
      </c>
      <c r="B143" s="4" t="s">
        <v>4940</v>
      </c>
      <c r="C143" s="4" t="s">
        <v>4941</v>
      </c>
      <c r="D143" s="4">
        <v>1975383911</v>
      </c>
      <c r="E143" s="4" t="s">
        <v>67</v>
      </c>
      <c r="F143" s="4" t="s">
        <v>71</v>
      </c>
      <c r="G143" s="4" t="s">
        <v>155</v>
      </c>
      <c r="H143" s="4" t="s">
        <v>196</v>
      </c>
      <c r="I143" s="4" t="s">
        <v>74</v>
      </c>
      <c r="J143" s="69">
        <v>45392</v>
      </c>
      <c r="K143" s="69">
        <v>45399</v>
      </c>
      <c r="L143" s="4" t="s">
        <v>6956</v>
      </c>
      <c r="M143" s="4" t="s">
        <v>6925</v>
      </c>
      <c r="N143" s="73" t="s">
        <v>4035</v>
      </c>
      <c r="O143" s="4" t="s">
        <v>6832</v>
      </c>
      <c r="P143" s="4" t="s">
        <v>6833</v>
      </c>
      <c r="Q143" s="69">
        <v>45392</v>
      </c>
      <c r="R143" s="4" t="s">
        <v>6832</v>
      </c>
      <c r="S143" s="4" t="s">
        <v>6833</v>
      </c>
      <c r="T143" s="4" t="s">
        <v>925</v>
      </c>
      <c r="U143" s="4" t="s">
        <v>6956</v>
      </c>
      <c r="V143" s="64" t="s">
        <v>93</v>
      </c>
      <c r="W143" s="72">
        <v>45397</v>
      </c>
      <c r="X143" s="72">
        <v>45399</v>
      </c>
      <c r="Y143" s="4" t="s">
        <v>6834</v>
      </c>
      <c r="Z143" s="4"/>
    </row>
    <row r="144" ht="14.4" s="66" customFormat="1">
      <c r="A144" s="4">
        <v>171327</v>
      </c>
      <c r="B144" s="4" t="s">
        <v>4923</v>
      </c>
      <c r="C144" s="4" t="s">
        <v>4924</v>
      </c>
      <c r="D144" s="4">
        <v>1765743669</v>
      </c>
      <c r="E144" s="4" t="s">
        <v>67</v>
      </c>
      <c r="F144" s="4" t="s">
        <v>71</v>
      </c>
      <c r="G144" s="4" t="s">
        <v>155</v>
      </c>
      <c r="H144" s="4" t="s">
        <v>196</v>
      </c>
      <c r="I144" s="4" t="s">
        <v>74</v>
      </c>
      <c r="J144" s="69">
        <v>45388</v>
      </c>
      <c r="K144" s="69">
        <v>45395</v>
      </c>
      <c r="L144" s="4" t="s">
        <v>6956</v>
      </c>
      <c r="M144" s="4" t="s">
        <v>6925</v>
      </c>
      <c r="N144" s="73" t="s">
        <v>4035</v>
      </c>
      <c r="O144" s="4" t="s">
        <v>6832</v>
      </c>
      <c r="P144" s="4" t="s">
        <v>6833</v>
      </c>
      <c r="Q144" s="69">
        <v>45388</v>
      </c>
      <c r="R144" s="4" t="s">
        <v>6832</v>
      </c>
      <c r="S144" s="4" t="s">
        <v>6833</v>
      </c>
      <c r="T144" s="4" t="s">
        <v>925</v>
      </c>
      <c r="U144" s="4" t="s">
        <v>6956</v>
      </c>
      <c r="V144" s="64" t="s">
        <v>93</v>
      </c>
      <c r="W144" s="72">
        <v>45397</v>
      </c>
      <c r="X144" s="72">
        <v>45396</v>
      </c>
      <c r="Y144" s="4" t="s">
        <v>6834</v>
      </c>
      <c r="Z144" s="4"/>
    </row>
    <row r="145" ht="14.4" s="66" customFormat="1">
      <c r="A145" s="4">
        <v>171304</v>
      </c>
      <c r="B145" s="4" t="s">
        <v>4901</v>
      </c>
      <c r="C145" s="4" t="s">
        <v>4902</v>
      </c>
      <c r="D145" s="4">
        <v>1981875239</v>
      </c>
      <c r="E145" s="4" t="s">
        <v>67</v>
      </c>
      <c r="F145" s="4" t="s">
        <v>71</v>
      </c>
      <c r="G145" s="4" t="s">
        <v>155</v>
      </c>
      <c r="H145" s="4" t="s">
        <v>196</v>
      </c>
      <c r="I145" s="4" t="s">
        <v>74</v>
      </c>
      <c r="J145" s="69">
        <v>45388</v>
      </c>
      <c r="K145" s="69">
        <v>45388</v>
      </c>
      <c r="L145" s="4" t="s">
        <v>6957</v>
      </c>
      <c r="M145" s="4" t="s">
        <v>6925</v>
      </c>
      <c r="N145" s="73" t="s">
        <v>4002</v>
      </c>
      <c r="O145" s="4" t="s">
        <v>6832</v>
      </c>
      <c r="P145" s="4" t="s">
        <v>6833</v>
      </c>
      <c r="Q145" s="69">
        <v>45386</v>
      </c>
      <c r="R145" s="4" t="s">
        <v>6832</v>
      </c>
      <c r="S145" s="4" t="s">
        <v>6833</v>
      </c>
      <c r="T145" s="4" t="s">
        <v>925</v>
      </c>
      <c r="U145" s="4" t="s">
        <v>6957</v>
      </c>
      <c r="V145" s="64" t="s">
        <v>93</v>
      </c>
      <c r="W145" s="72">
        <v>45397</v>
      </c>
      <c r="X145" s="72">
        <v>45389</v>
      </c>
      <c r="Y145" s="4" t="s">
        <v>6838</v>
      </c>
      <c r="Z145" s="4"/>
    </row>
    <row r="146" ht="14.4" s="66" customFormat="1">
      <c r="A146" s="55">
        <v>171393</v>
      </c>
      <c r="B146" s="55" t="s">
        <v>2856</v>
      </c>
      <c r="C146" s="55" t="s">
        <v>4899</v>
      </c>
      <c r="D146" s="55">
        <v>1892781336</v>
      </c>
      <c r="E146" s="55" t="s">
        <v>67</v>
      </c>
      <c r="F146" s="55" t="s">
        <v>71</v>
      </c>
      <c r="G146" s="55" t="s">
        <v>5709</v>
      </c>
      <c r="H146" s="55" t="s">
        <v>308</v>
      </c>
      <c r="I146" s="55" t="s">
        <v>74</v>
      </c>
      <c r="J146" s="56">
        <v>45388</v>
      </c>
      <c r="K146" s="56">
        <v>45388</v>
      </c>
      <c r="L146" s="55" t="s">
        <v>6854</v>
      </c>
      <c r="M146" s="55" t="s">
        <v>6872</v>
      </c>
      <c r="N146" s="55" t="s">
        <v>3796</v>
      </c>
      <c r="O146" s="55" t="s">
        <v>6832</v>
      </c>
      <c r="P146" s="55" t="s">
        <v>6833</v>
      </c>
      <c r="Q146" s="56">
        <v>45388</v>
      </c>
      <c r="R146" s="55" t="s">
        <v>6832</v>
      </c>
      <c r="S146" s="55" t="s">
        <v>6833</v>
      </c>
      <c r="T146" s="55" t="s">
        <v>925</v>
      </c>
      <c r="U146" s="4" t="s">
        <v>6854</v>
      </c>
      <c r="V146" s="64" t="s">
        <v>93</v>
      </c>
      <c r="W146" s="72">
        <v>45397</v>
      </c>
      <c r="X146" s="72">
        <v>45389</v>
      </c>
      <c r="Y146" s="4" t="s">
        <v>6834</v>
      </c>
      <c r="Z146" s="4"/>
    </row>
    <row r="147" ht="14.4" s="66" customFormat="1">
      <c r="A147" s="55">
        <v>171078</v>
      </c>
      <c r="B147" s="55" t="s">
        <v>4890</v>
      </c>
      <c r="C147" s="55" t="s">
        <v>6958</v>
      </c>
      <c r="D147" s="55">
        <v>1709837522</v>
      </c>
      <c r="E147" s="55" t="s">
        <v>67</v>
      </c>
      <c r="F147" s="55" t="s">
        <v>71</v>
      </c>
      <c r="G147" s="55" t="s">
        <v>155</v>
      </c>
      <c r="H147" s="55" t="s">
        <v>196</v>
      </c>
      <c r="I147" s="55" t="s">
        <v>74</v>
      </c>
      <c r="J147" s="56">
        <v>45386</v>
      </c>
      <c r="K147" s="56">
        <v>45387</v>
      </c>
      <c r="L147" s="55" t="s">
        <v>6959</v>
      </c>
      <c r="M147" s="55" t="s">
        <v>6925</v>
      </c>
      <c r="N147" s="55" t="s">
        <v>4035</v>
      </c>
      <c r="O147" s="55" t="s">
        <v>6832</v>
      </c>
      <c r="P147" s="55" t="s">
        <v>6833</v>
      </c>
      <c r="Q147" s="56">
        <v>45386</v>
      </c>
      <c r="R147" s="55" t="s">
        <v>6832</v>
      </c>
      <c r="S147" s="55" t="s">
        <v>6833</v>
      </c>
      <c r="T147" s="55" t="s">
        <v>925</v>
      </c>
      <c r="U147" s="4" t="s">
        <v>6959</v>
      </c>
      <c r="V147" s="64" t="s">
        <v>93</v>
      </c>
      <c r="W147" s="72">
        <v>45397</v>
      </c>
      <c r="X147" s="72">
        <v>45388</v>
      </c>
      <c r="Y147" s="4" t="s">
        <v>6834</v>
      </c>
      <c r="Z147" s="4"/>
    </row>
    <row r="148" ht="14.4" s="66" customFormat="1">
      <c r="A148" s="55">
        <v>171275</v>
      </c>
      <c r="B148" s="55" t="s">
        <v>1050</v>
      </c>
      <c r="C148" s="55" t="s">
        <v>4908</v>
      </c>
      <c r="D148" s="55">
        <v>1701073792</v>
      </c>
      <c r="E148" s="55" t="s">
        <v>67</v>
      </c>
      <c r="F148" s="55" t="s">
        <v>71</v>
      </c>
      <c r="G148" s="55" t="s">
        <v>5709</v>
      </c>
      <c r="H148" s="55" t="s">
        <v>115</v>
      </c>
      <c r="I148" s="55" t="s">
        <v>74</v>
      </c>
      <c r="J148" s="56">
        <v>45383</v>
      </c>
      <c r="K148" s="56">
        <v>45389</v>
      </c>
      <c r="L148" s="55" t="s">
        <v>6852</v>
      </c>
      <c r="M148" s="55" t="s">
        <v>6872</v>
      </c>
      <c r="N148" s="55" t="s">
        <v>3796</v>
      </c>
      <c r="O148" s="55" t="s">
        <v>6832</v>
      </c>
      <c r="P148" s="55" t="s">
        <v>6833</v>
      </c>
      <c r="Q148" s="56">
        <v>45383</v>
      </c>
      <c r="R148" s="55" t="s">
        <v>6832</v>
      </c>
      <c r="S148" s="55" t="s">
        <v>6833</v>
      </c>
      <c r="T148" s="55" t="s">
        <v>925</v>
      </c>
      <c r="U148" s="4" t="s">
        <v>6852</v>
      </c>
      <c r="V148" s="64" t="s">
        <v>93</v>
      </c>
      <c r="W148" s="72">
        <v>45397</v>
      </c>
      <c r="X148" s="72">
        <v>45390</v>
      </c>
      <c r="Y148" s="4" t="s">
        <v>6834</v>
      </c>
      <c r="Z148" s="4"/>
    </row>
    <row r="149" ht="14.4" s="66" customFormat="1">
      <c r="A149" s="4">
        <v>171310</v>
      </c>
      <c r="B149" s="4" t="s">
        <v>4863</v>
      </c>
      <c r="C149" s="4" t="s">
        <v>4864</v>
      </c>
      <c r="D149" s="4">
        <v>1817469154</v>
      </c>
      <c r="E149" s="4" t="s">
        <v>67</v>
      </c>
      <c r="F149" s="4" t="s">
        <v>71</v>
      </c>
      <c r="G149" s="4" t="s">
        <v>155</v>
      </c>
      <c r="H149" s="4" t="s">
        <v>196</v>
      </c>
      <c r="I149" s="4" t="s">
        <v>74</v>
      </c>
      <c r="J149" s="69">
        <v>45346</v>
      </c>
      <c r="K149" s="69">
        <v>45352</v>
      </c>
      <c r="L149" s="4" t="s">
        <v>6852</v>
      </c>
      <c r="M149" s="4" t="s">
        <v>6925</v>
      </c>
      <c r="N149" s="4" t="s">
        <v>4035</v>
      </c>
      <c r="O149" s="4" t="s">
        <v>6832</v>
      </c>
      <c r="P149" s="4" t="s">
        <v>6833</v>
      </c>
      <c r="Q149" s="4" t="s">
        <v>6960</v>
      </c>
      <c r="R149" s="4" t="s">
        <v>6832</v>
      </c>
      <c r="S149" s="4" t="s">
        <v>6833</v>
      </c>
      <c r="T149" s="4" t="s">
        <v>925</v>
      </c>
      <c r="U149" s="4" t="s">
        <v>6852</v>
      </c>
      <c r="V149" s="64" t="s">
        <v>93</v>
      </c>
      <c r="W149" s="72">
        <v>45397</v>
      </c>
      <c r="X149" s="72">
        <v>45385</v>
      </c>
      <c r="Y149" s="4" t="s">
        <v>6834</v>
      </c>
      <c r="Z149" s="4"/>
    </row>
    <row r="150" ht="14.4" s="66" customFormat="1">
      <c r="A150" s="55">
        <v>171234</v>
      </c>
      <c r="B150" s="55" t="s">
        <v>881</v>
      </c>
      <c r="C150" s="55" t="s">
        <v>4958</v>
      </c>
      <c r="D150" s="55">
        <v>1758222757</v>
      </c>
      <c r="E150" s="55" t="s">
        <v>67</v>
      </c>
      <c r="F150" s="55" t="s">
        <v>71</v>
      </c>
      <c r="G150" s="55" t="s">
        <v>5709</v>
      </c>
      <c r="H150" s="55" t="s">
        <v>98</v>
      </c>
      <c r="I150" s="55" t="s">
        <v>74</v>
      </c>
      <c r="J150" s="56">
        <v>45355</v>
      </c>
      <c r="K150" s="56">
        <v>45361</v>
      </c>
      <c r="L150" s="55" t="s">
        <v>6852</v>
      </c>
      <c r="M150" s="55" t="s">
        <v>6872</v>
      </c>
      <c r="N150" s="55" t="s">
        <v>6944</v>
      </c>
      <c r="O150" s="55" t="s">
        <v>6832</v>
      </c>
      <c r="P150" s="55" t="s">
        <v>6833</v>
      </c>
      <c r="Q150" s="56">
        <v>45355</v>
      </c>
      <c r="R150" s="55" t="s">
        <v>6832</v>
      </c>
      <c r="S150" s="55" t="s">
        <v>6833</v>
      </c>
      <c r="T150" s="55" t="s">
        <v>925</v>
      </c>
      <c r="U150" s="4" t="s">
        <v>6852</v>
      </c>
      <c r="V150" s="64" t="s">
        <v>93</v>
      </c>
      <c r="W150" s="72">
        <v>45397</v>
      </c>
      <c r="X150" s="72">
        <v>45362</v>
      </c>
      <c r="Y150" s="4" t="s">
        <v>6834</v>
      </c>
      <c r="Z150" s="4"/>
    </row>
    <row r="151" ht="14.4" s="66" customFormat="1">
      <c r="A151" s="55">
        <v>171363</v>
      </c>
      <c r="B151" s="55" t="s">
        <v>6961</v>
      </c>
      <c r="C151" s="55" t="s">
        <v>4950</v>
      </c>
      <c r="D151" s="55">
        <v>197205415</v>
      </c>
      <c r="E151" s="55" t="s">
        <v>67</v>
      </c>
      <c r="F151" s="55" t="s">
        <v>71</v>
      </c>
      <c r="G151" s="55" t="s">
        <v>5709</v>
      </c>
      <c r="H151" s="55" t="s">
        <v>308</v>
      </c>
      <c r="I151" s="55" t="s">
        <v>74</v>
      </c>
      <c r="J151" s="56">
        <v>45368</v>
      </c>
      <c r="K151" s="56">
        <v>45368</v>
      </c>
      <c r="L151" s="55" t="s">
        <v>6852</v>
      </c>
      <c r="M151" s="55" t="s">
        <v>6872</v>
      </c>
      <c r="N151" s="55" t="s">
        <v>4957</v>
      </c>
      <c r="O151" s="55" t="s">
        <v>6832</v>
      </c>
      <c r="P151" s="55" t="s">
        <v>6833</v>
      </c>
      <c r="Q151" s="56">
        <v>45368</v>
      </c>
      <c r="R151" s="55" t="s">
        <v>6832</v>
      </c>
      <c r="S151" s="55" t="s">
        <v>6833</v>
      </c>
      <c r="T151" s="55" t="s">
        <v>925</v>
      </c>
      <c r="U151" s="4" t="s">
        <v>6852</v>
      </c>
      <c r="V151" s="64" t="s">
        <v>93</v>
      </c>
      <c r="W151" s="72">
        <v>45397</v>
      </c>
      <c r="X151" s="72">
        <v>45369</v>
      </c>
      <c r="Y151" s="4" t="s">
        <v>6834</v>
      </c>
      <c r="Z151" s="4"/>
    </row>
    <row r="152" ht="14.4" s="66" customFormat="1">
      <c r="A152" s="4">
        <v>171207</v>
      </c>
      <c r="B152" s="4" t="s">
        <v>6962</v>
      </c>
      <c r="C152" s="4" t="s">
        <v>4993</v>
      </c>
      <c r="D152" s="4">
        <v>1865384419</v>
      </c>
      <c r="E152" s="4" t="s">
        <v>67</v>
      </c>
      <c r="F152" s="4" t="s">
        <v>71</v>
      </c>
      <c r="G152" s="4" t="s">
        <v>155</v>
      </c>
      <c r="H152" s="4" t="s">
        <v>196</v>
      </c>
      <c r="I152" s="4" t="s">
        <v>74</v>
      </c>
      <c r="J152" s="69">
        <v>45397</v>
      </c>
      <c r="K152" s="69">
        <v>45397</v>
      </c>
      <c r="L152" s="4" t="s">
        <v>6957</v>
      </c>
      <c r="M152" s="4" t="s">
        <v>6925</v>
      </c>
      <c r="N152" s="73" t="s">
        <v>4035</v>
      </c>
      <c r="O152" s="4" t="s">
        <v>6832</v>
      </c>
      <c r="P152" s="4" t="s">
        <v>6833</v>
      </c>
      <c r="Q152" s="69">
        <v>45397</v>
      </c>
      <c r="R152" s="4" t="s">
        <v>6832</v>
      </c>
      <c r="S152" s="4" t="s">
        <v>6833</v>
      </c>
      <c r="T152" s="4" t="s">
        <v>925</v>
      </c>
      <c r="U152" s="4" t="s">
        <v>6957</v>
      </c>
      <c r="V152" s="64" t="s">
        <v>93</v>
      </c>
      <c r="W152" s="72">
        <v>45397</v>
      </c>
      <c r="X152" s="72">
        <v>45367</v>
      </c>
      <c r="Y152" s="4" t="s">
        <v>6834</v>
      </c>
      <c r="Z152" s="4"/>
    </row>
    <row r="153" ht="14.4" s="66" customFormat="1">
      <c r="A153" s="4">
        <v>171350</v>
      </c>
      <c r="B153" s="4" t="s">
        <v>4972</v>
      </c>
      <c r="C153" s="4" t="s">
        <v>6963</v>
      </c>
      <c r="D153" s="4">
        <v>1936408309</v>
      </c>
      <c r="E153" s="4" t="s">
        <v>67</v>
      </c>
      <c r="F153" s="4" t="s">
        <v>71</v>
      </c>
      <c r="G153" s="4" t="s">
        <v>155</v>
      </c>
      <c r="H153" s="4" t="s">
        <v>196</v>
      </c>
      <c r="I153" s="4" t="s">
        <v>74</v>
      </c>
      <c r="J153" s="69">
        <v>45397</v>
      </c>
      <c r="K153" s="69">
        <v>45404</v>
      </c>
      <c r="L153" s="4" t="s">
        <v>6956</v>
      </c>
      <c r="M153" s="4" t="s">
        <v>6925</v>
      </c>
      <c r="N153" s="73" t="s">
        <v>4035</v>
      </c>
      <c r="O153" s="4" t="s">
        <v>6832</v>
      </c>
      <c r="P153" s="4" t="s">
        <v>6833</v>
      </c>
      <c r="Q153" s="69">
        <v>45397</v>
      </c>
      <c r="R153" s="4" t="s">
        <v>6832</v>
      </c>
      <c r="S153" s="4" t="s">
        <v>6833</v>
      </c>
      <c r="T153" s="4" t="s">
        <v>925</v>
      </c>
      <c r="U153" s="4" t="s">
        <v>6956</v>
      </c>
      <c r="V153" s="64" t="s">
        <v>93</v>
      </c>
      <c r="W153" s="72">
        <v>45397</v>
      </c>
      <c r="X153" s="72">
        <v>45367</v>
      </c>
      <c r="Y153" s="4" t="s">
        <v>6834</v>
      </c>
      <c r="Z153" s="4"/>
    </row>
    <row r="154" ht="14.4" s="66" customFormat="1">
      <c r="A154" s="4">
        <v>171204</v>
      </c>
      <c r="B154" s="4" t="s">
        <v>6964</v>
      </c>
      <c r="C154" s="4" t="s">
        <v>4964</v>
      </c>
      <c r="D154" s="4">
        <v>1891800814</v>
      </c>
      <c r="E154" s="4" t="s">
        <v>67</v>
      </c>
      <c r="F154" s="4" t="s">
        <v>71</v>
      </c>
      <c r="G154" s="4" t="s">
        <v>155</v>
      </c>
      <c r="H154" s="4" t="s">
        <v>196</v>
      </c>
      <c r="I154" s="4" t="s">
        <v>74</v>
      </c>
      <c r="J154" s="69">
        <v>45401</v>
      </c>
      <c r="K154" s="69">
        <v>45407</v>
      </c>
      <c r="L154" s="4" t="s">
        <v>6852</v>
      </c>
      <c r="M154" s="4" t="s">
        <v>6925</v>
      </c>
      <c r="N154" s="73" t="s">
        <v>4035</v>
      </c>
      <c r="O154" s="4" t="s">
        <v>6832</v>
      </c>
      <c r="P154" s="4" t="s">
        <v>6833</v>
      </c>
      <c r="Q154" s="69">
        <v>45401</v>
      </c>
      <c r="R154" s="4" t="s">
        <v>6832</v>
      </c>
      <c r="S154" s="4" t="s">
        <v>6833</v>
      </c>
      <c r="T154" s="4" t="s">
        <v>925</v>
      </c>
      <c r="U154" s="4" t="s">
        <v>6852</v>
      </c>
      <c r="V154" s="64" t="s">
        <v>93</v>
      </c>
      <c r="W154" s="72">
        <v>45407</v>
      </c>
      <c r="X154" s="72">
        <v>45408</v>
      </c>
      <c r="Y154" s="4" t="s">
        <v>6834</v>
      </c>
      <c r="Z154" s="4"/>
    </row>
    <row r="155" ht="14.4" s="66" customFormat="1">
      <c r="A155" s="55">
        <v>171056</v>
      </c>
      <c r="B155" s="55" t="s">
        <v>6965</v>
      </c>
      <c r="C155" s="55" t="s">
        <v>6966</v>
      </c>
      <c r="D155" s="55">
        <v>1711715226</v>
      </c>
      <c r="E155" s="55" t="s">
        <v>67</v>
      </c>
      <c r="F155" s="55" t="s">
        <v>71</v>
      </c>
      <c r="G155" s="55" t="s">
        <v>407</v>
      </c>
      <c r="H155" s="55" t="s">
        <v>2643</v>
      </c>
      <c r="I155" s="55" t="s">
        <v>74</v>
      </c>
      <c r="J155" s="56">
        <v>45401</v>
      </c>
      <c r="K155" s="56">
        <v>45401</v>
      </c>
      <c r="L155" s="55" t="s">
        <v>6854</v>
      </c>
      <c r="M155" s="55" t="s">
        <v>6872</v>
      </c>
      <c r="N155" s="55" t="s">
        <v>3978</v>
      </c>
      <c r="O155" s="55" t="s">
        <v>6832</v>
      </c>
      <c r="P155" s="55" t="s">
        <v>6833</v>
      </c>
      <c r="Q155" s="56">
        <v>45401</v>
      </c>
      <c r="R155" s="55" t="s">
        <v>6832</v>
      </c>
      <c r="S155" s="55" t="s">
        <v>6833</v>
      </c>
      <c r="T155" s="55" t="s">
        <v>925</v>
      </c>
      <c r="U155" s="4" t="s">
        <v>6854</v>
      </c>
      <c r="V155" s="64" t="s">
        <v>93</v>
      </c>
      <c r="W155" s="72">
        <v>45407</v>
      </c>
      <c r="X155" s="72">
        <v>45405</v>
      </c>
      <c r="Y155" s="4" t="s">
        <v>6834</v>
      </c>
      <c r="Z155" s="4"/>
    </row>
    <row r="156" ht="14.4" s="66" customFormat="1">
      <c r="A156" s="55">
        <v>171011</v>
      </c>
      <c r="B156" s="55" t="s">
        <v>4311</v>
      </c>
      <c r="C156" s="55" t="s">
        <v>5002</v>
      </c>
      <c r="D156" s="55">
        <v>1873667783</v>
      </c>
      <c r="E156" s="55" t="s">
        <v>67</v>
      </c>
      <c r="F156" s="55" t="s">
        <v>71</v>
      </c>
      <c r="G156" s="55" t="s">
        <v>5709</v>
      </c>
      <c r="H156" s="55" t="s">
        <v>115</v>
      </c>
      <c r="I156" s="55" t="s">
        <v>74</v>
      </c>
      <c r="J156" s="56">
        <v>45405</v>
      </c>
      <c r="K156" s="56">
        <v>45412</v>
      </c>
      <c r="L156" s="55" t="s">
        <v>6852</v>
      </c>
      <c r="M156" s="55" t="s">
        <v>6872</v>
      </c>
      <c r="N156" s="55" t="s">
        <v>5012</v>
      </c>
      <c r="O156" s="55" t="s">
        <v>6832</v>
      </c>
      <c r="P156" s="55" t="s">
        <v>6833</v>
      </c>
      <c r="Q156" s="56">
        <v>45405</v>
      </c>
      <c r="R156" s="55" t="s">
        <v>6832</v>
      </c>
      <c r="S156" s="55" t="s">
        <v>6833</v>
      </c>
      <c r="T156" s="55" t="s">
        <v>925</v>
      </c>
      <c r="U156" s="4" t="s">
        <v>6852</v>
      </c>
      <c r="V156" s="64" t="s">
        <v>93</v>
      </c>
      <c r="W156" s="72">
        <v>45407</v>
      </c>
      <c r="X156" s="72">
        <v>45413</v>
      </c>
      <c r="Y156" s="4" t="s">
        <v>6834</v>
      </c>
      <c r="Z156" s="4"/>
    </row>
    <row r="157" ht="14.4" s="67" customFormat="1">
      <c r="A157" s="55">
        <v>171391</v>
      </c>
      <c r="B157" s="55" t="s">
        <v>2846</v>
      </c>
      <c r="C157" s="55" t="s">
        <v>5021</v>
      </c>
      <c r="D157" s="55">
        <v>1735231342</v>
      </c>
      <c r="E157" s="55" t="s">
        <v>67</v>
      </c>
      <c r="F157" s="55" t="s">
        <v>71</v>
      </c>
      <c r="G157" s="55" t="s">
        <v>2495</v>
      </c>
      <c r="H157" s="55" t="s">
        <v>98</v>
      </c>
      <c r="I157" s="55" t="s">
        <v>6967</v>
      </c>
      <c r="J157" s="56">
        <v>45408</v>
      </c>
      <c r="K157" s="56">
        <v>45414</v>
      </c>
      <c r="L157" s="55" t="s">
        <v>6852</v>
      </c>
      <c r="M157" s="55" t="s">
        <v>6872</v>
      </c>
      <c r="N157" s="55" t="s">
        <v>3978</v>
      </c>
      <c r="O157" s="55" t="s">
        <v>6832</v>
      </c>
      <c r="P157" s="55" t="s">
        <v>6833</v>
      </c>
      <c r="Q157" s="56">
        <v>45408</v>
      </c>
      <c r="R157" s="55" t="s">
        <v>6832</v>
      </c>
      <c r="S157" s="55" t="s">
        <v>6833</v>
      </c>
      <c r="T157" s="55" t="s">
        <v>925</v>
      </c>
      <c r="U157" s="4" t="s">
        <v>6852</v>
      </c>
      <c r="V157" s="64" t="s">
        <v>93</v>
      </c>
      <c r="W157" s="72">
        <v>45414</v>
      </c>
      <c r="X157" s="72">
        <v>45415</v>
      </c>
      <c r="Y157" s="4" t="s">
        <v>6834</v>
      </c>
      <c r="Z157" s="4"/>
    </row>
    <row r="158" ht="14.4" s="66" customFormat="1">
      <c r="A158" s="55">
        <v>171165</v>
      </c>
      <c r="B158" s="55" t="s">
        <v>5013</v>
      </c>
      <c r="C158" s="55" t="s">
        <v>5014</v>
      </c>
      <c r="D158" s="55">
        <v>1680027706</v>
      </c>
      <c r="E158" s="55" t="s">
        <v>67</v>
      </c>
      <c r="F158" s="55" t="s">
        <v>71</v>
      </c>
      <c r="G158" s="55" t="s">
        <v>5709</v>
      </c>
      <c r="H158" s="55" t="s">
        <v>115</v>
      </c>
      <c r="I158" s="55" t="s">
        <v>74</v>
      </c>
      <c r="J158" s="56">
        <v>45408</v>
      </c>
      <c r="K158" s="56">
        <v>45414</v>
      </c>
      <c r="L158" s="55" t="s">
        <v>6852</v>
      </c>
      <c r="M158" s="55" t="s">
        <v>6872</v>
      </c>
      <c r="N158" s="55" t="s">
        <v>3796</v>
      </c>
      <c r="O158" s="55" t="s">
        <v>6832</v>
      </c>
      <c r="P158" s="55" t="s">
        <v>6833</v>
      </c>
      <c r="Q158" s="56">
        <v>45408</v>
      </c>
      <c r="R158" s="55" t="s">
        <v>6832</v>
      </c>
      <c r="S158" s="55" t="s">
        <v>6833</v>
      </c>
      <c r="T158" s="55" t="s">
        <v>925</v>
      </c>
      <c r="U158" s="4" t="s">
        <v>6852</v>
      </c>
      <c r="V158" s="64" t="s">
        <v>93</v>
      </c>
      <c r="W158" s="72">
        <v>45414</v>
      </c>
      <c r="X158" s="72">
        <v>45415</v>
      </c>
      <c r="Y158" s="4" t="s">
        <v>6834</v>
      </c>
      <c r="Z158" s="4"/>
    </row>
    <row r="159" ht="14.4" s="66" customFormat="1">
      <c r="A159" s="55">
        <v>171448</v>
      </c>
      <c r="B159" s="55" t="s">
        <v>5027</v>
      </c>
      <c r="C159" s="55" t="s">
        <v>5028</v>
      </c>
      <c r="D159" s="55">
        <v>1837694900</v>
      </c>
      <c r="E159" s="55" t="s">
        <v>67</v>
      </c>
      <c r="F159" s="55" t="s">
        <v>71</v>
      </c>
      <c r="G159" s="55" t="s">
        <v>297</v>
      </c>
      <c r="H159" s="55" t="s">
        <v>308</v>
      </c>
      <c r="I159" s="55" t="s">
        <v>74</v>
      </c>
      <c r="J159" s="56">
        <v>45414</v>
      </c>
      <c r="K159" s="56">
        <v>45414</v>
      </c>
      <c r="L159" s="55" t="s">
        <v>6854</v>
      </c>
      <c r="M159" s="55" t="s">
        <v>3510</v>
      </c>
      <c r="N159" s="55" t="s">
        <v>5030</v>
      </c>
      <c r="O159" s="55" t="s">
        <v>6832</v>
      </c>
      <c r="P159" s="55" t="s">
        <v>6833</v>
      </c>
      <c r="Q159" s="56">
        <v>45414</v>
      </c>
      <c r="R159" s="55" t="s">
        <v>6832</v>
      </c>
      <c r="S159" s="55" t="s">
        <v>6833</v>
      </c>
      <c r="T159" s="55" t="s">
        <v>925</v>
      </c>
      <c r="U159" s="4" t="s">
        <v>6854</v>
      </c>
      <c r="V159" s="64" t="s">
        <v>93</v>
      </c>
      <c r="W159" s="72">
        <v>45414</v>
      </c>
      <c r="X159" s="72">
        <v>45415</v>
      </c>
      <c r="Y159" s="4" t="s">
        <v>6834</v>
      </c>
      <c r="Z159" s="4"/>
    </row>
    <row r="160" ht="14.4" s="66" customFormat="1">
      <c r="A160" s="55">
        <v>171112</v>
      </c>
      <c r="B160" s="55" t="s">
        <v>6968</v>
      </c>
      <c r="C160" s="55" t="s">
        <v>5032</v>
      </c>
      <c r="D160" s="55">
        <v>1745027707</v>
      </c>
      <c r="E160" s="55" t="s">
        <v>67</v>
      </c>
      <c r="F160" s="55" t="s">
        <v>10</v>
      </c>
      <c r="G160" s="55" t="s">
        <v>407</v>
      </c>
      <c r="H160" s="55" t="s">
        <v>2643</v>
      </c>
      <c r="I160" s="55" t="s">
        <v>74</v>
      </c>
      <c r="J160" s="56">
        <v>45412</v>
      </c>
      <c r="K160" s="56">
        <v>45412</v>
      </c>
      <c r="L160" s="55" t="s">
        <v>81</v>
      </c>
      <c r="M160" s="55" t="s">
        <v>3510</v>
      </c>
      <c r="N160" s="55" t="s">
        <v>5076</v>
      </c>
      <c r="O160" s="55" t="s">
        <v>6832</v>
      </c>
      <c r="P160" s="55" t="s">
        <v>6833</v>
      </c>
      <c r="Q160" s="56">
        <v>45412</v>
      </c>
      <c r="R160" s="55" t="s">
        <v>6832</v>
      </c>
      <c r="S160" s="55" t="s">
        <v>6833</v>
      </c>
      <c r="T160" s="55" t="s">
        <v>925</v>
      </c>
      <c r="U160" s="4" t="s">
        <v>81</v>
      </c>
      <c r="V160" s="64" t="s">
        <v>93</v>
      </c>
      <c r="W160" s="72">
        <v>45414</v>
      </c>
      <c r="X160" s="72">
        <v>45413</v>
      </c>
      <c r="Y160" s="4" t="s">
        <v>6838</v>
      </c>
      <c r="Z160" s="4"/>
    </row>
    <row r="161" ht="14.4" s="66" customFormat="1">
      <c r="A161" s="55">
        <v>171336</v>
      </c>
      <c r="B161" s="55" t="s">
        <v>5065</v>
      </c>
      <c r="C161" s="55" t="s">
        <v>5066</v>
      </c>
      <c r="D161" s="55">
        <v>1843656873</v>
      </c>
      <c r="E161" s="55" t="s">
        <v>67</v>
      </c>
      <c r="F161" s="55" t="s">
        <v>10</v>
      </c>
      <c r="G161" s="55" t="s">
        <v>2495</v>
      </c>
      <c r="H161" s="55" t="s">
        <v>2643</v>
      </c>
      <c r="I161" s="55" t="s">
        <v>74</v>
      </c>
      <c r="J161" s="56">
        <v>45411</v>
      </c>
      <c r="K161" s="56">
        <v>45411</v>
      </c>
      <c r="L161" s="55" t="s">
        <v>81</v>
      </c>
      <c r="M161" s="55" t="s">
        <v>3510</v>
      </c>
      <c r="N161" s="55" t="s">
        <v>5076</v>
      </c>
      <c r="O161" s="55" t="s">
        <v>6832</v>
      </c>
      <c r="P161" s="55" t="s">
        <v>6833</v>
      </c>
      <c r="Q161" s="56">
        <v>45411</v>
      </c>
      <c r="R161" s="55" t="s">
        <v>6832</v>
      </c>
      <c r="S161" s="55" t="s">
        <v>6833</v>
      </c>
      <c r="T161" s="55" t="s">
        <v>925</v>
      </c>
      <c r="U161" s="4" t="s">
        <v>81</v>
      </c>
      <c r="V161" s="64" t="s">
        <v>93</v>
      </c>
      <c r="W161" s="72">
        <v>45414</v>
      </c>
      <c r="X161" s="72">
        <v>45421</v>
      </c>
      <c r="Y161" s="4" t="s">
        <v>6838</v>
      </c>
      <c r="Z161" s="4"/>
    </row>
    <row r="162" ht="14.4" s="66" customFormat="1">
      <c r="A162" s="4">
        <v>171362</v>
      </c>
      <c r="B162" s="4" t="s">
        <v>5096</v>
      </c>
      <c r="C162" s="4" t="s">
        <v>5097</v>
      </c>
      <c r="D162" s="4" t="s">
        <v>6969</v>
      </c>
      <c r="E162" s="4" t="s">
        <v>67</v>
      </c>
      <c r="F162" s="4" t="s">
        <v>71</v>
      </c>
      <c r="G162" s="4" t="s">
        <v>297</v>
      </c>
      <c r="H162" s="4" t="s">
        <v>308</v>
      </c>
      <c r="I162" s="4" t="s">
        <v>74</v>
      </c>
      <c r="J162" s="69">
        <v>45417</v>
      </c>
      <c r="K162" s="69">
        <v>45417</v>
      </c>
      <c r="L162" s="4" t="s">
        <v>6854</v>
      </c>
      <c r="M162" s="4" t="s">
        <v>3510</v>
      </c>
      <c r="N162" s="4" t="s">
        <v>3796</v>
      </c>
      <c r="O162" s="4" t="s">
        <v>6832</v>
      </c>
      <c r="P162" s="4" t="s">
        <v>6833</v>
      </c>
      <c r="Q162" s="69">
        <v>45414</v>
      </c>
      <c r="R162" s="4" t="s">
        <v>6832</v>
      </c>
      <c r="S162" s="4" t="s">
        <v>6833</v>
      </c>
      <c r="T162" s="4" t="s">
        <v>925</v>
      </c>
      <c r="U162" s="4" t="s">
        <v>6854</v>
      </c>
      <c r="V162" s="64" t="s">
        <v>93</v>
      </c>
      <c r="W162" s="72">
        <v>45414</v>
      </c>
      <c r="X162" s="72">
        <v>45418</v>
      </c>
      <c r="Y162" s="4" t="s">
        <v>6838</v>
      </c>
      <c r="Z162" s="4"/>
    </row>
    <row r="163" ht="14.4" s="66" customFormat="1">
      <c r="A163" s="55">
        <v>171407</v>
      </c>
      <c r="B163" s="55" t="s">
        <v>5052</v>
      </c>
      <c r="C163" s="55" t="s">
        <v>5053</v>
      </c>
      <c r="D163" s="55">
        <v>1754243799</v>
      </c>
      <c r="E163" s="55" t="s">
        <v>67</v>
      </c>
      <c r="F163" s="55" t="s">
        <v>10</v>
      </c>
      <c r="G163" s="55" t="s">
        <v>97</v>
      </c>
      <c r="H163" s="55" t="s">
        <v>2643</v>
      </c>
      <c r="I163" s="55" t="s">
        <v>74</v>
      </c>
      <c r="J163" s="56">
        <v>45418</v>
      </c>
      <c r="K163" s="56">
        <v>45418</v>
      </c>
      <c r="L163" s="55" t="s">
        <v>81</v>
      </c>
      <c r="M163" s="55" t="s">
        <v>3510</v>
      </c>
      <c r="N163" s="55" t="s">
        <v>4002</v>
      </c>
      <c r="O163" s="55" t="s">
        <v>6832</v>
      </c>
      <c r="P163" s="55" t="s">
        <v>6833</v>
      </c>
      <c r="Q163" s="55" t="s">
        <v>6970</v>
      </c>
      <c r="R163" s="55" t="s">
        <v>6832</v>
      </c>
      <c r="S163" s="55" t="s">
        <v>6833</v>
      </c>
      <c r="T163" s="55" t="s">
        <v>925</v>
      </c>
      <c r="U163" s="4" t="s">
        <v>81</v>
      </c>
      <c r="V163" s="64" t="s">
        <v>93</v>
      </c>
      <c r="W163" s="72">
        <v>45414</v>
      </c>
      <c r="X163" s="72">
        <v>45419</v>
      </c>
      <c r="Y163" s="4" t="s">
        <v>6838</v>
      </c>
      <c r="Z163" s="4"/>
    </row>
    <row r="164" ht="14.4" s="66" customFormat="1">
      <c r="A164" s="55">
        <v>171449</v>
      </c>
      <c r="B164" s="55" t="s">
        <v>5061</v>
      </c>
      <c r="C164" s="55" t="s">
        <v>5062</v>
      </c>
      <c r="D164" s="55">
        <v>1739055097</v>
      </c>
      <c r="E164" s="55" t="s">
        <v>67</v>
      </c>
      <c r="F164" s="55" t="s">
        <v>71</v>
      </c>
      <c r="G164" s="55" t="s">
        <v>5709</v>
      </c>
      <c r="H164" s="55" t="s">
        <v>308</v>
      </c>
      <c r="I164" s="55" t="s">
        <v>74</v>
      </c>
      <c r="J164" s="56">
        <v>45418</v>
      </c>
      <c r="K164" s="56">
        <v>45418</v>
      </c>
      <c r="L164" s="55" t="s">
        <v>6854</v>
      </c>
      <c r="M164" s="55" t="s">
        <v>6872</v>
      </c>
      <c r="N164" s="55" t="s">
        <v>5063</v>
      </c>
      <c r="O164" s="55" t="s">
        <v>6832</v>
      </c>
      <c r="P164" s="55" t="s">
        <v>6833</v>
      </c>
      <c r="Q164" s="56">
        <v>45418</v>
      </c>
      <c r="R164" s="55" t="s">
        <v>6832</v>
      </c>
      <c r="S164" s="55" t="s">
        <v>6833</v>
      </c>
      <c r="T164" s="55" t="s">
        <v>925</v>
      </c>
      <c r="U164" s="4" t="s">
        <v>6854</v>
      </c>
      <c r="V164" s="64" t="s">
        <v>93</v>
      </c>
      <c r="W164" s="72">
        <v>45414</v>
      </c>
      <c r="X164" s="72">
        <v>45419</v>
      </c>
      <c r="Y164" s="4" t="s">
        <v>6838</v>
      </c>
      <c r="Z164" s="4"/>
    </row>
    <row r="165" ht="14.4" s="66" customFormat="1">
      <c r="A165" s="4">
        <v>171402</v>
      </c>
      <c r="B165" s="4" t="s">
        <v>5039</v>
      </c>
      <c r="C165" s="4" t="s">
        <v>6971</v>
      </c>
      <c r="D165" s="4">
        <v>1311015450</v>
      </c>
      <c r="E165" s="4" t="s">
        <v>67</v>
      </c>
      <c r="F165" s="4" t="s">
        <v>71</v>
      </c>
      <c r="G165" s="4" t="s">
        <v>155</v>
      </c>
      <c r="H165" s="4" t="s">
        <v>196</v>
      </c>
      <c r="I165" s="4" t="s">
        <v>74</v>
      </c>
      <c r="J165" s="69">
        <v>45414</v>
      </c>
      <c r="K165" s="69">
        <v>45414</v>
      </c>
      <c r="L165" s="4" t="s">
        <v>6854</v>
      </c>
      <c r="M165" s="4" t="s">
        <v>6925</v>
      </c>
      <c r="N165" s="73" t="s">
        <v>4035</v>
      </c>
      <c r="O165" s="4" t="s">
        <v>6832</v>
      </c>
      <c r="P165" s="4" t="s">
        <v>6833</v>
      </c>
      <c r="Q165" s="69">
        <v>45414</v>
      </c>
      <c r="R165" s="4" t="s">
        <v>6832</v>
      </c>
      <c r="S165" s="4" t="s">
        <v>6833</v>
      </c>
      <c r="T165" s="4" t="s">
        <v>925</v>
      </c>
      <c r="U165" s="4" t="s">
        <v>6854</v>
      </c>
      <c r="V165" s="64" t="s">
        <v>93</v>
      </c>
      <c r="W165" s="72">
        <v>45414</v>
      </c>
      <c r="X165" s="72">
        <v>45419</v>
      </c>
      <c r="Y165" s="4" t="s">
        <v>6838</v>
      </c>
      <c r="Z165" s="4"/>
    </row>
    <row r="166" ht="14.4" s="66" customFormat="1">
      <c r="A166" s="55">
        <v>171112</v>
      </c>
      <c r="B166" s="55" t="s">
        <v>6968</v>
      </c>
      <c r="C166" s="55" t="s">
        <v>5032</v>
      </c>
      <c r="D166" s="55">
        <v>1745027707</v>
      </c>
      <c r="E166" s="4" t="s">
        <v>67</v>
      </c>
      <c r="F166" s="55" t="s">
        <v>10</v>
      </c>
      <c r="G166" s="55" t="s">
        <v>407</v>
      </c>
      <c r="H166" s="55" t="s">
        <v>2643</v>
      </c>
      <c r="I166" s="55" t="s">
        <v>74</v>
      </c>
      <c r="J166" s="56">
        <v>45412</v>
      </c>
      <c r="K166" s="56">
        <v>45412</v>
      </c>
      <c r="L166" s="55" t="s">
        <v>81</v>
      </c>
      <c r="M166" s="55" t="s">
        <v>3510</v>
      </c>
      <c r="N166" s="55" t="s">
        <v>5076</v>
      </c>
      <c r="O166" s="55" t="s">
        <v>6832</v>
      </c>
      <c r="P166" s="55" t="s">
        <v>6833</v>
      </c>
      <c r="Q166" s="56">
        <v>45412</v>
      </c>
      <c r="R166" s="55" t="s">
        <v>6832</v>
      </c>
      <c r="S166" s="55" t="s">
        <v>6833</v>
      </c>
      <c r="T166" s="55" t="s">
        <v>925</v>
      </c>
      <c r="U166" s="4" t="s">
        <v>81</v>
      </c>
      <c r="V166" s="64" t="s">
        <v>93</v>
      </c>
      <c r="W166" s="72">
        <v>45414</v>
      </c>
      <c r="X166" s="72">
        <v>45419</v>
      </c>
      <c r="Y166" s="4" t="s">
        <v>6838</v>
      </c>
      <c r="Z166" s="4"/>
    </row>
    <row r="167" ht="14.4" s="66" customFormat="1">
      <c r="A167" s="4">
        <v>171432</v>
      </c>
      <c r="B167" s="4" t="s">
        <v>5106</v>
      </c>
      <c r="C167" s="4" t="s">
        <v>5107</v>
      </c>
      <c r="D167" s="4">
        <v>1723540478</v>
      </c>
      <c r="E167" s="4" t="s">
        <v>67</v>
      </c>
      <c r="F167" s="4" t="s">
        <v>71</v>
      </c>
      <c r="G167" s="4" t="s">
        <v>155</v>
      </c>
      <c r="H167" s="4" t="s">
        <v>196</v>
      </c>
      <c r="I167" s="4" t="s">
        <v>74</v>
      </c>
      <c r="J167" s="69">
        <v>45424</v>
      </c>
      <c r="K167" s="69">
        <v>45424</v>
      </c>
      <c r="L167" s="4" t="s">
        <v>6854</v>
      </c>
      <c r="M167" s="4" t="s">
        <v>6925</v>
      </c>
      <c r="N167" s="73" t="s">
        <v>4035</v>
      </c>
      <c r="O167" s="4" t="s">
        <v>6832</v>
      </c>
      <c r="P167" s="4" t="s">
        <v>6833</v>
      </c>
      <c r="Q167" s="69">
        <v>45424</v>
      </c>
      <c r="R167" s="4" t="s">
        <v>6832</v>
      </c>
      <c r="S167" s="4" t="s">
        <v>6833</v>
      </c>
      <c r="T167" s="4" t="s">
        <v>925</v>
      </c>
      <c r="U167" s="4" t="s">
        <v>6854</v>
      </c>
      <c r="V167" s="64" t="s">
        <v>93</v>
      </c>
      <c r="W167" s="72">
        <v>45414</v>
      </c>
      <c r="X167" s="72">
        <v>45425</v>
      </c>
      <c r="Y167" s="4" t="s">
        <v>6838</v>
      </c>
      <c r="Z167" s="4"/>
    </row>
    <row r="168" ht="14.4" s="66" customFormat="1">
      <c r="A168" s="4">
        <v>171273</v>
      </c>
      <c r="B168" s="4" t="s">
        <v>5666</v>
      </c>
      <c r="C168" s="4" t="s">
        <v>5117</v>
      </c>
      <c r="D168" s="4" t="s">
        <v>6972</v>
      </c>
      <c r="E168" s="4" t="s">
        <v>67</v>
      </c>
      <c r="F168" s="4" t="s">
        <v>71</v>
      </c>
      <c r="G168" s="4" t="s">
        <v>297</v>
      </c>
      <c r="H168" s="4" t="s">
        <v>308</v>
      </c>
      <c r="I168" s="4" t="s">
        <v>74</v>
      </c>
      <c r="J168" s="69">
        <v>45424</v>
      </c>
      <c r="K168" s="69">
        <v>45424</v>
      </c>
      <c r="L168" s="4" t="s">
        <v>6854</v>
      </c>
      <c r="M168" s="4" t="s">
        <v>3510</v>
      </c>
      <c r="N168" s="4" t="s">
        <v>5125</v>
      </c>
      <c r="O168" s="4" t="s">
        <v>6832</v>
      </c>
      <c r="P168" s="4" t="s">
        <v>6833</v>
      </c>
      <c r="Q168" s="69">
        <v>45424</v>
      </c>
      <c r="R168" s="4" t="s">
        <v>6832</v>
      </c>
      <c r="S168" s="4" t="s">
        <v>6833</v>
      </c>
      <c r="T168" s="4" t="s">
        <v>925</v>
      </c>
      <c r="U168" s="4" t="s">
        <v>6854</v>
      </c>
      <c r="V168" s="64" t="s">
        <v>93</v>
      </c>
      <c r="W168" s="72">
        <v>45414</v>
      </c>
      <c r="X168" s="72">
        <v>45431</v>
      </c>
      <c r="Y168" s="4" t="s">
        <v>6838</v>
      </c>
      <c r="Z168" s="4"/>
    </row>
    <row r="169" ht="28.8" s="66" customFormat="1">
      <c r="A169" s="55">
        <v>171159</v>
      </c>
      <c r="B169" s="55" t="s">
        <v>1059</v>
      </c>
      <c r="C169" s="55" t="s">
        <v>381</v>
      </c>
      <c r="D169" s="55">
        <v>1787440266</v>
      </c>
      <c r="E169" s="55" t="s">
        <v>67</v>
      </c>
      <c r="F169" s="55" t="s">
        <v>71</v>
      </c>
      <c r="G169" s="55" t="s">
        <v>2495</v>
      </c>
      <c r="H169" s="55" t="s">
        <v>98</v>
      </c>
      <c r="I169" s="55" t="s">
        <v>6967</v>
      </c>
      <c r="J169" s="56">
        <v>45428</v>
      </c>
      <c r="K169" s="56">
        <v>45433</v>
      </c>
      <c r="L169" s="55" t="s">
        <v>6852</v>
      </c>
      <c r="M169" s="55" t="s">
        <v>6872</v>
      </c>
      <c r="N169" s="55" t="s">
        <v>6973</v>
      </c>
      <c r="O169" s="55" t="s">
        <v>6832</v>
      </c>
      <c r="P169" s="55" t="s">
        <v>6833</v>
      </c>
      <c r="Q169" s="56">
        <v>45428</v>
      </c>
      <c r="R169" s="55" t="s">
        <v>6832</v>
      </c>
      <c r="S169" s="55" t="s">
        <v>6833</v>
      </c>
      <c r="T169" s="55" t="s">
        <v>925</v>
      </c>
      <c r="U169" s="4" t="s">
        <v>6852</v>
      </c>
      <c r="V169" s="64" t="s">
        <v>93</v>
      </c>
      <c r="W169" s="72">
        <v>45414</v>
      </c>
      <c r="X169" s="72">
        <v>45434</v>
      </c>
      <c r="Y169" s="4" t="s">
        <v>6834</v>
      </c>
      <c r="Z169" s="4"/>
    </row>
    <row r="170" ht="14.4" s="66" customFormat="1">
      <c r="A170" s="4">
        <v>171379</v>
      </c>
      <c r="B170" s="4" t="s">
        <v>5134</v>
      </c>
      <c r="C170" s="4" t="s">
        <v>5135</v>
      </c>
      <c r="D170" s="4">
        <v>1311015450</v>
      </c>
      <c r="E170" s="4" t="s">
        <v>67</v>
      </c>
      <c r="F170" s="4" t="s">
        <v>71</v>
      </c>
      <c r="G170" s="4" t="s">
        <v>155</v>
      </c>
      <c r="H170" s="4" t="s">
        <v>196</v>
      </c>
      <c r="I170" s="4" t="s">
        <v>74</v>
      </c>
      <c r="J170" s="69">
        <v>45408</v>
      </c>
      <c r="K170" s="69">
        <v>45408</v>
      </c>
      <c r="L170" s="4" t="s">
        <v>6854</v>
      </c>
      <c r="M170" s="4" t="s">
        <v>6925</v>
      </c>
      <c r="N170" s="73" t="s">
        <v>4035</v>
      </c>
      <c r="O170" s="4" t="s">
        <v>6832</v>
      </c>
      <c r="P170" s="4" t="s">
        <v>6833</v>
      </c>
      <c r="Q170" s="69">
        <v>45408</v>
      </c>
      <c r="R170" s="4" t="s">
        <v>6832</v>
      </c>
      <c r="S170" s="4" t="s">
        <v>6833</v>
      </c>
      <c r="T170" s="4" t="s">
        <v>925</v>
      </c>
      <c r="U170" s="4" t="s">
        <v>6854</v>
      </c>
      <c r="V170" s="64" t="s">
        <v>93</v>
      </c>
      <c r="W170" s="72">
        <v>45435</v>
      </c>
      <c r="X170" s="72">
        <v>45436</v>
      </c>
      <c r="Y170" s="4" t="s">
        <v>6838</v>
      </c>
      <c r="Z170" s="4"/>
    </row>
    <row r="171" ht="14.4" s="66" customFormat="1">
      <c r="A171" s="55">
        <v>171347</v>
      </c>
      <c r="B171" s="55" t="s">
        <v>5147</v>
      </c>
      <c r="C171" s="55" t="s">
        <v>6974</v>
      </c>
      <c r="D171" s="55">
        <v>1749254351</v>
      </c>
      <c r="E171" s="55" t="s">
        <v>67</v>
      </c>
      <c r="F171" s="55" t="s">
        <v>71</v>
      </c>
      <c r="G171" s="55" t="s">
        <v>155</v>
      </c>
      <c r="H171" s="55" t="s">
        <v>196</v>
      </c>
      <c r="I171" s="55" t="s">
        <v>74</v>
      </c>
      <c r="J171" s="56">
        <v>45434</v>
      </c>
      <c r="K171" s="56">
        <v>45434</v>
      </c>
      <c r="L171" s="55" t="s">
        <v>6854</v>
      </c>
      <c r="M171" s="55" t="s">
        <v>6925</v>
      </c>
      <c r="N171" s="74" t="s">
        <v>4035</v>
      </c>
      <c r="O171" s="55" t="s">
        <v>6832</v>
      </c>
      <c r="P171" s="55" t="s">
        <v>6833</v>
      </c>
      <c r="Q171" s="56">
        <v>45434</v>
      </c>
      <c r="R171" s="55" t="s">
        <v>6832</v>
      </c>
      <c r="S171" s="55" t="s">
        <v>6833</v>
      </c>
      <c r="T171" s="55" t="s">
        <v>925</v>
      </c>
      <c r="U171" s="4" t="s">
        <v>6854</v>
      </c>
      <c r="V171" s="64" t="s">
        <v>93</v>
      </c>
      <c r="W171" s="72">
        <v>45435</v>
      </c>
      <c r="X171" s="72">
        <v>45439</v>
      </c>
      <c r="Y171" s="4" t="s">
        <v>6838</v>
      </c>
      <c r="Z171" s="4"/>
    </row>
    <row r="172" ht="14.4" s="66" customFormat="1">
      <c r="A172" s="4">
        <v>171433</v>
      </c>
      <c r="B172" s="4" t="s">
        <v>5155</v>
      </c>
      <c r="C172" s="4" t="s">
        <v>5156</v>
      </c>
      <c r="D172" s="4">
        <v>1904071323</v>
      </c>
      <c r="E172" s="4" t="s">
        <v>67</v>
      </c>
      <c r="F172" s="4" t="s">
        <v>71</v>
      </c>
      <c r="G172" s="4" t="s">
        <v>155</v>
      </c>
      <c r="H172" s="4" t="s">
        <v>196</v>
      </c>
      <c r="I172" s="4" t="s">
        <v>74</v>
      </c>
      <c r="J172" s="69">
        <v>45434</v>
      </c>
      <c r="K172" s="69">
        <v>45434</v>
      </c>
      <c r="L172" s="4" t="s">
        <v>6854</v>
      </c>
      <c r="M172" s="4" t="s">
        <v>6925</v>
      </c>
      <c r="N172" s="73" t="s">
        <v>4035</v>
      </c>
      <c r="O172" s="4" t="s">
        <v>6832</v>
      </c>
      <c r="P172" s="4" t="s">
        <v>6833</v>
      </c>
      <c r="Q172" s="69">
        <v>45434</v>
      </c>
      <c r="R172" s="4" t="s">
        <v>6832</v>
      </c>
      <c r="S172" s="4" t="s">
        <v>6833</v>
      </c>
      <c r="T172" s="4" t="s">
        <v>925</v>
      </c>
      <c r="U172" s="4" t="s">
        <v>6854</v>
      </c>
      <c r="V172" s="64" t="s">
        <v>93</v>
      </c>
      <c r="W172" s="72">
        <v>45435</v>
      </c>
      <c r="X172" s="72">
        <v>45439</v>
      </c>
      <c r="Y172" s="4" t="s">
        <v>6838</v>
      </c>
      <c r="Z172" s="4"/>
    </row>
    <row r="173" ht="14.4" s="66" customFormat="1">
      <c r="A173" s="55">
        <v>171223</v>
      </c>
      <c r="B173" s="55" t="s">
        <v>5172</v>
      </c>
      <c r="C173" s="55" t="s">
        <v>6975</v>
      </c>
      <c r="D173" s="55">
        <v>1882382151</v>
      </c>
      <c r="E173" s="55" t="s">
        <v>67</v>
      </c>
      <c r="F173" s="55" t="s">
        <v>10</v>
      </c>
      <c r="G173" s="55" t="s">
        <v>407</v>
      </c>
      <c r="H173" s="55" t="s">
        <v>2643</v>
      </c>
      <c r="I173" s="55" t="s">
        <v>74</v>
      </c>
      <c r="J173" s="56">
        <v>45433</v>
      </c>
      <c r="K173" s="56">
        <v>45440</v>
      </c>
      <c r="L173" s="55" t="s">
        <v>81</v>
      </c>
      <c r="M173" s="55" t="s">
        <v>3510</v>
      </c>
      <c r="N173" s="55" t="s">
        <v>3796</v>
      </c>
      <c r="O173" s="55" t="s">
        <v>6832</v>
      </c>
      <c r="P173" s="55" t="s">
        <v>6833</v>
      </c>
      <c r="Q173" s="56">
        <v>45420</v>
      </c>
      <c r="R173" s="55" t="s">
        <v>6832</v>
      </c>
      <c r="S173" s="55" t="s">
        <v>6833</v>
      </c>
      <c r="T173" s="55" t="s">
        <v>925</v>
      </c>
      <c r="U173" s="4" t="s">
        <v>81</v>
      </c>
      <c r="V173" s="64" t="s">
        <v>93</v>
      </c>
      <c r="W173" s="72">
        <v>45435</v>
      </c>
      <c r="X173" s="72">
        <v>45439</v>
      </c>
      <c r="Y173" s="4" t="s">
        <v>6838</v>
      </c>
      <c r="Z173" s="4"/>
    </row>
    <row r="174" ht="14.4" s="66" customFormat="1">
      <c r="A174" s="55">
        <v>171154</v>
      </c>
      <c r="B174" s="55" t="s">
        <v>3059</v>
      </c>
      <c r="C174" s="55" t="s">
        <v>5190</v>
      </c>
      <c r="D174" s="55">
        <v>1980716717</v>
      </c>
      <c r="E174" s="55" t="s">
        <v>67</v>
      </c>
      <c r="F174" s="55" t="s">
        <v>71</v>
      </c>
      <c r="G174" s="55" t="s">
        <v>5709</v>
      </c>
      <c r="H174" s="55" t="s">
        <v>115</v>
      </c>
      <c r="I174" s="55" t="s">
        <v>74</v>
      </c>
      <c r="J174" s="56">
        <v>45437</v>
      </c>
      <c r="K174" s="56">
        <v>45443</v>
      </c>
      <c r="L174" s="55" t="s">
        <v>6852</v>
      </c>
      <c r="M174" s="55" t="s">
        <v>6872</v>
      </c>
      <c r="N174" s="55" t="s">
        <v>3796</v>
      </c>
      <c r="O174" s="55" t="s">
        <v>6832</v>
      </c>
      <c r="P174" s="55" t="s">
        <v>6833</v>
      </c>
      <c r="Q174" s="56">
        <v>45437</v>
      </c>
      <c r="R174" s="55" t="s">
        <v>6832</v>
      </c>
      <c r="S174" s="55" t="s">
        <v>6833</v>
      </c>
      <c r="T174" s="55" t="s">
        <v>925</v>
      </c>
      <c r="U174" s="4" t="s">
        <v>6852</v>
      </c>
      <c r="V174" s="64" t="s">
        <v>93</v>
      </c>
      <c r="W174" s="72">
        <v>45435</v>
      </c>
      <c r="X174" s="72">
        <v>45444</v>
      </c>
      <c r="Y174" s="4" t="s">
        <v>6834</v>
      </c>
      <c r="Z174" s="4"/>
    </row>
    <row r="175" ht="14.4" s="66" customFormat="1">
      <c r="A175" s="4">
        <v>171404</v>
      </c>
      <c r="B175" s="4" t="s">
        <v>6976</v>
      </c>
      <c r="C175" s="4" t="s">
        <v>6977</v>
      </c>
      <c r="D175" s="4">
        <v>1675787152</v>
      </c>
      <c r="E175" s="4" t="s">
        <v>67</v>
      </c>
      <c r="F175" s="4" t="s">
        <v>71</v>
      </c>
      <c r="G175" s="4" t="s">
        <v>155</v>
      </c>
      <c r="H175" s="4" t="s">
        <v>196</v>
      </c>
      <c r="I175" s="4" t="s">
        <v>74</v>
      </c>
      <c r="J175" s="69">
        <v>45434</v>
      </c>
      <c r="K175" s="69">
        <v>45434</v>
      </c>
      <c r="L175" s="4" t="s">
        <v>6854</v>
      </c>
      <c r="M175" s="4" t="s">
        <v>6925</v>
      </c>
      <c r="N175" s="73" t="s">
        <v>4035</v>
      </c>
      <c r="O175" s="4" t="s">
        <v>6832</v>
      </c>
      <c r="P175" s="4" t="s">
        <v>6833</v>
      </c>
      <c r="Q175" s="69">
        <v>45434</v>
      </c>
      <c r="R175" s="4" t="s">
        <v>6832</v>
      </c>
      <c r="S175" s="4" t="s">
        <v>6833</v>
      </c>
      <c r="T175" s="4" t="s">
        <v>925</v>
      </c>
      <c r="U175" s="4" t="s">
        <v>6854</v>
      </c>
      <c r="V175" s="64" t="s">
        <v>93</v>
      </c>
      <c r="W175" s="72">
        <v>45435</v>
      </c>
      <c r="X175" s="72">
        <v>45439</v>
      </c>
      <c r="Y175" s="4" t="s">
        <v>6838</v>
      </c>
      <c r="Z175" s="4"/>
    </row>
    <row r="176" ht="14.4" s="66" customFormat="1">
      <c r="A176" s="55">
        <v>171199</v>
      </c>
      <c r="B176" s="55" t="s">
        <v>1078</v>
      </c>
      <c r="C176" s="55" t="s">
        <v>4322</v>
      </c>
      <c r="D176" s="55">
        <v>1304036502</v>
      </c>
      <c r="E176" s="55" t="s">
        <v>67</v>
      </c>
      <c r="F176" s="55" t="s">
        <v>71</v>
      </c>
      <c r="G176" s="55" t="s">
        <v>297</v>
      </c>
      <c r="H176" s="55" t="s">
        <v>308</v>
      </c>
      <c r="I176" s="55" t="s">
        <v>74</v>
      </c>
      <c r="J176" s="56">
        <v>45413</v>
      </c>
      <c r="K176" s="56">
        <v>45389</v>
      </c>
      <c r="L176" s="55" t="s">
        <v>6945</v>
      </c>
      <c r="M176" s="55" t="s">
        <v>6978</v>
      </c>
      <c r="N176" s="55" t="s">
        <v>5146</v>
      </c>
      <c r="O176" s="55" t="s">
        <v>6832</v>
      </c>
      <c r="P176" s="55" t="s">
        <v>6833</v>
      </c>
      <c r="Q176" s="56">
        <v>45413</v>
      </c>
      <c r="R176" s="55" t="s">
        <v>6832</v>
      </c>
      <c r="S176" s="55" t="s">
        <v>6833</v>
      </c>
      <c r="T176" s="55" t="s">
        <v>925</v>
      </c>
      <c r="U176" s="4" t="s">
        <v>6945</v>
      </c>
      <c r="V176" s="64" t="s">
        <v>93</v>
      </c>
      <c r="W176" s="72">
        <v>45435</v>
      </c>
      <c r="X176" s="72">
        <v>45436</v>
      </c>
      <c r="Y176" s="4" t="s">
        <v>6834</v>
      </c>
      <c r="Z176" s="4"/>
    </row>
    <row r="177" ht="14.4" s="66" customFormat="1">
      <c r="A177" s="55">
        <v>171408</v>
      </c>
      <c r="B177" s="55" t="s">
        <v>1775</v>
      </c>
      <c r="C177" s="55" t="s">
        <v>5182</v>
      </c>
      <c r="D177" s="55">
        <v>1938358604</v>
      </c>
      <c r="E177" s="55" t="s">
        <v>67</v>
      </c>
      <c r="F177" s="55" t="s">
        <v>71</v>
      </c>
      <c r="G177" s="55" t="s">
        <v>6979</v>
      </c>
      <c r="H177" s="55" t="s">
        <v>2643</v>
      </c>
      <c r="I177" s="55" t="s">
        <v>74</v>
      </c>
      <c r="J177" s="56">
        <v>45439</v>
      </c>
      <c r="K177" s="56">
        <v>45439</v>
      </c>
      <c r="L177" s="55" t="s">
        <v>81</v>
      </c>
      <c r="M177" s="55" t="s">
        <v>3510</v>
      </c>
      <c r="N177" s="55" t="s">
        <v>4035</v>
      </c>
      <c r="O177" s="55" t="s">
        <v>6832</v>
      </c>
      <c r="P177" s="55" t="s">
        <v>6833</v>
      </c>
      <c r="Q177" s="55" t="s">
        <v>81</v>
      </c>
      <c r="R177" s="55" t="s">
        <v>81</v>
      </c>
      <c r="S177" s="55" t="s">
        <v>81</v>
      </c>
      <c r="T177" s="55" t="s">
        <v>925</v>
      </c>
      <c r="U177" s="4" t="s">
        <v>81</v>
      </c>
      <c r="V177" s="64" t="s">
        <v>93</v>
      </c>
      <c r="W177" s="72">
        <v>45435</v>
      </c>
      <c r="X177" s="72">
        <v>45440</v>
      </c>
      <c r="Y177" s="4" t="s">
        <v>6838</v>
      </c>
      <c r="Z177" s="4"/>
    </row>
    <row r="178" ht="14.4" s="66" customFormat="1">
      <c r="A178" s="4">
        <v>171377</v>
      </c>
      <c r="B178" s="4" t="s">
        <v>5198</v>
      </c>
      <c r="C178" s="4" t="s">
        <v>6980</v>
      </c>
      <c r="D178" s="4">
        <v>1780651498</v>
      </c>
      <c r="E178" s="4" t="s">
        <v>67</v>
      </c>
      <c r="F178" s="4" t="s">
        <v>71</v>
      </c>
      <c r="G178" s="4" t="s">
        <v>155</v>
      </c>
      <c r="H178" s="4" t="s">
        <v>196</v>
      </c>
      <c r="I178" s="4" t="s">
        <v>74</v>
      </c>
      <c r="J178" s="69">
        <v>45439</v>
      </c>
      <c r="K178" s="69">
        <v>45443</v>
      </c>
      <c r="L178" s="4" t="s">
        <v>6846</v>
      </c>
      <c r="M178" s="4" t="s">
        <v>6925</v>
      </c>
      <c r="N178" s="73" t="s">
        <v>4035</v>
      </c>
      <c r="O178" s="4" t="s">
        <v>6832</v>
      </c>
      <c r="P178" s="4" t="s">
        <v>6833</v>
      </c>
      <c r="Q178" s="69">
        <v>45439</v>
      </c>
      <c r="R178" s="4" t="s">
        <v>6832</v>
      </c>
      <c r="S178" s="4" t="s">
        <v>6833</v>
      </c>
      <c r="T178" s="4" t="s">
        <v>925</v>
      </c>
      <c r="U178" s="4" t="s">
        <v>6846</v>
      </c>
      <c r="V178" s="64" t="s">
        <v>93</v>
      </c>
      <c r="W178" s="72">
        <v>45435</v>
      </c>
      <c r="X178" s="72">
        <v>45444</v>
      </c>
      <c r="Y178" s="4" t="s">
        <v>6848</v>
      </c>
      <c r="Z178" s="4"/>
    </row>
    <row r="179" ht="14.4" s="66" customFormat="1">
      <c r="A179" s="4">
        <v>171331</v>
      </c>
      <c r="B179" s="4" t="s">
        <v>5208</v>
      </c>
      <c r="C179" s="4" t="s">
        <v>5209</v>
      </c>
      <c r="D179" s="4">
        <v>1742651135</v>
      </c>
      <c r="E179" s="4" t="s">
        <v>67</v>
      </c>
      <c r="F179" s="4" t="s">
        <v>71</v>
      </c>
      <c r="G179" s="4" t="s">
        <v>155</v>
      </c>
      <c r="H179" s="4" t="s">
        <v>196</v>
      </c>
      <c r="I179" s="4" t="s">
        <v>74</v>
      </c>
      <c r="J179" s="69">
        <v>45437</v>
      </c>
      <c r="K179" s="69">
        <v>45443</v>
      </c>
      <c r="L179" s="4" t="s">
        <v>6852</v>
      </c>
      <c r="M179" s="4" t="s">
        <v>6925</v>
      </c>
      <c r="N179" s="73" t="s">
        <v>4035</v>
      </c>
      <c r="O179" s="4" t="s">
        <v>6832</v>
      </c>
      <c r="P179" s="4" t="s">
        <v>6833</v>
      </c>
      <c r="Q179" s="69">
        <v>45437</v>
      </c>
      <c r="R179" s="4" t="s">
        <v>6832</v>
      </c>
      <c r="S179" s="4" t="s">
        <v>6833</v>
      </c>
      <c r="T179" s="4" t="s">
        <v>925</v>
      </c>
      <c r="U179" s="4" t="s">
        <v>6852</v>
      </c>
      <c r="V179" s="64" t="s">
        <v>93</v>
      </c>
      <c r="W179" s="72">
        <v>45435</v>
      </c>
      <c r="X179" s="72">
        <v>45444</v>
      </c>
      <c r="Y179" s="4" t="s">
        <v>6834</v>
      </c>
      <c r="Z179" s="4"/>
    </row>
    <row r="180" ht="14.4" s="66" customFormat="1">
      <c r="A180" s="55">
        <v>171346</v>
      </c>
      <c r="B180" s="55" t="s">
        <v>1373</v>
      </c>
      <c r="C180" s="55" t="s">
        <v>5225</v>
      </c>
      <c r="D180" s="55" t="s">
        <v>6981</v>
      </c>
      <c r="E180" s="55" t="s">
        <v>67</v>
      </c>
      <c r="F180" s="55" t="s">
        <v>71</v>
      </c>
      <c r="G180" s="55" t="s">
        <v>5709</v>
      </c>
      <c r="H180" s="55" t="s">
        <v>308</v>
      </c>
      <c r="I180" s="55" t="s">
        <v>74</v>
      </c>
      <c r="J180" s="56">
        <v>45448</v>
      </c>
      <c r="K180" s="56">
        <v>45448</v>
      </c>
      <c r="L180" s="55" t="s">
        <v>167</v>
      </c>
      <c r="M180" s="55" t="s">
        <v>6872</v>
      </c>
      <c r="N180" s="55" t="s">
        <v>3978</v>
      </c>
      <c r="O180" s="55" t="s">
        <v>6832</v>
      </c>
      <c r="P180" s="55" t="s">
        <v>6833</v>
      </c>
      <c r="Q180" s="56">
        <v>45448</v>
      </c>
      <c r="R180" s="55" t="s">
        <v>6832</v>
      </c>
      <c r="S180" s="55" t="s">
        <v>6833</v>
      </c>
      <c r="T180" s="55" t="s">
        <v>925</v>
      </c>
      <c r="U180" s="4" t="s">
        <v>167</v>
      </c>
      <c r="V180" s="64" t="s">
        <v>93</v>
      </c>
      <c r="W180" s="72">
        <v>45450</v>
      </c>
      <c r="X180" s="72">
        <v>45449</v>
      </c>
      <c r="Y180" s="4" t="s">
        <v>6838</v>
      </c>
      <c r="Z180" s="4"/>
    </row>
    <row r="181" ht="14.4" s="66" customFormat="1">
      <c r="A181" s="55">
        <v>171466</v>
      </c>
      <c r="B181" s="55" t="s">
        <v>6982</v>
      </c>
      <c r="C181" s="55" t="s">
        <v>5258</v>
      </c>
      <c r="D181" s="55">
        <v>1854525743</v>
      </c>
      <c r="E181" s="55" t="s">
        <v>67</v>
      </c>
      <c r="F181" s="55" t="s">
        <v>71</v>
      </c>
      <c r="G181" s="55" t="s">
        <v>6979</v>
      </c>
      <c r="H181" s="55" t="s">
        <v>2643</v>
      </c>
      <c r="I181" s="55" t="s">
        <v>74</v>
      </c>
      <c r="J181" s="56">
        <v>45449</v>
      </c>
      <c r="K181" s="56">
        <v>45456</v>
      </c>
      <c r="L181" s="55" t="s">
        <v>81</v>
      </c>
      <c r="M181" s="55" t="s">
        <v>3510</v>
      </c>
      <c r="N181" s="55" t="s">
        <v>4035</v>
      </c>
      <c r="O181" s="55" t="s">
        <v>6832</v>
      </c>
      <c r="P181" s="55" t="s">
        <v>6833</v>
      </c>
      <c r="Q181" s="55" t="s">
        <v>81</v>
      </c>
      <c r="R181" s="55" t="s">
        <v>81</v>
      </c>
      <c r="S181" s="55" t="s">
        <v>81</v>
      </c>
      <c r="T181" s="55" t="s">
        <v>925</v>
      </c>
      <c r="U181" s="4" t="s">
        <v>81</v>
      </c>
      <c r="V181" s="64" t="s">
        <v>93</v>
      </c>
      <c r="W181" s="72">
        <v>45450</v>
      </c>
      <c r="X181" s="72">
        <v>45457</v>
      </c>
      <c r="Y181" s="4" t="s">
        <v>6834</v>
      </c>
      <c r="Z181" s="4"/>
    </row>
    <row r="182" ht="14.4" s="66" customFormat="1">
      <c r="A182" s="55">
        <v>171455</v>
      </c>
      <c r="B182" s="55" t="s">
        <v>5240</v>
      </c>
      <c r="C182" s="55" t="s">
        <v>5241</v>
      </c>
      <c r="D182" s="55">
        <v>1779573124</v>
      </c>
      <c r="E182" s="55" t="s">
        <v>67</v>
      </c>
      <c r="F182" s="55" t="s">
        <v>71</v>
      </c>
      <c r="G182" s="55" t="s">
        <v>6979</v>
      </c>
      <c r="H182" s="55" t="s">
        <v>2643</v>
      </c>
      <c r="I182" s="55" t="s">
        <v>74</v>
      </c>
      <c r="J182" s="56">
        <v>45442</v>
      </c>
      <c r="K182" s="56">
        <v>45442</v>
      </c>
      <c r="L182" s="55" t="s">
        <v>81</v>
      </c>
      <c r="M182" s="55" t="s">
        <v>3510</v>
      </c>
      <c r="N182" s="55" t="s">
        <v>5246</v>
      </c>
      <c r="O182" s="55" t="s">
        <v>6832</v>
      </c>
      <c r="P182" s="55" t="s">
        <v>6833</v>
      </c>
      <c r="Q182" s="55" t="s">
        <v>81</v>
      </c>
      <c r="R182" s="55" t="s">
        <v>81</v>
      </c>
      <c r="S182" s="55" t="s">
        <v>81</v>
      </c>
      <c r="T182" s="55" t="s">
        <v>925</v>
      </c>
      <c r="U182" s="4" t="s">
        <v>81</v>
      </c>
      <c r="V182" s="64" t="s">
        <v>93</v>
      </c>
      <c r="W182" s="72">
        <v>45450</v>
      </c>
      <c r="X182" s="72">
        <v>45453</v>
      </c>
      <c r="Y182" s="4" t="s">
        <v>6838</v>
      </c>
      <c r="Z182" s="4"/>
    </row>
    <row r="183" ht="14.4" s="66" customFormat="1">
      <c r="A183" s="55">
        <v>171459</v>
      </c>
      <c r="B183" s="55" t="s">
        <v>1335</v>
      </c>
      <c r="C183" s="55" t="s">
        <v>5233</v>
      </c>
      <c r="D183" s="55">
        <v>1856532640</v>
      </c>
      <c r="E183" s="55" t="s">
        <v>67</v>
      </c>
      <c r="F183" s="55" t="s">
        <v>71</v>
      </c>
      <c r="G183" s="55" t="s">
        <v>5709</v>
      </c>
      <c r="H183" s="55" t="s">
        <v>308</v>
      </c>
      <c r="I183" s="55" t="s">
        <v>74</v>
      </c>
      <c r="J183" s="56">
        <v>45450</v>
      </c>
      <c r="K183" s="56">
        <v>45450</v>
      </c>
      <c r="L183" s="55" t="s">
        <v>6854</v>
      </c>
      <c r="M183" s="55" t="s">
        <v>6872</v>
      </c>
      <c r="N183" s="55" t="s">
        <v>5239</v>
      </c>
      <c r="O183" s="55" t="s">
        <v>2905</v>
      </c>
      <c r="P183" s="55" t="s">
        <v>6983</v>
      </c>
      <c r="Q183" s="56">
        <v>45450</v>
      </c>
      <c r="R183" s="55" t="s">
        <v>2905</v>
      </c>
      <c r="S183" s="55" t="s">
        <v>6983</v>
      </c>
      <c r="T183" s="55" t="s">
        <v>3101</v>
      </c>
      <c r="U183" s="4" t="s">
        <v>6854</v>
      </c>
      <c r="V183" s="64" t="s">
        <v>93</v>
      </c>
      <c r="W183" s="72">
        <v>45450</v>
      </c>
      <c r="X183" s="72">
        <v>45453</v>
      </c>
      <c r="Y183" s="4" t="s">
        <v>6838</v>
      </c>
      <c r="Z183" s="4"/>
    </row>
    <row r="184" ht="14.4" s="66" customFormat="1">
      <c r="A184" s="55">
        <v>171171</v>
      </c>
      <c r="B184" s="55" t="s">
        <v>5061</v>
      </c>
      <c r="C184" s="55" t="s">
        <v>5279</v>
      </c>
      <c r="D184" s="55">
        <v>1795502909</v>
      </c>
      <c r="E184" s="55" t="s">
        <v>67</v>
      </c>
      <c r="F184" s="55" t="s">
        <v>71</v>
      </c>
      <c r="G184" s="55" t="s">
        <v>5709</v>
      </c>
      <c r="H184" s="55" t="s">
        <v>98</v>
      </c>
      <c r="I184" s="55" t="s">
        <v>74</v>
      </c>
      <c r="J184" s="56">
        <v>45452</v>
      </c>
      <c r="K184" s="56">
        <v>45458</v>
      </c>
      <c r="L184" s="55" t="s">
        <v>6852</v>
      </c>
      <c r="M184" s="55" t="s">
        <v>6872</v>
      </c>
      <c r="N184" s="55" t="s">
        <v>3796</v>
      </c>
      <c r="O184" s="55" t="s">
        <v>6832</v>
      </c>
      <c r="P184" s="55" t="s">
        <v>6833</v>
      </c>
      <c r="Q184" s="56">
        <v>45452</v>
      </c>
      <c r="R184" s="55" t="s">
        <v>6832</v>
      </c>
      <c r="S184" s="55" t="s">
        <v>6833</v>
      </c>
      <c r="T184" s="55" t="s">
        <v>925</v>
      </c>
      <c r="U184" s="4" t="s">
        <v>6852</v>
      </c>
      <c r="V184" s="64" t="s">
        <v>93</v>
      </c>
      <c r="W184" s="72">
        <v>45450</v>
      </c>
      <c r="X184" s="72">
        <v>45459</v>
      </c>
      <c r="Y184" s="4" t="s">
        <v>6834</v>
      </c>
      <c r="Z184" s="4"/>
    </row>
    <row r="185" ht="14.4" s="66" customFormat="1">
      <c r="A185" s="55">
        <v>171463</v>
      </c>
      <c r="B185" s="55" t="s">
        <v>1681</v>
      </c>
      <c r="C185" s="55" t="s">
        <v>5287</v>
      </c>
      <c r="D185" s="55" t="s">
        <v>6984</v>
      </c>
      <c r="E185" s="55" t="s">
        <v>67</v>
      </c>
      <c r="F185" s="55" t="s">
        <v>71</v>
      </c>
      <c r="G185" s="55" t="s">
        <v>5709</v>
      </c>
      <c r="H185" s="55" t="s">
        <v>6938</v>
      </c>
      <c r="I185" s="55" t="s">
        <v>74</v>
      </c>
      <c r="J185" s="56">
        <v>45452</v>
      </c>
      <c r="K185" s="56">
        <v>45458</v>
      </c>
      <c r="L185" s="55" t="s">
        <v>6852</v>
      </c>
      <c r="M185" s="55" t="s">
        <v>6872</v>
      </c>
      <c r="N185" s="55" t="s">
        <v>6985</v>
      </c>
      <c r="O185" s="55" t="s">
        <v>2905</v>
      </c>
      <c r="P185" s="55" t="s">
        <v>6983</v>
      </c>
      <c r="Q185" s="56">
        <v>45452</v>
      </c>
      <c r="R185" s="55" t="s">
        <v>2905</v>
      </c>
      <c r="S185" s="55" t="s">
        <v>6983</v>
      </c>
      <c r="T185" s="55" t="s">
        <v>3101</v>
      </c>
      <c r="U185" s="4" t="s">
        <v>6852</v>
      </c>
      <c r="V185" s="64" t="s">
        <v>93</v>
      </c>
      <c r="W185" s="72">
        <v>45450</v>
      </c>
      <c r="X185" s="72">
        <v>45459</v>
      </c>
      <c r="Y185" s="4" t="s">
        <v>6834</v>
      </c>
      <c r="Z185" s="4"/>
    </row>
    <row r="186" ht="14.4" s="66" customFormat="1">
      <c r="A186" s="55">
        <v>171246</v>
      </c>
      <c r="B186" s="55" t="s">
        <v>5298</v>
      </c>
      <c r="C186" s="55" t="s">
        <v>5299</v>
      </c>
      <c r="D186" s="55">
        <v>1634669871</v>
      </c>
      <c r="E186" s="55" t="s">
        <v>67</v>
      </c>
      <c r="F186" s="55" t="s">
        <v>71</v>
      </c>
      <c r="G186" s="55" t="s">
        <v>5709</v>
      </c>
      <c r="H186" s="55" t="s">
        <v>115</v>
      </c>
      <c r="I186" s="55" t="s">
        <v>74</v>
      </c>
      <c r="J186" s="56">
        <v>45452</v>
      </c>
      <c r="K186" s="56">
        <v>45458</v>
      </c>
      <c r="L186" s="55" t="s">
        <v>6852</v>
      </c>
      <c r="M186" s="55" t="s">
        <v>6872</v>
      </c>
      <c r="N186" s="55" t="s">
        <v>3796</v>
      </c>
      <c r="O186" s="55" t="s">
        <v>6832</v>
      </c>
      <c r="P186" s="55" t="s">
        <v>6833</v>
      </c>
      <c r="Q186" s="56">
        <v>45452</v>
      </c>
      <c r="R186" s="55" t="s">
        <v>6832</v>
      </c>
      <c r="S186" s="55" t="s">
        <v>6833</v>
      </c>
      <c r="T186" s="55" t="s">
        <v>925</v>
      </c>
      <c r="U186" s="4" t="s">
        <v>6852</v>
      </c>
      <c r="V186" s="64" t="s">
        <v>93</v>
      </c>
      <c r="W186" s="72">
        <v>45450</v>
      </c>
      <c r="X186" s="72">
        <v>45459</v>
      </c>
      <c r="Y186" s="4" t="s">
        <v>6834</v>
      </c>
      <c r="Z186" s="4"/>
    </row>
    <row r="187" ht="14.4" s="66" customFormat="1">
      <c r="A187" s="55">
        <v>171266</v>
      </c>
      <c r="B187" s="55" t="s">
        <v>5308</v>
      </c>
      <c r="C187" s="55" t="s">
        <v>5309</v>
      </c>
      <c r="D187" s="55">
        <v>1304624009</v>
      </c>
      <c r="E187" s="55" t="s">
        <v>67</v>
      </c>
      <c r="F187" s="55" t="s">
        <v>71</v>
      </c>
      <c r="G187" s="55" t="s">
        <v>5709</v>
      </c>
      <c r="H187" s="55" t="s">
        <v>115</v>
      </c>
      <c r="I187" s="55" t="s">
        <v>74</v>
      </c>
      <c r="J187" s="56">
        <v>45452</v>
      </c>
      <c r="K187" s="56">
        <v>45458</v>
      </c>
      <c r="L187" s="55" t="s">
        <v>6852</v>
      </c>
      <c r="M187" s="55" t="s">
        <v>6872</v>
      </c>
      <c r="N187" s="55" t="s">
        <v>4675</v>
      </c>
      <c r="O187" s="55" t="s">
        <v>6832</v>
      </c>
      <c r="P187" s="55" t="s">
        <v>6833</v>
      </c>
      <c r="Q187" s="56">
        <v>45452</v>
      </c>
      <c r="R187" s="55" t="s">
        <v>6832</v>
      </c>
      <c r="S187" s="55" t="s">
        <v>6833</v>
      </c>
      <c r="T187" s="55" t="s">
        <v>925</v>
      </c>
      <c r="U187" s="4" t="s">
        <v>6852</v>
      </c>
      <c r="V187" s="64" t="s">
        <v>93</v>
      </c>
      <c r="W187" s="72">
        <v>45450</v>
      </c>
      <c r="X187" s="72">
        <v>45459</v>
      </c>
      <c r="Y187" s="4" t="s">
        <v>6834</v>
      </c>
      <c r="Z187" s="4"/>
    </row>
    <row r="188" ht="14.4" s="66" customFormat="1">
      <c r="A188" s="55">
        <v>171226</v>
      </c>
      <c r="B188" s="55" t="s">
        <v>1775</v>
      </c>
      <c r="C188" s="55" t="s">
        <v>6986</v>
      </c>
      <c r="D188" s="55">
        <v>1756859822</v>
      </c>
      <c r="E188" s="55" t="s">
        <v>67</v>
      </c>
      <c r="F188" s="55" t="s">
        <v>71</v>
      </c>
      <c r="G188" s="55" t="s">
        <v>6979</v>
      </c>
      <c r="H188" s="55" t="s">
        <v>2643</v>
      </c>
      <c r="I188" s="55" t="s">
        <v>74</v>
      </c>
      <c r="J188" s="56">
        <v>45446</v>
      </c>
      <c r="K188" s="56">
        <v>45446</v>
      </c>
      <c r="L188" s="55" t="s">
        <v>81</v>
      </c>
      <c r="M188" s="55" t="s">
        <v>3510</v>
      </c>
      <c r="N188" s="55" t="s">
        <v>4035</v>
      </c>
      <c r="O188" s="55" t="s">
        <v>6832</v>
      </c>
      <c r="P188" s="55" t="s">
        <v>6833</v>
      </c>
      <c r="Q188" s="55" t="s">
        <v>81</v>
      </c>
      <c r="R188" s="55" t="s">
        <v>81</v>
      </c>
      <c r="S188" s="55" t="s">
        <v>81</v>
      </c>
      <c r="T188" s="55" t="s">
        <v>925</v>
      </c>
      <c r="U188" s="4" t="s">
        <v>81</v>
      </c>
      <c r="V188" s="64" t="s">
        <v>93</v>
      </c>
      <c r="W188" s="72">
        <v>45450</v>
      </c>
      <c r="X188" s="72">
        <v>45447</v>
      </c>
      <c r="Y188" s="4" t="s">
        <v>6838</v>
      </c>
      <c r="Z188" s="4"/>
    </row>
    <row r="189" ht="14.4" s="66" customFormat="1">
      <c r="A189" s="55">
        <v>171231</v>
      </c>
      <c r="B189" s="55" t="s">
        <v>5247</v>
      </c>
      <c r="C189" s="55" t="s">
        <v>6987</v>
      </c>
      <c r="D189" s="55" t="s">
        <v>6988</v>
      </c>
      <c r="E189" s="55" t="s">
        <v>67</v>
      </c>
      <c r="F189" s="55" t="s">
        <v>71</v>
      </c>
      <c r="G189" s="55" t="s">
        <v>5709</v>
      </c>
      <c r="H189" s="55" t="s">
        <v>98</v>
      </c>
      <c r="I189" s="55" t="s">
        <v>74</v>
      </c>
      <c r="J189" s="56">
        <v>45446</v>
      </c>
      <c r="K189" s="56">
        <v>45452</v>
      </c>
      <c r="L189" s="55" t="s">
        <v>6852</v>
      </c>
      <c r="M189" s="55" t="s">
        <v>6872</v>
      </c>
      <c r="N189" s="55" t="s">
        <v>3796</v>
      </c>
      <c r="O189" s="55" t="s">
        <v>6832</v>
      </c>
      <c r="P189" s="55" t="s">
        <v>6833</v>
      </c>
      <c r="Q189" s="56">
        <v>45446</v>
      </c>
      <c r="R189" s="55" t="s">
        <v>6832</v>
      </c>
      <c r="S189" s="55" t="s">
        <v>6833</v>
      </c>
      <c r="T189" s="55" t="s">
        <v>925</v>
      </c>
      <c r="U189" s="4" t="s">
        <v>6852</v>
      </c>
      <c r="V189" s="64" t="s">
        <v>93</v>
      </c>
      <c r="W189" s="72">
        <v>45450</v>
      </c>
      <c r="X189" s="72">
        <v>45453</v>
      </c>
      <c r="Y189" s="4" t="s">
        <v>6834</v>
      </c>
      <c r="Z189" s="4"/>
    </row>
    <row r="190" ht="14.4" s="66" customFormat="1">
      <c r="A190" s="55">
        <v>171556</v>
      </c>
      <c r="B190" s="55" t="s">
        <v>1775</v>
      </c>
      <c r="C190" s="55" t="s">
        <v>5319</v>
      </c>
      <c r="D190" s="55">
        <v>1677876079</v>
      </c>
      <c r="E190" s="55" t="s">
        <v>67</v>
      </c>
      <c r="F190" s="55" t="s">
        <v>71</v>
      </c>
      <c r="G190" s="55" t="s">
        <v>6979</v>
      </c>
      <c r="H190" s="55" t="s">
        <v>2643</v>
      </c>
      <c r="I190" s="55" t="s">
        <v>74</v>
      </c>
      <c r="J190" s="56">
        <v>45458</v>
      </c>
      <c r="K190" s="56">
        <v>45458</v>
      </c>
      <c r="L190" s="55" t="s">
        <v>81</v>
      </c>
      <c r="M190" s="55" t="s">
        <v>3510</v>
      </c>
      <c r="N190" s="55" t="s">
        <v>4321</v>
      </c>
      <c r="O190" s="55" t="s">
        <v>6832</v>
      </c>
      <c r="P190" s="55" t="s">
        <v>6833</v>
      </c>
      <c r="Q190" s="55" t="s">
        <v>81</v>
      </c>
      <c r="R190" s="55" t="s">
        <v>81</v>
      </c>
      <c r="S190" s="55" t="s">
        <v>81</v>
      </c>
      <c r="T190" s="55" t="s">
        <v>925</v>
      </c>
      <c r="U190" s="4" t="s">
        <v>81</v>
      </c>
      <c r="V190" s="64" t="s">
        <v>93</v>
      </c>
      <c r="W190" s="72">
        <v>45462</v>
      </c>
      <c r="X190" s="72">
        <v>45459</v>
      </c>
      <c r="Y190" s="4" t="s">
        <v>6838</v>
      </c>
      <c r="Z190" s="4"/>
    </row>
    <row r="191" ht="14.4" s="66" customFormat="1">
      <c r="A191" s="55">
        <v>171545</v>
      </c>
      <c r="B191" s="55" t="s">
        <v>6982</v>
      </c>
      <c r="C191" s="55" t="s">
        <v>5270</v>
      </c>
      <c r="D191" s="55">
        <v>1859794657</v>
      </c>
      <c r="E191" s="55" t="s">
        <v>67</v>
      </c>
      <c r="F191" s="55" t="s">
        <v>71</v>
      </c>
      <c r="G191" s="55" t="s">
        <v>6979</v>
      </c>
      <c r="H191" s="55" t="s">
        <v>2643</v>
      </c>
      <c r="I191" s="55" t="s">
        <v>74</v>
      </c>
      <c r="J191" s="56">
        <v>45457</v>
      </c>
      <c r="K191" s="56">
        <v>45457</v>
      </c>
      <c r="L191" s="55" t="s">
        <v>81</v>
      </c>
      <c r="M191" s="55" t="s">
        <v>3510</v>
      </c>
      <c r="N191" s="55" t="s">
        <v>4321</v>
      </c>
      <c r="O191" s="55" t="s">
        <v>6832</v>
      </c>
      <c r="P191" s="55" t="s">
        <v>6833</v>
      </c>
      <c r="Q191" s="55" t="s">
        <v>81</v>
      </c>
      <c r="R191" s="55" t="s">
        <v>81</v>
      </c>
      <c r="S191" s="55" t="s">
        <v>81</v>
      </c>
      <c r="T191" s="55" t="s">
        <v>925</v>
      </c>
      <c r="U191" s="4" t="s">
        <v>81</v>
      </c>
      <c r="V191" s="64" t="s">
        <v>93</v>
      </c>
      <c r="W191" s="72">
        <v>45462</v>
      </c>
      <c r="X191" s="72">
        <v>45458</v>
      </c>
      <c r="Y191" s="4" t="s">
        <v>6838</v>
      </c>
      <c r="Z191" s="4"/>
    </row>
    <row r="192" ht="28.8" s="66" customFormat="1">
      <c r="A192" s="55">
        <v>171480</v>
      </c>
      <c r="B192" s="55" t="s">
        <v>5334</v>
      </c>
      <c r="C192" s="55" t="s">
        <v>6989</v>
      </c>
      <c r="D192" s="55">
        <v>1747118053</v>
      </c>
      <c r="E192" s="55" t="s">
        <v>67</v>
      </c>
      <c r="F192" s="55" t="s">
        <v>71</v>
      </c>
      <c r="G192" s="55" t="s">
        <v>155</v>
      </c>
      <c r="H192" s="55" t="s">
        <v>196</v>
      </c>
      <c r="I192" s="55" t="s">
        <v>74</v>
      </c>
      <c r="J192" s="56">
        <v>45455</v>
      </c>
      <c r="K192" s="56">
        <v>45462</v>
      </c>
      <c r="L192" s="55" t="s">
        <v>6852</v>
      </c>
      <c r="M192" s="55" t="s">
        <v>6925</v>
      </c>
      <c r="N192" s="74" t="s">
        <v>4321</v>
      </c>
      <c r="O192" s="55" t="s">
        <v>6832</v>
      </c>
      <c r="P192" s="55" t="s">
        <v>6833</v>
      </c>
      <c r="Q192" s="56">
        <v>45455</v>
      </c>
      <c r="R192" s="55" t="s">
        <v>6832</v>
      </c>
      <c r="S192" s="55" t="s">
        <v>6833</v>
      </c>
      <c r="T192" s="55" t="s">
        <v>925</v>
      </c>
      <c r="U192" s="4" t="s">
        <v>6852</v>
      </c>
      <c r="V192" s="64" t="s">
        <v>93</v>
      </c>
      <c r="W192" s="72">
        <v>45462</v>
      </c>
      <c r="X192" s="72">
        <v>45463</v>
      </c>
      <c r="Y192" s="4" t="s">
        <v>6834</v>
      </c>
      <c r="Z192" s="4"/>
    </row>
    <row r="193" ht="14.4" s="66" customFormat="1">
      <c r="A193" s="4">
        <v>171227</v>
      </c>
      <c r="B193" s="4" t="s">
        <v>1699</v>
      </c>
      <c r="C193" s="4" t="s">
        <v>5328</v>
      </c>
      <c r="D193" s="4" t="s">
        <v>6990</v>
      </c>
      <c r="E193" s="4" t="s">
        <v>67</v>
      </c>
      <c r="F193" s="4" t="s">
        <v>71</v>
      </c>
      <c r="G193" s="4"/>
      <c r="H193" s="4" t="s">
        <v>6991</v>
      </c>
      <c r="I193" s="4" t="s">
        <v>74</v>
      </c>
      <c r="J193" s="69">
        <v>45455</v>
      </c>
      <c r="K193" s="69">
        <v>45458</v>
      </c>
      <c r="L193" s="4" t="s">
        <v>6992</v>
      </c>
      <c r="M193" s="4" t="s">
        <v>6872</v>
      </c>
      <c r="N193" s="73" t="s">
        <v>4002</v>
      </c>
      <c r="O193" s="4" t="s">
        <v>6832</v>
      </c>
      <c r="P193" s="4" t="s">
        <v>6833</v>
      </c>
      <c r="Q193" s="69">
        <v>45455</v>
      </c>
      <c r="R193" s="4" t="s">
        <v>6832</v>
      </c>
      <c r="S193" s="4" t="s">
        <v>6833</v>
      </c>
      <c r="T193" s="4" t="s">
        <v>925</v>
      </c>
      <c r="U193" s="4" t="s">
        <v>6992</v>
      </c>
      <c r="V193" s="64" t="s">
        <v>93</v>
      </c>
      <c r="W193" s="72">
        <v>45462</v>
      </c>
      <c r="X193" s="72">
        <v>45459</v>
      </c>
      <c r="Y193" s="4" t="s">
        <v>6993</v>
      </c>
      <c r="Z193" s="4"/>
    </row>
    <row r="194" ht="14.4" s="66" customFormat="1">
      <c r="A194" s="55">
        <v>171043</v>
      </c>
      <c r="B194" s="55" t="s">
        <v>1782</v>
      </c>
      <c r="C194" s="55" t="s">
        <v>5358</v>
      </c>
      <c r="D194" s="55">
        <v>1670272823</v>
      </c>
      <c r="E194" s="55" t="s">
        <v>67</v>
      </c>
      <c r="F194" s="55" t="s">
        <v>71</v>
      </c>
      <c r="G194" s="55" t="s">
        <v>6979</v>
      </c>
      <c r="H194" s="55" t="s">
        <v>2643</v>
      </c>
      <c r="I194" s="55" t="s">
        <v>74</v>
      </c>
      <c r="J194" s="56">
        <v>45456</v>
      </c>
      <c r="K194" s="56">
        <v>45464</v>
      </c>
      <c r="L194" s="55" t="s">
        <v>81</v>
      </c>
      <c r="M194" s="55" t="s">
        <v>3510</v>
      </c>
      <c r="N194" s="55" t="s">
        <v>4035</v>
      </c>
      <c r="O194" s="55" t="s">
        <v>6832</v>
      </c>
      <c r="P194" s="55" t="s">
        <v>6833</v>
      </c>
      <c r="Q194" s="55" t="s">
        <v>81</v>
      </c>
      <c r="R194" s="55" t="s">
        <v>81</v>
      </c>
      <c r="S194" s="55" t="s">
        <v>81</v>
      </c>
      <c r="T194" s="55" t="s">
        <v>925</v>
      </c>
      <c r="U194" s="4" t="s">
        <v>81</v>
      </c>
      <c r="V194" s="64" t="s">
        <v>93</v>
      </c>
      <c r="W194" s="72">
        <v>45462</v>
      </c>
      <c r="X194" s="72">
        <v>45465</v>
      </c>
      <c r="Y194" s="4" t="s">
        <v>6838</v>
      </c>
      <c r="Z194" s="4"/>
    </row>
    <row r="195" ht="14.4" s="66" customFormat="1">
      <c r="A195" s="55">
        <v>171489</v>
      </c>
      <c r="B195" s="55" t="s">
        <v>5363</v>
      </c>
      <c r="C195" s="55" t="s">
        <v>5364</v>
      </c>
      <c r="D195" s="55">
        <v>1869590195</v>
      </c>
      <c r="E195" s="55" t="s">
        <v>67</v>
      </c>
      <c r="F195" s="55" t="s">
        <v>71</v>
      </c>
      <c r="G195" s="55" t="s">
        <v>6979</v>
      </c>
      <c r="H195" s="55" t="s">
        <v>98</v>
      </c>
      <c r="I195" s="55" t="s">
        <v>74</v>
      </c>
      <c r="J195" s="56">
        <v>45459</v>
      </c>
      <c r="K195" s="56">
        <v>45465</v>
      </c>
      <c r="L195" s="55" t="s">
        <v>81</v>
      </c>
      <c r="M195" s="55" t="s">
        <v>3510</v>
      </c>
      <c r="N195" s="55" t="s">
        <v>3796</v>
      </c>
      <c r="O195" s="55" t="s">
        <v>6832</v>
      </c>
      <c r="P195" s="55" t="s">
        <v>6833</v>
      </c>
      <c r="Q195" s="55" t="s">
        <v>81</v>
      </c>
      <c r="R195" s="55" t="s">
        <v>81</v>
      </c>
      <c r="S195" s="55" t="s">
        <v>81</v>
      </c>
      <c r="T195" s="55" t="s">
        <v>925</v>
      </c>
      <c r="U195" s="4" t="s">
        <v>81</v>
      </c>
      <c r="V195" s="64" t="s">
        <v>93</v>
      </c>
      <c r="W195" s="72">
        <v>45462</v>
      </c>
      <c r="X195" s="72">
        <v>45466</v>
      </c>
      <c r="Y195" s="4" t="s">
        <v>6838</v>
      </c>
      <c r="Z195" s="4"/>
    </row>
    <row r="196" ht="14.4" s="66" customFormat="1">
      <c r="A196" s="55">
        <v>171318</v>
      </c>
      <c r="B196" s="55" t="s">
        <v>5382</v>
      </c>
      <c r="C196" s="55" t="s">
        <v>5383</v>
      </c>
      <c r="D196" s="55">
        <v>1677104690</v>
      </c>
      <c r="E196" s="55" t="s">
        <v>67</v>
      </c>
      <c r="F196" s="55" t="s">
        <v>71</v>
      </c>
      <c r="G196" s="55" t="s">
        <v>6979</v>
      </c>
      <c r="H196" s="55" t="s">
        <v>2643</v>
      </c>
      <c r="I196" s="55" t="s">
        <v>74</v>
      </c>
      <c r="J196" s="56">
        <v>45462</v>
      </c>
      <c r="K196" s="56">
        <v>45469</v>
      </c>
      <c r="L196" s="55" t="s">
        <v>6994</v>
      </c>
      <c r="M196" s="55" t="s">
        <v>3510</v>
      </c>
      <c r="N196" s="55" t="s">
        <v>3796</v>
      </c>
      <c r="O196" s="55" t="s">
        <v>6832</v>
      </c>
      <c r="P196" s="55" t="s">
        <v>6833</v>
      </c>
      <c r="Q196" s="55" t="s">
        <v>81</v>
      </c>
      <c r="R196" s="55" t="s">
        <v>81</v>
      </c>
      <c r="S196" s="55" t="s">
        <v>81</v>
      </c>
      <c r="T196" s="55" t="s">
        <v>925</v>
      </c>
      <c r="U196" s="4" t="s">
        <v>6994</v>
      </c>
      <c r="V196" s="64" t="s">
        <v>93</v>
      </c>
      <c r="W196" s="72">
        <v>45462</v>
      </c>
      <c r="X196" s="72">
        <v>45470</v>
      </c>
      <c r="Y196" s="4" t="s">
        <v>6834</v>
      </c>
      <c r="Z196" s="4"/>
    </row>
    <row r="197" ht="25.05" customHeight="1" s="66" customFormat="1">
      <c r="A197" s="55">
        <v>171397</v>
      </c>
      <c r="B197" s="55" t="s">
        <v>5416</v>
      </c>
      <c r="C197" s="55" t="s">
        <v>5417</v>
      </c>
      <c r="D197" s="55">
        <v>1915700966</v>
      </c>
      <c r="E197" s="55" t="s">
        <v>67</v>
      </c>
      <c r="F197" s="55" t="s">
        <v>71</v>
      </c>
      <c r="G197" s="55" t="s">
        <v>5709</v>
      </c>
      <c r="H197" s="55" t="s">
        <v>115</v>
      </c>
      <c r="I197" s="55" t="s">
        <v>74</v>
      </c>
      <c r="J197" s="56">
        <v>45467</v>
      </c>
      <c r="K197" s="56">
        <v>45473</v>
      </c>
      <c r="L197" s="55" t="s">
        <v>6852</v>
      </c>
      <c r="M197" s="55" t="s">
        <v>6872</v>
      </c>
      <c r="N197" s="55" t="s">
        <v>3796</v>
      </c>
      <c r="O197" s="55" t="s">
        <v>6832</v>
      </c>
      <c r="P197" s="55" t="s">
        <v>6833</v>
      </c>
      <c r="Q197" s="56">
        <v>45467</v>
      </c>
      <c r="R197" s="55" t="s">
        <v>6832</v>
      </c>
      <c r="S197" s="55" t="s">
        <v>6833</v>
      </c>
      <c r="T197" s="55" t="s">
        <v>925</v>
      </c>
      <c r="U197" s="4" t="s">
        <v>6852</v>
      </c>
      <c r="V197" s="64" t="s">
        <v>93</v>
      </c>
      <c r="W197" s="72">
        <v>45473</v>
      </c>
      <c r="X197" s="72">
        <v>45474</v>
      </c>
      <c r="Y197" s="4" t="s">
        <v>6834</v>
      </c>
      <c r="Z197" s="4"/>
    </row>
    <row r="198" ht="25.05" customHeight="1" s="66" customFormat="1">
      <c r="A198" s="4">
        <v>171596</v>
      </c>
      <c r="B198" s="4" t="s">
        <v>5404</v>
      </c>
      <c r="C198" s="4" t="s">
        <v>5405</v>
      </c>
      <c r="D198" s="4">
        <v>1316030854</v>
      </c>
      <c r="E198" s="4" t="s">
        <v>67</v>
      </c>
      <c r="F198" s="4" t="s">
        <v>71</v>
      </c>
      <c r="G198" s="4" t="s">
        <v>155</v>
      </c>
      <c r="H198" s="4" t="s">
        <v>196</v>
      </c>
      <c r="I198" s="4" t="s">
        <v>74</v>
      </c>
      <c r="J198" s="69">
        <v>45471</v>
      </c>
      <c r="K198" s="69">
        <v>45471</v>
      </c>
      <c r="L198" s="4" t="s">
        <v>6854</v>
      </c>
      <c r="M198" s="4" t="s">
        <v>6925</v>
      </c>
      <c r="N198" s="73" t="s">
        <v>4035</v>
      </c>
      <c r="O198" s="4" t="s">
        <v>6832</v>
      </c>
      <c r="P198" s="4" t="s">
        <v>6833</v>
      </c>
      <c r="Q198" s="69">
        <v>45471</v>
      </c>
      <c r="R198" s="4" t="s">
        <v>6832</v>
      </c>
      <c r="S198" s="4" t="s">
        <v>6833</v>
      </c>
      <c r="T198" s="4" t="s">
        <v>925</v>
      </c>
      <c r="U198" s="4" t="s">
        <v>6854</v>
      </c>
      <c r="V198" s="64" t="s">
        <v>93</v>
      </c>
      <c r="W198" s="72">
        <v>45473</v>
      </c>
      <c r="X198" s="72">
        <v>45472</v>
      </c>
      <c r="Y198" s="4" t="s">
        <v>6838</v>
      </c>
      <c r="Z198" s="4"/>
    </row>
    <row r="199" ht="25.05" customHeight="1" s="66" customFormat="1">
      <c r="A199" s="4">
        <v>171535</v>
      </c>
      <c r="B199" s="4" t="s">
        <v>5395</v>
      </c>
      <c r="C199" s="4" t="s">
        <v>6995</v>
      </c>
      <c r="D199" s="4">
        <v>1722526211</v>
      </c>
      <c r="E199" s="4" t="s">
        <v>67</v>
      </c>
      <c r="F199" s="4" t="s">
        <v>71</v>
      </c>
      <c r="G199" s="4" t="s">
        <v>155</v>
      </c>
      <c r="H199" s="4" t="s">
        <v>196</v>
      </c>
      <c r="I199" s="4" t="s">
        <v>74</v>
      </c>
      <c r="J199" s="69">
        <v>45471</v>
      </c>
      <c r="K199" s="69">
        <v>45471</v>
      </c>
      <c r="L199" s="4" t="s">
        <v>6854</v>
      </c>
      <c r="M199" s="4" t="s">
        <v>6925</v>
      </c>
      <c r="N199" s="73" t="s">
        <v>4035</v>
      </c>
      <c r="O199" s="4" t="s">
        <v>6832</v>
      </c>
      <c r="P199" s="4" t="s">
        <v>6833</v>
      </c>
      <c r="Q199" s="69">
        <v>45471</v>
      </c>
      <c r="R199" s="4" t="s">
        <v>6832</v>
      </c>
      <c r="S199" s="4" t="s">
        <v>6833</v>
      </c>
      <c r="T199" s="4" t="s">
        <v>925</v>
      </c>
      <c r="U199" s="4" t="s">
        <v>6854</v>
      </c>
      <c r="V199" s="64" t="s">
        <v>93</v>
      </c>
      <c r="W199" s="72">
        <v>45473</v>
      </c>
      <c r="X199" s="72">
        <v>45472</v>
      </c>
      <c r="Y199" s="4" t="s">
        <v>6838</v>
      </c>
      <c r="Z199" s="4"/>
    </row>
    <row r="200" ht="25.05" customHeight="1" s="66" customFormat="1">
      <c r="A200" s="4">
        <v>171077</v>
      </c>
      <c r="B200" s="4" t="s">
        <v>5434</v>
      </c>
      <c r="C200" s="4" t="s">
        <v>5435</v>
      </c>
      <c r="D200" s="4">
        <v>1609262023</v>
      </c>
      <c r="E200" s="4" t="s">
        <v>67</v>
      </c>
      <c r="F200" s="4" t="s">
        <v>71</v>
      </c>
      <c r="G200" s="4" t="s">
        <v>155</v>
      </c>
      <c r="H200" s="4" t="s">
        <v>196</v>
      </c>
      <c r="I200" s="4" t="s">
        <v>74</v>
      </c>
      <c r="J200" s="69">
        <v>45473</v>
      </c>
      <c r="K200" s="69">
        <v>45475</v>
      </c>
      <c r="L200" s="4" t="s">
        <v>6992</v>
      </c>
      <c r="M200" s="4" t="s">
        <v>6925</v>
      </c>
      <c r="N200" s="73" t="s">
        <v>4035</v>
      </c>
      <c r="O200" s="4" t="s">
        <v>6832</v>
      </c>
      <c r="P200" s="4" t="s">
        <v>6833</v>
      </c>
      <c r="Q200" s="69">
        <v>45473</v>
      </c>
      <c r="R200" s="4" t="s">
        <v>6832</v>
      </c>
      <c r="S200" s="4" t="s">
        <v>6833</v>
      </c>
      <c r="T200" s="4" t="s">
        <v>925</v>
      </c>
      <c r="U200" s="4" t="s">
        <v>6992</v>
      </c>
      <c r="V200" s="64" t="s">
        <v>93</v>
      </c>
      <c r="W200" s="72">
        <v>45473</v>
      </c>
      <c r="X200" s="72">
        <v>45472</v>
      </c>
      <c r="Y200" s="4" t="s">
        <v>6996</v>
      </c>
      <c r="Z200" s="4"/>
    </row>
    <row r="201" ht="25.05" customHeight="1" s="66" customFormat="1">
      <c r="A201" s="4">
        <v>171513</v>
      </c>
      <c r="B201" s="4" t="s">
        <v>5443</v>
      </c>
      <c r="C201" s="4" t="s">
        <v>6997</v>
      </c>
      <c r="D201" s="4">
        <v>1741177254</v>
      </c>
      <c r="E201" s="4" t="s">
        <v>67</v>
      </c>
      <c r="F201" s="4" t="s">
        <v>71</v>
      </c>
      <c r="G201" s="4" t="s">
        <v>155</v>
      </c>
      <c r="H201" s="4" t="s">
        <v>196</v>
      </c>
      <c r="I201" s="4" t="s">
        <v>74</v>
      </c>
      <c r="J201" s="69">
        <v>45472</v>
      </c>
      <c r="K201" s="69">
        <v>45477</v>
      </c>
      <c r="L201" s="4" t="s">
        <v>6852</v>
      </c>
      <c r="M201" s="4" t="s">
        <v>6925</v>
      </c>
      <c r="N201" s="73" t="s">
        <v>4035</v>
      </c>
      <c r="O201" s="4" t="s">
        <v>6832</v>
      </c>
      <c r="P201" s="4" t="s">
        <v>6833</v>
      </c>
      <c r="Q201" s="69">
        <v>45472</v>
      </c>
      <c r="R201" s="4" t="s">
        <v>6832</v>
      </c>
      <c r="S201" s="4" t="s">
        <v>6833</v>
      </c>
      <c r="T201" s="4" t="s">
        <v>925</v>
      </c>
      <c r="U201" s="4" t="s">
        <v>6852</v>
      </c>
      <c r="V201" s="64" t="s">
        <v>93</v>
      </c>
      <c r="W201" s="72">
        <v>45473</v>
      </c>
      <c r="X201" s="72">
        <v>45472</v>
      </c>
      <c r="Y201" s="4" t="s">
        <v>6877</v>
      </c>
      <c r="Z201" s="4"/>
    </row>
    <row r="202" ht="25.05" customHeight="1" s="66" customFormat="1">
      <c r="A202" s="4">
        <v>171577</v>
      </c>
      <c r="B202" s="4" t="s">
        <v>5453</v>
      </c>
      <c r="C202" s="4" t="s">
        <v>5454</v>
      </c>
      <c r="D202" s="4">
        <v>1749139536</v>
      </c>
      <c r="E202" s="4" t="s">
        <v>67</v>
      </c>
      <c r="F202" s="4" t="s">
        <v>71</v>
      </c>
      <c r="G202" s="4" t="s">
        <v>155</v>
      </c>
      <c r="H202" s="4" t="s">
        <v>196</v>
      </c>
      <c r="I202" s="4" t="s">
        <v>74</v>
      </c>
      <c r="J202" s="69">
        <v>45471</v>
      </c>
      <c r="K202" s="69">
        <v>45477</v>
      </c>
      <c r="L202" s="4" t="s">
        <v>6852</v>
      </c>
      <c r="M202" s="4" t="s">
        <v>6925</v>
      </c>
      <c r="N202" s="73" t="s">
        <v>4035</v>
      </c>
      <c r="O202" s="4" t="s">
        <v>6832</v>
      </c>
      <c r="P202" s="4" t="s">
        <v>6833</v>
      </c>
      <c r="Q202" s="69">
        <v>45471</v>
      </c>
      <c r="R202" s="4" t="s">
        <v>6832</v>
      </c>
      <c r="S202" s="4" t="s">
        <v>6833</v>
      </c>
      <c r="T202" s="4" t="s">
        <v>925</v>
      </c>
      <c r="U202" s="4" t="s">
        <v>6852</v>
      </c>
      <c r="V202" s="64" t="s">
        <v>93</v>
      </c>
      <c r="W202" s="72">
        <v>45473</v>
      </c>
      <c r="X202" s="72">
        <v>45477</v>
      </c>
      <c r="Y202" s="4" t="s">
        <v>6877</v>
      </c>
      <c r="Z202" s="4"/>
    </row>
    <row r="203" ht="25.05" customHeight="1" s="66" customFormat="1">
      <c r="A203" s="55">
        <v>171095</v>
      </c>
      <c r="B203" s="55" t="s">
        <v>1789</v>
      </c>
      <c r="C203" s="55" t="s">
        <v>5345</v>
      </c>
      <c r="D203" s="55">
        <v>1911007315</v>
      </c>
      <c r="E203" s="55" t="s">
        <v>67</v>
      </c>
      <c r="F203" s="55" t="s">
        <v>71</v>
      </c>
      <c r="G203" s="55" t="s">
        <v>5709</v>
      </c>
      <c r="H203" s="55" t="s">
        <v>115</v>
      </c>
      <c r="I203" s="55" t="s">
        <v>74</v>
      </c>
      <c r="J203" s="56">
        <v>45462</v>
      </c>
      <c r="K203" s="56">
        <v>45462</v>
      </c>
      <c r="L203" s="55" t="s">
        <v>6854</v>
      </c>
      <c r="M203" s="55" t="s">
        <v>6872</v>
      </c>
      <c r="N203" s="55" t="s">
        <v>4321</v>
      </c>
      <c r="O203" s="55" t="s">
        <v>6832</v>
      </c>
      <c r="P203" s="55" t="s">
        <v>6833</v>
      </c>
      <c r="Q203" s="56">
        <v>45462</v>
      </c>
      <c r="R203" s="55" t="s">
        <v>6832</v>
      </c>
      <c r="S203" s="55" t="s">
        <v>6833</v>
      </c>
      <c r="T203" s="55" t="s">
        <v>925</v>
      </c>
      <c r="U203" s="4" t="s">
        <v>6854</v>
      </c>
      <c r="V203" s="64" t="s">
        <v>93</v>
      </c>
      <c r="W203" s="72">
        <v>45473</v>
      </c>
      <c r="X203" s="72">
        <v>45463</v>
      </c>
      <c r="Y203" s="4" t="s">
        <v>6838</v>
      </c>
      <c r="Z203" s="4"/>
    </row>
    <row r="204" ht="25.05" customHeight="1" s="66" customFormat="1">
      <c r="A204" s="4">
        <v>171532</v>
      </c>
      <c r="B204" s="4" t="s">
        <v>5393</v>
      </c>
      <c r="C204" s="4" t="s">
        <v>6998</v>
      </c>
      <c r="D204" s="4">
        <v>1787244605</v>
      </c>
      <c r="E204" s="4" t="s">
        <v>67</v>
      </c>
      <c r="F204" s="4" t="s">
        <v>71</v>
      </c>
      <c r="G204" s="4" t="s">
        <v>155</v>
      </c>
      <c r="H204" s="4" t="s">
        <v>196</v>
      </c>
      <c r="I204" s="4" t="s">
        <v>74</v>
      </c>
      <c r="J204" s="69">
        <v>45469</v>
      </c>
      <c r="K204" s="69">
        <v>45469</v>
      </c>
      <c r="L204" s="4" t="s">
        <v>6854</v>
      </c>
      <c r="M204" s="4" t="s">
        <v>6925</v>
      </c>
      <c r="N204" s="73" t="s">
        <v>4035</v>
      </c>
      <c r="O204" s="4" t="s">
        <v>6832</v>
      </c>
      <c r="P204" s="4" t="s">
        <v>6833</v>
      </c>
      <c r="Q204" s="69">
        <v>45469</v>
      </c>
      <c r="R204" s="4" t="s">
        <v>6832</v>
      </c>
      <c r="S204" s="4" t="s">
        <v>6833</v>
      </c>
      <c r="T204" s="4" t="s">
        <v>925</v>
      </c>
      <c r="U204" s="4" t="s">
        <v>6854</v>
      </c>
      <c r="V204" s="64" t="s">
        <v>93</v>
      </c>
      <c r="W204" s="72">
        <v>45473</v>
      </c>
      <c r="X204" s="72">
        <v>45470</v>
      </c>
      <c r="Y204" s="4" t="s">
        <v>6838</v>
      </c>
      <c r="Z204" s="4"/>
    </row>
    <row r="205" ht="25.05" customHeight="1" s="66" customFormat="1">
      <c r="A205" s="4">
        <v>171405</v>
      </c>
      <c r="B205" s="4" t="s">
        <v>5425</v>
      </c>
      <c r="C205" s="4" t="s">
        <v>6999</v>
      </c>
      <c r="D205" s="4">
        <v>1716056673</v>
      </c>
      <c r="E205" s="4" t="s">
        <v>67</v>
      </c>
      <c r="F205" s="4" t="s">
        <v>71</v>
      </c>
      <c r="G205" s="4" t="s">
        <v>155</v>
      </c>
      <c r="H205" s="4" t="s">
        <v>196</v>
      </c>
      <c r="I205" s="4" t="s">
        <v>74</v>
      </c>
      <c r="J205" s="69">
        <v>45467</v>
      </c>
      <c r="K205" s="69">
        <v>45473</v>
      </c>
      <c r="L205" s="4" t="s">
        <v>6852</v>
      </c>
      <c r="M205" s="4" t="s">
        <v>6925</v>
      </c>
      <c r="N205" s="73" t="s">
        <v>3978</v>
      </c>
      <c r="O205" s="4" t="s">
        <v>6832</v>
      </c>
      <c r="P205" s="4" t="s">
        <v>6833</v>
      </c>
      <c r="Q205" s="69">
        <v>45468</v>
      </c>
      <c r="R205" s="4" t="s">
        <v>6832</v>
      </c>
      <c r="S205" s="4" t="s">
        <v>6833</v>
      </c>
      <c r="T205" s="4" t="s">
        <v>925</v>
      </c>
      <c r="U205" s="4" t="s">
        <v>6852</v>
      </c>
      <c r="V205" s="64" t="s">
        <v>93</v>
      </c>
      <c r="W205" s="72">
        <v>45473</v>
      </c>
      <c r="X205" s="72">
        <v>45474</v>
      </c>
      <c r="Y205" s="4" t="s">
        <v>6877</v>
      </c>
      <c r="Z205" s="4"/>
    </row>
    <row r="206" ht="25.05" customHeight="1" s="66" customFormat="1">
      <c r="A206" s="4">
        <v>171594</v>
      </c>
      <c r="B206" s="4" t="s">
        <v>5441</v>
      </c>
      <c r="C206" s="4" t="s">
        <v>7000</v>
      </c>
      <c r="D206" s="4">
        <v>1738128859</v>
      </c>
      <c r="E206" s="4" t="s">
        <v>67</v>
      </c>
      <c r="F206" s="4" t="s">
        <v>71</v>
      </c>
      <c r="G206" s="4" t="s">
        <v>155</v>
      </c>
      <c r="H206" s="4" t="s">
        <v>196</v>
      </c>
      <c r="I206" s="4" t="s">
        <v>74</v>
      </c>
      <c r="J206" s="69">
        <v>45475</v>
      </c>
      <c r="K206" s="69">
        <v>45475</v>
      </c>
      <c r="L206" s="4" t="s">
        <v>6854</v>
      </c>
      <c r="M206" s="4" t="s">
        <v>6925</v>
      </c>
      <c r="N206" s="73" t="s">
        <v>4035</v>
      </c>
      <c r="O206" s="4" t="s">
        <v>6832</v>
      </c>
      <c r="P206" s="4" t="s">
        <v>6833</v>
      </c>
      <c r="Q206" s="69">
        <v>45475</v>
      </c>
      <c r="R206" s="4" t="s">
        <v>6832</v>
      </c>
      <c r="S206" s="4" t="s">
        <v>6833</v>
      </c>
      <c r="T206" s="4" t="s">
        <v>925</v>
      </c>
      <c r="U206" s="4" t="s">
        <v>6854</v>
      </c>
      <c r="V206" s="64" t="s">
        <v>93</v>
      </c>
      <c r="W206" s="72">
        <v>45473</v>
      </c>
      <c r="X206" s="72">
        <v>45475</v>
      </c>
      <c r="Y206" s="4" t="s">
        <v>6838</v>
      </c>
      <c r="Z206" s="4"/>
    </row>
    <row r="207" ht="25.05" customHeight="1" s="66" customFormat="1">
      <c r="A207" s="4">
        <v>171437</v>
      </c>
      <c r="B207" s="4" t="s">
        <v>5473</v>
      </c>
      <c r="C207" s="4" t="s">
        <v>7001</v>
      </c>
      <c r="D207" s="4">
        <v>1609262023</v>
      </c>
      <c r="E207" s="4" t="s">
        <v>67</v>
      </c>
      <c r="F207" s="4" t="s">
        <v>71</v>
      </c>
      <c r="G207" s="4" t="s">
        <v>155</v>
      </c>
      <c r="H207" s="4" t="s">
        <v>196</v>
      </c>
      <c r="I207" s="4" t="s">
        <v>74</v>
      </c>
      <c r="J207" s="69">
        <v>45474</v>
      </c>
      <c r="K207" s="69">
        <v>45480</v>
      </c>
      <c r="L207" s="4" t="s">
        <v>6852</v>
      </c>
      <c r="M207" s="4" t="s">
        <v>6925</v>
      </c>
      <c r="N207" s="73" t="s">
        <v>4035</v>
      </c>
      <c r="O207" s="4" t="s">
        <v>6832</v>
      </c>
      <c r="P207" s="4" t="s">
        <v>6833</v>
      </c>
      <c r="Q207" s="69">
        <v>45474</v>
      </c>
      <c r="R207" s="4" t="s">
        <v>6832</v>
      </c>
      <c r="S207" s="4" t="s">
        <v>6833</v>
      </c>
      <c r="T207" s="4" t="s">
        <v>925</v>
      </c>
      <c r="U207" s="4" t="s">
        <v>6852</v>
      </c>
      <c r="V207" s="64" t="s">
        <v>93</v>
      </c>
      <c r="W207" s="72">
        <v>45473</v>
      </c>
      <c r="X207" s="72">
        <v>45481</v>
      </c>
      <c r="Y207" s="4" t="s">
        <v>6877</v>
      </c>
      <c r="Z207" s="4"/>
    </row>
    <row r="208" ht="25.05" customHeight="1" s="66" customFormat="1">
      <c r="A208" s="55">
        <v>171414</v>
      </c>
      <c r="B208" s="55" t="s">
        <v>2856</v>
      </c>
      <c r="C208" s="55" t="s">
        <v>7002</v>
      </c>
      <c r="D208" s="55">
        <v>1533886464</v>
      </c>
      <c r="E208" s="55" t="s">
        <v>67</v>
      </c>
      <c r="F208" s="55" t="s">
        <v>71</v>
      </c>
      <c r="G208" s="55" t="s">
        <v>6979</v>
      </c>
      <c r="H208" s="55" t="s">
        <v>2643</v>
      </c>
      <c r="I208" s="55" t="s">
        <v>74</v>
      </c>
      <c r="J208" s="56">
        <v>45473</v>
      </c>
      <c r="K208" s="56">
        <v>45473</v>
      </c>
      <c r="L208" s="55" t="s">
        <v>81</v>
      </c>
      <c r="M208" s="55" t="s">
        <v>3510</v>
      </c>
      <c r="N208" s="55" t="s">
        <v>3796</v>
      </c>
      <c r="O208" s="55" t="s">
        <v>6832</v>
      </c>
      <c r="P208" s="55" t="s">
        <v>6833</v>
      </c>
      <c r="Q208" s="55" t="s">
        <v>81</v>
      </c>
      <c r="R208" s="55" t="s">
        <v>81</v>
      </c>
      <c r="S208" s="55" t="s">
        <v>81</v>
      </c>
      <c r="T208" s="55" t="s">
        <v>925</v>
      </c>
      <c r="U208" s="4" t="s">
        <v>81</v>
      </c>
      <c r="V208" s="64" t="s">
        <v>93</v>
      </c>
      <c r="W208" s="72">
        <v>45473</v>
      </c>
      <c r="X208" s="72">
        <v>45480</v>
      </c>
      <c r="Y208" s="4" t="s">
        <v>6838</v>
      </c>
      <c r="Z208" s="4"/>
    </row>
    <row r="209" ht="25.05" customHeight="1" s="66" customFormat="1">
      <c r="A209" s="4">
        <v>171427</v>
      </c>
      <c r="B209" s="4" t="s">
        <v>5505</v>
      </c>
      <c r="C209" s="4" t="s">
        <v>7003</v>
      </c>
      <c r="D209" s="4">
        <v>1635703228</v>
      </c>
      <c r="E209" s="4" t="s">
        <v>67</v>
      </c>
      <c r="F209" s="4" t="s">
        <v>71</v>
      </c>
      <c r="G209" s="4" t="s">
        <v>155</v>
      </c>
      <c r="H209" s="4" t="s">
        <v>196</v>
      </c>
      <c r="I209" s="4" t="s">
        <v>74</v>
      </c>
      <c r="J209" s="69">
        <v>45476</v>
      </c>
      <c r="K209" s="69">
        <v>45481</v>
      </c>
      <c r="L209" s="4" t="s">
        <v>6852</v>
      </c>
      <c r="M209" s="4" t="s">
        <v>6925</v>
      </c>
      <c r="N209" s="73" t="s">
        <v>4035</v>
      </c>
      <c r="O209" s="4" t="s">
        <v>6832</v>
      </c>
      <c r="P209" s="4" t="s">
        <v>6833</v>
      </c>
      <c r="Q209" s="69">
        <v>45476</v>
      </c>
      <c r="R209" s="4" t="s">
        <v>6832</v>
      </c>
      <c r="S209" s="4" t="s">
        <v>6833</v>
      </c>
      <c r="T209" s="4" t="s">
        <v>925</v>
      </c>
      <c r="U209" s="4" t="s">
        <v>6852</v>
      </c>
      <c r="V209" s="64" t="s">
        <v>93</v>
      </c>
      <c r="W209" s="72">
        <v>45473</v>
      </c>
      <c r="X209" s="72">
        <v>45482</v>
      </c>
      <c r="Y209" s="4" t="s">
        <v>6877</v>
      </c>
      <c r="Z209" s="4"/>
    </row>
    <row r="210" ht="25.05" customHeight="1" s="66" customFormat="1">
      <c r="A210" s="55">
        <v>171680</v>
      </c>
      <c r="B210" s="55" t="s">
        <v>2325</v>
      </c>
      <c r="C210" s="55" t="s">
        <v>5480</v>
      </c>
      <c r="D210" s="55">
        <v>1828822309</v>
      </c>
      <c r="E210" s="55" t="s">
        <v>67</v>
      </c>
      <c r="F210" s="55" t="s">
        <v>71</v>
      </c>
      <c r="G210" s="55" t="s">
        <v>5709</v>
      </c>
      <c r="H210" s="55" t="s">
        <v>115</v>
      </c>
      <c r="I210" s="55" t="s">
        <v>74</v>
      </c>
      <c r="J210" s="56">
        <v>45480</v>
      </c>
      <c r="K210" s="56">
        <v>45480</v>
      </c>
      <c r="L210" s="55" t="s">
        <v>6854</v>
      </c>
      <c r="M210" s="55" t="s">
        <v>6872</v>
      </c>
      <c r="N210" s="55" t="s">
        <v>5491</v>
      </c>
      <c r="O210" s="55" t="s">
        <v>6832</v>
      </c>
      <c r="P210" s="55" t="s">
        <v>6833</v>
      </c>
      <c r="Q210" s="55" t="s">
        <v>81</v>
      </c>
      <c r="R210" s="55" t="s">
        <v>6832</v>
      </c>
      <c r="S210" s="55" t="s">
        <v>6833</v>
      </c>
      <c r="T210" s="55" t="s">
        <v>925</v>
      </c>
      <c r="U210" s="4" t="s">
        <v>6854</v>
      </c>
      <c r="V210" s="64" t="s">
        <v>93</v>
      </c>
      <c r="W210" s="72">
        <v>45473</v>
      </c>
      <c r="X210" s="72">
        <v>45481</v>
      </c>
      <c r="Y210" s="4" t="s">
        <v>6877</v>
      </c>
      <c r="Z210" s="4"/>
    </row>
    <row r="211" ht="25.05" customHeight="1" s="66" customFormat="1">
      <c r="A211" s="55">
        <v>171551</v>
      </c>
      <c r="B211" s="55" t="s">
        <v>2198</v>
      </c>
      <c r="C211" s="55" t="s">
        <v>5493</v>
      </c>
      <c r="D211" s="55">
        <v>1957284288</v>
      </c>
      <c r="E211" s="55" t="s">
        <v>67</v>
      </c>
      <c r="F211" s="55" t="s">
        <v>71</v>
      </c>
      <c r="G211" s="55" t="s">
        <v>5709</v>
      </c>
      <c r="H211" s="55" t="s">
        <v>115</v>
      </c>
      <c r="I211" s="55" t="s">
        <v>74</v>
      </c>
      <c r="J211" s="56">
        <v>45480</v>
      </c>
      <c r="K211" s="56">
        <v>45480</v>
      </c>
      <c r="L211" s="55" t="s">
        <v>6854</v>
      </c>
      <c r="M211" s="55" t="s">
        <v>6872</v>
      </c>
      <c r="N211" s="55" t="s">
        <v>4321</v>
      </c>
      <c r="O211" s="55" t="s">
        <v>6832</v>
      </c>
      <c r="P211" s="55" t="s">
        <v>6833</v>
      </c>
      <c r="Q211" s="55" t="s">
        <v>81</v>
      </c>
      <c r="R211" s="55" t="s">
        <v>6832</v>
      </c>
      <c r="S211" s="55" t="s">
        <v>6833</v>
      </c>
      <c r="T211" s="55" t="s">
        <v>925</v>
      </c>
      <c r="U211" s="4" t="s">
        <v>6854</v>
      </c>
      <c r="V211" s="64" t="s">
        <v>93</v>
      </c>
      <c r="W211" s="72">
        <v>45473</v>
      </c>
      <c r="X211" s="72">
        <v>45481</v>
      </c>
      <c r="Y211" s="4" t="s">
        <v>6877</v>
      </c>
      <c r="Z211" s="4"/>
    </row>
    <row r="212" ht="25.05" customHeight="1" s="66" customFormat="1">
      <c r="A212" s="55">
        <v>171603</v>
      </c>
      <c r="B212" s="55" t="s">
        <v>2383</v>
      </c>
      <c r="C212" s="55" t="s">
        <v>5524</v>
      </c>
      <c r="D212" s="55">
        <v>1751041021</v>
      </c>
      <c r="E212" s="55" t="s">
        <v>67</v>
      </c>
      <c r="F212" s="55" t="s">
        <v>71</v>
      </c>
      <c r="G212" s="55" t="s">
        <v>5709</v>
      </c>
      <c r="H212" s="55" t="s">
        <v>115</v>
      </c>
      <c r="I212" s="55" t="s">
        <v>74</v>
      </c>
      <c r="J212" s="56">
        <v>45479</v>
      </c>
      <c r="K212" s="56">
        <v>45486</v>
      </c>
      <c r="L212" s="55" t="s">
        <v>6852</v>
      </c>
      <c r="M212" s="55" t="s">
        <v>6872</v>
      </c>
      <c r="N212" s="55" t="s">
        <v>3796</v>
      </c>
      <c r="O212" s="55" t="s">
        <v>6832</v>
      </c>
      <c r="P212" s="55" t="s">
        <v>6833</v>
      </c>
      <c r="Q212" s="55" t="s">
        <v>81</v>
      </c>
      <c r="R212" s="55" t="s">
        <v>6832</v>
      </c>
      <c r="S212" s="55" t="s">
        <v>6833</v>
      </c>
      <c r="T212" s="55" t="s">
        <v>925</v>
      </c>
      <c r="U212" s="4" t="s">
        <v>6852</v>
      </c>
      <c r="V212" s="64" t="s">
        <v>93</v>
      </c>
      <c r="W212" s="72">
        <v>45473</v>
      </c>
      <c r="X212" s="72">
        <v>45487</v>
      </c>
      <c r="Y212" s="4" t="s">
        <v>6877</v>
      </c>
      <c r="Z212" s="4"/>
    </row>
    <row r="213" ht="25.05" customHeight="1" s="66" customFormat="1">
      <c r="A213" s="55">
        <v>171210</v>
      </c>
      <c r="B213" s="55" t="s">
        <v>4332</v>
      </c>
      <c r="C213" s="55" t="s">
        <v>5786</v>
      </c>
      <c r="D213" s="55">
        <v>1521124841</v>
      </c>
      <c r="E213" s="55" t="s">
        <v>67</v>
      </c>
      <c r="F213" s="55" t="s">
        <v>71</v>
      </c>
      <c r="G213" s="55" t="s">
        <v>5709</v>
      </c>
      <c r="H213" s="55" t="s">
        <v>115</v>
      </c>
      <c r="I213" s="55" t="s">
        <v>74</v>
      </c>
      <c r="J213" s="56">
        <v>45481</v>
      </c>
      <c r="K213" s="56">
        <v>45488</v>
      </c>
      <c r="L213" s="55" t="s">
        <v>6852</v>
      </c>
      <c r="M213" s="55" t="s">
        <v>6872</v>
      </c>
      <c r="N213" s="55" t="s">
        <v>4321</v>
      </c>
      <c r="O213" s="55" t="s">
        <v>6832</v>
      </c>
      <c r="P213" s="55" t="s">
        <v>6833</v>
      </c>
      <c r="Q213" s="55" t="s">
        <v>81</v>
      </c>
      <c r="R213" s="55" t="s">
        <v>6832</v>
      </c>
      <c r="S213" s="55" t="s">
        <v>6833</v>
      </c>
      <c r="T213" s="55" t="s">
        <v>925</v>
      </c>
      <c r="U213" s="4" t="s">
        <v>6852</v>
      </c>
      <c r="V213" s="64" t="s">
        <v>93</v>
      </c>
      <c r="W213" s="72">
        <v>45473</v>
      </c>
      <c r="X213" s="72">
        <v>45488</v>
      </c>
      <c r="Y213" s="4" t="s">
        <v>6877</v>
      </c>
      <c r="Z213" s="4"/>
    </row>
    <row r="214" ht="25.05" customHeight="1" s="66" customFormat="1">
      <c r="A214" s="55">
        <v>171314</v>
      </c>
      <c r="B214" s="55" t="s">
        <v>4204</v>
      </c>
      <c r="C214" s="55" t="s">
        <v>5804</v>
      </c>
      <c r="D214" s="55">
        <v>1849661817</v>
      </c>
      <c r="E214" s="55" t="s">
        <v>67</v>
      </c>
      <c r="F214" s="55" t="s">
        <v>71</v>
      </c>
      <c r="G214" s="55" t="s">
        <v>5709</v>
      </c>
      <c r="H214" s="55" t="s">
        <v>115</v>
      </c>
      <c r="I214" s="55" t="s">
        <v>74</v>
      </c>
      <c r="J214" s="56">
        <v>45482</v>
      </c>
      <c r="K214" s="56">
        <v>45489</v>
      </c>
      <c r="L214" s="55" t="s">
        <v>6852</v>
      </c>
      <c r="M214" s="55" t="s">
        <v>6872</v>
      </c>
      <c r="N214" s="55" t="s">
        <v>4957</v>
      </c>
      <c r="O214" s="55" t="s">
        <v>6832</v>
      </c>
      <c r="P214" s="55" t="s">
        <v>6833</v>
      </c>
      <c r="Q214" s="55" t="s">
        <v>81</v>
      </c>
      <c r="R214" s="55" t="s">
        <v>6832</v>
      </c>
      <c r="S214" s="55" t="s">
        <v>6833</v>
      </c>
      <c r="T214" s="55" t="s">
        <v>925</v>
      </c>
      <c r="U214" s="4" t="s">
        <v>6852</v>
      </c>
      <c r="V214" s="64" t="s">
        <v>93</v>
      </c>
      <c r="W214" s="72">
        <v>45473</v>
      </c>
      <c r="X214" s="72">
        <v>45490</v>
      </c>
      <c r="Y214" s="4" t="s">
        <v>6877</v>
      </c>
      <c r="Z214" s="4"/>
    </row>
    <row r="215" ht="25.05" customHeight="1" s="66" customFormat="1">
      <c r="A215" s="55">
        <v>171172</v>
      </c>
      <c r="B215" s="55" t="s">
        <v>5514</v>
      </c>
      <c r="C215" s="55" t="s">
        <v>5515</v>
      </c>
      <c r="D215" s="55">
        <v>1604728923</v>
      </c>
      <c r="E215" s="55" t="s">
        <v>67</v>
      </c>
      <c r="F215" s="55" t="s">
        <v>71</v>
      </c>
      <c r="G215" s="55" t="s">
        <v>6979</v>
      </c>
      <c r="H215" s="55" t="s">
        <v>2643</v>
      </c>
      <c r="I215" s="55" t="s">
        <v>74</v>
      </c>
      <c r="J215" s="56">
        <v>45478</v>
      </c>
      <c r="K215" s="56">
        <v>45485</v>
      </c>
      <c r="L215" s="55" t="s">
        <v>6994</v>
      </c>
      <c r="M215" s="55" t="s">
        <v>3510</v>
      </c>
      <c r="N215" s="55" t="s">
        <v>3796</v>
      </c>
      <c r="O215" s="55" t="s">
        <v>6832</v>
      </c>
      <c r="P215" s="55" t="s">
        <v>6833</v>
      </c>
      <c r="Q215" s="55" t="s">
        <v>81</v>
      </c>
      <c r="R215" s="55" t="s">
        <v>81</v>
      </c>
      <c r="S215" s="55" t="s">
        <v>81</v>
      </c>
      <c r="T215" s="55" t="s">
        <v>925</v>
      </c>
      <c r="U215" s="4" t="s">
        <v>6994</v>
      </c>
      <c r="V215" s="64" t="s">
        <v>93</v>
      </c>
      <c r="W215" s="72">
        <v>45473</v>
      </c>
      <c r="X215" s="72">
        <v>45487</v>
      </c>
      <c r="Y215" s="4" t="s">
        <v>6877</v>
      </c>
      <c r="Z215" s="4"/>
    </row>
    <row r="216" ht="25.05" customHeight="1" s="66" customFormat="1">
      <c r="A216" s="55">
        <v>171187</v>
      </c>
      <c r="B216" s="55" t="s">
        <v>2436</v>
      </c>
      <c r="C216" s="55" t="s">
        <v>381</v>
      </c>
      <c r="D216" s="55">
        <v>1604728923</v>
      </c>
      <c r="E216" s="55" t="s">
        <v>67</v>
      </c>
      <c r="F216" s="55" t="s">
        <v>71</v>
      </c>
      <c r="G216" s="55" t="s">
        <v>6979</v>
      </c>
      <c r="H216" s="55" t="s">
        <v>2643</v>
      </c>
      <c r="I216" s="55" t="s">
        <v>74</v>
      </c>
      <c r="J216" s="56">
        <v>45481</v>
      </c>
      <c r="K216" s="56">
        <v>45487</v>
      </c>
      <c r="L216" s="55" t="s">
        <v>6994</v>
      </c>
      <c r="M216" s="55" t="s">
        <v>3510</v>
      </c>
      <c r="N216" s="55" t="s">
        <v>3796</v>
      </c>
      <c r="O216" s="55" t="s">
        <v>6832</v>
      </c>
      <c r="P216" s="55" t="s">
        <v>6833</v>
      </c>
      <c r="Q216" s="55" t="s">
        <v>81</v>
      </c>
      <c r="R216" s="55" t="s">
        <v>81</v>
      </c>
      <c r="S216" s="55" t="s">
        <v>81</v>
      </c>
      <c r="T216" s="55" t="s">
        <v>925</v>
      </c>
      <c r="U216" s="4" t="s">
        <v>6994</v>
      </c>
      <c r="V216" s="64" t="s">
        <v>93</v>
      </c>
      <c r="W216" s="72">
        <v>45473</v>
      </c>
      <c r="X216" s="72">
        <v>45488</v>
      </c>
      <c r="Y216" s="4" t="s">
        <v>6877</v>
      </c>
      <c r="Z216" s="4"/>
    </row>
    <row r="217" ht="25.05" customHeight="1" s="66" customFormat="1">
      <c r="A217" s="55">
        <v>171446</v>
      </c>
      <c r="B217" s="55" t="s">
        <v>5013</v>
      </c>
      <c r="C217" s="55" t="s">
        <v>5810</v>
      </c>
      <c r="D217" s="55">
        <v>1956024653</v>
      </c>
      <c r="E217" s="55" t="s">
        <v>67</v>
      </c>
      <c r="F217" s="55" t="s">
        <v>71</v>
      </c>
      <c r="G217" s="55" t="s">
        <v>5709</v>
      </c>
      <c r="H217" s="55" t="s">
        <v>115</v>
      </c>
      <c r="I217" s="55" t="s">
        <v>74</v>
      </c>
      <c r="J217" s="56">
        <v>45481</v>
      </c>
      <c r="K217" s="56">
        <v>45488</v>
      </c>
      <c r="L217" s="55" t="s">
        <v>6852</v>
      </c>
      <c r="M217" s="55" t="s">
        <v>6872</v>
      </c>
      <c r="N217" s="55" t="s">
        <v>7004</v>
      </c>
      <c r="O217" s="55" t="s">
        <v>6832</v>
      </c>
      <c r="P217" s="55" t="s">
        <v>6833</v>
      </c>
      <c r="Q217" s="55" t="s">
        <v>81</v>
      </c>
      <c r="R217" s="55" t="s">
        <v>6832</v>
      </c>
      <c r="S217" s="55" t="s">
        <v>6833</v>
      </c>
      <c r="T217" s="55" t="s">
        <v>925</v>
      </c>
      <c r="U217" s="4" t="s">
        <v>6852</v>
      </c>
      <c r="V217" s="64" t="s">
        <v>93</v>
      </c>
      <c r="W217" s="72">
        <v>45473</v>
      </c>
      <c r="X217" s="72">
        <v>45489</v>
      </c>
      <c r="Y217" s="4" t="s">
        <v>6877</v>
      </c>
      <c r="Z217" s="4"/>
    </row>
    <row r="218" ht="25.05" customHeight="1" s="66" customFormat="1">
      <c r="A218" s="55">
        <v>171361</v>
      </c>
      <c r="B218" s="55" t="s">
        <v>2577</v>
      </c>
      <c r="C218" s="55" t="s">
        <v>7005</v>
      </c>
      <c r="D218" s="55">
        <v>1567891069</v>
      </c>
      <c r="E218" s="55" t="s">
        <v>67</v>
      </c>
      <c r="F218" s="55" t="s">
        <v>71</v>
      </c>
      <c r="G218" s="55" t="s">
        <v>6979</v>
      </c>
      <c r="H218" s="55" t="s">
        <v>2643</v>
      </c>
      <c r="I218" s="55" t="s">
        <v>74</v>
      </c>
      <c r="J218" s="56">
        <v>45481</v>
      </c>
      <c r="K218" s="56">
        <v>45487</v>
      </c>
      <c r="L218" s="55" t="s">
        <v>6994</v>
      </c>
      <c r="M218" s="55" t="s">
        <v>3510</v>
      </c>
      <c r="N218" s="55" t="s">
        <v>3796</v>
      </c>
      <c r="O218" s="55" t="s">
        <v>6832</v>
      </c>
      <c r="P218" s="55" t="s">
        <v>6833</v>
      </c>
      <c r="Q218" s="55" t="s">
        <v>81</v>
      </c>
      <c r="R218" s="55" t="s">
        <v>81</v>
      </c>
      <c r="S218" s="55" t="s">
        <v>81</v>
      </c>
      <c r="T218" s="55" t="s">
        <v>925</v>
      </c>
      <c r="U218" s="4" t="s">
        <v>6994</v>
      </c>
      <c r="V218" s="64" t="s">
        <v>93</v>
      </c>
      <c r="W218" s="72">
        <v>45473</v>
      </c>
      <c r="X218" s="72">
        <v>45488</v>
      </c>
      <c r="Y218" s="4" t="s">
        <v>6877</v>
      </c>
      <c r="Z218" s="4"/>
    </row>
    <row r="219" ht="25.05" customHeight="1" s="66" customFormat="1">
      <c r="A219" s="55">
        <v>171250</v>
      </c>
      <c r="B219" s="55" t="s">
        <v>2066</v>
      </c>
      <c r="C219" s="55" t="s">
        <v>5778</v>
      </c>
      <c r="D219" s="55">
        <v>1301304185</v>
      </c>
      <c r="E219" s="55" t="s">
        <v>67</v>
      </c>
      <c r="F219" s="55" t="s">
        <v>71</v>
      </c>
      <c r="G219" s="55" t="s">
        <v>6979</v>
      </c>
      <c r="H219" s="55" t="s">
        <v>2643</v>
      </c>
      <c r="I219" s="55" t="s">
        <v>74</v>
      </c>
      <c r="J219" s="56">
        <v>45482</v>
      </c>
      <c r="K219" s="56">
        <v>45488</v>
      </c>
      <c r="L219" s="55" t="s">
        <v>6994</v>
      </c>
      <c r="M219" s="55" t="s">
        <v>3510</v>
      </c>
      <c r="N219" s="55" t="s">
        <v>3796</v>
      </c>
      <c r="O219" s="55" t="s">
        <v>6832</v>
      </c>
      <c r="P219" s="55" t="s">
        <v>6833</v>
      </c>
      <c r="Q219" s="55" t="s">
        <v>81</v>
      </c>
      <c r="R219" s="55" t="s">
        <v>81</v>
      </c>
      <c r="S219" s="55" t="s">
        <v>81</v>
      </c>
      <c r="T219" s="55" t="s">
        <v>925</v>
      </c>
      <c r="U219" s="4" t="s">
        <v>6994</v>
      </c>
      <c r="V219" s="64" t="s">
        <v>93</v>
      </c>
      <c r="W219" s="72">
        <v>45473</v>
      </c>
      <c r="X219" s="72">
        <v>45489</v>
      </c>
      <c r="Y219" s="4" t="s">
        <v>6877</v>
      </c>
      <c r="Z219" s="4"/>
    </row>
    <row r="220" ht="25.05" customHeight="1" s="66" customFormat="1">
      <c r="A220" s="55">
        <v>171256</v>
      </c>
      <c r="B220" s="55" t="s">
        <v>5548</v>
      </c>
      <c r="C220" s="55" t="s">
        <v>7006</v>
      </c>
      <c r="D220" s="55">
        <v>1882407416</v>
      </c>
      <c r="E220" s="55" t="s">
        <v>67</v>
      </c>
      <c r="F220" s="55" t="s">
        <v>71</v>
      </c>
      <c r="G220" s="55" t="s">
        <v>6979</v>
      </c>
      <c r="H220" s="55" t="s">
        <v>2643</v>
      </c>
      <c r="I220" s="55" t="s">
        <v>74</v>
      </c>
      <c r="J220" s="56">
        <v>45481</v>
      </c>
      <c r="K220" s="56">
        <v>45487</v>
      </c>
      <c r="L220" s="55" t="s">
        <v>6994</v>
      </c>
      <c r="M220" s="55" t="s">
        <v>3510</v>
      </c>
      <c r="N220" s="55" t="s">
        <v>3796</v>
      </c>
      <c r="O220" s="55" t="s">
        <v>6832</v>
      </c>
      <c r="P220" s="55" t="s">
        <v>6833</v>
      </c>
      <c r="Q220" s="55" t="s">
        <v>81</v>
      </c>
      <c r="R220" s="55" t="s">
        <v>81</v>
      </c>
      <c r="S220" s="55" t="s">
        <v>81</v>
      </c>
      <c r="T220" s="55" t="s">
        <v>925</v>
      </c>
      <c r="U220" s="4" t="s">
        <v>6994</v>
      </c>
      <c r="V220" s="64" t="s">
        <v>93</v>
      </c>
      <c r="W220" s="72">
        <v>45473</v>
      </c>
      <c r="X220" s="72">
        <v>45488</v>
      </c>
      <c r="Y220" s="4" t="s">
        <v>6877</v>
      </c>
      <c r="Z220" s="4"/>
    </row>
    <row r="221" ht="25.05" customHeight="1" s="66" customFormat="1">
      <c r="A221" s="55">
        <v>171627</v>
      </c>
      <c r="B221" s="55" t="s">
        <v>5556</v>
      </c>
      <c r="C221" s="55" t="s">
        <v>5557</v>
      </c>
      <c r="D221" s="55">
        <v>1606150487</v>
      </c>
      <c r="E221" s="55" t="s">
        <v>67</v>
      </c>
      <c r="F221" s="55" t="s">
        <v>71</v>
      </c>
      <c r="G221" s="55" t="s">
        <v>5709</v>
      </c>
      <c r="H221" s="55" t="s">
        <v>115</v>
      </c>
      <c r="I221" s="55" t="s">
        <v>74</v>
      </c>
      <c r="J221" s="56">
        <v>45486</v>
      </c>
      <c r="K221" s="56">
        <v>45494</v>
      </c>
      <c r="L221" s="55" t="s">
        <v>6994</v>
      </c>
      <c r="M221" s="55" t="s">
        <v>3510</v>
      </c>
      <c r="N221" s="55" t="s">
        <v>4321</v>
      </c>
      <c r="O221" s="55" t="s">
        <v>6832</v>
      </c>
      <c r="P221" s="55" t="s">
        <v>6833</v>
      </c>
      <c r="Q221" s="55" t="s">
        <v>81</v>
      </c>
      <c r="R221" s="55" t="s">
        <v>81</v>
      </c>
      <c r="S221" s="55" t="s">
        <v>81</v>
      </c>
      <c r="T221" s="55" t="s">
        <v>925</v>
      </c>
      <c r="U221" s="4" t="s">
        <v>6994</v>
      </c>
      <c r="V221" s="64" t="s">
        <v>7007</v>
      </c>
      <c r="W221" s="72">
        <v>45488</v>
      </c>
      <c r="X221" s="72">
        <v>45497</v>
      </c>
      <c r="Y221" s="4" t="s">
        <v>6834</v>
      </c>
      <c r="Z221" s="4"/>
    </row>
    <row r="222" ht="25.05" customHeight="1" s="66" customFormat="1">
      <c r="A222" s="55">
        <v>171677</v>
      </c>
      <c r="B222" s="55" t="s">
        <v>2409</v>
      </c>
      <c r="C222" s="55" t="s">
        <v>5712</v>
      </c>
      <c r="D222" s="55">
        <v>1740747041</v>
      </c>
      <c r="E222" s="55" t="s">
        <v>67</v>
      </c>
      <c r="F222" s="55" t="s">
        <v>71</v>
      </c>
      <c r="G222" s="55" t="s">
        <v>5709</v>
      </c>
      <c r="H222" s="55" t="s">
        <v>115</v>
      </c>
      <c r="I222" s="55" t="s">
        <v>74</v>
      </c>
      <c r="J222" s="56">
        <v>45486</v>
      </c>
      <c r="K222" s="56">
        <v>45494</v>
      </c>
      <c r="L222" s="55" t="s">
        <v>6994</v>
      </c>
      <c r="M222" s="55" t="s">
        <v>3510</v>
      </c>
      <c r="N222" s="55" t="s">
        <v>4321</v>
      </c>
      <c r="O222" s="55" t="s">
        <v>6832</v>
      </c>
      <c r="P222" s="55" t="s">
        <v>6833</v>
      </c>
      <c r="Q222" s="55" t="s">
        <v>81</v>
      </c>
      <c r="R222" s="55" t="s">
        <v>81</v>
      </c>
      <c r="S222" s="55" t="s">
        <v>81</v>
      </c>
      <c r="T222" s="55" t="s">
        <v>925</v>
      </c>
      <c r="U222" s="4" t="s">
        <v>6994</v>
      </c>
      <c r="V222" s="64" t="s">
        <v>7007</v>
      </c>
      <c r="W222" s="72">
        <v>45488</v>
      </c>
      <c r="X222" s="72">
        <v>45497</v>
      </c>
      <c r="Y222" s="4" t="s">
        <v>6834</v>
      </c>
      <c r="Z222" s="4"/>
    </row>
    <row r="223" ht="25.05" customHeight="1" s="66" customFormat="1">
      <c r="A223" s="55">
        <v>171120</v>
      </c>
      <c r="B223" s="55" t="s">
        <v>7008</v>
      </c>
      <c r="C223" s="55" t="s">
        <v>7009</v>
      </c>
      <c r="D223" s="55">
        <v>1991100319</v>
      </c>
      <c r="E223" s="55" t="s">
        <v>67</v>
      </c>
      <c r="F223" s="55" t="s">
        <v>71</v>
      </c>
      <c r="G223" s="55" t="s">
        <v>6979</v>
      </c>
      <c r="H223" s="55" t="s">
        <v>2643</v>
      </c>
      <c r="I223" s="55" t="s">
        <v>74</v>
      </c>
      <c r="J223" s="56">
        <v>45486</v>
      </c>
      <c r="K223" s="56">
        <v>45493</v>
      </c>
      <c r="L223" s="55" t="s">
        <v>6994</v>
      </c>
      <c r="M223" s="55" t="s">
        <v>3510</v>
      </c>
      <c r="N223" s="55" t="s">
        <v>3796</v>
      </c>
      <c r="O223" s="55" t="s">
        <v>2905</v>
      </c>
      <c r="P223" s="55" t="s">
        <v>6833</v>
      </c>
      <c r="Q223" s="55" t="s">
        <v>81</v>
      </c>
      <c r="R223" s="55" t="s">
        <v>81</v>
      </c>
      <c r="S223" s="55" t="s">
        <v>81</v>
      </c>
      <c r="T223" s="55" t="s">
        <v>925</v>
      </c>
      <c r="U223" s="4" t="s">
        <v>6994</v>
      </c>
      <c r="V223" s="64" t="s">
        <v>7007</v>
      </c>
      <c r="W223" s="72">
        <v>45489</v>
      </c>
      <c r="X223" s="72">
        <v>45497</v>
      </c>
      <c r="Y223" s="4" t="s">
        <v>6834</v>
      </c>
      <c r="Z223" s="4"/>
    </row>
    <row r="224" ht="25.05" customHeight="1" s="66" customFormat="1">
      <c r="A224" s="55">
        <v>171394</v>
      </c>
      <c r="B224" s="55" t="s">
        <v>2445</v>
      </c>
      <c r="C224" s="55" t="s">
        <v>5572</v>
      </c>
      <c r="D224" s="55">
        <v>1735750036</v>
      </c>
      <c r="E224" s="55" t="s">
        <v>67</v>
      </c>
      <c r="F224" s="55" t="s">
        <v>71</v>
      </c>
      <c r="G224" s="55" t="s">
        <v>6979</v>
      </c>
      <c r="H224" s="55" t="s">
        <v>2643</v>
      </c>
      <c r="I224" s="55" t="s">
        <v>74</v>
      </c>
      <c r="J224" s="56">
        <v>45485</v>
      </c>
      <c r="K224" s="56">
        <v>45486</v>
      </c>
      <c r="L224" s="55" t="s">
        <v>6994</v>
      </c>
      <c r="M224" s="55" t="s">
        <v>3510</v>
      </c>
      <c r="N224" s="55" t="s">
        <v>3796</v>
      </c>
      <c r="O224" s="55" t="s">
        <v>2905</v>
      </c>
      <c r="P224" s="55" t="s">
        <v>6833</v>
      </c>
      <c r="Q224" s="55" t="s">
        <v>81</v>
      </c>
      <c r="R224" s="55" t="s">
        <v>81</v>
      </c>
      <c r="S224" s="55" t="s">
        <v>81</v>
      </c>
      <c r="T224" s="55" t="s">
        <v>925</v>
      </c>
      <c r="U224" s="4" t="s">
        <v>6994</v>
      </c>
      <c r="V224" s="64" t="s">
        <v>93</v>
      </c>
      <c r="W224" s="72">
        <v>45489</v>
      </c>
      <c r="X224" s="72">
        <v>45489</v>
      </c>
      <c r="Y224" s="4" t="s">
        <v>6834</v>
      </c>
      <c r="Z224" s="4"/>
    </row>
    <row r="225" ht="25.05" customHeight="1" s="66" customFormat="1">
      <c r="A225" s="55">
        <v>171224</v>
      </c>
      <c r="B225" s="55" t="s">
        <v>5601</v>
      </c>
      <c r="C225" s="55" t="s">
        <v>4844</v>
      </c>
      <c r="D225" s="55">
        <v>1580306790</v>
      </c>
      <c r="E225" s="55" t="s">
        <v>67</v>
      </c>
      <c r="F225" s="55" t="s">
        <v>71</v>
      </c>
      <c r="G225" s="55" t="s">
        <v>5709</v>
      </c>
      <c r="H225" s="55" t="s">
        <v>115</v>
      </c>
      <c r="I225" s="55" t="s">
        <v>74</v>
      </c>
      <c r="J225" s="56">
        <v>45489</v>
      </c>
      <c r="K225" s="56">
        <v>45490</v>
      </c>
      <c r="L225" s="55">
        <v>0</v>
      </c>
      <c r="M225" s="55" t="s">
        <v>3510</v>
      </c>
      <c r="N225" s="55" t="s">
        <v>3796</v>
      </c>
      <c r="O225" s="55" t="s">
        <v>2905</v>
      </c>
      <c r="P225" s="55" t="s">
        <v>6833</v>
      </c>
      <c r="Q225" s="55" t="s">
        <v>81</v>
      </c>
      <c r="R225" s="55" t="s">
        <v>81</v>
      </c>
      <c r="S225" s="55" t="s">
        <v>81</v>
      </c>
      <c r="T225" s="55" t="s">
        <v>925</v>
      </c>
      <c r="U225" s="4">
        <v>0</v>
      </c>
      <c r="V225" s="64" t="s">
        <v>7007</v>
      </c>
      <c r="W225" s="72">
        <v>45497</v>
      </c>
      <c r="X225" s="72">
        <v>45497</v>
      </c>
      <c r="Y225" s="4" t="s">
        <v>6838</v>
      </c>
      <c r="Z225" s="4" t="s">
        <v>6838</v>
      </c>
    </row>
    <row r="226" ht="25.05" customHeight="1" s="66" customFormat="1">
      <c r="A226" s="55">
        <v>171456</v>
      </c>
      <c r="B226" s="55" t="s">
        <v>5608</v>
      </c>
      <c r="C226" s="55" t="s">
        <v>7010</v>
      </c>
      <c r="D226" s="55">
        <v>1891752546</v>
      </c>
      <c r="E226" s="55" t="s">
        <v>67</v>
      </c>
      <c r="F226" s="55" t="s">
        <v>71</v>
      </c>
      <c r="G226" s="55" t="s">
        <v>6979</v>
      </c>
      <c r="H226" s="55" t="s">
        <v>2643</v>
      </c>
      <c r="I226" s="55" t="s">
        <v>74</v>
      </c>
      <c r="J226" s="56">
        <v>45487</v>
      </c>
      <c r="K226" s="56">
        <v>45488</v>
      </c>
      <c r="L226" s="55">
        <v>0</v>
      </c>
      <c r="M226" s="55" t="s">
        <v>3510</v>
      </c>
      <c r="N226" s="55" t="s">
        <v>3796</v>
      </c>
      <c r="O226" s="55" t="s">
        <v>2905</v>
      </c>
      <c r="P226" s="55" t="s">
        <v>6833</v>
      </c>
      <c r="Q226" s="55" t="s">
        <v>81</v>
      </c>
      <c r="R226" s="55" t="s">
        <v>81</v>
      </c>
      <c r="S226" s="55" t="s">
        <v>81</v>
      </c>
      <c r="T226" s="55" t="s">
        <v>925</v>
      </c>
      <c r="U226" s="4">
        <v>0</v>
      </c>
      <c r="V226" s="64" t="s">
        <v>7007</v>
      </c>
      <c r="W226" s="72">
        <v>45501</v>
      </c>
      <c r="X226" s="72">
        <v>45501</v>
      </c>
      <c r="Y226" s="4" t="s">
        <v>6838</v>
      </c>
      <c r="Z226" s="4" t="s">
        <v>6838</v>
      </c>
    </row>
    <row r="227" ht="25.05" customHeight="1" s="66" customFormat="1">
      <c r="A227" s="55">
        <v>171358</v>
      </c>
      <c r="B227" s="55" t="s">
        <v>7011</v>
      </c>
      <c r="C227" s="55" t="s">
        <v>5619</v>
      </c>
      <c r="D227" s="55">
        <v>1876353736</v>
      </c>
      <c r="E227" s="55" t="s">
        <v>67</v>
      </c>
      <c r="F227" s="55" t="s">
        <v>71</v>
      </c>
      <c r="G227" s="55" t="s">
        <v>6979</v>
      </c>
      <c r="H227" s="55" t="s">
        <v>2643</v>
      </c>
      <c r="I227" s="55" t="s">
        <v>74</v>
      </c>
      <c r="J227" s="56">
        <v>45491</v>
      </c>
      <c r="K227" s="56">
        <v>45499</v>
      </c>
      <c r="L227" s="55">
        <v>7</v>
      </c>
      <c r="M227" s="55" t="s">
        <v>3510</v>
      </c>
      <c r="N227" s="55" t="s">
        <v>3796</v>
      </c>
      <c r="O227" s="55" t="s">
        <v>2905</v>
      </c>
      <c r="P227" s="55" t="s">
        <v>6833</v>
      </c>
      <c r="Q227" s="55" t="s">
        <v>81</v>
      </c>
      <c r="R227" s="55" t="s">
        <v>81</v>
      </c>
      <c r="S227" s="55" t="s">
        <v>81</v>
      </c>
      <c r="T227" s="55" t="s">
        <v>925</v>
      </c>
      <c r="U227" s="4">
        <v>7</v>
      </c>
      <c r="V227" s="64" t="s">
        <v>7007</v>
      </c>
      <c r="W227" s="72">
        <v>45501</v>
      </c>
      <c r="X227" s="72">
        <v>45501</v>
      </c>
      <c r="Y227" s="4" t="s">
        <v>6834</v>
      </c>
      <c r="Z227" s="4"/>
    </row>
    <row r="228" ht="25.05" customHeight="1" s="66" customFormat="1">
      <c r="A228" s="55">
        <v>171470</v>
      </c>
      <c r="B228" s="55" t="s">
        <v>7012</v>
      </c>
      <c r="C228" s="55" t="s">
        <v>5627</v>
      </c>
      <c r="D228" s="55" t="s">
        <v>7013</v>
      </c>
      <c r="E228" s="55" t="s">
        <v>67</v>
      </c>
      <c r="F228" s="55" t="s">
        <v>71</v>
      </c>
      <c r="G228" s="55" t="s">
        <v>2495</v>
      </c>
      <c r="H228" s="55" t="s">
        <v>308</v>
      </c>
      <c r="I228" s="55" t="s">
        <v>74</v>
      </c>
      <c r="J228" s="56">
        <v>45472</v>
      </c>
      <c r="K228" s="56">
        <v>45479</v>
      </c>
      <c r="L228" s="55">
        <v>7</v>
      </c>
      <c r="M228" s="55" t="s">
        <v>3510</v>
      </c>
      <c r="N228" s="55" t="s">
        <v>3796</v>
      </c>
      <c r="O228" s="55" t="s">
        <v>2905</v>
      </c>
      <c r="P228" s="55" t="s">
        <v>6833</v>
      </c>
      <c r="Q228" s="55" t="s">
        <v>81</v>
      </c>
      <c r="R228" s="55" t="s">
        <v>81</v>
      </c>
      <c r="S228" s="55" t="s">
        <v>81</v>
      </c>
      <c r="T228" s="55" t="s">
        <v>925</v>
      </c>
      <c r="U228" s="4">
        <v>7</v>
      </c>
      <c r="V228" s="64" t="s">
        <v>7007</v>
      </c>
      <c r="W228" s="72">
        <v>45501</v>
      </c>
      <c r="X228" s="72">
        <v>45501</v>
      </c>
      <c r="Y228" s="4" t="s">
        <v>6834</v>
      </c>
      <c r="Z228" s="4"/>
    </row>
    <row r="229" ht="25.05" customHeight="1" s="66" customFormat="1">
      <c r="A229" s="55">
        <v>171643</v>
      </c>
      <c r="B229" s="55" t="s">
        <v>5636</v>
      </c>
      <c r="C229" s="55" t="s">
        <v>5637</v>
      </c>
      <c r="D229" s="55">
        <v>1842883782</v>
      </c>
      <c r="E229" s="55" t="s">
        <v>67</v>
      </c>
      <c r="F229" s="55" t="s">
        <v>71</v>
      </c>
      <c r="G229" s="55" t="s">
        <v>5709</v>
      </c>
      <c r="H229" s="55" t="s">
        <v>115</v>
      </c>
      <c r="I229" s="55" t="s">
        <v>74</v>
      </c>
      <c r="J229" s="56">
        <v>45498</v>
      </c>
      <c r="K229" s="56">
        <v>45505</v>
      </c>
      <c r="L229" s="55">
        <v>7</v>
      </c>
      <c r="M229" s="55" t="s">
        <v>3510</v>
      </c>
      <c r="N229" s="55" t="s">
        <v>4321</v>
      </c>
      <c r="O229" s="55" t="s">
        <v>2905</v>
      </c>
      <c r="P229" s="55" t="s">
        <v>6833</v>
      </c>
      <c r="Q229" s="55" t="s">
        <v>81</v>
      </c>
      <c r="R229" s="55" t="s">
        <v>81</v>
      </c>
      <c r="S229" s="55" t="s">
        <v>81</v>
      </c>
      <c r="T229" s="55" t="s">
        <v>925</v>
      </c>
      <c r="U229" s="4">
        <v>7</v>
      </c>
      <c r="V229" s="64" t="s">
        <v>7007</v>
      </c>
      <c r="W229" s="72">
        <v>45501</v>
      </c>
      <c r="X229" s="75">
        <v>45505</v>
      </c>
      <c r="Y229" s="4" t="s">
        <v>6834</v>
      </c>
      <c r="Z229" s="4"/>
    </row>
    <row r="230" ht="25.05" customHeight="1" s="66" customFormat="1">
      <c r="A230" s="55">
        <v>171665</v>
      </c>
      <c r="B230" s="55" t="s">
        <v>3012</v>
      </c>
      <c r="C230" s="55" t="s">
        <v>5708</v>
      </c>
      <c r="D230" s="55">
        <v>1715912414</v>
      </c>
      <c r="E230" s="55" t="s">
        <v>67</v>
      </c>
      <c r="F230" s="55" t="s">
        <v>71</v>
      </c>
      <c r="G230" s="55" t="s">
        <v>5709</v>
      </c>
      <c r="H230" s="55" t="s">
        <v>115</v>
      </c>
      <c r="I230" s="55" t="s">
        <v>74</v>
      </c>
      <c r="J230" s="56">
        <v>45498</v>
      </c>
      <c r="K230" s="56">
        <v>45499</v>
      </c>
      <c r="L230" s="55">
        <v>0</v>
      </c>
      <c r="M230" s="55" t="s">
        <v>3510</v>
      </c>
      <c r="N230" s="55" t="s">
        <v>3510</v>
      </c>
      <c r="O230" s="55" t="s">
        <v>2905</v>
      </c>
      <c r="P230" s="55" t="s">
        <v>6833</v>
      </c>
      <c r="Q230" s="55" t="s">
        <v>81</v>
      </c>
      <c r="R230" s="55" t="s">
        <v>81</v>
      </c>
      <c r="S230" s="55" t="s">
        <v>81</v>
      </c>
      <c r="T230" s="55" t="s">
        <v>925</v>
      </c>
      <c r="U230" s="4">
        <v>0</v>
      </c>
      <c r="V230" s="64" t="s">
        <v>7007</v>
      </c>
      <c r="W230" s="72">
        <v>45501</v>
      </c>
      <c r="X230" s="72">
        <v>45501</v>
      </c>
      <c r="Y230" s="4" t="s">
        <v>6838</v>
      </c>
      <c r="Z230" s="4" t="s">
        <v>6838</v>
      </c>
    </row>
    <row r="231" ht="25.05" customHeight="1" s="66" customFormat="1">
      <c r="A231" s="55">
        <v>171140</v>
      </c>
      <c r="B231" s="55" t="s">
        <v>5648</v>
      </c>
      <c r="C231" s="55" t="s">
        <v>5649</v>
      </c>
      <c r="D231" s="55">
        <v>1781792576</v>
      </c>
      <c r="E231" s="55" t="s">
        <v>67</v>
      </c>
      <c r="F231" s="55" t="s">
        <v>71</v>
      </c>
      <c r="G231" s="55" t="s">
        <v>155</v>
      </c>
      <c r="H231" s="55" t="s">
        <v>196</v>
      </c>
      <c r="I231" s="55" t="s">
        <v>74</v>
      </c>
      <c r="J231" s="56">
        <v>45497</v>
      </c>
      <c r="K231" s="56">
        <v>45505</v>
      </c>
      <c r="L231" s="55">
        <v>7</v>
      </c>
      <c r="M231" s="55" t="s">
        <v>3510</v>
      </c>
      <c r="N231" s="55" t="s">
        <v>3796</v>
      </c>
      <c r="O231" s="55" t="s">
        <v>2905</v>
      </c>
      <c r="P231" s="55" t="s">
        <v>6833</v>
      </c>
      <c r="Q231" s="55" t="s">
        <v>81</v>
      </c>
      <c r="R231" s="55" t="s">
        <v>81</v>
      </c>
      <c r="S231" s="55" t="s">
        <v>81</v>
      </c>
      <c r="T231" s="55" t="s">
        <v>925</v>
      </c>
      <c r="U231" s="4">
        <v>7</v>
      </c>
      <c r="V231" s="64" t="s">
        <v>7007</v>
      </c>
      <c r="W231" s="72">
        <v>45501</v>
      </c>
      <c r="X231" s="75">
        <v>45505</v>
      </c>
      <c r="Y231" s="4" t="s">
        <v>6834</v>
      </c>
      <c r="Z231" s="4"/>
    </row>
    <row r="232" ht="25.05" customHeight="1" s="66" customFormat="1">
      <c r="A232" s="55">
        <v>171344</v>
      </c>
      <c r="B232" s="55" t="s">
        <v>5658</v>
      </c>
      <c r="C232" s="55" t="s">
        <v>5659</v>
      </c>
      <c r="D232" s="55">
        <v>1838500008</v>
      </c>
      <c r="E232" s="55" t="s">
        <v>67</v>
      </c>
      <c r="F232" s="55" t="s">
        <v>71</v>
      </c>
      <c r="G232" s="55" t="s">
        <v>97</v>
      </c>
      <c r="H232" s="55" t="s">
        <v>2643</v>
      </c>
      <c r="I232" s="55" t="s">
        <v>74</v>
      </c>
      <c r="J232" s="56">
        <v>45493</v>
      </c>
      <c r="K232" s="56">
        <v>45500</v>
      </c>
      <c r="L232" s="55">
        <v>7</v>
      </c>
      <c r="M232" s="55" t="s">
        <v>3510</v>
      </c>
      <c r="N232" s="55" t="s">
        <v>4957</v>
      </c>
      <c r="O232" s="55" t="s">
        <v>2905</v>
      </c>
      <c r="P232" s="55" t="s">
        <v>6833</v>
      </c>
      <c r="Q232" s="55" t="s">
        <v>81</v>
      </c>
      <c r="R232" s="55" t="s">
        <v>81</v>
      </c>
      <c r="S232" s="55" t="s">
        <v>81</v>
      </c>
      <c r="T232" s="55" t="s">
        <v>925</v>
      </c>
      <c r="U232" s="4">
        <v>7</v>
      </c>
      <c r="V232" s="64" t="s">
        <v>7007</v>
      </c>
      <c r="W232" s="72">
        <v>45502</v>
      </c>
      <c r="X232" s="72">
        <v>45502</v>
      </c>
      <c r="Y232" s="4" t="s">
        <v>6834</v>
      </c>
      <c r="Z232" s="4"/>
    </row>
    <row r="233" ht="25.05" customHeight="1" s="66" customFormat="1">
      <c r="A233" s="55">
        <v>171590</v>
      </c>
      <c r="B233" s="55" t="s">
        <v>5682</v>
      </c>
      <c r="C233" s="55" t="s">
        <v>5683</v>
      </c>
      <c r="D233" s="55">
        <v>1744711781</v>
      </c>
      <c r="E233" s="55" t="s">
        <v>67</v>
      </c>
      <c r="F233" s="55" t="s">
        <v>71</v>
      </c>
      <c r="G233" s="55" t="s">
        <v>155</v>
      </c>
      <c r="H233" s="55" t="s">
        <v>196</v>
      </c>
      <c r="I233" s="55" t="s">
        <v>74</v>
      </c>
      <c r="J233" s="56">
        <v>45501</v>
      </c>
      <c r="K233" s="56">
        <v>45502</v>
      </c>
      <c r="L233" s="55">
        <v>0</v>
      </c>
      <c r="M233" s="55" t="s">
        <v>3510</v>
      </c>
      <c r="N233" s="55" t="s">
        <v>4035</v>
      </c>
      <c r="O233" s="55" t="s">
        <v>2905</v>
      </c>
      <c r="P233" s="55" t="s">
        <v>6833</v>
      </c>
      <c r="Q233" s="55" t="s">
        <v>81</v>
      </c>
      <c r="R233" s="55" t="s">
        <v>81</v>
      </c>
      <c r="S233" s="55" t="s">
        <v>81</v>
      </c>
      <c r="T233" s="55" t="s">
        <v>925</v>
      </c>
      <c r="U233" s="4">
        <v>0</v>
      </c>
      <c r="V233" s="64" t="s">
        <v>7007</v>
      </c>
      <c r="W233" s="72">
        <v>45502</v>
      </c>
      <c r="X233" s="72">
        <v>45502</v>
      </c>
      <c r="Y233" s="4" t="s">
        <v>6838</v>
      </c>
      <c r="Z233" s="4" t="s">
        <v>6838</v>
      </c>
    </row>
    <row r="234" ht="25.05" customHeight="1" s="66" customFormat="1">
      <c r="A234" s="55">
        <v>171738</v>
      </c>
      <c r="B234" s="55" t="s">
        <v>5696</v>
      </c>
      <c r="C234" s="55" t="s">
        <v>7014</v>
      </c>
      <c r="D234" s="55">
        <v>1627826426</v>
      </c>
      <c r="E234" s="55" t="s">
        <v>67</v>
      </c>
      <c r="F234" s="55" t="s">
        <v>71</v>
      </c>
      <c r="G234" s="55" t="s">
        <v>2162</v>
      </c>
      <c r="H234" s="55" t="s">
        <v>2643</v>
      </c>
      <c r="I234" s="55" t="s">
        <v>74</v>
      </c>
      <c r="J234" s="56">
        <v>45501</v>
      </c>
      <c r="K234" s="56">
        <v>45501</v>
      </c>
      <c r="L234" s="4">
        <v>0</v>
      </c>
      <c r="M234" s="55" t="s">
        <v>3510</v>
      </c>
      <c r="N234" s="55" t="s">
        <v>4321</v>
      </c>
      <c r="O234" s="55" t="s">
        <v>2905</v>
      </c>
      <c r="P234" s="55" t="s">
        <v>6833</v>
      </c>
      <c r="Q234" s="55" t="s">
        <v>81</v>
      </c>
      <c r="R234" s="55" t="s">
        <v>81</v>
      </c>
      <c r="S234" s="55" t="s">
        <v>81</v>
      </c>
      <c r="T234" s="55" t="s">
        <v>925</v>
      </c>
      <c r="U234" s="4">
        <v>0</v>
      </c>
      <c r="V234" s="64" t="s">
        <v>7007</v>
      </c>
      <c r="W234" s="72">
        <v>45501</v>
      </c>
      <c r="X234" s="75">
        <v>45505</v>
      </c>
      <c r="Y234" s="4" t="s">
        <v>6838</v>
      </c>
      <c r="Z234" s="4" t="s">
        <v>6838</v>
      </c>
    </row>
    <row r="235" ht="25.05" customHeight="1" s="66" customFormat="1">
      <c r="A235" s="55">
        <v>171665</v>
      </c>
      <c r="B235" s="55" t="s">
        <v>3012</v>
      </c>
      <c r="C235" s="55" t="s">
        <v>5708</v>
      </c>
      <c r="D235" s="55">
        <v>1715912414</v>
      </c>
      <c r="E235" s="55" t="s">
        <v>67</v>
      </c>
      <c r="F235" s="55" t="s">
        <v>71</v>
      </c>
      <c r="G235" s="55" t="s">
        <v>5709</v>
      </c>
      <c r="H235" s="55" t="s">
        <v>115</v>
      </c>
      <c r="I235" s="55" t="s">
        <v>74</v>
      </c>
      <c r="J235" s="56">
        <v>45498</v>
      </c>
      <c r="K235" s="56">
        <v>45499</v>
      </c>
      <c r="L235" s="4">
        <v>0</v>
      </c>
      <c r="M235" s="55" t="s">
        <v>3510</v>
      </c>
      <c r="N235" s="4" t="s">
        <v>4339</v>
      </c>
      <c r="O235" s="55" t="s">
        <v>2905</v>
      </c>
      <c r="P235" s="55" t="s">
        <v>6833</v>
      </c>
      <c r="Q235" s="55" t="s">
        <v>81</v>
      </c>
      <c r="R235" s="55" t="s">
        <v>81</v>
      </c>
      <c r="S235" s="55" t="s">
        <v>81</v>
      </c>
      <c r="T235" s="55" t="s">
        <v>925</v>
      </c>
      <c r="U235" s="4">
        <v>0</v>
      </c>
      <c r="V235" s="64" t="s">
        <v>7007</v>
      </c>
      <c r="W235" s="72">
        <v>45504</v>
      </c>
      <c r="X235" s="75">
        <v>45505</v>
      </c>
      <c r="Y235" s="4" t="s">
        <v>6838</v>
      </c>
      <c r="Z235" s="4" t="s">
        <v>6838</v>
      </c>
    </row>
    <row r="236" ht="14.4" s="66" customFormat="1">
      <c r="A236" s="55">
        <v>171677</v>
      </c>
      <c r="B236" s="55" t="s">
        <v>2409</v>
      </c>
      <c r="C236" s="55" t="s">
        <v>5712</v>
      </c>
      <c r="D236" s="55">
        <v>1740747041</v>
      </c>
      <c r="E236" s="55" t="s">
        <v>67</v>
      </c>
      <c r="F236" s="55" t="s">
        <v>71</v>
      </c>
      <c r="G236" s="55" t="s">
        <v>5709</v>
      </c>
      <c r="H236" s="55" t="s">
        <v>115</v>
      </c>
      <c r="I236" s="55" t="s">
        <v>74</v>
      </c>
      <c r="J236" s="56">
        <v>45486</v>
      </c>
      <c r="K236" s="56">
        <v>45494</v>
      </c>
      <c r="L236" s="55" t="s">
        <v>6852</v>
      </c>
      <c r="M236" s="55" t="s">
        <v>3510</v>
      </c>
      <c r="N236" s="55" t="s">
        <v>4321</v>
      </c>
      <c r="O236" s="55" t="s">
        <v>2905</v>
      </c>
      <c r="P236" s="55" t="s">
        <v>6833</v>
      </c>
      <c r="Q236" s="55" t="s">
        <v>81</v>
      </c>
      <c r="R236" s="55" t="s">
        <v>81</v>
      </c>
      <c r="S236" s="55" t="s">
        <v>81</v>
      </c>
      <c r="T236" s="55" t="s">
        <v>925</v>
      </c>
      <c r="U236" s="4" t="s">
        <v>6852</v>
      </c>
      <c r="V236" s="64" t="s">
        <v>7007</v>
      </c>
      <c r="W236" s="72">
        <v>45494</v>
      </c>
      <c r="X236" s="75">
        <v>45505</v>
      </c>
      <c r="Y236" s="4" t="s">
        <v>6834</v>
      </c>
      <c r="Z236" s="4"/>
    </row>
    <row r="237" ht="14.4" s="66" customFormat="1">
      <c r="A237" s="4">
        <v>171656</v>
      </c>
      <c r="B237" s="4" t="s">
        <v>5716</v>
      </c>
      <c r="C237" s="4" t="s">
        <v>5717</v>
      </c>
      <c r="D237" s="4">
        <v>1681470799</v>
      </c>
      <c r="E237" s="4" t="s">
        <v>67</v>
      </c>
      <c r="F237" s="4" t="s">
        <v>71</v>
      </c>
      <c r="G237" s="4" t="s">
        <v>155</v>
      </c>
      <c r="H237" s="4" t="s">
        <v>196</v>
      </c>
      <c r="I237" s="4" t="s">
        <v>74</v>
      </c>
      <c r="J237" s="69">
        <v>45498</v>
      </c>
      <c r="K237" s="56">
        <v>45505</v>
      </c>
      <c r="L237" s="4" t="s">
        <v>6852</v>
      </c>
      <c r="M237" s="55" t="s">
        <v>3510</v>
      </c>
      <c r="N237" s="55" t="s">
        <v>4035</v>
      </c>
      <c r="O237" s="55" t="s">
        <v>2905</v>
      </c>
      <c r="P237" s="55" t="s">
        <v>6833</v>
      </c>
      <c r="Q237" s="55" t="s">
        <v>81</v>
      </c>
      <c r="R237" s="55" t="s">
        <v>81</v>
      </c>
      <c r="S237" s="55" t="s">
        <v>81</v>
      </c>
      <c r="T237" s="55" t="s">
        <v>925</v>
      </c>
      <c r="U237" s="4" t="s">
        <v>6852</v>
      </c>
      <c r="V237" s="64" t="s">
        <v>7007</v>
      </c>
      <c r="W237" s="56">
        <v>45505</v>
      </c>
      <c r="X237" s="56">
        <v>45505</v>
      </c>
      <c r="Y237" s="4" t="s">
        <v>6834</v>
      </c>
      <c r="Z237" s="4"/>
    </row>
    <row r="238" ht="14.4" s="66" customFormat="1">
      <c r="A238" s="4">
        <v>171537</v>
      </c>
      <c r="B238" s="4" t="s">
        <v>5725</v>
      </c>
      <c r="C238" s="4" t="s">
        <v>5726</v>
      </c>
      <c r="D238" s="4">
        <v>1533388401</v>
      </c>
      <c r="E238" s="4" t="s">
        <v>67</v>
      </c>
      <c r="F238" s="4" t="s">
        <v>71</v>
      </c>
      <c r="G238" s="4" t="s">
        <v>155</v>
      </c>
      <c r="H238" s="4" t="s">
        <v>196</v>
      </c>
      <c r="I238" s="4" t="s">
        <v>74</v>
      </c>
      <c r="J238" s="69">
        <v>45477</v>
      </c>
      <c r="K238" s="56">
        <v>45478</v>
      </c>
      <c r="L238" s="4">
        <v>0</v>
      </c>
      <c r="M238" s="55" t="s">
        <v>3510</v>
      </c>
      <c r="N238" s="55" t="s">
        <v>4035</v>
      </c>
      <c r="O238" s="55" t="s">
        <v>2905</v>
      </c>
      <c r="P238" s="55" t="s">
        <v>6833</v>
      </c>
      <c r="Q238" s="55" t="s">
        <v>81</v>
      </c>
      <c r="R238" s="55" t="s">
        <v>81</v>
      </c>
      <c r="S238" s="55" t="s">
        <v>81</v>
      </c>
      <c r="T238" s="55" t="s">
        <v>925</v>
      </c>
      <c r="U238" s="4">
        <v>0</v>
      </c>
      <c r="V238" s="64" t="s">
        <v>7007</v>
      </c>
      <c r="W238" s="56">
        <v>45505</v>
      </c>
      <c r="X238" s="56">
        <v>45505</v>
      </c>
      <c r="Y238" s="4" t="s">
        <v>6838</v>
      </c>
      <c r="Z238" s="4" t="s">
        <v>6838</v>
      </c>
    </row>
    <row r="239" ht="14.4" s="66" customFormat="1">
      <c r="A239" s="55">
        <v>171504</v>
      </c>
      <c r="B239" s="55" t="s">
        <v>5742</v>
      </c>
      <c r="C239" s="55" t="s">
        <v>7015</v>
      </c>
      <c r="D239" s="55">
        <v>1964430034</v>
      </c>
      <c r="E239" s="55" t="s">
        <v>67</v>
      </c>
      <c r="F239" s="55" t="s">
        <v>71</v>
      </c>
      <c r="G239" s="55" t="s">
        <v>6979</v>
      </c>
      <c r="H239" s="55" t="s">
        <v>2643</v>
      </c>
      <c r="I239" s="55" t="s">
        <v>74</v>
      </c>
      <c r="J239" s="56">
        <v>45484</v>
      </c>
      <c r="K239" s="56">
        <v>45491</v>
      </c>
      <c r="L239" s="55" t="s">
        <v>6994</v>
      </c>
      <c r="M239" s="55" t="s">
        <v>3510</v>
      </c>
      <c r="N239" s="55" t="s">
        <v>3796</v>
      </c>
      <c r="O239" s="55" t="s">
        <v>2905</v>
      </c>
      <c r="P239" s="55" t="s">
        <v>6833</v>
      </c>
      <c r="Q239" s="55" t="s">
        <v>81</v>
      </c>
      <c r="R239" s="55" t="s">
        <v>81</v>
      </c>
      <c r="S239" s="55" t="s">
        <v>81</v>
      </c>
      <c r="T239" s="55" t="s">
        <v>925</v>
      </c>
      <c r="U239" s="4" t="s">
        <v>6994</v>
      </c>
      <c r="V239" s="64" t="s">
        <v>7007</v>
      </c>
      <c r="W239" s="56">
        <v>45505</v>
      </c>
      <c r="X239" s="56">
        <v>45505</v>
      </c>
      <c r="Y239" s="4" t="s">
        <v>6834</v>
      </c>
      <c r="Z239" s="4"/>
    </row>
    <row r="240" ht="14.4" s="66" customFormat="1">
      <c r="A240" s="55">
        <v>171439</v>
      </c>
      <c r="B240" s="55" t="s">
        <v>5754</v>
      </c>
      <c r="C240" s="55" t="s">
        <v>5755</v>
      </c>
      <c r="D240" s="55">
        <v>1625099135</v>
      </c>
      <c r="E240" s="55" t="s">
        <v>67</v>
      </c>
      <c r="F240" s="55" t="s">
        <v>71</v>
      </c>
      <c r="G240" s="55" t="s">
        <v>6979</v>
      </c>
      <c r="H240" s="55" t="s">
        <v>2643</v>
      </c>
      <c r="I240" s="55" t="s">
        <v>74</v>
      </c>
      <c r="J240" s="56">
        <v>45482</v>
      </c>
      <c r="K240" s="56">
        <v>45483</v>
      </c>
      <c r="L240" s="55">
        <v>0</v>
      </c>
      <c r="M240" s="55" t="s">
        <v>3510</v>
      </c>
      <c r="N240" s="55" t="s">
        <v>3796</v>
      </c>
      <c r="O240" s="55" t="s">
        <v>2905</v>
      </c>
      <c r="P240" s="55" t="s">
        <v>6833</v>
      </c>
      <c r="Q240" s="55" t="s">
        <v>81</v>
      </c>
      <c r="R240" s="55" t="s">
        <v>81</v>
      </c>
      <c r="S240" s="55" t="s">
        <v>81</v>
      </c>
      <c r="T240" s="55" t="s">
        <v>925</v>
      </c>
      <c r="U240" s="4">
        <v>0</v>
      </c>
      <c r="V240" s="64" t="s">
        <v>7007</v>
      </c>
      <c r="W240" s="56">
        <v>45505</v>
      </c>
      <c r="X240" s="56">
        <v>45511</v>
      </c>
      <c r="Y240" s="4" t="s">
        <v>6838</v>
      </c>
      <c r="Z240" s="4" t="s">
        <v>6838</v>
      </c>
    </row>
    <row r="241" ht="14.4" s="66" customFormat="1">
      <c r="A241" s="55">
        <v>171259</v>
      </c>
      <c r="B241" s="55" t="s">
        <v>5763</v>
      </c>
      <c r="C241" s="55" t="s">
        <v>5764</v>
      </c>
      <c r="D241" s="55" t="s">
        <v>7016</v>
      </c>
      <c r="E241" s="55" t="s">
        <v>67</v>
      </c>
      <c r="F241" s="55" t="s">
        <v>71</v>
      </c>
      <c r="G241" s="55"/>
      <c r="H241" s="55" t="s">
        <v>308</v>
      </c>
      <c r="I241" s="55" t="s">
        <v>74</v>
      </c>
      <c r="J241" s="56">
        <v>45498</v>
      </c>
      <c r="K241" s="56">
        <v>45499</v>
      </c>
      <c r="L241" s="55" t="s">
        <v>6854</v>
      </c>
      <c r="M241" s="55" t="s">
        <v>3510</v>
      </c>
      <c r="N241" s="55" t="s">
        <v>3796</v>
      </c>
      <c r="O241" s="55" t="s">
        <v>2905</v>
      </c>
      <c r="P241" s="55" t="s">
        <v>6833</v>
      </c>
      <c r="Q241" s="55" t="s">
        <v>81</v>
      </c>
      <c r="R241" s="55" t="s">
        <v>81</v>
      </c>
      <c r="S241" s="55" t="s">
        <v>81</v>
      </c>
      <c r="T241" s="55" t="s">
        <v>925</v>
      </c>
      <c r="U241" s="4" t="s">
        <v>6854</v>
      </c>
      <c r="V241" s="64" t="s">
        <v>7007</v>
      </c>
      <c r="W241" s="56">
        <v>45505</v>
      </c>
      <c r="X241" s="56">
        <v>45505</v>
      </c>
      <c r="Y241" s="4" t="s">
        <v>6838</v>
      </c>
      <c r="Z241" s="4" t="s">
        <v>6838</v>
      </c>
    </row>
    <row r="242" ht="14.4" s="66" customFormat="1">
      <c r="A242" s="55">
        <v>171248</v>
      </c>
      <c r="B242" s="55" t="s">
        <v>2606</v>
      </c>
      <c r="C242" s="55" t="s">
        <v>5769</v>
      </c>
      <c r="D242" s="55">
        <v>1616971020</v>
      </c>
      <c r="E242" s="55" t="s">
        <v>67</v>
      </c>
      <c r="F242" s="55" t="s">
        <v>71</v>
      </c>
      <c r="G242" s="55" t="s">
        <v>6979</v>
      </c>
      <c r="H242" s="55" t="s">
        <v>2643</v>
      </c>
      <c r="I242" s="55" t="s">
        <v>74</v>
      </c>
      <c r="J242" s="56">
        <v>45485</v>
      </c>
      <c r="K242" s="56">
        <v>45487</v>
      </c>
      <c r="L242" s="55" t="s">
        <v>7017</v>
      </c>
      <c r="M242" s="55" t="s">
        <v>3510</v>
      </c>
      <c r="N242" s="55" t="s">
        <v>3796</v>
      </c>
      <c r="O242" s="55" t="s">
        <v>2905</v>
      </c>
      <c r="P242" s="55" t="s">
        <v>6833</v>
      </c>
      <c r="Q242" s="55" t="s">
        <v>81</v>
      </c>
      <c r="R242" s="55" t="s">
        <v>81</v>
      </c>
      <c r="S242" s="55" t="s">
        <v>81</v>
      </c>
      <c r="T242" s="55" t="s">
        <v>925</v>
      </c>
      <c r="U242" s="4" t="s">
        <v>7017</v>
      </c>
      <c r="V242" s="64" t="s">
        <v>7007</v>
      </c>
      <c r="W242" s="56">
        <v>45505</v>
      </c>
      <c r="X242" s="56">
        <v>45505</v>
      </c>
      <c r="Y242" s="4" t="s">
        <v>6870</v>
      </c>
      <c r="Z242" s="4" t="s">
        <v>6870</v>
      </c>
    </row>
    <row r="243" ht="14.4" s="66" customFormat="1">
      <c r="A243" s="55">
        <v>171250</v>
      </c>
      <c r="B243" s="55" t="s">
        <v>2066</v>
      </c>
      <c r="C243" s="55" t="s">
        <v>5778</v>
      </c>
      <c r="D243" s="55">
        <v>1301304185</v>
      </c>
      <c r="E243" s="55" t="s">
        <v>67</v>
      </c>
      <c r="F243" s="55" t="s">
        <v>71</v>
      </c>
      <c r="G243" s="55" t="s">
        <v>6979</v>
      </c>
      <c r="H243" s="55" t="s">
        <v>2643</v>
      </c>
      <c r="I243" s="55" t="s">
        <v>74</v>
      </c>
      <c r="J243" s="56">
        <v>45482</v>
      </c>
      <c r="K243" s="56">
        <v>45489</v>
      </c>
      <c r="L243" s="55" t="s">
        <v>6994</v>
      </c>
      <c r="M243" s="55" t="s">
        <v>3510</v>
      </c>
      <c r="N243" s="55" t="s">
        <v>3796</v>
      </c>
      <c r="O243" s="55" t="s">
        <v>2905</v>
      </c>
      <c r="P243" s="55" t="s">
        <v>6833</v>
      </c>
      <c r="Q243" s="55" t="s">
        <v>81</v>
      </c>
      <c r="R243" s="55" t="s">
        <v>81</v>
      </c>
      <c r="S243" s="55" t="s">
        <v>81</v>
      </c>
      <c r="T243" s="55" t="s">
        <v>925</v>
      </c>
      <c r="U243" s="4" t="s">
        <v>6994</v>
      </c>
      <c r="V243" s="64" t="s">
        <v>7007</v>
      </c>
      <c r="W243" s="56">
        <v>45505</v>
      </c>
      <c r="X243" s="56">
        <v>45511</v>
      </c>
      <c r="Y243" s="4" t="s">
        <v>6834</v>
      </c>
      <c r="Z243" s="4"/>
    </row>
    <row r="244" ht="14.4" s="66" customFormat="1">
      <c r="A244" s="55">
        <v>171177</v>
      </c>
      <c r="B244" s="55" t="s">
        <v>5514</v>
      </c>
      <c r="C244" s="55" t="s">
        <v>7018</v>
      </c>
      <c r="D244" s="55">
        <v>1705017815</v>
      </c>
      <c r="E244" s="55" t="s">
        <v>67</v>
      </c>
      <c r="F244" s="55" t="s">
        <v>71</v>
      </c>
      <c r="G244" s="55" t="s">
        <v>6979</v>
      </c>
      <c r="H244" s="55" t="s">
        <v>2643</v>
      </c>
      <c r="I244" s="55" t="s">
        <v>74</v>
      </c>
      <c r="J244" s="56">
        <v>45484</v>
      </c>
      <c r="K244" s="56">
        <v>45491</v>
      </c>
      <c r="L244" s="55" t="s">
        <v>6994</v>
      </c>
      <c r="M244" s="55" t="s">
        <v>3510</v>
      </c>
      <c r="N244" s="55" t="s">
        <v>3796</v>
      </c>
      <c r="O244" s="55" t="s">
        <v>2905</v>
      </c>
      <c r="P244" s="55" t="s">
        <v>6833</v>
      </c>
      <c r="Q244" s="55" t="s">
        <v>81</v>
      </c>
      <c r="R244" s="55" t="s">
        <v>81</v>
      </c>
      <c r="S244" s="55" t="s">
        <v>81</v>
      </c>
      <c r="T244" s="55" t="s">
        <v>925</v>
      </c>
      <c r="U244" s="4" t="s">
        <v>6994</v>
      </c>
      <c r="V244" s="64" t="s">
        <v>7007</v>
      </c>
      <c r="W244" s="69">
        <v>45505</v>
      </c>
      <c r="X244" s="56">
        <v>45505</v>
      </c>
      <c r="Y244" s="4" t="s">
        <v>6834</v>
      </c>
      <c r="Z244" s="4"/>
    </row>
    <row r="245" ht="14.4" s="66" customFormat="1">
      <c r="A245" s="55">
        <v>171294</v>
      </c>
      <c r="B245" s="55" t="s">
        <v>2808</v>
      </c>
      <c r="C245" s="55" t="s">
        <v>7019</v>
      </c>
      <c r="D245" s="55">
        <v>1754002876</v>
      </c>
      <c r="E245" s="55" t="s">
        <v>67</v>
      </c>
      <c r="F245" s="55" t="s">
        <v>71</v>
      </c>
      <c r="G245" s="55" t="s">
        <v>2162</v>
      </c>
      <c r="H245" s="55" t="s">
        <v>2643</v>
      </c>
      <c r="I245" s="55" t="s">
        <v>74</v>
      </c>
      <c r="J245" s="56">
        <v>45503</v>
      </c>
      <c r="K245" s="56">
        <v>45505</v>
      </c>
      <c r="L245" s="55" t="s">
        <v>7020</v>
      </c>
      <c r="M245" s="55" t="s">
        <v>3510</v>
      </c>
      <c r="N245" s="4" t="s">
        <v>7021</v>
      </c>
      <c r="O245" s="55" t="s">
        <v>2905</v>
      </c>
      <c r="P245" s="55" t="s">
        <v>6833</v>
      </c>
      <c r="Q245" s="55" t="s">
        <v>81</v>
      </c>
      <c r="R245" s="55" t="s">
        <v>81</v>
      </c>
      <c r="S245" s="55" t="s">
        <v>81</v>
      </c>
      <c r="T245" s="55" t="s">
        <v>925</v>
      </c>
      <c r="U245" s="4" t="s">
        <v>7020</v>
      </c>
      <c r="V245" s="64" t="s">
        <v>7007</v>
      </c>
      <c r="W245" s="69">
        <v>45505</v>
      </c>
      <c r="X245" s="56">
        <v>45505</v>
      </c>
      <c r="Y245" s="4" t="s">
        <v>7022</v>
      </c>
      <c r="Z245" s="4" t="s">
        <v>7022</v>
      </c>
    </row>
    <row r="246" ht="14.4" s="66" customFormat="1">
      <c r="A246" s="55" t="s">
        <v>7023</v>
      </c>
      <c r="B246" s="55" t="s">
        <v>7024</v>
      </c>
      <c r="C246" s="55" t="s">
        <v>7025</v>
      </c>
      <c r="D246" s="55">
        <v>1631845830</v>
      </c>
      <c r="E246" s="55" t="s">
        <v>67</v>
      </c>
      <c r="F246" s="55" t="s">
        <v>71</v>
      </c>
      <c r="G246" s="55" t="s">
        <v>5709</v>
      </c>
      <c r="H246" s="55" t="s">
        <v>115</v>
      </c>
      <c r="I246" s="55" t="s">
        <v>74</v>
      </c>
      <c r="J246" s="56">
        <v>45501</v>
      </c>
      <c r="K246" s="56">
        <v>45505</v>
      </c>
      <c r="L246" s="55" t="s">
        <v>6885</v>
      </c>
      <c r="M246" s="55" t="s">
        <v>3510</v>
      </c>
      <c r="N246" s="55" t="s">
        <v>4035</v>
      </c>
      <c r="O246" s="55" t="s">
        <v>2905</v>
      </c>
      <c r="P246" s="55" t="s">
        <v>6833</v>
      </c>
      <c r="Q246" s="55" t="s">
        <v>81</v>
      </c>
      <c r="R246" s="55" t="s">
        <v>81</v>
      </c>
      <c r="S246" s="55" t="s">
        <v>81</v>
      </c>
      <c r="T246" s="55" t="s">
        <v>925</v>
      </c>
      <c r="U246" s="4" t="s">
        <v>6885</v>
      </c>
      <c r="V246" s="64" t="s">
        <v>7007</v>
      </c>
      <c r="W246" s="69">
        <v>45506</v>
      </c>
      <c r="X246" s="56">
        <v>45511</v>
      </c>
      <c r="Y246" s="4" t="s">
        <v>6993</v>
      </c>
      <c r="Z246" s="4" t="s">
        <v>6993</v>
      </c>
    </row>
    <row r="247" ht="14.4" s="66" customFormat="1">
      <c r="A247" s="55">
        <v>171524</v>
      </c>
      <c r="B247" s="55" t="s">
        <v>5848</v>
      </c>
      <c r="C247" s="55" t="s">
        <v>3839</v>
      </c>
      <c r="D247" s="55">
        <v>1303925636</v>
      </c>
      <c r="E247" s="55" t="s">
        <v>67</v>
      </c>
      <c r="F247" s="55" t="s">
        <v>71</v>
      </c>
      <c r="G247" s="55" t="s">
        <v>155</v>
      </c>
      <c r="H247" s="55" t="s">
        <v>196</v>
      </c>
      <c r="I247" s="55" t="s">
        <v>74</v>
      </c>
      <c r="J247" s="56">
        <v>45507</v>
      </c>
      <c r="K247" s="56">
        <v>45520</v>
      </c>
      <c r="L247" s="55" t="s">
        <v>7026</v>
      </c>
      <c r="M247" s="55" t="s">
        <v>3510</v>
      </c>
      <c r="N247" s="55" t="s">
        <v>3796</v>
      </c>
      <c r="O247" s="55" t="s">
        <v>2905</v>
      </c>
      <c r="P247" s="55" t="s">
        <v>6833</v>
      </c>
      <c r="Q247" s="55" t="s">
        <v>81</v>
      </c>
      <c r="R247" s="55" t="s">
        <v>81</v>
      </c>
      <c r="S247" s="55" t="s">
        <v>81</v>
      </c>
      <c r="T247" s="55" t="s">
        <v>925</v>
      </c>
      <c r="U247" s="4" t="s">
        <v>7026</v>
      </c>
      <c r="V247" s="64"/>
      <c r="W247" s="56">
        <v>45511</v>
      </c>
      <c r="X247" s="56">
        <v>45522</v>
      </c>
      <c r="Y247" s="4" t="s">
        <v>6834</v>
      </c>
      <c r="Z247" s="4"/>
    </row>
    <row r="248" ht="14.4" s="66" customFormat="1">
      <c r="A248" s="55">
        <v>171290</v>
      </c>
      <c r="B248" s="55" t="s">
        <v>7027</v>
      </c>
      <c r="C248" s="55" t="s">
        <v>5856</v>
      </c>
      <c r="D248" s="55">
        <v>1799233073</v>
      </c>
      <c r="E248" s="55" t="s">
        <v>67</v>
      </c>
      <c r="F248" s="55" t="s">
        <v>71</v>
      </c>
      <c r="G248" s="55" t="s">
        <v>2162</v>
      </c>
      <c r="H248" s="55" t="s">
        <v>2643</v>
      </c>
      <c r="I248" s="55" t="s">
        <v>74</v>
      </c>
      <c r="J248" s="56">
        <v>45503</v>
      </c>
      <c r="K248" s="56">
        <v>45508</v>
      </c>
      <c r="L248" s="55" t="s">
        <v>6885</v>
      </c>
      <c r="M248" s="55" t="s">
        <v>3510</v>
      </c>
      <c r="N248" s="55" t="s">
        <v>3796</v>
      </c>
      <c r="O248" s="55" t="s">
        <v>2905</v>
      </c>
      <c r="P248" s="55" t="s">
        <v>6833</v>
      </c>
      <c r="Q248" s="55" t="s">
        <v>81</v>
      </c>
      <c r="R248" s="55" t="s">
        <v>81</v>
      </c>
      <c r="S248" s="55" t="s">
        <v>81</v>
      </c>
      <c r="T248" s="55" t="s">
        <v>925</v>
      </c>
      <c r="U248" s="4" t="s">
        <v>6885</v>
      </c>
      <c r="V248" s="64" t="s">
        <v>7007</v>
      </c>
      <c r="W248" s="56">
        <v>45511</v>
      </c>
      <c r="X248" s="56">
        <v>45511</v>
      </c>
      <c r="Y248" s="4" t="s">
        <v>6993</v>
      </c>
      <c r="Z248" s="4" t="s">
        <v>6993</v>
      </c>
    </row>
    <row r="249" ht="14.4" s="66" customFormat="1">
      <c r="A249" s="55">
        <v>171637</v>
      </c>
      <c r="B249" s="55" t="s">
        <v>2632</v>
      </c>
      <c r="C249" s="55" t="s">
        <v>5864</v>
      </c>
      <c r="D249" s="55">
        <v>1611144861</v>
      </c>
      <c r="E249" s="55" t="s">
        <v>67</v>
      </c>
      <c r="F249" s="55" t="s">
        <v>71</v>
      </c>
      <c r="G249" s="55" t="s">
        <v>5709</v>
      </c>
      <c r="H249" s="55" t="s">
        <v>115</v>
      </c>
      <c r="I249" s="55" t="s">
        <v>74</v>
      </c>
      <c r="J249" s="56">
        <v>45505</v>
      </c>
      <c r="K249" s="56">
        <v>45512</v>
      </c>
      <c r="L249" s="55">
        <v>7</v>
      </c>
      <c r="M249" s="55" t="s">
        <v>3510</v>
      </c>
      <c r="N249" s="55" t="s">
        <v>5012</v>
      </c>
      <c r="O249" s="55" t="s">
        <v>2905</v>
      </c>
      <c r="P249" s="55" t="s">
        <v>6833</v>
      </c>
      <c r="Q249" s="55" t="s">
        <v>81</v>
      </c>
      <c r="R249" s="55" t="s">
        <v>81</v>
      </c>
      <c r="S249" s="55" t="s">
        <v>81</v>
      </c>
      <c r="T249" s="55" t="s">
        <v>925</v>
      </c>
      <c r="U249" s="4">
        <v>7</v>
      </c>
      <c r="V249" s="64" t="s">
        <v>7007</v>
      </c>
      <c r="W249" s="56">
        <v>45511</v>
      </c>
      <c r="X249" s="56">
        <v>45512</v>
      </c>
      <c r="Y249" s="4" t="s">
        <v>6834</v>
      </c>
      <c r="Z249" s="4"/>
    </row>
    <row r="250" ht="14.4" s="66" customFormat="1">
      <c r="A250" s="55">
        <v>171328</v>
      </c>
      <c r="B250" s="55" t="s">
        <v>5873</v>
      </c>
      <c r="C250" s="55" t="s">
        <v>5874</v>
      </c>
      <c r="D250" s="55">
        <v>1719241642</v>
      </c>
      <c r="E250" s="55" t="s">
        <v>67</v>
      </c>
      <c r="F250" s="55" t="s">
        <v>71</v>
      </c>
      <c r="G250" s="55" t="s">
        <v>155</v>
      </c>
      <c r="H250" s="55" t="s">
        <v>196</v>
      </c>
      <c r="I250" s="55" t="s">
        <v>74</v>
      </c>
      <c r="J250" s="56">
        <v>45505</v>
      </c>
      <c r="K250" s="56">
        <v>45512</v>
      </c>
      <c r="L250" s="55">
        <v>7</v>
      </c>
      <c r="M250" s="55" t="s">
        <v>3510</v>
      </c>
      <c r="N250" s="55" t="s">
        <v>3796</v>
      </c>
      <c r="O250" s="55" t="s">
        <v>2905</v>
      </c>
      <c r="P250" s="55" t="s">
        <v>6833</v>
      </c>
      <c r="Q250" s="55" t="s">
        <v>81</v>
      </c>
      <c r="R250" s="55" t="s">
        <v>81</v>
      </c>
      <c r="S250" s="55" t="s">
        <v>81</v>
      </c>
      <c r="T250" s="55" t="s">
        <v>925</v>
      </c>
      <c r="U250" s="4">
        <v>7</v>
      </c>
      <c r="V250" s="64" t="s">
        <v>7007</v>
      </c>
      <c r="W250" s="56">
        <v>45511</v>
      </c>
      <c r="X250" s="56">
        <v>45512</v>
      </c>
      <c r="Y250" s="4" t="s">
        <v>6834</v>
      </c>
      <c r="Z250" s="4"/>
    </row>
    <row r="251" ht="14.4" s="66" customFormat="1">
      <c r="A251" s="55">
        <v>171218</v>
      </c>
      <c r="B251" s="55" t="s">
        <v>5881</v>
      </c>
      <c r="C251" s="55" t="s">
        <v>5882</v>
      </c>
      <c r="D251" s="55">
        <v>1642175252</v>
      </c>
      <c r="E251" s="55" t="s">
        <v>67</v>
      </c>
      <c r="F251" s="55" t="s">
        <v>71</v>
      </c>
      <c r="G251" s="55" t="s">
        <v>155</v>
      </c>
      <c r="H251" s="55" t="s">
        <v>196</v>
      </c>
      <c r="I251" s="55" t="s">
        <v>74</v>
      </c>
      <c r="J251" s="56">
        <v>45505</v>
      </c>
      <c r="K251" s="56">
        <v>45512</v>
      </c>
      <c r="L251" s="55">
        <v>7</v>
      </c>
      <c r="M251" s="55" t="s">
        <v>3510</v>
      </c>
      <c r="N251" s="55" t="s">
        <v>3796</v>
      </c>
      <c r="O251" s="55" t="s">
        <v>2905</v>
      </c>
      <c r="P251" s="55" t="s">
        <v>6833</v>
      </c>
      <c r="Q251" s="55" t="s">
        <v>81</v>
      </c>
      <c r="R251" s="55" t="s">
        <v>81</v>
      </c>
      <c r="S251" s="55" t="s">
        <v>81</v>
      </c>
      <c r="T251" s="55" t="s">
        <v>925</v>
      </c>
      <c r="U251" s="4">
        <v>7</v>
      </c>
      <c r="V251" s="64" t="s">
        <v>7007</v>
      </c>
      <c r="W251" s="56">
        <v>45511</v>
      </c>
      <c r="X251" s="56">
        <v>45512</v>
      </c>
      <c r="Y251" s="4" t="s">
        <v>6834</v>
      </c>
      <c r="Z251" s="4"/>
    </row>
    <row r="252" ht="14.4" s="66" customFormat="1">
      <c r="A252" s="55">
        <v>171697</v>
      </c>
      <c r="B252" s="55" t="s">
        <v>5888</v>
      </c>
      <c r="C252" s="55" t="s">
        <v>5889</v>
      </c>
      <c r="D252" s="55">
        <v>1782047781</v>
      </c>
      <c r="E252" s="55" t="s">
        <v>67</v>
      </c>
      <c r="F252" s="55" t="s">
        <v>71</v>
      </c>
      <c r="G252" s="55" t="s">
        <v>155</v>
      </c>
      <c r="H252" s="55" t="s">
        <v>196</v>
      </c>
      <c r="I252" s="55" t="s">
        <v>74</v>
      </c>
      <c r="J252" s="56">
        <v>45505</v>
      </c>
      <c r="K252" s="56">
        <v>45506</v>
      </c>
      <c r="L252" s="55">
        <v>0</v>
      </c>
      <c r="M252" s="55" t="s">
        <v>3510</v>
      </c>
      <c r="N252" s="55" t="s">
        <v>3796</v>
      </c>
      <c r="O252" s="55" t="s">
        <v>2905</v>
      </c>
      <c r="P252" s="55" t="s">
        <v>6833</v>
      </c>
      <c r="Q252" s="55" t="s">
        <v>81</v>
      </c>
      <c r="R252" s="55" t="s">
        <v>81</v>
      </c>
      <c r="S252" s="55" t="s">
        <v>81</v>
      </c>
      <c r="T252" s="55" t="s">
        <v>925</v>
      </c>
      <c r="U252" s="4">
        <v>0</v>
      </c>
      <c r="V252" s="64" t="s">
        <v>7007</v>
      </c>
      <c r="W252" s="56">
        <v>45511</v>
      </c>
      <c r="X252" s="56">
        <v>45511</v>
      </c>
      <c r="Y252" s="4" t="s">
        <v>6834</v>
      </c>
      <c r="Z252" s="4"/>
    </row>
    <row r="253" ht="14.4" s="66" customFormat="1">
      <c r="A253" s="55">
        <v>171184</v>
      </c>
      <c r="B253" s="55" t="s">
        <v>3059</v>
      </c>
      <c r="C253" s="55" t="s">
        <v>5890</v>
      </c>
      <c r="D253" s="55">
        <v>1774277027</v>
      </c>
      <c r="E253" s="55" t="s">
        <v>67</v>
      </c>
      <c r="F253" s="55" t="s">
        <v>71</v>
      </c>
      <c r="G253" s="55" t="s">
        <v>5709</v>
      </c>
      <c r="H253" s="55" t="s">
        <v>98</v>
      </c>
      <c r="I253" s="55" t="s">
        <v>74</v>
      </c>
      <c r="J253" s="56">
        <v>45505</v>
      </c>
      <c r="K253" s="56">
        <v>45512</v>
      </c>
      <c r="L253" s="55">
        <v>7</v>
      </c>
      <c r="M253" s="55" t="s">
        <v>3510</v>
      </c>
      <c r="N253" s="55" t="s">
        <v>7028</v>
      </c>
      <c r="O253" s="55" t="s">
        <v>2905</v>
      </c>
      <c r="P253" s="55" t="s">
        <v>6833</v>
      </c>
      <c r="Q253" s="55" t="s">
        <v>81</v>
      </c>
      <c r="R253" s="55" t="s">
        <v>81</v>
      </c>
      <c r="S253" s="55" t="s">
        <v>81</v>
      </c>
      <c r="T253" s="55" t="s">
        <v>925</v>
      </c>
      <c r="U253" s="4">
        <v>7</v>
      </c>
      <c r="V253" s="64" t="s">
        <v>7007</v>
      </c>
      <c r="W253" s="56">
        <v>45511</v>
      </c>
      <c r="X253" s="56">
        <v>45512</v>
      </c>
      <c r="Y253" s="4" t="s">
        <v>6834</v>
      </c>
      <c r="Z253" s="4"/>
    </row>
    <row r="254" ht="25.05" customHeight="1" s="66" customFormat="1">
      <c r="A254" s="55">
        <v>171531</v>
      </c>
      <c r="B254" s="55" t="s">
        <v>5899</v>
      </c>
      <c r="C254" s="55" t="s">
        <v>7029</v>
      </c>
      <c r="D254" s="55">
        <v>1821275905</v>
      </c>
      <c r="E254" s="55" t="s">
        <v>67</v>
      </c>
      <c r="F254" s="55" t="s">
        <v>71</v>
      </c>
      <c r="G254" s="55" t="s">
        <v>155</v>
      </c>
      <c r="H254" s="55" t="s">
        <v>196</v>
      </c>
      <c r="I254" s="55" t="s">
        <v>74</v>
      </c>
      <c r="J254" s="56">
        <v>45505</v>
      </c>
      <c r="K254" s="56">
        <v>45512</v>
      </c>
      <c r="L254" s="55" t="s">
        <v>6852</v>
      </c>
      <c r="M254" s="55" t="s">
        <v>3510</v>
      </c>
      <c r="N254" s="74" t="s">
        <v>4035</v>
      </c>
      <c r="O254" s="55" t="s">
        <v>2905</v>
      </c>
      <c r="P254" s="55" t="s">
        <v>6833</v>
      </c>
      <c r="Q254" s="55" t="s">
        <v>81</v>
      </c>
      <c r="R254" s="55" t="s">
        <v>81</v>
      </c>
      <c r="S254" s="55" t="s">
        <v>81</v>
      </c>
      <c r="T254" s="55" t="s">
        <v>925</v>
      </c>
      <c r="U254" s="4" t="s">
        <v>6852</v>
      </c>
      <c r="V254" s="64" t="s">
        <v>7007</v>
      </c>
      <c r="W254" s="56">
        <v>45511</v>
      </c>
      <c r="X254" s="56">
        <v>45512</v>
      </c>
      <c r="Y254" s="4" t="s">
        <v>6834</v>
      </c>
      <c r="Z254" s="4"/>
    </row>
    <row r="255" ht="14.4" s="66" customFormat="1">
      <c r="A255" s="55">
        <v>171388</v>
      </c>
      <c r="B255" s="55" t="s">
        <v>3257</v>
      </c>
      <c r="C255" s="55" t="s">
        <v>5911</v>
      </c>
      <c r="D255" s="55" t="s">
        <v>7030</v>
      </c>
      <c r="E255" s="55" t="s">
        <v>67</v>
      </c>
      <c r="F255" s="55" t="s">
        <v>71</v>
      </c>
      <c r="G255" s="55"/>
      <c r="H255" s="55" t="s">
        <v>308</v>
      </c>
      <c r="I255" s="55" t="s">
        <v>74</v>
      </c>
      <c r="J255" s="56">
        <v>45507</v>
      </c>
      <c r="K255" s="56">
        <v>45508</v>
      </c>
      <c r="L255" s="55">
        <v>0</v>
      </c>
      <c r="M255" s="55" t="s">
        <v>3510</v>
      </c>
      <c r="N255" s="73" t="s">
        <v>7031</v>
      </c>
      <c r="O255" s="55" t="s">
        <v>2905</v>
      </c>
      <c r="P255" s="55" t="s">
        <v>6833</v>
      </c>
      <c r="Q255" s="55" t="s">
        <v>81</v>
      </c>
      <c r="R255" s="55" t="s">
        <v>81</v>
      </c>
      <c r="S255" s="55" t="s">
        <v>81</v>
      </c>
      <c r="T255" s="55" t="s">
        <v>925</v>
      </c>
      <c r="U255" s="4">
        <v>0</v>
      </c>
      <c r="V255" s="64" t="s">
        <v>7007</v>
      </c>
      <c r="W255" s="56">
        <v>45512</v>
      </c>
      <c r="X255" s="56">
        <v>45512</v>
      </c>
      <c r="Y255" s="4" t="s">
        <v>6838</v>
      </c>
      <c r="Z255" s="4" t="s">
        <v>6838</v>
      </c>
    </row>
    <row r="256" ht="14.4" s="66" customFormat="1">
      <c r="A256" s="55">
        <v>171357</v>
      </c>
      <c r="B256" s="55" t="s">
        <v>4593</v>
      </c>
      <c r="C256" s="55" t="s">
        <v>5917</v>
      </c>
      <c r="D256" s="55" t="s">
        <v>7032</v>
      </c>
      <c r="E256" s="55" t="s">
        <v>67</v>
      </c>
      <c r="F256" s="55" t="s">
        <v>71</v>
      </c>
      <c r="G256" s="55"/>
      <c r="H256" s="55" t="s">
        <v>308</v>
      </c>
      <c r="I256" s="55" t="s">
        <v>74</v>
      </c>
      <c r="J256" s="56">
        <v>45507</v>
      </c>
      <c r="K256" s="56">
        <v>45508</v>
      </c>
      <c r="L256" s="55">
        <v>0</v>
      </c>
      <c r="M256" s="55" t="s">
        <v>3510</v>
      </c>
      <c r="N256" s="73" t="s">
        <v>7031</v>
      </c>
      <c r="O256" s="55" t="s">
        <v>2905</v>
      </c>
      <c r="P256" s="55" t="s">
        <v>6833</v>
      </c>
      <c r="Q256" s="55" t="s">
        <v>81</v>
      </c>
      <c r="R256" s="55" t="s">
        <v>81</v>
      </c>
      <c r="S256" s="55" t="s">
        <v>81</v>
      </c>
      <c r="T256" s="55" t="s">
        <v>925</v>
      </c>
      <c r="U256" s="4">
        <v>0</v>
      </c>
      <c r="V256" s="64" t="s">
        <v>7007</v>
      </c>
      <c r="W256" s="56">
        <v>45512</v>
      </c>
      <c r="X256" s="56">
        <v>45512</v>
      </c>
      <c r="Y256" s="4" t="s">
        <v>6838</v>
      </c>
      <c r="Z256" s="4" t="s">
        <v>6838</v>
      </c>
    </row>
    <row r="257" ht="25.05" customHeight="1" s="66" customFormat="1">
      <c r="A257" s="55">
        <v>171735</v>
      </c>
      <c r="B257" s="55" t="s">
        <v>3041</v>
      </c>
      <c r="C257" s="55" t="s">
        <v>5927</v>
      </c>
      <c r="D257" s="55">
        <v>1680928884</v>
      </c>
      <c r="E257" s="55" t="s">
        <v>67</v>
      </c>
      <c r="F257" s="55" t="s">
        <v>71</v>
      </c>
      <c r="G257" s="55" t="s">
        <v>2162</v>
      </c>
      <c r="H257" s="55" t="s">
        <v>2643</v>
      </c>
      <c r="I257" s="55" t="s">
        <v>74</v>
      </c>
      <c r="J257" s="56">
        <v>45510</v>
      </c>
      <c r="K257" s="56">
        <v>45517</v>
      </c>
      <c r="L257" s="4">
        <v>7</v>
      </c>
      <c r="M257" s="55" t="s">
        <v>3510</v>
      </c>
      <c r="N257" s="4" t="s">
        <v>2868</v>
      </c>
      <c r="O257" s="55" t="s">
        <v>2905</v>
      </c>
      <c r="P257" s="55" t="s">
        <v>6833</v>
      </c>
      <c r="Q257" s="55" t="s">
        <v>81</v>
      </c>
      <c r="R257" s="55" t="s">
        <v>81</v>
      </c>
      <c r="S257" s="55" t="s">
        <v>81</v>
      </c>
      <c r="T257" s="55" t="s">
        <v>925</v>
      </c>
      <c r="U257" s="4">
        <v>7</v>
      </c>
      <c r="V257" s="4" t="s">
        <v>7007</v>
      </c>
      <c r="W257" s="56">
        <v>45515</v>
      </c>
      <c r="X257" s="56">
        <v>45517</v>
      </c>
      <c r="Y257" s="4" t="s">
        <v>6834</v>
      </c>
      <c r="Z257" s="4"/>
    </row>
    <row r="258" ht="14.4" s="66" customFormat="1">
      <c r="A258" s="55">
        <v>171731</v>
      </c>
      <c r="B258" s="55" t="s">
        <v>5934</v>
      </c>
      <c r="C258" s="55" t="s">
        <v>5935</v>
      </c>
      <c r="D258" s="55">
        <v>1747676507</v>
      </c>
      <c r="E258" s="55" t="s">
        <v>67</v>
      </c>
      <c r="F258" s="55" t="s">
        <v>71</v>
      </c>
      <c r="G258" s="55" t="s">
        <v>97</v>
      </c>
      <c r="H258" s="55" t="s">
        <v>2643</v>
      </c>
      <c r="I258" s="55" t="s">
        <v>74</v>
      </c>
      <c r="J258" s="56">
        <v>45503</v>
      </c>
      <c r="K258" s="56">
        <v>45505</v>
      </c>
      <c r="L258" s="55">
        <v>0</v>
      </c>
      <c r="M258" s="55" t="s">
        <v>3510</v>
      </c>
      <c r="N258" s="73" t="s">
        <v>2868</v>
      </c>
      <c r="O258" s="55" t="s">
        <v>2905</v>
      </c>
      <c r="P258" s="55" t="s">
        <v>6833</v>
      </c>
      <c r="Q258" s="55" t="s">
        <v>81</v>
      </c>
      <c r="R258" s="55" t="s">
        <v>81</v>
      </c>
      <c r="S258" s="55" t="s">
        <v>81</v>
      </c>
      <c r="T258" s="55" t="s">
        <v>925</v>
      </c>
      <c r="U258" s="4">
        <v>0</v>
      </c>
      <c r="V258" s="64" t="s">
        <v>7007</v>
      </c>
      <c r="W258" s="56">
        <v>45516</v>
      </c>
      <c r="X258" s="56">
        <v>45516</v>
      </c>
      <c r="Y258" s="4" t="s">
        <v>6838</v>
      </c>
      <c r="Z258" s="4" t="s">
        <v>6838</v>
      </c>
    </row>
    <row r="259" ht="25.05" customHeight="1" s="66" customFormat="1">
      <c r="A259" s="55">
        <v>171534</v>
      </c>
      <c r="B259" s="55" t="s">
        <v>5950</v>
      </c>
      <c r="C259" s="55" t="s">
        <v>7033</v>
      </c>
      <c r="D259" s="55">
        <v>1985605389</v>
      </c>
      <c r="E259" s="55" t="s">
        <v>67</v>
      </c>
      <c r="F259" s="55" t="s">
        <v>71</v>
      </c>
      <c r="G259" s="55" t="s">
        <v>155</v>
      </c>
      <c r="H259" s="55" t="s">
        <v>7034</v>
      </c>
      <c r="I259" s="55" t="s">
        <v>74</v>
      </c>
      <c r="J259" s="56">
        <v>45512</v>
      </c>
      <c r="K259" s="56">
        <v>45513</v>
      </c>
      <c r="L259" s="55" t="s">
        <v>6854</v>
      </c>
      <c r="M259" s="55" t="s">
        <v>3510</v>
      </c>
      <c r="N259" s="74" t="s">
        <v>4035</v>
      </c>
      <c r="O259" s="55" t="s">
        <v>2905</v>
      </c>
      <c r="P259" s="55" t="s">
        <v>6833</v>
      </c>
      <c r="Q259" s="55" t="s">
        <v>81</v>
      </c>
      <c r="R259" s="55" t="s">
        <v>81</v>
      </c>
      <c r="S259" s="55" t="s">
        <v>81</v>
      </c>
      <c r="T259" s="55" t="s">
        <v>925</v>
      </c>
      <c r="U259" s="4" t="s">
        <v>6854</v>
      </c>
      <c r="V259" s="64" t="s">
        <v>7007</v>
      </c>
      <c r="W259" s="56">
        <v>45517</v>
      </c>
      <c r="X259" s="56">
        <v>45517</v>
      </c>
      <c r="Y259" s="4" t="s">
        <v>6838</v>
      </c>
      <c r="Z259" s="4" t="s">
        <v>6838</v>
      </c>
    </row>
    <row r="260" ht="25.05" customHeight="1" s="66" customFormat="1">
      <c r="A260" s="55">
        <v>800</v>
      </c>
      <c r="B260" s="55"/>
      <c r="C260" s="55" t="s">
        <v>5959</v>
      </c>
      <c r="D260" s="55">
        <v>1834971595</v>
      </c>
      <c r="E260" s="55" t="s">
        <v>4150</v>
      </c>
      <c r="F260" s="55" t="s">
        <v>5960</v>
      </c>
      <c r="G260" s="55" t="s">
        <v>5961</v>
      </c>
      <c r="H260" s="55" t="s">
        <v>74</v>
      </c>
      <c r="I260" s="55" t="s">
        <v>3488</v>
      </c>
      <c r="J260" s="56">
        <v>45477</v>
      </c>
      <c r="K260" s="56">
        <v>45507</v>
      </c>
      <c r="L260" s="4">
        <v>30</v>
      </c>
      <c r="M260" s="55" t="s">
        <v>3510</v>
      </c>
      <c r="N260" s="4" t="s">
        <v>4035</v>
      </c>
      <c r="O260" s="55" t="s">
        <v>2905</v>
      </c>
      <c r="P260" s="55" t="s">
        <v>6833</v>
      </c>
      <c r="Q260" s="55" t="s">
        <v>81</v>
      </c>
      <c r="R260" s="55" t="s">
        <v>81</v>
      </c>
      <c r="S260" s="55" t="s">
        <v>81</v>
      </c>
      <c r="T260" s="55" t="s">
        <v>925</v>
      </c>
      <c r="U260" s="4">
        <v>30</v>
      </c>
      <c r="V260" s="64" t="s">
        <v>7007</v>
      </c>
      <c r="W260" s="56">
        <v>45517</v>
      </c>
      <c r="X260" s="56">
        <v>45517</v>
      </c>
      <c r="Y260" s="4" t="s">
        <v>6834</v>
      </c>
      <c r="Z260" s="4"/>
    </row>
    <row r="261" ht="25.05" customHeight="1" s="66" customFormat="1">
      <c r="A261" s="55">
        <v>171611</v>
      </c>
      <c r="B261" s="55" t="s">
        <v>2696</v>
      </c>
      <c r="C261" s="55" t="s">
        <v>5967</v>
      </c>
      <c r="D261" s="55">
        <v>1976327974</v>
      </c>
      <c r="E261" s="55" t="s">
        <v>67</v>
      </c>
      <c r="F261" s="55" t="s">
        <v>71</v>
      </c>
      <c r="G261" s="55" t="s">
        <v>5709</v>
      </c>
      <c r="H261" s="55" t="s">
        <v>115</v>
      </c>
      <c r="I261" s="55" t="s">
        <v>74</v>
      </c>
      <c r="J261" s="56">
        <v>45501</v>
      </c>
      <c r="K261" s="56">
        <v>45510</v>
      </c>
      <c r="L261" s="4">
        <v>7</v>
      </c>
      <c r="M261" s="55" t="s">
        <v>3510</v>
      </c>
      <c r="N261" s="4" t="s">
        <v>3796</v>
      </c>
      <c r="O261" s="55" t="s">
        <v>2905</v>
      </c>
      <c r="P261" s="55" t="s">
        <v>6833</v>
      </c>
      <c r="Q261" s="55" t="s">
        <v>81</v>
      </c>
      <c r="R261" s="55" t="s">
        <v>81</v>
      </c>
      <c r="S261" s="55" t="s">
        <v>81</v>
      </c>
      <c r="T261" s="55" t="s">
        <v>925</v>
      </c>
      <c r="U261" s="4">
        <v>7</v>
      </c>
      <c r="V261" s="64" t="s">
        <v>7007</v>
      </c>
      <c r="W261" s="56">
        <v>45517</v>
      </c>
      <c r="X261" s="56">
        <v>45517</v>
      </c>
      <c r="Y261" s="4" t="s">
        <v>6834</v>
      </c>
      <c r="Z261" s="4"/>
    </row>
    <row r="262" ht="25.05" customHeight="1" s="66" customFormat="1">
      <c r="A262" s="55">
        <v>171574</v>
      </c>
      <c r="B262" s="55" t="s">
        <v>5975</v>
      </c>
      <c r="C262" s="55" t="s">
        <v>5976</v>
      </c>
      <c r="D262" s="55">
        <v>1907313207</v>
      </c>
      <c r="E262" s="55" t="s">
        <v>67</v>
      </c>
      <c r="F262" s="55" t="s">
        <v>71</v>
      </c>
      <c r="G262" s="55" t="s">
        <v>155</v>
      </c>
      <c r="H262" s="55" t="s">
        <v>7034</v>
      </c>
      <c r="I262" s="55" t="s">
        <v>74</v>
      </c>
      <c r="J262" s="56">
        <v>45511</v>
      </c>
      <c r="K262" s="56">
        <v>45512</v>
      </c>
      <c r="L262" s="4">
        <v>0</v>
      </c>
      <c r="M262" s="55" t="s">
        <v>3510</v>
      </c>
      <c r="N262" s="4" t="s">
        <v>3796</v>
      </c>
      <c r="O262" s="55" t="s">
        <v>2905</v>
      </c>
      <c r="P262" s="55" t="s">
        <v>6833</v>
      </c>
      <c r="Q262" s="55" t="s">
        <v>81</v>
      </c>
      <c r="R262" s="55" t="s">
        <v>81</v>
      </c>
      <c r="S262" s="55" t="s">
        <v>81</v>
      </c>
      <c r="T262" s="55" t="s">
        <v>925</v>
      </c>
      <c r="U262" s="4">
        <v>0</v>
      </c>
      <c r="V262" s="64" t="s">
        <v>7007</v>
      </c>
      <c r="W262" s="56">
        <v>45517</v>
      </c>
      <c r="X262" s="56">
        <v>45517</v>
      </c>
      <c r="Y262" s="4" t="s">
        <v>6838</v>
      </c>
      <c r="Z262" s="4" t="s">
        <v>6838</v>
      </c>
    </row>
    <row r="263" ht="25.05" customHeight="1" s="66" customFormat="1">
      <c r="A263" s="55">
        <v>171647</v>
      </c>
      <c r="B263" s="55" t="s">
        <v>5984</v>
      </c>
      <c r="C263" s="55" t="s">
        <v>5985</v>
      </c>
      <c r="D263" s="55">
        <v>1810172075</v>
      </c>
      <c r="E263" s="55" t="s">
        <v>67</v>
      </c>
      <c r="F263" s="55" t="s">
        <v>71</v>
      </c>
      <c r="G263" s="55" t="s">
        <v>155</v>
      </c>
      <c r="H263" s="55" t="s">
        <v>7034</v>
      </c>
      <c r="I263" s="55" t="s">
        <v>74</v>
      </c>
      <c r="J263" s="56">
        <v>45512</v>
      </c>
      <c r="K263" s="56">
        <v>45513</v>
      </c>
      <c r="L263" s="4">
        <v>0</v>
      </c>
      <c r="M263" s="55" t="s">
        <v>3510</v>
      </c>
      <c r="N263" s="4" t="s">
        <v>3796</v>
      </c>
      <c r="O263" s="55" t="s">
        <v>2905</v>
      </c>
      <c r="P263" s="55" t="s">
        <v>6833</v>
      </c>
      <c r="Q263" s="55" t="s">
        <v>81</v>
      </c>
      <c r="R263" s="55" t="s">
        <v>81</v>
      </c>
      <c r="S263" s="55" t="s">
        <v>81</v>
      </c>
      <c r="T263" s="55" t="s">
        <v>925</v>
      </c>
      <c r="U263" s="4">
        <v>0</v>
      </c>
      <c r="V263" s="64" t="s">
        <v>7007</v>
      </c>
      <c r="W263" s="56">
        <v>45517</v>
      </c>
      <c r="X263" s="56">
        <v>45517</v>
      </c>
      <c r="Y263" s="4" t="s">
        <v>6838</v>
      </c>
      <c r="Z263" s="4" t="s">
        <v>6838</v>
      </c>
    </row>
    <row r="264" ht="25.05" customHeight="1" s="66" customFormat="1">
      <c r="A264" s="55" t="s">
        <v>7035</v>
      </c>
      <c r="B264" s="55" t="s">
        <v>7036</v>
      </c>
      <c r="C264" s="55" t="s">
        <v>5993</v>
      </c>
      <c r="D264" s="55">
        <v>1715840348</v>
      </c>
      <c r="E264" s="55" t="s">
        <v>67</v>
      </c>
      <c r="F264" s="55" t="s">
        <v>71</v>
      </c>
      <c r="G264" s="55" t="s">
        <v>5709</v>
      </c>
      <c r="H264" s="55" t="s">
        <v>115</v>
      </c>
      <c r="I264" s="55" t="s">
        <v>74</v>
      </c>
      <c r="J264" s="56">
        <v>45513</v>
      </c>
      <c r="K264" s="56">
        <v>45519</v>
      </c>
      <c r="L264" s="4" t="s">
        <v>6852</v>
      </c>
      <c r="M264" s="55" t="s">
        <v>3510</v>
      </c>
      <c r="N264" s="4" t="s">
        <v>4321</v>
      </c>
      <c r="O264" s="55" t="s">
        <v>2905</v>
      </c>
      <c r="P264" s="55" t="s">
        <v>6833</v>
      </c>
      <c r="Q264" s="55" t="s">
        <v>81</v>
      </c>
      <c r="R264" s="55" t="s">
        <v>81</v>
      </c>
      <c r="S264" s="55" t="s">
        <v>81</v>
      </c>
      <c r="T264" s="55" t="s">
        <v>925</v>
      </c>
      <c r="U264" s="4" t="s">
        <v>6852</v>
      </c>
      <c r="V264" s="4" t="s">
        <v>7037</v>
      </c>
      <c r="W264" s="56">
        <v>45517</v>
      </c>
      <c r="X264" s="56">
        <v>45519</v>
      </c>
      <c r="Y264" s="4" t="s">
        <v>6834</v>
      </c>
      <c r="Z264" s="4"/>
    </row>
    <row r="265" ht="25.05" customHeight="1" s="66" customFormat="1">
      <c r="A265" s="55">
        <v>171764</v>
      </c>
      <c r="B265" s="55" t="s">
        <v>5999</v>
      </c>
      <c r="C265" s="55" t="s">
        <v>4846</v>
      </c>
      <c r="D265" s="55">
        <v>1968638774</v>
      </c>
      <c r="E265" s="55" t="s">
        <v>67</v>
      </c>
      <c r="F265" s="55" t="s">
        <v>71</v>
      </c>
      <c r="G265" s="55" t="s">
        <v>2495</v>
      </c>
      <c r="H265" s="55" t="s">
        <v>2643</v>
      </c>
      <c r="I265" s="55" t="s">
        <v>74</v>
      </c>
      <c r="J265" s="56">
        <v>45512</v>
      </c>
      <c r="K265" s="56">
        <v>45513</v>
      </c>
      <c r="L265" s="4">
        <v>0</v>
      </c>
      <c r="M265" s="55" t="s">
        <v>3510</v>
      </c>
      <c r="N265" s="4" t="s">
        <v>4321</v>
      </c>
      <c r="O265" s="55" t="s">
        <v>2905</v>
      </c>
      <c r="P265" s="55" t="s">
        <v>6833</v>
      </c>
      <c r="Q265" s="55" t="s">
        <v>81</v>
      </c>
      <c r="R265" s="55" t="s">
        <v>81</v>
      </c>
      <c r="S265" s="55" t="s">
        <v>81</v>
      </c>
      <c r="T265" s="55" t="s">
        <v>925</v>
      </c>
      <c r="U265" s="4">
        <v>0</v>
      </c>
      <c r="V265" s="64" t="s">
        <v>7007</v>
      </c>
      <c r="W265" s="56">
        <v>45517</v>
      </c>
      <c r="X265" s="56">
        <v>45517</v>
      </c>
      <c r="Y265" s="4" t="s">
        <v>6838</v>
      </c>
      <c r="Z265" s="4" t="s">
        <v>6838</v>
      </c>
    </row>
    <row r="266" ht="25.05" customHeight="1" s="66" customFormat="1">
      <c r="A266" s="55">
        <v>171501</v>
      </c>
      <c r="B266" s="55" t="s">
        <v>6005</v>
      </c>
      <c r="C266" s="55" t="s">
        <v>6006</v>
      </c>
      <c r="D266" s="55">
        <v>1737524848</v>
      </c>
      <c r="E266" s="55" t="s">
        <v>67</v>
      </c>
      <c r="F266" s="55" t="s">
        <v>71</v>
      </c>
      <c r="G266" s="55" t="s">
        <v>7038</v>
      </c>
      <c r="H266" s="55" t="s">
        <v>2643</v>
      </c>
      <c r="I266" s="55" t="s">
        <v>74</v>
      </c>
      <c r="J266" s="56">
        <v>45515</v>
      </c>
      <c r="K266" s="56">
        <v>45516</v>
      </c>
      <c r="L266" s="4">
        <v>0</v>
      </c>
      <c r="M266" s="55" t="s">
        <v>3510</v>
      </c>
      <c r="N266" s="4" t="s">
        <v>3796</v>
      </c>
      <c r="O266" s="55" t="s">
        <v>2905</v>
      </c>
      <c r="P266" s="55" t="s">
        <v>6833</v>
      </c>
      <c r="Q266" s="55" t="s">
        <v>81</v>
      </c>
      <c r="R266" s="55" t="s">
        <v>81</v>
      </c>
      <c r="S266" s="55" t="s">
        <v>81</v>
      </c>
      <c r="T266" s="55" t="s">
        <v>925</v>
      </c>
      <c r="U266" s="4">
        <v>0</v>
      </c>
      <c r="V266" s="64" t="s">
        <v>7007</v>
      </c>
      <c r="W266" s="56">
        <v>45517</v>
      </c>
      <c r="X266" s="56">
        <v>45517</v>
      </c>
      <c r="Y266" s="4" t="s">
        <v>6838</v>
      </c>
      <c r="Z266" s="4" t="s">
        <v>6838</v>
      </c>
    </row>
    <row r="267" ht="25.05" customHeight="1" s="66" customFormat="1">
      <c r="A267" s="55">
        <v>171788</v>
      </c>
      <c r="B267" s="55" t="s">
        <v>6014</v>
      </c>
      <c r="C267" s="55" t="s">
        <v>6015</v>
      </c>
      <c r="D267" s="55" t="s">
        <v>7039</v>
      </c>
      <c r="E267" s="55" t="s">
        <v>67</v>
      </c>
      <c r="F267" s="55" t="s">
        <v>71</v>
      </c>
      <c r="G267" s="55" t="s">
        <v>2495</v>
      </c>
      <c r="H267" s="55" t="s">
        <v>2643</v>
      </c>
      <c r="I267" s="55" t="s">
        <v>74</v>
      </c>
      <c r="J267" s="56">
        <v>45516</v>
      </c>
      <c r="K267" s="56">
        <v>45515</v>
      </c>
      <c r="L267" s="4">
        <v>0</v>
      </c>
      <c r="M267" s="55" t="s">
        <v>3510</v>
      </c>
      <c r="N267" s="4" t="s">
        <v>2868</v>
      </c>
      <c r="O267" s="55" t="s">
        <v>2905</v>
      </c>
      <c r="P267" s="55" t="s">
        <v>6833</v>
      </c>
      <c r="Q267" s="55" t="s">
        <v>81</v>
      </c>
      <c r="R267" s="55" t="s">
        <v>81</v>
      </c>
      <c r="S267" s="55" t="s">
        <v>81</v>
      </c>
      <c r="T267" s="55" t="s">
        <v>925</v>
      </c>
      <c r="U267" s="4">
        <v>0</v>
      </c>
      <c r="V267" s="64" t="s">
        <v>7007</v>
      </c>
      <c r="W267" s="56">
        <v>45517</v>
      </c>
      <c r="X267" s="56">
        <v>45517</v>
      </c>
      <c r="Y267" s="4" t="s">
        <v>6838</v>
      </c>
      <c r="Z267" s="4" t="s">
        <v>6838</v>
      </c>
    </row>
    <row r="268" ht="25.05" customHeight="1" s="66" customFormat="1">
      <c r="A268" s="76">
        <v>171675</v>
      </c>
      <c r="B268" s="76" t="s">
        <v>6017</v>
      </c>
      <c r="C268" s="76" t="s">
        <v>6018</v>
      </c>
      <c r="D268" s="76">
        <v>1998500367</v>
      </c>
      <c r="E268" s="76" t="s">
        <v>67</v>
      </c>
      <c r="F268" s="76" t="s">
        <v>71</v>
      </c>
      <c r="G268" s="76" t="s">
        <v>5709</v>
      </c>
      <c r="H268" s="76" t="s">
        <v>115</v>
      </c>
      <c r="I268" s="76" t="s">
        <v>74</v>
      </c>
      <c r="J268" s="78">
        <v>45501</v>
      </c>
      <c r="K268" s="78">
        <v>45510</v>
      </c>
      <c r="L268" s="79" t="s">
        <v>6852</v>
      </c>
      <c r="M268" s="76" t="s">
        <v>3510</v>
      </c>
      <c r="N268" s="79" t="s">
        <v>4547</v>
      </c>
      <c r="O268" s="76" t="s">
        <v>2905</v>
      </c>
      <c r="P268" s="76" t="s">
        <v>6833</v>
      </c>
      <c r="Q268" s="76" t="s">
        <v>81</v>
      </c>
      <c r="R268" s="76" t="s">
        <v>81</v>
      </c>
      <c r="S268" s="76" t="s">
        <v>81</v>
      </c>
      <c r="T268" s="76" t="s">
        <v>925</v>
      </c>
      <c r="U268" s="79" t="s">
        <v>6852</v>
      </c>
      <c r="V268" s="82" t="s">
        <v>7007</v>
      </c>
      <c r="W268" s="78">
        <v>45517</v>
      </c>
      <c r="X268" s="78">
        <v>45517</v>
      </c>
      <c r="Y268" s="79" t="s">
        <v>6834</v>
      </c>
      <c r="Z268" s="79"/>
    </row>
    <row r="269" ht="25.05" customHeight="1" s="4" customFormat="1">
      <c r="A269" s="55">
        <v>171330</v>
      </c>
      <c r="B269" s="55" t="s">
        <v>6025</v>
      </c>
      <c r="C269" s="55" t="s">
        <v>6026</v>
      </c>
      <c r="D269" s="55">
        <v>1771771113</v>
      </c>
      <c r="E269" s="55" t="s">
        <v>67</v>
      </c>
      <c r="F269" s="55" t="s">
        <v>71</v>
      </c>
      <c r="G269" s="55" t="s">
        <v>155</v>
      </c>
      <c r="H269" s="55" t="s">
        <v>196</v>
      </c>
      <c r="I269" s="55" t="s">
        <v>74</v>
      </c>
      <c r="J269" s="56">
        <v>45505</v>
      </c>
      <c r="K269" s="56">
        <v>45505</v>
      </c>
      <c r="L269" s="4">
        <v>0</v>
      </c>
      <c r="M269" s="55" t="s">
        <v>3510</v>
      </c>
      <c r="N269" s="4" t="s">
        <v>3796</v>
      </c>
      <c r="O269" s="55" t="s">
        <v>2905</v>
      </c>
      <c r="P269" s="55" t="s">
        <v>6833</v>
      </c>
      <c r="Q269" s="55" t="s">
        <v>81</v>
      </c>
      <c r="R269" s="55" t="s">
        <v>81</v>
      </c>
      <c r="S269" s="55" t="s">
        <v>81</v>
      </c>
      <c r="T269" s="55" t="s">
        <v>925</v>
      </c>
      <c r="U269" s="4">
        <v>0</v>
      </c>
      <c r="V269" s="64" t="s">
        <v>7007</v>
      </c>
      <c r="W269" s="56">
        <v>45517</v>
      </c>
      <c r="X269" s="56">
        <v>45517</v>
      </c>
      <c r="Y269" s="4" t="s">
        <v>6838</v>
      </c>
    </row>
    <row r="270" ht="25.05" customHeight="1" s="66" customFormat="1">
      <c r="A270" s="77">
        <v>171229</v>
      </c>
      <c r="B270" s="77" t="s">
        <v>3315</v>
      </c>
      <c r="C270" s="77" t="s">
        <v>7040</v>
      </c>
      <c r="D270" s="77" t="s">
        <v>7041</v>
      </c>
      <c r="E270" s="77" t="s">
        <v>67</v>
      </c>
      <c r="F270" s="77" t="s">
        <v>71</v>
      </c>
      <c r="G270" s="77"/>
      <c r="H270" s="77" t="s">
        <v>308</v>
      </c>
      <c r="I270" s="77" t="s">
        <v>74</v>
      </c>
      <c r="J270" s="80">
        <v>45517</v>
      </c>
      <c r="K270" s="80">
        <v>45518</v>
      </c>
      <c r="L270" s="81" t="s">
        <v>6854</v>
      </c>
      <c r="M270" s="77" t="s">
        <v>3510</v>
      </c>
      <c r="N270" s="81" t="s">
        <v>3796</v>
      </c>
      <c r="O270" s="77" t="s">
        <v>2905</v>
      </c>
      <c r="P270" s="77" t="s">
        <v>6833</v>
      </c>
      <c r="Q270" s="77" t="s">
        <v>81</v>
      </c>
      <c r="R270" s="77" t="s">
        <v>81</v>
      </c>
      <c r="S270" s="77" t="s">
        <v>81</v>
      </c>
      <c r="T270" s="77" t="s">
        <v>925</v>
      </c>
      <c r="U270" s="81" t="s">
        <v>6854</v>
      </c>
      <c r="V270" s="83" t="s">
        <v>7007</v>
      </c>
      <c r="W270" s="80">
        <v>45518</v>
      </c>
      <c r="X270" s="84">
        <v>45518</v>
      </c>
      <c r="Y270" s="81" t="s">
        <v>6838</v>
      </c>
      <c r="Z270" s="81" t="s">
        <v>6838</v>
      </c>
    </row>
    <row r="271" ht="25.05" customHeight="1" s="66" customFormat="1">
      <c r="A271" s="55">
        <v>171685</v>
      </c>
      <c r="B271" s="55" t="s">
        <v>2829</v>
      </c>
      <c r="C271" s="55" t="s">
        <v>6073</v>
      </c>
      <c r="D271" s="55">
        <v>17320398749</v>
      </c>
      <c r="E271" s="55" t="s">
        <v>67</v>
      </c>
      <c r="F271" s="55" t="s">
        <v>71</v>
      </c>
      <c r="G271" s="55" t="s">
        <v>5709</v>
      </c>
      <c r="H271" s="55" t="s">
        <v>115</v>
      </c>
      <c r="I271" s="55" t="s">
        <v>74</v>
      </c>
      <c r="J271" s="56">
        <v>45522</v>
      </c>
      <c r="K271" s="56">
        <v>45530</v>
      </c>
      <c r="L271" s="55" t="s">
        <v>6852</v>
      </c>
      <c r="M271" s="55" t="s">
        <v>3510</v>
      </c>
      <c r="N271" s="55" t="s">
        <v>7042</v>
      </c>
      <c r="O271" s="55" t="s">
        <v>2905</v>
      </c>
      <c r="P271" s="55" t="s">
        <v>6833</v>
      </c>
      <c r="Q271" s="55" t="s">
        <v>81</v>
      </c>
      <c r="R271" s="55" t="s">
        <v>81</v>
      </c>
      <c r="S271" s="55" t="s">
        <v>81</v>
      </c>
      <c r="T271" s="55" t="s">
        <v>925</v>
      </c>
      <c r="U271" s="4" t="s">
        <v>6852</v>
      </c>
      <c r="V271" s="64" t="s">
        <v>7007</v>
      </c>
      <c r="W271" s="56">
        <v>45523</v>
      </c>
      <c r="X271" s="56">
        <v>45538</v>
      </c>
      <c r="Y271" s="4" t="s">
        <v>6834</v>
      </c>
      <c r="Z271" s="4"/>
    </row>
    <row r="272" ht="25.05" customHeight="1" s="66" customFormat="1">
      <c r="A272" s="55">
        <v>171479</v>
      </c>
      <c r="B272" s="55" t="s">
        <v>6081</v>
      </c>
      <c r="C272" s="55" t="s">
        <v>7043</v>
      </c>
      <c r="D272" s="55">
        <v>1797901451</v>
      </c>
      <c r="E272" s="55" t="s">
        <v>67</v>
      </c>
      <c r="F272" s="55" t="s">
        <v>71</v>
      </c>
      <c r="G272" s="55" t="s">
        <v>155</v>
      </c>
      <c r="H272" s="55" t="s">
        <v>7034</v>
      </c>
      <c r="I272" s="55" t="s">
        <v>74</v>
      </c>
      <c r="J272" s="56">
        <v>45519</v>
      </c>
      <c r="K272" s="56">
        <v>45527</v>
      </c>
      <c r="L272" s="55" t="s">
        <v>6852</v>
      </c>
      <c r="M272" s="55" t="s">
        <v>3510</v>
      </c>
      <c r="N272" s="74" t="s">
        <v>4035</v>
      </c>
      <c r="O272" s="55" t="s">
        <v>2905</v>
      </c>
      <c r="P272" s="55" t="s">
        <v>6833</v>
      </c>
      <c r="Q272" s="55" t="s">
        <v>81</v>
      </c>
      <c r="R272" s="55" t="s">
        <v>81</v>
      </c>
      <c r="S272" s="55" t="s">
        <v>81</v>
      </c>
      <c r="T272" s="55" t="s">
        <v>925</v>
      </c>
      <c r="U272" s="4" t="s">
        <v>6852</v>
      </c>
      <c r="V272" s="64" t="s">
        <v>7007</v>
      </c>
      <c r="W272" s="56">
        <v>45523</v>
      </c>
      <c r="X272" s="56">
        <v>45529</v>
      </c>
      <c r="Y272" s="4" t="s">
        <v>6834</v>
      </c>
      <c r="Z272" s="4"/>
    </row>
    <row r="273" ht="25.05" customHeight="1" s="66" customFormat="1">
      <c r="A273" s="55">
        <v>171624</v>
      </c>
      <c r="B273" s="55" t="s">
        <v>2698</v>
      </c>
      <c r="C273" s="55" t="s">
        <v>6087</v>
      </c>
      <c r="D273" s="55">
        <v>1998500367</v>
      </c>
      <c r="E273" s="55" t="s">
        <v>67</v>
      </c>
      <c r="F273" s="55" t="s">
        <v>71</v>
      </c>
      <c r="G273" s="55" t="s">
        <v>5709</v>
      </c>
      <c r="H273" s="55" t="s">
        <v>115</v>
      </c>
      <c r="I273" s="55" t="s">
        <v>74</v>
      </c>
      <c r="J273" s="56">
        <v>45517</v>
      </c>
      <c r="K273" s="56">
        <v>45518</v>
      </c>
      <c r="L273" s="55" t="s">
        <v>6854</v>
      </c>
      <c r="M273" s="55" t="s">
        <v>3510</v>
      </c>
      <c r="N273" s="74" t="s">
        <v>7042</v>
      </c>
      <c r="O273" s="55" t="s">
        <v>2905</v>
      </c>
      <c r="P273" s="55" t="s">
        <v>6833</v>
      </c>
      <c r="Q273" s="55" t="s">
        <v>81</v>
      </c>
      <c r="R273" s="55" t="s">
        <v>81</v>
      </c>
      <c r="S273" s="55" t="s">
        <v>81</v>
      </c>
      <c r="T273" s="55" t="s">
        <v>925</v>
      </c>
      <c r="U273" s="4" t="s">
        <v>6854</v>
      </c>
      <c r="V273" s="64" t="s">
        <v>7007</v>
      </c>
      <c r="W273" s="56">
        <v>45523</v>
      </c>
      <c r="X273" s="84">
        <v>45523</v>
      </c>
      <c r="Y273" s="4" t="s">
        <v>6838</v>
      </c>
      <c r="Z273" s="4"/>
    </row>
    <row r="274" ht="25.05" customHeight="1" s="66" customFormat="1">
      <c r="A274" s="55">
        <v>171813</v>
      </c>
      <c r="B274" s="55" t="s">
        <v>5514</v>
      </c>
      <c r="C274" s="55" t="s">
        <v>6150</v>
      </c>
      <c r="D274" s="55">
        <v>1950501424</v>
      </c>
      <c r="E274" s="55" t="s">
        <v>67</v>
      </c>
      <c r="F274" s="55" t="s">
        <v>71</v>
      </c>
      <c r="G274" s="55" t="s">
        <v>2495</v>
      </c>
      <c r="H274" s="55" t="s">
        <v>2643</v>
      </c>
      <c r="I274" s="55" t="s">
        <v>74</v>
      </c>
      <c r="J274" s="56">
        <v>45518</v>
      </c>
      <c r="K274" s="56">
        <v>45520</v>
      </c>
      <c r="L274" s="55">
        <v>0</v>
      </c>
      <c r="M274" s="55" t="s">
        <v>3510</v>
      </c>
      <c r="N274" s="74" t="s">
        <v>2868</v>
      </c>
      <c r="O274" s="55" t="s">
        <v>2905</v>
      </c>
      <c r="P274" s="55" t="s">
        <v>6833</v>
      </c>
      <c r="Q274" s="55" t="s">
        <v>81</v>
      </c>
      <c r="R274" s="55" t="s">
        <v>81</v>
      </c>
      <c r="S274" s="55" t="s">
        <v>81</v>
      </c>
      <c r="T274" s="55" t="s">
        <v>925</v>
      </c>
      <c r="U274" s="4">
        <v>0</v>
      </c>
      <c r="V274" s="64" t="s">
        <v>7007</v>
      </c>
      <c r="W274" s="56">
        <v>45526</v>
      </c>
      <c r="X274" s="56">
        <v>45529</v>
      </c>
      <c r="Y274" s="4" t="s">
        <v>6838</v>
      </c>
      <c r="Z274" s="4"/>
    </row>
    <row r="275" ht="25.05" customHeight="1" s="66" customFormat="1">
      <c r="A275" s="55">
        <v>171490</v>
      </c>
      <c r="B275" s="55" t="s">
        <v>5096</v>
      </c>
      <c r="C275" s="55" t="s">
        <v>6101</v>
      </c>
      <c r="D275" s="55">
        <v>1931755696</v>
      </c>
      <c r="E275" s="55" t="s">
        <v>67</v>
      </c>
      <c r="F275" s="55" t="s">
        <v>71</v>
      </c>
      <c r="G275" s="55" t="s">
        <v>2495</v>
      </c>
      <c r="H275" s="55" t="s">
        <v>2643</v>
      </c>
      <c r="I275" s="55" t="s">
        <v>74</v>
      </c>
      <c r="J275" s="56">
        <v>45523</v>
      </c>
      <c r="K275" s="56">
        <v>45524</v>
      </c>
      <c r="L275" s="55">
        <v>0</v>
      </c>
      <c r="M275" s="55" t="s">
        <v>3510</v>
      </c>
      <c r="N275" s="74" t="s">
        <v>2868</v>
      </c>
      <c r="O275" s="55" t="s">
        <v>2905</v>
      </c>
      <c r="P275" s="55" t="s">
        <v>6833</v>
      </c>
      <c r="Q275" s="55" t="s">
        <v>81</v>
      </c>
      <c r="R275" s="55" t="s">
        <v>81</v>
      </c>
      <c r="S275" s="55" t="s">
        <v>81</v>
      </c>
      <c r="T275" s="55" t="s">
        <v>925</v>
      </c>
      <c r="U275" s="4">
        <v>0</v>
      </c>
      <c r="V275" s="64" t="s">
        <v>7007</v>
      </c>
      <c r="W275" s="56">
        <v>45526</v>
      </c>
      <c r="X275" s="56">
        <v>45529</v>
      </c>
      <c r="Y275" s="4" t="s">
        <v>6838</v>
      </c>
      <c r="Z275" s="4"/>
    </row>
    <row r="276" ht="25.05" customHeight="1" s="66" customFormat="1">
      <c r="A276" s="55">
        <v>171787</v>
      </c>
      <c r="B276" s="55" t="s">
        <v>6107</v>
      </c>
      <c r="C276" s="55" t="s">
        <v>6108</v>
      </c>
      <c r="D276" s="55">
        <v>1853459113</v>
      </c>
      <c r="E276" s="55" t="s">
        <v>67</v>
      </c>
      <c r="F276" s="55" t="s">
        <v>71</v>
      </c>
      <c r="G276" s="55" t="s">
        <v>2495</v>
      </c>
      <c r="H276" s="55" t="s">
        <v>2643</v>
      </c>
      <c r="I276" s="55" t="s">
        <v>74</v>
      </c>
      <c r="J276" s="56">
        <v>45519</v>
      </c>
      <c r="K276" s="56">
        <v>45527</v>
      </c>
      <c r="L276" s="55" t="s">
        <v>6852</v>
      </c>
      <c r="M276" s="55" t="s">
        <v>3510</v>
      </c>
      <c r="N276" s="74" t="s">
        <v>2868</v>
      </c>
      <c r="O276" s="55" t="s">
        <v>2905</v>
      </c>
      <c r="P276" s="55" t="s">
        <v>6833</v>
      </c>
      <c r="Q276" s="55" t="s">
        <v>81</v>
      </c>
      <c r="R276" s="55" t="s">
        <v>81</v>
      </c>
      <c r="S276" s="55" t="s">
        <v>81</v>
      </c>
      <c r="T276" s="55" t="s">
        <v>925</v>
      </c>
      <c r="U276" s="4" t="s">
        <v>6852</v>
      </c>
      <c r="V276" s="64" t="s">
        <v>7007</v>
      </c>
      <c r="W276" s="56">
        <v>45526</v>
      </c>
      <c r="X276" s="56">
        <v>45529</v>
      </c>
      <c r="Y276" s="4"/>
      <c r="Z276" s="4"/>
    </row>
    <row r="277" ht="25.05" customHeight="1" s="66" customFormat="1">
      <c r="A277" s="55">
        <v>171777</v>
      </c>
      <c r="B277" s="55" t="s">
        <v>6109</v>
      </c>
      <c r="C277" s="55" t="s">
        <v>6110</v>
      </c>
      <c r="D277" s="55">
        <v>154718532</v>
      </c>
      <c r="E277" s="55" t="s">
        <v>67</v>
      </c>
      <c r="F277" s="55" t="s">
        <v>71</v>
      </c>
      <c r="G277" s="55" t="s">
        <v>2495</v>
      </c>
      <c r="H277" s="55" t="s">
        <v>2643</v>
      </c>
      <c r="I277" s="55" t="s">
        <v>74</v>
      </c>
      <c r="J277" s="56">
        <v>45523</v>
      </c>
      <c r="K277" s="56">
        <v>45524</v>
      </c>
      <c r="L277" s="55">
        <v>0</v>
      </c>
      <c r="M277" s="55" t="s">
        <v>3510</v>
      </c>
      <c r="N277" s="74" t="s">
        <v>3796</v>
      </c>
      <c r="O277" s="55" t="s">
        <v>2905</v>
      </c>
      <c r="P277" s="55" t="s">
        <v>6833</v>
      </c>
      <c r="Q277" s="55" t="s">
        <v>81</v>
      </c>
      <c r="R277" s="55" t="s">
        <v>81</v>
      </c>
      <c r="S277" s="55" t="s">
        <v>81</v>
      </c>
      <c r="T277" s="55" t="s">
        <v>925</v>
      </c>
      <c r="U277" s="4">
        <v>0</v>
      </c>
      <c r="V277" s="64" t="s">
        <v>7007</v>
      </c>
      <c r="W277" s="56">
        <v>45526</v>
      </c>
      <c r="X277" s="56">
        <v>45529</v>
      </c>
      <c r="Y277" s="4" t="s">
        <v>6838</v>
      </c>
      <c r="Z277" s="4"/>
    </row>
    <row r="278" ht="25.05" customHeight="1" s="66" customFormat="1">
      <c r="A278" s="55">
        <v>171261</v>
      </c>
      <c r="B278" s="55" t="s">
        <v>2856</v>
      </c>
      <c r="C278" s="55" t="s">
        <v>7044</v>
      </c>
      <c r="D278" s="55">
        <v>1834104392</v>
      </c>
      <c r="E278" s="55" t="s">
        <v>67</v>
      </c>
      <c r="F278" s="55" t="s">
        <v>71</v>
      </c>
      <c r="G278" s="55" t="s">
        <v>2495</v>
      </c>
      <c r="H278" s="55" t="s">
        <v>2643</v>
      </c>
      <c r="I278" s="55" t="s">
        <v>74</v>
      </c>
      <c r="J278" s="56">
        <v>45523</v>
      </c>
      <c r="K278" s="56">
        <v>45524</v>
      </c>
      <c r="L278" s="55">
        <v>0</v>
      </c>
      <c r="M278" s="55" t="s">
        <v>3510</v>
      </c>
      <c r="N278" s="74" t="s">
        <v>3796</v>
      </c>
      <c r="O278" s="55" t="s">
        <v>2905</v>
      </c>
      <c r="P278" s="55" t="s">
        <v>6833</v>
      </c>
      <c r="Q278" s="55" t="s">
        <v>81</v>
      </c>
      <c r="R278" s="55" t="s">
        <v>81</v>
      </c>
      <c r="S278" s="55" t="s">
        <v>81</v>
      </c>
      <c r="T278" s="55" t="s">
        <v>925</v>
      </c>
      <c r="U278" s="4">
        <v>0</v>
      </c>
      <c r="V278" s="64" t="s">
        <v>7007</v>
      </c>
      <c r="W278" s="56">
        <v>45526</v>
      </c>
      <c r="X278" s="56">
        <v>45529</v>
      </c>
      <c r="Y278" s="4" t="s">
        <v>6838</v>
      </c>
      <c r="Z278" s="4"/>
    </row>
    <row r="279" ht="25.05" customHeight="1" s="66" customFormat="1">
      <c r="A279" s="55">
        <v>171452</v>
      </c>
      <c r="B279" s="55" t="s">
        <v>5027</v>
      </c>
      <c r="C279" s="55" t="s">
        <v>6128</v>
      </c>
      <c r="D279" s="55">
        <v>1867547635</v>
      </c>
      <c r="E279" s="55" t="s">
        <v>67</v>
      </c>
      <c r="F279" s="55" t="s">
        <v>71</v>
      </c>
      <c r="G279" s="55" t="s">
        <v>2495</v>
      </c>
      <c r="H279" s="55" t="s">
        <v>2643</v>
      </c>
      <c r="I279" s="55" t="s">
        <v>74</v>
      </c>
      <c r="J279" s="56">
        <v>45524</v>
      </c>
      <c r="K279" s="56">
        <v>45525</v>
      </c>
      <c r="L279" s="55">
        <v>0</v>
      </c>
      <c r="M279" s="55" t="s">
        <v>3510</v>
      </c>
      <c r="N279" s="74" t="s">
        <v>3796</v>
      </c>
      <c r="O279" s="55" t="s">
        <v>2905</v>
      </c>
      <c r="P279" s="55" t="s">
        <v>6833</v>
      </c>
      <c r="Q279" s="55" t="s">
        <v>81</v>
      </c>
      <c r="R279" s="55" t="s">
        <v>81</v>
      </c>
      <c r="S279" s="55" t="s">
        <v>81</v>
      </c>
      <c r="T279" s="55" t="s">
        <v>925</v>
      </c>
      <c r="U279" s="4">
        <v>0</v>
      </c>
      <c r="V279" s="64" t="s">
        <v>93</v>
      </c>
      <c r="W279" s="56">
        <v>45526</v>
      </c>
      <c r="X279" s="56">
        <v>45529</v>
      </c>
      <c r="Y279" s="4" t="s">
        <v>6838</v>
      </c>
      <c r="Z279" s="4"/>
    </row>
    <row r="280" ht="25.05" customHeight="1" s="66" customFormat="1">
      <c r="A280" s="55">
        <v>171679</v>
      </c>
      <c r="B280" s="55" t="s">
        <v>2573</v>
      </c>
      <c r="C280" s="55" t="s">
        <v>6133</v>
      </c>
      <c r="D280" s="55">
        <v>1677818874</v>
      </c>
      <c r="E280" s="55" t="s">
        <v>67</v>
      </c>
      <c r="F280" s="55" t="s">
        <v>71</v>
      </c>
      <c r="G280" s="55" t="s">
        <v>5709</v>
      </c>
      <c r="H280" s="55" t="s">
        <v>115</v>
      </c>
      <c r="I280" s="55" t="s">
        <v>74</v>
      </c>
      <c r="J280" s="56">
        <v>45523</v>
      </c>
      <c r="K280" s="56">
        <v>45524</v>
      </c>
      <c r="L280" s="55">
        <v>0</v>
      </c>
      <c r="M280" s="55" t="s">
        <v>3510</v>
      </c>
      <c r="N280" s="74" t="s">
        <v>3796</v>
      </c>
      <c r="O280" s="55" t="s">
        <v>2905</v>
      </c>
      <c r="P280" s="55" t="s">
        <v>6833</v>
      </c>
      <c r="Q280" s="55" t="s">
        <v>81</v>
      </c>
      <c r="R280" s="55" t="s">
        <v>81</v>
      </c>
      <c r="S280" s="55" t="s">
        <v>81</v>
      </c>
      <c r="T280" s="55" t="s">
        <v>925</v>
      </c>
      <c r="U280" s="4">
        <v>0</v>
      </c>
      <c r="V280" s="64" t="s">
        <v>93</v>
      </c>
      <c r="W280" s="56">
        <v>45526</v>
      </c>
      <c r="X280" s="56">
        <v>45529</v>
      </c>
      <c r="Y280" s="4" t="s">
        <v>6838</v>
      </c>
      <c r="Z280" s="4"/>
    </row>
    <row r="281" ht="25.05" customHeight="1" s="66" customFormat="1">
      <c r="A281" s="55">
        <v>171035</v>
      </c>
      <c r="B281" s="55" t="s">
        <v>7045</v>
      </c>
      <c r="C281" s="55" t="s">
        <v>6141</v>
      </c>
      <c r="D281" s="55">
        <v>1755900397</v>
      </c>
      <c r="E281" s="55" t="s">
        <v>67</v>
      </c>
      <c r="F281" s="55" t="s">
        <v>71</v>
      </c>
      <c r="G281" s="55" t="s">
        <v>407</v>
      </c>
      <c r="H281" s="55" t="s">
        <v>2643</v>
      </c>
      <c r="I281" s="55" t="s">
        <v>74</v>
      </c>
      <c r="J281" s="56">
        <v>45517</v>
      </c>
      <c r="K281" s="56">
        <v>45525</v>
      </c>
      <c r="L281" s="55">
        <v>9</v>
      </c>
      <c r="M281" s="55" t="s">
        <v>3510</v>
      </c>
      <c r="N281" s="74" t="s">
        <v>3796</v>
      </c>
      <c r="O281" s="55" t="s">
        <v>2905</v>
      </c>
      <c r="P281" s="55" t="s">
        <v>6833</v>
      </c>
      <c r="Q281" s="55" t="s">
        <v>81</v>
      </c>
      <c r="R281" s="55" t="s">
        <v>81</v>
      </c>
      <c r="S281" s="55" t="s">
        <v>81</v>
      </c>
      <c r="T281" s="55" t="s">
        <v>925</v>
      </c>
      <c r="U281" s="4">
        <v>9</v>
      </c>
      <c r="V281" s="64" t="s">
        <v>7007</v>
      </c>
      <c r="W281" s="56">
        <v>45526</v>
      </c>
      <c r="X281" s="56">
        <v>45529</v>
      </c>
      <c r="Y281" s="4"/>
      <c r="Z281" s="4"/>
    </row>
    <row r="282" ht="25.05" customHeight="1" s="66" customFormat="1">
      <c r="A282" s="55">
        <v>171795</v>
      </c>
      <c r="B282" s="55" t="s">
        <v>6148</v>
      </c>
      <c r="C282" s="55" t="s">
        <v>7046</v>
      </c>
      <c r="D282" s="55">
        <v>1758538454</v>
      </c>
      <c r="E282" s="55" t="s">
        <v>67</v>
      </c>
      <c r="F282" s="55" t="s">
        <v>71</v>
      </c>
      <c r="G282" s="55" t="s">
        <v>2495</v>
      </c>
      <c r="H282" s="55" t="s">
        <v>2643</v>
      </c>
      <c r="I282" s="55" t="s">
        <v>74</v>
      </c>
      <c r="J282" s="56">
        <v>45526</v>
      </c>
      <c r="K282" s="56">
        <v>45527</v>
      </c>
      <c r="L282" s="55">
        <v>0</v>
      </c>
      <c r="M282" s="55" t="s">
        <v>3510</v>
      </c>
      <c r="N282" s="74" t="s">
        <v>2868</v>
      </c>
      <c r="O282" s="55" t="s">
        <v>2905</v>
      </c>
      <c r="P282" s="55" t="s">
        <v>6833</v>
      </c>
      <c r="Q282" s="55" t="s">
        <v>81</v>
      </c>
      <c r="R282" s="55" t="s">
        <v>81</v>
      </c>
      <c r="S282" s="55" t="s">
        <v>81</v>
      </c>
      <c r="T282" s="55" t="s">
        <v>925</v>
      </c>
      <c r="U282" s="4">
        <v>0</v>
      </c>
      <c r="V282" s="64" t="s">
        <v>7007</v>
      </c>
      <c r="W282" s="56">
        <v>45529</v>
      </c>
      <c r="X282" s="56">
        <v>45529</v>
      </c>
      <c r="Y282" s="4" t="s">
        <v>6838</v>
      </c>
      <c r="Z282" s="4"/>
    </row>
    <row r="283" ht="25.05" customHeight="1" s="66" customFormat="1">
      <c r="A283" s="55">
        <v>171802</v>
      </c>
      <c r="B283" s="55" t="s">
        <v>5696</v>
      </c>
      <c r="C283" s="55" t="s">
        <v>6150</v>
      </c>
      <c r="D283" s="55">
        <v>1950501424</v>
      </c>
      <c r="E283" s="55" t="s">
        <v>67</v>
      </c>
      <c r="F283" s="55" t="s">
        <v>71</v>
      </c>
      <c r="G283" s="55" t="s">
        <v>2495</v>
      </c>
      <c r="H283" s="55" t="s">
        <v>2643</v>
      </c>
      <c r="I283" s="55" t="s">
        <v>74</v>
      </c>
      <c r="J283" s="56">
        <v>45524</v>
      </c>
      <c r="K283" s="56">
        <v>45519</v>
      </c>
      <c r="L283" s="55">
        <v>0</v>
      </c>
      <c r="M283" s="55" t="s">
        <v>3510</v>
      </c>
      <c r="N283" s="74" t="s">
        <v>2868</v>
      </c>
      <c r="O283" s="55" t="s">
        <v>2905</v>
      </c>
      <c r="P283" s="55" t="s">
        <v>6833</v>
      </c>
      <c r="Q283" s="55" t="s">
        <v>81</v>
      </c>
      <c r="R283" s="55" t="s">
        <v>81</v>
      </c>
      <c r="S283" s="55" t="s">
        <v>81</v>
      </c>
      <c r="T283" s="55" t="s">
        <v>925</v>
      </c>
      <c r="U283" s="4">
        <v>0</v>
      </c>
      <c r="V283" s="64" t="s">
        <v>7007</v>
      </c>
      <c r="W283" s="56">
        <v>45529</v>
      </c>
      <c r="X283" s="56">
        <v>45529</v>
      </c>
      <c r="Y283" s="4" t="s">
        <v>6838</v>
      </c>
      <c r="Z283" s="4"/>
    </row>
    <row r="284" ht="25.05" customHeight="1" s="66" customFormat="1">
      <c r="A284" s="55">
        <v>171263</v>
      </c>
      <c r="B284" s="55" t="s">
        <v>6262</v>
      </c>
      <c r="C284" s="55" t="s">
        <v>6155</v>
      </c>
      <c r="D284" s="55">
        <v>1557137389</v>
      </c>
      <c r="E284" s="55" t="s">
        <v>67</v>
      </c>
      <c r="F284" s="55" t="s">
        <v>71</v>
      </c>
      <c r="G284" s="55" t="s">
        <v>5709</v>
      </c>
      <c r="H284" s="55" t="s">
        <v>98</v>
      </c>
      <c r="I284" s="55" t="s">
        <v>74</v>
      </c>
      <c r="J284" s="56">
        <v>45519</v>
      </c>
      <c r="K284" s="56">
        <v>45527</v>
      </c>
      <c r="L284" s="55" t="s">
        <v>6852</v>
      </c>
      <c r="M284" s="55" t="s">
        <v>3510</v>
      </c>
      <c r="N284" s="74" t="s">
        <v>2868</v>
      </c>
      <c r="O284" s="55" t="s">
        <v>2905</v>
      </c>
      <c r="P284" s="55" t="s">
        <v>6833</v>
      </c>
      <c r="Q284" s="55" t="s">
        <v>81</v>
      </c>
      <c r="R284" s="55" t="s">
        <v>81</v>
      </c>
      <c r="S284" s="55" t="s">
        <v>81</v>
      </c>
      <c r="T284" s="55" t="s">
        <v>925</v>
      </c>
      <c r="U284" s="4" t="s">
        <v>6852</v>
      </c>
      <c r="V284" s="64" t="s">
        <v>7007</v>
      </c>
      <c r="W284" s="56">
        <v>45529</v>
      </c>
      <c r="X284" s="56">
        <v>45529</v>
      </c>
      <c r="Y284" s="4"/>
      <c r="Z284" s="4"/>
    </row>
    <row r="285" ht="25.05" customHeight="1" s="66" customFormat="1">
      <c r="A285" s="55">
        <v>171482</v>
      </c>
      <c r="B285" s="55" t="s">
        <v>6164</v>
      </c>
      <c r="C285" s="55" t="s">
        <v>6165</v>
      </c>
      <c r="D285" s="55">
        <v>1609047671</v>
      </c>
      <c r="E285" s="55" t="s">
        <v>67</v>
      </c>
      <c r="F285" s="55" t="s">
        <v>71</v>
      </c>
      <c r="G285" s="55" t="s">
        <v>155</v>
      </c>
      <c r="H285" s="55" t="s">
        <v>196</v>
      </c>
      <c r="I285" s="55" t="s">
        <v>74</v>
      </c>
      <c r="J285" s="56">
        <v>45524</v>
      </c>
      <c r="K285" s="56">
        <v>45533</v>
      </c>
      <c r="L285" s="55">
        <v>9</v>
      </c>
      <c r="M285" s="55" t="s">
        <v>3510</v>
      </c>
      <c r="N285" s="74" t="s">
        <v>3796</v>
      </c>
      <c r="O285" s="55" t="s">
        <v>2905</v>
      </c>
      <c r="P285" s="55" t="s">
        <v>6833</v>
      </c>
      <c r="Q285" s="55" t="s">
        <v>81</v>
      </c>
      <c r="R285" s="55" t="s">
        <v>81</v>
      </c>
      <c r="S285" s="55" t="s">
        <v>81</v>
      </c>
      <c r="T285" s="55" t="s">
        <v>925</v>
      </c>
      <c r="U285" s="4">
        <v>9</v>
      </c>
      <c r="V285" s="64" t="s">
        <v>7007</v>
      </c>
      <c r="W285" s="56">
        <v>45529</v>
      </c>
      <c r="X285" s="56">
        <v>45538</v>
      </c>
      <c r="Y285" s="4"/>
      <c r="Z285" s="4"/>
    </row>
    <row r="286" ht="25.05" customHeight="1" s="66" customFormat="1">
      <c r="A286" s="55">
        <v>171475</v>
      </c>
      <c r="B286" s="55" t="s">
        <v>7047</v>
      </c>
      <c r="C286" s="55" t="s">
        <v>7048</v>
      </c>
      <c r="D286" s="55">
        <v>1683252684</v>
      </c>
      <c r="E286" s="55" t="s">
        <v>67</v>
      </c>
      <c r="F286" s="55" t="s">
        <v>71</v>
      </c>
      <c r="G286" s="55" t="s">
        <v>5709</v>
      </c>
      <c r="H286" s="55" t="s">
        <v>458</v>
      </c>
      <c r="I286" s="55" t="s">
        <v>74</v>
      </c>
      <c r="J286" s="56">
        <v>45532</v>
      </c>
      <c r="K286" s="56">
        <v>45539</v>
      </c>
      <c r="L286" s="55" t="s">
        <v>6852</v>
      </c>
      <c r="M286" s="55" t="s">
        <v>3510</v>
      </c>
      <c r="N286" s="74" t="s">
        <v>7049</v>
      </c>
      <c r="O286" s="55" t="s">
        <v>2905</v>
      </c>
      <c r="P286" s="55" t="s">
        <v>6833</v>
      </c>
      <c r="Q286" s="55" t="s">
        <v>81</v>
      </c>
      <c r="R286" s="55" t="s">
        <v>81</v>
      </c>
      <c r="S286" s="55" t="s">
        <v>81</v>
      </c>
      <c r="T286" s="55" t="s">
        <v>925</v>
      </c>
      <c r="U286" s="4" t="s">
        <v>6852</v>
      </c>
      <c r="V286" s="64" t="s">
        <v>7007</v>
      </c>
      <c r="W286" s="56">
        <v>45538</v>
      </c>
      <c r="X286" s="56">
        <v>45540</v>
      </c>
      <c r="Y286" s="4"/>
      <c r="Z286" s="4"/>
    </row>
    <row r="287" ht="25.05" customHeight="1" s="66" customFormat="1">
      <c r="A287" s="55">
        <v>171708</v>
      </c>
      <c r="B287" s="55" t="s">
        <v>6197</v>
      </c>
      <c r="C287" s="55" t="s">
        <v>6198</v>
      </c>
      <c r="D287" s="55">
        <v>1688877893</v>
      </c>
      <c r="E287" s="55" t="s">
        <v>67</v>
      </c>
      <c r="F287" s="55" t="s">
        <v>71</v>
      </c>
      <c r="G287" s="55" t="s">
        <v>155</v>
      </c>
      <c r="H287" s="55" t="s">
        <v>196</v>
      </c>
      <c r="I287" s="55" t="s">
        <v>74</v>
      </c>
      <c r="J287" s="56">
        <v>45524</v>
      </c>
      <c r="K287" s="56">
        <v>45532</v>
      </c>
      <c r="L287" s="55" t="s">
        <v>6947</v>
      </c>
      <c r="M287" s="55" t="s">
        <v>3510</v>
      </c>
      <c r="N287" s="74" t="s">
        <v>4035</v>
      </c>
      <c r="O287" s="55" t="s">
        <v>2905</v>
      </c>
      <c r="P287" s="55" t="s">
        <v>6833</v>
      </c>
      <c r="Q287" s="55" t="s">
        <v>81</v>
      </c>
      <c r="R287" s="55" t="s">
        <v>81</v>
      </c>
      <c r="S287" s="55" t="s">
        <v>81</v>
      </c>
      <c r="T287" s="55" t="s">
        <v>925</v>
      </c>
      <c r="U287" s="4" t="s">
        <v>6947</v>
      </c>
      <c r="V287" s="64" t="s">
        <v>7007</v>
      </c>
      <c r="W287" s="56">
        <v>45538</v>
      </c>
      <c r="X287" s="56">
        <v>45538</v>
      </c>
      <c r="Y287" s="4"/>
      <c r="Z287" s="4"/>
    </row>
    <row r="288" ht="25.05" customHeight="1" s="66" customFormat="1">
      <c r="A288" s="55">
        <v>171782</v>
      </c>
      <c r="B288" s="55" t="s">
        <v>2694</v>
      </c>
      <c r="C288" s="55" t="s">
        <v>6214</v>
      </c>
      <c r="D288" s="55">
        <v>1784907521</v>
      </c>
      <c r="E288" s="55" t="s">
        <v>67</v>
      </c>
      <c r="F288" s="55" t="s">
        <v>71</v>
      </c>
      <c r="G288" s="55" t="s">
        <v>5709</v>
      </c>
      <c r="H288" s="55" t="s">
        <v>115</v>
      </c>
      <c r="I288" s="55" t="s">
        <v>74</v>
      </c>
      <c r="J288" s="56">
        <v>45533</v>
      </c>
      <c r="K288" s="56">
        <v>45542</v>
      </c>
      <c r="L288" s="55" t="s">
        <v>6845</v>
      </c>
      <c r="M288" s="55" t="s">
        <v>3510</v>
      </c>
      <c r="N288" s="74" t="s">
        <v>7050</v>
      </c>
      <c r="O288" s="55" t="s">
        <v>2905</v>
      </c>
      <c r="P288" s="55" t="s">
        <v>6833</v>
      </c>
      <c r="Q288" s="55" t="s">
        <v>81</v>
      </c>
      <c r="R288" s="55" t="s">
        <v>81</v>
      </c>
      <c r="S288" s="55" t="s">
        <v>81</v>
      </c>
      <c r="T288" s="55" t="s">
        <v>925</v>
      </c>
      <c r="U288" s="4" t="s">
        <v>6845</v>
      </c>
      <c r="V288" s="64" t="s">
        <v>7007</v>
      </c>
      <c r="W288" s="56">
        <v>45538</v>
      </c>
      <c r="X288" s="56">
        <v>45544</v>
      </c>
      <c r="Y288" s="4"/>
      <c r="Z288" s="4"/>
    </row>
    <row r="289" ht="25.05" customHeight="1" s="66" customFormat="1">
      <c r="A289" s="55">
        <v>171591</v>
      </c>
      <c r="B289" s="55" t="s">
        <v>6218</v>
      </c>
      <c r="C289" s="55" t="s">
        <v>6219</v>
      </c>
      <c r="D289" s="55">
        <v>1845136967</v>
      </c>
      <c r="E289" s="55" t="s">
        <v>67</v>
      </c>
      <c r="F289" s="55" t="s">
        <v>71</v>
      </c>
      <c r="G289" s="55" t="s">
        <v>155</v>
      </c>
      <c r="H289" s="55" t="s">
        <v>196</v>
      </c>
      <c r="I289" s="55" t="s">
        <v>74</v>
      </c>
      <c r="J289" s="56">
        <v>45530</v>
      </c>
      <c r="K289" s="56">
        <v>45531</v>
      </c>
      <c r="L289" s="55">
        <v>0</v>
      </c>
      <c r="M289" s="55" t="s">
        <v>3510</v>
      </c>
      <c r="N289" s="74" t="s">
        <v>4035</v>
      </c>
      <c r="O289" s="55" t="s">
        <v>2905</v>
      </c>
      <c r="P289" s="55" t="s">
        <v>6833</v>
      </c>
      <c r="Q289" s="55" t="s">
        <v>81</v>
      </c>
      <c r="R289" s="55" t="s">
        <v>81</v>
      </c>
      <c r="S289" s="55" t="s">
        <v>81</v>
      </c>
      <c r="T289" s="55" t="s">
        <v>925</v>
      </c>
      <c r="U289" s="4">
        <v>0</v>
      </c>
      <c r="V289" s="64" t="s">
        <v>7007</v>
      </c>
      <c r="W289" s="56">
        <v>45538</v>
      </c>
      <c r="X289" s="56">
        <v>45538</v>
      </c>
      <c r="Y289" s="4" t="s">
        <v>6838</v>
      </c>
      <c r="Z289" s="4"/>
    </row>
    <row r="290" ht="25.05" customHeight="1" s="66" customFormat="1">
      <c r="A290" s="55">
        <v>171619</v>
      </c>
      <c r="B290" s="55" t="s">
        <v>7051</v>
      </c>
      <c r="C290" s="55" t="s">
        <v>6227</v>
      </c>
      <c r="D290" s="55">
        <v>1949375939</v>
      </c>
      <c r="E290" s="55" t="s">
        <v>67</v>
      </c>
      <c r="F290" s="55" t="s">
        <v>71</v>
      </c>
      <c r="G290" s="55" t="s">
        <v>7052</v>
      </c>
      <c r="H290" s="55" t="s">
        <v>308</v>
      </c>
      <c r="I290" s="55" t="s">
        <v>74</v>
      </c>
      <c r="J290" s="56">
        <v>45529</v>
      </c>
      <c r="K290" s="56">
        <v>45530</v>
      </c>
      <c r="L290" s="55" t="s">
        <v>6854</v>
      </c>
      <c r="M290" s="55" t="s">
        <v>3510</v>
      </c>
      <c r="N290" s="74" t="s">
        <v>7053</v>
      </c>
      <c r="O290" s="55" t="s">
        <v>2905</v>
      </c>
      <c r="P290" s="55" t="s">
        <v>6833</v>
      </c>
      <c r="Q290" s="55" t="s">
        <v>81</v>
      </c>
      <c r="R290" s="55" t="s">
        <v>81</v>
      </c>
      <c r="S290" s="55" t="s">
        <v>81</v>
      </c>
      <c r="T290" s="55" t="s">
        <v>925</v>
      </c>
      <c r="U290" s="4" t="s">
        <v>6854</v>
      </c>
      <c r="V290" s="64" t="s">
        <v>93</v>
      </c>
      <c r="W290" s="56">
        <v>45538</v>
      </c>
      <c r="X290" s="56">
        <v>45538</v>
      </c>
      <c r="Y290" s="4" t="s">
        <v>6838</v>
      </c>
      <c r="Z290" s="4"/>
    </row>
    <row r="291" ht="25.05" customHeight="1" s="66" customFormat="1">
      <c r="A291" s="55">
        <v>171366</v>
      </c>
      <c r="B291" s="55" t="s">
        <v>6233</v>
      </c>
      <c r="C291" s="55" t="s">
        <v>6234</v>
      </c>
      <c r="D291" s="55">
        <v>1884416949</v>
      </c>
      <c r="E291" s="55" t="s">
        <v>67</v>
      </c>
      <c r="F291" s="55" t="s">
        <v>71</v>
      </c>
      <c r="G291" s="55" t="s">
        <v>155</v>
      </c>
      <c r="H291" s="55" t="s">
        <v>196</v>
      </c>
      <c r="I291" s="55" t="s">
        <v>74</v>
      </c>
      <c r="J291" s="56">
        <v>45527</v>
      </c>
      <c r="K291" s="56">
        <v>45534</v>
      </c>
      <c r="L291" s="55">
        <v>0</v>
      </c>
      <c r="M291" s="55" t="s">
        <v>3510</v>
      </c>
      <c r="N291" s="74" t="s">
        <v>4035</v>
      </c>
      <c r="O291" s="55" t="s">
        <v>2905</v>
      </c>
      <c r="P291" s="55" t="s">
        <v>6833</v>
      </c>
      <c r="Q291" s="55" t="s">
        <v>81</v>
      </c>
      <c r="R291" s="55" t="s">
        <v>81</v>
      </c>
      <c r="S291" s="55" t="s">
        <v>81</v>
      </c>
      <c r="T291" s="55" t="s">
        <v>925</v>
      </c>
      <c r="U291" s="4">
        <v>0</v>
      </c>
      <c r="V291" s="64" t="s">
        <v>93</v>
      </c>
      <c r="W291" s="56">
        <v>45538</v>
      </c>
      <c r="X291" s="56">
        <v>45538</v>
      </c>
      <c r="Y291" s="4" t="s">
        <v>6838</v>
      </c>
      <c r="Z291" s="4"/>
    </row>
    <row r="292" ht="25.05" customHeight="1" s="66" customFormat="1">
      <c r="A292" s="55">
        <v>171671</v>
      </c>
      <c r="B292" s="55" t="s">
        <v>2568</v>
      </c>
      <c r="C292" s="55" t="s">
        <v>6240</v>
      </c>
      <c r="D292" s="55">
        <v>1765280697</v>
      </c>
      <c r="E292" s="55" t="s">
        <v>67</v>
      </c>
      <c r="F292" s="55" t="s">
        <v>71</v>
      </c>
      <c r="G292" s="55" t="s">
        <v>5709</v>
      </c>
      <c r="H292" s="55" t="s">
        <v>369</v>
      </c>
      <c r="I292" s="55" t="s">
        <v>74</v>
      </c>
      <c r="J292" s="56">
        <v>45528</v>
      </c>
      <c r="K292" s="56">
        <v>45529</v>
      </c>
      <c r="L292" s="55" t="s">
        <v>6854</v>
      </c>
      <c r="M292" s="55" t="s">
        <v>3510</v>
      </c>
      <c r="N292" s="74" t="s">
        <v>7053</v>
      </c>
      <c r="O292" s="55" t="s">
        <v>2905</v>
      </c>
      <c r="P292" s="55" t="s">
        <v>6833</v>
      </c>
      <c r="Q292" s="55" t="s">
        <v>81</v>
      </c>
      <c r="R292" s="55" t="s">
        <v>81</v>
      </c>
      <c r="S292" s="55" t="s">
        <v>81</v>
      </c>
      <c r="T292" s="55" t="s">
        <v>925</v>
      </c>
      <c r="U292" s="4" t="s">
        <v>6854</v>
      </c>
      <c r="V292" s="64" t="s">
        <v>7007</v>
      </c>
      <c r="W292" s="56">
        <v>45538</v>
      </c>
      <c r="X292" s="56">
        <v>45538</v>
      </c>
      <c r="Y292" s="4" t="s">
        <v>6838</v>
      </c>
      <c r="Z292" s="4"/>
    </row>
    <row r="293" ht="25.05" customHeight="1" s="66" customFormat="1">
      <c r="A293" s="55">
        <v>171216</v>
      </c>
      <c r="B293" s="55" t="s">
        <v>6248</v>
      </c>
      <c r="C293" s="55" t="s">
        <v>7054</v>
      </c>
      <c r="D293" s="55">
        <v>1683730583</v>
      </c>
      <c r="E293" s="55" t="s">
        <v>67</v>
      </c>
      <c r="F293" s="55" t="s">
        <v>71</v>
      </c>
      <c r="G293" s="55" t="s">
        <v>2495</v>
      </c>
      <c r="H293" s="55" t="s">
        <v>2643</v>
      </c>
      <c r="I293" s="55" t="s">
        <v>74</v>
      </c>
      <c r="J293" s="56">
        <v>45529</v>
      </c>
      <c r="K293" s="56">
        <v>45536</v>
      </c>
      <c r="L293" s="55" t="s">
        <v>6994</v>
      </c>
      <c r="M293" s="55" t="s">
        <v>3510</v>
      </c>
      <c r="N293" s="74" t="s">
        <v>4035</v>
      </c>
      <c r="O293" s="55" t="s">
        <v>2905</v>
      </c>
      <c r="P293" s="55" t="s">
        <v>6833</v>
      </c>
      <c r="Q293" s="55" t="s">
        <v>81</v>
      </c>
      <c r="R293" s="55" t="s">
        <v>81</v>
      </c>
      <c r="S293" s="55" t="s">
        <v>81</v>
      </c>
      <c r="T293" s="55" t="s">
        <v>925</v>
      </c>
      <c r="U293" s="4" t="s">
        <v>6994</v>
      </c>
      <c r="V293" s="64" t="s">
        <v>93</v>
      </c>
      <c r="W293" s="56">
        <v>45538</v>
      </c>
      <c r="X293" s="56">
        <v>45538</v>
      </c>
      <c r="Y293" s="4"/>
      <c r="Z293" s="4"/>
    </row>
    <row r="294" ht="25.05" customHeight="1" s="66" customFormat="1">
      <c r="A294" s="55">
        <v>171598</v>
      </c>
      <c r="B294" s="55" t="s">
        <v>5061</v>
      </c>
      <c r="C294" s="55" t="s">
        <v>7055</v>
      </c>
      <c r="D294" s="55">
        <v>1572056126</v>
      </c>
      <c r="E294" s="55" t="s">
        <v>67</v>
      </c>
      <c r="F294" s="55" t="s">
        <v>71</v>
      </c>
      <c r="G294" s="55" t="s">
        <v>2495</v>
      </c>
      <c r="H294" s="55" t="s">
        <v>2643</v>
      </c>
      <c r="I294" s="55" t="s">
        <v>74</v>
      </c>
      <c r="J294" s="56">
        <v>45527</v>
      </c>
      <c r="K294" s="56">
        <v>45528</v>
      </c>
      <c r="L294" s="55">
        <v>0</v>
      </c>
      <c r="M294" s="55" t="s">
        <v>3510</v>
      </c>
      <c r="N294" s="74" t="s">
        <v>4035</v>
      </c>
      <c r="O294" s="55" t="s">
        <v>2905</v>
      </c>
      <c r="P294" s="55" t="s">
        <v>6833</v>
      </c>
      <c r="Q294" s="55" t="s">
        <v>81</v>
      </c>
      <c r="R294" s="55" t="s">
        <v>81</v>
      </c>
      <c r="S294" s="55" t="s">
        <v>81</v>
      </c>
      <c r="T294" s="55" t="s">
        <v>925</v>
      </c>
      <c r="U294" s="4">
        <v>0</v>
      </c>
      <c r="V294" s="64" t="s">
        <v>7007</v>
      </c>
      <c r="W294" s="56">
        <v>45538</v>
      </c>
      <c r="X294" s="56">
        <v>45538</v>
      </c>
      <c r="Y294" s="4" t="s">
        <v>6838</v>
      </c>
      <c r="Z294" s="4"/>
    </row>
    <row r="295" ht="25.05" customHeight="1" s="66" customFormat="1">
      <c r="A295" s="55">
        <v>171102</v>
      </c>
      <c r="B295" s="55" t="s">
        <v>6107</v>
      </c>
      <c r="C295" s="55" t="s">
        <v>7056</v>
      </c>
      <c r="D295" s="55">
        <v>1794900192</v>
      </c>
      <c r="E295" s="55" t="s">
        <v>67</v>
      </c>
      <c r="F295" s="55" t="s">
        <v>71</v>
      </c>
      <c r="G295" s="55" t="s">
        <v>2495</v>
      </c>
      <c r="H295" s="55" t="s">
        <v>2643</v>
      </c>
      <c r="I295" s="55" t="s">
        <v>74</v>
      </c>
      <c r="J295" s="56">
        <v>45529</v>
      </c>
      <c r="K295" s="56">
        <v>45535</v>
      </c>
      <c r="L295" s="55" t="s">
        <v>6852</v>
      </c>
      <c r="M295" s="55" t="s">
        <v>3510</v>
      </c>
      <c r="N295" s="74" t="s">
        <v>4035</v>
      </c>
      <c r="O295" s="55" t="s">
        <v>2905</v>
      </c>
      <c r="P295" s="55" t="s">
        <v>6833</v>
      </c>
      <c r="Q295" s="55" t="s">
        <v>81</v>
      </c>
      <c r="R295" s="55" t="s">
        <v>81</v>
      </c>
      <c r="S295" s="55" t="s">
        <v>81</v>
      </c>
      <c r="T295" s="55" t="s">
        <v>925</v>
      </c>
      <c r="U295" s="4" t="s">
        <v>6852</v>
      </c>
      <c r="V295" s="64" t="s">
        <v>7007</v>
      </c>
      <c r="W295" s="56">
        <v>45538</v>
      </c>
      <c r="X295" s="56">
        <v>45538</v>
      </c>
      <c r="Y295" s="4"/>
      <c r="Z295" s="4"/>
    </row>
    <row r="296" ht="25.05" customHeight="1" s="66" customFormat="1">
      <c r="A296" s="55">
        <v>171564</v>
      </c>
      <c r="B296" s="55" t="s">
        <v>6271</v>
      </c>
      <c r="C296" s="55" t="s">
        <v>6272</v>
      </c>
      <c r="D296" s="55">
        <v>1680111273</v>
      </c>
      <c r="E296" s="55" t="s">
        <v>67</v>
      </c>
      <c r="F296" s="55" t="s">
        <v>71</v>
      </c>
      <c r="G296" s="55" t="s">
        <v>5709</v>
      </c>
      <c r="H296" s="55" t="s">
        <v>369</v>
      </c>
      <c r="I296" s="55" t="s">
        <v>74</v>
      </c>
      <c r="J296" s="56">
        <v>45529</v>
      </c>
      <c r="K296" s="56">
        <v>45536</v>
      </c>
      <c r="L296" s="55" t="s">
        <v>6852</v>
      </c>
      <c r="M296" s="55" t="s">
        <v>3510</v>
      </c>
      <c r="N296" s="74" t="s">
        <v>7042</v>
      </c>
      <c r="O296" s="55" t="s">
        <v>6832</v>
      </c>
      <c r="P296" s="55" t="s">
        <v>6833</v>
      </c>
      <c r="Q296" s="55" t="s">
        <v>81</v>
      </c>
      <c r="R296" s="55" t="s">
        <v>81</v>
      </c>
      <c r="S296" s="55" t="s">
        <v>81</v>
      </c>
      <c r="T296" s="55" t="s">
        <v>925</v>
      </c>
      <c r="U296" s="4" t="s">
        <v>6852</v>
      </c>
      <c r="V296" s="64" t="s">
        <v>7007</v>
      </c>
      <c r="W296" s="56">
        <v>45538</v>
      </c>
      <c r="X296" s="56">
        <v>45538</v>
      </c>
      <c r="Y296" s="4"/>
      <c r="Z296" s="4"/>
    </row>
    <row r="297" ht="25.05" customHeight="1" s="66" customFormat="1">
      <c r="A297" s="55">
        <v>171467</v>
      </c>
      <c r="B297" s="55" t="s">
        <v>7057</v>
      </c>
      <c r="C297" s="55" t="s">
        <v>6282</v>
      </c>
      <c r="D297" s="55">
        <v>1753229880</v>
      </c>
      <c r="E297" s="55" t="s">
        <v>67</v>
      </c>
      <c r="F297" s="55" t="s">
        <v>71</v>
      </c>
      <c r="G297" s="55" t="s">
        <v>2495</v>
      </c>
      <c r="H297" s="55" t="s">
        <v>2643</v>
      </c>
      <c r="I297" s="55" t="s">
        <v>74</v>
      </c>
      <c r="J297" s="56">
        <v>45539</v>
      </c>
      <c r="K297" s="56">
        <v>45539</v>
      </c>
      <c r="L297" s="55" t="s">
        <v>81</v>
      </c>
      <c r="M297" s="55" t="s">
        <v>3510</v>
      </c>
      <c r="N297" s="74" t="s">
        <v>4035</v>
      </c>
      <c r="O297" s="55" t="s">
        <v>6832</v>
      </c>
      <c r="P297" s="55" t="s">
        <v>6833</v>
      </c>
      <c r="Q297" s="55" t="s">
        <v>81</v>
      </c>
      <c r="R297" s="55" t="s">
        <v>81</v>
      </c>
      <c r="S297" s="55" t="s">
        <v>81</v>
      </c>
      <c r="T297" s="55" t="s">
        <v>925</v>
      </c>
      <c r="U297" s="4" t="s">
        <v>81</v>
      </c>
      <c r="V297" s="64" t="s">
        <v>7007</v>
      </c>
      <c r="W297" s="56">
        <v>45539</v>
      </c>
      <c r="X297" s="56">
        <v>45540</v>
      </c>
      <c r="Y297" s="4" t="s">
        <v>6838</v>
      </c>
      <c r="Z297" s="4"/>
    </row>
    <row r="298" ht="25.05" customHeight="1" s="66" customFormat="1">
      <c r="A298" s="55">
        <v>171792</v>
      </c>
      <c r="B298" s="55" t="s">
        <v>7058</v>
      </c>
      <c r="C298" s="55" t="s">
        <v>6292</v>
      </c>
      <c r="D298" s="55">
        <v>1789957484</v>
      </c>
      <c r="E298" s="55" t="s">
        <v>67</v>
      </c>
      <c r="F298" s="55" t="s">
        <v>71</v>
      </c>
      <c r="G298" s="55" t="s">
        <v>2495</v>
      </c>
      <c r="H298" s="55" t="s">
        <v>2643</v>
      </c>
      <c r="I298" s="55" t="s">
        <v>74</v>
      </c>
      <c r="J298" s="56">
        <v>45536</v>
      </c>
      <c r="K298" s="56">
        <v>45537</v>
      </c>
      <c r="L298" s="55" t="s">
        <v>81</v>
      </c>
      <c r="M298" s="55" t="s">
        <v>3510</v>
      </c>
      <c r="N298" s="74" t="s">
        <v>4035</v>
      </c>
      <c r="O298" s="55" t="s">
        <v>6832</v>
      </c>
      <c r="P298" s="55" t="s">
        <v>6833</v>
      </c>
      <c r="Q298" s="55" t="s">
        <v>81</v>
      </c>
      <c r="R298" s="55" t="s">
        <v>81</v>
      </c>
      <c r="S298" s="55" t="s">
        <v>81</v>
      </c>
      <c r="T298" s="55" t="s">
        <v>925</v>
      </c>
      <c r="U298" s="4" t="s">
        <v>81</v>
      </c>
      <c r="V298" s="64" t="s">
        <v>7007</v>
      </c>
      <c r="W298" s="56">
        <v>45539</v>
      </c>
      <c r="X298" s="56">
        <v>45540</v>
      </c>
      <c r="Y298" s="4" t="s">
        <v>6838</v>
      </c>
      <c r="Z298" s="4"/>
    </row>
    <row r="299" ht="25.05" customHeight="1" s="66" customFormat="1">
      <c r="A299" s="55">
        <v>171541</v>
      </c>
      <c r="B299" s="55" t="s">
        <v>2692</v>
      </c>
      <c r="C299" s="55" t="s">
        <v>6298</v>
      </c>
      <c r="D299" s="55">
        <v>1831492686</v>
      </c>
      <c r="E299" s="55" t="s">
        <v>67</v>
      </c>
      <c r="F299" s="55" t="s">
        <v>71</v>
      </c>
      <c r="G299" s="55" t="s">
        <v>5709</v>
      </c>
      <c r="H299" s="55" t="s">
        <v>115</v>
      </c>
      <c r="I299" s="55" t="s">
        <v>74</v>
      </c>
      <c r="J299" s="56">
        <v>45538</v>
      </c>
      <c r="K299" s="56">
        <v>3</v>
      </c>
      <c r="L299" s="55">
        <v>0</v>
      </c>
      <c r="M299" s="55" t="s">
        <v>6872</v>
      </c>
      <c r="N299" s="74" t="s">
        <v>7050</v>
      </c>
      <c r="O299" s="55" t="s">
        <v>6832</v>
      </c>
      <c r="P299" s="55" t="s">
        <v>6833</v>
      </c>
      <c r="Q299" s="55" t="s">
        <v>81</v>
      </c>
      <c r="R299" s="55" t="s">
        <v>81</v>
      </c>
      <c r="S299" s="55" t="s">
        <v>81</v>
      </c>
      <c r="T299" s="55" t="s">
        <v>925</v>
      </c>
      <c r="U299" s="4">
        <v>0</v>
      </c>
      <c r="V299" s="64" t="s">
        <v>7007</v>
      </c>
      <c r="W299" s="56">
        <v>45539</v>
      </c>
      <c r="X299" s="56">
        <v>45540</v>
      </c>
      <c r="Y299" s="4" t="s">
        <v>6838</v>
      </c>
      <c r="Z299" s="4"/>
    </row>
    <row r="300" ht="25.05" customHeight="1" s="66" customFormat="1">
      <c r="A300" s="55">
        <v>171641</v>
      </c>
      <c r="B300" s="55" t="s">
        <v>3032</v>
      </c>
      <c r="C300" s="55" t="s">
        <v>6306</v>
      </c>
      <c r="D300" s="55">
        <v>1614944260</v>
      </c>
      <c r="E300" s="55" t="s">
        <v>67</v>
      </c>
      <c r="F300" s="55" t="s">
        <v>71</v>
      </c>
      <c r="G300" s="55" t="s">
        <v>5709</v>
      </c>
      <c r="H300" s="55" t="s">
        <v>1304</v>
      </c>
      <c r="I300" s="55" t="s">
        <v>74</v>
      </c>
      <c r="J300" s="56">
        <v>45543</v>
      </c>
      <c r="K300" s="56">
        <v>45551</v>
      </c>
      <c r="L300" s="55" t="s">
        <v>6852</v>
      </c>
      <c r="M300" s="55" t="s">
        <v>6872</v>
      </c>
      <c r="N300" s="74" t="s">
        <v>7042</v>
      </c>
      <c r="O300" s="55" t="s">
        <v>6832</v>
      </c>
      <c r="P300" s="55" t="s">
        <v>6833</v>
      </c>
      <c r="Q300" s="55" t="s">
        <v>81</v>
      </c>
      <c r="R300" s="55" t="s">
        <v>81</v>
      </c>
      <c r="S300" s="55" t="s">
        <v>81</v>
      </c>
      <c r="T300" s="55" t="s">
        <v>925</v>
      </c>
      <c r="U300" s="4" t="s">
        <v>6852</v>
      </c>
      <c r="V300" s="56" t="s">
        <v>93</v>
      </c>
      <c r="W300" s="56">
        <v>45545</v>
      </c>
      <c r="X300" s="56">
        <v>45552</v>
      </c>
      <c r="Y300" s="4"/>
      <c r="Z300" s="4"/>
    </row>
    <row r="301" ht="25.05" customHeight="1" s="66" customFormat="1">
      <c r="A301" s="55">
        <v>171523</v>
      </c>
      <c r="B301" s="55" t="s">
        <v>6320</v>
      </c>
      <c r="C301" s="55" t="s">
        <v>6321</v>
      </c>
      <c r="D301" s="55">
        <v>1567847304</v>
      </c>
      <c r="E301" s="55" t="s">
        <v>67</v>
      </c>
      <c r="F301" s="55" t="s">
        <v>71</v>
      </c>
      <c r="G301" s="55" t="s">
        <v>155</v>
      </c>
      <c r="H301" s="55" t="s">
        <v>2866</v>
      </c>
      <c r="I301" s="55" t="s">
        <v>74</v>
      </c>
      <c r="J301" s="56">
        <v>45539</v>
      </c>
      <c r="K301" s="56">
        <v>45547</v>
      </c>
      <c r="L301" s="55" t="s">
        <v>6852</v>
      </c>
      <c r="M301" s="55" t="s">
        <v>6872</v>
      </c>
      <c r="N301" s="74" t="s">
        <v>4035</v>
      </c>
      <c r="O301" s="55" t="s">
        <v>6832</v>
      </c>
      <c r="P301" s="55" t="s">
        <v>6833</v>
      </c>
      <c r="Q301" s="55" t="s">
        <v>81</v>
      </c>
      <c r="R301" s="55" t="s">
        <v>81</v>
      </c>
      <c r="S301" s="55" t="s">
        <v>81</v>
      </c>
      <c r="T301" s="55" t="s">
        <v>925</v>
      </c>
      <c r="U301" s="4" t="s">
        <v>6852</v>
      </c>
      <c r="V301" s="56" t="s">
        <v>7007</v>
      </c>
      <c r="W301" s="56">
        <v>45545</v>
      </c>
      <c r="X301" s="56">
        <v>45550</v>
      </c>
      <c r="Y301" s="4"/>
      <c r="Z301" s="4"/>
    </row>
    <row r="302" ht="25.05" customHeight="1" s="66" customFormat="1">
      <c r="A302" s="55">
        <v>171849</v>
      </c>
      <c r="B302" s="55" t="s">
        <v>6335</v>
      </c>
      <c r="C302" s="55" t="s">
        <v>6336</v>
      </c>
      <c r="D302" s="55">
        <v>1797675848</v>
      </c>
      <c r="E302" s="55" t="s">
        <v>67</v>
      </c>
      <c r="F302" s="55" t="s">
        <v>71</v>
      </c>
      <c r="G302" s="55" t="s">
        <v>155</v>
      </c>
      <c r="H302" s="55" t="s">
        <v>2866</v>
      </c>
      <c r="I302" s="55" t="s">
        <v>74</v>
      </c>
      <c r="J302" s="56">
        <v>45544</v>
      </c>
      <c r="K302" s="56">
        <v>45545</v>
      </c>
      <c r="L302" s="55" t="s">
        <v>6854</v>
      </c>
      <c r="M302" s="55" t="s">
        <v>6872</v>
      </c>
      <c r="N302" s="74" t="s">
        <v>4035</v>
      </c>
      <c r="O302" s="55" t="s">
        <v>6832</v>
      </c>
      <c r="P302" s="55" t="s">
        <v>6833</v>
      </c>
      <c r="Q302" s="55" t="s">
        <v>81</v>
      </c>
      <c r="R302" s="55" t="s">
        <v>81</v>
      </c>
      <c r="S302" s="55" t="s">
        <v>81</v>
      </c>
      <c r="T302" s="55" t="s">
        <v>925</v>
      </c>
      <c r="U302" s="4" t="s">
        <v>6854</v>
      </c>
      <c r="V302" s="64" t="s">
        <v>93</v>
      </c>
      <c r="W302" s="56">
        <v>45545</v>
      </c>
      <c r="X302" s="56">
        <v>45550</v>
      </c>
      <c r="Y302" s="4"/>
      <c r="Z302" s="4"/>
    </row>
    <row r="303" ht="25.05" customHeight="1" s="66" customFormat="1">
      <c r="A303" s="55">
        <v>171485</v>
      </c>
      <c r="B303" s="55" t="s">
        <v>2690</v>
      </c>
      <c r="C303" s="55" t="s">
        <v>7059</v>
      </c>
      <c r="D303" s="55" t="s">
        <v>7060</v>
      </c>
      <c r="E303" s="55" t="s">
        <v>67</v>
      </c>
      <c r="F303" s="55" t="s">
        <v>71</v>
      </c>
      <c r="G303" s="55" t="s">
        <v>5709</v>
      </c>
      <c r="H303" s="55" t="s">
        <v>308</v>
      </c>
      <c r="I303" s="55" t="s">
        <v>74</v>
      </c>
      <c r="J303" s="56">
        <v>45536</v>
      </c>
      <c r="K303" s="56">
        <v>45542</v>
      </c>
      <c r="L303" s="55" t="s">
        <v>6852</v>
      </c>
      <c r="M303" s="55" t="s">
        <v>6872</v>
      </c>
      <c r="N303" s="74" t="s">
        <v>4002</v>
      </c>
      <c r="O303" s="55" t="s">
        <v>6832</v>
      </c>
      <c r="P303" s="55" t="s">
        <v>6833</v>
      </c>
      <c r="Q303" s="55" t="s">
        <v>81</v>
      </c>
      <c r="R303" s="55" t="s">
        <v>81</v>
      </c>
      <c r="S303" s="55" t="s">
        <v>81</v>
      </c>
      <c r="T303" s="55" t="s">
        <v>925</v>
      </c>
      <c r="U303" s="4" t="s">
        <v>6852</v>
      </c>
      <c r="V303" s="64" t="s">
        <v>93</v>
      </c>
      <c r="W303" s="56">
        <v>45552</v>
      </c>
      <c r="X303" s="56">
        <v>45553</v>
      </c>
      <c r="Y303" s="4"/>
      <c r="Z303" s="4"/>
    </row>
    <row r="304" ht="25.05" customHeight="1" s="66" customFormat="1">
      <c r="A304" s="55">
        <v>171694</v>
      </c>
      <c r="B304" s="55" t="s">
        <v>7061</v>
      </c>
      <c r="C304" s="55" t="s">
        <v>6344</v>
      </c>
      <c r="D304" s="55">
        <v>1712300473</v>
      </c>
      <c r="E304" s="55" t="s">
        <v>67</v>
      </c>
      <c r="F304" s="55" t="s">
        <v>71</v>
      </c>
      <c r="G304" s="55" t="s">
        <v>155</v>
      </c>
      <c r="H304" s="55" t="s">
        <v>196</v>
      </c>
      <c r="I304" s="55" t="s">
        <v>74</v>
      </c>
      <c r="J304" s="56" t="s">
        <v>7062</v>
      </c>
      <c r="K304" s="190">
        <v>45554</v>
      </c>
      <c r="L304" s="55" t="s">
        <v>7063</v>
      </c>
      <c r="M304" s="55" t="s">
        <v>6925</v>
      </c>
      <c r="N304" s="74" t="s">
        <v>4035</v>
      </c>
      <c r="O304" s="55" t="s">
        <v>6832</v>
      </c>
      <c r="P304" s="55" t="s">
        <v>6833</v>
      </c>
      <c r="Q304" s="55" t="s">
        <v>7062</v>
      </c>
      <c r="R304" s="55" t="s">
        <v>6832</v>
      </c>
      <c r="S304" s="55" t="s">
        <v>6833</v>
      </c>
      <c r="T304" s="55" t="s">
        <v>925</v>
      </c>
      <c r="U304" s="4" t="s">
        <v>6845</v>
      </c>
      <c r="V304" s="64" t="s">
        <v>93</v>
      </c>
      <c r="W304" s="159" t="str">
        <f>VLOOKUP(A304,Inactive!A:BI,61,0)</f>
        <v>20-Sep -24</v>
      </c>
      <c r="X304" s="159" t="str">
        <f>VLOOKUP($A304,'ID Block'!A:L,12,0)</f>
        <v>20-Sep -24</v>
      </c>
      <c r="Y304" s="4"/>
      <c r="Z304" s="4"/>
    </row>
    <row r="305" ht="25.05" customHeight="1" s="226" customFormat="1">
      <c r="A305" s="220">
        <v>171582</v>
      </c>
      <c r="B305" s="220" t="s">
        <v>6351</v>
      </c>
      <c r="C305" s="220" t="s">
        <v>6352</v>
      </c>
      <c r="D305" s="221">
        <v>1962054797</v>
      </c>
      <c r="E305" s="221" t="s">
        <v>67</v>
      </c>
      <c r="F305" s="221" t="s">
        <v>71</v>
      </c>
      <c r="G305" s="221" t="s">
        <v>155</v>
      </c>
      <c r="H305" s="221" t="s">
        <v>196</v>
      </c>
      <c r="I305" s="221" t="s">
        <v>74</v>
      </c>
      <c r="J305" s="222">
        <v>45557</v>
      </c>
      <c r="K305" s="223">
        <v>45557</v>
      </c>
      <c r="L305" s="221" t="s">
        <v>7064</v>
      </c>
      <c r="M305" s="221" t="s">
        <v>6925</v>
      </c>
      <c r="N305" s="221" t="s">
        <v>4035</v>
      </c>
      <c r="O305" s="221" t="s">
        <v>6832</v>
      </c>
      <c r="P305" s="221" t="s">
        <v>6833</v>
      </c>
      <c r="Q305" s="221">
        <v>45557</v>
      </c>
      <c r="R305" s="221" t="s">
        <v>6832</v>
      </c>
      <c r="S305" s="221" t="s">
        <v>6833</v>
      </c>
      <c r="T305" s="221" t="s">
        <v>925</v>
      </c>
      <c r="U305" s="224" t="s">
        <v>6854</v>
      </c>
      <c r="V305" s="224" t="s">
        <v>93</v>
      </c>
      <c r="W305" s="225">
        <v>45557</v>
      </c>
      <c r="X305" s="224">
        <v>45559</v>
      </c>
      <c r="Y305" s="224">
        <v>7</v>
      </c>
      <c r="Z305" s="157"/>
    </row>
    <row r="306" ht="25.05" customHeight="1">
      <c r="A306" s="228">
        <v>171683</v>
      </c>
      <c r="B306" s="228" t="s">
        <v>3004</v>
      </c>
      <c r="C306" s="228" t="s">
        <v>6359</v>
      </c>
      <c r="D306" s="175">
        <v>1915114542</v>
      </c>
      <c r="E306" s="175" t="s">
        <v>67</v>
      </c>
      <c r="F306" s="175" t="s">
        <v>71</v>
      </c>
      <c r="G306" s="175" t="s">
        <v>5709</v>
      </c>
      <c r="H306" s="175" t="s">
        <v>1304</v>
      </c>
      <c r="I306" s="175" t="s">
        <v>74</v>
      </c>
      <c r="J306" s="176">
        <v>45558</v>
      </c>
      <c r="K306" s="223">
        <v>45558</v>
      </c>
      <c r="L306" s="175" t="s">
        <v>6854</v>
      </c>
      <c r="M306" s="175" t="s">
        <v>6872</v>
      </c>
      <c r="N306" s="175" t="s">
        <v>7042</v>
      </c>
      <c r="O306" s="175" t="s">
        <v>6832</v>
      </c>
      <c r="P306" s="175" t="s">
        <v>6833</v>
      </c>
      <c r="Q306" s="175" t="s">
        <v>81</v>
      </c>
      <c r="R306" s="175" t="s">
        <v>6832</v>
      </c>
      <c r="S306" s="175" t="s">
        <v>6833</v>
      </c>
      <c r="T306" s="175" t="s">
        <v>925</v>
      </c>
      <c r="U306" s="172" t="s">
        <v>6854</v>
      </c>
      <c r="V306" s="172" t="s">
        <v>93</v>
      </c>
      <c r="W306" s="172" t="str">
        <f>VLOOKUP(A306,Inactive!A:BI,61,0)</f>
        <v>24-Sep -24</v>
      </c>
      <c r="X306" s="172" t="str">
        <f>VLOOKUP($A306,'ID Block'!A:L,12,0)</f>
        <v>24-Sep -24</v>
      </c>
      <c r="Y306" s="172">
        <v>7</v>
      </c>
      <c r="Z306" s="21"/>
    </row>
    <row r="307" ht="25.05" customHeight="1">
      <c r="A307" s="174">
        <v>171453</v>
      </c>
      <c r="B307" s="174" t="s">
        <v>6367</v>
      </c>
      <c r="C307" s="174" t="s">
        <v>6368</v>
      </c>
      <c r="D307" s="175">
        <v>1627644865</v>
      </c>
      <c r="E307" s="175" t="s">
        <v>67</v>
      </c>
      <c r="F307" s="175" t="s">
        <v>71</v>
      </c>
      <c r="G307" s="175" t="s">
        <v>407</v>
      </c>
      <c r="H307" s="175" t="s">
        <v>2643</v>
      </c>
      <c r="I307" s="175" t="s">
        <v>74</v>
      </c>
      <c r="J307" s="176">
        <v>45559</v>
      </c>
      <c r="K307" s="170">
        <v>45565</v>
      </c>
      <c r="L307" s="175" t="s">
        <v>6852</v>
      </c>
      <c r="M307" s="175" t="s">
        <v>3510</v>
      </c>
      <c r="N307" s="175" t="s">
        <v>3796</v>
      </c>
      <c r="O307" s="175" t="s">
        <v>6832</v>
      </c>
      <c r="P307" s="175" t="s">
        <v>6833</v>
      </c>
      <c r="Q307" s="175" t="s">
        <v>81</v>
      </c>
      <c r="R307" s="175" t="s">
        <v>81</v>
      </c>
      <c r="S307" s="175" t="s">
        <v>81</v>
      </c>
      <c r="T307" s="175" t="s">
        <v>925</v>
      </c>
      <c r="U307" s="172" t="s">
        <v>6852</v>
      </c>
      <c r="V307" s="172" t="s">
        <v>93</v>
      </c>
      <c r="W307" s="172">
        <f>VLOOKUP(A307,Inactive!A:BI,61,0)</f>
        <v>45566</v>
      </c>
      <c r="X307" s="172">
        <f>VLOOKUP($A307,'ID Block'!A:L,12,0)</f>
        <v>45566</v>
      </c>
      <c r="Y307" s="172">
        <v>0</v>
      </c>
      <c r="Z307" s="21"/>
    </row>
    <row r="308" ht="25.05" customHeight="1">
      <c r="A308" s="228" t="s">
        <v>7065</v>
      </c>
      <c r="B308" s="228" t="s">
        <v>2784</v>
      </c>
      <c r="C308" s="228" t="s">
        <v>6372</v>
      </c>
      <c r="D308" s="175">
        <v>1993131951</v>
      </c>
      <c r="E308" s="175" t="s">
        <v>67</v>
      </c>
      <c r="F308" s="175" t="s">
        <v>71</v>
      </c>
      <c r="G308" s="175" t="s">
        <v>2495</v>
      </c>
      <c r="H308" s="175" t="s">
        <v>308</v>
      </c>
      <c r="I308" s="175" t="s">
        <v>74</v>
      </c>
      <c r="J308" s="176">
        <v>45555</v>
      </c>
      <c r="K308" s="170">
        <v>45555</v>
      </c>
      <c r="L308" s="175" t="s">
        <v>6854</v>
      </c>
      <c r="M308" s="175" t="s">
        <v>6872</v>
      </c>
      <c r="N308" s="175" t="s">
        <v>4035</v>
      </c>
      <c r="O308" s="175" t="s">
        <v>6832</v>
      </c>
      <c r="P308" s="175" t="s">
        <v>6833</v>
      </c>
      <c r="Q308" s="175" t="s">
        <v>81</v>
      </c>
      <c r="R308" s="175" t="s">
        <v>81</v>
      </c>
      <c r="S308" s="175" t="s">
        <v>81</v>
      </c>
      <c r="T308" s="175" t="s">
        <v>925</v>
      </c>
      <c r="U308" s="172" t="s">
        <v>6854</v>
      </c>
      <c r="V308" s="172" t="s">
        <v>93</v>
      </c>
      <c r="W308" s="172" t="e">
        <f>VLOOKUP(A308,Inactive!A:BI,61,0)</f>
        <v>#N/A</v>
      </c>
      <c r="X308" s="172" t="str">
        <f>VLOOKUP($A308,'ID Block'!A:L,12,0)</f>
        <v>21-Sep -24</v>
      </c>
      <c r="Y308" s="172">
        <v>7</v>
      </c>
      <c r="Z308" s="21"/>
    </row>
    <row r="309" ht="25.05" customHeight="1">
      <c r="A309" s="174">
        <v>171193</v>
      </c>
      <c r="B309" s="174" t="s">
        <v>7066</v>
      </c>
      <c r="C309" s="174" t="s">
        <v>6298</v>
      </c>
      <c r="D309" s="175">
        <v>1868280746</v>
      </c>
      <c r="E309" s="175" t="s">
        <v>67</v>
      </c>
      <c r="F309" s="175" t="s">
        <v>71</v>
      </c>
      <c r="G309" s="175" t="s">
        <v>2495</v>
      </c>
      <c r="H309" s="175" t="s">
        <v>2643</v>
      </c>
      <c r="I309" s="175" t="s">
        <v>74</v>
      </c>
      <c r="J309" s="176">
        <v>45558</v>
      </c>
      <c r="K309" s="170">
        <v>45565</v>
      </c>
      <c r="L309" s="175" t="s">
        <v>6852</v>
      </c>
      <c r="M309" s="175" t="s">
        <v>3510</v>
      </c>
      <c r="N309" s="175" t="s">
        <v>7067</v>
      </c>
      <c r="O309" s="175" t="s">
        <v>6832</v>
      </c>
      <c r="P309" s="175" t="s">
        <v>6833</v>
      </c>
      <c r="Q309" s="175" t="s">
        <v>81</v>
      </c>
      <c r="R309" s="175" t="s">
        <v>81</v>
      </c>
      <c r="S309" s="175" t="s">
        <v>81</v>
      </c>
      <c r="T309" s="175" t="s">
        <v>925</v>
      </c>
      <c r="U309" s="172" t="s">
        <v>6852</v>
      </c>
      <c r="V309" s="172" t="s">
        <v>93</v>
      </c>
      <c r="W309" s="172" t="str">
        <f>VLOOKUP(A309,Inactive!A:BI,61,0)</f>
        <v>1-Oct -24</v>
      </c>
      <c r="X309" s="172" t="str">
        <f>VLOOKUP($A309,'ID Block'!A:L,12,0)</f>
        <v>1-Oct -24</v>
      </c>
      <c r="Y309" s="172">
        <v>0</v>
      </c>
      <c r="Z309" s="21"/>
    </row>
    <row r="310" ht="25.05" customHeight="1">
      <c r="A310" s="228">
        <v>171688</v>
      </c>
      <c r="B310" s="228" t="s">
        <v>2837</v>
      </c>
      <c r="C310" s="228" t="s">
        <v>6387</v>
      </c>
      <c r="D310" s="175">
        <v>1533949954</v>
      </c>
      <c r="E310" s="175" t="s">
        <v>67</v>
      </c>
      <c r="F310" s="175" t="s">
        <v>71</v>
      </c>
      <c r="G310" s="175" t="s">
        <v>5709</v>
      </c>
      <c r="H310" s="175" t="s">
        <v>1304</v>
      </c>
      <c r="I310" s="175" t="s">
        <v>74</v>
      </c>
      <c r="J310" s="176">
        <v>45564</v>
      </c>
      <c r="K310" s="170">
        <v>45564</v>
      </c>
      <c r="L310" s="175" t="s">
        <v>6854</v>
      </c>
      <c r="M310" s="175" t="s">
        <v>6872</v>
      </c>
      <c r="N310" s="175" t="s">
        <v>7068</v>
      </c>
      <c r="O310" s="175" t="s">
        <v>6832</v>
      </c>
      <c r="P310" s="175" t="s">
        <v>6833</v>
      </c>
      <c r="Q310" s="175" t="s">
        <v>81</v>
      </c>
      <c r="R310" s="175" t="s">
        <v>6832</v>
      </c>
      <c r="S310" s="175" t="s">
        <v>6833</v>
      </c>
      <c r="T310" s="175" t="s">
        <v>925</v>
      </c>
      <c r="U310" s="179" t="s">
        <v>6854</v>
      </c>
      <c r="V310" s="172" t="s">
        <v>93</v>
      </c>
      <c r="W310" s="172" t="str">
        <f>VLOOKUP(A310,Inactive!A:BI,61,0)</f>
        <v>30-Sep -24</v>
      </c>
      <c r="X310" s="172" t="str">
        <f>VLOOKUP($A310,'ID Block'!A:L,12,0)</f>
        <v>30-Sep -24</v>
      </c>
      <c r="Y310" s="172">
        <v>7</v>
      </c>
      <c r="Z310" s="21"/>
    </row>
    <row r="311" ht="25.05" customHeight="1">
      <c r="A311" s="228">
        <v>171287</v>
      </c>
      <c r="B311" s="228" t="s">
        <v>7069</v>
      </c>
      <c r="C311" s="228" t="s">
        <v>6447</v>
      </c>
      <c r="D311" s="175" t="s">
        <v>7070</v>
      </c>
      <c r="E311" s="175" t="s">
        <v>67</v>
      </c>
      <c r="F311" s="175" t="s">
        <v>71</v>
      </c>
      <c r="G311" s="175" t="s">
        <v>5709</v>
      </c>
      <c r="H311" s="175" t="s">
        <v>342</v>
      </c>
      <c r="I311" s="175" t="s">
        <v>74</v>
      </c>
      <c r="J311" s="176">
        <v>45567</v>
      </c>
      <c r="K311" s="229">
        <v>45567</v>
      </c>
      <c r="L311" s="175" t="s">
        <v>6854</v>
      </c>
      <c r="M311" s="175" t="s">
        <v>6872</v>
      </c>
      <c r="N311" s="175" t="s">
        <v>4035</v>
      </c>
      <c r="O311" s="175" t="s">
        <v>6832</v>
      </c>
      <c r="P311" s="175" t="s">
        <v>6833</v>
      </c>
      <c r="Q311" s="175" t="s">
        <v>81</v>
      </c>
      <c r="R311" s="175" t="s">
        <v>81</v>
      </c>
      <c r="S311" s="175" t="s">
        <v>81</v>
      </c>
      <c r="T311" s="175" t="s">
        <v>925</v>
      </c>
      <c r="U311" s="180" t="s">
        <v>6854</v>
      </c>
      <c r="V311" s="172" t="s">
        <v>93</v>
      </c>
      <c r="W311" s="193">
        <f>VLOOKUP(A311,Inactive!A:BI,61,0)</f>
        <v>45568</v>
      </c>
      <c r="X311" s="193">
        <f>VLOOKUP($A311,'ID Block'!A:L,12,0)</f>
        <v>45568</v>
      </c>
      <c r="Y311" s="172">
        <v>7</v>
      </c>
      <c r="Z311" s="21"/>
    </row>
    <row r="312" ht="25.05" customHeight="1">
      <c r="A312" s="228">
        <v>171845</v>
      </c>
      <c r="B312" s="228" t="s">
        <v>3041</v>
      </c>
      <c r="C312" s="228" t="s">
        <v>2438</v>
      </c>
      <c r="D312" s="175" t="s">
        <v>7071</v>
      </c>
      <c r="E312" s="175" t="s">
        <v>67</v>
      </c>
      <c r="F312" s="175" t="s">
        <v>71</v>
      </c>
      <c r="G312" s="175" t="s">
        <v>5709</v>
      </c>
      <c r="H312" s="175" t="s">
        <v>287</v>
      </c>
      <c r="I312" s="175" t="s">
        <v>74</v>
      </c>
      <c r="J312" s="176">
        <v>45567</v>
      </c>
      <c r="K312" s="229">
        <v>45567</v>
      </c>
      <c r="L312" s="175" t="s">
        <v>6854</v>
      </c>
      <c r="M312" s="175" t="s">
        <v>6872</v>
      </c>
      <c r="N312" s="175" t="s">
        <v>6898</v>
      </c>
      <c r="O312" s="175" t="s">
        <v>6832</v>
      </c>
      <c r="P312" s="175" t="s">
        <v>6833</v>
      </c>
      <c r="Q312" s="175" t="s">
        <v>81</v>
      </c>
      <c r="R312" s="175" t="s">
        <v>81</v>
      </c>
      <c r="S312" s="175" t="s">
        <v>81</v>
      </c>
      <c r="T312" s="175" t="s">
        <v>925</v>
      </c>
      <c r="U312" s="180" t="s">
        <v>6854</v>
      </c>
      <c r="V312" s="172" t="s">
        <v>93</v>
      </c>
      <c r="W312" s="194">
        <f>VLOOKUP(A312,Inactive!A:BI,61,0)</f>
        <v>45568</v>
      </c>
      <c r="X312" s="194">
        <f>VLOOKUP($A312,'ID Block'!A:L,12,0)</f>
        <v>45568</v>
      </c>
      <c r="Y312" s="172">
        <v>7</v>
      </c>
      <c r="Z312" s="21"/>
    </row>
    <row r="313" ht="25.05" customHeight="1">
      <c r="A313" s="173">
        <v>171870</v>
      </c>
      <c r="B313" s="173" t="s">
        <v>2829</v>
      </c>
      <c r="C313" s="173" t="s">
        <v>7072</v>
      </c>
      <c r="D313" s="173">
        <v>1828822309</v>
      </c>
      <c r="E313" s="177" t="s">
        <v>67</v>
      </c>
      <c r="F313" s="177" t="s">
        <v>71</v>
      </c>
      <c r="G313" s="177" t="s">
        <v>2495</v>
      </c>
      <c r="H313" s="177" t="s">
        <v>1304</v>
      </c>
      <c r="I313" s="177" t="s">
        <v>74</v>
      </c>
      <c r="J313" s="178">
        <v>45561</v>
      </c>
      <c r="K313" s="229">
        <v>45562</v>
      </c>
      <c r="L313" s="230" t="s">
        <v>7073</v>
      </c>
      <c r="M313" s="177" t="s">
        <v>6885</v>
      </c>
      <c r="N313" s="175" t="s">
        <v>925</v>
      </c>
      <c r="O313" s="177" t="s">
        <v>6832</v>
      </c>
      <c r="P313" s="177" t="s">
        <v>6833</v>
      </c>
      <c r="Q313" s="178"/>
      <c r="R313" s="177"/>
      <c r="S313" s="177"/>
      <c r="T313" s="175" t="s">
        <v>925</v>
      </c>
      <c r="U313" s="180" t="s">
        <v>7073</v>
      </c>
      <c r="V313" s="172" t="s">
        <v>93</v>
      </c>
      <c r="W313" s="194">
        <f>VLOOKUP(A313,Inactive!A:BI,61,0)</f>
        <v>45563</v>
      </c>
      <c r="X313" s="194">
        <f>VLOOKUP($A313,'ID Block'!A:L,12,0)</f>
        <v>45563</v>
      </c>
      <c r="Y313" s="172">
        <v>3</v>
      </c>
      <c r="Z313" s="21"/>
    </row>
    <row r="314" ht="25.05" customHeight="1">
      <c r="A314" s="173">
        <v>171933</v>
      </c>
      <c r="B314" s="173" t="s">
        <v>6404</v>
      </c>
      <c r="C314" s="173" t="s">
        <v>3322</v>
      </c>
      <c r="D314" s="173">
        <v>1897703142</v>
      </c>
      <c r="E314" s="177" t="s">
        <v>67</v>
      </c>
      <c r="F314" s="177" t="s">
        <v>71</v>
      </c>
      <c r="G314" s="177" t="s">
        <v>155</v>
      </c>
      <c r="H314" s="177" t="s">
        <v>7074</v>
      </c>
      <c r="I314" s="177" t="s">
        <v>74</v>
      </c>
      <c r="J314" s="178">
        <v>45562</v>
      </c>
      <c r="K314" s="229">
        <v>45562</v>
      </c>
      <c r="L314" s="173" t="s">
        <v>6854</v>
      </c>
      <c r="M314" s="177" t="s">
        <v>6925</v>
      </c>
      <c r="N314" s="175" t="s">
        <v>4035</v>
      </c>
      <c r="O314" s="177" t="s">
        <v>6832</v>
      </c>
      <c r="P314" s="177" t="s">
        <v>6833</v>
      </c>
      <c r="Q314" s="178">
        <v>45562</v>
      </c>
      <c r="R314" s="177" t="s">
        <v>6832</v>
      </c>
      <c r="S314" s="177" t="s">
        <v>6833</v>
      </c>
      <c r="T314" s="177" t="s">
        <v>925</v>
      </c>
      <c r="U314" s="180" t="s">
        <v>6854</v>
      </c>
      <c r="V314" s="172" t="s">
        <v>93</v>
      </c>
      <c r="W314" s="194">
        <f>VLOOKUP(A314,Inactive!A:BI,61,0)</f>
        <v>45563</v>
      </c>
      <c r="X314" s="194">
        <f>VLOOKUP($A314,'ID Block'!A:L,12,0)</f>
        <v>45563</v>
      </c>
      <c r="Y314" s="172">
        <v>7</v>
      </c>
      <c r="Z314" s="21"/>
    </row>
    <row r="315" ht="25.05" customHeight="1">
      <c r="A315" s="173" t="s">
        <v>7075</v>
      </c>
      <c r="B315" s="173" t="s">
        <v>2793</v>
      </c>
      <c r="C315" s="173" t="s">
        <v>5450</v>
      </c>
      <c r="D315" s="173">
        <v>19666959963</v>
      </c>
      <c r="E315" s="177" t="s">
        <v>67</v>
      </c>
      <c r="F315" s="177" t="s">
        <v>71</v>
      </c>
      <c r="G315" s="177"/>
      <c r="H315" s="177" t="s">
        <v>458</v>
      </c>
      <c r="I315" s="177" t="s">
        <v>74</v>
      </c>
      <c r="J315" s="178">
        <v>45561</v>
      </c>
      <c r="K315" s="229">
        <v>45561</v>
      </c>
      <c r="L315" s="173" t="s">
        <v>6854</v>
      </c>
      <c r="M315" s="177" t="s">
        <v>6872</v>
      </c>
      <c r="N315" s="175" t="s">
        <v>7076</v>
      </c>
      <c r="O315" s="177" t="s">
        <v>6832</v>
      </c>
      <c r="P315" s="177" t="s">
        <v>6833</v>
      </c>
      <c r="Q315" s="178" t="s">
        <v>81</v>
      </c>
      <c r="R315" s="177" t="s">
        <v>81</v>
      </c>
      <c r="S315" s="177" t="s">
        <v>81</v>
      </c>
      <c r="T315" s="177" t="s">
        <v>925</v>
      </c>
      <c r="U315" s="180" t="s">
        <v>6854</v>
      </c>
      <c r="V315" s="172" t="s">
        <v>93</v>
      </c>
      <c r="W315" s="194" t="e">
        <f>VLOOKUP(A315,Inactive!A:BI,61,0)</f>
        <v>#N/A</v>
      </c>
      <c r="X315" s="194">
        <f>VLOOKUP($A315,'ID Block'!A:L,12,0)</f>
        <v>45562</v>
      </c>
      <c r="Y315" s="172">
        <v>7</v>
      </c>
      <c r="Z315" s="21"/>
    </row>
    <row r="316" ht="25.05" customHeight="1">
      <c r="A316" s="173">
        <v>171536</v>
      </c>
      <c r="B316" s="173" t="s">
        <v>6418</v>
      </c>
      <c r="C316" s="173" t="s">
        <v>6419</v>
      </c>
      <c r="D316" s="173">
        <v>1897703142</v>
      </c>
      <c r="E316" s="177" t="s">
        <v>67</v>
      </c>
      <c r="F316" s="177" t="s">
        <v>71</v>
      </c>
      <c r="G316" s="177" t="s">
        <v>155</v>
      </c>
      <c r="H316" s="177" t="s">
        <v>196</v>
      </c>
      <c r="I316" s="177" t="s">
        <v>74</v>
      </c>
      <c r="J316" s="178">
        <v>45558</v>
      </c>
      <c r="K316" s="170">
        <v>45564</v>
      </c>
      <c r="L316" s="173" t="s">
        <v>7077</v>
      </c>
      <c r="M316" s="177" t="s">
        <v>6925</v>
      </c>
      <c r="N316" s="175" t="s">
        <v>4035</v>
      </c>
      <c r="O316" s="177" t="s">
        <v>6832</v>
      </c>
      <c r="P316" s="177" t="s">
        <v>6833</v>
      </c>
      <c r="Q316" s="178">
        <v>45558</v>
      </c>
      <c r="R316" s="177" t="s">
        <v>6832</v>
      </c>
      <c r="S316" s="177" t="s">
        <v>6833</v>
      </c>
      <c r="T316" s="177" t="s">
        <v>925</v>
      </c>
      <c r="U316" s="180" t="s">
        <v>6852</v>
      </c>
      <c r="V316" s="172" t="s">
        <v>93</v>
      </c>
      <c r="W316" s="194">
        <f>VLOOKUP(A316,Inactive!A:BI,61,0)</f>
        <v>45565</v>
      </c>
      <c r="X316" s="194">
        <f>VLOOKUP($A316,'ID Block'!A:L,12,0)</f>
        <v>45565</v>
      </c>
      <c r="Y316" s="172">
        <v>0</v>
      </c>
      <c r="Z316" s="21"/>
    </row>
    <row r="317" ht="25.05" customHeight="1">
      <c r="A317" s="173">
        <v>171442</v>
      </c>
      <c r="B317" s="173" t="s">
        <v>2801</v>
      </c>
      <c r="C317" s="173" t="s">
        <v>6430</v>
      </c>
      <c r="D317" s="173">
        <v>1687379407</v>
      </c>
      <c r="E317" s="177" t="s">
        <v>67</v>
      </c>
      <c r="F317" s="177" t="s">
        <v>71</v>
      </c>
      <c r="G317" s="177" t="s">
        <v>5709</v>
      </c>
      <c r="H317" s="177" t="s">
        <v>115</v>
      </c>
      <c r="I317" s="177" t="s">
        <v>74</v>
      </c>
      <c r="J317" s="178">
        <v>45552</v>
      </c>
      <c r="K317" s="229">
        <v>45552</v>
      </c>
      <c r="L317" s="173" t="s">
        <v>6854</v>
      </c>
      <c r="M317" s="177" t="s">
        <v>6872</v>
      </c>
      <c r="N317" s="175" t="s">
        <v>7078</v>
      </c>
      <c r="O317" s="177" t="s">
        <v>6832</v>
      </c>
      <c r="P317" s="177" t="s">
        <v>6833</v>
      </c>
      <c r="Q317" s="178" t="s">
        <v>81</v>
      </c>
      <c r="R317" s="177" t="s">
        <v>6832</v>
      </c>
      <c r="S317" s="177" t="s">
        <v>6833</v>
      </c>
      <c r="T317" s="177" t="s">
        <v>925</v>
      </c>
      <c r="U317" s="180" t="s">
        <v>6854</v>
      </c>
      <c r="V317" s="172" t="s">
        <v>93</v>
      </c>
      <c r="W317" s="194">
        <f>VLOOKUP(A317,Inactive!A:BI,61,0)</f>
        <v>45553</v>
      </c>
      <c r="X317" s="194">
        <f>VLOOKUP($A317,'ID Block'!A:L,12,0)</f>
        <v>45553</v>
      </c>
      <c r="Y317" s="172">
        <v>7</v>
      </c>
      <c r="Z317" s="21"/>
    </row>
    <row r="318" ht="25.05" customHeight="1">
      <c r="A318" s="187">
        <v>171971</v>
      </c>
      <c r="B318" s="188" t="s">
        <v>6457</v>
      </c>
      <c r="C318" s="188" t="s">
        <v>6458</v>
      </c>
      <c r="D318" s="188">
        <v>1628603981</v>
      </c>
      <c r="E318" s="189" t="s">
        <v>67</v>
      </c>
      <c r="F318" s="189" t="s">
        <v>71</v>
      </c>
      <c r="G318" s="189" t="s">
        <v>155</v>
      </c>
      <c r="H318" s="188" t="s">
        <v>271</v>
      </c>
      <c r="I318" s="189" t="s">
        <v>74</v>
      </c>
      <c r="J318" s="190">
        <v>45572</v>
      </c>
      <c r="K318" s="190">
        <v>45572</v>
      </c>
      <c r="L318" s="188" t="s">
        <v>7064</v>
      </c>
      <c r="M318" s="189" t="s">
        <v>6925</v>
      </c>
      <c r="N318" s="191" t="s">
        <v>4035</v>
      </c>
      <c r="O318" s="189" t="s">
        <v>6832</v>
      </c>
      <c r="P318" s="189" t="s">
        <v>6833</v>
      </c>
      <c r="Q318" s="190">
        <v>45572</v>
      </c>
      <c r="R318" s="189" t="s">
        <v>6832</v>
      </c>
      <c r="S318" s="189" t="s">
        <v>6833</v>
      </c>
      <c r="T318" s="189" t="s">
        <v>925</v>
      </c>
      <c r="U318" s="180" t="s">
        <v>6854</v>
      </c>
      <c r="V318" s="21" t="s">
        <v>93</v>
      </c>
      <c r="W318" s="194">
        <f>VLOOKUP(A318,Inactive!A:BI,61,0)</f>
        <v>45573</v>
      </c>
      <c r="X318" s="194">
        <f>VLOOKUP($A318,'ID Block'!A:L,12,0)</f>
        <v>45573</v>
      </c>
      <c r="Y318" s="21">
        <v>7</v>
      </c>
      <c r="Z318" s="21"/>
    </row>
    <row r="319" ht="25.05" customHeight="1">
      <c r="A319" s="187">
        <v>171951</v>
      </c>
      <c r="B319" s="188" t="s">
        <v>3012</v>
      </c>
      <c r="C319" s="188" t="s">
        <v>6482</v>
      </c>
      <c r="D319" s="188">
        <v>1949846302</v>
      </c>
      <c r="E319" s="189" t="s">
        <v>67</v>
      </c>
      <c r="F319" s="189" t="s">
        <v>71</v>
      </c>
      <c r="G319" s="189" t="s">
        <v>5709</v>
      </c>
      <c r="H319" s="188" t="s">
        <v>2831</v>
      </c>
      <c r="I319" s="189" t="s">
        <v>74</v>
      </c>
      <c r="J319" s="190">
        <v>45572</v>
      </c>
      <c r="K319" s="190">
        <v>45572</v>
      </c>
      <c r="L319" s="188" t="s">
        <v>6854</v>
      </c>
      <c r="M319" s="189" t="s">
        <v>6872</v>
      </c>
      <c r="N319" s="191" t="s">
        <v>7079</v>
      </c>
      <c r="O319" s="189" t="s">
        <v>6832</v>
      </c>
      <c r="P319" s="189" t="s">
        <v>6833</v>
      </c>
      <c r="Q319" s="190" t="s">
        <v>81</v>
      </c>
      <c r="R319" s="189" t="s">
        <v>6832</v>
      </c>
      <c r="S319" s="189" t="s">
        <v>6833</v>
      </c>
      <c r="T319" s="189" t="s">
        <v>925</v>
      </c>
      <c r="U319" s="180" t="s">
        <v>6854</v>
      </c>
      <c r="V319" s="21" t="s">
        <v>93</v>
      </c>
      <c r="W319" s="194">
        <f>VLOOKUP(A319,Inactive!A:BI,61,0)</f>
        <v>45573</v>
      </c>
      <c r="X319" s="194">
        <f>VLOOKUP($A319,'ID Block'!A:L,12,0)</f>
        <v>45573</v>
      </c>
      <c r="Y319" s="21">
        <v>7</v>
      </c>
      <c r="Z319" s="21"/>
    </row>
    <row r="320" ht="25.05" customHeight="1">
      <c r="A320" s="187">
        <v>171443</v>
      </c>
      <c r="B320" s="188" t="s">
        <v>2846</v>
      </c>
      <c r="C320" s="188" t="s">
        <v>7080</v>
      </c>
      <c r="D320" s="188">
        <v>1681899974</v>
      </c>
      <c r="E320" s="189" t="s">
        <v>67</v>
      </c>
      <c r="F320" s="189" t="s">
        <v>71</v>
      </c>
      <c r="G320" s="189" t="s">
        <v>5709</v>
      </c>
      <c r="H320" s="188" t="s">
        <v>458</v>
      </c>
      <c r="I320" s="189" t="s">
        <v>74</v>
      </c>
      <c r="J320" s="190">
        <v>45573</v>
      </c>
      <c r="K320" s="190">
        <v>45573</v>
      </c>
      <c r="L320" s="188" t="s">
        <v>6854</v>
      </c>
      <c r="M320" s="189" t="s">
        <v>6854</v>
      </c>
      <c r="N320" s="191" t="s">
        <v>6872</v>
      </c>
      <c r="O320" s="189" t="s">
        <v>7081</v>
      </c>
      <c r="P320" s="189" t="s">
        <v>6832</v>
      </c>
      <c r="Q320" s="190" t="s">
        <v>6833</v>
      </c>
      <c r="R320" s="189" t="s">
        <v>81</v>
      </c>
      <c r="S320" s="189" t="s">
        <v>6832</v>
      </c>
      <c r="T320" s="189" t="s">
        <v>6833</v>
      </c>
      <c r="U320" s="180" t="s">
        <v>6854</v>
      </c>
      <c r="V320" s="21" t="s">
        <v>93</v>
      </c>
      <c r="W320" s="194">
        <f>VLOOKUP(A320,Inactive!A:BI,61,0)</f>
        <v>45574</v>
      </c>
      <c r="X320" s="194">
        <f>VLOOKUP($A320,'ID Block'!A:L,12,0)</f>
        <v>45574</v>
      </c>
      <c r="Y320" s="21">
        <v>7</v>
      </c>
      <c r="Z320" s="21"/>
    </row>
    <row r="321" ht="25.05" customHeight="1">
      <c r="A321" s="187">
        <v>171602</v>
      </c>
      <c r="B321" s="188" t="s">
        <v>6473</v>
      </c>
      <c r="C321" s="188" t="s">
        <v>6474</v>
      </c>
      <c r="D321" s="188">
        <v>1766392260</v>
      </c>
      <c r="E321" s="189" t="s">
        <v>67</v>
      </c>
      <c r="F321" s="189" t="s">
        <v>71</v>
      </c>
      <c r="G321" s="189" t="s">
        <v>5709</v>
      </c>
      <c r="H321" s="188" t="s">
        <v>2474</v>
      </c>
      <c r="I321" s="189" t="s">
        <v>74</v>
      </c>
      <c r="J321" s="190">
        <v>45572</v>
      </c>
      <c r="K321" s="190">
        <v>45579</v>
      </c>
      <c r="L321" s="188" t="s">
        <v>6852</v>
      </c>
      <c r="M321" s="189" t="s">
        <v>6872</v>
      </c>
      <c r="N321" s="191" t="s">
        <v>7082</v>
      </c>
      <c r="O321" s="189" t="s">
        <v>6832</v>
      </c>
      <c r="P321" s="189" t="s">
        <v>6833</v>
      </c>
      <c r="Q321" s="190" t="s">
        <v>81</v>
      </c>
      <c r="R321" s="189" t="s">
        <v>6832</v>
      </c>
      <c r="S321" s="189" t="s">
        <v>6833</v>
      </c>
      <c r="T321" s="189" t="s">
        <v>925</v>
      </c>
      <c r="U321" s="200" t="s">
        <v>6852</v>
      </c>
      <c r="V321" s="21" t="s">
        <v>93</v>
      </c>
      <c r="W321" s="194">
        <f>VLOOKUP(A321,Inactive!A:BI,61,0)</f>
        <v>45580</v>
      </c>
      <c r="X321" s="194">
        <f>VLOOKUP($A321,'ID Block'!A:L,12,0)</f>
        <v>45580</v>
      </c>
      <c r="Y321" s="21">
        <v>0</v>
      </c>
      <c r="Z321" s="21"/>
    </row>
    <row r="322" ht="25.05" customHeight="1">
      <c r="A322" s="187">
        <v>171704</v>
      </c>
      <c r="B322" s="188" t="s">
        <v>2864</v>
      </c>
      <c r="C322" s="188" t="s">
        <v>2865</v>
      </c>
      <c r="D322" s="188">
        <v>1963754294</v>
      </c>
      <c r="E322" s="189" t="s">
        <v>67</v>
      </c>
      <c r="F322" s="189" t="s">
        <v>71</v>
      </c>
      <c r="G322" s="189" t="s">
        <v>155</v>
      </c>
      <c r="H322" s="188" t="s">
        <v>171</v>
      </c>
      <c r="I322" s="189" t="s">
        <v>74</v>
      </c>
      <c r="J322" s="190">
        <v>45538</v>
      </c>
      <c r="K322" s="190">
        <v>45539</v>
      </c>
      <c r="L322" s="188" t="s">
        <v>7083</v>
      </c>
      <c r="M322" s="189" t="s">
        <v>6925</v>
      </c>
      <c r="N322" s="192" t="s">
        <v>4035</v>
      </c>
      <c r="O322" s="189" t="s">
        <v>6832</v>
      </c>
      <c r="P322" s="189" t="s">
        <v>6833</v>
      </c>
      <c r="Q322" s="190">
        <v>45538</v>
      </c>
      <c r="R322" s="189" t="s">
        <v>6832</v>
      </c>
      <c r="S322" s="189" t="s">
        <v>6833</v>
      </c>
      <c r="T322" s="189" t="s">
        <v>925</v>
      </c>
      <c r="U322" s="200" t="s">
        <v>7084</v>
      </c>
      <c r="V322" s="21" t="s">
        <v>93</v>
      </c>
      <c r="W322" s="194">
        <f>VLOOKUP(A322,Inactive!A:BI,61,0)</f>
        <v>45540</v>
      </c>
      <c r="X322" s="194">
        <f>VLOOKUP($A322,'ID Block'!A:L,12,0)</f>
        <v>45540</v>
      </c>
      <c r="Y322" s="21">
        <v>5</v>
      </c>
      <c r="Z322" s="21"/>
    </row>
    <row r="323" ht="16.2">
      <c r="A323" s="187">
        <v>171420</v>
      </c>
      <c r="B323" s="188" t="s">
        <v>4663</v>
      </c>
      <c r="C323" s="188" t="s">
        <v>6483</v>
      </c>
      <c r="D323" s="188">
        <v>1991697998</v>
      </c>
      <c r="E323" s="189" t="s">
        <v>67</v>
      </c>
      <c r="F323" s="189" t="s">
        <v>71</v>
      </c>
      <c r="G323" s="189" t="s">
        <v>5709</v>
      </c>
      <c r="H323" s="188" t="s">
        <v>342</v>
      </c>
      <c r="I323" s="189" t="s">
        <v>74</v>
      </c>
      <c r="J323" s="190">
        <v>45574</v>
      </c>
      <c r="K323" s="190">
        <v>45580</v>
      </c>
      <c r="L323" s="231" t="s">
        <v>6854</v>
      </c>
      <c r="M323" s="189" t="s">
        <v>6872</v>
      </c>
      <c r="N323" s="191" t="s">
        <v>3978</v>
      </c>
      <c r="O323" s="189" t="s">
        <v>6832</v>
      </c>
      <c r="P323" s="189" t="s">
        <v>6833</v>
      </c>
      <c r="Q323" s="190" t="s">
        <v>81</v>
      </c>
      <c r="R323" s="189" t="s">
        <v>81</v>
      </c>
      <c r="S323" s="189" t="s">
        <v>81</v>
      </c>
      <c r="T323" s="189" t="s">
        <v>925</v>
      </c>
      <c r="U323" s="21" t="s">
        <v>6854</v>
      </c>
      <c r="V323" s="21" t="s">
        <v>93</v>
      </c>
      <c r="W323" s="194">
        <f>VLOOKUP(A323,Inactive!A:BI,61,0)</f>
        <v>45581</v>
      </c>
      <c r="X323" s="194">
        <f>VLOOKUP($A323,'ID Block'!A:L,12,0)</f>
        <v>45581</v>
      </c>
      <c r="Y323" s="240">
        <v>0</v>
      </c>
      <c r="Z323" s="263"/>
    </row>
    <row r="324" ht="16.2">
      <c r="A324" s="187">
        <v>171961</v>
      </c>
      <c r="B324" s="203" t="s">
        <v>2997</v>
      </c>
      <c r="C324" s="188" t="s">
        <v>2998</v>
      </c>
      <c r="D324" s="188">
        <v>1941074197</v>
      </c>
      <c r="E324" s="189" t="s">
        <v>67</v>
      </c>
      <c r="F324" s="189" t="s">
        <v>71</v>
      </c>
      <c r="G324" s="189" t="s">
        <v>155</v>
      </c>
      <c r="H324" s="188" t="s">
        <v>171</v>
      </c>
      <c r="I324" s="189" t="s">
        <v>74</v>
      </c>
      <c r="J324" s="190">
        <v>45574</v>
      </c>
      <c r="K324" s="190">
        <v>45580</v>
      </c>
      <c r="L324" s="188" t="s">
        <v>7077</v>
      </c>
      <c r="M324" s="189" t="s">
        <v>6925</v>
      </c>
      <c r="N324" s="191" t="s">
        <v>4035</v>
      </c>
      <c r="O324" s="189" t="s">
        <v>6832</v>
      </c>
      <c r="P324" s="189" t="s">
        <v>6833</v>
      </c>
      <c r="Q324" s="190">
        <v>45574</v>
      </c>
      <c r="R324" s="189" t="s">
        <v>6832</v>
      </c>
      <c r="S324" s="189" t="s">
        <v>6833</v>
      </c>
      <c r="T324" s="189" t="s">
        <v>925</v>
      </c>
      <c r="U324" s="21" t="s">
        <v>6852</v>
      </c>
      <c r="V324" s="21" t="s">
        <v>93</v>
      </c>
      <c r="W324" s="194">
        <f>VLOOKUP(A324,Inactive!A:BI,61,0)</f>
        <v>45581</v>
      </c>
      <c r="X324" s="194">
        <f>VLOOKUP($A324,'ID Block'!A:L,12,0)</f>
        <v>45581</v>
      </c>
      <c r="Y324" s="240">
        <v>0</v>
      </c>
      <c r="Z324" s="263"/>
    </row>
    <row r="325" ht="16.2">
      <c r="A325" s="187">
        <v>171525</v>
      </c>
      <c r="B325" s="203" t="s">
        <v>6501</v>
      </c>
      <c r="C325" s="188" t="s">
        <v>5159</v>
      </c>
      <c r="D325" s="188">
        <v>1997047744</v>
      </c>
      <c r="E325" s="189" t="s">
        <v>67</v>
      </c>
      <c r="F325" s="189" t="s">
        <v>71</v>
      </c>
      <c r="G325" s="189" t="s">
        <v>155</v>
      </c>
      <c r="H325" s="188" t="s">
        <v>183</v>
      </c>
      <c r="I325" s="189" t="s">
        <v>74</v>
      </c>
      <c r="J325" s="190">
        <v>45578</v>
      </c>
      <c r="K325" s="190">
        <v>45585</v>
      </c>
      <c r="L325" s="188" t="s">
        <v>7085</v>
      </c>
      <c r="M325" s="189" t="s">
        <v>6925</v>
      </c>
      <c r="N325" s="191" t="s">
        <v>3978</v>
      </c>
      <c r="O325" s="189" t="s">
        <v>6832</v>
      </c>
      <c r="P325" s="189" t="s">
        <v>6833</v>
      </c>
      <c r="Q325" s="190">
        <v>45578</v>
      </c>
      <c r="R325" s="189" t="s">
        <v>6832</v>
      </c>
      <c r="S325" s="205" t="s">
        <v>6833</v>
      </c>
      <c r="T325" s="189" t="s">
        <v>925</v>
      </c>
      <c r="U325" s="21" t="s">
        <v>6943</v>
      </c>
      <c r="V325" s="21" t="s">
        <v>93</v>
      </c>
      <c r="W325" s="194">
        <f>VLOOKUP(A325,Inactive!A:BI,61,0)</f>
        <v>45586</v>
      </c>
      <c r="X325" s="194">
        <f>VLOOKUP($A325,'ID Block'!A:L,12,0)</f>
        <v>45586</v>
      </c>
      <c r="Y325" s="240">
        <v>0</v>
      </c>
      <c r="Z325" s="263"/>
    </row>
    <row r="326" ht="16.2">
      <c r="A326" s="187">
        <v>171793</v>
      </c>
      <c r="B326" s="203" t="s">
        <v>5556</v>
      </c>
      <c r="C326" s="188" t="s">
        <v>6552</v>
      </c>
      <c r="D326" s="188">
        <v>1776801798</v>
      </c>
      <c r="E326" s="189" t="s">
        <v>67</v>
      </c>
      <c r="F326" s="189" t="s">
        <v>71</v>
      </c>
      <c r="G326" s="189" t="s">
        <v>5709</v>
      </c>
      <c r="H326" s="188" t="s">
        <v>2474</v>
      </c>
      <c r="I326" s="189" t="s">
        <v>74</v>
      </c>
      <c r="J326" s="190">
        <v>45577</v>
      </c>
      <c r="K326" s="190">
        <v>45577</v>
      </c>
      <c r="L326" s="188" t="s">
        <v>6854</v>
      </c>
      <c r="M326" s="189" t="s">
        <v>6872</v>
      </c>
      <c r="N326" s="191" t="s">
        <v>7050</v>
      </c>
      <c r="O326" s="189" t="s">
        <v>6832</v>
      </c>
      <c r="P326" s="189" t="s">
        <v>6833</v>
      </c>
      <c r="Q326" s="232" t="s">
        <v>81</v>
      </c>
      <c r="R326" s="233" t="s">
        <v>6832</v>
      </c>
      <c r="S326" s="206" t="s">
        <v>6833</v>
      </c>
      <c r="T326" s="189" t="s">
        <v>925</v>
      </c>
      <c r="U326" s="21" t="s">
        <v>6854</v>
      </c>
      <c r="V326" s="21" t="s">
        <v>93</v>
      </c>
      <c r="W326" s="194">
        <f>VLOOKUP(A326,Inactive!A:BI,61,0)</f>
        <v>45578</v>
      </c>
      <c r="X326" s="194">
        <f>VLOOKUP($A326,'ID Block'!A:L,12,0)</f>
        <v>45578</v>
      </c>
      <c r="Y326" s="240">
        <v>7</v>
      </c>
      <c r="Z326" s="263"/>
    </row>
    <row r="327" ht="25.05" customHeight="1">
      <c r="A327" s="187">
        <v>171839</v>
      </c>
      <c r="B327" s="188" t="s">
        <v>7086</v>
      </c>
      <c r="C327" s="188" t="s">
        <v>6559</v>
      </c>
      <c r="D327" s="188">
        <v>1684669459</v>
      </c>
      <c r="E327" s="189" t="s">
        <v>67</v>
      </c>
      <c r="F327" s="189" t="s">
        <v>71</v>
      </c>
      <c r="G327" s="189" t="s">
        <v>2495</v>
      </c>
      <c r="H327" s="188" t="s">
        <v>308</v>
      </c>
      <c r="I327" s="189" t="s">
        <v>74</v>
      </c>
      <c r="J327" s="56">
        <v>45529</v>
      </c>
      <c r="K327" s="56">
        <v>45529</v>
      </c>
      <c r="L327" s="190" t="s">
        <v>7087</v>
      </c>
      <c r="M327" s="189" t="s">
        <v>6872</v>
      </c>
      <c r="N327" s="191" t="s">
        <v>925</v>
      </c>
      <c r="O327" s="189" t="s">
        <v>6832</v>
      </c>
      <c r="P327" s="189" t="s">
        <v>6833</v>
      </c>
      <c r="Q327" s="193"/>
      <c r="R327" s="179"/>
      <c r="S327" s="206"/>
      <c r="T327" s="189"/>
      <c r="U327" s="200" t="s">
        <v>7087</v>
      </c>
      <c r="V327" s="21" t="s">
        <v>93</v>
      </c>
      <c r="W327" s="194">
        <f>VLOOKUP(A327,Inactive!A:BI,61,0)</f>
        <v>45529</v>
      </c>
      <c r="X327" s="194">
        <f>VLOOKUP($A327,'ID Block'!A:L,12,0)</f>
        <v>45529</v>
      </c>
      <c r="Y327" s="240">
        <v>4</v>
      </c>
      <c r="Z327" s="264" t="s">
        <v>7088</v>
      </c>
    </row>
    <row r="328" ht="25.05" customHeight="1">
      <c r="A328" s="187">
        <v>171865</v>
      </c>
      <c r="B328" s="188" t="s">
        <v>6014</v>
      </c>
      <c r="C328" s="188" t="s">
        <v>1294</v>
      </c>
      <c r="D328" s="188">
        <v>1613005596</v>
      </c>
      <c r="E328" s="189" t="s">
        <v>67</v>
      </c>
      <c r="F328" s="189" t="s">
        <v>71</v>
      </c>
      <c r="G328" s="189" t="s">
        <v>2495</v>
      </c>
      <c r="H328" s="188" t="s">
        <v>2643</v>
      </c>
      <c r="I328" s="189" t="s">
        <v>74</v>
      </c>
      <c r="J328" s="56">
        <v>45528</v>
      </c>
      <c r="K328" s="56">
        <v>45529</v>
      </c>
      <c r="L328" s="190" t="s">
        <v>7089</v>
      </c>
      <c r="M328" s="189" t="s">
        <v>6872</v>
      </c>
      <c r="N328" s="191" t="s">
        <v>925</v>
      </c>
      <c r="O328" s="189" t="s">
        <v>6832</v>
      </c>
      <c r="P328" s="189" t="s">
        <v>6833</v>
      </c>
      <c r="Q328" s="193"/>
      <c r="R328" s="179"/>
      <c r="S328" s="206"/>
      <c r="T328" s="189"/>
      <c r="U328" s="200" t="s">
        <v>7089</v>
      </c>
      <c r="V328" s="21" t="s">
        <v>93</v>
      </c>
      <c r="W328" s="194">
        <f>VLOOKUP(A328,Inactive!A:BI,61,0)</f>
        <v>45528</v>
      </c>
      <c r="X328" s="194">
        <f>VLOOKUP($A328,'ID Block'!A:L,12,0)</f>
        <v>45528</v>
      </c>
      <c r="Y328" s="240">
        <v>6</v>
      </c>
      <c r="Z328" s="265" t="s">
        <v>7088</v>
      </c>
    </row>
    <row r="329" ht="25.05" customHeight="1">
      <c r="A329" s="187">
        <v>171899</v>
      </c>
      <c r="B329" s="188" t="s">
        <v>6574</v>
      </c>
      <c r="C329" s="188" t="s">
        <v>7090</v>
      </c>
      <c r="D329" s="188">
        <v>1712300473</v>
      </c>
      <c r="E329" s="189" t="s">
        <v>67</v>
      </c>
      <c r="F329" s="189" t="s">
        <v>71</v>
      </c>
      <c r="G329" s="189" t="s">
        <v>155</v>
      </c>
      <c r="H329" s="188" t="s">
        <v>196</v>
      </c>
      <c r="I329" s="189" t="s">
        <v>74</v>
      </c>
      <c r="J329" s="56">
        <v>45551</v>
      </c>
      <c r="K329" s="56">
        <v>45557</v>
      </c>
      <c r="L329" s="190" t="s">
        <v>7077</v>
      </c>
      <c r="M329" s="189" t="s">
        <v>6925</v>
      </c>
      <c r="N329" s="191" t="s">
        <v>4035</v>
      </c>
      <c r="O329" s="189" t="s">
        <v>6832</v>
      </c>
      <c r="P329" s="189" t="s">
        <v>6833</v>
      </c>
      <c r="Q329" s="190">
        <v>45551</v>
      </c>
      <c r="R329" s="179" t="s">
        <v>6832</v>
      </c>
      <c r="S329" s="206" t="s">
        <v>6833</v>
      </c>
      <c r="T329" s="189" t="s">
        <v>925</v>
      </c>
      <c r="U329" s="190" t="s">
        <v>6852</v>
      </c>
      <c r="V329" s="21" t="s">
        <v>93</v>
      </c>
      <c r="W329" s="194">
        <f>VLOOKUP(A329,Inactive!A:BI,61,0)</f>
        <v>45552</v>
      </c>
      <c r="X329" s="194">
        <f>VLOOKUP($A329,'ID Block'!A:L,12,0)</f>
        <v>45552</v>
      </c>
      <c r="Y329" s="240">
        <v>0</v>
      </c>
      <c r="Z329" s="235"/>
    </row>
    <row r="330" ht="25.05" customHeight="1">
      <c r="A330" s="187">
        <v>171893</v>
      </c>
      <c r="B330" s="188" t="s">
        <v>6583</v>
      </c>
      <c r="C330" s="188" t="s">
        <v>6584</v>
      </c>
      <c r="D330" s="188">
        <v>1911287797</v>
      </c>
      <c r="E330" s="189" t="s">
        <v>67</v>
      </c>
      <c r="F330" s="189" t="s">
        <v>71</v>
      </c>
      <c r="G330" s="189" t="s">
        <v>155</v>
      </c>
      <c r="H330" s="188" t="s">
        <v>196</v>
      </c>
      <c r="I330" s="189" t="s">
        <v>74</v>
      </c>
      <c r="J330" s="56">
        <v>45555</v>
      </c>
      <c r="K330" s="56">
        <v>45562</v>
      </c>
      <c r="L330" s="190" t="s">
        <v>7063</v>
      </c>
      <c r="M330" s="189" t="s">
        <v>6925</v>
      </c>
      <c r="N330" s="191" t="s">
        <v>4035</v>
      </c>
      <c r="O330" s="189" t="s">
        <v>6832</v>
      </c>
      <c r="P330" s="189" t="s">
        <v>6833</v>
      </c>
      <c r="Q330" s="190">
        <v>45555</v>
      </c>
      <c r="R330" s="179" t="s">
        <v>6832</v>
      </c>
      <c r="S330" s="206" t="s">
        <v>6833</v>
      </c>
      <c r="T330" s="189" t="s">
        <v>925</v>
      </c>
      <c r="U330" s="190" t="s">
        <v>6845</v>
      </c>
      <c r="V330" s="21" t="s">
        <v>93</v>
      </c>
      <c r="W330" s="194">
        <f>VLOOKUP(A330,Inactive!A:BI,61,0)</f>
        <v>45556</v>
      </c>
      <c r="X330" s="194">
        <f>VLOOKUP($A330,'ID Block'!A:L,12,0)</f>
        <v>45556</v>
      </c>
      <c r="Y330" s="240">
        <v>0</v>
      </c>
      <c r="Z330" s="235"/>
    </row>
    <row r="331" ht="25.05" customHeight="1">
      <c r="A331" s="187">
        <v>171508</v>
      </c>
      <c r="B331" s="188" t="s">
        <v>6593</v>
      </c>
      <c r="C331" s="188" t="s">
        <v>7091</v>
      </c>
      <c r="D331" s="188">
        <v>1319292260</v>
      </c>
      <c r="E331" s="189" t="s">
        <v>67</v>
      </c>
      <c r="F331" s="189" t="s">
        <v>71</v>
      </c>
      <c r="G331" s="189" t="s">
        <v>155</v>
      </c>
      <c r="H331" s="188" t="s">
        <v>196</v>
      </c>
      <c r="I331" s="189" t="s">
        <v>74</v>
      </c>
      <c r="J331" s="56">
        <v>45550</v>
      </c>
      <c r="K331" s="56">
        <v>45550</v>
      </c>
      <c r="L331" s="190" t="s">
        <v>6854</v>
      </c>
      <c r="M331" s="189" t="s">
        <v>6925</v>
      </c>
      <c r="N331" s="191" t="s">
        <v>4035</v>
      </c>
      <c r="O331" s="189" t="s">
        <v>6832</v>
      </c>
      <c r="P331" s="189" t="s">
        <v>6833</v>
      </c>
      <c r="Q331" s="190">
        <v>45550</v>
      </c>
      <c r="R331" s="179" t="s">
        <v>6832</v>
      </c>
      <c r="S331" s="206" t="s">
        <v>6833</v>
      </c>
      <c r="T331" s="189" t="s">
        <v>925</v>
      </c>
      <c r="U331" s="190" t="s">
        <v>6854</v>
      </c>
      <c r="V331" s="21" t="s">
        <v>93</v>
      </c>
      <c r="W331" s="194">
        <f>VLOOKUP(A331,Inactive!A:BI,61,0)</f>
        <v>45551</v>
      </c>
      <c r="X331" s="194">
        <f>VLOOKUP($A331,'ID Block'!A:L,12,0)</f>
        <v>45551</v>
      </c>
      <c r="Y331" s="240">
        <v>7</v>
      </c>
      <c r="Z331" s="235"/>
    </row>
    <row r="332" ht="25.05" customHeight="1">
      <c r="A332" s="187">
        <v>171478</v>
      </c>
      <c r="B332" s="188" t="s">
        <v>6492</v>
      </c>
      <c r="C332" s="188" t="s">
        <v>7092</v>
      </c>
      <c r="D332" s="188">
        <v>1774298663</v>
      </c>
      <c r="E332" s="189" t="s">
        <v>67</v>
      </c>
      <c r="F332" s="189" t="s">
        <v>71</v>
      </c>
      <c r="G332" s="189" t="s">
        <v>155</v>
      </c>
      <c r="H332" s="188" t="s">
        <v>2901</v>
      </c>
      <c r="I332" s="189" t="s">
        <v>74</v>
      </c>
      <c r="J332" s="56">
        <v>45581</v>
      </c>
      <c r="K332" s="56">
        <v>45581</v>
      </c>
      <c r="L332" s="190" t="s">
        <v>7064</v>
      </c>
      <c r="M332" s="189" t="s">
        <v>6925</v>
      </c>
      <c r="N332" s="191" t="s">
        <v>4002</v>
      </c>
      <c r="O332" s="189" t="s">
        <v>6832</v>
      </c>
      <c r="P332" s="189" t="s">
        <v>6833</v>
      </c>
      <c r="Q332" s="190">
        <v>45581</v>
      </c>
      <c r="R332" s="179" t="s">
        <v>6832</v>
      </c>
      <c r="S332" s="206" t="s">
        <v>6833</v>
      </c>
      <c r="T332" s="189" t="s">
        <v>925</v>
      </c>
      <c r="U332" s="200" t="s">
        <v>6854</v>
      </c>
      <c r="V332" s="21" t="s">
        <v>93</v>
      </c>
      <c r="W332" s="194">
        <f>VLOOKUP(A332,Inactive!A:BI,61,0)</f>
        <v>45582</v>
      </c>
      <c r="X332" s="194">
        <f>VLOOKUP($A332,'ID Block'!A:L,12,0)</f>
        <v>45582</v>
      </c>
      <c r="Y332" s="240">
        <v>7</v>
      </c>
      <c r="Z332" s="235"/>
    </row>
    <row r="333" ht="25.05" customHeight="1">
      <c r="A333" s="203">
        <v>171221</v>
      </c>
      <c r="B333" s="188" t="s">
        <v>2590</v>
      </c>
      <c r="C333" s="203" t="s">
        <v>6610</v>
      </c>
      <c r="D333" s="189">
        <v>1748704576</v>
      </c>
      <c r="E333" s="189" t="s">
        <v>67</v>
      </c>
      <c r="F333" s="189" t="s">
        <v>71</v>
      </c>
      <c r="G333" s="188" t="s">
        <v>2495</v>
      </c>
      <c r="H333" s="189" t="s">
        <v>73</v>
      </c>
      <c r="I333" s="190" t="s">
        <v>74</v>
      </c>
      <c r="J333" s="241">
        <v>45511</v>
      </c>
      <c r="K333" s="236">
        <v>45512</v>
      </c>
      <c r="L333" s="189" t="s">
        <v>6854</v>
      </c>
      <c r="M333" s="189" t="s">
        <v>3510</v>
      </c>
      <c r="N333" s="204" t="s">
        <v>4321</v>
      </c>
      <c r="O333" s="22"/>
      <c r="P333" s="22"/>
      <c r="Q333" s="22"/>
      <c r="R333" s="22"/>
      <c r="S333" s="22"/>
      <c r="T333" s="22"/>
      <c r="U333" s="189" t="s">
        <v>6854</v>
      </c>
      <c r="V333" s="21" t="s">
        <v>93</v>
      </c>
      <c r="W333" s="194">
        <f>VLOOKUP(A333,Inactive!A:BI,61,0)</f>
        <v>45589</v>
      </c>
      <c r="X333" s="194">
        <f>VLOOKUP($A333,'ID Block'!A:L,12,0)</f>
        <v>45589</v>
      </c>
      <c r="Y333" s="189">
        <v>7</v>
      </c>
      <c r="Z333" s="21"/>
    </row>
    <row r="334" ht="25.05" customHeight="1">
      <c r="A334" s="203">
        <v>171949</v>
      </c>
      <c r="B334" s="188" t="s">
        <v>7093</v>
      </c>
      <c r="C334" s="203" t="s">
        <v>7094</v>
      </c>
      <c r="D334" s="189" t="s">
        <v>7095</v>
      </c>
      <c r="E334" s="189" t="s">
        <v>67</v>
      </c>
      <c r="F334" s="189" t="s">
        <v>71</v>
      </c>
      <c r="G334" s="188" t="s">
        <v>5709</v>
      </c>
      <c r="H334" s="189" t="s">
        <v>7096</v>
      </c>
      <c r="I334" s="190" t="s">
        <v>74</v>
      </c>
      <c r="J334" s="304">
        <v>45587</v>
      </c>
      <c r="K334" s="190">
        <v>45587</v>
      </c>
      <c r="L334" s="189" t="s">
        <v>6854</v>
      </c>
      <c r="M334" s="189" t="s">
        <v>6872</v>
      </c>
      <c r="N334" s="204" t="s">
        <v>7097</v>
      </c>
      <c r="O334" s="22"/>
      <c r="P334" s="22"/>
      <c r="Q334" s="22"/>
      <c r="R334" s="22"/>
      <c r="S334" s="22"/>
      <c r="T334" s="22"/>
      <c r="U334" s="189" t="s">
        <v>6854</v>
      </c>
      <c r="V334" s="21" t="s">
        <v>93</v>
      </c>
      <c r="W334" s="194">
        <f>VLOOKUP(A334,Inactive!A:BI,61,0)</f>
        <v>45589</v>
      </c>
      <c r="X334" s="194">
        <f>VLOOKUP($A334,'ID Block'!A:L,12,0)</f>
        <v>45589</v>
      </c>
      <c r="Y334" s="189">
        <v>7</v>
      </c>
      <c r="Z334" s="21"/>
    </row>
    <row r="335" ht="25.05" customHeight="1">
      <c r="A335" s="237">
        <v>171383</v>
      </c>
      <c r="B335" s="203" t="s">
        <v>6536</v>
      </c>
      <c r="C335" s="188" t="s">
        <v>264</v>
      </c>
      <c r="D335" s="203">
        <v>1533418260</v>
      </c>
      <c r="E335" s="189" t="s">
        <v>67</v>
      </c>
      <c r="F335" s="189" t="s">
        <v>71</v>
      </c>
      <c r="G335" s="189" t="s">
        <v>155</v>
      </c>
      <c r="H335" s="188" t="s">
        <v>196</v>
      </c>
      <c r="I335" s="189" t="s">
        <v>74</v>
      </c>
      <c r="J335" s="241">
        <v>45570</v>
      </c>
      <c r="K335" s="236">
        <v>45570</v>
      </c>
      <c r="L335" s="188" t="s">
        <v>7064</v>
      </c>
      <c r="M335" s="189" t="s">
        <v>6925</v>
      </c>
      <c r="N335" s="204" t="s">
        <v>4035</v>
      </c>
      <c r="O335" s="22"/>
      <c r="P335" s="22"/>
      <c r="Q335" s="22"/>
      <c r="R335" s="22"/>
      <c r="S335" s="22"/>
      <c r="T335" s="22"/>
      <c r="U335" s="188" t="s">
        <v>6854</v>
      </c>
      <c r="V335" s="21" t="s">
        <v>93</v>
      </c>
      <c r="W335" s="194">
        <f>VLOOKUP(A335,Inactive!A:BI,61,0)</f>
        <v>45589</v>
      </c>
      <c r="X335" s="194">
        <f>VLOOKUP($A335,'ID Block'!A:L,12,0)</f>
        <v>45589</v>
      </c>
      <c r="Y335" s="188">
        <v>7</v>
      </c>
      <c r="Z335" s="21"/>
    </row>
    <row r="336" ht="25.05" customHeight="1">
      <c r="A336" s="237">
        <v>171707</v>
      </c>
      <c r="B336" s="203" t="s">
        <v>6625</v>
      </c>
      <c r="C336" s="188" t="s">
        <v>6626</v>
      </c>
      <c r="D336" s="203">
        <v>1798430138</v>
      </c>
      <c r="E336" s="189" t="s">
        <v>67</v>
      </c>
      <c r="F336" s="189" t="s">
        <v>71</v>
      </c>
      <c r="G336" s="189" t="s">
        <v>155</v>
      </c>
      <c r="H336" s="188" t="s">
        <v>7034</v>
      </c>
      <c r="I336" s="189" t="s">
        <v>74</v>
      </c>
      <c r="J336" s="241">
        <v>45517</v>
      </c>
      <c r="K336" s="236">
        <v>45524</v>
      </c>
      <c r="L336" s="188" t="s">
        <v>6852</v>
      </c>
      <c r="M336" s="189" t="s">
        <v>6925</v>
      </c>
      <c r="N336" s="204" t="s">
        <v>4035</v>
      </c>
      <c r="O336" s="22" t="s">
        <v>6832</v>
      </c>
      <c r="P336" s="22" t="s">
        <v>6833</v>
      </c>
      <c r="Q336" s="22" t="s">
        <v>81</v>
      </c>
      <c r="R336" s="22" t="s">
        <v>6832</v>
      </c>
      <c r="S336" s="22" t="s">
        <v>6833</v>
      </c>
      <c r="T336" s="22" t="s">
        <v>925</v>
      </c>
      <c r="U336" s="188" t="s">
        <v>6852</v>
      </c>
      <c r="V336" s="21" t="s">
        <v>93</v>
      </c>
      <c r="W336" s="194">
        <f>VLOOKUP(A336,Inactive!A:BI,61,0)</f>
        <v>45589</v>
      </c>
      <c r="X336" s="194">
        <f>VLOOKUP($A336,'ID Block'!A:L,12,0)</f>
        <v>45589</v>
      </c>
      <c r="Y336" s="188">
        <v>0</v>
      </c>
      <c r="Z336" s="21"/>
    </row>
    <row r="337" ht="25.05" customHeight="1">
      <c r="A337" s="237">
        <v>171796</v>
      </c>
      <c r="B337" s="203" t="s">
        <v>3078</v>
      </c>
      <c r="C337" s="188" t="s">
        <v>6068</v>
      </c>
      <c r="D337" s="203">
        <v>1760717147</v>
      </c>
      <c r="E337" s="189" t="s">
        <v>67</v>
      </c>
      <c r="F337" s="189" t="s">
        <v>71</v>
      </c>
      <c r="G337" s="189" t="s">
        <v>2495</v>
      </c>
      <c r="H337" s="188" t="s">
        <v>2643</v>
      </c>
      <c r="I337" s="189" t="s">
        <v>74</v>
      </c>
      <c r="J337" s="241">
        <v>45566</v>
      </c>
      <c r="K337" s="236">
        <v>45573</v>
      </c>
      <c r="L337" s="188" t="s">
        <v>6994</v>
      </c>
      <c r="M337" s="189" t="s">
        <v>3510</v>
      </c>
      <c r="N337" s="204" t="s">
        <v>4321</v>
      </c>
      <c r="O337" s="22" t="s">
        <v>6832</v>
      </c>
      <c r="P337" s="22" t="s">
        <v>6833</v>
      </c>
      <c r="Q337" s="22" t="s">
        <v>81</v>
      </c>
      <c r="R337" s="22" t="s">
        <v>81</v>
      </c>
      <c r="S337" s="22" t="s">
        <v>81</v>
      </c>
      <c r="T337" s="22" t="s">
        <v>925</v>
      </c>
      <c r="U337" s="188" t="s">
        <v>6994</v>
      </c>
      <c r="V337" s="21" t="s">
        <v>93</v>
      </c>
      <c r="W337" s="194">
        <f>VLOOKUP(A337,Inactive!A:BI,61,0)</f>
        <v>45589</v>
      </c>
      <c r="X337" s="194">
        <f>VLOOKUP($A337,'ID Block'!A:L,12,0)</f>
        <v>45589</v>
      </c>
      <c r="Y337" s="188">
        <v>0</v>
      </c>
      <c r="Z337" s="21"/>
    </row>
    <row r="338" ht="25.05" customHeight="1">
      <c r="A338" s="187">
        <v>171966</v>
      </c>
      <c r="B338" s="188" t="s">
        <v>6640</v>
      </c>
      <c r="C338" s="188" t="s">
        <v>6641</v>
      </c>
      <c r="D338" s="188">
        <v>1722425087</v>
      </c>
      <c r="E338" s="189" t="s">
        <v>67</v>
      </c>
      <c r="F338" s="189" t="s">
        <v>71</v>
      </c>
      <c r="G338" s="189" t="s">
        <v>155</v>
      </c>
      <c r="H338" s="188" t="s">
        <v>2901</v>
      </c>
      <c r="I338" s="189" t="s">
        <v>74</v>
      </c>
      <c r="J338" s="241">
        <v>45580</v>
      </c>
      <c r="K338" s="236">
        <v>45580</v>
      </c>
      <c r="L338" s="188" t="s">
        <v>7064</v>
      </c>
      <c r="M338" s="189" t="s">
        <v>6925</v>
      </c>
      <c r="N338" s="204" t="s">
        <v>3978</v>
      </c>
      <c r="O338" s="240" t="s">
        <v>6832</v>
      </c>
      <c r="P338" s="240" t="s">
        <v>6833</v>
      </c>
      <c r="Q338" s="236">
        <v>45580</v>
      </c>
      <c r="R338" s="240" t="s">
        <v>6832</v>
      </c>
      <c r="S338" s="240" t="s">
        <v>6833</v>
      </c>
      <c r="T338" s="240" t="s">
        <v>925</v>
      </c>
      <c r="U338" s="188" t="s">
        <v>6854</v>
      </c>
      <c r="V338" s="21" t="s">
        <v>93</v>
      </c>
      <c r="W338" s="194">
        <f>VLOOKUP(A338,Inactive!A:BI,61,0)</f>
        <v>45589</v>
      </c>
      <c r="X338" s="194">
        <f>VLOOKUP($A338,'ID Block'!A:L,12,0)</f>
        <v>45589</v>
      </c>
      <c r="Y338" s="188">
        <v>7</v>
      </c>
      <c r="Z338" s="21"/>
    </row>
    <row r="339" ht="25.05" customHeight="1">
      <c r="A339" s="187">
        <v>171491</v>
      </c>
      <c r="B339" s="188" t="s">
        <v>7098</v>
      </c>
      <c r="C339" s="188" t="s">
        <v>6649</v>
      </c>
      <c r="D339" s="188" t="s">
        <v>7099</v>
      </c>
      <c r="E339" s="189" t="s">
        <v>67</v>
      </c>
      <c r="F339" s="189" t="s">
        <v>71</v>
      </c>
      <c r="G339" s="189" t="s">
        <v>5709</v>
      </c>
      <c r="H339" s="188" t="s">
        <v>115</v>
      </c>
      <c r="I339" s="189" t="s">
        <v>74</v>
      </c>
      <c r="J339" s="304">
        <v>45580</v>
      </c>
      <c r="K339" s="190">
        <v>45576</v>
      </c>
      <c r="L339" s="244" t="s">
        <v>6854</v>
      </c>
      <c r="M339" s="205" t="s">
        <v>6872</v>
      </c>
      <c r="N339" s="189" t="s">
        <v>7050</v>
      </c>
      <c r="O339" s="204" t="s">
        <v>6832</v>
      </c>
      <c r="P339" s="240" t="s">
        <v>6833</v>
      </c>
      <c r="Q339" s="236" t="s">
        <v>81</v>
      </c>
      <c r="R339" s="240" t="s">
        <v>6832</v>
      </c>
      <c r="S339" s="240" t="s">
        <v>6833</v>
      </c>
      <c r="T339" s="240" t="s">
        <v>925</v>
      </c>
      <c r="U339" s="244" t="s">
        <v>6854</v>
      </c>
      <c r="V339" s="21" t="s">
        <v>93</v>
      </c>
      <c r="W339" s="194">
        <f>VLOOKUP(A339,Inactive!A:BI,61,0)</f>
        <v>45589</v>
      </c>
      <c r="X339" s="194">
        <f>VLOOKUP($A339,'ID Block'!A:L,12,0)</f>
        <v>45589</v>
      </c>
      <c r="Y339" s="244">
        <v>7</v>
      </c>
      <c r="Z339" s="21"/>
    </row>
    <row r="340" ht="25.05" customHeight="1">
      <c r="A340" s="187" t="s">
        <v>7100</v>
      </c>
      <c r="B340" s="188" t="s">
        <v>7101</v>
      </c>
      <c r="C340" s="188" t="s">
        <v>1948</v>
      </c>
      <c r="D340" s="188" t="s">
        <v>7102</v>
      </c>
      <c r="E340" s="189" t="s">
        <v>67</v>
      </c>
      <c r="F340" s="189" t="s">
        <v>71</v>
      </c>
      <c r="G340" s="189" t="s">
        <v>5709</v>
      </c>
      <c r="H340" s="188" t="s">
        <v>7096</v>
      </c>
      <c r="I340" s="189" t="s">
        <v>74</v>
      </c>
      <c r="J340" s="304" t="s">
        <v>7103</v>
      </c>
      <c r="K340" s="190">
        <v>45588</v>
      </c>
      <c r="L340" s="202" t="s">
        <v>6852</v>
      </c>
      <c r="M340" s="245" t="s">
        <v>6872</v>
      </c>
      <c r="N340" s="189" t="s">
        <v>7104</v>
      </c>
      <c r="O340" s="233" t="s">
        <v>6832</v>
      </c>
      <c r="P340" s="240" t="s">
        <v>6833</v>
      </c>
      <c r="Q340" s="236" t="s">
        <v>81</v>
      </c>
      <c r="R340" s="240" t="s">
        <v>6832</v>
      </c>
      <c r="S340" s="240" t="s">
        <v>6833</v>
      </c>
      <c r="T340" s="240" t="s">
        <v>925</v>
      </c>
      <c r="U340" s="202" t="s">
        <v>6852</v>
      </c>
      <c r="V340" s="21" t="s">
        <v>93</v>
      </c>
      <c r="W340" s="262" t="e">
        <f>VLOOKUP(A340,Inactive!A:BI,61,0)</f>
        <v>#N/A</v>
      </c>
      <c r="X340" s="194">
        <f>VLOOKUP($A340,'ID Block'!A:L,12,0)</f>
        <v>45589</v>
      </c>
      <c r="Y340" s="202">
        <v>0</v>
      </c>
      <c r="Z340" s="21"/>
    </row>
    <row r="341" ht="25.05" customHeight="1">
      <c r="A341" s="238">
        <v>171518</v>
      </c>
      <c r="B341" s="239" t="s">
        <v>6438</v>
      </c>
      <c r="C341" s="239" t="s">
        <v>7105</v>
      </c>
      <c r="D341" s="239">
        <v>1952807424</v>
      </c>
      <c r="E341" s="239" t="s">
        <v>67</v>
      </c>
      <c r="F341" s="239" t="s">
        <v>71</v>
      </c>
      <c r="G341" s="239" t="s">
        <v>155</v>
      </c>
      <c r="H341" s="239" t="s">
        <v>2901</v>
      </c>
      <c r="I341" s="242" t="s">
        <v>74</v>
      </c>
      <c r="J341" s="305">
        <v>45572</v>
      </c>
      <c r="K341" s="243">
        <v>45572</v>
      </c>
      <c r="L341" s="202" t="s">
        <v>6854</v>
      </c>
      <c r="M341" s="245" t="s">
        <v>6872</v>
      </c>
      <c r="N341" s="204" t="s">
        <v>3978</v>
      </c>
      <c r="O341" s="21"/>
      <c r="P341" s="235"/>
      <c r="Q341" s="21"/>
      <c r="R341" s="21"/>
      <c r="S341" s="21"/>
      <c r="T341" s="21"/>
      <c r="U341" s="202" t="s">
        <v>6854</v>
      </c>
      <c r="V341" s="21" t="s">
        <v>93</v>
      </c>
      <c r="W341" s="194">
        <f>VLOOKUP(A341,Inactive!A:BI,61,0)</f>
        <v>45572</v>
      </c>
      <c r="X341" s="194">
        <f>VLOOKUP($A341,'ID Block'!A:L,12,0)</f>
        <v>45572</v>
      </c>
      <c r="Y341" s="202">
        <v>7</v>
      </c>
      <c r="Z341" s="21"/>
    </row>
    <row r="342" ht="25.05" customHeight="1">
      <c r="A342" s="238">
        <v>171897</v>
      </c>
      <c r="B342" s="239" t="s">
        <v>6396</v>
      </c>
      <c r="C342" s="239" t="s">
        <v>7106</v>
      </c>
      <c r="D342" s="239">
        <v>1311164674</v>
      </c>
      <c r="E342" s="239" t="s">
        <v>67</v>
      </c>
      <c r="F342" s="239" t="s">
        <v>71</v>
      </c>
      <c r="G342" s="239" t="s">
        <v>155</v>
      </c>
      <c r="H342" s="239" t="s">
        <v>171</v>
      </c>
      <c r="I342" s="242" t="s">
        <v>74</v>
      </c>
      <c r="J342" s="243">
        <v>45572</v>
      </c>
      <c r="K342" s="243">
        <v>45572</v>
      </c>
      <c r="L342" s="188" t="s">
        <v>6854</v>
      </c>
      <c r="M342" s="240" t="s">
        <v>6872</v>
      </c>
      <c r="N342" s="204" t="s">
        <v>3978</v>
      </c>
      <c r="O342" s="21"/>
      <c r="P342" s="21"/>
      <c r="Q342" s="21"/>
      <c r="R342" s="21"/>
      <c r="S342" s="21"/>
      <c r="T342" s="21"/>
      <c r="U342" s="188" t="s">
        <v>6854</v>
      </c>
      <c r="V342" s="21" t="s">
        <v>93</v>
      </c>
      <c r="W342" s="194">
        <f>VLOOKUP(A342,Inactive!A:BI,61,0)</f>
        <v>45572</v>
      </c>
      <c r="X342" s="194">
        <f>VLOOKUP($A342,'ID Block'!A:L,12,0)</f>
        <v>45572</v>
      </c>
      <c r="Y342" s="188">
        <v>7</v>
      </c>
      <c r="Z342" s="21"/>
    </row>
    <row r="343" ht="25.05" customHeight="1">
      <c r="A343" s="266">
        <v>171730</v>
      </c>
      <c r="B343" s="267" t="s">
        <v>3297</v>
      </c>
      <c r="C343" s="188" t="s">
        <v>6544</v>
      </c>
      <c r="D343" s="267">
        <v>1985091040</v>
      </c>
      <c r="E343" s="189" t="s">
        <v>67</v>
      </c>
      <c r="F343" s="189" t="s">
        <v>71</v>
      </c>
      <c r="G343" s="189" t="s">
        <v>5709</v>
      </c>
      <c r="H343" s="188" t="s">
        <v>1304</v>
      </c>
      <c r="I343" s="189" t="s">
        <v>74</v>
      </c>
      <c r="J343" s="190">
        <v>45589</v>
      </c>
      <c r="K343" s="190">
        <v>45589</v>
      </c>
      <c r="L343" s="188" t="s">
        <v>6854</v>
      </c>
      <c r="M343" s="189" t="s">
        <v>6872</v>
      </c>
      <c r="N343" s="240" t="s">
        <v>7042</v>
      </c>
      <c r="O343" s="189" t="s">
        <v>6832</v>
      </c>
      <c r="P343" s="189" t="s">
        <v>6833</v>
      </c>
      <c r="Q343" s="190" t="s">
        <v>81</v>
      </c>
      <c r="R343" s="189" t="s">
        <v>6832</v>
      </c>
      <c r="S343" s="189" t="s">
        <v>6833</v>
      </c>
      <c r="T343" s="189" t="s">
        <v>925</v>
      </c>
      <c r="U343" s="188" t="s">
        <v>6854</v>
      </c>
      <c r="V343" s="58" t="s">
        <v>93</v>
      </c>
      <c r="W343" s="58">
        <f>VLOOKUP(A343,Inactive!A:BI,61,0)</f>
        <v>45590</v>
      </c>
      <c r="X343" s="58">
        <f>VLOOKUP($A343,'ID Block'!A:L,12,0)</f>
        <v>45590</v>
      </c>
      <c r="Y343" s="188">
        <v>7</v>
      </c>
      <c r="Z343" s="188"/>
    </row>
    <row r="344" ht="25.05" customHeight="1">
      <c r="A344" s="266" t="s">
        <v>7107</v>
      </c>
      <c r="B344" s="267" t="s">
        <v>7108</v>
      </c>
      <c r="C344" s="188" t="s">
        <v>6514</v>
      </c>
      <c r="D344" s="267">
        <v>1776934072</v>
      </c>
      <c r="E344" s="189" t="s">
        <v>67</v>
      </c>
      <c r="F344" s="189" t="s">
        <v>71</v>
      </c>
      <c r="G344" s="189" t="s">
        <v>5709</v>
      </c>
      <c r="H344" s="188" t="s">
        <v>115</v>
      </c>
      <c r="I344" s="189" t="s">
        <v>74</v>
      </c>
      <c r="J344" s="190">
        <v>45590</v>
      </c>
      <c r="K344" s="190">
        <v>45590</v>
      </c>
      <c r="L344" s="188" t="s">
        <v>6854</v>
      </c>
      <c r="M344" s="189" t="s">
        <v>6872</v>
      </c>
      <c r="N344" s="240" t="s">
        <v>4035</v>
      </c>
      <c r="O344" s="189" t="s">
        <v>6832</v>
      </c>
      <c r="P344" s="189" t="s">
        <v>6833</v>
      </c>
      <c r="Q344" s="190" t="s">
        <v>81</v>
      </c>
      <c r="R344" s="189" t="s">
        <v>6832</v>
      </c>
      <c r="S344" s="189" t="s">
        <v>6833</v>
      </c>
      <c r="T344" s="189" t="s">
        <v>925</v>
      </c>
      <c r="U344" s="188" t="s">
        <v>6854</v>
      </c>
      <c r="V344" s="58" t="s">
        <v>93</v>
      </c>
      <c r="W344" s="58" t="e">
        <f>VLOOKUP(A344,Inactive!A:BI,61,0)</f>
        <v>#N/A</v>
      </c>
      <c r="X344" s="58">
        <f>VLOOKUP($A344,'ID Block'!A:L,12,0)</f>
        <v>45591</v>
      </c>
      <c r="Y344" s="188">
        <v>7</v>
      </c>
      <c r="Z344" s="188"/>
    </row>
    <row r="345" ht="25.05" customHeight="1">
      <c r="A345" s="266" t="s">
        <v>7109</v>
      </c>
      <c r="B345" s="267" t="s">
        <v>7110</v>
      </c>
      <c r="C345" s="188" t="s">
        <v>6659</v>
      </c>
      <c r="D345" s="267">
        <v>1949078967</v>
      </c>
      <c r="E345" s="189" t="s">
        <v>67</v>
      </c>
      <c r="F345" s="189" t="s">
        <v>71</v>
      </c>
      <c r="G345" s="189" t="s">
        <v>2495</v>
      </c>
      <c r="H345" s="188" t="s">
        <v>458</v>
      </c>
      <c r="I345" s="189" t="s">
        <v>74</v>
      </c>
      <c r="J345" s="190">
        <v>45589</v>
      </c>
      <c r="K345" s="190">
        <v>45589</v>
      </c>
      <c r="L345" s="188" t="s">
        <v>6854</v>
      </c>
      <c r="M345" s="189" t="s">
        <v>6872</v>
      </c>
      <c r="N345" s="240" t="s">
        <v>7076</v>
      </c>
      <c r="O345" s="189" t="s">
        <v>6832</v>
      </c>
      <c r="P345" s="189" t="s">
        <v>6833</v>
      </c>
      <c r="Q345" s="190" t="s">
        <v>81</v>
      </c>
      <c r="R345" s="189" t="s">
        <v>81</v>
      </c>
      <c r="S345" s="189" t="s">
        <v>81</v>
      </c>
      <c r="T345" s="189" t="s">
        <v>925</v>
      </c>
      <c r="U345" s="188" t="s">
        <v>6854</v>
      </c>
      <c r="V345" s="58" t="s">
        <v>93</v>
      </c>
      <c r="W345" s="58" t="e">
        <f>VLOOKUP(A345,Inactive!A:BI,61,0)</f>
        <v>#N/A</v>
      </c>
      <c r="X345" s="58">
        <f>VLOOKUP($A345,'ID Block'!A:L,12,0)</f>
        <v>45589</v>
      </c>
      <c r="Y345" s="188">
        <v>7</v>
      </c>
      <c r="Z345" s="188"/>
    </row>
    <row r="346" ht="25.05" customHeight="1">
      <c r="A346" s="266">
        <v>171958</v>
      </c>
      <c r="B346" s="267" t="s">
        <v>6591</v>
      </c>
      <c r="C346" s="188" t="s">
        <v>6592</v>
      </c>
      <c r="D346" s="267">
        <v>1797816046</v>
      </c>
      <c r="E346" s="189" t="s">
        <v>67</v>
      </c>
      <c r="F346" s="189" t="s">
        <v>71</v>
      </c>
      <c r="G346" s="189" t="s">
        <v>2495</v>
      </c>
      <c r="H346" s="188" t="s">
        <v>2643</v>
      </c>
      <c r="I346" s="189" t="s">
        <v>74</v>
      </c>
      <c r="J346" s="190">
        <v>45570</v>
      </c>
      <c r="K346" s="190">
        <v>45585</v>
      </c>
      <c r="L346" s="188" t="s">
        <v>7111</v>
      </c>
      <c r="M346" s="189" t="s">
        <v>6846</v>
      </c>
      <c r="N346" s="240" t="s">
        <v>925</v>
      </c>
      <c r="O346" s="189"/>
      <c r="P346" s="189"/>
      <c r="Q346" s="190"/>
      <c r="R346" s="189"/>
      <c r="S346" s="189"/>
      <c r="T346" s="189" t="s">
        <v>925</v>
      </c>
      <c r="U346" s="188" t="s">
        <v>7111</v>
      </c>
      <c r="V346" s="58" t="s">
        <v>93</v>
      </c>
      <c r="W346" s="58">
        <f>VLOOKUP(A346,Inactive!A:BI,61,0)</f>
        <v>45586</v>
      </c>
      <c r="X346" s="58">
        <f>VLOOKUP($A346,'ID Block'!A:L,12,0)</f>
        <v>45586</v>
      </c>
      <c r="Y346" s="188">
        <v>0</v>
      </c>
      <c r="Z346" s="188"/>
    </row>
    <row r="347" ht="25.05" customHeight="1">
      <c r="A347" s="266">
        <v>171670</v>
      </c>
      <c r="B347" s="267" t="s">
        <v>3307</v>
      </c>
      <c r="C347" s="188" t="s">
        <v>6669</v>
      </c>
      <c r="D347" s="267">
        <v>1716060152</v>
      </c>
      <c r="E347" s="189" t="s">
        <v>67</v>
      </c>
      <c r="F347" s="189" t="s">
        <v>71</v>
      </c>
      <c r="G347" s="189" t="s">
        <v>5709</v>
      </c>
      <c r="H347" s="188" t="s">
        <v>369</v>
      </c>
      <c r="I347" s="189" t="s">
        <v>74</v>
      </c>
      <c r="J347" s="190">
        <v>45596</v>
      </c>
      <c r="K347" s="190">
        <v>45602</v>
      </c>
      <c r="L347" s="188" t="s">
        <v>6852</v>
      </c>
      <c r="M347" s="189" t="s">
        <v>6872</v>
      </c>
      <c r="N347" s="240" t="s">
        <v>7042</v>
      </c>
      <c r="O347" s="189" t="s">
        <v>6832</v>
      </c>
      <c r="P347" s="189" t="s">
        <v>6833</v>
      </c>
      <c r="Q347" s="190" t="s">
        <v>81</v>
      </c>
      <c r="R347" s="189" t="s">
        <v>6832</v>
      </c>
      <c r="S347" s="189" t="s">
        <v>6833</v>
      </c>
      <c r="T347" s="189" t="s">
        <v>925</v>
      </c>
      <c r="U347" s="188" t="s">
        <v>6852</v>
      </c>
      <c r="V347" s="58" t="s">
        <v>93</v>
      </c>
      <c r="W347" s="58">
        <f>VLOOKUP(A347,Inactive!A:BI,61,0)</f>
        <v>45602</v>
      </c>
      <c r="X347" s="58">
        <f>VLOOKUP($A347,'ID Block'!A:L,12,0)</f>
        <v>45602</v>
      </c>
      <c r="Y347" s="188">
        <v>0</v>
      </c>
      <c r="Z347" s="188"/>
    </row>
    <row r="348" ht="25.05" customHeight="1">
      <c r="A348" s="266">
        <v>171997</v>
      </c>
      <c r="B348" s="267" t="s">
        <v>6678</v>
      </c>
      <c r="C348" s="188" t="s">
        <v>6679</v>
      </c>
      <c r="D348" s="267">
        <v>1624019203</v>
      </c>
      <c r="E348" s="189" t="s">
        <v>67</v>
      </c>
      <c r="F348" s="189" t="s">
        <v>71</v>
      </c>
      <c r="G348" s="189" t="s">
        <v>155</v>
      </c>
      <c r="H348" s="188" t="s">
        <v>196</v>
      </c>
      <c r="I348" s="189" t="s">
        <v>74</v>
      </c>
      <c r="J348" s="190">
        <v>45585</v>
      </c>
      <c r="K348" s="190">
        <v>45598</v>
      </c>
      <c r="L348" s="188" t="s">
        <v>7112</v>
      </c>
      <c r="M348" s="189" t="s">
        <v>6925</v>
      </c>
      <c r="N348" s="240" t="s">
        <v>4035</v>
      </c>
      <c r="O348" s="189" t="s">
        <v>6832</v>
      </c>
      <c r="P348" s="189" t="s">
        <v>6833</v>
      </c>
      <c r="Q348" s="190">
        <v>45585</v>
      </c>
      <c r="R348" s="189" t="s">
        <v>6832</v>
      </c>
      <c r="S348" s="189" t="s">
        <v>6833</v>
      </c>
      <c r="T348" s="189" t="s">
        <v>925</v>
      </c>
      <c r="U348" s="188" t="s">
        <v>7113</v>
      </c>
      <c r="V348" s="58" t="s">
        <v>93</v>
      </c>
      <c r="Y348" s="188">
        <v>0</v>
      </c>
      <c r="Z348" s="188"/>
    </row>
    <row r="349" ht="25.05" customHeight="1">
      <c r="A349" s="266" t="s">
        <v>7114</v>
      </c>
      <c r="B349" s="267" t="s">
        <v>7115</v>
      </c>
      <c r="C349" s="188" t="s">
        <v>6675</v>
      </c>
      <c r="D349" s="267">
        <v>1308725041</v>
      </c>
      <c r="E349" s="189" t="s">
        <v>67</v>
      </c>
      <c r="F349" s="189" t="s">
        <v>71</v>
      </c>
      <c r="G349" s="189" t="s">
        <v>5709</v>
      </c>
      <c r="H349" s="188" t="s">
        <v>115</v>
      </c>
      <c r="I349" s="189" t="s">
        <v>74</v>
      </c>
      <c r="J349" s="190">
        <v>45590</v>
      </c>
      <c r="K349" s="190">
        <v>45596</v>
      </c>
      <c r="L349" s="188" t="s">
        <v>6852</v>
      </c>
      <c r="M349" s="189" t="s">
        <v>6872</v>
      </c>
      <c r="N349" s="240" t="s">
        <v>4035</v>
      </c>
      <c r="O349" s="189" t="s">
        <v>6832</v>
      </c>
      <c r="P349" s="189" t="s">
        <v>6833</v>
      </c>
      <c r="Q349" s="190" t="s">
        <v>81</v>
      </c>
      <c r="R349" s="189" t="s">
        <v>6832</v>
      </c>
      <c r="S349" s="189" t="s">
        <v>6833</v>
      </c>
      <c r="T349" s="189" t="s">
        <v>925</v>
      </c>
      <c r="U349" s="188" t="s">
        <v>6852</v>
      </c>
      <c r="V349" s="58" t="s">
        <v>93</v>
      </c>
      <c r="W349" s="58" t="e">
        <f>VLOOKUP(A349,Inactive!A:BI,61,0)</f>
        <v>#N/A</v>
      </c>
      <c r="X349" s="58">
        <f>VLOOKUP($A349,'ID Block'!A:L,12,0)</f>
        <v>45597</v>
      </c>
      <c r="Y349" s="188">
        <v>0</v>
      </c>
      <c r="Z349" s="188"/>
    </row>
    <row r="350" ht="25.05" customHeight="1">
      <c r="A350" s="266">
        <v>171950</v>
      </c>
      <c r="B350" s="267" t="s">
        <v>2696</v>
      </c>
      <c r="C350" s="188" t="s">
        <v>2697</v>
      </c>
      <c r="D350" s="267" t="s">
        <v>7116</v>
      </c>
      <c r="E350" s="189" t="s">
        <v>67</v>
      </c>
      <c r="F350" s="189" t="s">
        <v>71</v>
      </c>
      <c r="G350" s="189" t="s">
        <v>5709</v>
      </c>
      <c r="H350" s="188" t="s">
        <v>1304</v>
      </c>
      <c r="I350" s="189" t="s">
        <v>74</v>
      </c>
      <c r="J350" s="190">
        <v>45592</v>
      </c>
      <c r="K350" s="190">
        <v>45592</v>
      </c>
      <c r="L350" s="188" t="s">
        <v>6854</v>
      </c>
      <c r="M350" s="189" t="s">
        <v>6872</v>
      </c>
      <c r="N350" s="240" t="s">
        <v>7050</v>
      </c>
      <c r="O350" s="189" t="s">
        <v>6832</v>
      </c>
      <c r="P350" s="189" t="s">
        <v>6833</v>
      </c>
      <c r="Q350" s="190" t="s">
        <v>81</v>
      </c>
      <c r="R350" s="189" t="s">
        <v>6832</v>
      </c>
      <c r="S350" s="189" t="s">
        <v>6833</v>
      </c>
      <c r="T350" s="189" t="s">
        <v>925</v>
      </c>
      <c r="U350" s="188" t="s">
        <v>6854</v>
      </c>
      <c r="V350" s="58" t="s">
        <v>93</v>
      </c>
      <c r="Y350" s="188">
        <v>7</v>
      </c>
      <c r="Z350" s="188"/>
    </row>
    <row r="351" ht="25.05" customHeight="1">
      <c r="A351" s="266">
        <v>171655</v>
      </c>
      <c r="B351" s="267" t="s">
        <v>6691</v>
      </c>
      <c r="C351" s="188" t="s">
        <v>6692</v>
      </c>
      <c r="D351" s="267">
        <v>1717940538</v>
      </c>
      <c r="E351" s="189" t="s">
        <v>67</v>
      </c>
      <c r="F351" s="189" t="s">
        <v>71</v>
      </c>
      <c r="G351" s="189" t="s">
        <v>155</v>
      </c>
      <c r="H351" s="188" t="s">
        <v>196</v>
      </c>
      <c r="I351" s="189" t="s">
        <v>74</v>
      </c>
      <c r="J351" s="190">
        <v>45597</v>
      </c>
      <c r="K351" s="190">
        <v>45603</v>
      </c>
      <c r="L351" s="188" t="s">
        <v>7077</v>
      </c>
      <c r="M351" s="189" t="s">
        <v>6925</v>
      </c>
      <c r="N351" s="240" t="s">
        <v>4035</v>
      </c>
      <c r="O351" s="189" t="s">
        <v>6832</v>
      </c>
      <c r="P351" s="189" t="s">
        <v>6833</v>
      </c>
      <c r="Q351" s="190">
        <v>45597</v>
      </c>
      <c r="R351" s="189" t="s">
        <v>6832</v>
      </c>
      <c r="S351" s="189" t="s">
        <v>6833</v>
      </c>
      <c r="T351" s="189" t="s">
        <v>925</v>
      </c>
      <c r="U351" s="188" t="s">
        <v>7077</v>
      </c>
      <c r="Y351" s="188">
        <v>0</v>
      </c>
      <c r="Z351" s="188"/>
    </row>
    <row r="352" ht="25.05" customHeight="1">
      <c r="A352" s="266">
        <v>172032</v>
      </c>
      <c r="B352" s="267" t="s">
        <v>3201</v>
      </c>
      <c r="C352" s="188" t="s">
        <v>3202</v>
      </c>
      <c r="D352" s="267">
        <v>1717940538</v>
      </c>
      <c r="E352" s="189" t="s">
        <v>67</v>
      </c>
      <c r="F352" s="189" t="s">
        <v>71</v>
      </c>
      <c r="G352" s="189" t="s">
        <v>155</v>
      </c>
      <c r="H352" s="188" t="s">
        <v>196</v>
      </c>
      <c r="I352" s="189" t="s">
        <v>74</v>
      </c>
      <c r="J352" s="190">
        <v>45597</v>
      </c>
      <c r="K352" s="190">
        <v>45597</v>
      </c>
      <c r="L352" s="188" t="s">
        <v>7117</v>
      </c>
      <c r="M352" s="189" t="s">
        <v>6925</v>
      </c>
      <c r="N352" s="240" t="s">
        <v>4035</v>
      </c>
      <c r="O352" s="189" t="s">
        <v>6832</v>
      </c>
      <c r="P352" s="189" t="s">
        <v>6833</v>
      </c>
      <c r="Q352" s="190">
        <v>45597</v>
      </c>
      <c r="R352" s="189" t="s">
        <v>6832</v>
      </c>
      <c r="S352" s="189" t="s">
        <v>6833</v>
      </c>
      <c r="T352" s="189" t="s">
        <v>925</v>
      </c>
      <c r="U352" s="188" t="s">
        <v>7117</v>
      </c>
      <c r="Y352" s="188">
        <v>6</v>
      </c>
      <c r="Z352" s="188"/>
    </row>
    <row r="353" ht="25.05" customHeight="1">
      <c r="A353" s="266">
        <v>171153</v>
      </c>
      <c r="B353" s="267" t="s">
        <v>3274</v>
      </c>
      <c r="C353" s="188" t="s">
        <v>6699</v>
      </c>
      <c r="D353" s="267"/>
      <c r="E353" s="189" t="s">
        <v>67</v>
      </c>
      <c r="F353" s="189" t="s">
        <v>71</v>
      </c>
      <c r="G353" s="189" t="s">
        <v>2495</v>
      </c>
      <c r="H353" s="188" t="s">
        <v>308</v>
      </c>
      <c r="I353" s="189" t="s">
        <v>74</v>
      </c>
      <c r="J353" s="190">
        <v>45597</v>
      </c>
      <c r="K353" s="190">
        <v>45603</v>
      </c>
      <c r="L353" s="188" t="s">
        <v>6852</v>
      </c>
      <c r="M353" s="189" t="s">
        <v>6872</v>
      </c>
      <c r="N353" s="189" t="s">
        <v>3796</v>
      </c>
      <c r="O353" s="189" t="s">
        <v>6832</v>
      </c>
      <c r="P353" s="189" t="s">
        <v>6833</v>
      </c>
      <c r="Q353" s="190" t="s">
        <v>81</v>
      </c>
      <c r="R353" s="189" t="s">
        <v>81</v>
      </c>
      <c r="S353" s="189" t="s">
        <v>81</v>
      </c>
      <c r="T353" s="189" t="s">
        <v>925</v>
      </c>
      <c r="U353" s="188" t="s">
        <v>6852</v>
      </c>
      <c r="Y353" s="188">
        <v>0</v>
      </c>
      <c r="Z353" s="188"/>
    </row>
    <row r="354" ht="25.05" customHeight="1">
      <c r="A354" s="266">
        <v>171916</v>
      </c>
      <c r="B354" s="267" t="s">
        <v>3315</v>
      </c>
      <c r="C354" s="188" t="s">
        <v>6690</v>
      </c>
      <c r="D354" s="267">
        <v>1748061625</v>
      </c>
      <c r="E354" s="189" t="s">
        <v>67</v>
      </c>
      <c r="F354" s="189" t="s">
        <v>71</v>
      </c>
      <c r="G354" s="189" t="s">
        <v>2495</v>
      </c>
      <c r="H354" s="188" t="s">
        <v>98</v>
      </c>
      <c r="I354" s="189" t="s">
        <v>74</v>
      </c>
      <c r="J354" s="190">
        <v>45598</v>
      </c>
      <c r="K354" s="190">
        <v>45604</v>
      </c>
      <c r="L354" s="188" t="s">
        <v>6852</v>
      </c>
      <c r="M354" s="189" t="s">
        <v>6872</v>
      </c>
      <c r="N354" s="189" t="s">
        <v>3796</v>
      </c>
      <c r="O354" s="189" t="s">
        <v>6832</v>
      </c>
      <c r="P354" s="189" t="s">
        <v>6833</v>
      </c>
      <c r="Q354" s="190" t="s">
        <v>81</v>
      </c>
      <c r="R354" s="189" t="s">
        <v>81</v>
      </c>
      <c r="S354" s="189" t="s">
        <v>81</v>
      </c>
      <c r="T354" s="189" t="s">
        <v>925</v>
      </c>
      <c r="U354" s="188" t="s">
        <v>6852</v>
      </c>
      <c r="Y354" s="188">
        <v>0</v>
      </c>
      <c r="Z354" s="188"/>
    </row>
    <row r="355" ht="25.05" customHeight="1">
      <c r="A355" s="266">
        <v>171351</v>
      </c>
      <c r="B355" s="267" t="s">
        <v>4612</v>
      </c>
      <c r="C355" s="188" t="s">
        <v>442</v>
      </c>
      <c r="D355" s="267"/>
      <c r="E355" s="189" t="s">
        <v>67</v>
      </c>
      <c r="F355" s="189" t="s">
        <v>71</v>
      </c>
      <c r="G355" s="189" t="s">
        <v>2495</v>
      </c>
      <c r="H355" s="188" t="s">
        <v>342</v>
      </c>
      <c r="I355" s="189" t="s">
        <v>74</v>
      </c>
      <c r="J355" s="190">
        <v>45599</v>
      </c>
      <c r="K355" s="190">
        <v>45606</v>
      </c>
      <c r="L355" s="188" t="s">
        <v>6852</v>
      </c>
      <c r="M355" s="189" t="s">
        <v>6872</v>
      </c>
      <c r="N355" s="189" t="s">
        <v>6853</v>
      </c>
      <c r="O355" s="189" t="s">
        <v>6832</v>
      </c>
      <c r="P355" s="189" t="s">
        <v>6833</v>
      </c>
      <c r="Q355" s="190" t="s">
        <v>81</v>
      </c>
      <c r="R355" s="189" t="s">
        <v>81</v>
      </c>
      <c r="S355" s="189" t="s">
        <v>81</v>
      </c>
      <c r="T355" s="189" t="s">
        <v>925</v>
      </c>
      <c r="U355" s="188" t="s">
        <v>6852</v>
      </c>
      <c r="Y355" s="188">
        <v>0</v>
      </c>
      <c r="Z355" s="188"/>
    </row>
    <row r="356" ht="25.05" customHeight="1">
      <c r="A356" s="266">
        <v>171615</v>
      </c>
      <c r="B356" s="267" t="s">
        <v>6754</v>
      </c>
      <c r="C356" s="188" t="s">
        <v>6755</v>
      </c>
      <c r="D356" s="267">
        <v>1826459168</v>
      </c>
      <c r="E356" s="189" t="s">
        <v>67</v>
      </c>
      <c r="F356" s="189" t="s">
        <v>71</v>
      </c>
      <c r="G356" s="189" t="s">
        <v>155</v>
      </c>
      <c r="H356" s="188" t="s">
        <v>2901</v>
      </c>
      <c r="I356" s="189" t="s">
        <v>74</v>
      </c>
      <c r="J356" s="190">
        <v>45607</v>
      </c>
      <c r="K356" s="190">
        <v>45613</v>
      </c>
      <c r="L356" s="188" t="s">
        <v>7077</v>
      </c>
      <c r="M356" s="189" t="s">
        <v>6925</v>
      </c>
      <c r="N356" s="189" t="s">
        <v>7118</v>
      </c>
      <c r="O356" s="189" t="s">
        <v>6832</v>
      </c>
      <c r="P356" s="189" t="s">
        <v>6833</v>
      </c>
      <c r="Q356" s="190">
        <v>45607</v>
      </c>
      <c r="R356" s="189" t="s">
        <v>6832</v>
      </c>
      <c r="S356" s="189" t="s">
        <v>6833</v>
      </c>
      <c r="T356" s="189" t="s">
        <v>925</v>
      </c>
      <c r="U356" s="188" t="s">
        <v>7077</v>
      </c>
      <c r="Y356" s="188">
        <v>0</v>
      </c>
      <c r="Z356" s="188"/>
    </row>
    <row r="357" ht="25.05" customHeight="1">
      <c r="A357" s="266">
        <v>171612</v>
      </c>
      <c r="B357" s="267" t="s">
        <v>6745</v>
      </c>
      <c r="C357" s="188" t="s">
        <v>6746</v>
      </c>
      <c r="D357" s="267" t="s">
        <v>7119</v>
      </c>
      <c r="E357" s="189" t="s">
        <v>67</v>
      </c>
      <c r="F357" s="189" t="s">
        <v>71</v>
      </c>
      <c r="G357" s="189" t="s">
        <v>5709</v>
      </c>
      <c r="H357" s="188" t="s">
        <v>369</v>
      </c>
      <c r="I357" s="189" t="s">
        <v>74</v>
      </c>
      <c r="J357" s="190" t="s">
        <v>7120</v>
      </c>
      <c r="K357" s="190">
        <v>45612</v>
      </c>
      <c r="L357" s="188" t="s">
        <v>6852</v>
      </c>
      <c r="M357" s="189" t="s">
        <v>6872</v>
      </c>
      <c r="N357" s="189" t="s">
        <v>7121</v>
      </c>
      <c r="O357" s="189" t="s">
        <v>6832</v>
      </c>
      <c r="P357" s="189" t="s">
        <v>6833</v>
      </c>
      <c r="Q357" s="190" t="s">
        <v>81</v>
      </c>
      <c r="R357" s="189" t="s">
        <v>6832</v>
      </c>
      <c r="S357" s="189" t="s">
        <v>6833</v>
      </c>
      <c r="T357" s="189" t="s">
        <v>925</v>
      </c>
      <c r="U357" s="188" t="s">
        <v>6852</v>
      </c>
      <c r="Y357" s="188">
        <v>0</v>
      </c>
      <c r="Z357" s="188"/>
    </row>
    <row r="358" ht="25.05" customHeight="1">
      <c r="A358" s="266">
        <v>171311</v>
      </c>
      <c r="B358" s="267" t="s">
        <v>4293</v>
      </c>
      <c r="C358" s="188" t="s">
        <v>6725</v>
      </c>
      <c r="D358" s="267">
        <v>1784109153</v>
      </c>
      <c r="E358" s="189" t="s">
        <v>67</v>
      </c>
      <c r="F358" s="189" t="s">
        <v>71</v>
      </c>
      <c r="G358" s="189" t="s">
        <v>307</v>
      </c>
      <c r="H358" s="188" t="s">
        <v>98</v>
      </c>
      <c r="I358" s="189" t="s">
        <v>74</v>
      </c>
      <c r="J358" s="190" t="s">
        <v>7122</v>
      </c>
      <c r="K358" s="190">
        <v>45611</v>
      </c>
      <c r="L358" s="188" t="s">
        <v>6852</v>
      </c>
      <c r="M358" s="189" t="s">
        <v>6872</v>
      </c>
      <c r="N358" s="189" t="s">
        <v>4035</v>
      </c>
      <c r="O358" s="189" t="s">
        <v>6832</v>
      </c>
      <c r="P358" s="189" t="s">
        <v>6833</v>
      </c>
      <c r="Q358" s="190" t="s">
        <v>7122</v>
      </c>
      <c r="R358" s="189" t="s">
        <v>6832</v>
      </c>
      <c r="S358" s="189" t="s">
        <v>6833</v>
      </c>
      <c r="T358" s="189" t="s">
        <v>925</v>
      </c>
      <c r="U358" s="188" t="s">
        <v>6852</v>
      </c>
      <c r="Y358" s="188">
        <v>0</v>
      </c>
      <c r="Z358" s="188"/>
    </row>
    <row r="359" ht="25.05" customHeight="1">
      <c r="A359" s="266">
        <v>171550</v>
      </c>
      <c r="B359" s="267" t="s">
        <v>6733</v>
      </c>
      <c r="C359" s="188" t="s">
        <v>6734</v>
      </c>
      <c r="D359" s="267">
        <v>1581738142</v>
      </c>
      <c r="E359" s="189" t="s">
        <v>67</v>
      </c>
      <c r="F359" s="189" t="s">
        <v>71</v>
      </c>
      <c r="G359" s="189" t="s">
        <v>1725</v>
      </c>
      <c r="H359" s="188" t="s">
        <v>2474</v>
      </c>
      <c r="I359" s="189" t="s">
        <v>74</v>
      </c>
      <c r="J359" s="190" t="s">
        <v>7123</v>
      </c>
      <c r="K359" s="190">
        <v>45610</v>
      </c>
      <c r="L359" s="188" t="s">
        <v>6852</v>
      </c>
      <c r="M359" s="189" t="s">
        <v>6872</v>
      </c>
      <c r="N359" s="189" t="s">
        <v>4035</v>
      </c>
      <c r="O359" s="189" t="s">
        <v>6832</v>
      </c>
      <c r="P359" s="189" t="s">
        <v>6833</v>
      </c>
      <c r="Q359" s="190" t="s">
        <v>81</v>
      </c>
      <c r="R359" s="189" t="s">
        <v>6832</v>
      </c>
      <c r="S359" s="189" t="s">
        <v>6833</v>
      </c>
      <c r="T359" s="189" t="s">
        <v>925</v>
      </c>
      <c r="U359" s="188" t="s">
        <v>6852</v>
      </c>
      <c r="Y359" s="188">
        <v>0</v>
      </c>
      <c r="Z359" s="188"/>
    </row>
    <row r="360" ht="25.05" customHeight="1">
      <c r="A360" s="295">
        <v>171386</v>
      </c>
      <c r="B360" s="296" t="s">
        <v>6760</v>
      </c>
      <c r="C360" s="244" t="s">
        <v>6761</v>
      </c>
      <c r="D360" s="296">
        <v>1756803516</v>
      </c>
      <c r="E360" s="205" t="s">
        <v>67</v>
      </c>
      <c r="F360" s="205" t="s">
        <v>71</v>
      </c>
      <c r="G360" s="205" t="s">
        <v>155</v>
      </c>
      <c r="H360" s="244" t="s">
        <v>271</v>
      </c>
      <c r="I360" s="205" t="s">
        <v>74</v>
      </c>
      <c r="J360" s="232">
        <v>45609</v>
      </c>
      <c r="K360" s="190">
        <v>45609</v>
      </c>
      <c r="L360" s="244" t="s">
        <v>7064</v>
      </c>
      <c r="M360" s="205" t="s">
        <v>6925</v>
      </c>
      <c r="N360" s="205" t="s">
        <v>4035</v>
      </c>
      <c r="O360" s="205" t="s">
        <v>6832</v>
      </c>
      <c r="P360" s="205" t="s">
        <v>6833</v>
      </c>
      <c r="Q360" s="232">
        <v>45609</v>
      </c>
      <c r="R360" s="205" t="s">
        <v>6832</v>
      </c>
      <c r="S360" s="205" t="s">
        <v>6833</v>
      </c>
      <c r="T360" s="205" t="s">
        <v>925</v>
      </c>
      <c r="U360" s="188" t="s">
        <v>7064</v>
      </c>
      <c r="V360" s="292"/>
      <c r="Y360" s="244">
        <v>7</v>
      </c>
      <c r="Z360" s="244"/>
    </row>
    <row r="361" ht="25.05" customHeight="1">
      <c r="A361" s="297">
        <v>171781</v>
      </c>
      <c r="B361" s="298" t="s">
        <v>6767</v>
      </c>
      <c r="C361" s="298" t="s">
        <v>6768</v>
      </c>
      <c r="D361" s="298">
        <v>1533116252</v>
      </c>
      <c r="E361" s="298" t="s">
        <v>67</v>
      </c>
      <c r="F361" s="298" t="s">
        <v>71</v>
      </c>
      <c r="G361" s="298" t="s">
        <v>5709</v>
      </c>
      <c r="H361" s="298" t="s">
        <v>287</v>
      </c>
      <c r="I361" s="298" t="s">
        <v>74</v>
      </c>
      <c r="J361" s="299">
        <v>45593</v>
      </c>
      <c r="K361" s="190">
        <v>45593</v>
      </c>
      <c r="L361" s="298" t="s">
        <v>6854</v>
      </c>
      <c r="M361" s="298" t="s">
        <v>6872</v>
      </c>
      <c r="N361" s="300" t="s">
        <v>4002</v>
      </c>
      <c r="O361" s="298" t="s">
        <v>6832</v>
      </c>
      <c r="P361" s="298" t="s">
        <v>6833</v>
      </c>
      <c r="Q361" s="298" t="s">
        <v>81</v>
      </c>
      <c r="R361" s="298" t="s">
        <v>6832</v>
      </c>
      <c r="S361" s="298" t="s">
        <v>6833</v>
      </c>
      <c r="T361" s="301" t="s">
        <v>925</v>
      </c>
      <c r="U361" s="188" t="s">
        <v>6854</v>
      </c>
      <c r="V361" s="302"/>
      <c r="W361" s="302"/>
      <c r="X361" s="302"/>
      <c r="Y361" s="303">
        <v>7</v>
      </c>
      <c r="Z361" s="303"/>
    </row>
    <row r="362" ht="27" customHeight="1" s="65" customFormat="1">
      <c r="A362" s="19" t="s">
        <v>7124</v>
      </c>
      <c r="B362" s="19" t="s">
        <v>2</v>
      </c>
      <c r="C362" s="19" t="s">
        <v>6786</v>
      </c>
      <c r="D362" s="19" t="s">
        <v>23</v>
      </c>
      <c r="E362" s="19" t="s">
        <v>6</v>
      </c>
      <c r="F362" s="19" t="s">
        <v>10</v>
      </c>
      <c r="G362" s="19" t="s">
        <v>6811</v>
      </c>
      <c r="H362" s="19" t="s">
        <v>6812</v>
      </c>
      <c r="I362" s="19" t="s">
        <v>6813</v>
      </c>
      <c r="J362" s="19" t="s">
        <v>6814</v>
      </c>
      <c r="K362" s="19" t="s">
        <v>6815</v>
      </c>
      <c r="L362" s="19" t="s">
        <v>6816</v>
      </c>
      <c r="M362" s="19" t="s">
        <v>6817</v>
      </c>
      <c r="N362" s="19" t="s">
        <v>6818</v>
      </c>
      <c r="O362" s="19" t="s">
        <v>6819</v>
      </c>
      <c r="P362" s="68" t="s">
        <v>7125</v>
      </c>
      <c r="Q362" s="19" t="s">
        <v>6821</v>
      </c>
      <c r="R362" s="19" t="s">
        <v>6822</v>
      </c>
      <c r="S362" s="19" t="s">
        <v>6823</v>
      </c>
      <c r="T362" s="19" t="s">
        <v>34</v>
      </c>
      <c r="U362" s="19"/>
      <c r="V362" s="19"/>
      <c r="W362" s="19"/>
      <c r="X362" s="19"/>
      <c r="Y362" s="68"/>
      <c r="Z362" s="68"/>
    </row>
    <row r="363" ht="25.05" customHeight="1">
      <c r="A363" s="297">
        <v>171815</v>
      </c>
      <c r="B363" s="298" t="s">
        <v>7126</v>
      </c>
      <c r="C363" s="298" t="s">
        <v>6530</v>
      </c>
      <c r="D363" s="298">
        <v>1923984234</v>
      </c>
      <c r="E363" s="298" t="s">
        <v>67</v>
      </c>
      <c r="F363" s="298" t="s">
        <v>71</v>
      </c>
      <c r="G363" s="298" t="s">
        <v>97</v>
      </c>
      <c r="H363" s="298" t="s">
        <v>2643</v>
      </c>
      <c r="I363" s="298" t="s">
        <v>74</v>
      </c>
      <c r="J363" s="299">
        <v>45597</v>
      </c>
      <c r="K363" s="190">
        <v>45596</v>
      </c>
      <c r="L363" s="298" t="s">
        <v>6854</v>
      </c>
      <c r="M363" s="298" t="s">
        <v>3510</v>
      </c>
      <c r="N363" s="300" t="s">
        <v>4002</v>
      </c>
      <c r="O363" s="298" t="s">
        <v>6832</v>
      </c>
      <c r="P363" s="298" t="s">
        <v>6833</v>
      </c>
      <c r="Q363" s="298" t="s">
        <v>81</v>
      </c>
      <c r="R363" s="298" t="s">
        <v>81</v>
      </c>
      <c r="S363" s="298" t="s">
        <v>81</v>
      </c>
      <c r="T363" s="301" t="s">
        <v>925</v>
      </c>
      <c r="U363" s="188" t="s">
        <v>7064</v>
      </c>
      <c r="V363" s="302"/>
      <c r="W363" s="302"/>
      <c r="X363" s="302"/>
      <c r="Y363" s="303">
        <v>7</v>
      </c>
      <c r="Z363" s="303"/>
    </row>
    <row r="364" ht="25.05" customHeight="1">
      <c r="A364" s="297">
        <v>172034</v>
      </c>
      <c r="B364" s="298" t="s">
        <v>6775</v>
      </c>
      <c r="C364" s="298" t="s">
        <v>7127</v>
      </c>
      <c r="D364" s="298">
        <v>1873737372</v>
      </c>
      <c r="E364" s="298" t="s">
        <v>67</v>
      </c>
      <c r="F364" s="298" t="s">
        <v>71</v>
      </c>
      <c r="G364" s="298" t="s">
        <v>155</v>
      </c>
      <c r="H364" s="298" t="s">
        <v>271</v>
      </c>
      <c r="I364" s="298" t="s">
        <v>74</v>
      </c>
      <c r="J364" s="299">
        <v>45614</v>
      </c>
      <c r="K364" s="190">
        <v>45620</v>
      </c>
      <c r="L364" s="188" t="s">
        <v>6852</v>
      </c>
      <c r="M364" s="298" t="s">
        <v>6925</v>
      </c>
      <c r="N364" s="300" t="s">
        <v>4035</v>
      </c>
      <c r="O364" s="298" t="s">
        <v>6832</v>
      </c>
      <c r="P364" s="298" t="s">
        <v>6833</v>
      </c>
      <c r="Q364" s="298">
        <v>45614</v>
      </c>
      <c r="R364" s="298" t="s">
        <v>6832</v>
      </c>
      <c r="S364" s="298" t="s">
        <v>6833</v>
      </c>
      <c r="T364" s="301" t="s">
        <v>925</v>
      </c>
      <c r="U364" s="188" t="s">
        <v>6852</v>
      </c>
      <c r="V364" s="302"/>
      <c r="W364" s="302"/>
      <c r="X364" s="302"/>
      <c r="Y364" s="303">
        <v>0</v>
      </c>
      <c r="Z364" s="303"/>
    </row>
    <row r="365" ht="25.05" customHeight="1">
      <c r="A365" s="297">
        <v>171630</v>
      </c>
      <c r="B365" s="298" t="s">
        <v>7128</v>
      </c>
      <c r="C365" s="298" t="s">
        <v>6508</v>
      </c>
      <c r="D365" s="298">
        <v>1608001638</v>
      </c>
      <c r="E365" s="298" t="s">
        <v>67</v>
      </c>
      <c r="F365" s="298" t="s">
        <v>71</v>
      </c>
      <c r="G365" s="298" t="s">
        <v>2495</v>
      </c>
      <c r="H365" s="298" t="s">
        <v>458</v>
      </c>
      <c r="I365" s="298" t="s">
        <v>74</v>
      </c>
      <c r="J365" s="299">
        <v>45613</v>
      </c>
      <c r="K365" s="190">
        <v>45620</v>
      </c>
      <c r="L365" s="188" t="s">
        <v>6852</v>
      </c>
      <c r="M365" s="298" t="s">
        <v>6872</v>
      </c>
      <c r="N365" s="300" t="s">
        <v>3796</v>
      </c>
      <c r="O365" s="298" t="s">
        <v>6832</v>
      </c>
      <c r="P365" s="298" t="s">
        <v>6833</v>
      </c>
      <c r="Q365" s="298" t="s">
        <v>81</v>
      </c>
      <c r="R365" s="298" t="s">
        <v>81</v>
      </c>
      <c r="S365" s="298" t="s">
        <v>81</v>
      </c>
      <c r="T365" s="301" t="s">
        <v>925</v>
      </c>
      <c r="U365" s="188" t="s">
        <v>6852</v>
      </c>
      <c r="V365" s="302"/>
      <c r="W365" s="302"/>
      <c r="X365" s="302"/>
      <c r="Y365" s="303">
        <v>0</v>
      </c>
      <c r="Z365" s="303"/>
    </row>
  </sheetData>
  <conditionalFormatting sqref="A1">
    <cfRule type="duplicateValues" dxfId="0" priority="2583"/>
    <cfRule type="duplicateValues" dxfId="0" priority="2584"/>
    <cfRule type="duplicateValues" dxfId="0" priority="2585"/>
    <cfRule type="duplicateValues" dxfId="0" priority="2586"/>
    <cfRule type="duplicateValues" dxfId="0" priority="2627"/>
    <cfRule type="duplicateValues" dxfId="0" priority="2626"/>
    <cfRule type="duplicateValues" dxfId="0" priority="2625"/>
    <cfRule type="duplicateValues" dxfId="0" priority="2622"/>
    <cfRule type="duplicateValues" dxfId="0" priority="2623"/>
    <cfRule type="duplicateValues" dxfId="0" priority="2587"/>
    <cfRule type="duplicateValues" dxfId="0" priority="2588"/>
    <cfRule type="duplicateValues" dxfId="0" priority="2589"/>
    <cfRule type="duplicateValues" dxfId="0" priority="2590"/>
    <cfRule type="duplicateValues" dxfId="0" priority="2591"/>
    <cfRule type="duplicateValues" dxfId="0" priority="2592"/>
    <cfRule type="duplicateValues" dxfId="0" priority="2594"/>
    <cfRule type="duplicateValues" dxfId="0" priority="2595"/>
    <cfRule type="duplicateValues" dxfId="0" priority="2596"/>
    <cfRule type="duplicateValues" dxfId="0" priority="2597"/>
    <cfRule type="duplicateValues" dxfId="0" priority="2598"/>
    <cfRule type="duplicateValues" dxfId="0" priority="2599"/>
    <cfRule type="duplicateValues" dxfId="0" priority="2600"/>
    <cfRule type="duplicateValues" dxfId="0" priority="2618"/>
    <cfRule type="duplicateValues" dxfId="0" priority="2601"/>
    <cfRule type="duplicateValues" dxfId="0" priority="2602"/>
    <cfRule type="duplicateValues" dxfId="0" priority="2603"/>
    <cfRule type="duplicateValues" dxfId="0" priority="2604"/>
    <cfRule type="duplicateValues" dxfId="0" priority="2605"/>
    <cfRule type="duplicateValues" dxfId="0" priority="2606"/>
    <cfRule type="duplicateValues" dxfId="0" priority="2607"/>
    <cfRule type="duplicateValues" dxfId="0" priority="2609"/>
    <cfRule type="duplicateValues" dxfId="0" priority="2610"/>
    <cfRule type="duplicateValues" dxfId="0" priority="2611"/>
    <cfRule type="duplicateValues" dxfId="0" priority="2612"/>
    <cfRule type="duplicateValues" dxfId="0" priority="2613"/>
    <cfRule type="duplicateValues" dxfId="0" priority="2614"/>
    <cfRule type="duplicateValues" dxfId="0" priority="2615"/>
    <cfRule type="duplicateValues" dxfId="0" priority="2616"/>
    <cfRule type="duplicateValues" dxfId="0" priority="2617"/>
    <cfRule type="duplicateValues" dxfId="0" priority="2608"/>
    <cfRule type="duplicateValues" dxfId="0" priority="2593"/>
    <cfRule type="duplicateValues" dxfId="0" priority="2624"/>
    <cfRule type="duplicateValues" dxfId="0" priority="2621"/>
    <cfRule type="duplicateValues" dxfId="0" priority="2620"/>
    <cfRule type="duplicateValues" dxfId="0" priority="2619"/>
    <cfRule type="duplicateValues" dxfId="0" priority="2571"/>
    <cfRule type="duplicateValues" dxfId="0" priority="2572"/>
    <cfRule type="duplicateValues" dxfId="0" priority="2573"/>
    <cfRule type="duplicateValues" dxfId="0" priority="2574"/>
    <cfRule type="duplicateValues" dxfId="0" priority="2575"/>
    <cfRule type="duplicateValues" dxfId="0" priority="2576"/>
    <cfRule type="duplicateValues" dxfId="0" priority="2577"/>
    <cfRule type="duplicateValues" dxfId="0" priority="2578"/>
    <cfRule type="duplicateValues" dxfId="0" priority="2579"/>
    <cfRule type="duplicateValues" dxfId="0" priority="2580"/>
    <cfRule type="duplicateValues" dxfId="0" priority="2581"/>
    <cfRule type="duplicateValues" dxfId="0" priority="2582"/>
  </conditionalFormatting>
  <conditionalFormatting sqref="A1:A4">
    <cfRule type="duplicateValues" dxfId="0" priority="588263"/>
    <cfRule type="duplicateValues" dxfId="0" priority="588246"/>
    <cfRule type="duplicateValues" dxfId="0" priority="588246"/>
    <cfRule type="duplicateValues" dxfId="0" priority="588246"/>
    <cfRule type="duplicateValues" dxfId="0" priority="588257"/>
    <cfRule type="duplicateValues" dxfId="0" priority="588256"/>
    <cfRule type="duplicateValues" dxfId="0" priority="588255"/>
    <cfRule type="duplicateValues" dxfId="0" priority="588254"/>
    <cfRule type="duplicateValues" dxfId="0" priority="588253"/>
    <cfRule type="duplicateValues" dxfId="0" priority="588252"/>
    <cfRule type="duplicateValues" dxfId="0" priority="588251"/>
    <cfRule type="duplicateValues" dxfId="0" priority="588250"/>
    <cfRule type="duplicateValues" dxfId="0" priority="588249"/>
    <cfRule type="duplicateValues" dxfId="0" priority="588248"/>
    <cfRule type="duplicateValues" dxfId="0" priority="588247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46"/>
    <cfRule type="duplicateValues" dxfId="0" priority="588262"/>
    <cfRule type="duplicateValues" dxfId="0" priority="588287"/>
    <cfRule type="duplicateValues" dxfId="0" priority="588286"/>
    <cfRule type="duplicateValues" dxfId="0" priority="588285"/>
    <cfRule type="duplicateValues" dxfId="0" priority="588284"/>
    <cfRule type="duplicateValues" dxfId="0" priority="588283"/>
    <cfRule type="duplicateValues" dxfId="0" priority="588282"/>
    <cfRule type="duplicateValues" dxfId="0" priority="588281"/>
    <cfRule type="duplicateValues" dxfId="0" priority="588280"/>
    <cfRule type="duplicateValues" dxfId="0" priority="588279"/>
    <cfRule type="duplicateValues" dxfId="0" priority="588278"/>
    <cfRule type="duplicateValues" dxfId="0" priority="588277"/>
    <cfRule type="duplicateValues" dxfId="0" priority="588276"/>
    <cfRule type="duplicateValues" dxfId="0" priority="588275"/>
    <cfRule type="duplicateValues" dxfId="0" priority="588274"/>
    <cfRule type="duplicateValues" dxfId="0" priority="588273"/>
    <cfRule type="duplicateValues" dxfId="0" priority="588272"/>
    <cfRule type="duplicateValues" dxfId="0" priority="588271"/>
    <cfRule type="duplicateValues" dxfId="0" priority="588270"/>
    <cfRule type="duplicateValues" dxfId="0" priority="588269"/>
    <cfRule type="duplicateValues" dxfId="0" priority="588268"/>
    <cfRule type="duplicateValues" dxfId="0" priority="588267"/>
    <cfRule type="duplicateValues" dxfId="0" priority="588266"/>
    <cfRule type="duplicateValues" dxfId="0" priority="588265"/>
    <cfRule type="duplicateValues" dxfId="0" priority="588264"/>
    <cfRule type="duplicateValues" dxfId="0" priority="588261"/>
    <cfRule type="duplicateValues" dxfId="0" priority="588260"/>
    <cfRule type="duplicateValues" dxfId="0" priority="588259"/>
    <cfRule type="duplicateValues" dxfId="0" priority="588258"/>
  </conditionalFormatting>
  <conditionalFormatting sqref="A1:A365 A367:A1048576">
    <cfRule type="duplicateValues" dxfId="234" priority="261"/>
  </conditionalFormatting>
  <conditionalFormatting sqref="A2:A4 A6:A9">
    <cfRule type="duplicateValues" dxfId="0" priority="588785"/>
    <cfRule type="duplicateValues" dxfId="0" priority="588786"/>
    <cfRule type="duplicateValues" dxfId="0" priority="588787"/>
    <cfRule type="duplicateValues" dxfId="0" priority="588788"/>
    <cfRule type="duplicateValues" dxfId="0" priority="588782"/>
    <cfRule type="duplicateValues" dxfId="0" priority="588783"/>
    <cfRule type="duplicateValues" dxfId="0" priority="588775"/>
    <cfRule type="duplicateValues" dxfId="0" priority="588784"/>
    <cfRule type="duplicateValues" dxfId="0" priority="588781"/>
    <cfRule type="duplicateValues" dxfId="0" priority="588780"/>
    <cfRule type="duplicateValues" dxfId="0" priority="588779"/>
    <cfRule type="duplicateValues" dxfId="0" priority="588778"/>
    <cfRule type="duplicateValues" dxfId="0" priority="588777"/>
    <cfRule type="duplicateValues" dxfId="0" priority="588776"/>
  </conditionalFormatting>
  <conditionalFormatting sqref="A5">
    <cfRule type="duplicateValues" dxfId="0" priority="1457"/>
    <cfRule type="duplicateValues" dxfId="0" priority="1459"/>
    <cfRule type="duplicateValues" dxfId="0" priority="1460"/>
    <cfRule type="duplicateValues" dxfId="0" priority="1461"/>
    <cfRule type="duplicateValues" dxfId="0" priority="1462"/>
    <cfRule type="duplicateValues" dxfId="0" priority="1463"/>
    <cfRule type="duplicateValues" dxfId="0" priority="1465"/>
    <cfRule type="duplicateValues" dxfId="0" priority="1466"/>
    <cfRule type="duplicateValues" dxfId="0" priority="1467"/>
    <cfRule type="duplicateValues" dxfId="0" priority="1468"/>
    <cfRule type="duplicateValues" dxfId="0" priority="1469"/>
    <cfRule type="duplicateValues" dxfId="0" priority="1470"/>
    <cfRule type="duplicateValues" dxfId="0" priority="1471"/>
    <cfRule type="duplicateValues" dxfId="0" priority="1472"/>
    <cfRule type="duplicateValues" dxfId="0" priority="1473"/>
    <cfRule type="duplicateValues" dxfId="0" priority="1458"/>
    <cfRule type="duplicateValues" dxfId="0" priority="1464"/>
    <cfRule type="duplicateValues" dxfId="0" priority="1451"/>
    <cfRule type="duplicateValues" dxfId="0" priority="1452"/>
    <cfRule type="duplicateValues" dxfId="0" priority="1453"/>
    <cfRule type="duplicateValues" dxfId="0" priority="1454"/>
    <cfRule type="duplicateValues" dxfId="0" priority="1455"/>
    <cfRule type="duplicateValues" dxfId="0" priority="1456"/>
  </conditionalFormatting>
  <conditionalFormatting sqref="A10">
    <cfRule type="duplicateValues" dxfId="0" priority="1351"/>
    <cfRule type="duplicateValues" dxfId="0" priority="1357"/>
    <cfRule type="duplicateValues" dxfId="0" priority="1358"/>
    <cfRule type="duplicateValues" dxfId="0" priority="1359"/>
    <cfRule type="duplicateValues" dxfId="0" priority="1360"/>
    <cfRule type="duplicateValues" dxfId="0" priority="1361"/>
    <cfRule type="duplicateValues" dxfId="0" priority="1362"/>
    <cfRule type="duplicateValues" dxfId="0" priority="1355"/>
    <cfRule type="duplicateValues" dxfId="0" priority="1356"/>
    <cfRule type="duplicateValues" dxfId="0" priority="1352"/>
    <cfRule type="duplicateValues" dxfId="0" priority="1353"/>
    <cfRule type="duplicateValues" dxfId="0" priority="1354"/>
    <cfRule type="duplicateValues" dxfId="0" priority="1363"/>
    <cfRule type="duplicateValues" dxfId="0" priority="1364"/>
    <cfRule type="duplicateValues" dxfId="0" priority="1365"/>
    <cfRule type="duplicateValues" dxfId="0" priority="1350"/>
    <cfRule type="duplicateValues" dxfId="0" priority="1367"/>
    <cfRule type="duplicateValues" dxfId="0" priority="1368"/>
    <cfRule type="duplicateValues" dxfId="0" priority="1369"/>
    <cfRule type="duplicateValues" dxfId="0" priority="1370"/>
    <cfRule type="duplicateValues" dxfId="0" priority="1371"/>
    <cfRule type="duplicateValues" dxfId="0" priority="1372"/>
    <cfRule type="duplicateValues" dxfId="0" priority="1366"/>
  </conditionalFormatting>
  <conditionalFormatting sqref="A11:A16">
    <cfRule type="duplicateValues" dxfId="0" priority="1444"/>
    <cfRule type="duplicateValues" dxfId="0" priority="1445"/>
    <cfRule type="duplicateValues" dxfId="0" priority="1446"/>
    <cfRule type="duplicateValues" dxfId="0" priority="1447"/>
    <cfRule type="duplicateValues" dxfId="0" priority="1448"/>
    <cfRule type="duplicateValues" dxfId="0" priority="1449"/>
    <cfRule type="duplicateValues" dxfId="0" priority="1450"/>
    <cfRule type="duplicateValues" dxfId="0" priority="1378"/>
    <cfRule type="duplicateValues" dxfId="0" priority="1398"/>
    <cfRule type="duplicateValues" dxfId="0" priority="1373"/>
    <cfRule type="duplicateValues" dxfId="0" priority="1374"/>
    <cfRule type="duplicateValues" dxfId="0" priority="1375"/>
    <cfRule type="duplicateValues" dxfId="0" priority="1376"/>
    <cfRule type="duplicateValues" dxfId="0" priority="1377"/>
    <cfRule type="duplicateValues" dxfId="0" priority="1443"/>
    <cfRule type="duplicateValues" dxfId="0" priority="1379"/>
    <cfRule type="duplicateValues" dxfId="0" priority="1380"/>
    <cfRule type="duplicateValues" dxfId="0" priority="1381"/>
    <cfRule type="duplicateValues" dxfId="0" priority="1382"/>
    <cfRule type="duplicateValues" dxfId="0" priority="1383"/>
    <cfRule type="duplicateValues" dxfId="0" priority="1384"/>
    <cfRule type="duplicateValues" dxfId="0" priority="1385"/>
    <cfRule type="duplicateValues" dxfId="0" priority="1386"/>
    <cfRule type="duplicateValues" dxfId="0" priority="1387"/>
    <cfRule type="duplicateValues" dxfId="0" priority="1388"/>
    <cfRule type="duplicateValues" dxfId="0" priority="1389"/>
    <cfRule type="duplicateValues" dxfId="0" priority="1390"/>
    <cfRule type="duplicateValues" dxfId="0" priority="1391"/>
    <cfRule type="duplicateValues" dxfId="0" priority="1392"/>
    <cfRule type="duplicateValues" dxfId="0" priority="1393"/>
    <cfRule type="duplicateValues" dxfId="0" priority="1394"/>
    <cfRule type="duplicateValues" dxfId="0" priority="1395"/>
    <cfRule type="duplicateValues" dxfId="0" priority="1396"/>
    <cfRule type="duplicateValues" dxfId="0" priority="1397"/>
    <cfRule type="duplicateValues" dxfId="0" priority="1399"/>
    <cfRule type="duplicateValues" dxfId="0" priority="1400"/>
    <cfRule type="duplicateValues" dxfId="0" priority="1401"/>
    <cfRule type="duplicateValues" dxfId="0" priority="1402"/>
    <cfRule type="duplicateValues" dxfId="0" priority="1403"/>
    <cfRule type="duplicateValues" dxfId="0" priority="1404"/>
    <cfRule type="duplicateValues" dxfId="0" priority="1405"/>
    <cfRule type="duplicateValues" dxfId="0" priority="1406"/>
    <cfRule type="duplicateValues" dxfId="0" priority="1407"/>
    <cfRule type="duplicateValues" dxfId="0" priority="1408"/>
    <cfRule type="duplicateValues" dxfId="0" priority="1409"/>
    <cfRule type="duplicateValues" dxfId="0" priority="1410"/>
    <cfRule type="duplicateValues" dxfId="0" priority="1411"/>
    <cfRule type="duplicateValues" dxfId="0" priority="1412"/>
    <cfRule type="duplicateValues" dxfId="0" priority="1413"/>
    <cfRule type="duplicateValues" dxfId="0" priority="1414"/>
    <cfRule type="duplicateValues" dxfId="0" priority="1415"/>
    <cfRule type="duplicateValues" dxfId="0" priority="1416"/>
    <cfRule type="duplicateValues" dxfId="0" priority="1417"/>
    <cfRule type="duplicateValues" dxfId="0" priority="1418"/>
    <cfRule type="duplicateValues" dxfId="0" priority="1419"/>
    <cfRule type="duplicateValues" dxfId="0" priority="1420"/>
    <cfRule type="duplicateValues" dxfId="0" priority="1421"/>
    <cfRule type="duplicateValues" dxfId="0" priority="1422"/>
    <cfRule type="duplicateValues" dxfId="0" priority="1423"/>
    <cfRule type="duplicateValues" dxfId="0" priority="1424"/>
    <cfRule type="duplicateValues" dxfId="0" priority="1425"/>
    <cfRule type="duplicateValues" dxfId="0" priority="1426"/>
    <cfRule type="duplicateValues" dxfId="0" priority="1427"/>
    <cfRule type="duplicateValues" dxfId="0" priority="1428"/>
    <cfRule type="duplicateValues" dxfId="0" priority="1429"/>
    <cfRule type="duplicateValues" dxfId="0" priority="1430"/>
    <cfRule type="duplicateValues" dxfId="0" priority="1431"/>
    <cfRule type="duplicateValues" dxfId="0" priority="1432"/>
    <cfRule type="duplicateValues" dxfId="0" priority="1433"/>
    <cfRule type="duplicateValues" dxfId="0" priority="1434"/>
    <cfRule type="duplicateValues" dxfId="0" priority="1435"/>
    <cfRule type="duplicateValues" dxfId="0" priority="1436"/>
    <cfRule type="duplicateValues" dxfId="0" priority="1437"/>
    <cfRule type="duplicateValues" dxfId="0" priority="1438"/>
    <cfRule type="duplicateValues" dxfId="0" priority="1439"/>
    <cfRule type="duplicateValues" dxfId="0" priority="1440"/>
    <cfRule type="duplicateValues" dxfId="0" priority="1441"/>
    <cfRule type="duplicateValues" dxfId="0" priority="1442"/>
  </conditionalFormatting>
  <conditionalFormatting sqref="A25:A29 A23">
    <cfRule type="duplicateValues" dxfId="0" priority="1333"/>
    <cfRule type="duplicateValues" dxfId="0" priority="1332"/>
    <cfRule type="duplicateValues" dxfId="0" priority="1316"/>
    <cfRule type="duplicateValues" dxfId="0" priority="1317"/>
    <cfRule type="duplicateValues" dxfId="0" priority="1318"/>
    <cfRule type="duplicateValues" dxfId="0" priority="1319"/>
    <cfRule type="duplicateValues" dxfId="0" priority="1320"/>
    <cfRule type="duplicateValues" dxfId="0" priority="1321"/>
    <cfRule type="duplicateValues" dxfId="0" priority="1322"/>
    <cfRule type="duplicateValues" dxfId="0" priority="1323"/>
    <cfRule type="duplicateValues" dxfId="0" priority="1324"/>
    <cfRule type="duplicateValues" dxfId="0" priority="1325"/>
    <cfRule type="duplicateValues" dxfId="0" priority="1326"/>
    <cfRule type="duplicateValues" dxfId="0" priority="1327"/>
    <cfRule type="duplicateValues" dxfId="0" priority="1328"/>
    <cfRule type="duplicateValues" dxfId="0" priority="1329"/>
    <cfRule type="duplicateValues" dxfId="0" priority="1330"/>
    <cfRule type="duplicateValues" dxfId="0" priority="1331"/>
  </conditionalFormatting>
  <conditionalFormatting sqref="A35">
    <cfRule type="duplicateValues" dxfId="0" priority="1245"/>
    <cfRule type="duplicateValues" dxfId="0" priority="1239"/>
    <cfRule type="duplicateValues" dxfId="0" priority="1240"/>
    <cfRule type="duplicateValues" dxfId="0" priority="1241"/>
    <cfRule type="duplicateValues" dxfId="0" priority="1242"/>
    <cfRule type="duplicateValues" dxfId="0" priority="1243"/>
    <cfRule type="duplicateValues" dxfId="0" priority="1244"/>
    <cfRule type="duplicateValues" dxfId="0" priority="1235"/>
    <cfRule type="duplicateValues" dxfId="0" priority="1246"/>
    <cfRule type="duplicateValues" dxfId="0" priority="1247"/>
    <cfRule type="duplicateValues" dxfId="0" priority="1248"/>
    <cfRule type="duplicateValues" dxfId="0" priority="1249"/>
    <cfRule type="duplicateValues" dxfId="0" priority="1250"/>
    <cfRule type="duplicateValues" dxfId="0" priority="1251"/>
    <cfRule type="duplicateValues" dxfId="0" priority="1237"/>
    <cfRule type="duplicateValues" dxfId="0" priority="1236"/>
    <cfRule type="duplicateValues" dxfId="0" priority="1254"/>
    <cfRule type="duplicateValues" dxfId="0" priority="1238"/>
  </conditionalFormatting>
  <conditionalFormatting sqref="A74 A6:A9"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88789"/>
    <cfRule type="duplicateValues" dxfId="0" priority="595814"/>
    <cfRule type="duplicateValues" dxfId="0" priority="588789"/>
    <cfRule type="duplicateValues" dxfId="0" priority="588789"/>
    <cfRule type="duplicateValues" dxfId="0" priority="588789"/>
    <cfRule type="duplicateValues" dxfId="0" priority="595819"/>
    <cfRule type="duplicateValues" dxfId="0" priority="588789"/>
    <cfRule type="duplicateValues" dxfId="0" priority="595790"/>
    <cfRule type="duplicateValues" dxfId="0" priority="595791"/>
    <cfRule type="duplicateValues" dxfId="0" priority="595792"/>
    <cfRule type="duplicateValues" dxfId="0" priority="595793"/>
    <cfRule type="duplicateValues" dxfId="0" priority="595794"/>
    <cfRule type="duplicateValues" dxfId="0" priority="595795"/>
    <cfRule type="duplicateValues" dxfId="0" priority="595796"/>
    <cfRule type="duplicateValues" dxfId="0" priority="595815"/>
    <cfRule type="duplicateValues" dxfId="0" priority="595797"/>
    <cfRule type="duplicateValues" dxfId="0" priority="595798"/>
    <cfRule type="duplicateValues" dxfId="0" priority="595799"/>
    <cfRule type="duplicateValues" dxfId="0" priority="595800"/>
    <cfRule type="duplicateValues" dxfId="0" priority="595801"/>
    <cfRule type="duplicateValues" dxfId="0" priority="595802"/>
    <cfRule type="duplicateValues" dxfId="0" priority="595816"/>
    <cfRule type="duplicateValues" dxfId="0" priority="595817"/>
    <cfRule type="duplicateValues" dxfId="0" priority="595818"/>
    <cfRule type="duplicateValues" dxfId="0" priority="595820"/>
    <cfRule type="duplicateValues" dxfId="0" priority="595821"/>
    <cfRule type="duplicateValues" dxfId="0" priority="595822"/>
    <cfRule type="duplicateValues" dxfId="0" priority="595823"/>
    <cfRule type="duplicateValues" dxfId="0" priority="595824"/>
    <cfRule type="duplicateValues" dxfId="0" priority="595825"/>
    <cfRule type="duplicateValues" dxfId="0" priority="595826"/>
    <cfRule type="duplicateValues" dxfId="0" priority="595828"/>
    <cfRule type="duplicateValues" dxfId="0" priority="595829"/>
    <cfRule type="duplicateValues" dxfId="0" priority="595830"/>
    <cfRule type="duplicateValues" dxfId="0" priority="595831"/>
    <cfRule type="duplicateValues" dxfId="0" priority="595827"/>
    <cfRule type="duplicateValues" dxfId="0" priority="588789"/>
    <cfRule type="duplicateValues" dxfId="0" priority="588789"/>
    <cfRule type="duplicateValues" dxfId="0" priority="588789"/>
    <cfRule type="duplicateValues" dxfId="0" priority="595803"/>
    <cfRule type="duplicateValues" dxfId="0" priority="595804"/>
    <cfRule type="duplicateValues" dxfId="0" priority="595805"/>
    <cfRule type="duplicateValues" dxfId="0" priority="595806"/>
    <cfRule type="duplicateValues" dxfId="0" priority="595807"/>
    <cfRule type="duplicateValues" dxfId="0" priority="595808"/>
    <cfRule type="duplicateValues" dxfId="0" priority="595809"/>
    <cfRule type="duplicateValues" dxfId="0" priority="595810"/>
    <cfRule type="duplicateValues" dxfId="0" priority="595811"/>
    <cfRule type="duplicateValues" dxfId="0" priority="595812"/>
    <cfRule type="duplicateValues" dxfId="0" priority="595813"/>
  </conditionalFormatting>
  <conditionalFormatting sqref="A76">
    <cfRule type="duplicateValues" dxfId="0" priority="612924"/>
    <cfRule type="duplicateValues" dxfId="0" priority="612925"/>
    <cfRule type="duplicateValues" dxfId="0" priority="612926"/>
    <cfRule type="duplicateValues" dxfId="0" priority="612927"/>
    <cfRule type="duplicateValues" dxfId="0" priority="612928"/>
    <cfRule type="duplicateValues" dxfId="0" priority="612929"/>
    <cfRule type="duplicateValues" dxfId="0" priority="612930"/>
    <cfRule type="duplicateValues" dxfId="0" priority="612931"/>
    <cfRule type="duplicateValues" dxfId="0" priority="612932"/>
    <cfRule type="duplicateValues" dxfId="0" priority="612933"/>
    <cfRule type="duplicateValues" dxfId="0" priority="612934"/>
    <cfRule type="duplicateValues" dxfId="0" priority="612935"/>
    <cfRule type="duplicateValues" dxfId="0" priority="612956"/>
    <cfRule type="duplicateValues" dxfId="0" priority="612957"/>
    <cfRule type="duplicateValues" dxfId="0" priority="612958"/>
    <cfRule type="duplicateValues" dxfId="0" priority="612959"/>
    <cfRule type="duplicateValues" dxfId="0" priority="612960"/>
    <cfRule type="duplicateValues" dxfId="0" priority="612961"/>
    <cfRule type="duplicateValues" dxfId="0" priority="612962"/>
    <cfRule type="duplicateValues" dxfId="0" priority="612963"/>
    <cfRule type="duplicateValues" dxfId="0" priority="612964"/>
    <cfRule type="duplicateValues" dxfId="0" priority="612965"/>
    <cfRule type="duplicateValues" dxfId="0" priority="612966"/>
    <cfRule type="duplicateValues" dxfId="0" priority="612967"/>
    <cfRule type="duplicateValues" dxfId="0" priority="612968"/>
    <cfRule type="duplicateValues" dxfId="0" priority="612969"/>
    <cfRule type="duplicateValues" dxfId="0" priority="612970"/>
    <cfRule type="duplicateValues" dxfId="0" priority="612971"/>
    <cfRule type="duplicateValues" dxfId="0" priority="612972"/>
    <cfRule type="duplicateValues" dxfId="0" priority="612973"/>
    <cfRule type="duplicateValues" dxfId="0" priority="612974"/>
    <cfRule type="duplicateValues" dxfId="0" priority="612975"/>
    <cfRule type="duplicateValues" dxfId="0" priority="612894"/>
    <cfRule type="duplicateValues" dxfId="0" priority="612895"/>
    <cfRule type="duplicateValues" dxfId="0" priority="612896"/>
    <cfRule type="duplicateValues" dxfId="0" priority="612897"/>
    <cfRule type="duplicateValues" dxfId="0" priority="612898"/>
    <cfRule type="duplicateValues" dxfId="0" priority="612899"/>
    <cfRule type="duplicateValues" dxfId="0" priority="612900"/>
    <cfRule type="duplicateValues" dxfId="0" priority="612901"/>
    <cfRule type="duplicateValues" dxfId="0" priority="612902"/>
    <cfRule type="duplicateValues" dxfId="0" priority="612903"/>
    <cfRule type="duplicateValues" dxfId="0" priority="612904"/>
    <cfRule type="duplicateValues" dxfId="0" priority="612905"/>
    <cfRule type="duplicateValues" dxfId="0" priority="612906"/>
    <cfRule type="duplicateValues" dxfId="0" priority="612907"/>
    <cfRule type="duplicateValues" dxfId="0" priority="612908"/>
    <cfRule type="duplicateValues" dxfId="0" priority="612909"/>
    <cfRule type="duplicateValues" dxfId="0" priority="612910"/>
    <cfRule type="duplicateValues" dxfId="0" priority="612911"/>
    <cfRule type="duplicateValues" dxfId="0" priority="612912"/>
    <cfRule type="duplicateValues" dxfId="0" priority="612913"/>
    <cfRule type="duplicateValues" dxfId="0" priority="612914"/>
    <cfRule type="duplicateValues" dxfId="0" priority="612915"/>
    <cfRule type="duplicateValues" dxfId="0" priority="612916"/>
    <cfRule type="duplicateValues" dxfId="0" priority="612917"/>
    <cfRule type="duplicateValues" dxfId="0" priority="612918"/>
    <cfRule type="duplicateValues" dxfId="0" priority="612919"/>
    <cfRule type="duplicateValues" dxfId="0" priority="612920"/>
    <cfRule type="duplicateValues" dxfId="0" priority="612921"/>
    <cfRule type="duplicateValues" dxfId="0" priority="612922"/>
    <cfRule type="duplicateValues" dxfId="0" priority="612923"/>
  </conditionalFormatting>
  <conditionalFormatting sqref="A318:A322">
    <cfRule type="duplicateValues" dxfId="0" priority="611761"/>
    <cfRule type="duplicateValues" dxfId="0" priority="611760"/>
    <cfRule type="duplicateValues" dxfId="0" priority="611759"/>
    <cfRule type="duplicateValues" dxfId="0" priority="611758"/>
    <cfRule type="duplicateValues" dxfId="0" priority="612893"/>
    <cfRule type="duplicateValues" dxfId="0" priority="612892"/>
    <cfRule type="duplicateValues" dxfId="0" priority="612891"/>
    <cfRule type="duplicateValues" dxfId="0" priority="612890"/>
    <cfRule type="duplicateValues" dxfId="0" priority="612889"/>
    <cfRule type="duplicateValues" dxfId="0" priority="612888"/>
    <cfRule type="duplicateValues" dxfId="0" priority="612887"/>
    <cfRule type="duplicateValues" dxfId="0" priority="612886"/>
    <cfRule type="duplicateValues" dxfId="0" priority="612885"/>
    <cfRule type="duplicateValues" dxfId="0" priority="612884"/>
    <cfRule type="duplicateValues" dxfId="0" priority="612883"/>
    <cfRule type="duplicateValues" dxfId="0" priority="612882"/>
    <cfRule type="duplicateValues" dxfId="0" priority="611757"/>
    <cfRule type="duplicateValues" dxfId="0" priority="612881"/>
    <cfRule type="duplicateValues" dxfId="0" priority="612880"/>
    <cfRule type="duplicateValues" dxfId="0" priority="612879"/>
    <cfRule type="duplicateValues" dxfId="0" priority="612878"/>
    <cfRule type="duplicateValues" dxfId="0" priority="612877"/>
    <cfRule type="duplicateValues" dxfId="0" priority="612876"/>
    <cfRule type="duplicateValues" dxfId="0" priority="612875"/>
    <cfRule type="duplicateValues" dxfId="0" priority="612874"/>
    <cfRule type="duplicateValues" dxfId="0" priority="612873"/>
    <cfRule type="duplicateValues" dxfId="0" priority="612872"/>
    <cfRule type="duplicateValues" dxfId="0" priority="612871"/>
    <cfRule type="duplicateValues" dxfId="0" priority="612870"/>
    <cfRule type="duplicateValues" dxfId="0" priority="612869"/>
    <cfRule type="duplicateValues" dxfId="0" priority="612868"/>
    <cfRule type="duplicateValues" dxfId="0" priority="612867"/>
    <cfRule type="duplicateValues" dxfId="0" priority="612866"/>
    <cfRule type="duplicateValues" dxfId="0" priority="612865"/>
    <cfRule type="duplicateValues" dxfId="0" priority="612864"/>
    <cfRule type="duplicateValues" dxfId="0" priority="612863"/>
    <cfRule type="duplicateValues" dxfId="0" priority="612862"/>
    <cfRule type="duplicateValues" dxfId="0" priority="612861"/>
    <cfRule type="duplicateValues" dxfId="0" priority="612860"/>
    <cfRule type="duplicateValues" dxfId="0" priority="612858"/>
    <cfRule type="duplicateValues" dxfId="0" priority="612857"/>
    <cfRule type="duplicateValues" dxfId="0" priority="612856"/>
    <cfRule type="duplicateValues" dxfId="0" priority="612855"/>
    <cfRule type="duplicateValues" dxfId="0" priority="612854"/>
    <cfRule type="duplicateValues" dxfId="0" priority="612859"/>
    <cfRule type="duplicateValues" dxfId="0" priority="612853"/>
    <cfRule type="duplicateValues" dxfId="0" priority="612852"/>
    <cfRule type="duplicateValues" dxfId="0" priority="611776"/>
    <cfRule type="duplicateValues" dxfId="0" priority="611775"/>
    <cfRule type="duplicateValues" dxfId="0" priority="611774"/>
    <cfRule type="duplicateValues" dxfId="0" priority="611773"/>
    <cfRule type="duplicateValues" dxfId="0" priority="611772"/>
    <cfRule type="duplicateValues" dxfId="0" priority="611771"/>
    <cfRule type="duplicateValues" dxfId="0" priority="611770"/>
    <cfRule type="duplicateValues" dxfId="0" priority="611769"/>
    <cfRule type="duplicateValues" dxfId="0" priority="611768"/>
    <cfRule type="duplicateValues" dxfId="0" priority="611767"/>
    <cfRule type="duplicateValues" dxfId="0" priority="611766"/>
    <cfRule type="duplicateValues" dxfId="0" priority="611765"/>
    <cfRule type="duplicateValues" dxfId="0" priority="611764"/>
    <cfRule type="duplicateValues" dxfId="0" priority="611763"/>
    <cfRule type="duplicateValues" dxfId="0" priority="611762"/>
  </conditionalFormatting>
  <conditionalFormatting sqref="A323">
    <cfRule type="duplicateValues" dxfId="234" priority="1093"/>
  </conditionalFormatting>
  <conditionalFormatting sqref="A323:A326">
    <cfRule type="duplicateValues" dxfId="234" priority="1091"/>
  </conditionalFormatting>
  <conditionalFormatting sqref="A324:A326">
    <cfRule type="duplicateValues" dxfId="234" priority="1092"/>
  </conditionalFormatting>
  <conditionalFormatting sqref="A362">
    <cfRule type="duplicateValues" dxfId="0" priority="2"/>
    <cfRule type="duplicateValues" dxfId="0" priority="3"/>
    <cfRule type="duplicateValues" dxfId="234" priority="4"/>
    <cfRule type="duplicateValues" dxfId="234" priority="5"/>
    <cfRule type="duplicateValues" dxfId="234" priority="6"/>
    <cfRule type="duplicateValues" dxfId="234" priority="7"/>
    <cfRule type="duplicateValues" dxfId="234" priority="8"/>
    <cfRule type="duplicateValues" dxfId="234" priority="9"/>
    <cfRule type="duplicateValues" dxfId="234" priority="10"/>
    <cfRule type="duplicateValues" dxfId="234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234" priority="1"/>
    <cfRule type="duplicateValues" dxfId="0" priority="97"/>
    <cfRule type="duplicateValues" dxfId="0" priority="86"/>
    <cfRule type="duplicateValues" dxfId="0" priority="130"/>
    <cfRule type="duplicateValues" dxfId="0" priority="129"/>
    <cfRule type="duplicateValues" dxfId="0" priority="128"/>
    <cfRule type="duplicateValues" dxfId="0" priority="127"/>
    <cfRule type="duplicateValues" dxfId="0" priority="126"/>
    <cfRule type="duplicateValues" dxfId="0" priority="125"/>
    <cfRule type="duplicateValues" dxfId="0" priority="124"/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42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</conditionalFormatting>
  <conditionalFormatting sqref="A367:A1048576 A1:A340">
    <cfRule type="duplicateValues" dxfId="234" priority="1019"/>
  </conditionalFormatting>
  <conditionalFormatting sqref="A367:A1048576 A1:A342">
    <cfRule type="duplicateValues" dxfId="234" priority="890"/>
    <cfRule type="duplicateValues" dxfId="234" priority="1018"/>
    <cfRule type="duplicateValues" dxfId="234" priority="889"/>
  </conditionalFormatting>
  <conditionalFormatting sqref="A367:A1048576 A1:A360">
    <cfRule type="duplicateValues" dxfId="234" priority="278"/>
    <cfRule type="duplicateValues" dxfId="234" priority="279"/>
    <cfRule type="duplicateValues" dxfId="234" priority="280"/>
  </conditionalFormatting>
  <conditionalFormatting sqref="A367:A1048576 A333:A340 A1:A326">
    <cfRule type="duplicateValues" dxfId="234" priority="1087"/>
  </conditionalFormatting>
  <conditionalFormatting sqref="A367:A1048576 A333:A340 A318:A322 A1:A196">
    <cfRule type="duplicateValues" dxfId="0" priority="1145"/>
  </conditionalFormatting>
  <conditionalFormatting sqref="A367:A1048576 A333:A340 A318:A322 A1:A217">
    <cfRule type="duplicateValues" dxfId="0" priority="1144"/>
  </conditionalFormatting>
  <conditionalFormatting sqref="A367:A1048576 A333:A340 A318:A322 A1:A304">
    <cfRule type="duplicateValues" dxfId="234" priority="1094"/>
  </conditionalFormatting>
  <conditionalFormatting sqref="A367:A1048576 A333:A340 A318:A322 A74 A2:A4 A6:A9 A76">
    <cfRule type="duplicateValues" dxfId="0" priority="586909"/>
    <cfRule type="duplicateValues" dxfId="0" priority="332654"/>
  </conditionalFormatting>
  <conditionalFormatting sqref="A367:A1048576 A333:A340 A318:A322 A74 A76">
    <cfRule type="duplicateValues" dxfId="0" priority="588245"/>
    <cfRule type="duplicateValues" dxfId="0" priority="588244"/>
    <cfRule type="duplicateValues" dxfId="0" priority="588243"/>
    <cfRule type="duplicateValues" dxfId="0" priority="588242"/>
  </conditionalFormatting>
  <conditionalFormatting sqref="A367:A1048576 A333:A340">
    <cfRule type="duplicateValues" dxfId="0" priority="2063"/>
    <cfRule type="duplicateValues" dxfId="0" priority="2062"/>
    <cfRule type="duplicateValues" dxfId="0" priority="2061"/>
    <cfRule type="duplicateValues" dxfId="0" priority="2060"/>
    <cfRule type="duplicateValues" dxfId="0" priority="1995"/>
    <cfRule type="duplicateValues" dxfId="0" priority="1993"/>
    <cfRule type="duplicateValues" dxfId="0" priority="2460"/>
    <cfRule type="duplicateValues" dxfId="0" priority="2467"/>
    <cfRule type="duplicateValues" dxfId="0" priority="1835"/>
    <cfRule type="duplicateValues" dxfId="0" priority="2279"/>
    <cfRule type="duplicateValues" dxfId="0" priority="1764"/>
    <cfRule type="duplicateValues" dxfId="0" priority="1763"/>
    <cfRule type="duplicateValues" dxfId="0" priority="1622"/>
    <cfRule type="duplicateValues" dxfId="0" priority="1704"/>
    <cfRule type="duplicateValues" dxfId="0" priority="1703"/>
    <cfRule type="duplicateValues" dxfId="0" priority="1702"/>
    <cfRule type="duplicateValues" dxfId="0" priority="1701"/>
    <cfRule type="duplicateValues" dxfId="0" priority="1696"/>
    <cfRule type="duplicateValues" dxfId="0" priority="1695"/>
    <cfRule type="duplicateValues" dxfId="0" priority="1694"/>
    <cfRule type="duplicateValues" dxfId="0" priority="1691"/>
    <cfRule type="duplicateValues" dxfId="0" priority="1690"/>
    <cfRule type="duplicateValues" dxfId="0" priority="1621"/>
    <cfRule type="duplicateValues" dxfId="0" priority="332687"/>
    <cfRule type="duplicateValues" dxfId="0" priority="332693"/>
    <cfRule type="duplicateValues" dxfId="0" priority="1986"/>
    <cfRule type="duplicateValues" dxfId="0" priority="1620"/>
    <cfRule type="duplicateValues" dxfId="0" priority="1985"/>
    <cfRule type="duplicateValues" dxfId="0" priority="1867"/>
    <cfRule type="duplicateValues" dxfId="0" priority="1866"/>
    <cfRule type="duplicateValues" dxfId="0" priority="1865"/>
    <cfRule type="duplicateValues" dxfId="0" priority="332694"/>
    <cfRule type="duplicateValues" dxfId="0" priority="1828"/>
    <cfRule type="duplicateValues" dxfId="0" priority="1797"/>
    <cfRule type="duplicateValues" dxfId="0" priority="1794"/>
    <cfRule type="duplicateValues" dxfId="0" priority="1793"/>
    <cfRule type="duplicateValues" dxfId="0" priority="2064"/>
    <cfRule type="duplicateValues" dxfId="0" priority="2133"/>
    <cfRule type="duplicateValues" dxfId="0" priority="2134"/>
    <cfRule type="duplicateValues" dxfId="0" priority="2225"/>
    <cfRule type="duplicateValues" dxfId="0" priority="2226"/>
    <cfRule type="duplicateValues" dxfId="0" priority="2227"/>
    <cfRule type="duplicateValues" dxfId="0" priority="2228"/>
    <cfRule type="duplicateValues" dxfId="0" priority="2229"/>
    <cfRule type="duplicateValues" dxfId="0" priority="2239"/>
    <cfRule type="duplicateValues" dxfId="0" priority="2256"/>
    <cfRule type="duplicateValues" dxfId="0" priority="2277"/>
    <cfRule type="duplicateValues" dxfId="0" priority="2278"/>
    <cfRule type="duplicateValues" dxfId="0" priority="2314"/>
    <cfRule type="duplicateValues" dxfId="0" priority="2315"/>
    <cfRule type="duplicateValues" dxfId="0" priority="2321"/>
    <cfRule type="duplicateValues" dxfId="0" priority="2379"/>
    <cfRule type="duplicateValues" dxfId="0" priority="2380"/>
    <cfRule type="duplicateValues" dxfId="0" priority="2381"/>
    <cfRule type="duplicateValues" dxfId="0" priority="2382"/>
    <cfRule type="duplicateValues" dxfId="0" priority="2383"/>
    <cfRule type="duplicateValues" dxfId="0" priority="2384"/>
    <cfRule type="duplicateValues" dxfId="0" priority="2385"/>
    <cfRule type="duplicateValues" dxfId="0" priority="2386"/>
    <cfRule type="duplicateValues" dxfId="0" priority="2387"/>
    <cfRule type="duplicateValues" dxfId="0" priority="2388"/>
    <cfRule type="duplicateValues" dxfId="0" priority="2459"/>
  </conditionalFormatting>
  <conditionalFormatting sqref="A367:A1048576">
    <cfRule type="duplicateValues" dxfId="234" priority="1017"/>
    <cfRule type="duplicateValues" dxfId="234" priority="1016"/>
  </conditionalFormatting>
  <conditionalFormatting sqref="B10">
    <cfRule type="duplicateValues" dxfId="0" priority="1339"/>
    <cfRule type="duplicateValues" dxfId="0" priority="1338"/>
    <cfRule type="duplicateValues" dxfId="0" priority="1337"/>
    <cfRule type="duplicateValues" dxfId="0" priority="1334"/>
    <cfRule type="duplicateValues" dxfId="0" priority="1335"/>
    <cfRule type="duplicateValues" dxfId="0" priority="1336"/>
  </conditionalFormatting>
  <conditionalFormatting sqref="B25:B29 B23">
    <cfRule type="duplicateValues" dxfId="0" priority="1314"/>
    <cfRule type="duplicateValues" dxfId="0" priority="1313"/>
    <cfRule type="duplicateValues" dxfId="0" priority="1312"/>
    <cfRule type="duplicateValues" dxfId="0" priority="1311"/>
    <cfRule type="duplicateValues" dxfId="0" priority="1310"/>
    <cfRule type="duplicateValues" dxfId="0" priority="1309"/>
    <cfRule type="duplicateValues" dxfId="0" priority="1308"/>
    <cfRule type="duplicateValues" dxfId="0" priority="1306"/>
    <cfRule type="duplicateValues" dxfId="0" priority="1305"/>
    <cfRule type="duplicateValues" dxfId="0" priority="1304"/>
    <cfRule type="duplicateValues" dxfId="0" priority="1303"/>
    <cfRule type="duplicateValues" dxfId="0" priority="1302"/>
    <cfRule type="duplicateValues" dxfId="0" priority="1315"/>
    <cfRule type="duplicateValues" dxfId="0" priority="1301"/>
    <cfRule type="duplicateValues" dxfId="0" priority="1300"/>
    <cfRule type="duplicateValues" dxfId="0" priority="1299"/>
    <cfRule type="duplicateValues" dxfId="0" priority="1298"/>
    <cfRule type="duplicateValues" dxfId="0" priority="1297"/>
    <cfRule type="duplicateValues" dxfId="0" priority="1296"/>
    <cfRule type="duplicateValues" dxfId="0" priority="1295"/>
    <cfRule type="duplicateValues" dxfId="0" priority="1294"/>
    <cfRule type="duplicateValues" dxfId="0" priority="1293"/>
    <cfRule type="duplicateValues" dxfId="0" priority="1292"/>
    <cfRule type="duplicateValues" dxfId="0" priority="1307"/>
    <cfRule type="duplicateValues" dxfId="0" priority="1286"/>
    <cfRule type="duplicateValues" dxfId="0" priority="1287"/>
    <cfRule type="duplicateValues" dxfId="0" priority="1288"/>
    <cfRule type="duplicateValues" dxfId="0" priority="1289"/>
    <cfRule type="duplicateValues" dxfId="0" priority="1290"/>
    <cfRule type="duplicateValues" dxfId="0" priority="1291"/>
  </conditionalFormatting>
  <conditionalFormatting sqref="B35">
    <cfRule type="duplicateValues" dxfId="0" priority="1219"/>
    <cfRule type="duplicateValues" dxfId="0" priority="1220"/>
    <cfRule type="duplicateValues" dxfId="0" priority="1221"/>
    <cfRule type="duplicateValues" dxfId="0" priority="1230"/>
    <cfRule type="duplicateValues" dxfId="0" priority="1222"/>
    <cfRule type="duplicateValues" dxfId="0" priority="1223"/>
    <cfRule type="duplicateValues" dxfId="0" priority="1214"/>
    <cfRule type="duplicateValues" dxfId="0" priority="1224"/>
    <cfRule type="duplicateValues" dxfId="0" priority="1227"/>
    <cfRule type="duplicateValues" dxfId="0" priority="1226"/>
    <cfRule type="duplicateValues" dxfId="0" priority="1225"/>
    <cfRule type="duplicateValues" dxfId="0" priority="1228"/>
    <cfRule type="duplicateValues" dxfId="0" priority="1229"/>
    <cfRule type="duplicateValues" dxfId="0" priority="1218"/>
    <cfRule type="duplicateValues" dxfId="0" priority="1217"/>
    <cfRule type="duplicateValues" dxfId="0" priority="1216"/>
    <cfRule type="duplicateValues" dxfId="0" priority="1215"/>
    <cfRule type="duplicateValues" dxfId="0" priority="1213"/>
  </conditionalFormatting>
  <conditionalFormatting sqref="C10">
    <cfRule type="duplicateValues" dxfId="0" priority="1345"/>
    <cfRule type="duplicateValues" dxfId="0" priority="1346"/>
    <cfRule type="duplicateValues" dxfId="0" priority="1344"/>
    <cfRule type="duplicateValues" dxfId="0" priority="1349"/>
    <cfRule type="duplicateValues" dxfId="0" priority="1348"/>
    <cfRule type="duplicateValues" dxfId="0" priority="1347"/>
  </conditionalFormatting>
  <conditionalFormatting sqref="C25:C29 C23">
    <cfRule type="duplicateValues" dxfId="0" priority="1280"/>
    <cfRule type="duplicateValues" dxfId="0" priority="1281"/>
    <cfRule type="duplicateValues" dxfId="0" priority="1282"/>
    <cfRule type="duplicateValues" dxfId="0" priority="1283"/>
    <cfRule type="duplicateValues" dxfId="0" priority="1284"/>
    <cfRule type="duplicateValues" dxfId="0" priority="1285"/>
  </conditionalFormatting>
  <conditionalFormatting sqref="C35">
    <cfRule type="duplicateValues" dxfId="0" priority="1210"/>
    <cfRule type="duplicateValues" dxfId="0" priority="1208"/>
    <cfRule type="duplicateValues" dxfId="0" priority="1209"/>
    <cfRule type="duplicateValues" dxfId="0" priority="1212"/>
    <cfRule type="duplicateValues" dxfId="0" priority="1211"/>
    <cfRule type="duplicateValues" dxfId="0" priority="1207"/>
  </conditionalFormatting>
  <conditionalFormatting sqref="D10">
    <cfRule type="duplicateValues" dxfId="0" priority="1340"/>
    <cfRule type="duplicateValues" dxfId="0" priority="1343"/>
    <cfRule type="duplicateValues" dxfId="0" priority="1342"/>
    <cfRule type="duplicateValues" dxfId="0" priority="1341"/>
  </conditionalFormatting>
  <conditionalFormatting sqref="D35">
    <cfRule type="duplicateValues" dxfId="0" priority="1205"/>
    <cfRule type="duplicateValues" dxfId="0" priority="1206"/>
    <cfRule type="duplicateValues" dxfId="0" priority="1203"/>
    <cfRule type="duplicateValues" dxfId="0" priority="1204"/>
  </conditionalFormatting>
  <pageMargins left="0.7" right="0.7" top="0.75" bottom="0.75" header="0.3" footer="0.3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432"/>
  <sheetViews>
    <sheetView showGridLines="0" zoomScale="69" zoomScaleNormal="69" workbookViewId="0">
      <pane xSplit="4" ySplit="1" topLeftCell="J421" activePane="bottomRight" state="frozen"/>
      <selection pane="topRight"/>
      <selection pane="bottomLeft"/>
      <selection pane="bottomRight" activeCell="A428" sqref="A428:M432"/>
    </sheetView>
  </sheetViews>
  <sheetFormatPr defaultColWidth="9" defaultRowHeight="25.05" customHeight="1"/>
  <cols>
    <col min="1" max="1" width="17" customWidth="1" style="324"/>
    <col min="2" max="2" width="19.21875" customWidth="1" style="323"/>
    <col min="3" max="3" width="29.21875" customWidth="1" style="324"/>
    <col min="4" max="4" width="20" customWidth="1" style="324"/>
    <col min="5" max="5" width="17.44140625" customWidth="1" style="323"/>
    <col min="6" max="6" width="14.44140625" customWidth="1" style="323"/>
    <col min="7" max="7" width="41.77734375" customWidth="1" style="323"/>
    <col min="8" max="8" width="26.77734375" customWidth="1" style="323"/>
    <col min="9" max="9" width="16.44140625" customWidth="1" style="323"/>
    <col min="10" max="10" bestFit="1" width="27.109375" customWidth="1" style="323"/>
    <col min="11" max="11" width="26.6640625" customWidth="1" style="323"/>
    <col min="12" max="12" bestFit="1" width="24.33203125" customWidth="1" style="325"/>
    <col min="13" max="13" bestFit="1" width="22.21875" customWidth="1" style="324"/>
    <col min="14" max="14" width="22.109375" customWidth="1" style="323"/>
    <col min="15" max="15" width="27.77734375" customWidth="1" style="323"/>
    <col min="16" max="16" bestFit="1" width="15.6640625" customWidth="1" style="323"/>
    <col min="17" max="15431" width="9.109375" customWidth="1" style="323"/>
    <col min="15432" max="16384" width="9" customWidth="1" style="323"/>
  </cols>
  <sheetData>
    <row r="1" ht="19.95" customHeight="1">
      <c r="A1" s="168" t="s">
        <v>7129</v>
      </c>
      <c r="B1" s="168" t="s">
        <v>2</v>
      </c>
      <c r="C1" s="168" t="s">
        <v>3</v>
      </c>
      <c r="D1" s="168" t="s">
        <v>7130</v>
      </c>
      <c r="E1" s="168" t="s">
        <v>6</v>
      </c>
      <c r="F1" s="168" t="s">
        <v>10</v>
      </c>
      <c r="G1" s="168" t="s">
        <v>6811</v>
      </c>
      <c r="H1" s="168" t="s">
        <v>7131</v>
      </c>
      <c r="I1" s="168" t="s">
        <v>7132</v>
      </c>
      <c r="J1" s="168" t="s">
        <v>8</v>
      </c>
      <c r="K1" s="168" t="s">
        <v>7133</v>
      </c>
      <c r="L1" s="169" t="s">
        <v>7134</v>
      </c>
      <c r="M1" s="168" t="s">
        <v>3482</v>
      </c>
      <c r="N1" s="168" t="s">
        <v>22</v>
      </c>
      <c r="O1" s="168" t="e">
        <f>-#REF!</f>
        <v>#REF!</v>
      </c>
      <c r="P1" s="168" t="s">
        <v>7135</v>
      </c>
    </row>
    <row r="2" ht="19.95" customHeight="1" s="53" customFormat="1">
      <c r="A2" s="77">
        <v>171052</v>
      </c>
      <c r="B2" s="77" t="s">
        <v>7136</v>
      </c>
      <c r="C2" s="77" t="s">
        <v>3485</v>
      </c>
      <c r="D2" s="77">
        <v>1853024234</v>
      </c>
      <c r="E2" s="77" t="s">
        <v>67</v>
      </c>
      <c r="F2" s="77" t="s">
        <v>71</v>
      </c>
      <c r="G2" s="77" t="s">
        <v>3775</v>
      </c>
      <c r="H2" s="77" t="s">
        <v>2643</v>
      </c>
      <c r="I2" s="77" t="s">
        <v>74</v>
      </c>
      <c r="J2" s="80" t="s">
        <v>69</v>
      </c>
      <c r="K2" s="80" t="s">
        <v>7137</v>
      </c>
      <c r="L2" s="322">
        <v>45066</v>
      </c>
      <c r="M2" s="77" t="s">
        <v>3992</v>
      </c>
      <c r="N2" s="77" t="s">
        <v>7138</v>
      </c>
      <c r="O2" s="80" t="s">
        <v>93</v>
      </c>
      <c r="P2" s="77"/>
    </row>
    <row r="3" ht="19.95" customHeight="1" s="53" customFormat="1">
      <c r="A3" s="55">
        <v>171034</v>
      </c>
      <c r="B3" s="55" t="s">
        <v>167</v>
      </c>
      <c r="C3" s="55" t="s">
        <v>3500</v>
      </c>
      <c r="D3" s="55">
        <v>1794515562</v>
      </c>
      <c r="E3" s="55" t="s">
        <v>68</v>
      </c>
      <c r="F3" s="55" t="s">
        <v>71</v>
      </c>
      <c r="G3" s="55" t="s">
        <v>3775</v>
      </c>
      <c r="H3" s="55" t="s">
        <v>3512</v>
      </c>
      <c r="I3" s="55" t="s">
        <v>74</v>
      </c>
      <c r="J3" s="56" t="s">
        <v>69</v>
      </c>
      <c r="K3" s="56" t="s">
        <v>7137</v>
      </c>
      <c r="L3" s="236">
        <v>45047</v>
      </c>
      <c r="M3" s="55" t="s">
        <v>3992</v>
      </c>
      <c r="N3" s="55" t="s">
        <v>167</v>
      </c>
      <c r="O3" s="56" t="s">
        <v>93</v>
      </c>
      <c r="P3" s="55"/>
    </row>
    <row r="4" ht="19.95" customHeight="1" s="53" customFormat="1">
      <c r="A4" s="55">
        <v>171041</v>
      </c>
      <c r="B4" s="55" t="s">
        <v>6829</v>
      </c>
      <c r="C4" s="55" t="s">
        <v>3502</v>
      </c>
      <c r="D4" s="55">
        <v>1905119370</v>
      </c>
      <c r="E4" s="55" t="s">
        <v>67</v>
      </c>
      <c r="F4" s="55" t="s">
        <v>71</v>
      </c>
      <c r="G4" s="55" t="s">
        <v>6830</v>
      </c>
      <c r="H4" s="55" t="s">
        <v>3659</v>
      </c>
      <c r="I4" s="55" t="s">
        <v>74</v>
      </c>
      <c r="J4" s="56" t="s">
        <v>69</v>
      </c>
      <c r="K4" s="56" t="s">
        <v>3510</v>
      </c>
      <c r="L4" s="236">
        <v>45078</v>
      </c>
      <c r="M4" s="55" t="s">
        <v>6866</v>
      </c>
      <c r="N4" s="55" t="s">
        <v>7139</v>
      </c>
      <c r="O4" s="56" t="s">
        <v>93</v>
      </c>
      <c r="P4" s="55"/>
    </row>
    <row r="5" ht="19.95" customHeight="1" s="53" customFormat="1">
      <c r="A5" s="55">
        <v>171047</v>
      </c>
      <c r="B5" s="55" t="s">
        <v>6840</v>
      </c>
      <c r="C5" s="55" t="s">
        <v>3523</v>
      </c>
      <c r="D5" s="55">
        <v>1743674224</v>
      </c>
      <c r="E5" s="55" t="s">
        <v>3486</v>
      </c>
      <c r="F5" s="55" t="s">
        <v>71</v>
      </c>
      <c r="G5" s="55" t="s">
        <v>6841</v>
      </c>
      <c r="H5" s="55" t="s">
        <v>2643</v>
      </c>
      <c r="I5" s="55" t="s">
        <v>74</v>
      </c>
      <c r="J5" s="56" t="s">
        <v>69</v>
      </c>
      <c r="K5" s="56" t="s">
        <v>3510</v>
      </c>
      <c r="L5" s="236">
        <v>45082</v>
      </c>
      <c r="M5" s="55" t="s">
        <v>3978</v>
      </c>
      <c r="N5" s="55" t="s">
        <v>7140</v>
      </c>
      <c r="O5" s="56" t="s">
        <v>168</v>
      </c>
      <c r="P5" s="55"/>
    </row>
    <row r="6" ht="19.95" customHeight="1" s="53" customFormat="1">
      <c r="A6" s="55">
        <v>171065</v>
      </c>
      <c r="B6" s="55" t="s">
        <v>6835</v>
      </c>
      <c r="C6" s="55" t="s">
        <v>3511</v>
      </c>
      <c r="D6" s="55">
        <v>1750770158</v>
      </c>
      <c r="E6" s="55" t="s">
        <v>67</v>
      </c>
      <c r="F6" s="55" t="s">
        <v>71</v>
      </c>
      <c r="G6" s="55" t="s">
        <v>4223</v>
      </c>
      <c r="H6" s="55" t="s">
        <v>3512</v>
      </c>
      <c r="I6" s="55" t="s">
        <v>74</v>
      </c>
      <c r="J6" s="56" t="s">
        <v>69</v>
      </c>
      <c r="K6" s="56" t="s">
        <v>3510</v>
      </c>
      <c r="L6" s="236">
        <v>45084</v>
      </c>
      <c r="M6" s="55" t="s">
        <v>3978</v>
      </c>
      <c r="N6" s="55" t="s">
        <v>3647</v>
      </c>
      <c r="O6" s="56" t="s">
        <v>168</v>
      </c>
      <c r="P6" s="55"/>
    </row>
    <row r="7" ht="19.95" customHeight="1" s="53" customFormat="1">
      <c r="A7" s="55">
        <v>171032</v>
      </c>
      <c r="B7" s="55" t="s">
        <v>4278</v>
      </c>
      <c r="C7" s="55" t="s">
        <v>3515</v>
      </c>
      <c r="D7" s="55">
        <v>1785992222</v>
      </c>
      <c r="E7" s="55" t="s">
        <v>67</v>
      </c>
      <c r="F7" s="55" t="s">
        <v>71</v>
      </c>
      <c r="G7" s="55" t="s">
        <v>3775</v>
      </c>
      <c r="H7" s="55" t="s">
        <v>73</v>
      </c>
      <c r="I7" s="55" t="s">
        <v>74</v>
      </c>
      <c r="J7" s="56" t="s">
        <v>69</v>
      </c>
      <c r="K7" s="56" t="s">
        <v>3510</v>
      </c>
      <c r="L7" s="236">
        <v>45083</v>
      </c>
      <c r="M7" s="55" t="s">
        <v>6866</v>
      </c>
      <c r="N7" s="55" t="s">
        <v>7141</v>
      </c>
      <c r="O7" s="56" t="s">
        <v>168</v>
      </c>
      <c r="P7" s="55"/>
    </row>
    <row r="8" ht="19.95" customHeight="1" s="53" customFormat="1">
      <c r="A8" s="55">
        <v>171054</v>
      </c>
      <c r="B8" s="55" t="s">
        <v>6844</v>
      </c>
      <c r="C8" s="55" t="s">
        <v>3535</v>
      </c>
      <c r="D8" s="55">
        <v>1813164079</v>
      </c>
      <c r="E8" s="55" t="s">
        <v>67</v>
      </c>
      <c r="F8" s="55" t="s">
        <v>71</v>
      </c>
      <c r="G8" s="55" t="s">
        <v>97</v>
      </c>
      <c r="H8" s="55" t="s">
        <v>3512</v>
      </c>
      <c r="I8" s="55" t="s">
        <v>74</v>
      </c>
      <c r="J8" s="56" t="s">
        <v>69</v>
      </c>
      <c r="K8" s="56" t="s">
        <v>3510</v>
      </c>
      <c r="L8" s="236">
        <v>45093</v>
      </c>
      <c r="M8" s="55" t="s">
        <v>3544</v>
      </c>
      <c r="N8" s="55" t="s">
        <v>7142</v>
      </c>
      <c r="O8" s="56" t="s">
        <v>168</v>
      </c>
      <c r="P8" s="55"/>
    </row>
    <row r="9" ht="19.95" customHeight="1" s="53" customFormat="1">
      <c r="A9" s="55">
        <v>171013</v>
      </c>
      <c r="B9" s="55" t="s">
        <v>6842</v>
      </c>
      <c r="C9" s="55" t="s">
        <v>3545</v>
      </c>
      <c r="D9" s="55">
        <v>1865653928</v>
      </c>
      <c r="E9" s="55" t="s">
        <v>67</v>
      </c>
      <c r="F9" s="55" t="s">
        <v>71</v>
      </c>
      <c r="G9" s="55" t="s">
        <v>4005</v>
      </c>
      <c r="H9" s="55" t="s">
        <v>3659</v>
      </c>
      <c r="I9" s="55" t="s">
        <v>74</v>
      </c>
      <c r="J9" s="56" t="s">
        <v>69</v>
      </c>
      <c r="K9" s="56" t="s">
        <v>3510</v>
      </c>
      <c r="L9" s="236">
        <v>45094</v>
      </c>
      <c r="M9" s="55" t="s">
        <v>6866</v>
      </c>
      <c r="N9" s="55" t="s">
        <v>7143</v>
      </c>
      <c r="O9" s="56" t="s">
        <v>168</v>
      </c>
      <c r="P9" s="55"/>
    </row>
    <row r="10" ht="19.95" customHeight="1" s="53" customFormat="1">
      <c r="A10" s="55">
        <v>171064</v>
      </c>
      <c r="B10" s="55" t="s">
        <v>235</v>
      </c>
      <c r="C10" s="55" t="s">
        <v>3553</v>
      </c>
      <c r="D10" s="55">
        <v>1959026697</v>
      </c>
      <c r="E10" s="55" t="s">
        <v>67</v>
      </c>
      <c r="F10" s="55" t="s">
        <v>71</v>
      </c>
      <c r="G10" s="55" t="s">
        <v>237</v>
      </c>
      <c r="H10" s="55" t="s">
        <v>73</v>
      </c>
      <c r="I10" s="55" t="s">
        <v>74</v>
      </c>
      <c r="J10" s="56" t="s">
        <v>69</v>
      </c>
      <c r="K10" s="56" t="s">
        <v>3510</v>
      </c>
      <c r="L10" s="236">
        <v>45097</v>
      </c>
      <c r="M10" s="55" t="s">
        <v>6866</v>
      </c>
      <c r="N10" s="55" t="s">
        <v>3561</v>
      </c>
      <c r="O10" s="56" t="s">
        <v>168</v>
      </c>
      <c r="P10" s="55"/>
    </row>
    <row r="11" ht="19.95" customHeight="1" s="53" customFormat="1">
      <c r="A11" s="55">
        <v>171085</v>
      </c>
      <c r="B11" s="55" t="s">
        <v>3562</v>
      </c>
      <c r="C11" s="55" t="s">
        <v>3563</v>
      </c>
      <c r="D11" s="55">
        <v>1716403297</v>
      </c>
      <c r="E11" s="55" t="s">
        <v>67</v>
      </c>
      <c r="F11" s="55" t="s">
        <v>71</v>
      </c>
      <c r="G11" s="55" t="s">
        <v>155</v>
      </c>
      <c r="H11" s="55" t="s">
        <v>6857</v>
      </c>
      <c r="I11" s="55" t="s">
        <v>74</v>
      </c>
      <c r="J11" s="56" t="s">
        <v>69</v>
      </c>
      <c r="K11" s="56" t="s">
        <v>7137</v>
      </c>
      <c r="L11" s="236">
        <v>45091</v>
      </c>
      <c r="M11" s="55" t="s">
        <v>3992</v>
      </c>
      <c r="N11" s="55" t="s">
        <v>81</v>
      </c>
      <c r="O11" s="56" t="s">
        <v>168</v>
      </c>
      <c r="P11" s="55"/>
    </row>
    <row r="12" ht="19.95" customHeight="1" s="53" customFormat="1">
      <c r="A12" s="55">
        <v>171007</v>
      </c>
      <c r="B12" s="55" t="s">
        <v>6849</v>
      </c>
      <c r="C12" s="55" t="s">
        <v>7144</v>
      </c>
      <c r="D12" s="55">
        <v>1630336594</v>
      </c>
      <c r="E12" s="55" t="s">
        <v>67</v>
      </c>
      <c r="F12" s="55" t="s">
        <v>71</v>
      </c>
      <c r="G12" s="55" t="s">
        <v>6851</v>
      </c>
      <c r="H12" s="55" t="s">
        <v>3503</v>
      </c>
      <c r="I12" s="55" t="s">
        <v>74</v>
      </c>
      <c r="J12" s="56" t="s">
        <v>69</v>
      </c>
      <c r="K12" s="56" t="s">
        <v>3510</v>
      </c>
      <c r="L12" s="236">
        <v>45103</v>
      </c>
      <c r="M12" s="55" t="s">
        <v>3544</v>
      </c>
      <c r="N12" s="55" t="s">
        <v>3583</v>
      </c>
      <c r="O12" s="56" t="s">
        <v>168</v>
      </c>
      <c r="P12" s="55"/>
    </row>
    <row r="13" ht="19.95" customHeight="1" s="53" customFormat="1">
      <c r="A13" s="55">
        <v>171016</v>
      </c>
      <c r="B13" s="55" t="s">
        <v>5031</v>
      </c>
      <c r="C13" s="55" t="s">
        <v>3584</v>
      </c>
      <c r="D13" s="55">
        <v>1785816292</v>
      </c>
      <c r="E13" s="55" t="s">
        <v>67</v>
      </c>
      <c r="F13" s="55" t="s">
        <v>71</v>
      </c>
      <c r="G13" s="55" t="s">
        <v>70</v>
      </c>
      <c r="H13" s="55" t="s">
        <v>3512</v>
      </c>
      <c r="I13" s="55" t="s">
        <v>74</v>
      </c>
      <c r="J13" s="56" t="s">
        <v>69</v>
      </c>
      <c r="K13" s="56" t="s">
        <v>7137</v>
      </c>
      <c r="L13" s="236">
        <v>45103</v>
      </c>
      <c r="M13" s="55" t="s">
        <v>7145</v>
      </c>
      <c r="N13" s="55" t="s">
        <v>3594</v>
      </c>
      <c r="O13" s="56" t="s">
        <v>168</v>
      </c>
      <c r="P13" s="55"/>
    </row>
    <row r="14" ht="19.95" customHeight="1" s="53" customFormat="1">
      <c r="A14" s="55">
        <v>171089</v>
      </c>
      <c r="B14" s="55" t="s">
        <v>957</v>
      </c>
      <c r="C14" s="55" t="s">
        <v>3618</v>
      </c>
      <c r="D14" s="55">
        <v>1737211564</v>
      </c>
      <c r="E14" s="55" t="s">
        <v>3486</v>
      </c>
      <c r="F14" s="55" t="s">
        <v>71</v>
      </c>
      <c r="G14" s="55" t="s">
        <v>319</v>
      </c>
      <c r="H14" s="55" t="s">
        <v>2643</v>
      </c>
      <c r="I14" s="55" t="s">
        <v>74</v>
      </c>
      <c r="J14" s="56" t="s">
        <v>69</v>
      </c>
      <c r="K14" s="56" t="s">
        <v>7137</v>
      </c>
      <c r="L14" s="236">
        <v>45117</v>
      </c>
      <c r="M14" s="55" t="s">
        <v>3992</v>
      </c>
      <c r="N14" s="55" t="s">
        <v>81</v>
      </c>
      <c r="O14" s="56" t="s">
        <v>168</v>
      </c>
      <c r="P14" s="55"/>
    </row>
    <row r="15" ht="19.95" customHeight="1" s="53" customFormat="1">
      <c r="A15" s="55">
        <v>171098</v>
      </c>
      <c r="B15" s="55" t="s">
        <v>854</v>
      </c>
      <c r="C15" s="55" t="s">
        <v>6856</v>
      </c>
      <c r="D15" s="55">
        <v>1302848048</v>
      </c>
      <c r="E15" s="55" t="s">
        <v>67</v>
      </c>
      <c r="F15" s="55" t="s">
        <v>71</v>
      </c>
      <c r="G15" s="55" t="s">
        <v>297</v>
      </c>
      <c r="H15" s="55" t="s">
        <v>2643</v>
      </c>
      <c r="I15" s="55" t="s">
        <v>74</v>
      </c>
      <c r="J15" s="56" t="s">
        <v>69</v>
      </c>
      <c r="K15" s="56" t="s">
        <v>3510</v>
      </c>
      <c r="L15" s="236">
        <v>45117</v>
      </c>
      <c r="M15" s="55" t="s">
        <v>6866</v>
      </c>
      <c r="N15" s="55" t="s">
        <v>81</v>
      </c>
      <c r="O15" s="56" t="s">
        <v>168</v>
      </c>
      <c r="P15" s="55"/>
    </row>
    <row r="16" ht="19.95" customHeight="1" s="53" customFormat="1">
      <c r="A16" s="55">
        <v>171067</v>
      </c>
      <c r="B16" s="55" t="s">
        <v>3606</v>
      </c>
      <c r="C16" s="55" t="s">
        <v>3607</v>
      </c>
      <c r="D16" s="55">
        <v>1674672004</v>
      </c>
      <c r="E16" s="55" t="s">
        <v>67</v>
      </c>
      <c r="F16" s="55" t="s">
        <v>71</v>
      </c>
      <c r="G16" s="55" t="s">
        <v>155</v>
      </c>
      <c r="H16" s="55" t="s">
        <v>6857</v>
      </c>
      <c r="I16" s="55" t="s">
        <v>74</v>
      </c>
      <c r="J16" s="56" t="s">
        <v>69</v>
      </c>
      <c r="K16" s="56" t="s">
        <v>3510</v>
      </c>
      <c r="L16" s="236">
        <v>45115</v>
      </c>
      <c r="M16" s="55" t="s">
        <v>3617</v>
      </c>
      <c r="N16" s="55" t="s">
        <v>81</v>
      </c>
      <c r="O16" s="56" t="s">
        <v>168</v>
      </c>
      <c r="P16" s="55"/>
    </row>
    <row r="17" ht="19.95" customHeight="1" s="53" customFormat="1">
      <c r="A17" s="55">
        <v>171072</v>
      </c>
      <c r="B17" s="55" t="s">
        <v>3627</v>
      </c>
      <c r="C17" s="55" t="s">
        <v>3628</v>
      </c>
      <c r="D17" s="55">
        <v>1773971286</v>
      </c>
      <c r="E17" s="55" t="s">
        <v>67</v>
      </c>
      <c r="F17" s="55" t="s">
        <v>71</v>
      </c>
      <c r="G17" s="55" t="s">
        <v>155</v>
      </c>
      <c r="H17" s="55" t="s">
        <v>6857</v>
      </c>
      <c r="I17" s="55" t="s">
        <v>74</v>
      </c>
      <c r="J17" s="56" t="s">
        <v>69</v>
      </c>
      <c r="K17" s="56" t="s">
        <v>3510</v>
      </c>
      <c r="L17" s="236">
        <v>45122</v>
      </c>
      <c r="M17" s="55" t="s">
        <v>6866</v>
      </c>
      <c r="N17" s="55" t="s">
        <v>81</v>
      </c>
      <c r="O17" s="56" t="s">
        <v>168</v>
      </c>
      <c r="P17" s="55"/>
    </row>
    <row r="18" ht="19.95" customHeight="1" s="53" customFormat="1">
      <c r="A18" s="55">
        <v>171040</v>
      </c>
      <c r="B18" s="55" t="s">
        <v>3638</v>
      </c>
      <c r="C18" s="55" t="s">
        <v>3639</v>
      </c>
      <c r="D18" s="55">
        <v>1936495092</v>
      </c>
      <c r="E18" s="55" t="s">
        <v>67</v>
      </c>
      <c r="F18" s="55" t="s">
        <v>71</v>
      </c>
      <c r="G18" s="55" t="s">
        <v>237</v>
      </c>
      <c r="H18" s="55" t="s">
        <v>3659</v>
      </c>
      <c r="I18" s="55" t="s">
        <v>74</v>
      </c>
      <c r="J18" s="56" t="s">
        <v>69</v>
      </c>
      <c r="K18" s="56" t="s">
        <v>3510</v>
      </c>
      <c r="L18" s="236">
        <v>45121</v>
      </c>
      <c r="M18" s="55" t="s">
        <v>3978</v>
      </c>
      <c r="N18" s="55" t="s">
        <v>3647</v>
      </c>
      <c r="O18" s="56" t="s">
        <v>168</v>
      </c>
      <c r="P18" s="55"/>
    </row>
    <row r="19" ht="19.95" customHeight="1" s="53" customFormat="1">
      <c r="A19" s="55">
        <v>171037</v>
      </c>
      <c r="B19" s="55" t="s">
        <v>3670</v>
      </c>
      <c r="C19" s="55" t="s">
        <v>3671</v>
      </c>
      <c r="D19" s="55">
        <v>1995536257</v>
      </c>
      <c r="E19" s="55" t="s">
        <v>3486</v>
      </c>
      <c r="F19" s="55" t="s">
        <v>71</v>
      </c>
      <c r="G19" s="55" t="s">
        <v>237</v>
      </c>
      <c r="H19" s="55" t="s">
        <v>3659</v>
      </c>
      <c r="I19" s="55" t="s">
        <v>74</v>
      </c>
      <c r="J19" s="56" t="s">
        <v>69</v>
      </c>
      <c r="K19" s="56" t="s">
        <v>7137</v>
      </c>
      <c r="L19" s="236">
        <v>45134</v>
      </c>
      <c r="M19" s="55" t="s">
        <v>7146</v>
      </c>
      <c r="N19" s="55" t="s">
        <v>3678</v>
      </c>
      <c r="O19" s="56" t="s">
        <v>168</v>
      </c>
      <c r="P19" s="55"/>
    </row>
    <row r="20" ht="19.95" customHeight="1" s="53" customFormat="1">
      <c r="A20" s="55">
        <v>171038</v>
      </c>
      <c r="B20" s="55" t="s">
        <v>3680</v>
      </c>
      <c r="C20" s="55" t="s">
        <v>3681</v>
      </c>
      <c r="D20" s="55">
        <v>1868981557</v>
      </c>
      <c r="E20" s="55" t="s">
        <v>3486</v>
      </c>
      <c r="F20" s="55" t="s">
        <v>71</v>
      </c>
      <c r="G20" s="55" t="s">
        <v>237</v>
      </c>
      <c r="H20" s="55" t="s">
        <v>3659</v>
      </c>
      <c r="I20" s="55" t="s">
        <v>74</v>
      </c>
      <c r="J20" s="56" t="s">
        <v>69</v>
      </c>
      <c r="K20" s="56" t="s">
        <v>7137</v>
      </c>
      <c r="L20" s="236">
        <v>45134</v>
      </c>
      <c r="M20" s="55" t="s">
        <v>7146</v>
      </c>
      <c r="N20" s="55" t="s">
        <v>3690</v>
      </c>
      <c r="O20" s="56" t="s">
        <v>168</v>
      </c>
      <c r="P20" s="55"/>
    </row>
    <row r="21" ht="19.95" customHeight="1" s="53" customFormat="1">
      <c r="A21" s="55">
        <v>171012</v>
      </c>
      <c r="B21" s="55" t="s">
        <v>6859</v>
      </c>
      <c r="C21" s="55" t="s">
        <v>3658</v>
      </c>
      <c r="D21" s="55">
        <v>1613446021</v>
      </c>
      <c r="E21" s="55" t="s">
        <v>67</v>
      </c>
      <c r="F21" s="55" t="s">
        <v>71</v>
      </c>
      <c r="G21" s="55" t="s">
        <v>4005</v>
      </c>
      <c r="H21" s="55" t="s">
        <v>3659</v>
      </c>
      <c r="I21" s="55" t="s">
        <v>74</v>
      </c>
      <c r="J21" s="56" t="s">
        <v>69</v>
      </c>
      <c r="K21" s="56" t="s">
        <v>3510</v>
      </c>
      <c r="L21" s="236">
        <v>45128</v>
      </c>
      <c r="M21" s="55" t="s">
        <v>6866</v>
      </c>
      <c r="N21" s="55" t="s">
        <v>3669</v>
      </c>
      <c r="O21" s="56" t="s">
        <v>168</v>
      </c>
      <c r="P21" s="55"/>
    </row>
    <row r="22" ht="19.95" customHeight="1" s="53" customFormat="1">
      <c r="A22" s="55">
        <v>171020</v>
      </c>
      <c r="B22" s="55" t="s">
        <v>3691</v>
      </c>
      <c r="C22" s="55" t="s">
        <v>3692</v>
      </c>
      <c r="D22" s="55">
        <v>1737773259</v>
      </c>
      <c r="E22" s="55" t="s">
        <v>67</v>
      </c>
      <c r="F22" s="55" t="s">
        <v>71</v>
      </c>
      <c r="G22" s="55" t="s">
        <v>4223</v>
      </c>
      <c r="H22" s="55" t="s">
        <v>3512</v>
      </c>
      <c r="I22" s="55" t="s">
        <v>74</v>
      </c>
      <c r="J22" s="56" t="s">
        <v>69</v>
      </c>
      <c r="K22" s="56" t="s">
        <v>3510</v>
      </c>
      <c r="L22" s="236">
        <v>45122</v>
      </c>
      <c r="M22" s="55" t="s">
        <v>3978</v>
      </c>
      <c r="N22" s="55" t="s">
        <v>3700</v>
      </c>
      <c r="O22" s="56" t="s">
        <v>168</v>
      </c>
      <c r="P22" s="55"/>
    </row>
    <row r="23" ht="19.95" customHeight="1" s="53" customFormat="1">
      <c r="A23" s="55">
        <v>171045</v>
      </c>
      <c r="B23" s="55" t="s">
        <v>3702</v>
      </c>
      <c r="C23" s="55" t="s">
        <v>3703</v>
      </c>
      <c r="D23" s="55">
        <v>1776979961</v>
      </c>
      <c r="E23" s="55" t="s">
        <v>67</v>
      </c>
      <c r="F23" s="55" t="s">
        <v>71</v>
      </c>
      <c r="G23" s="55" t="s">
        <v>237</v>
      </c>
      <c r="H23" s="55" t="s">
        <v>3659</v>
      </c>
      <c r="I23" s="55" t="s">
        <v>74</v>
      </c>
      <c r="J23" s="56" t="s">
        <v>69</v>
      </c>
      <c r="K23" s="56" t="s">
        <v>3510</v>
      </c>
      <c r="L23" s="236">
        <v>45128</v>
      </c>
      <c r="M23" s="55" t="s">
        <v>3978</v>
      </c>
      <c r="N23" s="55" t="s">
        <v>7147</v>
      </c>
      <c r="O23" s="56" t="s">
        <v>7148</v>
      </c>
      <c r="P23" s="55"/>
    </row>
    <row r="24" ht="19.95" customHeight="1" s="53" customFormat="1">
      <c r="A24" s="55">
        <v>171110</v>
      </c>
      <c r="B24" s="55" t="s">
        <v>891</v>
      </c>
      <c r="C24" s="55" t="s">
        <v>3649</v>
      </c>
      <c r="D24" s="55">
        <v>1675488690</v>
      </c>
      <c r="E24" s="55" t="s">
        <v>3486</v>
      </c>
      <c r="F24" s="55" t="s">
        <v>71</v>
      </c>
      <c r="G24" s="55" t="s">
        <v>3650</v>
      </c>
      <c r="H24" s="55" t="s">
        <v>2643</v>
      </c>
      <c r="I24" s="55" t="s">
        <v>74</v>
      </c>
      <c r="J24" s="56" t="s">
        <v>69</v>
      </c>
      <c r="K24" s="56" t="s">
        <v>7137</v>
      </c>
      <c r="L24" s="236">
        <v>45132</v>
      </c>
      <c r="M24" s="55" t="s">
        <v>7149</v>
      </c>
      <c r="N24" s="55" t="s">
        <v>81</v>
      </c>
      <c r="O24" s="56" t="s">
        <v>7148</v>
      </c>
      <c r="P24" s="55"/>
    </row>
    <row r="25" ht="19.95" customHeight="1" s="53" customFormat="1">
      <c r="A25" s="55">
        <v>171105</v>
      </c>
      <c r="B25" s="55" t="s">
        <v>538</v>
      </c>
      <c r="C25" s="55" t="s">
        <v>3713</v>
      </c>
      <c r="D25" s="55">
        <v>1734707089</v>
      </c>
      <c r="E25" s="55" t="s">
        <v>3486</v>
      </c>
      <c r="F25" s="55" t="s">
        <v>71</v>
      </c>
      <c r="G25" s="55" t="s">
        <v>3650</v>
      </c>
      <c r="H25" s="55" t="s">
        <v>2643</v>
      </c>
      <c r="I25" s="55" t="s">
        <v>74</v>
      </c>
      <c r="J25" s="56" t="s">
        <v>69</v>
      </c>
      <c r="K25" s="56" t="s">
        <v>7137</v>
      </c>
      <c r="L25" s="236">
        <v>45136</v>
      </c>
      <c r="M25" s="55" t="s">
        <v>7149</v>
      </c>
      <c r="N25" s="55" t="s">
        <v>81</v>
      </c>
      <c r="O25" s="56" t="s">
        <v>7148</v>
      </c>
      <c r="P25" s="55"/>
    </row>
    <row r="26" ht="19.95" customHeight="1" s="53" customFormat="1">
      <c r="A26" s="55">
        <v>171015</v>
      </c>
      <c r="B26" s="55" t="s">
        <v>3721</v>
      </c>
      <c r="C26" s="55" t="s">
        <v>3722</v>
      </c>
      <c r="D26" s="55">
        <v>1783904303</v>
      </c>
      <c r="E26" s="55" t="s">
        <v>67</v>
      </c>
      <c r="F26" s="55" t="s">
        <v>71</v>
      </c>
      <c r="G26" s="55" t="s">
        <v>4223</v>
      </c>
      <c r="H26" s="55" t="s">
        <v>3512</v>
      </c>
      <c r="I26" s="55" t="s">
        <v>74</v>
      </c>
      <c r="J26" s="56" t="s">
        <v>69</v>
      </c>
      <c r="K26" s="56" t="s">
        <v>3510</v>
      </c>
      <c r="L26" s="236">
        <v>45139</v>
      </c>
      <c r="M26" s="55" t="s">
        <v>6866</v>
      </c>
      <c r="N26" s="55" t="s">
        <v>3731</v>
      </c>
      <c r="O26" s="56" t="s">
        <v>7148</v>
      </c>
      <c r="P26" s="55"/>
    </row>
    <row r="27" ht="19.95" customHeight="1" s="53" customFormat="1">
      <c r="A27" s="55">
        <v>171028</v>
      </c>
      <c r="B27" s="55" t="s">
        <v>4628</v>
      </c>
      <c r="C27" s="55" t="s">
        <v>3732</v>
      </c>
      <c r="D27" s="55">
        <v>1601847941</v>
      </c>
      <c r="E27" s="55" t="s">
        <v>67</v>
      </c>
      <c r="F27" s="55" t="s">
        <v>71</v>
      </c>
      <c r="G27" s="55" t="s">
        <v>70</v>
      </c>
      <c r="H27" s="55" t="s">
        <v>3512</v>
      </c>
      <c r="I27" s="55" t="s">
        <v>74</v>
      </c>
      <c r="J27" s="56" t="s">
        <v>69</v>
      </c>
      <c r="K27" s="56" t="s">
        <v>3510</v>
      </c>
      <c r="L27" s="236">
        <v>45152</v>
      </c>
      <c r="M27" s="55" t="s">
        <v>3978</v>
      </c>
      <c r="N27" s="55" t="s">
        <v>3740</v>
      </c>
      <c r="O27" s="56" t="s">
        <v>7148</v>
      </c>
      <c r="P27" s="55"/>
    </row>
    <row r="28" ht="19.95" customHeight="1" s="53" customFormat="1">
      <c r="A28" s="55">
        <v>171026</v>
      </c>
      <c r="B28" s="55" t="s">
        <v>4072</v>
      </c>
      <c r="C28" s="55" t="s">
        <v>3742</v>
      </c>
      <c r="D28" s="55">
        <v>1981133126</v>
      </c>
      <c r="E28" s="55" t="s">
        <v>67</v>
      </c>
      <c r="F28" s="55" t="s">
        <v>71</v>
      </c>
      <c r="G28" s="55" t="s">
        <v>70</v>
      </c>
      <c r="H28" s="55" t="s">
        <v>3512</v>
      </c>
      <c r="I28" s="55" t="s">
        <v>74</v>
      </c>
      <c r="J28" s="56" t="s">
        <v>69</v>
      </c>
      <c r="K28" s="56" t="s">
        <v>3510</v>
      </c>
      <c r="L28" s="236">
        <v>45152</v>
      </c>
      <c r="M28" s="55" t="s">
        <v>3978</v>
      </c>
      <c r="N28" s="55" t="s">
        <v>3750</v>
      </c>
      <c r="O28" s="56" t="s">
        <v>7148</v>
      </c>
      <c r="P28" s="55"/>
    </row>
    <row r="29" ht="19.95" customHeight="1" s="53" customFormat="1">
      <c r="A29" s="55">
        <v>171008</v>
      </c>
      <c r="B29" s="55" t="s">
        <v>3751</v>
      </c>
      <c r="C29" s="55" t="s">
        <v>3752</v>
      </c>
      <c r="D29" s="55">
        <v>1708083269</v>
      </c>
      <c r="E29" s="55" t="s">
        <v>67</v>
      </c>
      <c r="F29" s="55" t="s">
        <v>71</v>
      </c>
      <c r="G29" s="55" t="s">
        <v>4005</v>
      </c>
      <c r="H29" s="55" t="s">
        <v>6861</v>
      </c>
      <c r="I29" s="55" t="s">
        <v>74</v>
      </c>
      <c r="J29" s="56" t="s">
        <v>69</v>
      </c>
      <c r="K29" s="56" t="s">
        <v>3510</v>
      </c>
      <c r="L29" s="236">
        <v>45154</v>
      </c>
      <c r="M29" s="55" t="s">
        <v>3978</v>
      </c>
      <c r="N29" s="55" t="s">
        <v>3760</v>
      </c>
      <c r="O29" s="56" t="s">
        <v>7148</v>
      </c>
      <c r="P29" s="55"/>
    </row>
    <row r="30" ht="19.95" customHeight="1" s="53" customFormat="1">
      <c r="A30" s="55">
        <v>171059</v>
      </c>
      <c r="B30" s="55" t="s">
        <v>4931</v>
      </c>
      <c r="C30" s="55" t="s">
        <v>3762</v>
      </c>
      <c r="D30" s="55">
        <v>1751781909</v>
      </c>
      <c r="E30" s="55" t="s">
        <v>67</v>
      </c>
      <c r="F30" s="55" t="s">
        <v>71</v>
      </c>
      <c r="G30" s="55" t="s">
        <v>3775</v>
      </c>
      <c r="H30" s="55" t="s">
        <v>2643</v>
      </c>
      <c r="I30" s="55" t="s">
        <v>74</v>
      </c>
      <c r="J30" s="56" t="s">
        <v>69</v>
      </c>
      <c r="K30" s="56" t="s">
        <v>3510</v>
      </c>
      <c r="L30" s="236">
        <v>45152</v>
      </c>
      <c r="M30" s="55" t="s">
        <v>3773</v>
      </c>
      <c r="N30" s="55" t="s">
        <v>3772</v>
      </c>
      <c r="O30" s="56" t="s">
        <v>7148</v>
      </c>
      <c r="P30" s="55"/>
    </row>
    <row r="31" ht="19.95" customHeight="1" s="53" customFormat="1">
      <c r="A31" s="55">
        <v>171087</v>
      </c>
      <c r="B31" s="55" t="s">
        <v>4278</v>
      </c>
      <c r="C31" s="55" t="s">
        <v>3774</v>
      </c>
      <c r="D31" s="55">
        <v>1869907314</v>
      </c>
      <c r="E31" s="55" t="s">
        <v>67</v>
      </c>
      <c r="F31" s="55" t="s">
        <v>71</v>
      </c>
      <c r="G31" s="55" t="s">
        <v>3775</v>
      </c>
      <c r="H31" s="55" t="s">
        <v>2643</v>
      </c>
      <c r="I31" s="55" t="s">
        <v>74</v>
      </c>
      <c r="J31" s="56" t="s">
        <v>69</v>
      </c>
      <c r="K31" s="56" t="s">
        <v>3510</v>
      </c>
      <c r="L31" s="236">
        <v>45152</v>
      </c>
      <c r="M31" s="55" t="s">
        <v>3978</v>
      </c>
      <c r="N31" s="55" t="s">
        <v>81</v>
      </c>
      <c r="O31" s="56" t="s">
        <v>7148</v>
      </c>
      <c r="P31" s="55"/>
    </row>
    <row r="32" ht="19.95" customHeight="1" s="53" customFormat="1">
      <c r="A32" s="55">
        <v>171074</v>
      </c>
      <c r="B32" s="55" t="s">
        <v>3797</v>
      </c>
      <c r="C32" s="55" t="s">
        <v>3798</v>
      </c>
      <c r="D32" s="55">
        <v>1620247637</v>
      </c>
      <c r="E32" s="55" t="s">
        <v>67</v>
      </c>
      <c r="F32" s="55" t="s">
        <v>71</v>
      </c>
      <c r="G32" s="55" t="s">
        <v>155</v>
      </c>
      <c r="H32" s="55" t="s">
        <v>6857</v>
      </c>
      <c r="I32" s="55" t="s">
        <v>74</v>
      </c>
      <c r="J32" s="56" t="s">
        <v>69</v>
      </c>
      <c r="K32" s="56" t="s">
        <v>3510</v>
      </c>
      <c r="L32" s="236">
        <v>45160</v>
      </c>
      <c r="M32" s="55" t="s">
        <v>6867</v>
      </c>
      <c r="N32" s="55" t="s">
        <v>81</v>
      </c>
      <c r="O32" s="56" t="s">
        <v>7148</v>
      </c>
      <c r="P32" s="55"/>
    </row>
    <row r="33" ht="19.95" customHeight="1" s="53" customFormat="1">
      <c r="A33" s="55">
        <v>171075</v>
      </c>
      <c r="B33" s="55" t="s">
        <v>3807</v>
      </c>
      <c r="C33" s="55" t="s">
        <v>3808</v>
      </c>
      <c r="D33" s="55">
        <v>1580590136</v>
      </c>
      <c r="E33" s="55" t="s">
        <v>67</v>
      </c>
      <c r="F33" s="55" t="s">
        <v>71</v>
      </c>
      <c r="G33" s="55" t="s">
        <v>155</v>
      </c>
      <c r="H33" s="55" t="s">
        <v>6857</v>
      </c>
      <c r="I33" s="55" t="s">
        <v>74</v>
      </c>
      <c r="J33" s="56" t="s">
        <v>69</v>
      </c>
      <c r="K33" s="56" t="s">
        <v>3510</v>
      </c>
      <c r="L33" s="236">
        <v>45155</v>
      </c>
      <c r="M33" s="55" t="s">
        <v>6868</v>
      </c>
      <c r="N33" s="55" t="s">
        <v>81</v>
      </c>
      <c r="O33" s="56" t="s">
        <v>7148</v>
      </c>
      <c r="P33" s="55"/>
    </row>
    <row r="34" ht="19.95" customHeight="1" s="53" customFormat="1">
      <c r="A34" s="55">
        <v>171107</v>
      </c>
      <c r="B34" s="55" t="s">
        <v>3638</v>
      </c>
      <c r="C34" s="55" t="s">
        <v>3817</v>
      </c>
      <c r="D34" s="55">
        <v>1812627583</v>
      </c>
      <c r="E34" s="55" t="s">
        <v>67</v>
      </c>
      <c r="F34" s="55" t="s">
        <v>71</v>
      </c>
      <c r="G34" s="55" t="s">
        <v>237</v>
      </c>
      <c r="H34" s="55" t="s">
        <v>2643</v>
      </c>
      <c r="I34" s="55" t="s">
        <v>74</v>
      </c>
      <c r="J34" s="56" t="s">
        <v>69</v>
      </c>
      <c r="K34" s="56" t="s">
        <v>3510</v>
      </c>
      <c r="L34" s="236">
        <v>45159</v>
      </c>
      <c r="M34" s="55" t="s">
        <v>3773</v>
      </c>
      <c r="N34" s="55" t="s">
        <v>81</v>
      </c>
      <c r="O34" s="56" t="s">
        <v>7148</v>
      </c>
      <c r="P34" s="55"/>
    </row>
    <row r="35" ht="19.95" customHeight="1" s="53" customFormat="1">
      <c r="A35" s="55">
        <v>171111</v>
      </c>
      <c r="B35" s="55" t="s">
        <v>3826</v>
      </c>
      <c r="C35" s="55" t="s">
        <v>3827</v>
      </c>
      <c r="D35" s="55">
        <v>1533962470</v>
      </c>
      <c r="E35" s="55" t="s">
        <v>67</v>
      </c>
      <c r="F35" s="55" t="s">
        <v>71</v>
      </c>
      <c r="G35" s="55" t="s">
        <v>97</v>
      </c>
      <c r="H35" s="55" t="s">
        <v>115</v>
      </c>
      <c r="I35" s="55" t="s">
        <v>74</v>
      </c>
      <c r="J35" s="56" t="s">
        <v>69</v>
      </c>
      <c r="K35" s="56" t="s">
        <v>3510</v>
      </c>
      <c r="L35" s="236">
        <v>45164</v>
      </c>
      <c r="M35" s="55" t="s">
        <v>3844</v>
      </c>
      <c r="N35" s="55" t="s">
        <v>81</v>
      </c>
      <c r="O35" s="56" t="s">
        <v>7148</v>
      </c>
      <c r="P35" s="55"/>
    </row>
    <row r="36" ht="19.95" customHeight="1" s="53" customFormat="1">
      <c r="A36" s="55">
        <v>171081</v>
      </c>
      <c r="B36" s="55" t="s">
        <v>3836</v>
      </c>
      <c r="C36" s="55" t="s">
        <v>3837</v>
      </c>
      <c r="D36" s="55">
        <v>1922742698</v>
      </c>
      <c r="E36" s="55" t="s">
        <v>67</v>
      </c>
      <c r="F36" s="55" t="s">
        <v>71</v>
      </c>
      <c r="G36" s="55" t="s">
        <v>155</v>
      </c>
      <c r="H36" s="55" t="s">
        <v>6857</v>
      </c>
      <c r="I36" s="55" t="s">
        <v>74</v>
      </c>
      <c r="J36" s="56" t="s">
        <v>69</v>
      </c>
      <c r="K36" s="56" t="s">
        <v>3510</v>
      </c>
      <c r="L36" s="236">
        <v>45162</v>
      </c>
      <c r="M36" s="55" t="s">
        <v>3844</v>
      </c>
      <c r="N36" s="55" t="s">
        <v>81</v>
      </c>
      <c r="O36" s="56" t="s">
        <v>7148</v>
      </c>
      <c r="P36" s="55"/>
    </row>
    <row r="37" ht="19.95" customHeight="1" s="53" customFormat="1">
      <c r="A37" s="55">
        <v>171060</v>
      </c>
      <c r="B37" s="55" t="str">
        <f>VLOOKUP(A37,Resign_Notification!A2:B31,2,0)</f>
        <v>mmaigenex050</v>
      </c>
      <c r="C37" s="55" t="str">
        <f>VLOOKUP(A37,Resign_Notification!A2:C31,3,0)</f>
        <v>MD. Saiduzzaman</v>
      </c>
      <c r="D37" s="55">
        <f>VLOOKUP(A37,Resign_Notification!A2:D31,4,0)</f>
        <v>1855223007</v>
      </c>
      <c r="E37" s="55" t="str">
        <f>VLOOKUP(A37,Resign_Notification!A2:E31,5,0)</f>
        <v>CSO</v>
      </c>
      <c r="F37" s="55" t="str">
        <f>VLOOKUP(A37,Resign_Notification!A2:F31,6,0)</f>
        <v>TEMU</v>
      </c>
      <c r="G37" s="55" t="str">
        <f>VLOOKUP(A37,Resign_Notification!A2:G31,7,0)</f>
        <v>Image segmentation</v>
      </c>
      <c r="H37" s="55" t="str">
        <f>VLOOKUP(A37,Resign_Notification!A2:H31,8,0)</f>
        <v>MD. Fahim Hossain Hemal</v>
      </c>
      <c r="I37" s="55" t="str">
        <f>VLOOKUP(A37,Resign_Notification!A2:I31,9,0)</f>
        <v>Asif Iqbal</v>
      </c>
      <c r="J37" s="56" t="s">
        <v>69</v>
      </c>
      <c r="K37" s="56" t="str">
        <f>VLOOKUP(A37,Resign_Notification!A2:M31,13,0)</f>
        <v>Resign</v>
      </c>
      <c r="L37" s="236">
        <v>45169</v>
      </c>
      <c r="M37" s="55" t="str">
        <f>VLOOKUP(A37,Resign_Notification!A2:N31,14,0)</f>
        <v>Family Issues</v>
      </c>
      <c r="N37" s="55" t="s">
        <v>81</v>
      </c>
      <c r="O37" s="56" t="s">
        <v>93</v>
      </c>
      <c r="P37" s="55"/>
    </row>
    <row r="38" ht="19.95" customHeight="1" s="53" customFormat="1">
      <c r="A38" s="55">
        <v>171014</v>
      </c>
      <c r="B38" s="55" t="s">
        <v>3853</v>
      </c>
      <c r="C38" s="55" t="s">
        <v>3854</v>
      </c>
      <c r="D38" s="55">
        <v>1533962470</v>
      </c>
      <c r="E38" s="55" t="s">
        <v>67</v>
      </c>
      <c r="F38" s="55" t="s">
        <v>71</v>
      </c>
      <c r="G38" s="55" t="s">
        <v>407</v>
      </c>
      <c r="H38" s="55" t="s">
        <v>3503</v>
      </c>
      <c r="I38" s="55" t="s">
        <v>74</v>
      </c>
      <c r="J38" s="56" t="s">
        <v>69</v>
      </c>
      <c r="K38" s="56" t="s">
        <v>3510</v>
      </c>
      <c r="L38" s="236">
        <v>45176</v>
      </c>
      <c r="M38" s="55" t="s">
        <v>7150</v>
      </c>
      <c r="N38" s="55" t="s">
        <v>81</v>
      </c>
      <c r="O38" s="56" t="s">
        <v>7148</v>
      </c>
      <c r="P38" s="55"/>
    </row>
    <row r="39" ht="19.95" customHeight="1" s="53" customFormat="1">
      <c r="A39" s="55">
        <v>171115</v>
      </c>
      <c r="B39" s="55" t="s">
        <v>3864</v>
      </c>
      <c r="C39" s="55" t="s">
        <v>3865</v>
      </c>
      <c r="D39" s="55">
        <v>1307032269</v>
      </c>
      <c r="E39" s="55" t="s">
        <v>67</v>
      </c>
      <c r="F39" s="55" t="s">
        <v>71</v>
      </c>
      <c r="G39" s="55" t="s">
        <v>97</v>
      </c>
      <c r="H39" s="55" t="s">
        <v>2643</v>
      </c>
      <c r="I39" s="55" t="s">
        <v>74</v>
      </c>
      <c r="J39" s="56" t="s">
        <v>69</v>
      </c>
      <c r="K39" s="56" t="s">
        <v>3510</v>
      </c>
      <c r="L39" s="236">
        <v>45177</v>
      </c>
      <c r="M39" s="55" t="s">
        <v>4002</v>
      </c>
      <c r="N39" s="55" t="s">
        <v>81</v>
      </c>
      <c r="O39" s="56" t="s">
        <v>7148</v>
      </c>
      <c r="P39" s="55"/>
    </row>
    <row r="40" ht="19.95" customHeight="1" s="53" customFormat="1">
      <c r="A40" s="55">
        <v>171053</v>
      </c>
      <c r="B40" s="55" t="s">
        <v>3873</v>
      </c>
      <c r="C40" s="55" t="s">
        <v>3874</v>
      </c>
      <c r="D40" s="55">
        <v>1609862764</v>
      </c>
      <c r="E40" s="55" t="s">
        <v>67</v>
      </c>
      <c r="F40" s="55" t="s">
        <v>71</v>
      </c>
      <c r="G40" s="55" t="s">
        <v>97</v>
      </c>
      <c r="H40" s="55" t="s">
        <v>115</v>
      </c>
      <c r="I40" s="55" t="s">
        <v>74</v>
      </c>
      <c r="J40" s="56" t="s">
        <v>69</v>
      </c>
      <c r="K40" s="56" t="s">
        <v>6872</v>
      </c>
      <c r="L40" s="236">
        <v>45185</v>
      </c>
      <c r="M40" s="55" t="s">
        <v>6876</v>
      </c>
      <c r="N40" s="55" t="s">
        <v>81</v>
      </c>
      <c r="O40" s="56" t="s">
        <v>7148</v>
      </c>
      <c r="P40" s="55"/>
    </row>
    <row r="41" ht="19.95" customHeight="1" s="53" customFormat="1">
      <c r="A41" s="55">
        <v>171029</v>
      </c>
      <c r="B41" s="55" t="s">
        <v>3890</v>
      </c>
      <c r="C41" s="55" t="s">
        <v>3891</v>
      </c>
      <c r="D41" s="55">
        <v>1707913701</v>
      </c>
      <c r="E41" s="55" t="s">
        <v>67</v>
      </c>
      <c r="F41" s="55" t="s">
        <v>71</v>
      </c>
      <c r="G41" s="55" t="s">
        <v>70</v>
      </c>
      <c r="H41" s="55" t="s">
        <v>2643</v>
      </c>
      <c r="I41" s="55" t="s">
        <v>74</v>
      </c>
      <c r="J41" s="56" t="s">
        <v>69</v>
      </c>
      <c r="K41" s="56" t="s">
        <v>6872</v>
      </c>
      <c r="L41" s="236">
        <v>45176</v>
      </c>
      <c r="M41" s="55" t="s">
        <v>6876</v>
      </c>
      <c r="N41" s="55" t="s">
        <v>81</v>
      </c>
      <c r="O41" s="56" t="s">
        <v>7148</v>
      </c>
      <c r="P41" s="55"/>
    </row>
    <row r="42" ht="19.95" customHeight="1" s="53" customFormat="1">
      <c r="A42" s="55">
        <v>171090</v>
      </c>
      <c r="B42" s="55" t="s">
        <v>3899</v>
      </c>
      <c r="C42" s="55" t="s">
        <v>3900</v>
      </c>
      <c r="D42" s="55">
        <v>1766477705</v>
      </c>
      <c r="E42" s="55" t="s">
        <v>67</v>
      </c>
      <c r="F42" s="55" t="s">
        <v>71</v>
      </c>
      <c r="G42" s="55" t="s">
        <v>2495</v>
      </c>
      <c r="H42" s="55" t="s">
        <v>115</v>
      </c>
      <c r="I42" s="55" t="s">
        <v>74</v>
      </c>
      <c r="J42" s="56" t="s">
        <v>69</v>
      </c>
      <c r="K42" s="56" t="s">
        <v>6872</v>
      </c>
      <c r="L42" s="236">
        <v>45188</v>
      </c>
      <c r="M42" s="55" t="s">
        <v>6879</v>
      </c>
      <c r="N42" s="55" t="s">
        <v>81</v>
      </c>
      <c r="O42" s="56" t="s">
        <v>7148</v>
      </c>
      <c r="P42" s="55"/>
    </row>
    <row r="43" ht="19.95" customHeight="1" s="53" customFormat="1">
      <c r="A43" s="55">
        <v>171009</v>
      </c>
      <c r="B43" s="55" t="s">
        <v>3908</v>
      </c>
      <c r="C43" s="55" t="s">
        <v>3909</v>
      </c>
      <c r="D43" s="55">
        <v>1749766889</v>
      </c>
      <c r="E43" s="55" t="s">
        <v>67</v>
      </c>
      <c r="F43" s="55" t="s">
        <v>71</v>
      </c>
      <c r="G43" s="55" t="s">
        <v>4005</v>
      </c>
      <c r="H43" s="55" t="s">
        <v>3659</v>
      </c>
      <c r="I43" s="55" t="s">
        <v>74</v>
      </c>
      <c r="J43" s="56" t="s">
        <v>69</v>
      </c>
      <c r="K43" s="56" t="s">
        <v>6872</v>
      </c>
      <c r="L43" s="236">
        <v>45189</v>
      </c>
      <c r="M43" s="55" t="s">
        <v>6880</v>
      </c>
      <c r="N43" s="55" t="s">
        <v>81</v>
      </c>
      <c r="O43" s="56" t="s">
        <v>7148</v>
      </c>
      <c r="P43" s="55"/>
    </row>
    <row r="44" ht="19.95" customHeight="1" s="53" customFormat="1">
      <c r="A44" s="55">
        <v>171048</v>
      </c>
      <c r="B44" s="55" t="s">
        <v>3916</v>
      </c>
      <c r="C44" s="55" t="s">
        <v>3917</v>
      </c>
      <c r="D44" s="55">
        <v>1722167080</v>
      </c>
      <c r="E44" s="55" t="s">
        <v>67</v>
      </c>
      <c r="F44" s="55" t="s">
        <v>71</v>
      </c>
      <c r="G44" s="55" t="s">
        <v>237</v>
      </c>
      <c r="H44" s="55" t="s">
        <v>2643</v>
      </c>
      <c r="I44" s="55" t="s">
        <v>74</v>
      </c>
      <c r="J44" s="56" t="s">
        <v>69</v>
      </c>
      <c r="K44" s="56" t="s">
        <v>6872</v>
      </c>
      <c r="L44" s="236">
        <v>45194</v>
      </c>
      <c r="M44" s="55" t="s">
        <v>3796</v>
      </c>
      <c r="N44" s="55" t="s">
        <v>81</v>
      </c>
      <c r="O44" s="56" t="s">
        <v>7148</v>
      </c>
      <c r="P44" s="55"/>
    </row>
    <row r="45" ht="19.95" customHeight="1" s="53" customFormat="1">
      <c r="A45" s="55">
        <v>171062</v>
      </c>
      <c r="B45" s="55" t="s">
        <v>3925</v>
      </c>
      <c r="C45" s="55" t="s">
        <v>3926</v>
      </c>
      <c r="D45" s="55">
        <v>1635843223</v>
      </c>
      <c r="E45" s="55" t="s">
        <v>67</v>
      </c>
      <c r="F45" s="55" t="s">
        <v>71</v>
      </c>
      <c r="G45" s="55" t="s">
        <v>237</v>
      </c>
      <c r="H45" s="55" t="s">
        <v>73</v>
      </c>
      <c r="I45" s="55" t="s">
        <v>74</v>
      </c>
      <c r="J45" s="56" t="s">
        <v>69</v>
      </c>
      <c r="K45" s="56" t="s">
        <v>6872</v>
      </c>
      <c r="L45" s="236">
        <v>45183</v>
      </c>
      <c r="M45" s="55" t="s">
        <v>3796</v>
      </c>
      <c r="N45" s="55" t="s">
        <v>81</v>
      </c>
      <c r="O45" s="56" t="s">
        <v>7148</v>
      </c>
      <c r="P45" s="55"/>
    </row>
    <row r="46" ht="19.95" customHeight="1" s="53" customFormat="1">
      <c r="A46" s="55">
        <v>171094</v>
      </c>
      <c r="B46" s="55" t="s">
        <v>3933</v>
      </c>
      <c r="C46" s="55" t="s">
        <v>3934</v>
      </c>
      <c r="D46" s="55">
        <v>1604138249</v>
      </c>
      <c r="E46" s="55" t="s">
        <v>67</v>
      </c>
      <c r="F46" s="55" t="s">
        <v>71</v>
      </c>
      <c r="G46" s="55" t="s">
        <v>2495</v>
      </c>
      <c r="H46" s="55" t="s">
        <v>115</v>
      </c>
      <c r="I46" s="55" t="s">
        <v>74</v>
      </c>
      <c r="J46" s="56" t="s">
        <v>69</v>
      </c>
      <c r="K46" s="56" t="s">
        <v>6872</v>
      </c>
      <c r="L46" s="236">
        <v>45196</v>
      </c>
      <c r="M46" s="55" t="s">
        <v>7151</v>
      </c>
      <c r="N46" s="55" t="s">
        <v>81</v>
      </c>
      <c r="O46" s="56" t="s">
        <v>7148</v>
      </c>
      <c r="P46" s="55"/>
    </row>
    <row r="47" ht="19.95" customHeight="1" s="53" customFormat="1">
      <c r="A47" s="55">
        <v>171104</v>
      </c>
      <c r="B47" s="55" t="s">
        <v>3881</v>
      </c>
      <c r="C47" s="55" t="s">
        <v>2706</v>
      </c>
      <c r="D47" s="55">
        <v>1518707935</v>
      </c>
      <c r="E47" s="55" t="s">
        <v>67</v>
      </c>
      <c r="F47" s="55" t="s">
        <v>71</v>
      </c>
      <c r="G47" s="55" t="s">
        <v>2495</v>
      </c>
      <c r="H47" s="55" t="s">
        <v>115</v>
      </c>
      <c r="I47" s="55" t="s">
        <v>74</v>
      </c>
      <c r="J47" s="56" t="s">
        <v>69</v>
      </c>
      <c r="K47" s="56" t="s">
        <v>6872</v>
      </c>
      <c r="L47" s="236">
        <v>45185</v>
      </c>
      <c r="M47" s="55" t="s">
        <v>4002</v>
      </c>
      <c r="N47" s="55" t="s">
        <v>4002</v>
      </c>
      <c r="O47" s="56" t="s">
        <v>7148</v>
      </c>
      <c r="P47" s="55"/>
    </row>
    <row r="48" ht="19.95" customHeight="1" s="53" customFormat="1">
      <c r="A48" s="55">
        <v>171121</v>
      </c>
      <c r="B48" s="55" t="s">
        <v>538</v>
      </c>
      <c r="C48" s="55" t="s">
        <v>3941</v>
      </c>
      <c r="D48" s="55">
        <v>1910400564</v>
      </c>
      <c r="E48" s="55" t="s">
        <v>67</v>
      </c>
      <c r="F48" s="55" t="s">
        <v>71</v>
      </c>
      <c r="G48" s="55" t="s">
        <v>2495</v>
      </c>
      <c r="H48" s="55" t="s">
        <v>115</v>
      </c>
      <c r="I48" s="55" t="s">
        <v>74</v>
      </c>
      <c r="J48" s="56" t="s">
        <v>69</v>
      </c>
      <c r="K48" s="56" t="s">
        <v>6872</v>
      </c>
      <c r="L48" s="236">
        <v>45208</v>
      </c>
      <c r="M48" s="55" t="s">
        <v>3915</v>
      </c>
      <c r="N48" s="55" t="s">
        <v>81</v>
      </c>
      <c r="O48" s="56" t="s">
        <v>7148</v>
      </c>
      <c r="P48" s="55"/>
    </row>
    <row r="49" ht="19.95" customHeight="1" s="53" customFormat="1">
      <c r="A49" s="55">
        <v>171145</v>
      </c>
      <c r="B49" s="55" t="s">
        <v>3949</v>
      </c>
      <c r="C49" s="55" t="s">
        <v>3950</v>
      </c>
      <c r="D49" s="55">
        <v>1748221485</v>
      </c>
      <c r="E49" s="55" t="s">
        <v>67</v>
      </c>
      <c r="F49" s="55" t="s">
        <v>1766</v>
      </c>
      <c r="G49" s="55" t="s">
        <v>155</v>
      </c>
      <c r="H49" s="55" t="s">
        <v>6857</v>
      </c>
      <c r="I49" s="55" t="s">
        <v>74</v>
      </c>
      <c r="J49" s="56" t="s">
        <v>69</v>
      </c>
      <c r="K49" s="56" t="s">
        <v>6872</v>
      </c>
      <c r="L49" s="236">
        <v>45210</v>
      </c>
      <c r="M49" s="55" t="s">
        <v>3796</v>
      </c>
      <c r="N49" s="55" t="s">
        <v>81</v>
      </c>
      <c r="O49" s="56" t="s">
        <v>7148</v>
      </c>
      <c r="P49" s="55"/>
    </row>
    <row r="50" ht="19.95" customHeight="1" s="53" customFormat="1">
      <c r="A50" s="55">
        <v>171050</v>
      </c>
      <c r="B50" s="55" t="s">
        <v>6883</v>
      </c>
      <c r="C50" s="55" t="s">
        <v>3957</v>
      </c>
      <c r="D50" s="55">
        <v>1956499430</v>
      </c>
      <c r="E50" s="55" t="s">
        <v>67</v>
      </c>
      <c r="F50" s="55" t="s">
        <v>71</v>
      </c>
      <c r="G50" s="55" t="s">
        <v>97</v>
      </c>
      <c r="H50" s="55" t="s">
        <v>115</v>
      </c>
      <c r="I50" s="55" t="s">
        <v>74</v>
      </c>
      <c r="J50" s="56" t="s">
        <v>69</v>
      </c>
      <c r="K50" s="56" t="s">
        <v>6872</v>
      </c>
      <c r="L50" s="236">
        <v>45215</v>
      </c>
      <c r="M50" s="55" t="s">
        <v>3796</v>
      </c>
      <c r="N50" s="55" t="s">
        <v>81</v>
      </c>
      <c r="O50" s="56" t="s">
        <v>7148</v>
      </c>
      <c r="P50" s="55"/>
    </row>
    <row r="51" ht="19.95" customHeight="1" s="53" customFormat="1">
      <c r="A51" s="55">
        <v>171021</v>
      </c>
      <c r="B51" s="55" t="s">
        <v>6884</v>
      </c>
      <c r="C51" s="55" t="s">
        <v>3963</v>
      </c>
      <c r="D51" s="55">
        <v>1761237800</v>
      </c>
      <c r="E51" s="55" t="s">
        <v>67</v>
      </c>
      <c r="F51" s="55" t="s">
        <v>71</v>
      </c>
      <c r="G51" s="55" t="s">
        <v>155</v>
      </c>
      <c r="H51" s="55" t="s">
        <v>6857</v>
      </c>
      <c r="I51" s="55" t="s">
        <v>74</v>
      </c>
      <c r="J51" s="56" t="s">
        <v>69</v>
      </c>
      <c r="K51" s="56" t="s">
        <v>6872</v>
      </c>
      <c r="L51" s="236">
        <v>45215</v>
      </c>
      <c r="M51" s="55" t="s">
        <v>3544</v>
      </c>
      <c r="N51" s="55" t="s">
        <v>81</v>
      </c>
      <c r="O51" s="56" t="s">
        <v>7148</v>
      </c>
      <c r="P51" s="55"/>
    </row>
    <row r="52" ht="19.95" customHeight="1" s="53" customFormat="1">
      <c r="A52" s="55">
        <v>171031</v>
      </c>
      <c r="B52" s="55" t="s">
        <v>6887</v>
      </c>
      <c r="C52" s="55" t="s">
        <v>3980</v>
      </c>
      <c r="D52" s="55">
        <v>1609075990</v>
      </c>
      <c r="E52" s="55" t="s">
        <v>67</v>
      </c>
      <c r="F52" s="55" t="s">
        <v>71</v>
      </c>
      <c r="G52" s="55" t="s">
        <v>155</v>
      </c>
      <c r="H52" s="55" t="s">
        <v>6857</v>
      </c>
      <c r="I52" s="55" t="s">
        <v>74</v>
      </c>
      <c r="J52" s="56" t="s">
        <v>69</v>
      </c>
      <c r="K52" s="56" t="s">
        <v>6872</v>
      </c>
      <c r="L52" s="236">
        <v>45225</v>
      </c>
      <c r="M52" s="55" t="s">
        <v>4035</v>
      </c>
      <c r="N52" s="55" t="s">
        <v>81</v>
      </c>
      <c r="O52" s="56" t="s">
        <v>7148</v>
      </c>
      <c r="P52" s="55"/>
    </row>
    <row r="53" ht="19.95" customHeight="1" s="53" customFormat="1">
      <c r="A53" s="55">
        <v>171162</v>
      </c>
      <c r="B53" s="55" t="s">
        <v>1263</v>
      </c>
      <c r="C53" s="55" t="s">
        <v>3986</v>
      </c>
      <c r="D53" s="55">
        <v>1881273617</v>
      </c>
      <c r="E53" s="55" t="s">
        <v>67</v>
      </c>
      <c r="F53" s="55" t="s">
        <v>71</v>
      </c>
      <c r="G53" s="55" t="s">
        <v>2495</v>
      </c>
      <c r="H53" s="55" t="s">
        <v>73</v>
      </c>
      <c r="I53" s="55" t="s">
        <v>74</v>
      </c>
      <c r="J53" s="56" t="s">
        <v>69</v>
      </c>
      <c r="K53" s="56" t="s">
        <v>7137</v>
      </c>
      <c r="L53" s="236">
        <v>45225</v>
      </c>
      <c r="M53" s="55" t="s">
        <v>7152</v>
      </c>
      <c r="N53" s="55" t="s">
        <v>81</v>
      </c>
      <c r="O53" s="56" t="s">
        <v>7148</v>
      </c>
      <c r="P53" s="55"/>
    </row>
    <row r="54" ht="19.95" customHeight="1" s="53" customFormat="1">
      <c r="A54" s="55">
        <v>171147</v>
      </c>
      <c r="B54" s="55" t="s">
        <v>3993</v>
      </c>
      <c r="C54" s="55" t="s">
        <v>3994</v>
      </c>
      <c r="D54" s="55">
        <v>1972768919</v>
      </c>
      <c r="E54" s="55" t="s">
        <v>67</v>
      </c>
      <c r="F54" s="55" t="s">
        <v>1766</v>
      </c>
      <c r="G54" s="55" t="s">
        <v>155</v>
      </c>
      <c r="H54" s="55" t="s">
        <v>3512</v>
      </c>
      <c r="I54" s="55" t="s">
        <v>74</v>
      </c>
      <c r="J54" s="56" t="s">
        <v>69</v>
      </c>
      <c r="K54" s="56" t="s">
        <v>6872</v>
      </c>
      <c r="L54" s="236">
        <v>45225</v>
      </c>
      <c r="M54" s="55" t="s">
        <v>4002</v>
      </c>
      <c r="N54" s="55" t="s">
        <v>81</v>
      </c>
      <c r="O54" s="56" t="s">
        <v>7148</v>
      </c>
      <c r="P54" s="55"/>
    </row>
    <row r="55" ht="19.95" customHeight="1" s="53" customFormat="1">
      <c r="A55" s="55">
        <v>171119</v>
      </c>
      <c r="B55" s="55" t="s">
        <v>4003</v>
      </c>
      <c r="C55" s="55" t="s">
        <v>4004</v>
      </c>
      <c r="D55" s="55">
        <v>1617078638</v>
      </c>
      <c r="E55" s="55" t="s">
        <v>67</v>
      </c>
      <c r="F55" s="55" t="s">
        <v>71</v>
      </c>
      <c r="G55" s="55" t="s">
        <v>407</v>
      </c>
      <c r="H55" s="55" t="s">
        <v>6861</v>
      </c>
      <c r="I55" s="55" t="s">
        <v>74</v>
      </c>
      <c r="J55" s="56" t="s">
        <v>69</v>
      </c>
      <c r="K55" s="56" t="s">
        <v>6872</v>
      </c>
      <c r="L55" s="236">
        <v>45230</v>
      </c>
      <c r="M55" s="55" t="s">
        <v>3915</v>
      </c>
      <c r="N55" s="55" t="s">
        <v>81</v>
      </c>
      <c r="O55" s="56" t="s">
        <v>7148</v>
      </c>
      <c r="P55" s="55"/>
    </row>
    <row r="56" ht="19.95" customHeight="1" s="53" customFormat="1">
      <c r="A56" s="55">
        <v>171103</v>
      </c>
      <c r="B56" s="55" t="s">
        <v>4012</v>
      </c>
      <c r="C56" s="55" t="s">
        <v>4013</v>
      </c>
      <c r="D56" s="55">
        <v>1305887611</v>
      </c>
      <c r="E56" s="55" t="s">
        <v>114</v>
      </c>
      <c r="F56" s="55" t="s">
        <v>71</v>
      </c>
      <c r="G56" s="55" t="s">
        <v>2495</v>
      </c>
      <c r="H56" s="55" t="s">
        <v>2643</v>
      </c>
      <c r="I56" s="55" t="s">
        <v>74</v>
      </c>
      <c r="J56" s="56" t="s">
        <v>69</v>
      </c>
      <c r="K56" s="56" t="s">
        <v>7137</v>
      </c>
      <c r="L56" s="236">
        <v>45230</v>
      </c>
      <c r="M56" s="55" t="s">
        <v>7153</v>
      </c>
      <c r="N56" s="55" t="s">
        <v>81</v>
      </c>
      <c r="O56" s="56" t="s">
        <v>7148</v>
      </c>
      <c r="P56" s="55"/>
    </row>
    <row r="57" ht="19.95" customHeight="1" s="53" customFormat="1">
      <c r="A57" s="55">
        <v>171099</v>
      </c>
      <c r="B57" s="55" t="s">
        <v>7154</v>
      </c>
      <c r="C57" s="55" t="s">
        <v>4022</v>
      </c>
      <c r="D57" s="55">
        <v>1713965790</v>
      </c>
      <c r="E57" s="55" t="s">
        <v>67</v>
      </c>
      <c r="F57" s="55" t="s">
        <v>71</v>
      </c>
      <c r="G57" s="55" t="s">
        <v>155</v>
      </c>
      <c r="H57" s="55" t="s">
        <v>6857</v>
      </c>
      <c r="I57" s="55" t="s">
        <v>74</v>
      </c>
      <c r="J57" s="56" t="s">
        <v>69</v>
      </c>
      <c r="K57" s="56" t="s">
        <v>7137</v>
      </c>
      <c r="L57" s="236">
        <v>45232</v>
      </c>
      <c r="M57" s="55" t="s">
        <v>7152</v>
      </c>
      <c r="N57" s="55" t="s">
        <v>81</v>
      </c>
      <c r="O57" s="56" t="s">
        <v>7148</v>
      </c>
      <c r="P57" s="55"/>
    </row>
    <row r="58" ht="19.95" customHeight="1" s="53" customFormat="1">
      <c r="A58" s="55">
        <v>171018</v>
      </c>
      <c r="B58" s="55" t="s">
        <v>6888</v>
      </c>
      <c r="C58" s="55" t="s">
        <v>3971</v>
      </c>
      <c r="D58" s="55">
        <v>1680056488</v>
      </c>
      <c r="E58" s="55" t="s">
        <v>67</v>
      </c>
      <c r="F58" s="55" t="s">
        <v>71</v>
      </c>
      <c r="G58" s="55" t="s">
        <v>407</v>
      </c>
      <c r="H58" s="55" t="s">
        <v>3659</v>
      </c>
      <c r="I58" s="55" t="s">
        <v>74</v>
      </c>
      <c r="J58" s="56" t="s">
        <v>69</v>
      </c>
      <c r="K58" s="56" t="s">
        <v>6872</v>
      </c>
      <c r="L58" s="236">
        <v>45220</v>
      </c>
      <c r="M58" s="55" t="s">
        <v>3510</v>
      </c>
      <c r="N58" s="55" t="s">
        <v>81</v>
      </c>
      <c r="O58" s="56" t="s">
        <v>7148</v>
      </c>
      <c r="P58" s="55"/>
    </row>
    <row r="59" ht="19.95" customHeight="1" s="53" customFormat="1">
      <c r="A59" s="55">
        <v>171183</v>
      </c>
      <c r="B59" s="55" t="s">
        <v>4213</v>
      </c>
      <c r="C59" s="55" t="s">
        <v>4030</v>
      </c>
      <c r="D59" s="55">
        <v>1787244605</v>
      </c>
      <c r="E59" s="55" t="s">
        <v>67</v>
      </c>
      <c r="F59" s="55" t="s">
        <v>71</v>
      </c>
      <c r="G59" s="55" t="s">
        <v>2495</v>
      </c>
      <c r="H59" s="55" t="s">
        <v>73</v>
      </c>
      <c r="I59" s="55" t="s">
        <v>74</v>
      </c>
      <c r="J59" s="56" t="s">
        <v>69</v>
      </c>
      <c r="K59" s="56" t="s">
        <v>6872</v>
      </c>
      <c r="L59" s="236">
        <v>45233</v>
      </c>
      <c r="M59" s="55" t="s">
        <v>4035</v>
      </c>
      <c r="N59" s="55" t="s">
        <v>81</v>
      </c>
      <c r="O59" s="56" t="s">
        <v>7148</v>
      </c>
      <c r="P59" s="55"/>
    </row>
    <row r="60" ht="19.95" customHeight="1" s="53" customFormat="1">
      <c r="A60" s="55">
        <v>171097</v>
      </c>
      <c r="B60" s="55" t="s">
        <v>6890</v>
      </c>
      <c r="C60" s="55" t="s">
        <v>4049</v>
      </c>
      <c r="D60" s="55">
        <v>1722306160</v>
      </c>
      <c r="E60" s="55" t="s">
        <v>67</v>
      </c>
      <c r="F60" s="55" t="s">
        <v>71</v>
      </c>
      <c r="G60" s="55" t="s">
        <v>407</v>
      </c>
      <c r="H60" s="55" t="s">
        <v>6861</v>
      </c>
      <c r="I60" s="55" t="s">
        <v>74</v>
      </c>
      <c r="J60" s="56" t="s">
        <v>69</v>
      </c>
      <c r="K60" s="56" t="s">
        <v>6872</v>
      </c>
      <c r="L60" s="236">
        <v>45238</v>
      </c>
      <c r="M60" s="55" t="s">
        <v>4035</v>
      </c>
      <c r="N60" s="55" t="s">
        <v>81</v>
      </c>
      <c r="O60" s="56" t="s">
        <v>7148</v>
      </c>
      <c r="P60" s="55"/>
    </row>
    <row r="61" ht="19.95" customHeight="1" s="53" customFormat="1">
      <c r="A61" s="55">
        <v>171022</v>
      </c>
      <c r="B61" s="55" t="s">
        <v>4036</v>
      </c>
      <c r="C61" s="55" t="s">
        <v>4037</v>
      </c>
      <c r="D61" s="55">
        <v>1838876981</v>
      </c>
      <c r="E61" s="55" t="s">
        <v>67</v>
      </c>
      <c r="F61" s="55" t="s">
        <v>71</v>
      </c>
      <c r="G61" s="55" t="s">
        <v>70</v>
      </c>
      <c r="H61" s="55" t="s">
        <v>3512</v>
      </c>
      <c r="I61" s="55" t="s">
        <v>74</v>
      </c>
      <c r="J61" s="56" t="s">
        <v>69</v>
      </c>
      <c r="K61" s="56" t="s">
        <v>7137</v>
      </c>
      <c r="L61" s="236">
        <v>45236</v>
      </c>
      <c r="M61" s="55" t="s">
        <v>7153</v>
      </c>
      <c r="N61" s="55" t="s">
        <v>81</v>
      </c>
      <c r="O61" s="56" t="s">
        <v>7148</v>
      </c>
      <c r="P61" s="55"/>
    </row>
    <row r="62" ht="19.95" customHeight="1" s="53" customFormat="1">
      <c r="A62" s="55">
        <v>171129</v>
      </c>
      <c r="B62" s="55" t="s">
        <v>6891</v>
      </c>
      <c r="C62" s="55" t="s">
        <v>4057</v>
      </c>
      <c r="D62" s="55">
        <v>1625495858</v>
      </c>
      <c r="E62" s="55" t="s">
        <v>67</v>
      </c>
      <c r="F62" s="55" t="s">
        <v>71</v>
      </c>
      <c r="G62" s="55" t="s">
        <v>155</v>
      </c>
      <c r="H62" s="55" t="s">
        <v>6857</v>
      </c>
      <c r="I62" s="55" t="s">
        <v>74</v>
      </c>
      <c r="J62" s="56" t="s">
        <v>69</v>
      </c>
      <c r="K62" s="56" t="s">
        <v>6872</v>
      </c>
      <c r="L62" s="236">
        <v>45246</v>
      </c>
      <c r="M62" s="55" t="s">
        <v>4035</v>
      </c>
      <c r="N62" s="55" t="s">
        <v>81</v>
      </c>
      <c r="O62" s="56" t="s">
        <v>7148</v>
      </c>
      <c r="P62" s="55"/>
    </row>
    <row r="63" ht="19.95" customHeight="1" s="53" customFormat="1">
      <c r="A63" s="55">
        <v>171157</v>
      </c>
      <c r="B63" s="55" t="s">
        <v>2445</v>
      </c>
      <c r="C63" s="55" t="s">
        <v>4065</v>
      </c>
      <c r="D63" s="55">
        <v>1845412782</v>
      </c>
      <c r="E63" s="55" t="s">
        <v>67</v>
      </c>
      <c r="F63" s="55" t="s">
        <v>71</v>
      </c>
      <c r="G63" s="55" t="s">
        <v>2495</v>
      </c>
      <c r="H63" s="55" t="s">
        <v>3659</v>
      </c>
      <c r="I63" s="55" t="s">
        <v>74</v>
      </c>
      <c r="J63" s="56" t="s">
        <v>69</v>
      </c>
      <c r="K63" s="56" t="s">
        <v>6872</v>
      </c>
      <c r="L63" s="236">
        <v>45246</v>
      </c>
      <c r="M63" s="55" t="s">
        <v>5012</v>
      </c>
      <c r="N63" s="55" t="s">
        <v>81</v>
      </c>
      <c r="O63" s="56" t="s">
        <v>7148</v>
      </c>
      <c r="P63" s="55"/>
    </row>
    <row r="64" ht="19.95" customHeight="1" s="53" customFormat="1">
      <c r="A64" s="55">
        <v>171123</v>
      </c>
      <c r="B64" s="55" t="s">
        <v>2856</v>
      </c>
      <c r="C64" s="55" t="s">
        <v>4051</v>
      </c>
      <c r="D64" s="55">
        <v>1744371007</v>
      </c>
      <c r="E64" s="55" t="s">
        <v>67</v>
      </c>
      <c r="F64" s="55" t="s">
        <v>71</v>
      </c>
      <c r="G64" s="55" t="s">
        <v>2495</v>
      </c>
      <c r="H64" s="55" t="s">
        <v>3659</v>
      </c>
      <c r="I64" s="55" t="s">
        <v>74</v>
      </c>
      <c r="J64" s="56" t="s">
        <v>69</v>
      </c>
      <c r="K64" s="56" t="s">
        <v>6872</v>
      </c>
      <c r="L64" s="236">
        <v>45246</v>
      </c>
      <c r="M64" s="55" t="s">
        <v>6893</v>
      </c>
      <c r="N64" s="55" t="s">
        <v>81</v>
      </c>
      <c r="O64" s="56" t="s">
        <v>7148</v>
      </c>
      <c r="P64" s="55"/>
    </row>
    <row r="65" ht="19.95" customHeight="1" s="53" customFormat="1">
      <c r="A65" s="55">
        <v>171010</v>
      </c>
      <c r="B65" s="55" t="s">
        <v>4098</v>
      </c>
      <c r="C65" s="55" t="s">
        <v>4099</v>
      </c>
      <c r="D65" s="55">
        <v>1865324465</v>
      </c>
      <c r="E65" s="55" t="s">
        <v>67</v>
      </c>
      <c r="F65" s="55" t="s">
        <v>71</v>
      </c>
      <c r="G65" s="55" t="s">
        <v>407</v>
      </c>
      <c r="H65" s="55" t="s">
        <v>73</v>
      </c>
      <c r="I65" s="55" t="s">
        <v>74</v>
      </c>
      <c r="J65" s="56" t="s">
        <v>69</v>
      </c>
      <c r="K65" s="56" t="s">
        <v>6872</v>
      </c>
      <c r="L65" s="236">
        <v>45251</v>
      </c>
      <c r="M65" s="55" t="s">
        <v>4321</v>
      </c>
      <c r="N65" s="55" t="s">
        <v>81</v>
      </c>
      <c r="O65" s="56" t="s">
        <v>7148</v>
      </c>
      <c r="P65" s="55"/>
    </row>
    <row r="66" ht="19.95" customHeight="1" s="53" customFormat="1">
      <c r="A66" s="55">
        <v>171185</v>
      </c>
      <c r="B66" s="55" t="s">
        <v>2808</v>
      </c>
      <c r="C66" s="55" t="s">
        <v>4082</v>
      </c>
      <c r="D66" s="55">
        <v>1790768959</v>
      </c>
      <c r="E66" s="55" t="s">
        <v>67</v>
      </c>
      <c r="F66" s="55" t="s">
        <v>71</v>
      </c>
      <c r="G66" s="55" t="s">
        <v>2495</v>
      </c>
      <c r="H66" s="55" t="s">
        <v>3659</v>
      </c>
      <c r="I66" s="55" t="s">
        <v>74</v>
      </c>
      <c r="J66" s="56" t="s">
        <v>69</v>
      </c>
      <c r="K66" s="56" t="s">
        <v>6872</v>
      </c>
      <c r="L66" s="236">
        <v>45252</v>
      </c>
      <c r="M66" s="55" t="s">
        <v>3796</v>
      </c>
      <c r="N66" s="55" t="s">
        <v>81</v>
      </c>
      <c r="O66" s="56" t="s">
        <v>7148</v>
      </c>
      <c r="P66" s="55"/>
    </row>
    <row r="67" ht="19.95" customHeight="1" s="53" customFormat="1">
      <c r="A67" s="55">
        <v>171106</v>
      </c>
      <c r="B67" s="55" t="s">
        <v>669</v>
      </c>
      <c r="C67" s="55" t="s">
        <v>4108</v>
      </c>
      <c r="D67" s="55">
        <v>1981515895</v>
      </c>
      <c r="E67" s="55" t="s">
        <v>67</v>
      </c>
      <c r="F67" s="55" t="s">
        <v>71</v>
      </c>
      <c r="G67" s="55" t="s">
        <v>2495</v>
      </c>
      <c r="H67" s="55" t="s">
        <v>115</v>
      </c>
      <c r="I67" s="55" t="s">
        <v>74</v>
      </c>
      <c r="J67" s="56" t="s">
        <v>69</v>
      </c>
      <c r="K67" s="56" t="s">
        <v>7137</v>
      </c>
      <c r="L67" s="236">
        <v>45252</v>
      </c>
      <c r="M67" s="55" t="s">
        <v>7152</v>
      </c>
      <c r="N67" s="55" t="s">
        <v>81</v>
      </c>
      <c r="O67" s="56" t="s">
        <v>7148</v>
      </c>
      <c r="P67" s="55"/>
    </row>
    <row r="68" ht="19.95" customHeight="1" s="53" customFormat="1">
      <c r="A68" s="55">
        <v>171175</v>
      </c>
      <c r="B68" s="55" t="s">
        <v>2606</v>
      </c>
      <c r="C68" s="55" t="s">
        <v>4089</v>
      </c>
      <c r="D68" s="55">
        <v>1629773652</v>
      </c>
      <c r="E68" s="55" t="s">
        <v>67</v>
      </c>
      <c r="F68" s="55" t="s">
        <v>71</v>
      </c>
      <c r="G68" s="55" t="s">
        <v>2495</v>
      </c>
      <c r="H68" s="55" t="s">
        <v>6861</v>
      </c>
      <c r="I68" s="55" t="s">
        <v>74</v>
      </c>
      <c r="J68" s="56" t="s">
        <v>69</v>
      </c>
      <c r="K68" s="56" t="s">
        <v>6872</v>
      </c>
      <c r="L68" s="236">
        <v>45255</v>
      </c>
      <c r="M68" s="55" t="s">
        <v>4035</v>
      </c>
      <c r="N68" s="55" t="s">
        <v>81</v>
      </c>
      <c r="O68" s="56" t="s">
        <v>7148</v>
      </c>
      <c r="P68" s="55"/>
    </row>
    <row r="69" ht="19.95" customHeight="1" s="53" customFormat="1">
      <c r="A69" s="55">
        <v>171057</v>
      </c>
      <c r="B69" s="55" t="s">
        <v>3925</v>
      </c>
      <c r="C69" s="55" t="s">
        <v>2496</v>
      </c>
      <c r="D69" s="55">
        <v>1919212294</v>
      </c>
      <c r="E69" s="55" t="s">
        <v>67</v>
      </c>
      <c r="F69" s="55" t="s">
        <v>71</v>
      </c>
      <c r="G69" s="55" t="s">
        <v>6897</v>
      </c>
      <c r="H69" s="55" t="s">
        <v>2643</v>
      </c>
      <c r="I69" s="55" t="s">
        <v>74</v>
      </c>
      <c r="J69" s="56" t="s">
        <v>69</v>
      </c>
      <c r="K69" s="56" t="s">
        <v>6872</v>
      </c>
      <c r="L69" s="236">
        <v>45260</v>
      </c>
      <c r="M69" s="55" t="s">
        <v>6898</v>
      </c>
      <c r="N69" s="55" t="s">
        <v>81</v>
      </c>
      <c r="O69" s="56" t="s">
        <v>7148</v>
      </c>
      <c r="P69" s="55"/>
    </row>
    <row r="70" ht="19.95" customHeight="1" s="53" customFormat="1">
      <c r="A70" s="55">
        <v>171236</v>
      </c>
      <c r="B70" s="55" t="s">
        <v>2856</v>
      </c>
      <c r="C70" s="55" t="s">
        <v>4122</v>
      </c>
      <c r="D70" s="55">
        <v>1845309781</v>
      </c>
      <c r="E70" s="55" t="s">
        <v>67</v>
      </c>
      <c r="F70" s="55" t="s">
        <v>71</v>
      </c>
      <c r="G70" s="55" t="s">
        <v>2495</v>
      </c>
      <c r="H70" s="55" t="s">
        <v>3659</v>
      </c>
      <c r="I70" s="55" t="s">
        <v>74</v>
      </c>
      <c r="J70" s="56" t="s">
        <v>69</v>
      </c>
      <c r="K70" s="56" t="s">
        <v>6872</v>
      </c>
      <c r="L70" s="236">
        <v>45265</v>
      </c>
      <c r="M70" s="55" t="s">
        <v>4035</v>
      </c>
      <c r="N70" s="55" t="s">
        <v>81</v>
      </c>
      <c r="O70" s="56" t="s">
        <v>7148</v>
      </c>
      <c r="P70" s="55"/>
    </row>
    <row r="71" ht="19.95" customHeight="1" s="53" customFormat="1">
      <c r="A71" s="55">
        <v>171267</v>
      </c>
      <c r="B71" s="55" t="s">
        <v>2801</v>
      </c>
      <c r="C71" s="55" t="s">
        <v>325</v>
      </c>
      <c r="D71" s="55">
        <v>1771359834</v>
      </c>
      <c r="E71" s="55" t="s">
        <v>67</v>
      </c>
      <c r="F71" s="55" t="s">
        <v>71</v>
      </c>
      <c r="G71" s="55" t="s">
        <v>2495</v>
      </c>
      <c r="H71" s="55" t="s">
        <v>3659</v>
      </c>
      <c r="I71" s="55" t="s">
        <v>74</v>
      </c>
      <c r="J71" s="56" t="s">
        <v>69</v>
      </c>
      <c r="K71" s="56" t="s">
        <v>6872</v>
      </c>
      <c r="L71" s="236">
        <v>45265</v>
      </c>
      <c r="M71" s="55" t="s">
        <v>3978</v>
      </c>
      <c r="N71" s="55" t="s">
        <v>81</v>
      </c>
      <c r="O71" s="56" t="s">
        <v>7148</v>
      </c>
      <c r="P71" s="55"/>
    </row>
    <row r="72" ht="19.95" customHeight="1" s="53" customFormat="1">
      <c r="A72" s="55">
        <v>171001</v>
      </c>
      <c r="B72" s="55" t="s">
        <v>6894</v>
      </c>
      <c r="C72" s="55" t="s">
        <v>3512</v>
      </c>
      <c r="D72" s="55">
        <v>1765941991</v>
      </c>
      <c r="E72" s="55" t="s">
        <v>4150</v>
      </c>
      <c r="F72" s="55" t="s">
        <v>1766</v>
      </c>
      <c r="G72" s="55" t="s">
        <v>155</v>
      </c>
      <c r="H72" s="55" t="s">
        <v>74</v>
      </c>
      <c r="I72" s="55" t="s">
        <v>81</v>
      </c>
      <c r="J72" s="56" t="s">
        <v>69</v>
      </c>
      <c r="K72" s="56" t="s">
        <v>6872</v>
      </c>
      <c r="L72" s="236">
        <v>45266</v>
      </c>
      <c r="M72" s="55" t="s">
        <v>3978</v>
      </c>
      <c r="N72" s="55" t="s">
        <v>81</v>
      </c>
      <c r="O72" s="56" t="s">
        <v>7148</v>
      </c>
      <c r="P72" s="55"/>
    </row>
    <row r="73" ht="19.95" customHeight="1" s="53" customFormat="1">
      <c r="A73" s="55">
        <v>171206</v>
      </c>
      <c r="B73" s="55" t="s">
        <v>7155</v>
      </c>
      <c r="C73" s="55" t="s">
        <v>4177</v>
      </c>
      <c r="D73" s="55">
        <v>1601778246</v>
      </c>
      <c r="E73" s="55" t="s">
        <v>67</v>
      </c>
      <c r="F73" s="55" t="s">
        <v>71</v>
      </c>
      <c r="G73" s="55" t="s">
        <v>155</v>
      </c>
      <c r="H73" s="55" t="s">
        <v>2643</v>
      </c>
      <c r="I73" s="55" t="s">
        <v>74</v>
      </c>
      <c r="J73" s="56" t="s">
        <v>69</v>
      </c>
      <c r="K73" s="56" t="s">
        <v>7137</v>
      </c>
      <c r="L73" s="236">
        <v>45266</v>
      </c>
      <c r="M73" s="55" t="s">
        <v>7152</v>
      </c>
      <c r="N73" s="55" t="s">
        <v>81</v>
      </c>
      <c r="O73" s="56" t="s">
        <v>7148</v>
      </c>
      <c r="P73" s="55"/>
    </row>
    <row r="74" ht="19.95" customHeight="1" s="53" customFormat="1">
      <c r="A74" s="55">
        <v>171066</v>
      </c>
      <c r="B74" s="55" t="s">
        <v>4162</v>
      </c>
      <c r="C74" s="55" t="s">
        <v>6900</v>
      </c>
      <c r="D74" s="55">
        <v>1781466677</v>
      </c>
      <c r="E74" s="55" t="s">
        <v>67</v>
      </c>
      <c r="F74" s="55" t="s">
        <v>71</v>
      </c>
      <c r="G74" s="55" t="s">
        <v>155</v>
      </c>
      <c r="H74" s="55" t="s">
        <v>2643</v>
      </c>
      <c r="I74" s="55" t="s">
        <v>74</v>
      </c>
      <c r="J74" s="56" t="s">
        <v>69</v>
      </c>
      <c r="K74" s="56" t="s">
        <v>6872</v>
      </c>
      <c r="L74" s="236">
        <v>45266</v>
      </c>
      <c r="M74" s="55" t="s">
        <v>6901</v>
      </c>
      <c r="N74" s="55" t="s">
        <v>81</v>
      </c>
      <c r="O74" s="56" t="s">
        <v>7148</v>
      </c>
      <c r="P74" s="55"/>
    </row>
    <row r="75" ht="19.95" customHeight="1" s="53" customFormat="1">
      <c r="A75" s="55">
        <v>171281</v>
      </c>
      <c r="B75" s="55" t="s">
        <v>843</v>
      </c>
      <c r="C75" s="55" t="s">
        <v>4142</v>
      </c>
      <c r="D75" s="55">
        <v>1960432494</v>
      </c>
      <c r="E75" s="55" t="s">
        <v>67</v>
      </c>
      <c r="F75" s="55" t="s">
        <v>71</v>
      </c>
      <c r="G75" s="55" t="s">
        <v>2495</v>
      </c>
      <c r="H75" s="55" t="s">
        <v>3659</v>
      </c>
      <c r="I75" s="55" t="s">
        <v>74</v>
      </c>
      <c r="J75" s="56" t="s">
        <v>69</v>
      </c>
      <c r="K75" s="56" t="s">
        <v>7137</v>
      </c>
      <c r="L75" s="236">
        <v>45265</v>
      </c>
      <c r="M75" s="55" t="s">
        <v>7152</v>
      </c>
      <c r="N75" s="55" t="s">
        <v>81</v>
      </c>
      <c r="O75" s="56" t="s">
        <v>7148</v>
      </c>
      <c r="P75" s="55"/>
    </row>
    <row r="76" ht="19.95" customHeight="1" s="53" customFormat="1">
      <c r="A76" s="55">
        <v>171058</v>
      </c>
      <c r="B76" s="55" t="s">
        <v>574</v>
      </c>
      <c r="C76" s="55" t="s">
        <v>6904</v>
      </c>
      <c r="D76" s="55">
        <v>1730241731</v>
      </c>
      <c r="E76" s="55" t="s">
        <v>67</v>
      </c>
      <c r="F76" s="55" t="s">
        <v>71</v>
      </c>
      <c r="G76" s="55" t="s">
        <v>2495</v>
      </c>
      <c r="H76" s="55" t="s">
        <v>3659</v>
      </c>
      <c r="I76" s="55" t="s">
        <v>74</v>
      </c>
      <c r="J76" s="56" t="s">
        <v>69</v>
      </c>
      <c r="K76" s="56" t="s">
        <v>6872</v>
      </c>
      <c r="L76" s="236">
        <v>45267</v>
      </c>
      <c r="M76" s="55" t="s">
        <v>3978</v>
      </c>
      <c r="N76" s="55" t="s">
        <v>81</v>
      </c>
      <c r="O76" s="56" t="s">
        <v>7148</v>
      </c>
      <c r="P76" s="55"/>
    </row>
    <row r="77" ht="19.95" customHeight="1" s="53" customFormat="1">
      <c r="A77" s="55">
        <v>171158</v>
      </c>
      <c r="B77" s="55" t="s">
        <v>538</v>
      </c>
      <c r="C77" s="55" t="s">
        <v>4196</v>
      </c>
      <c r="D77" s="55">
        <v>1629388424</v>
      </c>
      <c r="E77" s="55" t="s">
        <v>67</v>
      </c>
      <c r="F77" s="55" t="s">
        <v>71</v>
      </c>
      <c r="G77" s="55" t="s">
        <v>2495</v>
      </c>
      <c r="H77" s="55" t="s">
        <v>115</v>
      </c>
      <c r="I77" s="55" t="s">
        <v>74</v>
      </c>
      <c r="J77" s="56" t="s">
        <v>69</v>
      </c>
      <c r="K77" s="56" t="s">
        <v>6872</v>
      </c>
      <c r="L77" s="236">
        <v>45276</v>
      </c>
      <c r="M77" s="55" t="s">
        <v>4203</v>
      </c>
      <c r="N77" s="55" t="s">
        <v>81</v>
      </c>
      <c r="O77" s="56" t="s">
        <v>7148</v>
      </c>
      <c r="P77" s="55"/>
    </row>
    <row r="78" ht="19.95" customHeight="1" s="53" customFormat="1">
      <c r="A78" s="55">
        <v>171276</v>
      </c>
      <c r="B78" s="55" t="s">
        <v>4204</v>
      </c>
      <c r="C78" s="55" t="s">
        <v>4205</v>
      </c>
      <c r="D78" s="55">
        <v>1754863249</v>
      </c>
      <c r="E78" s="55" t="s">
        <v>67</v>
      </c>
      <c r="F78" s="55" t="s">
        <v>71</v>
      </c>
      <c r="G78" s="55" t="s">
        <v>2495</v>
      </c>
      <c r="H78" s="55" t="s">
        <v>115</v>
      </c>
      <c r="I78" s="55" t="s">
        <v>74</v>
      </c>
      <c r="J78" s="56" t="s">
        <v>69</v>
      </c>
      <c r="K78" s="56" t="s">
        <v>6872</v>
      </c>
      <c r="L78" s="236">
        <v>45277</v>
      </c>
      <c r="M78" s="55" t="s">
        <v>4002</v>
      </c>
      <c r="N78" s="55" t="s">
        <v>81</v>
      </c>
      <c r="O78" s="56" t="s">
        <v>7148</v>
      </c>
      <c r="P78" s="55"/>
    </row>
    <row r="79" ht="19.95" customHeight="1" s="53" customFormat="1">
      <c r="A79" s="55">
        <v>171254</v>
      </c>
      <c r="B79" s="55" t="s">
        <v>4213</v>
      </c>
      <c r="C79" s="55" t="s">
        <v>4214</v>
      </c>
      <c r="D79" s="55">
        <v>1832384929</v>
      </c>
      <c r="E79" s="55" t="s">
        <v>67</v>
      </c>
      <c r="F79" s="55" t="s">
        <v>71</v>
      </c>
      <c r="G79" s="55" t="s">
        <v>2495</v>
      </c>
      <c r="H79" s="55" t="s">
        <v>3659</v>
      </c>
      <c r="I79" s="55" t="s">
        <v>74</v>
      </c>
      <c r="J79" s="56" t="s">
        <v>69</v>
      </c>
      <c r="K79" s="56" t="s">
        <v>6872</v>
      </c>
      <c r="L79" s="236">
        <v>45279</v>
      </c>
      <c r="M79" s="55" t="s">
        <v>3796</v>
      </c>
      <c r="N79" s="55" t="s">
        <v>81</v>
      </c>
      <c r="O79" s="56" t="s">
        <v>7148</v>
      </c>
      <c r="P79" s="55"/>
    </row>
    <row r="80" ht="19.95" customHeight="1" s="53" customFormat="1">
      <c r="A80" s="55">
        <v>171133</v>
      </c>
      <c r="B80" s="55" t="s">
        <v>128</v>
      </c>
      <c r="C80" s="55" t="s">
        <v>4222</v>
      </c>
      <c r="D80" s="55">
        <v>1770160585</v>
      </c>
      <c r="E80" s="55" t="s">
        <v>67</v>
      </c>
      <c r="F80" s="55" t="s">
        <v>71</v>
      </c>
      <c r="G80" s="55" t="s">
        <v>6841</v>
      </c>
      <c r="H80" s="55" t="s">
        <v>2643</v>
      </c>
      <c r="I80" s="55" t="s">
        <v>74</v>
      </c>
      <c r="J80" s="56" t="s">
        <v>69</v>
      </c>
      <c r="K80" s="56" t="s">
        <v>6872</v>
      </c>
      <c r="L80" s="236">
        <v>45280</v>
      </c>
      <c r="M80" s="55" t="s">
        <v>3796</v>
      </c>
      <c r="N80" s="55" t="s">
        <v>81</v>
      </c>
      <c r="O80" s="56" t="s">
        <v>7148</v>
      </c>
      <c r="P80" s="55"/>
    </row>
    <row r="81" ht="19.95" customHeight="1" s="53" customFormat="1">
      <c r="A81" s="55">
        <v>171042</v>
      </c>
      <c r="B81" s="55" t="s">
        <v>4232</v>
      </c>
      <c r="C81" s="55" t="s">
        <v>4233</v>
      </c>
      <c r="D81" s="55">
        <v>1786025614</v>
      </c>
      <c r="E81" s="55" t="s">
        <v>67</v>
      </c>
      <c r="F81" s="55" t="s">
        <v>71</v>
      </c>
      <c r="G81" s="55" t="s">
        <v>237</v>
      </c>
      <c r="H81" s="55" t="s">
        <v>2643</v>
      </c>
      <c r="I81" s="55" t="s">
        <v>74</v>
      </c>
      <c r="J81" s="56" t="s">
        <v>69</v>
      </c>
      <c r="K81" s="56" t="s">
        <v>6872</v>
      </c>
      <c r="L81" s="236">
        <v>45283</v>
      </c>
      <c r="M81" s="55" t="s">
        <v>4035</v>
      </c>
      <c r="N81" s="55" t="s">
        <v>81</v>
      </c>
      <c r="O81" s="56" t="s">
        <v>7148</v>
      </c>
      <c r="P81" s="55"/>
    </row>
    <row r="82" ht="19.95" customHeight="1" s="53" customFormat="1">
      <c r="A82" s="55">
        <v>171096</v>
      </c>
      <c r="B82" s="55" t="s">
        <v>6912</v>
      </c>
      <c r="C82" s="55" t="s">
        <v>4242</v>
      </c>
      <c r="D82" s="55">
        <v>1989848756</v>
      </c>
      <c r="E82" s="55" t="s">
        <v>67</v>
      </c>
      <c r="F82" s="55" t="s">
        <v>71</v>
      </c>
      <c r="G82" s="55" t="s">
        <v>155</v>
      </c>
      <c r="H82" s="55" t="s">
        <v>2643</v>
      </c>
      <c r="I82" s="55" t="s">
        <v>74</v>
      </c>
      <c r="J82" s="56" t="s">
        <v>69</v>
      </c>
      <c r="K82" s="56" t="s">
        <v>6872</v>
      </c>
      <c r="L82" s="236">
        <v>45283</v>
      </c>
      <c r="M82" s="55" t="s">
        <v>3796</v>
      </c>
      <c r="N82" s="55" t="s">
        <v>81</v>
      </c>
      <c r="O82" s="56" t="s">
        <v>7148</v>
      </c>
      <c r="P82" s="55"/>
    </row>
    <row r="83" ht="19.95" customHeight="1" s="53" customFormat="1">
      <c r="A83" s="55">
        <v>171203</v>
      </c>
      <c r="B83" s="55" t="s">
        <v>6910</v>
      </c>
      <c r="C83" s="55" t="s">
        <v>6911</v>
      </c>
      <c r="D83" s="55">
        <v>1796338138</v>
      </c>
      <c r="E83" s="55" t="s">
        <v>67</v>
      </c>
      <c r="F83" s="55" t="s">
        <v>71</v>
      </c>
      <c r="G83" s="55" t="s">
        <v>155</v>
      </c>
      <c r="H83" s="55" t="s">
        <v>2643</v>
      </c>
      <c r="I83" s="55" t="s">
        <v>74</v>
      </c>
      <c r="J83" s="56" t="s">
        <v>69</v>
      </c>
      <c r="K83" s="56" t="s">
        <v>6872</v>
      </c>
      <c r="L83" s="236">
        <v>45284</v>
      </c>
      <c r="M83" s="55" t="s">
        <v>3796</v>
      </c>
      <c r="N83" s="55" t="s">
        <v>81</v>
      </c>
      <c r="O83" s="56" t="s">
        <v>7148</v>
      </c>
      <c r="P83" s="55"/>
    </row>
    <row r="84" ht="19.95" customHeight="1" s="53" customFormat="1">
      <c r="A84" s="55">
        <v>171030</v>
      </c>
      <c r="B84" s="55" t="s">
        <v>6905</v>
      </c>
      <c r="C84" s="55" t="s">
        <v>6906</v>
      </c>
      <c r="D84" s="55">
        <v>1956090283</v>
      </c>
      <c r="E84" s="55" t="s">
        <v>67</v>
      </c>
      <c r="F84" s="55" t="s">
        <v>71</v>
      </c>
      <c r="G84" s="55" t="s">
        <v>155</v>
      </c>
      <c r="H84" s="55" t="s">
        <v>73</v>
      </c>
      <c r="I84" s="55" t="s">
        <v>74</v>
      </c>
      <c r="J84" s="56" t="s">
        <v>69</v>
      </c>
      <c r="K84" s="56" t="s">
        <v>6872</v>
      </c>
      <c r="L84" s="236">
        <v>45286</v>
      </c>
      <c r="M84" s="55" t="s">
        <v>4035</v>
      </c>
      <c r="N84" s="55" t="s">
        <v>81</v>
      </c>
      <c r="O84" s="56" t="s">
        <v>7148</v>
      </c>
      <c r="P84" s="55"/>
    </row>
    <row r="85" ht="19.95" customHeight="1" s="53" customFormat="1">
      <c r="A85" s="55">
        <v>171194</v>
      </c>
      <c r="B85" s="55" t="s">
        <v>4012</v>
      </c>
      <c r="C85" s="55" t="s">
        <v>4261</v>
      </c>
      <c r="D85" s="55">
        <v>1611333254</v>
      </c>
      <c r="E85" s="55" t="s">
        <v>67</v>
      </c>
      <c r="F85" s="55" t="s">
        <v>71</v>
      </c>
      <c r="G85" s="55" t="s">
        <v>2495</v>
      </c>
      <c r="H85" s="55" t="s">
        <v>115</v>
      </c>
      <c r="I85" s="55" t="s">
        <v>74</v>
      </c>
      <c r="J85" s="56" t="s">
        <v>69</v>
      </c>
      <c r="K85" s="56" t="s">
        <v>6872</v>
      </c>
      <c r="L85" s="236">
        <v>45287</v>
      </c>
      <c r="M85" s="55" t="s">
        <v>4035</v>
      </c>
      <c r="N85" s="55" t="s">
        <v>81</v>
      </c>
      <c r="O85" s="56" t="s">
        <v>7148</v>
      </c>
      <c r="P85" s="55"/>
    </row>
    <row r="86" ht="19.95" customHeight="1" s="53" customFormat="1">
      <c r="A86" s="55">
        <v>171225</v>
      </c>
      <c r="B86" s="55" t="s">
        <v>592</v>
      </c>
      <c r="C86" s="55" t="s">
        <v>6909</v>
      </c>
      <c r="D86" s="55">
        <v>1708610501</v>
      </c>
      <c r="E86" s="55" t="s">
        <v>67</v>
      </c>
      <c r="F86" s="55" t="s">
        <v>71</v>
      </c>
      <c r="G86" s="55" t="s">
        <v>2495</v>
      </c>
      <c r="H86" s="55" t="s">
        <v>115</v>
      </c>
      <c r="I86" s="55" t="s">
        <v>74</v>
      </c>
      <c r="J86" s="56" t="s">
        <v>69</v>
      </c>
      <c r="K86" s="56" t="s">
        <v>6872</v>
      </c>
      <c r="L86" s="236">
        <v>45288</v>
      </c>
      <c r="M86" s="55" t="s">
        <v>4035</v>
      </c>
      <c r="N86" s="55" t="s">
        <v>81</v>
      </c>
      <c r="O86" s="56" t="s">
        <v>7148</v>
      </c>
      <c r="P86" s="55"/>
    </row>
    <row r="87" ht="19.95" customHeight="1" s="53" customFormat="1">
      <c r="A87" s="55">
        <v>171128</v>
      </c>
      <c r="B87" s="55" t="s">
        <v>3940</v>
      </c>
      <c r="C87" s="55" t="s">
        <v>4279</v>
      </c>
      <c r="D87" s="55">
        <v>1749668578</v>
      </c>
      <c r="E87" s="55" t="s">
        <v>67</v>
      </c>
      <c r="F87" s="55" t="s">
        <v>71</v>
      </c>
      <c r="G87" s="55" t="s">
        <v>4005</v>
      </c>
      <c r="H87" s="55" t="s">
        <v>2643</v>
      </c>
      <c r="I87" s="55" t="s">
        <v>74</v>
      </c>
      <c r="J87" s="56" t="s">
        <v>69</v>
      </c>
      <c r="K87" s="56" t="s">
        <v>6872</v>
      </c>
      <c r="L87" s="236">
        <v>45288</v>
      </c>
      <c r="M87" s="55" t="s">
        <v>3796</v>
      </c>
      <c r="N87" s="55" t="s">
        <v>81</v>
      </c>
      <c r="O87" s="56" t="s">
        <v>7148</v>
      </c>
      <c r="P87" s="55"/>
    </row>
    <row r="88" ht="19.95" customHeight="1" s="53" customFormat="1">
      <c r="A88" s="55">
        <v>171179</v>
      </c>
      <c r="B88" s="55" t="s">
        <v>601</v>
      </c>
      <c r="C88" s="55" t="s">
        <v>4287</v>
      </c>
      <c r="D88" s="55">
        <v>1783298179</v>
      </c>
      <c r="E88" s="55" t="s">
        <v>67</v>
      </c>
      <c r="F88" s="55" t="s">
        <v>71</v>
      </c>
      <c r="G88" s="55" t="s">
        <v>2495</v>
      </c>
      <c r="H88" s="55" t="s">
        <v>3659</v>
      </c>
      <c r="I88" s="55" t="s">
        <v>74</v>
      </c>
      <c r="J88" s="56" t="s">
        <v>69</v>
      </c>
      <c r="K88" s="56" t="s">
        <v>6872</v>
      </c>
      <c r="L88" s="236">
        <v>45289</v>
      </c>
      <c r="M88" s="55" t="s">
        <v>3796</v>
      </c>
      <c r="N88" s="55" t="s">
        <v>81</v>
      </c>
      <c r="O88" s="56" t="s">
        <v>7148</v>
      </c>
      <c r="P88" s="55"/>
    </row>
    <row r="89" ht="19.95" customHeight="1" s="53" customFormat="1">
      <c r="A89" s="55">
        <v>171164</v>
      </c>
      <c r="B89" s="55" t="s">
        <v>4293</v>
      </c>
      <c r="C89" s="55" t="s">
        <v>4294</v>
      </c>
      <c r="D89" s="55">
        <v>1750425616</v>
      </c>
      <c r="E89" s="55" t="s">
        <v>67</v>
      </c>
      <c r="F89" s="55" t="s">
        <v>71</v>
      </c>
      <c r="G89" s="55" t="s">
        <v>2495</v>
      </c>
      <c r="H89" s="55" t="s">
        <v>115</v>
      </c>
      <c r="I89" s="55" t="s">
        <v>74</v>
      </c>
      <c r="J89" s="56" t="s">
        <v>69</v>
      </c>
      <c r="K89" s="56" t="s">
        <v>6872</v>
      </c>
      <c r="L89" s="236">
        <v>45290</v>
      </c>
      <c r="M89" s="55" t="s">
        <v>4035</v>
      </c>
      <c r="N89" s="55" t="s">
        <v>81</v>
      </c>
      <c r="O89" s="56" t="s">
        <v>7148</v>
      </c>
      <c r="P89" s="55"/>
    </row>
    <row r="90" ht="19.95" customHeight="1" s="53" customFormat="1">
      <c r="A90" s="55">
        <v>171241</v>
      </c>
      <c r="B90" s="55" t="s">
        <v>565</v>
      </c>
      <c r="C90" s="55" t="s">
        <v>4304</v>
      </c>
      <c r="D90" s="55">
        <v>1791468763</v>
      </c>
      <c r="E90" s="55" t="s">
        <v>67</v>
      </c>
      <c r="F90" s="55" t="s">
        <v>71</v>
      </c>
      <c r="G90" s="55" t="s">
        <v>2495</v>
      </c>
      <c r="H90" s="55" t="s">
        <v>115</v>
      </c>
      <c r="I90" s="55" t="s">
        <v>74</v>
      </c>
      <c r="J90" s="56" t="s">
        <v>69</v>
      </c>
      <c r="K90" s="56" t="s">
        <v>6872</v>
      </c>
      <c r="L90" s="236">
        <v>45290</v>
      </c>
      <c r="M90" s="55" t="s">
        <v>6907</v>
      </c>
      <c r="N90" s="55" t="s">
        <v>81</v>
      </c>
      <c r="O90" s="56" t="s">
        <v>7148</v>
      </c>
      <c r="P90" s="55"/>
    </row>
    <row r="91" ht="19.95" customHeight="1" s="53" customFormat="1">
      <c r="A91" s="55">
        <v>171242</v>
      </c>
      <c r="B91" s="55" t="s">
        <v>546</v>
      </c>
      <c r="C91" s="55" t="s">
        <v>6908</v>
      </c>
      <c r="D91" s="55">
        <v>1775524570</v>
      </c>
      <c r="E91" s="55" t="s">
        <v>67</v>
      </c>
      <c r="F91" s="55" t="s">
        <v>71</v>
      </c>
      <c r="G91" s="55" t="s">
        <v>2495</v>
      </c>
      <c r="H91" s="55" t="s">
        <v>115</v>
      </c>
      <c r="I91" s="55" t="s">
        <v>74</v>
      </c>
      <c r="J91" s="56" t="s">
        <v>69</v>
      </c>
      <c r="K91" s="56" t="s">
        <v>6872</v>
      </c>
      <c r="L91" s="236">
        <v>45290</v>
      </c>
      <c r="M91" s="55" t="s">
        <v>6907</v>
      </c>
      <c r="N91" s="55" t="s">
        <v>81</v>
      </c>
      <c r="O91" s="56" t="s">
        <v>7148</v>
      </c>
      <c r="P91" s="55"/>
    </row>
    <row r="92" ht="19.95" customHeight="1" s="53" customFormat="1">
      <c r="A92" s="55">
        <v>171100</v>
      </c>
      <c r="B92" s="55" t="s">
        <v>4364</v>
      </c>
      <c r="C92" s="55" t="s">
        <v>4312</v>
      </c>
      <c r="D92" s="55">
        <v>1771993993</v>
      </c>
      <c r="E92" s="55" t="s">
        <v>67</v>
      </c>
      <c r="F92" s="55" t="s">
        <v>71</v>
      </c>
      <c r="G92" s="55" t="s">
        <v>6841</v>
      </c>
      <c r="H92" s="55" t="s">
        <v>2643</v>
      </c>
      <c r="I92" s="55" t="s">
        <v>74</v>
      </c>
      <c r="J92" s="56" t="s">
        <v>69</v>
      </c>
      <c r="K92" s="56" t="s">
        <v>6872</v>
      </c>
      <c r="L92" s="236">
        <v>45291</v>
      </c>
      <c r="M92" s="55" t="s">
        <v>4321</v>
      </c>
      <c r="N92" s="55" t="s">
        <v>81</v>
      </c>
      <c r="O92" s="56" t="s">
        <v>7148</v>
      </c>
      <c r="P92" s="55"/>
    </row>
    <row r="93" ht="19.95" customHeight="1" s="53" customFormat="1">
      <c r="A93" s="55">
        <v>171169</v>
      </c>
      <c r="B93" s="55" t="s">
        <v>611</v>
      </c>
      <c r="C93" s="55" t="s">
        <v>4322</v>
      </c>
      <c r="D93" s="55">
        <v>1757193697</v>
      </c>
      <c r="E93" s="55" t="s">
        <v>67</v>
      </c>
      <c r="F93" s="55" t="s">
        <v>71</v>
      </c>
      <c r="G93" s="55" t="s">
        <v>2495</v>
      </c>
      <c r="H93" s="55" t="s">
        <v>115</v>
      </c>
      <c r="I93" s="55" t="s">
        <v>74</v>
      </c>
      <c r="J93" s="56" t="s">
        <v>69</v>
      </c>
      <c r="K93" s="56" t="s">
        <v>6872</v>
      </c>
      <c r="L93" s="236">
        <v>45292</v>
      </c>
      <c r="M93" s="55" t="s">
        <v>4035</v>
      </c>
      <c r="N93" s="55" t="s">
        <v>81</v>
      </c>
      <c r="O93" s="56" t="s">
        <v>7148</v>
      </c>
      <c r="P93" s="55"/>
    </row>
    <row r="94" ht="19.95" customHeight="1" s="53" customFormat="1">
      <c r="A94" s="55">
        <v>171245</v>
      </c>
      <c r="B94" s="55" t="s">
        <v>4332</v>
      </c>
      <c r="C94" s="55" t="s">
        <v>4322</v>
      </c>
      <c r="D94" s="55">
        <v>1628588200</v>
      </c>
      <c r="E94" s="55" t="s">
        <v>67</v>
      </c>
      <c r="F94" s="55" t="s">
        <v>71</v>
      </c>
      <c r="G94" s="55" t="s">
        <v>2495</v>
      </c>
      <c r="H94" s="55" t="s">
        <v>115</v>
      </c>
      <c r="I94" s="55" t="s">
        <v>74</v>
      </c>
      <c r="J94" s="56" t="s">
        <v>69</v>
      </c>
      <c r="K94" s="56" t="s">
        <v>6872</v>
      </c>
      <c r="L94" s="236">
        <v>45297</v>
      </c>
      <c r="M94" s="55" t="s">
        <v>4339</v>
      </c>
      <c r="N94" s="55" t="s">
        <v>81</v>
      </c>
      <c r="O94" s="56" t="s">
        <v>7148</v>
      </c>
      <c r="P94" s="55"/>
    </row>
    <row r="95" ht="19.95" customHeight="1" s="53" customFormat="1">
      <c r="A95" s="55">
        <v>171093</v>
      </c>
      <c r="B95" s="55" t="s">
        <v>3670</v>
      </c>
      <c r="C95" s="55" t="s">
        <v>4340</v>
      </c>
      <c r="D95" s="55">
        <v>1628023466</v>
      </c>
      <c r="E95" s="55" t="s">
        <v>67</v>
      </c>
      <c r="F95" s="55" t="s">
        <v>71</v>
      </c>
      <c r="G95" s="55" t="s">
        <v>237</v>
      </c>
      <c r="H95" s="55" t="s">
        <v>2643</v>
      </c>
      <c r="I95" s="55" t="s">
        <v>74</v>
      </c>
      <c r="J95" s="56" t="s">
        <v>69</v>
      </c>
      <c r="K95" s="56" t="s">
        <v>6872</v>
      </c>
      <c r="L95" s="236">
        <v>45300</v>
      </c>
      <c r="M95" s="55" t="s">
        <v>4035</v>
      </c>
      <c r="N95" s="55" t="s">
        <v>81</v>
      </c>
      <c r="O95" s="56" t="s">
        <v>7148</v>
      </c>
      <c r="P95" s="55"/>
    </row>
    <row r="96" ht="19.95" customHeight="1" s="53" customFormat="1">
      <c r="A96" s="55">
        <v>171239</v>
      </c>
      <c r="B96" s="55" t="s">
        <v>6915</v>
      </c>
      <c r="C96" s="55" t="s">
        <v>4355</v>
      </c>
      <c r="D96" s="55">
        <v>1708915804</v>
      </c>
      <c r="E96" s="55" t="s">
        <v>67</v>
      </c>
      <c r="F96" s="55" t="s">
        <v>71</v>
      </c>
      <c r="G96" s="55" t="s">
        <v>319</v>
      </c>
      <c r="H96" s="55" t="s">
        <v>6916</v>
      </c>
      <c r="I96" s="55" t="s">
        <v>74</v>
      </c>
      <c r="J96" s="56" t="s">
        <v>69</v>
      </c>
      <c r="K96" s="56" t="s">
        <v>6872</v>
      </c>
      <c r="L96" s="236">
        <v>45307</v>
      </c>
      <c r="M96" s="55" t="s">
        <v>4035</v>
      </c>
      <c r="N96" s="55" t="s">
        <v>81</v>
      </c>
      <c r="O96" s="56" t="s">
        <v>7148</v>
      </c>
      <c r="P96" s="55"/>
    </row>
    <row r="97" ht="19.95" customHeight="1" s="53" customFormat="1">
      <c r="A97" s="55">
        <v>171214</v>
      </c>
      <c r="B97" s="55" t="s">
        <v>6917</v>
      </c>
      <c r="C97" s="55" t="s">
        <v>4347</v>
      </c>
      <c r="D97" s="55">
        <v>1988201823</v>
      </c>
      <c r="E97" s="55" t="s">
        <v>67</v>
      </c>
      <c r="F97" s="55" t="s">
        <v>71</v>
      </c>
      <c r="G97" s="55" t="s">
        <v>319</v>
      </c>
      <c r="H97" s="55" t="s">
        <v>6918</v>
      </c>
      <c r="I97" s="55" t="s">
        <v>74</v>
      </c>
      <c r="J97" s="56" t="s">
        <v>69</v>
      </c>
      <c r="K97" s="56" t="s">
        <v>6872</v>
      </c>
      <c r="L97" s="236">
        <v>45307</v>
      </c>
      <c r="M97" s="55" t="s">
        <v>4035</v>
      </c>
      <c r="N97" s="55" t="s">
        <v>81</v>
      </c>
      <c r="O97" s="56" t="s">
        <v>7148</v>
      </c>
      <c r="P97" s="55"/>
    </row>
    <row r="98" ht="19.95" customHeight="1" s="53" customFormat="1">
      <c r="A98" s="55">
        <v>171249</v>
      </c>
      <c r="B98" s="55" t="s">
        <v>1782</v>
      </c>
      <c r="C98" s="55" t="s">
        <v>4373</v>
      </c>
      <c r="D98" s="55">
        <v>1646677374</v>
      </c>
      <c r="E98" s="55" t="s">
        <v>67</v>
      </c>
      <c r="F98" s="55" t="s">
        <v>71</v>
      </c>
      <c r="G98" s="55" t="s">
        <v>5709</v>
      </c>
      <c r="H98" s="55" t="s">
        <v>6861</v>
      </c>
      <c r="I98" s="55" t="s">
        <v>74</v>
      </c>
      <c r="J98" s="56" t="s">
        <v>69</v>
      </c>
      <c r="K98" s="56" t="s">
        <v>6872</v>
      </c>
      <c r="L98" s="236">
        <v>45309</v>
      </c>
      <c r="M98" s="55" t="s">
        <v>4556</v>
      </c>
      <c r="N98" s="55" t="s">
        <v>81</v>
      </c>
      <c r="O98" s="56" t="s">
        <v>7148</v>
      </c>
      <c r="P98" s="55"/>
    </row>
    <row r="99" ht="19.95" customHeight="1" s="53" customFormat="1">
      <c r="A99" s="55">
        <v>171063</v>
      </c>
      <c r="B99" s="55" t="s">
        <v>4311</v>
      </c>
      <c r="C99" s="55" t="s">
        <v>4365</v>
      </c>
      <c r="D99" s="55">
        <v>1701513887</v>
      </c>
      <c r="E99" s="55" t="s">
        <v>67</v>
      </c>
      <c r="F99" s="55" t="s">
        <v>71</v>
      </c>
      <c r="G99" s="55" t="s">
        <v>5709</v>
      </c>
      <c r="H99" s="55" t="s">
        <v>115</v>
      </c>
      <c r="I99" s="55" t="s">
        <v>74</v>
      </c>
      <c r="J99" s="56" t="s">
        <v>69</v>
      </c>
      <c r="K99" s="56" t="s">
        <v>6872</v>
      </c>
      <c r="L99" s="236">
        <v>45311</v>
      </c>
      <c r="M99" s="55" t="s">
        <v>4035</v>
      </c>
      <c r="N99" s="55" t="s">
        <v>81</v>
      </c>
      <c r="O99" s="56" t="s">
        <v>7148</v>
      </c>
      <c r="P99" s="55"/>
    </row>
    <row r="100" ht="19.95" customHeight="1" s="53" customFormat="1">
      <c r="A100" s="55">
        <v>171091</v>
      </c>
      <c r="B100" s="55" t="s">
        <v>6919</v>
      </c>
      <c r="C100" s="55" t="s">
        <v>6920</v>
      </c>
      <c r="D100" s="55">
        <v>1880382553</v>
      </c>
      <c r="E100" s="55" t="s">
        <v>67</v>
      </c>
      <c r="F100" s="55" t="s">
        <v>71</v>
      </c>
      <c r="G100" s="55" t="s">
        <v>97</v>
      </c>
      <c r="H100" s="55" t="s">
        <v>2643</v>
      </c>
      <c r="I100" s="55" t="s">
        <v>74</v>
      </c>
      <c r="J100" s="56" t="s">
        <v>69</v>
      </c>
      <c r="K100" s="56" t="s">
        <v>6872</v>
      </c>
      <c r="L100" s="236">
        <v>45314</v>
      </c>
      <c r="M100" s="55" t="s">
        <v>6921</v>
      </c>
      <c r="N100" s="55" t="s">
        <v>81</v>
      </c>
      <c r="O100" s="56" t="s">
        <v>7148</v>
      </c>
      <c r="P100" s="55"/>
    </row>
    <row r="101" ht="19.95" customHeight="1" s="53" customFormat="1">
      <c r="A101" s="55">
        <v>171130</v>
      </c>
      <c r="B101" s="55" t="s">
        <v>5240</v>
      </c>
      <c r="C101" s="55" t="s">
        <v>4391</v>
      </c>
      <c r="D101" s="55">
        <v>1682932215</v>
      </c>
      <c r="E101" s="55" t="s">
        <v>67</v>
      </c>
      <c r="F101" s="55" t="s">
        <v>71</v>
      </c>
      <c r="G101" s="55" t="s">
        <v>5709</v>
      </c>
      <c r="H101" s="55" t="s">
        <v>6861</v>
      </c>
      <c r="I101" s="55" t="s">
        <v>74</v>
      </c>
      <c r="J101" s="56" t="s">
        <v>69</v>
      </c>
      <c r="K101" s="56" t="s">
        <v>6872</v>
      </c>
      <c r="L101" s="236">
        <v>45314</v>
      </c>
      <c r="M101" s="55" t="s">
        <v>4035</v>
      </c>
      <c r="N101" s="55" t="s">
        <v>81</v>
      </c>
      <c r="O101" s="56" t="s">
        <v>7148</v>
      </c>
      <c r="P101" s="55"/>
    </row>
    <row r="102" ht="19.95" customHeight="1" s="53" customFormat="1">
      <c r="A102" s="55">
        <v>171178</v>
      </c>
      <c r="B102" s="55" t="s">
        <v>649</v>
      </c>
      <c r="C102" s="55" t="s">
        <v>4399</v>
      </c>
      <c r="D102" s="55">
        <v>1740260965</v>
      </c>
      <c r="E102" s="55" t="s">
        <v>67</v>
      </c>
      <c r="F102" s="55" t="s">
        <v>71</v>
      </c>
      <c r="G102" s="55" t="s">
        <v>2495</v>
      </c>
      <c r="H102" s="55" t="s">
        <v>115</v>
      </c>
      <c r="I102" s="55" t="s">
        <v>74</v>
      </c>
      <c r="J102" s="56" t="s">
        <v>69</v>
      </c>
      <c r="K102" s="56" t="s">
        <v>6872</v>
      </c>
      <c r="L102" s="236">
        <v>45315</v>
      </c>
      <c r="M102" s="55" t="s">
        <v>4035</v>
      </c>
      <c r="N102" s="55" t="s">
        <v>81</v>
      </c>
      <c r="O102" s="56" t="s">
        <v>7148</v>
      </c>
      <c r="P102" s="55"/>
    </row>
    <row r="103" ht="19.95" customHeight="1" s="53" customFormat="1">
      <c r="A103" s="55">
        <v>171019</v>
      </c>
      <c r="B103" s="55" t="s">
        <v>248</v>
      </c>
      <c r="C103" s="55" t="s">
        <v>4409</v>
      </c>
      <c r="D103" s="55">
        <v>1794839371</v>
      </c>
      <c r="E103" s="55" t="s">
        <v>67</v>
      </c>
      <c r="F103" s="55" t="s">
        <v>71</v>
      </c>
      <c r="G103" s="55" t="s">
        <v>2495</v>
      </c>
      <c r="H103" s="55" t="s">
        <v>115</v>
      </c>
      <c r="I103" s="55" t="s">
        <v>74</v>
      </c>
      <c r="J103" s="56" t="s">
        <v>69</v>
      </c>
      <c r="K103" s="56" t="s">
        <v>6872</v>
      </c>
      <c r="L103" s="236">
        <v>45316</v>
      </c>
      <c r="M103" s="55" t="s">
        <v>4035</v>
      </c>
      <c r="N103" s="55" t="s">
        <v>81</v>
      </c>
      <c r="O103" s="56" t="s">
        <v>7148</v>
      </c>
      <c r="P103" s="55"/>
    </row>
    <row r="104" ht="19.95" customHeight="1" s="53" customFormat="1">
      <c r="A104" s="55">
        <v>171257</v>
      </c>
      <c r="B104" s="55" t="s">
        <v>4425</v>
      </c>
      <c r="C104" s="55" t="s">
        <v>4426</v>
      </c>
      <c r="D104" s="55">
        <v>1755446564</v>
      </c>
      <c r="E104" s="55" t="s">
        <v>67</v>
      </c>
      <c r="F104" s="55" t="s">
        <v>71</v>
      </c>
      <c r="G104" s="55" t="s">
        <v>155</v>
      </c>
      <c r="H104" s="55" t="s">
        <v>196</v>
      </c>
      <c r="I104" s="55" t="s">
        <v>74</v>
      </c>
      <c r="J104" s="56" t="s">
        <v>69</v>
      </c>
      <c r="K104" s="56" t="s">
        <v>6872</v>
      </c>
      <c r="L104" s="236">
        <v>45319</v>
      </c>
      <c r="M104" s="55" t="s">
        <v>4035</v>
      </c>
      <c r="N104" s="55" t="s">
        <v>81</v>
      </c>
      <c r="O104" s="56" t="s">
        <v>7148</v>
      </c>
      <c r="P104" s="55"/>
    </row>
    <row r="105" ht="19.95" customHeight="1" s="53" customFormat="1">
      <c r="A105" s="55">
        <v>171131</v>
      </c>
      <c r="B105" s="55" t="s">
        <v>7156</v>
      </c>
      <c r="C105" s="55" t="s">
        <v>4434</v>
      </c>
      <c r="D105" s="55">
        <v>1717188406</v>
      </c>
      <c r="E105" s="55" t="s">
        <v>67</v>
      </c>
      <c r="F105" s="55" t="s">
        <v>71</v>
      </c>
      <c r="G105" s="55" t="s">
        <v>155</v>
      </c>
      <c r="H105" s="55" t="s">
        <v>196</v>
      </c>
      <c r="I105" s="55" t="s">
        <v>74</v>
      </c>
      <c r="J105" s="56" t="s">
        <v>69</v>
      </c>
      <c r="K105" s="56" t="s">
        <v>6872</v>
      </c>
      <c r="L105" s="236">
        <v>45320</v>
      </c>
      <c r="M105" s="55" t="s">
        <v>4035</v>
      </c>
      <c r="N105" s="55" t="s">
        <v>81</v>
      </c>
      <c r="O105" s="56" t="s">
        <v>7148</v>
      </c>
      <c r="P105" s="55"/>
    </row>
    <row r="106" ht="19.95" customHeight="1" s="53" customFormat="1">
      <c r="A106" s="55">
        <v>171023</v>
      </c>
      <c r="B106" s="55" t="s">
        <v>823</v>
      </c>
      <c r="C106" s="55" t="s">
        <v>4442</v>
      </c>
      <c r="D106" s="55">
        <v>1817433286</v>
      </c>
      <c r="E106" s="55" t="s">
        <v>67</v>
      </c>
      <c r="F106" s="55" t="s">
        <v>71</v>
      </c>
      <c r="G106" s="55" t="s">
        <v>2495</v>
      </c>
      <c r="H106" s="55" t="s">
        <v>3659</v>
      </c>
      <c r="I106" s="55" t="s">
        <v>74</v>
      </c>
      <c r="J106" s="56" t="s">
        <v>69</v>
      </c>
      <c r="K106" s="56" t="s">
        <v>6872</v>
      </c>
      <c r="L106" s="236">
        <v>45320</v>
      </c>
      <c r="M106" s="55" t="s">
        <v>5012</v>
      </c>
      <c r="N106" s="55" t="s">
        <v>81</v>
      </c>
      <c r="O106" s="56" t="s">
        <v>7148</v>
      </c>
      <c r="P106" s="55"/>
    </row>
    <row r="107" ht="19.95" customHeight="1" s="53" customFormat="1">
      <c r="A107" s="55">
        <v>171291</v>
      </c>
      <c r="B107" s="55" t="s">
        <v>659</v>
      </c>
      <c r="C107" s="55" t="s">
        <v>4419</v>
      </c>
      <c r="D107" s="55">
        <v>1733948479</v>
      </c>
      <c r="E107" s="55" t="s">
        <v>67</v>
      </c>
      <c r="F107" s="55" t="s">
        <v>71</v>
      </c>
      <c r="G107" s="55" t="s">
        <v>5709</v>
      </c>
      <c r="H107" s="55" t="s">
        <v>115</v>
      </c>
      <c r="I107" s="55" t="s">
        <v>74</v>
      </c>
      <c r="J107" s="56" t="s">
        <v>69</v>
      </c>
      <c r="K107" s="56" t="s">
        <v>6872</v>
      </c>
      <c r="L107" s="236">
        <v>45318</v>
      </c>
      <c r="M107" s="55" t="s">
        <v>4035</v>
      </c>
      <c r="N107" s="55" t="s">
        <v>81</v>
      </c>
      <c r="O107" s="56" t="s">
        <v>7148</v>
      </c>
      <c r="P107" s="55"/>
    </row>
    <row r="108" ht="19.95" customHeight="1" s="53" customFormat="1">
      <c r="A108" s="55">
        <v>171232</v>
      </c>
      <c r="B108" s="55" t="s">
        <v>4449</v>
      </c>
      <c r="C108" s="55" t="s">
        <v>4450</v>
      </c>
      <c r="D108" s="55">
        <v>1746047604</v>
      </c>
      <c r="E108" s="55" t="s">
        <v>67</v>
      </c>
      <c r="F108" s="55" t="s">
        <v>71</v>
      </c>
      <c r="G108" s="55" t="s">
        <v>155</v>
      </c>
      <c r="H108" s="55" t="s">
        <v>196</v>
      </c>
      <c r="I108" s="55" t="s">
        <v>74</v>
      </c>
      <c r="J108" s="56" t="s">
        <v>69</v>
      </c>
      <c r="K108" s="56" t="s">
        <v>6872</v>
      </c>
      <c r="L108" s="236">
        <v>45322</v>
      </c>
      <c r="M108" s="55" t="s">
        <v>4035</v>
      </c>
      <c r="N108" s="55" t="s">
        <v>81</v>
      </c>
      <c r="O108" s="56" t="s">
        <v>7148</v>
      </c>
      <c r="P108" s="55"/>
    </row>
    <row r="109" ht="19.95" customHeight="1" s="53" customFormat="1">
      <c r="A109" s="55">
        <v>171071</v>
      </c>
      <c r="B109" s="55" t="s">
        <v>7157</v>
      </c>
      <c r="C109" s="55" t="s">
        <v>4461</v>
      </c>
      <c r="D109" s="55">
        <v>1684807421</v>
      </c>
      <c r="E109" s="55" t="s">
        <v>67</v>
      </c>
      <c r="F109" s="55" t="s">
        <v>71</v>
      </c>
      <c r="G109" s="55" t="s">
        <v>155</v>
      </c>
      <c r="H109" s="55" t="s">
        <v>196</v>
      </c>
      <c r="I109" s="55" t="s">
        <v>74</v>
      </c>
      <c r="J109" s="56" t="s">
        <v>69</v>
      </c>
      <c r="K109" s="56" t="s">
        <v>6872</v>
      </c>
      <c r="L109" s="236">
        <v>45323</v>
      </c>
      <c r="M109" s="55" t="s">
        <v>4035</v>
      </c>
      <c r="N109" s="55" t="s">
        <v>81</v>
      </c>
      <c r="O109" s="56" t="s">
        <v>7148</v>
      </c>
      <c r="P109" s="55"/>
    </row>
    <row r="110" ht="19.95" customHeight="1" s="53" customFormat="1">
      <c r="A110" s="55">
        <v>171238</v>
      </c>
      <c r="B110" s="55" t="s">
        <v>5096</v>
      </c>
      <c r="C110" s="55" t="s">
        <v>4469</v>
      </c>
      <c r="D110" s="55">
        <v>1712170017</v>
      </c>
      <c r="E110" s="55" t="s">
        <v>67</v>
      </c>
      <c r="F110" s="55" t="s">
        <v>71</v>
      </c>
      <c r="G110" s="55" t="s">
        <v>5709</v>
      </c>
      <c r="H110" s="55" t="s">
        <v>6861</v>
      </c>
      <c r="I110" s="55" t="s">
        <v>74</v>
      </c>
      <c r="J110" s="56" t="s">
        <v>69</v>
      </c>
      <c r="K110" s="56" t="s">
        <v>6872</v>
      </c>
      <c r="L110" s="236">
        <v>45323</v>
      </c>
      <c r="M110" s="55" t="s">
        <v>4035</v>
      </c>
      <c r="N110" s="55" t="s">
        <v>81</v>
      </c>
      <c r="O110" s="56" t="s">
        <v>7148</v>
      </c>
      <c r="P110" s="55"/>
    </row>
    <row r="111" ht="19.95" customHeight="1" s="53" customFormat="1">
      <c r="A111" s="55">
        <v>171252</v>
      </c>
      <c r="B111" s="55" t="s">
        <v>2445</v>
      </c>
      <c r="C111" s="55" t="s">
        <v>4488</v>
      </c>
      <c r="D111" s="55">
        <v>1746874706</v>
      </c>
      <c r="E111" s="55" t="s">
        <v>67</v>
      </c>
      <c r="F111" s="55" t="s">
        <v>71</v>
      </c>
      <c r="G111" s="55" t="s">
        <v>5709</v>
      </c>
      <c r="H111" s="55" t="s">
        <v>6861</v>
      </c>
      <c r="I111" s="55" t="s">
        <v>74</v>
      </c>
      <c r="J111" s="56" t="s">
        <v>69</v>
      </c>
      <c r="K111" s="56" t="s">
        <v>6872</v>
      </c>
      <c r="L111" s="236">
        <v>45323</v>
      </c>
      <c r="M111" s="55" t="s">
        <v>4035</v>
      </c>
      <c r="N111" s="55" t="s">
        <v>81</v>
      </c>
      <c r="O111" s="56" t="s">
        <v>7148</v>
      </c>
      <c r="P111" s="55"/>
    </row>
    <row r="112" ht="19.95" customHeight="1" s="53" customFormat="1">
      <c r="A112" s="55">
        <v>171270</v>
      </c>
      <c r="B112" s="55" t="s">
        <v>2856</v>
      </c>
      <c r="C112" s="55" t="s">
        <v>4480</v>
      </c>
      <c r="D112" s="55">
        <v>1836674048</v>
      </c>
      <c r="E112" s="55" t="s">
        <v>67</v>
      </c>
      <c r="F112" s="55" t="s">
        <v>71</v>
      </c>
      <c r="G112" s="55" t="s">
        <v>5709</v>
      </c>
      <c r="H112" s="55" t="s">
        <v>6861</v>
      </c>
      <c r="I112" s="55" t="s">
        <v>74</v>
      </c>
      <c r="J112" s="56" t="s">
        <v>69</v>
      </c>
      <c r="K112" s="56" t="s">
        <v>6872</v>
      </c>
      <c r="L112" s="236">
        <v>45323</v>
      </c>
      <c r="M112" s="55" t="s">
        <v>4035</v>
      </c>
      <c r="N112" s="55" t="s">
        <v>81</v>
      </c>
      <c r="O112" s="56" t="s">
        <v>7148</v>
      </c>
      <c r="P112" s="55"/>
    </row>
    <row r="113" ht="19.95" customHeight="1" s="53" customFormat="1">
      <c r="A113" s="55">
        <v>171215</v>
      </c>
      <c r="B113" s="55" t="s">
        <v>1782</v>
      </c>
      <c r="C113" s="55" t="s">
        <v>6926</v>
      </c>
      <c r="D113" s="55">
        <v>1793931848</v>
      </c>
      <c r="E113" s="55" t="s">
        <v>67</v>
      </c>
      <c r="F113" s="55" t="s">
        <v>71</v>
      </c>
      <c r="G113" s="55" t="s">
        <v>155</v>
      </c>
      <c r="H113" s="55" t="s">
        <v>196</v>
      </c>
      <c r="I113" s="55" t="s">
        <v>74</v>
      </c>
      <c r="J113" s="56" t="s">
        <v>69</v>
      </c>
      <c r="K113" s="56" t="s">
        <v>6872</v>
      </c>
      <c r="L113" s="236">
        <v>45327</v>
      </c>
      <c r="M113" s="55" t="s">
        <v>4695</v>
      </c>
      <c r="N113" s="55" t="s">
        <v>81</v>
      </c>
      <c r="O113" s="56" t="s">
        <v>7148</v>
      </c>
      <c r="P113" s="55"/>
    </row>
    <row r="114" ht="19.95" customHeight="1" s="53" customFormat="1">
      <c r="A114" s="55">
        <v>171156</v>
      </c>
      <c r="B114" s="55" t="s">
        <v>679</v>
      </c>
      <c r="C114" s="55" t="s">
        <v>6923</v>
      </c>
      <c r="D114" s="55">
        <v>1608375344</v>
      </c>
      <c r="E114" s="55" t="s">
        <v>67</v>
      </c>
      <c r="F114" s="55" t="s">
        <v>71</v>
      </c>
      <c r="G114" s="55" t="s">
        <v>5709</v>
      </c>
      <c r="H114" s="55" t="s">
        <v>6861</v>
      </c>
      <c r="I114" s="55" t="s">
        <v>74</v>
      </c>
      <c r="J114" s="56" t="s">
        <v>69</v>
      </c>
      <c r="K114" s="56" t="s">
        <v>6872</v>
      </c>
      <c r="L114" s="236">
        <v>45323</v>
      </c>
      <c r="M114" s="55" t="s">
        <v>4695</v>
      </c>
      <c r="N114" s="55" t="s">
        <v>81</v>
      </c>
      <c r="O114" s="56" t="s">
        <v>7148</v>
      </c>
      <c r="P114" s="55"/>
    </row>
    <row r="115" ht="19.95" customHeight="1" s="53" customFormat="1">
      <c r="A115" s="55">
        <v>171024</v>
      </c>
      <c r="B115" s="55" t="s">
        <v>6924</v>
      </c>
      <c r="C115" s="55" t="s">
        <v>3781</v>
      </c>
      <c r="D115" s="55">
        <v>1728125233</v>
      </c>
      <c r="E115" s="55" t="s">
        <v>67</v>
      </c>
      <c r="F115" s="55" t="s">
        <v>71</v>
      </c>
      <c r="G115" s="55" t="s">
        <v>155</v>
      </c>
      <c r="H115" s="55" t="s">
        <v>196</v>
      </c>
      <c r="I115" s="55" t="s">
        <v>74</v>
      </c>
      <c r="J115" s="56" t="s">
        <v>69</v>
      </c>
      <c r="K115" s="56" t="s">
        <v>6872</v>
      </c>
      <c r="L115" s="236">
        <v>45326</v>
      </c>
      <c r="M115" s="55" t="s">
        <v>4035</v>
      </c>
      <c r="N115" s="55" t="s">
        <v>81</v>
      </c>
      <c r="O115" s="56" t="s">
        <v>7148</v>
      </c>
      <c r="P115" s="55"/>
    </row>
    <row r="116" ht="19.95" customHeight="1" s="53" customFormat="1">
      <c r="A116" s="55">
        <v>171230</v>
      </c>
      <c r="B116" s="55" t="s">
        <v>631</v>
      </c>
      <c r="C116" s="55" t="s">
        <v>4512</v>
      </c>
      <c r="D116" s="55">
        <v>1886193257</v>
      </c>
      <c r="E116" s="55" t="s">
        <v>67</v>
      </c>
      <c r="F116" s="55" t="s">
        <v>71</v>
      </c>
      <c r="G116" s="55" t="s">
        <v>2495</v>
      </c>
      <c r="H116" s="55" t="s">
        <v>98</v>
      </c>
      <c r="I116" s="55" t="s">
        <v>74</v>
      </c>
      <c r="J116" s="56" t="s">
        <v>69</v>
      </c>
      <c r="K116" s="56" t="s">
        <v>7137</v>
      </c>
      <c r="L116" s="236">
        <v>45327</v>
      </c>
      <c r="M116" s="55" t="s">
        <v>3992</v>
      </c>
      <c r="N116" s="55" t="s">
        <v>81</v>
      </c>
      <c r="O116" s="56" t="s">
        <v>7148</v>
      </c>
      <c r="P116" s="55"/>
    </row>
    <row r="117" ht="19.95" customHeight="1" s="53" customFormat="1">
      <c r="A117" s="55">
        <v>171092</v>
      </c>
      <c r="B117" s="55" t="s">
        <v>5382</v>
      </c>
      <c r="C117" s="55" t="s">
        <v>4531</v>
      </c>
      <c r="D117" s="55" t="s">
        <v>6927</v>
      </c>
      <c r="E117" s="55" t="s">
        <v>67</v>
      </c>
      <c r="F117" s="55" t="s">
        <v>71</v>
      </c>
      <c r="G117" s="55" t="s">
        <v>2495</v>
      </c>
      <c r="H117" s="55" t="s">
        <v>3659</v>
      </c>
      <c r="I117" s="55" t="s">
        <v>74</v>
      </c>
      <c r="J117" s="56" t="s">
        <v>69</v>
      </c>
      <c r="K117" s="56" t="s">
        <v>6872</v>
      </c>
      <c r="L117" s="236">
        <v>45328</v>
      </c>
      <c r="M117" s="55" t="s">
        <v>6928</v>
      </c>
      <c r="N117" s="55" t="s">
        <v>81</v>
      </c>
      <c r="O117" s="56" t="s">
        <v>7148</v>
      </c>
      <c r="P117" s="55"/>
    </row>
    <row r="118" ht="19.95" customHeight="1" s="53" customFormat="1">
      <c r="A118" s="55">
        <v>171247</v>
      </c>
      <c r="B118" s="55" t="s">
        <v>641</v>
      </c>
      <c r="C118" s="55" t="s">
        <v>4541</v>
      </c>
      <c r="D118" s="55">
        <v>1632380810</v>
      </c>
      <c r="E118" s="55" t="s">
        <v>67</v>
      </c>
      <c r="F118" s="55" t="s">
        <v>71</v>
      </c>
      <c r="G118" s="55" t="s">
        <v>5709</v>
      </c>
      <c r="H118" s="55" t="s">
        <v>115</v>
      </c>
      <c r="I118" s="55" t="s">
        <v>74</v>
      </c>
      <c r="J118" s="56" t="s">
        <v>69</v>
      </c>
      <c r="K118" s="56" t="s">
        <v>6872</v>
      </c>
      <c r="L118" s="236">
        <v>45330</v>
      </c>
      <c r="M118" s="55" t="s">
        <v>4547</v>
      </c>
      <c r="N118" s="55" t="s">
        <v>81</v>
      </c>
      <c r="O118" s="56" t="s">
        <v>7148</v>
      </c>
      <c r="P118" s="55"/>
    </row>
    <row r="119" ht="19.95" customHeight="1" s="53" customFormat="1">
      <c r="A119" s="55">
        <v>171213</v>
      </c>
      <c r="B119" s="55" t="s">
        <v>5455</v>
      </c>
      <c r="C119" s="55" t="s">
        <v>4548</v>
      </c>
      <c r="D119" s="55">
        <v>1307768335</v>
      </c>
      <c r="E119" s="55" t="s">
        <v>67</v>
      </c>
      <c r="F119" s="55" t="s">
        <v>71</v>
      </c>
      <c r="G119" s="55" t="s">
        <v>5709</v>
      </c>
      <c r="H119" s="55" t="s">
        <v>6861</v>
      </c>
      <c r="I119" s="55" t="s">
        <v>74</v>
      </c>
      <c r="J119" s="56" t="s">
        <v>69</v>
      </c>
      <c r="K119" s="56" t="s">
        <v>6872</v>
      </c>
      <c r="L119" s="236">
        <v>45330</v>
      </c>
      <c r="M119" s="55" t="s">
        <v>4556</v>
      </c>
      <c r="N119" s="55" t="s">
        <v>81</v>
      </c>
      <c r="O119" s="56" t="s">
        <v>7148</v>
      </c>
      <c r="P119" s="55"/>
    </row>
    <row r="120" ht="19.95" customHeight="1" s="53" customFormat="1">
      <c r="A120" s="55">
        <v>171222</v>
      </c>
      <c r="B120" s="55" t="s">
        <v>2577</v>
      </c>
      <c r="C120" s="55" t="s">
        <v>6932</v>
      </c>
      <c r="D120" s="55">
        <v>1718374060</v>
      </c>
      <c r="E120" s="55" t="s">
        <v>67</v>
      </c>
      <c r="F120" s="55" t="s">
        <v>71</v>
      </c>
      <c r="G120" s="55" t="s">
        <v>5709</v>
      </c>
      <c r="H120" s="55" t="s">
        <v>6861</v>
      </c>
      <c r="I120" s="55" t="s">
        <v>74</v>
      </c>
      <c r="J120" s="56" t="s">
        <v>69</v>
      </c>
      <c r="K120" s="56" t="s">
        <v>6872</v>
      </c>
      <c r="L120" s="236">
        <v>45336</v>
      </c>
      <c r="M120" s="55" t="s">
        <v>4578</v>
      </c>
      <c r="N120" s="55" t="s">
        <v>81</v>
      </c>
      <c r="O120" s="56" t="s">
        <v>7148</v>
      </c>
      <c r="P120" s="55"/>
    </row>
    <row r="121" ht="19.95" customHeight="1" s="53" customFormat="1">
      <c r="A121" s="55">
        <v>171108</v>
      </c>
      <c r="B121" s="55" t="s">
        <v>6935</v>
      </c>
      <c r="C121" s="55" t="s">
        <v>4557</v>
      </c>
      <c r="D121" s="55">
        <v>1787706175</v>
      </c>
      <c r="E121" s="55" t="s">
        <v>67</v>
      </c>
      <c r="F121" s="55" t="s">
        <v>71</v>
      </c>
      <c r="G121" s="55" t="s">
        <v>155</v>
      </c>
      <c r="H121" s="55" t="s">
        <v>196</v>
      </c>
      <c r="I121" s="55" t="s">
        <v>74</v>
      </c>
      <c r="J121" s="56" t="s">
        <v>69</v>
      </c>
      <c r="K121" s="56" t="s">
        <v>6872</v>
      </c>
      <c r="L121" s="236">
        <v>45336</v>
      </c>
      <c r="M121" s="55" t="s">
        <v>4035</v>
      </c>
      <c r="N121" s="55" t="s">
        <v>81</v>
      </c>
      <c r="O121" s="56" t="s">
        <v>7148</v>
      </c>
      <c r="P121" s="55"/>
    </row>
    <row r="122" ht="19.95" customHeight="1" s="53" customFormat="1">
      <c r="A122" s="55">
        <v>171068</v>
      </c>
      <c r="B122" s="55" t="s">
        <v>4588</v>
      </c>
      <c r="C122" s="55" t="s">
        <v>3893</v>
      </c>
      <c r="D122" s="55">
        <v>1880249836</v>
      </c>
      <c r="E122" s="55" t="s">
        <v>67</v>
      </c>
      <c r="F122" s="55" t="s">
        <v>71</v>
      </c>
      <c r="G122" s="55" t="s">
        <v>155</v>
      </c>
      <c r="H122" s="55" t="s">
        <v>196</v>
      </c>
      <c r="I122" s="55" t="s">
        <v>74</v>
      </c>
      <c r="J122" s="56" t="s">
        <v>69</v>
      </c>
      <c r="K122" s="56" t="s">
        <v>6872</v>
      </c>
      <c r="L122" s="236">
        <v>45338</v>
      </c>
      <c r="M122" s="55" t="s">
        <v>4035</v>
      </c>
      <c r="N122" s="55" t="s">
        <v>81</v>
      </c>
      <c r="O122" s="56" t="s">
        <v>7148</v>
      </c>
      <c r="P122" s="55"/>
    </row>
    <row r="123" ht="19.95" customHeight="1" s="53" customFormat="1">
      <c r="A123" s="55">
        <v>171174</v>
      </c>
      <c r="B123" s="55" t="s">
        <v>1220</v>
      </c>
      <c r="C123" s="55" t="s">
        <v>4580</v>
      </c>
      <c r="D123" s="55">
        <v>1748687535</v>
      </c>
      <c r="E123" s="55" t="s">
        <v>67</v>
      </c>
      <c r="F123" s="55" t="s">
        <v>71</v>
      </c>
      <c r="G123" s="55" t="s">
        <v>5709</v>
      </c>
      <c r="H123" s="55" t="s">
        <v>6861</v>
      </c>
      <c r="I123" s="55" t="s">
        <v>74</v>
      </c>
      <c r="J123" s="56" t="s">
        <v>69</v>
      </c>
      <c r="K123" s="56" t="s">
        <v>7137</v>
      </c>
      <c r="L123" s="236">
        <v>45338</v>
      </c>
      <c r="M123" s="55" t="s">
        <v>4695</v>
      </c>
      <c r="N123" s="55" t="s">
        <v>81</v>
      </c>
      <c r="O123" s="56" t="s">
        <v>7148</v>
      </c>
      <c r="P123" s="55"/>
    </row>
    <row r="124" ht="19.95" customHeight="1" s="53" customFormat="1">
      <c r="A124" s="55">
        <v>171217</v>
      </c>
      <c r="B124" s="55" t="s">
        <v>4593</v>
      </c>
      <c r="C124" s="55" t="s">
        <v>4594</v>
      </c>
      <c r="D124" s="55" t="s">
        <v>6937</v>
      </c>
      <c r="E124" s="55" t="s">
        <v>67</v>
      </c>
      <c r="F124" s="55" t="s">
        <v>71</v>
      </c>
      <c r="G124" s="55" t="s">
        <v>5709</v>
      </c>
      <c r="H124" s="55" t="s">
        <v>6938</v>
      </c>
      <c r="I124" s="55" t="s">
        <v>74</v>
      </c>
      <c r="J124" s="56" t="s">
        <v>69</v>
      </c>
      <c r="K124" s="56" t="s">
        <v>6872</v>
      </c>
      <c r="L124" s="236">
        <v>45338</v>
      </c>
      <c r="M124" s="55" t="s">
        <v>4611</v>
      </c>
      <c r="N124" s="55" t="s">
        <v>81</v>
      </c>
      <c r="O124" s="56" t="s">
        <v>7148</v>
      </c>
      <c r="P124" s="55"/>
    </row>
    <row r="125" ht="19.95" customHeight="1" s="53" customFormat="1">
      <c r="A125" s="55">
        <v>171323</v>
      </c>
      <c r="B125" s="55" t="s">
        <v>843</v>
      </c>
      <c r="C125" s="55" t="s">
        <v>6298</v>
      </c>
      <c r="D125" s="55">
        <v>1831492686</v>
      </c>
      <c r="E125" s="55" t="s">
        <v>67</v>
      </c>
      <c r="F125" s="55" t="s">
        <v>71</v>
      </c>
      <c r="G125" s="55" t="s">
        <v>2495</v>
      </c>
      <c r="H125" s="55" t="s">
        <v>3659</v>
      </c>
      <c r="I125" s="55" t="s">
        <v>74</v>
      </c>
      <c r="J125" s="56" t="s">
        <v>69</v>
      </c>
      <c r="K125" s="56" t="s">
        <v>6872</v>
      </c>
      <c r="L125" s="236">
        <v>45338</v>
      </c>
      <c r="M125" s="55" t="s">
        <v>3992</v>
      </c>
      <c r="N125" s="55" t="s">
        <v>81</v>
      </c>
      <c r="O125" s="56" t="s">
        <v>7148</v>
      </c>
      <c r="P125" s="55"/>
    </row>
    <row r="126" ht="19.95" customHeight="1" s="53" customFormat="1">
      <c r="A126" s="55">
        <v>171166</v>
      </c>
      <c r="B126" s="55" t="s">
        <v>745</v>
      </c>
      <c r="C126" s="55" t="s">
        <v>4601</v>
      </c>
      <c r="D126" s="55">
        <v>1782441780</v>
      </c>
      <c r="E126" s="55" t="s">
        <v>67</v>
      </c>
      <c r="F126" s="55" t="s">
        <v>71</v>
      </c>
      <c r="G126" s="55" t="s">
        <v>5709</v>
      </c>
      <c r="H126" s="55" t="s">
        <v>115</v>
      </c>
      <c r="I126" s="55" t="s">
        <v>74</v>
      </c>
      <c r="J126" s="56" t="s">
        <v>69</v>
      </c>
      <c r="K126" s="56" t="s">
        <v>6872</v>
      </c>
      <c r="L126" s="236">
        <v>45338</v>
      </c>
      <c r="M126" s="55" t="s">
        <v>4611</v>
      </c>
      <c r="N126" s="55" t="s">
        <v>81</v>
      </c>
      <c r="O126" s="56" t="s">
        <v>7148</v>
      </c>
      <c r="P126" s="55"/>
    </row>
    <row r="127" ht="19.95" customHeight="1" s="53" customFormat="1">
      <c r="A127" s="55">
        <v>171155</v>
      </c>
      <c r="B127" s="55" t="s">
        <v>6929</v>
      </c>
      <c r="C127" s="55" t="s">
        <v>4613</v>
      </c>
      <c r="D127" s="55" t="s">
        <v>6930</v>
      </c>
      <c r="E127" s="55" t="s">
        <v>67</v>
      </c>
      <c r="F127" s="55" t="s">
        <v>71</v>
      </c>
      <c r="G127" s="55" t="s">
        <v>97</v>
      </c>
      <c r="H127" s="55" t="s">
        <v>2643</v>
      </c>
      <c r="I127" s="55" t="s">
        <v>74</v>
      </c>
      <c r="J127" s="56" t="s">
        <v>69</v>
      </c>
      <c r="K127" s="56" t="s">
        <v>6872</v>
      </c>
      <c r="L127" s="236">
        <v>45342</v>
      </c>
      <c r="M127" s="55" t="s">
        <v>4695</v>
      </c>
      <c r="N127" s="55" t="s">
        <v>81</v>
      </c>
      <c r="O127" s="56" t="s">
        <v>7148</v>
      </c>
      <c r="P127" s="55"/>
    </row>
    <row r="128" ht="19.95" customHeight="1" s="53" customFormat="1">
      <c r="A128" s="55">
        <v>171190</v>
      </c>
      <c r="B128" s="55" t="s">
        <v>6936</v>
      </c>
      <c r="C128" s="55" t="s">
        <v>4621</v>
      </c>
      <c r="D128" s="55">
        <v>1934241875</v>
      </c>
      <c r="E128" s="55" t="s">
        <v>67</v>
      </c>
      <c r="F128" s="55" t="s">
        <v>71</v>
      </c>
      <c r="G128" s="55" t="s">
        <v>407</v>
      </c>
      <c r="H128" s="55" t="s">
        <v>2643</v>
      </c>
      <c r="I128" s="55" t="s">
        <v>74</v>
      </c>
      <c r="J128" s="56" t="s">
        <v>69</v>
      </c>
      <c r="K128" s="56" t="s">
        <v>6872</v>
      </c>
      <c r="L128" s="236">
        <v>45346</v>
      </c>
      <c r="M128" s="55" t="s">
        <v>4035</v>
      </c>
      <c r="N128" s="55" t="s">
        <v>81</v>
      </c>
      <c r="O128" s="56" t="s">
        <v>7148</v>
      </c>
      <c r="P128" s="55"/>
    </row>
    <row r="129" ht="19.95" customHeight="1" s="53" customFormat="1">
      <c r="A129" s="55">
        <v>171125</v>
      </c>
      <c r="B129" s="55" t="s">
        <v>1373</v>
      </c>
      <c r="C129" s="55" t="s">
        <v>4629</v>
      </c>
      <c r="D129" s="55">
        <v>1750741339</v>
      </c>
      <c r="E129" s="55" t="s">
        <v>67</v>
      </c>
      <c r="F129" s="55" t="s">
        <v>71</v>
      </c>
      <c r="G129" s="55" t="s">
        <v>5709</v>
      </c>
      <c r="H129" s="55" t="s">
        <v>6938</v>
      </c>
      <c r="I129" s="55" t="s">
        <v>74</v>
      </c>
      <c r="J129" s="56" t="s">
        <v>69</v>
      </c>
      <c r="K129" s="56" t="s">
        <v>6872</v>
      </c>
      <c r="L129" s="236">
        <v>45347</v>
      </c>
      <c r="M129" s="55" t="s">
        <v>4637</v>
      </c>
      <c r="N129" s="55" t="s">
        <v>81</v>
      </c>
      <c r="O129" s="56" t="s">
        <v>7148</v>
      </c>
      <c r="P129" s="55"/>
    </row>
    <row r="130" ht="19.95" customHeight="1" s="53" customFormat="1">
      <c r="A130" s="55">
        <v>171240</v>
      </c>
      <c r="B130" s="55" t="s">
        <v>4638</v>
      </c>
      <c r="C130" s="55" t="s">
        <v>4639</v>
      </c>
      <c r="D130" s="55">
        <v>1516097114</v>
      </c>
      <c r="E130" s="55" t="s">
        <v>67</v>
      </c>
      <c r="F130" s="55" t="s">
        <v>71</v>
      </c>
      <c r="G130" s="55" t="s">
        <v>155</v>
      </c>
      <c r="H130" s="55" t="s">
        <v>196</v>
      </c>
      <c r="I130" s="55" t="s">
        <v>74</v>
      </c>
      <c r="J130" s="56" t="s">
        <v>69</v>
      </c>
      <c r="K130" s="56" t="s">
        <v>6872</v>
      </c>
      <c r="L130" s="236">
        <v>45348</v>
      </c>
      <c r="M130" s="55" t="s">
        <v>4035</v>
      </c>
      <c r="N130" s="55" t="s">
        <v>81</v>
      </c>
      <c r="O130" s="56" t="s">
        <v>7148</v>
      </c>
      <c r="P130" s="55"/>
    </row>
    <row r="131" ht="19.95" customHeight="1" s="53" customFormat="1">
      <c r="A131" s="55">
        <v>171114</v>
      </c>
      <c r="B131" s="55" t="s">
        <v>6940</v>
      </c>
      <c r="C131" s="55" t="s">
        <v>4654</v>
      </c>
      <c r="D131" s="55">
        <v>1878947201</v>
      </c>
      <c r="E131" s="55" t="s">
        <v>67</v>
      </c>
      <c r="F131" s="55" t="s">
        <v>71</v>
      </c>
      <c r="G131" s="55" t="s">
        <v>155</v>
      </c>
      <c r="H131" s="55" t="s">
        <v>196</v>
      </c>
      <c r="I131" s="55" t="s">
        <v>74</v>
      </c>
      <c r="J131" s="56" t="s">
        <v>69</v>
      </c>
      <c r="K131" s="56" t="s">
        <v>6872</v>
      </c>
      <c r="L131" s="236">
        <v>45352</v>
      </c>
      <c r="M131" s="55" t="s">
        <v>4035</v>
      </c>
      <c r="N131" s="55" t="s">
        <v>81</v>
      </c>
      <c r="O131" s="56" t="s">
        <v>7148</v>
      </c>
      <c r="P131" s="55"/>
    </row>
    <row r="132" ht="19.95" customHeight="1" s="53" customFormat="1">
      <c r="A132" s="55">
        <v>171260</v>
      </c>
      <c r="B132" s="55" t="s">
        <v>4663</v>
      </c>
      <c r="C132" s="55" t="s">
        <v>4664</v>
      </c>
      <c r="D132" s="55">
        <v>1709196899</v>
      </c>
      <c r="E132" s="55" t="s">
        <v>67</v>
      </c>
      <c r="F132" s="55" t="s">
        <v>71</v>
      </c>
      <c r="G132" s="55" t="s">
        <v>5709</v>
      </c>
      <c r="H132" s="55" t="s">
        <v>115</v>
      </c>
      <c r="I132" s="55" t="s">
        <v>74</v>
      </c>
      <c r="J132" s="56" t="s">
        <v>69</v>
      </c>
      <c r="K132" s="56" t="s">
        <v>6872</v>
      </c>
      <c r="L132" s="236">
        <v>45352</v>
      </c>
      <c r="M132" s="55" t="s">
        <v>4675</v>
      </c>
      <c r="N132" s="55" t="s">
        <v>81</v>
      </c>
      <c r="O132" s="56" t="s">
        <v>7148</v>
      </c>
      <c r="P132" s="55"/>
    </row>
    <row r="133" ht="19.95" customHeight="1" s="53" customFormat="1">
      <c r="A133" s="55">
        <v>171006</v>
      </c>
      <c r="B133" s="55" t="s">
        <v>81</v>
      </c>
      <c r="C133" s="55" t="s">
        <v>3659</v>
      </c>
      <c r="D133" s="55">
        <v>1847270263</v>
      </c>
      <c r="E133" s="55" t="s">
        <v>225</v>
      </c>
      <c r="F133" s="55" t="s">
        <v>71</v>
      </c>
      <c r="G133" s="55" t="s">
        <v>81</v>
      </c>
      <c r="H133" s="55" t="s">
        <v>74</v>
      </c>
      <c r="I133" s="55" t="s">
        <v>167</v>
      </c>
      <c r="J133" s="56" t="s">
        <v>69</v>
      </c>
      <c r="K133" s="56" t="s">
        <v>6872</v>
      </c>
      <c r="L133" s="236">
        <v>45352</v>
      </c>
      <c r="M133" s="55" t="s">
        <v>4035</v>
      </c>
      <c r="N133" s="55" t="s">
        <v>81</v>
      </c>
      <c r="O133" s="56" t="s">
        <v>7148</v>
      </c>
      <c r="P133" s="55"/>
    </row>
    <row r="134" ht="19.95" customHeight="1" s="53" customFormat="1">
      <c r="A134" s="55">
        <v>171289</v>
      </c>
      <c r="B134" s="55" t="s">
        <v>873</v>
      </c>
      <c r="C134" s="55" t="s">
        <v>4676</v>
      </c>
      <c r="D134" s="55">
        <v>1709412434</v>
      </c>
      <c r="E134" s="55" t="s">
        <v>67</v>
      </c>
      <c r="F134" s="55" t="s">
        <v>71</v>
      </c>
      <c r="G134" s="55" t="s">
        <v>5709</v>
      </c>
      <c r="H134" s="55" t="s">
        <v>6861</v>
      </c>
      <c r="I134" s="55" t="s">
        <v>74</v>
      </c>
      <c r="J134" s="56" t="s">
        <v>69</v>
      </c>
      <c r="K134" s="56" t="s">
        <v>6872</v>
      </c>
      <c r="L134" s="236">
        <v>45352</v>
      </c>
      <c r="M134" s="55" t="s">
        <v>4035</v>
      </c>
      <c r="N134" s="55" t="s">
        <v>81</v>
      </c>
      <c r="O134" s="56" t="s">
        <v>7148</v>
      </c>
      <c r="P134" s="55"/>
    </row>
    <row r="135" ht="19.95" customHeight="1" s="53" customFormat="1">
      <c r="A135" s="55">
        <v>171292</v>
      </c>
      <c r="B135" s="55" t="s">
        <v>1038</v>
      </c>
      <c r="C135" s="55" t="s">
        <v>2704</v>
      </c>
      <c r="D135" s="55">
        <v>1309293832</v>
      </c>
      <c r="E135" s="55" t="s">
        <v>67</v>
      </c>
      <c r="F135" s="55" t="s">
        <v>71</v>
      </c>
      <c r="G135" s="55" t="s">
        <v>5709</v>
      </c>
      <c r="H135" s="55" t="s">
        <v>115</v>
      </c>
      <c r="I135" s="55" t="s">
        <v>74</v>
      </c>
      <c r="J135" s="56" t="s">
        <v>69</v>
      </c>
      <c r="K135" s="56" t="s">
        <v>6872</v>
      </c>
      <c r="L135" s="236">
        <v>45352</v>
      </c>
      <c r="M135" s="55" t="s">
        <v>4690</v>
      </c>
      <c r="N135" s="55" t="s">
        <v>81</v>
      </c>
      <c r="O135" s="56" t="s">
        <v>7148</v>
      </c>
      <c r="P135" s="55"/>
    </row>
    <row r="136" ht="19.95" customHeight="1" s="53" customFormat="1">
      <c r="A136" s="55">
        <v>171197</v>
      </c>
      <c r="B136" s="55" t="s">
        <v>6942</v>
      </c>
      <c r="C136" s="55" t="s">
        <v>4691</v>
      </c>
      <c r="D136" s="55">
        <v>1776239532</v>
      </c>
      <c r="E136" s="55" t="s">
        <v>67</v>
      </c>
      <c r="F136" s="55" t="s">
        <v>71</v>
      </c>
      <c r="G136" s="55" t="s">
        <v>407</v>
      </c>
      <c r="H136" s="55" t="s">
        <v>2643</v>
      </c>
      <c r="I136" s="55" t="s">
        <v>74</v>
      </c>
      <c r="J136" s="56" t="s">
        <v>69</v>
      </c>
      <c r="K136" s="56" t="s">
        <v>6872</v>
      </c>
      <c r="L136" s="236">
        <v>45352</v>
      </c>
      <c r="M136" s="55" t="s">
        <v>4695</v>
      </c>
      <c r="N136" s="55" t="s">
        <v>81</v>
      </c>
      <c r="O136" s="56" t="s">
        <v>7148</v>
      </c>
      <c r="P136" s="55"/>
    </row>
    <row r="137" ht="19.95" customHeight="1" s="53" customFormat="1">
      <c r="A137" s="55">
        <v>171212</v>
      </c>
      <c r="B137" s="55" t="s">
        <v>6941</v>
      </c>
      <c r="C137" s="55" t="s">
        <v>5065</v>
      </c>
      <c r="D137" s="55">
        <v>1731856232</v>
      </c>
      <c r="E137" s="55" t="s">
        <v>67</v>
      </c>
      <c r="F137" s="55" t="s">
        <v>71</v>
      </c>
      <c r="G137" s="55" t="s">
        <v>5709</v>
      </c>
      <c r="H137" s="55" t="s">
        <v>2643</v>
      </c>
      <c r="I137" s="55" t="s">
        <v>74</v>
      </c>
      <c r="J137" s="56" t="s">
        <v>69</v>
      </c>
      <c r="K137" s="56" t="s">
        <v>6872</v>
      </c>
      <c r="L137" s="236">
        <v>45353</v>
      </c>
      <c r="M137" s="55" t="s">
        <v>4035</v>
      </c>
      <c r="N137" s="55" t="s">
        <v>81</v>
      </c>
      <c r="O137" s="56" t="s">
        <v>7148</v>
      </c>
      <c r="P137" s="55"/>
    </row>
    <row r="138" ht="19.95" customHeight="1" s="53" customFormat="1">
      <c r="A138" s="55">
        <v>171136</v>
      </c>
      <c r="B138" s="55" t="s">
        <v>4702</v>
      </c>
      <c r="C138" s="55" t="s">
        <v>6948</v>
      </c>
      <c r="D138" s="55">
        <v>1680496389</v>
      </c>
      <c r="E138" s="55" t="s">
        <v>67</v>
      </c>
      <c r="F138" s="55" t="s">
        <v>71</v>
      </c>
      <c r="G138" s="55" t="s">
        <v>155</v>
      </c>
      <c r="H138" s="55" t="s">
        <v>196</v>
      </c>
      <c r="I138" s="55" t="s">
        <v>74</v>
      </c>
      <c r="J138" s="56" t="s">
        <v>69</v>
      </c>
      <c r="K138" s="56" t="s">
        <v>6872</v>
      </c>
      <c r="L138" s="236">
        <v>45357</v>
      </c>
      <c r="M138" s="55" t="s">
        <v>3796</v>
      </c>
      <c r="N138" s="55" t="s">
        <v>81</v>
      </c>
      <c r="O138" s="56" t="s">
        <v>7148</v>
      </c>
      <c r="P138" s="55"/>
    </row>
    <row r="139" ht="19.95" customHeight="1" s="53" customFormat="1">
      <c r="A139" s="55">
        <v>171243</v>
      </c>
      <c r="B139" s="55" t="s">
        <v>753</v>
      </c>
      <c r="C139" s="55" t="s">
        <v>4716</v>
      </c>
      <c r="D139" s="55">
        <v>1811697879</v>
      </c>
      <c r="E139" s="55" t="s">
        <v>67</v>
      </c>
      <c r="F139" s="55" t="s">
        <v>71</v>
      </c>
      <c r="G139" s="55" t="s">
        <v>5709</v>
      </c>
      <c r="H139" s="55" t="s">
        <v>2643</v>
      </c>
      <c r="I139" s="55" t="s">
        <v>74</v>
      </c>
      <c r="J139" s="56" t="s">
        <v>69</v>
      </c>
      <c r="K139" s="56" t="s">
        <v>6872</v>
      </c>
      <c r="L139" s="236">
        <v>45361</v>
      </c>
      <c r="M139" s="55" t="s">
        <v>4611</v>
      </c>
      <c r="N139" s="55" t="s">
        <v>81</v>
      </c>
      <c r="O139" s="56" t="s">
        <v>7148</v>
      </c>
      <c r="P139" s="55"/>
    </row>
    <row r="140" ht="19.95" customHeight="1" s="53" customFormat="1">
      <c r="A140" s="55">
        <v>171149</v>
      </c>
      <c r="B140" s="55" t="s">
        <v>2585</v>
      </c>
      <c r="C140" s="55" t="s">
        <v>2706</v>
      </c>
      <c r="D140" s="55">
        <v>1518707935</v>
      </c>
      <c r="E140" s="55" t="s">
        <v>67</v>
      </c>
      <c r="F140" s="55" t="s">
        <v>71</v>
      </c>
      <c r="G140" s="55" t="s">
        <v>5709</v>
      </c>
      <c r="H140" s="55" t="s">
        <v>308</v>
      </c>
      <c r="I140" s="55" t="s">
        <v>74</v>
      </c>
      <c r="J140" s="56" t="s">
        <v>69</v>
      </c>
      <c r="K140" s="56" t="s">
        <v>6872</v>
      </c>
      <c r="L140" s="236">
        <v>45362</v>
      </c>
      <c r="M140" s="55" t="s">
        <v>6944</v>
      </c>
      <c r="N140" s="55" t="s">
        <v>81</v>
      </c>
      <c r="O140" s="56" t="s">
        <v>7148</v>
      </c>
      <c r="P140" s="55"/>
    </row>
    <row r="141" ht="19.95" customHeight="1" s="53" customFormat="1">
      <c r="A141" s="55">
        <v>171235</v>
      </c>
      <c r="B141" s="55" t="s">
        <v>902</v>
      </c>
      <c r="C141" s="55" t="s">
        <v>4724</v>
      </c>
      <c r="D141" s="55" t="s">
        <v>6946</v>
      </c>
      <c r="E141" s="55" t="s">
        <v>67</v>
      </c>
      <c r="F141" s="55" t="s">
        <v>71</v>
      </c>
      <c r="G141" s="55" t="s">
        <v>5709</v>
      </c>
      <c r="H141" s="55" t="s">
        <v>115</v>
      </c>
      <c r="I141" s="55" t="s">
        <v>74</v>
      </c>
      <c r="J141" s="56" t="s">
        <v>69</v>
      </c>
      <c r="K141" s="56" t="s">
        <v>6872</v>
      </c>
      <c r="L141" s="236">
        <v>45362</v>
      </c>
      <c r="M141" s="55" t="s">
        <v>3796</v>
      </c>
      <c r="N141" s="55" t="s">
        <v>81</v>
      </c>
      <c r="O141" s="56" t="s">
        <v>7148</v>
      </c>
      <c r="P141" s="55"/>
    </row>
    <row r="142" ht="19.95" customHeight="1" s="53" customFormat="1">
      <c r="A142" s="55">
        <v>171322</v>
      </c>
      <c r="B142" s="55" t="s">
        <v>2445</v>
      </c>
      <c r="C142" s="55" t="s">
        <v>4732</v>
      </c>
      <c r="D142" s="55">
        <v>1301140531</v>
      </c>
      <c r="E142" s="55" t="s">
        <v>67</v>
      </c>
      <c r="F142" s="55" t="s">
        <v>71</v>
      </c>
      <c r="G142" s="55" t="s">
        <v>5709</v>
      </c>
      <c r="H142" s="55" t="s">
        <v>308</v>
      </c>
      <c r="I142" s="55" t="s">
        <v>74</v>
      </c>
      <c r="J142" s="56" t="s">
        <v>69</v>
      </c>
      <c r="K142" s="56" t="s">
        <v>6872</v>
      </c>
      <c r="L142" s="236">
        <v>45362</v>
      </c>
      <c r="M142" s="55" t="s">
        <v>4611</v>
      </c>
      <c r="N142" s="55" t="s">
        <v>81</v>
      </c>
      <c r="O142" s="56" t="s">
        <v>7148</v>
      </c>
      <c r="P142" s="55"/>
    </row>
    <row r="143" ht="19.95" customHeight="1" s="53" customFormat="1">
      <c r="A143" s="55">
        <v>171321</v>
      </c>
      <c r="B143" s="55" t="s">
        <v>5455</v>
      </c>
      <c r="C143" s="55" t="s">
        <v>4744</v>
      </c>
      <c r="D143" s="55">
        <v>1687971250</v>
      </c>
      <c r="E143" s="55" t="s">
        <v>67</v>
      </c>
      <c r="F143" s="55" t="s">
        <v>71</v>
      </c>
      <c r="G143" s="55" t="s">
        <v>5709</v>
      </c>
      <c r="H143" s="55" t="s">
        <v>308</v>
      </c>
      <c r="I143" s="55" t="s">
        <v>74</v>
      </c>
      <c r="J143" s="56" t="s">
        <v>69</v>
      </c>
      <c r="K143" s="56" t="s">
        <v>6872</v>
      </c>
      <c r="L143" s="236">
        <v>45363</v>
      </c>
      <c r="M143" s="55" t="s">
        <v>6944</v>
      </c>
      <c r="N143" s="55" t="s">
        <v>81</v>
      </c>
      <c r="O143" s="56" t="s">
        <v>7148</v>
      </c>
      <c r="P143" s="55"/>
    </row>
    <row r="144" ht="19.95" customHeight="1" s="53" customFormat="1">
      <c r="A144" s="55">
        <v>171055</v>
      </c>
      <c r="B144" s="55" t="s">
        <v>4750</v>
      </c>
      <c r="C144" s="55" t="s">
        <v>4751</v>
      </c>
      <c r="D144" s="55">
        <v>1780727342</v>
      </c>
      <c r="E144" s="55" t="s">
        <v>67</v>
      </c>
      <c r="F144" s="55" t="s">
        <v>71</v>
      </c>
      <c r="G144" s="55" t="s">
        <v>70</v>
      </c>
      <c r="H144" s="55" t="s">
        <v>2643</v>
      </c>
      <c r="I144" s="55" t="s">
        <v>74</v>
      </c>
      <c r="J144" s="56" t="s">
        <v>69</v>
      </c>
      <c r="K144" s="56" t="s">
        <v>7137</v>
      </c>
      <c r="L144" s="236">
        <v>45364</v>
      </c>
      <c r="M144" s="55" t="s">
        <v>3992</v>
      </c>
      <c r="N144" s="55" t="s">
        <v>81</v>
      </c>
      <c r="O144" s="56" t="s">
        <v>7148</v>
      </c>
      <c r="P144" s="55"/>
    </row>
    <row r="145" ht="19.95" customHeight="1" s="53" customFormat="1">
      <c r="A145" s="55">
        <v>171253</v>
      </c>
      <c r="B145" s="55" t="s">
        <v>4759</v>
      </c>
      <c r="C145" s="55" t="s">
        <v>4760</v>
      </c>
      <c r="D145" s="55" t="s">
        <v>6951</v>
      </c>
      <c r="E145" s="55" t="s">
        <v>67</v>
      </c>
      <c r="F145" s="55" t="s">
        <v>71</v>
      </c>
      <c r="G145" s="55" t="s">
        <v>2495</v>
      </c>
      <c r="H145" s="55" t="s">
        <v>2643</v>
      </c>
      <c r="I145" s="55" t="s">
        <v>74</v>
      </c>
      <c r="J145" s="56" t="s">
        <v>69</v>
      </c>
      <c r="K145" s="56" t="s">
        <v>6872</v>
      </c>
      <c r="L145" s="236">
        <v>45365</v>
      </c>
      <c r="M145" s="55" t="s">
        <v>4321</v>
      </c>
      <c r="N145" s="55" t="s">
        <v>81</v>
      </c>
      <c r="O145" s="56" t="s">
        <v>7148</v>
      </c>
      <c r="P145" s="55"/>
    </row>
    <row r="146" ht="19.95" customHeight="1" s="53" customFormat="1">
      <c r="A146" s="55">
        <v>171335</v>
      </c>
      <c r="B146" s="55" t="s">
        <v>4766</v>
      </c>
      <c r="C146" s="55" t="s">
        <v>6949</v>
      </c>
      <c r="D146" s="55">
        <v>1714070733</v>
      </c>
      <c r="E146" s="55" t="s">
        <v>67</v>
      </c>
      <c r="F146" s="55" t="s">
        <v>71</v>
      </c>
      <c r="G146" s="55" t="s">
        <v>155</v>
      </c>
      <c r="H146" s="55" t="s">
        <v>196</v>
      </c>
      <c r="I146" s="55" t="s">
        <v>74</v>
      </c>
      <c r="J146" s="56" t="s">
        <v>69</v>
      </c>
      <c r="K146" s="56" t="s">
        <v>6872</v>
      </c>
      <c r="L146" s="236">
        <v>45367</v>
      </c>
      <c r="M146" s="55" t="s">
        <v>4035</v>
      </c>
      <c r="N146" s="55" t="s">
        <v>81</v>
      </c>
      <c r="O146" s="56" t="s">
        <v>7148</v>
      </c>
      <c r="P146" s="55"/>
    </row>
    <row r="147" ht="19.95" customHeight="1" s="53" customFormat="1">
      <c r="A147" s="55">
        <v>171228</v>
      </c>
      <c r="B147" s="55" t="s">
        <v>834</v>
      </c>
      <c r="C147" s="55" t="s">
        <v>4783</v>
      </c>
      <c r="D147" s="55">
        <v>1992624800</v>
      </c>
      <c r="E147" s="55" t="s">
        <v>67</v>
      </c>
      <c r="F147" s="55" t="s">
        <v>71</v>
      </c>
      <c r="G147" s="55" t="s">
        <v>5709</v>
      </c>
      <c r="H147" s="55" t="s">
        <v>6938</v>
      </c>
      <c r="I147" s="55" t="s">
        <v>74</v>
      </c>
      <c r="J147" s="56" t="s">
        <v>69</v>
      </c>
      <c r="K147" s="56" t="s">
        <v>6872</v>
      </c>
      <c r="L147" s="236">
        <v>45368</v>
      </c>
      <c r="M147" s="55" t="s">
        <v>4675</v>
      </c>
      <c r="N147" s="55" t="s">
        <v>81</v>
      </c>
      <c r="O147" s="56" t="s">
        <v>7148</v>
      </c>
      <c r="P147" s="55"/>
    </row>
    <row r="148" ht="19.95" customHeight="1" s="53" customFormat="1">
      <c r="A148" s="55">
        <v>171325</v>
      </c>
      <c r="B148" s="55" t="s">
        <v>2801</v>
      </c>
      <c r="C148" s="55" t="s">
        <v>4791</v>
      </c>
      <c r="D148" s="55">
        <v>1712482180</v>
      </c>
      <c r="E148" s="55" t="s">
        <v>67</v>
      </c>
      <c r="F148" s="55" t="s">
        <v>71</v>
      </c>
      <c r="G148" s="55" t="s">
        <v>5709</v>
      </c>
      <c r="H148" s="55" t="s">
        <v>308</v>
      </c>
      <c r="I148" s="55" t="s">
        <v>74</v>
      </c>
      <c r="J148" s="56" t="s">
        <v>69</v>
      </c>
      <c r="K148" s="56" t="s">
        <v>6872</v>
      </c>
      <c r="L148" s="236">
        <v>45370</v>
      </c>
      <c r="M148" s="55" t="s">
        <v>4695</v>
      </c>
      <c r="N148" s="55" t="s">
        <v>81</v>
      </c>
      <c r="O148" s="56" t="s">
        <v>7148</v>
      </c>
      <c r="P148" s="55"/>
    </row>
    <row r="149" ht="19.95" customHeight="1" s="53" customFormat="1">
      <c r="A149" s="55">
        <v>171049</v>
      </c>
      <c r="B149" s="55" t="s">
        <v>2856</v>
      </c>
      <c r="C149" s="55" t="s">
        <v>4777</v>
      </c>
      <c r="D149" s="55">
        <v>1743165343</v>
      </c>
      <c r="E149" s="55" t="s">
        <v>67</v>
      </c>
      <c r="F149" s="55" t="s">
        <v>71</v>
      </c>
      <c r="G149" s="55" t="s">
        <v>5709</v>
      </c>
      <c r="H149" s="55" t="s">
        <v>308</v>
      </c>
      <c r="I149" s="55" t="s">
        <v>74</v>
      </c>
      <c r="J149" s="56" t="s">
        <v>69</v>
      </c>
      <c r="K149" s="56" t="s">
        <v>6872</v>
      </c>
      <c r="L149" s="236">
        <v>45367</v>
      </c>
      <c r="M149" s="55" t="s">
        <v>4611</v>
      </c>
      <c r="N149" s="55" t="s">
        <v>81</v>
      </c>
      <c r="O149" s="56" t="s">
        <v>7148</v>
      </c>
      <c r="P149" s="55"/>
    </row>
    <row r="150" ht="19.95" customHeight="1" s="53" customFormat="1">
      <c r="A150" s="55">
        <v>171039</v>
      </c>
      <c r="B150" s="55" t="s">
        <v>823</v>
      </c>
      <c r="C150" s="55" t="s">
        <v>4810</v>
      </c>
      <c r="D150" s="55">
        <v>1645435329</v>
      </c>
      <c r="E150" s="55" t="s">
        <v>67</v>
      </c>
      <c r="F150" s="55" t="s">
        <v>71</v>
      </c>
      <c r="G150" s="55" t="s">
        <v>5709</v>
      </c>
      <c r="H150" s="55" t="s">
        <v>308</v>
      </c>
      <c r="I150" s="55" t="s">
        <v>74</v>
      </c>
      <c r="J150" s="56" t="s">
        <v>69</v>
      </c>
      <c r="K150" s="56" t="s">
        <v>6872</v>
      </c>
      <c r="L150" s="236">
        <v>45374</v>
      </c>
      <c r="M150" s="55" t="s">
        <v>4035</v>
      </c>
      <c r="N150" s="55" t="s">
        <v>81</v>
      </c>
      <c r="O150" s="56" t="s">
        <v>7148</v>
      </c>
      <c r="P150" s="55"/>
    </row>
    <row r="151" ht="19.95" customHeight="1" s="53" customFormat="1">
      <c r="A151" s="55">
        <v>171205</v>
      </c>
      <c r="B151" s="55" t="s">
        <v>6953</v>
      </c>
      <c r="C151" s="55" t="s">
        <v>4799</v>
      </c>
      <c r="D151" s="55">
        <v>1314223353</v>
      </c>
      <c r="E151" s="55" t="s">
        <v>67</v>
      </c>
      <c r="F151" s="55" t="s">
        <v>71</v>
      </c>
      <c r="G151" s="55" t="s">
        <v>155</v>
      </c>
      <c r="H151" s="55" t="s">
        <v>196</v>
      </c>
      <c r="I151" s="55" t="s">
        <v>74</v>
      </c>
      <c r="J151" s="56" t="s">
        <v>69</v>
      </c>
      <c r="K151" s="56" t="s">
        <v>6872</v>
      </c>
      <c r="L151" s="236">
        <v>45372</v>
      </c>
      <c r="M151" s="55" t="s">
        <v>4002</v>
      </c>
      <c r="N151" s="55" t="s">
        <v>81</v>
      </c>
      <c r="O151" s="56" t="s">
        <v>7148</v>
      </c>
      <c r="P151" s="55"/>
    </row>
    <row r="152" ht="19.95" customHeight="1" s="53" customFormat="1">
      <c r="A152" s="55">
        <v>171142</v>
      </c>
      <c r="B152" s="55" t="s">
        <v>4828</v>
      </c>
      <c r="C152" s="55" t="s">
        <v>4829</v>
      </c>
      <c r="D152" s="55">
        <v>1989838284</v>
      </c>
      <c r="E152" s="55" t="s">
        <v>67</v>
      </c>
      <c r="F152" s="55" t="s">
        <v>71</v>
      </c>
      <c r="G152" s="55" t="s">
        <v>155</v>
      </c>
      <c r="H152" s="55" t="s">
        <v>196</v>
      </c>
      <c r="I152" s="55" t="s">
        <v>74</v>
      </c>
      <c r="J152" s="56" t="s">
        <v>69</v>
      </c>
      <c r="K152" s="56" t="s">
        <v>6872</v>
      </c>
      <c r="L152" s="236">
        <v>45379</v>
      </c>
      <c r="M152" s="55" t="s">
        <v>4002</v>
      </c>
      <c r="N152" s="55" t="s">
        <v>81</v>
      </c>
      <c r="O152" s="56" t="s">
        <v>7148</v>
      </c>
      <c r="P152" s="55"/>
    </row>
    <row r="153" ht="19.95" customHeight="1" s="53" customFormat="1">
      <c r="A153" s="55">
        <v>171167</v>
      </c>
      <c r="B153" s="55" t="s">
        <v>2846</v>
      </c>
      <c r="C153" s="55" t="s">
        <v>4819</v>
      </c>
      <c r="D153" s="55">
        <v>1783904074</v>
      </c>
      <c r="E153" s="55" t="s">
        <v>67</v>
      </c>
      <c r="F153" s="55" t="s">
        <v>71</v>
      </c>
      <c r="G153" s="55" t="s">
        <v>2495</v>
      </c>
      <c r="H153" s="55" t="s">
        <v>2643</v>
      </c>
      <c r="I153" s="55" t="s">
        <v>74</v>
      </c>
      <c r="J153" s="56" t="s">
        <v>69</v>
      </c>
      <c r="K153" s="56" t="s">
        <v>6872</v>
      </c>
      <c r="L153" s="236">
        <v>45381</v>
      </c>
      <c r="M153" s="55" t="s">
        <v>3796</v>
      </c>
      <c r="N153" s="55" t="s">
        <v>81</v>
      </c>
      <c r="O153" s="56" t="s">
        <v>7148</v>
      </c>
      <c r="P153" s="55"/>
    </row>
    <row r="154" ht="19.95" customHeight="1" s="53" customFormat="1">
      <c r="A154" s="55">
        <v>171376</v>
      </c>
      <c r="B154" s="55" t="s">
        <v>4835</v>
      </c>
      <c r="C154" s="55" t="s">
        <v>4836</v>
      </c>
      <c r="D154" s="55">
        <v>1937042007</v>
      </c>
      <c r="E154" s="55" t="s">
        <v>67</v>
      </c>
      <c r="F154" s="55" t="s">
        <v>71</v>
      </c>
      <c r="G154" s="55" t="s">
        <v>155</v>
      </c>
      <c r="H154" s="55" t="s">
        <v>196</v>
      </c>
      <c r="I154" s="55" t="s">
        <v>74</v>
      </c>
      <c r="J154" s="56" t="s">
        <v>69</v>
      </c>
      <c r="K154" s="56" t="s">
        <v>7137</v>
      </c>
      <c r="L154" s="236">
        <v>45377</v>
      </c>
      <c r="M154" s="55" t="s">
        <v>3992</v>
      </c>
      <c r="N154" s="55" t="s">
        <v>81</v>
      </c>
      <c r="O154" s="56" t="s">
        <v>7148</v>
      </c>
      <c r="P154" s="55"/>
    </row>
    <row r="155" ht="19.95" customHeight="1" s="53" customFormat="1">
      <c r="A155" s="55">
        <v>171176</v>
      </c>
      <c r="B155" s="55" t="s">
        <v>3257</v>
      </c>
      <c r="C155" s="55" t="s">
        <v>4838</v>
      </c>
      <c r="D155" s="55">
        <v>1533774035</v>
      </c>
      <c r="E155" s="55" t="s">
        <v>67</v>
      </c>
      <c r="F155" s="55" t="s">
        <v>71</v>
      </c>
      <c r="G155" s="55" t="s">
        <v>2495</v>
      </c>
      <c r="H155" s="55" t="s">
        <v>98</v>
      </c>
      <c r="I155" s="55" t="s">
        <v>74</v>
      </c>
      <c r="J155" s="56" t="s">
        <v>69</v>
      </c>
      <c r="K155" s="56" t="s">
        <v>6872</v>
      </c>
      <c r="L155" s="236">
        <v>45383</v>
      </c>
      <c r="M155" s="55" t="s">
        <v>4002</v>
      </c>
      <c r="N155" s="55" t="s">
        <v>81</v>
      </c>
      <c r="O155" s="56" t="s">
        <v>7148</v>
      </c>
      <c r="P155" s="55"/>
    </row>
    <row r="156" ht="19.95" customHeight="1" s="53" customFormat="1">
      <c r="A156" s="55">
        <v>171132</v>
      </c>
      <c r="B156" s="55" t="s">
        <v>891</v>
      </c>
      <c r="C156" s="55" t="s">
        <v>4845</v>
      </c>
      <c r="D156" s="55">
        <v>1983628324</v>
      </c>
      <c r="E156" s="55" t="s">
        <v>67</v>
      </c>
      <c r="F156" s="55" t="s">
        <v>71</v>
      </c>
      <c r="G156" s="55" t="s">
        <v>5709</v>
      </c>
      <c r="H156" s="55" t="s">
        <v>115</v>
      </c>
      <c r="I156" s="55" t="s">
        <v>74</v>
      </c>
      <c r="J156" s="56" t="s">
        <v>69</v>
      </c>
      <c r="K156" s="56" t="s">
        <v>6872</v>
      </c>
      <c r="L156" s="236">
        <v>45383</v>
      </c>
      <c r="M156" s="55" t="s">
        <v>4035</v>
      </c>
      <c r="N156" s="55" t="s">
        <v>81</v>
      </c>
      <c r="O156" s="56" t="s">
        <v>7148</v>
      </c>
      <c r="P156" s="55"/>
    </row>
    <row r="157" ht="19.95" customHeight="1" s="53" customFormat="1">
      <c r="A157" s="55">
        <v>171284</v>
      </c>
      <c r="B157" s="55" t="s">
        <v>5416</v>
      </c>
      <c r="C157" s="55" t="s">
        <v>4846</v>
      </c>
      <c r="D157" s="55">
        <v>1968638774</v>
      </c>
      <c r="E157" s="55" t="s">
        <v>67</v>
      </c>
      <c r="F157" s="55" t="s">
        <v>71</v>
      </c>
      <c r="G157" s="55" t="s">
        <v>5709</v>
      </c>
      <c r="H157" s="55" t="s">
        <v>115</v>
      </c>
      <c r="I157" s="55" t="s">
        <v>74</v>
      </c>
      <c r="J157" s="56" t="s">
        <v>69</v>
      </c>
      <c r="K157" s="56" t="s">
        <v>6872</v>
      </c>
      <c r="L157" s="236">
        <v>45383</v>
      </c>
      <c r="M157" s="55" t="s">
        <v>4002</v>
      </c>
      <c r="N157" s="55" t="s">
        <v>81</v>
      </c>
      <c r="O157" s="56" t="s">
        <v>7148</v>
      </c>
      <c r="P157" s="55"/>
    </row>
    <row r="158" ht="19.95" customHeight="1" s="53" customFormat="1">
      <c r="A158" s="55">
        <v>171141</v>
      </c>
      <c r="B158" s="55" t="s">
        <v>4855</v>
      </c>
      <c r="C158" s="55" t="s">
        <v>4856</v>
      </c>
      <c r="D158" s="55">
        <v>1738134147</v>
      </c>
      <c r="E158" s="55" t="s">
        <v>67</v>
      </c>
      <c r="F158" s="55" t="s">
        <v>71</v>
      </c>
      <c r="G158" s="55" t="s">
        <v>155</v>
      </c>
      <c r="H158" s="55" t="s">
        <v>196</v>
      </c>
      <c r="I158" s="55" t="s">
        <v>74</v>
      </c>
      <c r="J158" s="56" t="s">
        <v>69</v>
      </c>
      <c r="K158" s="56" t="s">
        <v>6872</v>
      </c>
      <c r="L158" s="236">
        <v>45383</v>
      </c>
      <c r="M158" s="55" t="s">
        <v>4002</v>
      </c>
      <c r="N158" s="55" t="s">
        <v>81</v>
      </c>
      <c r="O158" s="56" t="s">
        <v>7148</v>
      </c>
      <c r="P158" s="55"/>
    </row>
    <row r="159" ht="19.95" customHeight="1" s="53" customFormat="1">
      <c r="A159" s="55">
        <v>171310</v>
      </c>
      <c r="B159" s="55" t="s">
        <v>4863</v>
      </c>
      <c r="C159" s="55" t="s">
        <v>4864</v>
      </c>
      <c r="D159" s="55">
        <v>1817469154</v>
      </c>
      <c r="E159" s="55" t="s">
        <v>67</v>
      </c>
      <c r="F159" s="55" t="s">
        <v>71</v>
      </c>
      <c r="G159" s="55" t="s">
        <v>155</v>
      </c>
      <c r="H159" s="55" t="s">
        <v>196</v>
      </c>
      <c r="I159" s="55" t="s">
        <v>74</v>
      </c>
      <c r="J159" s="56" t="s">
        <v>69</v>
      </c>
      <c r="K159" s="56" t="s">
        <v>6872</v>
      </c>
      <c r="L159" s="236">
        <v>45385</v>
      </c>
      <c r="M159" s="55" t="s">
        <v>4035</v>
      </c>
      <c r="N159" s="55" t="s">
        <v>81</v>
      </c>
      <c r="O159" s="56" t="s">
        <v>7148</v>
      </c>
      <c r="P159" s="55"/>
    </row>
    <row r="160" ht="19.95" customHeight="1" s="53" customFormat="1">
      <c r="A160" s="55">
        <v>171138</v>
      </c>
      <c r="B160" s="55" t="s">
        <v>4873</v>
      </c>
      <c r="C160" s="55" t="s">
        <v>4874</v>
      </c>
      <c r="D160" s="55">
        <v>1626004922</v>
      </c>
      <c r="E160" s="55" t="s">
        <v>67</v>
      </c>
      <c r="F160" s="55" t="s">
        <v>71</v>
      </c>
      <c r="G160" s="55" t="s">
        <v>155</v>
      </c>
      <c r="H160" s="55" t="s">
        <v>196</v>
      </c>
      <c r="I160" s="55" t="s">
        <v>74</v>
      </c>
      <c r="J160" s="56" t="s">
        <v>69</v>
      </c>
      <c r="K160" s="56" t="s">
        <v>7137</v>
      </c>
      <c r="L160" s="236">
        <v>45385</v>
      </c>
      <c r="M160" s="55" t="s">
        <v>3992</v>
      </c>
      <c r="N160" s="55" t="s">
        <v>81</v>
      </c>
      <c r="O160" s="56" t="s">
        <v>7148</v>
      </c>
      <c r="P160" s="55"/>
    </row>
    <row r="161" ht="19.95" customHeight="1" s="53" customFormat="1">
      <c r="A161" s="55">
        <v>171109</v>
      </c>
      <c r="B161" s="55" t="s">
        <v>854</v>
      </c>
      <c r="C161" s="55" t="s">
        <v>4881</v>
      </c>
      <c r="D161" s="55">
        <v>1724276778</v>
      </c>
      <c r="E161" s="55" t="s">
        <v>67</v>
      </c>
      <c r="F161" s="55" t="s">
        <v>71</v>
      </c>
      <c r="G161" s="55" t="s">
        <v>2495</v>
      </c>
      <c r="H161" s="55" t="s">
        <v>308</v>
      </c>
      <c r="I161" s="55" t="s">
        <v>74</v>
      </c>
      <c r="J161" s="56" t="s">
        <v>69</v>
      </c>
      <c r="K161" s="56" t="s">
        <v>6872</v>
      </c>
      <c r="L161" s="236">
        <v>45387</v>
      </c>
      <c r="M161" s="55" t="s">
        <v>3978</v>
      </c>
      <c r="N161" s="55" t="s">
        <v>81</v>
      </c>
      <c r="O161" s="56" t="s">
        <v>7148</v>
      </c>
      <c r="P161" s="55"/>
    </row>
    <row r="162" ht="19.95" customHeight="1" s="53" customFormat="1">
      <c r="A162" s="55">
        <v>171078</v>
      </c>
      <c r="B162" s="55" t="s">
        <v>4890</v>
      </c>
      <c r="C162" s="55" t="s">
        <v>6958</v>
      </c>
      <c r="D162" s="55">
        <v>1709837522</v>
      </c>
      <c r="E162" s="55" t="s">
        <v>67</v>
      </c>
      <c r="F162" s="55" t="s">
        <v>71</v>
      </c>
      <c r="G162" s="55" t="s">
        <v>155</v>
      </c>
      <c r="H162" s="55" t="s">
        <v>196</v>
      </c>
      <c r="I162" s="55" t="s">
        <v>74</v>
      </c>
      <c r="J162" s="56" t="s">
        <v>69</v>
      </c>
      <c r="K162" s="56" t="s">
        <v>6872</v>
      </c>
      <c r="L162" s="236">
        <v>45388</v>
      </c>
      <c r="M162" s="55" t="s">
        <v>4035</v>
      </c>
      <c r="N162" s="55" t="s">
        <v>81</v>
      </c>
      <c r="O162" s="56" t="s">
        <v>7148</v>
      </c>
      <c r="P162" s="55"/>
    </row>
    <row r="163" ht="19.95" customHeight="1" s="53" customFormat="1">
      <c r="A163" s="55">
        <v>171393</v>
      </c>
      <c r="B163" s="55" t="s">
        <v>2856</v>
      </c>
      <c r="C163" s="55" t="s">
        <v>4899</v>
      </c>
      <c r="D163" s="55">
        <v>1892781336</v>
      </c>
      <c r="E163" s="55" t="s">
        <v>67</v>
      </c>
      <c r="F163" s="55" t="s">
        <v>71</v>
      </c>
      <c r="G163" s="55" t="s">
        <v>5709</v>
      </c>
      <c r="H163" s="55" t="s">
        <v>308</v>
      </c>
      <c r="I163" s="55" t="s">
        <v>74</v>
      </c>
      <c r="J163" s="56" t="s">
        <v>69</v>
      </c>
      <c r="K163" s="56" t="s">
        <v>6872</v>
      </c>
      <c r="L163" s="236">
        <v>45389</v>
      </c>
      <c r="M163" s="55" t="s">
        <v>4035</v>
      </c>
      <c r="N163" s="55" t="s">
        <v>81</v>
      </c>
      <c r="O163" s="56" t="s">
        <v>7148</v>
      </c>
      <c r="P163" s="55"/>
    </row>
    <row r="164" ht="19.95" customHeight="1" s="53" customFormat="1">
      <c r="A164" s="55">
        <v>171304</v>
      </c>
      <c r="B164" s="55" t="s">
        <v>4901</v>
      </c>
      <c r="C164" s="55" t="s">
        <v>4902</v>
      </c>
      <c r="D164" s="55">
        <v>1981875239</v>
      </c>
      <c r="E164" s="55" t="s">
        <v>67</v>
      </c>
      <c r="F164" s="55" t="s">
        <v>71</v>
      </c>
      <c r="G164" s="55" t="s">
        <v>155</v>
      </c>
      <c r="H164" s="55" t="s">
        <v>196</v>
      </c>
      <c r="I164" s="55" t="s">
        <v>74</v>
      </c>
      <c r="J164" s="56" t="s">
        <v>69</v>
      </c>
      <c r="K164" s="56" t="s">
        <v>6872</v>
      </c>
      <c r="L164" s="236">
        <v>45389</v>
      </c>
      <c r="M164" s="55" t="s">
        <v>4002</v>
      </c>
      <c r="N164" s="55" t="s">
        <v>81</v>
      </c>
      <c r="O164" s="56" t="s">
        <v>7148</v>
      </c>
      <c r="P164" s="55"/>
    </row>
    <row r="165" ht="19.95" customHeight="1" s="53" customFormat="1">
      <c r="A165" s="55">
        <v>171275</v>
      </c>
      <c r="B165" s="55" t="s">
        <v>1050</v>
      </c>
      <c r="C165" s="55" t="s">
        <v>4908</v>
      </c>
      <c r="D165" s="55">
        <v>1701073792</v>
      </c>
      <c r="E165" s="55" t="s">
        <v>67</v>
      </c>
      <c r="F165" s="55" t="s">
        <v>71</v>
      </c>
      <c r="G165" s="55" t="s">
        <v>5709</v>
      </c>
      <c r="H165" s="55" t="s">
        <v>115</v>
      </c>
      <c r="I165" s="55" t="s">
        <v>74</v>
      </c>
      <c r="J165" s="56" t="s">
        <v>69</v>
      </c>
      <c r="K165" s="56" t="s">
        <v>6872</v>
      </c>
      <c r="L165" s="236">
        <v>45390</v>
      </c>
      <c r="M165" s="55" t="s">
        <v>4035</v>
      </c>
      <c r="N165" s="55" t="s">
        <v>81</v>
      </c>
      <c r="O165" s="56" t="s">
        <v>7148</v>
      </c>
      <c r="P165" s="55"/>
    </row>
    <row r="166" ht="19.95" customHeight="1" s="53" customFormat="1">
      <c r="A166" s="55">
        <v>171237</v>
      </c>
      <c r="B166" s="55" t="s">
        <v>864</v>
      </c>
      <c r="C166" s="55" t="s">
        <v>4914</v>
      </c>
      <c r="D166" s="55" t="s">
        <v>7158</v>
      </c>
      <c r="E166" s="55" t="s">
        <v>67</v>
      </c>
      <c r="F166" s="55" t="s">
        <v>71</v>
      </c>
      <c r="G166" s="55" t="s">
        <v>5709</v>
      </c>
      <c r="H166" s="55" t="s">
        <v>308</v>
      </c>
      <c r="I166" s="55" t="s">
        <v>74</v>
      </c>
      <c r="J166" s="56" t="s">
        <v>69</v>
      </c>
      <c r="K166" s="56" t="s">
        <v>6872</v>
      </c>
      <c r="L166" s="236">
        <v>45392</v>
      </c>
      <c r="M166" s="55" t="s">
        <v>4002</v>
      </c>
      <c r="N166" s="55" t="s">
        <v>81</v>
      </c>
      <c r="O166" s="56" t="s">
        <v>7148</v>
      </c>
      <c r="P166" s="55"/>
    </row>
    <row r="167" ht="19.95" customHeight="1" s="53" customFormat="1">
      <c r="A167" s="55">
        <v>171327</v>
      </c>
      <c r="B167" s="55" t="s">
        <v>4923</v>
      </c>
      <c r="C167" s="55" t="s">
        <v>4924</v>
      </c>
      <c r="D167" s="55">
        <v>1765743669</v>
      </c>
      <c r="E167" s="55" t="s">
        <v>67</v>
      </c>
      <c r="F167" s="55" t="s">
        <v>71</v>
      </c>
      <c r="G167" s="55" t="s">
        <v>155</v>
      </c>
      <c r="H167" s="55" t="s">
        <v>196</v>
      </c>
      <c r="I167" s="55" t="s">
        <v>74</v>
      </c>
      <c r="J167" s="56" t="s">
        <v>69</v>
      </c>
      <c r="K167" s="56" t="s">
        <v>6872</v>
      </c>
      <c r="L167" s="236">
        <v>45396</v>
      </c>
      <c r="M167" s="55" t="s">
        <v>4035</v>
      </c>
      <c r="N167" s="55" t="s">
        <v>81</v>
      </c>
      <c r="O167" s="56" t="s">
        <v>7148</v>
      </c>
      <c r="P167" s="55"/>
    </row>
    <row r="168" ht="19.95" customHeight="1" s="53" customFormat="1">
      <c r="A168" s="55">
        <v>171234</v>
      </c>
      <c r="B168" s="55" t="s">
        <v>881</v>
      </c>
      <c r="C168" s="55" t="s">
        <v>4958</v>
      </c>
      <c r="D168" s="55">
        <v>1758222757</v>
      </c>
      <c r="E168" s="55" t="s">
        <v>67</v>
      </c>
      <c r="F168" s="55" t="s">
        <v>71</v>
      </c>
      <c r="G168" s="55" t="s">
        <v>5709</v>
      </c>
      <c r="H168" s="55" t="s">
        <v>98</v>
      </c>
      <c r="I168" s="55" t="s">
        <v>74</v>
      </c>
      <c r="J168" s="56" t="s">
        <v>69</v>
      </c>
      <c r="K168" s="56" t="s">
        <v>6872</v>
      </c>
      <c r="L168" s="236">
        <v>45362</v>
      </c>
      <c r="M168" s="55" t="s">
        <v>4035</v>
      </c>
      <c r="N168" s="55" t="s">
        <v>81</v>
      </c>
      <c r="O168" s="56" t="s">
        <v>7148</v>
      </c>
      <c r="P168" s="55"/>
    </row>
    <row r="169" ht="19.95" customHeight="1" s="53" customFormat="1">
      <c r="A169" s="55">
        <v>171363</v>
      </c>
      <c r="B169" s="55" t="s">
        <v>6961</v>
      </c>
      <c r="C169" s="55" t="s">
        <v>4950</v>
      </c>
      <c r="D169" s="55">
        <v>197205415</v>
      </c>
      <c r="E169" s="55" t="s">
        <v>67</v>
      </c>
      <c r="F169" s="55" t="s">
        <v>71</v>
      </c>
      <c r="G169" s="55" t="s">
        <v>5709</v>
      </c>
      <c r="H169" s="55" t="s">
        <v>308</v>
      </c>
      <c r="I169" s="55" t="s">
        <v>74</v>
      </c>
      <c r="J169" s="56" t="s">
        <v>69</v>
      </c>
      <c r="K169" s="56" t="s">
        <v>6872</v>
      </c>
      <c r="L169" s="236">
        <v>45369</v>
      </c>
      <c r="M169" s="55" t="s">
        <v>4957</v>
      </c>
      <c r="N169" s="55" t="s">
        <v>81</v>
      </c>
      <c r="O169" s="56" t="s">
        <v>7148</v>
      </c>
      <c r="P169" s="55"/>
    </row>
    <row r="170" ht="19.95" customHeight="1" s="53" customFormat="1">
      <c r="A170" s="55">
        <v>171127</v>
      </c>
      <c r="B170" s="55" t="s">
        <v>6955</v>
      </c>
      <c r="C170" s="55" t="s">
        <v>4932</v>
      </c>
      <c r="D170" s="55">
        <v>1648369636</v>
      </c>
      <c r="E170" s="55" t="s">
        <v>67</v>
      </c>
      <c r="F170" s="55" t="s">
        <v>71</v>
      </c>
      <c r="G170" s="55" t="s">
        <v>155</v>
      </c>
      <c r="H170" s="55" t="s">
        <v>196</v>
      </c>
      <c r="I170" s="55" t="s">
        <v>74</v>
      </c>
      <c r="J170" s="56" t="s">
        <v>69</v>
      </c>
      <c r="K170" s="56" t="s">
        <v>6872</v>
      </c>
      <c r="L170" s="236">
        <v>45398</v>
      </c>
      <c r="M170" s="55" t="s">
        <v>4035</v>
      </c>
      <c r="N170" s="55" t="s">
        <v>81</v>
      </c>
      <c r="O170" s="56" t="s">
        <v>7148</v>
      </c>
      <c r="P170" s="55"/>
    </row>
    <row r="171" ht="19.95" customHeight="1" s="53" customFormat="1">
      <c r="A171" s="55">
        <v>171370</v>
      </c>
      <c r="B171" s="55" t="s">
        <v>4940</v>
      </c>
      <c r="C171" s="55" t="s">
        <v>4941</v>
      </c>
      <c r="D171" s="55">
        <v>1975383911</v>
      </c>
      <c r="E171" s="55" t="s">
        <v>67</v>
      </c>
      <c r="F171" s="55" t="s">
        <v>71</v>
      </c>
      <c r="G171" s="55" t="s">
        <v>155</v>
      </c>
      <c r="H171" s="55" t="s">
        <v>196</v>
      </c>
      <c r="I171" s="55" t="s">
        <v>74</v>
      </c>
      <c r="J171" s="56" t="s">
        <v>69</v>
      </c>
      <c r="K171" s="56" t="s">
        <v>6872</v>
      </c>
      <c r="L171" s="236">
        <v>45400</v>
      </c>
      <c r="M171" s="55" t="s">
        <v>4035</v>
      </c>
      <c r="N171" s="55" t="s">
        <v>81</v>
      </c>
      <c r="O171" s="56" t="s">
        <v>7148</v>
      </c>
      <c r="P171" s="55"/>
    </row>
    <row r="172" ht="19.95" customHeight="1" s="53" customFormat="1">
      <c r="A172" s="55">
        <v>171207</v>
      </c>
      <c r="B172" s="55" t="s">
        <v>6962</v>
      </c>
      <c r="C172" s="55" t="s">
        <v>4993</v>
      </c>
      <c r="D172" s="55">
        <v>1865384419</v>
      </c>
      <c r="E172" s="55" t="s">
        <v>67</v>
      </c>
      <c r="F172" s="55" t="s">
        <v>71</v>
      </c>
      <c r="G172" s="55" t="s">
        <v>155</v>
      </c>
      <c r="H172" s="55" t="s">
        <v>196</v>
      </c>
      <c r="I172" s="55" t="s">
        <v>74</v>
      </c>
      <c r="J172" s="56" t="s">
        <v>69</v>
      </c>
      <c r="K172" s="56" t="s">
        <v>6872</v>
      </c>
      <c r="L172" s="236">
        <v>45398</v>
      </c>
      <c r="M172" s="55" t="s">
        <v>4035</v>
      </c>
      <c r="N172" s="55" t="s">
        <v>81</v>
      </c>
      <c r="O172" s="56" t="s">
        <v>7148</v>
      </c>
      <c r="P172" s="55"/>
    </row>
    <row r="173" ht="19.95" customHeight="1" s="53" customFormat="1">
      <c r="A173" s="55">
        <v>171056</v>
      </c>
      <c r="B173" s="55" t="s">
        <v>6965</v>
      </c>
      <c r="C173" s="55" t="s">
        <v>6966</v>
      </c>
      <c r="D173" s="55">
        <v>1711715226</v>
      </c>
      <c r="E173" s="55" t="s">
        <v>67</v>
      </c>
      <c r="F173" s="55" t="s">
        <v>71</v>
      </c>
      <c r="G173" s="55" t="s">
        <v>407</v>
      </c>
      <c r="H173" s="55" t="s">
        <v>2643</v>
      </c>
      <c r="I173" s="55" t="s">
        <v>74</v>
      </c>
      <c r="J173" s="56" t="s">
        <v>69</v>
      </c>
      <c r="K173" s="56" t="s">
        <v>6872</v>
      </c>
      <c r="L173" s="236">
        <v>45405</v>
      </c>
      <c r="M173" s="55" t="s">
        <v>3978</v>
      </c>
      <c r="N173" s="55" t="s">
        <v>81</v>
      </c>
      <c r="O173" s="56" t="s">
        <v>7148</v>
      </c>
      <c r="P173" s="55"/>
    </row>
    <row r="174" ht="19.95" customHeight="1" s="53" customFormat="1">
      <c r="A174" s="55">
        <v>171350</v>
      </c>
      <c r="B174" s="55" t="s">
        <v>4972</v>
      </c>
      <c r="C174" s="55" t="s">
        <v>6963</v>
      </c>
      <c r="D174" s="55">
        <v>1936408309</v>
      </c>
      <c r="E174" s="55" t="s">
        <v>67</v>
      </c>
      <c r="F174" s="55" t="s">
        <v>71</v>
      </c>
      <c r="G174" s="55" t="s">
        <v>155</v>
      </c>
      <c r="H174" s="55" t="s">
        <v>196</v>
      </c>
      <c r="I174" s="55" t="s">
        <v>74</v>
      </c>
      <c r="J174" s="56" t="s">
        <v>69</v>
      </c>
      <c r="K174" s="56" t="s">
        <v>6872</v>
      </c>
      <c r="L174" s="236">
        <v>45405</v>
      </c>
      <c r="M174" s="55" t="s">
        <v>4035</v>
      </c>
      <c r="N174" s="55" t="s">
        <v>81</v>
      </c>
      <c r="O174" s="56" t="s">
        <v>7148</v>
      </c>
      <c r="P174" s="55"/>
    </row>
    <row r="175" ht="19.95" customHeight="1" s="53" customFormat="1">
      <c r="A175" s="55">
        <v>171204</v>
      </c>
      <c r="B175" s="55" t="s">
        <v>6964</v>
      </c>
      <c r="C175" s="55" t="s">
        <v>4964</v>
      </c>
      <c r="D175" s="55">
        <v>1891800814</v>
      </c>
      <c r="E175" s="55" t="s">
        <v>67</v>
      </c>
      <c r="F175" s="55" t="s">
        <v>71</v>
      </c>
      <c r="G175" s="55" t="s">
        <v>155</v>
      </c>
      <c r="H175" s="55" t="s">
        <v>196</v>
      </c>
      <c r="I175" s="55" t="s">
        <v>74</v>
      </c>
      <c r="J175" s="56" t="s">
        <v>69</v>
      </c>
      <c r="K175" s="56" t="s">
        <v>6872</v>
      </c>
      <c r="L175" s="236">
        <v>45408</v>
      </c>
      <c r="M175" s="55" t="s">
        <v>4035</v>
      </c>
      <c r="N175" s="55" t="s">
        <v>81</v>
      </c>
      <c r="O175" s="56" t="s">
        <v>7148</v>
      </c>
      <c r="P175" s="55"/>
    </row>
    <row r="176" ht="19.95" customHeight="1" s="53" customFormat="1">
      <c r="A176" s="55">
        <v>171011</v>
      </c>
      <c r="B176" s="55" t="s">
        <v>4311</v>
      </c>
      <c r="C176" s="55" t="s">
        <v>5002</v>
      </c>
      <c r="D176" s="55">
        <v>1873667783</v>
      </c>
      <c r="E176" s="55" t="s">
        <v>67</v>
      </c>
      <c r="F176" s="55" t="s">
        <v>71</v>
      </c>
      <c r="G176" s="55" t="s">
        <v>5709</v>
      </c>
      <c r="H176" s="55" t="s">
        <v>115</v>
      </c>
      <c r="I176" s="55" t="s">
        <v>74</v>
      </c>
      <c r="J176" s="56" t="s">
        <v>69</v>
      </c>
      <c r="K176" s="56" t="s">
        <v>6872</v>
      </c>
      <c r="L176" s="236">
        <v>45413</v>
      </c>
      <c r="M176" s="55" t="s">
        <v>5012</v>
      </c>
      <c r="N176" s="55" t="s">
        <v>81</v>
      </c>
      <c r="O176" s="56" t="s">
        <v>7148</v>
      </c>
      <c r="P176" s="55"/>
    </row>
    <row r="177" ht="19.95" customHeight="1" s="53" customFormat="1">
      <c r="A177" s="55">
        <v>171112</v>
      </c>
      <c r="B177" s="55" t="s">
        <v>6968</v>
      </c>
      <c r="C177" s="55" t="s">
        <v>5032</v>
      </c>
      <c r="D177" s="55">
        <v>1745027707</v>
      </c>
      <c r="E177" s="55" t="s">
        <v>67</v>
      </c>
      <c r="F177" s="55" t="s">
        <v>10</v>
      </c>
      <c r="G177" s="55" t="s">
        <v>407</v>
      </c>
      <c r="H177" s="55" t="s">
        <v>2643</v>
      </c>
      <c r="I177" s="55" t="s">
        <v>74</v>
      </c>
      <c r="J177" s="56">
        <v>45412</v>
      </c>
      <c r="K177" s="56">
        <v>45412</v>
      </c>
      <c r="L177" s="236">
        <v>45413</v>
      </c>
      <c r="M177" s="55" t="s">
        <v>5076</v>
      </c>
      <c r="N177" s="55" t="s">
        <v>81</v>
      </c>
      <c r="O177" s="56" t="s">
        <v>7148</v>
      </c>
      <c r="P177" s="55"/>
    </row>
    <row r="178" ht="19.95" customHeight="1" s="53" customFormat="1">
      <c r="A178" s="55">
        <v>171165</v>
      </c>
      <c r="B178" s="55" t="s">
        <v>5013</v>
      </c>
      <c r="C178" s="55" t="s">
        <v>5014</v>
      </c>
      <c r="D178" s="55">
        <v>1680027706</v>
      </c>
      <c r="E178" s="55" t="s">
        <v>67</v>
      </c>
      <c r="F178" s="55" t="s">
        <v>71</v>
      </c>
      <c r="G178" s="55" t="s">
        <v>5709</v>
      </c>
      <c r="H178" s="55" t="s">
        <v>115</v>
      </c>
      <c r="I178" s="55" t="s">
        <v>74</v>
      </c>
      <c r="J178" s="56" t="s">
        <v>69</v>
      </c>
      <c r="K178" s="56" t="s">
        <v>6872</v>
      </c>
      <c r="L178" s="236">
        <v>45415</v>
      </c>
      <c r="M178" s="55" t="s">
        <v>3796</v>
      </c>
      <c r="N178" s="55" t="s">
        <v>81</v>
      </c>
      <c r="O178" s="56" t="s">
        <v>7148</v>
      </c>
      <c r="P178" s="55"/>
    </row>
    <row r="179" ht="19.95" customHeight="1" s="53" customFormat="1">
      <c r="A179" s="55">
        <v>171391</v>
      </c>
      <c r="B179" s="55" t="s">
        <v>2846</v>
      </c>
      <c r="C179" s="55" t="s">
        <v>5021</v>
      </c>
      <c r="D179" s="55">
        <v>1735231342</v>
      </c>
      <c r="E179" s="55" t="s">
        <v>67</v>
      </c>
      <c r="F179" s="55" t="s">
        <v>71</v>
      </c>
      <c r="G179" s="55" t="s">
        <v>2495</v>
      </c>
      <c r="H179" s="55" t="s">
        <v>98</v>
      </c>
      <c r="I179" s="55" t="s">
        <v>6967</v>
      </c>
      <c r="J179" s="56" t="s">
        <v>69</v>
      </c>
      <c r="K179" s="56" t="s">
        <v>6872</v>
      </c>
      <c r="L179" s="236">
        <v>45415</v>
      </c>
      <c r="M179" s="55" t="s">
        <v>3978</v>
      </c>
      <c r="N179" s="55" t="s">
        <v>81</v>
      </c>
      <c r="O179" s="56" t="s">
        <v>7148</v>
      </c>
      <c r="P179" s="55"/>
    </row>
    <row r="180" ht="19.95" customHeight="1" s="53" customFormat="1">
      <c r="A180" s="55">
        <v>171448</v>
      </c>
      <c r="B180" s="55" t="s">
        <v>5027</v>
      </c>
      <c r="C180" s="55" t="s">
        <v>5028</v>
      </c>
      <c r="D180" s="55">
        <v>1837694900</v>
      </c>
      <c r="E180" s="55" t="s">
        <v>67</v>
      </c>
      <c r="F180" s="55" t="s">
        <v>71</v>
      </c>
      <c r="G180" s="55" t="s">
        <v>297</v>
      </c>
      <c r="H180" s="55" t="s">
        <v>308</v>
      </c>
      <c r="I180" s="55" t="s">
        <v>74</v>
      </c>
      <c r="J180" s="56" t="s">
        <v>69</v>
      </c>
      <c r="K180" s="56" t="s">
        <v>6872</v>
      </c>
      <c r="L180" s="236">
        <v>45415</v>
      </c>
      <c r="M180" s="55" t="s">
        <v>5030</v>
      </c>
      <c r="N180" s="55" t="s">
        <v>81</v>
      </c>
      <c r="O180" s="56" t="s">
        <v>7148</v>
      </c>
      <c r="P180" s="55"/>
    </row>
    <row r="181" ht="19.95" customHeight="1" s="53" customFormat="1">
      <c r="A181" s="55">
        <v>171402</v>
      </c>
      <c r="B181" s="55" t="s">
        <v>5039</v>
      </c>
      <c r="C181" s="55" t="s">
        <v>6971</v>
      </c>
      <c r="D181" s="55">
        <v>1311015450</v>
      </c>
      <c r="E181" s="55" t="s">
        <v>67</v>
      </c>
      <c r="F181" s="55" t="s">
        <v>71</v>
      </c>
      <c r="G181" s="55" t="s">
        <v>155</v>
      </c>
      <c r="H181" s="55" t="s">
        <v>196</v>
      </c>
      <c r="I181" s="55" t="s">
        <v>74</v>
      </c>
      <c r="J181" s="56" t="s">
        <v>69</v>
      </c>
      <c r="K181" s="56" t="s">
        <v>7137</v>
      </c>
      <c r="L181" s="236">
        <v>45416</v>
      </c>
      <c r="M181" s="55" t="s">
        <v>4035</v>
      </c>
      <c r="N181" s="55" t="s">
        <v>81</v>
      </c>
      <c r="O181" s="56" t="s">
        <v>7148</v>
      </c>
      <c r="P181" s="55"/>
    </row>
    <row r="182" ht="19.95" customHeight="1" s="53" customFormat="1">
      <c r="A182" s="55">
        <v>171362</v>
      </c>
      <c r="B182" s="55" t="s">
        <v>5096</v>
      </c>
      <c r="C182" s="55" t="s">
        <v>5097</v>
      </c>
      <c r="D182" s="55" t="s">
        <v>6969</v>
      </c>
      <c r="E182" s="55" t="s">
        <v>67</v>
      </c>
      <c r="F182" s="55" t="s">
        <v>71</v>
      </c>
      <c r="G182" s="55" t="s">
        <v>297</v>
      </c>
      <c r="H182" s="55" t="s">
        <v>308</v>
      </c>
      <c r="I182" s="55" t="s">
        <v>74</v>
      </c>
      <c r="J182" s="56" t="s">
        <v>69</v>
      </c>
      <c r="K182" s="56" t="s">
        <v>6872</v>
      </c>
      <c r="L182" s="236">
        <v>45418</v>
      </c>
      <c r="M182" s="55" t="s">
        <v>5076</v>
      </c>
      <c r="N182" s="55" t="s">
        <v>81</v>
      </c>
      <c r="O182" s="56" t="s">
        <v>7148</v>
      </c>
      <c r="P182" s="55"/>
    </row>
    <row r="183" ht="19.95" customHeight="1" s="53" customFormat="1">
      <c r="A183" s="55">
        <v>171407</v>
      </c>
      <c r="B183" s="55" t="s">
        <v>5052</v>
      </c>
      <c r="C183" s="55" t="s">
        <v>5053</v>
      </c>
      <c r="D183" s="55">
        <v>1754243799</v>
      </c>
      <c r="E183" s="55" t="s">
        <v>67</v>
      </c>
      <c r="F183" s="55" t="s">
        <v>10</v>
      </c>
      <c r="G183" s="55" t="s">
        <v>97</v>
      </c>
      <c r="H183" s="55" t="s">
        <v>2643</v>
      </c>
      <c r="I183" s="55" t="s">
        <v>74</v>
      </c>
      <c r="J183" s="56" t="s">
        <v>69</v>
      </c>
      <c r="K183" s="56" t="s">
        <v>6872</v>
      </c>
      <c r="L183" s="236">
        <v>45419</v>
      </c>
      <c r="M183" s="55" t="s">
        <v>4002</v>
      </c>
      <c r="N183" s="55" t="s">
        <v>81</v>
      </c>
      <c r="O183" s="56" t="s">
        <v>7148</v>
      </c>
      <c r="P183" s="55"/>
    </row>
    <row r="184" ht="19.95" customHeight="1" s="53" customFormat="1">
      <c r="A184" s="55">
        <v>171449</v>
      </c>
      <c r="B184" s="55" t="s">
        <v>5061</v>
      </c>
      <c r="C184" s="55" t="s">
        <v>5062</v>
      </c>
      <c r="D184" s="55">
        <v>1739055097</v>
      </c>
      <c r="E184" s="55" t="s">
        <v>67</v>
      </c>
      <c r="F184" s="55" t="s">
        <v>71</v>
      </c>
      <c r="G184" s="55" t="s">
        <v>5709</v>
      </c>
      <c r="H184" s="55" t="s">
        <v>308</v>
      </c>
      <c r="I184" s="55" t="s">
        <v>74</v>
      </c>
      <c r="J184" s="56" t="s">
        <v>69</v>
      </c>
      <c r="K184" s="56" t="s">
        <v>6872</v>
      </c>
      <c r="L184" s="236">
        <v>45419</v>
      </c>
      <c r="M184" s="55" t="s">
        <v>5063</v>
      </c>
      <c r="N184" s="55" t="s">
        <v>81</v>
      </c>
      <c r="O184" s="56" t="s">
        <v>7148</v>
      </c>
      <c r="P184" s="55"/>
    </row>
    <row r="185" ht="19.95" customHeight="1" s="53" customFormat="1">
      <c r="A185" s="55">
        <v>171445</v>
      </c>
      <c r="B185" s="55" t="s">
        <v>5626</v>
      </c>
      <c r="C185" s="55" t="s">
        <v>5064</v>
      </c>
      <c r="D185" s="55">
        <v>1616844804</v>
      </c>
      <c r="E185" s="55" t="s">
        <v>67</v>
      </c>
      <c r="F185" s="55" t="s">
        <v>71</v>
      </c>
      <c r="G185" s="55" t="s">
        <v>2495</v>
      </c>
      <c r="H185" s="55" t="s">
        <v>2643</v>
      </c>
      <c r="I185" s="55" t="s">
        <v>74</v>
      </c>
      <c r="J185" s="56" t="s">
        <v>69</v>
      </c>
      <c r="K185" s="56" t="s">
        <v>7137</v>
      </c>
      <c r="L185" s="236">
        <v>45419</v>
      </c>
      <c r="M185" s="55" t="s">
        <v>3992</v>
      </c>
      <c r="N185" s="55" t="s">
        <v>81</v>
      </c>
      <c r="O185" s="56" t="s">
        <v>7148</v>
      </c>
      <c r="P185" s="55"/>
    </row>
    <row r="186" ht="19.95" customHeight="1" s="53" customFormat="1">
      <c r="A186" s="55">
        <v>171336</v>
      </c>
      <c r="B186" s="55" t="s">
        <v>5065</v>
      </c>
      <c r="C186" s="55" t="s">
        <v>5066</v>
      </c>
      <c r="D186" s="55">
        <v>1843656873</v>
      </c>
      <c r="E186" s="55" t="s">
        <v>67</v>
      </c>
      <c r="F186" s="55" t="s">
        <v>10</v>
      </c>
      <c r="G186" s="55" t="s">
        <v>2495</v>
      </c>
      <c r="H186" s="55" t="s">
        <v>2643</v>
      </c>
      <c r="I186" s="55" t="s">
        <v>74</v>
      </c>
      <c r="J186" s="56" t="s">
        <v>69</v>
      </c>
      <c r="K186" s="56" t="s">
        <v>6872</v>
      </c>
      <c r="L186" s="236">
        <v>45421</v>
      </c>
      <c r="M186" s="55" t="s">
        <v>5076</v>
      </c>
      <c r="N186" s="55" t="s">
        <v>81</v>
      </c>
      <c r="O186" s="56" t="s">
        <v>7148</v>
      </c>
      <c r="P186" s="55"/>
    </row>
    <row r="187" ht="19.95" customHeight="1" s="53" customFormat="1">
      <c r="A187" s="55">
        <v>171262</v>
      </c>
      <c r="B187" s="55" t="s">
        <v>6982</v>
      </c>
      <c r="C187" s="55" t="s">
        <v>5088</v>
      </c>
      <c r="D187" s="55">
        <v>1629965991</v>
      </c>
      <c r="E187" s="55" t="s">
        <v>67</v>
      </c>
      <c r="F187" s="55" t="s">
        <v>10</v>
      </c>
      <c r="G187" s="55" t="s">
        <v>2495</v>
      </c>
      <c r="H187" s="55" t="s">
        <v>2643</v>
      </c>
      <c r="I187" s="55" t="s">
        <v>74</v>
      </c>
      <c r="J187" s="56" t="s">
        <v>69</v>
      </c>
      <c r="K187" s="56" t="s">
        <v>6872</v>
      </c>
      <c r="L187" s="236">
        <v>45421</v>
      </c>
      <c r="M187" s="55" t="s">
        <v>5076</v>
      </c>
      <c r="N187" s="55" t="s">
        <v>81</v>
      </c>
      <c r="O187" s="56" t="s">
        <v>7148</v>
      </c>
      <c r="P187" s="55"/>
    </row>
    <row r="188" ht="19.95" customHeight="1" s="53" customFormat="1">
      <c r="A188" s="55">
        <v>171451</v>
      </c>
      <c r="B188" s="55" t="s">
        <v>5077</v>
      </c>
      <c r="C188" s="55" t="s">
        <v>5078</v>
      </c>
      <c r="D188" s="55" t="s">
        <v>7159</v>
      </c>
      <c r="E188" s="55" t="s">
        <v>67</v>
      </c>
      <c r="F188" s="55" t="s">
        <v>71</v>
      </c>
      <c r="G188" s="55" t="s">
        <v>2495</v>
      </c>
      <c r="H188" s="55" t="s">
        <v>308</v>
      </c>
      <c r="I188" s="55" t="s">
        <v>74</v>
      </c>
      <c r="J188" s="56" t="s">
        <v>69</v>
      </c>
      <c r="K188" s="56" t="s">
        <v>7137</v>
      </c>
      <c r="L188" s="236">
        <v>45426</v>
      </c>
      <c r="M188" s="55" t="s">
        <v>3992</v>
      </c>
      <c r="N188" s="55" t="s">
        <v>81</v>
      </c>
      <c r="O188" s="56" t="s">
        <v>7148</v>
      </c>
      <c r="P188" s="55"/>
    </row>
    <row r="189" ht="19.95" customHeight="1" s="53" customFormat="1">
      <c r="A189" s="55">
        <v>171432</v>
      </c>
      <c r="B189" s="55" t="s">
        <v>5106</v>
      </c>
      <c r="C189" s="55" t="s">
        <v>5107</v>
      </c>
      <c r="D189" s="55">
        <v>1723540478</v>
      </c>
      <c r="E189" s="55" t="s">
        <v>67</v>
      </c>
      <c r="F189" s="55" t="s">
        <v>71</v>
      </c>
      <c r="G189" s="55" t="s">
        <v>155</v>
      </c>
      <c r="H189" s="55" t="s">
        <v>196</v>
      </c>
      <c r="I189" s="55" t="s">
        <v>74</v>
      </c>
      <c r="J189" s="56" t="s">
        <v>69</v>
      </c>
      <c r="K189" s="56" t="s">
        <v>6872</v>
      </c>
      <c r="L189" s="236">
        <v>45428</v>
      </c>
      <c r="M189" s="55" t="s">
        <v>5076</v>
      </c>
      <c r="N189" s="55" t="s">
        <v>81</v>
      </c>
      <c r="O189" s="56" t="s">
        <v>7148</v>
      </c>
      <c r="P189" s="55"/>
    </row>
    <row r="190" ht="19.95" customHeight="1" s="53" customFormat="1">
      <c r="A190" s="55">
        <v>171273</v>
      </c>
      <c r="B190" s="55" t="s">
        <v>5666</v>
      </c>
      <c r="C190" s="55" t="s">
        <v>5117</v>
      </c>
      <c r="D190" s="55" t="s">
        <v>6972</v>
      </c>
      <c r="E190" s="55" t="s">
        <v>67</v>
      </c>
      <c r="F190" s="55" t="s">
        <v>71</v>
      </c>
      <c r="G190" s="55" t="s">
        <v>297</v>
      </c>
      <c r="H190" s="55" t="s">
        <v>308</v>
      </c>
      <c r="I190" s="55" t="s">
        <v>74</v>
      </c>
      <c r="J190" s="56" t="s">
        <v>69</v>
      </c>
      <c r="K190" s="56" t="s">
        <v>6872</v>
      </c>
      <c r="L190" s="236">
        <v>45430</v>
      </c>
      <c r="M190" s="55" t="s">
        <v>5125</v>
      </c>
      <c r="N190" s="55" t="s">
        <v>81</v>
      </c>
      <c r="O190" s="56" t="s">
        <v>7148</v>
      </c>
      <c r="P190" s="55"/>
    </row>
    <row r="191" ht="19.95" customHeight="1" s="53" customFormat="1">
      <c r="A191" s="55">
        <v>171159</v>
      </c>
      <c r="B191" s="55" t="s">
        <v>1059</v>
      </c>
      <c r="C191" s="55" t="s">
        <v>381</v>
      </c>
      <c r="D191" s="55">
        <v>1787440266</v>
      </c>
      <c r="E191" s="55" t="s">
        <v>67</v>
      </c>
      <c r="F191" s="55" t="s">
        <v>71</v>
      </c>
      <c r="G191" s="55" t="s">
        <v>2495</v>
      </c>
      <c r="H191" s="55" t="s">
        <v>98</v>
      </c>
      <c r="I191" s="55" t="s">
        <v>6967</v>
      </c>
      <c r="J191" s="56" t="s">
        <v>69</v>
      </c>
      <c r="K191" s="56" t="s">
        <v>6872</v>
      </c>
      <c r="L191" s="236">
        <v>45434</v>
      </c>
      <c r="M191" s="55" t="s">
        <v>5133</v>
      </c>
      <c r="N191" s="55" t="s">
        <v>81</v>
      </c>
      <c r="O191" s="56" t="s">
        <v>7148</v>
      </c>
      <c r="P191" s="55"/>
    </row>
    <row r="192" ht="19.95" customHeight="1" s="53" customFormat="1">
      <c r="A192" s="55">
        <v>171379</v>
      </c>
      <c r="B192" s="55" t="s">
        <v>5134</v>
      </c>
      <c r="C192" s="55" t="s">
        <v>5135</v>
      </c>
      <c r="D192" s="55">
        <v>1311015450</v>
      </c>
      <c r="E192" s="55" t="s">
        <v>67</v>
      </c>
      <c r="F192" s="55" t="s">
        <v>71</v>
      </c>
      <c r="G192" s="55" t="s">
        <v>155</v>
      </c>
      <c r="H192" s="55" t="s">
        <v>196</v>
      </c>
      <c r="I192" s="55" t="s">
        <v>74</v>
      </c>
      <c r="J192" s="56" t="s">
        <v>69</v>
      </c>
      <c r="K192" s="56" t="s">
        <v>6872</v>
      </c>
      <c r="L192" s="236">
        <v>45436</v>
      </c>
      <c r="M192" s="55" t="s">
        <v>4035</v>
      </c>
      <c r="N192" s="55" t="s">
        <v>81</v>
      </c>
      <c r="O192" s="56" t="s">
        <v>7148</v>
      </c>
      <c r="P192" s="55"/>
    </row>
    <row r="193" ht="19.95" customHeight="1" s="53" customFormat="1">
      <c r="A193" s="55">
        <v>171199</v>
      </c>
      <c r="B193" s="55" t="s">
        <v>1078</v>
      </c>
      <c r="C193" s="55" t="s">
        <v>4322</v>
      </c>
      <c r="D193" s="55">
        <v>1304036502</v>
      </c>
      <c r="E193" s="55" t="s">
        <v>67</v>
      </c>
      <c r="F193" s="55" t="s">
        <v>71</v>
      </c>
      <c r="G193" s="55" t="s">
        <v>297</v>
      </c>
      <c r="H193" s="55" t="s">
        <v>308</v>
      </c>
      <c r="I193" s="55" t="s">
        <v>74</v>
      </c>
      <c r="J193" s="56" t="s">
        <v>69</v>
      </c>
      <c r="K193" s="56" t="s">
        <v>6872</v>
      </c>
      <c r="L193" s="236">
        <v>45436</v>
      </c>
      <c r="M193" s="55" t="s">
        <v>5146</v>
      </c>
      <c r="N193" s="55" t="s">
        <v>81</v>
      </c>
      <c r="O193" s="56" t="s">
        <v>7148</v>
      </c>
      <c r="P193" s="55"/>
    </row>
    <row r="194" ht="19.95" customHeight="1" s="53" customFormat="1">
      <c r="A194" s="55">
        <v>171347</v>
      </c>
      <c r="B194" s="55" t="s">
        <v>5147</v>
      </c>
      <c r="C194" s="55" t="s">
        <v>6974</v>
      </c>
      <c r="D194" s="55">
        <v>1749254351</v>
      </c>
      <c r="E194" s="55" t="s">
        <v>67</v>
      </c>
      <c r="F194" s="55" t="s">
        <v>71</v>
      </c>
      <c r="G194" s="55" t="s">
        <v>155</v>
      </c>
      <c r="H194" s="55" t="s">
        <v>196</v>
      </c>
      <c r="I194" s="55" t="s">
        <v>74</v>
      </c>
      <c r="J194" s="56" t="s">
        <v>69</v>
      </c>
      <c r="K194" s="56" t="s">
        <v>6872</v>
      </c>
      <c r="L194" s="236">
        <v>45435</v>
      </c>
      <c r="M194" s="55" t="s">
        <v>4035</v>
      </c>
      <c r="N194" s="55" t="s">
        <v>81</v>
      </c>
      <c r="O194" s="56" t="s">
        <v>7148</v>
      </c>
      <c r="P194" s="55"/>
    </row>
    <row r="195" ht="19.95" customHeight="1" s="53" customFormat="1">
      <c r="A195" s="55">
        <v>171433</v>
      </c>
      <c r="B195" s="55" t="s">
        <v>5155</v>
      </c>
      <c r="C195" s="55" t="s">
        <v>5156</v>
      </c>
      <c r="D195" s="55">
        <v>1904071323</v>
      </c>
      <c r="E195" s="55" t="s">
        <v>67</v>
      </c>
      <c r="F195" s="55" t="s">
        <v>71</v>
      </c>
      <c r="G195" s="55" t="s">
        <v>155</v>
      </c>
      <c r="H195" s="55" t="s">
        <v>196</v>
      </c>
      <c r="I195" s="55" t="s">
        <v>74</v>
      </c>
      <c r="J195" s="56" t="s">
        <v>69</v>
      </c>
      <c r="K195" s="56" t="s">
        <v>6872</v>
      </c>
      <c r="L195" s="236">
        <v>45435</v>
      </c>
      <c r="M195" s="55" t="s">
        <v>4035</v>
      </c>
      <c r="N195" s="55" t="s">
        <v>81</v>
      </c>
      <c r="O195" s="56" t="s">
        <v>7148</v>
      </c>
      <c r="P195" s="55"/>
    </row>
    <row r="196" ht="19.95" customHeight="1" s="53" customFormat="1">
      <c r="A196" s="55">
        <v>171404</v>
      </c>
      <c r="B196" s="55" t="s">
        <v>6976</v>
      </c>
      <c r="C196" s="55" t="s">
        <v>6977</v>
      </c>
      <c r="D196" s="55">
        <v>1675787152</v>
      </c>
      <c r="E196" s="55" t="s">
        <v>67</v>
      </c>
      <c r="F196" s="55" t="s">
        <v>71</v>
      </c>
      <c r="G196" s="55" t="s">
        <v>155</v>
      </c>
      <c r="H196" s="55" t="s">
        <v>196</v>
      </c>
      <c r="I196" s="55" t="s">
        <v>74</v>
      </c>
      <c r="J196" s="56" t="s">
        <v>69</v>
      </c>
      <c r="K196" s="56" t="s">
        <v>6872</v>
      </c>
      <c r="L196" s="236">
        <v>45435</v>
      </c>
      <c r="M196" s="55" t="s">
        <v>4035</v>
      </c>
      <c r="N196" s="55" t="s">
        <v>81</v>
      </c>
      <c r="O196" s="56" t="s">
        <v>7148</v>
      </c>
      <c r="P196" s="55"/>
    </row>
    <row r="197" ht="19.95" customHeight="1" s="53" customFormat="1">
      <c r="A197" s="55">
        <v>171223</v>
      </c>
      <c r="B197" s="55" t="s">
        <v>5172</v>
      </c>
      <c r="C197" s="55" t="s">
        <v>6975</v>
      </c>
      <c r="D197" s="55">
        <v>1882382151</v>
      </c>
      <c r="E197" s="55" t="s">
        <v>67</v>
      </c>
      <c r="F197" s="55" t="s">
        <v>10</v>
      </c>
      <c r="G197" s="55" t="s">
        <v>407</v>
      </c>
      <c r="H197" s="55" t="s">
        <v>2643</v>
      </c>
      <c r="I197" s="55" t="s">
        <v>74</v>
      </c>
      <c r="J197" s="56" t="s">
        <v>69</v>
      </c>
      <c r="K197" s="56" t="s">
        <v>6872</v>
      </c>
      <c r="L197" s="236">
        <v>45441</v>
      </c>
      <c r="M197" s="55" t="s">
        <v>4035</v>
      </c>
      <c r="N197" s="55" t="s">
        <v>81</v>
      </c>
      <c r="O197" s="56" t="s">
        <v>7148</v>
      </c>
      <c r="P197" s="55"/>
    </row>
    <row r="198" ht="19.95" customHeight="1" s="53" customFormat="1">
      <c r="A198" s="55">
        <v>171408</v>
      </c>
      <c r="B198" s="55" t="s">
        <v>1775</v>
      </c>
      <c r="C198" s="55" t="s">
        <v>5182</v>
      </c>
      <c r="D198" s="55">
        <v>1938358604</v>
      </c>
      <c r="E198" s="55" t="s">
        <v>67</v>
      </c>
      <c r="F198" s="55" t="s">
        <v>71</v>
      </c>
      <c r="G198" s="55" t="s">
        <v>6979</v>
      </c>
      <c r="H198" s="55" t="s">
        <v>2643</v>
      </c>
      <c r="I198" s="55" t="s">
        <v>74</v>
      </c>
      <c r="J198" s="56" t="s">
        <v>69</v>
      </c>
      <c r="K198" s="56" t="s">
        <v>6872</v>
      </c>
      <c r="L198" s="236">
        <v>45440</v>
      </c>
      <c r="M198" s="55" t="s">
        <v>4035</v>
      </c>
      <c r="N198" s="55" t="s">
        <v>81</v>
      </c>
      <c r="O198" s="56" t="s">
        <v>7148</v>
      </c>
      <c r="P198" s="55"/>
    </row>
    <row r="199" ht="19.95" customHeight="1" s="53" customFormat="1">
      <c r="A199" s="55">
        <v>171154</v>
      </c>
      <c r="B199" s="55" t="s">
        <v>3059</v>
      </c>
      <c r="C199" s="55" t="s">
        <v>5190</v>
      </c>
      <c r="D199" s="55">
        <v>1980716717</v>
      </c>
      <c r="E199" s="55" t="s">
        <v>67</v>
      </c>
      <c r="F199" s="55" t="s">
        <v>71</v>
      </c>
      <c r="G199" s="55" t="s">
        <v>5709</v>
      </c>
      <c r="H199" s="55" t="s">
        <v>115</v>
      </c>
      <c r="I199" s="55" t="s">
        <v>74</v>
      </c>
      <c r="J199" s="56" t="s">
        <v>69</v>
      </c>
      <c r="K199" s="56" t="s">
        <v>6872</v>
      </c>
      <c r="L199" s="236">
        <v>45444</v>
      </c>
      <c r="M199" s="55" t="s">
        <v>4035</v>
      </c>
      <c r="N199" s="55" t="s">
        <v>81</v>
      </c>
      <c r="O199" s="56" t="s">
        <v>7148</v>
      </c>
      <c r="P199" s="55"/>
    </row>
    <row r="200" ht="19.95" customHeight="1" s="53" customFormat="1">
      <c r="A200" s="55">
        <v>171377</v>
      </c>
      <c r="B200" s="55" t="s">
        <v>5198</v>
      </c>
      <c r="C200" s="55" t="s">
        <v>6980</v>
      </c>
      <c r="D200" s="55">
        <v>1780651498</v>
      </c>
      <c r="E200" s="55" t="s">
        <v>67</v>
      </c>
      <c r="F200" s="55" t="s">
        <v>71</v>
      </c>
      <c r="G200" s="55" t="s">
        <v>155</v>
      </c>
      <c r="H200" s="55" t="s">
        <v>196</v>
      </c>
      <c r="I200" s="55" t="s">
        <v>74</v>
      </c>
      <c r="J200" s="56" t="s">
        <v>69</v>
      </c>
      <c r="K200" s="56" t="s">
        <v>6872</v>
      </c>
      <c r="L200" s="236">
        <v>45444</v>
      </c>
      <c r="M200" s="55" t="s">
        <v>4035</v>
      </c>
      <c r="N200" s="55" t="s">
        <v>81</v>
      </c>
      <c r="O200" s="56" t="s">
        <v>7148</v>
      </c>
      <c r="P200" s="55"/>
    </row>
    <row r="201" ht="19.95" customHeight="1" s="53" customFormat="1">
      <c r="A201" s="55">
        <v>171331</v>
      </c>
      <c r="B201" s="55" t="s">
        <v>5208</v>
      </c>
      <c r="C201" s="55" t="s">
        <v>5209</v>
      </c>
      <c r="D201" s="55">
        <v>1742651135</v>
      </c>
      <c r="E201" s="55" t="s">
        <v>67</v>
      </c>
      <c r="F201" s="55" t="s">
        <v>71</v>
      </c>
      <c r="G201" s="55" t="s">
        <v>155</v>
      </c>
      <c r="H201" s="55" t="s">
        <v>196</v>
      </c>
      <c r="I201" s="55" t="s">
        <v>74</v>
      </c>
      <c r="J201" s="56" t="s">
        <v>69</v>
      </c>
      <c r="K201" s="56" t="s">
        <v>6872</v>
      </c>
      <c r="L201" s="236">
        <v>45444</v>
      </c>
      <c r="M201" s="55" t="s">
        <v>4035</v>
      </c>
      <c r="N201" s="55" t="s">
        <v>81</v>
      </c>
      <c r="O201" s="56" t="s">
        <v>7148</v>
      </c>
      <c r="P201" s="55"/>
    </row>
    <row r="202" ht="19.95" customHeight="1" s="53" customFormat="1">
      <c r="A202" s="55">
        <v>171346</v>
      </c>
      <c r="B202" s="55" t="s">
        <v>1373</v>
      </c>
      <c r="C202" s="55" t="s">
        <v>5225</v>
      </c>
      <c r="D202" s="55" t="s">
        <v>6981</v>
      </c>
      <c r="E202" s="55" t="s">
        <v>67</v>
      </c>
      <c r="F202" s="55" t="s">
        <v>71</v>
      </c>
      <c r="G202" s="55" t="s">
        <v>5709</v>
      </c>
      <c r="H202" s="55" t="s">
        <v>308</v>
      </c>
      <c r="I202" s="55" t="s">
        <v>74</v>
      </c>
      <c r="J202" s="56" t="s">
        <v>69</v>
      </c>
      <c r="K202" s="56" t="s">
        <v>6872</v>
      </c>
      <c r="L202" s="236">
        <v>45449</v>
      </c>
      <c r="M202" s="55" t="s">
        <v>3978</v>
      </c>
      <c r="N202" s="55" t="s">
        <v>81</v>
      </c>
      <c r="O202" s="56" t="s">
        <v>7148</v>
      </c>
      <c r="P202" s="55"/>
    </row>
    <row r="203" ht="19.95" customHeight="1" s="53" customFormat="1">
      <c r="A203" s="55">
        <v>171455</v>
      </c>
      <c r="B203" s="55" t="s">
        <v>5240</v>
      </c>
      <c r="C203" s="55" t="s">
        <v>5241</v>
      </c>
      <c r="D203" s="55">
        <v>1779573124</v>
      </c>
      <c r="E203" s="55" t="s">
        <v>67</v>
      </c>
      <c r="F203" s="55" t="s">
        <v>71</v>
      </c>
      <c r="G203" s="55" t="s">
        <v>6979</v>
      </c>
      <c r="H203" s="55" t="s">
        <v>2643</v>
      </c>
      <c r="I203" s="55" t="s">
        <v>74</v>
      </c>
      <c r="J203" s="56" t="s">
        <v>69</v>
      </c>
      <c r="K203" s="56" t="s">
        <v>6872</v>
      </c>
      <c r="L203" s="236">
        <v>45453</v>
      </c>
      <c r="M203" s="55" t="s">
        <v>5246</v>
      </c>
      <c r="N203" s="55" t="s">
        <v>81</v>
      </c>
      <c r="O203" s="56" t="s">
        <v>7148</v>
      </c>
      <c r="P203" s="55"/>
    </row>
    <row r="204" ht="19.95" customHeight="1" s="53" customFormat="1">
      <c r="A204" s="55">
        <v>171459</v>
      </c>
      <c r="B204" s="55" t="s">
        <v>1335</v>
      </c>
      <c r="C204" s="55" t="s">
        <v>5233</v>
      </c>
      <c r="D204" s="55">
        <v>1856532640</v>
      </c>
      <c r="E204" s="55" t="s">
        <v>67</v>
      </c>
      <c r="F204" s="55" t="s">
        <v>71</v>
      </c>
      <c r="G204" s="55" t="s">
        <v>5709</v>
      </c>
      <c r="H204" s="55" t="s">
        <v>308</v>
      </c>
      <c r="I204" s="55" t="s">
        <v>74</v>
      </c>
      <c r="J204" s="56" t="s">
        <v>69</v>
      </c>
      <c r="K204" s="56" t="s">
        <v>6872</v>
      </c>
      <c r="L204" s="236">
        <v>45451</v>
      </c>
      <c r="M204" s="55" t="s">
        <v>5239</v>
      </c>
      <c r="N204" s="55" t="s">
        <v>81</v>
      </c>
      <c r="O204" s="56" t="s">
        <v>7148</v>
      </c>
      <c r="P204" s="55"/>
    </row>
    <row r="205" ht="19.95" customHeight="1" s="53" customFormat="1">
      <c r="A205" s="55">
        <v>171226</v>
      </c>
      <c r="B205" s="55" t="s">
        <v>1775</v>
      </c>
      <c r="C205" s="55" t="s">
        <v>6986</v>
      </c>
      <c r="D205" s="55">
        <v>1756859822</v>
      </c>
      <c r="E205" s="55" t="s">
        <v>67</v>
      </c>
      <c r="F205" s="55" t="s">
        <v>71</v>
      </c>
      <c r="G205" s="55" t="s">
        <v>6979</v>
      </c>
      <c r="H205" s="55" t="s">
        <v>2643</v>
      </c>
      <c r="I205" s="55" t="s">
        <v>74</v>
      </c>
      <c r="J205" s="56" t="s">
        <v>69</v>
      </c>
      <c r="K205" s="56" t="s">
        <v>6872</v>
      </c>
      <c r="L205" s="236">
        <v>45447</v>
      </c>
      <c r="M205" s="55" t="s">
        <v>4035</v>
      </c>
      <c r="N205" s="55" t="s">
        <v>81</v>
      </c>
      <c r="O205" s="56" t="s">
        <v>7148</v>
      </c>
      <c r="P205" s="55"/>
    </row>
    <row r="206" ht="19.95" customHeight="1" s="53" customFormat="1">
      <c r="A206" s="55">
        <v>171231</v>
      </c>
      <c r="B206" s="55" t="s">
        <v>5247</v>
      </c>
      <c r="C206" s="55" t="s">
        <v>6987</v>
      </c>
      <c r="D206" s="55" t="s">
        <v>6988</v>
      </c>
      <c r="E206" s="55" t="s">
        <v>67</v>
      </c>
      <c r="F206" s="55" t="s">
        <v>71</v>
      </c>
      <c r="G206" s="55" t="s">
        <v>5709</v>
      </c>
      <c r="H206" s="55" t="s">
        <v>98</v>
      </c>
      <c r="I206" s="55" t="s">
        <v>74</v>
      </c>
      <c r="J206" s="56" t="s">
        <v>69</v>
      </c>
      <c r="K206" s="56" t="s">
        <v>6872</v>
      </c>
      <c r="L206" s="236">
        <v>45453</v>
      </c>
      <c r="M206" s="55" t="s">
        <v>4035</v>
      </c>
      <c r="N206" s="55" t="s">
        <v>81</v>
      </c>
      <c r="O206" s="56" t="s">
        <v>7148</v>
      </c>
      <c r="P206" s="55"/>
    </row>
    <row r="207" ht="19.95" customHeight="1" s="53" customFormat="1">
      <c r="A207" s="55">
        <v>171466</v>
      </c>
      <c r="B207" s="55" t="s">
        <v>6982</v>
      </c>
      <c r="C207" s="55" t="s">
        <v>5258</v>
      </c>
      <c r="D207" s="55">
        <v>1854525743</v>
      </c>
      <c r="E207" s="55" t="s">
        <v>67</v>
      </c>
      <c r="F207" s="55" t="s">
        <v>71</v>
      </c>
      <c r="G207" s="55" t="s">
        <v>6979</v>
      </c>
      <c r="H207" s="55" t="s">
        <v>2643</v>
      </c>
      <c r="I207" s="55" t="s">
        <v>74</v>
      </c>
      <c r="J207" s="56" t="s">
        <v>69</v>
      </c>
      <c r="K207" s="56" t="s">
        <v>6872</v>
      </c>
      <c r="L207" s="236">
        <v>45457</v>
      </c>
      <c r="M207" s="55" t="s">
        <v>4035</v>
      </c>
      <c r="N207" s="55" t="s">
        <v>81</v>
      </c>
      <c r="O207" s="56" t="s">
        <v>7148</v>
      </c>
      <c r="P207" s="55"/>
    </row>
    <row r="208" ht="19.95" customHeight="1" s="53" customFormat="1">
      <c r="A208" s="55">
        <v>171171</v>
      </c>
      <c r="B208" s="55" t="s">
        <v>5061</v>
      </c>
      <c r="C208" s="55" t="s">
        <v>5279</v>
      </c>
      <c r="D208" s="55">
        <v>1795502909</v>
      </c>
      <c r="E208" s="55" t="s">
        <v>67</v>
      </c>
      <c r="F208" s="55" t="s">
        <v>71</v>
      </c>
      <c r="G208" s="55" t="s">
        <v>5709</v>
      </c>
      <c r="H208" s="55" t="s">
        <v>98</v>
      </c>
      <c r="I208" s="55" t="s">
        <v>74</v>
      </c>
      <c r="J208" s="56" t="s">
        <v>69</v>
      </c>
      <c r="K208" s="56" t="s">
        <v>6872</v>
      </c>
      <c r="L208" s="236">
        <v>45459</v>
      </c>
      <c r="M208" s="55" t="s">
        <v>3796</v>
      </c>
      <c r="N208" s="55" t="s">
        <v>81</v>
      </c>
      <c r="O208" s="56" t="s">
        <v>7148</v>
      </c>
      <c r="P208" s="55"/>
    </row>
    <row r="209" ht="19.95" customHeight="1" s="53" customFormat="1">
      <c r="A209" s="55">
        <v>171463</v>
      </c>
      <c r="B209" s="55" t="s">
        <v>1681</v>
      </c>
      <c r="C209" s="55" t="s">
        <v>5287</v>
      </c>
      <c r="D209" s="55" t="s">
        <v>6984</v>
      </c>
      <c r="E209" s="55" t="s">
        <v>67</v>
      </c>
      <c r="F209" s="55" t="s">
        <v>71</v>
      </c>
      <c r="G209" s="55" t="s">
        <v>5709</v>
      </c>
      <c r="H209" s="55" t="s">
        <v>6938</v>
      </c>
      <c r="I209" s="55" t="s">
        <v>74</v>
      </c>
      <c r="J209" s="56" t="s">
        <v>69</v>
      </c>
      <c r="K209" s="56" t="s">
        <v>6872</v>
      </c>
      <c r="L209" s="236">
        <v>45459</v>
      </c>
      <c r="M209" s="55" t="s">
        <v>4695</v>
      </c>
      <c r="N209" s="55" t="s">
        <v>81</v>
      </c>
      <c r="O209" s="56" t="s">
        <v>7148</v>
      </c>
      <c r="P209" s="55"/>
    </row>
    <row r="210" ht="19.95" customHeight="1" s="53" customFormat="1">
      <c r="A210" s="55">
        <v>171246</v>
      </c>
      <c r="B210" s="55" t="s">
        <v>5298</v>
      </c>
      <c r="C210" s="55" t="s">
        <v>5299</v>
      </c>
      <c r="D210" s="55">
        <v>1634669871</v>
      </c>
      <c r="E210" s="55" t="s">
        <v>67</v>
      </c>
      <c r="F210" s="55" t="s">
        <v>71</v>
      </c>
      <c r="G210" s="55" t="s">
        <v>5709</v>
      </c>
      <c r="H210" s="55" t="s">
        <v>115</v>
      </c>
      <c r="I210" s="55" t="s">
        <v>74</v>
      </c>
      <c r="J210" s="56" t="s">
        <v>69</v>
      </c>
      <c r="K210" s="56" t="s">
        <v>6872</v>
      </c>
      <c r="L210" s="236">
        <v>45459</v>
      </c>
      <c r="M210" s="55" t="s">
        <v>3796</v>
      </c>
      <c r="N210" s="55" t="s">
        <v>81</v>
      </c>
      <c r="O210" s="56" t="s">
        <v>7148</v>
      </c>
      <c r="P210" s="55"/>
    </row>
    <row r="211" ht="19.95" customHeight="1" s="53" customFormat="1">
      <c r="A211" s="55">
        <v>171266</v>
      </c>
      <c r="B211" s="55" t="s">
        <v>5308</v>
      </c>
      <c r="C211" s="55" t="s">
        <v>5309</v>
      </c>
      <c r="D211" s="55">
        <v>1304624009</v>
      </c>
      <c r="E211" s="55" t="s">
        <v>67</v>
      </c>
      <c r="F211" s="55" t="s">
        <v>71</v>
      </c>
      <c r="G211" s="55" t="s">
        <v>5709</v>
      </c>
      <c r="H211" s="55" t="s">
        <v>115</v>
      </c>
      <c r="I211" s="55" t="s">
        <v>74</v>
      </c>
      <c r="J211" s="56" t="s">
        <v>69</v>
      </c>
      <c r="K211" s="56" t="s">
        <v>6872</v>
      </c>
      <c r="L211" s="236">
        <v>45459</v>
      </c>
      <c r="M211" s="55" t="s">
        <v>4675</v>
      </c>
      <c r="N211" s="55" t="s">
        <v>81</v>
      </c>
      <c r="O211" s="56" t="s">
        <v>7148</v>
      </c>
      <c r="P211" s="55"/>
    </row>
    <row r="212" ht="19.95" customHeight="1" s="53" customFormat="1">
      <c r="A212" s="55">
        <v>171545</v>
      </c>
      <c r="B212" s="55" t="s">
        <v>6982</v>
      </c>
      <c r="C212" s="55" t="s">
        <v>5270</v>
      </c>
      <c r="D212" s="55">
        <v>1859794657</v>
      </c>
      <c r="E212" s="55" t="s">
        <v>67</v>
      </c>
      <c r="F212" s="55" t="s">
        <v>71</v>
      </c>
      <c r="G212" s="55" t="s">
        <v>6979</v>
      </c>
      <c r="H212" s="55" t="s">
        <v>2643</v>
      </c>
      <c r="I212" s="55" t="s">
        <v>74</v>
      </c>
      <c r="J212" s="56" t="s">
        <v>69</v>
      </c>
      <c r="K212" s="56" t="s">
        <v>6872</v>
      </c>
      <c r="L212" s="236">
        <v>45458</v>
      </c>
      <c r="M212" s="55" t="s">
        <v>4321</v>
      </c>
      <c r="N212" s="55" t="s">
        <v>81</v>
      </c>
      <c r="O212" s="56" t="s">
        <v>7148</v>
      </c>
      <c r="P212" s="55"/>
    </row>
    <row r="213" ht="19.95" customHeight="1" s="53" customFormat="1">
      <c r="A213" s="55">
        <v>171556</v>
      </c>
      <c r="B213" s="55" t="s">
        <v>1775</v>
      </c>
      <c r="C213" s="55" t="s">
        <v>5319</v>
      </c>
      <c r="D213" s="55">
        <v>1677876079</v>
      </c>
      <c r="E213" s="55" t="s">
        <v>67</v>
      </c>
      <c r="F213" s="55" t="s">
        <v>71</v>
      </c>
      <c r="G213" s="55" t="s">
        <v>6979</v>
      </c>
      <c r="H213" s="55" t="s">
        <v>2643</v>
      </c>
      <c r="I213" s="55" t="s">
        <v>74</v>
      </c>
      <c r="J213" s="56" t="s">
        <v>69</v>
      </c>
      <c r="K213" s="56" t="s">
        <v>6872</v>
      </c>
      <c r="L213" s="236">
        <v>45459</v>
      </c>
      <c r="M213" s="55" t="s">
        <v>4321</v>
      </c>
      <c r="N213" s="55" t="s">
        <v>81</v>
      </c>
      <c r="O213" s="56" t="s">
        <v>7148</v>
      </c>
      <c r="P213" s="55"/>
    </row>
    <row r="214" ht="19.95" customHeight="1" s="53" customFormat="1">
      <c r="A214" s="55">
        <v>171227</v>
      </c>
      <c r="B214" s="55" t="s">
        <v>1699</v>
      </c>
      <c r="C214" s="55" t="s">
        <v>5328</v>
      </c>
      <c r="D214" s="55" t="s">
        <v>6990</v>
      </c>
      <c r="E214" s="55" t="s">
        <v>67</v>
      </c>
      <c r="F214" s="55" t="s">
        <v>71</v>
      </c>
      <c r="G214" s="55" t="s">
        <v>6979</v>
      </c>
      <c r="H214" s="55" t="s">
        <v>6991</v>
      </c>
      <c r="I214" s="55" t="s">
        <v>74</v>
      </c>
      <c r="J214" s="56" t="s">
        <v>69</v>
      </c>
      <c r="K214" s="56" t="s">
        <v>6872</v>
      </c>
      <c r="L214" s="236">
        <v>45459</v>
      </c>
      <c r="M214" s="55" t="s">
        <v>4002</v>
      </c>
      <c r="N214" s="55" t="s">
        <v>81</v>
      </c>
      <c r="O214" s="56" t="s">
        <v>7148</v>
      </c>
      <c r="P214" s="55"/>
    </row>
    <row r="215" ht="19.95" customHeight="1" s="53" customFormat="1">
      <c r="A215" s="55">
        <v>171480</v>
      </c>
      <c r="B215" s="55" t="s">
        <v>5334</v>
      </c>
      <c r="C215" s="55" t="s">
        <v>6989</v>
      </c>
      <c r="D215" s="55">
        <v>1747118053</v>
      </c>
      <c r="E215" s="55" t="s">
        <v>67</v>
      </c>
      <c r="F215" s="55" t="s">
        <v>71</v>
      </c>
      <c r="G215" s="55" t="s">
        <v>155</v>
      </c>
      <c r="H215" s="55" t="s">
        <v>196</v>
      </c>
      <c r="I215" s="55" t="s">
        <v>74</v>
      </c>
      <c r="J215" s="56" t="s">
        <v>69</v>
      </c>
      <c r="K215" s="56" t="s">
        <v>6872</v>
      </c>
      <c r="L215" s="236">
        <v>45463</v>
      </c>
      <c r="M215" s="55" t="s">
        <v>4321</v>
      </c>
      <c r="N215" s="55" t="s">
        <v>81</v>
      </c>
      <c r="O215" s="56" t="s">
        <v>7148</v>
      </c>
      <c r="P215" s="55"/>
    </row>
    <row r="216" ht="19.95" customHeight="1" s="53" customFormat="1">
      <c r="A216" s="55">
        <v>171621</v>
      </c>
      <c r="B216" s="55" t="s">
        <v>2698</v>
      </c>
      <c r="C216" s="55" t="s">
        <v>5353</v>
      </c>
      <c r="D216" s="55">
        <v>1745153885</v>
      </c>
      <c r="E216" s="55" t="s">
        <v>67</v>
      </c>
      <c r="F216" s="55" t="s">
        <v>71</v>
      </c>
      <c r="G216" s="55" t="s">
        <v>1285</v>
      </c>
      <c r="H216" s="55" t="s">
        <v>115</v>
      </c>
      <c r="I216" s="55" t="s">
        <v>74</v>
      </c>
      <c r="J216" s="56" t="s">
        <v>69</v>
      </c>
      <c r="K216" s="56" t="s">
        <v>7137</v>
      </c>
      <c r="L216" s="236">
        <v>45464</v>
      </c>
      <c r="M216" s="55" t="s">
        <v>5355</v>
      </c>
      <c r="N216" s="55" t="s">
        <v>81</v>
      </c>
      <c r="O216" s="56" t="s">
        <v>7148</v>
      </c>
      <c r="P216" s="55"/>
    </row>
    <row r="217" ht="19.95" customHeight="1" s="53" customFormat="1">
      <c r="A217" s="55">
        <v>171609</v>
      </c>
      <c r="B217" s="55" t="s">
        <v>2696</v>
      </c>
      <c r="C217" s="55" t="s">
        <v>5356</v>
      </c>
      <c r="D217" s="55">
        <v>1754372133</v>
      </c>
      <c r="E217" s="55"/>
      <c r="F217" s="55"/>
      <c r="G217" s="55"/>
      <c r="H217" s="55" t="s">
        <v>115</v>
      </c>
      <c r="I217" s="55" t="s">
        <v>74</v>
      </c>
      <c r="J217" s="56" t="s">
        <v>69</v>
      </c>
      <c r="K217" s="56" t="s">
        <v>7137</v>
      </c>
      <c r="L217" s="236">
        <v>45464</v>
      </c>
      <c r="M217" s="55" t="s">
        <v>5355</v>
      </c>
      <c r="N217" s="55" t="s">
        <v>81</v>
      </c>
      <c r="O217" s="56" t="s">
        <v>7148</v>
      </c>
      <c r="P217" s="55"/>
    </row>
    <row r="218" ht="19.95" customHeight="1" s="53" customFormat="1">
      <c r="A218" s="55">
        <v>171043</v>
      </c>
      <c r="B218" s="55" t="s">
        <v>1782</v>
      </c>
      <c r="C218" s="55" t="s">
        <v>5358</v>
      </c>
      <c r="D218" s="55">
        <v>1670272823</v>
      </c>
      <c r="E218" s="55" t="s">
        <v>67</v>
      </c>
      <c r="F218" s="55" t="s">
        <v>71</v>
      </c>
      <c r="G218" s="55" t="s">
        <v>6979</v>
      </c>
      <c r="H218" s="55" t="s">
        <v>2643</v>
      </c>
      <c r="I218" s="55" t="s">
        <v>74</v>
      </c>
      <c r="J218" s="56" t="s">
        <v>69</v>
      </c>
      <c r="K218" s="56" t="s">
        <v>6872</v>
      </c>
      <c r="L218" s="236">
        <v>45465</v>
      </c>
      <c r="M218" s="55" t="s">
        <v>4035</v>
      </c>
      <c r="N218" s="55" t="s">
        <v>81</v>
      </c>
      <c r="O218" s="56" t="s">
        <v>7148</v>
      </c>
      <c r="P218" s="55"/>
    </row>
    <row r="219" ht="19.95" customHeight="1" s="53" customFormat="1">
      <c r="A219" s="55">
        <v>171489</v>
      </c>
      <c r="B219" s="55" t="s">
        <v>5363</v>
      </c>
      <c r="C219" s="55" t="s">
        <v>5364</v>
      </c>
      <c r="D219" s="55">
        <v>1869590195</v>
      </c>
      <c r="E219" s="55" t="s">
        <v>67</v>
      </c>
      <c r="F219" s="55" t="s">
        <v>71</v>
      </c>
      <c r="G219" s="55" t="s">
        <v>6979</v>
      </c>
      <c r="H219" s="55" t="s">
        <v>98</v>
      </c>
      <c r="I219" s="55" t="s">
        <v>74</v>
      </c>
      <c r="J219" s="56" t="s">
        <v>69</v>
      </c>
      <c r="K219" s="56" t="s">
        <v>6872</v>
      </c>
      <c r="L219" s="236">
        <v>45466</v>
      </c>
      <c r="M219" s="55" t="s">
        <v>3796</v>
      </c>
      <c r="N219" s="55" t="s">
        <v>81</v>
      </c>
      <c r="O219" s="56" t="s">
        <v>7148</v>
      </c>
      <c r="P219" s="55"/>
    </row>
    <row r="220" ht="19.95" customHeight="1" s="53" customFormat="1">
      <c r="A220" s="55">
        <v>171369</v>
      </c>
      <c r="B220" s="55" t="s">
        <v>5372</v>
      </c>
      <c r="C220" s="55" t="s">
        <v>5373</v>
      </c>
      <c r="D220" s="55">
        <v>1682368389</v>
      </c>
      <c r="E220" s="55" t="s">
        <v>67</v>
      </c>
      <c r="F220" s="55" t="s">
        <v>71</v>
      </c>
      <c r="G220" s="55" t="s">
        <v>155</v>
      </c>
      <c r="H220" s="55" t="s">
        <v>196</v>
      </c>
      <c r="I220" s="55" t="s">
        <v>74</v>
      </c>
      <c r="J220" s="56" t="s">
        <v>69</v>
      </c>
      <c r="K220" s="56" t="s">
        <v>7137</v>
      </c>
      <c r="L220" s="236">
        <v>45467</v>
      </c>
      <c r="M220" s="55" t="s">
        <v>5355</v>
      </c>
      <c r="N220" s="55" t="s">
        <v>81</v>
      </c>
      <c r="O220" s="56" t="s">
        <v>7148</v>
      </c>
      <c r="P220" s="55"/>
    </row>
    <row r="221" ht="19.95" customHeight="1" s="53" customFormat="1">
      <c r="A221" s="55">
        <v>171318</v>
      </c>
      <c r="B221" s="55" t="s">
        <v>5382</v>
      </c>
      <c r="C221" s="55" t="s">
        <v>5383</v>
      </c>
      <c r="D221" s="55">
        <v>1677104690</v>
      </c>
      <c r="E221" s="55" t="s">
        <v>67</v>
      </c>
      <c r="F221" s="55" t="s">
        <v>71</v>
      </c>
      <c r="G221" s="55" t="s">
        <v>6979</v>
      </c>
      <c r="H221" s="55" t="s">
        <v>2643</v>
      </c>
      <c r="I221" s="55" t="s">
        <v>74</v>
      </c>
      <c r="J221" s="56" t="s">
        <v>69</v>
      </c>
      <c r="K221" s="56" t="s">
        <v>6872</v>
      </c>
      <c r="L221" s="236">
        <v>45470</v>
      </c>
      <c r="M221" s="55" t="s">
        <v>3796</v>
      </c>
      <c r="N221" s="55" t="s">
        <v>81</v>
      </c>
      <c r="O221" s="56" t="s">
        <v>7148</v>
      </c>
      <c r="P221" s="55"/>
    </row>
    <row r="222" ht="19.95" customHeight="1" s="53" customFormat="1">
      <c r="A222" s="55">
        <v>171095</v>
      </c>
      <c r="B222" s="55" t="s">
        <v>1789</v>
      </c>
      <c r="C222" s="55" t="s">
        <v>5345</v>
      </c>
      <c r="D222" s="55">
        <v>1911007315</v>
      </c>
      <c r="E222" s="55" t="s">
        <v>67</v>
      </c>
      <c r="F222" s="55" t="s">
        <v>71</v>
      </c>
      <c r="G222" s="55" t="s">
        <v>5709</v>
      </c>
      <c r="H222" s="55" t="s">
        <v>115</v>
      </c>
      <c r="I222" s="55" t="s">
        <v>74</v>
      </c>
      <c r="J222" s="56" t="s">
        <v>69</v>
      </c>
      <c r="K222" s="56" t="s">
        <v>6872</v>
      </c>
      <c r="L222" s="236">
        <v>45463</v>
      </c>
      <c r="M222" s="55" t="s">
        <v>4321</v>
      </c>
      <c r="N222" s="55" t="s">
        <v>81</v>
      </c>
      <c r="O222" s="56" t="s">
        <v>7148</v>
      </c>
      <c r="P222" s="55"/>
    </row>
    <row r="223" ht="19.95" customHeight="1" s="53" customFormat="1">
      <c r="A223" s="55">
        <v>171532</v>
      </c>
      <c r="B223" s="55" t="s">
        <v>5393</v>
      </c>
      <c r="C223" s="55" t="s">
        <v>6998</v>
      </c>
      <c r="D223" s="55">
        <v>1787244605</v>
      </c>
      <c r="E223" s="55" t="s">
        <v>67</v>
      </c>
      <c r="F223" s="55" t="s">
        <v>71</v>
      </c>
      <c r="G223" s="55" t="s">
        <v>155</v>
      </c>
      <c r="H223" s="55" t="s">
        <v>196</v>
      </c>
      <c r="I223" s="55" t="s">
        <v>74</v>
      </c>
      <c r="J223" s="56" t="s">
        <v>69</v>
      </c>
      <c r="K223" s="56" t="s">
        <v>6872</v>
      </c>
      <c r="L223" s="236">
        <v>45470</v>
      </c>
      <c r="M223" s="55" t="s">
        <v>4035</v>
      </c>
      <c r="N223" s="55" t="s">
        <v>81</v>
      </c>
      <c r="O223" s="56" t="s">
        <v>7148</v>
      </c>
      <c r="P223" s="55"/>
    </row>
    <row r="224" ht="19.95" customHeight="1" s="53" customFormat="1">
      <c r="A224" s="55">
        <v>171596</v>
      </c>
      <c r="B224" s="55" t="s">
        <v>5404</v>
      </c>
      <c r="C224" s="55" t="s">
        <v>5405</v>
      </c>
      <c r="D224" s="55">
        <v>1316030854</v>
      </c>
      <c r="E224" s="55" t="s">
        <v>67</v>
      </c>
      <c r="F224" s="55" t="s">
        <v>71</v>
      </c>
      <c r="G224" s="55" t="s">
        <v>155</v>
      </c>
      <c r="H224" s="55" t="s">
        <v>196</v>
      </c>
      <c r="I224" s="55" t="s">
        <v>74</v>
      </c>
      <c r="J224" s="56" t="s">
        <v>69</v>
      </c>
      <c r="K224" s="56" t="s">
        <v>6872</v>
      </c>
      <c r="L224" s="236">
        <v>45472</v>
      </c>
      <c r="M224" s="55" t="s">
        <v>4035</v>
      </c>
      <c r="N224" s="55" t="s">
        <v>81</v>
      </c>
      <c r="O224" s="56" t="s">
        <v>7148</v>
      </c>
      <c r="P224" s="55"/>
    </row>
    <row r="225" ht="19.95" customHeight="1" s="53" customFormat="1">
      <c r="A225" s="55">
        <v>171535</v>
      </c>
      <c r="B225" s="55" t="s">
        <v>5395</v>
      </c>
      <c r="C225" s="55" t="s">
        <v>6995</v>
      </c>
      <c r="D225" s="55">
        <v>1722526211</v>
      </c>
      <c r="E225" s="55" t="s">
        <v>67</v>
      </c>
      <c r="F225" s="55" t="s">
        <v>71</v>
      </c>
      <c r="G225" s="55" t="s">
        <v>155</v>
      </c>
      <c r="H225" s="55" t="s">
        <v>196</v>
      </c>
      <c r="I225" s="55" t="s">
        <v>74</v>
      </c>
      <c r="J225" s="56" t="s">
        <v>69</v>
      </c>
      <c r="K225" s="56" t="s">
        <v>6872</v>
      </c>
      <c r="L225" s="236">
        <v>45472</v>
      </c>
      <c r="M225" s="55" t="s">
        <v>4035</v>
      </c>
      <c r="N225" s="55" t="s">
        <v>81</v>
      </c>
      <c r="O225" s="56" t="s">
        <v>7148</v>
      </c>
      <c r="P225" s="55"/>
    </row>
    <row r="226" ht="19.95" customHeight="1" s="53" customFormat="1">
      <c r="A226" s="55">
        <v>171405</v>
      </c>
      <c r="B226" s="55" t="s">
        <v>5425</v>
      </c>
      <c r="C226" s="55" t="s">
        <v>6999</v>
      </c>
      <c r="D226" s="55">
        <v>1716056673</v>
      </c>
      <c r="E226" s="55" t="s">
        <v>67</v>
      </c>
      <c r="F226" s="55" t="s">
        <v>71</v>
      </c>
      <c r="G226" s="55" t="s">
        <v>155</v>
      </c>
      <c r="H226" s="55" t="s">
        <v>196</v>
      </c>
      <c r="I226" s="55" t="s">
        <v>74</v>
      </c>
      <c r="J226" s="56" t="s">
        <v>69</v>
      </c>
      <c r="K226" s="56" t="s">
        <v>6872</v>
      </c>
      <c r="L226" s="236">
        <v>45474</v>
      </c>
      <c r="M226" s="55" t="s">
        <v>3978</v>
      </c>
      <c r="N226" s="55" t="s">
        <v>81</v>
      </c>
      <c r="O226" s="56" t="s">
        <v>7148</v>
      </c>
      <c r="P226" s="55"/>
    </row>
    <row r="227" ht="19.95" customHeight="1" s="53" customFormat="1">
      <c r="A227" s="55">
        <v>171397</v>
      </c>
      <c r="B227" s="55" t="s">
        <v>5416</v>
      </c>
      <c r="C227" s="55" t="s">
        <v>5417</v>
      </c>
      <c r="D227" s="55">
        <v>1915700966</v>
      </c>
      <c r="E227" s="55" t="s">
        <v>67</v>
      </c>
      <c r="F227" s="55" t="s">
        <v>71</v>
      </c>
      <c r="G227" s="55" t="s">
        <v>5709</v>
      </c>
      <c r="H227" s="55" t="s">
        <v>115</v>
      </c>
      <c r="I227" s="55" t="s">
        <v>74</v>
      </c>
      <c r="J227" s="56" t="s">
        <v>69</v>
      </c>
      <c r="K227" s="56" t="s">
        <v>6872</v>
      </c>
      <c r="L227" s="236">
        <v>45474</v>
      </c>
      <c r="M227" s="55" t="s">
        <v>3796</v>
      </c>
      <c r="N227" s="55" t="s">
        <v>81</v>
      </c>
      <c r="O227" s="56" t="s">
        <v>7148</v>
      </c>
      <c r="P227" s="55"/>
    </row>
    <row r="228" ht="19.95" customHeight="1" s="53" customFormat="1">
      <c r="A228" s="55">
        <v>171594</v>
      </c>
      <c r="B228" s="55" t="s">
        <v>5441</v>
      </c>
      <c r="C228" s="55" t="s">
        <v>7000</v>
      </c>
      <c r="D228" s="55">
        <v>1738128859</v>
      </c>
      <c r="E228" s="55" t="s">
        <v>67</v>
      </c>
      <c r="F228" s="55" t="s">
        <v>71</v>
      </c>
      <c r="G228" s="55" t="s">
        <v>155</v>
      </c>
      <c r="H228" s="55" t="s">
        <v>196</v>
      </c>
      <c r="I228" s="55" t="s">
        <v>74</v>
      </c>
      <c r="J228" s="56" t="s">
        <v>69</v>
      </c>
      <c r="K228" s="56" t="s">
        <v>6872</v>
      </c>
      <c r="L228" s="236">
        <v>45476</v>
      </c>
      <c r="M228" s="55" t="s">
        <v>4035</v>
      </c>
      <c r="N228" s="55" t="s">
        <v>81</v>
      </c>
      <c r="O228" s="56" t="s">
        <v>7148</v>
      </c>
      <c r="P228" s="55"/>
    </row>
    <row r="229" ht="19.95" customHeight="1" s="53" customFormat="1">
      <c r="A229" s="55">
        <v>171077</v>
      </c>
      <c r="B229" s="55" t="s">
        <v>5434</v>
      </c>
      <c r="C229" s="55" t="s">
        <v>5435</v>
      </c>
      <c r="D229" s="55">
        <v>1609262023</v>
      </c>
      <c r="E229" s="55" t="s">
        <v>67</v>
      </c>
      <c r="F229" s="55" t="s">
        <v>71</v>
      </c>
      <c r="G229" s="55" t="s">
        <v>155</v>
      </c>
      <c r="H229" s="55" t="s">
        <v>196</v>
      </c>
      <c r="I229" s="55" t="s">
        <v>74</v>
      </c>
      <c r="J229" s="56" t="s">
        <v>69</v>
      </c>
      <c r="K229" s="56" t="s">
        <v>6872</v>
      </c>
      <c r="L229" s="236">
        <v>45476</v>
      </c>
      <c r="M229" s="55" t="s">
        <v>4035</v>
      </c>
      <c r="N229" s="55" t="s">
        <v>81</v>
      </c>
      <c r="O229" s="56" t="s">
        <v>7148</v>
      </c>
      <c r="P229" s="55"/>
    </row>
    <row r="230" ht="19.95" customHeight="1" s="53" customFormat="1">
      <c r="A230" s="55">
        <v>171513</v>
      </c>
      <c r="B230" s="55" t="s">
        <v>5443</v>
      </c>
      <c r="C230" s="55" t="s">
        <v>6997</v>
      </c>
      <c r="D230" s="55">
        <v>1741177254</v>
      </c>
      <c r="E230" s="55" t="s">
        <v>67</v>
      </c>
      <c r="F230" s="55" t="s">
        <v>71</v>
      </c>
      <c r="G230" s="55" t="s">
        <v>155</v>
      </c>
      <c r="H230" s="55" t="s">
        <v>196</v>
      </c>
      <c r="I230" s="55" t="s">
        <v>74</v>
      </c>
      <c r="J230" s="56" t="s">
        <v>69</v>
      </c>
      <c r="K230" s="56" t="s">
        <v>6872</v>
      </c>
      <c r="L230" s="236">
        <v>45478</v>
      </c>
      <c r="M230" s="55" t="s">
        <v>4035</v>
      </c>
      <c r="N230" s="55" t="s">
        <v>81</v>
      </c>
      <c r="O230" s="56" t="s">
        <v>7148</v>
      </c>
      <c r="P230" s="55"/>
    </row>
    <row r="231" ht="19.95" customHeight="1" s="53" customFormat="1">
      <c r="A231" s="55">
        <v>171577</v>
      </c>
      <c r="B231" s="55" t="s">
        <v>5453</v>
      </c>
      <c r="C231" s="55" t="s">
        <v>5454</v>
      </c>
      <c r="D231" s="55">
        <v>1749139536</v>
      </c>
      <c r="E231" s="55" t="s">
        <v>67</v>
      </c>
      <c r="F231" s="55" t="s">
        <v>71</v>
      </c>
      <c r="G231" s="55" t="s">
        <v>155</v>
      </c>
      <c r="H231" s="55" t="s">
        <v>196</v>
      </c>
      <c r="I231" s="55" t="s">
        <v>74</v>
      </c>
      <c r="J231" s="56" t="s">
        <v>69</v>
      </c>
      <c r="K231" s="56" t="s">
        <v>6872</v>
      </c>
      <c r="L231" s="236">
        <v>45478</v>
      </c>
      <c r="M231" s="55" t="s">
        <v>4035</v>
      </c>
      <c r="N231" s="55" t="s">
        <v>81</v>
      </c>
      <c r="O231" s="56" t="s">
        <v>7148</v>
      </c>
      <c r="P231" s="55"/>
    </row>
    <row r="232" ht="19.95" customHeight="1" s="53" customFormat="1">
      <c r="A232" s="55">
        <v>171395</v>
      </c>
      <c r="B232" s="55" t="s">
        <v>5455</v>
      </c>
      <c r="C232" s="55" t="s">
        <v>5456</v>
      </c>
      <c r="D232" s="55">
        <v>1745153885</v>
      </c>
      <c r="E232" s="55" t="s">
        <v>67</v>
      </c>
      <c r="F232" s="55" t="s">
        <v>71</v>
      </c>
      <c r="G232" s="55" t="s">
        <v>2495</v>
      </c>
      <c r="H232" s="55" t="s">
        <v>2643</v>
      </c>
      <c r="I232" s="55" t="s">
        <v>74</v>
      </c>
      <c r="J232" s="56" t="s">
        <v>69</v>
      </c>
      <c r="K232" s="56" t="s">
        <v>6872</v>
      </c>
      <c r="L232" s="236">
        <v>45480</v>
      </c>
      <c r="M232" s="55" t="s">
        <v>5355</v>
      </c>
      <c r="N232" s="55" t="s">
        <v>81</v>
      </c>
      <c r="O232" s="56" t="s">
        <v>7148</v>
      </c>
      <c r="P232" s="55"/>
    </row>
    <row r="233" ht="19.95" customHeight="1" s="53" customFormat="1">
      <c r="A233" s="55">
        <v>171414</v>
      </c>
      <c r="B233" s="55" t="s">
        <v>2856</v>
      </c>
      <c r="C233" s="55" t="s">
        <v>7002</v>
      </c>
      <c r="D233" s="55">
        <v>1533886464</v>
      </c>
      <c r="E233" s="55" t="s">
        <v>67</v>
      </c>
      <c r="F233" s="55" t="s">
        <v>71</v>
      </c>
      <c r="G233" s="55" t="s">
        <v>6979</v>
      </c>
      <c r="H233" s="55" t="s">
        <v>2643</v>
      </c>
      <c r="I233" s="55" t="s">
        <v>74</v>
      </c>
      <c r="J233" s="56" t="s">
        <v>69</v>
      </c>
      <c r="K233" s="56" t="s">
        <v>6872</v>
      </c>
      <c r="L233" s="236">
        <v>45480</v>
      </c>
      <c r="M233" s="55" t="s">
        <v>4035</v>
      </c>
      <c r="N233" s="55" t="s">
        <v>81</v>
      </c>
      <c r="O233" s="56" t="s">
        <v>7148</v>
      </c>
      <c r="P233" s="55"/>
    </row>
    <row r="234" ht="19.95" customHeight="1" s="53" customFormat="1">
      <c r="A234" s="55">
        <v>171581</v>
      </c>
      <c r="B234" s="55" t="s">
        <v>5471</v>
      </c>
      <c r="C234" s="55" t="s">
        <v>7160</v>
      </c>
      <c r="D234" s="55">
        <v>1635703228</v>
      </c>
      <c r="E234" s="55" t="s">
        <v>67</v>
      </c>
      <c r="F234" s="55" t="s">
        <v>71</v>
      </c>
      <c r="G234" s="55" t="s">
        <v>155</v>
      </c>
      <c r="H234" s="55" t="s">
        <v>196</v>
      </c>
      <c r="I234" s="55" t="s">
        <v>74</v>
      </c>
      <c r="J234" s="56" t="s">
        <v>69</v>
      </c>
      <c r="K234" s="56" t="s">
        <v>6872</v>
      </c>
      <c r="L234" s="236">
        <v>45481</v>
      </c>
      <c r="M234" s="55" t="s">
        <v>4035</v>
      </c>
      <c r="N234" s="55" t="s">
        <v>81</v>
      </c>
      <c r="O234" s="56" t="s">
        <v>7148</v>
      </c>
      <c r="P234" s="55"/>
    </row>
    <row r="235" ht="19.95" customHeight="1" s="53" customFormat="1">
      <c r="A235" s="55">
        <v>171437</v>
      </c>
      <c r="B235" s="55" t="s">
        <v>5473</v>
      </c>
      <c r="C235" s="55" t="s">
        <v>7001</v>
      </c>
      <c r="D235" s="55">
        <v>1609262023</v>
      </c>
      <c r="E235" s="55" t="s">
        <v>67</v>
      </c>
      <c r="F235" s="55" t="s">
        <v>71</v>
      </c>
      <c r="G235" s="55" t="s">
        <v>155</v>
      </c>
      <c r="H235" s="55" t="s">
        <v>196</v>
      </c>
      <c r="I235" s="55" t="s">
        <v>74</v>
      </c>
      <c r="J235" s="56" t="s">
        <v>69</v>
      </c>
      <c r="K235" s="56" t="s">
        <v>6872</v>
      </c>
      <c r="L235" s="236">
        <v>45481</v>
      </c>
      <c r="M235" s="55" t="s">
        <v>4035</v>
      </c>
      <c r="N235" s="55" t="s">
        <v>81</v>
      </c>
      <c r="O235" s="56" t="s">
        <v>7148</v>
      </c>
      <c r="P235" s="55"/>
    </row>
    <row r="236" ht="19.95" customHeight="1" s="53" customFormat="1">
      <c r="A236" s="55">
        <v>171427</v>
      </c>
      <c r="B236" s="55" t="s">
        <v>5505</v>
      </c>
      <c r="C236" s="55" t="s">
        <v>7003</v>
      </c>
      <c r="D236" s="55">
        <v>1635703228</v>
      </c>
      <c r="E236" s="55" t="s">
        <v>67</v>
      </c>
      <c r="F236" s="55" t="s">
        <v>71</v>
      </c>
      <c r="G236" s="55" t="s">
        <v>155</v>
      </c>
      <c r="H236" s="55" t="s">
        <v>196</v>
      </c>
      <c r="I236" s="55" t="s">
        <v>74</v>
      </c>
      <c r="J236" s="56" t="s">
        <v>69</v>
      </c>
      <c r="K236" s="56" t="s">
        <v>3510</v>
      </c>
      <c r="L236" s="236">
        <v>45482</v>
      </c>
      <c r="M236" s="55" t="s">
        <v>4035</v>
      </c>
      <c r="N236" s="55" t="s">
        <v>81</v>
      </c>
      <c r="O236" s="56" t="s">
        <v>7148</v>
      </c>
      <c r="P236" s="55"/>
    </row>
    <row r="237" ht="19.95" customHeight="1" s="53" customFormat="1">
      <c r="A237" s="55">
        <v>171680</v>
      </c>
      <c r="B237" s="55" t="s">
        <v>2325</v>
      </c>
      <c r="C237" s="55" t="s">
        <v>5480</v>
      </c>
      <c r="D237" s="55">
        <v>1828822309</v>
      </c>
      <c r="E237" s="55" t="s">
        <v>67</v>
      </c>
      <c r="F237" s="55" t="s">
        <v>71</v>
      </c>
      <c r="G237" s="55" t="s">
        <v>5709</v>
      </c>
      <c r="H237" s="55" t="s">
        <v>115</v>
      </c>
      <c r="I237" s="55" t="s">
        <v>74</v>
      </c>
      <c r="J237" s="56" t="s">
        <v>69</v>
      </c>
      <c r="K237" s="56" t="s">
        <v>6872</v>
      </c>
      <c r="L237" s="236">
        <v>45481</v>
      </c>
      <c r="M237" s="55" t="s">
        <v>5491</v>
      </c>
      <c r="N237" s="55" t="s">
        <v>81</v>
      </c>
      <c r="O237" s="56" t="s">
        <v>7148</v>
      </c>
      <c r="P237" s="55"/>
    </row>
    <row r="238" ht="19.95" customHeight="1" s="53" customFormat="1">
      <c r="A238" s="55">
        <v>171690</v>
      </c>
      <c r="B238" s="55" t="s">
        <v>2224</v>
      </c>
      <c r="C238" s="55" t="s">
        <v>5492</v>
      </c>
      <c r="D238" s="55">
        <v>1891792772</v>
      </c>
      <c r="E238" s="55" t="s">
        <v>67</v>
      </c>
      <c r="F238" s="55" t="s">
        <v>71</v>
      </c>
      <c r="G238" s="55" t="s">
        <v>2495</v>
      </c>
      <c r="H238" s="55" t="s">
        <v>115</v>
      </c>
      <c r="I238" s="55" t="s">
        <v>74</v>
      </c>
      <c r="J238" s="56" t="s">
        <v>69</v>
      </c>
      <c r="K238" s="56" t="s">
        <v>6872</v>
      </c>
      <c r="L238" s="236">
        <v>45481</v>
      </c>
      <c r="M238" s="55" t="s">
        <v>5355</v>
      </c>
      <c r="N238" s="55" t="s">
        <v>81</v>
      </c>
      <c r="O238" s="56" t="s">
        <v>7148</v>
      </c>
      <c r="P238" s="55"/>
    </row>
    <row r="239" ht="19.95" customHeight="1" s="53" customFormat="1">
      <c r="A239" s="55">
        <v>171551</v>
      </c>
      <c r="B239" s="55" t="s">
        <v>2198</v>
      </c>
      <c r="C239" s="55" t="s">
        <v>5493</v>
      </c>
      <c r="D239" s="55">
        <v>1957284288</v>
      </c>
      <c r="E239" s="55" t="s">
        <v>67</v>
      </c>
      <c r="F239" s="55" t="s">
        <v>71</v>
      </c>
      <c r="G239" s="55" t="s">
        <v>5709</v>
      </c>
      <c r="H239" s="55" t="s">
        <v>115</v>
      </c>
      <c r="I239" s="55" t="s">
        <v>74</v>
      </c>
      <c r="J239" s="56" t="s">
        <v>69</v>
      </c>
      <c r="K239" s="56" t="s">
        <v>6872</v>
      </c>
      <c r="L239" s="236">
        <v>45481</v>
      </c>
      <c r="M239" s="55" t="s">
        <v>4321</v>
      </c>
      <c r="N239" s="55" t="s">
        <v>81</v>
      </c>
      <c r="O239" s="56" t="s">
        <v>7148</v>
      </c>
      <c r="P239" s="55"/>
    </row>
    <row r="240" ht="19.95" customHeight="1" s="53" customFormat="1">
      <c r="A240" s="55">
        <v>171676</v>
      </c>
      <c r="B240" s="55" t="s">
        <v>2217</v>
      </c>
      <c r="C240" s="55" t="s">
        <v>5504</v>
      </c>
      <c r="D240" s="55">
        <v>1910308208</v>
      </c>
      <c r="E240" s="55" t="s">
        <v>67</v>
      </c>
      <c r="F240" s="55" t="s">
        <v>71</v>
      </c>
      <c r="G240" s="55" t="s">
        <v>2495</v>
      </c>
      <c r="H240" s="55" t="s">
        <v>115</v>
      </c>
      <c r="I240" s="55" t="s">
        <v>74</v>
      </c>
      <c r="J240" s="56" t="s">
        <v>69</v>
      </c>
      <c r="K240" s="56" t="s">
        <v>6872</v>
      </c>
      <c r="L240" s="236">
        <v>45481</v>
      </c>
      <c r="M240" s="55" t="s">
        <v>5355</v>
      </c>
      <c r="N240" s="55" t="s">
        <v>81</v>
      </c>
      <c r="O240" s="56" t="s">
        <v>7148</v>
      </c>
      <c r="P240" s="55"/>
    </row>
    <row r="241" ht="19.95" customHeight="1" s="53" customFormat="1">
      <c r="A241" s="55">
        <v>171172</v>
      </c>
      <c r="B241" s="55" t="s">
        <v>5514</v>
      </c>
      <c r="C241" s="55" t="s">
        <v>5515</v>
      </c>
      <c r="D241" s="55">
        <v>1604728923</v>
      </c>
      <c r="E241" s="55" t="s">
        <v>67</v>
      </c>
      <c r="F241" s="55" t="s">
        <v>71</v>
      </c>
      <c r="G241" s="55" t="s">
        <v>6979</v>
      </c>
      <c r="H241" s="55" t="s">
        <v>2643</v>
      </c>
      <c r="I241" s="55" t="s">
        <v>74</v>
      </c>
      <c r="J241" s="56" t="s">
        <v>69</v>
      </c>
      <c r="K241" s="56" t="s">
        <v>6872</v>
      </c>
      <c r="L241" s="236">
        <v>45486</v>
      </c>
      <c r="M241" s="55" t="s">
        <v>3796</v>
      </c>
      <c r="N241" s="55" t="s">
        <v>81</v>
      </c>
      <c r="O241" s="56" t="s">
        <v>7148</v>
      </c>
      <c r="P241" s="55"/>
    </row>
    <row r="242" ht="19.95" customHeight="1" s="53" customFormat="1">
      <c r="A242" s="55">
        <v>171603</v>
      </c>
      <c r="B242" s="55" t="s">
        <v>2383</v>
      </c>
      <c r="C242" s="55" t="s">
        <v>5524</v>
      </c>
      <c r="D242" s="55">
        <v>1751041021</v>
      </c>
      <c r="E242" s="55" t="s">
        <v>67</v>
      </c>
      <c r="F242" s="55" t="s">
        <v>71</v>
      </c>
      <c r="G242" s="55" t="s">
        <v>5709</v>
      </c>
      <c r="H242" s="55" t="s">
        <v>115</v>
      </c>
      <c r="I242" s="55" t="s">
        <v>74</v>
      </c>
      <c r="J242" s="56" t="s">
        <v>69</v>
      </c>
      <c r="K242" s="56" t="s">
        <v>6872</v>
      </c>
      <c r="L242" s="236">
        <v>45487</v>
      </c>
      <c r="M242" s="55" t="s">
        <v>3796</v>
      </c>
      <c r="N242" s="55" t="s">
        <v>81</v>
      </c>
      <c r="O242" s="56" t="s">
        <v>7148</v>
      </c>
      <c r="P242" s="55"/>
    </row>
    <row r="243" ht="19.95" customHeight="1" s="53" customFormat="1">
      <c r="A243" s="55">
        <v>171187</v>
      </c>
      <c r="B243" s="55" t="s">
        <v>2436</v>
      </c>
      <c r="C243" s="55" t="s">
        <v>381</v>
      </c>
      <c r="D243" s="55">
        <v>1604728923</v>
      </c>
      <c r="E243" s="55" t="s">
        <v>67</v>
      </c>
      <c r="F243" s="55" t="s">
        <v>71</v>
      </c>
      <c r="G243" s="55" t="s">
        <v>6979</v>
      </c>
      <c r="H243" s="55" t="s">
        <v>2643</v>
      </c>
      <c r="I243" s="55" t="s">
        <v>74</v>
      </c>
      <c r="J243" s="56" t="s">
        <v>69</v>
      </c>
      <c r="K243" s="56" t="s">
        <v>3510</v>
      </c>
      <c r="L243" s="236">
        <v>45488</v>
      </c>
      <c r="M243" s="55" t="s">
        <v>3796</v>
      </c>
      <c r="N243" s="55" t="s">
        <v>81</v>
      </c>
      <c r="O243" s="56" t="s">
        <v>7148</v>
      </c>
      <c r="P243" s="55"/>
    </row>
    <row r="244" ht="19.95" customHeight="1" s="53" customFormat="1">
      <c r="A244" s="55">
        <v>171361</v>
      </c>
      <c r="B244" s="55" t="s">
        <v>2577</v>
      </c>
      <c r="C244" s="55" t="s">
        <v>7005</v>
      </c>
      <c r="D244" s="55">
        <v>1567891069</v>
      </c>
      <c r="E244" s="55" t="s">
        <v>67</v>
      </c>
      <c r="F244" s="55" t="s">
        <v>71</v>
      </c>
      <c r="G244" s="55" t="s">
        <v>6979</v>
      </c>
      <c r="H244" s="55" t="s">
        <v>2643</v>
      </c>
      <c r="I244" s="55" t="s">
        <v>74</v>
      </c>
      <c r="J244" s="56" t="s">
        <v>69</v>
      </c>
      <c r="K244" s="56" t="s">
        <v>3510</v>
      </c>
      <c r="L244" s="236">
        <v>45488</v>
      </c>
      <c r="M244" s="55" t="s">
        <v>3796</v>
      </c>
      <c r="N244" s="55" t="s">
        <v>81</v>
      </c>
      <c r="O244" s="56" t="s">
        <v>7148</v>
      </c>
      <c r="P244" s="55"/>
    </row>
    <row r="245" ht="19.95" customHeight="1" s="53" customFormat="1">
      <c r="A245" s="55">
        <v>171256</v>
      </c>
      <c r="B245" s="55" t="s">
        <v>5548</v>
      </c>
      <c r="C245" s="55" t="s">
        <v>7006</v>
      </c>
      <c r="D245" s="55">
        <v>1882407416</v>
      </c>
      <c r="E245" s="55" t="s">
        <v>67</v>
      </c>
      <c r="F245" s="55" t="s">
        <v>71</v>
      </c>
      <c r="G245" s="55" t="s">
        <v>6979</v>
      </c>
      <c r="H245" s="55" t="s">
        <v>2643</v>
      </c>
      <c r="I245" s="55" t="s">
        <v>74</v>
      </c>
      <c r="J245" s="56" t="s">
        <v>69</v>
      </c>
      <c r="K245" s="56" t="s">
        <v>3510</v>
      </c>
      <c r="L245" s="236">
        <v>45488</v>
      </c>
      <c r="M245" s="55" t="s">
        <v>3796</v>
      </c>
      <c r="N245" s="55" t="s">
        <v>81</v>
      </c>
      <c r="O245" s="56" t="s">
        <v>7148</v>
      </c>
      <c r="P245" s="55"/>
    </row>
    <row r="246" ht="19.95" customHeight="1" s="53" customFormat="1">
      <c r="A246" s="55">
        <v>171210</v>
      </c>
      <c r="B246" s="55" t="s">
        <v>4332</v>
      </c>
      <c r="C246" s="55" t="s">
        <v>5786</v>
      </c>
      <c r="D246" s="55">
        <v>1521124841</v>
      </c>
      <c r="E246" s="55" t="s">
        <v>67</v>
      </c>
      <c r="F246" s="55" t="s">
        <v>71</v>
      </c>
      <c r="G246" s="55" t="s">
        <v>5709</v>
      </c>
      <c r="H246" s="55" t="s">
        <v>115</v>
      </c>
      <c r="I246" s="55" t="s">
        <v>74</v>
      </c>
      <c r="J246" s="56" t="s">
        <v>69</v>
      </c>
      <c r="K246" s="56" t="s">
        <v>3510</v>
      </c>
      <c r="L246" s="236">
        <v>45489</v>
      </c>
      <c r="M246" s="55" t="s">
        <v>4321</v>
      </c>
      <c r="N246" s="55" t="s">
        <v>81</v>
      </c>
      <c r="O246" s="56" t="s">
        <v>7148</v>
      </c>
      <c r="P246" s="55"/>
    </row>
    <row r="247" ht="19.95" customHeight="1" s="53" customFormat="1">
      <c r="A247" s="55">
        <v>171446</v>
      </c>
      <c r="B247" s="55" t="s">
        <v>5013</v>
      </c>
      <c r="C247" s="55" t="s">
        <v>5810</v>
      </c>
      <c r="D247" s="55">
        <v>1956024653</v>
      </c>
      <c r="E247" s="55" t="s">
        <v>67</v>
      </c>
      <c r="F247" s="55" t="s">
        <v>71</v>
      </c>
      <c r="G247" s="55" t="s">
        <v>5709</v>
      </c>
      <c r="H247" s="55" t="s">
        <v>115</v>
      </c>
      <c r="I247" s="55" t="s">
        <v>74</v>
      </c>
      <c r="J247" s="56" t="s">
        <v>69</v>
      </c>
      <c r="K247" s="56" t="s">
        <v>3510</v>
      </c>
      <c r="L247" s="236">
        <v>45489</v>
      </c>
      <c r="M247" s="55" t="s">
        <v>7004</v>
      </c>
      <c r="N247" s="55" t="s">
        <v>81</v>
      </c>
      <c r="O247" s="56" t="s">
        <v>7148</v>
      </c>
      <c r="P247" s="55"/>
    </row>
    <row r="248" ht="19.95" customHeight="1" s="53" customFormat="1">
      <c r="A248" s="55">
        <v>171250</v>
      </c>
      <c r="B248" s="55" t="s">
        <v>2066</v>
      </c>
      <c r="C248" s="55" t="s">
        <v>5778</v>
      </c>
      <c r="D248" s="55">
        <v>1301304185</v>
      </c>
      <c r="E248" s="55" t="s">
        <v>67</v>
      </c>
      <c r="F248" s="55" t="s">
        <v>71</v>
      </c>
      <c r="G248" s="55" t="s">
        <v>6979</v>
      </c>
      <c r="H248" s="55" t="s">
        <v>2643</v>
      </c>
      <c r="I248" s="55" t="s">
        <v>74</v>
      </c>
      <c r="J248" s="56" t="s">
        <v>69</v>
      </c>
      <c r="K248" s="56" t="s">
        <v>3510</v>
      </c>
      <c r="L248" s="236">
        <v>45489</v>
      </c>
      <c r="M248" s="55" t="s">
        <v>3796</v>
      </c>
      <c r="N248" s="55" t="s">
        <v>81</v>
      </c>
      <c r="O248" s="56" t="s">
        <v>93</v>
      </c>
      <c r="P248" s="55"/>
    </row>
    <row r="249" ht="19.95" customHeight="1" s="53" customFormat="1">
      <c r="A249" s="55">
        <v>171314</v>
      </c>
      <c r="B249" s="55" t="s">
        <v>4204</v>
      </c>
      <c r="C249" s="55" t="s">
        <v>5804</v>
      </c>
      <c r="D249" s="55">
        <v>1849661817</v>
      </c>
      <c r="E249" s="55" t="s">
        <v>67</v>
      </c>
      <c r="F249" s="55" t="s">
        <v>71</v>
      </c>
      <c r="G249" s="55" t="s">
        <v>5709</v>
      </c>
      <c r="H249" s="55" t="s">
        <v>115</v>
      </c>
      <c r="I249" s="55" t="s">
        <v>74</v>
      </c>
      <c r="J249" s="56" t="s">
        <v>69</v>
      </c>
      <c r="K249" s="56" t="s">
        <v>3510</v>
      </c>
      <c r="L249" s="236">
        <v>45490</v>
      </c>
      <c r="M249" s="55" t="s">
        <v>4957</v>
      </c>
      <c r="N249" s="55" t="s">
        <v>81</v>
      </c>
      <c r="O249" s="56" t="s">
        <v>93</v>
      </c>
      <c r="P249" s="55"/>
    </row>
    <row r="250" ht="19.95" customHeight="1" s="53" customFormat="1">
      <c r="A250" s="55">
        <v>171627</v>
      </c>
      <c r="B250" s="55" t="s">
        <v>5556</v>
      </c>
      <c r="C250" s="55" t="s">
        <v>5557</v>
      </c>
      <c r="D250" s="55">
        <v>1606150487</v>
      </c>
      <c r="E250" s="55" t="s">
        <v>67</v>
      </c>
      <c r="F250" s="55" t="s">
        <v>71</v>
      </c>
      <c r="G250" s="55" t="s">
        <v>5709</v>
      </c>
      <c r="H250" s="55" t="s">
        <v>115</v>
      </c>
      <c r="I250" s="55" t="s">
        <v>74</v>
      </c>
      <c r="J250" s="56" t="s">
        <v>69</v>
      </c>
      <c r="K250" s="56" t="s">
        <v>3510</v>
      </c>
      <c r="L250" s="236">
        <v>45494</v>
      </c>
      <c r="M250" s="55" t="s">
        <v>4321</v>
      </c>
      <c r="N250" s="55" t="s">
        <v>81</v>
      </c>
      <c r="O250" s="56" t="s">
        <v>7161</v>
      </c>
      <c r="P250" s="55"/>
    </row>
    <row r="251" ht="19.95" customHeight="1" s="53" customFormat="1">
      <c r="A251" s="55">
        <v>171677</v>
      </c>
      <c r="B251" s="55" t="s">
        <v>2409</v>
      </c>
      <c r="C251" s="55" t="s">
        <v>5712</v>
      </c>
      <c r="D251" s="55">
        <v>1740747041</v>
      </c>
      <c r="E251" s="55" t="s">
        <v>67</v>
      </c>
      <c r="F251" s="55" t="s">
        <v>71</v>
      </c>
      <c r="G251" s="55" t="s">
        <v>5709</v>
      </c>
      <c r="H251" s="55" t="s">
        <v>115</v>
      </c>
      <c r="I251" s="55" t="s">
        <v>74</v>
      </c>
      <c r="J251" s="56" t="s">
        <v>69</v>
      </c>
      <c r="K251" s="56" t="s">
        <v>3510</v>
      </c>
      <c r="L251" s="236">
        <v>45494</v>
      </c>
      <c r="M251" s="55" t="s">
        <v>4321</v>
      </c>
      <c r="N251" s="55" t="s">
        <v>81</v>
      </c>
      <c r="O251" s="56" t="s">
        <v>7161</v>
      </c>
      <c r="P251" s="55"/>
    </row>
    <row r="252" ht="19.95" customHeight="1" s="53" customFormat="1">
      <c r="A252" s="55">
        <v>171120</v>
      </c>
      <c r="B252" s="55" t="s">
        <v>7008</v>
      </c>
      <c r="C252" s="55" t="s">
        <v>7009</v>
      </c>
      <c r="D252" s="55">
        <v>1991100319</v>
      </c>
      <c r="E252" s="55" t="s">
        <v>67</v>
      </c>
      <c r="F252" s="55" t="s">
        <v>71</v>
      </c>
      <c r="G252" s="55" t="s">
        <v>6979</v>
      </c>
      <c r="H252" s="55" t="s">
        <v>2643</v>
      </c>
      <c r="I252" s="55" t="s">
        <v>74</v>
      </c>
      <c r="J252" s="56" t="s">
        <v>69</v>
      </c>
      <c r="K252" s="56" t="s">
        <v>3510</v>
      </c>
      <c r="L252" s="236">
        <v>45493</v>
      </c>
      <c r="M252" s="55" t="s">
        <v>3796</v>
      </c>
      <c r="N252" s="55" t="s">
        <v>81</v>
      </c>
      <c r="O252" s="56" t="s">
        <v>7161</v>
      </c>
      <c r="P252" s="55"/>
    </row>
    <row r="253" ht="19.95" customHeight="1" s="53" customFormat="1">
      <c r="A253" s="55">
        <v>171394</v>
      </c>
      <c r="B253" s="55" t="s">
        <v>2445</v>
      </c>
      <c r="C253" s="55" t="s">
        <v>5572</v>
      </c>
      <c r="D253" s="55">
        <v>1735750036</v>
      </c>
      <c r="E253" s="55" t="s">
        <v>67</v>
      </c>
      <c r="F253" s="55" t="s">
        <v>71</v>
      </c>
      <c r="G253" s="55" t="s">
        <v>6979</v>
      </c>
      <c r="H253" s="55" t="s">
        <v>2643</v>
      </c>
      <c r="I253" s="55" t="s">
        <v>74</v>
      </c>
      <c r="J253" s="56" t="s">
        <v>69</v>
      </c>
      <c r="K253" s="56" t="s">
        <v>3510</v>
      </c>
      <c r="L253" s="236">
        <v>45486</v>
      </c>
      <c r="M253" s="55" t="s">
        <v>3796</v>
      </c>
      <c r="N253" s="55" t="s">
        <v>81</v>
      </c>
      <c r="O253" s="56" t="s">
        <v>7148</v>
      </c>
      <c r="P253" s="55"/>
    </row>
    <row r="254" ht="19.95" customHeight="1" s="53" customFormat="1">
      <c r="A254" s="55">
        <v>171051</v>
      </c>
      <c r="B254" s="55" t="s">
        <v>5579</v>
      </c>
      <c r="C254" s="55" t="s">
        <v>5580</v>
      </c>
      <c r="D254" s="55">
        <v>1781031843</v>
      </c>
      <c r="E254" s="55" t="s">
        <v>67</v>
      </c>
      <c r="F254" s="55" t="s">
        <v>71</v>
      </c>
      <c r="G254" s="55" t="s">
        <v>97</v>
      </c>
      <c r="H254" s="55" t="s">
        <v>2643</v>
      </c>
      <c r="I254" s="55" t="s">
        <v>74</v>
      </c>
      <c r="J254" s="56" t="s">
        <v>69</v>
      </c>
      <c r="K254" s="56" t="s">
        <v>3499</v>
      </c>
      <c r="L254" s="236">
        <v>45489</v>
      </c>
      <c r="M254" s="55" t="s">
        <v>7152</v>
      </c>
      <c r="N254" s="55" t="s">
        <v>81</v>
      </c>
      <c r="O254" s="56" t="s">
        <v>7162</v>
      </c>
      <c r="P254" s="55"/>
    </row>
    <row r="255" ht="19.95" customHeight="1" s="53" customFormat="1">
      <c r="A255" s="55">
        <v>171640</v>
      </c>
      <c r="B255" s="55" t="s">
        <v>2389</v>
      </c>
      <c r="C255" s="55" t="s">
        <v>5591</v>
      </c>
      <c r="D255" s="55">
        <v>1628331287</v>
      </c>
      <c r="E255" s="55" t="s">
        <v>67</v>
      </c>
      <c r="F255" s="55" t="s">
        <v>71</v>
      </c>
      <c r="G255" s="55" t="s">
        <v>2495</v>
      </c>
      <c r="H255" s="55" t="s">
        <v>115</v>
      </c>
      <c r="I255" s="55" t="s">
        <v>74</v>
      </c>
      <c r="J255" s="56" t="s">
        <v>69</v>
      </c>
      <c r="K255" s="56" t="s">
        <v>3499</v>
      </c>
      <c r="L255" s="236">
        <v>45490</v>
      </c>
      <c r="M255" s="55" t="s">
        <v>7152</v>
      </c>
      <c r="N255" s="55" t="s">
        <v>81</v>
      </c>
      <c r="O255" s="56" t="s">
        <v>7162</v>
      </c>
      <c r="P255" s="55"/>
    </row>
    <row r="256" ht="19.95" customHeight="1" s="53" customFormat="1">
      <c r="A256" s="55">
        <v>171224</v>
      </c>
      <c r="B256" s="55" t="s">
        <v>5601</v>
      </c>
      <c r="C256" s="55" t="s">
        <v>4844</v>
      </c>
      <c r="D256" s="55">
        <v>1580306790</v>
      </c>
      <c r="E256" s="55" t="s">
        <v>67</v>
      </c>
      <c r="F256" s="55" t="s">
        <v>71</v>
      </c>
      <c r="G256" s="55" t="s">
        <v>5709</v>
      </c>
      <c r="H256" s="55" t="s">
        <v>115</v>
      </c>
      <c r="I256" s="55" t="s">
        <v>74</v>
      </c>
      <c r="J256" s="56" t="s">
        <v>69</v>
      </c>
      <c r="K256" s="56" t="s">
        <v>3510</v>
      </c>
      <c r="L256" s="236">
        <v>45490</v>
      </c>
      <c r="M256" s="55" t="s">
        <v>3796</v>
      </c>
      <c r="N256" s="55" t="s">
        <v>81</v>
      </c>
      <c r="O256" s="56" t="s">
        <v>7163</v>
      </c>
      <c r="P256" s="55"/>
    </row>
    <row r="257" ht="19.95" customHeight="1" s="53" customFormat="1">
      <c r="A257" s="55">
        <v>171456</v>
      </c>
      <c r="B257" s="55" t="s">
        <v>5608</v>
      </c>
      <c r="C257" s="55" t="s">
        <v>7010</v>
      </c>
      <c r="D257" s="55">
        <v>1891752546</v>
      </c>
      <c r="E257" s="55" t="s">
        <v>67</v>
      </c>
      <c r="F257" s="55" t="s">
        <v>71</v>
      </c>
      <c r="G257" s="55" t="s">
        <v>6979</v>
      </c>
      <c r="H257" s="55" t="s">
        <v>2643</v>
      </c>
      <c r="I257" s="55" t="s">
        <v>74</v>
      </c>
      <c r="J257" s="56" t="s">
        <v>69</v>
      </c>
      <c r="K257" s="56" t="s">
        <v>3510</v>
      </c>
      <c r="L257" s="236">
        <v>45488</v>
      </c>
      <c r="M257" s="55" t="s">
        <v>3796</v>
      </c>
      <c r="N257" s="55" t="s">
        <v>81</v>
      </c>
      <c r="O257" s="56" t="s">
        <v>7164</v>
      </c>
      <c r="P257" s="55"/>
    </row>
    <row r="258" ht="19.95" customHeight="1" s="53" customFormat="1">
      <c r="A258" s="55">
        <v>171358</v>
      </c>
      <c r="B258" s="55" t="s">
        <v>7011</v>
      </c>
      <c r="C258" s="55" t="s">
        <v>5619</v>
      </c>
      <c r="D258" s="55">
        <v>1876353736</v>
      </c>
      <c r="E258" s="55" t="s">
        <v>67</v>
      </c>
      <c r="F258" s="55" t="s">
        <v>71</v>
      </c>
      <c r="G258" s="55" t="s">
        <v>6979</v>
      </c>
      <c r="H258" s="55" t="s">
        <v>2643</v>
      </c>
      <c r="I258" s="55" t="s">
        <v>74</v>
      </c>
      <c r="J258" s="56" t="s">
        <v>69</v>
      </c>
      <c r="K258" s="56" t="s">
        <v>3510</v>
      </c>
      <c r="L258" s="236">
        <v>45499</v>
      </c>
      <c r="M258" s="55" t="s">
        <v>3796</v>
      </c>
      <c r="N258" s="55" t="s">
        <v>81</v>
      </c>
      <c r="O258" s="56" t="s">
        <v>93</v>
      </c>
      <c r="P258" s="55"/>
    </row>
    <row r="259" ht="19.95" customHeight="1" s="53" customFormat="1">
      <c r="A259" s="55">
        <v>171470</v>
      </c>
      <c r="B259" s="55" t="s">
        <v>7012</v>
      </c>
      <c r="C259" s="55" t="s">
        <v>5627</v>
      </c>
      <c r="D259" s="55" t="s">
        <v>7165</v>
      </c>
      <c r="E259" s="55" t="s">
        <v>67</v>
      </c>
      <c r="F259" s="55" t="s">
        <v>71</v>
      </c>
      <c r="G259" s="55" t="s">
        <v>5709</v>
      </c>
      <c r="H259" s="55" t="s">
        <v>308</v>
      </c>
      <c r="I259" s="55" t="s">
        <v>74</v>
      </c>
      <c r="J259" s="56" t="s">
        <v>69</v>
      </c>
      <c r="K259" s="56" t="s">
        <v>3510</v>
      </c>
      <c r="L259" s="236">
        <v>45479</v>
      </c>
      <c r="M259" s="55" t="s">
        <v>3796</v>
      </c>
      <c r="N259" s="55" t="s">
        <v>81</v>
      </c>
      <c r="O259" s="56" t="s">
        <v>93</v>
      </c>
      <c r="P259" s="55"/>
    </row>
    <row r="260" ht="19.95" customHeight="1" s="53" customFormat="1">
      <c r="A260" s="55">
        <v>171643</v>
      </c>
      <c r="B260" s="55" t="s">
        <v>5636</v>
      </c>
      <c r="C260" s="55" t="s">
        <v>5637</v>
      </c>
      <c r="D260" s="55">
        <v>1842883782</v>
      </c>
      <c r="E260" s="55" t="s">
        <v>67</v>
      </c>
      <c r="F260" s="55" t="s">
        <v>71</v>
      </c>
      <c r="G260" s="55" t="s">
        <v>5709</v>
      </c>
      <c r="H260" s="55" t="s">
        <v>115</v>
      </c>
      <c r="I260" s="55" t="s">
        <v>74</v>
      </c>
      <c r="J260" s="56" t="s">
        <v>69</v>
      </c>
      <c r="K260" s="56" t="s">
        <v>3510</v>
      </c>
      <c r="L260" s="236">
        <v>45505</v>
      </c>
      <c r="M260" s="55" t="s">
        <v>4321</v>
      </c>
      <c r="N260" s="55" t="s">
        <v>81</v>
      </c>
      <c r="O260" s="56" t="s">
        <v>93</v>
      </c>
      <c r="P260" s="55"/>
    </row>
    <row r="261" ht="19.95" customHeight="1" s="53" customFormat="1">
      <c r="A261" s="55">
        <v>171665</v>
      </c>
      <c r="B261" s="55" t="s">
        <v>3012</v>
      </c>
      <c r="C261" s="55" t="s">
        <v>5708</v>
      </c>
      <c r="D261" s="55">
        <v>1715912414</v>
      </c>
      <c r="E261" s="55" t="s">
        <v>67</v>
      </c>
      <c r="F261" s="55" t="s">
        <v>71</v>
      </c>
      <c r="G261" s="55" t="s">
        <v>5709</v>
      </c>
      <c r="H261" s="55" t="s">
        <v>115</v>
      </c>
      <c r="I261" s="55" t="s">
        <v>74</v>
      </c>
      <c r="J261" s="56" t="s">
        <v>69</v>
      </c>
      <c r="K261" s="56" t="s">
        <v>3510</v>
      </c>
      <c r="L261" s="236">
        <v>45499</v>
      </c>
      <c r="M261" s="55" t="s">
        <v>3978</v>
      </c>
      <c r="N261" s="55" t="s">
        <v>81</v>
      </c>
      <c r="O261" s="56" t="s">
        <v>7164</v>
      </c>
      <c r="P261" s="55"/>
    </row>
    <row r="262" ht="19.95" customHeight="1" s="53" customFormat="1">
      <c r="A262" s="55">
        <v>171140</v>
      </c>
      <c r="B262" s="55" t="s">
        <v>5648</v>
      </c>
      <c r="C262" s="55" t="s">
        <v>5649</v>
      </c>
      <c r="D262" s="55">
        <v>1781792576</v>
      </c>
      <c r="E262" s="55" t="s">
        <v>67</v>
      </c>
      <c r="F262" s="55" t="s">
        <v>71</v>
      </c>
      <c r="G262" s="55" t="s">
        <v>155</v>
      </c>
      <c r="H262" s="55" t="s">
        <v>196</v>
      </c>
      <c r="I262" s="55" t="s">
        <v>74</v>
      </c>
      <c r="J262" s="56" t="s">
        <v>69</v>
      </c>
      <c r="K262" s="56" t="s">
        <v>3510</v>
      </c>
      <c r="L262" s="236">
        <v>45505</v>
      </c>
      <c r="M262" s="55" t="s">
        <v>3796</v>
      </c>
      <c r="N262" s="55" t="s">
        <v>81</v>
      </c>
      <c r="O262" s="56" t="s">
        <v>93</v>
      </c>
      <c r="P262" s="55"/>
    </row>
    <row r="263" ht="19.95" customHeight="1" s="53" customFormat="1">
      <c r="A263" s="55">
        <v>171344</v>
      </c>
      <c r="B263" s="55" t="s">
        <v>5658</v>
      </c>
      <c r="C263" s="55" t="s">
        <v>5659</v>
      </c>
      <c r="D263" s="55">
        <v>1838500008</v>
      </c>
      <c r="E263" s="55" t="s">
        <v>67</v>
      </c>
      <c r="F263" s="55" t="s">
        <v>71</v>
      </c>
      <c r="G263" s="55" t="s">
        <v>97</v>
      </c>
      <c r="H263" s="55" t="s">
        <v>2643</v>
      </c>
      <c r="I263" s="55" t="s">
        <v>74</v>
      </c>
      <c r="J263" s="56" t="s">
        <v>69</v>
      </c>
      <c r="K263" s="56" t="s">
        <v>3510</v>
      </c>
      <c r="L263" s="236">
        <v>45500</v>
      </c>
      <c r="M263" s="55" t="s">
        <v>4957</v>
      </c>
      <c r="N263" s="55" t="s">
        <v>81</v>
      </c>
      <c r="O263" s="56" t="s">
        <v>93</v>
      </c>
      <c r="P263" s="55"/>
    </row>
    <row r="264" ht="19.95" customHeight="1" s="53" customFormat="1">
      <c r="A264" s="55">
        <v>171469</v>
      </c>
      <c r="B264" s="55" t="s">
        <v>5666</v>
      </c>
      <c r="C264" s="55" t="s">
        <v>7166</v>
      </c>
      <c r="D264" s="55" t="s">
        <v>7167</v>
      </c>
      <c r="E264" s="55" t="s">
        <v>67</v>
      </c>
      <c r="F264" s="55" t="s">
        <v>71</v>
      </c>
      <c r="G264" s="55" t="s">
        <v>2495</v>
      </c>
      <c r="H264" s="55" t="s">
        <v>2643</v>
      </c>
      <c r="I264" s="55" t="s">
        <v>74</v>
      </c>
      <c r="J264" s="56" t="s">
        <v>69</v>
      </c>
      <c r="K264" s="56" t="s">
        <v>3499</v>
      </c>
      <c r="L264" s="236">
        <v>45502</v>
      </c>
      <c r="M264" s="55" t="s">
        <v>7152</v>
      </c>
      <c r="N264" s="55" t="s">
        <v>81</v>
      </c>
      <c r="O264" s="56" t="s">
        <v>7162</v>
      </c>
      <c r="P264" s="55"/>
    </row>
    <row r="265" ht="19.95" customHeight="1" s="53" customFormat="1">
      <c r="A265" s="55">
        <v>171389</v>
      </c>
      <c r="B265" s="55" t="s">
        <v>2585</v>
      </c>
      <c r="C265" s="55" t="s">
        <v>5675</v>
      </c>
      <c r="D265" s="55" t="s">
        <v>7168</v>
      </c>
      <c r="E265" s="55" t="s">
        <v>67</v>
      </c>
      <c r="F265" s="55" t="s">
        <v>71</v>
      </c>
      <c r="G265" s="55" t="s">
        <v>2495</v>
      </c>
      <c r="H265" s="55" t="s">
        <v>2643</v>
      </c>
      <c r="I265" s="55" t="s">
        <v>74</v>
      </c>
      <c r="J265" s="56" t="s">
        <v>69</v>
      </c>
      <c r="K265" s="56" t="s">
        <v>3499</v>
      </c>
      <c r="L265" s="236">
        <v>45498</v>
      </c>
      <c r="M265" s="55" t="s">
        <v>7152</v>
      </c>
      <c r="N265" s="55" t="s">
        <v>81</v>
      </c>
      <c r="O265" s="56" t="s">
        <v>7162</v>
      </c>
      <c r="P265" s="55"/>
    </row>
    <row r="266" ht="19.95" customHeight="1" s="53" customFormat="1">
      <c r="A266" s="55">
        <v>171590</v>
      </c>
      <c r="B266" s="55" t="s">
        <v>5682</v>
      </c>
      <c r="C266" s="55" t="s">
        <v>5683</v>
      </c>
      <c r="D266" s="55">
        <v>1744711781</v>
      </c>
      <c r="E266" s="55" t="s">
        <v>67</v>
      </c>
      <c r="F266" s="55" t="s">
        <v>71</v>
      </c>
      <c r="G266" s="55" t="s">
        <v>155</v>
      </c>
      <c r="H266" s="55" t="s">
        <v>196</v>
      </c>
      <c r="I266" s="55" t="s">
        <v>74</v>
      </c>
      <c r="J266" s="56" t="s">
        <v>69</v>
      </c>
      <c r="K266" s="56" t="s">
        <v>3510</v>
      </c>
      <c r="L266" s="236">
        <v>45502</v>
      </c>
      <c r="M266" s="55" t="s">
        <v>3796</v>
      </c>
      <c r="N266" s="55" t="s">
        <v>81</v>
      </c>
      <c r="O266" s="56" t="s">
        <v>93</v>
      </c>
      <c r="P266" s="55"/>
    </row>
    <row r="267" ht="19.95" customHeight="1" s="53" customFormat="1">
      <c r="A267" s="55">
        <v>171739</v>
      </c>
      <c r="B267" s="55" t="s">
        <v>5514</v>
      </c>
      <c r="C267" s="55" t="s">
        <v>7169</v>
      </c>
      <c r="D267" s="55" t="s">
        <v>7170</v>
      </c>
      <c r="E267" s="55" t="s">
        <v>67</v>
      </c>
      <c r="F267" s="55" t="s">
        <v>71</v>
      </c>
      <c r="G267" s="55" t="s">
        <v>2495</v>
      </c>
      <c r="H267" s="55" t="s">
        <v>2643</v>
      </c>
      <c r="I267" s="55" t="s">
        <v>74</v>
      </c>
      <c r="J267" s="56" t="s">
        <v>69</v>
      </c>
      <c r="K267" s="56" t="s">
        <v>3499</v>
      </c>
      <c r="L267" s="236">
        <v>45505</v>
      </c>
      <c r="M267" s="55" t="s">
        <v>7152</v>
      </c>
      <c r="N267" s="55" t="s">
        <v>81</v>
      </c>
      <c r="O267" s="56" t="s">
        <v>7171</v>
      </c>
      <c r="P267" s="55"/>
    </row>
    <row r="268" ht="19.95" customHeight="1" s="53" customFormat="1">
      <c r="A268" s="55">
        <v>171738</v>
      </c>
      <c r="B268" s="55" t="s">
        <v>5696</v>
      </c>
      <c r="C268" s="55" t="s">
        <v>7014</v>
      </c>
      <c r="D268" s="55">
        <v>1627826426</v>
      </c>
      <c r="E268" s="55" t="s">
        <v>67</v>
      </c>
      <c r="F268" s="55" t="s">
        <v>71</v>
      </c>
      <c r="G268" s="55" t="s">
        <v>2162</v>
      </c>
      <c r="H268" s="55" t="s">
        <v>2643</v>
      </c>
      <c r="I268" s="55" t="s">
        <v>74</v>
      </c>
      <c r="J268" s="56" t="s">
        <v>69</v>
      </c>
      <c r="K268" s="56" t="s">
        <v>3510</v>
      </c>
      <c r="L268" s="236">
        <v>45501</v>
      </c>
      <c r="M268" s="55" t="s">
        <v>4321</v>
      </c>
      <c r="N268" s="55" t="s">
        <v>81</v>
      </c>
      <c r="O268" s="56" t="s">
        <v>7164</v>
      </c>
      <c r="P268" s="55"/>
    </row>
    <row r="269" ht="19.95" customHeight="1" s="53" customFormat="1">
      <c r="A269" s="55">
        <v>171737</v>
      </c>
      <c r="B269" s="55" t="s">
        <v>2452</v>
      </c>
      <c r="C269" s="55" t="s">
        <v>5707</v>
      </c>
      <c r="D269" s="55">
        <v>1982566488</v>
      </c>
      <c r="E269" s="55" t="s">
        <v>67</v>
      </c>
      <c r="F269" s="55" t="s">
        <v>71</v>
      </c>
      <c r="G269" s="55" t="s">
        <v>2495</v>
      </c>
      <c r="H269" s="55" t="s">
        <v>2643</v>
      </c>
      <c r="I269" s="55" t="s">
        <v>74</v>
      </c>
      <c r="J269" s="56" t="s">
        <v>69</v>
      </c>
      <c r="K269" s="56" t="s">
        <v>3499</v>
      </c>
      <c r="L269" s="236">
        <v>45505</v>
      </c>
      <c r="M269" s="55" t="s">
        <v>7152</v>
      </c>
      <c r="N269" s="55" t="s">
        <v>81</v>
      </c>
      <c r="O269" s="56" t="s">
        <v>7171</v>
      </c>
      <c r="P269" s="55"/>
    </row>
    <row r="270" ht="19.95" customHeight="1" s="53" customFormat="1">
      <c r="A270" s="55">
        <v>171656</v>
      </c>
      <c r="B270" s="55" t="s">
        <v>5716</v>
      </c>
      <c r="C270" s="55" t="s">
        <v>5717</v>
      </c>
      <c r="D270" s="55">
        <v>1681470799</v>
      </c>
      <c r="E270" s="55" t="s">
        <v>67</v>
      </c>
      <c r="F270" s="55" t="s">
        <v>71</v>
      </c>
      <c r="G270" s="55" t="s">
        <v>155</v>
      </c>
      <c r="H270" s="55" t="s">
        <v>196</v>
      </c>
      <c r="I270" s="55" t="s">
        <v>74</v>
      </c>
      <c r="J270" s="56" t="s">
        <v>69</v>
      </c>
      <c r="K270" s="56" t="s">
        <v>3510</v>
      </c>
      <c r="L270" s="236">
        <v>45505</v>
      </c>
      <c r="M270" s="55" t="s">
        <v>3796</v>
      </c>
      <c r="N270" s="55" t="s">
        <v>81</v>
      </c>
      <c r="O270" s="56" t="s">
        <v>93</v>
      </c>
      <c r="P270" s="55"/>
    </row>
    <row r="271" ht="19.95" customHeight="1" s="53" customFormat="1">
      <c r="A271" s="55">
        <v>171537</v>
      </c>
      <c r="B271" s="55" t="s">
        <v>5725</v>
      </c>
      <c r="C271" s="55" t="s">
        <v>5726</v>
      </c>
      <c r="D271" s="55">
        <v>1533388401</v>
      </c>
      <c r="E271" s="55" t="s">
        <v>67</v>
      </c>
      <c r="F271" s="55" t="s">
        <v>71</v>
      </c>
      <c r="G271" s="55" t="s">
        <v>155</v>
      </c>
      <c r="H271" s="55" t="s">
        <v>196</v>
      </c>
      <c r="I271" s="55" t="s">
        <v>74</v>
      </c>
      <c r="J271" s="56" t="s">
        <v>69</v>
      </c>
      <c r="K271" s="56" t="s">
        <v>3510</v>
      </c>
      <c r="L271" s="236">
        <v>45478</v>
      </c>
      <c r="M271" s="55" t="s">
        <v>3796</v>
      </c>
      <c r="N271" s="55" t="s">
        <v>81</v>
      </c>
      <c r="O271" s="56" t="s">
        <v>7164</v>
      </c>
      <c r="P271" s="55"/>
    </row>
    <row r="272" ht="19.95" customHeight="1" s="53" customFormat="1">
      <c r="A272" s="55">
        <v>171504</v>
      </c>
      <c r="B272" s="55" t="s">
        <v>5742</v>
      </c>
      <c r="C272" s="55" t="s">
        <v>7015</v>
      </c>
      <c r="D272" s="55">
        <v>1964430034</v>
      </c>
      <c r="E272" s="55" t="s">
        <v>67</v>
      </c>
      <c r="F272" s="55" t="s">
        <v>71</v>
      </c>
      <c r="G272" s="55" t="s">
        <v>6979</v>
      </c>
      <c r="H272" s="55" t="s">
        <v>2643</v>
      </c>
      <c r="I272" s="55" t="s">
        <v>74</v>
      </c>
      <c r="J272" s="56" t="s">
        <v>69</v>
      </c>
      <c r="K272" s="56" t="s">
        <v>3510</v>
      </c>
      <c r="L272" s="236">
        <v>45491</v>
      </c>
      <c r="M272" s="55" t="s">
        <v>3796</v>
      </c>
      <c r="N272" s="55" t="s">
        <v>81</v>
      </c>
      <c r="O272" s="56" t="s">
        <v>93</v>
      </c>
      <c r="P272" s="55"/>
    </row>
    <row r="273" ht="19.95" customHeight="1" s="53" customFormat="1">
      <c r="A273" s="55">
        <v>171259</v>
      </c>
      <c r="B273" s="55" t="s">
        <v>5763</v>
      </c>
      <c r="C273" s="55" t="s">
        <v>5764</v>
      </c>
      <c r="D273" s="55" t="s">
        <v>7172</v>
      </c>
      <c r="E273" s="55" t="s">
        <v>67</v>
      </c>
      <c r="F273" s="55" t="s">
        <v>71</v>
      </c>
      <c r="G273" s="55" t="s">
        <v>6979</v>
      </c>
      <c r="H273" s="55" t="s">
        <v>308</v>
      </c>
      <c r="I273" s="55" t="s">
        <v>74</v>
      </c>
      <c r="J273" s="56" t="s">
        <v>69</v>
      </c>
      <c r="K273" s="56" t="s">
        <v>3510</v>
      </c>
      <c r="L273" s="236">
        <v>45499</v>
      </c>
      <c r="M273" s="55" t="s">
        <v>3796</v>
      </c>
      <c r="N273" s="55" t="s">
        <v>81</v>
      </c>
      <c r="O273" s="56" t="s">
        <v>7164</v>
      </c>
      <c r="P273" s="55"/>
    </row>
    <row r="274" ht="19.95" customHeight="1" s="53" customFormat="1">
      <c r="A274" s="55">
        <v>171248</v>
      </c>
      <c r="B274" s="55" t="s">
        <v>2606</v>
      </c>
      <c r="C274" s="55" t="s">
        <v>5769</v>
      </c>
      <c r="D274" s="55">
        <v>1616971020</v>
      </c>
      <c r="E274" s="55" t="s">
        <v>67</v>
      </c>
      <c r="F274" s="55" t="s">
        <v>71</v>
      </c>
      <c r="G274" s="55" t="s">
        <v>6979</v>
      </c>
      <c r="H274" s="55" t="s">
        <v>2643</v>
      </c>
      <c r="I274" s="55" t="s">
        <v>74</v>
      </c>
      <c r="J274" s="56" t="s">
        <v>69</v>
      </c>
      <c r="K274" s="56" t="s">
        <v>3510</v>
      </c>
      <c r="L274" s="236">
        <v>45486</v>
      </c>
      <c r="M274" s="55" t="s">
        <v>3796</v>
      </c>
      <c r="N274" s="55" t="s">
        <v>81</v>
      </c>
      <c r="O274" s="56" t="s">
        <v>7173</v>
      </c>
      <c r="P274" s="55"/>
    </row>
    <row r="275" ht="19.95" customHeight="1" s="53" customFormat="1">
      <c r="A275" s="55">
        <v>171177</v>
      </c>
      <c r="B275" s="55" t="s">
        <v>5514</v>
      </c>
      <c r="C275" s="55" t="s">
        <v>7018</v>
      </c>
      <c r="D275" s="55">
        <v>1705017815</v>
      </c>
      <c r="E275" s="55" t="s">
        <v>67</v>
      </c>
      <c r="F275" s="55" t="s">
        <v>71</v>
      </c>
      <c r="G275" s="55" t="s">
        <v>6979</v>
      </c>
      <c r="H275" s="55" t="s">
        <v>2643</v>
      </c>
      <c r="I275" s="55" t="s">
        <v>74</v>
      </c>
      <c r="J275" s="56" t="s">
        <v>69</v>
      </c>
      <c r="K275" s="56" t="s">
        <v>3510</v>
      </c>
      <c r="L275" s="236">
        <v>45491</v>
      </c>
      <c r="M275" s="55" t="s">
        <v>3796</v>
      </c>
      <c r="N275" s="55" t="s">
        <v>81</v>
      </c>
      <c r="O275" s="56" t="s">
        <v>93</v>
      </c>
      <c r="P275" s="55"/>
    </row>
    <row r="276" ht="19.95" customHeight="1" s="53" customFormat="1">
      <c r="A276" s="55">
        <v>171294</v>
      </c>
      <c r="B276" s="55" t="s">
        <v>2808</v>
      </c>
      <c r="C276" s="55" t="s">
        <v>7019</v>
      </c>
      <c r="D276" s="55">
        <v>1754002876</v>
      </c>
      <c r="E276" s="55" t="s">
        <v>67</v>
      </c>
      <c r="F276" s="55" t="s">
        <v>71</v>
      </c>
      <c r="G276" s="55" t="s">
        <v>2162</v>
      </c>
      <c r="H276" s="55" t="s">
        <v>2643</v>
      </c>
      <c r="I276" s="55" t="s">
        <v>74</v>
      </c>
      <c r="J276" s="56" t="s">
        <v>69</v>
      </c>
      <c r="K276" s="56" t="s">
        <v>3510</v>
      </c>
      <c r="L276" s="236">
        <v>45505</v>
      </c>
      <c r="M276" s="55" t="s">
        <v>7021</v>
      </c>
      <c r="N276" s="55" t="s">
        <v>81</v>
      </c>
      <c r="O276" s="56" t="s">
        <v>7174</v>
      </c>
      <c r="P276" s="55"/>
    </row>
    <row r="277" ht="19.95" customHeight="1" s="53" customFormat="1">
      <c r="A277" s="55">
        <v>171678</v>
      </c>
      <c r="B277" s="55" t="s">
        <v>2694</v>
      </c>
      <c r="C277" s="55" t="s">
        <v>5819</v>
      </c>
      <c r="D277" s="55">
        <v>1880385277</v>
      </c>
      <c r="E277" s="55" t="s">
        <v>67</v>
      </c>
      <c r="F277" s="55" t="s">
        <v>71</v>
      </c>
      <c r="G277" s="55" t="s">
        <v>2495</v>
      </c>
      <c r="H277" s="55" t="s">
        <v>115</v>
      </c>
      <c r="I277" s="55" t="s">
        <v>74</v>
      </c>
      <c r="J277" s="56" t="s">
        <v>69</v>
      </c>
      <c r="K277" s="56" t="s">
        <v>3499</v>
      </c>
      <c r="L277" s="236">
        <v>45489</v>
      </c>
      <c r="M277" s="55" t="s">
        <v>7152</v>
      </c>
      <c r="N277" s="55" t="s">
        <v>81</v>
      </c>
      <c r="O277" s="56" t="s">
        <v>7171</v>
      </c>
      <c r="P277" s="55"/>
    </row>
    <row r="278" ht="19.95" customHeight="1" s="53" customFormat="1">
      <c r="A278" s="55" t="s">
        <v>7023</v>
      </c>
      <c r="B278" s="55" t="s">
        <v>7024</v>
      </c>
      <c r="C278" s="55" t="s">
        <v>7025</v>
      </c>
      <c r="D278" s="55">
        <v>1631845830</v>
      </c>
      <c r="E278" s="55" t="s">
        <v>67</v>
      </c>
      <c r="F278" s="55" t="s">
        <v>71</v>
      </c>
      <c r="G278" s="55" t="s">
        <v>5709</v>
      </c>
      <c r="H278" s="55" t="s">
        <v>115</v>
      </c>
      <c r="I278" s="55" t="s">
        <v>74</v>
      </c>
      <c r="J278" s="56" t="s">
        <v>69</v>
      </c>
      <c r="K278" s="56" t="s">
        <v>3510</v>
      </c>
      <c r="L278" s="236">
        <v>45505</v>
      </c>
      <c r="M278" s="55" t="s">
        <v>3796</v>
      </c>
      <c r="N278" s="55" t="s">
        <v>81</v>
      </c>
      <c r="O278" s="56" t="s">
        <v>7175</v>
      </c>
      <c r="P278" s="55"/>
    </row>
    <row r="279" ht="19.95" customHeight="1" s="53" customFormat="1">
      <c r="A279" s="55">
        <v>171439</v>
      </c>
      <c r="B279" s="55" t="s">
        <v>5754</v>
      </c>
      <c r="C279" s="55" t="s">
        <v>5755</v>
      </c>
      <c r="D279" s="55">
        <v>1625099135</v>
      </c>
      <c r="E279" s="55" t="s">
        <v>67</v>
      </c>
      <c r="F279" s="55" t="s">
        <v>71</v>
      </c>
      <c r="G279" s="55" t="s">
        <v>6979</v>
      </c>
      <c r="H279" s="55" t="s">
        <v>2643</v>
      </c>
      <c r="I279" s="55" t="s">
        <v>74</v>
      </c>
      <c r="J279" s="56" t="s">
        <v>69</v>
      </c>
      <c r="K279" s="56" t="s">
        <v>3510</v>
      </c>
      <c r="L279" s="236">
        <v>45483</v>
      </c>
      <c r="M279" s="55" t="s">
        <v>3796</v>
      </c>
      <c r="N279" s="55" t="s">
        <v>81</v>
      </c>
      <c r="O279" s="56" t="s">
        <v>7164</v>
      </c>
      <c r="P279" s="55"/>
    </row>
    <row r="280" ht="19.95" customHeight="1" s="53" customFormat="1">
      <c r="A280" s="55">
        <v>171524</v>
      </c>
      <c r="B280" s="55" t="s">
        <v>5848</v>
      </c>
      <c r="C280" s="55" t="s">
        <v>3839</v>
      </c>
      <c r="D280" s="55">
        <v>1303925636</v>
      </c>
      <c r="E280" s="55" t="s">
        <v>67</v>
      </c>
      <c r="F280" s="55" t="s">
        <v>71</v>
      </c>
      <c r="G280" s="55" t="s">
        <v>155</v>
      </c>
      <c r="H280" s="55" t="s">
        <v>196</v>
      </c>
      <c r="I280" s="55" t="s">
        <v>74</v>
      </c>
      <c r="J280" s="56" t="s">
        <v>69</v>
      </c>
      <c r="K280" s="56" t="s">
        <v>3510</v>
      </c>
      <c r="L280" s="236">
        <v>45520</v>
      </c>
      <c r="M280" s="55" t="s">
        <v>3796</v>
      </c>
      <c r="N280" s="55" t="s">
        <v>81</v>
      </c>
      <c r="O280" s="56" t="s">
        <v>93</v>
      </c>
      <c r="P280" s="55"/>
    </row>
    <row r="281" ht="19.95" customHeight="1" s="53" customFormat="1">
      <c r="A281" s="55">
        <v>171290</v>
      </c>
      <c r="B281" s="55" t="s">
        <v>7027</v>
      </c>
      <c r="C281" s="55" t="s">
        <v>5856</v>
      </c>
      <c r="D281" s="55">
        <v>1799233073</v>
      </c>
      <c r="E281" s="55" t="s">
        <v>67</v>
      </c>
      <c r="F281" s="55" t="s">
        <v>71</v>
      </c>
      <c r="G281" s="55" t="s">
        <v>2162</v>
      </c>
      <c r="H281" s="55" t="s">
        <v>2643</v>
      </c>
      <c r="I281" s="55" t="s">
        <v>74</v>
      </c>
      <c r="J281" s="56" t="s">
        <v>69</v>
      </c>
      <c r="K281" s="56" t="s">
        <v>3510</v>
      </c>
      <c r="L281" s="236">
        <v>45508</v>
      </c>
      <c r="M281" s="55" t="s">
        <v>3796</v>
      </c>
      <c r="N281" s="55" t="s">
        <v>81</v>
      </c>
      <c r="O281" s="56" t="s">
        <v>7175</v>
      </c>
      <c r="P281" s="55"/>
    </row>
    <row r="282" ht="19.95" customHeight="1" s="53" customFormat="1">
      <c r="A282" s="55">
        <v>171637</v>
      </c>
      <c r="B282" s="55" t="s">
        <v>2632</v>
      </c>
      <c r="C282" s="55" t="s">
        <v>5864</v>
      </c>
      <c r="D282" s="55">
        <v>1611144861</v>
      </c>
      <c r="E282" s="55" t="s">
        <v>67</v>
      </c>
      <c r="F282" s="55" t="s">
        <v>71</v>
      </c>
      <c r="G282" s="55" t="s">
        <v>5709</v>
      </c>
      <c r="H282" s="55" t="s">
        <v>115</v>
      </c>
      <c r="I282" s="55" t="s">
        <v>74</v>
      </c>
      <c r="J282" s="56" t="s">
        <v>69</v>
      </c>
      <c r="K282" s="56" t="s">
        <v>3510</v>
      </c>
      <c r="L282" s="236">
        <v>45512</v>
      </c>
      <c r="M282" s="55" t="s">
        <v>4957</v>
      </c>
      <c r="N282" s="55" t="s">
        <v>81</v>
      </c>
      <c r="O282" s="56" t="s">
        <v>93</v>
      </c>
      <c r="P282" s="55"/>
    </row>
    <row r="283" ht="19.95" customHeight="1" s="53" customFormat="1">
      <c r="A283" s="55">
        <v>171328</v>
      </c>
      <c r="B283" s="55" t="s">
        <v>5873</v>
      </c>
      <c r="C283" s="55" t="s">
        <v>5874</v>
      </c>
      <c r="D283" s="55">
        <v>1719241642</v>
      </c>
      <c r="E283" s="55" t="s">
        <v>67</v>
      </c>
      <c r="F283" s="55" t="s">
        <v>71</v>
      </c>
      <c r="G283" s="55" t="s">
        <v>155</v>
      </c>
      <c r="H283" s="55" t="s">
        <v>196</v>
      </c>
      <c r="I283" s="55" t="s">
        <v>74</v>
      </c>
      <c r="J283" s="56" t="s">
        <v>69</v>
      </c>
      <c r="K283" s="56" t="s">
        <v>3510</v>
      </c>
      <c r="L283" s="236">
        <v>45512</v>
      </c>
      <c r="M283" s="55" t="s">
        <v>3796</v>
      </c>
      <c r="N283" s="55" t="s">
        <v>81</v>
      </c>
      <c r="O283" s="56" t="s">
        <v>93</v>
      </c>
      <c r="P283" s="55"/>
    </row>
    <row r="284" ht="19.95" customHeight="1" s="53" customFormat="1">
      <c r="A284" s="55">
        <v>171218</v>
      </c>
      <c r="B284" s="55" t="s">
        <v>5881</v>
      </c>
      <c r="C284" s="55" t="s">
        <v>5882</v>
      </c>
      <c r="D284" s="55">
        <v>1642175252</v>
      </c>
      <c r="E284" s="55" t="s">
        <v>67</v>
      </c>
      <c r="F284" s="55" t="s">
        <v>71</v>
      </c>
      <c r="G284" s="55" t="s">
        <v>155</v>
      </c>
      <c r="H284" s="55" t="s">
        <v>196</v>
      </c>
      <c r="I284" s="55" t="s">
        <v>74</v>
      </c>
      <c r="J284" s="56" t="s">
        <v>69</v>
      </c>
      <c r="K284" s="56" t="s">
        <v>3510</v>
      </c>
      <c r="L284" s="236">
        <v>45512</v>
      </c>
      <c r="M284" s="55" t="s">
        <v>3796</v>
      </c>
      <c r="N284" s="55" t="s">
        <v>81</v>
      </c>
      <c r="O284" s="56" t="s">
        <v>93</v>
      </c>
      <c r="P284" s="55"/>
    </row>
    <row r="285" ht="19.95" customHeight="1" s="53" customFormat="1">
      <c r="A285" s="55">
        <v>171697</v>
      </c>
      <c r="B285" s="55" t="s">
        <v>5888</v>
      </c>
      <c r="C285" s="55" t="s">
        <v>5889</v>
      </c>
      <c r="D285" s="55">
        <v>1782047781</v>
      </c>
      <c r="E285" s="55" t="s">
        <v>67</v>
      </c>
      <c r="F285" s="55" t="s">
        <v>71</v>
      </c>
      <c r="G285" s="55" t="s">
        <v>155</v>
      </c>
      <c r="H285" s="55" t="s">
        <v>196</v>
      </c>
      <c r="I285" s="55" t="s">
        <v>74</v>
      </c>
      <c r="J285" s="56" t="s">
        <v>69</v>
      </c>
      <c r="K285" s="56" t="s">
        <v>3510</v>
      </c>
      <c r="L285" s="236">
        <v>45506</v>
      </c>
      <c r="M285" s="55" t="s">
        <v>3796</v>
      </c>
      <c r="N285" s="55" t="s">
        <v>81</v>
      </c>
      <c r="O285" s="56" t="s">
        <v>7164</v>
      </c>
      <c r="P285" s="55"/>
    </row>
    <row r="286" ht="19.95" customHeight="1" s="53" customFormat="1">
      <c r="A286" s="55">
        <v>171184</v>
      </c>
      <c r="B286" s="55" t="s">
        <v>3059</v>
      </c>
      <c r="C286" s="55" t="s">
        <v>5890</v>
      </c>
      <c r="D286" s="55">
        <v>1774277027</v>
      </c>
      <c r="E286" s="55" t="s">
        <v>67</v>
      </c>
      <c r="F286" s="55" t="s">
        <v>71</v>
      </c>
      <c r="G286" s="55" t="s">
        <v>5709</v>
      </c>
      <c r="H286" s="55" t="s">
        <v>98</v>
      </c>
      <c r="I286" s="55" t="s">
        <v>74</v>
      </c>
      <c r="J286" s="56" t="s">
        <v>69</v>
      </c>
      <c r="K286" s="56" t="s">
        <v>3510</v>
      </c>
      <c r="L286" s="236">
        <v>45512</v>
      </c>
      <c r="M286" s="55" t="s">
        <v>7028</v>
      </c>
      <c r="N286" s="55" t="s">
        <v>81</v>
      </c>
      <c r="O286" s="56" t="s">
        <v>93</v>
      </c>
      <c r="P286" s="55"/>
    </row>
    <row r="287" ht="19.95" customHeight="1" s="53" customFormat="1">
      <c r="A287" s="55">
        <v>171531</v>
      </c>
      <c r="B287" s="55" t="s">
        <v>5899</v>
      </c>
      <c r="C287" s="55" t="s">
        <v>7029</v>
      </c>
      <c r="D287" s="55">
        <v>1821275905</v>
      </c>
      <c r="E287" s="55" t="s">
        <v>67</v>
      </c>
      <c r="F287" s="55" t="s">
        <v>71</v>
      </c>
      <c r="G287" s="55" t="s">
        <v>155</v>
      </c>
      <c r="H287" s="55" t="s">
        <v>196</v>
      </c>
      <c r="I287" s="55" t="s">
        <v>74</v>
      </c>
      <c r="J287" s="56" t="s">
        <v>69</v>
      </c>
      <c r="K287" s="56" t="s">
        <v>3510</v>
      </c>
      <c r="L287" s="236">
        <v>45512</v>
      </c>
      <c r="M287" s="55" t="s">
        <v>3796</v>
      </c>
      <c r="N287" s="55" t="s">
        <v>81</v>
      </c>
      <c r="O287" s="56" t="s">
        <v>93</v>
      </c>
      <c r="P287" s="55"/>
    </row>
    <row r="288" ht="19.95" customHeight="1" s="53" customFormat="1">
      <c r="A288" s="55">
        <v>171388</v>
      </c>
      <c r="B288" s="55" t="s">
        <v>3257</v>
      </c>
      <c r="C288" s="55" t="s">
        <v>5911</v>
      </c>
      <c r="D288" s="55" t="s">
        <v>7176</v>
      </c>
      <c r="E288" s="55" t="s">
        <v>67</v>
      </c>
      <c r="F288" s="55" t="s">
        <v>71</v>
      </c>
      <c r="G288" s="55" t="s">
        <v>307</v>
      </c>
      <c r="H288" s="55" t="s">
        <v>308</v>
      </c>
      <c r="I288" s="55" t="s">
        <v>74</v>
      </c>
      <c r="J288" s="56" t="s">
        <v>69</v>
      </c>
      <c r="K288" s="56" t="s">
        <v>3510</v>
      </c>
      <c r="L288" s="236">
        <v>45508</v>
      </c>
      <c r="M288" s="55" t="s">
        <v>7177</v>
      </c>
      <c r="N288" s="55" t="s">
        <v>81</v>
      </c>
      <c r="O288" s="56" t="s">
        <v>7164</v>
      </c>
      <c r="P288" s="55"/>
    </row>
    <row r="289" ht="19.95" customHeight="1" s="53" customFormat="1">
      <c r="A289" s="55">
        <v>171357</v>
      </c>
      <c r="B289" s="55" t="s">
        <v>4593</v>
      </c>
      <c r="C289" s="55" t="s">
        <v>5917</v>
      </c>
      <c r="D289" s="55" t="s">
        <v>7178</v>
      </c>
      <c r="E289" s="55" t="s">
        <v>67</v>
      </c>
      <c r="F289" s="55" t="s">
        <v>71</v>
      </c>
      <c r="G289" s="55" t="s">
        <v>307</v>
      </c>
      <c r="H289" s="55" t="s">
        <v>308</v>
      </c>
      <c r="I289" s="55" t="s">
        <v>74</v>
      </c>
      <c r="J289" s="56" t="s">
        <v>69</v>
      </c>
      <c r="K289" s="56" t="s">
        <v>3510</v>
      </c>
      <c r="L289" s="236">
        <v>45508</v>
      </c>
      <c r="M289" s="55" t="s">
        <v>7177</v>
      </c>
      <c r="N289" s="55" t="s">
        <v>81</v>
      </c>
      <c r="O289" s="56" t="s">
        <v>7164</v>
      </c>
      <c r="P289" s="55"/>
    </row>
    <row r="290" ht="19.95" customHeight="1" s="53" customFormat="1">
      <c r="A290" s="55">
        <v>171735</v>
      </c>
      <c r="B290" s="55" t="s">
        <v>3041</v>
      </c>
      <c r="C290" s="55" t="s">
        <v>5927</v>
      </c>
      <c r="D290" s="55">
        <v>1680928884</v>
      </c>
      <c r="E290" s="55" t="s">
        <v>67</v>
      </c>
      <c r="F290" s="55" t="s">
        <v>71</v>
      </c>
      <c r="G290" s="55" t="s">
        <v>2162</v>
      </c>
      <c r="H290" s="55" t="s">
        <v>2643</v>
      </c>
      <c r="I290" s="55" t="s">
        <v>74</v>
      </c>
      <c r="J290" s="56" t="s">
        <v>69</v>
      </c>
      <c r="K290" s="56" t="s">
        <v>3510</v>
      </c>
      <c r="L290" s="236">
        <v>45517</v>
      </c>
      <c r="M290" s="55" t="s">
        <v>2868</v>
      </c>
      <c r="N290" s="55" t="s">
        <v>81</v>
      </c>
      <c r="O290" s="56" t="s">
        <v>93</v>
      </c>
      <c r="P290" s="55"/>
    </row>
    <row r="291" ht="19.95" customHeight="1" s="53" customFormat="1">
      <c r="A291" s="55">
        <v>171731</v>
      </c>
      <c r="B291" s="55" t="s">
        <v>5934</v>
      </c>
      <c r="C291" s="55" t="s">
        <v>5935</v>
      </c>
      <c r="D291" s="55">
        <v>1747676507</v>
      </c>
      <c r="E291" s="55" t="s">
        <v>67</v>
      </c>
      <c r="F291" s="55" t="s">
        <v>71</v>
      </c>
      <c r="G291" s="55" t="s">
        <v>97</v>
      </c>
      <c r="H291" s="55" t="s">
        <v>2643</v>
      </c>
      <c r="I291" s="55" t="s">
        <v>74</v>
      </c>
      <c r="J291" s="56" t="s">
        <v>69</v>
      </c>
      <c r="K291" s="56" t="s">
        <v>3510</v>
      </c>
      <c r="L291" s="236">
        <v>45505</v>
      </c>
      <c r="M291" s="55" t="s">
        <v>2868</v>
      </c>
      <c r="N291" s="55" t="s">
        <v>81</v>
      </c>
      <c r="O291" s="56" t="s">
        <v>7164</v>
      </c>
      <c r="P291" s="55"/>
    </row>
    <row r="292" ht="19.95" customHeight="1" s="53" customFormat="1">
      <c r="A292" s="55">
        <v>171180</v>
      </c>
      <c r="B292" s="55"/>
      <c r="C292" s="55" t="s">
        <v>5941</v>
      </c>
      <c r="D292" s="55">
        <v>1630635945</v>
      </c>
      <c r="E292" s="55" t="s">
        <v>67</v>
      </c>
      <c r="F292" s="55" t="s">
        <v>71</v>
      </c>
      <c r="G292" s="55" t="s">
        <v>5943</v>
      </c>
      <c r="H292" s="55" t="s">
        <v>2643</v>
      </c>
      <c r="I292" s="55" t="s">
        <v>74</v>
      </c>
      <c r="J292" s="56" t="s">
        <v>69</v>
      </c>
      <c r="K292" s="56" t="s">
        <v>7152</v>
      </c>
      <c r="L292" s="236">
        <v>45474</v>
      </c>
      <c r="M292" s="55" t="s">
        <v>5590</v>
      </c>
      <c r="N292" s="55" t="s">
        <v>81</v>
      </c>
      <c r="O292" s="56" t="s">
        <v>7179</v>
      </c>
      <c r="P292" s="55"/>
    </row>
    <row r="293" ht="19.95" customHeight="1" s="53" customFormat="1">
      <c r="A293" s="55">
        <v>171534</v>
      </c>
      <c r="B293" s="55" t="s">
        <v>5950</v>
      </c>
      <c r="C293" s="55" t="s">
        <v>7033</v>
      </c>
      <c r="D293" s="55">
        <v>1985605389</v>
      </c>
      <c r="E293" s="55" t="s">
        <v>67</v>
      </c>
      <c r="F293" s="55" t="s">
        <v>71</v>
      </c>
      <c r="G293" s="55" t="s">
        <v>155</v>
      </c>
      <c r="H293" s="55" t="s">
        <v>7034</v>
      </c>
      <c r="I293" s="55" t="s">
        <v>74</v>
      </c>
      <c r="J293" s="56" t="s">
        <v>69</v>
      </c>
      <c r="K293" s="56" t="s">
        <v>3510</v>
      </c>
      <c r="L293" s="236">
        <v>45513</v>
      </c>
      <c r="M293" s="55" t="s">
        <v>4035</v>
      </c>
      <c r="N293" s="55"/>
      <c r="O293" s="56" t="s">
        <v>7164</v>
      </c>
      <c r="P293" s="55"/>
    </row>
    <row r="294" ht="19.95" customHeight="1" s="53" customFormat="1">
      <c r="A294" s="55">
        <v>800</v>
      </c>
      <c r="B294" s="55"/>
      <c r="C294" s="55" t="s">
        <v>5959</v>
      </c>
      <c r="D294" s="55">
        <v>1834971595</v>
      </c>
      <c r="E294" s="55" t="s">
        <v>4150</v>
      </c>
      <c r="F294" s="55" t="s">
        <v>5960</v>
      </c>
      <c r="G294" s="55" t="s">
        <v>5961</v>
      </c>
      <c r="H294" s="55"/>
      <c r="I294" s="55"/>
      <c r="J294" s="56"/>
      <c r="K294" s="56"/>
      <c r="L294" s="236"/>
      <c r="M294" s="55"/>
      <c r="N294" s="55"/>
      <c r="O294" s="56"/>
      <c r="P294" s="55"/>
    </row>
    <row r="295" ht="19.95" customHeight="1" s="53" customFormat="1">
      <c r="A295" s="55">
        <v>171611</v>
      </c>
      <c r="B295" s="55" t="s">
        <v>2696</v>
      </c>
      <c r="C295" s="55" t="s">
        <v>5967</v>
      </c>
      <c r="D295" s="55">
        <v>1976327974</v>
      </c>
      <c r="E295" s="55" t="s">
        <v>67</v>
      </c>
      <c r="F295" s="55" t="s">
        <v>71</v>
      </c>
      <c r="G295" s="55" t="s">
        <v>5709</v>
      </c>
      <c r="H295" s="55" t="s">
        <v>115</v>
      </c>
      <c r="I295" s="55" t="s">
        <v>74</v>
      </c>
      <c r="J295" s="56" t="s">
        <v>69</v>
      </c>
      <c r="K295" s="56" t="s">
        <v>3510</v>
      </c>
      <c r="L295" s="236">
        <v>45510</v>
      </c>
      <c r="M295" s="55" t="s">
        <v>4035</v>
      </c>
      <c r="N295" s="55"/>
      <c r="O295" s="56" t="s">
        <v>93</v>
      </c>
      <c r="P295" s="55"/>
    </row>
    <row r="296" ht="19.95" customHeight="1" s="53" customFormat="1">
      <c r="A296" s="55">
        <v>171574</v>
      </c>
      <c r="B296" s="55" t="s">
        <v>5975</v>
      </c>
      <c r="C296" s="55" t="s">
        <v>5976</v>
      </c>
      <c r="D296" s="55">
        <v>1907313207</v>
      </c>
      <c r="E296" s="55" t="s">
        <v>67</v>
      </c>
      <c r="F296" s="55" t="s">
        <v>71</v>
      </c>
      <c r="G296" s="55" t="s">
        <v>155</v>
      </c>
      <c r="H296" s="55" t="s">
        <v>7034</v>
      </c>
      <c r="I296" s="55" t="s">
        <v>74</v>
      </c>
      <c r="J296" s="56" t="s">
        <v>69</v>
      </c>
      <c r="K296" s="56" t="s">
        <v>3510</v>
      </c>
      <c r="L296" s="236">
        <v>45512</v>
      </c>
      <c r="M296" s="55" t="s">
        <v>4035</v>
      </c>
      <c r="N296" s="55"/>
      <c r="O296" s="56" t="s">
        <v>7164</v>
      </c>
      <c r="P296" s="55"/>
    </row>
    <row r="297" ht="19.95" customHeight="1" s="53" customFormat="1">
      <c r="A297" s="55">
        <v>171647</v>
      </c>
      <c r="B297" s="55" t="s">
        <v>5984</v>
      </c>
      <c r="C297" s="55" t="s">
        <v>5985</v>
      </c>
      <c r="D297" s="55">
        <v>1810172075</v>
      </c>
      <c r="E297" s="55" t="s">
        <v>67</v>
      </c>
      <c r="F297" s="55" t="s">
        <v>71</v>
      </c>
      <c r="G297" s="55" t="s">
        <v>155</v>
      </c>
      <c r="H297" s="55" t="s">
        <v>7034</v>
      </c>
      <c r="I297" s="55" t="s">
        <v>74</v>
      </c>
      <c r="J297" s="56" t="s">
        <v>69</v>
      </c>
      <c r="K297" s="56" t="s">
        <v>3510</v>
      </c>
      <c r="L297" s="236">
        <v>45513</v>
      </c>
      <c r="M297" s="55" t="s">
        <v>4035</v>
      </c>
      <c r="N297" s="55"/>
      <c r="O297" s="56" t="s">
        <v>7164</v>
      </c>
      <c r="P297" s="55"/>
    </row>
    <row r="298" ht="19.95" customHeight="1" s="53" customFormat="1">
      <c r="A298" s="55" t="s">
        <v>7035</v>
      </c>
      <c r="B298" s="55" t="s">
        <v>7036</v>
      </c>
      <c r="C298" s="55" t="s">
        <v>5993</v>
      </c>
      <c r="D298" s="55">
        <v>1715840348</v>
      </c>
      <c r="E298" s="55" t="s">
        <v>67</v>
      </c>
      <c r="F298" s="55" t="s">
        <v>71</v>
      </c>
      <c r="G298" s="55" t="s">
        <v>5709</v>
      </c>
      <c r="H298" s="55" t="s">
        <v>115</v>
      </c>
      <c r="I298" s="55" t="s">
        <v>74</v>
      </c>
      <c r="J298" s="56" t="s">
        <v>69</v>
      </c>
      <c r="K298" s="56" t="s">
        <v>3510</v>
      </c>
      <c r="L298" s="236">
        <v>45519</v>
      </c>
      <c r="M298" s="55" t="s">
        <v>2868</v>
      </c>
      <c r="N298" s="55"/>
      <c r="O298" s="56" t="s">
        <v>93</v>
      </c>
      <c r="P298" s="55"/>
    </row>
    <row r="299" ht="19.95" customHeight="1" s="55" customFormat="1">
      <c r="A299" s="55">
        <v>171791</v>
      </c>
      <c r="B299" s="55" t="s">
        <v>6685</v>
      </c>
      <c r="C299" s="55" t="s">
        <v>7180</v>
      </c>
      <c r="D299" s="55">
        <v>1762350737</v>
      </c>
      <c r="E299" s="55" t="s">
        <v>67</v>
      </c>
      <c r="F299" s="55" t="s">
        <v>71</v>
      </c>
      <c r="G299" s="55" t="s">
        <v>2495</v>
      </c>
      <c r="H299" s="55" t="s">
        <v>2643</v>
      </c>
      <c r="I299" s="55" t="s">
        <v>74</v>
      </c>
      <c r="J299" s="56" t="s">
        <v>69</v>
      </c>
      <c r="K299" s="56" t="s">
        <v>3499</v>
      </c>
      <c r="L299" s="236">
        <v>45586</v>
      </c>
      <c r="M299" s="55" t="s">
        <v>7152</v>
      </c>
      <c r="N299" s="55" t="s">
        <v>81</v>
      </c>
      <c r="O299" s="56" t="s">
        <v>93</v>
      </c>
    </row>
    <row r="300" ht="19.95" customHeight="1" s="53" customFormat="1">
      <c r="A300" s="77">
        <v>171764</v>
      </c>
      <c r="B300" s="77" t="s">
        <v>5999</v>
      </c>
      <c r="C300" s="77" t="s">
        <v>4846</v>
      </c>
      <c r="D300" s="77">
        <v>1968638774</v>
      </c>
      <c r="E300" s="77" t="s">
        <v>67</v>
      </c>
      <c r="F300" s="77" t="s">
        <v>71</v>
      </c>
      <c r="G300" s="77" t="s">
        <v>2495</v>
      </c>
      <c r="H300" s="77" t="s">
        <v>2643</v>
      </c>
      <c r="I300" s="77" t="s">
        <v>74</v>
      </c>
      <c r="J300" s="80" t="s">
        <v>69</v>
      </c>
      <c r="K300" s="80" t="s">
        <v>3510</v>
      </c>
      <c r="L300" s="322">
        <v>45513</v>
      </c>
      <c r="M300" s="77" t="s">
        <v>2868</v>
      </c>
      <c r="N300" s="77"/>
      <c r="O300" s="80" t="s">
        <v>7164</v>
      </c>
      <c r="P300" s="77"/>
    </row>
    <row r="301" ht="19.95" customHeight="1" s="53" customFormat="1">
      <c r="A301" s="55">
        <v>171501</v>
      </c>
      <c r="B301" s="55" t="s">
        <v>6005</v>
      </c>
      <c r="C301" s="55" t="s">
        <v>6006</v>
      </c>
      <c r="D301" s="55">
        <v>1737524848</v>
      </c>
      <c r="E301" s="55" t="s">
        <v>67</v>
      </c>
      <c r="F301" s="55" t="s">
        <v>71</v>
      </c>
      <c r="G301" s="55" t="s">
        <v>7038</v>
      </c>
      <c r="H301" s="55" t="s">
        <v>2643</v>
      </c>
      <c r="I301" s="55" t="s">
        <v>74</v>
      </c>
      <c r="J301" s="56" t="s">
        <v>69</v>
      </c>
      <c r="K301" s="56" t="s">
        <v>3510</v>
      </c>
      <c r="L301" s="236">
        <v>45516</v>
      </c>
      <c r="M301" s="55" t="s">
        <v>4035</v>
      </c>
      <c r="N301" s="55"/>
      <c r="O301" s="56" t="s">
        <v>7164</v>
      </c>
      <c r="P301" s="55"/>
    </row>
    <row r="302" ht="19.95" customHeight="1" s="53" customFormat="1">
      <c r="A302" s="55">
        <v>171788</v>
      </c>
      <c r="B302" s="55" t="s">
        <v>6014</v>
      </c>
      <c r="C302" s="55" t="s">
        <v>6015</v>
      </c>
      <c r="D302" s="55" t="s">
        <v>7181</v>
      </c>
      <c r="E302" s="55" t="s">
        <v>67</v>
      </c>
      <c r="F302" s="55" t="s">
        <v>71</v>
      </c>
      <c r="G302" s="55" t="s">
        <v>2495</v>
      </c>
      <c r="H302" s="55" t="s">
        <v>2643</v>
      </c>
      <c r="I302" s="55" t="s">
        <v>74</v>
      </c>
      <c r="J302" s="56" t="s">
        <v>69</v>
      </c>
      <c r="K302" s="56" t="s">
        <v>3510</v>
      </c>
      <c r="L302" s="236">
        <v>45515</v>
      </c>
      <c r="M302" s="55" t="s">
        <v>2868</v>
      </c>
      <c r="N302" s="55"/>
      <c r="O302" s="56" t="s">
        <v>7164</v>
      </c>
      <c r="P302" s="55"/>
    </row>
    <row r="303" ht="19.95" customHeight="1" s="53" customFormat="1">
      <c r="A303" s="55">
        <v>171675</v>
      </c>
      <c r="B303" s="55" t="s">
        <v>6017</v>
      </c>
      <c r="C303" s="55" t="s">
        <v>6018</v>
      </c>
      <c r="D303" s="55">
        <v>1998500367</v>
      </c>
      <c r="E303" s="55" t="s">
        <v>67</v>
      </c>
      <c r="F303" s="55" t="s">
        <v>71</v>
      </c>
      <c r="G303" s="55" t="s">
        <v>5709</v>
      </c>
      <c r="H303" s="55" t="s">
        <v>115</v>
      </c>
      <c r="I303" s="55" t="s">
        <v>74</v>
      </c>
      <c r="J303" s="56" t="s">
        <v>69</v>
      </c>
      <c r="K303" s="56" t="s">
        <v>3510</v>
      </c>
      <c r="L303" s="236">
        <v>45510</v>
      </c>
      <c r="M303" s="55" t="s">
        <v>4547</v>
      </c>
      <c r="N303" s="55"/>
      <c r="O303" s="56" t="s">
        <v>93</v>
      </c>
      <c r="P303" s="55"/>
    </row>
    <row r="304" ht="19.95" customHeight="1" s="53" customFormat="1">
      <c r="A304" s="55">
        <v>171330</v>
      </c>
      <c r="B304" s="55" t="s">
        <v>6025</v>
      </c>
      <c r="C304" s="55" t="s">
        <v>6026</v>
      </c>
      <c r="D304" s="55">
        <v>1771771113</v>
      </c>
      <c r="E304" s="55" t="s">
        <v>67</v>
      </c>
      <c r="F304" s="55" t="s">
        <v>71</v>
      </c>
      <c r="G304" s="55" t="s">
        <v>155</v>
      </c>
      <c r="H304" s="55" t="s">
        <v>196</v>
      </c>
      <c r="I304" s="55" t="s">
        <v>74</v>
      </c>
      <c r="J304" s="56" t="s">
        <v>69</v>
      </c>
      <c r="K304" s="56" t="s">
        <v>3510</v>
      </c>
      <c r="L304" s="236">
        <v>45506</v>
      </c>
      <c r="M304" s="55" t="s">
        <v>4035</v>
      </c>
      <c r="N304" s="55"/>
      <c r="O304" s="56" t="s">
        <v>7164</v>
      </c>
      <c r="P304" s="55"/>
    </row>
    <row r="305" ht="19.95" customHeight="1" s="53" customFormat="1">
      <c r="A305" s="55">
        <v>171229</v>
      </c>
      <c r="B305" s="55" t="s">
        <v>3315</v>
      </c>
      <c r="C305" s="55" t="s">
        <v>7040</v>
      </c>
      <c r="D305" s="55" t="s">
        <v>7182</v>
      </c>
      <c r="E305" s="55" t="s">
        <v>67</v>
      </c>
      <c r="F305" s="55" t="s">
        <v>71</v>
      </c>
      <c r="G305" s="55" t="s">
        <v>2495</v>
      </c>
      <c r="H305" s="55" t="s">
        <v>308</v>
      </c>
      <c r="I305" s="55" t="s">
        <v>74</v>
      </c>
      <c r="J305" s="56" t="s">
        <v>69</v>
      </c>
      <c r="K305" s="56" t="s">
        <v>3510</v>
      </c>
      <c r="L305" s="236">
        <v>45518</v>
      </c>
      <c r="M305" s="55" t="s">
        <v>4035</v>
      </c>
      <c r="N305" s="55"/>
      <c r="O305" s="56" t="s">
        <v>7164</v>
      </c>
      <c r="P305" s="55"/>
    </row>
    <row r="306" ht="19.95" customHeight="1" s="53" customFormat="1">
      <c r="A306" s="55">
        <v>171751</v>
      </c>
      <c r="B306" s="55" t="s">
        <v>6040</v>
      </c>
      <c r="C306" s="55" t="s">
        <v>6041</v>
      </c>
      <c r="D306" s="55">
        <v>1786021964</v>
      </c>
      <c r="E306" s="55" t="s">
        <v>67</v>
      </c>
      <c r="F306" s="55" t="s">
        <v>71</v>
      </c>
      <c r="G306" s="55" t="s">
        <v>155</v>
      </c>
      <c r="H306" s="55" t="s">
        <v>7034</v>
      </c>
      <c r="I306" s="55" t="s">
        <v>74</v>
      </c>
      <c r="J306" s="56" t="s">
        <v>69</v>
      </c>
      <c r="K306" s="56" t="s">
        <v>3499</v>
      </c>
      <c r="L306" s="236">
        <v>45518</v>
      </c>
      <c r="M306" s="55" t="s">
        <v>7152</v>
      </c>
      <c r="N306" s="55" t="s">
        <v>81</v>
      </c>
      <c r="O306" s="56" t="s">
        <v>7183</v>
      </c>
      <c r="P306" s="55"/>
    </row>
    <row r="307" ht="19.95" customHeight="1" s="53" customFormat="1">
      <c r="A307" s="55">
        <v>171740</v>
      </c>
      <c r="B307" s="55" t="s">
        <v>6050</v>
      </c>
      <c r="C307" s="55" t="s">
        <v>6051</v>
      </c>
      <c r="D307" s="55">
        <v>1744126518</v>
      </c>
      <c r="E307" s="55" t="s">
        <v>67</v>
      </c>
      <c r="F307" s="55" t="s">
        <v>71</v>
      </c>
      <c r="G307" s="55" t="s">
        <v>155</v>
      </c>
      <c r="H307" s="55" t="s">
        <v>7034</v>
      </c>
      <c r="I307" s="55" t="s">
        <v>74</v>
      </c>
      <c r="J307" s="56" t="s">
        <v>69</v>
      </c>
      <c r="K307" s="56" t="s">
        <v>3499</v>
      </c>
      <c r="L307" s="236">
        <v>45518</v>
      </c>
      <c r="M307" s="55" t="s">
        <v>7152</v>
      </c>
      <c r="N307" s="55" t="s">
        <v>81</v>
      </c>
      <c r="O307" s="56" t="s">
        <v>7183</v>
      </c>
      <c r="P307" s="55"/>
    </row>
    <row r="308" ht="19.95" customHeight="1" s="53" customFormat="1">
      <c r="A308" s="55">
        <v>171530</v>
      </c>
      <c r="B308" s="55" t="s">
        <v>6059</v>
      </c>
      <c r="C308" s="55" t="s">
        <v>7184</v>
      </c>
      <c r="D308" s="55">
        <v>1910886729</v>
      </c>
      <c r="E308" s="55" t="s">
        <v>67</v>
      </c>
      <c r="F308" s="55" t="s">
        <v>71</v>
      </c>
      <c r="G308" s="55" t="s">
        <v>155</v>
      </c>
      <c r="H308" s="55" t="s">
        <v>7034</v>
      </c>
      <c r="I308" s="55" t="s">
        <v>74</v>
      </c>
      <c r="J308" s="56" t="s">
        <v>69</v>
      </c>
      <c r="K308" s="56" t="s">
        <v>3499</v>
      </c>
      <c r="L308" s="236">
        <v>45518</v>
      </c>
      <c r="M308" s="55" t="s">
        <v>7152</v>
      </c>
      <c r="N308" s="55" t="s">
        <v>81</v>
      </c>
      <c r="O308" s="56" t="s">
        <v>7183</v>
      </c>
      <c r="P308" s="55"/>
    </row>
    <row r="309" ht="19.95" customHeight="1" s="53" customFormat="1">
      <c r="A309" s="55">
        <v>171511</v>
      </c>
      <c r="B309" s="55" t="s">
        <v>6067</v>
      </c>
      <c r="C309" s="55" t="s">
        <v>7185</v>
      </c>
      <c r="D309" s="55">
        <v>1766301788</v>
      </c>
      <c r="E309" s="55" t="s">
        <v>67</v>
      </c>
      <c r="F309" s="55" t="s">
        <v>71</v>
      </c>
      <c r="G309" s="55" t="s">
        <v>155</v>
      </c>
      <c r="H309" s="55" t="s">
        <v>7034</v>
      </c>
      <c r="I309" s="55" t="s">
        <v>74</v>
      </c>
      <c r="J309" s="56" t="s">
        <v>69</v>
      </c>
      <c r="K309" s="56" t="s">
        <v>3499</v>
      </c>
      <c r="L309" s="236">
        <v>45518</v>
      </c>
      <c r="M309" s="55" t="s">
        <v>7152</v>
      </c>
      <c r="N309" s="55" t="s">
        <v>81</v>
      </c>
      <c r="O309" s="56" t="s">
        <v>7183</v>
      </c>
      <c r="P309" s="55"/>
    </row>
    <row r="310" ht="19.95" customHeight="1" s="53" customFormat="1">
      <c r="A310" s="55">
        <v>171706</v>
      </c>
      <c r="B310" s="55" t="s">
        <v>7186</v>
      </c>
      <c r="C310" s="55" t="s">
        <v>7187</v>
      </c>
      <c r="D310" s="55">
        <v>1986613210</v>
      </c>
      <c r="E310" s="55" t="s">
        <v>67</v>
      </c>
      <c r="F310" s="55" t="s">
        <v>71</v>
      </c>
      <c r="G310" s="55" t="s">
        <v>155</v>
      </c>
      <c r="H310" s="55" t="s">
        <v>196</v>
      </c>
      <c r="I310" s="55" t="s">
        <v>74</v>
      </c>
      <c r="J310" s="56" t="s">
        <v>69</v>
      </c>
      <c r="K310" s="56" t="s">
        <v>3510</v>
      </c>
      <c r="L310" s="236">
        <v>45492</v>
      </c>
      <c r="M310" s="55" t="s">
        <v>4035</v>
      </c>
      <c r="N310" s="55"/>
      <c r="O310" s="56" t="s">
        <v>7164</v>
      </c>
      <c r="P310" s="55"/>
    </row>
    <row r="311" ht="19.95" customHeight="1" s="53" customFormat="1">
      <c r="A311" s="55">
        <v>171685</v>
      </c>
      <c r="B311" s="55" t="s">
        <v>2829</v>
      </c>
      <c r="C311" s="55" t="s">
        <v>6073</v>
      </c>
      <c r="D311" s="55">
        <v>17320398749</v>
      </c>
      <c r="E311" s="55" t="s">
        <v>67</v>
      </c>
      <c r="F311" s="55" t="s">
        <v>71</v>
      </c>
      <c r="G311" s="55" t="s">
        <v>5709</v>
      </c>
      <c r="H311" s="55" t="s">
        <v>115</v>
      </c>
      <c r="I311" s="55" t="s">
        <v>74</v>
      </c>
      <c r="J311" s="56" t="s">
        <v>69</v>
      </c>
      <c r="K311" s="56" t="s">
        <v>3510</v>
      </c>
      <c r="L311" s="236">
        <v>45530</v>
      </c>
      <c r="M311" s="55" t="s">
        <v>7042</v>
      </c>
      <c r="N311" s="55"/>
      <c r="O311" s="56" t="s">
        <v>93</v>
      </c>
      <c r="P311" s="55"/>
    </row>
    <row r="312" ht="19.95" customHeight="1" s="53" customFormat="1">
      <c r="A312" s="55">
        <v>171479</v>
      </c>
      <c r="B312" s="55" t="s">
        <v>6081</v>
      </c>
      <c r="C312" s="55" t="s">
        <v>7043</v>
      </c>
      <c r="D312" s="55">
        <v>1797901451</v>
      </c>
      <c r="E312" s="55" t="s">
        <v>67</v>
      </c>
      <c r="F312" s="55" t="s">
        <v>71</v>
      </c>
      <c r="G312" s="55" t="s">
        <v>155</v>
      </c>
      <c r="H312" s="55" t="s">
        <v>7034</v>
      </c>
      <c r="I312" s="55" t="s">
        <v>74</v>
      </c>
      <c r="J312" s="56" t="s">
        <v>69</v>
      </c>
      <c r="K312" s="56" t="s">
        <v>3510</v>
      </c>
      <c r="L312" s="236">
        <v>45527</v>
      </c>
      <c r="M312" s="55" t="s">
        <v>4035</v>
      </c>
      <c r="N312" s="55"/>
      <c r="O312" s="56" t="s">
        <v>93</v>
      </c>
      <c r="P312" s="55"/>
    </row>
    <row r="313" ht="19.95" customHeight="1" s="53" customFormat="1">
      <c r="A313" s="55">
        <v>171624</v>
      </c>
      <c r="B313" s="55" t="s">
        <v>2698</v>
      </c>
      <c r="C313" s="55" t="s">
        <v>6087</v>
      </c>
      <c r="D313" s="55">
        <v>1998500367</v>
      </c>
      <c r="E313" s="55" t="s">
        <v>67</v>
      </c>
      <c r="F313" s="55" t="s">
        <v>71</v>
      </c>
      <c r="G313" s="55" t="s">
        <v>5709</v>
      </c>
      <c r="H313" s="55" t="s">
        <v>115</v>
      </c>
      <c r="I313" s="55" t="s">
        <v>74</v>
      </c>
      <c r="J313" s="56" t="s">
        <v>69</v>
      </c>
      <c r="K313" s="56" t="s">
        <v>3510</v>
      </c>
      <c r="L313" s="236">
        <v>45518</v>
      </c>
      <c r="M313" s="55" t="s">
        <v>7042</v>
      </c>
      <c r="N313" s="55"/>
      <c r="O313" s="56" t="s">
        <v>7164</v>
      </c>
      <c r="P313" s="55"/>
    </row>
    <row r="314" ht="19.95" customHeight="1" s="53" customFormat="1">
      <c r="A314" s="55">
        <v>171736</v>
      </c>
      <c r="B314" s="55" t="s">
        <v>6094</v>
      </c>
      <c r="C314" s="55" t="s">
        <v>2826</v>
      </c>
      <c r="D314" s="55">
        <v>1978558128</v>
      </c>
      <c r="E314" s="55" t="s">
        <v>67</v>
      </c>
      <c r="F314" s="55" t="s">
        <v>71</v>
      </c>
      <c r="G314" s="55" t="s">
        <v>2495</v>
      </c>
      <c r="H314" s="55" t="s">
        <v>2643</v>
      </c>
      <c r="I314" s="55" t="s">
        <v>74</v>
      </c>
      <c r="J314" s="56" t="s">
        <v>69</v>
      </c>
      <c r="K314" s="56" t="s">
        <v>3499</v>
      </c>
      <c r="L314" s="236">
        <v>45521</v>
      </c>
      <c r="M314" s="55" t="s">
        <v>7152</v>
      </c>
      <c r="N314" s="55"/>
      <c r="O314" s="56" t="s">
        <v>7183</v>
      </c>
      <c r="P314" s="55"/>
    </row>
    <row r="315" ht="19.95" customHeight="1" s="53" customFormat="1">
      <c r="A315" s="55">
        <v>171798</v>
      </c>
      <c r="B315" s="55" t="s">
        <v>2585</v>
      </c>
      <c r="C315" s="55" t="s">
        <v>6100</v>
      </c>
      <c r="D315" s="55">
        <v>17627163860</v>
      </c>
      <c r="E315" s="55" t="s">
        <v>67</v>
      </c>
      <c r="F315" s="55" t="s">
        <v>71</v>
      </c>
      <c r="G315" s="55" t="s">
        <v>2495</v>
      </c>
      <c r="H315" s="55" t="s">
        <v>2643</v>
      </c>
      <c r="I315" s="55" t="s">
        <v>74</v>
      </c>
      <c r="J315" s="56" t="s">
        <v>69</v>
      </c>
      <c r="K315" s="56" t="s">
        <v>3499</v>
      </c>
      <c r="L315" s="236">
        <v>45521</v>
      </c>
      <c r="M315" s="55" t="s">
        <v>7152</v>
      </c>
      <c r="N315" s="55"/>
      <c r="O315" s="56" t="s">
        <v>7183</v>
      </c>
      <c r="P315" s="55"/>
    </row>
    <row r="316" ht="19.95" customHeight="1" s="53" customFormat="1">
      <c r="A316" s="55">
        <v>171813</v>
      </c>
      <c r="B316" s="55" t="s">
        <v>5514</v>
      </c>
      <c r="C316" s="55" t="s">
        <v>6150</v>
      </c>
      <c r="D316" s="55">
        <v>1950501424</v>
      </c>
      <c r="E316" s="55" t="s">
        <v>67</v>
      </c>
      <c r="F316" s="55" t="s">
        <v>71</v>
      </c>
      <c r="G316" s="55" t="s">
        <v>2495</v>
      </c>
      <c r="H316" s="55" t="s">
        <v>2643</v>
      </c>
      <c r="I316" s="55" t="s">
        <v>74</v>
      </c>
      <c r="J316" s="56" t="s">
        <v>69</v>
      </c>
      <c r="K316" s="56" t="s">
        <v>3510</v>
      </c>
      <c r="L316" s="236">
        <v>45519</v>
      </c>
      <c r="M316" s="55" t="s">
        <v>2868</v>
      </c>
      <c r="N316" s="55"/>
      <c r="O316" s="56" t="s">
        <v>7164</v>
      </c>
      <c r="P316" s="55"/>
    </row>
    <row r="317" ht="19.95" customHeight="1" s="53" customFormat="1">
      <c r="A317" s="55">
        <v>171490</v>
      </c>
      <c r="B317" s="55" t="s">
        <v>5096</v>
      </c>
      <c r="C317" s="55" t="s">
        <v>6101</v>
      </c>
      <c r="D317" s="55">
        <v>1931755696</v>
      </c>
      <c r="E317" s="55" t="s">
        <v>67</v>
      </c>
      <c r="F317" s="55" t="s">
        <v>71</v>
      </c>
      <c r="G317" s="55" t="s">
        <v>2495</v>
      </c>
      <c r="H317" s="55" t="s">
        <v>2643</v>
      </c>
      <c r="I317" s="55" t="s">
        <v>74</v>
      </c>
      <c r="J317" s="56" t="s">
        <v>69</v>
      </c>
      <c r="K317" s="56" t="s">
        <v>3510</v>
      </c>
      <c r="L317" s="236">
        <v>45524</v>
      </c>
      <c r="M317" s="55" t="s">
        <v>2868</v>
      </c>
      <c r="N317" s="55"/>
      <c r="O317" s="56" t="s">
        <v>7164</v>
      </c>
      <c r="P317" s="55"/>
    </row>
    <row r="318" ht="19.95" customHeight="1" s="53" customFormat="1">
      <c r="A318" s="55">
        <v>171787</v>
      </c>
      <c r="B318" s="55" t="s">
        <v>6107</v>
      </c>
      <c r="C318" s="55" t="s">
        <v>6108</v>
      </c>
      <c r="D318" s="55">
        <v>1853459113</v>
      </c>
      <c r="E318" s="55" t="s">
        <v>67</v>
      </c>
      <c r="F318" s="55" t="s">
        <v>71</v>
      </c>
      <c r="G318" s="55" t="s">
        <v>2495</v>
      </c>
      <c r="H318" s="55" t="s">
        <v>2643</v>
      </c>
      <c r="I318" s="55" t="s">
        <v>74</v>
      </c>
      <c r="J318" s="56" t="s">
        <v>69</v>
      </c>
      <c r="K318" s="56" t="s">
        <v>3510</v>
      </c>
      <c r="L318" s="236">
        <v>45527</v>
      </c>
      <c r="M318" s="55" t="s">
        <v>2868</v>
      </c>
      <c r="N318" s="55"/>
      <c r="O318" s="56" t="s">
        <v>93</v>
      </c>
      <c r="P318" s="55"/>
    </row>
    <row r="319" ht="19.95" customHeight="1" s="53" customFormat="1">
      <c r="A319" s="55">
        <v>171777</v>
      </c>
      <c r="B319" s="55" t="s">
        <v>6109</v>
      </c>
      <c r="C319" s="55" t="s">
        <v>6110</v>
      </c>
      <c r="D319" s="55">
        <v>154718532</v>
      </c>
      <c r="E319" s="55" t="s">
        <v>67</v>
      </c>
      <c r="F319" s="55" t="s">
        <v>71</v>
      </c>
      <c r="G319" s="55" t="s">
        <v>2495</v>
      </c>
      <c r="H319" s="55" t="s">
        <v>2643</v>
      </c>
      <c r="I319" s="55" t="s">
        <v>74</v>
      </c>
      <c r="J319" s="56" t="s">
        <v>69</v>
      </c>
      <c r="K319" s="56" t="s">
        <v>3510</v>
      </c>
      <c r="L319" s="236">
        <v>45524</v>
      </c>
      <c r="M319" s="55" t="s">
        <v>4035</v>
      </c>
      <c r="N319" s="55"/>
      <c r="O319" s="56" t="s">
        <v>7164</v>
      </c>
      <c r="P319" s="55"/>
    </row>
    <row r="320" ht="19.95" customHeight="1" s="53" customFormat="1">
      <c r="A320" s="55">
        <v>171261</v>
      </c>
      <c r="B320" s="55" t="s">
        <v>2856</v>
      </c>
      <c r="C320" s="55" t="s">
        <v>7044</v>
      </c>
      <c r="D320" s="55">
        <v>1834104392</v>
      </c>
      <c r="E320" s="55" t="s">
        <v>67</v>
      </c>
      <c r="F320" s="55" t="s">
        <v>71</v>
      </c>
      <c r="G320" s="55" t="s">
        <v>2495</v>
      </c>
      <c r="H320" s="55" t="s">
        <v>2643</v>
      </c>
      <c r="I320" s="55" t="s">
        <v>74</v>
      </c>
      <c r="J320" s="56" t="s">
        <v>69</v>
      </c>
      <c r="K320" s="56" t="s">
        <v>3510</v>
      </c>
      <c r="L320" s="236">
        <v>45524</v>
      </c>
      <c r="M320" s="55" t="s">
        <v>4035</v>
      </c>
      <c r="N320" s="55"/>
      <c r="O320" s="56" t="s">
        <v>7164</v>
      </c>
      <c r="P320" s="55"/>
    </row>
    <row r="321" ht="19.95" customHeight="1" s="53" customFormat="1">
      <c r="A321" s="55">
        <v>171452</v>
      </c>
      <c r="B321" s="55" t="s">
        <v>5027</v>
      </c>
      <c r="C321" s="55" t="s">
        <v>6128</v>
      </c>
      <c r="D321" s="55">
        <v>1867547635</v>
      </c>
      <c r="E321" s="55" t="s">
        <v>67</v>
      </c>
      <c r="F321" s="55" t="s">
        <v>71</v>
      </c>
      <c r="G321" s="55" t="s">
        <v>2495</v>
      </c>
      <c r="H321" s="55" t="s">
        <v>2643</v>
      </c>
      <c r="I321" s="55" t="s">
        <v>74</v>
      </c>
      <c r="J321" s="56" t="s">
        <v>69</v>
      </c>
      <c r="K321" s="56" t="s">
        <v>3510</v>
      </c>
      <c r="L321" s="236">
        <v>45525</v>
      </c>
      <c r="M321" s="55" t="s">
        <v>4035</v>
      </c>
      <c r="N321" s="55"/>
      <c r="O321" s="56" t="s">
        <v>7164</v>
      </c>
      <c r="P321" s="55"/>
    </row>
    <row r="322" ht="19.95" customHeight="1" s="53" customFormat="1">
      <c r="A322" s="55">
        <v>171679</v>
      </c>
      <c r="B322" s="55" t="s">
        <v>2573</v>
      </c>
      <c r="C322" s="55" t="s">
        <v>6133</v>
      </c>
      <c r="D322" s="55">
        <v>1677818874</v>
      </c>
      <c r="E322" s="55" t="s">
        <v>67</v>
      </c>
      <c r="F322" s="55" t="s">
        <v>71</v>
      </c>
      <c r="G322" s="55" t="s">
        <v>5709</v>
      </c>
      <c r="H322" s="55" t="s">
        <v>115</v>
      </c>
      <c r="I322" s="55" t="s">
        <v>74</v>
      </c>
      <c r="J322" s="56" t="s">
        <v>69</v>
      </c>
      <c r="K322" s="56" t="s">
        <v>3510</v>
      </c>
      <c r="L322" s="236">
        <v>45524</v>
      </c>
      <c r="M322" s="55" t="s">
        <v>4035</v>
      </c>
      <c r="N322" s="55"/>
      <c r="O322" s="56" t="s">
        <v>7164</v>
      </c>
      <c r="P322" s="55"/>
    </row>
    <row r="323" ht="19.95" customHeight="1" s="53" customFormat="1">
      <c r="A323" s="55">
        <v>171035</v>
      </c>
      <c r="B323" s="55" t="s">
        <v>7045</v>
      </c>
      <c r="C323" s="55" t="s">
        <v>6141</v>
      </c>
      <c r="D323" s="55">
        <v>1755900397</v>
      </c>
      <c r="E323" s="55" t="s">
        <v>67</v>
      </c>
      <c r="F323" s="55" t="s">
        <v>71</v>
      </c>
      <c r="G323" s="55" t="s">
        <v>407</v>
      </c>
      <c r="H323" s="55" t="s">
        <v>2643</v>
      </c>
      <c r="I323" s="55" t="s">
        <v>74</v>
      </c>
      <c r="J323" s="56" t="s">
        <v>69</v>
      </c>
      <c r="K323" s="56" t="s">
        <v>3510</v>
      </c>
      <c r="L323" s="236">
        <v>45525</v>
      </c>
      <c r="M323" s="55" t="s">
        <v>4035</v>
      </c>
      <c r="N323" s="55"/>
      <c r="O323" s="56" t="s">
        <v>93</v>
      </c>
      <c r="P323" s="55"/>
    </row>
    <row r="324" ht="19.95" customHeight="1" s="53" customFormat="1">
      <c r="A324" s="55">
        <v>171795</v>
      </c>
      <c r="B324" s="55" t="s">
        <v>6148</v>
      </c>
      <c r="C324" s="55" t="s">
        <v>7046</v>
      </c>
      <c r="D324" s="55">
        <v>1758538454</v>
      </c>
      <c r="E324" s="55" t="s">
        <v>67</v>
      </c>
      <c r="F324" s="55" t="s">
        <v>71</v>
      </c>
      <c r="G324" s="55" t="s">
        <v>2495</v>
      </c>
      <c r="H324" s="55" t="s">
        <v>2643</v>
      </c>
      <c r="I324" s="55" t="s">
        <v>74</v>
      </c>
      <c r="J324" s="56" t="s">
        <v>69</v>
      </c>
      <c r="K324" s="56" t="s">
        <v>3510</v>
      </c>
      <c r="L324" s="236">
        <v>45527</v>
      </c>
      <c r="M324" s="55" t="s">
        <v>4035</v>
      </c>
      <c r="N324" s="55"/>
      <c r="O324" s="56" t="s">
        <v>7164</v>
      </c>
      <c r="P324" s="55"/>
    </row>
    <row r="325" ht="19.95" customHeight="1" s="53" customFormat="1">
      <c r="A325" s="55">
        <v>171802</v>
      </c>
      <c r="B325" s="55" t="s">
        <v>5696</v>
      </c>
      <c r="C325" s="55" t="s">
        <v>6150</v>
      </c>
      <c r="D325" s="55">
        <v>1950501424</v>
      </c>
      <c r="E325" s="55" t="s">
        <v>67</v>
      </c>
      <c r="F325" s="55" t="s">
        <v>71</v>
      </c>
      <c r="G325" s="55" t="s">
        <v>2495</v>
      </c>
      <c r="H325" s="55" t="s">
        <v>2643</v>
      </c>
      <c r="I325" s="55" t="s">
        <v>74</v>
      </c>
      <c r="J325" s="56" t="s">
        <v>69</v>
      </c>
      <c r="K325" s="56" t="s">
        <v>3510</v>
      </c>
      <c r="L325" s="236">
        <v>45519</v>
      </c>
      <c r="M325" s="55" t="s">
        <v>2868</v>
      </c>
      <c r="N325" s="55"/>
      <c r="O325" s="56" t="s">
        <v>7164</v>
      </c>
      <c r="P325" s="55"/>
    </row>
    <row r="326" ht="19.95" customHeight="1" s="53" customFormat="1">
      <c r="A326" s="55">
        <v>171263</v>
      </c>
      <c r="B326" s="55" t="s">
        <v>6262</v>
      </c>
      <c r="C326" s="55" t="s">
        <v>6155</v>
      </c>
      <c r="D326" s="55">
        <v>1557137389</v>
      </c>
      <c r="E326" s="55" t="s">
        <v>67</v>
      </c>
      <c r="F326" s="55" t="s">
        <v>71</v>
      </c>
      <c r="G326" s="55" t="s">
        <v>5709</v>
      </c>
      <c r="H326" s="55" t="s">
        <v>98</v>
      </c>
      <c r="I326" s="55" t="s">
        <v>74</v>
      </c>
      <c r="J326" s="56" t="s">
        <v>69</v>
      </c>
      <c r="K326" s="56" t="s">
        <v>3510</v>
      </c>
      <c r="L326" s="236">
        <v>45527</v>
      </c>
      <c r="M326" s="55" t="s">
        <v>2868</v>
      </c>
      <c r="N326" s="55"/>
      <c r="O326" s="56" t="s">
        <v>93</v>
      </c>
      <c r="P326" s="55"/>
    </row>
    <row r="327" ht="19.95" customHeight="1" s="53" customFormat="1">
      <c r="A327" s="55">
        <v>171482</v>
      </c>
      <c r="B327" s="55" t="s">
        <v>6164</v>
      </c>
      <c r="C327" s="55" t="s">
        <v>6165</v>
      </c>
      <c r="D327" s="55">
        <v>1609047671</v>
      </c>
      <c r="E327" s="55" t="s">
        <v>67</v>
      </c>
      <c r="F327" s="55" t="s">
        <v>71</v>
      </c>
      <c r="G327" s="55" t="s">
        <v>155</v>
      </c>
      <c r="H327" s="55" t="s">
        <v>196</v>
      </c>
      <c r="I327" s="55" t="s">
        <v>74</v>
      </c>
      <c r="J327" s="56" t="s">
        <v>69</v>
      </c>
      <c r="K327" s="56" t="s">
        <v>3510</v>
      </c>
      <c r="L327" s="236">
        <v>45533</v>
      </c>
      <c r="M327" s="55" t="s">
        <v>4035</v>
      </c>
      <c r="N327" s="55"/>
      <c r="O327" s="56" t="s">
        <v>93</v>
      </c>
      <c r="P327" s="55"/>
    </row>
    <row r="328" ht="19.95" customHeight="1" s="53" customFormat="1">
      <c r="A328" s="55">
        <v>171790</v>
      </c>
      <c r="B328" s="55" t="s">
        <v>6173</v>
      </c>
      <c r="C328" s="55" t="s">
        <v>7188</v>
      </c>
      <c r="D328" s="55">
        <v>1603754290</v>
      </c>
      <c r="E328" s="55" t="s">
        <v>67</v>
      </c>
      <c r="F328" s="55" t="s">
        <v>71</v>
      </c>
      <c r="G328" s="55" t="s">
        <v>2495</v>
      </c>
      <c r="H328" s="55" t="s">
        <v>2643</v>
      </c>
      <c r="I328" s="55" t="s">
        <v>74</v>
      </c>
      <c r="J328" s="56" t="s">
        <v>69</v>
      </c>
      <c r="K328" s="56" t="s">
        <v>3499</v>
      </c>
      <c r="L328" s="236">
        <v>45525</v>
      </c>
      <c r="M328" s="55" t="s">
        <v>7152</v>
      </c>
      <c r="N328" s="55"/>
      <c r="O328" s="56" t="s">
        <v>7189</v>
      </c>
      <c r="P328" s="55"/>
    </row>
    <row r="329" ht="19.95" customHeight="1" s="53" customFormat="1">
      <c r="A329" s="55">
        <v>171044</v>
      </c>
      <c r="B329" s="55" t="s">
        <v>7190</v>
      </c>
      <c r="C329" s="55" t="s">
        <v>6182</v>
      </c>
      <c r="D329" s="55">
        <v>1787742403</v>
      </c>
      <c r="E329" s="55" t="s">
        <v>67</v>
      </c>
      <c r="F329" s="55" t="s">
        <v>71</v>
      </c>
      <c r="G329" s="55" t="s">
        <v>2495</v>
      </c>
      <c r="H329" s="55" t="s">
        <v>2643</v>
      </c>
      <c r="I329" s="55" t="s">
        <v>74</v>
      </c>
      <c r="J329" s="56" t="s">
        <v>69</v>
      </c>
      <c r="K329" s="56" t="s">
        <v>3499</v>
      </c>
      <c r="L329" s="236">
        <v>45526</v>
      </c>
      <c r="M329" s="55" t="s">
        <v>7152</v>
      </c>
      <c r="N329" s="55"/>
      <c r="O329" s="56" t="s">
        <v>7189</v>
      </c>
      <c r="P329" s="55"/>
    </row>
    <row r="330" ht="19.95" customHeight="1" s="53" customFormat="1">
      <c r="A330" s="55">
        <v>171475</v>
      </c>
      <c r="B330" s="55" t="s">
        <v>7047</v>
      </c>
      <c r="C330" s="55" t="s">
        <v>7048</v>
      </c>
      <c r="D330" s="55">
        <v>1683252684</v>
      </c>
      <c r="E330" s="55" t="s">
        <v>67</v>
      </c>
      <c r="F330" s="55" t="s">
        <v>71</v>
      </c>
      <c r="G330" s="55" t="s">
        <v>5709</v>
      </c>
      <c r="H330" s="55" t="s">
        <v>458</v>
      </c>
      <c r="I330" s="55" t="s">
        <v>74</v>
      </c>
      <c r="J330" s="56" t="s">
        <v>69</v>
      </c>
      <c r="K330" s="56" t="s">
        <v>3510</v>
      </c>
      <c r="L330" s="236">
        <v>45539</v>
      </c>
      <c r="M330" s="55" t="s">
        <v>7042</v>
      </c>
      <c r="N330" s="55"/>
      <c r="O330" s="56" t="s">
        <v>93</v>
      </c>
      <c r="P330" s="55"/>
    </row>
    <row r="331" ht="19.95" customHeight="1" s="53" customFormat="1">
      <c r="A331" s="55">
        <v>171708</v>
      </c>
      <c r="B331" s="55" t="s">
        <v>6197</v>
      </c>
      <c r="C331" s="55" t="s">
        <v>6198</v>
      </c>
      <c r="D331" s="55">
        <v>1688877893</v>
      </c>
      <c r="E331" s="55" t="s">
        <v>67</v>
      </c>
      <c r="F331" s="55" t="s">
        <v>71</v>
      </c>
      <c r="G331" s="55" t="s">
        <v>155</v>
      </c>
      <c r="H331" s="55" t="s">
        <v>196</v>
      </c>
      <c r="I331" s="55" t="s">
        <v>74</v>
      </c>
      <c r="J331" s="56" t="s">
        <v>69</v>
      </c>
      <c r="K331" s="56" t="s">
        <v>3510</v>
      </c>
      <c r="L331" s="236">
        <v>45532</v>
      </c>
      <c r="M331" s="55" t="s">
        <v>4035</v>
      </c>
      <c r="N331" s="55"/>
      <c r="O331" s="56" t="s">
        <v>93</v>
      </c>
      <c r="P331" s="55"/>
    </row>
    <row r="332" ht="19.95" customHeight="1" s="53" customFormat="1">
      <c r="A332" s="55">
        <v>171838</v>
      </c>
      <c r="B332" s="55" t="s">
        <v>2856</v>
      </c>
      <c r="C332" s="55" t="s">
        <v>6205</v>
      </c>
      <c r="D332" s="55">
        <v>1753229880</v>
      </c>
      <c r="E332" s="55" t="s">
        <v>67</v>
      </c>
      <c r="F332" s="55" t="s">
        <v>71</v>
      </c>
      <c r="G332" s="55" t="s">
        <v>2495</v>
      </c>
      <c r="H332" s="55" t="s">
        <v>2643</v>
      </c>
      <c r="I332" s="55" t="s">
        <v>74</v>
      </c>
      <c r="J332" s="56" t="s">
        <v>69</v>
      </c>
      <c r="K332" s="56" t="s">
        <v>3499</v>
      </c>
      <c r="L332" s="236">
        <v>45536</v>
      </c>
      <c r="M332" s="55" t="s">
        <v>7152</v>
      </c>
      <c r="N332" s="55"/>
      <c r="O332" s="56" t="s">
        <v>7183</v>
      </c>
      <c r="P332" s="55"/>
    </row>
    <row r="333" ht="19.95" customHeight="1" s="53" customFormat="1">
      <c r="A333" s="55">
        <v>171503</v>
      </c>
      <c r="B333" s="55" t="s">
        <v>7191</v>
      </c>
      <c r="C333" s="55" t="s">
        <v>6206</v>
      </c>
      <c r="D333" s="55">
        <v>1798978489</v>
      </c>
      <c r="E333" s="55" t="s">
        <v>67</v>
      </c>
      <c r="F333" s="55" t="s">
        <v>71</v>
      </c>
      <c r="G333" s="55" t="s">
        <v>2495</v>
      </c>
      <c r="H333" s="55" t="s">
        <v>2643</v>
      </c>
      <c r="I333" s="55" t="s">
        <v>74</v>
      </c>
      <c r="J333" s="56" t="s">
        <v>69</v>
      </c>
      <c r="K333" s="56" t="s">
        <v>3499</v>
      </c>
      <c r="L333" s="236">
        <v>45536</v>
      </c>
      <c r="M333" s="55" t="s">
        <v>7152</v>
      </c>
      <c r="N333" s="55"/>
      <c r="O333" s="56" t="s">
        <v>7183</v>
      </c>
      <c r="P333" s="55"/>
    </row>
    <row r="334" ht="19.95" customHeight="1" s="53" customFormat="1">
      <c r="A334" s="55">
        <v>171782</v>
      </c>
      <c r="B334" s="55" t="s">
        <v>2694</v>
      </c>
      <c r="C334" s="55" t="s">
        <v>6214</v>
      </c>
      <c r="D334" s="55">
        <v>1784907521</v>
      </c>
      <c r="E334" s="55" t="s">
        <v>67</v>
      </c>
      <c r="F334" s="55" t="s">
        <v>71</v>
      </c>
      <c r="G334" s="55" t="s">
        <v>5709</v>
      </c>
      <c r="H334" s="55" t="s">
        <v>115</v>
      </c>
      <c r="I334" s="55" t="s">
        <v>74</v>
      </c>
      <c r="J334" s="56" t="s">
        <v>69</v>
      </c>
      <c r="K334" s="56" t="s">
        <v>3510</v>
      </c>
      <c r="L334" s="236">
        <v>45542</v>
      </c>
      <c r="M334" s="55" t="s">
        <v>7042</v>
      </c>
      <c r="N334" s="55"/>
      <c r="O334" s="56" t="s">
        <v>93</v>
      </c>
      <c r="P334" s="55"/>
    </row>
    <row r="335" ht="19.95" customHeight="1" s="53" customFormat="1">
      <c r="A335" s="55">
        <v>171591</v>
      </c>
      <c r="B335" s="55" t="s">
        <v>6218</v>
      </c>
      <c r="C335" s="55" t="s">
        <v>6219</v>
      </c>
      <c r="D335" s="55">
        <v>1845136967</v>
      </c>
      <c r="E335" s="55" t="s">
        <v>67</v>
      </c>
      <c r="F335" s="55" t="s">
        <v>71</v>
      </c>
      <c r="G335" s="55" t="s">
        <v>155</v>
      </c>
      <c r="H335" s="55" t="s">
        <v>196</v>
      </c>
      <c r="I335" s="55" t="s">
        <v>74</v>
      </c>
      <c r="J335" s="56" t="s">
        <v>69</v>
      </c>
      <c r="K335" s="56" t="s">
        <v>3510</v>
      </c>
      <c r="L335" s="236">
        <v>45531</v>
      </c>
      <c r="M335" s="55" t="s">
        <v>4035</v>
      </c>
      <c r="N335" s="55"/>
      <c r="O335" s="56" t="s">
        <v>7164</v>
      </c>
      <c r="P335" s="55"/>
    </row>
    <row r="336" ht="19.95" customHeight="1" s="53" customFormat="1">
      <c r="A336" s="55">
        <v>171619</v>
      </c>
      <c r="B336" s="55" t="s">
        <v>7051</v>
      </c>
      <c r="C336" s="55" t="s">
        <v>6227</v>
      </c>
      <c r="D336" s="55">
        <v>1949375939</v>
      </c>
      <c r="E336" s="55" t="s">
        <v>67</v>
      </c>
      <c r="F336" s="55" t="s">
        <v>71</v>
      </c>
      <c r="G336" s="55" t="s">
        <v>7052</v>
      </c>
      <c r="H336" s="55" t="s">
        <v>308</v>
      </c>
      <c r="I336" s="55" t="s">
        <v>74</v>
      </c>
      <c r="J336" s="56" t="s">
        <v>69</v>
      </c>
      <c r="K336" s="56" t="s">
        <v>3510</v>
      </c>
      <c r="L336" s="236">
        <v>45530</v>
      </c>
      <c r="M336" s="55" t="s">
        <v>7053</v>
      </c>
      <c r="N336" s="55"/>
      <c r="O336" s="56" t="s">
        <v>7164</v>
      </c>
      <c r="P336" s="55"/>
    </row>
    <row r="337" ht="19.95" customHeight="1" s="53" customFormat="1">
      <c r="A337" s="55">
        <v>171366</v>
      </c>
      <c r="B337" s="55" t="s">
        <v>6233</v>
      </c>
      <c r="C337" s="55" t="s">
        <v>6234</v>
      </c>
      <c r="D337" s="55">
        <v>1884416949</v>
      </c>
      <c r="E337" s="55" t="s">
        <v>67</v>
      </c>
      <c r="F337" s="55" t="s">
        <v>71</v>
      </c>
      <c r="G337" s="55" t="s">
        <v>155</v>
      </c>
      <c r="H337" s="55" t="s">
        <v>196</v>
      </c>
      <c r="I337" s="55" t="s">
        <v>74</v>
      </c>
      <c r="J337" s="56" t="s">
        <v>69</v>
      </c>
      <c r="K337" s="56" t="s">
        <v>3510</v>
      </c>
      <c r="L337" s="236">
        <v>45534</v>
      </c>
      <c r="M337" s="55" t="s">
        <v>4035</v>
      </c>
      <c r="N337" s="55"/>
      <c r="O337" s="56" t="s">
        <v>7164</v>
      </c>
      <c r="P337" s="55"/>
    </row>
    <row r="338" ht="19.95" customHeight="1" s="53" customFormat="1">
      <c r="A338" s="55">
        <v>171671</v>
      </c>
      <c r="B338" s="55" t="s">
        <v>2568</v>
      </c>
      <c r="C338" s="55" t="s">
        <v>6240</v>
      </c>
      <c r="D338" s="55">
        <v>1765280697</v>
      </c>
      <c r="E338" s="55" t="s">
        <v>67</v>
      </c>
      <c r="F338" s="55" t="s">
        <v>71</v>
      </c>
      <c r="G338" s="55" t="s">
        <v>5709</v>
      </c>
      <c r="H338" s="55" t="s">
        <v>369</v>
      </c>
      <c r="I338" s="55" t="s">
        <v>74</v>
      </c>
      <c r="J338" s="56" t="s">
        <v>69</v>
      </c>
      <c r="K338" s="56" t="s">
        <v>3510</v>
      </c>
      <c r="L338" s="236">
        <v>45529</v>
      </c>
      <c r="M338" s="55" t="s">
        <v>7053</v>
      </c>
      <c r="N338" s="55"/>
      <c r="O338" s="56" t="s">
        <v>7164</v>
      </c>
      <c r="P338" s="55"/>
    </row>
    <row r="339" ht="19.95" customHeight="1" s="53" customFormat="1">
      <c r="A339" s="55">
        <v>171216</v>
      </c>
      <c r="B339" s="55" t="s">
        <v>6248</v>
      </c>
      <c r="C339" s="55" t="s">
        <v>7054</v>
      </c>
      <c r="D339" s="55">
        <v>1683730583</v>
      </c>
      <c r="E339" s="55" t="s">
        <v>67</v>
      </c>
      <c r="F339" s="55" t="s">
        <v>71</v>
      </c>
      <c r="G339" s="55" t="s">
        <v>2495</v>
      </c>
      <c r="H339" s="55" t="s">
        <v>2643</v>
      </c>
      <c r="I339" s="55" t="s">
        <v>74</v>
      </c>
      <c r="J339" s="56" t="s">
        <v>69</v>
      </c>
      <c r="K339" s="56" t="s">
        <v>3510</v>
      </c>
      <c r="L339" s="236">
        <v>45536</v>
      </c>
      <c r="M339" s="55" t="s">
        <v>4035</v>
      </c>
      <c r="N339" s="55"/>
      <c r="O339" s="56" t="s">
        <v>93</v>
      </c>
      <c r="P339" s="55"/>
    </row>
    <row r="340" ht="19.95" customHeight="1" s="53" customFormat="1">
      <c r="A340" s="55">
        <v>171598</v>
      </c>
      <c r="B340" s="55" t="s">
        <v>5061</v>
      </c>
      <c r="C340" s="55" t="s">
        <v>7055</v>
      </c>
      <c r="D340" s="55">
        <v>1572056126</v>
      </c>
      <c r="E340" s="55" t="s">
        <v>67</v>
      </c>
      <c r="F340" s="55" t="s">
        <v>71</v>
      </c>
      <c r="G340" s="55" t="s">
        <v>2495</v>
      </c>
      <c r="H340" s="55" t="s">
        <v>2643</v>
      </c>
      <c r="I340" s="55" t="s">
        <v>74</v>
      </c>
      <c r="J340" s="56" t="s">
        <v>69</v>
      </c>
      <c r="K340" s="56" t="s">
        <v>3510</v>
      </c>
      <c r="L340" s="236">
        <v>45528</v>
      </c>
      <c r="M340" s="55" t="s">
        <v>4035</v>
      </c>
      <c r="N340" s="55"/>
      <c r="O340" s="56" t="s">
        <v>7164</v>
      </c>
      <c r="P340" s="55"/>
    </row>
    <row r="341" ht="19.95" customHeight="1" s="53" customFormat="1">
      <c r="A341" s="55">
        <v>171102</v>
      </c>
      <c r="B341" s="55" t="s">
        <v>6107</v>
      </c>
      <c r="C341" s="55" t="s">
        <v>7056</v>
      </c>
      <c r="D341" s="55">
        <v>1794900192</v>
      </c>
      <c r="E341" s="55" t="s">
        <v>67</v>
      </c>
      <c r="F341" s="55" t="s">
        <v>71</v>
      </c>
      <c r="G341" s="55" t="s">
        <v>2495</v>
      </c>
      <c r="H341" s="55" t="s">
        <v>2643</v>
      </c>
      <c r="I341" s="55" t="s">
        <v>74</v>
      </c>
      <c r="J341" s="56" t="s">
        <v>69</v>
      </c>
      <c r="K341" s="56" t="s">
        <v>3510</v>
      </c>
      <c r="L341" s="236">
        <v>45536</v>
      </c>
      <c r="M341" s="55" t="s">
        <v>4035</v>
      </c>
      <c r="N341" s="55"/>
      <c r="O341" s="56" t="s">
        <v>93</v>
      </c>
      <c r="P341" s="55"/>
    </row>
    <row r="342" ht="19.95" customHeight="1" s="53" customFormat="1">
      <c r="A342" s="55">
        <v>171564</v>
      </c>
      <c r="B342" s="55" t="s">
        <v>6271</v>
      </c>
      <c r="C342" s="55" t="s">
        <v>6272</v>
      </c>
      <c r="D342" s="55">
        <v>1680111273</v>
      </c>
      <c r="E342" s="55" t="s">
        <v>67</v>
      </c>
      <c r="F342" s="55" t="s">
        <v>71</v>
      </c>
      <c r="G342" s="55" t="s">
        <v>5709</v>
      </c>
      <c r="H342" s="55" t="s">
        <v>369</v>
      </c>
      <c r="I342" s="55" t="s">
        <v>74</v>
      </c>
      <c r="J342" s="56" t="s">
        <v>69</v>
      </c>
      <c r="K342" s="56" t="s">
        <v>3510</v>
      </c>
      <c r="L342" s="236">
        <v>45536</v>
      </c>
      <c r="M342" s="55" t="s">
        <v>7042</v>
      </c>
      <c r="N342" s="55"/>
      <c r="O342" s="56" t="s">
        <v>93</v>
      </c>
      <c r="P342" s="55"/>
    </row>
    <row r="343" ht="19.95" customHeight="1" s="53" customFormat="1">
      <c r="A343" s="55">
        <v>171467</v>
      </c>
      <c r="B343" s="55" t="s">
        <v>7057</v>
      </c>
      <c r="C343" s="55" t="s">
        <v>6282</v>
      </c>
      <c r="D343" s="55">
        <v>1753229880</v>
      </c>
      <c r="E343" s="55" t="s">
        <v>67</v>
      </c>
      <c r="F343" s="55" t="s">
        <v>71</v>
      </c>
      <c r="G343" s="55" t="s">
        <v>2495</v>
      </c>
      <c r="H343" s="55" t="s">
        <v>2643</v>
      </c>
      <c r="I343" s="55" t="s">
        <v>74</v>
      </c>
      <c r="J343" s="56" t="s">
        <v>69</v>
      </c>
      <c r="K343" s="56" t="s">
        <v>3510</v>
      </c>
      <c r="L343" s="236">
        <v>45540</v>
      </c>
      <c r="M343" s="55" t="s">
        <v>4035</v>
      </c>
      <c r="N343" s="55"/>
      <c r="O343" s="56" t="s">
        <v>7164</v>
      </c>
      <c r="P343" s="55"/>
    </row>
    <row r="344" ht="19.95" customHeight="1" s="53" customFormat="1">
      <c r="A344" s="55">
        <v>171792</v>
      </c>
      <c r="B344" s="55" t="s">
        <v>7058</v>
      </c>
      <c r="C344" s="55" t="s">
        <v>6292</v>
      </c>
      <c r="D344" s="55">
        <v>1789957484</v>
      </c>
      <c r="E344" s="55" t="s">
        <v>67</v>
      </c>
      <c r="F344" s="55" t="s">
        <v>71</v>
      </c>
      <c r="G344" s="55" t="s">
        <v>2495</v>
      </c>
      <c r="H344" s="55" t="s">
        <v>2643</v>
      </c>
      <c r="I344" s="55" t="s">
        <v>74</v>
      </c>
      <c r="J344" s="56" t="s">
        <v>69</v>
      </c>
      <c r="K344" s="56" t="s">
        <v>3510</v>
      </c>
      <c r="L344" s="236">
        <v>45537</v>
      </c>
      <c r="M344" s="55" t="s">
        <v>4035</v>
      </c>
      <c r="N344" s="55"/>
      <c r="O344" s="56" t="s">
        <v>7164</v>
      </c>
      <c r="P344" s="55"/>
    </row>
    <row r="345" ht="19.95" customHeight="1" s="53" customFormat="1">
      <c r="A345" s="55">
        <v>171541</v>
      </c>
      <c r="B345" s="55" t="s">
        <v>2692</v>
      </c>
      <c r="C345" s="55" t="s">
        <v>6298</v>
      </c>
      <c r="D345" s="55">
        <v>1831492686</v>
      </c>
      <c r="E345" s="55" t="s">
        <v>67</v>
      </c>
      <c r="F345" s="55" t="s">
        <v>71</v>
      </c>
      <c r="G345" s="55" t="s">
        <v>5709</v>
      </c>
      <c r="H345" s="55" t="s">
        <v>115</v>
      </c>
      <c r="I345" s="55" t="s">
        <v>74</v>
      </c>
      <c r="J345" s="56" t="s">
        <v>69</v>
      </c>
      <c r="K345" s="56" t="s">
        <v>3510</v>
      </c>
      <c r="L345" s="236">
        <v>45539</v>
      </c>
      <c r="M345" s="55" t="s">
        <v>7050</v>
      </c>
      <c r="N345" s="55"/>
      <c r="O345" s="56" t="s">
        <v>7164</v>
      </c>
      <c r="P345" s="55"/>
    </row>
    <row r="346" ht="19.95" customHeight="1" s="53" customFormat="1">
      <c r="A346" s="55">
        <v>171641</v>
      </c>
      <c r="B346" s="55" t="s">
        <v>3032</v>
      </c>
      <c r="C346" s="55" t="s">
        <v>6306</v>
      </c>
      <c r="D346" s="55">
        <v>1614944260</v>
      </c>
      <c r="E346" s="55" t="s">
        <v>67</v>
      </c>
      <c r="F346" s="55" t="s">
        <v>71</v>
      </c>
      <c r="G346" s="55" t="s">
        <v>5709</v>
      </c>
      <c r="H346" s="55" t="s">
        <v>1304</v>
      </c>
      <c r="I346" s="55" t="s">
        <v>74</v>
      </c>
      <c r="J346" s="56" t="s">
        <v>69</v>
      </c>
      <c r="K346" s="56" t="s">
        <v>3510</v>
      </c>
      <c r="L346" s="236" t="s">
        <v>7192</v>
      </c>
      <c r="M346" s="55" t="s">
        <v>7050</v>
      </c>
      <c r="N346" s="55"/>
      <c r="O346" s="56" t="s">
        <v>93</v>
      </c>
      <c r="P346" s="55"/>
    </row>
    <row r="347" ht="19.95" customHeight="1" s="53" customFormat="1">
      <c r="A347" s="55">
        <v>171523</v>
      </c>
      <c r="B347" s="55" t="s">
        <v>6320</v>
      </c>
      <c r="C347" s="55" t="s">
        <v>6321</v>
      </c>
      <c r="D347" s="55">
        <v>1567847304</v>
      </c>
      <c r="E347" s="55" t="s">
        <v>67</v>
      </c>
      <c r="F347" s="55" t="s">
        <v>71</v>
      </c>
      <c r="G347" s="55" t="s">
        <v>155</v>
      </c>
      <c r="H347" s="55" t="s">
        <v>2866</v>
      </c>
      <c r="I347" s="55" t="s">
        <v>74</v>
      </c>
      <c r="J347" s="56" t="s">
        <v>69</v>
      </c>
      <c r="K347" s="56" t="s">
        <v>3510</v>
      </c>
      <c r="L347" s="236">
        <v>45547</v>
      </c>
      <c r="M347" s="55" t="s">
        <v>4035</v>
      </c>
      <c r="N347" s="55"/>
      <c r="O347" s="56" t="s">
        <v>93</v>
      </c>
      <c r="P347" s="55" t="s">
        <v>7193</v>
      </c>
    </row>
    <row r="348" ht="19.95" customHeight="1" s="53" customFormat="1">
      <c r="A348" s="55">
        <v>171689</v>
      </c>
      <c r="B348" s="55" t="s">
        <v>3022</v>
      </c>
      <c r="C348" s="55" t="s">
        <v>4507</v>
      </c>
      <c r="D348" s="55">
        <v>1712949444</v>
      </c>
      <c r="E348" s="55" t="s">
        <v>67</v>
      </c>
      <c r="F348" s="55" t="s">
        <v>71</v>
      </c>
      <c r="G348" s="55" t="s">
        <v>2495</v>
      </c>
      <c r="H348" s="55" t="s">
        <v>1304</v>
      </c>
      <c r="I348" s="55" t="s">
        <v>74</v>
      </c>
      <c r="J348" s="56" t="s">
        <v>69</v>
      </c>
      <c r="K348" s="56" t="s">
        <v>3499</v>
      </c>
      <c r="L348" s="236">
        <v>45545</v>
      </c>
      <c r="M348" s="55" t="s">
        <v>7152</v>
      </c>
      <c r="N348" s="55"/>
      <c r="O348" s="56" t="s">
        <v>7194</v>
      </c>
      <c r="P348" s="55"/>
    </row>
    <row r="349" ht="19.95" customHeight="1" s="53" customFormat="1">
      <c r="A349" s="55">
        <v>171849</v>
      </c>
      <c r="B349" s="55" t="s">
        <v>6335</v>
      </c>
      <c r="C349" s="55" t="s">
        <v>6336</v>
      </c>
      <c r="D349" s="55">
        <v>1797675848</v>
      </c>
      <c r="E349" s="55" t="s">
        <v>67</v>
      </c>
      <c r="F349" s="55" t="s">
        <v>71</v>
      </c>
      <c r="G349" s="55" t="s">
        <v>155</v>
      </c>
      <c r="H349" s="55" t="s">
        <v>2866</v>
      </c>
      <c r="I349" s="55" t="s">
        <v>74</v>
      </c>
      <c r="J349" s="56" t="s">
        <v>69</v>
      </c>
      <c r="K349" s="56" t="s">
        <v>3510</v>
      </c>
      <c r="L349" s="236" t="s">
        <v>7195</v>
      </c>
      <c r="M349" s="55" t="s">
        <v>4035</v>
      </c>
      <c r="N349" s="55"/>
      <c r="O349" s="56" t="s">
        <v>7164</v>
      </c>
      <c r="P349" s="55" t="s">
        <v>7193</v>
      </c>
    </row>
    <row r="350" ht="19.95" customHeight="1" s="53" customFormat="1">
      <c r="A350" s="55">
        <v>171485</v>
      </c>
      <c r="B350" s="55" t="s">
        <v>2690</v>
      </c>
      <c r="C350" s="55" t="s">
        <v>7059</v>
      </c>
      <c r="D350" s="55" t="s">
        <v>7060</v>
      </c>
      <c r="E350" s="55" t="s">
        <v>67</v>
      </c>
      <c r="F350" s="55" t="s">
        <v>71</v>
      </c>
      <c r="G350" s="55" t="s">
        <v>5709</v>
      </c>
      <c r="H350" s="55" t="s">
        <v>308</v>
      </c>
      <c r="I350" s="55" t="s">
        <v>74</v>
      </c>
      <c r="J350" s="56" t="s">
        <v>69</v>
      </c>
      <c r="K350" s="56" t="s">
        <v>3510</v>
      </c>
      <c r="L350" s="236">
        <v>45543</v>
      </c>
      <c r="M350" s="55" t="s">
        <v>7053</v>
      </c>
      <c r="N350" s="55"/>
      <c r="O350" s="56" t="s">
        <v>93</v>
      </c>
      <c r="P350" s="55" t="s">
        <v>7196</v>
      </c>
    </row>
    <row r="351" ht="19.95" customHeight="1" s="53" customFormat="1">
      <c r="A351" s="55">
        <v>171683</v>
      </c>
      <c r="B351" s="55" t="s">
        <v>3004</v>
      </c>
      <c r="C351" s="55" t="s">
        <v>6359</v>
      </c>
      <c r="D351" s="55">
        <v>1915114542</v>
      </c>
      <c r="E351" s="55" t="s">
        <v>67</v>
      </c>
      <c r="F351" s="55" t="s">
        <v>71</v>
      </c>
      <c r="G351" s="55" t="s">
        <v>5709</v>
      </c>
      <c r="H351" s="55" t="s">
        <v>1304</v>
      </c>
      <c r="I351" s="55" t="s">
        <v>74</v>
      </c>
      <c r="J351" s="56" t="s">
        <v>69</v>
      </c>
      <c r="K351" s="56" t="s">
        <v>3510</v>
      </c>
      <c r="L351" s="236" t="s">
        <v>7197</v>
      </c>
      <c r="M351" s="55" t="s">
        <v>7050</v>
      </c>
      <c r="N351" s="55"/>
      <c r="O351" s="56" t="s">
        <v>93</v>
      </c>
      <c r="P351" s="55" t="s">
        <v>7196</v>
      </c>
    </row>
    <row r="352" ht="19.95" customHeight="1" s="53" customFormat="1">
      <c r="A352" s="55">
        <v>171582</v>
      </c>
      <c r="B352" s="55" t="s">
        <v>6351</v>
      </c>
      <c r="C352" s="55" t="s">
        <v>6352</v>
      </c>
      <c r="D352" s="55">
        <v>1962054797</v>
      </c>
      <c r="E352" s="55" t="s">
        <v>67</v>
      </c>
      <c r="F352" s="55" t="s">
        <v>71</v>
      </c>
      <c r="G352" s="55" t="s">
        <v>155</v>
      </c>
      <c r="H352" s="55" t="s">
        <v>196</v>
      </c>
      <c r="I352" s="55" t="s">
        <v>74</v>
      </c>
      <c r="J352" s="56" t="s">
        <v>69</v>
      </c>
      <c r="K352" s="56" t="s">
        <v>3510</v>
      </c>
      <c r="L352" s="236" t="s">
        <v>7198</v>
      </c>
      <c r="M352" s="55" t="s">
        <v>6925</v>
      </c>
      <c r="N352" s="55"/>
      <c r="O352" s="56" t="s">
        <v>6832</v>
      </c>
      <c r="P352" s="55" t="s">
        <v>7196</v>
      </c>
    </row>
    <row r="353" ht="19.95" customHeight="1" s="53" customFormat="1">
      <c r="A353" s="55">
        <v>171453</v>
      </c>
      <c r="B353" s="55" t="s">
        <v>6367</v>
      </c>
      <c r="C353" s="55" t="s">
        <v>6368</v>
      </c>
      <c r="D353" s="55">
        <v>1627644865</v>
      </c>
      <c r="E353" s="55" t="s">
        <v>67</v>
      </c>
      <c r="F353" s="55" t="s">
        <v>71</v>
      </c>
      <c r="G353" s="55" t="s">
        <v>407</v>
      </c>
      <c r="H353" s="55" t="s">
        <v>2643</v>
      </c>
      <c r="I353" s="55" t="s">
        <v>74</v>
      </c>
      <c r="J353" s="56" t="s">
        <v>69</v>
      </c>
      <c r="K353" s="56" t="s">
        <v>3510</v>
      </c>
      <c r="L353" s="236">
        <v>45566</v>
      </c>
      <c r="M353" s="55" t="s">
        <v>4035</v>
      </c>
      <c r="N353" s="55"/>
      <c r="O353" s="56" t="s">
        <v>7164</v>
      </c>
      <c r="P353" s="55" t="s">
        <v>7196</v>
      </c>
    </row>
    <row r="354" ht="19.95" customHeight="1" s="53" customFormat="1">
      <c r="A354" s="55" t="s">
        <v>7065</v>
      </c>
      <c r="B354" s="55" t="s">
        <v>2784</v>
      </c>
      <c r="C354" s="55" t="s">
        <v>6372</v>
      </c>
      <c r="D354" s="55">
        <v>1993131951</v>
      </c>
      <c r="E354" s="55" t="s">
        <v>67</v>
      </c>
      <c r="F354" s="55" t="s">
        <v>71</v>
      </c>
      <c r="G354" s="55" t="s">
        <v>2495</v>
      </c>
      <c r="H354" s="55" t="s">
        <v>308</v>
      </c>
      <c r="I354" s="55" t="s">
        <v>74</v>
      </c>
      <c r="J354" s="56" t="s">
        <v>69</v>
      </c>
      <c r="K354" s="56" t="s">
        <v>3510</v>
      </c>
      <c r="L354" s="236" t="s">
        <v>7199</v>
      </c>
      <c r="M354" s="158" t="s">
        <v>4035</v>
      </c>
      <c r="N354" s="55"/>
      <c r="O354" s="56" t="s">
        <v>7164</v>
      </c>
      <c r="P354" s="55" t="s">
        <v>7196</v>
      </c>
    </row>
    <row r="355" ht="19.95" customHeight="1" s="53" customFormat="1">
      <c r="A355" s="55">
        <v>171193</v>
      </c>
      <c r="B355" s="55" t="s">
        <v>7066</v>
      </c>
      <c r="C355" s="55" t="s">
        <v>6298</v>
      </c>
      <c r="D355" s="55">
        <v>1868280746</v>
      </c>
      <c r="E355" s="55" t="s">
        <v>67</v>
      </c>
      <c r="F355" s="55" t="s">
        <v>71</v>
      </c>
      <c r="G355" s="55" t="s">
        <v>2495</v>
      </c>
      <c r="H355" s="55" t="s">
        <v>2643</v>
      </c>
      <c r="I355" s="55" t="s">
        <v>74</v>
      </c>
      <c r="J355" s="56" t="s">
        <v>69</v>
      </c>
      <c r="K355" s="56" t="s">
        <v>3510</v>
      </c>
      <c r="L355" s="236" t="s">
        <v>7200</v>
      </c>
      <c r="M355" s="55" t="s">
        <v>7067</v>
      </c>
      <c r="N355" s="55"/>
      <c r="O355" s="171" t="s">
        <v>7201</v>
      </c>
      <c r="P355" s="55" t="s">
        <v>7196</v>
      </c>
    </row>
    <row r="356" ht="19.95" customHeight="1" s="53" customFormat="1">
      <c r="A356" s="55">
        <v>171694</v>
      </c>
      <c r="B356" s="55" t="s">
        <v>7061</v>
      </c>
      <c r="C356" s="55" t="s">
        <v>6344</v>
      </c>
      <c r="D356" s="55">
        <v>1712300473</v>
      </c>
      <c r="E356" s="55" t="s">
        <v>67</v>
      </c>
      <c r="F356" s="55" t="s">
        <v>71</v>
      </c>
      <c r="G356" s="55" t="s">
        <v>155</v>
      </c>
      <c r="H356" s="55" t="s">
        <v>196</v>
      </c>
      <c r="I356" s="55" t="s">
        <v>74</v>
      </c>
      <c r="J356" s="56" t="s">
        <v>69</v>
      </c>
      <c r="K356" s="56" t="s">
        <v>3510</v>
      </c>
      <c r="L356" s="236" t="s">
        <v>7202</v>
      </c>
      <c r="M356" s="55" t="s">
        <v>4035</v>
      </c>
      <c r="N356" s="55"/>
      <c r="O356" s="171" t="s">
        <v>7201</v>
      </c>
      <c r="P356" s="55" t="s">
        <v>7196</v>
      </c>
    </row>
    <row r="357" ht="19.95" customHeight="1" s="53" customFormat="1">
      <c r="A357" s="55">
        <v>171688</v>
      </c>
      <c r="B357" s="55" t="s">
        <v>2837</v>
      </c>
      <c r="C357" s="55" t="s">
        <v>6387</v>
      </c>
      <c r="D357" s="55">
        <v>1533949954</v>
      </c>
      <c r="E357" s="55" t="s">
        <v>67</v>
      </c>
      <c r="F357" s="55" t="s">
        <v>71</v>
      </c>
      <c r="G357" s="55" t="s">
        <v>5709</v>
      </c>
      <c r="H357" s="55" t="s">
        <v>1304</v>
      </c>
      <c r="I357" s="55" t="s">
        <v>74</v>
      </c>
      <c r="J357" s="56" t="s">
        <v>69</v>
      </c>
      <c r="K357" s="56" t="s">
        <v>3510</v>
      </c>
      <c r="L357" s="236" t="s">
        <v>7203</v>
      </c>
      <c r="M357" s="55" t="s">
        <v>7068</v>
      </c>
      <c r="N357" s="55"/>
      <c r="O357" s="56" t="s">
        <v>7164</v>
      </c>
      <c r="P357" s="55" t="s">
        <v>7196</v>
      </c>
    </row>
    <row r="358" ht="19.95" customHeight="1" s="53" customFormat="1">
      <c r="A358" s="55">
        <v>171287</v>
      </c>
      <c r="B358" s="55" t="s">
        <v>7069</v>
      </c>
      <c r="C358" s="55" t="s">
        <v>6447</v>
      </c>
      <c r="D358" s="55" t="s">
        <v>7070</v>
      </c>
      <c r="E358" s="55" t="s">
        <v>67</v>
      </c>
      <c r="F358" s="55" t="s">
        <v>71</v>
      </c>
      <c r="G358" s="55" t="s">
        <v>5709</v>
      </c>
      <c r="H358" s="55" t="s">
        <v>342</v>
      </c>
      <c r="I358" s="55" t="s">
        <v>74</v>
      </c>
      <c r="J358" s="56" t="s">
        <v>69</v>
      </c>
      <c r="K358" s="56" t="s">
        <v>3510</v>
      </c>
      <c r="L358" s="236">
        <v>45568</v>
      </c>
      <c r="M358" s="55" t="s">
        <v>4035</v>
      </c>
      <c r="N358" s="55"/>
      <c r="O358" s="227" t="s">
        <v>7201</v>
      </c>
      <c r="P358" s="55" t="s">
        <v>6833</v>
      </c>
    </row>
    <row r="359" ht="19.95" customHeight="1" s="53" customFormat="1">
      <c r="A359" s="55">
        <v>171845</v>
      </c>
      <c r="B359" s="55" t="s">
        <v>3041</v>
      </c>
      <c r="C359" s="55" t="s">
        <v>2438</v>
      </c>
      <c r="D359" s="55" t="s">
        <v>7071</v>
      </c>
      <c r="E359" s="55" t="s">
        <v>67</v>
      </c>
      <c r="F359" s="55" t="s">
        <v>71</v>
      </c>
      <c r="G359" s="55" t="s">
        <v>5709</v>
      </c>
      <c r="H359" s="55" t="s">
        <v>287</v>
      </c>
      <c r="I359" s="55" t="s">
        <v>74</v>
      </c>
      <c r="J359" s="56" t="s">
        <v>69</v>
      </c>
      <c r="K359" s="56" t="s">
        <v>3510</v>
      </c>
      <c r="L359" s="236">
        <v>45568</v>
      </c>
      <c r="M359" s="55" t="s">
        <v>6898</v>
      </c>
      <c r="N359" s="55"/>
      <c r="O359" s="56" t="s">
        <v>6832</v>
      </c>
      <c r="P359" s="55" t="s">
        <v>6833</v>
      </c>
    </row>
    <row r="360" ht="19.95" customHeight="1" s="53" customFormat="1">
      <c r="A360" s="55">
        <v>171518</v>
      </c>
      <c r="B360" s="55" t="s">
        <v>6438</v>
      </c>
      <c r="C360" s="55" t="s">
        <v>7105</v>
      </c>
      <c r="D360" s="55">
        <v>1952807424</v>
      </c>
      <c r="E360" s="55" t="s">
        <v>67</v>
      </c>
      <c r="F360" s="55" t="s">
        <v>71</v>
      </c>
      <c r="G360" s="55" t="s">
        <v>155</v>
      </c>
      <c r="H360" s="55" t="s">
        <v>196</v>
      </c>
      <c r="I360" s="55" t="s">
        <v>74</v>
      </c>
      <c r="J360" s="56" t="s">
        <v>69</v>
      </c>
      <c r="K360" s="56" t="s">
        <v>3510</v>
      </c>
      <c r="L360" s="236">
        <v>45572</v>
      </c>
      <c r="M360" s="55" t="s">
        <v>4035</v>
      </c>
      <c r="N360" s="55"/>
      <c r="O360" s="56" t="s">
        <v>6832</v>
      </c>
      <c r="P360" s="55" t="s">
        <v>6833</v>
      </c>
    </row>
    <row r="361" ht="19.95" customHeight="1" s="53" customFormat="1">
      <c r="A361" s="55">
        <v>171897</v>
      </c>
      <c r="B361" s="55" t="s">
        <v>6396</v>
      </c>
      <c r="C361" s="55" t="s">
        <v>7106</v>
      </c>
      <c r="D361" s="55">
        <v>1311164674</v>
      </c>
      <c r="E361" s="55" t="s">
        <v>67</v>
      </c>
      <c r="F361" s="55" t="s">
        <v>71</v>
      </c>
      <c r="G361" s="55" t="s">
        <v>155</v>
      </c>
      <c r="H361" s="55" t="s">
        <v>196</v>
      </c>
      <c r="I361" s="55" t="s">
        <v>74</v>
      </c>
      <c r="J361" s="56" t="s">
        <v>69</v>
      </c>
      <c r="K361" s="56" t="s">
        <v>3510</v>
      </c>
      <c r="L361" s="236">
        <v>45572</v>
      </c>
      <c r="M361" s="55" t="s">
        <v>7204</v>
      </c>
      <c r="N361" s="55"/>
      <c r="O361" s="56" t="s">
        <v>6832</v>
      </c>
      <c r="P361" s="55" t="s">
        <v>6833</v>
      </c>
    </row>
    <row r="362" ht="19.95" customHeight="1" s="53" customFormat="1">
      <c r="A362" s="55">
        <v>171870</v>
      </c>
      <c r="B362" s="55" t="s">
        <v>2829</v>
      </c>
      <c r="C362" s="55" t="s">
        <v>7072</v>
      </c>
      <c r="D362" s="55">
        <v>1828822309</v>
      </c>
      <c r="E362" s="55" t="s">
        <v>67</v>
      </c>
      <c r="F362" s="55" t="s">
        <v>71</v>
      </c>
      <c r="G362" s="55" t="s">
        <v>2495</v>
      </c>
      <c r="H362" s="55" t="s">
        <v>1304</v>
      </c>
      <c r="I362" s="55" t="s">
        <v>74</v>
      </c>
      <c r="J362" s="56" t="s">
        <v>69</v>
      </c>
      <c r="K362" s="56" t="s">
        <v>3510</v>
      </c>
      <c r="L362" s="236">
        <v>45563</v>
      </c>
      <c r="M362" s="55" t="s">
        <v>925</v>
      </c>
      <c r="N362" s="55"/>
      <c r="O362" s="56" t="s">
        <v>6832</v>
      </c>
      <c r="P362" s="55" t="s">
        <v>6833</v>
      </c>
    </row>
    <row r="363" ht="19.95" customHeight="1" s="53" customFormat="1">
      <c r="A363" s="55" t="s">
        <v>7075</v>
      </c>
      <c r="B363" s="55" t="s">
        <v>2793</v>
      </c>
      <c r="C363" s="55" t="s">
        <v>5450</v>
      </c>
      <c r="D363" s="55">
        <v>19666959963</v>
      </c>
      <c r="E363" s="55" t="s">
        <v>67</v>
      </c>
      <c r="F363" s="55" t="s">
        <v>71</v>
      </c>
      <c r="G363" s="55"/>
      <c r="H363" s="55" t="s">
        <v>458</v>
      </c>
      <c r="I363" s="55" t="s">
        <v>74</v>
      </c>
      <c r="J363" s="56" t="s">
        <v>69</v>
      </c>
      <c r="K363" s="56" t="s">
        <v>3510</v>
      </c>
      <c r="L363" s="236">
        <v>45562</v>
      </c>
      <c r="M363" s="55" t="s">
        <v>7076</v>
      </c>
      <c r="N363" s="55"/>
      <c r="O363" s="56" t="s">
        <v>6832</v>
      </c>
      <c r="P363" s="55" t="s">
        <v>6833</v>
      </c>
    </row>
    <row r="364" ht="19.95" customHeight="1" s="53" customFormat="1">
      <c r="A364" s="55">
        <v>171536</v>
      </c>
      <c r="B364" s="55" t="s">
        <v>6418</v>
      </c>
      <c r="C364" s="55" t="s">
        <v>6419</v>
      </c>
      <c r="D364" s="55">
        <v>1897703142</v>
      </c>
      <c r="E364" s="55" t="s">
        <v>67</v>
      </c>
      <c r="F364" s="55" t="s">
        <v>71</v>
      </c>
      <c r="G364" s="55" t="s">
        <v>155</v>
      </c>
      <c r="H364" s="55" t="s">
        <v>196</v>
      </c>
      <c r="I364" s="55" t="s">
        <v>74</v>
      </c>
      <c r="J364" s="56" t="s">
        <v>69</v>
      </c>
      <c r="K364" s="56" t="s">
        <v>3510</v>
      </c>
      <c r="L364" s="236">
        <v>45565</v>
      </c>
      <c r="M364" s="55" t="s">
        <v>4035</v>
      </c>
      <c r="N364" s="55"/>
      <c r="O364" s="56" t="s">
        <v>6832</v>
      </c>
      <c r="P364" s="55" t="s">
        <v>6833</v>
      </c>
    </row>
    <row r="365" ht="19.95" customHeight="1" s="53" customFormat="1">
      <c r="A365" s="55">
        <v>171442</v>
      </c>
      <c r="B365" s="55" t="s">
        <v>2801</v>
      </c>
      <c r="C365" s="55" t="s">
        <v>6430</v>
      </c>
      <c r="D365" s="55">
        <v>1687379407</v>
      </c>
      <c r="E365" s="55" t="s">
        <v>67</v>
      </c>
      <c r="F365" s="55" t="s">
        <v>71</v>
      </c>
      <c r="G365" s="55" t="s">
        <v>5709</v>
      </c>
      <c r="H365" s="55" t="s">
        <v>115</v>
      </c>
      <c r="I365" s="55" t="s">
        <v>74</v>
      </c>
      <c r="J365" s="56" t="s">
        <v>69</v>
      </c>
      <c r="K365" s="56" t="s">
        <v>3510</v>
      </c>
      <c r="L365" s="236">
        <v>45553</v>
      </c>
      <c r="M365" s="55" t="s">
        <v>7078</v>
      </c>
      <c r="N365" s="55"/>
      <c r="O365" s="56" t="s">
        <v>6832</v>
      </c>
      <c r="P365" s="55" t="s">
        <v>6833</v>
      </c>
    </row>
    <row r="366" ht="19.95" customHeight="1">
      <c r="A366" s="202">
        <v>171951</v>
      </c>
      <c r="B366" s="202" t="s">
        <v>3012</v>
      </c>
      <c r="C366" s="202" t="s">
        <v>7205</v>
      </c>
      <c r="D366" s="202">
        <v>1949846302</v>
      </c>
      <c r="E366" s="240" t="s">
        <v>67</v>
      </c>
      <c r="F366" s="240" t="s">
        <v>71</v>
      </c>
      <c r="G366" s="240" t="s">
        <v>5709</v>
      </c>
      <c r="H366" s="202" t="s">
        <v>2831</v>
      </c>
      <c r="I366" s="240" t="s">
        <v>74</v>
      </c>
      <c r="J366" s="56" t="s">
        <v>69</v>
      </c>
      <c r="K366" s="56" t="s">
        <v>3510</v>
      </c>
      <c r="L366" s="236">
        <v>45573</v>
      </c>
      <c r="M366" s="248" t="s">
        <v>7068</v>
      </c>
      <c r="N366" s="55"/>
      <c r="O366" s="240" t="s">
        <v>6832</v>
      </c>
      <c r="P366" s="202" t="s">
        <v>7196</v>
      </c>
    </row>
    <row r="367" ht="19.95" customHeight="1">
      <c r="A367" s="202">
        <v>171971</v>
      </c>
      <c r="B367" s="202" t="s">
        <v>6457</v>
      </c>
      <c r="C367" s="202" t="s">
        <v>6458</v>
      </c>
      <c r="D367" s="202">
        <v>1628603981</v>
      </c>
      <c r="E367" s="240" t="s">
        <v>67</v>
      </c>
      <c r="F367" s="240" t="s">
        <v>71</v>
      </c>
      <c r="G367" s="240" t="s">
        <v>155</v>
      </c>
      <c r="H367" s="202" t="s">
        <v>271</v>
      </c>
      <c r="I367" s="240" t="s">
        <v>74</v>
      </c>
      <c r="J367" s="56" t="s">
        <v>69</v>
      </c>
      <c r="K367" s="56" t="s">
        <v>3510</v>
      </c>
      <c r="L367" s="236">
        <v>45573</v>
      </c>
      <c r="M367" s="248" t="s">
        <v>4035</v>
      </c>
      <c r="N367" s="55"/>
      <c r="O367" s="240" t="s">
        <v>6832</v>
      </c>
      <c r="P367" s="202" t="s">
        <v>7196</v>
      </c>
    </row>
    <row r="368" ht="19.95" customHeight="1">
      <c r="A368" s="202">
        <v>171443</v>
      </c>
      <c r="B368" s="202" t="s">
        <v>2846</v>
      </c>
      <c r="C368" s="202" t="s">
        <v>7080</v>
      </c>
      <c r="D368" s="202">
        <v>1681899974</v>
      </c>
      <c r="E368" s="240" t="s">
        <v>67</v>
      </c>
      <c r="F368" s="240" t="s">
        <v>71</v>
      </c>
      <c r="G368" s="240" t="s">
        <v>5709</v>
      </c>
      <c r="H368" s="202" t="s">
        <v>458</v>
      </c>
      <c r="I368" s="240" t="s">
        <v>74</v>
      </c>
      <c r="J368" s="56" t="s">
        <v>69</v>
      </c>
      <c r="K368" s="56" t="s">
        <v>3510</v>
      </c>
      <c r="L368" s="236">
        <v>45574</v>
      </c>
      <c r="M368" s="248" t="s">
        <v>6872</v>
      </c>
      <c r="N368" s="55"/>
      <c r="O368" s="240" t="s">
        <v>6832</v>
      </c>
      <c r="P368" s="202" t="s">
        <v>7196</v>
      </c>
    </row>
    <row r="369" ht="19.95" customHeight="1">
      <c r="A369" s="202">
        <v>171602</v>
      </c>
      <c r="B369" s="202" t="s">
        <v>6473</v>
      </c>
      <c r="C369" s="202" t="s">
        <v>6474</v>
      </c>
      <c r="D369" s="202">
        <v>1766392260</v>
      </c>
      <c r="E369" s="240" t="s">
        <v>67</v>
      </c>
      <c r="F369" s="240" t="s">
        <v>71</v>
      </c>
      <c r="G369" s="240" t="s">
        <v>5709</v>
      </c>
      <c r="H369" s="202" t="s">
        <v>2474</v>
      </c>
      <c r="I369" s="240" t="s">
        <v>74</v>
      </c>
      <c r="J369" s="56" t="s">
        <v>69</v>
      </c>
      <c r="K369" s="56" t="s">
        <v>3510</v>
      </c>
      <c r="L369" s="236">
        <v>45580</v>
      </c>
      <c r="M369" s="248" t="s">
        <v>7082</v>
      </c>
      <c r="N369" s="55"/>
      <c r="O369" s="240" t="s">
        <v>6832</v>
      </c>
      <c r="P369" s="202" t="s">
        <v>7196</v>
      </c>
    </row>
    <row r="370" ht="19.95" customHeight="1">
      <c r="A370" s="202">
        <v>171704</v>
      </c>
      <c r="B370" s="202" t="s">
        <v>2864</v>
      </c>
      <c r="C370" s="202" t="s">
        <v>2865</v>
      </c>
      <c r="D370" s="202">
        <v>1963754294</v>
      </c>
      <c r="E370" s="240" t="s">
        <v>67</v>
      </c>
      <c r="F370" s="240" t="s">
        <v>71</v>
      </c>
      <c r="G370" s="240" t="s">
        <v>155</v>
      </c>
      <c r="H370" s="202" t="s">
        <v>171</v>
      </c>
      <c r="I370" s="240" t="s">
        <v>74</v>
      </c>
      <c r="J370" s="56" t="s">
        <v>69</v>
      </c>
      <c r="K370" s="56" t="s">
        <v>3510</v>
      </c>
      <c r="L370" s="236">
        <v>45540</v>
      </c>
      <c r="M370" s="248" t="s">
        <v>4035</v>
      </c>
      <c r="N370" s="55"/>
      <c r="O370" s="240" t="s">
        <v>6832</v>
      </c>
      <c r="P370" s="202" t="s">
        <v>7196</v>
      </c>
    </row>
    <row r="371" ht="19.95" customHeight="1">
      <c r="A371" s="249">
        <v>171933</v>
      </c>
      <c r="B371" s="249" t="s">
        <v>6404</v>
      </c>
      <c r="C371" s="249" t="s">
        <v>3322</v>
      </c>
      <c r="D371" s="249">
        <v>1897703142</v>
      </c>
      <c r="E371" s="249" t="s">
        <v>67</v>
      </c>
      <c r="F371" s="249" t="s">
        <v>71</v>
      </c>
      <c r="G371" s="249" t="s">
        <v>155</v>
      </c>
      <c r="H371" s="249" t="s">
        <v>7074</v>
      </c>
      <c r="I371" s="249" t="s">
        <v>74</v>
      </c>
      <c r="J371" s="56" t="s">
        <v>69</v>
      </c>
      <c r="K371" s="56" t="s">
        <v>3510</v>
      </c>
      <c r="L371" s="250">
        <v>45563</v>
      </c>
      <c r="M371" s="248" t="s">
        <v>4035</v>
      </c>
      <c r="N371" s="55"/>
      <c r="O371" s="240" t="s">
        <v>6832</v>
      </c>
      <c r="P371" s="249" t="s">
        <v>7196</v>
      </c>
    </row>
    <row r="372" ht="19.95" customHeight="1" s="54" customFormat="1">
      <c r="A372" s="202">
        <v>171420</v>
      </c>
      <c r="B372" s="202" t="s">
        <v>4663</v>
      </c>
      <c r="C372" s="202" t="s">
        <v>6483</v>
      </c>
      <c r="D372" s="202">
        <v>1991697998</v>
      </c>
      <c r="E372" s="240" t="s">
        <v>67</v>
      </c>
      <c r="F372" s="240" t="s">
        <v>71</v>
      </c>
      <c r="G372" s="240" t="s">
        <v>5709</v>
      </c>
      <c r="H372" s="202" t="s">
        <v>342</v>
      </c>
      <c r="I372" s="240" t="s">
        <v>74</v>
      </c>
      <c r="J372" s="56" t="s">
        <v>69</v>
      </c>
      <c r="K372" s="56" t="s">
        <v>3510</v>
      </c>
      <c r="L372" s="236">
        <v>45581</v>
      </c>
      <c r="M372" s="240" t="s">
        <v>6872</v>
      </c>
      <c r="N372" s="246"/>
      <c r="O372" s="240" t="s">
        <v>6832</v>
      </c>
      <c r="P372" s="202" t="s">
        <v>7196</v>
      </c>
    </row>
    <row r="373" ht="19.95" customHeight="1" s="54" customFormat="1">
      <c r="A373" s="202">
        <v>171961</v>
      </c>
      <c r="B373" s="247" t="s">
        <v>2997</v>
      </c>
      <c r="C373" s="202" t="s">
        <v>2998</v>
      </c>
      <c r="D373" s="202">
        <v>1941074197</v>
      </c>
      <c r="E373" s="240" t="s">
        <v>67</v>
      </c>
      <c r="F373" s="240" t="s">
        <v>71</v>
      </c>
      <c r="G373" s="240" t="s">
        <v>155</v>
      </c>
      <c r="H373" s="202" t="s">
        <v>171</v>
      </c>
      <c r="I373" s="240" t="s">
        <v>74</v>
      </c>
      <c r="J373" s="56" t="s">
        <v>69</v>
      </c>
      <c r="K373" s="56" t="s">
        <v>3510</v>
      </c>
      <c r="L373" s="236">
        <v>45581</v>
      </c>
      <c r="M373" s="240" t="s">
        <v>6925</v>
      </c>
      <c r="N373" s="246"/>
      <c r="O373" s="240" t="s">
        <v>6832</v>
      </c>
      <c r="P373" s="202" t="s">
        <v>7196</v>
      </c>
    </row>
    <row r="374" ht="19.95" customHeight="1" s="54" customFormat="1">
      <c r="A374" s="202">
        <v>171525</v>
      </c>
      <c r="B374" s="247" t="s">
        <v>6501</v>
      </c>
      <c r="C374" s="202" t="s">
        <v>5159</v>
      </c>
      <c r="D374" s="202">
        <v>1997047744</v>
      </c>
      <c r="E374" s="240" t="s">
        <v>67</v>
      </c>
      <c r="F374" s="240" t="s">
        <v>71</v>
      </c>
      <c r="G374" s="240" t="s">
        <v>155</v>
      </c>
      <c r="H374" s="202" t="s">
        <v>183</v>
      </c>
      <c r="I374" s="240" t="s">
        <v>74</v>
      </c>
      <c r="J374" s="56" t="s">
        <v>69</v>
      </c>
      <c r="K374" s="56" t="s">
        <v>3510</v>
      </c>
      <c r="L374" s="236">
        <v>45586</v>
      </c>
      <c r="M374" s="240" t="s">
        <v>6925</v>
      </c>
      <c r="N374" s="246"/>
      <c r="O374" s="240" t="s">
        <v>6832</v>
      </c>
      <c r="P374" s="202" t="s">
        <v>7196</v>
      </c>
    </row>
    <row r="375" ht="19.95" customHeight="1" s="54" customFormat="1">
      <c r="A375" s="202">
        <v>171793</v>
      </c>
      <c r="B375" s="247" t="s">
        <v>5556</v>
      </c>
      <c r="C375" s="202" t="s">
        <v>6552</v>
      </c>
      <c r="D375" s="202">
        <v>1776801798</v>
      </c>
      <c r="E375" s="240" t="s">
        <v>67</v>
      </c>
      <c r="F375" s="240" t="s">
        <v>71</v>
      </c>
      <c r="G375" s="240" t="s">
        <v>5709</v>
      </c>
      <c r="H375" s="202" t="s">
        <v>2474</v>
      </c>
      <c r="I375" s="240" t="s">
        <v>74</v>
      </c>
      <c r="J375" s="56" t="s">
        <v>69</v>
      </c>
      <c r="K375" s="56" t="s">
        <v>3510</v>
      </c>
      <c r="L375" s="236">
        <v>45578</v>
      </c>
      <c r="M375" s="240" t="s">
        <v>6872</v>
      </c>
      <c r="N375" s="246"/>
      <c r="O375" s="240" t="s">
        <v>6832</v>
      </c>
      <c r="P375" s="202" t="s">
        <v>7196</v>
      </c>
    </row>
    <row r="376" ht="19.95" customHeight="1" s="54" customFormat="1">
      <c r="A376" s="202">
        <v>171839</v>
      </c>
      <c r="B376" s="202" t="s">
        <v>7086</v>
      </c>
      <c r="C376" s="202" t="s">
        <v>6559</v>
      </c>
      <c r="D376" s="202">
        <v>1684669459</v>
      </c>
      <c r="E376" s="240" t="s">
        <v>67</v>
      </c>
      <c r="F376" s="240" t="s">
        <v>71</v>
      </c>
      <c r="G376" s="240" t="s">
        <v>2495</v>
      </c>
      <c r="H376" s="202" t="s">
        <v>308</v>
      </c>
      <c r="I376" s="240" t="s">
        <v>74</v>
      </c>
      <c r="J376" s="56" t="s">
        <v>69</v>
      </c>
      <c r="K376" s="215" t="s">
        <v>7206</v>
      </c>
      <c r="L376" s="56">
        <v>45529</v>
      </c>
      <c r="M376" s="246" t="s">
        <v>4035</v>
      </c>
      <c r="N376" s="246"/>
      <c r="O376" s="240" t="s">
        <v>6832</v>
      </c>
      <c r="P376" s="202"/>
    </row>
    <row r="377" ht="19.95" customHeight="1" s="54" customFormat="1">
      <c r="A377" s="202">
        <v>171865</v>
      </c>
      <c r="B377" s="202" t="s">
        <v>6014</v>
      </c>
      <c r="C377" s="202" t="s">
        <v>1294</v>
      </c>
      <c r="D377" s="202">
        <v>1613005596</v>
      </c>
      <c r="E377" s="240" t="s">
        <v>67</v>
      </c>
      <c r="F377" s="240" t="s">
        <v>71</v>
      </c>
      <c r="G377" s="240" t="s">
        <v>2495</v>
      </c>
      <c r="H377" s="202" t="s">
        <v>2643</v>
      </c>
      <c r="I377" s="240" t="s">
        <v>74</v>
      </c>
      <c r="J377" s="56" t="s">
        <v>69</v>
      </c>
      <c r="K377" s="215" t="s">
        <v>7206</v>
      </c>
      <c r="L377" s="56">
        <v>45528</v>
      </c>
      <c r="M377" s="246" t="s">
        <v>4035</v>
      </c>
      <c r="N377" s="246"/>
      <c r="O377" s="240" t="s">
        <v>6832</v>
      </c>
      <c r="P377" s="202"/>
    </row>
    <row r="378" ht="19.95" customHeight="1" s="54" customFormat="1">
      <c r="A378" s="202">
        <v>171899</v>
      </c>
      <c r="B378" s="202" t="s">
        <v>6574</v>
      </c>
      <c r="C378" s="202" t="s">
        <v>7090</v>
      </c>
      <c r="D378" s="202">
        <v>1712300473</v>
      </c>
      <c r="E378" s="240" t="s">
        <v>67</v>
      </c>
      <c r="F378" s="240" t="s">
        <v>71</v>
      </c>
      <c r="G378" s="240" t="s">
        <v>155</v>
      </c>
      <c r="H378" s="202" t="s">
        <v>196</v>
      </c>
      <c r="I378" s="240" t="s">
        <v>74</v>
      </c>
      <c r="J378" s="56" t="s">
        <v>69</v>
      </c>
      <c r="K378" s="56" t="s">
        <v>3510</v>
      </c>
      <c r="L378" s="56">
        <v>45552</v>
      </c>
      <c r="M378" s="246" t="s">
        <v>4035</v>
      </c>
      <c r="N378" s="246"/>
      <c r="O378" s="240" t="s">
        <v>6832</v>
      </c>
      <c r="P378" s="202"/>
    </row>
    <row r="379" ht="19.95" customHeight="1" s="54" customFormat="1">
      <c r="A379" s="202">
        <v>171893</v>
      </c>
      <c r="B379" s="202" t="s">
        <v>6583</v>
      </c>
      <c r="C379" s="202" t="s">
        <v>6584</v>
      </c>
      <c r="D379" s="202">
        <v>1911287797</v>
      </c>
      <c r="E379" s="240" t="s">
        <v>67</v>
      </c>
      <c r="F379" s="240" t="s">
        <v>71</v>
      </c>
      <c r="G379" s="240" t="s">
        <v>155</v>
      </c>
      <c r="H379" s="202" t="s">
        <v>196</v>
      </c>
      <c r="I379" s="240" t="s">
        <v>74</v>
      </c>
      <c r="J379" s="56" t="s">
        <v>69</v>
      </c>
      <c r="K379" s="56" t="s">
        <v>3510</v>
      </c>
      <c r="L379" s="56">
        <v>45556</v>
      </c>
      <c r="M379" s="246" t="s">
        <v>4035</v>
      </c>
      <c r="N379" s="246"/>
      <c r="O379" s="240" t="s">
        <v>6832</v>
      </c>
      <c r="P379" s="202"/>
    </row>
    <row r="380" ht="19.95" customHeight="1" s="54" customFormat="1">
      <c r="A380" s="202">
        <v>171508</v>
      </c>
      <c r="B380" s="202" t="s">
        <v>6593</v>
      </c>
      <c r="C380" s="202" t="s">
        <v>7091</v>
      </c>
      <c r="D380" s="202">
        <v>1319292260</v>
      </c>
      <c r="E380" s="240" t="s">
        <v>67</v>
      </c>
      <c r="F380" s="240" t="s">
        <v>71</v>
      </c>
      <c r="G380" s="240" t="s">
        <v>155</v>
      </c>
      <c r="H380" s="202" t="s">
        <v>196</v>
      </c>
      <c r="I380" s="240" t="s">
        <v>74</v>
      </c>
      <c r="J380" s="56" t="s">
        <v>69</v>
      </c>
      <c r="K380" s="56" t="s">
        <v>3510</v>
      </c>
      <c r="L380" s="56">
        <v>45551</v>
      </c>
      <c r="M380" s="246" t="s">
        <v>4035</v>
      </c>
      <c r="N380" s="246"/>
      <c r="O380" s="240" t="s">
        <v>6832</v>
      </c>
      <c r="P380" s="202"/>
    </row>
    <row r="381" ht="19.95" customHeight="1" s="54" customFormat="1">
      <c r="A381" s="331" t="s">
        <v>7207</v>
      </c>
      <c r="B381" s="333" t="s">
        <v>2</v>
      </c>
      <c r="C381" s="333" t="s">
        <v>6786</v>
      </c>
      <c r="D381" s="333" t="s">
        <v>23</v>
      </c>
      <c r="E381" s="333" t="s">
        <v>6</v>
      </c>
      <c r="F381" s="333" t="s">
        <v>10</v>
      </c>
      <c r="G381" s="333" t="s">
        <v>6811</v>
      </c>
      <c r="H381" s="333" t="s">
        <v>6812</v>
      </c>
      <c r="I381" s="333" t="s">
        <v>6813</v>
      </c>
      <c r="J381" s="333" t="s">
        <v>8</v>
      </c>
      <c r="K381" s="333" t="s">
        <v>7133</v>
      </c>
      <c r="L381" s="169" t="s">
        <v>7134</v>
      </c>
      <c r="M381" s="168" t="s">
        <v>3482</v>
      </c>
      <c r="N381" s="168" t="s">
        <v>22</v>
      </c>
      <c r="O381" s="168" t="e">
        <f>-#REF!</f>
        <v>#REF!</v>
      </c>
      <c r="P381" s="168" t="s">
        <v>7135</v>
      </c>
    </row>
    <row r="382" ht="19.95" customHeight="1" s="54" customFormat="1">
      <c r="A382" s="332"/>
      <c r="B382" s="333"/>
      <c r="C382" s="333"/>
      <c r="D382" s="333"/>
      <c r="E382" s="333"/>
      <c r="F382" s="333"/>
      <c r="G382" s="333"/>
      <c r="H382" s="333"/>
      <c r="I382" s="333"/>
      <c r="J382" s="333"/>
      <c r="K382" s="333"/>
      <c r="L382" s="169" t="s">
        <v>7134</v>
      </c>
      <c r="M382" s="168" t="s">
        <v>3482</v>
      </c>
      <c r="N382" s="168" t="s">
        <v>22</v>
      </c>
      <c r="O382" s="168" t="e">
        <f>-#REF!</f>
        <v>#REF!</v>
      </c>
      <c r="P382" s="168" t="s">
        <v>7135</v>
      </c>
    </row>
    <row r="383" ht="19.95" customHeight="1" s="54" customFormat="1">
      <c r="A383" s="202">
        <v>171478</v>
      </c>
      <c r="B383" s="202" t="s">
        <v>6492</v>
      </c>
      <c r="C383" s="202" t="s">
        <v>7092</v>
      </c>
      <c r="D383" s="202">
        <v>1774298663</v>
      </c>
      <c r="E383" s="240" t="s">
        <v>67</v>
      </c>
      <c r="F383" s="240" t="s">
        <v>71</v>
      </c>
      <c r="G383" s="240" t="s">
        <v>155</v>
      </c>
      <c r="H383" s="202" t="s">
        <v>2901</v>
      </c>
      <c r="I383" s="240" t="s">
        <v>74</v>
      </c>
      <c r="J383" s="56" t="s">
        <v>69</v>
      </c>
      <c r="K383" s="56" t="s">
        <v>3510</v>
      </c>
      <c r="L383" s="56">
        <v>45582</v>
      </c>
      <c r="M383" s="246" t="s">
        <v>4002</v>
      </c>
      <c r="N383" s="246"/>
      <c r="O383" s="240" t="s">
        <v>6832</v>
      </c>
      <c r="P383" s="240"/>
    </row>
    <row r="384" ht="19.95" customHeight="1" s="54" customFormat="1">
      <c r="A384" s="251" t="s">
        <v>7129</v>
      </c>
      <c r="B384" s="251" t="s">
        <v>2</v>
      </c>
      <c r="C384" s="251" t="s">
        <v>6786</v>
      </c>
      <c r="D384" s="251" t="s">
        <v>23</v>
      </c>
      <c r="E384" s="251" t="s">
        <v>6</v>
      </c>
      <c r="F384" s="251" t="s">
        <v>10</v>
      </c>
      <c r="G384" s="251" t="s">
        <v>6811</v>
      </c>
      <c r="H384" s="251" t="s">
        <v>6812</v>
      </c>
      <c r="I384" s="251" t="s">
        <v>6813</v>
      </c>
      <c r="J384" s="251" t="s">
        <v>8</v>
      </c>
      <c r="K384" s="168" t="s">
        <v>7133</v>
      </c>
      <c r="L384" s="169" t="s">
        <v>7134</v>
      </c>
      <c r="M384" s="168" t="s">
        <v>3482</v>
      </c>
      <c r="N384" s="168" t="s">
        <v>22</v>
      </c>
      <c r="O384" s="168" t="e">
        <f>-#REF!</f>
        <v>#REF!</v>
      </c>
      <c r="P384" s="168" t="s">
        <v>7135</v>
      </c>
    </row>
    <row r="385" ht="19.95" customHeight="1" s="54" customFormat="1">
      <c r="A385" s="247">
        <v>171221</v>
      </c>
      <c r="B385" s="202" t="s">
        <v>2590</v>
      </c>
      <c r="C385" s="247" t="s">
        <v>6610</v>
      </c>
      <c r="D385" s="240">
        <v>1748704576</v>
      </c>
      <c r="E385" s="240" t="s">
        <v>67</v>
      </c>
      <c r="F385" s="240" t="s">
        <v>71</v>
      </c>
      <c r="G385" s="202" t="s">
        <v>2495</v>
      </c>
      <c r="H385" s="240" t="s">
        <v>73</v>
      </c>
      <c r="I385" s="236" t="s">
        <v>74</v>
      </c>
      <c r="J385" s="56" t="s">
        <v>69</v>
      </c>
      <c r="K385" s="240" t="s">
        <v>6872</v>
      </c>
      <c r="L385" s="236">
        <v>45589</v>
      </c>
      <c r="M385" s="240" t="s">
        <v>4321</v>
      </c>
      <c r="N385" s="247"/>
      <c r="O385" s="240" t="s">
        <v>6832</v>
      </c>
      <c r="P385" s="22"/>
    </row>
    <row r="386" ht="19.95" customHeight="1" s="54" customFormat="1">
      <c r="A386" s="247">
        <v>171949</v>
      </c>
      <c r="B386" s="202" t="s">
        <v>7093</v>
      </c>
      <c r="C386" s="247" t="s">
        <v>7094</v>
      </c>
      <c r="D386" s="240" t="s">
        <v>7095</v>
      </c>
      <c r="E386" s="240" t="s">
        <v>67</v>
      </c>
      <c r="F386" s="240" t="s">
        <v>71</v>
      </c>
      <c r="G386" s="202" t="s">
        <v>5709</v>
      </c>
      <c r="H386" s="240" t="s">
        <v>7096</v>
      </c>
      <c r="I386" s="236" t="s">
        <v>74</v>
      </c>
      <c r="J386" s="56" t="s">
        <v>69</v>
      </c>
      <c r="K386" s="240" t="s">
        <v>6872</v>
      </c>
      <c r="L386" s="236">
        <v>45589</v>
      </c>
      <c r="M386" s="240" t="s">
        <v>7097</v>
      </c>
      <c r="N386" s="247"/>
      <c r="O386" s="240" t="s">
        <v>6832</v>
      </c>
      <c r="P386" s="22"/>
    </row>
    <row r="387" ht="19.95" customHeight="1" s="54" customFormat="1">
      <c r="A387" s="247">
        <v>171383</v>
      </c>
      <c r="B387" s="247" t="s">
        <v>6536</v>
      </c>
      <c r="C387" s="202" t="s">
        <v>264</v>
      </c>
      <c r="D387" s="247">
        <v>1533418260</v>
      </c>
      <c r="E387" s="240" t="s">
        <v>67</v>
      </c>
      <c r="F387" s="240" t="s">
        <v>71</v>
      </c>
      <c r="G387" s="240" t="s">
        <v>155</v>
      </c>
      <c r="H387" s="202" t="s">
        <v>196</v>
      </c>
      <c r="I387" s="240" t="s">
        <v>74</v>
      </c>
      <c r="J387" s="56" t="s">
        <v>69</v>
      </c>
      <c r="K387" s="240" t="s">
        <v>6872</v>
      </c>
      <c r="L387" s="236">
        <v>45589</v>
      </c>
      <c r="M387" s="240" t="s">
        <v>4035</v>
      </c>
      <c r="N387" s="247"/>
      <c r="O387" s="240" t="s">
        <v>6832</v>
      </c>
      <c r="P387" s="22"/>
    </row>
    <row r="388" ht="19.95" customHeight="1" s="54" customFormat="1">
      <c r="A388" s="247">
        <v>171707</v>
      </c>
      <c r="B388" s="247" t="s">
        <v>6625</v>
      </c>
      <c r="C388" s="202" t="s">
        <v>6626</v>
      </c>
      <c r="D388" s="247">
        <v>1798430138</v>
      </c>
      <c r="E388" s="240" t="s">
        <v>67</v>
      </c>
      <c r="F388" s="240" t="s">
        <v>71</v>
      </c>
      <c r="G388" s="240" t="s">
        <v>155</v>
      </c>
      <c r="H388" s="202" t="s">
        <v>7034</v>
      </c>
      <c r="I388" s="240" t="s">
        <v>74</v>
      </c>
      <c r="J388" s="56" t="s">
        <v>69</v>
      </c>
      <c r="K388" s="240" t="s">
        <v>6872</v>
      </c>
      <c r="L388" s="236">
        <v>45589</v>
      </c>
      <c r="M388" s="240" t="s">
        <v>4035</v>
      </c>
      <c r="N388" s="247"/>
      <c r="O388" s="240" t="s">
        <v>6832</v>
      </c>
      <c r="P388" s="22"/>
    </row>
    <row r="389" ht="19.95" customHeight="1" s="54" customFormat="1">
      <c r="A389" s="247">
        <v>171796</v>
      </c>
      <c r="B389" s="247" t="s">
        <v>3078</v>
      </c>
      <c r="C389" s="202" t="s">
        <v>6068</v>
      </c>
      <c r="D389" s="247">
        <v>1760717147</v>
      </c>
      <c r="E389" s="240" t="s">
        <v>67</v>
      </c>
      <c r="F389" s="240" t="s">
        <v>71</v>
      </c>
      <c r="G389" s="240" t="s">
        <v>2495</v>
      </c>
      <c r="H389" s="202" t="s">
        <v>2643</v>
      </c>
      <c r="I389" s="240" t="s">
        <v>74</v>
      </c>
      <c r="J389" s="56" t="s">
        <v>69</v>
      </c>
      <c r="K389" s="240" t="s">
        <v>6872</v>
      </c>
      <c r="L389" s="236">
        <v>45589</v>
      </c>
      <c r="M389" s="240" t="s">
        <v>4321</v>
      </c>
      <c r="N389" s="247"/>
      <c r="O389" s="240" t="s">
        <v>6832</v>
      </c>
      <c r="P389" s="22"/>
    </row>
    <row r="390" ht="19.95" customHeight="1" s="54" customFormat="1">
      <c r="A390" s="202">
        <v>171966</v>
      </c>
      <c r="B390" s="202" t="s">
        <v>6640</v>
      </c>
      <c r="C390" s="202" t="s">
        <v>6641</v>
      </c>
      <c r="D390" s="202">
        <v>1722425087</v>
      </c>
      <c r="E390" s="240" t="s">
        <v>67</v>
      </c>
      <c r="F390" s="240" t="s">
        <v>71</v>
      </c>
      <c r="G390" s="240" t="s">
        <v>155</v>
      </c>
      <c r="H390" s="202" t="s">
        <v>2901</v>
      </c>
      <c r="I390" s="240" t="s">
        <v>74</v>
      </c>
      <c r="J390" s="56" t="s">
        <v>69</v>
      </c>
      <c r="K390" s="240" t="s">
        <v>6872</v>
      </c>
      <c r="L390" s="236">
        <v>45589</v>
      </c>
      <c r="M390" s="240" t="s">
        <v>3978</v>
      </c>
      <c r="N390" s="247"/>
      <c r="O390" s="240" t="s">
        <v>6832</v>
      </c>
      <c r="P390" s="240"/>
    </row>
    <row r="391" ht="19.95" customHeight="1" s="54" customFormat="1">
      <c r="A391" s="202">
        <v>171491</v>
      </c>
      <c r="B391" s="202" t="s">
        <v>7098</v>
      </c>
      <c r="C391" s="202" t="s">
        <v>6649</v>
      </c>
      <c r="D391" s="202" t="s">
        <v>7099</v>
      </c>
      <c r="E391" s="240" t="s">
        <v>67</v>
      </c>
      <c r="F391" s="240" t="s">
        <v>71</v>
      </c>
      <c r="G391" s="240" t="s">
        <v>5709</v>
      </c>
      <c r="H391" s="202" t="s">
        <v>115</v>
      </c>
      <c r="I391" s="240" t="s">
        <v>74</v>
      </c>
      <c r="J391" s="56" t="s">
        <v>69</v>
      </c>
      <c r="K391" s="240" t="s">
        <v>6872</v>
      </c>
      <c r="L391" s="236">
        <v>45589</v>
      </c>
      <c r="M391" s="240" t="s">
        <v>7050</v>
      </c>
      <c r="N391" s="247"/>
      <c r="O391" s="240" t="s">
        <v>6832</v>
      </c>
      <c r="P391" s="240"/>
    </row>
    <row r="392" ht="19.95" customHeight="1" s="54" customFormat="1">
      <c r="A392" s="202" t="s">
        <v>7100</v>
      </c>
      <c r="B392" s="202" t="s">
        <v>7101</v>
      </c>
      <c r="C392" s="202" t="s">
        <v>1948</v>
      </c>
      <c r="D392" s="202" t="s">
        <v>7102</v>
      </c>
      <c r="E392" s="240" t="s">
        <v>67</v>
      </c>
      <c r="F392" s="240" t="s">
        <v>71</v>
      </c>
      <c r="G392" s="240" t="s">
        <v>5709</v>
      </c>
      <c r="H392" s="202" t="s">
        <v>7096</v>
      </c>
      <c r="I392" s="240" t="s">
        <v>74</v>
      </c>
      <c r="J392" s="56" t="s">
        <v>69</v>
      </c>
      <c r="K392" s="240" t="s">
        <v>6872</v>
      </c>
      <c r="L392" s="236">
        <v>45589</v>
      </c>
      <c r="M392" s="240" t="s">
        <v>7104</v>
      </c>
      <c r="N392" s="247"/>
      <c r="O392" s="240" t="s">
        <v>6832</v>
      </c>
      <c r="P392" s="240"/>
    </row>
    <row r="393" ht="19.95" customHeight="1" s="54" customFormat="1">
      <c r="A393" s="252">
        <v>171518</v>
      </c>
      <c r="B393" s="252" t="s">
        <v>6438</v>
      </c>
      <c r="C393" s="252" t="s">
        <v>7105</v>
      </c>
      <c r="D393" s="252">
        <v>1952807424</v>
      </c>
      <c r="E393" s="252" t="s">
        <v>67</v>
      </c>
      <c r="F393" s="252" t="s">
        <v>71</v>
      </c>
      <c r="G393" s="252" t="s">
        <v>155</v>
      </c>
      <c r="H393" s="252" t="s">
        <v>2901</v>
      </c>
      <c r="I393" s="252" t="s">
        <v>74</v>
      </c>
      <c r="J393" s="56" t="s">
        <v>69</v>
      </c>
      <c r="K393" s="240" t="s">
        <v>6872</v>
      </c>
      <c r="L393" s="236">
        <v>45589</v>
      </c>
      <c r="M393" s="240" t="s">
        <v>3978</v>
      </c>
      <c r="N393" s="247"/>
      <c r="O393" s="240" t="s">
        <v>6832</v>
      </c>
      <c r="P393" s="21"/>
    </row>
    <row r="394" ht="19.95" customHeight="1" s="54" customFormat="1">
      <c r="A394" s="252">
        <v>171897</v>
      </c>
      <c r="B394" s="252" t="s">
        <v>6396</v>
      </c>
      <c r="C394" s="252" t="s">
        <v>7106</v>
      </c>
      <c r="D394" s="252">
        <v>1311164674</v>
      </c>
      <c r="E394" s="252" t="s">
        <v>67</v>
      </c>
      <c r="F394" s="252" t="s">
        <v>71</v>
      </c>
      <c r="G394" s="252" t="s">
        <v>155</v>
      </c>
      <c r="H394" s="252" t="s">
        <v>171</v>
      </c>
      <c r="I394" s="252" t="s">
        <v>74</v>
      </c>
      <c r="J394" s="56" t="s">
        <v>69</v>
      </c>
      <c r="K394" s="240" t="s">
        <v>6872</v>
      </c>
      <c r="L394" s="236">
        <v>45589</v>
      </c>
      <c r="M394" s="240" t="s">
        <v>3978</v>
      </c>
      <c r="N394" s="247"/>
      <c r="O394" s="240" t="s">
        <v>6832</v>
      </c>
      <c r="P394" s="21"/>
    </row>
    <row r="395" ht="25.05" customHeight="1" s="54" customFormat="1">
      <c r="A395" s="258" t="s">
        <v>7129</v>
      </c>
      <c r="B395" s="259" t="s">
        <v>2</v>
      </c>
      <c r="C395" s="259" t="s">
        <v>6786</v>
      </c>
      <c r="D395" s="259" t="s">
        <v>23</v>
      </c>
      <c r="E395" s="259" t="s">
        <v>6</v>
      </c>
      <c r="F395" s="259" t="s">
        <v>10</v>
      </c>
      <c r="G395" s="259" t="s">
        <v>6811</v>
      </c>
      <c r="H395" s="259" t="s">
        <v>6812</v>
      </c>
      <c r="I395" s="259" t="s">
        <v>6813</v>
      </c>
      <c r="J395" s="251" t="s">
        <v>8</v>
      </c>
      <c r="K395" s="168" t="s">
        <v>7133</v>
      </c>
      <c r="L395" s="169" t="s">
        <v>7134</v>
      </c>
      <c r="M395" s="168" t="s">
        <v>3482</v>
      </c>
      <c r="N395" s="168" t="s">
        <v>22</v>
      </c>
      <c r="O395" s="168" t="e">
        <f>-#REF!</f>
        <v>#REF!</v>
      </c>
      <c r="P395" s="168" t="s">
        <v>7135</v>
      </c>
    </row>
    <row r="396" ht="25.05" customHeight="1" s="54" customFormat="1">
      <c r="A396" s="260">
        <v>171730</v>
      </c>
      <c r="B396" s="260" t="s">
        <v>3297</v>
      </c>
      <c r="C396" s="260" t="s">
        <v>6544</v>
      </c>
      <c r="D396" s="260">
        <v>1985091040</v>
      </c>
      <c r="E396" s="260" t="s">
        <v>67</v>
      </c>
      <c r="F396" s="260" t="s">
        <v>71</v>
      </c>
      <c r="G396" s="260" t="s">
        <v>5709</v>
      </c>
      <c r="H396" s="260" t="s">
        <v>1304</v>
      </c>
      <c r="I396" s="260" t="s">
        <v>74</v>
      </c>
      <c r="J396" s="56" t="s">
        <v>69</v>
      </c>
      <c r="K396" s="240" t="s">
        <v>6872</v>
      </c>
      <c r="L396" s="261">
        <v>45590</v>
      </c>
      <c r="M396" s="206" t="s">
        <v>7042</v>
      </c>
      <c r="N396" s="247"/>
      <c r="O396" s="172" t="s">
        <v>6832</v>
      </c>
      <c r="P396" s="172"/>
    </row>
    <row r="397" ht="25.05" customHeight="1" s="54" customFormat="1">
      <c r="A397" s="260" t="s">
        <v>7107</v>
      </c>
      <c r="B397" s="260" t="s">
        <v>7108</v>
      </c>
      <c r="C397" s="260" t="s">
        <v>6514</v>
      </c>
      <c r="D397" s="260">
        <v>1776934072</v>
      </c>
      <c r="E397" s="260" t="s">
        <v>67</v>
      </c>
      <c r="F397" s="260" t="s">
        <v>71</v>
      </c>
      <c r="G397" s="260" t="s">
        <v>5709</v>
      </c>
      <c r="H397" s="260" t="s">
        <v>115</v>
      </c>
      <c r="I397" s="260" t="s">
        <v>74</v>
      </c>
      <c r="J397" s="56" t="s">
        <v>69</v>
      </c>
      <c r="K397" s="240" t="s">
        <v>6872</v>
      </c>
      <c r="L397" s="261">
        <v>45591</v>
      </c>
      <c r="M397" s="206" t="s">
        <v>4035</v>
      </c>
      <c r="N397" s="247"/>
      <c r="O397" s="172" t="s">
        <v>6832</v>
      </c>
      <c r="P397" s="172"/>
    </row>
    <row r="398" ht="25.05" customHeight="1" s="54" customFormat="1">
      <c r="A398" s="260" t="s">
        <v>7109</v>
      </c>
      <c r="B398" s="260" t="s">
        <v>7110</v>
      </c>
      <c r="C398" s="260" t="s">
        <v>6659</v>
      </c>
      <c r="D398" s="260">
        <v>1949078967</v>
      </c>
      <c r="E398" s="260" t="s">
        <v>67</v>
      </c>
      <c r="F398" s="260" t="s">
        <v>71</v>
      </c>
      <c r="G398" s="260" t="s">
        <v>2495</v>
      </c>
      <c r="H398" s="260" t="s">
        <v>458</v>
      </c>
      <c r="I398" s="260" t="s">
        <v>74</v>
      </c>
      <c r="J398" s="56" t="s">
        <v>69</v>
      </c>
      <c r="K398" s="240" t="s">
        <v>6872</v>
      </c>
      <c r="L398" s="261">
        <v>45589</v>
      </c>
      <c r="M398" s="206" t="s">
        <v>7076</v>
      </c>
      <c r="N398" s="247"/>
      <c r="O398" s="172" t="s">
        <v>6832</v>
      </c>
      <c r="P398" s="172"/>
    </row>
    <row r="399" ht="25.05" customHeight="1" s="54" customFormat="1">
      <c r="A399" s="260">
        <v>171958</v>
      </c>
      <c r="B399" s="260" t="s">
        <v>6591</v>
      </c>
      <c r="C399" s="260" t="s">
        <v>6592</v>
      </c>
      <c r="D399" s="260">
        <v>1797816046</v>
      </c>
      <c r="E399" s="260" t="s">
        <v>67</v>
      </c>
      <c r="F399" s="260" t="s">
        <v>71</v>
      </c>
      <c r="G399" s="260" t="s">
        <v>2495</v>
      </c>
      <c r="H399" s="260" t="s">
        <v>2643</v>
      </c>
      <c r="I399" s="260" t="s">
        <v>74</v>
      </c>
      <c r="J399" s="56" t="s">
        <v>69</v>
      </c>
      <c r="K399" s="240" t="s">
        <v>6872</v>
      </c>
      <c r="L399" s="261">
        <v>45586</v>
      </c>
      <c r="M399" s="206" t="s">
        <v>925</v>
      </c>
      <c r="N399" s="247"/>
      <c r="O399" s="172"/>
      <c r="P399" s="172"/>
    </row>
    <row r="401" ht="25.05" customHeight="1">
      <c r="A401" s="19" t="s">
        <v>7208</v>
      </c>
      <c r="B401" s="19" t="s">
        <v>2</v>
      </c>
      <c r="C401" s="19" t="s">
        <v>6786</v>
      </c>
      <c r="D401" s="19" t="s">
        <v>23</v>
      </c>
      <c r="E401" s="19" t="s">
        <v>6</v>
      </c>
      <c r="F401" s="19" t="s">
        <v>10</v>
      </c>
      <c r="G401" s="19" t="s">
        <v>6811</v>
      </c>
      <c r="H401" s="19" t="s">
        <v>6812</v>
      </c>
      <c r="I401" s="19" t="s">
        <v>6813</v>
      </c>
      <c r="J401" s="251" t="s">
        <v>8</v>
      </c>
      <c r="K401" s="168" t="s">
        <v>7133</v>
      </c>
      <c r="L401" s="169" t="s">
        <v>7134</v>
      </c>
      <c r="M401" s="168" t="s">
        <v>3482</v>
      </c>
      <c r="N401" s="168" t="s">
        <v>22</v>
      </c>
      <c r="O401" s="168" t="e">
        <f>-#REF!</f>
        <v>#REF!</v>
      </c>
      <c r="P401" s="168" t="s">
        <v>7135</v>
      </c>
    </row>
    <row r="402" ht="25.05" customHeight="1">
      <c r="A402" s="252">
        <v>171670</v>
      </c>
      <c r="B402" s="252" t="s">
        <v>3307</v>
      </c>
      <c r="C402" s="252" t="s">
        <v>6669</v>
      </c>
      <c r="D402" s="252">
        <v>1716060152</v>
      </c>
      <c r="E402" s="252" t="s">
        <v>67</v>
      </c>
      <c r="F402" s="252" t="s">
        <v>71</v>
      </c>
      <c r="G402" s="252" t="s">
        <v>5709</v>
      </c>
      <c r="H402" s="252" t="s">
        <v>369</v>
      </c>
      <c r="I402" s="252" t="s">
        <v>74</v>
      </c>
      <c r="J402" s="56" t="s">
        <v>69</v>
      </c>
      <c r="K402" s="240" t="s">
        <v>6872</v>
      </c>
      <c r="L402" s="243">
        <v>45602</v>
      </c>
      <c r="M402" s="240" t="s">
        <v>7042</v>
      </c>
      <c r="N402" s="247"/>
      <c r="O402" s="21" t="s">
        <v>6832</v>
      </c>
      <c r="P402" s="21"/>
    </row>
    <row r="403" ht="25.05" customHeight="1">
      <c r="A403" s="252" t="s">
        <v>7114</v>
      </c>
      <c r="B403" s="252" t="s">
        <v>7115</v>
      </c>
      <c r="C403" s="252" t="s">
        <v>6675</v>
      </c>
      <c r="D403" s="252">
        <v>1308725041</v>
      </c>
      <c r="E403" s="252" t="s">
        <v>67</v>
      </c>
      <c r="F403" s="252" t="s">
        <v>71</v>
      </c>
      <c r="G403" s="252" t="s">
        <v>5709</v>
      </c>
      <c r="H403" s="252" t="s">
        <v>115</v>
      </c>
      <c r="I403" s="252" t="s">
        <v>74</v>
      </c>
      <c r="J403" s="56" t="s">
        <v>69</v>
      </c>
      <c r="K403" s="240" t="s">
        <v>6872</v>
      </c>
      <c r="L403" s="243">
        <v>45597</v>
      </c>
      <c r="M403" s="240" t="s">
        <v>4035</v>
      </c>
      <c r="N403" s="247"/>
      <c r="O403" s="21" t="s">
        <v>6832</v>
      </c>
      <c r="P403" s="21"/>
    </row>
    <row r="404" ht="25.05" customHeight="1">
      <c r="A404" s="19" t="s">
        <v>7207</v>
      </c>
      <c r="B404" s="19" t="s">
        <v>2</v>
      </c>
      <c r="C404" s="19" t="s">
        <v>6786</v>
      </c>
      <c r="D404" s="19" t="s">
        <v>23</v>
      </c>
      <c r="E404" s="19" t="s">
        <v>6</v>
      </c>
      <c r="F404" s="19" t="s">
        <v>10</v>
      </c>
      <c r="G404" s="19" t="s">
        <v>6811</v>
      </c>
      <c r="H404" s="19" t="s">
        <v>6812</v>
      </c>
      <c r="I404" s="19" t="s">
        <v>6813</v>
      </c>
      <c r="J404" s="251" t="s">
        <v>8</v>
      </c>
      <c r="K404" s="168" t="s">
        <v>7133</v>
      </c>
      <c r="L404" s="169" t="s">
        <v>7134</v>
      </c>
      <c r="M404" s="168" t="s">
        <v>3482</v>
      </c>
      <c r="N404" s="168" t="s">
        <v>22</v>
      </c>
      <c r="O404" s="168" t="e">
        <f>-#REF!</f>
        <v>#REF!</v>
      </c>
      <c r="P404" s="168" t="s">
        <v>7135</v>
      </c>
    </row>
    <row r="405" ht="25.05" customHeight="1">
      <c r="A405" s="202">
        <v>171997</v>
      </c>
      <c r="B405" s="202" t="s">
        <v>6678</v>
      </c>
      <c r="C405" s="202" t="s">
        <v>6679</v>
      </c>
      <c r="D405" s="247">
        <v>1624019203</v>
      </c>
      <c r="E405" s="240" t="s">
        <v>67</v>
      </c>
      <c r="F405" s="240" t="s">
        <v>71</v>
      </c>
      <c r="G405" s="240" t="s">
        <v>155</v>
      </c>
      <c r="H405" s="202" t="s">
        <v>196</v>
      </c>
      <c r="I405" s="240" t="s">
        <v>74</v>
      </c>
      <c r="J405" s="56" t="s">
        <v>69</v>
      </c>
      <c r="K405" s="240" t="s">
        <v>6872</v>
      </c>
      <c r="L405" s="236">
        <v>45586</v>
      </c>
      <c r="M405" s="240" t="s">
        <v>4035</v>
      </c>
      <c r="N405" s="247"/>
      <c r="O405" s="240" t="s">
        <v>6832</v>
      </c>
      <c r="P405" s="240"/>
    </row>
    <row r="406" ht="25.05" customHeight="1">
      <c r="A406" s="252" t="s">
        <v>7114</v>
      </c>
      <c r="B406" s="252" t="s">
        <v>7115</v>
      </c>
      <c r="C406" s="252" t="s">
        <v>6675</v>
      </c>
      <c r="D406" s="252">
        <v>1308725041</v>
      </c>
      <c r="E406" s="252" t="s">
        <v>67</v>
      </c>
      <c r="F406" s="252" t="s">
        <v>71</v>
      </c>
      <c r="G406" s="252" t="s">
        <v>5709</v>
      </c>
      <c r="H406" s="252" t="s">
        <v>115</v>
      </c>
      <c r="I406" s="252" t="s">
        <v>74</v>
      </c>
      <c r="J406" s="56" t="s">
        <v>69</v>
      </c>
      <c r="K406" s="240" t="s">
        <v>6872</v>
      </c>
      <c r="L406" s="243">
        <v>45591</v>
      </c>
      <c r="M406" s="240" t="s">
        <v>4035</v>
      </c>
      <c r="N406" s="247"/>
      <c r="O406" s="21" t="s">
        <v>6832</v>
      </c>
      <c r="P406" s="21"/>
    </row>
    <row r="407" ht="25.05" customHeight="1">
      <c r="A407" s="252">
        <v>171950</v>
      </c>
      <c r="B407" s="252" t="s">
        <v>2696</v>
      </c>
      <c r="C407" s="252" t="s">
        <v>2697</v>
      </c>
      <c r="D407" s="252" t="s">
        <v>7116</v>
      </c>
      <c r="E407" s="252" t="s">
        <v>67</v>
      </c>
      <c r="F407" s="252" t="s">
        <v>71</v>
      </c>
      <c r="G407" s="252" t="s">
        <v>5709</v>
      </c>
      <c r="H407" s="252" t="s">
        <v>1304</v>
      </c>
      <c r="I407" s="252" t="s">
        <v>74</v>
      </c>
      <c r="J407" s="56" t="s">
        <v>69</v>
      </c>
      <c r="K407" s="240" t="s">
        <v>6872</v>
      </c>
      <c r="L407" s="243">
        <v>45593</v>
      </c>
      <c r="M407" s="240" t="s">
        <v>7050</v>
      </c>
      <c r="N407" s="247"/>
      <c r="O407" s="21" t="s">
        <v>6832</v>
      </c>
      <c r="P407" s="21"/>
    </row>
    <row r="408" ht="25.05" customHeight="1">
      <c r="A408" s="326" t="s">
        <v>7124</v>
      </c>
      <c r="B408" s="326" t="s">
        <v>2</v>
      </c>
      <c r="C408" s="326" t="s">
        <v>6786</v>
      </c>
      <c r="D408" s="326" t="s">
        <v>23</v>
      </c>
      <c r="E408" s="326" t="s">
        <v>6</v>
      </c>
      <c r="F408" s="326" t="s">
        <v>10</v>
      </c>
      <c r="G408" s="326" t="s">
        <v>6811</v>
      </c>
      <c r="H408" s="326" t="s">
        <v>6812</v>
      </c>
      <c r="I408" s="326" t="s">
        <v>6813</v>
      </c>
      <c r="J408" s="251" t="s">
        <v>8</v>
      </c>
      <c r="K408" s="168" t="s">
        <v>7133</v>
      </c>
      <c r="L408" s="169" t="s">
        <v>7134</v>
      </c>
      <c r="M408" s="168" t="s">
        <v>3482</v>
      </c>
      <c r="N408" s="168" t="s">
        <v>22</v>
      </c>
      <c r="O408" s="168" t="e">
        <f>-#REF!</f>
        <v>#REF!</v>
      </c>
      <c r="P408" s="168" t="s">
        <v>7135</v>
      </c>
    </row>
    <row r="409" ht="25.05" customHeight="1">
      <c r="A409" s="55">
        <v>171791</v>
      </c>
      <c r="B409" s="55" t="s">
        <v>6685</v>
      </c>
      <c r="C409" s="55" t="s">
        <v>6686</v>
      </c>
      <c r="D409" s="55">
        <v>1974290912</v>
      </c>
      <c r="E409" s="55" t="s">
        <v>67</v>
      </c>
      <c r="F409" s="55" t="s">
        <v>71</v>
      </c>
      <c r="G409" s="55" t="s">
        <v>2495</v>
      </c>
      <c r="H409" s="55" t="s">
        <v>287</v>
      </c>
      <c r="I409" s="55" t="s">
        <v>74</v>
      </c>
      <c r="J409" s="56" t="s">
        <v>69</v>
      </c>
      <c r="K409" s="268" t="s">
        <v>7209</v>
      </c>
      <c r="L409" s="56">
        <v>45586</v>
      </c>
      <c r="M409" s="269" t="s">
        <v>7210</v>
      </c>
      <c r="N409" s="247"/>
      <c r="O409" s="21" t="s">
        <v>6832</v>
      </c>
      <c r="P409" s="21"/>
    </row>
    <row r="410" ht="25.05" customHeight="1">
      <c r="A410" s="19" t="s">
        <v>7207</v>
      </c>
      <c r="B410" s="19" t="s">
        <v>2</v>
      </c>
      <c r="C410" s="19" t="s">
        <v>6786</v>
      </c>
      <c r="D410" s="19" t="s">
        <v>23</v>
      </c>
      <c r="E410" s="19" t="s">
        <v>6</v>
      </c>
      <c r="F410" s="19" t="s">
        <v>10</v>
      </c>
      <c r="G410" s="19" t="s">
        <v>6811</v>
      </c>
      <c r="H410" s="19" t="s">
        <v>6812</v>
      </c>
      <c r="I410" s="19" t="s">
        <v>6813</v>
      </c>
      <c r="J410" s="251" t="s">
        <v>8</v>
      </c>
      <c r="K410" s="168" t="s">
        <v>7133</v>
      </c>
      <c r="L410" s="169" t="s">
        <v>7134</v>
      </c>
      <c r="M410" s="168" t="s">
        <v>3482</v>
      </c>
      <c r="N410" s="168" t="s">
        <v>22</v>
      </c>
      <c r="O410" s="168" t="e">
        <f>-#REF!</f>
        <v>#REF!</v>
      </c>
      <c r="P410" s="168" t="s">
        <v>7135</v>
      </c>
    </row>
    <row r="411" ht="25.05" customHeight="1">
      <c r="A411" s="327">
        <v>171655</v>
      </c>
      <c r="B411" s="327" t="s">
        <v>6691</v>
      </c>
      <c r="C411" s="202" t="s">
        <v>6692</v>
      </c>
      <c r="D411" s="327">
        <v>1717940538</v>
      </c>
      <c r="E411" s="240" t="s">
        <v>67</v>
      </c>
      <c r="F411" s="240" t="s">
        <v>71</v>
      </c>
      <c r="G411" s="240" t="s">
        <v>155</v>
      </c>
      <c r="H411" s="202" t="s">
        <v>196</v>
      </c>
      <c r="I411" s="240" t="s">
        <v>74</v>
      </c>
      <c r="J411" s="240" t="s">
        <v>69</v>
      </c>
      <c r="K411" s="240" t="s">
        <v>7209</v>
      </c>
      <c r="L411" s="236">
        <v>45604</v>
      </c>
      <c r="M411" s="236" t="s">
        <v>4035</v>
      </c>
      <c r="N411" s="236"/>
      <c r="O411" s="240" t="s">
        <v>6832</v>
      </c>
      <c r="P411" s="240"/>
    </row>
    <row r="412" ht="25.05" customHeight="1">
      <c r="A412" s="327">
        <v>172032</v>
      </c>
      <c r="B412" s="327" t="s">
        <v>3201</v>
      </c>
      <c r="C412" s="202" t="s">
        <v>3202</v>
      </c>
      <c r="D412" s="327">
        <v>1717940538</v>
      </c>
      <c r="E412" s="240" t="s">
        <v>67</v>
      </c>
      <c r="F412" s="240" t="s">
        <v>71</v>
      </c>
      <c r="G412" s="240" t="s">
        <v>155</v>
      </c>
      <c r="H412" s="202" t="s">
        <v>196</v>
      </c>
      <c r="I412" s="240" t="s">
        <v>74</v>
      </c>
      <c r="J412" s="240" t="s">
        <v>69</v>
      </c>
      <c r="K412" s="240" t="s">
        <v>7209</v>
      </c>
      <c r="L412" s="236">
        <v>45598</v>
      </c>
      <c r="M412" s="236" t="s">
        <v>4035</v>
      </c>
      <c r="N412" s="236"/>
      <c r="O412" s="240" t="s">
        <v>6832</v>
      </c>
      <c r="P412" s="240"/>
    </row>
    <row r="413" ht="25.05" customHeight="1">
      <c r="A413" s="327">
        <v>171153</v>
      </c>
      <c r="B413" s="327" t="s">
        <v>3274</v>
      </c>
      <c r="C413" s="202" t="s">
        <v>6699</v>
      </c>
      <c r="D413" s="327"/>
      <c r="E413" s="240" t="s">
        <v>67</v>
      </c>
      <c r="F413" s="240" t="s">
        <v>71</v>
      </c>
      <c r="G413" s="240" t="s">
        <v>2495</v>
      </c>
      <c r="H413" s="202" t="s">
        <v>308</v>
      </c>
      <c r="I413" s="240" t="s">
        <v>74</v>
      </c>
      <c r="J413" s="240" t="s">
        <v>69</v>
      </c>
      <c r="K413" s="240" t="s">
        <v>7209</v>
      </c>
      <c r="L413" s="236">
        <v>45604</v>
      </c>
      <c r="M413" s="236" t="s">
        <v>3796</v>
      </c>
      <c r="N413" s="236"/>
      <c r="O413" s="240" t="s">
        <v>6832</v>
      </c>
      <c r="P413" s="240"/>
    </row>
    <row r="414" ht="25.05" customHeight="1">
      <c r="A414" s="327">
        <v>171916</v>
      </c>
      <c r="B414" s="327" t="s">
        <v>3315</v>
      </c>
      <c r="C414" s="202" t="s">
        <v>6690</v>
      </c>
      <c r="D414" s="327">
        <v>1748061625</v>
      </c>
      <c r="E414" s="240" t="s">
        <v>67</v>
      </c>
      <c r="F414" s="240" t="s">
        <v>71</v>
      </c>
      <c r="G414" s="240" t="s">
        <v>2495</v>
      </c>
      <c r="H414" s="202" t="s">
        <v>98</v>
      </c>
      <c r="I414" s="240" t="s">
        <v>74</v>
      </c>
      <c r="J414" s="240" t="s">
        <v>69</v>
      </c>
      <c r="K414" s="240" t="s">
        <v>7209</v>
      </c>
      <c r="L414" s="236">
        <v>45605</v>
      </c>
      <c r="M414" s="236" t="s">
        <v>3796</v>
      </c>
      <c r="N414" s="236"/>
      <c r="O414" s="240" t="s">
        <v>6832</v>
      </c>
      <c r="P414" s="240"/>
    </row>
    <row r="415" ht="25.05" customHeight="1">
      <c r="A415" s="327">
        <v>171351</v>
      </c>
      <c r="B415" s="327" t="s">
        <v>4612</v>
      </c>
      <c r="C415" s="202" t="s">
        <v>442</v>
      </c>
      <c r="D415" s="327"/>
      <c r="E415" s="240" t="s">
        <v>67</v>
      </c>
      <c r="F415" s="240" t="s">
        <v>71</v>
      </c>
      <c r="G415" s="240" t="s">
        <v>2495</v>
      </c>
      <c r="H415" s="202" t="s">
        <v>342</v>
      </c>
      <c r="I415" s="240" t="s">
        <v>74</v>
      </c>
      <c r="J415" s="240" t="s">
        <v>69</v>
      </c>
      <c r="K415" s="240" t="s">
        <v>7209</v>
      </c>
      <c r="L415" s="236">
        <v>45606</v>
      </c>
      <c r="M415" s="236" t="s">
        <v>6853</v>
      </c>
      <c r="N415" s="236"/>
      <c r="O415" s="240" t="s">
        <v>6832</v>
      </c>
      <c r="P415" s="240"/>
    </row>
    <row r="416" ht="25.05" customHeight="1">
      <c r="A416" s="326" t="s">
        <v>7124</v>
      </c>
      <c r="B416" s="326" t="s">
        <v>2</v>
      </c>
      <c r="C416" s="326" t="s">
        <v>6786</v>
      </c>
      <c r="D416" s="326" t="s">
        <v>23</v>
      </c>
      <c r="E416" s="326" t="s">
        <v>6</v>
      </c>
      <c r="F416" s="326" t="s">
        <v>10</v>
      </c>
      <c r="G416" s="326" t="s">
        <v>6811</v>
      </c>
      <c r="H416" s="326" t="s">
        <v>6812</v>
      </c>
      <c r="I416" s="326" t="s">
        <v>6813</v>
      </c>
      <c r="J416" s="251" t="s">
        <v>8</v>
      </c>
      <c r="K416" s="168" t="s">
        <v>7133</v>
      </c>
      <c r="L416" s="169" t="s">
        <v>7134</v>
      </c>
      <c r="M416" s="168" t="s">
        <v>3482</v>
      </c>
      <c r="N416" s="168" t="s">
        <v>22</v>
      </c>
      <c r="O416" s="168" t="e">
        <f>-#REF!</f>
        <v>#REF!</v>
      </c>
      <c r="P416" s="168" t="s">
        <v>7135</v>
      </c>
    </row>
    <row r="417" ht="25.05" customHeight="1">
      <c r="A417" s="55">
        <v>171919</v>
      </c>
      <c r="B417" s="55" t="s">
        <v>3244</v>
      </c>
      <c r="C417" s="55" t="s">
        <v>2826</v>
      </c>
      <c r="D417" s="55">
        <v>1409250642</v>
      </c>
      <c r="E417" s="55" t="s">
        <v>67</v>
      </c>
      <c r="F417" s="55" t="s">
        <v>71</v>
      </c>
      <c r="G417" s="55" t="s">
        <v>2495</v>
      </c>
      <c r="H417" s="55" t="s">
        <v>98</v>
      </c>
      <c r="I417" s="55" t="s">
        <v>74</v>
      </c>
      <c r="J417" s="56" t="s">
        <v>69</v>
      </c>
      <c r="K417" s="268" t="s">
        <v>7209</v>
      </c>
      <c r="L417" s="236">
        <v>45581</v>
      </c>
      <c r="M417" s="236" t="s">
        <v>7210</v>
      </c>
      <c r="N417" s="236"/>
      <c r="O417" s="240" t="s">
        <v>6832</v>
      </c>
      <c r="P417" s="240"/>
    </row>
    <row r="418" ht="25.05" customHeight="1">
      <c r="A418" s="55">
        <v>171818</v>
      </c>
      <c r="B418" s="55" t="s">
        <v>3257</v>
      </c>
      <c r="C418" s="55" t="s">
        <v>6705</v>
      </c>
      <c r="D418" s="55">
        <v>1332399736</v>
      </c>
      <c r="E418" s="55" t="s">
        <v>67</v>
      </c>
      <c r="F418" s="55" t="s">
        <v>71</v>
      </c>
      <c r="G418" s="55" t="s">
        <v>2495</v>
      </c>
      <c r="H418" s="55" t="s">
        <v>98</v>
      </c>
      <c r="I418" s="55" t="s">
        <v>74</v>
      </c>
      <c r="J418" s="56" t="s">
        <v>69</v>
      </c>
      <c r="K418" s="268" t="s">
        <v>7209</v>
      </c>
      <c r="L418" s="236">
        <v>45567</v>
      </c>
      <c r="M418" s="236" t="s">
        <v>7210</v>
      </c>
      <c r="N418" s="236"/>
      <c r="O418" s="240" t="s">
        <v>6832</v>
      </c>
      <c r="P418" s="240"/>
    </row>
    <row r="419" ht="25.05" customHeight="1">
      <c r="A419" s="55">
        <v>171727</v>
      </c>
      <c r="B419" s="55" t="s">
        <v>3265</v>
      </c>
      <c r="C419" s="55" t="s">
        <v>6711</v>
      </c>
      <c r="D419" s="55">
        <v>1739820147</v>
      </c>
      <c r="E419" s="55" t="s">
        <v>67</v>
      </c>
      <c r="F419" s="55" t="s">
        <v>71</v>
      </c>
      <c r="G419" s="55" t="s">
        <v>2495</v>
      </c>
      <c r="H419" s="55" t="s">
        <v>98</v>
      </c>
      <c r="I419" s="55" t="s">
        <v>74</v>
      </c>
      <c r="J419" s="56" t="s">
        <v>69</v>
      </c>
      <c r="K419" s="268" t="s">
        <v>7209</v>
      </c>
      <c r="L419" s="236">
        <v>45559</v>
      </c>
      <c r="M419" s="236" t="s">
        <v>7210</v>
      </c>
      <c r="N419" s="236"/>
      <c r="O419" s="240" t="s">
        <v>6832</v>
      </c>
      <c r="P419" s="240"/>
    </row>
    <row r="420" ht="25.05" customHeight="1">
      <c r="A420" s="19" t="s">
        <v>7207</v>
      </c>
      <c r="B420" s="19" t="s">
        <v>2</v>
      </c>
      <c r="C420" s="19" t="s">
        <v>6786</v>
      </c>
      <c r="D420" s="19" t="s">
        <v>23</v>
      </c>
      <c r="E420" s="19" t="s">
        <v>6</v>
      </c>
      <c r="F420" s="19" t="s">
        <v>10</v>
      </c>
      <c r="G420" s="19" t="s">
        <v>6811</v>
      </c>
      <c r="H420" s="19" t="s">
        <v>6812</v>
      </c>
      <c r="I420" s="19" t="s">
        <v>6813</v>
      </c>
      <c r="J420" s="251" t="s">
        <v>8</v>
      </c>
      <c r="K420" s="168" t="s">
        <v>7133</v>
      </c>
      <c r="L420" s="169" t="s">
        <v>7134</v>
      </c>
      <c r="M420" s="168" t="s">
        <v>3482</v>
      </c>
      <c r="N420" s="168" t="s">
        <v>22</v>
      </c>
      <c r="O420" s="168" t="e">
        <f>-#REF!</f>
        <v>#REF!</v>
      </c>
      <c r="P420" s="168" t="s">
        <v>7135</v>
      </c>
    </row>
    <row r="421" ht="25.05" customHeight="1">
      <c r="A421" s="327">
        <v>171615</v>
      </c>
      <c r="B421" s="327" t="s">
        <v>6754</v>
      </c>
      <c r="C421" s="202" t="s">
        <v>6755</v>
      </c>
      <c r="D421" s="327">
        <v>1826459168</v>
      </c>
      <c r="E421" s="240" t="s">
        <v>67</v>
      </c>
      <c r="F421" s="240" t="s">
        <v>71</v>
      </c>
      <c r="G421" s="240" t="s">
        <v>155</v>
      </c>
      <c r="H421" s="202" t="s">
        <v>2901</v>
      </c>
      <c r="I421" s="240" t="s">
        <v>74</v>
      </c>
      <c r="J421" s="56" t="s">
        <v>69</v>
      </c>
      <c r="K421" s="240" t="s">
        <v>6872</v>
      </c>
      <c r="L421" s="236">
        <v>45614</v>
      </c>
      <c r="M421" s="240" t="s">
        <v>7118</v>
      </c>
      <c r="N421" s="236"/>
      <c r="O421" s="240" t="s">
        <v>6832</v>
      </c>
      <c r="P421" s="240"/>
    </row>
    <row r="422" ht="25.05" customHeight="1">
      <c r="A422" s="327">
        <v>171612</v>
      </c>
      <c r="B422" s="327" t="s">
        <v>6745</v>
      </c>
      <c r="C422" s="202" t="s">
        <v>6746</v>
      </c>
      <c r="D422" s="327" t="s">
        <v>7119</v>
      </c>
      <c r="E422" s="240" t="s">
        <v>67</v>
      </c>
      <c r="F422" s="240" t="s">
        <v>71</v>
      </c>
      <c r="G422" s="240" t="s">
        <v>5709</v>
      </c>
      <c r="H422" s="202" t="s">
        <v>369</v>
      </c>
      <c r="I422" s="240" t="s">
        <v>74</v>
      </c>
      <c r="J422" s="56" t="s">
        <v>69</v>
      </c>
      <c r="K422" s="240" t="s">
        <v>6872</v>
      </c>
      <c r="L422" s="236">
        <v>45613</v>
      </c>
      <c r="M422" s="240" t="s">
        <v>7121</v>
      </c>
      <c r="N422" s="236"/>
      <c r="O422" s="240" t="s">
        <v>6832</v>
      </c>
      <c r="P422" s="240"/>
    </row>
    <row r="423" ht="25.05" customHeight="1">
      <c r="A423" s="327">
        <v>171311</v>
      </c>
      <c r="B423" s="327" t="s">
        <v>4293</v>
      </c>
      <c r="C423" s="202" t="s">
        <v>6725</v>
      </c>
      <c r="D423" s="327">
        <v>1784109153</v>
      </c>
      <c r="E423" s="240" t="s">
        <v>67</v>
      </c>
      <c r="F423" s="240" t="s">
        <v>71</v>
      </c>
      <c r="G423" s="240" t="s">
        <v>307</v>
      </c>
      <c r="H423" s="202" t="s">
        <v>98</v>
      </c>
      <c r="I423" s="240" t="s">
        <v>74</v>
      </c>
      <c r="J423" s="56" t="s">
        <v>69</v>
      </c>
      <c r="K423" s="240" t="s">
        <v>6872</v>
      </c>
      <c r="L423" s="236">
        <v>45612</v>
      </c>
      <c r="M423" s="240" t="s">
        <v>4035</v>
      </c>
      <c r="N423" s="236"/>
      <c r="O423" s="240" t="s">
        <v>6832</v>
      </c>
      <c r="P423" s="240"/>
    </row>
    <row r="424" ht="25.05" customHeight="1">
      <c r="A424" s="327">
        <v>171550</v>
      </c>
      <c r="B424" s="327" t="s">
        <v>6733</v>
      </c>
      <c r="C424" s="202" t="s">
        <v>6734</v>
      </c>
      <c r="D424" s="327">
        <v>1581738142</v>
      </c>
      <c r="E424" s="240" t="s">
        <v>67</v>
      </c>
      <c r="F424" s="240" t="s">
        <v>71</v>
      </c>
      <c r="G424" s="240" t="s">
        <v>1725</v>
      </c>
      <c r="H424" s="202" t="s">
        <v>2474</v>
      </c>
      <c r="I424" s="240" t="s">
        <v>74</v>
      </c>
      <c r="J424" s="56" t="s">
        <v>69</v>
      </c>
      <c r="K424" s="240" t="s">
        <v>6872</v>
      </c>
      <c r="L424" s="236">
        <v>45611</v>
      </c>
      <c r="M424" s="240" t="s">
        <v>4035</v>
      </c>
      <c r="N424" s="236"/>
      <c r="O424" s="240" t="s">
        <v>6832</v>
      </c>
      <c r="P424" s="240"/>
    </row>
    <row r="425" ht="25.05" customHeight="1">
      <c r="A425" s="19" t="s">
        <v>7207</v>
      </c>
      <c r="B425" s="19" t="s">
        <v>2</v>
      </c>
      <c r="C425" s="19" t="s">
        <v>6786</v>
      </c>
      <c r="D425" s="19" t="s">
        <v>23</v>
      </c>
      <c r="E425" s="19" t="s">
        <v>6</v>
      </c>
      <c r="F425" s="19" t="s">
        <v>10</v>
      </c>
      <c r="G425" s="19" t="s">
        <v>6811</v>
      </c>
      <c r="H425" s="19" t="s">
        <v>6812</v>
      </c>
      <c r="I425" s="19" t="s">
        <v>6813</v>
      </c>
      <c r="J425" s="168" t="s">
        <v>8</v>
      </c>
      <c r="K425" s="168" t="s">
        <v>7133</v>
      </c>
      <c r="L425" s="169" t="s">
        <v>7134</v>
      </c>
      <c r="M425" s="168" t="s">
        <v>3482</v>
      </c>
      <c r="N425" s="168" t="s">
        <v>22</v>
      </c>
      <c r="O425" s="168" t="e">
        <f>-#REF!</f>
        <v>#REF!</v>
      </c>
      <c r="P425" s="168" t="s">
        <v>7135</v>
      </c>
    </row>
    <row r="426" ht="25.05" customHeight="1">
      <c r="A426" s="247">
        <v>171386</v>
      </c>
      <c r="B426" s="327" t="s">
        <v>6760</v>
      </c>
      <c r="C426" s="202" t="s">
        <v>6761</v>
      </c>
      <c r="D426" s="327">
        <v>1756803516</v>
      </c>
      <c r="E426" s="240" t="s">
        <v>67</v>
      </c>
      <c r="F426" s="240" t="s">
        <v>71</v>
      </c>
      <c r="G426" s="240" t="s">
        <v>155</v>
      </c>
      <c r="H426" s="202" t="s">
        <v>271</v>
      </c>
      <c r="I426" s="240" t="s">
        <v>74</v>
      </c>
      <c r="J426" s="56" t="s">
        <v>69</v>
      </c>
      <c r="K426" s="240" t="s">
        <v>6872</v>
      </c>
      <c r="L426" s="236">
        <v>45610</v>
      </c>
      <c r="M426" s="328" t="s">
        <v>4035</v>
      </c>
      <c r="N426" s="236"/>
      <c r="O426" s="240" t="s">
        <v>6832</v>
      </c>
      <c r="P426" s="240"/>
    </row>
    <row r="427" ht="25.05" customHeight="1">
      <c r="A427" s="328">
        <v>171781</v>
      </c>
      <c r="B427" s="328" t="s">
        <v>6767</v>
      </c>
      <c r="C427" s="328" t="s">
        <v>6768</v>
      </c>
      <c r="D427" s="328">
        <v>1533116252</v>
      </c>
      <c r="E427" s="328" t="s">
        <v>67</v>
      </c>
      <c r="F427" s="328" t="s">
        <v>71</v>
      </c>
      <c r="G427" s="328" t="s">
        <v>5709</v>
      </c>
      <c r="H427" s="328" t="s">
        <v>287</v>
      </c>
      <c r="I427" s="328" t="s">
        <v>74</v>
      </c>
      <c r="J427" s="56" t="s">
        <v>69</v>
      </c>
      <c r="K427" s="240" t="s">
        <v>6872</v>
      </c>
      <c r="L427" s="329">
        <v>45594</v>
      </c>
      <c r="M427" s="328" t="s">
        <v>4002</v>
      </c>
      <c r="N427" s="236"/>
      <c r="O427" s="328" t="s">
        <v>6832</v>
      </c>
      <c r="P427" s="240"/>
    </row>
    <row r="428" ht="25.05" customHeight="1">
      <c r="A428" s="19" t="s">
        <v>7124</v>
      </c>
      <c r="B428" s="19" t="s">
        <v>2</v>
      </c>
      <c r="C428" s="19" t="s">
        <v>6786</v>
      </c>
      <c r="D428" s="19" t="s">
        <v>23</v>
      </c>
      <c r="E428" s="19" t="s">
        <v>6</v>
      </c>
      <c r="F428" s="19" t="s">
        <v>10</v>
      </c>
      <c r="G428" s="19" t="s">
        <v>6811</v>
      </c>
      <c r="H428" s="19" t="s">
        <v>6812</v>
      </c>
      <c r="I428" s="19" t="s">
        <v>6813</v>
      </c>
      <c r="J428" s="19" t="s">
        <v>6814</v>
      </c>
      <c r="K428" s="19" t="s">
        <v>6815</v>
      </c>
      <c r="L428" s="169" t="s">
        <v>7134</v>
      </c>
      <c r="M428" s="168" t="s">
        <v>3482</v>
      </c>
      <c r="N428" s="168" t="s">
        <v>22</v>
      </c>
      <c r="O428" s="168" t="e">
        <f>-#REF!</f>
        <v>#REF!</v>
      </c>
      <c r="P428" s="168" t="s">
        <v>7135</v>
      </c>
    </row>
    <row r="429" ht="25.05" customHeight="1">
      <c r="A429" s="328">
        <v>171815</v>
      </c>
      <c r="B429" s="328" t="s">
        <v>7126</v>
      </c>
      <c r="C429" s="328" t="s">
        <v>6530</v>
      </c>
      <c r="D429" s="328">
        <v>1923984234</v>
      </c>
      <c r="E429" s="328" t="s">
        <v>67</v>
      </c>
      <c r="F429" s="328" t="s">
        <v>71</v>
      </c>
      <c r="G429" s="328" t="s">
        <v>97</v>
      </c>
      <c r="H429" s="328" t="s">
        <v>2643</v>
      </c>
      <c r="I429" s="328" t="s">
        <v>74</v>
      </c>
      <c r="J429" s="56" t="s">
        <v>69</v>
      </c>
      <c r="K429" s="240" t="s">
        <v>6872</v>
      </c>
      <c r="L429" s="236">
        <v>45596</v>
      </c>
      <c r="M429" s="240" t="s">
        <v>4002</v>
      </c>
      <c r="N429" s="236"/>
      <c r="O429" s="328" t="s">
        <v>6832</v>
      </c>
      <c r="P429" s="328"/>
    </row>
    <row r="430" ht="25.05" customHeight="1">
      <c r="A430" s="328">
        <v>172034</v>
      </c>
      <c r="B430" s="328" t="s">
        <v>6775</v>
      </c>
      <c r="C430" s="328" t="s">
        <v>7127</v>
      </c>
      <c r="D430" s="328">
        <v>1873737372</v>
      </c>
      <c r="E430" s="328" t="s">
        <v>67</v>
      </c>
      <c r="F430" s="328" t="s">
        <v>71</v>
      </c>
      <c r="G430" s="328" t="s">
        <v>155</v>
      </c>
      <c r="H430" s="328" t="s">
        <v>271</v>
      </c>
      <c r="I430" s="328" t="s">
        <v>74</v>
      </c>
      <c r="J430" s="56" t="s">
        <v>69</v>
      </c>
      <c r="K430" s="240" t="s">
        <v>6872</v>
      </c>
      <c r="L430" s="236">
        <v>45620</v>
      </c>
      <c r="M430" s="240" t="s">
        <v>4035</v>
      </c>
      <c r="N430" s="236"/>
      <c r="O430" s="328" t="s">
        <v>6832</v>
      </c>
      <c r="P430" s="328"/>
    </row>
    <row r="431" ht="25.05" customHeight="1">
      <c r="A431" s="328">
        <v>171630</v>
      </c>
      <c r="B431" s="328" t="s">
        <v>7128</v>
      </c>
      <c r="C431" s="328" t="s">
        <v>6508</v>
      </c>
      <c r="D431" s="328">
        <v>1608001638</v>
      </c>
      <c r="E431" s="328" t="s">
        <v>67</v>
      </c>
      <c r="F431" s="328" t="s">
        <v>71</v>
      </c>
      <c r="G431" s="328" t="s">
        <v>2495</v>
      </c>
      <c r="H431" s="328" t="s">
        <v>458</v>
      </c>
      <c r="I431" s="328" t="s">
        <v>74</v>
      </c>
      <c r="J431" s="56" t="s">
        <v>69</v>
      </c>
      <c r="K431" s="240" t="s">
        <v>6872</v>
      </c>
      <c r="L431" s="236">
        <v>45620</v>
      </c>
      <c r="M431" s="240" t="s">
        <v>3796</v>
      </c>
      <c r="N431" s="236"/>
      <c r="O431" s="328" t="s">
        <v>6832</v>
      </c>
      <c r="P431" s="328"/>
    </row>
    <row r="432" ht="25.05" customHeight="1">
      <c r="A432" s="328">
        <v>171828</v>
      </c>
      <c r="B432" s="328" t="s">
        <v>6017</v>
      </c>
      <c r="C432" s="328" t="s">
        <v>6522</v>
      </c>
      <c r="D432" s="328">
        <v>1811419369</v>
      </c>
      <c r="E432" s="328" t="s">
        <v>67</v>
      </c>
      <c r="F432" s="328" t="s">
        <v>71</v>
      </c>
      <c r="G432" s="328" t="s">
        <v>2495</v>
      </c>
      <c r="H432" s="328" t="s">
        <v>1304</v>
      </c>
      <c r="I432" s="328" t="s">
        <v>74</v>
      </c>
      <c r="J432" s="56" t="s">
        <v>69</v>
      </c>
      <c r="K432" s="240" t="s">
        <v>7152</v>
      </c>
      <c r="L432" s="236">
        <v>45618</v>
      </c>
      <c r="M432" s="240" t="s">
        <v>7152</v>
      </c>
      <c r="N432" s="236"/>
      <c r="O432" s="328" t="s">
        <v>6832</v>
      </c>
      <c r="P432" s="328"/>
    </row>
  </sheetData>
  <mergeCells>
    <mergeCell ref="K381:K382"/>
    <mergeCell ref="F381:F382"/>
    <mergeCell ref="G381:G382"/>
    <mergeCell ref="H381:H382"/>
    <mergeCell ref="I381:I382"/>
    <mergeCell ref="J381:J382"/>
    <mergeCell ref="A381:A382"/>
    <mergeCell ref="B381:B382"/>
    <mergeCell ref="C381:C382"/>
    <mergeCell ref="D381:D382"/>
    <mergeCell ref="E381:E382"/>
  </mergeCells>
  <conditionalFormatting sqref="A1">
    <cfRule type="duplicateValues" dxfId="0" priority="589161"/>
    <cfRule type="duplicateValues" dxfId="0" priority="589162"/>
    <cfRule type="duplicateValues" dxfId="0" priority="589163"/>
  </conditionalFormatting>
  <conditionalFormatting sqref="A1:A427 A433:A1048576">
    <cfRule type="duplicateValues" dxfId="234" priority="133"/>
    <cfRule type="duplicateValues" dxfId="234" priority="132"/>
  </conditionalFormatting>
  <conditionalFormatting sqref="A2:A310">
    <cfRule type="duplicateValues" dxfId="0" priority="1540"/>
    <cfRule type="duplicateValues" dxfId="0" priority="607011"/>
    <cfRule type="duplicateValues" dxfId="0" priority="607012"/>
    <cfRule type="duplicateValues" dxfId="0" priority="607013"/>
    <cfRule type="duplicateValues" dxfId="0" priority="607014"/>
    <cfRule type="duplicateValues" dxfId="0" priority="607015"/>
    <cfRule type="duplicateValues" dxfId="0" priority="607016"/>
    <cfRule type="duplicateValues" dxfId="0" priority="607017"/>
    <cfRule type="duplicateValues" dxfId="0" priority="607018"/>
    <cfRule type="duplicateValues" dxfId="0" priority="607019"/>
    <cfRule type="duplicateValues" dxfId="0" priority="607020"/>
    <cfRule type="duplicateValues" dxfId="0" priority="607021"/>
    <cfRule type="duplicateValues" dxfId="0" priority="607022"/>
    <cfRule type="duplicateValues" dxfId="0" priority="607023"/>
    <cfRule type="duplicateValues" dxfId="0" priority="607024"/>
    <cfRule type="duplicateValues" dxfId="0" priority="607025"/>
    <cfRule type="duplicateValues" dxfId="0" priority="607026"/>
    <cfRule type="duplicateValues" dxfId="0" priority="607027"/>
    <cfRule type="duplicateValues" dxfId="0" priority="607028"/>
    <cfRule type="duplicateValues" dxfId="0" priority="607029"/>
    <cfRule type="duplicateValues" dxfId="0" priority="1520"/>
    <cfRule type="duplicateValues" dxfId="0" priority="607030"/>
    <cfRule type="duplicateValues" dxfId="0" priority="607031"/>
    <cfRule type="duplicateValues" dxfId="0" priority="607032"/>
    <cfRule type="duplicateValues" dxfId="0" priority="607033"/>
    <cfRule type="duplicateValues" dxfId="0" priority="607034"/>
    <cfRule type="duplicateValues" dxfId="0" priority="607035"/>
    <cfRule type="duplicateValues" dxfId="0" priority="607036"/>
    <cfRule type="duplicateValues" dxfId="0" priority="607037"/>
    <cfRule type="duplicateValues" dxfId="0" priority="607038"/>
    <cfRule type="duplicateValues" dxfId="0" priority="607039"/>
    <cfRule type="duplicateValues" dxfId="0" priority="607040"/>
    <cfRule type="duplicateValues" dxfId="0" priority="607041"/>
    <cfRule type="duplicateValues" dxfId="0" priority="607042"/>
    <cfRule type="duplicateValues" dxfId="0" priority="607043"/>
    <cfRule type="duplicateValues" dxfId="0" priority="607044"/>
    <cfRule type="duplicateValues" dxfId="0" priority="607046"/>
    <cfRule type="duplicateValues" dxfId="0" priority="1526"/>
    <cfRule type="duplicateValues" dxfId="0" priority="1518"/>
    <cfRule type="duplicateValues" dxfId="0" priority="1519"/>
    <cfRule type="duplicateValues" dxfId="0" priority="1521"/>
    <cfRule type="duplicateValues" dxfId="0" priority="1522"/>
    <cfRule type="duplicateValues" dxfId="0" priority="1523"/>
    <cfRule type="duplicateValues" dxfId="0" priority="1524"/>
    <cfRule type="duplicateValues" dxfId="0" priority="1525"/>
    <cfRule type="duplicateValues" dxfId="0" priority="1527"/>
    <cfRule type="duplicateValues" dxfId="0" priority="1528"/>
    <cfRule type="duplicateValues" dxfId="0" priority="1529"/>
    <cfRule type="duplicateValues" dxfId="0" priority="1530"/>
    <cfRule type="duplicateValues" dxfId="0" priority="1531"/>
    <cfRule type="duplicateValues" dxfId="0" priority="1532"/>
    <cfRule type="duplicateValues" dxfId="0" priority="1533"/>
    <cfRule type="duplicateValues" dxfId="0" priority="1534"/>
    <cfRule type="duplicateValues" dxfId="0" priority="1535"/>
    <cfRule type="duplicateValues" dxfId="0" priority="1536"/>
    <cfRule type="duplicateValues" dxfId="0" priority="1537"/>
    <cfRule type="duplicateValues" dxfId="0" priority="1538"/>
    <cfRule type="duplicateValues" dxfId="0" priority="1539"/>
    <cfRule type="duplicateValues" dxfId="0" priority="607045"/>
    <cfRule type="duplicateValues" dxfId="0" priority="1541"/>
    <cfRule type="duplicateValues" dxfId="0" priority="1542"/>
    <cfRule type="duplicateValues" dxfId="0" priority="1543"/>
    <cfRule type="duplicateValues" dxfId="0" priority="1544"/>
    <cfRule type="duplicateValues" dxfId="0" priority="1545"/>
    <cfRule type="duplicateValues" dxfId="0" priority="1546"/>
    <cfRule type="duplicateValues" dxfId="0" priority="1547"/>
    <cfRule type="duplicateValues" dxfId="0" priority="1548"/>
    <cfRule type="duplicateValues" dxfId="0" priority="1549"/>
    <cfRule type="duplicateValues" dxfId="0" priority="1550"/>
    <cfRule type="duplicateValues" dxfId="0" priority="1551"/>
    <cfRule type="duplicateValues" dxfId="0" priority="1552"/>
    <cfRule type="duplicateValues" dxfId="0" priority="1553"/>
    <cfRule type="duplicateValues" dxfId="0" priority="1554"/>
    <cfRule type="duplicateValues" dxfId="0" priority="1555"/>
    <cfRule type="duplicateValues" dxfId="0" priority="607005"/>
    <cfRule type="duplicateValues" dxfId="0" priority="607006"/>
    <cfRule type="duplicateValues" dxfId="0" priority="607007"/>
    <cfRule type="duplicateValues" dxfId="0" priority="607008"/>
    <cfRule type="duplicateValues" dxfId="0" priority="607009"/>
    <cfRule type="duplicateValues" dxfId="0" priority="607010"/>
  </conditionalFormatting>
  <conditionalFormatting sqref="A311:A346">
    <cfRule type="duplicateValues" dxfId="0" priority="611655"/>
    <cfRule type="duplicateValues" dxfId="0" priority="611654"/>
    <cfRule type="duplicateValues" dxfId="0" priority="611653"/>
    <cfRule type="duplicateValues" dxfId="0" priority="611652"/>
    <cfRule type="duplicateValues" dxfId="0" priority="611651"/>
    <cfRule type="duplicateValues" dxfId="0" priority="611650"/>
    <cfRule type="duplicateValues" dxfId="0" priority="611649"/>
    <cfRule type="duplicateValues" dxfId="0" priority="611648"/>
    <cfRule type="duplicateValues" dxfId="0" priority="611647"/>
    <cfRule type="duplicateValues" dxfId="0" priority="611646"/>
    <cfRule type="duplicateValues" dxfId="0" priority="611645"/>
    <cfRule type="duplicateValues" dxfId="0" priority="611644"/>
    <cfRule type="duplicateValues" dxfId="0" priority="611643"/>
    <cfRule type="duplicateValues" dxfId="0" priority="611642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41"/>
    <cfRule type="duplicateValues" dxfId="0" priority="611682"/>
    <cfRule type="duplicateValues" dxfId="0" priority="611681"/>
    <cfRule type="duplicateValues" dxfId="0" priority="611680"/>
    <cfRule type="duplicateValues" dxfId="0" priority="611679"/>
    <cfRule type="duplicateValues" dxfId="0" priority="611678"/>
    <cfRule type="duplicateValues" dxfId="0" priority="611677"/>
    <cfRule type="duplicateValues" dxfId="0" priority="611676"/>
    <cfRule type="duplicateValues" dxfId="0" priority="611675"/>
    <cfRule type="duplicateValues" dxfId="0" priority="611674"/>
    <cfRule type="duplicateValues" dxfId="0" priority="611673"/>
    <cfRule type="duplicateValues" dxfId="0" priority="611672"/>
    <cfRule type="duplicateValues" dxfId="0" priority="611671"/>
    <cfRule type="duplicateValues" dxfId="0" priority="611670"/>
    <cfRule type="duplicateValues" dxfId="0" priority="611669"/>
    <cfRule type="duplicateValues" dxfId="0" priority="611668"/>
    <cfRule type="duplicateValues" dxfId="0" priority="611667"/>
    <cfRule type="duplicateValues" dxfId="0" priority="611666"/>
    <cfRule type="duplicateValues" dxfId="0" priority="611665"/>
    <cfRule type="duplicateValues" dxfId="0" priority="611664"/>
    <cfRule type="duplicateValues" dxfId="0" priority="611663"/>
    <cfRule type="duplicateValues" dxfId="0" priority="611662"/>
    <cfRule type="duplicateValues" dxfId="0" priority="611661"/>
    <cfRule type="duplicateValues" dxfId="0" priority="611660"/>
    <cfRule type="duplicateValues" dxfId="0" priority="611659"/>
    <cfRule type="duplicateValues" dxfId="0" priority="611658"/>
    <cfRule type="duplicateValues" dxfId="0" priority="611657"/>
    <cfRule type="duplicateValues" dxfId="0" priority="611656"/>
  </conditionalFormatting>
  <conditionalFormatting sqref="A347:A350">
    <cfRule type="duplicateValues" dxfId="0" priority="611614"/>
    <cfRule type="duplicateValues" dxfId="0" priority="611613"/>
    <cfRule type="duplicateValues" dxfId="0" priority="611612"/>
    <cfRule type="duplicateValues" dxfId="0" priority="611611"/>
    <cfRule type="duplicateValues" dxfId="0" priority="611610"/>
    <cfRule type="duplicateValues" dxfId="0" priority="611609"/>
    <cfRule type="duplicateValues" dxfId="0" priority="611608"/>
    <cfRule type="duplicateValues" dxfId="0" priority="611607"/>
    <cfRule type="duplicateValues" dxfId="0" priority="611606"/>
    <cfRule type="duplicateValues" dxfId="0" priority="611605"/>
    <cfRule type="duplicateValues" dxfId="0" priority="611604"/>
    <cfRule type="duplicateValues" dxfId="0" priority="611603"/>
    <cfRule type="duplicateValues" dxfId="0" priority="611602"/>
    <cfRule type="duplicateValues" dxfId="0" priority="611601"/>
    <cfRule type="duplicateValues" dxfId="0" priority="611600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599"/>
    <cfRule type="duplicateValues" dxfId="0" priority="611640"/>
    <cfRule type="duplicateValues" dxfId="0" priority="611639"/>
    <cfRule type="duplicateValues" dxfId="0" priority="611638"/>
    <cfRule type="duplicateValues" dxfId="0" priority="611637"/>
    <cfRule type="duplicateValues" dxfId="0" priority="611636"/>
    <cfRule type="duplicateValues" dxfId="0" priority="611635"/>
    <cfRule type="duplicateValues" dxfId="0" priority="611634"/>
    <cfRule type="duplicateValues" dxfId="0" priority="611633"/>
    <cfRule type="duplicateValues" dxfId="0" priority="611632"/>
    <cfRule type="duplicateValues" dxfId="0" priority="611631"/>
    <cfRule type="duplicateValues" dxfId="0" priority="611630"/>
    <cfRule type="duplicateValues" dxfId="0" priority="611629"/>
    <cfRule type="duplicateValues" dxfId="0" priority="611628"/>
    <cfRule type="duplicateValues" dxfId="0" priority="611627"/>
    <cfRule type="duplicateValues" dxfId="0" priority="611626"/>
    <cfRule type="duplicateValues" dxfId="0" priority="611625"/>
    <cfRule type="duplicateValues" dxfId="0" priority="611624"/>
    <cfRule type="duplicateValues" dxfId="0" priority="611623"/>
    <cfRule type="duplicateValues" dxfId="0" priority="611622"/>
    <cfRule type="duplicateValues" dxfId="0" priority="611621"/>
    <cfRule type="duplicateValues" dxfId="0" priority="611620"/>
    <cfRule type="duplicateValues" dxfId="0" priority="611619"/>
    <cfRule type="duplicateValues" dxfId="0" priority="611618"/>
    <cfRule type="duplicateValues" dxfId="0" priority="611617"/>
    <cfRule type="duplicateValues" dxfId="0" priority="611616"/>
    <cfRule type="duplicateValues" dxfId="0" priority="611615"/>
  </conditionalFormatting>
  <conditionalFormatting sqref="A351:A353">
    <cfRule type="duplicateValues" dxfId="0" priority="611592"/>
    <cfRule type="duplicateValues" dxfId="0" priority="611572"/>
    <cfRule type="duplicateValues" dxfId="0" priority="611571"/>
    <cfRule type="duplicateValues" dxfId="0" priority="611570"/>
    <cfRule type="duplicateValues" dxfId="0" priority="611569"/>
    <cfRule type="duplicateValues" dxfId="0" priority="611568"/>
    <cfRule type="duplicateValues" dxfId="0" priority="611567"/>
    <cfRule type="duplicateValues" dxfId="0" priority="611566"/>
    <cfRule type="duplicateValues" dxfId="0" priority="611565"/>
    <cfRule type="duplicateValues" dxfId="0" priority="611564"/>
    <cfRule type="duplicateValues" dxfId="0" priority="611563"/>
    <cfRule type="duplicateValues" dxfId="0" priority="611562"/>
    <cfRule type="duplicateValues" dxfId="0" priority="611561"/>
    <cfRule type="duplicateValues" dxfId="0" priority="611560"/>
    <cfRule type="duplicateValues" dxfId="0" priority="611559"/>
    <cfRule type="duplicateValues" dxfId="0" priority="611558"/>
    <cfRule type="duplicateValues" dxfId="0" priority="611557"/>
    <cfRule type="duplicateValues" dxfId="0" priority="610330"/>
    <cfRule type="duplicateValues" dxfId="0" priority="610329"/>
    <cfRule type="duplicateValues" dxfId="0" priority="610328"/>
    <cfRule type="duplicateValues" dxfId="0" priority="610327"/>
    <cfRule type="duplicateValues" dxfId="0" priority="610326"/>
    <cfRule type="duplicateValues" dxfId="0" priority="610325"/>
    <cfRule type="duplicateValues" dxfId="0" priority="610323"/>
    <cfRule type="duplicateValues" dxfId="0" priority="610322"/>
    <cfRule type="duplicateValues" dxfId="0" priority="610321"/>
    <cfRule type="duplicateValues" dxfId="0" priority="610320"/>
    <cfRule type="duplicateValues" dxfId="0" priority="610319"/>
    <cfRule type="duplicateValues" dxfId="0" priority="610318"/>
    <cfRule type="duplicateValues" dxfId="0" priority="610317"/>
    <cfRule type="duplicateValues" dxfId="0" priority="610316"/>
    <cfRule type="duplicateValues" dxfId="0" priority="610315"/>
    <cfRule type="duplicateValues" dxfId="0" priority="610314"/>
    <cfRule type="duplicateValues" dxfId="0" priority="610313"/>
    <cfRule type="duplicateValues" dxfId="0" priority="610312"/>
    <cfRule type="duplicateValues" dxfId="0" priority="610311"/>
    <cfRule type="duplicateValues" dxfId="0" priority="610310"/>
    <cfRule type="duplicateValues" dxfId="0" priority="610308"/>
    <cfRule type="duplicateValues" dxfId="0" priority="610293"/>
    <cfRule type="duplicateValues" dxfId="0" priority="610294"/>
    <cfRule type="duplicateValues" dxfId="0" priority="610295"/>
    <cfRule type="duplicateValues" dxfId="0" priority="610296"/>
    <cfRule type="duplicateValues" dxfId="0" priority="610297"/>
    <cfRule type="duplicateValues" dxfId="0" priority="610298"/>
    <cfRule type="duplicateValues" dxfId="0" priority="610299"/>
    <cfRule type="duplicateValues" dxfId="0" priority="610300"/>
    <cfRule type="duplicateValues" dxfId="0" priority="610301"/>
    <cfRule type="duplicateValues" dxfId="0" priority="610302"/>
    <cfRule type="duplicateValues" dxfId="0" priority="610303"/>
    <cfRule type="duplicateValues" dxfId="0" priority="610304"/>
    <cfRule type="duplicateValues" dxfId="0" priority="610305"/>
    <cfRule type="duplicateValues" dxfId="0" priority="610306"/>
    <cfRule type="duplicateValues" dxfId="0" priority="610307"/>
    <cfRule type="duplicateValues" dxfId="0" priority="610309"/>
    <cfRule type="duplicateValues" dxfId="0" priority="611598"/>
    <cfRule type="duplicateValues" dxfId="0" priority="611597"/>
    <cfRule type="duplicateValues" dxfId="0" priority="611596"/>
    <cfRule type="duplicateValues" dxfId="0" priority="611595"/>
    <cfRule type="duplicateValues" dxfId="0" priority="611594"/>
    <cfRule type="duplicateValues" dxfId="0" priority="611593"/>
    <cfRule type="duplicateValues" dxfId="0" priority="610324"/>
    <cfRule type="duplicateValues" dxfId="0" priority="611591"/>
    <cfRule type="duplicateValues" dxfId="0" priority="611590"/>
    <cfRule type="duplicateValues" dxfId="0" priority="611589"/>
    <cfRule type="duplicateValues" dxfId="0" priority="611588"/>
    <cfRule type="duplicateValues" dxfId="0" priority="611587"/>
    <cfRule type="duplicateValues" dxfId="0" priority="611586"/>
    <cfRule type="duplicateValues" dxfId="0" priority="611585"/>
    <cfRule type="duplicateValues" dxfId="0" priority="611584"/>
    <cfRule type="duplicateValues" dxfId="0" priority="611583"/>
    <cfRule type="duplicateValues" dxfId="0" priority="611582"/>
    <cfRule type="duplicateValues" dxfId="0" priority="611581"/>
    <cfRule type="duplicateValues" dxfId="0" priority="611580"/>
    <cfRule type="duplicateValues" dxfId="0" priority="611579"/>
    <cfRule type="duplicateValues" dxfId="0" priority="611578"/>
    <cfRule type="duplicateValues" dxfId="0" priority="611577"/>
    <cfRule type="duplicateValues" dxfId="0" priority="611576"/>
    <cfRule type="duplicateValues" dxfId="0" priority="611575"/>
    <cfRule type="duplicateValues" dxfId="0" priority="611574"/>
    <cfRule type="duplicateValues" dxfId="0" priority="611573"/>
  </conditionalFormatting>
  <conditionalFormatting sqref="A354">
    <cfRule type="duplicateValues" dxfId="0" priority="1432"/>
    <cfRule type="duplicateValues" dxfId="0" priority="1433"/>
    <cfRule type="duplicateValues" dxfId="0" priority="1434"/>
    <cfRule type="duplicateValues" dxfId="0" priority="1435"/>
    <cfRule type="duplicateValues" dxfId="0" priority="1436"/>
    <cfRule type="duplicateValues" dxfId="0" priority="1437"/>
    <cfRule type="duplicateValues" dxfId="0" priority="1438"/>
    <cfRule type="duplicateValues" dxfId="0" priority="1439"/>
    <cfRule type="duplicateValues" dxfId="0" priority="1440"/>
    <cfRule type="duplicateValues" dxfId="0" priority="1441"/>
    <cfRule type="duplicateValues" dxfId="0" priority="1442"/>
    <cfRule type="duplicateValues" dxfId="0" priority="1443"/>
    <cfRule type="duplicateValues" dxfId="0" priority="1444"/>
    <cfRule type="duplicateValues" dxfId="0" priority="1445"/>
    <cfRule type="duplicateValues" dxfId="0" priority="1446"/>
    <cfRule type="duplicateValues" dxfId="0" priority="1447"/>
    <cfRule type="duplicateValues" dxfId="0" priority="1448"/>
    <cfRule type="duplicateValues" dxfId="0" priority="1449"/>
    <cfRule type="duplicateValues" dxfId="0" priority="1450"/>
    <cfRule type="duplicateValues" dxfId="0" priority="1451"/>
    <cfRule type="duplicateValues" dxfId="0" priority="1452"/>
    <cfRule type="duplicateValues" dxfId="0" priority="1453"/>
    <cfRule type="duplicateValues" dxfId="0" priority="1454"/>
    <cfRule type="duplicateValues" dxfId="0" priority="1455"/>
    <cfRule type="duplicateValues" dxfId="0" priority="1456"/>
    <cfRule type="duplicateValues" dxfId="0" priority="1457"/>
    <cfRule type="duplicateValues" dxfId="0" priority="1458"/>
    <cfRule type="duplicateValues" dxfId="0" priority="1459"/>
    <cfRule type="duplicateValues" dxfId="0" priority="1460"/>
    <cfRule type="duplicateValues" dxfId="0" priority="1431"/>
    <cfRule type="duplicateValues" dxfId="0" priority="1462"/>
    <cfRule type="duplicateValues" dxfId="0" priority="1463"/>
    <cfRule type="duplicateValues" dxfId="0" priority="1464"/>
    <cfRule type="duplicateValues" dxfId="0" priority="1465"/>
    <cfRule type="duplicateValues" dxfId="0" priority="1466"/>
    <cfRule type="duplicateValues" dxfId="0" priority="1467"/>
    <cfRule type="duplicateValues" dxfId="0" priority="1428"/>
    <cfRule type="duplicateValues" dxfId="0" priority="1461"/>
    <cfRule type="duplicateValues" dxfId="0" priority="1430"/>
    <cfRule type="duplicateValues" dxfId="0" priority="1429"/>
    <cfRule type="duplicateValues" dxfId="0" priority="1427"/>
    <cfRule type="duplicateValues" dxfId="0" priority="1426"/>
    <cfRule type="duplicateValues" dxfId="0" priority="1425"/>
    <cfRule type="duplicateValues" dxfId="0" priority="1424"/>
    <cfRule type="duplicateValues" dxfId="0" priority="1423"/>
    <cfRule type="duplicateValues" dxfId="0" priority="1422"/>
    <cfRule type="duplicateValues" dxfId="0" priority="1421"/>
    <cfRule type="duplicateValues" dxfId="0" priority="1420"/>
    <cfRule type="duplicateValues" dxfId="0" priority="1419"/>
    <cfRule type="duplicateValues" dxfId="0" priority="1418"/>
    <cfRule type="duplicateValues" dxfId="0" priority="1417"/>
    <cfRule type="duplicateValues" dxfId="0" priority="1416"/>
    <cfRule type="duplicateValues" dxfId="0" priority="1415"/>
    <cfRule type="duplicateValues" dxfId="0" priority="1414"/>
    <cfRule type="duplicateValues" dxfId="0" priority="1413"/>
    <cfRule type="duplicateValues" dxfId="0" priority="1412"/>
    <cfRule type="duplicateValues" dxfId="0" priority="1411"/>
    <cfRule type="duplicateValues" dxfId="0" priority="1410"/>
    <cfRule type="duplicateValues" dxfId="0" priority="1409"/>
    <cfRule type="duplicateValues" dxfId="0" priority="1408"/>
    <cfRule type="duplicateValues" dxfId="0" priority="1407"/>
    <cfRule type="duplicateValues" dxfId="0" priority="1406"/>
    <cfRule type="duplicateValues" dxfId="0" priority="1405"/>
    <cfRule type="duplicateValues" dxfId="0" priority="1404"/>
    <cfRule type="duplicateValues" dxfId="0" priority="1403"/>
    <cfRule type="duplicateValues" dxfId="0" priority="1402"/>
    <cfRule type="duplicateValues" dxfId="0" priority="1401"/>
    <cfRule type="duplicateValues" dxfId="0" priority="1400"/>
    <cfRule type="duplicateValues" dxfId="0" priority="1399"/>
    <cfRule type="duplicateValues" dxfId="0" priority="1398"/>
    <cfRule type="duplicateValues" dxfId="0" priority="1397"/>
    <cfRule type="duplicateValues" dxfId="0" priority="1396"/>
    <cfRule type="duplicateValues" dxfId="0" priority="1395"/>
    <cfRule type="duplicateValues" dxfId="0" priority="1394"/>
    <cfRule type="duplicateValues" dxfId="0" priority="1393"/>
    <cfRule type="duplicateValues" dxfId="0" priority="1392"/>
    <cfRule type="duplicateValues" dxfId="0" priority="1391"/>
    <cfRule type="duplicateValues" dxfId="0" priority="1390"/>
    <cfRule type="duplicateValues" dxfId="0" priority="1389"/>
    <cfRule type="duplicateValues" dxfId="0" priority="1388"/>
  </conditionalFormatting>
  <conditionalFormatting sqref="A355">
    <cfRule type="duplicateValues" dxfId="0" priority="1356"/>
    <cfRule type="duplicateValues" dxfId="0" priority="1374"/>
    <cfRule type="duplicateValues" dxfId="0" priority="1373"/>
    <cfRule type="duplicateValues" dxfId="0" priority="1372"/>
    <cfRule type="duplicateValues" dxfId="0" priority="1371"/>
    <cfRule type="duplicateValues" dxfId="0" priority="1370"/>
    <cfRule type="duplicateValues" dxfId="0" priority="1369"/>
    <cfRule type="duplicateValues" dxfId="0" priority="1368"/>
    <cfRule type="duplicateValues" dxfId="0" priority="1367"/>
    <cfRule type="duplicateValues" dxfId="0" priority="1366"/>
    <cfRule type="duplicateValues" dxfId="0" priority="1365"/>
    <cfRule type="duplicateValues" dxfId="0" priority="1364"/>
    <cfRule type="duplicateValues" dxfId="0" priority="1363"/>
    <cfRule type="duplicateValues" dxfId="0" priority="1362"/>
    <cfRule type="duplicateValues" dxfId="0" priority="1361"/>
    <cfRule type="duplicateValues" dxfId="0" priority="1360"/>
    <cfRule type="duplicateValues" dxfId="0" priority="1359"/>
    <cfRule type="duplicateValues" dxfId="0" priority="1358"/>
    <cfRule type="duplicateValues" dxfId="0" priority="1357"/>
    <cfRule type="duplicateValues" dxfId="0" priority="1375"/>
    <cfRule type="duplicateValues" dxfId="0" priority="1355"/>
    <cfRule type="duplicateValues" dxfId="0" priority="1354"/>
    <cfRule type="duplicateValues" dxfId="0" priority="1353"/>
    <cfRule type="duplicateValues" dxfId="0" priority="1352"/>
    <cfRule type="duplicateValues" dxfId="0" priority="1351"/>
    <cfRule type="duplicateValues" dxfId="0" priority="1350"/>
    <cfRule type="duplicateValues" dxfId="0" priority="1349"/>
    <cfRule type="duplicateValues" dxfId="0" priority="1348"/>
    <cfRule type="duplicateValues" dxfId="0" priority="1347"/>
    <cfRule type="duplicateValues" dxfId="0" priority="1346"/>
    <cfRule type="duplicateValues" dxfId="0" priority="1345"/>
    <cfRule type="duplicateValues" dxfId="0" priority="1344"/>
    <cfRule type="duplicateValues" dxfId="0" priority="1343"/>
    <cfRule type="duplicateValues" dxfId="0" priority="1342"/>
    <cfRule type="duplicateValues" dxfId="0" priority="1341"/>
    <cfRule type="duplicateValues" dxfId="0" priority="1340"/>
    <cfRule type="duplicateValues" dxfId="0" priority="1339"/>
    <cfRule type="duplicateValues" dxfId="0" priority="1338"/>
    <cfRule type="duplicateValues" dxfId="0" priority="1337"/>
    <cfRule type="duplicateValues" dxfId="0" priority="1336"/>
    <cfRule type="duplicateValues" dxfId="0" priority="1335"/>
    <cfRule type="duplicateValues" dxfId="0" priority="1334"/>
    <cfRule type="duplicateValues" dxfId="0" priority="1333"/>
    <cfRule type="duplicateValues" dxfId="0" priority="1332"/>
    <cfRule type="duplicateValues" dxfId="0" priority="1331"/>
    <cfRule type="duplicateValues" dxfId="0" priority="1330"/>
    <cfRule type="duplicateValues" dxfId="0" priority="1329"/>
    <cfRule type="duplicateValues" dxfId="0" priority="1328"/>
    <cfRule type="duplicateValues" dxfId="0" priority="1327"/>
    <cfRule type="duplicateValues" dxfId="0" priority="1326"/>
    <cfRule type="duplicateValues" dxfId="0" priority="1325"/>
    <cfRule type="duplicateValues" dxfId="0" priority="1324"/>
    <cfRule type="duplicateValues" dxfId="0" priority="1323"/>
    <cfRule type="duplicateValues" dxfId="0" priority="1322"/>
    <cfRule type="duplicateValues" dxfId="0" priority="1321"/>
    <cfRule type="duplicateValues" dxfId="0" priority="1320"/>
    <cfRule type="duplicateValues" dxfId="0" priority="1319"/>
    <cfRule type="duplicateValues" dxfId="0" priority="1318"/>
    <cfRule type="duplicateValues" dxfId="0" priority="1317"/>
    <cfRule type="duplicateValues" dxfId="0" priority="1316"/>
    <cfRule type="duplicateValues" dxfId="0" priority="1315"/>
    <cfRule type="duplicateValues" dxfId="0" priority="1314"/>
    <cfRule type="duplicateValues" dxfId="0" priority="1313"/>
    <cfRule type="duplicateValues" dxfId="0" priority="1312"/>
    <cfRule type="duplicateValues" dxfId="0" priority="1311"/>
    <cfRule type="duplicateValues" dxfId="0" priority="1310"/>
    <cfRule type="duplicateValues" dxfId="0" priority="1309"/>
    <cfRule type="duplicateValues" dxfId="0" priority="1308"/>
    <cfRule type="duplicateValues" dxfId="0" priority="1307"/>
    <cfRule type="duplicateValues" dxfId="0" priority="1306"/>
    <cfRule type="duplicateValues" dxfId="0" priority="1305"/>
    <cfRule type="duplicateValues" dxfId="0" priority="1304"/>
    <cfRule type="duplicateValues" dxfId="0" priority="1303"/>
    <cfRule type="duplicateValues" dxfId="0" priority="1302"/>
    <cfRule type="duplicateValues" dxfId="0" priority="1301"/>
    <cfRule type="duplicateValues" dxfId="0" priority="1300"/>
    <cfRule type="duplicateValues" dxfId="0" priority="1299"/>
    <cfRule type="duplicateValues" dxfId="0" priority="1298"/>
    <cfRule type="duplicateValues" dxfId="0" priority="1297"/>
    <cfRule type="duplicateValues" dxfId="0" priority="1296"/>
  </conditionalFormatting>
  <conditionalFormatting sqref="A356:A357">
    <cfRule type="duplicateValues" dxfId="0" priority="1278"/>
    <cfRule type="duplicateValues" dxfId="0" priority="1291"/>
    <cfRule type="duplicateValues" dxfId="0" priority="1290"/>
    <cfRule type="duplicateValues" dxfId="0" priority="1289"/>
    <cfRule type="duplicateValues" dxfId="0" priority="1288"/>
    <cfRule type="duplicateValues" dxfId="0" priority="1287"/>
    <cfRule type="duplicateValues" dxfId="0" priority="1286"/>
    <cfRule type="duplicateValues" dxfId="0" priority="1285"/>
    <cfRule type="duplicateValues" dxfId="0" priority="1284"/>
    <cfRule type="duplicateValues" dxfId="0" priority="1283"/>
    <cfRule type="duplicateValues" dxfId="0" priority="1282"/>
    <cfRule type="duplicateValues" dxfId="0" priority="1281"/>
    <cfRule type="duplicateValues" dxfId="0" priority="1280"/>
    <cfRule type="duplicateValues" dxfId="0" priority="1279"/>
    <cfRule type="duplicateValues" dxfId="0" priority="1277"/>
    <cfRule type="duplicateValues" dxfId="0" priority="1276"/>
    <cfRule type="duplicateValues" dxfId="0" priority="1275"/>
    <cfRule type="duplicateValues" dxfId="0" priority="1274"/>
    <cfRule type="duplicateValues" dxfId="0" priority="1273"/>
    <cfRule type="duplicateValues" dxfId="0" priority="1272"/>
    <cfRule type="duplicateValues" dxfId="0" priority="1271"/>
    <cfRule type="duplicateValues" dxfId="0" priority="1270"/>
    <cfRule type="duplicateValues" dxfId="0" priority="1269"/>
    <cfRule type="duplicateValues" dxfId="0" priority="1268"/>
    <cfRule type="duplicateValues" dxfId="0" priority="1267"/>
    <cfRule type="duplicateValues" dxfId="0" priority="1266"/>
    <cfRule type="duplicateValues" dxfId="0" priority="1265"/>
    <cfRule type="duplicateValues" dxfId="0" priority="1264"/>
    <cfRule type="duplicateValues" dxfId="0" priority="1263"/>
    <cfRule type="duplicateValues" dxfId="0" priority="1262"/>
    <cfRule type="duplicateValues" dxfId="0" priority="1261"/>
    <cfRule type="duplicateValues" dxfId="0" priority="1260"/>
    <cfRule type="duplicateValues" dxfId="0" priority="1259"/>
    <cfRule type="duplicateValues" dxfId="0" priority="1258"/>
    <cfRule type="duplicateValues" dxfId="0" priority="1257"/>
    <cfRule type="duplicateValues" dxfId="0" priority="1256"/>
    <cfRule type="duplicateValues" dxfId="0" priority="1255"/>
    <cfRule type="duplicateValues" dxfId="0" priority="1254"/>
    <cfRule type="duplicateValues" dxfId="0" priority="1253"/>
    <cfRule type="duplicateValues" dxfId="0" priority="1252"/>
    <cfRule type="duplicateValues" dxfId="0" priority="1251"/>
    <cfRule type="duplicateValues" dxfId="0" priority="1250"/>
    <cfRule type="duplicateValues" dxfId="0" priority="1249"/>
    <cfRule type="duplicateValues" dxfId="0" priority="1248"/>
    <cfRule type="duplicateValues" dxfId="0" priority="1247"/>
    <cfRule type="duplicateValues" dxfId="0" priority="1246"/>
    <cfRule type="duplicateValues" dxfId="0" priority="1245"/>
    <cfRule type="duplicateValues" dxfId="0" priority="1244"/>
    <cfRule type="duplicateValues" dxfId="0" priority="1243"/>
    <cfRule type="duplicateValues" dxfId="0" priority="1242"/>
    <cfRule type="duplicateValues" dxfId="0" priority="1241"/>
    <cfRule type="duplicateValues" dxfId="0" priority="1240"/>
    <cfRule type="duplicateValues" dxfId="0" priority="1239"/>
    <cfRule type="duplicateValues" dxfId="0" priority="1238"/>
    <cfRule type="duplicateValues" dxfId="0" priority="1237"/>
    <cfRule type="duplicateValues" dxfId="0" priority="1236"/>
    <cfRule type="duplicateValues" dxfId="0" priority="1235"/>
    <cfRule type="duplicateValues" dxfId="0" priority="1234"/>
    <cfRule type="duplicateValues" dxfId="0" priority="1233"/>
    <cfRule type="duplicateValues" dxfId="0" priority="1232"/>
    <cfRule type="duplicateValues" dxfId="0" priority="1231"/>
    <cfRule type="duplicateValues" dxfId="0" priority="1230"/>
    <cfRule type="duplicateValues" dxfId="0" priority="1229"/>
    <cfRule type="duplicateValues" dxfId="0" priority="1228"/>
    <cfRule type="duplicateValues" dxfId="0" priority="1227"/>
    <cfRule type="duplicateValues" dxfId="0" priority="1226"/>
    <cfRule type="duplicateValues" dxfId="0" priority="1225"/>
    <cfRule type="duplicateValues" dxfId="0" priority="1224"/>
    <cfRule type="duplicateValues" dxfId="0" priority="1223"/>
    <cfRule type="duplicateValues" dxfId="0" priority="1222"/>
    <cfRule type="duplicateValues" dxfId="0" priority="1221"/>
    <cfRule type="duplicateValues" dxfId="0" priority="1220"/>
    <cfRule type="duplicateValues" dxfId="0" priority="1219"/>
    <cfRule type="duplicateValues" dxfId="0" priority="1218"/>
    <cfRule type="duplicateValues" dxfId="0" priority="1217"/>
    <cfRule type="duplicateValues" dxfId="0" priority="1216"/>
    <cfRule type="duplicateValues" dxfId="0" priority="1215"/>
    <cfRule type="duplicateValues" dxfId="0" priority="1214"/>
    <cfRule type="duplicateValues" dxfId="0" priority="1213"/>
    <cfRule type="duplicateValues" dxfId="0" priority="1212"/>
  </conditionalFormatting>
  <conditionalFormatting sqref="A358:A365">
    <cfRule type="duplicateValues" dxfId="0" priority="1123"/>
    <cfRule type="duplicateValues" dxfId="0" priority="1119"/>
    <cfRule type="duplicateValues" dxfId="0" priority="1192"/>
    <cfRule type="duplicateValues" dxfId="0" priority="1194"/>
    <cfRule type="duplicateValues" dxfId="0" priority="1193"/>
    <cfRule type="duplicateValues" dxfId="0" priority="1172"/>
    <cfRule type="duplicateValues" dxfId="0" priority="1191"/>
    <cfRule type="duplicateValues" dxfId="0" priority="1190"/>
    <cfRule type="duplicateValues" dxfId="0" priority="1189"/>
    <cfRule type="duplicateValues" dxfId="0" priority="1188"/>
    <cfRule type="duplicateValues" dxfId="0" priority="1187"/>
    <cfRule type="duplicateValues" dxfId="0" priority="1186"/>
    <cfRule type="duplicateValues" dxfId="0" priority="1185"/>
    <cfRule type="duplicateValues" dxfId="0" priority="1115"/>
    <cfRule type="duplicateValues" dxfId="0" priority="1116"/>
    <cfRule type="duplicateValues" dxfId="0" priority="1117"/>
    <cfRule type="duplicateValues" dxfId="0" priority="1118"/>
    <cfRule type="duplicateValues" dxfId="0" priority="1120"/>
    <cfRule type="duplicateValues" dxfId="0" priority="1121"/>
    <cfRule type="duplicateValues" dxfId="0" priority="1122"/>
    <cfRule type="duplicateValues" dxfId="0" priority="1143"/>
    <cfRule type="duplicateValues" dxfId="0" priority="1124"/>
    <cfRule type="duplicateValues" dxfId="0" priority="1125"/>
    <cfRule type="duplicateValues" dxfId="0" priority="1126"/>
    <cfRule type="duplicateValues" dxfId="0" priority="1127"/>
    <cfRule type="duplicateValues" dxfId="0" priority="1128"/>
    <cfRule type="duplicateValues" dxfId="0" priority="1129"/>
    <cfRule type="duplicateValues" dxfId="0" priority="1130"/>
    <cfRule type="duplicateValues" dxfId="0" priority="1131"/>
    <cfRule type="duplicateValues" dxfId="0" priority="1132"/>
    <cfRule type="duplicateValues" dxfId="0" priority="1133"/>
    <cfRule type="duplicateValues" dxfId="0" priority="1134"/>
    <cfRule type="duplicateValues" dxfId="0" priority="1135"/>
    <cfRule type="duplicateValues" dxfId="0" priority="1136"/>
    <cfRule type="duplicateValues" dxfId="0" priority="1137"/>
    <cfRule type="duplicateValues" dxfId="0" priority="1138"/>
    <cfRule type="duplicateValues" dxfId="0" priority="1139"/>
    <cfRule type="duplicateValues" dxfId="0" priority="1140"/>
    <cfRule type="duplicateValues" dxfId="0" priority="1141"/>
    <cfRule type="duplicateValues" dxfId="0" priority="1142"/>
    <cfRule type="duplicateValues" dxfId="0" priority="1184"/>
    <cfRule type="duplicateValues" dxfId="0" priority="1144"/>
    <cfRule type="duplicateValues" dxfId="0" priority="1145"/>
    <cfRule type="duplicateValues" dxfId="0" priority="1146"/>
    <cfRule type="duplicateValues" dxfId="0" priority="1147"/>
    <cfRule type="duplicateValues" dxfId="0" priority="1148"/>
    <cfRule type="duplicateValues" dxfId="0" priority="1149"/>
    <cfRule type="duplicateValues" dxfId="0" priority="1150"/>
    <cfRule type="duplicateValues" dxfId="0" priority="1151"/>
    <cfRule type="duplicateValues" dxfId="0" priority="1152"/>
    <cfRule type="duplicateValues" dxfId="0" priority="1153"/>
    <cfRule type="duplicateValues" dxfId="0" priority="1154"/>
    <cfRule type="duplicateValues" dxfId="0" priority="1155"/>
    <cfRule type="duplicateValues" dxfId="0" priority="1156"/>
    <cfRule type="duplicateValues" dxfId="0" priority="1157"/>
    <cfRule type="duplicateValues" dxfId="0" priority="1158"/>
    <cfRule type="duplicateValues" dxfId="0" priority="1159"/>
    <cfRule type="duplicateValues" dxfId="0" priority="1160"/>
    <cfRule type="duplicateValues" dxfId="0" priority="1161"/>
    <cfRule type="duplicateValues" dxfId="0" priority="1162"/>
    <cfRule type="duplicateValues" dxfId="0" priority="1163"/>
    <cfRule type="duplicateValues" dxfId="0" priority="1164"/>
    <cfRule type="duplicateValues" dxfId="0" priority="1165"/>
    <cfRule type="duplicateValues" dxfId="0" priority="1166"/>
    <cfRule type="duplicateValues" dxfId="0" priority="1167"/>
    <cfRule type="duplicateValues" dxfId="0" priority="1168"/>
    <cfRule type="duplicateValues" dxfId="0" priority="1169"/>
    <cfRule type="duplicateValues" dxfId="0" priority="1170"/>
    <cfRule type="duplicateValues" dxfId="0" priority="1183"/>
    <cfRule type="duplicateValues" dxfId="0" priority="1171"/>
    <cfRule type="duplicateValues" dxfId="0" priority="1182"/>
    <cfRule type="duplicateValues" dxfId="0" priority="1181"/>
    <cfRule type="duplicateValues" dxfId="0" priority="1180"/>
    <cfRule type="duplicateValues" dxfId="0" priority="1179"/>
    <cfRule type="duplicateValues" dxfId="0" priority="1178"/>
    <cfRule type="duplicateValues" dxfId="0" priority="1177"/>
    <cfRule type="duplicateValues" dxfId="0" priority="1176"/>
    <cfRule type="duplicateValues" dxfId="0" priority="1175"/>
    <cfRule type="duplicateValues" dxfId="0" priority="1174"/>
    <cfRule type="duplicateValues" dxfId="0" priority="1173"/>
  </conditionalFormatting>
  <conditionalFormatting sqref="A372">
    <cfRule type="duplicateValues" dxfId="234" priority="1114"/>
  </conditionalFormatting>
  <conditionalFormatting sqref="A372:A375">
    <cfRule type="duplicateValues" dxfId="234" priority="1112"/>
  </conditionalFormatting>
  <conditionalFormatting sqref="A373:A375">
    <cfRule type="duplicateValues" dxfId="234" priority="1113"/>
  </conditionalFormatting>
  <conditionalFormatting sqref="A384:A392">
    <cfRule type="duplicateValues" dxfId="0" priority="1070"/>
    <cfRule type="duplicateValues" dxfId="0" priority="1071"/>
    <cfRule type="duplicateValues" dxfId="0" priority="1072"/>
    <cfRule type="duplicateValues" dxfId="0" priority="1073"/>
    <cfRule type="duplicateValues" dxfId="234" priority="1074"/>
    <cfRule type="duplicateValues" dxfId="0" priority="1075"/>
    <cfRule type="duplicateValues" dxfId="0" priority="1076"/>
    <cfRule type="duplicateValues" dxfId="234" priority="1077"/>
    <cfRule type="duplicateValues" dxfId="0" priority="1069"/>
    <cfRule type="duplicateValues" dxfId="0" priority="1068"/>
    <cfRule type="duplicateValues" dxfId="0" priority="1046"/>
    <cfRule type="duplicateValues" dxfId="0" priority="1031"/>
    <cfRule type="duplicateValues" dxfId="0" priority="1032"/>
    <cfRule type="duplicateValues" dxfId="0" priority="1033"/>
    <cfRule type="duplicateValues" dxfId="0" priority="1050"/>
    <cfRule type="duplicateValues" dxfId="234" priority="1005"/>
    <cfRule type="duplicateValues" dxfId="0" priority="1006"/>
    <cfRule type="duplicateValues" dxfId="0" priority="1007"/>
    <cfRule type="duplicateValues" dxfId="0" priority="1008"/>
    <cfRule type="duplicateValues" dxfId="0" priority="1009"/>
    <cfRule type="duplicateValues" dxfId="0" priority="1010"/>
    <cfRule type="duplicateValues" dxfId="0" priority="1034"/>
    <cfRule type="duplicateValues" dxfId="0" priority="1035"/>
    <cfRule type="duplicateValues" dxfId="0" priority="1036"/>
    <cfRule type="duplicateValues" dxfId="0" priority="1037"/>
    <cfRule type="duplicateValues" dxfId="0" priority="1038"/>
    <cfRule type="duplicateValues" dxfId="0" priority="1039"/>
    <cfRule type="duplicateValues" dxfId="0" priority="1040"/>
    <cfRule type="duplicateValues" dxfId="0" priority="1041"/>
    <cfRule type="duplicateValues" dxfId="0" priority="1042"/>
    <cfRule type="duplicateValues" dxfId="0" priority="1043"/>
    <cfRule type="duplicateValues" dxfId="0" priority="1044"/>
    <cfRule type="duplicateValues" dxfId="0" priority="1045"/>
    <cfRule type="duplicateValues" dxfId="0" priority="1047"/>
    <cfRule type="duplicateValues" dxfId="0" priority="1048"/>
    <cfRule type="duplicateValues" dxfId="0" priority="1049"/>
    <cfRule type="duplicateValues" dxfId="0" priority="1011"/>
    <cfRule type="duplicateValues" dxfId="0" priority="1051"/>
    <cfRule type="duplicateValues" dxfId="0" priority="1052"/>
    <cfRule type="duplicateValues" dxfId="0" priority="1053"/>
    <cfRule type="duplicateValues" dxfId="0" priority="1054"/>
    <cfRule type="duplicateValues" dxfId="0" priority="1055"/>
    <cfRule type="duplicateValues" dxfId="0" priority="1056"/>
    <cfRule type="duplicateValues" dxfId="0" priority="1057"/>
    <cfRule type="duplicateValues" dxfId="0" priority="1058"/>
    <cfRule type="duplicateValues" dxfId="0" priority="1059"/>
    <cfRule type="duplicateValues" dxfId="0" priority="1060"/>
    <cfRule type="duplicateValues" dxfId="0" priority="1061"/>
    <cfRule type="duplicateValues" dxfId="0" priority="1062"/>
    <cfRule type="duplicateValues" dxfId="0" priority="1063"/>
    <cfRule type="duplicateValues" dxfId="0" priority="1064"/>
    <cfRule type="duplicateValues" dxfId="0" priority="1065"/>
    <cfRule type="duplicateValues" dxfId="0" priority="1066"/>
    <cfRule type="duplicateValues" dxfId="0" priority="1067"/>
    <cfRule type="duplicateValues" dxfId="0" priority="1012"/>
    <cfRule type="duplicateValues" dxfId="0" priority="1013"/>
    <cfRule type="duplicateValues" dxfId="0" priority="1014"/>
    <cfRule type="duplicateValues" dxfId="0" priority="1015"/>
    <cfRule type="duplicateValues" dxfId="0" priority="1016"/>
    <cfRule type="duplicateValues" dxfId="0" priority="1017"/>
    <cfRule type="duplicateValues" dxfId="0" priority="1018"/>
    <cfRule type="duplicateValues" dxfId="0" priority="1019"/>
    <cfRule type="duplicateValues" dxfId="0" priority="1020"/>
    <cfRule type="duplicateValues" dxfId="0" priority="1021"/>
    <cfRule type="duplicateValues" dxfId="0" priority="1022"/>
    <cfRule type="duplicateValues" dxfId="0" priority="1023"/>
    <cfRule type="duplicateValues" dxfId="0" priority="1024"/>
    <cfRule type="duplicateValues" dxfId="0" priority="1025"/>
    <cfRule type="duplicateValues" dxfId="0" priority="1026"/>
    <cfRule type="duplicateValues" dxfId="0" priority="1027"/>
    <cfRule type="duplicateValues" dxfId="0" priority="1028"/>
    <cfRule type="duplicateValues" dxfId="0" priority="1029"/>
    <cfRule type="duplicateValues" dxfId="0" priority="1030"/>
  </conditionalFormatting>
  <conditionalFormatting sqref="A384:A394">
    <cfRule type="duplicateValues" dxfId="234" priority="1003"/>
    <cfRule type="duplicateValues" dxfId="234" priority="1004"/>
  </conditionalFormatting>
  <conditionalFormatting sqref="A396:A399 A403">
    <cfRule type="duplicateValues" dxfId="234" priority="612324"/>
    <cfRule type="duplicateValues" dxfId="234" priority="612325"/>
  </conditionalFormatting>
  <conditionalFormatting sqref="A401">
    <cfRule type="duplicateValues" dxfId="0" priority="990"/>
    <cfRule type="duplicateValues" dxfId="0" priority="991"/>
    <cfRule type="duplicateValues" dxfId="0" priority="992"/>
    <cfRule type="duplicateValues" dxfId="0" priority="993"/>
    <cfRule type="duplicateValues" dxfId="0" priority="994"/>
    <cfRule type="duplicateValues" dxfId="0" priority="995"/>
    <cfRule type="duplicateValues" dxfId="0" priority="996"/>
    <cfRule type="duplicateValues" dxfId="0" priority="997"/>
    <cfRule type="duplicateValues" dxfId="0" priority="998"/>
    <cfRule type="duplicateValues" dxfId="0" priority="999"/>
    <cfRule type="duplicateValues" dxfId="234" priority="876"/>
    <cfRule type="duplicateValues" dxfId="0" priority="877"/>
    <cfRule type="duplicateValues" dxfId="0" priority="878"/>
    <cfRule type="duplicateValues" dxfId="234" priority="879"/>
    <cfRule type="duplicateValues" dxfId="234" priority="880"/>
    <cfRule type="duplicateValues" dxfId="0" priority="881"/>
    <cfRule type="duplicateValues" dxfId="0" priority="882"/>
    <cfRule type="duplicateValues" dxfId="0" priority="883"/>
    <cfRule type="duplicateValues" dxfId="0" priority="884"/>
    <cfRule type="duplicateValues" dxfId="0" priority="885"/>
    <cfRule type="duplicateValues" dxfId="0" priority="886"/>
    <cfRule type="duplicateValues" dxfId="0" priority="887"/>
    <cfRule type="duplicateValues" dxfId="0" priority="888"/>
    <cfRule type="duplicateValues" dxfId="0" priority="889"/>
    <cfRule type="duplicateValues" dxfId="0" priority="890"/>
    <cfRule type="duplicateValues" dxfId="0" priority="891"/>
    <cfRule type="duplicateValues" dxfId="0" priority="892"/>
    <cfRule type="duplicateValues" dxfId="0" priority="893"/>
    <cfRule type="duplicateValues" dxfId="0" priority="894"/>
    <cfRule type="duplicateValues" dxfId="0" priority="895"/>
    <cfRule type="duplicateValues" dxfId="0" priority="896"/>
    <cfRule type="duplicateValues" dxfId="0" priority="897"/>
    <cfRule type="duplicateValues" dxfId="0" priority="898"/>
    <cfRule type="duplicateValues" dxfId="0" priority="899"/>
    <cfRule type="duplicateValues" dxfId="0" priority="900"/>
    <cfRule type="duplicateValues" dxfId="0" priority="901"/>
    <cfRule type="duplicateValues" dxfId="0" priority="902"/>
    <cfRule type="duplicateValues" dxfId="0" priority="903"/>
    <cfRule type="duplicateValues" dxfId="0" priority="904"/>
    <cfRule type="duplicateValues" dxfId="0" priority="905"/>
    <cfRule type="duplicateValues" dxfId="0" priority="906"/>
    <cfRule type="duplicateValues" dxfId="0" priority="907"/>
    <cfRule type="duplicateValues" dxfId="0" priority="908"/>
    <cfRule type="duplicateValues" dxfId="0" priority="909"/>
    <cfRule type="duplicateValues" dxfId="0" priority="910"/>
    <cfRule type="duplicateValues" dxfId="0" priority="911"/>
    <cfRule type="duplicateValues" dxfId="0" priority="912"/>
    <cfRule type="duplicateValues" dxfId="0" priority="913"/>
    <cfRule type="duplicateValues" dxfId="0" priority="914"/>
    <cfRule type="duplicateValues" dxfId="0" priority="915"/>
    <cfRule type="duplicateValues" dxfId="0" priority="916"/>
    <cfRule type="duplicateValues" dxfId="0" priority="917"/>
    <cfRule type="duplicateValues" dxfId="0" priority="918"/>
    <cfRule type="duplicateValues" dxfId="0" priority="919"/>
    <cfRule type="duplicateValues" dxfId="0" priority="920"/>
    <cfRule type="duplicateValues" dxfId="0" priority="921"/>
    <cfRule type="duplicateValues" dxfId="0" priority="922"/>
    <cfRule type="duplicateValues" dxfId="0" priority="923"/>
    <cfRule type="duplicateValues" dxfId="0" priority="924"/>
    <cfRule type="duplicateValues" dxfId="0" priority="925"/>
    <cfRule type="duplicateValues" dxfId="0" priority="926"/>
    <cfRule type="duplicateValues" dxfId="0" priority="927"/>
    <cfRule type="duplicateValues" dxfId="0" priority="928"/>
    <cfRule type="duplicateValues" dxfId="0" priority="929"/>
    <cfRule type="duplicateValues" dxfId="0" priority="930"/>
    <cfRule type="duplicateValues" dxfId="0" priority="931"/>
    <cfRule type="duplicateValues" dxfId="0" priority="932"/>
    <cfRule type="duplicateValues" dxfId="0" priority="933"/>
    <cfRule type="duplicateValues" dxfId="0" priority="934"/>
    <cfRule type="duplicateValues" dxfId="0" priority="935"/>
    <cfRule type="duplicateValues" dxfId="0" priority="936"/>
    <cfRule type="duplicateValues" dxfId="0" priority="937"/>
    <cfRule type="duplicateValues" dxfId="0" priority="938"/>
    <cfRule type="duplicateValues" dxfId="0" priority="939"/>
    <cfRule type="duplicateValues" dxfId="0" priority="940"/>
    <cfRule type="duplicateValues" dxfId="0" priority="941"/>
    <cfRule type="duplicateValues" dxfId="0" priority="942"/>
    <cfRule type="duplicateValues" dxfId="0" priority="943"/>
    <cfRule type="duplicateValues" dxfId="0" priority="944"/>
    <cfRule type="duplicateValues" dxfId="0" priority="945"/>
    <cfRule type="duplicateValues" dxfId="0" priority="946"/>
    <cfRule type="duplicateValues" dxfId="0" priority="947"/>
    <cfRule type="duplicateValues" dxfId="0" priority="948"/>
    <cfRule type="duplicateValues" dxfId="0" priority="949"/>
    <cfRule type="duplicateValues" dxfId="0" priority="950"/>
    <cfRule type="duplicateValues" dxfId="0" priority="951"/>
    <cfRule type="duplicateValues" dxfId="0" priority="952"/>
    <cfRule type="duplicateValues" dxfId="0" priority="953"/>
    <cfRule type="duplicateValues" dxfId="0" priority="954"/>
    <cfRule type="duplicateValues" dxfId="0" priority="955"/>
    <cfRule type="duplicateValues" dxfId="0" priority="956"/>
    <cfRule type="duplicateValues" dxfId="0" priority="957"/>
    <cfRule type="duplicateValues" dxfId="0" priority="958"/>
    <cfRule type="duplicateValues" dxfId="0" priority="959"/>
    <cfRule type="duplicateValues" dxfId="0" priority="960"/>
    <cfRule type="duplicateValues" dxfId="0" priority="961"/>
    <cfRule type="duplicateValues" dxfId="0" priority="962"/>
    <cfRule type="duplicateValues" dxfId="0" priority="963"/>
    <cfRule type="duplicateValues" dxfId="0" priority="964"/>
    <cfRule type="duplicateValues" dxfId="0" priority="965"/>
    <cfRule type="duplicateValues" dxfId="0" priority="966"/>
    <cfRule type="duplicateValues" dxfId="0" priority="967"/>
    <cfRule type="duplicateValues" dxfId="0" priority="968"/>
    <cfRule type="duplicateValues" dxfId="0" priority="969"/>
    <cfRule type="duplicateValues" dxfId="0" priority="970"/>
    <cfRule type="duplicateValues" dxfId="0" priority="971"/>
    <cfRule type="duplicateValues" dxfId="0" priority="972"/>
    <cfRule type="duplicateValues" dxfId="0" priority="973"/>
    <cfRule type="duplicateValues" dxfId="0" priority="974"/>
    <cfRule type="duplicateValues" dxfId="0" priority="975"/>
    <cfRule type="duplicateValues" dxfId="0" priority="976"/>
    <cfRule type="duplicateValues" dxfId="0" priority="977"/>
    <cfRule type="duplicateValues" dxfId="0" priority="978"/>
    <cfRule type="duplicateValues" dxfId="0" priority="979"/>
    <cfRule type="duplicateValues" dxfId="0" priority="980"/>
    <cfRule type="duplicateValues" dxfId="0" priority="981"/>
    <cfRule type="duplicateValues" dxfId="0" priority="982"/>
    <cfRule type="duplicateValues" dxfId="0" priority="983"/>
    <cfRule type="duplicateValues" dxfId="0" priority="984"/>
    <cfRule type="duplicateValues" dxfId="0" priority="985"/>
    <cfRule type="duplicateValues" dxfId="0" priority="986"/>
    <cfRule type="duplicateValues" dxfId="0" priority="987"/>
    <cfRule type="duplicateValues" dxfId="0" priority="988"/>
    <cfRule type="duplicateValues" dxfId="0" priority="989"/>
  </conditionalFormatting>
  <conditionalFormatting sqref="A401:A402">
    <cfRule type="duplicateValues" dxfId="234" priority="612300"/>
  </conditionalFormatting>
  <conditionalFormatting sqref="A404">
    <cfRule type="duplicateValues" dxfId="0" priority="860"/>
    <cfRule type="duplicateValues" dxfId="0" priority="762"/>
    <cfRule type="duplicateValues" dxfId="0" priority="761"/>
    <cfRule type="duplicateValues" dxfId="0" priority="760"/>
    <cfRule type="duplicateValues" dxfId="0" priority="759"/>
    <cfRule type="duplicateValues" dxfId="0" priority="758"/>
    <cfRule type="duplicateValues" dxfId="0" priority="757"/>
    <cfRule type="duplicateValues" dxfId="0" priority="756"/>
    <cfRule type="duplicateValues" dxfId="0" priority="755"/>
    <cfRule type="duplicateValues" dxfId="0" priority="754"/>
    <cfRule type="duplicateValues" dxfId="0" priority="753"/>
    <cfRule type="duplicateValues" dxfId="0" priority="752"/>
    <cfRule type="duplicateValues" dxfId="0" priority="828"/>
    <cfRule type="duplicateValues" dxfId="0" priority="751"/>
    <cfRule type="duplicateValues" dxfId="0" priority="750"/>
    <cfRule type="duplicateValues" dxfId="0" priority="749"/>
    <cfRule type="duplicateValues" dxfId="234" priority="747"/>
    <cfRule type="duplicateValues" dxfId="0" priority="746"/>
    <cfRule type="duplicateValues" dxfId="0" priority="867"/>
    <cfRule type="duplicateValues" dxfId="0" priority="866"/>
    <cfRule type="duplicateValues" dxfId="0" priority="865"/>
    <cfRule type="duplicateValues" dxfId="0" priority="864"/>
    <cfRule type="duplicateValues" dxfId="0" priority="863"/>
    <cfRule type="duplicateValues" dxfId="0" priority="862"/>
    <cfRule type="duplicateValues" dxfId="0" priority="861"/>
    <cfRule type="duplicateValues" dxfId="0" priority="859"/>
    <cfRule type="duplicateValues" dxfId="0" priority="858"/>
    <cfRule type="duplicateValues" dxfId="0" priority="857"/>
    <cfRule type="duplicateValues" dxfId="0" priority="856"/>
    <cfRule type="duplicateValues" dxfId="0" priority="855"/>
    <cfRule type="duplicateValues" dxfId="0" priority="854"/>
    <cfRule type="duplicateValues" dxfId="0" priority="853"/>
    <cfRule type="duplicateValues" dxfId="0" priority="852"/>
    <cfRule type="duplicateValues" dxfId="0" priority="851"/>
    <cfRule type="duplicateValues" dxfId="0" priority="850"/>
    <cfRule type="duplicateValues" dxfId="0" priority="849"/>
    <cfRule type="duplicateValues" dxfId="0" priority="848"/>
    <cfRule type="duplicateValues" dxfId="0" priority="847"/>
    <cfRule type="duplicateValues" dxfId="0" priority="846"/>
    <cfRule type="duplicateValues" dxfId="0" priority="845"/>
    <cfRule type="duplicateValues" dxfId="0" priority="844"/>
    <cfRule type="duplicateValues" dxfId="0" priority="843"/>
    <cfRule type="duplicateValues" dxfId="0" priority="842"/>
    <cfRule type="duplicateValues" dxfId="0" priority="841"/>
    <cfRule type="duplicateValues" dxfId="0" priority="840"/>
    <cfRule type="duplicateValues" dxfId="0" priority="792"/>
    <cfRule type="duplicateValues" dxfId="0" priority="839"/>
    <cfRule type="duplicateValues" dxfId="0" priority="838"/>
    <cfRule type="duplicateValues" dxfId="0" priority="837"/>
    <cfRule type="duplicateValues" dxfId="0" priority="836"/>
    <cfRule type="duplicateValues" dxfId="0" priority="745"/>
    <cfRule type="duplicateValues" dxfId="234" priority="744"/>
    <cfRule type="duplicateValues" dxfId="0" priority="835"/>
    <cfRule type="duplicateValues" dxfId="0" priority="834"/>
    <cfRule type="duplicateValues" dxfId="0" priority="833"/>
    <cfRule type="duplicateValues" dxfId="0" priority="832"/>
    <cfRule type="duplicateValues" dxfId="0" priority="831"/>
    <cfRule type="duplicateValues" dxfId="0" priority="830"/>
    <cfRule type="duplicateValues" dxfId="0" priority="829"/>
    <cfRule type="duplicateValues" dxfId="234" priority="748"/>
    <cfRule type="duplicateValues" dxfId="0" priority="827"/>
    <cfRule type="duplicateValues" dxfId="0" priority="826"/>
    <cfRule type="duplicateValues" dxfId="0" priority="825"/>
    <cfRule type="duplicateValues" dxfId="0" priority="824"/>
    <cfRule type="duplicateValues" dxfId="0" priority="823"/>
    <cfRule type="duplicateValues" dxfId="0" priority="822"/>
    <cfRule type="duplicateValues" dxfId="0" priority="821"/>
    <cfRule type="duplicateValues" dxfId="0" priority="820"/>
    <cfRule type="duplicateValues" dxfId="0" priority="819"/>
    <cfRule type="duplicateValues" dxfId="0" priority="818"/>
    <cfRule type="duplicateValues" dxfId="0" priority="817"/>
    <cfRule type="duplicateValues" dxfId="0" priority="816"/>
    <cfRule type="duplicateValues" dxfId="0" priority="815"/>
    <cfRule type="duplicateValues" dxfId="0" priority="814"/>
    <cfRule type="duplicateValues" dxfId="0" priority="813"/>
    <cfRule type="duplicateValues" dxfId="0" priority="812"/>
    <cfRule type="duplicateValues" dxfId="0" priority="811"/>
    <cfRule type="duplicateValues" dxfId="0" priority="810"/>
    <cfRule type="duplicateValues" dxfId="0" priority="809"/>
    <cfRule type="duplicateValues" dxfId="0" priority="808"/>
    <cfRule type="duplicateValues" dxfId="0" priority="807"/>
    <cfRule type="duplicateValues" dxfId="0" priority="806"/>
    <cfRule type="duplicateValues" dxfId="0" priority="805"/>
    <cfRule type="duplicateValues" dxfId="0" priority="804"/>
    <cfRule type="duplicateValues" dxfId="0" priority="803"/>
    <cfRule type="duplicateValues" dxfId="0" priority="802"/>
    <cfRule type="duplicateValues" dxfId="0" priority="801"/>
    <cfRule type="duplicateValues" dxfId="0" priority="800"/>
    <cfRule type="duplicateValues" dxfId="0" priority="799"/>
    <cfRule type="duplicateValues" dxfId="0" priority="798"/>
    <cfRule type="duplicateValues" dxfId="0" priority="797"/>
    <cfRule type="duplicateValues" dxfId="0" priority="796"/>
    <cfRule type="duplicateValues" dxfId="0" priority="795"/>
    <cfRule type="duplicateValues" dxfId="0" priority="794"/>
    <cfRule type="duplicateValues" dxfId="0" priority="793"/>
    <cfRule type="duplicateValues" dxfId="0" priority="791"/>
    <cfRule type="duplicateValues" dxfId="0" priority="790"/>
    <cfRule type="duplicateValues" dxfId="0" priority="789"/>
    <cfRule type="duplicateValues" dxfId="0" priority="788"/>
    <cfRule type="duplicateValues" dxfId="0" priority="787"/>
    <cfRule type="duplicateValues" dxfId="0" priority="786"/>
    <cfRule type="duplicateValues" dxfId="0" priority="785"/>
    <cfRule type="duplicateValues" dxfId="0" priority="784"/>
    <cfRule type="duplicateValues" dxfId="0" priority="783"/>
    <cfRule type="duplicateValues" dxfId="0" priority="782"/>
    <cfRule type="duplicateValues" dxfId="0" priority="781"/>
    <cfRule type="duplicateValues" dxfId="0" priority="780"/>
    <cfRule type="duplicateValues" dxfId="0" priority="779"/>
    <cfRule type="duplicateValues" dxfId="0" priority="778"/>
    <cfRule type="duplicateValues" dxfId="0" priority="777"/>
    <cfRule type="duplicateValues" dxfId="0" priority="776"/>
    <cfRule type="duplicateValues" dxfId="0" priority="775"/>
    <cfRule type="duplicateValues" dxfId="0" priority="774"/>
    <cfRule type="duplicateValues" dxfId="0" priority="773"/>
    <cfRule type="duplicateValues" dxfId="0" priority="772"/>
    <cfRule type="duplicateValues" dxfId="0" priority="771"/>
    <cfRule type="duplicateValues" dxfId="0" priority="770"/>
    <cfRule type="duplicateValues" dxfId="0" priority="769"/>
    <cfRule type="duplicateValues" dxfId="0" priority="768"/>
    <cfRule type="duplicateValues" dxfId="0" priority="767"/>
    <cfRule type="duplicateValues" dxfId="0" priority="766"/>
    <cfRule type="duplicateValues" dxfId="0" priority="765"/>
    <cfRule type="duplicateValues" dxfId="0" priority="764"/>
    <cfRule type="duplicateValues" dxfId="0" priority="763"/>
  </conditionalFormatting>
  <conditionalFormatting sqref="A404:A407">
    <cfRule type="duplicateValues" dxfId="234" priority="868"/>
  </conditionalFormatting>
  <conditionalFormatting sqref="A406:A407 A404">
    <cfRule type="duplicateValues" dxfId="234" priority="870"/>
    <cfRule type="duplicateValues" dxfId="234" priority="869"/>
  </conditionalFormatting>
  <conditionalFormatting sqref="A408">
    <cfRule type="duplicateValues" dxfId="0" priority="646"/>
    <cfRule type="duplicateValues" dxfId="0" priority="661"/>
    <cfRule type="duplicateValues" dxfId="0" priority="651"/>
    <cfRule type="duplicateValues" dxfId="0" priority="663"/>
    <cfRule type="duplicateValues" dxfId="0" priority="662"/>
    <cfRule type="duplicateValues" dxfId="0" priority="660"/>
    <cfRule type="duplicateValues" dxfId="0" priority="659"/>
    <cfRule type="duplicateValues" dxfId="0" priority="658"/>
    <cfRule type="duplicateValues" dxfId="0" priority="657"/>
    <cfRule type="duplicateValues" dxfId="0" priority="656"/>
    <cfRule type="duplicateValues" dxfId="0" priority="655"/>
    <cfRule type="duplicateValues" dxfId="0" priority="654"/>
    <cfRule type="duplicateValues" dxfId="0" priority="653"/>
    <cfRule type="duplicateValues" dxfId="0" priority="652"/>
    <cfRule type="duplicateValues" dxfId="0" priority="650"/>
    <cfRule type="duplicateValues" dxfId="0" priority="649"/>
    <cfRule type="duplicateValues" dxfId="0" priority="648"/>
    <cfRule type="duplicateValues" dxfId="0" priority="647"/>
    <cfRule type="duplicateValues" dxfId="0" priority="645"/>
    <cfRule type="duplicateValues" dxfId="0" priority="644"/>
    <cfRule type="duplicateValues" dxfId="0" priority="643"/>
    <cfRule type="duplicateValues" dxfId="0" priority="642"/>
    <cfRule type="duplicateValues" dxfId="0" priority="641"/>
    <cfRule type="duplicateValues" dxfId="0" priority="640"/>
    <cfRule type="duplicateValues" dxfId="0" priority="639"/>
  </conditionalFormatting>
  <conditionalFormatting sqref="A409">
    <cfRule type="duplicateValues" dxfId="0" priority="699"/>
    <cfRule type="duplicateValues" dxfId="0" priority="700"/>
    <cfRule type="duplicateValues" dxfId="0" priority="701"/>
    <cfRule type="duplicateValues" dxfId="0" priority="702"/>
    <cfRule type="duplicateValues" dxfId="0" priority="703"/>
    <cfRule type="duplicateValues" dxfId="0" priority="704"/>
    <cfRule type="duplicateValues" dxfId="0" priority="705"/>
    <cfRule type="duplicateValues" dxfId="0" priority="706"/>
    <cfRule type="duplicateValues" dxfId="0" priority="707"/>
    <cfRule type="duplicateValues" dxfId="0" priority="708"/>
    <cfRule type="duplicateValues" dxfId="0" priority="709"/>
    <cfRule type="duplicateValues" dxfId="0" priority="710"/>
    <cfRule type="duplicateValues" dxfId="0" priority="711"/>
    <cfRule type="duplicateValues" dxfId="0" priority="712"/>
    <cfRule type="duplicateValues" dxfId="0" priority="713"/>
    <cfRule type="duplicateValues" dxfId="0" priority="714"/>
    <cfRule type="duplicateValues" dxfId="0" priority="716"/>
    <cfRule type="duplicateValues" dxfId="0" priority="717"/>
    <cfRule type="duplicateValues" dxfId="0" priority="718"/>
    <cfRule type="duplicateValues" dxfId="0" priority="719"/>
    <cfRule type="duplicateValues" dxfId="0" priority="743"/>
    <cfRule type="duplicateValues" dxfId="0" priority="742"/>
    <cfRule type="duplicateValues" dxfId="0" priority="741"/>
    <cfRule type="duplicateValues" dxfId="0" priority="740"/>
    <cfRule type="duplicateValues" dxfId="0" priority="739"/>
    <cfRule type="duplicateValues" dxfId="0" priority="738"/>
    <cfRule type="duplicateValues" dxfId="0" priority="737"/>
    <cfRule type="duplicateValues" dxfId="0" priority="736"/>
    <cfRule type="duplicateValues" dxfId="0" priority="735"/>
    <cfRule type="duplicateValues" dxfId="0" priority="734"/>
    <cfRule type="duplicateValues" dxfId="0" priority="733"/>
    <cfRule type="duplicateValues" dxfId="0" priority="732"/>
    <cfRule type="duplicateValues" dxfId="0" priority="731"/>
    <cfRule type="duplicateValues" dxfId="0" priority="730"/>
    <cfRule type="duplicateValues" dxfId="0" priority="729"/>
    <cfRule type="duplicateValues" dxfId="0" priority="728"/>
    <cfRule type="duplicateValues" dxfId="0" priority="727"/>
    <cfRule type="duplicateValues" dxfId="0" priority="726"/>
    <cfRule type="duplicateValues" dxfId="0" priority="725"/>
    <cfRule type="duplicateValues" dxfId="0" priority="724"/>
    <cfRule type="duplicateValues" dxfId="0" priority="723"/>
    <cfRule type="duplicateValues" dxfId="0" priority="722"/>
    <cfRule type="duplicateValues" dxfId="0" priority="671"/>
    <cfRule type="duplicateValues" dxfId="0" priority="672"/>
    <cfRule type="duplicateValues" dxfId="0" priority="673"/>
    <cfRule type="duplicateValues" dxfId="0" priority="674"/>
    <cfRule type="duplicateValues" dxfId="0" priority="675"/>
    <cfRule type="duplicateValues" dxfId="0" priority="720"/>
    <cfRule type="duplicateValues" dxfId="0" priority="670"/>
    <cfRule type="duplicateValues" dxfId="0" priority="669"/>
    <cfRule type="duplicateValues" dxfId="0" priority="668"/>
    <cfRule type="duplicateValues" dxfId="0" priority="667"/>
    <cfRule type="duplicateValues" dxfId="0" priority="666"/>
    <cfRule type="duplicateValues" dxfId="0" priority="676"/>
    <cfRule type="duplicateValues" dxfId="0" priority="664"/>
    <cfRule type="duplicateValues" dxfId="0" priority="677"/>
    <cfRule type="duplicateValues" dxfId="0" priority="678"/>
    <cfRule type="duplicateValues" dxfId="0" priority="679"/>
    <cfRule type="duplicateValues" dxfId="0" priority="680"/>
    <cfRule type="duplicateValues" dxfId="0" priority="681"/>
    <cfRule type="duplicateValues" dxfId="0" priority="682"/>
    <cfRule type="duplicateValues" dxfId="0" priority="683"/>
    <cfRule type="duplicateValues" dxfId="0" priority="684"/>
    <cfRule type="duplicateValues" dxfId="0" priority="685"/>
    <cfRule type="duplicateValues" dxfId="0" priority="686"/>
    <cfRule type="duplicateValues" dxfId="0" priority="687"/>
    <cfRule type="duplicateValues" dxfId="0" priority="665"/>
    <cfRule type="duplicateValues" dxfId="0" priority="688"/>
    <cfRule type="duplicateValues" dxfId="0" priority="689"/>
    <cfRule type="duplicateValues" dxfId="0" priority="690"/>
    <cfRule type="duplicateValues" dxfId="0" priority="691"/>
    <cfRule type="duplicateValues" dxfId="0" priority="721"/>
    <cfRule type="duplicateValues" dxfId="0" priority="692"/>
    <cfRule type="duplicateValues" dxfId="0" priority="693"/>
    <cfRule type="duplicateValues" dxfId="0" priority="694"/>
    <cfRule type="duplicateValues" dxfId="0" priority="695"/>
    <cfRule type="duplicateValues" dxfId="0" priority="696"/>
    <cfRule type="duplicateValues" dxfId="0" priority="697"/>
    <cfRule type="duplicateValues" dxfId="0" priority="698"/>
    <cfRule type="duplicateValues" dxfId="0" priority="715"/>
  </conditionalFormatting>
  <conditionalFormatting sqref="A410">
    <cfRule type="duplicateValues" dxfId="0" priority="548"/>
    <cfRule type="duplicateValues" dxfId="0" priority="549"/>
    <cfRule type="duplicateValues" dxfId="0" priority="550"/>
    <cfRule type="duplicateValues" dxfId="0" priority="551"/>
    <cfRule type="duplicateValues" dxfId="0" priority="552"/>
    <cfRule type="duplicateValues" dxfId="0" priority="553"/>
    <cfRule type="duplicateValues" dxfId="0" priority="554"/>
    <cfRule type="duplicateValues" dxfId="0" priority="555"/>
    <cfRule type="duplicateValues" dxfId="0" priority="556"/>
    <cfRule type="duplicateValues" dxfId="0" priority="557"/>
    <cfRule type="duplicateValues" dxfId="0" priority="558"/>
    <cfRule type="duplicateValues" dxfId="0" priority="559"/>
    <cfRule type="duplicateValues" dxfId="0" priority="560"/>
    <cfRule type="duplicateValues" dxfId="0" priority="561"/>
    <cfRule type="duplicateValues" dxfId="0" priority="562"/>
    <cfRule type="duplicateValues" dxfId="0" priority="563"/>
    <cfRule type="duplicateValues" dxfId="0" priority="564"/>
    <cfRule type="duplicateValues" dxfId="0" priority="565"/>
    <cfRule type="duplicateValues" dxfId="0" priority="566"/>
    <cfRule type="duplicateValues" dxfId="0" priority="567"/>
    <cfRule type="duplicateValues" dxfId="0" priority="568"/>
    <cfRule type="duplicateValues" dxfId="0" priority="569"/>
    <cfRule type="duplicateValues" dxfId="0" priority="570"/>
    <cfRule type="duplicateValues" dxfId="0" priority="572"/>
    <cfRule type="duplicateValues" dxfId="0" priority="573"/>
    <cfRule type="duplicateValues" dxfId="234" priority="512"/>
    <cfRule type="duplicateValues" dxfId="0" priority="513"/>
    <cfRule type="duplicateValues" dxfId="0" priority="514"/>
    <cfRule type="duplicateValues" dxfId="0" priority="578"/>
    <cfRule type="duplicateValues" dxfId="0" priority="579"/>
    <cfRule type="duplicateValues" dxfId="0" priority="580"/>
    <cfRule type="duplicateValues" dxfId="234" priority="515"/>
    <cfRule type="duplicateValues" dxfId="0" priority="571"/>
    <cfRule type="duplicateValues" dxfId="0" priority="581"/>
    <cfRule type="duplicateValues" dxfId="0" priority="574"/>
    <cfRule type="duplicateValues" dxfId="0" priority="575"/>
    <cfRule type="duplicateValues" dxfId="234" priority="516"/>
    <cfRule type="duplicateValues" dxfId="0" priority="576"/>
    <cfRule type="duplicateValues" dxfId="0" priority="577"/>
    <cfRule type="duplicateValues" dxfId="0" priority="517"/>
    <cfRule type="duplicateValues" dxfId="0" priority="518"/>
    <cfRule type="duplicateValues" dxfId="0" priority="519"/>
    <cfRule type="duplicateValues" dxfId="0" priority="520"/>
    <cfRule type="duplicateValues" dxfId="0" priority="521"/>
    <cfRule type="duplicateValues" dxfId="0" priority="522"/>
    <cfRule type="duplicateValues" dxfId="0" priority="523"/>
    <cfRule type="duplicateValues" dxfId="0" priority="524"/>
    <cfRule type="duplicateValues" dxfId="0" priority="525"/>
    <cfRule type="duplicateValues" dxfId="0" priority="526"/>
    <cfRule type="duplicateValues" dxfId="0" priority="527"/>
    <cfRule type="duplicateValues" dxfId="0" priority="528"/>
    <cfRule type="duplicateValues" dxfId="0" priority="529"/>
    <cfRule type="duplicateValues" dxfId="0" priority="530"/>
    <cfRule type="duplicateValues" dxfId="0" priority="531"/>
    <cfRule type="duplicateValues" dxfId="0" priority="532"/>
    <cfRule type="duplicateValues" dxfId="0" priority="533"/>
    <cfRule type="duplicateValues" dxfId="0" priority="534"/>
    <cfRule type="duplicateValues" dxfId="0" priority="535"/>
    <cfRule type="duplicateValues" dxfId="0" priority="536"/>
    <cfRule type="duplicateValues" dxfId="0" priority="537"/>
    <cfRule type="duplicateValues" dxfId="0" priority="538"/>
    <cfRule type="duplicateValues" dxfId="0" priority="539"/>
    <cfRule type="duplicateValues" dxfId="0" priority="540"/>
    <cfRule type="duplicateValues" dxfId="0" priority="541"/>
    <cfRule type="duplicateValues" dxfId="0" priority="542"/>
    <cfRule type="duplicateValues" dxfId="0" priority="543"/>
    <cfRule type="duplicateValues" dxfId="0" priority="544"/>
    <cfRule type="duplicateValues" dxfId="0" priority="582"/>
    <cfRule type="duplicateValues" dxfId="0" priority="545"/>
    <cfRule type="duplicateValues" dxfId="0" priority="546"/>
    <cfRule type="duplicateValues" dxfId="234" priority="638"/>
    <cfRule type="duplicateValues" dxfId="234" priority="637"/>
    <cfRule type="duplicateValues" dxfId="234" priority="636"/>
    <cfRule type="duplicateValues" dxfId="0" priority="635"/>
    <cfRule type="duplicateValues" dxfId="0" priority="634"/>
    <cfRule type="duplicateValues" dxfId="0" priority="633"/>
    <cfRule type="duplicateValues" dxfId="0" priority="632"/>
    <cfRule type="duplicateValues" dxfId="0" priority="631"/>
    <cfRule type="duplicateValues" dxfId="0" priority="630"/>
    <cfRule type="duplicateValues" dxfId="0" priority="629"/>
    <cfRule type="duplicateValues" dxfId="0" priority="628"/>
    <cfRule type="duplicateValues" dxfId="0" priority="547"/>
    <cfRule type="duplicateValues" dxfId="0" priority="626"/>
    <cfRule type="duplicateValues" dxfId="0" priority="625"/>
    <cfRule type="duplicateValues" dxfId="0" priority="624"/>
    <cfRule type="duplicateValues" dxfId="0" priority="623"/>
    <cfRule type="duplicateValues" dxfId="0" priority="622"/>
    <cfRule type="duplicateValues" dxfId="0" priority="621"/>
    <cfRule type="duplicateValues" dxfId="0" priority="620"/>
    <cfRule type="duplicateValues" dxfId="0" priority="619"/>
    <cfRule type="duplicateValues" dxfId="0" priority="618"/>
    <cfRule type="duplicateValues" dxfId="0" priority="617"/>
    <cfRule type="duplicateValues" dxfId="0" priority="616"/>
    <cfRule type="duplicateValues" dxfId="0" priority="615"/>
    <cfRule type="duplicateValues" dxfId="0" priority="614"/>
    <cfRule type="duplicateValues" dxfId="0" priority="613"/>
    <cfRule type="duplicateValues" dxfId="0" priority="612"/>
    <cfRule type="duplicateValues" dxfId="0" priority="611"/>
    <cfRule type="duplicateValues" dxfId="0" priority="610"/>
    <cfRule type="duplicateValues" dxfId="0" priority="609"/>
    <cfRule type="duplicateValues" dxfId="0" priority="608"/>
    <cfRule type="duplicateValues" dxfId="0" priority="607"/>
    <cfRule type="duplicateValues" dxfId="0" priority="606"/>
    <cfRule type="duplicateValues" dxfId="0" priority="605"/>
    <cfRule type="duplicateValues" dxfId="0" priority="604"/>
    <cfRule type="duplicateValues" dxfId="0" priority="603"/>
    <cfRule type="duplicateValues" dxfId="0" priority="602"/>
    <cfRule type="duplicateValues" dxfId="0" priority="601"/>
    <cfRule type="duplicateValues" dxfId="0" priority="600"/>
    <cfRule type="duplicateValues" dxfId="0" priority="599"/>
    <cfRule type="duplicateValues" dxfId="0" priority="598"/>
    <cfRule type="duplicateValues" dxfId="0" priority="597"/>
    <cfRule type="duplicateValues" dxfId="0" priority="596"/>
    <cfRule type="duplicateValues" dxfId="0" priority="595"/>
    <cfRule type="duplicateValues" dxfId="0" priority="594"/>
    <cfRule type="duplicateValues" dxfId="0" priority="593"/>
    <cfRule type="duplicateValues" dxfId="0" priority="592"/>
    <cfRule type="duplicateValues" dxfId="0" priority="591"/>
    <cfRule type="duplicateValues" dxfId="0" priority="590"/>
    <cfRule type="duplicateValues" dxfId="0" priority="589"/>
    <cfRule type="duplicateValues" dxfId="0" priority="588"/>
    <cfRule type="duplicateValues" dxfId="0" priority="587"/>
    <cfRule type="duplicateValues" dxfId="0" priority="586"/>
    <cfRule type="duplicateValues" dxfId="0" priority="585"/>
    <cfRule type="duplicateValues" dxfId="0" priority="584"/>
    <cfRule type="duplicateValues" dxfId="0" priority="583"/>
    <cfRule type="duplicateValues" dxfId="0" priority="627"/>
  </conditionalFormatting>
  <conditionalFormatting sqref="A416">
    <cfRule type="duplicateValues" dxfId="0" priority="500"/>
    <cfRule type="duplicateValues" dxfId="0" priority="501"/>
    <cfRule type="duplicateValues" dxfId="0" priority="502"/>
    <cfRule type="duplicateValues" dxfId="0" priority="503"/>
    <cfRule type="duplicateValues" dxfId="0" priority="504"/>
    <cfRule type="duplicateValues" dxfId="0" priority="505"/>
    <cfRule type="duplicateValues" dxfId="0" priority="506"/>
    <cfRule type="duplicateValues" dxfId="0" priority="507"/>
    <cfRule type="duplicateValues" dxfId="0" priority="508"/>
    <cfRule type="duplicateValues" dxfId="0" priority="509"/>
    <cfRule type="duplicateValues" dxfId="0" priority="510"/>
    <cfRule type="duplicateValues" dxfId="0" priority="511"/>
    <cfRule type="duplicateValues" dxfId="0" priority="487"/>
    <cfRule type="duplicateValues" dxfId="0" priority="488"/>
    <cfRule type="duplicateValues" dxfId="0" priority="489"/>
    <cfRule type="duplicateValues" dxfId="0" priority="490"/>
    <cfRule type="duplicateValues" dxfId="0" priority="491"/>
    <cfRule type="duplicateValues" dxfId="0" priority="492"/>
    <cfRule type="duplicateValues" dxfId="0" priority="493"/>
    <cfRule type="duplicateValues" dxfId="0" priority="494"/>
    <cfRule type="duplicateValues" dxfId="0" priority="495"/>
    <cfRule type="duplicateValues" dxfId="0" priority="496"/>
    <cfRule type="duplicateValues" dxfId="0" priority="497"/>
    <cfRule type="duplicateValues" dxfId="0" priority="498"/>
    <cfRule type="duplicateValues" dxfId="0" priority="499"/>
  </conditionalFormatting>
  <conditionalFormatting sqref="A417:A419">
    <cfRule type="duplicateValues" dxfId="0" priority="449"/>
    <cfRule type="duplicateValues" dxfId="0" priority="448"/>
    <cfRule type="duplicateValues" dxfId="0" priority="447"/>
    <cfRule type="duplicateValues" dxfId="0" priority="446"/>
    <cfRule type="duplicateValues" dxfId="0" priority="445"/>
    <cfRule type="duplicateValues" dxfId="0" priority="443"/>
    <cfRule type="duplicateValues" dxfId="0" priority="442"/>
    <cfRule type="duplicateValues" dxfId="0" priority="441"/>
    <cfRule type="duplicateValues" dxfId="0" priority="440"/>
    <cfRule type="duplicateValues" dxfId="0" priority="439"/>
    <cfRule type="duplicateValues" dxfId="0" priority="438"/>
    <cfRule type="duplicateValues" dxfId="0" priority="437"/>
    <cfRule type="duplicateValues" dxfId="0" priority="444"/>
    <cfRule type="duplicateValues" dxfId="0" priority="486"/>
    <cfRule type="duplicateValues" dxfId="0" priority="485"/>
    <cfRule type="duplicateValues" dxfId="0" priority="484"/>
    <cfRule type="duplicateValues" dxfId="0" priority="483"/>
    <cfRule type="duplicateValues" dxfId="0" priority="482"/>
    <cfRule type="duplicateValues" dxfId="0" priority="481"/>
    <cfRule type="duplicateValues" dxfId="0" priority="480"/>
    <cfRule type="duplicateValues" dxfId="0" priority="479"/>
    <cfRule type="duplicateValues" dxfId="0" priority="478"/>
    <cfRule type="duplicateValues" dxfId="0" priority="477"/>
    <cfRule type="duplicateValues" dxfId="0" priority="476"/>
    <cfRule type="duplicateValues" dxfId="0" priority="475"/>
    <cfRule type="duplicateValues" dxfId="0" priority="474"/>
    <cfRule type="duplicateValues" dxfId="0" priority="473"/>
    <cfRule type="duplicateValues" dxfId="0" priority="472"/>
    <cfRule type="duplicateValues" dxfId="0" priority="471"/>
    <cfRule type="duplicateValues" dxfId="0" priority="470"/>
    <cfRule type="duplicateValues" dxfId="0" priority="469"/>
    <cfRule type="duplicateValues" dxfId="0" priority="468"/>
    <cfRule type="duplicateValues" dxfId="0" priority="467"/>
    <cfRule type="duplicateValues" dxfId="0" priority="466"/>
    <cfRule type="duplicateValues" dxfId="0" priority="465"/>
    <cfRule type="duplicateValues" dxfId="0" priority="464"/>
    <cfRule type="duplicateValues" dxfId="0" priority="463"/>
    <cfRule type="duplicateValues" dxfId="0" priority="462"/>
    <cfRule type="duplicateValues" dxfId="0" priority="461"/>
    <cfRule type="duplicateValues" dxfId="0" priority="460"/>
    <cfRule type="duplicateValues" dxfId="0" priority="459"/>
    <cfRule type="duplicateValues" dxfId="0" priority="458"/>
    <cfRule type="duplicateValues" dxfId="0" priority="457"/>
    <cfRule type="duplicateValues" dxfId="0" priority="456"/>
    <cfRule type="duplicateValues" dxfId="0" priority="455"/>
    <cfRule type="duplicateValues" dxfId="0" priority="454"/>
    <cfRule type="duplicateValues" dxfId="0" priority="453"/>
    <cfRule type="duplicateValues" dxfId="0" priority="452"/>
    <cfRule type="duplicateValues" dxfId="0" priority="451"/>
    <cfRule type="duplicateValues" dxfId="0" priority="436"/>
    <cfRule type="duplicateValues" dxfId="0" priority="435"/>
    <cfRule type="duplicateValues" dxfId="0" priority="434"/>
    <cfRule type="duplicateValues" dxfId="0" priority="433"/>
    <cfRule type="duplicateValues" dxfId="0" priority="432"/>
    <cfRule type="duplicateValues" dxfId="0" priority="431"/>
    <cfRule type="duplicateValues" dxfId="0" priority="430"/>
    <cfRule type="duplicateValues" dxfId="0" priority="429"/>
    <cfRule type="duplicateValues" dxfId="0" priority="428"/>
    <cfRule type="duplicateValues" dxfId="0" priority="450"/>
    <cfRule type="duplicateValues" dxfId="0" priority="426"/>
    <cfRule type="duplicateValues" dxfId="0" priority="425"/>
    <cfRule type="duplicateValues" dxfId="0" priority="424"/>
    <cfRule type="duplicateValues" dxfId="0" priority="423"/>
    <cfRule type="duplicateValues" dxfId="0" priority="422"/>
    <cfRule type="duplicateValues" dxfId="0" priority="421"/>
    <cfRule type="duplicateValues" dxfId="0" priority="420"/>
    <cfRule type="duplicateValues" dxfId="0" priority="419"/>
    <cfRule type="duplicateValues" dxfId="0" priority="418"/>
    <cfRule type="duplicateValues" dxfId="0" priority="417"/>
    <cfRule type="duplicateValues" dxfId="0" priority="416"/>
    <cfRule type="duplicateValues" dxfId="0" priority="415"/>
    <cfRule type="duplicateValues" dxfId="0" priority="414"/>
    <cfRule type="duplicateValues" dxfId="0" priority="413"/>
    <cfRule type="duplicateValues" dxfId="0" priority="412"/>
    <cfRule type="duplicateValues" dxfId="0" priority="411"/>
    <cfRule type="duplicateValues" dxfId="0" priority="410"/>
    <cfRule type="duplicateValues" dxfId="0" priority="409"/>
    <cfRule type="duplicateValues" dxfId="0" priority="408"/>
    <cfRule type="duplicateValues" dxfId="0" priority="407"/>
    <cfRule type="duplicateValues" dxfId="0" priority="427"/>
  </conditionalFormatting>
  <conditionalFormatting sqref="A420">
    <cfRule type="duplicateValues" dxfId="0" priority="405"/>
    <cfRule type="duplicateValues" dxfId="0" priority="404"/>
    <cfRule type="duplicateValues" dxfId="0" priority="403"/>
    <cfRule type="duplicateValues" dxfId="0" priority="402"/>
    <cfRule type="duplicateValues" dxfId="0" priority="401"/>
    <cfRule type="duplicateValues" dxfId="0" priority="400"/>
    <cfRule type="duplicateValues" dxfId="0" priority="399"/>
    <cfRule type="duplicateValues" dxfId="0" priority="398"/>
    <cfRule type="duplicateValues" dxfId="0" priority="397"/>
    <cfRule type="duplicateValues" dxfId="0" priority="396"/>
    <cfRule type="duplicateValues" dxfId="0" priority="395"/>
    <cfRule type="duplicateValues" dxfId="0" priority="394"/>
    <cfRule type="duplicateValues" dxfId="0" priority="393"/>
    <cfRule type="duplicateValues" dxfId="0" priority="392"/>
    <cfRule type="duplicateValues" dxfId="0" priority="391"/>
    <cfRule type="duplicateValues" dxfId="0" priority="390"/>
    <cfRule type="duplicateValues" dxfId="0" priority="389"/>
    <cfRule type="duplicateValues" dxfId="0" priority="388"/>
    <cfRule type="duplicateValues" dxfId="0" priority="387"/>
    <cfRule type="duplicateValues" dxfId="0" priority="386"/>
    <cfRule type="duplicateValues" dxfId="0" priority="385"/>
    <cfRule type="duplicateValues" dxfId="0" priority="384"/>
    <cfRule type="duplicateValues" dxfId="0" priority="383"/>
    <cfRule type="duplicateValues" dxfId="0" priority="382"/>
    <cfRule type="duplicateValues" dxfId="0" priority="381"/>
    <cfRule type="duplicateValues" dxfId="0" priority="380"/>
    <cfRule type="duplicateValues" dxfId="0" priority="379"/>
    <cfRule type="duplicateValues" dxfId="0" priority="378"/>
    <cfRule type="duplicateValues" dxfId="0" priority="377"/>
    <cfRule type="duplicateValues" dxfId="0" priority="376"/>
    <cfRule type="duplicateValues" dxfId="0" priority="375"/>
    <cfRule type="duplicateValues" dxfId="0" priority="374"/>
    <cfRule type="duplicateValues" dxfId="0" priority="373"/>
    <cfRule type="duplicateValues" dxfId="0" priority="372"/>
    <cfRule type="duplicateValues" dxfId="0" priority="371"/>
    <cfRule type="duplicateValues" dxfId="0" priority="370"/>
    <cfRule type="duplicateValues" dxfId="0" priority="369"/>
    <cfRule type="duplicateValues" dxfId="0" priority="368"/>
    <cfRule type="duplicateValues" dxfId="0" priority="367"/>
    <cfRule type="duplicateValues" dxfId="0" priority="366"/>
    <cfRule type="duplicateValues" dxfId="0" priority="365"/>
    <cfRule type="duplicateValues" dxfId="0" priority="364"/>
    <cfRule type="duplicateValues" dxfId="0" priority="363"/>
    <cfRule type="duplicateValues" dxfId="0" priority="362"/>
    <cfRule type="duplicateValues" dxfId="0" priority="361"/>
    <cfRule type="duplicateValues" dxfId="0" priority="360"/>
    <cfRule type="duplicateValues" dxfId="0" priority="359"/>
    <cfRule type="duplicateValues" dxfId="0" priority="358"/>
    <cfRule type="duplicateValues" dxfId="0" priority="357"/>
    <cfRule type="duplicateValues" dxfId="0" priority="356"/>
    <cfRule type="duplicateValues" dxfId="0" priority="355"/>
    <cfRule type="duplicateValues" dxfId="0" priority="354"/>
    <cfRule type="duplicateValues" dxfId="0" priority="406"/>
    <cfRule type="duplicateValues" dxfId="0" priority="352"/>
    <cfRule type="duplicateValues" dxfId="0" priority="351"/>
    <cfRule type="duplicateValues" dxfId="0" priority="350"/>
    <cfRule type="duplicateValues" dxfId="0" priority="349"/>
    <cfRule type="duplicateValues" dxfId="0" priority="348"/>
    <cfRule type="duplicateValues" dxfId="0" priority="347"/>
    <cfRule type="duplicateValues" dxfId="0" priority="346"/>
    <cfRule type="duplicateValues" dxfId="0" priority="345"/>
    <cfRule type="duplicateValues" dxfId="0" priority="344"/>
    <cfRule type="duplicateValues" dxfId="0" priority="343"/>
    <cfRule type="duplicateValues" dxfId="0" priority="342"/>
    <cfRule type="duplicateValues" dxfId="0" priority="341"/>
    <cfRule type="duplicateValues" dxfId="0" priority="340"/>
    <cfRule type="duplicateValues" dxfId="0" priority="339"/>
    <cfRule type="duplicateValues" dxfId="0" priority="338"/>
    <cfRule type="duplicateValues" dxfId="0" priority="337"/>
    <cfRule type="duplicateValues" dxfId="0" priority="336"/>
    <cfRule type="duplicateValues" dxfId="0" priority="335"/>
    <cfRule type="duplicateValues" dxfId="0" priority="334"/>
    <cfRule type="duplicateValues" dxfId="0" priority="333"/>
    <cfRule type="duplicateValues" dxfId="0" priority="332"/>
    <cfRule type="duplicateValues" dxfId="0" priority="331"/>
    <cfRule type="duplicateValues" dxfId="0" priority="330"/>
    <cfRule type="duplicateValues" dxfId="0" priority="329"/>
    <cfRule type="duplicateValues" dxfId="0" priority="328"/>
    <cfRule type="duplicateValues" dxfId="0" priority="327"/>
    <cfRule type="duplicateValues" dxfId="0" priority="326"/>
    <cfRule type="duplicateValues" dxfId="0" priority="325"/>
    <cfRule type="duplicateValues" dxfId="0" priority="324"/>
    <cfRule type="duplicateValues" dxfId="0" priority="323"/>
    <cfRule type="duplicateValues" dxfId="0" priority="322"/>
    <cfRule type="duplicateValues" dxfId="0" priority="321"/>
    <cfRule type="duplicateValues" dxfId="0" priority="320"/>
    <cfRule type="duplicateValues" dxfId="0" priority="319"/>
    <cfRule type="duplicateValues" dxfId="0" priority="318"/>
    <cfRule type="duplicateValues" dxfId="0" priority="317"/>
    <cfRule type="duplicateValues" dxfId="0" priority="316"/>
    <cfRule type="duplicateValues" dxfId="0" priority="315"/>
    <cfRule type="duplicateValues" dxfId="0" priority="314"/>
    <cfRule type="duplicateValues" dxfId="0" priority="313"/>
    <cfRule type="duplicateValues" dxfId="0" priority="312"/>
    <cfRule type="duplicateValues" dxfId="0" priority="311"/>
    <cfRule type="duplicateValues" dxfId="0" priority="310"/>
    <cfRule type="duplicateValues" dxfId="0" priority="309"/>
    <cfRule type="duplicateValues" dxfId="0" priority="308"/>
    <cfRule type="duplicateValues" dxfId="0" priority="307"/>
    <cfRule type="duplicateValues" dxfId="0" priority="306"/>
    <cfRule type="duplicateValues" dxfId="0" priority="305"/>
    <cfRule type="duplicateValues" dxfId="0" priority="304"/>
    <cfRule type="duplicateValues" dxfId="0" priority="303"/>
    <cfRule type="duplicateValues" dxfId="0" priority="302"/>
    <cfRule type="duplicateValues" dxfId="0" priority="301"/>
    <cfRule type="duplicateValues" dxfId="0" priority="300"/>
    <cfRule type="duplicateValues" dxfId="0" priority="299"/>
    <cfRule type="duplicateValues" dxfId="0" priority="298"/>
    <cfRule type="duplicateValues" dxfId="0" priority="297"/>
    <cfRule type="duplicateValues" dxfId="0" priority="296"/>
    <cfRule type="duplicateValues" dxfId="0" priority="295"/>
    <cfRule type="duplicateValues" dxfId="0" priority="294"/>
    <cfRule type="duplicateValues" dxfId="0" priority="293"/>
    <cfRule type="duplicateValues" dxfId="0" priority="292"/>
    <cfRule type="duplicateValues" dxfId="0" priority="291"/>
    <cfRule type="duplicateValues" dxfId="0" priority="290"/>
    <cfRule type="duplicateValues" dxfId="0" priority="289"/>
    <cfRule type="duplicateValues" dxfId="0" priority="288"/>
    <cfRule type="duplicateValues" dxfId="234" priority="287"/>
    <cfRule type="duplicateValues" dxfId="234" priority="286"/>
    <cfRule type="duplicateValues" dxfId="234" priority="285"/>
    <cfRule type="duplicateValues" dxfId="234" priority="284"/>
    <cfRule type="duplicateValues" dxfId="234" priority="283"/>
    <cfRule type="duplicateValues" dxfId="0" priority="282"/>
    <cfRule type="duplicateValues" dxfId="0" priority="281"/>
    <cfRule type="duplicateValues" dxfId="234" priority="280"/>
    <cfRule type="duplicateValues" dxfId="0" priority="353"/>
  </conditionalFormatting>
  <conditionalFormatting sqref="A425">
    <cfRule type="duplicateValues" dxfId="0" priority="257"/>
    <cfRule type="duplicateValues" dxfId="0" priority="279"/>
    <cfRule type="duplicateValues" dxfId="0" priority="278"/>
    <cfRule type="duplicateValues" dxfId="0" priority="277"/>
    <cfRule type="duplicateValues" dxfId="0" priority="276"/>
    <cfRule type="duplicateValues" dxfId="0" priority="275"/>
    <cfRule type="duplicateValues" dxfId="0" priority="274"/>
    <cfRule type="duplicateValues" dxfId="0" priority="273"/>
    <cfRule type="duplicateValues" dxfId="0" priority="272"/>
    <cfRule type="duplicateValues" dxfId="0" priority="271"/>
    <cfRule type="duplicateValues" dxfId="0" priority="270"/>
    <cfRule type="duplicateValues" dxfId="0" priority="269"/>
    <cfRule type="duplicateValues" dxfId="0" priority="268"/>
    <cfRule type="duplicateValues" dxfId="0" priority="267"/>
    <cfRule type="duplicateValues" dxfId="0" priority="266"/>
    <cfRule type="duplicateValues" dxfId="0" priority="265"/>
    <cfRule type="duplicateValues" dxfId="0" priority="264"/>
    <cfRule type="duplicateValues" dxfId="0" priority="263"/>
    <cfRule type="duplicateValues" dxfId="0" priority="262"/>
    <cfRule type="duplicateValues" dxfId="0" priority="261"/>
    <cfRule type="duplicateValues" dxfId="0" priority="260"/>
    <cfRule type="duplicateValues" dxfId="0" priority="259"/>
    <cfRule type="duplicateValues" dxfId="0" priority="258"/>
    <cfRule type="duplicateValues" dxfId="0" priority="256"/>
    <cfRule type="duplicateValues" dxfId="0" priority="255"/>
    <cfRule type="duplicateValues" dxfId="0" priority="254"/>
    <cfRule type="duplicateValues" dxfId="0" priority="253"/>
    <cfRule type="duplicateValues" dxfId="0" priority="252"/>
    <cfRule type="duplicateValues" dxfId="0" priority="251"/>
    <cfRule type="duplicateValues" dxfId="0" priority="250"/>
    <cfRule type="duplicateValues" dxfId="0" priority="249"/>
    <cfRule type="duplicateValues" dxfId="0" priority="248"/>
    <cfRule type="duplicateValues" dxfId="0" priority="247"/>
    <cfRule type="duplicateValues" dxfId="0" priority="246"/>
    <cfRule type="duplicateValues" dxfId="0" priority="245"/>
    <cfRule type="duplicateValues" dxfId="0" priority="244"/>
    <cfRule type="duplicateValues" dxfId="0" priority="243"/>
    <cfRule type="duplicateValues" dxfId="0" priority="242"/>
    <cfRule type="duplicateValues" dxfId="0" priority="241"/>
    <cfRule type="duplicateValues" dxfId="0" priority="240"/>
    <cfRule type="duplicateValues" dxfId="0" priority="239"/>
    <cfRule type="duplicateValues" dxfId="0" priority="238"/>
    <cfRule type="duplicateValues" dxfId="0" priority="237"/>
    <cfRule type="duplicateValues" dxfId="0" priority="236"/>
    <cfRule type="duplicateValues" dxfId="0" priority="235"/>
    <cfRule type="duplicateValues" dxfId="0" priority="234"/>
    <cfRule type="duplicateValues" dxfId="0" priority="233"/>
    <cfRule type="duplicateValues" dxfId="0" priority="232"/>
    <cfRule type="duplicateValues" dxfId="0" priority="231"/>
    <cfRule type="duplicateValues" dxfId="0" priority="229"/>
    <cfRule type="duplicateValues" dxfId="0" priority="228"/>
    <cfRule type="duplicateValues" dxfId="0" priority="227"/>
    <cfRule type="duplicateValues" dxfId="0" priority="226"/>
    <cfRule type="duplicateValues" dxfId="0" priority="225"/>
    <cfRule type="duplicateValues" dxfId="0" priority="224"/>
    <cfRule type="duplicateValues" dxfId="0" priority="223"/>
    <cfRule type="duplicateValues" dxfId="0" priority="222"/>
    <cfRule type="duplicateValues" dxfId="0" priority="221"/>
    <cfRule type="duplicateValues" dxfId="0" priority="220"/>
    <cfRule type="duplicateValues" dxfId="0" priority="219"/>
    <cfRule type="duplicateValues" dxfId="0" priority="218"/>
    <cfRule type="duplicateValues" dxfId="0" priority="217"/>
    <cfRule type="duplicateValues" dxfId="0" priority="216"/>
    <cfRule type="duplicateValues" dxfId="0" priority="215"/>
    <cfRule type="duplicateValues" dxfId="0" priority="214"/>
    <cfRule type="duplicateValues" dxfId="0" priority="213"/>
    <cfRule type="duplicateValues" dxfId="0" priority="212"/>
    <cfRule type="duplicateValues" dxfId="0" priority="211"/>
    <cfRule type="duplicateValues" dxfId="0" priority="210"/>
    <cfRule type="duplicateValues" dxfId="0" priority="209"/>
    <cfRule type="duplicateValues" dxfId="0" priority="208"/>
    <cfRule type="duplicateValues" dxfId="0" priority="207"/>
    <cfRule type="duplicateValues" dxfId="0" priority="206"/>
    <cfRule type="duplicateValues" dxfId="0" priority="205"/>
    <cfRule type="duplicateValues" dxfId="0" priority="204"/>
    <cfRule type="duplicateValues" dxfId="0" priority="203"/>
    <cfRule type="duplicateValues" dxfId="0" priority="202"/>
    <cfRule type="duplicateValues" dxfId="0" priority="201"/>
    <cfRule type="duplicateValues" dxfId="0" priority="200"/>
    <cfRule type="duplicateValues" dxfId="0" priority="199"/>
    <cfRule type="duplicateValues" dxfId="0" priority="198"/>
    <cfRule type="duplicateValues" dxfId="0" priority="197"/>
    <cfRule type="duplicateValues" dxfId="0" priority="196"/>
    <cfRule type="duplicateValues" dxfId="0" priority="195"/>
    <cfRule type="duplicateValues" dxfId="0" priority="194"/>
    <cfRule type="duplicateValues" dxfId="0" priority="193"/>
    <cfRule type="duplicateValues" dxfId="0" priority="192"/>
    <cfRule type="duplicateValues" dxfId="0" priority="191"/>
    <cfRule type="duplicateValues" dxfId="0" priority="190"/>
    <cfRule type="duplicateValues" dxfId="0" priority="189"/>
    <cfRule type="duplicateValues" dxfId="0" priority="188"/>
    <cfRule type="duplicateValues" dxfId="0" priority="187"/>
    <cfRule type="duplicateValues" dxfId="0" priority="186"/>
    <cfRule type="duplicateValues" dxfId="0" priority="185"/>
    <cfRule type="duplicateValues" dxfId="0" priority="184"/>
    <cfRule type="duplicateValues" dxfId="0" priority="183"/>
    <cfRule type="duplicateValues" dxfId="0" priority="182"/>
    <cfRule type="duplicateValues" dxfId="0" priority="181"/>
    <cfRule type="duplicateValues" dxfId="0" priority="180"/>
    <cfRule type="duplicateValues" dxfId="0" priority="179"/>
    <cfRule type="duplicateValues" dxfId="0" priority="178"/>
    <cfRule type="duplicateValues" dxfId="0" priority="177"/>
    <cfRule type="duplicateValues" dxfId="0" priority="176"/>
    <cfRule type="duplicateValues" dxfId="0" priority="175"/>
    <cfRule type="duplicateValues" dxfId="0" priority="174"/>
    <cfRule type="duplicateValues" dxfId="0" priority="173"/>
    <cfRule type="duplicateValues" dxfId="0" priority="172"/>
    <cfRule type="duplicateValues" dxfId="0" priority="171"/>
    <cfRule type="duplicateValues" dxfId="0" priority="170"/>
    <cfRule type="duplicateValues" dxfId="0" priority="169"/>
    <cfRule type="duplicateValues" dxfId="0" priority="168"/>
    <cfRule type="duplicateValues" dxfId="0" priority="167"/>
    <cfRule type="duplicateValues" dxfId="0" priority="166"/>
    <cfRule type="duplicateValues" dxfId="0" priority="165"/>
    <cfRule type="duplicateValues" dxfId="0" priority="164"/>
    <cfRule type="duplicateValues" dxfId="0" priority="163"/>
    <cfRule type="duplicateValues" dxfId="0" priority="162"/>
    <cfRule type="duplicateValues" dxfId="0" priority="161"/>
    <cfRule type="duplicateValues" dxfId="234" priority="160"/>
    <cfRule type="duplicateValues" dxfId="234" priority="159"/>
    <cfRule type="duplicateValues" dxfId="234" priority="158"/>
    <cfRule type="duplicateValues" dxfId="234" priority="157"/>
    <cfRule type="duplicateValues" dxfId="234" priority="156"/>
    <cfRule type="duplicateValues" dxfId="0" priority="155"/>
    <cfRule type="duplicateValues" dxfId="0" priority="154"/>
    <cfRule type="duplicateValues" dxfId="0" priority="230"/>
    <cfRule type="duplicateValues" dxfId="234" priority="153"/>
  </conditionalFormatting>
  <conditionalFormatting sqref="A425:A426">
    <cfRule type="duplicateValues" dxfId="234" priority="151"/>
    <cfRule type="duplicateValues" dxfId="234" priority="150"/>
    <cfRule type="duplicateValues" dxfId="234" priority="152"/>
  </conditionalFormatting>
  <conditionalFormatting sqref="A428">
    <cfRule type="duplicateValues" dxfId="234" priority="6"/>
    <cfRule type="duplicateValues" dxfId="234" priority="5"/>
    <cfRule type="duplicateValues" dxfId="234" priority="4"/>
    <cfRule type="duplicateValues" dxfId="0" priority="3"/>
    <cfRule type="duplicateValues" dxfId="0" priority="2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234" priority="11"/>
    <cfRule type="duplicateValues" dxfId="234" priority="10"/>
    <cfRule type="duplicateValues" dxfId="234" priority="9"/>
    <cfRule type="duplicateValues" dxfId="234" priority="1"/>
    <cfRule type="duplicateValues" dxfId="234" priority="8"/>
    <cfRule type="duplicateValues" dxfId="234" priority="7"/>
    <cfRule type="duplicateValues" dxfId="0" priority="21"/>
    <cfRule type="duplicateValues" dxfId="0" priority="130"/>
    <cfRule type="duplicateValues" dxfId="0" priority="129"/>
    <cfRule type="duplicateValues" dxfId="0" priority="128"/>
    <cfRule type="duplicateValues" dxfId="0" priority="127"/>
    <cfRule type="duplicateValues" dxfId="0" priority="126"/>
    <cfRule type="duplicateValues" dxfId="0" priority="125"/>
    <cfRule type="duplicateValues" dxfId="0" priority="124"/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09"/>
    <cfRule type="duplicateValues" dxfId="0" priority="111"/>
    <cfRule type="duplicateValues" dxfId="0" priority="110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39"/>
    <cfRule type="duplicateValues" dxfId="0" priority="20"/>
    <cfRule type="duplicateValues" dxfId="0" priority="19"/>
  </conditionalFormatting>
  <conditionalFormatting sqref="A428:A432">
    <cfRule type="duplicateValues" dxfId="234" priority="131"/>
  </conditionalFormatting>
  <conditionalFormatting sqref="A433:A1048576 A1 A366:A371">
    <cfRule type="duplicateValues" dxfId="0" priority="612043"/>
  </conditionalFormatting>
  <conditionalFormatting sqref="A433:A1048576 A1:A371">
    <cfRule type="duplicateValues" dxfId="234" priority="612048"/>
  </conditionalFormatting>
  <conditionalFormatting sqref="A433:A1048576 A1:A375">
    <cfRule type="duplicateValues" dxfId="234" priority="612052"/>
  </conditionalFormatting>
  <conditionalFormatting sqref="A433:A1048576 A1:A380">
    <cfRule type="duplicateValues" dxfId="234" priority="1085"/>
  </conditionalFormatting>
  <conditionalFormatting sqref="A433:A1048576 A1:A383">
    <cfRule type="duplicateValues" dxfId="234" priority="1084"/>
    <cfRule type="duplicateValues" dxfId="234" priority="1083"/>
    <cfRule type="duplicateValues" dxfId="234" priority="1082"/>
    <cfRule type="duplicateValues" dxfId="234" priority="1081"/>
    <cfRule type="duplicateValues" dxfId="234" priority="1080"/>
    <cfRule type="duplicateValues" dxfId="234" priority="1079"/>
    <cfRule type="duplicateValues" dxfId="234" priority="1078"/>
  </conditionalFormatting>
  <conditionalFormatting sqref="A433:A1048576 A1:A399 A401:A403">
    <cfRule type="duplicateValues" dxfId="234" priority="875"/>
  </conditionalFormatting>
  <conditionalFormatting sqref="A433:A1048576 A1:A403">
    <cfRule type="duplicateValues" dxfId="234" priority="871"/>
    <cfRule type="duplicateValues" dxfId="234" priority="872"/>
    <cfRule type="duplicateValues" dxfId="234" priority="874"/>
  </conditionalFormatting>
  <conditionalFormatting sqref="A433:A1048576 A1:A427">
    <cfRule type="duplicateValues" dxfId="234" priority="149"/>
  </conditionalFormatting>
  <hyperlinks>
    <hyperlink ref="N4" r:id="rId1"/>
    <hyperlink ref="N5" r:id="rId2"/>
    <hyperlink ref="N6" r:id="rId3"/>
    <hyperlink ref="N7" r:id="rId4"/>
    <hyperlink ref="N8" r:id="rId5"/>
    <hyperlink ref="N9" r:id="rId6"/>
    <hyperlink ref="N10" r:id="rId7"/>
    <hyperlink ref="N12" r:id="rId8"/>
    <hyperlink ref="N13" r:id="rId9"/>
    <hyperlink ref="N18" r:id="rId10"/>
    <hyperlink ref="N19" r:id="rId11"/>
    <hyperlink ref="N20" r:id="rId12"/>
    <hyperlink ref="N21" r:id="rId13"/>
    <hyperlink ref="N22" r:id="rId14"/>
    <hyperlink ref="N23" r:id="rId15"/>
    <hyperlink ref="N26" r:id="rId16"/>
    <hyperlink ref="N27" r:id="rId17"/>
    <hyperlink ref="N28" r:id="rId18"/>
    <hyperlink ref="N29" r:id="rId19"/>
    <hyperlink ref="N30" r:id="rId20"/>
  </hyperlinks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P54"/>
  <sheetViews>
    <sheetView showGridLines="0" zoomScale="98" zoomScaleNormal="98" workbookViewId="0">
      <pane xSplit="4" ySplit="1" topLeftCell="K44" activePane="bottomRight" state="frozen"/>
      <selection pane="topRight"/>
      <selection pane="bottomLeft"/>
      <selection pane="bottomRight" activeCell="C1" sqref="C1"/>
    </sheetView>
  </sheetViews>
  <sheetFormatPr defaultColWidth="9.109375" defaultRowHeight="25.05" customHeight="1"/>
  <cols>
    <col min="1" max="1" bestFit="1" width="11.77734375" customWidth="1" style="58"/>
    <col min="2" max="2" width="15.109375" customWidth="1" style="58"/>
    <col min="3" max="3" width="27.5546875" customWidth="1" style="58"/>
    <col min="4" max="4" width="13" customWidth="1" style="58"/>
    <col min="5" max="5" width="18.21875" customWidth="1" style="58"/>
    <col min="6" max="6" width="16.77734375" customWidth="1" style="58"/>
    <col min="7" max="7" width="46" customWidth="1" style="58"/>
    <col min="8" max="8" width="28" customWidth="1" style="58"/>
    <col min="9" max="9" width="16.109375" customWidth="1" style="58"/>
    <col min="10" max="10" width="18" customWidth="1" style="58"/>
    <col min="11" max="11" width="32.77734375" customWidth="1" style="58"/>
    <col min="12" max="12" width="30.109375" customWidth="1" style="58"/>
    <col min="13" max="13" width="21.77734375" customWidth="1" style="58"/>
    <col min="14" max="14" width="27.5546875" customWidth="1" style="58"/>
    <col min="15" max="15" width="26.5546875" customWidth="1" style="58"/>
    <col min="16" max="17" width="11.77734375" customWidth="1" style="58"/>
    <col min="18" max="18" width="10.77734375" customWidth="1" style="58"/>
    <col min="19" max="16384" width="9.109375" customWidth="1" style="58"/>
  </cols>
  <sheetData>
    <row r="1" ht="25.05" customHeight="1">
      <c r="A1" s="59" t="s">
        <v>7124</v>
      </c>
      <c r="B1" s="59" t="s">
        <v>2</v>
      </c>
      <c r="C1" s="59" t="s">
        <v>6786</v>
      </c>
      <c r="D1" s="59" t="s">
        <v>23</v>
      </c>
      <c r="E1" s="59" t="s">
        <v>6</v>
      </c>
      <c r="F1" s="59" t="s">
        <v>10</v>
      </c>
      <c r="G1" s="59" t="s">
        <v>6811</v>
      </c>
      <c r="H1" s="59" t="s">
        <v>6812</v>
      </c>
      <c r="I1" s="59" t="s">
        <v>6813</v>
      </c>
      <c r="J1" s="59" t="s">
        <v>6815</v>
      </c>
      <c r="K1" s="59" t="s">
        <v>7211</v>
      </c>
      <c r="L1" s="59" t="s">
        <v>7212</v>
      </c>
      <c r="M1" s="59" t="s">
        <v>7213</v>
      </c>
      <c r="N1" s="59" t="s">
        <v>34</v>
      </c>
      <c r="O1" s="59" t="s">
        <v>6824</v>
      </c>
      <c r="P1" s="59" t="s">
        <v>6825</v>
      </c>
      <c r="Q1" s="59" t="s">
        <v>6826</v>
      </c>
      <c r="R1" s="59" t="s">
        <v>7214</v>
      </c>
    </row>
    <row r="2" ht="14.4" s="53" customFormat="1">
      <c r="A2" s="55">
        <v>171052</v>
      </c>
      <c r="B2" s="55" t="s">
        <v>7136</v>
      </c>
      <c r="C2" s="55" t="s">
        <v>7215</v>
      </c>
      <c r="D2" s="55">
        <v>1853024234</v>
      </c>
      <c r="E2" s="55" t="s">
        <v>3486</v>
      </c>
      <c r="F2" s="55" t="s">
        <v>71</v>
      </c>
      <c r="G2" s="55" t="s">
        <v>3775</v>
      </c>
      <c r="H2" s="55" t="s">
        <v>2643</v>
      </c>
      <c r="I2" s="55" t="s">
        <v>74</v>
      </c>
      <c r="J2" s="56">
        <v>45065</v>
      </c>
      <c r="K2" s="56">
        <v>45068</v>
      </c>
      <c r="L2" s="56">
        <v>45070</v>
      </c>
      <c r="M2" s="55">
        <v>3</v>
      </c>
      <c r="N2" s="55" t="s">
        <v>3492</v>
      </c>
      <c r="O2" s="56" t="s">
        <v>93</v>
      </c>
      <c r="P2" s="56">
        <f>VLOOKUP(A2,Inactive!A:BI,61,0)</f>
        <v>45066</v>
      </c>
      <c r="Q2" s="56">
        <f>VLOOKUP(A2,'ID Block'!A:L,12,0)</f>
        <v>45066</v>
      </c>
      <c r="R2" s="55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</row>
    <row r="3" ht="14.4" s="53" customFormat="1">
      <c r="A3" s="55">
        <v>171034</v>
      </c>
      <c r="B3" s="55" t="s">
        <v>242</v>
      </c>
      <c r="C3" s="55" t="s">
        <v>3500</v>
      </c>
      <c r="D3" s="55">
        <v>1794515562</v>
      </c>
      <c r="E3" s="55" t="s">
        <v>68</v>
      </c>
      <c r="F3" s="55" t="s">
        <v>71</v>
      </c>
      <c r="G3" s="55" t="s">
        <v>3775</v>
      </c>
      <c r="H3" s="55" t="s">
        <v>3512</v>
      </c>
      <c r="I3" s="55" t="s">
        <v>74</v>
      </c>
      <c r="J3" s="56">
        <v>45041</v>
      </c>
      <c r="K3" s="56">
        <v>45042</v>
      </c>
      <c r="L3" s="56">
        <v>45046</v>
      </c>
      <c r="M3" s="55" t="s">
        <v>6885</v>
      </c>
      <c r="N3" s="55" t="s">
        <v>925</v>
      </c>
      <c r="O3" s="56" t="s">
        <v>93</v>
      </c>
      <c r="P3" s="56">
        <f>VLOOKUP(A3,Inactive!A:BI,61,0)</f>
        <v>45047</v>
      </c>
      <c r="Q3" s="56">
        <f>VLOOKUP(A3,'ID Block'!A:L,12,0)</f>
        <v>45047</v>
      </c>
      <c r="R3" s="55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</row>
    <row r="4" ht="14.4" s="53" customFormat="1">
      <c r="A4" s="55">
        <v>171047</v>
      </c>
      <c r="B4" s="55" t="s">
        <v>6840</v>
      </c>
      <c r="C4" s="55" t="s">
        <v>3523</v>
      </c>
      <c r="D4" s="55">
        <v>1743674224</v>
      </c>
      <c r="E4" s="55" t="s">
        <v>3486</v>
      </c>
      <c r="F4" s="55" t="s">
        <v>71</v>
      </c>
      <c r="G4" s="55" t="s">
        <v>6841</v>
      </c>
      <c r="H4" s="55" t="s">
        <v>2643</v>
      </c>
      <c r="I4" s="55" t="s">
        <v>74</v>
      </c>
      <c r="J4" s="56">
        <v>45077</v>
      </c>
      <c r="K4" s="56">
        <v>45082</v>
      </c>
      <c r="L4" s="56">
        <v>45084</v>
      </c>
      <c r="M4" s="55">
        <v>3</v>
      </c>
      <c r="N4" s="55" t="s">
        <v>925</v>
      </c>
      <c r="O4" s="56" t="s">
        <v>93</v>
      </c>
      <c r="P4" s="56">
        <f>VLOOKUP(A4,Inactive!A:BI,61,0)</f>
        <v>45082</v>
      </c>
      <c r="Q4" s="56">
        <f>VLOOKUP(A4,'ID Block'!A:L,12,0)</f>
        <v>45082</v>
      </c>
      <c r="R4" s="55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</row>
    <row r="5" ht="14.4" s="53" customFormat="1">
      <c r="A5" s="55">
        <v>171085</v>
      </c>
      <c r="B5" s="55" t="s">
        <v>3562</v>
      </c>
      <c r="C5" s="55" t="s">
        <v>3563</v>
      </c>
      <c r="D5" s="55">
        <v>1716403297</v>
      </c>
      <c r="E5" s="55" t="s">
        <v>67</v>
      </c>
      <c r="F5" s="55" t="s">
        <v>71</v>
      </c>
      <c r="G5" s="55" t="s">
        <v>155</v>
      </c>
      <c r="H5" s="55" t="s">
        <v>6857</v>
      </c>
      <c r="I5" s="55" t="s">
        <v>74</v>
      </c>
      <c r="J5" s="56">
        <v>45090</v>
      </c>
      <c r="K5" s="56">
        <v>45091</v>
      </c>
      <c r="L5" s="56">
        <v>45095</v>
      </c>
      <c r="M5" s="55" t="s">
        <v>6846</v>
      </c>
      <c r="N5" s="55" t="s">
        <v>925</v>
      </c>
      <c r="O5" s="56" t="s">
        <v>93</v>
      </c>
      <c r="P5" s="56">
        <f>VLOOKUP(A5,Inactive!A:BI,61,0)</f>
        <v>45091</v>
      </c>
      <c r="Q5" s="56">
        <f>VLOOKUP(A5,'ID Block'!A:L,12,0)</f>
        <v>45091</v>
      </c>
      <c r="R5" s="55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ht="14.4" s="53" customFormat="1">
      <c r="A6" s="55">
        <v>171089</v>
      </c>
      <c r="B6" s="55" t="s">
        <v>957</v>
      </c>
      <c r="C6" s="55" t="s">
        <v>3618</v>
      </c>
      <c r="D6" s="55">
        <v>1737211564</v>
      </c>
      <c r="E6" s="55" t="s">
        <v>3486</v>
      </c>
      <c r="F6" s="55" t="s">
        <v>71</v>
      </c>
      <c r="G6" s="55" t="s">
        <v>319</v>
      </c>
      <c r="H6" s="55" t="s">
        <v>2643</v>
      </c>
      <c r="I6" s="55" t="s">
        <v>74</v>
      </c>
      <c r="J6" s="56">
        <v>45116</v>
      </c>
      <c r="K6" s="56">
        <v>45117</v>
      </c>
      <c r="L6" s="56">
        <v>45119</v>
      </c>
      <c r="M6" s="55">
        <v>3</v>
      </c>
      <c r="N6" s="55" t="s">
        <v>3492</v>
      </c>
      <c r="O6" s="56" t="s">
        <v>93</v>
      </c>
      <c r="P6" s="56">
        <v>45117</v>
      </c>
      <c r="Q6" s="56">
        <f>VLOOKUP(A6,'ID Block'!A:L,12,0)</f>
        <v>45117</v>
      </c>
      <c r="R6" s="55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</row>
    <row r="7" ht="14.4" s="53" customFormat="1">
      <c r="A7" s="55">
        <v>171037</v>
      </c>
      <c r="B7" s="55" t="s">
        <v>3670</v>
      </c>
      <c r="C7" s="55" t="s">
        <v>3671</v>
      </c>
      <c r="D7" s="55">
        <v>1995536257</v>
      </c>
      <c r="E7" s="55" t="s">
        <v>3486</v>
      </c>
      <c r="F7" s="55" t="s">
        <v>71</v>
      </c>
      <c r="G7" s="55" t="s">
        <v>237</v>
      </c>
      <c r="H7" s="55" t="s">
        <v>3659</v>
      </c>
      <c r="I7" s="55" t="s">
        <v>74</v>
      </c>
      <c r="J7" s="56">
        <v>45127</v>
      </c>
      <c r="K7" s="56">
        <v>45128</v>
      </c>
      <c r="L7" s="56">
        <v>45133</v>
      </c>
      <c r="M7" s="55">
        <v>4</v>
      </c>
      <c r="N7" s="55" t="s">
        <v>3492</v>
      </c>
      <c r="O7" s="56" t="s">
        <v>93</v>
      </c>
      <c r="P7" s="56">
        <f>VLOOKUP(A7,Inactive!A:BI,61,0)</f>
        <v>45134</v>
      </c>
      <c r="Q7" s="56">
        <f>VLOOKUP(A7,'ID Block'!A:L,12,0)</f>
        <v>45134</v>
      </c>
      <c r="R7" s="55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</row>
    <row r="8" ht="14.4" s="53" customFormat="1">
      <c r="A8" s="55">
        <v>171038</v>
      </c>
      <c r="B8" s="55" t="s">
        <v>3680</v>
      </c>
      <c r="C8" s="55" t="s">
        <v>3681</v>
      </c>
      <c r="D8" s="55">
        <v>1868981557</v>
      </c>
      <c r="E8" s="55" t="s">
        <v>3486</v>
      </c>
      <c r="F8" s="55" t="s">
        <v>71</v>
      </c>
      <c r="G8" s="55" t="s">
        <v>237</v>
      </c>
      <c r="H8" s="55" t="s">
        <v>3659</v>
      </c>
      <c r="I8" s="55" t="s">
        <v>74</v>
      </c>
      <c r="J8" s="56">
        <v>45127</v>
      </c>
      <c r="K8" s="56">
        <v>45128</v>
      </c>
      <c r="L8" s="56">
        <v>45133</v>
      </c>
      <c r="M8" s="55">
        <v>4</v>
      </c>
      <c r="N8" s="55" t="s">
        <v>3492</v>
      </c>
      <c r="O8" s="56" t="s">
        <v>93</v>
      </c>
      <c r="P8" s="56">
        <f>VLOOKUP(A8,Inactive!A:BI,61,0)</f>
        <v>45134</v>
      </c>
      <c r="Q8" s="56">
        <f>VLOOKUP(A8,'ID Block'!A:L,12,0)</f>
        <v>45134</v>
      </c>
      <c r="R8" s="55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</row>
    <row r="9" ht="14.4" s="53" customFormat="1">
      <c r="A9" s="55">
        <v>171110</v>
      </c>
      <c r="B9" s="55" t="s">
        <v>891</v>
      </c>
      <c r="C9" s="55" t="s">
        <v>3649</v>
      </c>
      <c r="D9" s="55">
        <v>1675488690</v>
      </c>
      <c r="E9" s="55" t="s">
        <v>3486</v>
      </c>
      <c r="F9" s="55" t="s">
        <v>71</v>
      </c>
      <c r="G9" s="55" t="s">
        <v>3650</v>
      </c>
      <c r="H9" s="55" t="s">
        <v>2643</v>
      </c>
      <c r="I9" s="55" t="s">
        <v>74</v>
      </c>
      <c r="J9" s="56">
        <v>45127</v>
      </c>
      <c r="K9" s="56">
        <v>45128</v>
      </c>
      <c r="L9" s="56">
        <v>45131</v>
      </c>
      <c r="M9" s="55">
        <v>4</v>
      </c>
      <c r="N9" s="55" t="s">
        <v>3492</v>
      </c>
      <c r="O9" s="56" t="s">
        <v>93</v>
      </c>
      <c r="P9" s="56">
        <f>VLOOKUP(A9,Inactive!A:BI,61,0)</f>
        <v>45132</v>
      </c>
      <c r="Q9" s="56">
        <f>VLOOKUP(A9,'ID Block'!A:L,12,0)</f>
        <v>45132</v>
      </c>
      <c r="R9" s="55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</row>
    <row r="10" ht="14.4" s="53" customFormat="1">
      <c r="A10" s="55">
        <v>171105</v>
      </c>
      <c r="B10" s="55" t="s">
        <v>538</v>
      </c>
      <c r="C10" s="55" t="s">
        <v>3713</v>
      </c>
      <c r="D10" s="55">
        <v>1734707089</v>
      </c>
      <c r="E10" s="55" t="s">
        <v>3486</v>
      </c>
      <c r="F10" s="55" t="s">
        <v>71</v>
      </c>
      <c r="G10" s="55" t="s">
        <v>3650</v>
      </c>
      <c r="H10" s="55" t="s">
        <v>2643</v>
      </c>
      <c r="I10" s="55" t="s">
        <v>74</v>
      </c>
      <c r="J10" s="56">
        <v>45131</v>
      </c>
      <c r="K10" s="56">
        <v>45132</v>
      </c>
      <c r="L10" s="56">
        <v>45135</v>
      </c>
      <c r="M10" s="55">
        <v>3</v>
      </c>
      <c r="N10" s="55" t="s">
        <v>925</v>
      </c>
      <c r="O10" s="56" t="s">
        <v>93</v>
      </c>
      <c r="P10" s="56">
        <v>45167</v>
      </c>
      <c r="Q10" s="56">
        <f>VLOOKUP(A10,'ID Block'!A:L,12,0)</f>
        <v>45136</v>
      </c>
      <c r="R10" s="55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</row>
    <row r="11" ht="14.4" s="53" customFormat="1">
      <c r="A11" s="55">
        <v>171162</v>
      </c>
      <c r="B11" s="55" t="s">
        <v>1263</v>
      </c>
      <c r="C11" s="55" t="s">
        <v>3986</v>
      </c>
      <c r="D11" s="55">
        <v>1881273617</v>
      </c>
      <c r="E11" s="55" t="s">
        <v>7216</v>
      </c>
      <c r="F11" s="55" t="s">
        <v>71</v>
      </c>
      <c r="G11" s="55" t="s">
        <v>2495</v>
      </c>
      <c r="H11" s="55" t="s">
        <v>73</v>
      </c>
      <c r="I11" s="55" t="s">
        <v>74</v>
      </c>
      <c r="J11" s="56">
        <v>45216</v>
      </c>
      <c r="K11" s="56">
        <v>45218</v>
      </c>
      <c r="L11" s="56">
        <v>45222</v>
      </c>
      <c r="M11" s="55">
        <v>5</v>
      </c>
      <c r="N11" s="55" t="s">
        <v>925</v>
      </c>
      <c r="O11" s="56" t="s">
        <v>93</v>
      </c>
      <c r="P11" s="56">
        <v>45224</v>
      </c>
      <c r="Q11" s="56">
        <f>VLOOKUP(A11,'ID Block'!A:L,12,0)</f>
        <v>45225</v>
      </c>
      <c r="R11" s="55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</row>
    <row r="12" ht="14.4" s="53" customFormat="1">
      <c r="A12" s="55">
        <v>171099</v>
      </c>
      <c r="B12" s="55" t="s">
        <v>7154</v>
      </c>
      <c r="C12" s="55" t="s">
        <v>4022</v>
      </c>
      <c r="D12" s="55">
        <v>1713965790</v>
      </c>
      <c r="E12" s="55" t="s">
        <v>67</v>
      </c>
      <c r="F12" s="55" t="s">
        <v>71</v>
      </c>
      <c r="G12" s="55" t="s">
        <v>155</v>
      </c>
      <c r="H12" s="55" t="s">
        <v>6857</v>
      </c>
      <c r="I12" s="55" t="s">
        <v>74</v>
      </c>
      <c r="J12" s="56">
        <v>45220</v>
      </c>
      <c r="K12" s="56">
        <v>45221</v>
      </c>
      <c r="L12" s="56">
        <v>45231</v>
      </c>
      <c r="M12" s="55" t="s">
        <v>6892</v>
      </c>
      <c r="N12" s="55" t="s">
        <v>925</v>
      </c>
      <c r="O12" s="56" t="s">
        <v>93</v>
      </c>
      <c r="P12" s="56">
        <v>45231</v>
      </c>
      <c r="Q12" s="56">
        <f>VLOOKUP(A12,'ID Block'!A:L,12,0)</f>
        <v>45232</v>
      </c>
      <c r="R12" s="55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</row>
    <row r="13" ht="14.4" s="53" customFormat="1">
      <c r="A13" s="55">
        <v>171106</v>
      </c>
      <c r="B13" s="55" t="s">
        <v>669</v>
      </c>
      <c r="C13" s="55" t="s">
        <v>4108</v>
      </c>
      <c r="D13" s="55">
        <v>1981515895</v>
      </c>
      <c r="E13" s="55" t="s">
        <v>67</v>
      </c>
      <c r="F13" s="55" t="s">
        <v>71</v>
      </c>
      <c r="G13" s="55" t="s">
        <v>2495</v>
      </c>
      <c r="H13" s="55" t="s">
        <v>115</v>
      </c>
      <c r="I13" s="55" t="s">
        <v>74</v>
      </c>
      <c r="J13" s="56">
        <v>45246</v>
      </c>
      <c r="K13" s="56">
        <v>45247</v>
      </c>
      <c r="L13" s="56">
        <v>45251</v>
      </c>
      <c r="M13" s="55" t="s">
        <v>6885</v>
      </c>
      <c r="N13" s="55" t="s">
        <v>925</v>
      </c>
      <c r="O13" s="56" t="s">
        <v>93</v>
      </c>
      <c r="P13" s="56">
        <v>45251</v>
      </c>
      <c r="Q13" s="56">
        <v>45252</v>
      </c>
      <c r="R13" s="55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</row>
    <row r="14" ht="14.4" s="53" customFormat="1">
      <c r="A14" s="55">
        <v>171281</v>
      </c>
      <c r="B14" s="55" t="s">
        <v>843</v>
      </c>
      <c r="C14" s="55" t="s">
        <v>4142</v>
      </c>
      <c r="D14" s="55">
        <v>1960432494</v>
      </c>
      <c r="E14" s="55" t="s">
        <v>67</v>
      </c>
      <c r="F14" s="55" t="s">
        <v>71</v>
      </c>
      <c r="G14" s="55" t="s">
        <v>2495</v>
      </c>
      <c r="H14" s="55" t="s">
        <v>3659</v>
      </c>
      <c r="I14" s="55" t="s">
        <v>74</v>
      </c>
      <c r="J14" s="56">
        <v>45264</v>
      </c>
      <c r="K14" s="56">
        <v>45261</v>
      </c>
      <c r="L14" s="56">
        <v>45264</v>
      </c>
      <c r="M14" s="55" t="s">
        <v>6885</v>
      </c>
      <c r="N14" s="55" t="s">
        <v>925</v>
      </c>
      <c r="O14" s="56" t="s">
        <v>93</v>
      </c>
      <c r="P14" s="56">
        <v>45265</v>
      </c>
      <c r="Q14" s="56">
        <v>45265</v>
      </c>
      <c r="R14" s="55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</row>
    <row r="15" ht="14.4" s="53" customFormat="1">
      <c r="A15" s="55">
        <v>171206</v>
      </c>
      <c r="B15" s="55" t="s">
        <v>7155</v>
      </c>
      <c r="C15" s="55" t="s">
        <v>4177</v>
      </c>
      <c r="D15" s="55">
        <v>1601778246</v>
      </c>
      <c r="E15" s="55" t="s">
        <v>67</v>
      </c>
      <c r="F15" s="55" t="s">
        <v>71</v>
      </c>
      <c r="G15" s="55" t="s">
        <v>155</v>
      </c>
      <c r="H15" s="55" t="s">
        <v>2643</v>
      </c>
      <c r="I15" s="55" t="s">
        <v>74</v>
      </c>
      <c r="J15" s="56">
        <v>45257</v>
      </c>
      <c r="K15" s="56">
        <v>45260</v>
      </c>
      <c r="L15" s="56">
        <v>45265</v>
      </c>
      <c r="M15" s="55" t="s">
        <v>6846</v>
      </c>
      <c r="N15" s="55" t="s">
        <v>925</v>
      </c>
      <c r="O15" s="56" t="s">
        <v>93</v>
      </c>
      <c r="P15" s="56">
        <v>45265</v>
      </c>
      <c r="Q15" s="56">
        <v>45266</v>
      </c>
      <c r="R15" s="55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</row>
    <row r="16" ht="14.4" s="53" customFormat="1">
      <c r="A16" s="55">
        <v>171230</v>
      </c>
      <c r="B16" s="55" t="s">
        <v>631</v>
      </c>
      <c r="C16" s="55" t="s">
        <v>4512</v>
      </c>
      <c r="D16" s="55">
        <v>1886193257</v>
      </c>
      <c r="E16" s="55" t="s">
        <v>67</v>
      </c>
      <c r="F16" s="55" t="s">
        <v>71</v>
      </c>
      <c r="G16" s="55" t="s">
        <v>2495</v>
      </c>
      <c r="H16" s="55" t="s">
        <v>98</v>
      </c>
      <c r="I16" s="55" t="s">
        <v>74</v>
      </c>
      <c r="J16" s="56">
        <v>44940</v>
      </c>
      <c r="K16" s="56">
        <v>45323</v>
      </c>
      <c r="L16" s="56">
        <v>45326</v>
      </c>
      <c r="M16" s="55" t="s">
        <v>6885</v>
      </c>
      <c r="N16" s="55" t="s">
        <v>925</v>
      </c>
      <c r="O16" s="56" t="s">
        <v>93</v>
      </c>
      <c r="P16" s="56">
        <v>44962</v>
      </c>
      <c r="Q16" s="56">
        <v>44962</v>
      </c>
      <c r="R16" s="55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</row>
    <row r="17" ht="14.4" s="53" customFormat="1">
      <c r="A17" s="55">
        <v>171323</v>
      </c>
      <c r="B17" s="55" t="s">
        <v>843</v>
      </c>
      <c r="C17" s="55" t="s">
        <v>6298</v>
      </c>
      <c r="D17" s="55">
        <v>1831492686</v>
      </c>
      <c r="E17" s="55" t="s">
        <v>67</v>
      </c>
      <c r="F17" s="55" t="s">
        <v>71</v>
      </c>
      <c r="G17" s="55" t="s">
        <v>2495</v>
      </c>
      <c r="H17" s="55" t="s">
        <v>3659</v>
      </c>
      <c r="I17" s="55" t="s">
        <v>74</v>
      </c>
      <c r="J17" s="56">
        <v>45332</v>
      </c>
      <c r="K17" s="56">
        <v>45333</v>
      </c>
      <c r="L17" s="56">
        <v>45336</v>
      </c>
      <c r="M17" s="55" t="s">
        <v>6885</v>
      </c>
      <c r="N17" s="55" t="s">
        <v>925</v>
      </c>
      <c r="O17" s="56" t="s">
        <v>93</v>
      </c>
      <c r="P17" s="56">
        <v>44976</v>
      </c>
      <c r="Q17" s="56">
        <v>44976</v>
      </c>
      <c r="R17" s="55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</row>
    <row r="18" ht="14.4" s="53" customFormat="1">
      <c r="A18" s="55">
        <v>171055</v>
      </c>
      <c r="B18" s="55" t="s">
        <v>4750</v>
      </c>
      <c r="C18" s="55" t="s">
        <v>4751</v>
      </c>
      <c r="D18" s="55"/>
      <c r="E18" s="55" t="s">
        <v>67</v>
      </c>
      <c r="F18" s="55" t="s">
        <v>71</v>
      </c>
      <c r="G18" s="55" t="s">
        <v>70</v>
      </c>
      <c r="H18" s="55" t="s">
        <v>2643</v>
      </c>
      <c r="I18" s="55" t="s">
        <v>74</v>
      </c>
      <c r="J18" s="56">
        <v>45364</v>
      </c>
      <c r="K18" s="56">
        <v>45346</v>
      </c>
      <c r="L18" s="56">
        <v>45350</v>
      </c>
      <c r="M18" s="55" t="s">
        <v>7073</v>
      </c>
      <c r="N18" s="55" t="s">
        <v>925</v>
      </c>
      <c r="O18" s="56" t="s">
        <v>93</v>
      </c>
      <c r="P18" s="56">
        <v>44998</v>
      </c>
      <c r="Q18" s="56">
        <v>44998</v>
      </c>
      <c r="R18" s="55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</row>
    <row r="19" ht="14.4" s="53" customFormat="1">
      <c r="A19" s="55">
        <v>171376</v>
      </c>
      <c r="B19" s="55" t="s">
        <v>4835</v>
      </c>
      <c r="C19" s="55" t="s">
        <v>4836</v>
      </c>
      <c r="D19" s="55"/>
      <c r="E19" s="55" t="s">
        <v>67</v>
      </c>
      <c r="F19" s="55" t="s">
        <v>71</v>
      </c>
      <c r="G19" s="55" t="s">
        <v>155</v>
      </c>
      <c r="H19" s="55" t="s">
        <v>196</v>
      </c>
      <c r="I19" s="55" t="s">
        <v>74</v>
      </c>
      <c r="J19" s="56">
        <v>45370</v>
      </c>
      <c r="K19" s="56">
        <v>45371</v>
      </c>
      <c r="L19" s="56">
        <v>45376</v>
      </c>
      <c r="M19" s="55" t="s">
        <v>7073</v>
      </c>
      <c r="N19" s="55" t="s">
        <v>925</v>
      </c>
      <c r="O19" s="56" t="s">
        <v>93</v>
      </c>
      <c r="P19" s="56">
        <v>45016</v>
      </c>
      <c r="Q19" s="56">
        <v>45016</v>
      </c>
      <c r="R19" s="55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</row>
    <row r="20" ht="14.4" s="53" customFormat="1">
      <c r="A20" s="55">
        <v>171451</v>
      </c>
      <c r="B20" s="55" t="s">
        <v>5077</v>
      </c>
      <c r="C20" s="55" t="s">
        <v>5078</v>
      </c>
      <c r="D20" s="55" t="s">
        <v>7159</v>
      </c>
      <c r="E20" s="55" t="s">
        <v>67</v>
      </c>
      <c r="F20" s="55" t="s">
        <v>71</v>
      </c>
      <c r="G20" s="55" t="s">
        <v>2495</v>
      </c>
      <c r="H20" s="55" t="s">
        <v>2643</v>
      </c>
      <c r="I20" s="55" t="s">
        <v>74</v>
      </c>
      <c r="J20" s="56">
        <v>45419</v>
      </c>
      <c r="K20" s="56">
        <v>45420</v>
      </c>
      <c r="L20" s="56">
        <v>45423</v>
      </c>
      <c r="M20" s="55" t="s">
        <v>6885</v>
      </c>
      <c r="N20" s="55" t="s">
        <v>925</v>
      </c>
      <c r="O20" s="56" t="s">
        <v>93</v>
      </c>
      <c r="P20" s="56">
        <v>45061</v>
      </c>
      <c r="Q20" s="56">
        <v>45061</v>
      </c>
      <c r="R20" s="55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</row>
    <row r="21" ht="14.4" s="53" customFormat="1">
      <c r="A21" s="55">
        <v>171445</v>
      </c>
      <c r="B21" s="55" t="s">
        <v>5626</v>
      </c>
      <c r="C21" s="55" t="s">
        <v>5064</v>
      </c>
      <c r="D21" s="55">
        <v>1616844804</v>
      </c>
      <c r="E21" s="55" t="s">
        <v>67</v>
      </c>
      <c r="F21" s="55" t="s">
        <v>71</v>
      </c>
      <c r="G21" s="55" t="s">
        <v>2495</v>
      </c>
      <c r="H21" s="55" t="s">
        <v>2643</v>
      </c>
      <c r="I21" s="55" t="s">
        <v>74</v>
      </c>
      <c r="J21" s="56">
        <v>45048</v>
      </c>
      <c r="K21" s="56">
        <v>45049</v>
      </c>
      <c r="L21" s="56">
        <v>45052</v>
      </c>
      <c r="M21" s="55" t="s">
        <v>6885</v>
      </c>
      <c r="N21" s="55" t="s">
        <v>925</v>
      </c>
      <c r="O21" s="56" t="s">
        <v>93</v>
      </c>
      <c r="P21" s="56">
        <v>45055</v>
      </c>
      <c r="Q21" s="56">
        <v>45055</v>
      </c>
      <c r="R21" s="55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</row>
    <row r="22" ht="14.4" s="53" customFormat="1">
      <c r="A22" s="55">
        <v>171621</v>
      </c>
      <c r="B22" s="55" t="s">
        <v>2698</v>
      </c>
      <c r="C22" s="55" t="s">
        <v>5353</v>
      </c>
      <c r="D22" s="55">
        <v>1745153885</v>
      </c>
      <c r="E22" s="55" t="s">
        <v>67</v>
      </c>
      <c r="F22" s="55" t="s">
        <v>71</v>
      </c>
      <c r="G22" s="55" t="s">
        <v>2495</v>
      </c>
      <c r="H22" s="55" t="s">
        <v>115</v>
      </c>
      <c r="I22" s="55" t="s">
        <v>74</v>
      </c>
      <c r="J22" s="56" t="s">
        <v>7217</v>
      </c>
      <c r="K22" s="56">
        <v>45458</v>
      </c>
      <c r="L22" s="56">
        <v>45461</v>
      </c>
      <c r="M22" s="55" t="s">
        <v>6885</v>
      </c>
      <c r="N22" s="55" t="s">
        <v>925</v>
      </c>
      <c r="O22" s="56" t="s">
        <v>93</v>
      </c>
      <c r="P22" s="56">
        <v>45464</v>
      </c>
      <c r="Q22" s="56">
        <v>45465</v>
      </c>
      <c r="R22" s="55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</row>
    <row r="23" ht="14.4" s="53" customFormat="1">
      <c r="A23" s="55">
        <v>171609</v>
      </c>
      <c r="B23" s="55" t="s">
        <v>2696</v>
      </c>
      <c r="C23" s="55" t="s">
        <v>5356</v>
      </c>
      <c r="D23" s="55">
        <v>1754372133</v>
      </c>
      <c r="E23" s="55" t="s">
        <v>67</v>
      </c>
      <c r="F23" s="55" t="s">
        <v>71</v>
      </c>
      <c r="G23" s="55" t="s">
        <v>2495</v>
      </c>
      <c r="H23" s="55" t="s">
        <v>115</v>
      </c>
      <c r="I23" s="55" t="s">
        <v>74</v>
      </c>
      <c r="J23" s="56">
        <v>45458</v>
      </c>
      <c r="K23" s="56">
        <v>45459</v>
      </c>
      <c r="L23" s="56">
        <v>45461</v>
      </c>
      <c r="M23" s="55" t="s">
        <v>6992</v>
      </c>
      <c r="N23" s="55" t="s">
        <v>925</v>
      </c>
      <c r="O23" s="56" t="s">
        <v>93</v>
      </c>
      <c r="P23" s="56">
        <v>45464</v>
      </c>
      <c r="Q23" s="56">
        <v>45465</v>
      </c>
      <c r="R23" s="55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</row>
    <row r="24" ht="14.4" s="53" customFormat="1">
      <c r="A24" s="55">
        <v>171369</v>
      </c>
      <c r="B24" s="55" t="s">
        <v>5372</v>
      </c>
      <c r="C24" s="55" t="s">
        <v>5373</v>
      </c>
      <c r="D24" s="55">
        <v>1682368389</v>
      </c>
      <c r="E24" s="55" t="s">
        <v>3486</v>
      </c>
      <c r="F24" s="55">
        <v>45451</v>
      </c>
      <c r="G24" s="55">
        <v>45454</v>
      </c>
      <c r="H24" s="55">
        <v>45462</v>
      </c>
      <c r="I24" s="55">
        <v>9</v>
      </c>
      <c r="J24" s="56" t="s">
        <v>925</v>
      </c>
      <c r="K24" s="56">
        <v>45454</v>
      </c>
      <c r="L24" s="56">
        <v>45462</v>
      </c>
      <c r="M24" s="55" t="s">
        <v>6934</v>
      </c>
      <c r="N24" s="55" t="s">
        <v>925</v>
      </c>
      <c r="O24" s="56" t="s">
        <v>93</v>
      </c>
      <c r="P24" s="56">
        <v>45464</v>
      </c>
      <c r="Q24" s="56">
        <v>45467</v>
      </c>
      <c r="R24" s="55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</row>
    <row r="25" ht="14.4" s="53" customFormat="1">
      <c r="A25" s="55">
        <v>171690</v>
      </c>
      <c r="B25" s="55" t="s">
        <v>2224</v>
      </c>
      <c r="C25" s="55" t="s">
        <v>5492</v>
      </c>
      <c r="D25" s="55">
        <v>1891792772</v>
      </c>
      <c r="E25" s="55" t="s">
        <v>67</v>
      </c>
      <c r="F25" s="55" t="s">
        <v>71</v>
      </c>
      <c r="G25" s="55" t="s">
        <v>2495</v>
      </c>
      <c r="H25" s="55" t="s">
        <v>115</v>
      </c>
      <c r="I25" s="55" t="s">
        <v>74</v>
      </c>
      <c r="J25" s="56">
        <v>45477</v>
      </c>
      <c r="K25" s="56">
        <v>45478</v>
      </c>
      <c r="L25" s="56">
        <v>45480</v>
      </c>
      <c r="M25" s="55" t="s">
        <v>6992</v>
      </c>
      <c r="N25" s="55" t="s">
        <v>925</v>
      </c>
      <c r="O25" s="56" t="s">
        <v>93</v>
      </c>
      <c r="P25" s="56">
        <v>45481</v>
      </c>
      <c r="Q25" s="56">
        <v>45481</v>
      </c>
      <c r="R25" s="55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</row>
    <row r="26" ht="14.4" s="53" customFormat="1">
      <c r="A26" s="55">
        <v>171676</v>
      </c>
      <c r="B26" s="55" t="s">
        <v>2217</v>
      </c>
      <c r="C26" s="55" t="s">
        <v>5504</v>
      </c>
      <c r="D26" s="55">
        <v>1910308208</v>
      </c>
      <c r="E26" s="55" t="s">
        <v>67</v>
      </c>
      <c r="F26" s="55" t="s">
        <v>71</v>
      </c>
      <c r="G26" s="55" t="s">
        <v>2495</v>
      </c>
      <c r="H26" s="55" t="s">
        <v>115</v>
      </c>
      <c r="I26" s="55" t="s">
        <v>74</v>
      </c>
      <c r="J26" s="56">
        <v>45475</v>
      </c>
      <c r="K26" s="56">
        <v>45476</v>
      </c>
      <c r="L26" s="56">
        <v>45479</v>
      </c>
      <c r="M26" s="55" t="s">
        <v>6885</v>
      </c>
      <c r="N26" s="55" t="s">
        <v>925</v>
      </c>
      <c r="O26" s="56" t="s">
        <v>93</v>
      </c>
      <c r="P26" s="56">
        <v>45481</v>
      </c>
      <c r="Q26" s="56">
        <v>45481</v>
      </c>
      <c r="R26" s="55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</row>
    <row r="27" ht="14.4" s="53" customFormat="1">
      <c r="A27" s="55">
        <v>171051</v>
      </c>
      <c r="B27" s="55" t="s">
        <v>5579</v>
      </c>
      <c r="C27" s="55" t="s">
        <v>5580</v>
      </c>
      <c r="D27" s="55">
        <v>1781031843</v>
      </c>
      <c r="E27" s="55" t="s">
        <v>67</v>
      </c>
      <c r="F27" s="55" t="s">
        <v>71</v>
      </c>
      <c r="G27" s="55" t="s">
        <v>97</v>
      </c>
      <c r="H27" s="55" t="s">
        <v>2643</v>
      </c>
      <c r="I27" s="55" t="s">
        <v>74</v>
      </c>
      <c r="J27" s="56">
        <v>45481</v>
      </c>
      <c r="K27" s="56">
        <v>45482</v>
      </c>
      <c r="L27" s="56">
        <v>45488</v>
      </c>
      <c r="M27" s="55" t="s">
        <v>6846</v>
      </c>
      <c r="N27" s="55" t="s">
        <v>925</v>
      </c>
      <c r="O27" s="56" t="s">
        <v>93</v>
      </c>
      <c r="P27" s="56">
        <v>45489</v>
      </c>
      <c r="Q27" s="56">
        <v>45489</v>
      </c>
      <c r="R27" s="55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</row>
    <row r="28" ht="14.4" s="53" customFormat="1">
      <c r="A28" s="55">
        <v>171640</v>
      </c>
      <c r="B28" s="55" t="s">
        <v>2389</v>
      </c>
      <c r="C28" s="55" t="s">
        <v>5591</v>
      </c>
      <c r="D28" s="55">
        <v>1628331287</v>
      </c>
      <c r="E28" s="55" t="s">
        <v>67</v>
      </c>
      <c r="F28" s="55" t="s">
        <v>71</v>
      </c>
      <c r="G28" s="55" t="s">
        <v>2495</v>
      </c>
      <c r="H28" s="55" t="s">
        <v>115</v>
      </c>
      <c r="I28" s="55" t="s">
        <v>74</v>
      </c>
      <c r="J28" s="56">
        <v>45483</v>
      </c>
      <c r="K28" s="56">
        <v>45486</v>
      </c>
      <c r="L28" s="56">
        <v>45489</v>
      </c>
      <c r="M28" s="55" t="s">
        <v>6992</v>
      </c>
      <c r="N28" s="55" t="s">
        <v>925</v>
      </c>
      <c r="O28" s="56" t="s">
        <v>93</v>
      </c>
      <c r="P28" s="56">
        <v>45489</v>
      </c>
      <c r="Q28" s="56">
        <v>45489</v>
      </c>
      <c r="R28" s="55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</row>
    <row r="29" ht="14.4" s="53" customFormat="1">
      <c r="A29" s="55">
        <v>171469</v>
      </c>
      <c r="B29" s="55" t="s">
        <v>5666</v>
      </c>
      <c r="C29" s="55" t="s">
        <v>7166</v>
      </c>
      <c r="D29" s="55" t="s">
        <v>7218</v>
      </c>
      <c r="E29" s="55" t="s">
        <v>67</v>
      </c>
      <c r="F29" s="55" t="s">
        <v>71</v>
      </c>
      <c r="G29" s="55" t="s">
        <v>2495</v>
      </c>
      <c r="H29" s="55" t="s">
        <v>2643</v>
      </c>
      <c r="I29" s="55" t="s">
        <v>74</v>
      </c>
      <c r="J29" s="56">
        <v>45491</v>
      </c>
      <c r="K29" s="56">
        <v>45497</v>
      </c>
      <c r="L29" s="56">
        <v>45501</v>
      </c>
      <c r="M29" s="55" t="s">
        <v>6846</v>
      </c>
      <c r="N29" s="55" t="s">
        <v>925</v>
      </c>
      <c r="O29" s="56" t="s">
        <v>93</v>
      </c>
      <c r="P29" s="56">
        <v>45502</v>
      </c>
      <c r="Q29" s="56">
        <v>45502</v>
      </c>
      <c r="R29" s="55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</row>
    <row r="30" ht="14.4" s="53" customFormat="1">
      <c r="A30" s="55">
        <v>171389</v>
      </c>
      <c r="B30" s="55" t="s">
        <v>2585</v>
      </c>
      <c r="C30" s="55" t="s">
        <v>5675</v>
      </c>
      <c r="D30" s="55" t="s">
        <v>7219</v>
      </c>
      <c r="E30" s="55" t="s">
        <v>67</v>
      </c>
      <c r="F30" s="55" t="s">
        <v>71</v>
      </c>
      <c r="G30" s="55" t="s">
        <v>2495</v>
      </c>
      <c r="H30" s="55" t="s">
        <v>2643</v>
      </c>
      <c r="I30" s="55" t="s">
        <v>74</v>
      </c>
      <c r="J30" s="56">
        <v>45489</v>
      </c>
      <c r="K30" s="56">
        <v>45490</v>
      </c>
      <c r="L30" s="56">
        <v>45497</v>
      </c>
      <c r="M30" s="55" t="s">
        <v>6852</v>
      </c>
      <c r="N30" s="55" t="s">
        <v>925</v>
      </c>
      <c r="O30" s="56" t="s">
        <v>93</v>
      </c>
      <c r="P30" s="56">
        <v>45502</v>
      </c>
      <c r="Q30" s="56">
        <v>45502</v>
      </c>
      <c r="R30" s="55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</row>
    <row r="31" ht="14.4" s="53" customFormat="1">
      <c r="A31" s="55">
        <v>171739</v>
      </c>
      <c r="B31" s="55" t="s">
        <v>5514</v>
      </c>
      <c r="C31" s="55" t="s">
        <v>7169</v>
      </c>
      <c r="D31" s="55" t="s">
        <v>7170</v>
      </c>
      <c r="E31" s="55" t="s">
        <v>67</v>
      </c>
      <c r="F31" s="55" t="s">
        <v>71</v>
      </c>
      <c r="G31" s="55" t="s">
        <v>2495</v>
      </c>
      <c r="H31" s="55" t="s">
        <v>2643</v>
      </c>
      <c r="I31" s="55" t="s">
        <v>74</v>
      </c>
      <c r="J31" s="56">
        <v>45500</v>
      </c>
      <c r="K31" s="56">
        <v>45501</v>
      </c>
      <c r="L31" s="56">
        <v>45504</v>
      </c>
      <c r="M31" s="55" t="s">
        <v>6885</v>
      </c>
      <c r="N31" s="55" t="s">
        <v>925</v>
      </c>
      <c r="O31" s="56" t="s">
        <v>93</v>
      </c>
      <c r="P31" s="56">
        <v>45505</v>
      </c>
      <c r="Q31" s="56">
        <v>45505</v>
      </c>
      <c r="R31" s="55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</row>
    <row r="32" ht="14.4" s="53" customFormat="1">
      <c r="A32" s="55">
        <v>171737</v>
      </c>
      <c r="B32" s="55" t="s">
        <v>2452</v>
      </c>
      <c r="C32" s="55" t="s">
        <v>5707</v>
      </c>
      <c r="D32" s="55">
        <v>1982566488</v>
      </c>
      <c r="E32" s="55" t="s">
        <v>67</v>
      </c>
      <c r="F32" s="55" t="s">
        <v>71</v>
      </c>
      <c r="G32" s="55" t="s">
        <v>2495</v>
      </c>
      <c r="H32" s="55" t="s">
        <v>2643</v>
      </c>
      <c r="I32" s="55" t="s">
        <v>74</v>
      </c>
      <c r="J32" s="56">
        <v>45499</v>
      </c>
      <c r="K32" s="56">
        <v>45500</v>
      </c>
      <c r="L32" s="56">
        <v>45504</v>
      </c>
      <c r="M32" s="55" t="s">
        <v>6846</v>
      </c>
      <c r="N32" s="55" t="s">
        <v>925</v>
      </c>
      <c r="O32" s="56" t="s">
        <v>93</v>
      </c>
      <c r="P32" s="56">
        <v>45505</v>
      </c>
      <c r="Q32" s="56">
        <v>45505</v>
      </c>
      <c r="R32" s="55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</row>
    <row r="33" ht="14.4" s="53" customFormat="1">
      <c r="A33" s="55">
        <v>171678</v>
      </c>
      <c r="B33" s="55" t="s">
        <v>2694</v>
      </c>
      <c r="C33" s="55" t="s">
        <v>5819</v>
      </c>
      <c r="D33" s="55">
        <v>1880385277</v>
      </c>
      <c r="E33" s="55" t="s">
        <v>67</v>
      </c>
      <c r="F33" s="55" t="s">
        <v>71</v>
      </c>
      <c r="G33" s="55" t="s">
        <v>2495</v>
      </c>
      <c r="H33" s="55" t="s">
        <v>115</v>
      </c>
      <c r="I33" s="55" t="s">
        <v>74</v>
      </c>
      <c r="J33" s="56">
        <v>45485</v>
      </c>
      <c r="K33" s="56">
        <v>45486</v>
      </c>
      <c r="L33" s="56">
        <v>45488</v>
      </c>
      <c r="M33" s="55" t="s">
        <v>6992</v>
      </c>
      <c r="N33" s="55" t="s">
        <v>925</v>
      </c>
      <c r="O33" s="56" t="s">
        <v>93</v>
      </c>
      <c r="P33" s="56">
        <v>45505</v>
      </c>
      <c r="Q33" s="56">
        <v>45505</v>
      </c>
      <c r="R33" s="55" t="s">
        <v>93</v>
      </c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</row>
    <row r="34" ht="14.4" s="53" customFormat="1">
      <c r="A34" s="55">
        <v>171180</v>
      </c>
      <c r="B34" s="55"/>
      <c r="C34" s="55" t="s">
        <v>5941</v>
      </c>
      <c r="D34" s="55">
        <v>1630635945</v>
      </c>
      <c r="E34" s="55" t="s">
        <v>67</v>
      </c>
      <c r="F34" s="55" t="s">
        <v>71</v>
      </c>
      <c r="G34" s="55" t="s">
        <v>5943</v>
      </c>
      <c r="H34" s="55" t="s">
        <v>2643</v>
      </c>
      <c r="I34" s="55" t="s">
        <v>74</v>
      </c>
      <c r="J34" s="56">
        <v>45474</v>
      </c>
      <c r="K34" s="56"/>
      <c r="L34" s="56"/>
      <c r="M34" s="55"/>
      <c r="N34" s="55"/>
      <c r="O34" s="56" t="s">
        <v>93</v>
      </c>
      <c r="P34" s="56">
        <v>45516</v>
      </c>
      <c r="Q34" s="56">
        <v>45516</v>
      </c>
      <c r="R34" s="55" t="s">
        <v>93</v>
      </c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</row>
    <row r="35" ht="14.4" s="53" customFormat="1">
      <c r="A35" s="55">
        <v>171751</v>
      </c>
      <c r="B35" s="55" t="s">
        <v>6040</v>
      </c>
      <c r="C35" s="55" t="s">
        <v>6041</v>
      </c>
      <c r="D35" s="55">
        <v>1786021964</v>
      </c>
      <c r="E35" s="55" t="s">
        <v>67</v>
      </c>
      <c r="F35" s="55" t="s">
        <v>71</v>
      </c>
      <c r="G35" s="55" t="s">
        <v>155</v>
      </c>
      <c r="H35" s="55" t="s">
        <v>7034</v>
      </c>
      <c r="I35" s="55" t="s">
        <v>74</v>
      </c>
      <c r="J35" s="56">
        <v>45506</v>
      </c>
      <c r="K35" s="56">
        <v>45506</v>
      </c>
      <c r="L35" s="56">
        <v>45518</v>
      </c>
      <c r="M35" s="55" t="s">
        <v>7220</v>
      </c>
      <c r="N35" s="55" t="s">
        <v>925</v>
      </c>
      <c r="O35" s="56" t="s">
        <v>93</v>
      </c>
      <c r="P35" s="56">
        <v>45518</v>
      </c>
      <c r="Q35" s="56">
        <v>45518</v>
      </c>
      <c r="R35" s="55" t="s">
        <v>93</v>
      </c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</row>
    <row r="36" ht="14.4" s="53" customFormat="1">
      <c r="A36" s="55">
        <v>171740</v>
      </c>
      <c r="B36" s="55" t="s">
        <v>6050</v>
      </c>
      <c r="C36" s="55" t="s">
        <v>6051</v>
      </c>
      <c r="D36" s="55">
        <v>1744126518</v>
      </c>
      <c r="E36" s="55" t="s">
        <v>67</v>
      </c>
      <c r="F36" s="55" t="s">
        <v>71</v>
      </c>
      <c r="G36" s="55" t="s">
        <v>155</v>
      </c>
      <c r="H36" s="55" t="s">
        <v>7034</v>
      </c>
      <c r="I36" s="55" t="s">
        <v>74</v>
      </c>
      <c r="J36" s="56">
        <v>45506</v>
      </c>
      <c r="K36" s="56">
        <v>45506</v>
      </c>
      <c r="L36" s="56">
        <v>45518</v>
      </c>
      <c r="M36" s="55" t="s">
        <v>7220</v>
      </c>
      <c r="N36" s="55" t="s">
        <v>925</v>
      </c>
      <c r="O36" s="56" t="s">
        <v>93</v>
      </c>
      <c r="P36" s="56">
        <v>45518</v>
      </c>
      <c r="Q36" s="56">
        <v>45518</v>
      </c>
      <c r="R36" s="55" t="s">
        <v>93</v>
      </c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</row>
    <row r="37" ht="14.4" s="53" customFormat="1">
      <c r="A37" s="55">
        <v>171530</v>
      </c>
      <c r="B37" s="55" t="s">
        <v>6059</v>
      </c>
      <c r="C37" s="55" t="s">
        <v>7184</v>
      </c>
      <c r="D37" s="55">
        <v>1910886729</v>
      </c>
      <c r="E37" s="55" t="s">
        <v>67</v>
      </c>
      <c r="F37" s="55" t="s">
        <v>71</v>
      </c>
      <c r="G37" s="55" t="s">
        <v>155</v>
      </c>
      <c r="H37" s="55" t="s">
        <v>7034</v>
      </c>
      <c r="I37" s="55" t="s">
        <v>74</v>
      </c>
      <c r="J37" s="56">
        <v>45508</v>
      </c>
      <c r="K37" s="56">
        <v>45510</v>
      </c>
      <c r="L37" s="56">
        <v>45518</v>
      </c>
      <c r="M37" s="55" t="s">
        <v>7221</v>
      </c>
      <c r="N37" s="55" t="s">
        <v>925</v>
      </c>
      <c r="O37" s="56" t="s">
        <v>93</v>
      </c>
      <c r="P37" s="56">
        <v>45518</v>
      </c>
      <c r="Q37" s="56">
        <v>45518</v>
      </c>
      <c r="R37" s="55" t="s">
        <v>93</v>
      </c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</row>
    <row r="38" ht="14.4" s="53" customFormat="1">
      <c r="A38" s="55">
        <v>171511</v>
      </c>
      <c r="B38" s="55" t="s">
        <v>6067</v>
      </c>
      <c r="C38" s="55" t="s">
        <v>7185</v>
      </c>
      <c r="D38" s="55">
        <v>1766301788</v>
      </c>
      <c r="E38" s="55" t="s">
        <v>67</v>
      </c>
      <c r="F38" s="55" t="s">
        <v>71</v>
      </c>
      <c r="G38" s="55" t="s">
        <v>155</v>
      </c>
      <c r="H38" s="55" t="s">
        <v>7034</v>
      </c>
      <c r="I38" s="55" t="s">
        <v>74</v>
      </c>
      <c r="J38" s="56">
        <v>45508</v>
      </c>
      <c r="K38" s="56">
        <v>45510</v>
      </c>
      <c r="L38" s="56">
        <v>45518</v>
      </c>
      <c r="M38" s="55" t="s">
        <v>7221</v>
      </c>
      <c r="N38" s="55" t="s">
        <v>925</v>
      </c>
      <c r="O38" s="56" t="s">
        <v>93</v>
      </c>
      <c r="P38" s="56">
        <v>45518</v>
      </c>
      <c r="Q38" s="56">
        <v>45518</v>
      </c>
      <c r="R38" s="55" t="s">
        <v>93</v>
      </c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</row>
    <row r="39" ht="14.4" s="53" customFormat="1">
      <c r="A39" s="55">
        <v>171736</v>
      </c>
      <c r="B39" s="55" t="s">
        <v>6094</v>
      </c>
      <c r="C39" s="55" t="s">
        <v>2826</v>
      </c>
      <c r="D39" s="55">
        <v>1978558128</v>
      </c>
      <c r="E39" s="55" t="s">
        <v>67</v>
      </c>
      <c r="F39" s="55" t="s">
        <v>71</v>
      </c>
      <c r="G39" s="55" t="s">
        <v>2495</v>
      </c>
      <c r="H39" s="55" t="s">
        <v>2643</v>
      </c>
      <c r="I39" s="55" t="s">
        <v>74</v>
      </c>
      <c r="J39" s="56">
        <v>45516</v>
      </c>
      <c r="K39" s="56">
        <v>45517</v>
      </c>
      <c r="L39" s="56">
        <v>45520</v>
      </c>
      <c r="M39" s="55" t="s">
        <v>6885</v>
      </c>
      <c r="N39" s="55" t="s">
        <v>925</v>
      </c>
      <c r="O39" s="56" t="s">
        <v>93</v>
      </c>
      <c r="P39" s="56">
        <v>45523</v>
      </c>
      <c r="Q39" s="56">
        <v>45523</v>
      </c>
      <c r="R39" s="55" t="s">
        <v>93</v>
      </c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</row>
    <row r="40" ht="14.4" s="53" customFormat="1">
      <c r="A40" s="55">
        <v>171798</v>
      </c>
      <c r="B40" s="55" t="s">
        <v>2585</v>
      </c>
      <c r="C40" s="55" t="s">
        <v>6100</v>
      </c>
      <c r="D40" s="55">
        <v>17627163860</v>
      </c>
      <c r="E40" s="55" t="s">
        <v>67</v>
      </c>
      <c r="F40" s="55" t="s">
        <v>71</v>
      </c>
      <c r="G40" s="55" t="s">
        <v>2495</v>
      </c>
      <c r="H40" s="55" t="s">
        <v>2643</v>
      </c>
      <c r="I40" s="55" t="s">
        <v>74</v>
      </c>
      <c r="J40" s="56">
        <v>45513</v>
      </c>
      <c r="K40" s="56">
        <v>45514</v>
      </c>
      <c r="L40" s="56">
        <v>45521</v>
      </c>
      <c r="M40" s="55" t="s">
        <v>6889</v>
      </c>
      <c r="N40" s="55" t="s">
        <v>925</v>
      </c>
      <c r="O40" s="56" t="s">
        <v>93</v>
      </c>
      <c r="P40" s="56">
        <v>45523</v>
      </c>
      <c r="Q40" s="56">
        <v>45523</v>
      </c>
      <c r="R40" s="55" t="s">
        <v>93</v>
      </c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</row>
    <row r="41" ht="14.4" s="53" customFormat="1">
      <c r="A41" s="55">
        <v>171790</v>
      </c>
      <c r="B41" s="55" t="s">
        <v>6173</v>
      </c>
      <c r="C41" s="55" t="s">
        <v>7188</v>
      </c>
      <c r="D41" s="55">
        <v>1603754290</v>
      </c>
      <c r="E41" s="55" t="s">
        <v>67</v>
      </c>
      <c r="F41" s="55" t="s">
        <v>71</v>
      </c>
      <c r="G41" s="55" t="s">
        <v>2495</v>
      </c>
      <c r="H41" s="55" t="s">
        <v>2643</v>
      </c>
      <c r="I41" s="55" t="s">
        <v>74</v>
      </c>
      <c r="J41" s="56">
        <v>45520</v>
      </c>
      <c r="K41" s="56">
        <v>45521</v>
      </c>
      <c r="L41" s="56">
        <v>45524</v>
      </c>
      <c r="M41" s="55" t="s">
        <v>6885</v>
      </c>
      <c r="N41" s="55" t="s">
        <v>925</v>
      </c>
      <c r="O41" s="56" t="s">
        <v>93</v>
      </c>
      <c r="P41" s="56">
        <v>45529</v>
      </c>
      <c r="Q41" s="56">
        <v>45529</v>
      </c>
      <c r="R41" s="55" t="s">
        <v>93</v>
      </c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</row>
    <row r="42" ht="14.4" s="53" customFormat="1">
      <c r="A42" s="55">
        <v>171044</v>
      </c>
      <c r="B42" s="55" t="s">
        <v>7190</v>
      </c>
      <c r="C42" s="55" t="s">
        <v>6182</v>
      </c>
      <c r="D42" s="55">
        <v>1787742403</v>
      </c>
      <c r="E42" s="55" t="s">
        <v>67</v>
      </c>
      <c r="F42" s="55" t="s">
        <v>71</v>
      </c>
      <c r="G42" s="55" t="s">
        <v>2495</v>
      </c>
      <c r="H42" s="55" t="s">
        <v>2643</v>
      </c>
      <c r="I42" s="55" t="s">
        <v>74</v>
      </c>
      <c r="J42" s="56">
        <v>45506</v>
      </c>
      <c r="K42" s="56">
        <v>45507</v>
      </c>
      <c r="L42" s="56">
        <v>45525</v>
      </c>
      <c r="M42" s="55" t="s">
        <v>6895</v>
      </c>
      <c r="N42" s="55" t="s">
        <v>925</v>
      </c>
      <c r="O42" s="56" t="s">
        <v>93</v>
      </c>
      <c r="P42" s="56">
        <v>45529</v>
      </c>
      <c r="Q42" s="56">
        <v>45529</v>
      </c>
      <c r="R42" s="55" t="s">
        <v>93</v>
      </c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</row>
    <row r="43" ht="14.4" s="53" customFormat="1">
      <c r="A43" s="55">
        <v>171838</v>
      </c>
      <c r="B43" s="55" t="s">
        <v>2856</v>
      </c>
      <c r="C43" s="55" t="s">
        <v>6205</v>
      </c>
      <c r="D43" s="55">
        <v>1753229880</v>
      </c>
      <c r="E43" s="55" t="s">
        <v>67</v>
      </c>
      <c r="F43" s="55" t="s">
        <v>71</v>
      </c>
      <c r="G43" s="55" t="s">
        <v>2495</v>
      </c>
      <c r="H43" s="55" t="s">
        <v>2643</v>
      </c>
      <c r="I43" s="55" t="s">
        <v>74</v>
      </c>
      <c r="J43" s="56">
        <v>45528</v>
      </c>
      <c r="K43" s="56">
        <v>45529</v>
      </c>
      <c r="L43" s="56">
        <v>45534</v>
      </c>
      <c r="M43" s="55" t="s">
        <v>6889</v>
      </c>
      <c r="N43" s="55" t="s">
        <v>925</v>
      </c>
      <c r="O43" s="56" t="s">
        <v>93</v>
      </c>
      <c r="P43" s="56">
        <v>45538</v>
      </c>
      <c r="Q43" s="56">
        <v>45538</v>
      </c>
      <c r="R43" s="55" t="s">
        <v>93</v>
      </c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</row>
    <row r="44" ht="14.4" s="53" customFormat="1">
      <c r="A44" s="55">
        <v>171503</v>
      </c>
      <c r="B44" s="55" t="s">
        <v>7191</v>
      </c>
      <c r="C44" s="55" t="s">
        <v>6206</v>
      </c>
      <c r="D44" s="55">
        <v>1798978489</v>
      </c>
      <c r="E44" s="55" t="s">
        <v>67</v>
      </c>
      <c r="F44" s="55" t="s">
        <v>71</v>
      </c>
      <c r="G44" s="55" t="s">
        <v>2495</v>
      </c>
      <c r="H44" s="55" t="s">
        <v>2643</v>
      </c>
      <c r="I44" s="55" t="s">
        <v>74</v>
      </c>
      <c r="J44" s="56">
        <v>45530</v>
      </c>
      <c r="K44" s="56">
        <v>45531</v>
      </c>
      <c r="L44" s="56">
        <v>45535</v>
      </c>
      <c r="M44" s="55" t="s">
        <v>6846</v>
      </c>
      <c r="N44" s="55" t="s">
        <v>925</v>
      </c>
      <c r="O44" s="56" t="s">
        <v>93</v>
      </c>
      <c r="P44" s="56">
        <v>45538</v>
      </c>
      <c r="Q44" s="56">
        <v>45538</v>
      </c>
      <c r="R44" s="55" t="s">
        <v>93</v>
      </c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</row>
    <row r="45" ht="14.4" s="53" customFormat="1">
      <c r="A45" s="60">
        <v>171704</v>
      </c>
      <c r="B45" s="61" t="s">
        <v>2864</v>
      </c>
      <c r="C45" s="61" t="s">
        <v>7222</v>
      </c>
      <c r="D45" s="62">
        <v>1963754294</v>
      </c>
      <c r="E45" s="61" t="s">
        <v>67</v>
      </c>
      <c r="F45" s="61" t="s">
        <v>71</v>
      </c>
      <c r="G45" s="61" t="s">
        <v>155</v>
      </c>
      <c r="H45" s="61" t="s">
        <v>2866</v>
      </c>
      <c r="I45" s="63" t="s">
        <v>74</v>
      </c>
      <c r="J45" s="56">
        <v>45541</v>
      </c>
      <c r="K45" s="56">
        <v>45541</v>
      </c>
      <c r="L45" s="56">
        <v>45544</v>
      </c>
      <c r="M45" s="55" t="s">
        <v>6885</v>
      </c>
      <c r="N45" s="55" t="s">
        <v>925</v>
      </c>
      <c r="O45" s="56" t="s">
        <v>93</v>
      </c>
      <c r="P45" s="56">
        <v>45545</v>
      </c>
      <c r="Q45" s="56">
        <v>45550</v>
      </c>
      <c r="R45" s="55" t="s">
        <v>93</v>
      </c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</row>
    <row r="46" ht="14.4" s="53" customFormat="1">
      <c r="A46" s="55">
        <v>171689</v>
      </c>
      <c r="B46" s="55" t="s">
        <v>3022</v>
      </c>
      <c r="C46" s="55" t="s">
        <v>4507</v>
      </c>
      <c r="D46" s="55">
        <v>1712949444</v>
      </c>
      <c r="E46" s="55" t="s">
        <v>67</v>
      </c>
      <c r="F46" s="55" t="s">
        <v>71</v>
      </c>
      <c r="G46" s="55" t="s">
        <v>2495</v>
      </c>
      <c r="H46" s="55" t="s">
        <v>1304</v>
      </c>
      <c r="I46" s="55" t="s">
        <v>74</v>
      </c>
      <c r="J46" s="56">
        <v>45543</v>
      </c>
      <c r="K46" s="56">
        <v>45542</v>
      </c>
      <c r="L46" s="56">
        <v>45544</v>
      </c>
      <c r="M46" s="55" t="s">
        <v>6885</v>
      </c>
      <c r="N46" s="55" t="s">
        <v>925</v>
      </c>
      <c r="O46" s="56" t="s">
        <v>93</v>
      </c>
      <c r="P46" s="56">
        <v>45545</v>
      </c>
      <c r="Q46" s="56">
        <v>45550</v>
      </c>
      <c r="R46" s="55" t="s">
        <v>93</v>
      </c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</row>
    <row r="47" ht="25.05" customHeight="1">
      <c r="A47" s="59" t="s">
        <v>7124</v>
      </c>
      <c r="B47" s="59" t="s">
        <v>2</v>
      </c>
      <c r="C47" s="59" t="s">
        <v>6786</v>
      </c>
      <c r="D47" s="59" t="s">
        <v>23</v>
      </c>
      <c r="E47" s="59" t="s">
        <v>6</v>
      </c>
      <c r="F47" s="59" t="s">
        <v>10</v>
      </c>
      <c r="G47" s="59" t="s">
        <v>6811</v>
      </c>
      <c r="H47" s="59" t="s">
        <v>6812</v>
      </c>
      <c r="I47" s="59" t="s">
        <v>6813</v>
      </c>
      <c r="J47" s="59" t="s">
        <v>6815</v>
      </c>
      <c r="K47" s="59" t="s">
        <v>7211</v>
      </c>
      <c r="L47" s="59" t="s">
        <v>7212</v>
      </c>
      <c r="M47" s="59" t="s">
        <v>7213</v>
      </c>
      <c r="N47" s="59" t="s">
        <v>34</v>
      </c>
      <c r="O47" s="59" t="s">
        <v>6824</v>
      </c>
      <c r="P47" s="59" t="s">
        <v>6825</v>
      </c>
      <c r="Q47" s="59" t="s">
        <v>6826</v>
      </c>
      <c r="R47" s="59" t="s">
        <v>7214</v>
      </c>
    </row>
    <row r="48" ht="14.4" s="53" customFormat="1">
      <c r="A48" s="55">
        <v>171791</v>
      </c>
      <c r="B48" s="55" t="s">
        <v>6685</v>
      </c>
      <c r="C48" s="55" t="s">
        <v>6686</v>
      </c>
      <c r="D48" s="55">
        <v>1974290912</v>
      </c>
      <c r="E48" s="55" t="s">
        <v>67</v>
      </c>
      <c r="F48" s="55" t="s">
        <v>71</v>
      </c>
      <c r="G48" s="55" t="s">
        <v>2495</v>
      </c>
      <c r="H48" s="55" t="s">
        <v>287</v>
      </c>
      <c r="I48" s="55" t="s">
        <v>74</v>
      </c>
      <c r="J48" s="56">
        <v>45586</v>
      </c>
      <c r="K48" s="56">
        <v>45594</v>
      </c>
      <c r="L48" s="56">
        <v>45601</v>
      </c>
      <c r="M48" s="55" t="s">
        <v>6845</v>
      </c>
      <c r="N48" s="55" t="s">
        <v>925</v>
      </c>
      <c r="O48" s="56" t="s">
        <v>93</v>
      </c>
      <c r="P48" s="56">
        <v>45586</v>
      </c>
      <c r="Q48" s="56">
        <v>45586</v>
      </c>
      <c r="R48" s="55" t="s">
        <v>93</v>
      </c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</row>
    <row r="49" ht="25.05" customHeight="1">
      <c r="A49" s="59" t="s">
        <v>7124</v>
      </c>
      <c r="B49" s="59" t="s">
        <v>2</v>
      </c>
      <c r="C49" s="59" t="s">
        <v>6786</v>
      </c>
      <c r="D49" s="59" t="s">
        <v>23</v>
      </c>
      <c r="E49" s="59" t="s">
        <v>6</v>
      </c>
      <c r="F49" s="59" t="s">
        <v>10</v>
      </c>
      <c r="G49" s="59" t="s">
        <v>6811</v>
      </c>
      <c r="H49" s="59" t="s">
        <v>6812</v>
      </c>
      <c r="I49" s="59" t="s">
        <v>6813</v>
      </c>
      <c r="J49" s="59" t="s">
        <v>6815</v>
      </c>
      <c r="K49" s="59" t="s">
        <v>7211</v>
      </c>
      <c r="L49" s="59" t="s">
        <v>7212</v>
      </c>
      <c r="M49" s="59" t="s">
        <v>7213</v>
      </c>
      <c r="N49" s="59" t="s">
        <v>34</v>
      </c>
      <c r="O49" s="59" t="s">
        <v>6824</v>
      </c>
      <c r="P49" s="59" t="s">
        <v>6825</v>
      </c>
      <c r="Q49" s="59" t="s">
        <v>6826</v>
      </c>
      <c r="R49" s="59" t="s">
        <v>7214</v>
      </c>
    </row>
    <row r="50" ht="14.4" s="53" customFormat="1">
      <c r="A50" s="55">
        <v>171919</v>
      </c>
      <c r="B50" s="55" t="s">
        <v>3244</v>
      </c>
      <c r="C50" s="55" t="s">
        <v>2826</v>
      </c>
      <c r="D50" s="55">
        <v>1409250642</v>
      </c>
      <c r="E50" s="55" t="s">
        <v>67</v>
      </c>
      <c r="F50" s="55" t="s">
        <v>71</v>
      </c>
      <c r="G50" s="55" t="s">
        <v>2495</v>
      </c>
      <c r="H50" s="55" t="s">
        <v>98</v>
      </c>
      <c r="I50" s="55" t="s">
        <v>74</v>
      </c>
      <c r="J50" s="56">
        <v>45581</v>
      </c>
      <c r="K50" s="56">
        <v>45586</v>
      </c>
      <c r="L50" s="56">
        <v>45601</v>
      </c>
      <c r="M50" s="55">
        <v>8</v>
      </c>
      <c r="N50" s="55" t="s">
        <v>925</v>
      </c>
      <c r="O50" s="56" t="s">
        <v>93</v>
      </c>
      <c r="P50" s="56">
        <v>45603</v>
      </c>
      <c r="Q50" s="56">
        <v>45603</v>
      </c>
      <c r="R50" s="55" t="s">
        <v>93</v>
      </c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</row>
    <row r="51" ht="14.4" s="53" customFormat="1">
      <c r="A51" s="55">
        <v>171818</v>
      </c>
      <c r="B51" s="55" t="s">
        <v>3257</v>
      </c>
      <c r="C51" s="55" t="s">
        <v>6705</v>
      </c>
      <c r="D51" s="55">
        <v>1332399736</v>
      </c>
      <c r="E51" s="55" t="s">
        <v>67</v>
      </c>
      <c r="F51" s="55" t="s">
        <v>71</v>
      </c>
      <c r="G51" s="55" t="s">
        <v>2495</v>
      </c>
      <c r="H51" s="55" t="s">
        <v>98</v>
      </c>
      <c r="I51" s="55" t="s">
        <v>74</v>
      </c>
      <c r="J51" s="56">
        <v>45567</v>
      </c>
      <c r="K51" s="56">
        <v>45574</v>
      </c>
      <c r="L51" s="56">
        <v>45601</v>
      </c>
      <c r="M51" s="55">
        <v>18</v>
      </c>
      <c r="N51" s="55" t="s">
        <v>925</v>
      </c>
      <c r="O51" s="56" t="s">
        <v>93</v>
      </c>
      <c r="P51" s="56">
        <v>45603</v>
      </c>
      <c r="Q51" s="56">
        <v>45603</v>
      </c>
      <c r="R51" s="55" t="s">
        <v>93</v>
      </c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</row>
    <row r="52" ht="14.4" s="53" customFormat="1">
      <c r="A52" s="55">
        <v>171727</v>
      </c>
      <c r="B52" s="55" t="s">
        <v>3265</v>
      </c>
      <c r="C52" s="55" t="s">
        <v>6711</v>
      </c>
      <c r="D52" s="55">
        <v>1739820147</v>
      </c>
      <c r="E52" s="55" t="s">
        <v>67</v>
      </c>
      <c r="F52" s="55" t="s">
        <v>71</v>
      </c>
      <c r="G52" s="55" t="s">
        <v>2495</v>
      </c>
      <c r="H52" s="55" t="s">
        <v>98</v>
      </c>
      <c r="I52" s="55" t="s">
        <v>74</v>
      </c>
      <c r="J52" s="56">
        <v>45559</v>
      </c>
      <c r="K52" s="56">
        <v>45564</v>
      </c>
      <c r="L52" s="56">
        <v>45601</v>
      </c>
      <c r="M52" s="55">
        <v>22</v>
      </c>
      <c r="N52" s="55" t="s">
        <v>925</v>
      </c>
      <c r="O52" s="56" t="s">
        <v>93</v>
      </c>
      <c r="P52" s="56">
        <v>45603</v>
      </c>
      <c r="Q52" s="56">
        <v>45603</v>
      </c>
      <c r="R52" s="55" t="s">
        <v>93</v>
      </c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</row>
    <row r="53" ht="25.05" customHeight="1">
      <c r="A53" s="314" t="s">
        <v>7129</v>
      </c>
      <c r="B53" s="315" t="s">
        <v>2</v>
      </c>
      <c r="C53" s="315" t="s">
        <v>6786</v>
      </c>
      <c r="D53" s="315" t="s">
        <v>23</v>
      </c>
      <c r="E53" s="315" t="s">
        <v>6</v>
      </c>
      <c r="F53" s="315" t="s">
        <v>10</v>
      </c>
      <c r="G53" s="315" t="s">
        <v>6811</v>
      </c>
      <c r="H53" s="315" t="s">
        <v>6812</v>
      </c>
      <c r="I53" s="315" t="s">
        <v>6813</v>
      </c>
      <c r="J53" s="315" t="s">
        <v>7223</v>
      </c>
      <c r="K53" s="315" t="s">
        <v>7224</v>
      </c>
      <c r="L53" s="315" t="s">
        <v>7225</v>
      </c>
      <c r="M53" s="315" t="s">
        <v>7213</v>
      </c>
      <c r="N53" s="316" t="s">
        <v>34</v>
      </c>
      <c r="O53" s="59" t="s">
        <v>6824</v>
      </c>
      <c r="P53" s="59" t="s">
        <v>6825</v>
      </c>
      <c r="Q53" s="59" t="s">
        <v>6826</v>
      </c>
      <c r="R53" s="59" t="s">
        <v>7214</v>
      </c>
    </row>
    <row r="54" ht="25.05" customHeight="1">
      <c r="A54" s="317">
        <v>171828</v>
      </c>
      <c r="B54" s="318" t="s">
        <v>6017</v>
      </c>
      <c r="C54" s="318" t="s">
        <v>6522</v>
      </c>
      <c r="D54" s="318">
        <v>1811419369</v>
      </c>
      <c r="E54" s="318" t="s">
        <v>67</v>
      </c>
      <c r="F54" s="318" t="s">
        <v>71</v>
      </c>
      <c r="G54" s="318" t="s">
        <v>2495</v>
      </c>
      <c r="H54" s="318" t="s">
        <v>1304</v>
      </c>
      <c r="I54" s="318" t="s">
        <v>74</v>
      </c>
      <c r="J54" s="319">
        <v>45580</v>
      </c>
      <c r="K54" s="320">
        <v>45612</v>
      </c>
      <c r="L54" s="321" t="s">
        <v>7226</v>
      </c>
      <c r="M54" s="318" t="s">
        <v>6885</v>
      </c>
      <c r="N54" s="330" t="s">
        <v>925</v>
      </c>
      <c r="O54" s="56" t="s">
        <v>93</v>
      </c>
      <c r="P54" s="56">
        <v>45620</v>
      </c>
      <c r="Q54" s="56">
        <v>45620</v>
      </c>
      <c r="R54" s="55" t="s">
        <v>93</v>
      </c>
    </row>
  </sheetData>
  <conditionalFormatting sqref="A1">
    <cfRule type="duplicateValues" dxfId="0" priority="1216"/>
    <cfRule type="duplicateValues" dxfId="0" priority="1215"/>
  </conditionalFormatting>
  <conditionalFormatting sqref="A2:A34">
    <cfRule type="duplicateValues" dxfId="0" priority="608415"/>
    <cfRule type="duplicateValues" dxfId="0" priority="608416"/>
    <cfRule type="duplicateValues" dxfId="0" priority="608417"/>
    <cfRule type="duplicateValues" dxfId="0" priority="608418"/>
    <cfRule type="duplicateValues" dxfId="0" priority="608419"/>
    <cfRule type="duplicateValues" dxfId="0" priority="608420"/>
    <cfRule type="duplicateValues" dxfId="0" priority="608421"/>
    <cfRule type="duplicateValues" dxfId="0" priority="605911"/>
    <cfRule type="duplicateValues" dxfId="0" priority="605910"/>
    <cfRule type="duplicateValues" dxfId="0" priority="605909"/>
    <cfRule type="duplicateValues" dxfId="0" priority="605908"/>
    <cfRule type="duplicateValues" dxfId="0" priority="605907"/>
    <cfRule type="duplicateValues" dxfId="0" priority="605906"/>
    <cfRule type="duplicateValues" dxfId="0" priority="605905"/>
    <cfRule type="duplicateValues" dxfId="0" priority="605904"/>
    <cfRule type="duplicateValues" dxfId="0" priority="605903"/>
    <cfRule type="duplicateValues" dxfId="0" priority="605902"/>
    <cfRule type="duplicateValues" dxfId="0" priority="605901"/>
    <cfRule type="duplicateValues" dxfId="0" priority="605900"/>
    <cfRule type="duplicateValues" dxfId="0" priority="605899"/>
    <cfRule type="duplicateValues" dxfId="0" priority="605898"/>
    <cfRule type="duplicateValues" dxfId="0" priority="605897"/>
    <cfRule type="duplicateValues" dxfId="0" priority="605896"/>
    <cfRule type="duplicateValues" dxfId="0" priority="605895"/>
    <cfRule type="duplicateValues" dxfId="0" priority="605894"/>
    <cfRule type="duplicateValues" dxfId="0" priority="605893"/>
    <cfRule type="duplicateValues" dxfId="0" priority="605892"/>
    <cfRule type="duplicateValues" dxfId="0" priority="605891"/>
    <cfRule type="duplicateValues" dxfId="0" priority="608423"/>
    <cfRule type="duplicateValues" dxfId="0" priority="605889"/>
    <cfRule type="duplicateValues" dxfId="0" priority="605888"/>
    <cfRule type="duplicateValues" dxfId="0" priority="605887"/>
    <cfRule type="duplicateValues" dxfId="0" priority="605886"/>
    <cfRule type="duplicateValues" dxfId="0" priority="605885"/>
    <cfRule type="duplicateValues" dxfId="0" priority="605884"/>
    <cfRule type="duplicateValues" dxfId="0" priority="605883"/>
    <cfRule type="duplicateValues" dxfId="0" priority="605882"/>
    <cfRule type="duplicateValues" dxfId="0" priority="605881"/>
    <cfRule type="duplicateValues" dxfId="0" priority="605880"/>
    <cfRule type="duplicateValues" dxfId="0" priority="605879"/>
    <cfRule type="duplicateValues" dxfId="0" priority="605878"/>
    <cfRule type="duplicateValues" dxfId="0" priority="605877"/>
    <cfRule type="duplicateValues" dxfId="0" priority="605876"/>
    <cfRule type="duplicateValues" dxfId="0" priority="605874"/>
    <cfRule type="duplicateValues" dxfId="0" priority="605890"/>
    <cfRule type="duplicateValues" dxfId="0" priority="608414"/>
    <cfRule type="duplicateValues" dxfId="0" priority="608422"/>
    <cfRule type="duplicateValues" dxfId="0" priority="608400"/>
    <cfRule type="duplicateValues" dxfId="0" priority="608413"/>
    <cfRule type="duplicateValues" dxfId="0" priority="608412"/>
    <cfRule type="duplicateValues" dxfId="0" priority="608411"/>
    <cfRule type="duplicateValues" dxfId="0" priority="608410"/>
    <cfRule type="duplicateValues" dxfId="0" priority="608409"/>
    <cfRule type="duplicateValues" dxfId="0" priority="608408"/>
    <cfRule type="duplicateValues" dxfId="0" priority="608407"/>
    <cfRule type="duplicateValues" dxfId="0" priority="608406"/>
    <cfRule type="duplicateValues" dxfId="0" priority="608405"/>
    <cfRule type="duplicateValues" dxfId="0" priority="608404"/>
    <cfRule type="duplicateValues" dxfId="0" priority="608403"/>
    <cfRule type="duplicateValues" dxfId="0" priority="608402"/>
    <cfRule type="duplicateValues" dxfId="0" priority="608401"/>
    <cfRule type="duplicateValues" dxfId="0" priority="608399"/>
    <cfRule type="duplicateValues" dxfId="0" priority="608398"/>
    <cfRule type="duplicateValues" dxfId="0" priority="608397"/>
    <cfRule type="duplicateValues" dxfId="0" priority="608396"/>
    <cfRule type="duplicateValues" dxfId="0" priority="608395"/>
    <cfRule type="duplicateValues" dxfId="0" priority="608394"/>
    <cfRule type="duplicateValues" dxfId="0" priority="608393"/>
    <cfRule type="duplicateValues" dxfId="0" priority="608392"/>
    <cfRule type="duplicateValues" dxfId="0" priority="608391"/>
    <cfRule type="duplicateValues" dxfId="0" priority="608390"/>
    <cfRule type="duplicateValues" dxfId="0" priority="608389"/>
    <cfRule type="duplicateValues" dxfId="0" priority="608388"/>
    <cfRule type="duplicateValues" dxfId="0" priority="608387"/>
    <cfRule type="duplicateValues" dxfId="0" priority="608386"/>
    <cfRule type="duplicateValues" dxfId="0" priority="608385"/>
    <cfRule type="duplicateValues" dxfId="0" priority="608384"/>
    <cfRule type="duplicateValues" dxfId="0" priority="608383"/>
    <cfRule type="duplicateValues" dxfId="0" priority="608382"/>
    <cfRule type="duplicateValues" dxfId="0" priority="605875"/>
  </conditionalFormatting>
  <conditionalFormatting sqref="A35:A38">
    <cfRule type="duplicateValues" dxfId="0" priority="608509"/>
    <cfRule type="duplicateValues" dxfId="0" priority="608508"/>
    <cfRule type="duplicateValues" dxfId="0" priority="608507"/>
    <cfRule type="duplicateValues" dxfId="0" priority="608506"/>
    <cfRule type="duplicateValues" dxfId="0" priority="608505"/>
    <cfRule type="duplicateValues" dxfId="0" priority="608504"/>
    <cfRule type="duplicateValues" dxfId="0" priority="608465"/>
    <cfRule type="duplicateValues" dxfId="0" priority="608464"/>
    <cfRule type="duplicateValues" dxfId="0" priority="608463"/>
    <cfRule type="duplicateValues" dxfId="0" priority="608462"/>
    <cfRule type="duplicateValues" dxfId="0" priority="608460"/>
    <cfRule type="duplicateValues" dxfId="0" priority="608459"/>
    <cfRule type="duplicateValues" dxfId="0" priority="608458"/>
    <cfRule type="duplicateValues" dxfId="0" priority="608457"/>
    <cfRule type="duplicateValues" dxfId="0" priority="608456"/>
    <cfRule type="duplicateValues" dxfId="0" priority="608455"/>
    <cfRule type="duplicateValues" dxfId="0" priority="608454"/>
    <cfRule type="duplicateValues" dxfId="0" priority="608453"/>
    <cfRule type="duplicateValues" dxfId="0" priority="608452"/>
    <cfRule type="duplicateValues" dxfId="0" priority="608451"/>
    <cfRule type="duplicateValues" dxfId="0" priority="608450"/>
    <cfRule type="duplicateValues" dxfId="0" priority="608449"/>
    <cfRule type="duplicateValues" dxfId="0" priority="608448"/>
    <cfRule type="duplicateValues" dxfId="0" priority="608447"/>
    <cfRule type="duplicateValues" dxfId="0" priority="608446"/>
    <cfRule type="duplicateValues" dxfId="0" priority="608445"/>
    <cfRule type="duplicateValues" dxfId="0" priority="608444"/>
    <cfRule type="duplicateValues" dxfId="0" priority="608443"/>
    <cfRule type="duplicateValues" dxfId="0" priority="608442"/>
    <cfRule type="duplicateValues" dxfId="0" priority="608441"/>
    <cfRule type="duplicateValues" dxfId="0" priority="608440"/>
    <cfRule type="duplicateValues" dxfId="0" priority="608439"/>
    <cfRule type="duplicateValues" dxfId="0" priority="608438"/>
    <cfRule type="duplicateValues" dxfId="0" priority="608437"/>
    <cfRule type="duplicateValues" dxfId="0" priority="608436"/>
    <cfRule type="duplicateValues" dxfId="0" priority="608435"/>
    <cfRule type="duplicateValues" dxfId="0" priority="608434"/>
    <cfRule type="duplicateValues" dxfId="0" priority="608433"/>
    <cfRule type="duplicateValues" dxfId="0" priority="608432"/>
    <cfRule type="duplicateValues" dxfId="0" priority="608461"/>
    <cfRule type="duplicateValues" dxfId="0" priority="608430"/>
    <cfRule type="duplicateValues" dxfId="0" priority="608429"/>
    <cfRule type="duplicateValues" dxfId="0" priority="608428"/>
    <cfRule type="duplicateValues" dxfId="0" priority="608427"/>
    <cfRule type="duplicateValues" dxfId="0" priority="608426"/>
    <cfRule type="duplicateValues" dxfId="0" priority="608425"/>
    <cfRule type="duplicateValues" dxfId="0" priority="608529"/>
    <cfRule type="duplicateValues" dxfId="0" priority="608540"/>
    <cfRule type="duplicateValues" dxfId="0" priority="608539"/>
    <cfRule type="duplicateValues" dxfId="0" priority="608538"/>
    <cfRule type="duplicateValues" dxfId="0" priority="608537"/>
    <cfRule type="duplicateValues" dxfId="0" priority="608536"/>
    <cfRule type="duplicateValues" dxfId="0" priority="608535"/>
    <cfRule type="duplicateValues" dxfId="0" priority="608534"/>
    <cfRule type="duplicateValues" dxfId="0" priority="608533"/>
    <cfRule type="duplicateValues" dxfId="0" priority="608532"/>
    <cfRule type="duplicateValues" dxfId="0" priority="608531"/>
    <cfRule type="duplicateValues" dxfId="0" priority="608530"/>
    <cfRule type="duplicateValues" dxfId="0" priority="608528"/>
    <cfRule type="duplicateValues" dxfId="0" priority="608431"/>
    <cfRule type="duplicateValues" dxfId="0" priority="608527"/>
    <cfRule type="duplicateValues" dxfId="0" priority="608526"/>
    <cfRule type="duplicateValues" dxfId="0" priority="608525"/>
    <cfRule type="duplicateValues" dxfId="0" priority="608524"/>
    <cfRule type="duplicateValues" dxfId="0" priority="608523"/>
    <cfRule type="duplicateValues" dxfId="0" priority="608522"/>
    <cfRule type="duplicateValues" dxfId="0" priority="608521"/>
    <cfRule type="duplicateValues" dxfId="0" priority="608520"/>
    <cfRule type="duplicateValues" dxfId="0" priority="608519"/>
    <cfRule type="duplicateValues" dxfId="0" priority="608518"/>
    <cfRule type="duplicateValues" dxfId="0" priority="608517"/>
    <cfRule type="duplicateValues" dxfId="0" priority="608516"/>
    <cfRule type="duplicateValues" dxfId="0" priority="608515"/>
    <cfRule type="duplicateValues" dxfId="0" priority="608514"/>
    <cfRule type="duplicateValues" dxfId="0" priority="608513"/>
    <cfRule type="duplicateValues" dxfId="0" priority="608512"/>
    <cfRule type="duplicateValues" dxfId="0" priority="608511"/>
    <cfRule type="duplicateValues" dxfId="0" priority="608541"/>
    <cfRule type="duplicateValues" dxfId="0" priority="608424"/>
    <cfRule type="duplicateValues" dxfId="0" priority="608510"/>
  </conditionalFormatting>
  <conditionalFormatting sqref="A39:A43">
    <cfRule type="duplicateValues" dxfId="0" priority="606381"/>
    <cfRule type="duplicateValues" dxfId="0" priority="606382"/>
    <cfRule type="duplicateValues" dxfId="0" priority="606383"/>
    <cfRule type="duplicateValues" dxfId="0" priority="606384"/>
    <cfRule type="duplicateValues" dxfId="0" priority="606385"/>
    <cfRule type="duplicateValues" dxfId="0" priority="606386"/>
    <cfRule type="duplicateValues" dxfId="0" priority="606387"/>
    <cfRule type="duplicateValues" dxfId="0" priority="606422"/>
    <cfRule type="duplicateValues" dxfId="0" priority="606458"/>
    <cfRule type="duplicateValues" dxfId="0" priority="606457"/>
    <cfRule type="duplicateValues" dxfId="0" priority="606456"/>
    <cfRule type="duplicateValues" dxfId="0" priority="606455"/>
    <cfRule type="duplicateValues" dxfId="0" priority="606454"/>
    <cfRule type="duplicateValues" dxfId="0" priority="606453"/>
    <cfRule type="duplicateValues" dxfId="0" priority="606452"/>
    <cfRule type="duplicateValues" dxfId="0" priority="606451"/>
    <cfRule type="duplicateValues" dxfId="0" priority="606450"/>
    <cfRule type="duplicateValues" dxfId="0" priority="606449"/>
    <cfRule type="duplicateValues" dxfId="0" priority="606448"/>
    <cfRule type="duplicateValues" dxfId="0" priority="606447"/>
    <cfRule type="duplicateValues" dxfId="0" priority="606446"/>
    <cfRule type="duplicateValues" dxfId="0" priority="606445"/>
    <cfRule type="duplicateValues" dxfId="0" priority="606444"/>
    <cfRule type="duplicateValues" dxfId="0" priority="606443"/>
    <cfRule type="duplicateValues" dxfId="0" priority="606442"/>
    <cfRule type="duplicateValues" dxfId="0" priority="606441"/>
    <cfRule type="duplicateValues" dxfId="0" priority="606440"/>
    <cfRule type="duplicateValues" dxfId="0" priority="606439"/>
    <cfRule type="duplicateValues" dxfId="0" priority="606438"/>
    <cfRule type="duplicateValues" dxfId="0" priority="606437"/>
    <cfRule type="duplicateValues" dxfId="0" priority="606436"/>
    <cfRule type="duplicateValues" dxfId="0" priority="606435"/>
    <cfRule type="duplicateValues" dxfId="0" priority="606434"/>
    <cfRule type="duplicateValues" dxfId="0" priority="606433"/>
    <cfRule type="duplicateValues" dxfId="0" priority="606432"/>
    <cfRule type="duplicateValues" dxfId="0" priority="606431"/>
    <cfRule type="duplicateValues" dxfId="0" priority="606430"/>
    <cfRule type="duplicateValues" dxfId="0" priority="606429"/>
    <cfRule type="duplicateValues" dxfId="0" priority="606428"/>
    <cfRule type="duplicateValues" dxfId="0" priority="606427"/>
    <cfRule type="duplicateValues" dxfId="0" priority="606426"/>
    <cfRule type="duplicateValues" dxfId="0" priority="606425"/>
    <cfRule type="duplicateValues" dxfId="0" priority="606424"/>
    <cfRule type="duplicateValues" dxfId="0" priority="606423"/>
    <cfRule type="duplicateValues" dxfId="0" priority="606379"/>
    <cfRule type="duplicateValues" dxfId="0" priority="606421"/>
    <cfRule type="duplicateValues" dxfId="0" priority="606420"/>
    <cfRule type="duplicateValues" dxfId="0" priority="606419"/>
    <cfRule type="duplicateValues" dxfId="0" priority="606418"/>
    <cfRule type="duplicateValues" dxfId="0" priority="606417"/>
    <cfRule type="duplicateValues" dxfId="0" priority="606416"/>
    <cfRule type="duplicateValues" dxfId="0" priority="606415"/>
    <cfRule type="duplicateValues" dxfId="0" priority="606414"/>
    <cfRule type="duplicateValues" dxfId="0" priority="606413"/>
    <cfRule type="duplicateValues" dxfId="0" priority="606412"/>
    <cfRule type="duplicateValues" dxfId="0" priority="606411"/>
    <cfRule type="duplicateValues" dxfId="0" priority="606410"/>
    <cfRule type="duplicateValues" dxfId="0" priority="606409"/>
    <cfRule type="duplicateValues" dxfId="0" priority="606408"/>
    <cfRule type="duplicateValues" dxfId="0" priority="606407"/>
    <cfRule type="duplicateValues" dxfId="0" priority="606406"/>
    <cfRule type="duplicateValues" dxfId="0" priority="606405"/>
    <cfRule type="duplicateValues" dxfId="0" priority="606404"/>
    <cfRule type="duplicateValues" dxfId="0" priority="606403"/>
    <cfRule type="duplicateValues" dxfId="0" priority="606402"/>
    <cfRule type="duplicateValues" dxfId="0" priority="606401"/>
    <cfRule type="duplicateValues" dxfId="0" priority="606400"/>
    <cfRule type="duplicateValues" dxfId="0" priority="606399"/>
    <cfRule type="duplicateValues" dxfId="0" priority="606398"/>
    <cfRule type="duplicateValues" dxfId="0" priority="606397"/>
    <cfRule type="duplicateValues" dxfId="0" priority="606396"/>
    <cfRule type="duplicateValues" dxfId="0" priority="606395"/>
    <cfRule type="duplicateValues" dxfId="0" priority="606394"/>
    <cfRule type="duplicateValues" dxfId="0" priority="606393"/>
    <cfRule type="duplicateValues" dxfId="0" priority="606392"/>
    <cfRule type="duplicateValues" dxfId="0" priority="606391"/>
    <cfRule type="duplicateValues" dxfId="0" priority="606390"/>
    <cfRule type="duplicateValues" dxfId="0" priority="606380"/>
    <cfRule type="duplicateValues" dxfId="0" priority="606389"/>
    <cfRule type="duplicateValues" dxfId="0" priority="606388"/>
  </conditionalFormatting>
  <conditionalFormatting sqref="A44"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  <cfRule type="duplicateValues" dxfId="0" priority="485"/>
    <cfRule type="duplicateValues" dxfId="0" priority="486"/>
    <cfRule type="duplicateValues" dxfId="0" priority="487"/>
    <cfRule type="duplicateValues" dxfId="0" priority="488"/>
    <cfRule type="duplicateValues" dxfId="0" priority="489"/>
    <cfRule type="duplicateValues" dxfId="0" priority="490"/>
    <cfRule type="duplicateValues" dxfId="0" priority="491"/>
    <cfRule type="duplicateValues" dxfId="0" priority="492"/>
    <cfRule type="duplicateValues" dxfId="0" priority="493"/>
    <cfRule type="duplicateValues" dxfId="0" priority="494"/>
    <cfRule type="duplicateValues" dxfId="0" priority="495"/>
    <cfRule type="duplicateValues" dxfId="0" priority="496"/>
    <cfRule type="duplicateValues" dxfId="0" priority="497"/>
    <cfRule type="duplicateValues" dxfId="0" priority="498"/>
    <cfRule type="duplicateValues" dxfId="0" priority="499"/>
    <cfRule type="duplicateValues" dxfId="0" priority="50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</conditionalFormatting>
  <conditionalFormatting sqref="A46">
    <cfRule type="duplicateValues" dxfId="0" priority="415"/>
    <cfRule type="duplicateValues" dxfId="0" priority="388"/>
    <cfRule type="duplicateValues" dxfId="0" priority="387"/>
    <cfRule type="duplicateValues" dxfId="0" priority="386"/>
    <cfRule type="duplicateValues" dxfId="0" priority="385"/>
    <cfRule type="duplicateValues" dxfId="0" priority="384"/>
    <cfRule type="duplicateValues" dxfId="0" priority="383"/>
    <cfRule type="duplicateValues" dxfId="0" priority="382"/>
    <cfRule type="duplicateValues" dxfId="0" priority="381"/>
    <cfRule type="duplicateValues" dxfId="0" priority="380"/>
    <cfRule type="duplicateValues" dxfId="0" priority="379"/>
    <cfRule type="duplicateValues" dxfId="0" priority="378"/>
    <cfRule type="duplicateValues" dxfId="0" priority="377"/>
    <cfRule type="duplicateValues" dxfId="0" priority="376"/>
    <cfRule type="duplicateValues" dxfId="0" priority="375"/>
    <cfRule type="duplicateValues" dxfId="0" priority="374"/>
    <cfRule type="duplicateValues" dxfId="0" priority="373"/>
    <cfRule type="duplicateValues" dxfId="0" priority="372"/>
    <cfRule type="duplicateValues" dxfId="0" priority="371"/>
    <cfRule type="duplicateValues" dxfId="0" priority="369"/>
    <cfRule type="duplicateValues" dxfId="0" priority="368"/>
    <cfRule type="duplicateValues" dxfId="0" priority="367"/>
    <cfRule type="duplicateValues" dxfId="0" priority="366"/>
    <cfRule type="duplicateValues" dxfId="0" priority="365"/>
    <cfRule type="duplicateValues" dxfId="0" priority="364"/>
    <cfRule type="duplicateValues" dxfId="0" priority="363"/>
    <cfRule type="duplicateValues" dxfId="0" priority="362"/>
    <cfRule type="duplicateValues" dxfId="0" priority="361"/>
    <cfRule type="duplicateValues" dxfId="0" priority="360"/>
    <cfRule type="duplicateValues" dxfId="0" priority="359"/>
    <cfRule type="duplicateValues" dxfId="0" priority="358"/>
    <cfRule type="duplicateValues" dxfId="0" priority="357"/>
    <cfRule type="duplicateValues" dxfId="0" priority="356"/>
    <cfRule type="duplicateValues" dxfId="0" priority="355"/>
    <cfRule type="duplicateValues" dxfId="0" priority="354"/>
    <cfRule type="duplicateValues" dxfId="0" priority="353"/>
    <cfRule type="duplicateValues" dxfId="0" priority="352"/>
    <cfRule type="duplicateValues" dxfId="0" priority="351"/>
    <cfRule type="duplicateValues" dxfId="0" priority="350"/>
    <cfRule type="duplicateValues" dxfId="0" priority="349"/>
    <cfRule type="duplicateValues" dxfId="0" priority="348"/>
    <cfRule type="duplicateValues" dxfId="0" priority="347"/>
    <cfRule type="duplicateValues" dxfId="0" priority="346"/>
    <cfRule type="duplicateValues" dxfId="0" priority="345"/>
    <cfRule type="duplicateValues" dxfId="0" priority="344"/>
    <cfRule type="duplicateValues" dxfId="0" priority="343"/>
    <cfRule type="duplicateValues" dxfId="0" priority="342"/>
    <cfRule type="duplicateValues" dxfId="0" priority="341"/>
    <cfRule type="duplicateValues" dxfId="0" priority="393"/>
    <cfRule type="duplicateValues" dxfId="0" priority="392"/>
    <cfRule type="duplicateValues" dxfId="0" priority="391"/>
    <cfRule type="duplicateValues" dxfId="0" priority="390"/>
    <cfRule type="duplicateValues" dxfId="0" priority="389"/>
    <cfRule type="duplicateValues" dxfId="0" priority="420"/>
    <cfRule type="duplicateValues" dxfId="0" priority="419"/>
    <cfRule type="duplicateValues" dxfId="0" priority="418"/>
    <cfRule type="duplicateValues" dxfId="0" priority="370"/>
    <cfRule type="duplicateValues" dxfId="0" priority="417"/>
    <cfRule type="duplicateValues" dxfId="0" priority="416"/>
    <cfRule type="duplicateValues" dxfId="0" priority="402"/>
    <cfRule type="duplicateValues" dxfId="0" priority="414"/>
    <cfRule type="duplicateValues" dxfId="0" priority="413"/>
    <cfRule type="duplicateValues" dxfId="0" priority="412"/>
    <cfRule type="duplicateValues" dxfId="0" priority="411"/>
    <cfRule type="duplicateValues" dxfId="0" priority="410"/>
    <cfRule type="duplicateValues" dxfId="0" priority="409"/>
    <cfRule type="duplicateValues" dxfId="0" priority="408"/>
    <cfRule type="duplicateValues" dxfId="0" priority="407"/>
    <cfRule type="duplicateValues" dxfId="0" priority="406"/>
    <cfRule type="duplicateValues" dxfId="0" priority="405"/>
    <cfRule type="duplicateValues" dxfId="0" priority="404"/>
    <cfRule type="duplicateValues" dxfId="0" priority="403"/>
    <cfRule type="duplicateValues" dxfId="0" priority="401"/>
    <cfRule type="duplicateValues" dxfId="0" priority="400"/>
    <cfRule type="duplicateValues" dxfId="0" priority="399"/>
    <cfRule type="duplicateValues" dxfId="0" priority="398"/>
    <cfRule type="duplicateValues" dxfId="0" priority="397"/>
    <cfRule type="duplicateValues" dxfId="0" priority="396"/>
    <cfRule type="duplicateValues" dxfId="0" priority="395"/>
    <cfRule type="duplicateValues" dxfId="0" priority="394"/>
  </conditionalFormatting>
  <conditionalFormatting sqref="A47"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15"/>
    <cfRule type="duplicateValues" dxfId="0" priority="233"/>
    <cfRule type="duplicateValues" dxfId="0" priority="234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35"/>
  </conditionalFormatting>
  <conditionalFormatting sqref="A48">
    <cfRule type="duplicateValues" dxfId="0" priority="307"/>
    <cfRule type="duplicateValues" dxfId="0" priority="306"/>
    <cfRule type="duplicateValues" dxfId="0" priority="305"/>
    <cfRule type="duplicateValues" dxfId="0" priority="304"/>
    <cfRule type="duplicateValues" dxfId="0" priority="303"/>
    <cfRule type="duplicateValues" dxfId="0" priority="302"/>
    <cfRule type="duplicateValues" dxfId="0" priority="301"/>
    <cfRule type="duplicateValues" dxfId="0" priority="300"/>
    <cfRule type="duplicateValues" dxfId="0" priority="299"/>
    <cfRule type="duplicateValues" dxfId="0" priority="298"/>
    <cfRule type="duplicateValues" dxfId="0" priority="297"/>
    <cfRule type="duplicateValues" dxfId="0" priority="296"/>
    <cfRule type="duplicateValues" dxfId="0" priority="295"/>
    <cfRule type="duplicateValues" dxfId="0" priority="294"/>
    <cfRule type="duplicateValues" dxfId="0" priority="293"/>
    <cfRule type="duplicateValues" dxfId="0" priority="292"/>
    <cfRule type="duplicateValues" dxfId="0" priority="291"/>
    <cfRule type="duplicateValues" dxfId="0" priority="290"/>
    <cfRule type="duplicateValues" dxfId="0" priority="288"/>
    <cfRule type="duplicateValues" dxfId="0" priority="287"/>
    <cfRule type="duplicateValues" dxfId="0" priority="286"/>
    <cfRule type="duplicateValues" dxfId="0" priority="285"/>
    <cfRule type="duplicateValues" dxfId="0" priority="284"/>
    <cfRule type="duplicateValues" dxfId="0" priority="283"/>
    <cfRule type="duplicateValues" dxfId="0" priority="282"/>
    <cfRule type="duplicateValues" dxfId="0" priority="281"/>
    <cfRule type="duplicateValues" dxfId="0" priority="280"/>
    <cfRule type="duplicateValues" dxfId="0" priority="279"/>
    <cfRule type="duplicateValues" dxfId="0" priority="278"/>
    <cfRule type="duplicateValues" dxfId="0" priority="277"/>
    <cfRule type="duplicateValues" dxfId="0" priority="276"/>
    <cfRule type="duplicateValues" dxfId="0" priority="275"/>
    <cfRule type="duplicateValues" dxfId="0" priority="274"/>
    <cfRule type="duplicateValues" dxfId="0" priority="273"/>
    <cfRule type="duplicateValues" dxfId="0" priority="272"/>
    <cfRule type="duplicateValues" dxfId="0" priority="271"/>
    <cfRule type="duplicateValues" dxfId="0" priority="270"/>
    <cfRule type="duplicateValues" dxfId="0" priority="269"/>
    <cfRule type="duplicateValues" dxfId="0" priority="289"/>
    <cfRule type="duplicateValues" dxfId="0" priority="268"/>
    <cfRule type="duplicateValues" dxfId="0" priority="267"/>
    <cfRule type="duplicateValues" dxfId="0" priority="266"/>
    <cfRule type="duplicateValues" dxfId="0" priority="265"/>
    <cfRule type="duplicateValues" dxfId="0" priority="264"/>
    <cfRule type="duplicateValues" dxfId="0" priority="263"/>
    <cfRule type="duplicateValues" dxfId="0" priority="262"/>
    <cfRule type="duplicateValues" dxfId="0" priority="261"/>
    <cfRule type="duplicateValues" dxfId="0" priority="340"/>
    <cfRule type="duplicateValues" dxfId="0" priority="339"/>
    <cfRule type="duplicateValues" dxfId="0" priority="338"/>
    <cfRule type="duplicateValues" dxfId="0" priority="337"/>
    <cfRule type="duplicateValues" dxfId="0" priority="336"/>
    <cfRule type="duplicateValues" dxfId="0" priority="335"/>
    <cfRule type="duplicateValues" dxfId="0" priority="334"/>
    <cfRule type="duplicateValues" dxfId="0" priority="333"/>
    <cfRule type="duplicateValues" dxfId="0" priority="332"/>
    <cfRule type="duplicateValues" dxfId="0" priority="331"/>
    <cfRule type="duplicateValues" dxfId="0" priority="330"/>
    <cfRule type="duplicateValues" dxfId="0" priority="329"/>
    <cfRule type="duplicateValues" dxfId="0" priority="328"/>
    <cfRule type="duplicateValues" dxfId="0" priority="327"/>
    <cfRule type="duplicateValues" dxfId="0" priority="326"/>
    <cfRule type="duplicateValues" dxfId="0" priority="325"/>
    <cfRule type="duplicateValues" dxfId="0" priority="324"/>
    <cfRule type="duplicateValues" dxfId="0" priority="323"/>
    <cfRule type="duplicateValues" dxfId="0" priority="322"/>
    <cfRule type="duplicateValues" dxfId="0" priority="321"/>
    <cfRule type="duplicateValues" dxfId="0" priority="320"/>
    <cfRule type="duplicateValues" dxfId="0" priority="319"/>
    <cfRule type="duplicateValues" dxfId="0" priority="318"/>
    <cfRule type="duplicateValues" dxfId="0" priority="317"/>
    <cfRule type="duplicateValues" dxfId="0" priority="316"/>
    <cfRule type="duplicateValues" dxfId="0" priority="315"/>
    <cfRule type="duplicateValues" dxfId="0" priority="314"/>
    <cfRule type="duplicateValues" dxfId="0" priority="313"/>
    <cfRule type="duplicateValues" dxfId="0" priority="312"/>
    <cfRule type="duplicateValues" dxfId="0" priority="311"/>
    <cfRule type="duplicateValues" dxfId="0" priority="310"/>
    <cfRule type="duplicateValues" dxfId="0" priority="309"/>
    <cfRule type="duplicateValues" dxfId="0" priority="308"/>
  </conditionalFormatting>
  <conditionalFormatting sqref="A49">
    <cfRule type="duplicateValues" dxfId="0" priority="182"/>
    <cfRule type="duplicateValues" dxfId="0" priority="183"/>
    <cfRule type="duplicateValues" dxfId="0" priority="184"/>
    <cfRule type="duplicateValues" dxfId="0" priority="178"/>
    <cfRule type="duplicateValues" dxfId="0" priority="185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9"/>
    <cfRule type="duplicateValues" dxfId="0" priority="180"/>
    <cfRule type="duplicateValues" dxfId="0" priority="181"/>
    <cfRule type="duplicateValues" dxfId="0" priority="170"/>
    <cfRule type="duplicateValues" dxfId="0" priority="169"/>
    <cfRule type="duplicateValues" dxfId="0" priority="168"/>
    <cfRule type="duplicateValues" dxfId="0" priority="167"/>
    <cfRule type="duplicateValues" dxfId="0" priority="166"/>
    <cfRule type="duplicateValues" dxfId="0" priority="165"/>
    <cfRule type="duplicateValues" dxfId="0" priority="164"/>
    <cfRule type="duplicateValues" dxfId="0" priority="163"/>
    <cfRule type="duplicateValues" dxfId="0" priority="162"/>
    <cfRule type="duplicateValues" dxfId="0" priority="161"/>
  </conditionalFormatting>
  <conditionalFormatting sqref="A50:A52"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60"/>
    <cfRule type="duplicateValues" dxfId="0" priority="120"/>
    <cfRule type="duplicateValues" dxfId="0" priority="81"/>
    <cfRule type="duplicateValues" dxfId="0" priority="145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159"/>
    <cfRule type="duplicateValues" dxfId="0" priority="158"/>
    <cfRule type="duplicateValues" dxfId="0" priority="157"/>
    <cfRule type="duplicateValues" dxfId="0" priority="156"/>
    <cfRule type="duplicateValues" dxfId="0" priority="155"/>
    <cfRule type="duplicateValues" dxfId="0" priority="154"/>
    <cfRule type="duplicateValues" dxfId="0" priority="153"/>
    <cfRule type="duplicateValues" dxfId="0" priority="152"/>
    <cfRule type="duplicateValues" dxfId="0" priority="151"/>
    <cfRule type="duplicateValues" dxfId="0" priority="150"/>
    <cfRule type="duplicateValues" dxfId="0" priority="149"/>
    <cfRule type="duplicateValues" dxfId="0" priority="148"/>
    <cfRule type="duplicateValues" dxfId="0" priority="147"/>
    <cfRule type="duplicateValues" dxfId="0" priority="146"/>
    <cfRule type="duplicateValues" dxfId="0" priority="144"/>
    <cfRule type="duplicateValues" dxfId="0" priority="143"/>
    <cfRule type="duplicateValues" dxfId="0" priority="142"/>
    <cfRule type="duplicateValues" dxfId="0" priority="141"/>
    <cfRule type="duplicateValues" dxfId="0" priority="140"/>
    <cfRule type="duplicateValues" dxfId="0" priority="139"/>
    <cfRule type="duplicateValues" dxfId="0" priority="138"/>
    <cfRule type="duplicateValues" dxfId="0" priority="137"/>
    <cfRule type="duplicateValues" dxfId="0" priority="136"/>
    <cfRule type="duplicateValues" dxfId="0" priority="135"/>
    <cfRule type="duplicateValues" dxfId="0" priority="134"/>
    <cfRule type="duplicateValues" dxfId="0" priority="133"/>
    <cfRule type="duplicateValues" dxfId="0" priority="132"/>
    <cfRule type="duplicateValues" dxfId="0" priority="131"/>
    <cfRule type="duplicateValues" dxfId="0" priority="130"/>
    <cfRule type="duplicateValues" dxfId="0" priority="129"/>
  </conditionalFormatting>
  <conditionalFormatting sqref="A55:A1048576 A1">
    <cfRule type="duplicateValues" dxfId="0" priority="363675"/>
    <cfRule type="duplicateValues" dxfId="0" priority="363676"/>
    <cfRule type="duplicateValues" dxfId="0" priority="363742"/>
    <cfRule type="duplicateValues" dxfId="0" priority="363766"/>
    <cfRule type="duplicateValues" dxfId="0" priority="363767"/>
    <cfRule type="duplicateValues" dxfId="0" priority="363768"/>
    <cfRule type="duplicateValues" dxfId="0" priority="363665"/>
    <cfRule type="duplicateValues" dxfId="0" priority="363769"/>
    <cfRule type="duplicateValues" dxfId="0" priority="363664"/>
    <cfRule type="duplicateValues" dxfId="0" priority="1106"/>
    <cfRule type="duplicateValues" dxfId="0" priority="1105"/>
    <cfRule type="duplicateValues" dxfId="0" priority="1050"/>
    <cfRule type="duplicateValues" dxfId="0" priority="1048"/>
    <cfRule type="duplicateValues" dxfId="0" priority="1047"/>
    <cfRule type="duplicateValues" dxfId="0" priority="363667"/>
    <cfRule type="duplicateValues" dxfId="0" priority="363668"/>
    <cfRule type="duplicateValues" dxfId="0" priority="363669"/>
    <cfRule type="duplicateValues" dxfId="0" priority="363670"/>
    <cfRule type="duplicateValues" dxfId="0" priority="363671"/>
    <cfRule type="duplicateValues" dxfId="0" priority="363672"/>
    <cfRule type="duplicateValues" dxfId="0" priority="363673"/>
    <cfRule type="duplicateValues" dxfId="0" priority="363666"/>
    <cfRule type="duplicateValues" dxfId="0" priority="363674"/>
  </conditionalFormatting>
  <conditionalFormatting sqref="A55:A1048576">
    <cfRule type="duplicateValues" dxfId="0" priority="331287"/>
  </conditionalFormatting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V45"/>
  <sheetViews>
    <sheetView showGridLines="0" zoomScale="93" zoomScaleNormal="93" workbookViewId="0">
      <pane xSplit="5" ySplit="2" topLeftCell="F3" activePane="bottomRight" state="frozen"/>
      <selection pane="topRight"/>
      <selection pane="bottomLeft"/>
      <selection pane="bottomRight" activeCell="G3" sqref="G3"/>
    </sheetView>
  </sheetViews>
  <sheetFormatPr defaultColWidth="9.109375" defaultRowHeight="25.05" customHeight="1"/>
  <cols>
    <col min="1" max="1" width="13.5546875" customWidth="1" style="89"/>
    <col min="2" max="2" width="11.109375" customWidth="1" style="89"/>
    <col min="3" max="3" width="16.77734375" customWidth="1" style="89"/>
    <col min="4" max="4" width="22.77734375" customWidth="1" style="89"/>
    <col min="5" max="5" width="14.109375" customWidth="1" style="89"/>
    <col min="6" max="6" width="16.77734375" customWidth="1" style="89"/>
    <col min="7" max="7" width="18.5546875" customWidth="1" style="89"/>
    <col min="8" max="8" width="23.44140625" customWidth="1" style="89"/>
    <col min="9" max="9" width="17" customWidth="1" style="89"/>
    <col min="10" max="10" width="41.77734375" customWidth="1" style="89"/>
    <col min="11" max="11" width="13.21875" customWidth="1" style="89"/>
    <col min="12" max="12" width="22.109375" customWidth="1" style="89"/>
    <col min="13" max="13" width="24.21875" customWidth="1" style="89"/>
    <col min="14" max="14" width="29.109375" customWidth="1" style="89"/>
    <col min="15" max="15" width="24.109375" customWidth="1" style="89"/>
    <col min="16" max="16" width="23.21875" customWidth="1" style="89"/>
    <col min="17" max="20" width="19.21875" customWidth="1" style="89"/>
    <col min="21" max="21" width="21.5546875" customWidth="1" style="89"/>
    <col min="22" max="22" width="23.109375" customWidth="1" style="89"/>
    <col min="23" max="23" width="33.77734375" customWidth="1" style="89"/>
    <col min="24" max="24" width="17" customWidth="1" style="89"/>
    <col min="25" max="25" width="15.109375" customWidth="1" style="89"/>
    <col min="26" max="26" width="29.77734375" customWidth="1" style="89"/>
    <col min="27" max="27" width="13" customWidth="1" style="89"/>
    <col min="28" max="28" width="13.77734375" customWidth="1" style="89"/>
    <col min="29" max="29" width="19.109375" customWidth="1" style="89"/>
    <col min="30" max="30" width="14.77734375" customWidth="1" style="89"/>
    <col min="31" max="31" width="13.77734375" customWidth="1" style="89"/>
    <col min="32" max="32" width="10.77734375" customWidth="1" style="89"/>
    <col min="33" max="33" width="13.44140625" customWidth="1" style="89"/>
    <col min="34" max="34" width="11.21875" customWidth="1" style="89"/>
    <col min="35" max="35" width="14.44140625" customWidth="1" style="89"/>
    <col min="36" max="36" width="44.21875" customWidth="1" style="89"/>
    <col min="37" max="37" width="13.77734375" customWidth="1" style="89"/>
    <col min="38" max="38" width="26.77734375" customWidth="1" style="89"/>
    <col min="39" max="39" width="26.44140625" customWidth="1" style="89"/>
    <col min="40" max="40" width="22" customWidth="1" style="89"/>
    <col min="41" max="41" width="65.77734375" customWidth="1" style="89"/>
    <col min="42" max="42" width="63" customWidth="1" style="89"/>
    <col min="43" max="43" width="39.5546875" customWidth="1" style="89"/>
    <col min="44" max="44" width="19.77734375" customWidth="1" style="89"/>
    <col min="45" max="45" width="22.77734375" customWidth="1" style="89"/>
    <col min="46" max="46" width="21.44140625" customWidth="1" style="89"/>
    <col min="47" max="47" width="19.77734375" customWidth="1" style="89"/>
    <col min="48" max="48" width="17" customWidth="1" style="89"/>
    <col min="49" max="49" width="15.77734375" customWidth="1" style="89"/>
    <col min="50" max="50" width="11.21875" customWidth="1" style="89"/>
    <col min="51" max="51" width="15.44140625" customWidth="1" style="89"/>
    <col min="52" max="52" width="11.21875" customWidth="1" style="89"/>
    <col min="53" max="53" width="15.44140625" customWidth="1" style="89"/>
    <col min="54" max="54" width="11.21875" customWidth="1" style="89"/>
    <col min="55" max="55" width="15.44140625" customWidth="1" style="89"/>
    <col min="56" max="57" width="10.77734375" customWidth="1" style="89"/>
    <col min="58" max="58" width="10" customWidth="1" style="89"/>
    <col min="59" max="59" width="14" customWidth="1" style="89"/>
    <col min="60" max="60" width="17.5546875" customWidth="1" style="89"/>
    <col min="61" max="61" width="15.77734375" customWidth="1" style="89"/>
    <col min="62" max="62" width="29.77734375" customWidth="1" style="89"/>
    <col min="63" max="63" width="39.5546875" customWidth="1" style="89"/>
    <col min="64" max="65" width="19.44140625" customWidth="1" style="89"/>
    <col min="66" max="66" width="23.21875" customWidth="1" style="89"/>
    <col min="67" max="67" width="19.44140625" customWidth="1" style="89"/>
    <col min="68" max="68" width="20.5546875" customWidth="1" style="89"/>
    <col min="69" max="71" width="14.77734375" customWidth="1" style="89"/>
    <col min="72" max="72" width="17" customWidth="1" style="89"/>
    <col min="73" max="73" width="25" customWidth="1" style="89"/>
    <col min="74" max="74" width="15.109375" customWidth="1" style="90"/>
    <col min="75" max="16384" width="9.109375" customWidth="1" style="89"/>
  </cols>
  <sheetData>
    <row r="1" ht="25.05" customHeight="1">
      <c r="A1" s="89">
        <v>1</v>
      </c>
      <c r="B1" s="89">
        <v>2</v>
      </c>
    </row>
    <row r="2" ht="48" customHeight="1">
      <c r="A2" s="91" t="s">
        <v>0</v>
      </c>
      <c r="B2" s="91" t="s">
        <v>1</v>
      </c>
      <c r="C2" s="91" t="s">
        <v>2</v>
      </c>
      <c r="D2" s="91" t="s">
        <v>3</v>
      </c>
      <c r="E2" s="91" t="s">
        <v>4</v>
      </c>
      <c r="F2" s="91" t="s">
        <v>5</v>
      </c>
      <c r="G2" s="91" t="s">
        <v>6</v>
      </c>
      <c r="H2" s="91" t="s">
        <v>7</v>
      </c>
      <c r="I2" s="91" t="s">
        <v>8</v>
      </c>
      <c r="J2" s="91" t="s">
        <v>9</v>
      </c>
      <c r="K2" s="91" t="s">
        <v>10</v>
      </c>
      <c r="L2" s="91" t="s">
        <v>11</v>
      </c>
      <c r="M2" s="91" t="s">
        <v>12</v>
      </c>
      <c r="N2" s="91" t="s">
        <v>13</v>
      </c>
      <c r="O2" s="91" t="s">
        <v>14</v>
      </c>
      <c r="P2" s="91" t="s">
        <v>15</v>
      </c>
      <c r="Q2" s="91" t="s">
        <v>16</v>
      </c>
      <c r="R2" s="91" t="s">
        <v>17</v>
      </c>
      <c r="S2" s="91" t="s">
        <v>18</v>
      </c>
      <c r="T2" s="91" t="s">
        <v>19</v>
      </c>
      <c r="U2" s="91" t="s">
        <v>20</v>
      </c>
      <c r="V2" s="91" t="s">
        <v>3476</v>
      </c>
      <c r="W2" s="91" t="s">
        <v>22</v>
      </c>
      <c r="X2" s="91" t="s">
        <v>23</v>
      </c>
      <c r="Y2" s="91" t="s">
        <v>24</v>
      </c>
      <c r="Z2" s="91" t="s">
        <v>25</v>
      </c>
      <c r="AA2" s="91" t="s">
        <v>26</v>
      </c>
      <c r="AB2" s="91" t="s">
        <v>27</v>
      </c>
      <c r="AC2" s="91" t="s">
        <v>28</v>
      </c>
      <c r="AD2" s="91" t="s">
        <v>29</v>
      </c>
      <c r="AE2" s="91" t="s">
        <v>30</v>
      </c>
      <c r="AF2" s="91" t="s">
        <v>31</v>
      </c>
      <c r="AG2" s="91" t="s">
        <v>32</v>
      </c>
      <c r="AH2" s="91" t="s">
        <v>33</v>
      </c>
      <c r="AI2" s="91" t="s">
        <v>34</v>
      </c>
      <c r="AJ2" s="91" t="s">
        <v>35</v>
      </c>
      <c r="AK2" s="91" t="s">
        <v>3477</v>
      </c>
      <c r="AL2" s="91" t="s">
        <v>37</v>
      </c>
      <c r="AM2" s="91" t="s">
        <v>38</v>
      </c>
      <c r="AN2" s="91" t="s">
        <v>39</v>
      </c>
      <c r="AO2" s="91" t="s">
        <v>40</v>
      </c>
      <c r="AP2" s="91" t="s">
        <v>41</v>
      </c>
      <c r="AQ2" s="91" t="s">
        <v>3478</v>
      </c>
      <c r="AR2" s="91" t="s">
        <v>43</v>
      </c>
      <c r="AS2" s="91" t="s">
        <v>44</v>
      </c>
      <c r="AT2" s="91" t="s">
        <v>45</v>
      </c>
      <c r="AU2" s="91" t="s">
        <v>46</v>
      </c>
      <c r="AV2" s="91" t="s">
        <v>47</v>
      </c>
      <c r="AW2" s="91" t="s">
        <v>48</v>
      </c>
      <c r="AX2" s="91" t="s">
        <v>49</v>
      </c>
      <c r="AY2" s="91" t="s">
        <v>50</v>
      </c>
      <c r="AZ2" s="91" t="s">
        <v>51</v>
      </c>
      <c r="BA2" s="91" t="s">
        <v>52</v>
      </c>
      <c r="BB2" s="91" t="s">
        <v>53</v>
      </c>
      <c r="BC2" s="91" t="s">
        <v>54</v>
      </c>
      <c r="BD2" s="91" t="s">
        <v>55</v>
      </c>
      <c r="BE2" s="91" t="s">
        <v>56</v>
      </c>
      <c r="BF2" s="91" t="s">
        <v>3479</v>
      </c>
      <c r="BG2" s="91" t="s">
        <v>58</v>
      </c>
      <c r="BH2" s="91" t="s">
        <v>7227</v>
      </c>
      <c r="BI2" s="91" t="s">
        <v>7228</v>
      </c>
      <c r="BJ2" s="91" t="s">
        <v>7229</v>
      </c>
      <c r="BK2" s="91" t="s">
        <v>7230</v>
      </c>
      <c r="BL2" s="91" t="s">
        <v>7231</v>
      </c>
      <c r="BM2" s="91" t="s">
        <v>7232</v>
      </c>
      <c r="BN2" s="91" t="s">
        <v>6803</v>
      </c>
      <c r="BO2" s="91" t="s">
        <v>6804</v>
      </c>
      <c r="BP2" s="91" t="s">
        <v>6805</v>
      </c>
      <c r="BQ2" s="122" t="s">
        <v>7134</v>
      </c>
      <c r="BR2" s="122" t="s">
        <v>7233</v>
      </c>
      <c r="BS2" s="123" t="s">
        <v>7234</v>
      </c>
      <c r="BT2" s="91" t="s">
        <v>7235</v>
      </c>
      <c r="BU2" s="91" t="s">
        <v>59</v>
      </c>
      <c r="BV2" s="91" t="s">
        <v>7214</v>
      </c>
    </row>
    <row r="3" ht="24.75" customHeight="1" s="85" customFormat="1">
      <c r="A3" s="4">
        <v>171001</v>
      </c>
      <c r="B3" s="4"/>
      <c r="C3" s="55"/>
      <c r="D3" s="4" t="s">
        <v>3512</v>
      </c>
      <c r="E3" s="4" t="s">
        <v>114</v>
      </c>
      <c r="F3" s="55">
        <v>1317746912</v>
      </c>
      <c r="G3" s="4" t="s">
        <v>4150</v>
      </c>
      <c r="H3" s="4" t="s">
        <v>226</v>
      </c>
      <c r="I3" s="4" t="s">
        <v>69</v>
      </c>
      <c r="J3" s="55" t="s">
        <v>97</v>
      </c>
      <c r="K3" s="4" t="s">
        <v>71</v>
      </c>
      <c r="L3" s="4" t="s">
        <v>4151</v>
      </c>
      <c r="M3" s="4" t="s">
        <v>74</v>
      </c>
      <c r="N3" s="4" t="s">
        <v>3488</v>
      </c>
      <c r="O3" s="4"/>
      <c r="P3" s="4" t="s">
        <v>3546</v>
      </c>
      <c r="Q3" s="75">
        <v>45023</v>
      </c>
      <c r="R3" s="75">
        <v>45032</v>
      </c>
      <c r="S3" s="75"/>
      <c r="T3" s="75"/>
      <c r="U3" s="4"/>
      <c r="V3" s="4">
        <v>1847270360</v>
      </c>
      <c r="W3" s="4"/>
      <c r="X3" s="100">
        <v>1765941991</v>
      </c>
      <c r="Y3" s="55">
        <v>1847270360</v>
      </c>
      <c r="Z3" s="106" t="s">
        <v>4153</v>
      </c>
      <c r="AA3" s="4">
        <v>1317217081</v>
      </c>
      <c r="AB3" s="4" t="s">
        <v>252</v>
      </c>
      <c r="AC3" s="4" t="s">
        <v>119</v>
      </c>
      <c r="AD3" s="75">
        <v>36272</v>
      </c>
      <c r="AE3" s="75">
        <f ref="AE3:AE17" t="shared" si="0" ca="1">(TODAY()-AD3)/365</f>
        <v>25.82191780821918</v>
      </c>
      <c r="AF3" s="107" t="s">
        <v>80</v>
      </c>
      <c r="AG3" s="4">
        <v>6904360374</v>
      </c>
      <c r="AH3" s="114" t="s">
        <v>4154</v>
      </c>
      <c r="AI3" s="4" t="s">
        <v>3492</v>
      </c>
      <c r="AJ3" s="55" t="s">
        <v>4155</v>
      </c>
      <c r="AK3" s="55">
        <v>2024</v>
      </c>
      <c r="AL3" s="55" t="s">
        <v>4156</v>
      </c>
      <c r="AM3" s="4" t="s">
        <v>4157</v>
      </c>
      <c r="AN3" s="4" t="s">
        <v>4158</v>
      </c>
      <c r="AO3" s="4" t="s">
        <v>7236</v>
      </c>
      <c r="AP3" s="55" t="s">
        <v>7237</v>
      </c>
      <c r="AQ3" s="55" t="s">
        <v>7236</v>
      </c>
      <c r="AR3" s="55" t="s">
        <v>110</v>
      </c>
      <c r="AS3" s="4"/>
      <c r="AT3" s="4"/>
      <c r="AU3" s="75"/>
      <c r="AV3" s="4"/>
      <c r="AW3" s="4"/>
      <c r="AX3" s="4"/>
      <c r="AY3" s="4"/>
      <c r="AZ3" s="4"/>
      <c r="BA3" s="4" t="s">
        <v>4161</v>
      </c>
      <c r="BB3" s="4">
        <v>16380</v>
      </c>
      <c r="BC3" s="4">
        <v>3000</v>
      </c>
      <c r="BD3" s="4"/>
      <c r="BE3" s="4" t="s">
        <v>7238</v>
      </c>
      <c r="BF3" s="4">
        <v>160096</v>
      </c>
      <c r="BG3" s="4" t="s">
        <v>92</v>
      </c>
      <c r="BH3" s="4" t="s">
        <v>6808</v>
      </c>
      <c r="BI3" s="4" t="s">
        <v>4150</v>
      </c>
      <c r="BJ3" s="4" t="s">
        <v>6808</v>
      </c>
      <c r="BK3" s="4" t="s">
        <v>4704</v>
      </c>
      <c r="BL3" s="4" t="s">
        <v>6807</v>
      </c>
      <c r="BM3" s="4" t="s">
        <v>4151</v>
      </c>
      <c r="BN3" s="4">
        <v>16380</v>
      </c>
      <c r="BO3" s="4">
        <v>3000</v>
      </c>
      <c r="BP3" s="4">
        <v>4000</v>
      </c>
      <c r="BQ3" s="72">
        <v>45090</v>
      </c>
      <c r="BR3" s="72">
        <v>45093</v>
      </c>
      <c r="BS3" s="4" t="s">
        <v>7239</v>
      </c>
      <c r="BT3" s="4"/>
      <c r="BU3" s="4" t="s">
        <v>168</v>
      </c>
      <c r="BV3" s="4"/>
    </row>
    <row r="4" ht="25.05" customHeight="1" s="85" customFormat="1">
      <c r="A4" s="4">
        <v>171002</v>
      </c>
      <c r="B4" s="4"/>
      <c r="C4" s="55" t="s">
        <v>81</v>
      </c>
      <c r="D4" s="4" t="s">
        <v>5959</v>
      </c>
      <c r="E4" s="4" t="s">
        <v>114</v>
      </c>
      <c r="F4" s="55">
        <v>1310581588</v>
      </c>
      <c r="G4" s="4" t="s">
        <v>4150</v>
      </c>
      <c r="H4" s="4" t="s">
        <v>7240</v>
      </c>
      <c r="I4" s="4" t="s">
        <v>7241</v>
      </c>
      <c r="J4" s="55" t="s">
        <v>167</v>
      </c>
      <c r="K4" s="4" t="s">
        <v>71</v>
      </c>
      <c r="L4" s="4" t="s">
        <v>4151</v>
      </c>
      <c r="M4" s="4" t="s">
        <v>74</v>
      </c>
      <c r="N4" s="4" t="s">
        <v>3488</v>
      </c>
      <c r="O4" s="4" t="s">
        <v>3488</v>
      </c>
      <c r="P4" s="4" t="s">
        <v>3546</v>
      </c>
      <c r="Q4" s="75">
        <v>45023</v>
      </c>
      <c r="R4" s="75">
        <v>45032</v>
      </c>
      <c r="S4" s="75"/>
      <c r="T4" s="4"/>
      <c r="U4" s="4"/>
      <c r="V4" s="4"/>
      <c r="W4" s="100"/>
      <c r="X4" s="55">
        <v>1834971595</v>
      </c>
      <c r="Y4" s="106"/>
      <c r="Z4" s="4" t="s">
        <v>5963</v>
      </c>
      <c r="AA4" s="4">
        <v>1827263329</v>
      </c>
      <c r="AB4" s="4" t="s">
        <v>101</v>
      </c>
      <c r="AC4" s="4" t="s">
        <v>119</v>
      </c>
      <c r="AD4" s="75">
        <v>36344</v>
      </c>
      <c r="AE4" s="107">
        <f t="shared" si="0" ca="1"/>
        <v>25.624657534246577</v>
      </c>
      <c r="AF4" s="4" t="s">
        <v>80</v>
      </c>
      <c r="AG4" s="114">
        <v>9163937353</v>
      </c>
      <c r="AH4" s="4" t="s">
        <v>81</v>
      </c>
      <c r="AI4" s="55" t="s">
        <v>104</v>
      </c>
      <c r="AJ4" s="55" t="s">
        <v>5642</v>
      </c>
      <c r="AK4" s="55">
        <v>2024</v>
      </c>
      <c r="AL4" s="55" t="s">
        <v>2010</v>
      </c>
      <c r="AM4" s="4" t="s">
        <v>5963</v>
      </c>
      <c r="AN4" s="4" t="s">
        <v>5964</v>
      </c>
      <c r="AO4" s="55" t="s">
        <v>5965</v>
      </c>
      <c r="AP4" s="55" t="s">
        <v>5966</v>
      </c>
      <c r="AQ4" s="55" t="s">
        <v>7242</v>
      </c>
      <c r="AR4" s="4" t="s">
        <v>110</v>
      </c>
      <c r="AS4" s="4"/>
      <c r="AT4" s="72"/>
      <c r="AU4" s="4"/>
      <c r="AV4" s="4"/>
      <c r="AW4" s="4"/>
      <c r="AX4" s="4"/>
      <c r="AY4" s="4"/>
      <c r="AZ4" s="4"/>
      <c r="BA4" s="4" t="s">
        <v>4161</v>
      </c>
      <c r="BB4" s="4">
        <v>19050</v>
      </c>
      <c r="BC4" s="4">
        <v>3000</v>
      </c>
      <c r="BD4" s="4"/>
      <c r="BE4" s="4" t="s">
        <v>91</v>
      </c>
      <c r="BF4" s="4">
        <v>160186</v>
      </c>
      <c r="BG4" s="4" t="s">
        <v>4715</v>
      </c>
      <c r="BH4" s="4" t="s">
        <v>6808</v>
      </c>
      <c r="BI4" s="4" t="s">
        <v>5960</v>
      </c>
      <c r="BJ4" s="4" t="s">
        <v>6808</v>
      </c>
      <c r="BK4" s="4" t="s">
        <v>4704</v>
      </c>
      <c r="BL4" s="4" t="s">
        <v>5961</v>
      </c>
      <c r="BM4" s="4" t="s">
        <v>4151</v>
      </c>
      <c r="BN4" s="4">
        <v>19050</v>
      </c>
      <c r="BO4" s="4">
        <v>3000</v>
      </c>
      <c r="BP4" s="4">
        <v>0</v>
      </c>
      <c r="BQ4" s="72">
        <v>45139</v>
      </c>
      <c r="BR4" s="72" t="s">
        <v>81</v>
      </c>
      <c r="BS4" s="4" t="s">
        <v>7243</v>
      </c>
      <c r="BT4" s="4"/>
      <c r="BU4" s="4" t="s">
        <v>168</v>
      </c>
      <c r="BV4" s="4"/>
    </row>
    <row r="5" ht="25.05" customHeight="1" s="85" customFormat="1">
      <c r="A5" s="4">
        <v>171003</v>
      </c>
      <c r="B5" s="4"/>
      <c r="C5" s="55" t="s">
        <v>81</v>
      </c>
      <c r="D5" s="4" t="s">
        <v>115</v>
      </c>
      <c r="E5" s="4" t="s">
        <v>114</v>
      </c>
      <c r="F5" s="55">
        <v>1217638747</v>
      </c>
      <c r="G5" s="4" t="s">
        <v>225</v>
      </c>
      <c r="H5" s="4" t="s">
        <v>7240</v>
      </c>
      <c r="I5" s="4" t="s">
        <v>7241</v>
      </c>
      <c r="J5" s="55" t="s">
        <v>167</v>
      </c>
      <c r="K5" s="4" t="s">
        <v>71</v>
      </c>
      <c r="L5" s="4" t="s">
        <v>4151</v>
      </c>
      <c r="M5" s="4" t="s">
        <v>74</v>
      </c>
      <c r="N5" s="4" t="s">
        <v>3488</v>
      </c>
      <c r="O5" s="4" t="s">
        <v>3488</v>
      </c>
      <c r="P5" s="4" t="s">
        <v>3763</v>
      </c>
      <c r="Q5" s="75">
        <v>45056</v>
      </c>
      <c r="R5" s="75">
        <v>45072</v>
      </c>
      <c r="S5" s="75"/>
      <c r="T5" s="4">
        <f>16+12</f>
        <v>28</v>
      </c>
      <c r="U5" s="4"/>
      <c r="V5" s="4"/>
      <c r="W5" s="100" t="s">
        <v>7244</v>
      </c>
      <c r="X5" s="55">
        <v>1744130027</v>
      </c>
      <c r="Y5" s="106">
        <v>1518901953</v>
      </c>
      <c r="Z5" s="4" t="s">
        <v>7245</v>
      </c>
      <c r="AA5" s="4">
        <v>1716488158</v>
      </c>
      <c r="AB5" s="4" t="s">
        <v>252</v>
      </c>
      <c r="AC5" s="4" t="s">
        <v>102</v>
      </c>
      <c r="AD5" s="75">
        <v>36276</v>
      </c>
      <c r="AE5" s="107">
        <f t="shared" si="0" ca="1"/>
        <v>25.81095890410959</v>
      </c>
      <c r="AF5" s="4" t="s">
        <v>80</v>
      </c>
      <c r="AG5" s="114">
        <v>1504562578</v>
      </c>
      <c r="AH5" s="4" t="s">
        <v>81</v>
      </c>
      <c r="AI5" s="55" t="s">
        <v>1368</v>
      </c>
      <c r="AJ5" s="55" t="s">
        <v>242</v>
      </c>
      <c r="AK5" s="55" t="s">
        <v>242</v>
      </c>
      <c r="AL5" s="55" t="s">
        <v>1649</v>
      </c>
      <c r="AM5" s="4" t="s">
        <v>7246</v>
      </c>
      <c r="AN5" s="4" t="s">
        <v>7247</v>
      </c>
      <c r="AO5" s="55" t="s">
        <v>7248</v>
      </c>
      <c r="AP5" s="55" t="s">
        <v>7249</v>
      </c>
      <c r="AQ5" s="55" t="s">
        <v>7250</v>
      </c>
      <c r="AR5" s="4" t="s">
        <v>110</v>
      </c>
      <c r="AS5" s="4"/>
      <c r="AT5" s="72"/>
      <c r="AU5" s="4"/>
      <c r="AV5" s="4"/>
      <c r="AW5" s="4"/>
      <c r="AX5" s="4"/>
      <c r="AY5" s="4"/>
      <c r="AZ5" s="4"/>
      <c r="BA5" s="4" t="s">
        <v>4161</v>
      </c>
      <c r="BB5" s="4">
        <v>14500</v>
      </c>
      <c r="BC5" s="4">
        <v>3500</v>
      </c>
      <c r="BD5" s="4"/>
      <c r="BE5" s="4" t="s">
        <v>91</v>
      </c>
      <c r="BF5" s="4">
        <v>33318</v>
      </c>
      <c r="BG5" s="4" t="s">
        <v>7251</v>
      </c>
      <c r="BH5" s="4" t="s">
        <v>6808</v>
      </c>
      <c r="BI5" s="4" t="s">
        <v>226</v>
      </c>
      <c r="BJ5" s="4" t="s">
        <v>6808</v>
      </c>
      <c r="BK5" s="4" t="s">
        <v>4704</v>
      </c>
      <c r="BL5" s="4" t="s">
        <v>6807</v>
      </c>
      <c r="BM5" s="4" t="s">
        <v>4151</v>
      </c>
      <c r="BN5" s="4">
        <v>14500</v>
      </c>
      <c r="BO5" s="4">
        <v>3500</v>
      </c>
      <c r="BP5" s="4">
        <v>0</v>
      </c>
      <c r="BQ5" s="72">
        <v>45139</v>
      </c>
      <c r="BR5" s="72" t="s">
        <v>81</v>
      </c>
      <c r="BS5" s="4" t="s">
        <v>7243</v>
      </c>
      <c r="BT5" s="4"/>
      <c r="BU5" s="4" t="s">
        <v>168</v>
      </c>
      <c r="BV5" s="4"/>
    </row>
    <row r="6" ht="25.05" customHeight="1" s="67" customFormat="1">
      <c r="A6" s="4">
        <v>171030</v>
      </c>
      <c r="B6" s="4"/>
      <c r="C6" s="55" t="s">
        <v>4254</v>
      </c>
      <c r="D6" s="4" t="s">
        <v>1106</v>
      </c>
      <c r="E6" s="4" t="s">
        <v>114</v>
      </c>
      <c r="F6" s="55">
        <v>1410849212</v>
      </c>
      <c r="G6" s="4" t="s">
        <v>67</v>
      </c>
      <c r="H6" s="4" t="s">
        <v>3486</v>
      </c>
      <c r="I6" s="4" t="s">
        <v>69</v>
      </c>
      <c r="J6" s="55" t="s">
        <v>70</v>
      </c>
      <c r="K6" s="4" t="s">
        <v>71</v>
      </c>
      <c r="L6" s="4" t="s">
        <v>3487</v>
      </c>
      <c r="M6" s="4" t="s">
        <v>2643</v>
      </c>
      <c r="N6" s="4" t="s">
        <v>74</v>
      </c>
      <c r="O6" s="4" t="s">
        <v>3788</v>
      </c>
      <c r="P6" s="4" t="s">
        <v>3489</v>
      </c>
      <c r="Q6" s="75">
        <v>45033</v>
      </c>
      <c r="R6" s="75">
        <v>45040</v>
      </c>
      <c r="S6" s="75"/>
      <c r="T6" s="4"/>
      <c r="U6" s="4"/>
      <c r="V6" s="4"/>
      <c r="W6" s="100" t="s">
        <v>4255</v>
      </c>
      <c r="X6" s="55">
        <v>1956090283</v>
      </c>
      <c r="Y6" s="106"/>
      <c r="Z6" s="4" t="s">
        <v>4256</v>
      </c>
      <c r="AA6" s="4">
        <v>1954943389</v>
      </c>
      <c r="AB6" s="4" t="s">
        <v>132</v>
      </c>
      <c r="AC6" s="4" t="s">
        <v>1109</v>
      </c>
      <c r="AD6" s="75">
        <v>37285</v>
      </c>
      <c r="AE6" s="107">
        <f t="shared" si="0" ca="1"/>
        <v>23.046575342465754</v>
      </c>
      <c r="AF6" s="4" t="s">
        <v>80</v>
      </c>
      <c r="AG6" s="114">
        <v>1963920572</v>
      </c>
      <c r="AH6" s="4" t="s">
        <v>81</v>
      </c>
      <c r="AI6" s="55" t="s">
        <v>104</v>
      </c>
      <c r="AJ6" s="55" t="s">
        <v>4257</v>
      </c>
      <c r="AK6" s="55">
        <v>2024</v>
      </c>
      <c r="AL6" s="55" t="s">
        <v>4258</v>
      </c>
      <c r="AM6" s="4" t="s">
        <v>1110</v>
      </c>
      <c r="AN6" s="4" t="s">
        <v>4256</v>
      </c>
      <c r="AO6" s="55" t="s">
        <v>4259</v>
      </c>
      <c r="AP6" s="55" t="s">
        <v>4259</v>
      </c>
      <c r="AQ6" s="55" t="s">
        <v>4260</v>
      </c>
      <c r="AR6" s="4" t="s">
        <v>110</v>
      </c>
      <c r="AS6" s="4"/>
      <c r="AT6" s="72"/>
      <c r="AU6" s="4"/>
      <c r="AV6" s="4"/>
      <c r="AW6" s="4"/>
      <c r="AX6" s="4"/>
      <c r="AY6" s="4"/>
      <c r="AZ6" s="4"/>
      <c r="BA6" s="4" t="s">
        <v>3498</v>
      </c>
      <c r="BB6" s="4">
        <v>10800</v>
      </c>
      <c r="BC6" s="4">
        <v>2700</v>
      </c>
      <c r="BD6" s="4"/>
      <c r="BE6" s="4" t="s">
        <v>91</v>
      </c>
      <c r="BF6" s="4">
        <v>160797</v>
      </c>
      <c r="BG6" s="4" t="s">
        <v>92</v>
      </c>
      <c r="BH6" s="4" t="s">
        <v>6808</v>
      </c>
      <c r="BI6" s="93" t="s">
        <v>67</v>
      </c>
      <c r="BJ6" s="4" t="s">
        <v>6808</v>
      </c>
      <c r="BK6" s="4" t="s">
        <v>4704</v>
      </c>
      <c r="BL6" s="4" t="s">
        <v>6807</v>
      </c>
      <c r="BM6" s="4" t="s">
        <v>3487</v>
      </c>
      <c r="BN6" s="4">
        <v>10800</v>
      </c>
      <c r="BO6" s="4">
        <v>2700</v>
      </c>
      <c r="BP6" s="4">
        <v>2500</v>
      </c>
      <c r="BQ6" s="72">
        <v>45175</v>
      </c>
      <c r="BR6" s="72">
        <v>45185</v>
      </c>
      <c r="BS6" s="4" t="s">
        <v>7252</v>
      </c>
      <c r="BT6" s="4"/>
      <c r="BU6" s="4" t="s">
        <v>168</v>
      </c>
      <c r="BV6" s="4"/>
    </row>
    <row r="7" ht="25.05" customHeight="1" s="67" customFormat="1">
      <c r="A7" s="4">
        <v>171031</v>
      </c>
      <c r="B7" s="4"/>
      <c r="C7" s="55" t="s">
        <v>3979</v>
      </c>
      <c r="D7" s="4" t="s">
        <v>3980</v>
      </c>
      <c r="E7" s="4" t="s">
        <v>114</v>
      </c>
      <c r="F7" s="55">
        <v>1210544253</v>
      </c>
      <c r="G7" s="4" t="s">
        <v>67</v>
      </c>
      <c r="H7" s="4" t="s">
        <v>3486</v>
      </c>
      <c r="I7" s="4" t="s">
        <v>69</v>
      </c>
      <c r="J7" s="55" t="s">
        <v>70</v>
      </c>
      <c r="K7" s="4" t="s">
        <v>71</v>
      </c>
      <c r="L7" s="4" t="s">
        <v>3487</v>
      </c>
      <c r="M7" s="4" t="s">
        <v>2643</v>
      </c>
      <c r="N7" s="4" t="s">
        <v>74</v>
      </c>
      <c r="O7" s="4" t="s">
        <v>3788</v>
      </c>
      <c r="P7" s="4" t="s">
        <v>3489</v>
      </c>
      <c r="Q7" s="75">
        <v>45033</v>
      </c>
      <c r="R7" s="75">
        <v>45040</v>
      </c>
      <c r="S7" s="75"/>
      <c r="T7" s="4"/>
      <c r="U7" s="4"/>
      <c r="V7" s="4"/>
      <c r="W7" s="100" t="s">
        <v>3981</v>
      </c>
      <c r="X7" s="55">
        <v>1609075990</v>
      </c>
      <c r="Y7" s="106"/>
      <c r="Z7" s="4" t="s">
        <v>3982</v>
      </c>
      <c r="AA7" s="4">
        <v>1714789272</v>
      </c>
      <c r="AB7" s="4" t="s">
        <v>101</v>
      </c>
      <c r="AC7" s="4" t="s">
        <v>119</v>
      </c>
      <c r="AD7" s="75">
        <v>36185</v>
      </c>
      <c r="AE7" s="107">
        <f t="shared" si="0" ca="1"/>
        <v>26.06027397260274</v>
      </c>
      <c r="AF7" s="4" t="s">
        <v>80</v>
      </c>
      <c r="AG7" s="114">
        <v>3762449225</v>
      </c>
      <c r="AH7" s="4" t="s">
        <v>81</v>
      </c>
      <c r="AI7" s="55" t="s">
        <v>104</v>
      </c>
      <c r="AJ7" s="55" t="s">
        <v>3983</v>
      </c>
      <c r="AK7" s="55">
        <v>2023</v>
      </c>
      <c r="AL7" s="55" t="s">
        <v>2259</v>
      </c>
      <c r="AM7" s="4" t="s">
        <v>3982</v>
      </c>
      <c r="AN7" s="4" t="s">
        <v>2177</v>
      </c>
      <c r="AO7" s="55" t="s">
        <v>3984</v>
      </c>
      <c r="AP7" s="55" t="s">
        <v>3985</v>
      </c>
      <c r="AQ7" s="55" t="s">
        <v>88</v>
      </c>
      <c r="AR7" s="4" t="s">
        <v>110</v>
      </c>
      <c r="AS7" s="4"/>
      <c r="AT7" s="72"/>
      <c r="AU7" s="4"/>
      <c r="AV7" s="4"/>
      <c r="AW7" s="4"/>
      <c r="AX7" s="4"/>
      <c r="AY7" s="4"/>
      <c r="AZ7" s="4"/>
      <c r="BA7" s="4" t="s">
        <v>3498</v>
      </c>
      <c r="BB7" s="4">
        <v>10800</v>
      </c>
      <c r="BC7" s="4">
        <v>2700</v>
      </c>
      <c r="BD7" s="4"/>
      <c r="BE7" s="4" t="s">
        <v>91</v>
      </c>
      <c r="BF7" s="4">
        <v>160561</v>
      </c>
      <c r="BG7" s="4" t="s">
        <v>92</v>
      </c>
      <c r="BH7" s="4" t="s">
        <v>6808</v>
      </c>
      <c r="BI7" s="93" t="s">
        <v>67</v>
      </c>
      <c r="BJ7" s="4" t="s">
        <v>6808</v>
      </c>
      <c r="BK7" s="4" t="s">
        <v>4704</v>
      </c>
      <c r="BL7" s="4" t="s">
        <v>6807</v>
      </c>
      <c r="BM7" s="4" t="s">
        <v>3487</v>
      </c>
      <c r="BN7" s="4">
        <v>10800</v>
      </c>
      <c r="BO7" s="4">
        <v>2700</v>
      </c>
      <c r="BP7" s="4">
        <v>2500</v>
      </c>
      <c r="BQ7" s="72">
        <v>45175</v>
      </c>
      <c r="BR7" s="72">
        <v>45185</v>
      </c>
      <c r="BS7" s="4" t="s">
        <v>7252</v>
      </c>
      <c r="BT7" s="4"/>
      <c r="BU7" s="4" t="s">
        <v>168</v>
      </c>
      <c r="BV7" s="4"/>
    </row>
    <row r="8" ht="25.05" customHeight="1" s="67" customFormat="1">
      <c r="A8" s="4">
        <v>171131</v>
      </c>
      <c r="B8" s="4"/>
      <c r="C8" s="92" t="s">
        <v>891</v>
      </c>
      <c r="D8" s="4" t="s">
        <v>4434</v>
      </c>
      <c r="E8" s="93" t="s">
        <v>114</v>
      </c>
      <c r="F8" s="93">
        <v>1012632107</v>
      </c>
      <c r="G8" s="4" t="s">
        <v>67</v>
      </c>
      <c r="H8" s="4" t="s">
        <v>3486</v>
      </c>
      <c r="I8" s="4" t="s">
        <v>69</v>
      </c>
      <c r="J8" s="55" t="s">
        <v>4223</v>
      </c>
      <c r="K8" s="4" t="s">
        <v>71</v>
      </c>
      <c r="L8" s="4" t="s">
        <v>3487</v>
      </c>
      <c r="M8" s="4" t="s">
        <v>3659</v>
      </c>
      <c r="N8" s="4" t="s">
        <v>74</v>
      </c>
      <c r="O8" s="4" t="s">
        <v>3788</v>
      </c>
      <c r="P8" s="4" t="s">
        <v>3942</v>
      </c>
      <c r="Q8" s="75">
        <v>45146</v>
      </c>
      <c r="R8" s="75">
        <v>45154</v>
      </c>
      <c r="S8" s="4"/>
      <c r="T8" s="4"/>
      <c r="U8" s="4"/>
      <c r="V8" s="4"/>
      <c r="W8" s="100" t="s">
        <v>4435</v>
      </c>
      <c r="X8" s="93">
        <v>1717188406</v>
      </c>
      <c r="Y8" s="93">
        <v>1717188406</v>
      </c>
      <c r="Z8" s="93" t="s">
        <v>4436</v>
      </c>
      <c r="AA8" s="93">
        <v>1717188406</v>
      </c>
      <c r="AB8" s="93" t="s">
        <v>132</v>
      </c>
      <c r="AC8" s="93" t="s">
        <v>133</v>
      </c>
      <c r="AD8" s="108">
        <v>35440</v>
      </c>
      <c r="AE8" s="107">
        <f t="shared" si="0" ca="1"/>
        <v>28.101369863013698</v>
      </c>
      <c r="AF8" s="93" t="s">
        <v>80</v>
      </c>
      <c r="AG8" s="93">
        <v>8703026990</v>
      </c>
      <c r="AH8" s="93" t="s">
        <v>81</v>
      </c>
      <c r="AI8" s="93" t="s">
        <v>265</v>
      </c>
      <c r="AJ8" s="93" t="s">
        <v>81</v>
      </c>
      <c r="AK8" s="93" t="s">
        <v>81</v>
      </c>
      <c r="AL8" s="115" t="s">
        <v>4437</v>
      </c>
      <c r="AM8" s="93" t="s">
        <v>4388</v>
      </c>
      <c r="AN8" s="93" t="s">
        <v>4438</v>
      </c>
      <c r="AO8" s="93" t="s">
        <v>4439</v>
      </c>
      <c r="AP8" s="4" t="s">
        <v>4440</v>
      </c>
      <c r="AQ8" s="4" t="s">
        <v>666</v>
      </c>
      <c r="AR8" s="4" t="s">
        <v>110</v>
      </c>
      <c r="AS8" s="93"/>
      <c r="AT8" s="117"/>
      <c r="AU8" s="93"/>
      <c r="AV8" s="93"/>
      <c r="AW8" s="93"/>
      <c r="AX8" s="93"/>
      <c r="AY8" s="93"/>
      <c r="AZ8" s="93"/>
      <c r="BA8" s="4" t="s">
        <v>3498</v>
      </c>
      <c r="BB8" s="4">
        <v>10800</v>
      </c>
      <c r="BC8" s="4">
        <v>2700</v>
      </c>
      <c r="BD8" s="4"/>
      <c r="BE8" s="4" t="s">
        <v>91</v>
      </c>
      <c r="BF8" s="4" t="s">
        <v>167</v>
      </c>
      <c r="BG8" s="4" t="s">
        <v>167</v>
      </c>
      <c r="BH8" s="4" t="s">
        <v>6808</v>
      </c>
      <c r="BI8" s="93" t="s">
        <v>67</v>
      </c>
      <c r="BJ8" s="4" t="s">
        <v>6808</v>
      </c>
      <c r="BK8" s="4" t="s">
        <v>4704</v>
      </c>
      <c r="BL8" s="4" t="s">
        <v>6807</v>
      </c>
      <c r="BM8" s="4" t="s">
        <v>3487</v>
      </c>
      <c r="BN8" s="4">
        <v>10800</v>
      </c>
      <c r="BO8" s="4">
        <v>2700</v>
      </c>
      <c r="BP8" s="4">
        <v>2500</v>
      </c>
      <c r="BQ8" s="72">
        <v>45175</v>
      </c>
      <c r="BR8" s="72">
        <v>45185</v>
      </c>
      <c r="BS8" s="4" t="s">
        <v>7252</v>
      </c>
      <c r="BT8" s="4"/>
      <c r="BU8" s="4" t="s">
        <v>168</v>
      </c>
      <c r="BV8" s="4"/>
    </row>
    <row r="9" ht="25.05" customHeight="1" s="67" customFormat="1">
      <c r="A9" s="4">
        <v>171025</v>
      </c>
      <c r="B9" s="4"/>
      <c r="C9" s="55" t="s">
        <v>7253</v>
      </c>
      <c r="D9" s="4" t="s">
        <v>7254</v>
      </c>
      <c r="E9" s="4" t="s">
        <v>114</v>
      </c>
      <c r="F9" s="55">
        <v>734699</v>
      </c>
      <c r="G9" s="4" t="s">
        <v>67</v>
      </c>
      <c r="H9" s="4" t="s">
        <v>3486</v>
      </c>
      <c r="I9" s="4" t="s">
        <v>69</v>
      </c>
      <c r="J9" s="55" t="s">
        <v>70</v>
      </c>
      <c r="K9" s="4" t="s">
        <v>71</v>
      </c>
      <c r="L9" s="4" t="s">
        <v>3487</v>
      </c>
      <c r="M9" s="4" t="s">
        <v>3512</v>
      </c>
      <c r="N9" s="4" t="s">
        <v>74</v>
      </c>
      <c r="O9" s="4" t="s">
        <v>3788</v>
      </c>
      <c r="P9" s="4" t="s">
        <v>3585</v>
      </c>
      <c r="Q9" s="75">
        <v>45029</v>
      </c>
      <c r="R9" s="75">
        <v>45042</v>
      </c>
      <c r="S9" s="75"/>
      <c r="T9" s="4"/>
      <c r="U9" s="4"/>
      <c r="V9" s="4"/>
      <c r="W9" s="100" t="s">
        <v>7255</v>
      </c>
      <c r="X9" s="55">
        <v>1926484274</v>
      </c>
      <c r="Y9" s="106"/>
      <c r="Z9" s="4" t="s">
        <v>7256</v>
      </c>
      <c r="AA9" s="4">
        <v>1302740806</v>
      </c>
      <c r="AB9" s="4" t="s">
        <v>186</v>
      </c>
      <c r="AC9" s="4" t="s">
        <v>79</v>
      </c>
      <c r="AD9" s="75">
        <v>31016</v>
      </c>
      <c r="AE9" s="107">
        <f t="shared" si="0" ca="1"/>
        <v>40.221917808219175</v>
      </c>
      <c r="AF9" s="4" t="s">
        <v>80</v>
      </c>
      <c r="AG9" s="114">
        <v>4617576337</v>
      </c>
      <c r="AH9" s="4" t="s">
        <v>81</v>
      </c>
      <c r="AI9" s="55" t="s">
        <v>5584</v>
      </c>
      <c r="AJ9" s="55" t="s">
        <v>81</v>
      </c>
      <c r="AK9" s="55" t="s">
        <v>81</v>
      </c>
      <c r="AL9" s="55" t="s">
        <v>818</v>
      </c>
      <c r="AM9" s="4" t="s">
        <v>7257</v>
      </c>
      <c r="AN9" s="4" t="s">
        <v>7258</v>
      </c>
      <c r="AO9" s="55" t="s">
        <v>7259</v>
      </c>
      <c r="AP9" s="55" t="s">
        <v>7260</v>
      </c>
      <c r="AQ9" s="55" t="s">
        <v>88</v>
      </c>
      <c r="AR9" s="4" t="s">
        <v>89</v>
      </c>
      <c r="AS9" s="4"/>
      <c r="AT9" s="72"/>
      <c r="AU9" s="4"/>
      <c r="AV9" s="4"/>
      <c r="AW9" s="4"/>
      <c r="AX9" s="4"/>
      <c r="AY9" s="4"/>
      <c r="AZ9" s="4"/>
      <c r="BA9" s="4" t="s">
        <v>3498</v>
      </c>
      <c r="BB9" s="4">
        <v>12000</v>
      </c>
      <c r="BC9" s="4">
        <v>3000</v>
      </c>
      <c r="BD9" s="4"/>
      <c r="BE9" s="4" t="s">
        <v>91</v>
      </c>
      <c r="BF9" s="4">
        <v>161694</v>
      </c>
      <c r="BG9" s="4" t="s">
        <v>92</v>
      </c>
      <c r="BH9" s="4" t="s">
        <v>6808</v>
      </c>
      <c r="BI9" s="93" t="s">
        <v>67</v>
      </c>
      <c r="BJ9" s="4" t="s">
        <v>6808</v>
      </c>
      <c r="BK9" s="4" t="s">
        <v>4704</v>
      </c>
      <c r="BL9" s="4" t="s">
        <v>6807</v>
      </c>
      <c r="BM9" s="4" t="s">
        <v>3487</v>
      </c>
      <c r="BN9" s="4">
        <v>10800</v>
      </c>
      <c r="BO9" s="4">
        <v>2700</v>
      </c>
      <c r="BP9" s="4">
        <v>2500</v>
      </c>
      <c r="BQ9" s="72">
        <v>45175</v>
      </c>
      <c r="BR9" s="72">
        <v>45185</v>
      </c>
      <c r="BS9" s="4" t="s">
        <v>7252</v>
      </c>
      <c r="BT9" s="4"/>
      <c r="BU9" s="4" t="s">
        <v>168</v>
      </c>
      <c r="BV9" s="4"/>
    </row>
    <row r="10" ht="25.05" customHeight="1" s="85" customFormat="1">
      <c r="A10" s="4">
        <v>171108</v>
      </c>
      <c r="B10" s="94"/>
      <c r="C10" s="93" t="s">
        <v>957</v>
      </c>
      <c r="D10" s="93" t="s">
        <v>4557</v>
      </c>
      <c r="E10" s="93" t="s">
        <v>114</v>
      </c>
      <c r="F10" s="93" t="s">
        <v>4558</v>
      </c>
      <c r="G10" s="4" t="s">
        <v>67</v>
      </c>
      <c r="H10" s="4" t="s">
        <v>3486</v>
      </c>
      <c r="I10" s="4" t="s">
        <v>69</v>
      </c>
      <c r="J10" s="55" t="s">
        <v>2495</v>
      </c>
      <c r="K10" s="4" t="s">
        <v>71</v>
      </c>
      <c r="L10" s="4" t="s">
        <v>3487</v>
      </c>
      <c r="M10" s="4" t="s">
        <v>2643</v>
      </c>
      <c r="N10" s="4" t="s">
        <v>238</v>
      </c>
      <c r="O10" s="4" t="s">
        <v>3788</v>
      </c>
      <c r="P10" s="4" t="s">
        <v>3651</v>
      </c>
      <c r="Q10" s="75">
        <v>45116</v>
      </c>
      <c r="R10" s="75">
        <v>45121</v>
      </c>
      <c r="S10" s="4"/>
      <c r="T10" s="4"/>
      <c r="U10" s="4"/>
      <c r="V10" s="4"/>
      <c r="W10" s="100" t="s">
        <v>4559</v>
      </c>
      <c r="X10" s="93">
        <v>1787706175</v>
      </c>
      <c r="Y10" s="93">
        <v>1947429904</v>
      </c>
      <c r="Z10" s="93" t="s">
        <v>4560</v>
      </c>
      <c r="AA10" s="93">
        <v>1629889095</v>
      </c>
      <c r="AB10" s="93" t="s">
        <v>186</v>
      </c>
      <c r="AC10" s="93" t="s">
        <v>79</v>
      </c>
      <c r="AD10" s="108">
        <v>36457</v>
      </c>
      <c r="AE10" s="107">
        <f t="shared" si="0" ca="1"/>
        <v>25.315068493150687</v>
      </c>
      <c r="AF10" s="93" t="s">
        <v>80</v>
      </c>
      <c r="AG10" s="93">
        <v>4639669854</v>
      </c>
      <c r="AH10" s="93" t="s">
        <v>81</v>
      </c>
      <c r="AI10" s="93" t="s">
        <v>4561</v>
      </c>
      <c r="AJ10" s="93" t="s">
        <v>81</v>
      </c>
      <c r="AK10" s="93" t="s">
        <v>81</v>
      </c>
      <c r="AL10" s="115" t="s">
        <v>2727</v>
      </c>
      <c r="AM10" s="93" t="s">
        <v>4562</v>
      </c>
      <c r="AN10" s="93" t="s">
        <v>4563</v>
      </c>
      <c r="AO10" s="93" t="s">
        <v>4564</v>
      </c>
      <c r="AP10" s="4" t="s">
        <v>4564</v>
      </c>
      <c r="AQ10" s="93" t="s">
        <v>4565</v>
      </c>
      <c r="AR10" s="93" t="s">
        <v>89</v>
      </c>
      <c r="AS10" s="93" t="s">
        <v>4566</v>
      </c>
      <c r="AT10" s="117" t="s">
        <v>4567</v>
      </c>
      <c r="AU10" s="93" t="s">
        <v>4568</v>
      </c>
      <c r="AV10" s="93" t="s">
        <v>4569</v>
      </c>
      <c r="AW10" s="93"/>
      <c r="AX10" s="93"/>
      <c r="AY10" s="93"/>
      <c r="AZ10" s="93"/>
      <c r="BA10" s="4" t="s">
        <v>3498</v>
      </c>
      <c r="BB10" s="4">
        <v>10800</v>
      </c>
      <c r="BC10" s="4">
        <v>2700</v>
      </c>
      <c r="BD10" s="4"/>
      <c r="BE10" s="4" t="s">
        <v>91</v>
      </c>
      <c r="BF10" s="4" t="s">
        <v>167</v>
      </c>
      <c r="BG10" s="4" t="s">
        <v>167</v>
      </c>
      <c r="BH10" s="4" t="s">
        <v>6808</v>
      </c>
      <c r="BI10" s="93" t="s">
        <v>67</v>
      </c>
      <c r="BJ10" s="4" t="s">
        <v>6808</v>
      </c>
      <c r="BK10" s="4" t="s">
        <v>4704</v>
      </c>
      <c r="BL10" s="4" t="s">
        <v>6807</v>
      </c>
      <c r="BM10" s="4" t="s">
        <v>3487</v>
      </c>
      <c r="BN10" s="4">
        <v>10800</v>
      </c>
      <c r="BO10" s="4">
        <v>2700</v>
      </c>
      <c r="BP10" s="4">
        <v>1000</v>
      </c>
      <c r="BQ10" s="72">
        <v>45193</v>
      </c>
      <c r="BR10" s="72">
        <v>45215</v>
      </c>
      <c r="BS10" s="4" t="s">
        <v>7261</v>
      </c>
      <c r="BT10" s="4"/>
      <c r="BU10" s="4" t="s">
        <v>168</v>
      </c>
      <c r="BV10" s="4"/>
    </row>
    <row r="11" ht="25.05" customHeight="1" s="85" customFormat="1">
      <c r="A11" s="4">
        <v>171101</v>
      </c>
      <c r="B11" s="4"/>
      <c r="C11" s="93" t="s">
        <v>823</v>
      </c>
      <c r="D11" s="4" t="s">
        <v>183</v>
      </c>
      <c r="E11" s="93" t="s">
        <v>114</v>
      </c>
      <c r="F11" s="93">
        <v>665061</v>
      </c>
      <c r="G11" s="4" t="s">
        <v>67</v>
      </c>
      <c r="H11" s="4" t="s">
        <v>3486</v>
      </c>
      <c r="I11" s="4" t="s">
        <v>69</v>
      </c>
      <c r="J11" s="55" t="s">
        <v>2495</v>
      </c>
      <c r="K11" s="4" t="s">
        <v>71</v>
      </c>
      <c r="L11" s="4" t="s">
        <v>3487</v>
      </c>
      <c r="M11" s="4" t="s">
        <v>2643</v>
      </c>
      <c r="N11" s="93" t="s">
        <v>74</v>
      </c>
      <c r="O11" s="4" t="s">
        <v>3788</v>
      </c>
      <c r="P11" s="4" t="s">
        <v>3597</v>
      </c>
      <c r="Q11" s="75">
        <v>45110</v>
      </c>
      <c r="R11" s="75">
        <v>45113</v>
      </c>
      <c r="S11" s="4"/>
      <c r="T11" s="4"/>
      <c r="U11" s="4"/>
      <c r="V11" s="4"/>
      <c r="W11" s="100" t="s">
        <v>227</v>
      </c>
      <c r="X11" s="93">
        <v>1909686492</v>
      </c>
      <c r="Y11" s="93">
        <v>1909686497</v>
      </c>
      <c r="Z11" s="93" t="s">
        <v>228</v>
      </c>
      <c r="AA11" s="93">
        <v>1734836888</v>
      </c>
      <c r="AB11" s="93" t="s">
        <v>132</v>
      </c>
      <c r="AC11" s="93" t="s">
        <v>102</v>
      </c>
      <c r="AD11" s="108">
        <v>34996</v>
      </c>
      <c r="AE11" s="107">
        <f t="shared" si="0" ca="1"/>
        <v>29.317808219178083</v>
      </c>
      <c r="AF11" s="93" t="s">
        <v>80</v>
      </c>
      <c r="AG11" s="93">
        <v>2356972600</v>
      </c>
      <c r="AH11" s="93" t="s">
        <v>81</v>
      </c>
      <c r="AI11" s="93" t="s">
        <v>229</v>
      </c>
      <c r="AJ11" s="93" t="s">
        <v>81</v>
      </c>
      <c r="AK11" s="93" t="s">
        <v>81</v>
      </c>
      <c r="AL11" s="115" t="s">
        <v>230</v>
      </c>
      <c r="AM11" s="93" t="s">
        <v>231</v>
      </c>
      <c r="AN11" s="93" t="s">
        <v>228</v>
      </c>
      <c r="AO11" s="93" t="s">
        <v>232</v>
      </c>
      <c r="AP11" s="93" t="s">
        <v>233</v>
      </c>
      <c r="AQ11" s="93" t="s">
        <v>223</v>
      </c>
      <c r="AR11" s="93" t="s">
        <v>224</v>
      </c>
      <c r="AS11" s="93"/>
      <c r="AT11" s="117"/>
      <c r="AU11" s="93"/>
      <c r="AV11" s="93"/>
      <c r="AW11" s="93"/>
      <c r="AX11" s="93"/>
      <c r="AY11" s="93"/>
      <c r="AZ11" s="93"/>
      <c r="BA11" s="4" t="s">
        <v>3498</v>
      </c>
      <c r="BB11" s="4">
        <v>10800</v>
      </c>
      <c r="BC11" s="4">
        <v>2700</v>
      </c>
      <c r="BD11" s="4"/>
      <c r="BE11" s="4" t="s">
        <v>91</v>
      </c>
      <c r="BF11" s="4" t="s">
        <v>167</v>
      </c>
      <c r="BG11" s="4" t="s">
        <v>167</v>
      </c>
      <c r="BH11" s="4" t="s">
        <v>6808</v>
      </c>
      <c r="BI11" s="93" t="s">
        <v>67</v>
      </c>
      <c r="BJ11" s="4" t="s">
        <v>6808</v>
      </c>
      <c r="BK11" s="4" t="s">
        <v>4704</v>
      </c>
      <c r="BL11" s="4" t="s">
        <v>6807</v>
      </c>
      <c r="BM11" s="4" t="s">
        <v>3487</v>
      </c>
      <c r="BN11" s="4">
        <v>10800</v>
      </c>
      <c r="BO11" s="4">
        <v>2700</v>
      </c>
      <c r="BP11" s="4">
        <v>1000</v>
      </c>
      <c r="BQ11" s="72">
        <v>45187</v>
      </c>
      <c r="BR11" s="72">
        <v>45215</v>
      </c>
      <c r="BS11" s="4" t="s">
        <v>7261</v>
      </c>
      <c r="BT11" s="4"/>
      <c r="BU11" s="4" t="s">
        <v>168</v>
      </c>
      <c r="BV11" s="4"/>
    </row>
    <row r="12" ht="25.05" customHeight="1" s="85" customFormat="1">
      <c r="A12" s="4">
        <v>171024</v>
      </c>
      <c r="B12" s="4"/>
      <c r="C12" s="55" t="s">
        <v>4505</v>
      </c>
      <c r="D12" s="4" t="s">
        <v>3781</v>
      </c>
      <c r="E12" s="4" t="s">
        <v>114</v>
      </c>
      <c r="F12" s="55">
        <v>1113352909</v>
      </c>
      <c r="G12" s="4" t="s">
        <v>67</v>
      </c>
      <c r="H12" s="4" t="s">
        <v>3486</v>
      </c>
      <c r="I12" s="4" t="s">
        <v>69</v>
      </c>
      <c r="J12" s="55" t="s">
        <v>70</v>
      </c>
      <c r="K12" s="4" t="s">
        <v>71</v>
      </c>
      <c r="L12" s="4" t="s">
        <v>3487</v>
      </c>
      <c r="M12" s="4" t="s">
        <v>3512</v>
      </c>
      <c r="N12" s="4" t="s">
        <v>74</v>
      </c>
      <c r="O12" s="4" t="s">
        <v>3788</v>
      </c>
      <c r="P12" s="4" t="s">
        <v>3585</v>
      </c>
      <c r="Q12" s="75">
        <v>45029</v>
      </c>
      <c r="R12" s="75">
        <v>45042</v>
      </c>
      <c r="S12" s="75"/>
      <c r="T12" s="4"/>
      <c r="U12" s="4"/>
      <c r="V12" s="4"/>
      <c r="W12" s="100" t="s">
        <v>4506</v>
      </c>
      <c r="X12" s="55">
        <v>1728125233</v>
      </c>
      <c r="Y12" s="106"/>
      <c r="Z12" s="4" t="s">
        <v>4507</v>
      </c>
      <c r="AA12" s="4">
        <v>1741663654</v>
      </c>
      <c r="AB12" s="4" t="s">
        <v>252</v>
      </c>
      <c r="AC12" s="4" t="s">
        <v>133</v>
      </c>
      <c r="AD12" s="75">
        <v>35252</v>
      </c>
      <c r="AE12" s="107">
        <f t="shared" si="0" ca="1"/>
        <v>28.616438356164384</v>
      </c>
      <c r="AF12" s="4" t="s">
        <v>80</v>
      </c>
      <c r="AG12" s="114">
        <v>3755353020</v>
      </c>
      <c r="AH12" s="4" t="s">
        <v>81</v>
      </c>
      <c r="AI12" s="55" t="s">
        <v>187</v>
      </c>
      <c r="AJ12" s="55" t="s">
        <v>81</v>
      </c>
      <c r="AK12" s="55" t="s">
        <v>81</v>
      </c>
      <c r="AL12" s="55" t="s">
        <v>4508</v>
      </c>
      <c r="AM12" s="4" t="s">
        <v>4509</v>
      </c>
      <c r="AN12" s="4" t="s">
        <v>2927</v>
      </c>
      <c r="AO12" s="55" t="s">
        <v>4510</v>
      </c>
      <c r="AP12" s="55" t="s">
        <v>4511</v>
      </c>
      <c r="AQ12" s="55" t="s">
        <v>3969</v>
      </c>
      <c r="AR12" s="4" t="s">
        <v>110</v>
      </c>
      <c r="AS12" s="4"/>
      <c r="AT12" s="72"/>
      <c r="AU12" s="4"/>
      <c r="AV12" s="4"/>
      <c r="AW12" s="4"/>
      <c r="AX12" s="4"/>
      <c r="AY12" s="4"/>
      <c r="AZ12" s="4"/>
      <c r="BA12" s="4" t="s">
        <v>3498</v>
      </c>
      <c r="BB12" s="4">
        <v>10800</v>
      </c>
      <c r="BC12" s="4">
        <v>2700</v>
      </c>
      <c r="BD12" s="4"/>
      <c r="BE12" s="4" t="s">
        <v>91</v>
      </c>
      <c r="BF12" s="4">
        <v>161119</v>
      </c>
      <c r="BG12" s="4" t="s">
        <v>92</v>
      </c>
      <c r="BH12" s="4" t="s">
        <v>6808</v>
      </c>
      <c r="BI12" s="93" t="s">
        <v>67</v>
      </c>
      <c r="BJ12" s="4" t="s">
        <v>6808</v>
      </c>
      <c r="BK12" s="4" t="s">
        <v>4704</v>
      </c>
      <c r="BL12" s="4" t="s">
        <v>6807</v>
      </c>
      <c r="BM12" s="4" t="s">
        <v>3487</v>
      </c>
      <c r="BN12" s="4">
        <v>10800</v>
      </c>
      <c r="BO12" s="4">
        <v>2700</v>
      </c>
      <c r="BP12" s="4">
        <v>1000</v>
      </c>
      <c r="BQ12" s="72">
        <v>45191</v>
      </c>
      <c r="BR12" s="72">
        <v>45215</v>
      </c>
      <c r="BS12" s="4" t="s">
        <v>7261</v>
      </c>
      <c r="BT12" s="4"/>
      <c r="BU12" s="4" t="s">
        <v>168</v>
      </c>
      <c r="BV12" s="4"/>
    </row>
    <row r="13" ht="25.05" customHeight="1" s="85" customFormat="1">
      <c r="A13" s="4">
        <v>171129</v>
      </c>
      <c r="B13" s="4"/>
      <c r="C13" s="92" t="s">
        <v>5240</v>
      </c>
      <c r="D13" s="4" t="s">
        <v>4057</v>
      </c>
      <c r="E13" s="93" t="s">
        <v>114</v>
      </c>
      <c r="F13" s="93">
        <v>1118986077</v>
      </c>
      <c r="G13" s="4" t="s">
        <v>67</v>
      </c>
      <c r="H13" s="4" t="s">
        <v>3486</v>
      </c>
      <c r="I13" s="4" t="s">
        <v>69</v>
      </c>
      <c r="J13" s="55" t="s">
        <v>3775</v>
      </c>
      <c r="K13" s="4" t="s">
        <v>71</v>
      </c>
      <c r="L13" s="4" t="s">
        <v>3487</v>
      </c>
      <c r="M13" s="4" t="s">
        <v>2643</v>
      </c>
      <c r="N13" s="4" t="s">
        <v>74</v>
      </c>
      <c r="O13" s="4" t="s">
        <v>3788</v>
      </c>
      <c r="P13" s="4" t="s">
        <v>3942</v>
      </c>
      <c r="Q13" s="75">
        <v>45146</v>
      </c>
      <c r="R13" s="75">
        <v>45154</v>
      </c>
      <c r="S13" s="4"/>
      <c r="T13" s="4"/>
      <c r="U13" s="4"/>
      <c r="V13" s="4"/>
      <c r="W13" s="100" t="s">
        <v>4058</v>
      </c>
      <c r="X13" s="93">
        <v>1625495858</v>
      </c>
      <c r="Y13" s="93">
        <v>1635396332</v>
      </c>
      <c r="Z13" s="93" t="s">
        <v>4059</v>
      </c>
      <c r="AA13" s="93">
        <v>1635396332</v>
      </c>
      <c r="AB13" s="93" t="s">
        <v>252</v>
      </c>
      <c r="AC13" s="93" t="s">
        <v>7262</v>
      </c>
      <c r="AD13" s="108">
        <v>36207</v>
      </c>
      <c r="AE13" s="107">
        <f t="shared" si="0" ca="1"/>
        <v>26</v>
      </c>
      <c r="AF13" s="93" t="s">
        <v>80</v>
      </c>
      <c r="AG13" s="93">
        <v>6904396857</v>
      </c>
      <c r="AH13" s="93" t="s">
        <v>81</v>
      </c>
      <c r="AI13" s="93" t="s">
        <v>265</v>
      </c>
      <c r="AJ13" s="93" t="s">
        <v>81</v>
      </c>
      <c r="AK13" s="93" t="s">
        <v>81</v>
      </c>
      <c r="AL13" s="115" t="s">
        <v>4060</v>
      </c>
      <c r="AM13" s="93" t="s">
        <v>4061</v>
      </c>
      <c r="AN13" s="93" t="s">
        <v>4062</v>
      </c>
      <c r="AO13" s="93" t="s">
        <v>4063</v>
      </c>
      <c r="AP13" s="4" t="s">
        <v>4064</v>
      </c>
      <c r="AQ13" s="4" t="s">
        <v>285</v>
      </c>
      <c r="AR13" s="4" t="s">
        <v>110</v>
      </c>
      <c r="AS13" s="93"/>
      <c r="AT13" s="117"/>
      <c r="AU13" s="93"/>
      <c r="AV13" s="93"/>
      <c r="AW13" s="93"/>
      <c r="AX13" s="93"/>
      <c r="AY13" s="93"/>
      <c r="AZ13" s="93"/>
      <c r="BA13" s="4" t="s">
        <v>3498</v>
      </c>
      <c r="BB13" s="4">
        <v>10800</v>
      </c>
      <c r="BC13" s="4">
        <v>2700</v>
      </c>
      <c r="BD13" s="4"/>
      <c r="BE13" s="4" t="s">
        <v>91</v>
      </c>
      <c r="BF13" s="4" t="s">
        <v>167</v>
      </c>
      <c r="BG13" s="4" t="s">
        <v>167</v>
      </c>
      <c r="BH13" s="4" t="s">
        <v>6808</v>
      </c>
      <c r="BI13" s="93" t="s">
        <v>67</v>
      </c>
      <c r="BJ13" s="4" t="s">
        <v>6808</v>
      </c>
      <c r="BK13" s="4" t="s">
        <v>4704</v>
      </c>
      <c r="BL13" s="4" t="s">
        <v>6807</v>
      </c>
      <c r="BM13" s="4" t="s">
        <v>3487</v>
      </c>
      <c r="BN13" s="4">
        <v>10800</v>
      </c>
      <c r="BO13" s="4">
        <v>2700</v>
      </c>
      <c r="BP13" s="4">
        <v>1000</v>
      </c>
      <c r="BQ13" s="72">
        <v>45187</v>
      </c>
      <c r="BR13" s="72">
        <v>45215</v>
      </c>
      <c r="BS13" s="4" t="s">
        <v>7261</v>
      </c>
      <c r="BT13" s="4"/>
      <c r="BU13" s="4" t="s">
        <v>168</v>
      </c>
      <c r="BV13" s="4"/>
    </row>
    <row r="14" ht="25.05" customHeight="1" s="85" customFormat="1">
      <c r="A14" s="4">
        <v>171099</v>
      </c>
      <c r="B14" s="4"/>
      <c r="C14" s="93" t="s">
        <v>574</v>
      </c>
      <c r="D14" s="4" t="s">
        <v>4022</v>
      </c>
      <c r="E14" s="93" t="s">
        <v>114</v>
      </c>
      <c r="F14" s="93">
        <v>335681</v>
      </c>
      <c r="G14" s="4" t="s">
        <v>67</v>
      </c>
      <c r="H14" s="4" t="s">
        <v>3486</v>
      </c>
      <c r="I14" s="4" t="s">
        <v>69</v>
      </c>
      <c r="J14" s="55" t="s">
        <v>2495</v>
      </c>
      <c r="K14" s="4" t="s">
        <v>71</v>
      </c>
      <c r="L14" s="4" t="s">
        <v>3487</v>
      </c>
      <c r="M14" s="4" t="s">
        <v>2643</v>
      </c>
      <c r="N14" s="93" t="s">
        <v>74</v>
      </c>
      <c r="O14" s="4" t="s">
        <v>3788</v>
      </c>
      <c r="P14" s="4" t="s">
        <v>3597</v>
      </c>
      <c r="Q14" s="75">
        <v>45110</v>
      </c>
      <c r="R14" s="75">
        <v>45113</v>
      </c>
      <c r="S14" s="4"/>
      <c r="T14" s="4"/>
      <c r="U14" s="4"/>
      <c r="V14" s="4"/>
      <c r="W14" s="100" t="s">
        <v>4023</v>
      </c>
      <c r="X14" s="93">
        <v>1713965790</v>
      </c>
      <c r="Y14" s="93">
        <v>1518405497</v>
      </c>
      <c r="Z14" s="93" t="s">
        <v>4024</v>
      </c>
      <c r="AA14" s="93">
        <v>1888713465</v>
      </c>
      <c r="AB14" s="93" t="s">
        <v>382</v>
      </c>
      <c r="AC14" s="93" t="s">
        <v>79</v>
      </c>
      <c r="AD14" s="108">
        <v>34799</v>
      </c>
      <c r="AE14" s="107">
        <f t="shared" si="0" ca="1"/>
        <v>29.85753424657534</v>
      </c>
      <c r="AF14" s="93" t="s">
        <v>80</v>
      </c>
      <c r="AG14" s="93">
        <v>1502017864</v>
      </c>
      <c r="AH14" s="93" t="s">
        <v>81</v>
      </c>
      <c r="AI14" s="93" t="s">
        <v>290</v>
      </c>
      <c r="AJ14" s="93" t="s">
        <v>1619</v>
      </c>
      <c r="AK14" s="93">
        <v>2023</v>
      </c>
      <c r="AL14" s="115" t="s">
        <v>4025</v>
      </c>
      <c r="AM14" s="93" t="s">
        <v>4026</v>
      </c>
      <c r="AN14" s="93" t="s">
        <v>4027</v>
      </c>
      <c r="AO14" s="93" t="s">
        <v>4028</v>
      </c>
      <c r="AP14" s="93" t="s">
        <v>4029</v>
      </c>
      <c r="AQ14" s="93" t="s">
        <v>499</v>
      </c>
      <c r="AR14" s="93" t="s">
        <v>224</v>
      </c>
      <c r="AS14" s="93"/>
      <c r="AT14" s="117"/>
      <c r="AU14" s="93"/>
      <c r="AV14" s="93"/>
      <c r="AW14" s="93"/>
      <c r="AX14" s="93"/>
      <c r="AY14" s="93"/>
      <c r="AZ14" s="93"/>
      <c r="BA14" s="4" t="s">
        <v>3498</v>
      </c>
      <c r="BB14" s="4">
        <v>10800</v>
      </c>
      <c r="BC14" s="4">
        <v>2700</v>
      </c>
      <c r="BD14" s="4"/>
      <c r="BE14" s="4" t="s">
        <v>91</v>
      </c>
      <c r="BF14" s="4" t="s">
        <v>167</v>
      </c>
      <c r="BG14" s="4" t="s">
        <v>167</v>
      </c>
      <c r="BH14" s="4" t="s">
        <v>6808</v>
      </c>
      <c r="BI14" s="93" t="s">
        <v>67</v>
      </c>
      <c r="BJ14" s="4" t="s">
        <v>6808</v>
      </c>
      <c r="BK14" s="4" t="s">
        <v>4704</v>
      </c>
      <c r="BL14" s="4" t="s">
        <v>6807</v>
      </c>
      <c r="BM14" s="4" t="s">
        <v>3487</v>
      </c>
      <c r="BN14" s="4">
        <v>10800</v>
      </c>
      <c r="BO14" s="4">
        <v>2700</v>
      </c>
      <c r="BP14" s="4">
        <v>1000</v>
      </c>
      <c r="BQ14" s="72">
        <v>45191</v>
      </c>
      <c r="BR14" s="72">
        <v>45215</v>
      </c>
      <c r="BS14" s="4" t="s">
        <v>7261</v>
      </c>
      <c r="BT14" s="4"/>
      <c r="BU14" s="4" t="s">
        <v>168</v>
      </c>
      <c r="BV14" s="4"/>
    </row>
    <row r="15" ht="25.05" customHeight="1" s="85" customFormat="1">
      <c r="A15" s="4">
        <v>171096</v>
      </c>
      <c r="B15" s="4"/>
      <c r="C15" s="93" t="s">
        <v>4241</v>
      </c>
      <c r="D15" s="4" t="s">
        <v>4242</v>
      </c>
      <c r="E15" s="93" t="s">
        <v>114</v>
      </c>
      <c r="F15" s="93">
        <v>1310552434</v>
      </c>
      <c r="G15" s="4" t="s">
        <v>67</v>
      </c>
      <c r="H15" s="4" t="s">
        <v>3486</v>
      </c>
      <c r="I15" s="4" t="s">
        <v>69</v>
      </c>
      <c r="J15" s="55" t="s">
        <v>2495</v>
      </c>
      <c r="K15" s="4" t="s">
        <v>71</v>
      </c>
      <c r="L15" s="4" t="s">
        <v>3487</v>
      </c>
      <c r="M15" s="4" t="s">
        <v>2643</v>
      </c>
      <c r="N15" s="93" t="s">
        <v>74</v>
      </c>
      <c r="O15" s="4" t="s">
        <v>3788</v>
      </c>
      <c r="P15" s="4" t="s">
        <v>3597</v>
      </c>
      <c r="Q15" s="75">
        <v>45110</v>
      </c>
      <c r="R15" s="75">
        <v>45113</v>
      </c>
      <c r="S15" s="4"/>
      <c r="T15" s="4"/>
      <c r="U15" s="4"/>
      <c r="V15" s="4"/>
      <c r="W15" s="100" t="s">
        <v>4243</v>
      </c>
      <c r="X15" s="93">
        <v>1989848756</v>
      </c>
      <c r="Y15" s="93" t="s">
        <v>81</v>
      </c>
      <c r="Z15" s="93" t="s">
        <v>4244</v>
      </c>
      <c r="AA15" s="93">
        <v>1796615432</v>
      </c>
      <c r="AB15" s="93" t="s">
        <v>132</v>
      </c>
      <c r="AC15" s="93" t="s">
        <v>79</v>
      </c>
      <c r="AD15" s="108">
        <v>36339</v>
      </c>
      <c r="AE15" s="107">
        <f t="shared" si="0" ca="1"/>
        <v>25.638356164383563</v>
      </c>
      <c r="AF15" s="93" t="s">
        <v>80</v>
      </c>
      <c r="AG15" s="93">
        <v>9577374037</v>
      </c>
      <c r="AH15" s="93" t="s">
        <v>81</v>
      </c>
      <c r="AI15" s="93" t="s">
        <v>290</v>
      </c>
      <c r="AJ15" s="93" t="s">
        <v>81</v>
      </c>
      <c r="AK15" s="93" t="s">
        <v>81</v>
      </c>
      <c r="AL15" s="115" t="s">
        <v>4236</v>
      </c>
      <c r="AM15" s="93" t="s">
        <v>4245</v>
      </c>
      <c r="AN15" s="93" t="s">
        <v>4244</v>
      </c>
      <c r="AO15" s="93" t="s">
        <v>4246</v>
      </c>
      <c r="AP15" s="93" t="s">
        <v>4247</v>
      </c>
      <c r="AQ15" s="93" t="s">
        <v>666</v>
      </c>
      <c r="AR15" s="93" t="s">
        <v>224</v>
      </c>
      <c r="AS15" s="93"/>
      <c r="AT15" s="117"/>
      <c r="AU15" s="93"/>
      <c r="AV15" s="93"/>
      <c r="AW15" s="93"/>
      <c r="AX15" s="93"/>
      <c r="AY15" s="93"/>
      <c r="AZ15" s="93"/>
      <c r="BA15" s="4" t="s">
        <v>3498</v>
      </c>
      <c r="BB15" s="4">
        <v>10800</v>
      </c>
      <c r="BC15" s="4">
        <v>2700</v>
      </c>
      <c r="BD15" s="4"/>
      <c r="BE15" s="4" t="s">
        <v>91</v>
      </c>
      <c r="BF15" s="4" t="s">
        <v>167</v>
      </c>
      <c r="BG15" s="4" t="s">
        <v>167</v>
      </c>
      <c r="BH15" s="4" t="s">
        <v>6808</v>
      </c>
      <c r="BI15" s="93" t="s">
        <v>67</v>
      </c>
      <c r="BJ15" s="4" t="s">
        <v>6808</v>
      </c>
      <c r="BK15" s="4" t="s">
        <v>4704</v>
      </c>
      <c r="BL15" s="4" t="s">
        <v>6807</v>
      </c>
      <c r="BM15" s="4" t="s">
        <v>3487</v>
      </c>
      <c r="BN15" s="4">
        <v>10800</v>
      </c>
      <c r="BO15" s="4">
        <v>2700</v>
      </c>
      <c r="BP15" s="4">
        <v>1000</v>
      </c>
      <c r="BQ15" s="72">
        <v>45193</v>
      </c>
      <c r="BR15" s="72">
        <v>45215</v>
      </c>
      <c r="BS15" s="4" t="s">
        <v>7261</v>
      </c>
      <c r="BT15" s="4"/>
      <c r="BU15" s="4" t="s">
        <v>168</v>
      </c>
      <c r="BV15" s="4"/>
    </row>
    <row r="16" ht="25.05" customHeight="1" s="85" customFormat="1">
      <c r="A16" s="4">
        <v>171127</v>
      </c>
      <c r="B16" s="4"/>
      <c r="C16" s="92" t="s">
        <v>4931</v>
      </c>
      <c r="D16" s="4" t="s">
        <v>4932</v>
      </c>
      <c r="E16" s="93" t="s">
        <v>114</v>
      </c>
      <c r="F16" s="93">
        <v>1117577535</v>
      </c>
      <c r="G16" s="4" t="s">
        <v>67</v>
      </c>
      <c r="H16" s="4" t="s">
        <v>3486</v>
      </c>
      <c r="I16" s="4" t="s">
        <v>69</v>
      </c>
      <c r="J16" s="55" t="s">
        <v>3650</v>
      </c>
      <c r="K16" s="4" t="s">
        <v>71</v>
      </c>
      <c r="L16" s="4" t="s">
        <v>3487</v>
      </c>
      <c r="M16" s="4" t="s">
        <v>115</v>
      </c>
      <c r="N16" s="4" t="s">
        <v>74</v>
      </c>
      <c r="O16" s="4" t="s">
        <v>3788</v>
      </c>
      <c r="P16" s="4" t="s">
        <v>3942</v>
      </c>
      <c r="Q16" s="75">
        <v>45146</v>
      </c>
      <c r="R16" s="75">
        <v>45154</v>
      </c>
      <c r="S16" s="4"/>
      <c r="T16" s="4"/>
      <c r="U16" s="4"/>
      <c r="V16" s="4"/>
      <c r="W16" s="100" t="s">
        <v>4933</v>
      </c>
      <c r="X16" s="93">
        <v>1648369636</v>
      </c>
      <c r="Y16" s="93">
        <v>1954548370</v>
      </c>
      <c r="Z16" s="93" t="s">
        <v>4934</v>
      </c>
      <c r="AA16" s="93">
        <v>1781185529</v>
      </c>
      <c r="AB16" s="93" t="s">
        <v>101</v>
      </c>
      <c r="AC16" s="93" t="s">
        <v>79</v>
      </c>
      <c r="AD16" s="108">
        <v>35617</v>
      </c>
      <c r="AE16" s="107">
        <f t="shared" si="0" ca="1"/>
        <v>27.616438356164384</v>
      </c>
      <c r="AF16" s="93" t="s">
        <v>80</v>
      </c>
      <c r="AG16" s="93">
        <v>6453180918</v>
      </c>
      <c r="AH16" s="93" t="s">
        <v>81</v>
      </c>
      <c r="AI16" s="93" t="s">
        <v>253</v>
      </c>
      <c r="AJ16" s="93" t="s">
        <v>81</v>
      </c>
      <c r="AK16" s="93" t="s">
        <v>81</v>
      </c>
      <c r="AL16" s="115" t="s">
        <v>4935</v>
      </c>
      <c r="AM16" s="93" t="s">
        <v>4936</v>
      </c>
      <c r="AN16" s="93" t="s">
        <v>4937</v>
      </c>
      <c r="AO16" s="93" t="s">
        <v>4938</v>
      </c>
      <c r="AP16" s="4" t="s">
        <v>4939</v>
      </c>
      <c r="AQ16" s="4" t="s">
        <v>499</v>
      </c>
      <c r="AR16" s="4" t="s">
        <v>110</v>
      </c>
      <c r="AS16" s="93"/>
      <c r="AT16" s="117"/>
      <c r="AU16" s="93"/>
      <c r="AV16" s="93"/>
      <c r="AW16" s="93"/>
      <c r="AX16" s="93"/>
      <c r="AY16" s="93"/>
      <c r="AZ16" s="93"/>
      <c r="BA16" s="4" t="s">
        <v>3498</v>
      </c>
      <c r="BB16" s="4">
        <v>10800</v>
      </c>
      <c r="BC16" s="4">
        <v>2700</v>
      </c>
      <c r="BD16" s="4"/>
      <c r="BE16" s="4" t="s">
        <v>91</v>
      </c>
      <c r="BF16" s="4" t="s">
        <v>167</v>
      </c>
      <c r="BG16" s="4" t="s">
        <v>167</v>
      </c>
      <c r="BH16" s="4" t="s">
        <v>6808</v>
      </c>
      <c r="BI16" s="93" t="s">
        <v>67</v>
      </c>
      <c r="BJ16" s="4" t="s">
        <v>6808</v>
      </c>
      <c r="BK16" s="4" t="s">
        <v>4704</v>
      </c>
      <c r="BL16" s="4" t="s">
        <v>6807</v>
      </c>
      <c r="BM16" s="4" t="s">
        <v>3487</v>
      </c>
      <c r="BN16" s="4">
        <v>10800</v>
      </c>
      <c r="BO16" s="4">
        <v>2700</v>
      </c>
      <c r="BP16" s="4">
        <v>1000</v>
      </c>
      <c r="BQ16" s="72">
        <v>45187</v>
      </c>
      <c r="BR16" s="72">
        <v>45215</v>
      </c>
      <c r="BS16" s="4" t="s">
        <v>7261</v>
      </c>
      <c r="BT16" s="4"/>
      <c r="BU16" s="4" t="s">
        <v>168</v>
      </c>
      <c r="BV16" s="4"/>
    </row>
    <row r="17" ht="25.05" customHeight="1" s="85" customFormat="1">
      <c r="A17" s="4">
        <v>171114</v>
      </c>
      <c r="B17" s="4"/>
      <c r="C17" s="93" t="s">
        <v>4653</v>
      </c>
      <c r="D17" s="4" t="s">
        <v>4654</v>
      </c>
      <c r="E17" s="93" t="s">
        <v>114</v>
      </c>
      <c r="F17" s="93">
        <v>901971</v>
      </c>
      <c r="G17" s="4" t="s">
        <v>67</v>
      </c>
      <c r="H17" s="4" t="s">
        <v>3486</v>
      </c>
      <c r="I17" s="4" t="s">
        <v>69</v>
      </c>
      <c r="J17" s="55" t="s">
        <v>4005</v>
      </c>
      <c r="K17" s="4" t="s">
        <v>71</v>
      </c>
      <c r="L17" s="4" t="s">
        <v>3487</v>
      </c>
      <c r="M17" s="4" t="s">
        <v>3659</v>
      </c>
      <c r="N17" s="4" t="s">
        <v>238</v>
      </c>
      <c r="O17" s="4" t="s">
        <v>3788</v>
      </c>
      <c r="P17" s="4" t="s">
        <v>3651</v>
      </c>
      <c r="Q17" s="75">
        <v>45116</v>
      </c>
      <c r="R17" s="75">
        <v>45121</v>
      </c>
      <c r="S17" s="4"/>
      <c r="T17" s="4"/>
      <c r="U17" s="4"/>
      <c r="V17" s="4"/>
      <c r="W17" s="100" t="s">
        <v>4655</v>
      </c>
      <c r="X17" s="93">
        <v>1878947201</v>
      </c>
      <c r="Y17" s="93">
        <v>1978947201</v>
      </c>
      <c r="Z17" s="93" t="s">
        <v>4656</v>
      </c>
      <c r="AA17" s="93">
        <v>1923009466</v>
      </c>
      <c r="AB17" s="93" t="s">
        <v>118</v>
      </c>
      <c r="AC17" s="93" t="s">
        <v>119</v>
      </c>
      <c r="AD17" s="108">
        <v>35352</v>
      </c>
      <c r="AE17" s="107">
        <f t="shared" si="0" ca="1"/>
        <v>28.34246575342466</v>
      </c>
      <c r="AF17" s="93" t="s">
        <v>80</v>
      </c>
      <c r="AG17" s="93">
        <v>6905742174</v>
      </c>
      <c r="AH17" s="93" t="s">
        <v>81</v>
      </c>
      <c r="AI17" s="93" t="s">
        <v>160</v>
      </c>
      <c r="AJ17" s="93" t="s">
        <v>81</v>
      </c>
      <c r="AK17" s="93" t="s">
        <v>81</v>
      </c>
      <c r="AL17" s="115" t="s">
        <v>4657</v>
      </c>
      <c r="AM17" s="93" t="s">
        <v>4658</v>
      </c>
      <c r="AN17" s="93" t="s">
        <v>4659</v>
      </c>
      <c r="AO17" s="93" t="s">
        <v>4660</v>
      </c>
      <c r="AP17" s="4" t="s">
        <v>4661</v>
      </c>
      <c r="AQ17" s="4" t="s">
        <v>4662</v>
      </c>
      <c r="AR17" s="4" t="s">
        <v>260</v>
      </c>
      <c r="AS17" s="93"/>
      <c r="AT17" s="117"/>
      <c r="AU17" s="93"/>
      <c r="AV17" s="93"/>
      <c r="AW17" s="93"/>
      <c r="AX17" s="93"/>
      <c r="AY17" s="93"/>
      <c r="AZ17" s="93"/>
      <c r="BA17" s="4" t="s">
        <v>3498</v>
      </c>
      <c r="BB17" s="4">
        <v>10800</v>
      </c>
      <c r="BC17" s="4">
        <v>2700</v>
      </c>
      <c r="BD17" s="4"/>
      <c r="BE17" s="4" t="s">
        <v>91</v>
      </c>
      <c r="BF17" s="4" t="s">
        <v>167</v>
      </c>
      <c r="BG17" s="4" t="s">
        <v>167</v>
      </c>
      <c r="BH17" s="4" t="s">
        <v>6808</v>
      </c>
      <c r="BI17" s="93" t="s">
        <v>67</v>
      </c>
      <c r="BJ17" s="4" t="s">
        <v>6808</v>
      </c>
      <c r="BK17" s="4" t="s">
        <v>4704</v>
      </c>
      <c r="BL17" s="4" t="s">
        <v>6807</v>
      </c>
      <c r="BM17" s="4" t="s">
        <v>3487</v>
      </c>
      <c r="BN17" s="4">
        <v>10800</v>
      </c>
      <c r="BO17" s="4">
        <v>2700</v>
      </c>
      <c r="BP17" s="4">
        <v>1000</v>
      </c>
      <c r="BQ17" s="72">
        <v>45187</v>
      </c>
      <c r="BR17" s="72">
        <v>45215</v>
      </c>
      <c r="BS17" s="4" t="s">
        <v>7261</v>
      </c>
      <c r="BT17" s="4"/>
      <c r="BU17" s="4" t="s">
        <v>168</v>
      </c>
      <c r="BV17" s="4"/>
    </row>
    <row r="18" ht="25.05" customHeight="1" s="85" customFormat="1">
      <c r="A18" s="4">
        <v>171001</v>
      </c>
      <c r="B18" s="4"/>
      <c r="C18" s="55" t="s">
        <v>81</v>
      </c>
      <c r="D18" s="4" t="s">
        <v>3512</v>
      </c>
      <c r="E18" s="4" t="s">
        <v>114</v>
      </c>
      <c r="F18" s="55">
        <v>1317746912</v>
      </c>
      <c r="G18" s="4" t="s">
        <v>4150</v>
      </c>
      <c r="H18" s="4" t="s">
        <v>226</v>
      </c>
      <c r="I18" s="4" t="s">
        <v>69</v>
      </c>
      <c r="J18" s="4" t="s">
        <v>4704</v>
      </c>
      <c r="K18" s="4" t="s">
        <v>71</v>
      </c>
      <c r="L18" s="4" t="s">
        <v>4151</v>
      </c>
      <c r="M18" s="4" t="s">
        <v>74</v>
      </c>
      <c r="N18" s="4" t="s">
        <v>3488</v>
      </c>
      <c r="O18" s="4" t="s">
        <v>3788</v>
      </c>
      <c r="P18" s="4" t="s">
        <v>3546</v>
      </c>
      <c r="Q18" s="75">
        <v>45023</v>
      </c>
      <c r="R18" s="75">
        <v>45032</v>
      </c>
      <c r="S18" s="75">
        <v>45119</v>
      </c>
      <c r="T18" s="4"/>
      <c r="U18" s="4"/>
      <c r="V18" s="4" t="s">
        <v>4152</v>
      </c>
      <c r="W18" s="100"/>
      <c r="X18" s="55">
        <v>1765941991</v>
      </c>
      <c r="Y18" s="106">
        <v>1847270360</v>
      </c>
      <c r="Z18" s="4" t="s">
        <v>4153</v>
      </c>
      <c r="AA18" s="4">
        <v>1317217081</v>
      </c>
      <c r="AB18" s="4" t="s">
        <v>252</v>
      </c>
      <c r="AC18" s="4" t="s">
        <v>119</v>
      </c>
      <c r="AD18" s="75">
        <v>36272</v>
      </c>
      <c r="AE18" s="107">
        <v>24.4657534246575</v>
      </c>
      <c r="AF18" s="4" t="s">
        <v>80</v>
      </c>
      <c r="AG18" s="114">
        <v>6904360374</v>
      </c>
      <c r="AH18" s="4" t="s">
        <v>4154</v>
      </c>
      <c r="AI18" s="55" t="s">
        <v>104</v>
      </c>
      <c r="AJ18" s="55" t="s">
        <v>4155</v>
      </c>
      <c r="AK18" s="55">
        <v>2024</v>
      </c>
      <c r="AL18" s="55" t="s">
        <v>4156</v>
      </c>
      <c r="AM18" s="4" t="s">
        <v>4157</v>
      </c>
      <c r="AN18" s="4" t="s">
        <v>4158</v>
      </c>
      <c r="AO18" s="55" t="s">
        <v>4159</v>
      </c>
      <c r="AP18" s="55" t="s">
        <v>4160</v>
      </c>
      <c r="AQ18" s="55" t="s">
        <v>3969</v>
      </c>
      <c r="AR18" s="4" t="s">
        <v>110</v>
      </c>
      <c r="AS18" s="4"/>
      <c r="AT18" s="72"/>
      <c r="AU18" s="4"/>
      <c r="AV18" s="4"/>
      <c r="AW18" s="4"/>
      <c r="AX18" s="4"/>
      <c r="AY18" s="4"/>
      <c r="AZ18" s="4"/>
      <c r="BA18" s="4" t="s">
        <v>4161</v>
      </c>
      <c r="BB18" s="4">
        <v>16380</v>
      </c>
      <c r="BC18" s="4">
        <v>3000</v>
      </c>
      <c r="BD18" s="4">
        <v>4000</v>
      </c>
      <c r="BE18" s="4" t="s">
        <v>7238</v>
      </c>
      <c r="BF18" s="4">
        <v>160096</v>
      </c>
      <c r="BG18" s="4" t="s">
        <v>92</v>
      </c>
      <c r="BH18" s="4" t="s">
        <v>6808</v>
      </c>
      <c r="BI18" s="4" t="s">
        <v>4150</v>
      </c>
      <c r="BJ18" s="4" t="s">
        <v>6808</v>
      </c>
      <c r="BK18" s="4" t="s">
        <v>4704</v>
      </c>
      <c r="BL18" s="4" t="s">
        <v>6807</v>
      </c>
      <c r="BM18" s="4" t="s">
        <v>3487</v>
      </c>
      <c r="BN18" s="4">
        <v>16380</v>
      </c>
      <c r="BO18" s="4">
        <v>3000</v>
      </c>
      <c r="BP18" s="4">
        <v>2000</v>
      </c>
      <c r="BQ18" s="72">
        <v>45196</v>
      </c>
      <c r="BR18" s="72">
        <v>45215</v>
      </c>
      <c r="BS18" s="4" t="s">
        <v>7261</v>
      </c>
      <c r="BT18" s="4"/>
      <c r="BU18" s="4" t="s">
        <v>168</v>
      </c>
      <c r="BV18" s="4"/>
    </row>
    <row r="19" ht="25.05" customHeight="1" s="85" customFormat="1">
      <c r="A19" s="4">
        <v>171021</v>
      </c>
      <c r="B19" s="4"/>
      <c r="C19" s="55" t="s">
        <v>3962</v>
      </c>
      <c r="D19" s="4" t="s">
        <v>3963</v>
      </c>
      <c r="E19" s="4" t="s">
        <v>114</v>
      </c>
      <c r="F19" s="55">
        <v>1112735476</v>
      </c>
      <c r="G19" s="4" t="s">
        <v>67</v>
      </c>
      <c r="H19" s="4" t="s">
        <v>3486</v>
      </c>
      <c r="I19" s="4" t="s">
        <v>69</v>
      </c>
      <c r="J19" s="55" t="s">
        <v>70</v>
      </c>
      <c r="K19" s="4" t="s">
        <v>71</v>
      </c>
      <c r="L19" s="4" t="s">
        <v>3487</v>
      </c>
      <c r="M19" s="4" t="s">
        <v>3512</v>
      </c>
      <c r="N19" s="4" t="s">
        <v>74</v>
      </c>
      <c r="O19" s="4" t="s">
        <v>3788</v>
      </c>
      <c r="P19" s="4" t="s">
        <v>3585</v>
      </c>
      <c r="Q19" s="75">
        <v>45029</v>
      </c>
      <c r="R19" s="75">
        <v>45042</v>
      </c>
      <c r="S19" s="75"/>
      <c r="T19" s="4"/>
      <c r="U19" s="4"/>
      <c r="V19" s="4"/>
      <c r="W19" s="100" t="s">
        <v>3964</v>
      </c>
      <c r="X19" s="55">
        <v>1761237800</v>
      </c>
      <c r="Y19" s="106"/>
      <c r="Z19" s="4" t="s">
        <v>3965</v>
      </c>
      <c r="AA19" s="4">
        <v>1917293591</v>
      </c>
      <c r="AB19" s="4" t="s">
        <v>132</v>
      </c>
      <c r="AC19" s="4" t="s">
        <v>133</v>
      </c>
      <c r="AD19" s="75">
        <v>36323</v>
      </c>
      <c r="AE19" s="107">
        <v>24.3260273972603</v>
      </c>
      <c r="AF19" s="4" t="s">
        <v>80</v>
      </c>
      <c r="AG19" s="114">
        <v>6454830271</v>
      </c>
      <c r="AH19" s="4" t="s">
        <v>81</v>
      </c>
      <c r="AI19" s="55" t="s">
        <v>160</v>
      </c>
      <c r="AJ19" s="55" t="s">
        <v>81</v>
      </c>
      <c r="AK19" s="55" t="s">
        <v>81</v>
      </c>
      <c r="AL19" s="55" t="s">
        <v>2127</v>
      </c>
      <c r="AM19" s="4" t="s">
        <v>3966</v>
      </c>
      <c r="AN19" s="4" t="s">
        <v>3965</v>
      </c>
      <c r="AO19" s="55" t="s">
        <v>3967</v>
      </c>
      <c r="AP19" s="55" t="s">
        <v>3968</v>
      </c>
      <c r="AQ19" s="55" t="s">
        <v>3969</v>
      </c>
      <c r="AR19" s="4" t="s">
        <v>110</v>
      </c>
      <c r="AS19" s="4"/>
      <c r="AT19" s="72"/>
      <c r="AU19" s="4"/>
      <c r="AV19" s="4"/>
      <c r="AW19" s="4"/>
      <c r="AX19" s="4"/>
      <c r="AY19" s="4"/>
      <c r="AZ19" s="4"/>
      <c r="BA19" s="4" t="s">
        <v>3498</v>
      </c>
      <c r="BB19" s="4">
        <v>10800</v>
      </c>
      <c r="BC19" s="4">
        <v>2700</v>
      </c>
      <c r="BD19" s="4"/>
      <c r="BE19" s="4" t="s">
        <v>91</v>
      </c>
      <c r="BF19" s="4">
        <v>161676</v>
      </c>
      <c r="BG19" s="4" t="s">
        <v>92</v>
      </c>
      <c r="BH19" s="4" t="s">
        <v>6808</v>
      </c>
      <c r="BI19" s="93" t="s">
        <v>67</v>
      </c>
      <c r="BJ19" s="4" t="s">
        <v>6808</v>
      </c>
      <c r="BK19" s="4" t="s">
        <v>4704</v>
      </c>
      <c r="BL19" s="4" t="s">
        <v>6807</v>
      </c>
      <c r="BM19" s="4" t="s">
        <v>3487</v>
      </c>
      <c r="BN19" s="4">
        <v>10800</v>
      </c>
      <c r="BO19" s="4">
        <v>2700</v>
      </c>
      <c r="BP19" s="4">
        <v>1000</v>
      </c>
      <c r="BQ19" s="72">
        <v>45187</v>
      </c>
      <c r="BR19" s="72">
        <v>45215</v>
      </c>
      <c r="BS19" s="4" t="s">
        <v>7261</v>
      </c>
      <c r="BT19" s="4"/>
      <c r="BU19" s="4" t="s">
        <v>168</v>
      </c>
      <c r="BV19" s="4"/>
    </row>
    <row r="20" ht="25.05" customHeight="1" s="85" customFormat="1">
      <c r="A20" s="4">
        <v>171030</v>
      </c>
      <c r="B20" s="4"/>
      <c r="C20" s="55" t="s">
        <v>4254</v>
      </c>
      <c r="D20" s="4" t="s">
        <v>1106</v>
      </c>
      <c r="E20" s="4" t="s">
        <v>114</v>
      </c>
      <c r="F20" s="55">
        <v>1410849212</v>
      </c>
      <c r="G20" s="4" t="s">
        <v>67</v>
      </c>
      <c r="H20" s="4" t="s">
        <v>3486</v>
      </c>
      <c r="I20" s="4" t="s">
        <v>69</v>
      </c>
      <c r="J20" s="4" t="s">
        <v>4704</v>
      </c>
      <c r="K20" s="4" t="s">
        <v>71</v>
      </c>
      <c r="L20" s="4" t="s">
        <v>3487</v>
      </c>
      <c r="M20" s="4" t="s">
        <v>2643</v>
      </c>
      <c r="N20" s="4" t="s">
        <v>74</v>
      </c>
      <c r="O20" s="4" t="s">
        <v>3788</v>
      </c>
      <c r="P20" s="4" t="s">
        <v>3489</v>
      </c>
      <c r="Q20" s="75">
        <v>45033</v>
      </c>
      <c r="R20" s="75">
        <v>45040</v>
      </c>
      <c r="S20" s="75"/>
      <c r="T20" s="4"/>
      <c r="U20" s="4"/>
      <c r="V20" s="4"/>
      <c r="W20" s="100" t="s">
        <v>4255</v>
      </c>
      <c r="X20" s="55">
        <v>1956090283</v>
      </c>
      <c r="Y20" s="106"/>
      <c r="Z20" s="4" t="s">
        <v>4256</v>
      </c>
      <c r="AA20" s="4">
        <v>1954943389</v>
      </c>
      <c r="AB20" s="4" t="s">
        <v>132</v>
      </c>
      <c r="AC20" s="4" t="s">
        <v>1109</v>
      </c>
      <c r="AD20" s="75">
        <v>37285</v>
      </c>
      <c r="AE20" s="107">
        <v>21.6904109589041</v>
      </c>
      <c r="AF20" s="4" t="s">
        <v>80</v>
      </c>
      <c r="AG20" s="114">
        <v>1963920572</v>
      </c>
      <c r="AH20" s="4" t="s">
        <v>81</v>
      </c>
      <c r="AI20" s="55" t="s">
        <v>104</v>
      </c>
      <c r="AJ20" s="55" t="s">
        <v>4257</v>
      </c>
      <c r="AK20" s="55">
        <v>2024</v>
      </c>
      <c r="AL20" s="55" t="s">
        <v>4258</v>
      </c>
      <c r="AM20" s="4" t="s">
        <v>1110</v>
      </c>
      <c r="AN20" s="4" t="s">
        <v>4256</v>
      </c>
      <c r="AO20" s="55" t="s">
        <v>4259</v>
      </c>
      <c r="AP20" s="55" t="s">
        <v>4259</v>
      </c>
      <c r="AQ20" s="55" t="s">
        <v>4260</v>
      </c>
      <c r="AR20" s="4" t="s">
        <v>110</v>
      </c>
      <c r="AS20" s="4"/>
      <c r="AT20" s="72"/>
      <c r="AU20" s="4"/>
      <c r="AV20" s="4"/>
      <c r="AW20" s="4"/>
      <c r="AX20" s="4"/>
      <c r="AY20" s="4"/>
      <c r="AZ20" s="4"/>
      <c r="BA20" s="4" t="s">
        <v>3498</v>
      </c>
      <c r="BB20" s="4">
        <v>10800</v>
      </c>
      <c r="BC20" s="4">
        <v>2700</v>
      </c>
      <c r="BD20" s="4">
        <v>2500</v>
      </c>
      <c r="BE20" s="4" t="s">
        <v>7238</v>
      </c>
      <c r="BF20" s="4">
        <v>160797</v>
      </c>
      <c r="BG20" s="4" t="s">
        <v>92</v>
      </c>
      <c r="BH20" s="4" t="s">
        <v>6808</v>
      </c>
      <c r="BI20" s="93" t="s">
        <v>67</v>
      </c>
      <c r="BJ20" s="4" t="s">
        <v>6808</v>
      </c>
      <c r="BK20" s="4" t="s">
        <v>4704</v>
      </c>
      <c r="BL20" s="4" t="s">
        <v>6807</v>
      </c>
      <c r="BM20" s="4" t="s">
        <v>3487</v>
      </c>
      <c r="BN20" s="4">
        <v>10800</v>
      </c>
      <c r="BO20" s="4">
        <v>2700</v>
      </c>
      <c r="BP20" s="4">
        <v>1000</v>
      </c>
      <c r="BQ20" s="72">
        <v>45196</v>
      </c>
      <c r="BR20" s="72">
        <v>45215</v>
      </c>
      <c r="BS20" s="4" t="s">
        <v>7261</v>
      </c>
      <c r="BT20" s="4"/>
      <c r="BU20" s="4" t="s">
        <v>168</v>
      </c>
      <c r="BV20" s="4"/>
    </row>
    <row r="21" ht="25.05" customHeight="1" s="85" customFormat="1">
      <c r="A21" s="4">
        <v>171031</v>
      </c>
      <c r="B21" s="4"/>
      <c r="C21" s="55" t="s">
        <v>3979</v>
      </c>
      <c r="D21" s="4" t="s">
        <v>3980</v>
      </c>
      <c r="E21" s="4" t="s">
        <v>114</v>
      </c>
      <c r="F21" s="55">
        <v>1210544253</v>
      </c>
      <c r="G21" s="4" t="s">
        <v>67</v>
      </c>
      <c r="H21" s="4" t="s">
        <v>3486</v>
      </c>
      <c r="I21" s="4" t="s">
        <v>69</v>
      </c>
      <c r="J21" s="4" t="s">
        <v>4704</v>
      </c>
      <c r="K21" s="4" t="s">
        <v>71</v>
      </c>
      <c r="L21" s="4" t="s">
        <v>3487</v>
      </c>
      <c r="M21" s="4" t="s">
        <v>2643</v>
      </c>
      <c r="N21" s="4" t="s">
        <v>74</v>
      </c>
      <c r="O21" s="4" t="s">
        <v>3788</v>
      </c>
      <c r="P21" s="4" t="s">
        <v>3489</v>
      </c>
      <c r="Q21" s="75">
        <v>45033</v>
      </c>
      <c r="R21" s="75">
        <v>45040</v>
      </c>
      <c r="S21" s="75"/>
      <c r="T21" s="4"/>
      <c r="U21" s="4"/>
      <c r="V21" s="4"/>
      <c r="W21" s="100" t="s">
        <v>3981</v>
      </c>
      <c r="X21" s="55">
        <v>1609075990</v>
      </c>
      <c r="Y21" s="106"/>
      <c r="Z21" s="4" t="s">
        <v>3982</v>
      </c>
      <c r="AA21" s="4">
        <v>1714789272</v>
      </c>
      <c r="AB21" s="4" t="s">
        <v>101</v>
      </c>
      <c r="AC21" s="4" t="s">
        <v>119</v>
      </c>
      <c r="AD21" s="75">
        <v>36185</v>
      </c>
      <c r="AE21" s="107">
        <v>24.7041095890411</v>
      </c>
      <c r="AF21" s="4" t="s">
        <v>80</v>
      </c>
      <c r="AG21" s="114">
        <v>3762449225</v>
      </c>
      <c r="AH21" s="4" t="s">
        <v>81</v>
      </c>
      <c r="AI21" s="55" t="s">
        <v>104</v>
      </c>
      <c r="AJ21" s="55" t="s">
        <v>3983</v>
      </c>
      <c r="AK21" s="55">
        <v>2023</v>
      </c>
      <c r="AL21" s="55" t="s">
        <v>2259</v>
      </c>
      <c r="AM21" s="4" t="s">
        <v>3982</v>
      </c>
      <c r="AN21" s="4" t="s">
        <v>2177</v>
      </c>
      <c r="AO21" s="55" t="s">
        <v>3984</v>
      </c>
      <c r="AP21" s="55" t="s">
        <v>3985</v>
      </c>
      <c r="AQ21" s="55" t="s">
        <v>88</v>
      </c>
      <c r="AR21" s="4" t="s">
        <v>110</v>
      </c>
      <c r="AS21" s="4"/>
      <c r="AT21" s="72"/>
      <c r="AU21" s="4"/>
      <c r="AV21" s="4"/>
      <c r="AW21" s="4"/>
      <c r="AX21" s="4"/>
      <c r="AY21" s="4"/>
      <c r="AZ21" s="4"/>
      <c r="BA21" s="4" t="s">
        <v>3498</v>
      </c>
      <c r="BB21" s="4">
        <v>10800</v>
      </c>
      <c r="BC21" s="4">
        <v>2700</v>
      </c>
      <c r="BD21" s="4">
        <v>2500</v>
      </c>
      <c r="BE21" s="4" t="s">
        <v>7238</v>
      </c>
      <c r="BF21" s="4">
        <v>160561</v>
      </c>
      <c r="BG21" s="4" t="s">
        <v>92</v>
      </c>
      <c r="BH21" s="4" t="s">
        <v>6808</v>
      </c>
      <c r="BI21" s="93" t="s">
        <v>67</v>
      </c>
      <c r="BJ21" s="4" t="s">
        <v>6808</v>
      </c>
      <c r="BK21" s="4" t="s">
        <v>4704</v>
      </c>
      <c r="BL21" s="4" t="s">
        <v>6807</v>
      </c>
      <c r="BM21" s="4" t="s">
        <v>3487</v>
      </c>
      <c r="BN21" s="4">
        <v>10800</v>
      </c>
      <c r="BO21" s="4">
        <v>2700</v>
      </c>
      <c r="BP21" s="4">
        <v>1000</v>
      </c>
      <c r="BQ21" s="72">
        <v>45196</v>
      </c>
      <c r="BR21" s="72">
        <v>45215</v>
      </c>
      <c r="BS21" s="4" t="s">
        <v>7261</v>
      </c>
      <c r="BT21" s="4"/>
      <c r="BU21" s="4" t="s">
        <v>168</v>
      </c>
      <c r="BV21" s="4"/>
    </row>
    <row r="22" ht="25.05" customHeight="1" s="85" customFormat="1">
      <c r="A22" s="4">
        <v>171066</v>
      </c>
      <c r="B22" s="4"/>
      <c r="C22" s="55" t="s">
        <v>4162</v>
      </c>
      <c r="D22" s="4" t="s">
        <v>4163</v>
      </c>
      <c r="E22" s="4" t="s">
        <v>114</v>
      </c>
      <c r="F22" s="55" t="s">
        <v>4164</v>
      </c>
      <c r="G22" s="4" t="s">
        <v>67</v>
      </c>
      <c r="H22" s="4" t="s">
        <v>3486</v>
      </c>
      <c r="I22" s="4" t="s">
        <v>69</v>
      </c>
      <c r="J22" s="55" t="s">
        <v>155</v>
      </c>
      <c r="K22" s="4" t="s">
        <v>71</v>
      </c>
      <c r="L22" s="4" t="s">
        <v>3487</v>
      </c>
      <c r="M22" s="4" t="s">
        <v>3512</v>
      </c>
      <c r="N22" s="4" t="s">
        <v>74</v>
      </c>
      <c r="O22" s="4" t="s">
        <v>3788</v>
      </c>
      <c r="P22" s="4" t="s">
        <v>3564</v>
      </c>
      <c r="Q22" s="75">
        <v>45077</v>
      </c>
      <c r="R22" s="75">
        <v>45090</v>
      </c>
      <c r="S22" s="4"/>
      <c r="T22" s="4"/>
      <c r="U22" s="4"/>
      <c r="V22" s="4"/>
      <c r="W22" s="100" t="s">
        <v>4165</v>
      </c>
      <c r="X22" s="55">
        <v>1781466677</v>
      </c>
      <c r="Y22" s="4">
        <v>1754543637</v>
      </c>
      <c r="Z22" s="4" t="s">
        <v>4166</v>
      </c>
      <c r="AA22" s="4">
        <v>1772001766</v>
      </c>
      <c r="AB22" s="4" t="s">
        <v>186</v>
      </c>
      <c r="AC22" s="4" t="s">
        <v>79</v>
      </c>
      <c r="AD22" s="101">
        <v>32518</v>
      </c>
      <c r="AE22" s="107">
        <v>34.7506849315068</v>
      </c>
      <c r="AF22" s="4" t="s">
        <v>80</v>
      </c>
      <c r="AG22" s="55">
        <v>3713675589</v>
      </c>
      <c r="AH22" s="4" t="s">
        <v>4167</v>
      </c>
      <c r="AI22" s="55" t="s">
        <v>2523</v>
      </c>
      <c r="AJ22" s="55" t="s">
        <v>81</v>
      </c>
      <c r="AK22" s="55" t="s">
        <v>81</v>
      </c>
      <c r="AL22" s="55" t="s">
        <v>818</v>
      </c>
      <c r="AM22" s="4" t="s">
        <v>4168</v>
      </c>
      <c r="AN22" s="4" t="s">
        <v>4169</v>
      </c>
      <c r="AO22" s="55" t="s">
        <v>4170</v>
      </c>
      <c r="AP22" s="55" t="s">
        <v>4171</v>
      </c>
      <c r="AQ22" s="55" t="s">
        <v>4172</v>
      </c>
      <c r="AR22" s="4" t="s">
        <v>89</v>
      </c>
      <c r="AS22" s="4" t="s">
        <v>4173</v>
      </c>
      <c r="AT22" s="72">
        <v>33878</v>
      </c>
      <c r="AU22" s="4" t="s">
        <v>4174</v>
      </c>
      <c r="AV22" s="101">
        <v>44556</v>
      </c>
      <c r="AW22" s="4" t="s">
        <v>4175</v>
      </c>
      <c r="AX22" s="101">
        <v>45010</v>
      </c>
      <c r="AY22" s="4"/>
      <c r="AZ22" s="4"/>
      <c r="BA22" s="4" t="s">
        <v>3498</v>
      </c>
      <c r="BB22" s="4">
        <v>10800</v>
      </c>
      <c r="BC22" s="4">
        <v>2700</v>
      </c>
      <c r="BD22" s="4">
        <v>2500</v>
      </c>
      <c r="BE22" s="4" t="s">
        <v>7238</v>
      </c>
      <c r="BF22" s="4" t="s">
        <v>167</v>
      </c>
      <c r="BG22" s="4" t="s">
        <v>167</v>
      </c>
      <c r="BH22" s="4" t="s">
        <v>6808</v>
      </c>
      <c r="BI22" s="93" t="s">
        <v>67</v>
      </c>
      <c r="BJ22" s="4" t="s">
        <v>6808</v>
      </c>
      <c r="BK22" s="4" t="s">
        <v>4704</v>
      </c>
      <c r="BL22" s="4" t="s">
        <v>6807</v>
      </c>
      <c r="BM22" s="4" t="s">
        <v>3487</v>
      </c>
      <c r="BN22" s="4">
        <v>10800</v>
      </c>
      <c r="BO22" s="4">
        <v>2700</v>
      </c>
      <c r="BP22" s="4">
        <v>1000</v>
      </c>
      <c r="BQ22" s="72">
        <v>45196</v>
      </c>
      <c r="BR22" s="72">
        <v>45215</v>
      </c>
      <c r="BS22" s="4" t="s">
        <v>7261</v>
      </c>
      <c r="BT22" s="4"/>
      <c r="BU22" s="4" t="s">
        <v>168</v>
      </c>
      <c r="BV22" s="4"/>
    </row>
    <row r="23" ht="25.05" customHeight="1" s="85" customFormat="1">
      <c r="A23" s="4">
        <v>171068</v>
      </c>
      <c r="B23" s="4"/>
      <c r="C23" s="55" t="s">
        <v>4588</v>
      </c>
      <c r="D23" s="4" t="s">
        <v>3893</v>
      </c>
      <c r="E23" s="4" t="s">
        <v>114</v>
      </c>
      <c r="F23" s="55">
        <v>701468</v>
      </c>
      <c r="G23" s="4" t="s">
        <v>67</v>
      </c>
      <c r="H23" s="4" t="s">
        <v>3486</v>
      </c>
      <c r="I23" s="4" t="s">
        <v>69</v>
      </c>
      <c r="J23" s="55" t="s">
        <v>155</v>
      </c>
      <c r="K23" s="4" t="s">
        <v>71</v>
      </c>
      <c r="L23" s="4" t="s">
        <v>3487</v>
      </c>
      <c r="M23" s="4" t="s">
        <v>3512</v>
      </c>
      <c r="N23" s="4" t="s">
        <v>74</v>
      </c>
      <c r="O23" s="4" t="s">
        <v>3788</v>
      </c>
      <c r="P23" s="4" t="s">
        <v>3564</v>
      </c>
      <c r="Q23" s="75">
        <v>45077</v>
      </c>
      <c r="R23" s="75">
        <v>45093</v>
      </c>
      <c r="S23" s="4"/>
      <c r="T23" s="4"/>
      <c r="U23" s="4"/>
      <c r="V23" s="4"/>
      <c r="W23" s="100" t="s">
        <v>4589</v>
      </c>
      <c r="X23" s="55">
        <v>1793544241</v>
      </c>
      <c r="Y23" s="4">
        <v>1880249836</v>
      </c>
      <c r="Z23" s="4" t="s">
        <v>4590</v>
      </c>
      <c r="AA23" s="4">
        <v>1792416602</v>
      </c>
      <c r="AB23" s="4" t="s">
        <v>144</v>
      </c>
      <c r="AC23" s="4" t="s">
        <v>119</v>
      </c>
      <c r="AD23" s="101">
        <v>35318</v>
      </c>
      <c r="AE23" s="107">
        <v>27.0794520547945</v>
      </c>
      <c r="AF23" s="4" t="s">
        <v>80</v>
      </c>
      <c r="AG23" s="55">
        <v>8253189529</v>
      </c>
      <c r="AH23" s="4" t="s">
        <v>1489</v>
      </c>
      <c r="AI23" s="55" t="s">
        <v>160</v>
      </c>
      <c r="AJ23" s="55" t="s">
        <v>81</v>
      </c>
      <c r="AK23" s="55" t="s">
        <v>81</v>
      </c>
      <c r="AL23" s="55" t="s">
        <v>1102</v>
      </c>
      <c r="AM23" s="4" t="s">
        <v>1488</v>
      </c>
      <c r="AN23" s="4" t="s">
        <v>1491</v>
      </c>
      <c r="AO23" s="55" t="s">
        <v>4591</v>
      </c>
      <c r="AP23" s="55" t="s">
        <v>1493</v>
      </c>
      <c r="AQ23" s="55" t="s">
        <v>4592</v>
      </c>
      <c r="AR23" s="4" t="s">
        <v>110</v>
      </c>
      <c r="AS23" s="4"/>
      <c r="AT23" s="72"/>
      <c r="AU23" s="4"/>
      <c r="AV23" s="101"/>
      <c r="AW23" s="4"/>
      <c r="AX23" s="101"/>
      <c r="AY23" s="4"/>
      <c r="AZ23" s="4"/>
      <c r="BA23" s="4" t="s">
        <v>3498</v>
      </c>
      <c r="BB23" s="4">
        <v>10800</v>
      </c>
      <c r="BC23" s="4">
        <v>2700</v>
      </c>
      <c r="BD23" s="4">
        <v>2500</v>
      </c>
      <c r="BE23" s="4" t="s">
        <v>7238</v>
      </c>
      <c r="BF23" s="4" t="s">
        <v>167</v>
      </c>
      <c r="BG23" s="4" t="s">
        <v>167</v>
      </c>
      <c r="BH23" s="4" t="s">
        <v>6808</v>
      </c>
      <c r="BI23" s="93" t="s">
        <v>67</v>
      </c>
      <c r="BJ23" s="4" t="s">
        <v>6808</v>
      </c>
      <c r="BK23" s="4" t="s">
        <v>4704</v>
      </c>
      <c r="BL23" s="4" t="s">
        <v>6807</v>
      </c>
      <c r="BM23" s="4" t="s">
        <v>3487</v>
      </c>
      <c r="BN23" s="4">
        <v>10800</v>
      </c>
      <c r="BO23" s="4">
        <v>2700</v>
      </c>
      <c r="BP23" s="4">
        <v>1000</v>
      </c>
      <c r="BQ23" s="72">
        <v>45196</v>
      </c>
      <c r="BR23" s="72">
        <v>45215</v>
      </c>
      <c r="BS23" s="4" t="s">
        <v>7261</v>
      </c>
      <c r="BT23" s="4"/>
      <c r="BU23" s="4" t="s">
        <v>168</v>
      </c>
      <c r="BV23" s="4"/>
    </row>
    <row r="24" ht="25.05" customHeight="1" s="85" customFormat="1">
      <c r="A24" s="4">
        <v>171070</v>
      </c>
      <c r="B24" s="4"/>
      <c r="C24" s="55" t="s">
        <v>153</v>
      </c>
      <c r="D24" s="4" t="s">
        <v>154</v>
      </c>
      <c r="E24" s="4" t="s">
        <v>114</v>
      </c>
      <c r="F24" s="55">
        <v>1115216787</v>
      </c>
      <c r="G24" s="4" t="s">
        <v>67</v>
      </c>
      <c r="H24" s="4" t="s">
        <v>3486</v>
      </c>
      <c r="I24" s="4" t="s">
        <v>69</v>
      </c>
      <c r="J24" s="55" t="s">
        <v>155</v>
      </c>
      <c r="K24" s="4" t="s">
        <v>71</v>
      </c>
      <c r="L24" s="4" t="s">
        <v>3487</v>
      </c>
      <c r="M24" s="4" t="s">
        <v>3512</v>
      </c>
      <c r="N24" s="4" t="s">
        <v>74</v>
      </c>
      <c r="O24" s="4" t="s">
        <v>3788</v>
      </c>
      <c r="P24" s="4" t="s">
        <v>3564</v>
      </c>
      <c r="Q24" s="75">
        <v>45077</v>
      </c>
      <c r="R24" s="75">
        <v>45093</v>
      </c>
      <c r="S24" s="4"/>
      <c r="T24" s="4"/>
      <c r="U24" s="4"/>
      <c r="V24" s="4"/>
      <c r="W24" s="100" t="s">
        <v>157</v>
      </c>
      <c r="X24" s="55">
        <v>1580817238</v>
      </c>
      <c r="Y24" s="4" t="s">
        <v>81</v>
      </c>
      <c r="Z24" s="4" t="s">
        <v>158</v>
      </c>
      <c r="AA24" s="4">
        <v>1771487331</v>
      </c>
      <c r="AB24" s="4" t="s">
        <v>101</v>
      </c>
      <c r="AC24" s="4" t="s">
        <v>79</v>
      </c>
      <c r="AD24" s="101">
        <v>36050</v>
      </c>
      <c r="AE24" s="107">
        <v>25.0739726027397</v>
      </c>
      <c r="AF24" s="4" t="s">
        <v>80</v>
      </c>
      <c r="AG24" s="55">
        <v>7802264635</v>
      </c>
      <c r="AH24" s="4" t="s">
        <v>159</v>
      </c>
      <c r="AI24" s="55" t="s">
        <v>160</v>
      </c>
      <c r="AJ24" s="55" t="s">
        <v>81</v>
      </c>
      <c r="AK24" s="71" t="s">
        <v>81</v>
      </c>
      <c r="AL24" s="55" t="s">
        <v>161</v>
      </c>
      <c r="AM24" s="4" t="s">
        <v>158</v>
      </c>
      <c r="AN24" s="4" t="s">
        <v>162</v>
      </c>
      <c r="AO24" s="55" t="s">
        <v>163</v>
      </c>
      <c r="AP24" s="55" t="s">
        <v>164</v>
      </c>
      <c r="AQ24" s="55" t="s">
        <v>165</v>
      </c>
      <c r="AR24" s="4" t="s">
        <v>110</v>
      </c>
      <c r="AS24" s="4"/>
      <c r="AT24" s="72"/>
      <c r="AU24" s="4"/>
      <c r="AV24" s="101"/>
      <c r="AW24" s="4"/>
      <c r="AX24" s="101"/>
      <c r="AY24" s="4"/>
      <c r="AZ24" s="4"/>
      <c r="BA24" s="4" t="s">
        <v>3498</v>
      </c>
      <c r="BB24" s="4">
        <v>10800</v>
      </c>
      <c r="BC24" s="4">
        <v>2700</v>
      </c>
      <c r="BD24" s="4">
        <v>2500</v>
      </c>
      <c r="BE24" s="4" t="s">
        <v>7238</v>
      </c>
      <c r="BF24" s="4" t="s">
        <v>167</v>
      </c>
      <c r="BG24" s="4" t="s">
        <v>167</v>
      </c>
      <c r="BH24" s="4" t="s">
        <v>6808</v>
      </c>
      <c r="BI24" s="93" t="s">
        <v>67</v>
      </c>
      <c r="BJ24" s="4" t="s">
        <v>6808</v>
      </c>
      <c r="BK24" s="4" t="s">
        <v>4704</v>
      </c>
      <c r="BL24" s="4" t="s">
        <v>6807</v>
      </c>
      <c r="BM24" s="4" t="s">
        <v>3487</v>
      </c>
      <c r="BN24" s="4">
        <v>10800</v>
      </c>
      <c r="BO24" s="4">
        <v>2700</v>
      </c>
      <c r="BP24" s="4">
        <v>1000</v>
      </c>
      <c r="BQ24" s="72">
        <v>45196</v>
      </c>
      <c r="BR24" s="72">
        <v>45215</v>
      </c>
      <c r="BS24" s="4" t="s">
        <v>7261</v>
      </c>
      <c r="BT24" s="4"/>
      <c r="BU24" s="4" t="s">
        <v>168</v>
      </c>
      <c r="BV24" s="4"/>
    </row>
    <row r="25" ht="25.05" customHeight="1" s="85" customFormat="1">
      <c r="A25" s="4">
        <v>171071</v>
      </c>
      <c r="B25" s="4"/>
      <c r="C25" s="55" t="s">
        <v>4460</v>
      </c>
      <c r="D25" s="4" t="s">
        <v>4461</v>
      </c>
      <c r="E25" s="4" t="s">
        <v>114</v>
      </c>
      <c r="F25" s="55">
        <v>683898</v>
      </c>
      <c r="G25" s="4" t="s">
        <v>67</v>
      </c>
      <c r="H25" s="4" t="s">
        <v>3486</v>
      </c>
      <c r="I25" s="4" t="s">
        <v>69</v>
      </c>
      <c r="J25" s="55" t="s">
        <v>155</v>
      </c>
      <c r="K25" s="4" t="s">
        <v>71</v>
      </c>
      <c r="L25" s="4" t="s">
        <v>3487</v>
      </c>
      <c r="M25" s="4" t="s">
        <v>3512</v>
      </c>
      <c r="N25" s="4" t="s">
        <v>74</v>
      </c>
      <c r="O25" s="4" t="s">
        <v>3788</v>
      </c>
      <c r="P25" s="4" t="s">
        <v>3564</v>
      </c>
      <c r="Q25" s="75">
        <v>45077</v>
      </c>
      <c r="R25" s="75">
        <v>45090</v>
      </c>
      <c r="S25" s="4"/>
      <c r="T25" s="4"/>
      <c r="U25" s="4"/>
      <c r="V25" s="4"/>
      <c r="W25" s="100" t="s">
        <v>4462</v>
      </c>
      <c r="X25" s="55">
        <v>1684807421</v>
      </c>
      <c r="Y25" s="4">
        <v>1540100541</v>
      </c>
      <c r="Z25" s="4" t="s">
        <v>4463</v>
      </c>
      <c r="AA25" s="4">
        <v>1734944030</v>
      </c>
      <c r="AB25" s="4" t="s">
        <v>252</v>
      </c>
      <c r="AC25" s="4" t="s">
        <v>79</v>
      </c>
      <c r="AD25" s="101">
        <v>35462</v>
      </c>
      <c r="AE25" s="107">
        <v>26.6849315068493</v>
      </c>
      <c r="AF25" s="4" t="s">
        <v>360</v>
      </c>
      <c r="AG25" s="55">
        <v>7803880124</v>
      </c>
      <c r="AH25" s="4" t="s">
        <v>81</v>
      </c>
      <c r="AI25" s="55" t="s">
        <v>4464</v>
      </c>
      <c r="AJ25" s="55" t="s">
        <v>81</v>
      </c>
      <c r="AK25" s="71" t="s">
        <v>81</v>
      </c>
      <c r="AL25" s="55" t="s">
        <v>209</v>
      </c>
      <c r="AM25" s="4" t="s">
        <v>4465</v>
      </c>
      <c r="AN25" s="4" t="s">
        <v>4466</v>
      </c>
      <c r="AO25" s="55" t="s">
        <v>4467</v>
      </c>
      <c r="AP25" s="55" t="s">
        <v>4468</v>
      </c>
      <c r="AQ25" s="55" t="s">
        <v>3862</v>
      </c>
      <c r="AR25" s="4" t="s">
        <v>110</v>
      </c>
      <c r="AS25" s="4"/>
      <c r="AT25" s="72"/>
      <c r="AU25" s="4"/>
      <c r="AV25" s="101"/>
      <c r="AW25" s="4"/>
      <c r="AX25" s="101"/>
      <c r="AY25" s="4"/>
      <c r="AZ25" s="4"/>
      <c r="BA25" s="4" t="s">
        <v>3498</v>
      </c>
      <c r="BB25" s="4">
        <v>10800</v>
      </c>
      <c r="BC25" s="4">
        <v>2700</v>
      </c>
      <c r="BD25" s="4">
        <v>2500</v>
      </c>
      <c r="BE25" s="4" t="s">
        <v>7238</v>
      </c>
      <c r="BF25" s="4" t="s">
        <v>167</v>
      </c>
      <c r="BG25" s="4" t="s">
        <v>167</v>
      </c>
      <c r="BH25" s="4" t="s">
        <v>6808</v>
      </c>
      <c r="BI25" s="93" t="s">
        <v>67</v>
      </c>
      <c r="BJ25" s="4" t="s">
        <v>6808</v>
      </c>
      <c r="BK25" s="4" t="s">
        <v>4704</v>
      </c>
      <c r="BL25" s="4" t="s">
        <v>6807</v>
      </c>
      <c r="BM25" s="4" t="s">
        <v>3487</v>
      </c>
      <c r="BN25" s="4">
        <v>10800</v>
      </c>
      <c r="BO25" s="4">
        <v>2700</v>
      </c>
      <c r="BP25" s="4">
        <v>1000</v>
      </c>
      <c r="BQ25" s="72">
        <v>45196</v>
      </c>
      <c r="BR25" s="72">
        <v>45215</v>
      </c>
      <c r="BS25" s="4" t="s">
        <v>7261</v>
      </c>
      <c r="BT25" s="4"/>
      <c r="BU25" s="4" t="s">
        <v>168</v>
      </c>
      <c r="BV25" s="4"/>
    </row>
    <row r="26" ht="25.05" customHeight="1" s="85" customFormat="1">
      <c r="A26" s="4">
        <v>171077</v>
      </c>
      <c r="B26" s="4"/>
      <c r="C26" s="55" t="s">
        <v>5434</v>
      </c>
      <c r="D26" s="4" t="s">
        <v>5435</v>
      </c>
      <c r="E26" s="4" t="s">
        <v>114</v>
      </c>
      <c r="F26" s="55">
        <v>880585</v>
      </c>
      <c r="G26" s="4" t="s">
        <v>67</v>
      </c>
      <c r="H26" s="4" t="s">
        <v>3486</v>
      </c>
      <c r="I26" s="4" t="s">
        <v>69</v>
      </c>
      <c r="J26" s="55" t="s">
        <v>155</v>
      </c>
      <c r="K26" s="4" t="s">
        <v>71</v>
      </c>
      <c r="L26" s="4" t="s">
        <v>3487</v>
      </c>
      <c r="M26" s="4" t="s">
        <v>3512</v>
      </c>
      <c r="N26" s="4" t="s">
        <v>74</v>
      </c>
      <c r="O26" s="4" t="s">
        <v>3788</v>
      </c>
      <c r="P26" s="4" t="s">
        <v>3564</v>
      </c>
      <c r="Q26" s="75">
        <v>45077</v>
      </c>
      <c r="R26" s="75">
        <v>45093</v>
      </c>
      <c r="S26" s="4"/>
      <c r="T26" s="4"/>
      <c r="U26" s="4"/>
      <c r="V26" s="4"/>
      <c r="W26" s="100" t="s">
        <v>5436</v>
      </c>
      <c r="X26" s="55">
        <v>1609262023</v>
      </c>
      <c r="Y26" s="4">
        <v>1922121243</v>
      </c>
      <c r="Z26" s="4" t="s">
        <v>5437</v>
      </c>
      <c r="AA26" s="4">
        <v>1676923006</v>
      </c>
      <c r="AB26" s="4" t="s">
        <v>101</v>
      </c>
      <c r="AC26" s="4" t="s">
        <v>119</v>
      </c>
      <c r="AD26" s="101">
        <v>35400</v>
      </c>
      <c r="AE26" s="107">
        <v>26.8547945205479</v>
      </c>
      <c r="AF26" s="4" t="s">
        <v>80</v>
      </c>
      <c r="AG26" s="55">
        <v>3302754340</v>
      </c>
      <c r="AH26" s="4" t="s">
        <v>81</v>
      </c>
      <c r="AI26" s="55" t="s">
        <v>82</v>
      </c>
      <c r="AJ26" s="55" t="s">
        <v>81</v>
      </c>
      <c r="AK26" s="71" t="s">
        <v>81</v>
      </c>
      <c r="AL26" s="55" t="s">
        <v>1102</v>
      </c>
      <c r="AM26" s="4" t="s">
        <v>5437</v>
      </c>
      <c r="AN26" s="4" t="s">
        <v>5438</v>
      </c>
      <c r="AO26" s="55" t="s">
        <v>5439</v>
      </c>
      <c r="AP26" s="55" t="s">
        <v>5440</v>
      </c>
      <c r="AQ26" s="55" t="s">
        <v>555</v>
      </c>
      <c r="AR26" s="4" t="s">
        <v>110</v>
      </c>
      <c r="AS26" s="4"/>
      <c r="AT26" s="72"/>
      <c r="AU26" s="4"/>
      <c r="AV26" s="101"/>
      <c r="AW26" s="4"/>
      <c r="AX26" s="101"/>
      <c r="AY26" s="4"/>
      <c r="AZ26" s="4"/>
      <c r="BA26" s="4" t="s">
        <v>3498</v>
      </c>
      <c r="BB26" s="4">
        <v>10800</v>
      </c>
      <c r="BC26" s="4">
        <v>2700</v>
      </c>
      <c r="BD26" s="4">
        <v>2500</v>
      </c>
      <c r="BE26" s="4" t="s">
        <v>7238</v>
      </c>
      <c r="BF26" s="4" t="s">
        <v>167</v>
      </c>
      <c r="BG26" s="4" t="s">
        <v>167</v>
      </c>
      <c r="BH26" s="4" t="s">
        <v>6808</v>
      </c>
      <c r="BI26" s="93" t="s">
        <v>67</v>
      </c>
      <c r="BJ26" s="4" t="s">
        <v>6808</v>
      </c>
      <c r="BK26" s="4" t="s">
        <v>4704</v>
      </c>
      <c r="BL26" s="4" t="s">
        <v>6807</v>
      </c>
      <c r="BM26" s="4" t="s">
        <v>3487</v>
      </c>
      <c r="BN26" s="4">
        <v>10800</v>
      </c>
      <c r="BO26" s="4">
        <v>2700</v>
      </c>
      <c r="BP26" s="4">
        <v>1000</v>
      </c>
      <c r="BQ26" s="72">
        <v>45196</v>
      </c>
      <c r="BR26" s="72">
        <v>45215</v>
      </c>
      <c r="BS26" s="4" t="s">
        <v>7261</v>
      </c>
      <c r="BT26" s="4"/>
      <c r="BU26" s="4" t="s">
        <v>168</v>
      </c>
      <c r="BV26" s="4"/>
    </row>
    <row r="27" ht="25.05" customHeight="1" s="85" customFormat="1">
      <c r="A27" s="4">
        <v>171078</v>
      </c>
      <c r="B27" s="4"/>
      <c r="C27" s="55" t="s">
        <v>4890</v>
      </c>
      <c r="D27" s="4" t="s">
        <v>4891</v>
      </c>
      <c r="E27" s="4" t="s">
        <v>114</v>
      </c>
      <c r="F27" s="55">
        <v>11127958550</v>
      </c>
      <c r="G27" s="4" t="s">
        <v>67</v>
      </c>
      <c r="H27" s="4" t="s">
        <v>3486</v>
      </c>
      <c r="I27" s="4" t="s">
        <v>69</v>
      </c>
      <c r="J27" s="55" t="s">
        <v>155</v>
      </c>
      <c r="K27" s="4" t="s">
        <v>71</v>
      </c>
      <c r="L27" s="4" t="s">
        <v>3487</v>
      </c>
      <c r="M27" s="4" t="s">
        <v>3512</v>
      </c>
      <c r="N27" s="4" t="s">
        <v>74</v>
      </c>
      <c r="O27" s="4" t="s">
        <v>3788</v>
      </c>
      <c r="P27" s="4" t="s">
        <v>3564</v>
      </c>
      <c r="Q27" s="75">
        <v>45077</v>
      </c>
      <c r="R27" s="75">
        <v>45093</v>
      </c>
      <c r="S27" s="4"/>
      <c r="T27" s="4"/>
      <c r="U27" s="4"/>
      <c r="V27" s="4"/>
      <c r="W27" s="100" t="s">
        <v>4892</v>
      </c>
      <c r="X27" s="55">
        <v>1709837522</v>
      </c>
      <c r="Y27" s="4">
        <v>1643384101</v>
      </c>
      <c r="Z27" s="4" t="s">
        <v>4893</v>
      </c>
      <c r="AA27" s="4">
        <v>1744478721</v>
      </c>
      <c r="AB27" s="4" t="s">
        <v>101</v>
      </c>
      <c r="AC27" s="4" t="s">
        <v>119</v>
      </c>
      <c r="AD27" s="101">
        <v>35925</v>
      </c>
      <c r="AE27" s="107">
        <v>25.4164383561644</v>
      </c>
      <c r="AF27" s="4" t="s">
        <v>80</v>
      </c>
      <c r="AG27" s="55">
        <v>2853975627</v>
      </c>
      <c r="AH27" s="4" t="s">
        <v>4894</v>
      </c>
      <c r="AI27" s="55" t="s">
        <v>1929</v>
      </c>
      <c r="AJ27" s="55" t="s">
        <v>312</v>
      </c>
      <c r="AK27" s="55">
        <v>2024</v>
      </c>
      <c r="AL27" s="55" t="s">
        <v>218</v>
      </c>
      <c r="AM27" s="4" t="s">
        <v>4895</v>
      </c>
      <c r="AN27" s="4" t="s">
        <v>4896</v>
      </c>
      <c r="AO27" s="55" t="s">
        <v>4897</v>
      </c>
      <c r="AP27" s="55" t="s">
        <v>4898</v>
      </c>
      <c r="AQ27" s="55" t="s">
        <v>1178</v>
      </c>
      <c r="AR27" s="4" t="s">
        <v>110</v>
      </c>
      <c r="AS27" s="4"/>
      <c r="AT27" s="72"/>
      <c r="AU27" s="4"/>
      <c r="AV27" s="101"/>
      <c r="AW27" s="4"/>
      <c r="AX27" s="101"/>
      <c r="AY27" s="4"/>
      <c r="AZ27" s="4"/>
      <c r="BA27" s="4" t="s">
        <v>3498</v>
      </c>
      <c r="BB27" s="4">
        <v>10800</v>
      </c>
      <c r="BC27" s="4">
        <v>2700</v>
      </c>
      <c r="BD27" s="4">
        <v>2500</v>
      </c>
      <c r="BE27" s="4" t="s">
        <v>7238</v>
      </c>
      <c r="BF27" s="4" t="s">
        <v>167</v>
      </c>
      <c r="BG27" s="4" t="s">
        <v>167</v>
      </c>
      <c r="BH27" s="4" t="s">
        <v>6808</v>
      </c>
      <c r="BI27" s="93" t="s">
        <v>67</v>
      </c>
      <c r="BJ27" s="4" t="s">
        <v>6808</v>
      </c>
      <c r="BK27" s="4" t="s">
        <v>4704</v>
      </c>
      <c r="BL27" s="4" t="s">
        <v>6807</v>
      </c>
      <c r="BM27" s="4" t="s">
        <v>3487</v>
      </c>
      <c r="BN27" s="4">
        <v>10800</v>
      </c>
      <c r="BO27" s="4">
        <v>2700</v>
      </c>
      <c r="BP27" s="4">
        <v>1000</v>
      </c>
      <c r="BQ27" s="72">
        <v>45196</v>
      </c>
      <c r="BR27" s="72">
        <v>45215</v>
      </c>
      <c r="BS27" s="4" t="s">
        <v>7261</v>
      </c>
      <c r="BT27" s="4"/>
      <c r="BU27" s="4" t="s">
        <v>168</v>
      </c>
      <c r="BV27" s="4"/>
    </row>
    <row r="28" ht="25.05" customHeight="1" s="85" customFormat="1">
      <c r="A28" s="4">
        <v>171079</v>
      </c>
      <c r="B28" s="4"/>
      <c r="C28" s="95" t="s">
        <v>169</v>
      </c>
      <c r="D28" s="4" t="s">
        <v>170</v>
      </c>
      <c r="E28" s="4" t="s">
        <v>114</v>
      </c>
      <c r="F28" s="55">
        <v>1010997028</v>
      </c>
      <c r="G28" s="4" t="s">
        <v>67</v>
      </c>
      <c r="H28" s="4" t="s">
        <v>3486</v>
      </c>
      <c r="I28" s="4" t="s">
        <v>69</v>
      </c>
      <c r="J28" s="55" t="s">
        <v>155</v>
      </c>
      <c r="K28" s="4" t="s">
        <v>71</v>
      </c>
      <c r="L28" s="4" t="s">
        <v>3487</v>
      </c>
      <c r="M28" s="4" t="s">
        <v>3512</v>
      </c>
      <c r="N28" s="4" t="s">
        <v>74</v>
      </c>
      <c r="O28" s="4" t="s">
        <v>3788</v>
      </c>
      <c r="P28" s="4" t="s">
        <v>3564</v>
      </c>
      <c r="Q28" s="75">
        <v>45077</v>
      </c>
      <c r="R28" s="75">
        <v>45090</v>
      </c>
      <c r="S28" s="4"/>
      <c r="T28" s="4"/>
      <c r="U28" s="4"/>
      <c r="V28" s="4"/>
      <c r="W28" s="100" t="s">
        <v>172</v>
      </c>
      <c r="X28" s="55">
        <v>1823686283</v>
      </c>
      <c r="Y28" s="4">
        <v>1838419319</v>
      </c>
      <c r="Z28" s="4" t="s">
        <v>173</v>
      </c>
      <c r="AA28" s="4">
        <v>1904450040</v>
      </c>
      <c r="AB28" s="4" t="s">
        <v>101</v>
      </c>
      <c r="AC28" s="4" t="s">
        <v>2456</v>
      </c>
      <c r="AD28" s="101">
        <v>35942</v>
      </c>
      <c r="AE28" s="107">
        <v>25.3698630136986</v>
      </c>
      <c r="AF28" s="4" t="s">
        <v>80</v>
      </c>
      <c r="AG28" s="55">
        <v>3305207247</v>
      </c>
      <c r="AH28" s="4" t="s">
        <v>81</v>
      </c>
      <c r="AI28" s="55" t="s">
        <v>160</v>
      </c>
      <c r="AJ28" s="55" t="s">
        <v>81</v>
      </c>
      <c r="AK28" s="55" t="s">
        <v>81</v>
      </c>
      <c r="AL28" s="55" t="s">
        <v>161</v>
      </c>
      <c r="AM28" s="4" t="s">
        <v>174</v>
      </c>
      <c r="AN28" s="4" t="s">
        <v>175</v>
      </c>
      <c r="AO28" s="55" t="s">
        <v>176</v>
      </c>
      <c r="AP28" s="55" t="s">
        <v>177</v>
      </c>
      <c r="AQ28" s="55" t="s">
        <v>178</v>
      </c>
      <c r="AR28" s="4" t="s">
        <v>89</v>
      </c>
      <c r="AS28" s="4" t="s">
        <v>179</v>
      </c>
      <c r="AT28" s="72">
        <v>37814</v>
      </c>
      <c r="AU28" s="4"/>
      <c r="AV28" s="101"/>
      <c r="AW28" s="4"/>
      <c r="AX28" s="101"/>
      <c r="AY28" s="4"/>
      <c r="AZ28" s="4"/>
      <c r="BA28" s="4" t="s">
        <v>3498</v>
      </c>
      <c r="BB28" s="4">
        <v>10800</v>
      </c>
      <c r="BC28" s="4">
        <v>2700</v>
      </c>
      <c r="BD28" s="4">
        <v>2500</v>
      </c>
      <c r="BE28" s="4" t="s">
        <v>7238</v>
      </c>
      <c r="BF28" s="4" t="s">
        <v>167</v>
      </c>
      <c r="BG28" s="4" t="s">
        <v>167</v>
      </c>
      <c r="BH28" s="4" t="s">
        <v>6808</v>
      </c>
      <c r="BI28" s="93" t="s">
        <v>67</v>
      </c>
      <c r="BJ28" s="4" t="s">
        <v>6808</v>
      </c>
      <c r="BK28" s="4" t="s">
        <v>4704</v>
      </c>
      <c r="BL28" s="4" t="s">
        <v>6807</v>
      </c>
      <c r="BM28" s="4" t="s">
        <v>3487</v>
      </c>
      <c r="BN28" s="4">
        <v>10800</v>
      </c>
      <c r="BO28" s="4">
        <v>2700</v>
      </c>
      <c r="BP28" s="4">
        <v>1000</v>
      </c>
      <c r="BQ28" s="72">
        <v>45196</v>
      </c>
      <c r="BR28" s="72">
        <v>45215</v>
      </c>
      <c r="BS28" s="4" t="s">
        <v>7261</v>
      </c>
      <c r="BT28" s="4"/>
      <c r="BU28" s="4" t="s">
        <v>168</v>
      </c>
      <c r="BV28" s="4"/>
    </row>
    <row r="29" ht="25.05" customHeight="1" s="85" customFormat="1">
      <c r="A29" s="4">
        <v>171080</v>
      </c>
      <c r="B29" s="4" t="s">
        <v>180</v>
      </c>
      <c r="C29" s="55" t="s">
        <v>181</v>
      </c>
      <c r="D29" s="4" t="s">
        <v>182</v>
      </c>
      <c r="E29" s="4" t="s">
        <v>114</v>
      </c>
      <c r="F29" s="55">
        <v>409458</v>
      </c>
      <c r="G29" s="4" t="s">
        <v>67</v>
      </c>
      <c r="H29" s="4" t="s">
        <v>3486</v>
      </c>
      <c r="I29" s="4" t="s">
        <v>69</v>
      </c>
      <c r="J29" s="55" t="s">
        <v>155</v>
      </c>
      <c r="K29" s="4" t="s">
        <v>71</v>
      </c>
      <c r="L29" s="4" t="s">
        <v>3487</v>
      </c>
      <c r="M29" s="4" t="s">
        <v>3512</v>
      </c>
      <c r="N29" s="4" t="s">
        <v>74</v>
      </c>
      <c r="O29" s="4" t="s">
        <v>3788</v>
      </c>
      <c r="P29" s="4" t="s">
        <v>3564</v>
      </c>
      <c r="Q29" s="75">
        <v>45077</v>
      </c>
      <c r="R29" s="75">
        <v>45093</v>
      </c>
      <c r="S29" s="4"/>
      <c r="T29" s="4"/>
      <c r="U29" s="4"/>
      <c r="V29" s="4"/>
      <c r="W29" s="100" t="s">
        <v>184</v>
      </c>
      <c r="X29" s="55">
        <v>1533970670</v>
      </c>
      <c r="Y29" s="4">
        <v>1838801744</v>
      </c>
      <c r="Z29" s="4" t="s">
        <v>185</v>
      </c>
      <c r="AA29" s="4">
        <v>1737029346</v>
      </c>
      <c r="AB29" s="4" t="s">
        <v>186</v>
      </c>
      <c r="AC29" s="4" t="s">
        <v>102</v>
      </c>
      <c r="AD29" s="101">
        <v>34860</v>
      </c>
      <c r="AE29" s="107">
        <v>28.3342465753425</v>
      </c>
      <c r="AF29" s="4" t="s">
        <v>80</v>
      </c>
      <c r="AG29" s="55">
        <v>3278966514</v>
      </c>
      <c r="AH29" s="4" t="s">
        <v>81</v>
      </c>
      <c r="AI29" s="55" t="s">
        <v>187</v>
      </c>
      <c r="AJ29" s="55" t="s">
        <v>81</v>
      </c>
      <c r="AK29" s="55" t="s">
        <v>81</v>
      </c>
      <c r="AL29" s="55" t="s">
        <v>188</v>
      </c>
      <c r="AM29" s="4" t="s">
        <v>189</v>
      </c>
      <c r="AN29" s="4" t="s">
        <v>190</v>
      </c>
      <c r="AO29" s="55" t="s">
        <v>191</v>
      </c>
      <c r="AP29" s="55" t="s">
        <v>192</v>
      </c>
      <c r="AQ29" s="55" t="s">
        <v>88</v>
      </c>
      <c r="AR29" s="4" t="s">
        <v>89</v>
      </c>
      <c r="AS29" s="4" t="s">
        <v>193</v>
      </c>
      <c r="AT29" s="72">
        <v>36974</v>
      </c>
      <c r="AU29" s="4"/>
      <c r="AV29" s="101"/>
      <c r="AW29" s="4"/>
      <c r="AX29" s="101"/>
      <c r="AY29" s="4"/>
      <c r="AZ29" s="4"/>
      <c r="BA29" s="4" t="s">
        <v>3498</v>
      </c>
      <c r="BB29" s="4">
        <v>10800</v>
      </c>
      <c r="BC29" s="4">
        <v>2700</v>
      </c>
      <c r="BD29" s="4">
        <v>2500</v>
      </c>
      <c r="BE29" s="4" t="s">
        <v>7238</v>
      </c>
      <c r="BF29" s="4" t="s">
        <v>167</v>
      </c>
      <c r="BG29" s="4"/>
      <c r="BH29" s="4" t="s">
        <v>6808</v>
      </c>
      <c r="BI29" s="93" t="s">
        <v>67</v>
      </c>
      <c r="BJ29" s="4" t="s">
        <v>6808</v>
      </c>
      <c r="BK29" s="4" t="s">
        <v>4704</v>
      </c>
      <c r="BL29" s="4" t="s">
        <v>6807</v>
      </c>
      <c r="BM29" s="4" t="s">
        <v>3487</v>
      </c>
      <c r="BN29" s="4">
        <v>10800</v>
      </c>
      <c r="BO29" s="4">
        <v>2700</v>
      </c>
      <c r="BP29" s="4">
        <v>1000</v>
      </c>
      <c r="BQ29" s="72">
        <v>45196</v>
      </c>
      <c r="BR29" s="72">
        <v>45215</v>
      </c>
      <c r="BS29" s="4" t="s">
        <v>7261</v>
      </c>
      <c r="BT29" s="4"/>
      <c r="BU29" s="4" t="s">
        <v>168</v>
      </c>
      <c r="BV29" s="4"/>
    </row>
    <row r="30" ht="25.05" customHeight="1" s="85" customFormat="1">
      <c r="A30" s="4">
        <v>171083</v>
      </c>
      <c r="B30" s="4"/>
      <c r="C30" s="55" t="s">
        <v>194</v>
      </c>
      <c r="D30" s="4" t="s">
        <v>195</v>
      </c>
      <c r="E30" s="4" t="s">
        <v>114</v>
      </c>
      <c r="F30" s="55">
        <v>983930</v>
      </c>
      <c r="G30" s="4" t="s">
        <v>67</v>
      </c>
      <c r="H30" s="4" t="s">
        <v>3486</v>
      </c>
      <c r="I30" s="4" t="s">
        <v>69</v>
      </c>
      <c r="J30" s="55" t="s">
        <v>155</v>
      </c>
      <c r="K30" s="4" t="s">
        <v>71</v>
      </c>
      <c r="L30" s="4" t="s">
        <v>3487</v>
      </c>
      <c r="M30" s="4" t="s">
        <v>3512</v>
      </c>
      <c r="N30" s="4" t="s">
        <v>74</v>
      </c>
      <c r="O30" s="4" t="s">
        <v>3788</v>
      </c>
      <c r="P30" s="4" t="s">
        <v>3564</v>
      </c>
      <c r="Q30" s="75">
        <v>45077</v>
      </c>
      <c r="R30" s="75">
        <v>45090</v>
      </c>
      <c r="S30" s="4"/>
      <c r="T30" s="4"/>
      <c r="U30" s="4"/>
      <c r="V30" s="4"/>
      <c r="W30" s="100" t="s">
        <v>197</v>
      </c>
      <c r="X30" s="55">
        <v>1918182328</v>
      </c>
      <c r="Y30" s="4">
        <v>1677266500</v>
      </c>
      <c r="Z30" s="4" t="s">
        <v>198</v>
      </c>
      <c r="AA30" s="4">
        <v>1772074726</v>
      </c>
      <c r="AB30" s="4" t="s">
        <v>132</v>
      </c>
      <c r="AC30" s="4" t="s">
        <v>79</v>
      </c>
      <c r="AD30" s="101">
        <v>34611</v>
      </c>
      <c r="AE30" s="107">
        <v>29.0164383561644</v>
      </c>
      <c r="AF30" s="4" t="s">
        <v>80</v>
      </c>
      <c r="AG30" s="55">
        <v>19943922901000000</v>
      </c>
      <c r="AH30" s="4" t="s">
        <v>81</v>
      </c>
      <c r="AI30" s="55" t="s">
        <v>187</v>
      </c>
      <c r="AJ30" s="55" t="s">
        <v>81</v>
      </c>
      <c r="AK30" s="71" t="s">
        <v>81</v>
      </c>
      <c r="AL30" s="55" t="s">
        <v>83</v>
      </c>
      <c r="AM30" s="4" t="s">
        <v>199</v>
      </c>
      <c r="AN30" s="4" t="s">
        <v>200</v>
      </c>
      <c r="AO30" s="55" t="s">
        <v>201</v>
      </c>
      <c r="AP30" s="55" t="s">
        <v>202</v>
      </c>
      <c r="AQ30" s="55" t="s">
        <v>203</v>
      </c>
      <c r="AR30" s="4" t="s">
        <v>110</v>
      </c>
      <c r="AS30" s="4"/>
      <c r="AT30" s="72"/>
      <c r="AU30" s="4"/>
      <c r="AV30" s="101"/>
      <c r="AW30" s="4"/>
      <c r="AX30" s="101"/>
      <c r="AY30" s="4"/>
      <c r="AZ30" s="4"/>
      <c r="BA30" s="4" t="s">
        <v>3498</v>
      </c>
      <c r="BB30" s="4">
        <v>10800</v>
      </c>
      <c r="BC30" s="4">
        <v>2700</v>
      </c>
      <c r="BD30" s="4">
        <v>2500</v>
      </c>
      <c r="BE30" s="4" t="s">
        <v>7238</v>
      </c>
      <c r="BF30" s="4" t="s">
        <v>167</v>
      </c>
      <c r="BG30" s="4" t="s">
        <v>167</v>
      </c>
      <c r="BH30" s="4" t="s">
        <v>6808</v>
      </c>
      <c r="BI30" s="93" t="s">
        <v>67</v>
      </c>
      <c r="BJ30" s="4" t="s">
        <v>6808</v>
      </c>
      <c r="BK30" s="4" t="s">
        <v>4704</v>
      </c>
      <c r="BL30" s="4" t="s">
        <v>6807</v>
      </c>
      <c r="BM30" s="4" t="s">
        <v>3487</v>
      </c>
      <c r="BN30" s="4">
        <v>10800</v>
      </c>
      <c r="BO30" s="4">
        <v>2700</v>
      </c>
      <c r="BP30" s="4">
        <v>1000</v>
      </c>
      <c r="BQ30" s="72">
        <v>45196</v>
      </c>
      <c r="BR30" s="72">
        <v>45215</v>
      </c>
      <c r="BS30" s="4" t="s">
        <v>7261</v>
      </c>
      <c r="BT30" s="4"/>
      <c r="BU30" s="4" t="s">
        <v>168</v>
      </c>
      <c r="BV30" s="4"/>
    </row>
    <row r="31" ht="25.05" customHeight="1" s="85" customFormat="1">
      <c r="A31" s="4">
        <v>171084</v>
      </c>
      <c r="B31" s="4"/>
      <c r="C31" s="55" t="s">
        <v>204</v>
      </c>
      <c r="D31" s="4" t="s">
        <v>205</v>
      </c>
      <c r="E31" s="4" t="s">
        <v>114</v>
      </c>
      <c r="F31" s="55">
        <v>444434</v>
      </c>
      <c r="G31" s="4" t="s">
        <v>67</v>
      </c>
      <c r="H31" s="4" t="s">
        <v>3486</v>
      </c>
      <c r="I31" s="4" t="s">
        <v>69</v>
      </c>
      <c r="J31" s="55" t="s">
        <v>155</v>
      </c>
      <c r="K31" s="4" t="s">
        <v>71</v>
      </c>
      <c r="L31" s="4" t="s">
        <v>3487</v>
      </c>
      <c r="M31" s="4" t="s">
        <v>3512</v>
      </c>
      <c r="N31" s="4" t="s">
        <v>74</v>
      </c>
      <c r="O31" s="4" t="s">
        <v>3788</v>
      </c>
      <c r="P31" s="4" t="s">
        <v>3564</v>
      </c>
      <c r="Q31" s="75">
        <v>45077</v>
      </c>
      <c r="R31" s="75">
        <v>45090</v>
      </c>
      <c r="S31" s="4"/>
      <c r="T31" s="4"/>
      <c r="U31" s="4"/>
      <c r="V31" s="4"/>
      <c r="W31" s="100" t="s">
        <v>206</v>
      </c>
      <c r="X31" s="55">
        <v>1763369092</v>
      </c>
      <c r="Y31" s="4">
        <v>1942908139</v>
      </c>
      <c r="Z31" s="4" t="s">
        <v>207</v>
      </c>
      <c r="AA31" s="4">
        <v>1674937436</v>
      </c>
      <c r="AB31" s="4" t="s">
        <v>132</v>
      </c>
      <c r="AC31" s="4" t="s">
        <v>119</v>
      </c>
      <c r="AD31" s="101">
        <v>35005</v>
      </c>
      <c r="AE31" s="107">
        <v>27.9369863013699</v>
      </c>
      <c r="AF31" s="4" t="s">
        <v>80</v>
      </c>
      <c r="AG31" s="55">
        <v>3269692459</v>
      </c>
      <c r="AH31" s="4" t="s">
        <v>81</v>
      </c>
      <c r="AI31" s="55" t="s">
        <v>208</v>
      </c>
      <c r="AJ31" s="55" t="s">
        <v>81</v>
      </c>
      <c r="AK31" s="55" t="s">
        <v>81</v>
      </c>
      <c r="AL31" s="55" t="s">
        <v>209</v>
      </c>
      <c r="AM31" s="4" t="s">
        <v>210</v>
      </c>
      <c r="AN31" s="4" t="s">
        <v>207</v>
      </c>
      <c r="AO31" s="55" t="s">
        <v>211</v>
      </c>
      <c r="AP31" s="55" t="s">
        <v>211</v>
      </c>
      <c r="AQ31" s="55" t="s">
        <v>212</v>
      </c>
      <c r="AR31" s="4" t="s">
        <v>110</v>
      </c>
      <c r="AS31" s="4"/>
      <c r="AT31" s="72"/>
      <c r="AU31" s="4"/>
      <c r="AV31" s="101"/>
      <c r="AW31" s="4"/>
      <c r="AX31" s="101"/>
      <c r="AY31" s="4"/>
      <c r="AZ31" s="4"/>
      <c r="BA31" s="4" t="s">
        <v>3498</v>
      </c>
      <c r="BB31" s="4">
        <v>10800</v>
      </c>
      <c r="BC31" s="4">
        <v>2700</v>
      </c>
      <c r="BD31" s="4">
        <v>2500</v>
      </c>
      <c r="BE31" s="4" t="s">
        <v>7238</v>
      </c>
      <c r="BF31" s="4" t="s">
        <v>167</v>
      </c>
      <c r="BG31" s="4" t="s">
        <v>167</v>
      </c>
      <c r="BH31" s="4" t="s">
        <v>6808</v>
      </c>
      <c r="BI31" s="93" t="s">
        <v>67</v>
      </c>
      <c r="BJ31" s="4" t="s">
        <v>6808</v>
      </c>
      <c r="BK31" s="4" t="s">
        <v>4704</v>
      </c>
      <c r="BL31" s="4" t="s">
        <v>6807</v>
      </c>
      <c r="BM31" s="4" t="s">
        <v>3487</v>
      </c>
      <c r="BN31" s="4">
        <v>10800</v>
      </c>
      <c r="BO31" s="4">
        <v>2700</v>
      </c>
      <c r="BP31" s="4">
        <v>1000</v>
      </c>
      <c r="BQ31" s="72">
        <v>45196</v>
      </c>
      <c r="BR31" s="72">
        <v>45215</v>
      </c>
      <c r="BS31" s="4" t="s">
        <v>7261</v>
      </c>
      <c r="BT31" s="4"/>
      <c r="BU31" s="4" t="s">
        <v>168</v>
      </c>
      <c r="BV31" s="4"/>
    </row>
    <row r="32" ht="25.05" customHeight="1" s="85" customFormat="1">
      <c r="A32" s="4">
        <v>171131</v>
      </c>
      <c r="B32" s="4"/>
      <c r="C32" s="92" t="s">
        <v>891</v>
      </c>
      <c r="D32" s="4" t="s">
        <v>4434</v>
      </c>
      <c r="E32" s="93" t="s">
        <v>114</v>
      </c>
      <c r="F32" s="93">
        <v>1012632107</v>
      </c>
      <c r="G32" s="4" t="s">
        <v>67</v>
      </c>
      <c r="H32" s="4" t="s">
        <v>3486</v>
      </c>
      <c r="I32" s="4" t="s">
        <v>69</v>
      </c>
      <c r="J32" s="55" t="s">
        <v>155</v>
      </c>
      <c r="K32" s="4" t="s">
        <v>71</v>
      </c>
      <c r="L32" s="4" t="s">
        <v>3487</v>
      </c>
      <c r="M32" s="4" t="s">
        <v>3659</v>
      </c>
      <c r="N32" s="4" t="s">
        <v>74</v>
      </c>
      <c r="O32" s="4" t="s">
        <v>3788</v>
      </c>
      <c r="P32" s="4" t="s">
        <v>3942</v>
      </c>
      <c r="Q32" s="75">
        <v>45146</v>
      </c>
      <c r="R32" s="75">
        <v>45154</v>
      </c>
      <c r="S32" s="4"/>
      <c r="T32" s="4"/>
      <c r="U32" s="4"/>
      <c r="V32" s="4"/>
      <c r="W32" s="100" t="s">
        <v>4435</v>
      </c>
      <c r="X32" s="93">
        <v>1717188406</v>
      </c>
      <c r="Y32" s="93">
        <v>1717188406</v>
      </c>
      <c r="Z32" s="93" t="s">
        <v>4436</v>
      </c>
      <c r="AA32" s="93">
        <v>1717188406</v>
      </c>
      <c r="AB32" s="93" t="s">
        <v>132</v>
      </c>
      <c r="AC32" s="93" t="s">
        <v>133</v>
      </c>
      <c r="AD32" s="108">
        <v>35440</v>
      </c>
      <c r="AE32" s="107">
        <v>26.7452054794521</v>
      </c>
      <c r="AF32" s="93" t="s">
        <v>80</v>
      </c>
      <c r="AG32" s="93">
        <v>8703026990</v>
      </c>
      <c r="AH32" s="93" t="s">
        <v>81</v>
      </c>
      <c r="AI32" s="93" t="s">
        <v>265</v>
      </c>
      <c r="AJ32" s="93" t="s">
        <v>81</v>
      </c>
      <c r="AK32" s="93" t="s">
        <v>81</v>
      </c>
      <c r="AL32" s="115" t="s">
        <v>4437</v>
      </c>
      <c r="AM32" s="93" t="s">
        <v>4388</v>
      </c>
      <c r="AN32" s="93" t="s">
        <v>4438</v>
      </c>
      <c r="AO32" s="93" t="s">
        <v>4439</v>
      </c>
      <c r="AP32" s="4" t="s">
        <v>4440</v>
      </c>
      <c r="AQ32" s="4" t="s">
        <v>666</v>
      </c>
      <c r="AR32" s="4" t="s">
        <v>110</v>
      </c>
      <c r="AS32" s="93"/>
      <c r="AT32" s="117"/>
      <c r="AU32" s="93"/>
      <c r="AV32" s="93"/>
      <c r="AW32" s="93"/>
      <c r="AX32" s="93"/>
      <c r="AY32" s="93"/>
      <c r="AZ32" s="93"/>
      <c r="BA32" s="4" t="s">
        <v>3498</v>
      </c>
      <c r="BB32" s="4">
        <v>10800</v>
      </c>
      <c r="BC32" s="4">
        <v>2700</v>
      </c>
      <c r="BD32" s="4">
        <v>2500</v>
      </c>
      <c r="BE32" s="4" t="s">
        <v>7238</v>
      </c>
      <c r="BF32" s="4" t="s">
        <v>167</v>
      </c>
      <c r="BG32" s="4" t="s">
        <v>167</v>
      </c>
      <c r="BH32" s="4" t="s">
        <v>6808</v>
      </c>
      <c r="BI32" s="93" t="s">
        <v>67</v>
      </c>
      <c r="BJ32" s="4" t="s">
        <v>6808</v>
      </c>
      <c r="BK32" s="4" t="s">
        <v>4704</v>
      </c>
      <c r="BL32" s="4" t="s">
        <v>6807</v>
      </c>
      <c r="BM32" s="4" t="s">
        <v>3487</v>
      </c>
      <c r="BN32" s="4">
        <v>10800</v>
      </c>
      <c r="BO32" s="4">
        <v>2700</v>
      </c>
      <c r="BP32" s="4">
        <v>1000</v>
      </c>
      <c r="BQ32" s="72">
        <v>45196</v>
      </c>
      <c r="BR32" s="72">
        <v>45215</v>
      </c>
      <c r="BS32" s="4" t="s">
        <v>7261</v>
      </c>
      <c r="BT32" s="4"/>
      <c r="BU32" s="4" t="s">
        <v>168</v>
      </c>
      <c r="BV32" s="4"/>
    </row>
    <row r="33" ht="25.05" customHeight="1" s="85" customFormat="1">
      <c r="A33" s="4">
        <v>171136</v>
      </c>
      <c r="B33" s="4"/>
      <c r="C33" s="4" t="s">
        <v>4702</v>
      </c>
      <c r="D33" s="4" t="s">
        <v>4703</v>
      </c>
      <c r="E33" s="93" t="s">
        <v>114</v>
      </c>
      <c r="F33" s="4">
        <v>177452</v>
      </c>
      <c r="G33" s="4" t="s">
        <v>67</v>
      </c>
      <c r="H33" s="4" t="s">
        <v>3486</v>
      </c>
      <c r="I33" s="4" t="s">
        <v>69</v>
      </c>
      <c r="J33" s="4" t="s">
        <v>4704</v>
      </c>
      <c r="K33" s="4" t="s">
        <v>71</v>
      </c>
      <c r="L33" s="4" t="s">
        <v>3487</v>
      </c>
      <c r="M33" s="94" t="s">
        <v>3512</v>
      </c>
      <c r="N33" s="4" t="s">
        <v>74</v>
      </c>
      <c r="O33" s="4" t="s">
        <v>75</v>
      </c>
      <c r="P33" s="4" t="s">
        <v>4705</v>
      </c>
      <c r="Q33" s="69">
        <v>45163</v>
      </c>
      <c r="R33" s="69">
        <v>45175</v>
      </c>
      <c r="S33" s="4"/>
      <c r="T33" s="69">
        <v>45163</v>
      </c>
      <c r="U33" s="4"/>
      <c r="V33" s="4"/>
      <c r="W33" s="4" t="s">
        <v>4706</v>
      </c>
      <c r="X33" s="4">
        <v>1768276303</v>
      </c>
      <c r="Y33" s="4">
        <v>1768276303</v>
      </c>
      <c r="Z33" s="4" t="s">
        <v>4707</v>
      </c>
      <c r="AA33" s="4">
        <v>1313856868</v>
      </c>
      <c r="AB33" s="4" t="s">
        <v>252</v>
      </c>
      <c r="AC33" s="93" t="s">
        <v>119</v>
      </c>
      <c r="AD33" s="69">
        <v>33238</v>
      </c>
      <c r="AE33" s="107">
        <v>32.7780821917808</v>
      </c>
      <c r="AF33" s="4" t="s">
        <v>80</v>
      </c>
      <c r="AG33" s="151" t="s">
        <v>4708</v>
      </c>
      <c r="AH33" s="69" t="s">
        <v>81</v>
      </c>
      <c r="AI33" s="4" t="s">
        <v>4709</v>
      </c>
      <c r="AJ33" s="4" t="s">
        <v>81</v>
      </c>
      <c r="AK33" s="69" t="s">
        <v>81</v>
      </c>
      <c r="AL33" s="4" t="s">
        <v>4710</v>
      </c>
      <c r="AM33" s="4" t="s">
        <v>4711</v>
      </c>
      <c r="AN33" s="4" t="s">
        <v>4712</v>
      </c>
      <c r="AO33" s="4" t="s">
        <v>4713</v>
      </c>
      <c r="AP33" s="4" t="s">
        <v>4714</v>
      </c>
      <c r="AQ33" s="4" t="s">
        <v>457</v>
      </c>
      <c r="AR33" s="4" t="s">
        <v>260</v>
      </c>
      <c r="AS33" s="4"/>
      <c r="AT33" s="4"/>
      <c r="AU33" s="4"/>
      <c r="AV33" s="4"/>
      <c r="AW33" s="4"/>
      <c r="AX33" s="4"/>
      <c r="AY33" s="4"/>
      <c r="AZ33" s="4"/>
      <c r="BA33" s="151" t="s">
        <v>3498</v>
      </c>
      <c r="BB33" s="120">
        <v>10800</v>
      </c>
      <c r="BC33" s="4">
        <v>2700</v>
      </c>
      <c r="BD33" s="4">
        <v>2500</v>
      </c>
      <c r="BE33" s="4" t="s">
        <v>7238</v>
      </c>
      <c r="BF33" s="4">
        <v>161949</v>
      </c>
      <c r="BG33" s="4" t="s">
        <v>4715</v>
      </c>
      <c r="BH33" s="4" t="s">
        <v>6808</v>
      </c>
      <c r="BI33" s="93" t="s">
        <v>67</v>
      </c>
      <c r="BJ33" s="4" t="s">
        <v>6808</v>
      </c>
      <c r="BK33" s="4" t="s">
        <v>4704</v>
      </c>
      <c r="BL33" s="4" t="s">
        <v>6807</v>
      </c>
      <c r="BM33" s="4" t="s">
        <v>3487</v>
      </c>
      <c r="BN33" s="4">
        <v>10800</v>
      </c>
      <c r="BO33" s="4">
        <v>2700</v>
      </c>
      <c r="BP33" s="4">
        <v>1000</v>
      </c>
      <c r="BQ33" s="72">
        <v>45196</v>
      </c>
      <c r="BR33" s="72">
        <v>45215</v>
      </c>
      <c r="BS33" s="4" t="s">
        <v>7261</v>
      </c>
      <c r="BT33" s="4"/>
      <c r="BU33" s="4" t="s">
        <v>168</v>
      </c>
      <c r="BV33" s="4"/>
    </row>
    <row r="34" ht="25.05" customHeight="1" s="67" customFormat="1">
      <c r="A34" s="4">
        <v>171025</v>
      </c>
      <c r="B34" s="4"/>
      <c r="C34" s="55" t="s">
        <v>7253</v>
      </c>
      <c r="D34" s="4" t="s">
        <v>7254</v>
      </c>
      <c r="E34" s="4" t="s">
        <v>114</v>
      </c>
      <c r="F34" s="55">
        <v>734699</v>
      </c>
      <c r="G34" s="4" t="s">
        <v>67</v>
      </c>
      <c r="H34" s="4" t="s">
        <v>3486</v>
      </c>
      <c r="I34" s="4" t="s">
        <v>69</v>
      </c>
      <c r="J34" s="4" t="s">
        <v>4704</v>
      </c>
      <c r="K34" s="4" t="s">
        <v>71</v>
      </c>
      <c r="L34" s="4" t="s">
        <v>3487</v>
      </c>
      <c r="M34" s="4" t="s">
        <v>3512</v>
      </c>
      <c r="N34" s="4" t="s">
        <v>74</v>
      </c>
      <c r="O34" s="4" t="s">
        <v>3788</v>
      </c>
      <c r="P34" s="4" t="s">
        <v>3585</v>
      </c>
      <c r="Q34" s="75">
        <v>45029</v>
      </c>
      <c r="R34" s="75">
        <v>45042</v>
      </c>
      <c r="S34" s="75"/>
      <c r="T34" s="4"/>
      <c r="U34" s="4"/>
      <c r="V34" s="4"/>
      <c r="W34" s="100" t="s">
        <v>7255</v>
      </c>
      <c r="X34" s="55">
        <v>1926484274</v>
      </c>
      <c r="Y34" s="106"/>
      <c r="Z34" s="4" t="s">
        <v>7256</v>
      </c>
      <c r="AA34" s="4">
        <v>1302740806</v>
      </c>
      <c r="AB34" s="4" t="s">
        <v>186</v>
      </c>
      <c r="AC34" s="4" t="s">
        <v>79</v>
      </c>
      <c r="AD34" s="75">
        <v>31016</v>
      </c>
      <c r="AE34" s="107">
        <f>(TODAY()-AD34)/365</f>
        <v>40.221917808219175</v>
      </c>
      <c r="AF34" s="4" t="s">
        <v>80</v>
      </c>
      <c r="AG34" s="114">
        <v>4617576337</v>
      </c>
      <c r="AH34" s="4" t="s">
        <v>81</v>
      </c>
      <c r="AI34" s="55" t="s">
        <v>5584</v>
      </c>
      <c r="AJ34" s="55" t="s">
        <v>81</v>
      </c>
      <c r="AK34" s="55" t="s">
        <v>81</v>
      </c>
      <c r="AL34" s="55" t="s">
        <v>818</v>
      </c>
      <c r="AM34" s="4" t="s">
        <v>7257</v>
      </c>
      <c r="AN34" s="4" t="s">
        <v>7258</v>
      </c>
      <c r="AO34" s="55" t="s">
        <v>7259</v>
      </c>
      <c r="AP34" s="55" t="s">
        <v>7260</v>
      </c>
      <c r="AQ34" s="55" t="s">
        <v>88</v>
      </c>
      <c r="AR34" s="4" t="s">
        <v>89</v>
      </c>
      <c r="AS34" s="4"/>
      <c r="AT34" s="72"/>
      <c r="AU34" s="4"/>
      <c r="AV34" s="4"/>
      <c r="AW34" s="4"/>
      <c r="AX34" s="4"/>
      <c r="AY34" s="4"/>
      <c r="AZ34" s="4"/>
      <c r="BA34" s="4" t="s">
        <v>3498</v>
      </c>
      <c r="BB34" s="4">
        <v>12000</v>
      </c>
      <c r="BC34" s="4">
        <v>3000</v>
      </c>
      <c r="BD34" s="4">
        <v>2500</v>
      </c>
      <c r="BE34" s="4" t="s">
        <v>7238</v>
      </c>
      <c r="BF34" s="4">
        <v>161694</v>
      </c>
      <c r="BG34" s="4" t="s">
        <v>92</v>
      </c>
      <c r="BH34" s="4" t="s">
        <v>6808</v>
      </c>
      <c r="BI34" s="93" t="s">
        <v>67</v>
      </c>
      <c r="BJ34" s="4" t="s">
        <v>6808</v>
      </c>
      <c r="BK34" s="55" t="s">
        <v>2495</v>
      </c>
      <c r="BL34" s="4" t="s">
        <v>6807</v>
      </c>
      <c r="BM34" s="4" t="s">
        <v>3487</v>
      </c>
      <c r="BN34" s="4">
        <v>12000</v>
      </c>
      <c r="BO34" s="4">
        <v>3000</v>
      </c>
      <c r="BP34" s="4"/>
      <c r="BQ34" s="72">
        <v>45196</v>
      </c>
      <c r="BR34" s="72">
        <v>45215</v>
      </c>
      <c r="BS34" s="4" t="s">
        <v>7261</v>
      </c>
      <c r="BT34" s="4"/>
      <c r="BU34" s="4" t="s">
        <v>168</v>
      </c>
      <c r="BV34" s="4"/>
    </row>
    <row r="35" ht="25.05" customHeight="1" s="67" customFormat="1">
      <c r="A35" s="4">
        <v>171134</v>
      </c>
      <c r="B35" s="4"/>
      <c r="C35" s="92" t="s">
        <v>2856</v>
      </c>
      <c r="D35" s="4" t="s">
        <v>98</v>
      </c>
      <c r="E35" s="93" t="s">
        <v>114</v>
      </c>
      <c r="F35" s="93">
        <v>1017626162</v>
      </c>
      <c r="G35" s="4" t="s">
        <v>67</v>
      </c>
      <c r="H35" s="4" t="s">
        <v>3486</v>
      </c>
      <c r="I35" s="4" t="s">
        <v>69</v>
      </c>
      <c r="J35" s="55" t="s">
        <v>4005</v>
      </c>
      <c r="K35" s="4" t="s">
        <v>71</v>
      </c>
      <c r="L35" s="4" t="s">
        <v>3487</v>
      </c>
      <c r="M35" s="4" t="s">
        <v>3659</v>
      </c>
      <c r="N35" s="4" t="s">
        <v>74</v>
      </c>
      <c r="O35" s="4" t="s">
        <v>3788</v>
      </c>
      <c r="P35" s="4" t="s">
        <v>3942</v>
      </c>
      <c r="Q35" s="75">
        <v>45146</v>
      </c>
      <c r="R35" s="75">
        <v>45154</v>
      </c>
      <c r="S35" s="101">
        <v>45276</v>
      </c>
      <c r="T35" s="4"/>
      <c r="U35" s="4"/>
      <c r="V35" s="4"/>
      <c r="W35" s="100" t="s">
        <v>7263</v>
      </c>
      <c r="X35" s="93">
        <v>1610069008</v>
      </c>
      <c r="Y35" s="93">
        <v>1521398769</v>
      </c>
      <c r="Z35" s="93" t="s">
        <v>7264</v>
      </c>
      <c r="AA35" s="93">
        <v>1798488865</v>
      </c>
      <c r="AB35" s="93" t="s">
        <v>186</v>
      </c>
      <c r="AC35" s="93" t="s">
        <v>119</v>
      </c>
      <c r="AD35" s="108">
        <v>35346</v>
      </c>
      <c r="AE35" s="107">
        <f>(TODAY()-AD35)/365</f>
        <v>28.35890410958904</v>
      </c>
      <c r="AF35" s="93" t="s">
        <v>80</v>
      </c>
      <c r="AG35" s="93">
        <v>4635837836</v>
      </c>
      <c r="AH35" s="93" t="s">
        <v>81</v>
      </c>
      <c r="AI35" s="93" t="s">
        <v>187</v>
      </c>
      <c r="AJ35" s="93" t="s">
        <v>333</v>
      </c>
      <c r="AK35" s="93">
        <v>2023</v>
      </c>
      <c r="AL35" s="115" t="s">
        <v>7265</v>
      </c>
      <c r="AM35" s="93" t="s">
        <v>7266</v>
      </c>
      <c r="AN35" s="93" t="s">
        <v>7267</v>
      </c>
      <c r="AO35" s="93" t="s">
        <v>7268</v>
      </c>
      <c r="AP35" s="4" t="s">
        <v>7269</v>
      </c>
      <c r="AQ35" s="4" t="s">
        <v>353</v>
      </c>
      <c r="AR35" s="4" t="s">
        <v>89</v>
      </c>
      <c r="AS35" s="93" t="s">
        <v>7264</v>
      </c>
      <c r="AT35" s="117">
        <v>35309</v>
      </c>
      <c r="AU35" s="93"/>
      <c r="AV35" s="93"/>
      <c r="AW35" s="93"/>
      <c r="AX35" s="93"/>
      <c r="AY35" s="93"/>
      <c r="AZ35" s="93"/>
      <c r="BA35" s="4" t="s">
        <v>3498</v>
      </c>
      <c r="BB35" s="120">
        <v>10800</v>
      </c>
      <c r="BC35" s="4">
        <v>2700</v>
      </c>
      <c r="BD35" s="4">
        <v>0</v>
      </c>
      <c r="BE35" s="93" t="s">
        <v>296</v>
      </c>
      <c r="BF35" s="4" t="s">
        <v>167</v>
      </c>
      <c r="BG35" s="4" t="s">
        <v>167</v>
      </c>
      <c r="BH35" s="4" t="s">
        <v>6808</v>
      </c>
      <c r="BI35" s="93" t="s">
        <v>225</v>
      </c>
      <c r="BJ35" s="4" t="s">
        <v>6808</v>
      </c>
      <c r="BK35" s="94" t="s">
        <v>2495</v>
      </c>
      <c r="BL35" s="4" t="s">
        <v>6807</v>
      </c>
      <c r="BM35" s="4" t="s">
        <v>3487</v>
      </c>
      <c r="BN35" s="4">
        <v>14500</v>
      </c>
      <c r="BO35" s="4">
        <v>3500</v>
      </c>
      <c r="BP35" s="4">
        <v>0</v>
      </c>
      <c r="BQ35" s="72">
        <v>45266</v>
      </c>
      <c r="BR35" s="72">
        <v>45276</v>
      </c>
      <c r="BS35" s="4" t="s">
        <v>7270</v>
      </c>
      <c r="BT35" s="4"/>
      <c r="BU35" s="4" t="s">
        <v>168</v>
      </c>
      <c r="BV35" s="4"/>
    </row>
    <row r="36" ht="25.05" customHeight="1" s="86" customFormat="1">
      <c r="A36" s="96">
        <v>171002</v>
      </c>
      <c r="B36" s="96"/>
      <c r="C36" s="96" t="s">
        <v>81</v>
      </c>
      <c r="D36" s="96" t="s">
        <v>5959</v>
      </c>
      <c r="E36" s="4" t="s">
        <v>114</v>
      </c>
      <c r="F36" s="21">
        <v>1310581588</v>
      </c>
      <c r="G36" s="21" t="s">
        <v>4150</v>
      </c>
      <c r="H36" s="21" t="s">
        <v>5960</v>
      </c>
      <c r="I36" s="21" t="s">
        <v>5961</v>
      </c>
      <c r="J36" s="21" t="s">
        <v>167</v>
      </c>
      <c r="K36" s="21" t="s">
        <v>71</v>
      </c>
      <c r="L36" s="21" t="s">
        <v>5962</v>
      </c>
      <c r="M36" s="21" t="s">
        <v>74</v>
      </c>
      <c r="N36" s="21" t="s">
        <v>3488</v>
      </c>
      <c r="O36" s="21" t="s">
        <v>75</v>
      </c>
      <c r="P36" s="21" t="s">
        <v>3546</v>
      </c>
      <c r="Q36" s="26">
        <v>45023</v>
      </c>
      <c r="R36" s="26">
        <v>45032</v>
      </c>
      <c r="S36" s="102">
        <v>44631</v>
      </c>
      <c r="T36" s="21"/>
      <c r="U36" s="21"/>
      <c r="V36" s="21"/>
      <c r="W36" s="103"/>
      <c r="X36" s="21">
        <v>1834971595</v>
      </c>
      <c r="Y36" s="109"/>
      <c r="Z36" s="21" t="s">
        <v>5963</v>
      </c>
      <c r="AA36" s="21">
        <v>1827263329</v>
      </c>
      <c r="AB36" s="21" t="s">
        <v>101</v>
      </c>
      <c r="AC36" s="21" t="s">
        <v>119</v>
      </c>
      <c r="AD36" s="26">
        <v>36344</v>
      </c>
      <c r="AE36" s="110">
        <v>24.6109589041096</v>
      </c>
      <c r="AF36" s="21" t="s">
        <v>80</v>
      </c>
      <c r="AG36" s="110">
        <v>9163937353</v>
      </c>
      <c r="AH36" s="21" t="s">
        <v>81</v>
      </c>
      <c r="AI36" s="21" t="s">
        <v>104</v>
      </c>
      <c r="AJ36" s="21" t="s">
        <v>5642</v>
      </c>
      <c r="AK36" s="21">
        <v>2024</v>
      </c>
      <c r="AL36" s="21" t="s">
        <v>2010</v>
      </c>
      <c r="AM36" s="21" t="s">
        <v>5963</v>
      </c>
      <c r="AN36" s="21" t="s">
        <v>5964</v>
      </c>
      <c r="AO36" s="21" t="s">
        <v>5965</v>
      </c>
      <c r="AP36" s="21" t="s">
        <v>5966</v>
      </c>
      <c r="AQ36" s="21" t="s">
        <v>3467</v>
      </c>
      <c r="AR36" s="21" t="s">
        <v>110</v>
      </c>
      <c r="AS36" s="21"/>
      <c r="AT36" s="118"/>
      <c r="AU36" s="21"/>
      <c r="AV36" s="21"/>
      <c r="AW36" s="21"/>
      <c r="AX36" s="21"/>
      <c r="AY36" s="21"/>
      <c r="AZ36" s="21"/>
      <c r="BA36" s="21" t="s">
        <v>4161</v>
      </c>
      <c r="BB36" s="21">
        <v>19050</v>
      </c>
      <c r="BC36" s="21">
        <v>3000</v>
      </c>
      <c r="BD36" s="21">
        <v>0</v>
      </c>
      <c r="BE36" s="21" t="s">
        <v>91</v>
      </c>
      <c r="BF36" s="4">
        <v>160186</v>
      </c>
      <c r="BG36" s="21" t="s">
        <v>4715</v>
      </c>
      <c r="BH36" s="21" t="s">
        <v>93</v>
      </c>
      <c r="BI36" s="21" t="s">
        <v>7271</v>
      </c>
      <c r="BJ36" s="121" t="s">
        <v>7272</v>
      </c>
      <c r="BK36" s="21"/>
      <c r="BL36" s="4" t="s">
        <v>6807</v>
      </c>
      <c r="BM36" s="21" t="s">
        <v>5962</v>
      </c>
      <c r="BN36" s="21" t="s">
        <v>167</v>
      </c>
      <c r="BO36" s="21" t="s">
        <v>167</v>
      </c>
      <c r="BP36" s="21" t="s">
        <v>167</v>
      </c>
      <c r="BQ36" s="118">
        <v>45323</v>
      </c>
      <c r="BR36" s="118">
        <v>45323</v>
      </c>
      <c r="BS36" s="21" t="s">
        <v>7273</v>
      </c>
      <c r="BT36" s="124">
        <v>800</v>
      </c>
      <c r="BU36" s="4" t="s">
        <v>168</v>
      </c>
      <c r="BV36" s="4"/>
    </row>
    <row r="37" ht="25.05" customHeight="1" s="86" customFormat="1">
      <c r="A37" s="96">
        <v>171004</v>
      </c>
      <c r="B37" s="96"/>
      <c r="C37" s="96" t="s">
        <v>81</v>
      </c>
      <c r="D37" s="96" t="s">
        <v>2643</v>
      </c>
      <c r="E37" s="4" t="s">
        <v>66</v>
      </c>
      <c r="F37" s="21">
        <v>1010937311</v>
      </c>
      <c r="G37" s="21" t="s">
        <v>225</v>
      </c>
      <c r="H37" s="21" t="s">
        <v>226</v>
      </c>
      <c r="I37" s="21" t="s">
        <v>69</v>
      </c>
      <c r="J37" s="21" t="s">
        <v>167</v>
      </c>
      <c r="K37" s="21" t="s">
        <v>71</v>
      </c>
      <c r="L37" s="21" t="s">
        <v>5962</v>
      </c>
      <c r="M37" s="21" t="s">
        <v>74</v>
      </c>
      <c r="N37" s="21" t="s">
        <v>3488</v>
      </c>
      <c r="O37" s="21" t="s">
        <v>75</v>
      </c>
      <c r="P37" s="21" t="s">
        <v>4645</v>
      </c>
      <c r="Q37" s="26">
        <v>45041</v>
      </c>
      <c r="R37" s="26">
        <v>45055</v>
      </c>
      <c r="S37" s="102">
        <v>44619</v>
      </c>
      <c r="T37" s="21"/>
      <c r="U37" s="21"/>
      <c r="V37" s="21" t="s">
        <v>7274</v>
      </c>
      <c r="W37" s="103"/>
      <c r="X37" s="21">
        <v>1847270318</v>
      </c>
      <c r="Y37" s="109">
        <v>1775684209</v>
      </c>
      <c r="Z37" s="21" t="s">
        <v>7275</v>
      </c>
      <c r="AA37" s="21">
        <v>1854370038</v>
      </c>
      <c r="AB37" s="21" t="s">
        <v>132</v>
      </c>
      <c r="AC37" s="21" t="s">
        <v>119</v>
      </c>
      <c r="AD37" s="26">
        <v>36047</v>
      </c>
      <c r="AE37" s="110">
        <v>25.4246575342466</v>
      </c>
      <c r="AF37" s="21" t="s">
        <v>80</v>
      </c>
      <c r="AG37" s="110">
        <v>1514476348</v>
      </c>
      <c r="AH37" s="21" t="s">
        <v>81</v>
      </c>
      <c r="AI37" s="21" t="s">
        <v>82</v>
      </c>
      <c r="AJ37" s="21" t="s">
        <v>81</v>
      </c>
      <c r="AK37" s="21" t="s">
        <v>81</v>
      </c>
      <c r="AL37" s="21" t="s">
        <v>6243</v>
      </c>
      <c r="AM37" s="21" t="s">
        <v>7276</v>
      </c>
      <c r="AN37" s="21" t="s">
        <v>7275</v>
      </c>
      <c r="AO37" s="21" t="s">
        <v>7277</v>
      </c>
      <c r="AP37" s="21" t="s">
        <v>7278</v>
      </c>
      <c r="AQ37" s="21" t="s">
        <v>666</v>
      </c>
      <c r="AR37" s="21" t="s">
        <v>110</v>
      </c>
      <c r="AS37" s="21"/>
      <c r="AT37" s="118"/>
      <c r="AU37" s="21"/>
      <c r="AV37" s="21"/>
      <c r="AW37" s="21"/>
      <c r="AX37" s="21"/>
      <c r="AY37" s="21"/>
      <c r="AZ37" s="21"/>
      <c r="BA37" s="21" t="s">
        <v>4161</v>
      </c>
      <c r="BB37" s="21">
        <v>14500</v>
      </c>
      <c r="BC37" s="21">
        <v>3500</v>
      </c>
      <c r="BD37" s="21">
        <v>0</v>
      </c>
      <c r="BE37" s="21" t="s">
        <v>91</v>
      </c>
      <c r="BF37" s="4">
        <v>160095</v>
      </c>
      <c r="BG37" s="21" t="s">
        <v>92</v>
      </c>
      <c r="BH37" s="21" t="s">
        <v>93</v>
      </c>
      <c r="BI37" s="21" t="s">
        <v>7271</v>
      </c>
      <c r="BJ37" s="103" t="s">
        <v>7279</v>
      </c>
      <c r="BK37" s="21"/>
      <c r="BL37" s="4" t="s">
        <v>6807</v>
      </c>
      <c r="BM37" s="21" t="s">
        <v>5962</v>
      </c>
      <c r="BN37" s="21" t="s">
        <v>167</v>
      </c>
      <c r="BO37" s="21" t="s">
        <v>167</v>
      </c>
      <c r="BP37" s="21" t="s">
        <v>167</v>
      </c>
      <c r="BQ37" s="118">
        <v>45323</v>
      </c>
      <c r="BR37" s="118">
        <v>45323</v>
      </c>
      <c r="BS37" s="21" t="s">
        <v>7273</v>
      </c>
      <c r="BT37" s="124">
        <v>788</v>
      </c>
      <c r="BU37" s="4" t="s">
        <v>168</v>
      </c>
      <c r="BV37" s="4"/>
    </row>
    <row r="38" ht="25.05" customHeight="1" s="86" customFormat="1">
      <c r="A38" s="96">
        <v>171005</v>
      </c>
      <c r="B38" s="96"/>
      <c r="C38" s="96" t="s">
        <v>81</v>
      </c>
      <c r="D38" s="96" t="s">
        <v>7280</v>
      </c>
      <c r="E38" s="4" t="s">
        <v>114</v>
      </c>
      <c r="F38" s="21">
        <v>1010934805</v>
      </c>
      <c r="G38" s="21" t="s">
        <v>225</v>
      </c>
      <c r="H38" s="21" t="s">
        <v>7240</v>
      </c>
      <c r="I38" s="21" t="s">
        <v>7241</v>
      </c>
      <c r="J38" s="21" t="s">
        <v>167</v>
      </c>
      <c r="K38" s="21" t="s">
        <v>71</v>
      </c>
      <c r="L38" s="21" t="s">
        <v>5962</v>
      </c>
      <c r="M38" s="21" t="s">
        <v>74</v>
      </c>
      <c r="N38" s="21" t="s">
        <v>3488</v>
      </c>
      <c r="O38" s="21" t="s">
        <v>75</v>
      </c>
      <c r="P38" s="21" t="s">
        <v>4645</v>
      </c>
      <c r="Q38" s="26">
        <v>45041</v>
      </c>
      <c r="R38" s="26">
        <v>45055</v>
      </c>
      <c r="S38" s="102">
        <v>44626</v>
      </c>
      <c r="T38" s="21"/>
      <c r="U38" s="21"/>
      <c r="V38" s="21"/>
      <c r="W38" s="103"/>
      <c r="X38" s="21">
        <v>1941683558</v>
      </c>
      <c r="Y38" s="109">
        <v>1931044093</v>
      </c>
      <c r="Z38" s="21" t="s">
        <v>7281</v>
      </c>
      <c r="AA38" s="21">
        <v>1931044093</v>
      </c>
      <c r="AB38" s="21" t="s">
        <v>186</v>
      </c>
      <c r="AC38" s="21" t="s">
        <v>119</v>
      </c>
      <c r="AD38" s="26">
        <v>35589</v>
      </c>
      <c r="AE38" s="110">
        <v>26.6794520547945</v>
      </c>
      <c r="AF38" s="21" t="s">
        <v>80</v>
      </c>
      <c r="AG38" s="110">
        <v>5101813151</v>
      </c>
      <c r="AH38" s="21" t="s">
        <v>81</v>
      </c>
      <c r="AI38" s="21" t="s">
        <v>104</v>
      </c>
      <c r="AJ38" s="21" t="s">
        <v>3983</v>
      </c>
      <c r="AK38" s="21">
        <v>2023</v>
      </c>
      <c r="AL38" s="21" t="s">
        <v>106</v>
      </c>
      <c r="AM38" s="21" t="s">
        <v>7282</v>
      </c>
      <c r="AN38" s="21" t="s">
        <v>4273</v>
      </c>
      <c r="AO38" s="21" t="s">
        <v>7283</v>
      </c>
      <c r="AP38" s="21" t="s">
        <v>7283</v>
      </c>
      <c r="AQ38" s="21" t="s">
        <v>109</v>
      </c>
      <c r="AR38" s="21" t="s">
        <v>89</v>
      </c>
      <c r="AS38" s="21"/>
      <c r="AT38" s="118"/>
      <c r="AU38" s="21"/>
      <c r="AV38" s="21"/>
      <c r="AW38" s="21"/>
      <c r="AX38" s="21"/>
      <c r="AY38" s="21"/>
      <c r="AZ38" s="21"/>
      <c r="BA38" s="21" t="s">
        <v>4161</v>
      </c>
      <c r="BB38" s="21">
        <v>17850</v>
      </c>
      <c r="BC38" s="21">
        <v>3150</v>
      </c>
      <c r="BD38" s="21">
        <v>0</v>
      </c>
      <c r="BE38" s="21" t="s">
        <v>91</v>
      </c>
      <c r="BF38" s="4">
        <v>160232</v>
      </c>
      <c r="BG38" s="21" t="s">
        <v>92</v>
      </c>
      <c r="BH38" s="21" t="s">
        <v>93</v>
      </c>
      <c r="BI38" s="21" t="s">
        <v>7271</v>
      </c>
      <c r="BJ38" s="103" t="s">
        <v>7284</v>
      </c>
      <c r="BK38" s="21"/>
      <c r="BL38" s="4" t="s">
        <v>6807</v>
      </c>
      <c r="BM38" s="21" t="s">
        <v>5962</v>
      </c>
      <c r="BN38" s="21" t="s">
        <v>167</v>
      </c>
      <c r="BO38" s="21" t="s">
        <v>167</v>
      </c>
      <c r="BP38" s="21" t="s">
        <v>167</v>
      </c>
      <c r="BQ38" s="118">
        <v>45323</v>
      </c>
      <c r="BR38" s="118">
        <v>45323</v>
      </c>
      <c r="BS38" s="21" t="s">
        <v>7273</v>
      </c>
      <c r="BT38" s="124">
        <v>789</v>
      </c>
      <c r="BU38" s="4" t="s">
        <v>168</v>
      </c>
      <c r="BV38" s="4"/>
    </row>
    <row r="39" ht="25.05" customHeight="1" s="86" customFormat="1">
      <c r="A39" s="96">
        <v>171101</v>
      </c>
      <c r="B39" s="96"/>
      <c r="C39" s="97" t="s">
        <v>823</v>
      </c>
      <c r="D39" s="96" t="s">
        <v>183</v>
      </c>
      <c r="E39" s="93" t="s">
        <v>114</v>
      </c>
      <c r="F39" s="98">
        <v>665061</v>
      </c>
      <c r="G39" s="21" t="s">
        <v>225</v>
      </c>
      <c r="H39" s="21" t="s">
        <v>226</v>
      </c>
      <c r="I39" s="21" t="s">
        <v>69</v>
      </c>
      <c r="J39" s="99" t="s">
        <v>2495</v>
      </c>
      <c r="K39" s="21" t="s">
        <v>71</v>
      </c>
      <c r="L39" s="21" t="s">
        <v>3487</v>
      </c>
      <c r="M39" s="21" t="s">
        <v>196</v>
      </c>
      <c r="N39" s="98" t="s">
        <v>74</v>
      </c>
      <c r="O39" s="21" t="s">
        <v>75</v>
      </c>
      <c r="P39" s="21" t="s">
        <v>3597</v>
      </c>
      <c r="Q39" s="26">
        <v>45110</v>
      </c>
      <c r="R39" s="26">
        <v>45113</v>
      </c>
      <c r="S39" s="102">
        <v>45367</v>
      </c>
      <c r="T39" s="21"/>
      <c r="U39" s="21"/>
      <c r="V39" s="21"/>
      <c r="W39" s="103" t="s">
        <v>227</v>
      </c>
      <c r="X39" s="98">
        <v>1909686492</v>
      </c>
      <c r="Y39" s="98">
        <v>1909686497</v>
      </c>
      <c r="Z39" s="98" t="s">
        <v>228</v>
      </c>
      <c r="AA39" s="98">
        <v>1734836888</v>
      </c>
      <c r="AB39" s="98" t="s">
        <v>132</v>
      </c>
      <c r="AC39" s="98" t="s">
        <v>102</v>
      </c>
      <c r="AD39" s="111">
        <v>34996</v>
      </c>
      <c r="AE39" s="110">
        <v>28.3041095890411</v>
      </c>
      <c r="AF39" s="98" t="s">
        <v>80</v>
      </c>
      <c r="AG39" s="98">
        <v>2356972600</v>
      </c>
      <c r="AH39" s="98" t="s">
        <v>81</v>
      </c>
      <c r="AI39" s="98" t="s">
        <v>229</v>
      </c>
      <c r="AJ39" s="98" t="s">
        <v>81</v>
      </c>
      <c r="AK39" s="98" t="s">
        <v>81</v>
      </c>
      <c r="AL39" s="116" t="s">
        <v>230</v>
      </c>
      <c r="AM39" s="98" t="s">
        <v>231</v>
      </c>
      <c r="AN39" s="98" t="s">
        <v>228</v>
      </c>
      <c r="AO39" s="98" t="s">
        <v>232</v>
      </c>
      <c r="AP39" s="98" t="s">
        <v>233</v>
      </c>
      <c r="AQ39" s="98" t="s">
        <v>223</v>
      </c>
      <c r="AR39" s="98" t="s">
        <v>224</v>
      </c>
      <c r="AS39" s="98"/>
      <c r="AT39" s="119"/>
      <c r="AU39" s="98"/>
      <c r="AV39" s="98"/>
      <c r="AW39" s="98"/>
      <c r="AX39" s="98"/>
      <c r="AY39" s="98"/>
      <c r="AZ39" s="98"/>
      <c r="BA39" s="21" t="s">
        <v>3498</v>
      </c>
      <c r="BB39" s="21">
        <v>10800</v>
      </c>
      <c r="BC39" s="21">
        <v>2700</v>
      </c>
      <c r="BD39" s="21">
        <v>1000</v>
      </c>
      <c r="BE39" s="21" t="s">
        <v>166</v>
      </c>
      <c r="BF39" s="4" t="s">
        <v>167</v>
      </c>
      <c r="BG39" s="21" t="s">
        <v>167</v>
      </c>
      <c r="BH39" s="21" t="s">
        <v>168</v>
      </c>
      <c r="BI39" s="21"/>
      <c r="BJ39" s="21" t="s">
        <v>81</v>
      </c>
      <c r="BK39" s="21"/>
      <c r="BL39" s="4" t="s">
        <v>6807</v>
      </c>
      <c r="BM39" s="4" t="s">
        <v>3487</v>
      </c>
      <c r="BN39" s="4">
        <v>14500</v>
      </c>
      <c r="BO39" s="125">
        <v>3500</v>
      </c>
      <c r="BP39" s="125">
        <v>2000</v>
      </c>
      <c r="BQ39" s="118">
        <v>45352</v>
      </c>
      <c r="BR39" s="118">
        <v>45367</v>
      </c>
      <c r="BS39" s="21" t="s">
        <v>7285</v>
      </c>
      <c r="BT39" s="21"/>
      <c r="BU39" s="4" t="s">
        <v>168</v>
      </c>
      <c r="BV39" s="21"/>
    </row>
    <row r="40" ht="25.05" customHeight="1" s="67" customFormat="1">
      <c r="A40" s="4">
        <v>171135</v>
      </c>
      <c r="B40" s="4"/>
      <c r="C40" s="55" t="s">
        <v>270</v>
      </c>
      <c r="D40" s="4" t="s">
        <v>271</v>
      </c>
      <c r="E40" s="93" t="s">
        <v>114</v>
      </c>
      <c r="F40" s="4">
        <v>1310589431</v>
      </c>
      <c r="G40" s="4" t="s">
        <v>225</v>
      </c>
      <c r="H40" s="4" t="s">
        <v>3486</v>
      </c>
      <c r="I40" s="4" t="s">
        <v>69</v>
      </c>
      <c r="J40" s="55" t="s">
        <v>155</v>
      </c>
      <c r="K40" s="4" t="s">
        <v>71</v>
      </c>
      <c r="L40" s="4" t="s">
        <v>3487</v>
      </c>
      <c r="M40" s="4" t="s">
        <v>74</v>
      </c>
      <c r="N40" s="4"/>
      <c r="O40" s="4" t="s">
        <v>75</v>
      </c>
      <c r="P40" s="4" t="s">
        <v>7286</v>
      </c>
      <c r="Q40" s="75">
        <v>45154</v>
      </c>
      <c r="R40" s="75">
        <v>45163</v>
      </c>
      <c r="S40" s="72">
        <v>45459</v>
      </c>
      <c r="T40" s="4"/>
      <c r="U40" s="4"/>
      <c r="V40" s="4">
        <v>1847270310</v>
      </c>
      <c r="W40" s="104" t="s">
        <v>272</v>
      </c>
      <c r="X40" s="93">
        <v>1628439640</v>
      </c>
      <c r="Y40" s="106" t="s">
        <v>273</v>
      </c>
      <c r="Z40" s="4" t="s">
        <v>274</v>
      </c>
      <c r="AA40" s="112">
        <v>1818371637</v>
      </c>
      <c r="AB40" s="4" t="s">
        <v>275</v>
      </c>
      <c r="AC40" s="93" t="s">
        <v>119</v>
      </c>
      <c r="AD40" s="113">
        <v>36755</v>
      </c>
      <c r="AE40" s="107">
        <f>((TODAY())-AD40)/365</f>
        <v>24.4986301369863</v>
      </c>
      <c r="AF40" s="93" t="s">
        <v>80</v>
      </c>
      <c r="AG40" s="4" t="s">
        <v>276</v>
      </c>
      <c r="AH40" s="4" t="s">
        <v>277</v>
      </c>
      <c r="AI40" s="4" t="s">
        <v>278</v>
      </c>
      <c r="AJ40" s="4" t="s">
        <v>279</v>
      </c>
      <c r="AK40" s="93">
        <v>2023</v>
      </c>
      <c r="AL40" s="55" t="s">
        <v>280</v>
      </c>
      <c r="AM40" s="55" t="s">
        <v>281</v>
      </c>
      <c r="AN40" s="4" t="s">
        <v>282</v>
      </c>
      <c r="AO40" s="4" t="s">
        <v>283</v>
      </c>
      <c r="AP40" s="4" t="s">
        <v>284</v>
      </c>
      <c r="AQ40" s="4" t="s">
        <v>285</v>
      </c>
      <c r="AR40" s="4" t="s">
        <v>260</v>
      </c>
      <c r="AS40" s="4"/>
      <c r="AT40" s="72"/>
      <c r="AU40" s="4"/>
      <c r="AV40" s="75"/>
      <c r="AW40" s="4"/>
      <c r="AX40" s="4"/>
      <c r="AY40" s="4"/>
      <c r="AZ40" s="4"/>
      <c r="BA40" s="4" t="s">
        <v>3498</v>
      </c>
      <c r="BB40" s="120">
        <v>10800</v>
      </c>
      <c r="BC40" s="4">
        <v>2700</v>
      </c>
      <c r="BD40" s="4">
        <v>1000</v>
      </c>
      <c r="BE40" s="4" t="s">
        <v>166</v>
      </c>
      <c r="BF40" s="4">
        <v>160350</v>
      </c>
      <c r="BG40" s="4" t="s">
        <v>92</v>
      </c>
      <c r="BH40" s="4" t="s">
        <v>6808</v>
      </c>
      <c r="BI40" s="4" t="s">
        <v>225</v>
      </c>
      <c r="BJ40" s="4" t="s">
        <v>6808</v>
      </c>
      <c r="BK40" s="4" t="s">
        <v>4704</v>
      </c>
      <c r="BL40" s="4" t="s">
        <v>6807</v>
      </c>
      <c r="BM40" s="4" t="s">
        <v>3487</v>
      </c>
      <c r="BN40" s="4">
        <v>14500</v>
      </c>
      <c r="BO40" s="4">
        <v>3500</v>
      </c>
      <c r="BP40" s="4">
        <v>2000</v>
      </c>
      <c r="BQ40" s="126">
        <v>45449</v>
      </c>
      <c r="BR40" s="72">
        <v>45459</v>
      </c>
      <c r="BS40" s="4" t="s">
        <v>7239</v>
      </c>
      <c r="BT40" s="4"/>
      <c r="BU40" s="4" t="s">
        <v>168</v>
      </c>
      <c r="BV40" s="4"/>
    </row>
    <row r="41" ht="25.05" customHeight="1" s="87" customFormat="1">
      <c r="A41" s="55">
        <v>171313</v>
      </c>
      <c r="B41" s="4"/>
      <c r="C41" s="55" t="s">
        <v>620</v>
      </c>
      <c r="D41" s="55" t="s">
        <v>171</v>
      </c>
      <c r="E41" s="55" t="s">
        <v>114</v>
      </c>
      <c r="F41" s="4">
        <v>652863</v>
      </c>
      <c r="G41" s="4" t="s">
        <v>225</v>
      </c>
      <c r="H41" s="4" t="s">
        <v>3486</v>
      </c>
      <c r="I41" s="4" t="s">
        <v>69</v>
      </c>
      <c r="J41" s="55" t="s">
        <v>155</v>
      </c>
      <c r="K41" s="4" t="s">
        <v>71</v>
      </c>
      <c r="L41" s="4" t="s">
        <v>3487</v>
      </c>
      <c r="M41" s="4" t="s">
        <v>74</v>
      </c>
      <c r="N41" s="4"/>
      <c r="O41" s="4" t="s">
        <v>75</v>
      </c>
      <c r="P41" s="4" t="s">
        <v>4865</v>
      </c>
      <c r="Q41" s="56">
        <v>45267</v>
      </c>
      <c r="R41" s="56">
        <v>45292</v>
      </c>
      <c r="S41" s="72">
        <v>45459</v>
      </c>
      <c r="T41" s="4"/>
      <c r="U41" s="4"/>
      <c r="V41" s="4">
        <v>1847227160</v>
      </c>
      <c r="W41" s="4" t="s">
        <v>621</v>
      </c>
      <c r="X41" s="4">
        <v>1736093813</v>
      </c>
      <c r="Y41" s="4">
        <v>1319397994</v>
      </c>
      <c r="Z41" s="4" t="s">
        <v>622</v>
      </c>
      <c r="AA41" s="4">
        <v>1936791169</v>
      </c>
      <c r="AB41" s="4" t="s">
        <v>101</v>
      </c>
      <c r="AC41" s="4" t="s">
        <v>102</v>
      </c>
      <c r="AD41" s="69">
        <v>35600</v>
      </c>
      <c r="AE41" s="107">
        <f>((TODAY())-AD41)/365</f>
        <v>27.663013698630138</v>
      </c>
      <c r="AF41" s="4" t="s">
        <v>80</v>
      </c>
      <c r="AG41" s="4">
        <v>2851955043</v>
      </c>
      <c r="AH41" s="4" t="s">
        <v>623</v>
      </c>
      <c r="AI41" s="4" t="s">
        <v>253</v>
      </c>
      <c r="AJ41" s="4" t="s">
        <v>81</v>
      </c>
      <c r="AK41" s="4">
        <v>2021</v>
      </c>
      <c r="AL41" s="4" t="s">
        <v>624</v>
      </c>
      <c r="AM41" s="4" t="s">
        <v>625</v>
      </c>
      <c r="AN41" s="4" t="s">
        <v>626</v>
      </c>
      <c r="AO41" s="4" t="s">
        <v>627</v>
      </c>
      <c r="AP41" s="4" t="s">
        <v>628</v>
      </c>
      <c r="AQ41" s="4" t="s">
        <v>629</v>
      </c>
      <c r="AR41" s="4" t="s">
        <v>110</v>
      </c>
      <c r="AS41" s="4"/>
      <c r="AT41" s="72"/>
      <c r="AU41" s="4" t="s">
        <v>81</v>
      </c>
      <c r="AV41" s="4" t="s">
        <v>81</v>
      </c>
      <c r="AW41" s="4" t="s">
        <v>81</v>
      </c>
      <c r="AX41" s="4" t="s">
        <v>81</v>
      </c>
      <c r="AY41" s="4"/>
      <c r="AZ41" s="4"/>
      <c r="BA41" s="151" t="s">
        <v>3498</v>
      </c>
      <c r="BB41" s="120">
        <v>10800</v>
      </c>
      <c r="BC41" s="4">
        <v>2700</v>
      </c>
      <c r="BD41" s="4">
        <v>1000</v>
      </c>
      <c r="BE41" s="55" t="s">
        <v>166</v>
      </c>
      <c r="BF41" s="4"/>
      <c r="BG41" s="4"/>
      <c r="BH41" s="4" t="s">
        <v>6808</v>
      </c>
      <c r="BI41" s="4" t="s">
        <v>225</v>
      </c>
      <c r="BJ41" s="4" t="s">
        <v>6808</v>
      </c>
      <c r="BK41" s="4" t="s">
        <v>4704</v>
      </c>
      <c r="BL41" s="4" t="s">
        <v>6807</v>
      </c>
      <c r="BM41" s="4" t="s">
        <v>3487</v>
      </c>
      <c r="BN41" s="4">
        <v>14500</v>
      </c>
      <c r="BO41" s="4">
        <v>3500</v>
      </c>
      <c r="BP41" s="4">
        <v>2000</v>
      </c>
      <c r="BQ41" s="126">
        <v>45449</v>
      </c>
      <c r="BR41" s="72">
        <v>45459</v>
      </c>
      <c r="BS41" s="4" t="s">
        <v>7239</v>
      </c>
      <c r="BT41" s="4"/>
      <c r="BU41" s="4" t="s">
        <v>168</v>
      </c>
      <c r="BV41" s="4"/>
    </row>
    <row r="42" ht="25.05" customHeight="1" s="88" customFormat="1">
      <c r="A42" s="4">
        <v>171017</v>
      </c>
      <c r="B42" s="4"/>
      <c r="C42" s="55" t="s">
        <v>7287</v>
      </c>
      <c r="D42" s="4" t="s">
        <v>6374</v>
      </c>
      <c r="E42" s="4" t="s">
        <v>114</v>
      </c>
      <c r="F42" s="55">
        <v>1115254881</v>
      </c>
      <c r="G42" s="4" t="s">
        <v>225</v>
      </c>
      <c r="H42" s="4" t="s">
        <v>3486</v>
      </c>
      <c r="I42" s="4" t="s">
        <v>69</v>
      </c>
      <c r="J42" s="55" t="s">
        <v>155</v>
      </c>
      <c r="K42" s="4" t="s">
        <v>71</v>
      </c>
      <c r="L42" s="4" t="s">
        <v>3487</v>
      </c>
      <c r="M42" s="4" t="s">
        <v>74</v>
      </c>
      <c r="N42" s="4"/>
      <c r="O42" s="4" t="s">
        <v>75</v>
      </c>
      <c r="P42" s="4" t="s">
        <v>3585</v>
      </c>
      <c r="Q42" s="75">
        <v>45029</v>
      </c>
      <c r="R42" s="75">
        <v>45042</v>
      </c>
      <c r="S42" s="69">
        <v>45459</v>
      </c>
      <c r="T42" s="4"/>
      <c r="U42" s="4"/>
      <c r="V42" s="4">
        <v>1847270214</v>
      </c>
      <c r="W42" s="105" t="s">
        <v>7288</v>
      </c>
      <c r="X42" s="55">
        <v>1739511788</v>
      </c>
      <c r="Y42" s="106"/>
      <c r="Z42" s="4" t="s">
        <v>7289</v>
      </c>
      <c r="AA42" s="4">
        <v>1731553134</v>
      </c>
      <c r="AB42" s="4" t="s">
        <v>132</v>
      </c>
      <c r="AC42" s="4" t="s">
        <v>79</v>
      </c>
      <c r="AD42" s="75">
        <v>36049</v>
      </c>
      <c r="AE42" s="107">
        <f>((TODAY())-AD42)/365</f>
        <v>26.432876712328767</v>
      </c>
      <c r="AF42" s="4" t="s">
        <v>80</v>
      </c>
      <c r="AG42" s="114">
        <v>1953788955</v>
      </c>
      <c r="AH42" s="4" t="s">
        <v>81</v>
      </c>
      <c r="AI42" s="55" t="s">
        <v>2982</v>
      </c>
      <c r="AJ42" s="55" t="s">
        <v>81</v>
      </c>
      <c r="AK42" s="55" t="s">
        <v>81</v>
      </c>
      <c r="AL42" s="55" t="s">
        <v>7290</v>
      </c>
      <c r="AM42" s="4" t="s">
        <v>7291</v>
      </c>
      <c r="AN42" s="4" t="s">
        <v>7289</v>
      </c>
      <c r="AO42" s="55" t="s">
        <v>7292</v>
      </c>
      <c r="AP42" s="55" t="s">
        <v>7293</v>
      </c>
      <c r="AQ42" s="55" t="s">
        <v>7294</v>
      </c>
      <c r="AR42" s="4" t="s">
        <v>110</v>
      </c>
      <c r="AS42" s="4"/>
      <c r="AT42" s="72"/>
      <c r="AU42" s="4"/>
      <c r="AV42" s="4"/>
      <c r="AW42" s="4"/>
      <c r="AX42" s="4"/>
      <c r="AY42" s="4"/>
      <c r="AZ42" s="4"/>
      <c r="BA42" s="4" t="s">
        <v>3498</v>
      </c>
      <c r="BB42" s="120">
        <v>10800</v>
      </c>
      <c r="BC42" s="4">
        <v>2700</v>
      </c>
      <c r="BD42" s="4">
        <v>1000</v>
      </c>
      <c r="BE42" s="4" t="s">
        <v>166</v>
      </c>
      <c r="BF42" s="4">
        <v>161482</v>
      </c>
      <c r="BG42" s="4" t="s">
        <v>92</v>
      </c>
      <c r="BH42" s="4" t="s">
        <v>6808</v>
      </c>
      <c r="BI42" s="4" t="s">
        <v>225</v>
      </c>
      <c r="BJ42" s="4" t="s">
        <v>6808</v>
      </c>
      <c r="BK42" s="4" t="s">
        <v>4704</v>
      </c>
      <c r="BL42" s="4" t="s">
        <v>6807</v>
      </c>
      <c r="BM42" s="4" t="s">
        <v>3487</v>
      </c>
      <c r="BN42" s="4">
        <v>14500</v>
      </c>
      <c r="BO42" s="4">
        <v>3500</v>
      </c>
      <c r="BP42" s="4">
        <v>2000</v>
      </c>
      <c r="BQ42" s="126">
        <v>45449</v>
      </c>
      <c r="BR42" s="72">
        <v>45459</v>
      </c>
      <c r="BS42" s="4" t="s">
        <v>7239</v>
      </c>
      <c r="BT42" s="4"/>
      <c r="BU42" s="4" t="s">
        <v>168</v>
      </c>
      <c r="BV42" s="4"/>
    </row>
    <row r="43" ht="25.05" customHeight="1" s="88" customFormat="1">
      <c r="A43" s="4">
        <v>171244</v>
      </c>
      <c r="B43" s="4"/>
      <c r="C43" s="55" t="s">
        <v>2236</v>
      </c>
      <c r="D43" s="4" t="s">
        <v>458</v>
      </c>
      <c r="E43" s="4" t="s">
        <v>66</v>
      </c>
      <c r="F43" s="55" t="s">
        <v>459</v>
      </c>
      <c r="G43" s="4" t="s">
        <v>225</v>
      </c>
      <c r="H43" s="4" t="s">
        <v>7295</v>
      </c>
      <c r="I43" s="4" t="s">
        <v>69</v>
      </c>
      <c r="J43" s="55" t="s">
        <v>5695</v>
      </c>
      <c r="K43" s="4" t="s">
        <v>71</v>
      </c>
      <c r="L43" s="4" t="s">
        <v>3487</v>
      </c>
      <c r="M43" s="4" t="s">
        <v>74</v>
      </c>
      <c r="N43" s="4"/>
      <c r="O43" s="4" t="s">
        <v>75</v>
      </c>
      <c r="P43" s="4" t="s">
        <v>4123</v>
      </c>
      <c r="Q43" s="75">
        <v>45251</v>
      </c>
      <c r="R43" s="75">
        <v>45256</v>
      </c>
      <c r="S43" s="69"/>
      <c r="T43" s="4"/>
      <c r="U43" s="4"/>
      <c r="V43" s="4"/>
      <c r="W43" s="105" t="s">
        <v>460</v>
      </c>
      <c r="X43" s="55">
        <v>1626675115</v>
      </c>
      <c r="Y43" s="106" t="s">
        <v>81</v>
      </c>
      <c r="Z43" s="4" t="s">
        <v>461</v>
      </c>
      <c r="AA43" s="4">
        <v>1617677799</v>
      </c>
      <c r="AB43" s="4" t="s">
        <v>78</v>
      </c>
      <c r="AC43" s="4" t="s">
        <v>133</v>
      </c>
      <c r="AD43" s="75">
        <v>35374</v>
      </c>
      <c r="AE43" s="107"/>
      <c r="AF43" s="4" t="s">
        <v>80</v>
      </c>
      <c r="AG43" s="114" t="s">
        <v>462</v>
      </c>
      <c r="AH43" s="4" t="s">
        <v>81</v>
      </c>
      <c r="AI43" s="55" t="s">
        <v>463</v>
      </c>
      <c r="AJ43" s="55" t="s">
        <v>81</v>
      </c>
      <c r="AK43" s="55">
        <v>2022</v>
      </c>
      <c r="AL43" s="55" t="s">
        <v>464</v>
      </c>
      <c r="AM43" s="4" t="s">
        <v>465</v>
      </c>
      <c r="AN43" s="4" t="s">
        <v>466</v>
      </c>
      <c r="AO43" s="55" t="s">
        <v>467</v>
      </c>
      <c r="AP43" s="55" t="s">
        <v>468</v>
      </c>
      <c r="AQ43" s="55" t="s">
        <v>469</v>
      </c>
      <c r="AR43" s="4" t="s">
        <v>89</v>
      </c>
      <c r="AS43" s="4" t="s">
        <v>461</v>
      </c>
      <c r="AT43" s="72">
        <v>34907</v>
      </c>
      <c r="AU43" s="4" t="s">
        <v>81</v>
      </c>
      <c r="AV43" s="4" t="s">
        <v>81</v>
      </c>
      <c r="AW43" s="4" t="s">
        <v>81</v>
      </c>
      <c r="AX43" s="4" t="s">
        <v>81</v>
      </c>
      <c r="AY43" s="4" t="s">
        <v>81</v>
      </c>
      <c r="AZ43" s="4"/>
      <c r="BA43" s="4" t="s">
        <v>7295</v>
      </c>
      <c r="BB43" s="120">
        <v>14500</v>
      </c>
      <c r="BC43" s="4">
        <v>3500</v>
      </c>
      <c r="BD43" s="4">
        <v>0</v>
      </c>
      <c r="BE43" s="4" t="s">
        <v>91</v>
      </c>
      <c r="BF43" s="4"/>
      <c r="BG43" s="4" t="s">
        <v>6808</v>
      </c>
      <c r="BH43" s="4" t="s">
        <v>225</v>
      </c>
      <c r="BI43" s="4" t="s">
        <v>6808</v>
      </c>
      <c r="BJ43" s="4" t="s">
        <v>6808</v>
      </c>
      <c r="BK43" s="4" t="s">
        <v>5695</v>
      </c>
      <c r="BL43" s="4" t="s">
        <v>6807</v>
      </c>
      <c r="BM43" s="4" t="s">
        <v>3487</v>
      </c>
      <c r="BN43" s="4">
        <v>14500</v>
      </c>
      <c r="BO43" s="4">
        <v>3500</v>
      </c>
      <c r="BP43" s="4"/>
      <c r="BQ43" s="126">
        <v>45489</v>
      </c>
      <c r="BR43" s="72">
        <v>45489</v>
      </c>
      <c r="BS43" s="4" t="s">
        <v>7296</v>
      </c>
      <c r="BT43" s="4"/>
      <c r="BU43" s="4"/>
      <c r="BV43" s="4"/>
    </row>
    <row r="44" ht="25.05" customHeight="1" s="88" customFormat="1">
      <c r="A44" s="4">
        <v>171182</v>
      </c>
      <c r="B44" s="4"/>
      <c r="C44" s="55" t="s">
        <v>2207</v>
      </c>
      <c r="D44" s="4" t="s">
        <v>369</v>
      </c>
      <c r="E44" s="4" t="s">
        <v>114</v>
      </c>
      <c r="F44" s="55">
        <v>1210692310</v>
      </c>
      <c r="G44" s="4" t="s">
        <v>225</v>
      </c>
      <c r="H44" s="4" t="s">
        <v>7295</v>
      </c>
      <c r="I44" s="4" t="s">
        <v>69</v>
      </c>
      <c r="J44" s="55" t="s">
        <v>5695</v>
      </c>
      <c r="K44" s="4" t="s">
        <v>71</v>
      </c>
      <c r="L44" s="4" t="s">
        <v>3487</v>
      </c>
      <c r="M44" s="4" t="s">
        <v>74</v>
      </c>
      <c r="N44" s="4"/>
      <c r="O44" s="4" t="s">
        <v>75</v>
      </c>
      <c r="P44" s="4" t="s">
        <v>3987</v>
      </c>
      <c r="Q44" s="75">
        <v>45207</v>
      </c>
      <c r="R44" s="75">
        <v>45211</v>
      </c>
      <c r="S44" s="69"/>
      <c r="T44" s="4"/>
      <c r="U44" s="4"/>
      <c r="V44" s="4"/>
      <c r="W44" s="105" t="s">
        <v>370</v>
      </c>
      <c r="X44" s="55">
        <v>1732784466</v>
      </c>
      <c r="Y44" s="106">
        <v>1964547614</v>
      </c>
      <c r="Z44" s="4" t="s">
        <v>371</v>
      </c>
      <c r="AA44" s="4">
        <v>1575500082</v>
      </c>
      <c r="AB44" s="4" t="s">
        <v>252</v>
      </c>
      <c r="AC44" s="4" t="s">
        <v>79</v>
      </c>
      <c r="AD44" s="75">
        <v>36160</v>
      </c>
      <c r="AE44" s="107">
        <f>((TODAY())-AD44)/365</f>
        <v>26.12876712328767</v>
      </c>
      <c r="AF44" s="4" t="s">
        <v>80</v>
      </c>
      <c r="AG44" s="114">
        <v>8708000057</v>
      </c>
      <c r="AH44" s="4" t="s">
        <v>81</v>
      </c>
      <c r="AI44" s="55" t="s">
        <v>290</v>
      </c>
      <c r="AJ44" s="55" t="s">
        <v>81</v>
      </c>
      <c r="AK44" s="55">
        <v>2023</v>
      </c>
      <c r="AL44" s="55" t="s">
        <v>372</v>
      </c>
      <c r="AM44" s="4" t="s">
        <v>373</v>
      </c>
      <c r="AN44" s="4" t="s">
        <v>374</v>
      </c>
      <c r="AO44" s="55" t="s">
        <v>375</v>
      </c>
      <c r="AP44" s="55" t="s">
        <v>376</v>
      </c>
      <c r="AQ44" s="55" t="s">
        <v>377</v>
      </c>
      <c r="AR44" s="4" t="s">
        <v>110</v>
      </c>
      <c r="AS44" s="4" t="s">
        <v>81</v>
      </c>
      <c r="AT44" s="72" t="s">
        <v>81</v>
      </c>
      <c r="AU44" s="4" t="s">
        <v>81</v>
      </c>
      <c r="AV44" s="4" t="s">
        <v>81</v>
      </c>
      <c r="AW44" s="4" t="s">
        <v>81</v>
      </c>
      <c r="AX44" s="4" t="s">
        <v>81</v>
      </c>
      <c r="AY44" s="4" t="s">
        <v>81</v>
      </c>
      <c r="AZ44" s="4"/>
      <c r="BA44" s="4" t="s">
        <v>7295</v>
      </c>
      <c r="BB44" s="120">
        <v>14500</v>
      </c>
      <c r="BC44" s="4">
        <v>3500</v>
      </c>
      <c r="BD44" s="4">
        <v>0</v>
      </c>
      <c r="BE44" s="4" t="s">
        <v>91</v>
      </c>
      <c r="BF44" s="4"/>
      <c r="BG44" s="4" t="s">
        <v>6808</v>
      </c>
      <c r="BH44" s="4" t="s">
        <v>225</v>
      </c>
      <c r="BI44" s="4" t="s">
        <v>6808</v>
      </c>
      <c r="BJ44" s="4" t="s">
        <v>6808</v>
      </c>
      <c r="BK44" s="4" t="s">
        <v>5695</v>
      </c>
      <c r="BL44" s="4" t="s">
        <v>6807</v>
      </c>
      <c r="BM44" s="4" t="s">
        <v>3487</v>
      </c>
      <c r="BN44" s="4">
        <v>14500</v>
      </c>
      <c r="BO44" s="4">
        <v>3500</v>
      </c>
      <c r="BP44" s="4"/>
      <c r="BQ44" s="126">
        <v>45489</v>
      </c>
      <c r="BR44" s="72">
        <v>45489</v>
      </c>
      <c r="BS44" s="4" t="s">
        <v>7296</v>
      </c>
      <c r="BT44" s="4"/>
      <c r="BU44" s="4"/>
      <c r="BV44" s="4"/>
    </row>
    <row r="45" ht="25.05" customHeight="1" s="88" customFormat="1">
      <c r="A45" s="4">
        <v>171160</v>
      </c>
      <c r="B45" s="4"/>
      <c r="C45" s="55"/>
      <c r="D45" s="4" t="s">
        <v>287</v>
      </c>
      <c r="E45" s="4" t="s">
        <v>114</v>
      </c>
      <c r="F45" s="55">
        <v>666193</v>
      </c>
      <c r="G45" s="4" t="s">
        <v>225</v>
      </c>
      <c r="H45" s="4" t="s">
        <v>7295</v>
      </c>
      <c r="I45" s="4" t="s">
        <v>69</v>
      </c>
      <c r="J45" s="55" t="s">
        <v>5695</v>
      </c>
      <c r="K45" s="4" t="s">
        <v>71</v>
      </c>
      <c r="L45" s="4" t="s">
        <v>3487</v>
      </c>
      <c r="M45" s="4" t="s">
        <v>74</v>
      </c>
      <c r="N45" s="4" t="s">
        <v>74</v>
      </c>
      <c r="O45" s="4" t="s">
        <v>75</v>
      </c>
      <c r="P45" s="4" t="s">
        <v>3987</v>
      </c>
      <c r="Q45" s="75">
        <v>45206</v>
      </c>
      <c r="R45" s="75">
        <v>45215</v>
      </c>
      <c r="S45" s="69"/>
      <c r="T45" s="4"/>
      <c r="U45" s="4"/>
      <c r="V45" s="4"/>
      <c r="W45" s="105" t="s">
        <v>288</v>
      </c>
      <c r="X45" s="55">
        <v>1714517836</v>
      </c>
      <c r="Y45" s="106">
        <v>1867547635</v>
      </c>
      <c r="Z45" s="4" t="s">
        <v>289</v>
      </c>
      <c r="AA45" s="4">
        <v>1731819698</v>
      </c>
      <c r="AB45" s="4" t="s">
        <v>186</v>
      </c>
      <c r="AC45" s="4" t="s">
        <v>119</v>
      </c>
      <c r="AD45" s="75">
        <v>35226</v>
      </c>
      <c r="AE45" s="107">
        <f>((TODAY())-AD45)/365</f>
        <v>28.687671232876713</v>
      </c>
      <c r="AF45" s="4" t="s">
        <v>80</v>
      </c>
      <c r="AG45" s="114">
        <v>1003812771</v>
      </c>
      <c r="AH45" s="4" t="s">
        <v>81</v>
      </c>
      <c r="AI45" s="55" t="s">
        <v>290</v>
      </c>
      <c r="AJ45" s="55" t="s">
        <v>81</v>
      </c>
      <c r="AK45" s="55">
        <v>2020</v>
      </c>
      <c r="AL45" s="55" t="s">
        <v>291</v>
      </c>
      <c r="AM45" s="4" t="s">
        <v>292</v>
      </c>
      <c r="AN45" s="4" t="s">
        <v>293</v>
      </c>
      <c r="AO45" s="55" t="s">
        <v>294</v>
      </c>
      <c r="AP45" s="55" t="s">
        <v>295</v>
      </c>
      <c r="AQ45" s="55" t="s">
        <v>151</v>
      </c>
      <c r="AR45" s="4" t="s">
        <v>89</v>
      </c>
      <c r="AS45" s="4" t="s">
        <v>289</v>
      </c>
      <c r="AT45" s="72"/>
      <c r="AU45" s="4"/>
      <c r="AV45" s="4"/>
      <c r="AW45" s="4"/>
      <c r="AX45" s="4"/>
      <c r="AY45" s="4"/>
      <c r="AZ45" s="4"/>
      <c r="BA45" s="4" t="s">
        <v>3498</v>
      </c>
      <c r="BB45" s="120">
        <v>14500</v>
      </c>
      <c r="BC45" s="4">
        <v>3500</v>
      </c>
      <c r="BD45" s="4">
        <v>0</v>
      </c>
      <c r="BE45" s="4" t="s">
        <v>296</v>
      </c>
      <c r="BF45" s="4"/>
      <c r="BG45" s="4" t="s">
        <v>6808</v>
      </c>
      <c r="BH45" s="4" t="s">
        <v>225</v>
      </c>
      <c r="BI45" s="4" t="s">
        <v>6808</v>
      </c>
      <c r="BJ45" s="4" t="s">
        <v>6808</v>
      </c>
      <c r="BK45" s="4" t="s">
        <v>5695</v>
      </c>
      <c r="BL45" s="4" t="s">
        <v>6807</v>
      </c>
      <c r="BM45" s="4" t="s">
        <v>3487</v>
      </c>
      <c r="BN45" s="4">
        <v>14500</v>
      </c>
      <c r="BO45" s="4">
        <v>3500</v>
      </c>
      <c r="BP45" s="4"/>
      <c r="BQ45" s="126">
        <v>45489</v>
      </c>
      <c r="BR45" s="72">
        <v>45489</v>
      </c>
      <c r="BS45" s="4" t="s">
        <v>7296</v>
      </c>
      <c r="BT45" s="4"/>
      <c r="BU45" s="4"/>
      <c r="BV45" s="4"/>
    </row>
  </sheetData>
  <conditionalFormatting sqref="A35">
    <cfRule type="duplicateValues" dxfId="0" priority="202"/>
    <cfRule type="duplicateValues" dxfId="0" priority="203"/>
  </conditionalFormatting>
  <conditionalFormatting sqref="A36">
    <cfRule type="duplicateValues" dxfId="0" priority="190"/>
    <cfRule type="duplicateValues" dxfId="0" priority="189"/>
    <cfRule type="duplicateValues" dxfId="0" priority="191"/>
    <cfRule type="duplicateValues" dxfId="0" priority="192"/>
  </conditionalFormatting>
  <conditionalFormatting sqref="A37:A38">
    <cfRule type="duplicateValues" dxfId="0" priority="175"/>
    <cfRule type="duplicateValues" dxfId="0" priority="174"/>
    <cfRule type="duplicateValues" dxfId="0" priority="173"/>
    <cfRule type="duplicateValues" dxfId="0" priority="172"/>
  </conditionalFormatting>
  <conditionalFormatting sqref="A39">
    <cfRule type="duplicateValues" dxfId="0" priority="133"/>
    <cfRule type="duplicateValues" dxfId="0" priority="134"/>
    <cfRule type="duplicateValues" dxfId="0" priority="132"/>
    <cfRule type="duplicateValues" dxfId="0" priority="131"/>
  </conditionalFormatting>
  <conditionalFormatting sqref="A40">
    <cfRule type="duplicateValues" dxfId="0" priority="104"/>
    <cfRule type="duplicateValues" dxfId="0" priority="120"/>
    <cfRule type="duplicateValues" dxfId="0" priority="121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</conditionalFormatting>
  <conditionalFormatting sqref="A41">
    <cfRule type="duplicateValues" dxfId="0" priority="101"/>
    <cfRule type="duplicateValues" dxfId="0" priority="102"/>
    <cfRule type="duplicateValues" dxfId="0" priority="103"/>
    <cfRule type="duplicateValues" dxfId="0" priority="88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</conditionalFormatting>
  <conditionalFormatting sqref="A42:A45"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0"/>
    <cfRule type="duplicateValues" dxfId="0" priority="67"/>
    <cfRule type="duplicateValues" dxfId="0" priority="81"/>
    <cfRule type="duplicateValues" dxfId="0" priority="82"/>
    <cfRule type="duplicateValues" dxfId="0" priority="83"/>
  </conditionalFormatting>
  <conditionalFormatting sqref="B10">
    <cfRule type="duplicateValues" dxfId="0" priority="796"/>
  </conditionalFormatting>
  <conditionalFormatting sqref="B17">
    <cfRule type="duplicateValues" dxfId="0" priority="540"/>
  </conditionalFormatting>
  <conditionalFormatting sqref="B27:B31">
    <cfRule type="duplicateValues" dxfId="0" priority="519"/>
    <cfRule type="duplicateValues" dxfId="0" priority="518"/>
    <cfRule type="duplicateValues" dxfId="0" priority="517"/>
    <cfRule type="duplicateValues" dxfId="0" priority="467"/>
    <cfRule type="duplicateValues" dxfId="0" priority="533"/>
    <cfRule type="duplicateValues" dxfId="0" priority="526"/>
    <cfRule type="duplicateValues" dxfId="0" priority="528"/>
    <cfRule type="duplicateValues" dxfId="0" priority="527"/>
    <cfRule type="duplicateValues" dxfId="0" priority="529"/>
    <cfRule type="duplicateValues" dxfId="0" priority="531"/>
    <cfRule type="duplicateValues" dxfId="0" priority="532"/>
    <cfRule type="duplicateValues" dxfId="0" priority="520"/>
    <cfRule type="duplicateValues" dxfId="0" priority="530"/>
    <cfRule type="duplicateValues" dxfId="0" priority="521"/>
    <cfRule type="duplicateValues" dxfId="0" priority="522"/>
    <cfRule type="duplicateValues" dxfId="0" priority="523"/>
    <cfRule type="duplicateValues" dxfId="0" priority="524"/>
    <cfRule type="duplicateValues" dxfId="0" priority="525"/>
  </conditionalFormatting>
  <conditionalFormatting sqref="B30:B31">
    <cfRule type="duplicateValues" dxfId="0" priority="466"/>
    <cfRule type="duplicateValues" dxfId="0" priority="465"/>
    <cfRule type="duplicateValues" dxfId="0" priority="464"/>
    <cfRule type="duplicateValues" dxfId="0" priority="461"/>
    <cfRule type="duplicateValues" dxfId="0" priority="462"/>
    <cfRule type="duplicateValues" dxfId="0" priority="463"/>
  </conditionalFormatting>
  <conditionalFormatting sqref="C6">
    <cfRule type="duplicateValues" dxfId="0" priority="428"/>
    <cfRule type="duplicateValues" dxfId="0" priority="427"/>
    <cfRule type="duplicateValues" dxfId="0" priority="426"/>
    <cfRule type="duplicateValues" dxfId="0" priority="424"/>
    <cfRule type="duplicateValues" dxfId="0" priority="425"/>
    <cfRule type="duplicateValues" dxfId="0" priority="414"/>
    <cfRule type="duplicateValues" dxfId="0" priority="420"/>
    <cfRule type="duplicateValues" dxfId="0" priority="423"/>
    <cfRule type="duplicateValues" dxfId="0" priority="418"/>
    <cfRule type="duplicateValues" dxfId="0" priority="417"/>
    <cfRule type="duplicateValues" dxfId="0" priority="416"/>
    <cfRule type="duplicateValues" dxfId="0" priority="419"/>
    <cfRule type="duplicateValues" dxfId="0" priority="415"/>
    <cfRule type="duplicateValues" dxfId="0" priority="413"/>
    <cfRule type="duplicateValues" dxfId="0" priority="412"/>
    <cfRule type="duplicateValues" dxfId="0" priority="411"/>
    <cfRule type="duplicateValues" dxfId="0" priority="421"/>
    <cfRule type="duplicateValues" dxfId="0" priority="422"/>
  </conditionalFormatting>
  <conditionalFormatting sqref="C7">
    <cfRule type="duplicateValues" dxfId="0" priority="363"/>
    <cfRule type="duplicateValues" dxfId="0" priority="364"/>
    <cfRule type="duplicateValues" dxfId="0" priority="365"/>
    <cfRule type="duplicateValues" dxfId="0" priority="378"/>
    <cfRule type="duplicateValues" dxfId="0" priority="379"/>
    <cfRule type="duplicateValues" dxfId="0" priority="376"/>
    <cfRule type="duplicateValues" dxfId="0" priority="377"/>
    <cfRule type="duplicateValues" dxfId="0" priority="375"/>
    <cfRule type="duplicateValues" dxfId="0" priority="374"/>
    <cfRule type="duplicateValues" dxfId="0" priority="373"/>
    <cfRule type="duplicateValues" dxfId="0" priority="370"/>
    <cfRule type="duplicateValues" dxfId="0" priority="372"/>
    <cfRule type="duplicateValues" dxfId="0" priority="369"/>
    <cfRule type="duplicateValues" dxfId="0" priority="362"/>
    <cfRule type="duplicateValues" dxfId="0" priority="368"/>
    <cfRule type="duplicateValues" dxfId="0" priority="367"/>
    <cfRule type="duplicateValues" dxfId="0" priority="366"/>
    <cfRule type="duplicateValues" dxfId="0" priority="371"/>
  </conditionalFormatting>
  <conditionalFormatting sqref="C9">
    <cfRule type="duplicateValues" dxfId="0" priority="301"/>
    <cfRule type="duplicateValues" dxfId="0" priority="302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</conditionalFormatting>
  <conditionalFormatting sqref="C12">
    <cfRule type="duplicateValues" dxfId="0" priority="702"/>
    <cfRule type="duplicateValues" dxfId="0" priority="701"/>
    <cfRule type="duplicateValues" dxfId="0" priority="700"/>
    <cfRule type="duplicateValues" dxfId="0" priority="699"/>
    <cfRule type="duplicateValues" dxfId="0" priority="698"/>
    <cfRule type="duplicateValues" dxfId="0" priority="697"/>
    <cfRule type="duplicateValues" dxfId="0" priority="696"/>
    <cfRule type="duplicateValues" dxfId="0" priority="695"/>
    <cfRule type="duplicateValues" dxfId="0" priority="688"/>
    <cfRule type="duplicateValues" dxfId="0" priority="686"/>
    <cfRule type="duplicateValues" dxfId="0" priority="694"/>
    <cfRule type="duplicateValues" dxfId="0" priority="693"/>
    <cfRule type="duplicateValues" dxfId="0" priority="692"/>
    <cfRule type="duplicateValues" dxfId="0" priority="691"/>
    <cfRule type="duplicateValues" dxfId="0" priority="690"/>
    <cfRule type="duplicateValues" dxfId="0" priority="689"/>
    <cfRule type="duplicateValues" dxfId="0" priority="685"/>
    <cfRule type="duplicateValues" dxfId="0" priority="687"/>
  </conditionalFormatting>
  <conditionalFormatting sqref="C19:C31">
    <cfRule type="duplicateValues" dxfId="0" priority="596939"/>
    <cfRule type="duplicateValues" dxfId="0" priority="596938"/>
    <cfRule type="duplicateValues" dxfId="0" priority="596927"/>
    <cfRule type="duplicateValues" dxfId="0" priority="596926"/>
    <cfRule type="duplicateValues" dxfId="0" priority="596925"/>
    <cfRule type="duplicateValues" dxfId="0" priority="596924"/>
    <cfRule type="duplicateValues" dxfId="0" priority="596929"/>
    <cfRule type="duplicateValues" dxfId="0" priority="596923"/>
    <cfRule type="duplicateValues" dxfId="0" priority="596922"/>
    <cfRule type="duplicateValues" dxfId="0" priority="596930"/>
    <cfRule type="duplicateValues" dxfId="0" priority="596931"/>
    <cfRule type="duplicateValues" dxfId="0" priority="596932"/>
    <cfRule type="duplicateValues" dxfId="0" priority="596933"/>
    <cfRule type="duplicateValues" dxfId="0" priority="596928"/>
    <cfRule type="duplicateValues" dxfId="0" priority="596934"/>
    <cfRule type="duplicateValues" dxfId="0" priority="596935"/>
    <cfRule type="duplicateValues" dxfId="0" priority="596936"/>
    <cfRule type="duplicateValues" dxfId="0" priority="596937"/>
  </conditionalFormatting>
  <conditionalFormatting sqref="C34"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45"/>
    <cfRule type="duplicateValues" dxfId="0" priority="235"/>
    <cfRule type="duplicateValues" dxfId="0" priority="236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37"/>
    <cfRule type="duplicateValues" dxfId="0" priority="246"/>
    <cfRule type="duplicateValues" dxfId="0" priority="247"/>
  </conditionalFormatting>
  <conditionalFormatting sqref="D3">
    <cfRule type="duplicateValues" dxfId="0" priority="596910"/>
    <cfRule type="duplicateValues" dxfId="0" priority="596915"/>
    <cfRule type="duplicateValues" dxfId="0" priority="596914"/>
    <cfRule type="duplicateValues" dxfId="0" priority="596913"/>
    <cfRule type="duplicateValues" dxfId="0" priority="596912"/>
    <cfRule type="duplicateValues" dxfId="0" priority="596911"/>
  </conditionalFormatting>
  <conditionalFormatting sqref="D4">
    <cfRule type="duplicateValues" dxfId="0" priority="888"/>
    <cfRule type="duplicateValues" dxfId="0" priority="887"/>
    <cfRule type="duplicateValues" dxfId="0" priority="885"/>
    <cfRule type="duplicateValues" dxfId="0" priority="884"/>
    <cfRule type="duplicateValues" dxfId="0" priority="883"/>
    <cfRule type="duplicateValues" dxfId="0" priority="886"/>
  </conditionalFormatting>
  <conditionalFormatting sqref="D5">
    <cfRule type="duplicateValues" dxfId="0" priority="854"/>
    <cfRule type="duplicateValues" dxfId="0" priority="855"/>
    <cfRule type="duplicateValues" dxfId="0" priority="856"/>
    <cfRule type="duplicateValues" dxfId="0" priority="857"/>
    <cfRule type="duplicateValues" dxfId="0" priority="852"/>
    <cfRule type="duplicateValues" dxfId="0" priority="853"/>
  </conditionalFormatting>
  <conditionalFormatting sqref="D6">
    <cfRule type="duplicateValues" dxfId="0" priority="410"/>
    <cfRule type="duplicateValues" dxfId="0" priority="407"/>
    <cfRule type="duplicateValues" dxfId="0" priority="405"/>
    <cfRule type="duplicateValues" dxfId="0" priority="406"/>
    <cfRule type="duplicateValues" dxfId="0" priority="409"/>
    <cfRule type="duplicateValues" dxfId="0" priority="408"/>
  </conditionalFormatting>
  <conditionalFormatting sqref="D7">
    <cfRule type="duplicateValues" dxfId="0" priority="358"/>
    <cfRule type="duplicateValues" dxfId="0" priority="356"/>
    <cfRule type="duplicateValues" dxfId="0" priority="357"/>
    <cfRule type="duplicateValues" dxfId="0" priority="359"/>
    <cfRule type="duplicateValues" dxfId="0" priority="360"/>
    <cfRule type="duplicateValues" dxfId="0" priority="361"/>
  </conditionalFormatting>
  <conditionalFormatting sqref="D8">
    <cfRule type="duplicateValues" dxfId="0" priority="324"/>
    <cfRule type="duplicateValues" dxfId="0" priority="328"/>
    <cfRule type="duplicateValues" dxfId="0" priority="323"/>
    <cfRule type="duplicateValues" dxfId="0" priority="327"/>
    <cfRule type="duplicateValues" dxfId="0" priority="329"/>
    <cfRule type="duplicateValues" dxfId="0" priority="326"/>
    <cfRule type="duplicateValues" dxfId="0" priority="325"/>
  </conditionalFormatting>
  <conditionalFormatting sqref="D9"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</conditionalFormatting>
  <conditionalFormatting sqref="D11">
    <cfRule type="duplicateValues" dxfId="0" priority="723"/>
    <cfRule type="duplicateValues" dxfId="0" priority="722"/>
    <cfRule type="duplicateValues" dxfId="0" priority="721"/>
    <cfRule type="duplicateValues" dxfId="0" priority="720"/>
    <cfRule type="duplicateValues" dxfId="0" priority="724"/>
    <cfRule type="duplicateValues" dxfId="0" priority="725"/>
  </conditionalFormatting>
  <conditionalFormatting sqref="D12">
    <cfRule type="duplicateValues" dxfId="0" priority="684"/>
    <cfRule type="duplicateValues" dxfId="0" priority="683"/>
    <cfRule type="duplicateValues" dxfId="0" priority="682"/>
    <cfRule type="duplicateValues" dxfId="0" priority="681"/>
    <cfRule type="duplicateValues" dxfId="0" priority="680"/>
    <cfRule type="duplicateValues" dxfId="0" priority="679"/>
  </conditionalFormatting>
  <conditionalFormatting sqref="D13">
    <cfRule type="duplicateValues" dxfId="0" priority="670"/>
    <cfRule type="duplicateValues" dxfId="0" priority="648"/>
    <cfRule type="duplicateValues" dxfId="0" priority="645"/>
    <cfRule type="duplicateValues" dxfId="0" priority="644"/>
    <cfRule type="duplicateValues" dxfId="0" priority="643"/>
    <cfRule type="duplicateValues" dxfId="0" priority="646"/>
    <cfRule type="duplicateValues" dxfId="0" priority="647"/>
  </conditionalFormatting>
  <conditionalFormatting sqref="D14">
    <cfRule type="duplicateValues" dxfId="0" priority="621"/>
    <cfRule type="duplicateValues" dxfId="0" priority="619"/>
    <cfRule type="duplicateValues" dxfId="0" priority="620"/>
    <cfRule type="duplicateValues" dxfId="0" priority="618"/>
    <cfRule type="duplicateValues" dxfId="0" priority="617"/>
    <cfRule type="duplicateValues" dxfId="0" priority="616"/>
  </conditionalFormatting>
  <conditionalFormatting sqref="D15">
    <cfRule type="duplicateValues" dxfId="0" priority="589"/>
    <cfRule type="duplicateValues" dxfId="0" priority="594"/>
    <cfRule type="duplicateValues" dxfId="0" priority="593"/>
    <cfRule type="duplicateValues" dxfId="0" priority="592"/>
    <cfRule type="duplicateValues" dxfId="0" priority="590"/>
    <cfRule type="duplicateValues" dxfId="0" priority="591"/>
  </conditionalFormatting>
  <conditionalFormatting sqref="D16">
    <cfRule type="duplicateValues" dxfId="0" priority="565"/>
    <cfRule type="duplicateValues" dxfId="0" priority="564"/>
    <cfRule type="duplicateValues" dxfId="0" priority="563"/>
    <cfRule type="duplicateValues" dxfId="0" priority="566"/>
    <cfRule type="duplicateValues" dxfId="0" priority="562"/>
    <cfRule type="duplicateValues" dxfId="0" priority="561"/>
    <cfRule type="duplicateValues" dxfId="0" priority="588"/>
  </conditionalFormatting>
  <conditionalFormatting sqref="D17">
    <cfRule type="duplicateValues" dxfId="0" priority="534"/>
    <cfRule type="duplicateValues" dxfId="0" priority="535"/>
    <cfRule type="duplicateValues" dxfId="0" priority="536"/>
    <cfRule type="duplicateValues" dxfId="0" priority="537"/>
    <cfRule type="duplicateValues" dxfId="0" priority="538"/>
    <cfRule type="duplicateValues" dxfId="0" priority="539"/>
  </conditionalFormatting>
  <conditionalFormatting sqref="D18:D31">
    <cfRule type="duplicateValues" dxfId="0" priority="596940"/>
    <cfRule type="duplicateValues" dxfId="0" priority="596945"/>
    <cfRule type="duplicateValues" dxfId="0" priority="596941"/>
    <cfRule type="duplicateValues" dxfId="0" priority="596942"/>
    <cfRule type="duplicateValues" dxfId="0" priority="596943"/>
    <cfRule type="duplicateValues" dxfId="0" priority="596944"/>
  </conditionalFormatting>
  <conditionalFormatting sqref="D32">
    <cfRule type="duplicateValues" dxfId="0" priority="591355"/>
  </conditionalFormatting>
  <conditionalFormatting sqref="D32:D33">
    <cfRule type="duplicateValues" dxfId="0" priority="596901"/>
    <cfRule type="duplicateValues" dxfId="0" priority="596902"/>
    <cfRule type="duplicateValues" dxfId="0" priority="596900"/>
    <cfRule type="duplicateValues" dxfId="0" priority="596897"/>
    <cfRule type="duplicateValues" dxfId="0" priority="596898"/>
    <cfRule type="duplicateValues" dxfId="0" priority="596899"/>
  </conditionalFormatting>
  <conditionalFormatting sqref="D34">
    <cfRule type="duplicateValues" dxfId="0" priority="229"/>
    <cfRule type="duplicateValues" dxfId="0" priority="232"/>
    <cfRule type="duplicateValues" dxfId="0" priority="234"/>
    <cfRule type="duplicateValues" dxfId="0" priority="233"/>
    <cfRule type="duplicateValues" dxfId="0" priority="231"/>
    <cfRule type="duplicateValues" dxfId="0" priority="230"/>
  </conditionalFormatting>
  <conditionalFormatting sqref="D35">
    <cfRule type="duplicateValues" dxfId="0" priority="197"/>
    <cfRule type="duplicateValues" dxfId="0" priority="199"/>
    <cfRule type="duplicateValues" dxfId="0" priority="198"/>
    <cfRule type="duplicateValues" dxfId="0" priority="196"/>
    <cfRule type="duplicateValues" dxfId="0" priority="201"/>
    <cfRule type="duplicateValues" dxfId="0" priority="195"/>
    <cfRule type="duplicateValues" dxfId="0" priority="200"/>
  </conditionalFormatting>
  <conditionalFormatting sqref="D36"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</conditionalFormatting>
  <conditionalFormatting sqref="D37:D38">
    <cfRule type="duplicateValues" dxfId="0" priority="166"/>
    <cfRule type="duplicateValues" dxfId="0" priority="171"/>
    <cfRule type="duplicateValues" dxfId="0" priority="170"/>
    <cfRule type="duplicateValues" dxfId="0" priority="169"/>
    <cfRule type="duplicateValues" dxfId="0" priority="168"/>
    <cfRule type="duplicateValues" dxfId="0" priority="167"/>
  </conditionalFormatting>
  <conditionalFormatting sqref="D39">
    <cfRule type="duplicateValues" dxfId="0" priority="130"/>
    <cfRule type="duplicateValues" dxfId="0" priority="128"/>
    <cfRule type="duplicateValues" dxfId="0" priority="127"/>
    <cfRule type="duplicateValues" dxfId="0" priority="126"/>
    <cfRule type="duplicateValues" dxfId="0" priority="125"/>
    <cfRule type="duplicateValues" dxfId="0" priority="129"/>
  </conditionalFormatting>
  <conditionalFormatting sqref="D40">
    <cfRule type="duplicateValues" dxfId="0" priority="107"/>
    <cfRule type="duplicateValues" dxfId="0" priority="113"/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</conditionalFormatting>
  <conditionalFormatting sqref="D42:D45">
    <cfRule type="duplicateValues" dxfId="0" priority="76"/>
    <cfRule type="duplicateValues" dxfId="0" priority="75"/>
    <cfRule type="duplicateValues" dxfId="0" priority="74"/>
    <cfRule type="duplicateValues" dxfId="0" priority="79"/>
    <cfRule type="duplicateValues" dxfId="0" priority="78"/>
    <cfRule type="duplicateValues" dxfId="0" priority="77"/>
  </conditionalFormatting>
  <conditionalFormatting sqref="V4:V5">
    <cfRule type="duplicateValues" dxfId="0" priority="838"/>
  </conditionalFormatting>
  <conditionalFormatting sqref="V6">
    <cfRule type="duplicateValues" dxfId="0" priority="398"/>
  </conditionalFormatting>
  <conditionalFormatting sqref="V7">
    <cfRule type="duplicateValues" dxfId="0" priority="349"/>
  </conditionalFormatting>
  <conditionalFormatting sqref="V9">
    <cfRule type="duplicateValues" dxfId="0" priority="272"/>
  </conditionalFormatting>
  <conditionalFormatting sqref="V11">
    <cfRule type="duplicateValues" dxfId="0" priority="744"/>
  </conditionalFormatting>
  <conditionalFormatting sqref="V12">
    <cfRule type="duplicateValues" dxfId="0" priority="675"/>
  </conditionalFormatting>
  <conditionalFormatting sqref="V14">
    <cfRule type="duplicateValues" dxfId="0" priority="640"/>
  </conditionalFormatting>
  <conditionalFormatting sqref="V15">
    <cfRule type="duplicateValues" dxfId="0" priority="613"/>
  </conditionalFormatting>
  <conditionalFormatting sqref="V33 V18:V22">
    <cfRule type="duplicateValues" dxfId="0" priority="596909"/>
  </conditionalFormatting>
  <conditionalFormatting sqref="V34">
    <cfRule type="duplicateValues" dxfId="0" priority="223"/>
  </conditionalFormatting>
  <conditionalFormatting sqref="V36">
    <cfRule type="duplicateValues" dxfId="0" priority="182"/>
  </conditionalFormatting>
  <conditionalFormatting sqref="V37:V38">
    <cfRule type="duplicateValues" dxfId="0" priority="165"/>
  </conditionalFormatting>
  <conditionalFormatting sqref="V39">
    <cfRule type="duplicateValues" dxfId="0" priority="124"/>
  </conditionalFormatting>
  <conditionalFormatting sqref="V41">
    <cfRule type="duplicateValues" dxfId="0" priority="95"/>
  </conditionalFormatting>
  <conditionalFormatting sqref="W3">
    <cfRule type="duplicateValues" dxfId="0" priority="596916"/>
  </conditionalFormatting>
  <conditionalFormatting sqref="X4:X5">
    <cfRule type="duplicateValues" dxfId="0" priority="844"/>
    <cfRule type="duplicateValues" dxfId="0" priority="842"/>
    <cfRule type="duplicateValues" dxfId="0" priority="841"/>
    <cfRule type="duplicateValues" dxfId="0" priority="843"/>
  </conditionalFormatting>
  <conditionalFormatting sqref="X6">
    <cfRule type="duplicateValues" dxfId="0" priority="404"/>
    <cfRule type="duplicateValues" dxfId="0" priority="402"/>
    <cfRule type="duplicateValues" dxfId="0" priority="401"/>
    <cfRule type="duplicateValues" dxfId="0" priority="403"/>
  </conditionalFormatting>
  <conditionalFormatting sqref="X7">
    <cfRule type="duplicateValues" dxfId="0" priority="353"/>
    <cfRule type="duplicateValues" dxfId="0" priority="352"/>
    <cfRule type="duplicateValues" dxfId="0" priority="354"/>
    <cfRule type="duplicateValues" dxfId="0" priority="355"/>
  </conditionalFormatting>
  <conditionalFormatting sqref="X9">
    <cfRule type="duplicateValues" dxfId="0" priority="277"/>
    <cfRule type="duplicateValues" dxfId="0" priority="278"/>
    <cfRule type="duplicateValues" dxfId="0" priority="276"/>
    <cfRule type="duplicateValues" dxfId="0" priority="275"/>
  </conditionalFormatting>
  <conditionalFormatting sqref="X12">
    <cfRule type="duplicateValues" dxfId="0" priority="673"/>
    <cfRule type="duplicateValues" dxfId="0" priority="672"/>
    <cfRule type="duplicateValues" dxfId="0" priority="671"/>
    <cfRule type="duplicateValues" dxfId="0" priority="678"/>
  </conditionalFormatting>
  <conditionalFormatting sqref="X18:X22">
    <cfRule type="duplicateValues" dxfId="0" priority="596955"/>
    <cfRule type="duplicateValues" dxfId="0" priority="596954"/>
    <cfRule type="duplicateValues" dxfId="0" priority="596953"/>
    <cfRule type="duplicateValues" dxfId="0" priority="596952"/>
  </conditionalFormatting>
  <conditionalFormatting sqref="X33">
    <cfRule type="duplicateValues" dxfId="0" priority="452"/>
    <cfRule type="duplicateValues" dxfId="0" priority="450"/>
    <cfRule type="duplicateValues" dxfId="0" priority="449"/>
    <cfRule type="duplicateValues" dxfId="0" priority="448"/>
    <cfRule type="duplicateValues" dxfId="0" priority="451"/>
  </conditionalFormatting>
  <conditionalFormatting sqref="X34">
    <cfRule type="duplicateValues" dxfId="0" priority="228"/>
    <cfRule type="duplicateValues" dxfId="0" priority="227"/>
    <cfRule type="duplicateValues" dxfId="0" priority="226"/>
    <cfRule type="duplicateValues" dxfId="0" priority="225"/>
  </conditionalFormatting>
  <conditionalFormatting sqref="X36">
    <cfRule type="duplicateValues" dxfId="0" priority="181"/>
    <cfRule type="duplicateValues" dxfId="0" priority="180"/>
    <cfRule type="duplicateValues" dxfId="0" priority="179"/>
    <cfRule type="duplicateValues" dxfId="0" priority="178"/>
  </conditionalFormatting>
  <conditionalFormatting sqref="X37:X38">
    <cfRule type="duplicateValues" dxfId="0" priority="164"/>
    <cfRule type="duplicateValues" dxfId="0" priority="163"/>
    <cfRule type="duplicateValues" dxfId="0" priority="162"/>
    <cfRule type="duplicateValues" dxfId="0" priority="161"/>
  </conditionalFormatting>
  <conditionalFormatting sqref="X41"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0"/>
  </conditionalFormatting>
  <conditionalFormatting sqref="X42:X45">
    <cfRule type="duplicateValues" dxfId="0" priority="73"/>
    <cfRule type="duplicateValues" dxfId="0" priority="71"/>
    <cfRule type="duplicateValues" dxfId="0" priority="70"/>
    <cfRule type="duplicateValues" dxfId="0" priority="72"/>
  </conditionalFormatting>
  <conditionalFormatting sqref="Y3">
    <cfRule type="duplicateValues" dxfId="0" priority="596917"/>
    <cfRule type="duplicateValues" dxfId="0" priority="596918"/>
    <cfRule type="duplicateValues" dxfId="0" priority="596919"/>
    <cfRule type="duplicateValues" dxfId="0" priority="596920"/>
  </conditionalFormatting>
  <conditionalFormatting sqref="AG4:AG5">
    <cfRule type="duplicateValues" dxfId="0" priority="840"/>
  </conditionalFormatting>
  <conditionalFormatting sqref="AG6">
    <cfRule type="duplicateValues" dxfId="0" priority="400"/>
  </conditionalFormatting>
  <conditionalFormatting sqref="AG7">
    <cfRule type="duplicateValues" dxfId="0" priority="351"/>
  </conditionalFormatting>
  <conditionalFormatting sqref="AG8">
    <cfRule type="duplicateValues" dxfId="0" priority="322"/>
  </conditionalFormatting>
  <conditionalFormatting sqref="AG9">
    <cfRule type="duplicateValues" dxfId="0" priority="274"/>
  </conditionalFormatting>
  <conditionalFormatting sqref="AG10">
    <cfRule type="duplicateValues" dxfId="0" priority="799"/>
  </conditionalFormatting>
  <conditionalFormatting sqref="AG11">
    <cfRule type="duplicateValues" dxfId="0" priority="746"/>
  </conditionalFormatting>
  <conditionalFormatting sqref="AG12">
    <cfRule type="duplicateValues" dxfId="0" priority="677"/>
  </conditionalFormatting>
  <conditionalFormatting sqref="AG13">
    <cfRule type="duplicateValues" dxfId="0" priority="669"/>
  </conditionalFormatting>
  <conditionalFormatting sqref="AG14">
    <cfRule type="duplicateValues" dxfId="0" priority="642"/>
  </conditionalFormatting>
  <conditionalFormatting sqref="AG15">
    <cfRule type="duplicateValues" dxfId="0" priority="615"/>
  </conditionalFormatting>
  <conditionalFormatting sqref="AG16">
    <cfRule type="duplicateValues" dxfId="0" priority="587"/>
  </conditionalFormatting>
  <conditionalFormatting sqref="AG17">
    <cfRule type="duplicateValues" dxfId="0" priority="560"/>
  </conditionalFormatting>
  <conditionalFormatting sqref="AG18:AG32">
    <cfRule type="duplicateValues" dxfId="0" priority="596960"/>
  </conditionalFormatting>
  <conditionalFormatting sqref="AG34">
    <cfRule type="duplicateValues" dxfId="0" priority="224"/>
  </conditionalFormatting>
  <conditionalFormatting sqref="AG35">
    <cfRule type="duplicateValues" dxfId="0" priority="194"/>
  </conditionalFormatting>
  <conditionalFormatting sqref="AG36">
    <cfRule type="duplicateValues" dxfId="0" priority="177"/>
  </conditionalFormatting>
  <conditionalFormatting sqref="AG37:AG38">
    <cfRule type="duplicateValues" dxfId="0" priority="160"/>
  </conditionalFormatting>
  <conditionalFormatting sqref="AG39">
    <cfRule type="duplicateValues" dxfId="0" priority="123"/>
  </conditionalFormatting>
  <conditionalFormatting sqref="AG40">
    <cfRule type="duplicateValues" dxfId="0" priority="106"/>
  </conditionalFormatting>
  <conditionalFormatting sqref="AG42:AG45">
    <cfRule type="duplicateValues" dxfId="0" priority="69"/>
  </conditionalFormatting>
  <conditionalFormatting sqref="AH3">
    <cfRule type="duplicateValues" dxfId="0" priority="596921"/>
  </conditionalFormatting>
  <conditionalFormatting sqref="BH36:BH39">
    <cfRule type="containsBlanks" dxfId="725" priority="122">
      <formula>LEN(TRIM(BH36))=0</formula>
    </cfRule>
  </conditionalFormatting>
  <conditionalFormatting sqref="BI3">
    <cfRule type="containsBlanks" dxfId="725" priority="908">
      <formula>LEN(TRIM(BI3))=0</formula>
    </cfRule>
  </conditionalFormatting>
  <conditionalFormatting sqref="BI18">
    <cfRule type="containsBlanks" dxfId="725" priority="204">
      <formula>LEN(TRIM(BI18))=0</formula>
    </cfRule>
  </conditionalFormatting>
  <conditionalFormatting sqref="BP2">
    <cfRule type="duplicateValues" dxfId="0" priority="3557"/>
  </conditionalFormatting>
  <conditionalFormatting sqref="BT2">
    <cfRule type="duplicateValues" dxfId="0" priority="3556"/>
  </conditionalFormatting>
  <conditionalFormatting sqref="BT4">
    <cfRule type="duplicateValues" dxfId="0" priority="834"/>
    <cfRule type="duplicateValues" dxfId="0" priority="835"/>
    <cfRule type="duplicateValues" dxfId="0" priority="836"/>
    <cfRule type="duplicateValues" dxfId="0" priority="833"/>
    <cfRule type="duplicateValues" dxfId="0" priority="832"/>
    <cfRule type="duplicateValues" dxfId="0" priority="831"/>
    <cfRule type="duplicateValues" dxfId="0" priority="830"/>
    <cfRule type="duplicateValues" dxfId="0" priority="823"/>
    <cfRule type="duplicateValues" dxfId="0" priority="829"/>
    <cfRule type="duplicateValues" dxfId="0" priority="828"/>
    <cfRule type="duplicateValues" dxfId="0" priority="827"/>
    <cfRule type="duplicateValues" dxfId="0" priority="826"/>
    <cfRule type="duplicateValues" dxfId="0" priority="824"/>
    <cfRule type="duplicateValues" dxfId="0" priority="822"/>
    <cfRule type="duplicateValues" dxfId="0" priority="821"/>
    <cfRule type="duplicateValues" dxfId="0" priority="820"/>
    <cfRule type="duplicateValues" dxfId="0" priority="819"/>
    <cfRule type="duplicateValues" dxfId="0" priority="825"/>
  </conditionalFormatting>
  <conditionalFormatting sqref="BT5">
    <cfRule type="duplicateValues" dxfId="0" priority="801"/>
    <cfRule type="duplicateValues" dxfId="0" priority="802"/>
    <cfRule type="duplicateValues" dxfId="0" priority="803"/>
    <cfRule type="duplicateValues" dxfId="0" priority="804"/>
    <cfRule type="duplicateValues" dxfId="0" priority="805"/>
    <cfRule type="duplicateValues" dxfId="0" priority="806"/>
    <cfRule type="duplicateValues" dxfId="0" priority="814"/>
    <cfRule type="duplicateValues" dxfId="0" priority="808"/>
    <cfRule type="duplicateValues" dxfId="0" priority="809"/>
    <cfRule type="duplicateValues" dxfId="0" priority="810"/>
    <cfRule type="duplicateValues" dxfId="0" priority="811"/>
    <cfRule type="duplicateValues" dxfId="0" priority="812"/>
    <cfRule type="duplicateValues" dxfId="0" priority="813"/>
    <cfRule type="duplicateValues" dxfId="0" priority="815"/>
    <cfRule type="duplicateValues" dxfId="0" priority="816"/>
    <cfRule type="duplicateValues" dxfId="0" priority="817"/>
    <cfRule type="duplicateValues" dxfId="0" priority="818"/>
    <cfRule type="duplicateValues" dxfId="0" priority="807"/>
  </conditionalFormatting>
  <conditionalFormatting sqref="BT36">
    <cfRule type="duplicateValues" dxfId="0" priority="139"/>
    <cfRule type="duplicateValues" dxfId="0" priority="137"/>
    <cfRule type="duplicateValues" dxfId="0" priority="135"/>
    <cfRule type="duplicateValues" dxfId="0" priority="136"/>
    <cfRule type="duplicateValues" dxfId="0" priority="138"/>
    <cfRule type="duplicateValues" dxfId="0" priority="140"/>
    <cfRule type="duplicateValues" dxfId="0" priority="141"/>
    <cfRule type="duplicateValues" dxfId="0" priority="142"/>
  </conditionalFormatting>
  <conditionalFormatting sqref="BT37">
    <cfRule type="duplicateValues" dxfId="0" priority="151"/>
    <cfRule type="duplicateValues" dxfId="0" priority="158"/>
    <cfRule type="duplicateValues" dxfId="0" priority="157"/>
    <cfRule type="duplicateValues" dxfId="0" priority="156"/>
    <cfRule type="duplicateValues" dxfId="0" priority="155"/>
    <cfRule type="duplicateValues" dxfId="0" priority="154"/>
    <cfRule type="duplicateValues" dxfId="0" priority="153"/>
    <cfRule type="duplicateValues" dxfId="0" priority="152"/>
  </conditionalFormatting>
  <conditionalFormatting sqref="BT38">
    <cfRule type="duplicateValues" dxfId="0" priority="146"/>
    <cfRule type="duplicateValues" dxfId="0" priority="145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43"/>
    <cfRule type="duplicateValues" dxfId="0" priority="144"/>
  </conditionalFormatting>
  <conditionalFormatting sqref="BV2">
    <cfRule type="duplicateValues" dxfId="0" priority="3333"/>
  </conditionalFormatting>
  <hyperlinks>
    <hyperlink ref="BJ36" r:id="rId1"/>
    <hyperlink ref="W40" r:id="rId2"/>
  </hyperlinks>
  <pageMargins left="0.7" right="0.7" top="0.75" bottom="0.75" header="0.3" footer="0.3"/>
  <pageSetup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L15"/>
  <sheetViews>
    <sheetView showGridLines="0" zoomScale="78" zoomScaleNormal="78" workbookViewId="0">
      <pane xSplit="5" ySplit="1" topLeftCell="F2" activePane="bottomRight" state="frozen"/>
      <selection pane="topRight"/>
      <selection pane="bottomLeft"/>
      <selection pane="bottomRight" activeCell="G10" sqref="G10"/>
    </sheetView>
  </sheetViews>
  <sheetFormatPr defaultColWidth="9" defaultRowHeight="14.4"/>
  <cols>
    <col min="1" max="1" width="16" customWidth="1"/>
    <col min="2" max="2" width="14" customWidth="1"/>
    <col min="3" max="3" width="12.21875" customWidth="1"/>
    <col min="4" max="4" width="32" customWidth="1"/>
    <col min="5" max="5" width="11.5546875" customWidth="1"/>
    <col min="6" max="6" width="12.109375" customWidth="1"/>
    <col min="7" max="7" width="15.21875" customWidth="1"/>
    <col min="8" max="8" width="23.44140625" customWidth="1"/>
    <col min="9" max="9" width="15.5546875" customWidth="1"/>
    <col min="10" max="10" width="12.77734375" customWidth="1"/>
    <col min="11" max="11" width="20.77734375" customWidth="1"/>
    <col min="12" max="12" width="16.21875" customWidth="1"/>
    <col min="13" max="13" width="14.77734375" customWidth="1"/>
    <col min="14" max="14" width="9.21875" customWidth="1"/>
    <col min="15" max="15" width="23.77734375" customWidth="1"/>
    <col min="16" max="16" width="23.21875" customWidth="1"/>
    <col min="17" max="17" width="12.77734375" customWidth="1"/>
    <col min="18" max="18" width="8.77734375" customWidth="1"/>
    <col min="19" max="20" width="16" customWidth="1"/>
    <col min="21" max="21" width="17" customWidth="1"/>
    <col min="22" max="22" width="15.109375" customWidth="1"/>
    <col min="23" max="23" width="32.21875" customWidth="1"/>
    <col min="24" max="24" width="13" customWidth="1"/>
    <col min="25" max="25" width="13.77734375" customWidth="1"/>
    <col min="26" max="26" width="28.21875" customWidth="1"/>
    <col min="27" max="27" width="14.77734375" customWidth="1"/>
    <col min="28" max="28" width="13.77734375" customWidth="1"/>
    <col min="29" max="29" width="10.77734375" customWidth="1"/>
    <col min="30" max="30" width="11.77734375" customWidth="1"/>
    <col min="31" max="31" width="9.77734375" customWidth="1"/>
    <col min="32" max="32" width="12.109375" customWidth="1"/>
    <col min="33" max="33" width="18.21875" customWidth="1"/>
    <col min="34" max="34" width="13.77734375" customWidth="1"/>
    <col min="35" max="35" width="25" customWidth="1"/>
    <col min="36" max="36" width="33.77734375" customWidth="1"/>
    <col min="37" max="37" width="20.77734375" customWidth="1"/>
    <col min="38" max="38" width="38.21875" customWidth="1"/>
    <col min="39" max="39" width="21.109375" customWidth="1"/>
    <col min="40" max="40" width="21.77734375" customWidth="1"/>
    <col min="41" max="42" width="65.44140625" customWidth="1"/>
    <col min="43" max="43" width="19.77734375" customWidth="1"/>
    <col min="44" max="44" width="11.44140625" customWidth="1"/>
    <col min="45" max="45" width="11.5546875" customWidth="1"/>
    <col min="46" max="46" width="15.77734375" customWidth="1"/>
    <col min="47" max="47" width="11.21875" customWidth="1"/>
    <col min="48" max="48" width="15.44140625" customWidth="1"/>
    <col min="49" max="49" width="11.21875" customWidth="1"/>
    <col min="50" max="50" width="15.44140625" customWidth="1"/>
    <col min="51" max="51" width="11.21875" customWidth="1"/>
    <col min="52" max="52" width="15.44140625" customWidth="1"/>
    <col min="53" max="56" width="10.77734375" customWidth="1"/>
    <col min="57" max="57" width="9.21875" customWidth="1"/>
    <col min="58" max="58" width="11.44140625" customWidth="1"/>
  </cols>
  <sheetData>
    <row r="1" ht="43.2">
      <c r="A1" s="91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1" t="s">
        <v>7</v>
      </c>
      <c r="I1" s="91" t="s">
        <v>8</v>
      </c>
      <c r="J1" s="91" t="s">
        <v>9</v>
      </c>
      <c r="K1" s="91" t="s">
        <v>10</v>
      </c>
      <c r="L1" s="91" t="s">
        <v>11</v>
      </c>
      <c r="M1" s="91" t="s">
        <v>12</v>
      </c>
      <c r="N1" s="91" t="s">
        <v>13</v>
      </c>
      <c r="O1" s="91" t="s">
        <v>14</v>
      </c>
      <c r="P1" s="91" t="s">
        <v>15</v>
      </c>
      <c r="Q1" s="91" t="s">
        <v>16</v>
      </c>
      <c r="R1" s="91" t="s">
        <v>17</v>
      </c>
      <c r="S1" s="91" t="s">
        <v>18</v>
      </c>
      <c r="T1" s="91" t="s">
        <v>19</v>
      </c>
      <c r="U1" s="91" t="s">
        <v>20</v>
      </c>
      <c r="V1" s="91" t="s">
        <v>3476</v>
      </c>
      <c r="W1" s="91" t="s">
        <v>22</v>
      </c>
      <c r="X1" s="91" t="s">
        <v>23</v>
      </c>
      <c r="Y1" s="91" t="s">
        <v>24</v>
      </c>
      <c r="Z1" s="91" t="s">
        <v>25</v>
      </c>
      <c r="AA1" s="91" t="s">
        <v>26</v>
      </c>
      <c r="AB1" s="91" t="s">
        <v>27</v>
      </c>
      <c r="AC1" s="91" t="s">
        <v>28</v>
      </c>
      <c r="AD1" s="91" t="s">
        <v>29</v>
      </c>
      <c r="AE1" s="91" t="s">
        <v>30</v>
      </c>
      <c r="AF1" s="91" t="s">
        <v>31</v>
      </c>
      <c r="AG1" s="91" t="s">
        <v>32</v>
      </c>
      <c r="AH1" s="91" t="s">
        <v>33</v>
      </c>
      <c r="AI1" s="91" t="s">
        <v>34</v>
      </c>
      <c r="AJ1" s="91" t="s">
        <v>35</v>
      </c>
      <c r="AK1" s="91" t="s">
        <v>3477</v>
      </c>
      <c r="AL1" s="91" t="s">
        <v>37</v>
      </c>
      <c r="AM1" s="91" t="s">
        <v>38</v>
      </c>
      <c r="AN1" s="91" t="s">
        <v>39</v>
      </c>
      <c r="AO1" s="91" t="s">
        <v>40</v>
      </c>
      <c r="AP1" s="91" t="s">
        <v>41</v>
      </c>
      <c r="AQ1" s="91" t="s">
        <v>3478</v>
      </c>
      <c r="AR1" s="91" t="s">
        <v>43</v>
      </c>
      <c r="AS1" s="91" t="s">
        <v>44</v>
      </c>
      <c r="AT1" s="91" t="s">
        <v>45</v>
      </c>
      <c r="AU1" s="91" t="s">
        <v>46</v>
      </c>
      <c r="AV1" s="91" t="s">
        <v>47</v>
      </c>
      <c r="AW1" s="91" t="s">
        <v>48</v>
      </c>
      <c r="AX1" s="91" t="s">
        <v>49</v>
      </c>
      <c r="AY1" s="91" t="s">
        <v>50</v>
      </c>
      <c r="AZ1" s="91" t="s">
        <v>51</v>
      </c>
      <c r="BA1" s="91" t="s">
        <v>52</v>
      </c>
      <c r="BB1" s="91" t="s">
        <v>53</v>
      </c>
      <c r="BC1" s="91" t="s">
        <v>54</v>
      </c>
      <c r="BD1" s="91" t="s">
        <v>55</v>
      </c>
      <c r="BE1" s="91" t="s">
        <v>56</v>
      </c>
      <c r="BF1" s="91" t="s">
        <v>7297</v>
      </c>
    </row>
    <row r="2" ht="25.05" customHeight="1" s="130" customFormat="1">
      <c r="A2" s="21">
        <v>171082</v>
      </c>
      <c r="B2" s="21"/>
      <c r="C2" s="99"/>
      <c r="D2" s="21" t="s">
        <v>7298</v>
      </c>
      <c r="E2" s="21" t="s">
        <v>114</v>
      </c>
      <c r="F2" s="99"/>
      <c r="G2" s="21" t="s">
        <v>7299</v>
      </c>
      <c r="H2" s="21" t="s">
        <v>3486</v>
      </c>
      <c r="I2" s="21" t="s">
        <v>69</v>
      </c>
      <c r="J2" s="99"/>
      <c r="K2" s="21" t="s">
        <v>71</v>
      </c>
      <c r="L2" s="21" t="s">
        <v>3487</v>
      </c>
      <c r="M2" s="21"/>
      <c r="N2" s="21"/>
      <c r="O2" s="21"/>
      <c r="P2" s="21" t="s">
        <v>3564</v>
      </c>
      <c r="Q2" s="134">
        <v>45077</v>
      </c>
      <c r="R2" s="26"/>
      <c r="S2" s="26"/>
      <c r="T2" s="26"/>
      <c r="U2" s="21"/>
      <c r="V2" s="21"/>
      <c r="W2" s="21"/>
      <c r="X2" s="103"/>
      <c r="Y2" s="99"/>
      <c r="Z2" s="109"/>
      <c r="AA2" s="21"/>
      <c r="AB2" s="21"/>
      <c r="AC2" s="21"/>
      <c r="AD2" s="21"/>
      <c r="AE2" s="26"/>
      <c r="AF2" s="110"/>
      <c r="AG2" s="21"/>
      <c r="AH2" s="135"/>
      <c r="AI2" s="21"/>
      <c r="AJ2" s="99"/>
      <c r="AK2" s="99"/>
      <c r="AL2" s="99"/>
      <c r="AM2" s="21"/>
      <c r="AN2" s="21"/>
      <c r="AO2" s="21"/>
      <c r="AP2" s="99"/>
      <c r="AQ2" s="99"/>
      <c r="AR2" s="99"/>
      <c r="AS2" s="21"/>
      <c r="AT2" s="21"/>
      <c r="AU2" s="26"/>
      <c r="AV2" s="21"/>
      <c r="AW2" s="21"/>
      <c r="AX2" s="21"/>
      <c r="AY2" s="21"/>
      <c r="AZ2" s="21"/>
      <c r="BA2" s="21"/>
      <c r="BB2" s="21" t="s">
        <v>7300</v>
      </c>
      <c r="BC2" s="21">
        <v>10800</v>
      </c>
      <c r="BD2" s="21">
        <v>2700</v>
      </c>
      <c r="BE2" s="21">
        <v>2500</v>
      </c>
      <c r="BF2" s="118">
        <v>45081</v>
      </c>
    </row>
    <row r="3" ht="25.05" customHeight="1" s="130" customFormat="1">
      <c r="A3" s="21">
        <v>171069</v>
      </c>
      <c r="B3" s="21"/>
      <c r="C3" s="99" t="s">
        <v>7301</v>
      </c>
      <c r="D3" s="21" t="s">
        <v>7302</v>
      </c>
      <c r="E3" s="21" t="s">
        <v>114</v>
      </c>
      <c r="F3" s="99">
        <v>825889</v>
      </c>
      <c r="G3" s="21" t="s">
        <v>7299</v>
      </c>
      <c r="H3" s="21" t="s">
        <v>3486</v>
      </c>
      <c r="I3" s="21" t="s">
        <v>69</v>
      </c>
      <c r="J3" s="99" t="s">
        <v>70</v>
      </c>
      <c r="K3" s="21" t="s">
        <v>71</v>
      </c>
      <c r="L3" s="21" t="s">
        <v>3487</v>
      </c>
      <c r="M3" s="21" t="s">
        <v>6857</v>
      </c>
      <c r="N3" s="21" t="s">
        <v>74</v>
      </c>
      <c r="O3" s="21" t="s">
        <v>3488</v>
      </c>
      <c r="P3" s="21" t="s">
        <v>3564</v>
      </c>
      <c r="Q3" s="134">
        <v>45077</v>
      </c>
      <c r="R3" s="26" t="s">
        <v>7303</v>
      </c>
      <c r="S3" s="26"/>
      <c r="T3" s="26"/>
      <c r="U3" s="21"/>
      <c r="V3" s="21"/>
      <c r="W3" s="21" t="s">
        <v>7304</v>
      </c>
      <c r="X3" s="103">
        <v>1778265886</v>
      </c>
      <c r="Y3" s="99">
        <v>1778265886</v>
      </c>
      <c r="Z3" s="109" t="s">
        <v>7305</v>
      </c>
      <c r="AA3" s="21">
        <v>1760148087</v>
      </c>
      <c r="AB3" s="21" t="s">
        <v>252</v>
      </c>
      <c r="AC3" s="21" t="s">
        <v>133</v>
      </c>
      <c r="AD3" s="21">
        <v>35264</v>
      </c>
      <c r="AE3" s="26">
        <f>(TODAY()-AD3)/365</f>
        <v>28.583561643835615</v>
      </c>
      <c r="AF3" s="110" t="s">
        <v>80</v>
      </c>
      <c r="AG3" s="21">
        <v>4159259375</v>
      </c>
      <c r="AH3" s="135" t="s">
        <v>81</v>
      </c>
      <c r="AI3" s="21" t="s">
        <v>2523</v>
      </c>
      <c r="AJ3" s="99" t="s">
        <v>81</v>
      </c>
      <c r="AK3" s="99" t="s">
        <v>81</v>
      </c>
      <c r="AL3" s="99" t="s">
        <v>2727</v>
      </c>
      <c r="AM3" s="21" t="s">
        <v>7306</v>
      </c>
      <c r="AN3" s="21" t="s">
        <v>7307</v>
      </c>
      <c r="AO3" s="21" t="s">
        <v>7308</v>
      </c>
      <c r="AP3" s="99" t="s">
        <v>7309</v>
      </c>
      <c r="AQ3" s="99" t="s">
        <v>7308</v>
      </c>
      <c r="AR3" s="99" t="s">
        <v>110</v>
      </c>
      <c r="AS3" s="21" t="s">
        <v>81</v>
      </c>
      <c r="AT3" s="21" t="s">
        <v>81</v>
      </c>
      <c r="AU3" s="26" t="s">
        <v>81</v>
      </c>
      <c r="AV3" s="21" t="s">
        <v>81</v>
      </c>
      <c r="AW3" s="21" t="s">
        <v>81</v>
      </c>
      <c r="AX3" s="21" t="s">
        <v>81</v>
      </c>
      <c r="AY3" s="21" t="s">
        <v>81</v>
      </c>
      <c r="AZ3" s="21" t="s">
        <v>81</v>
      </c>
      <c r="BA3" s="21" t="s">
        <v>7300</v>
      </c>
      <c r="BB3" s="21">
        <v>10800</v>
      </c>
      <c r="BC3" s="21">
        <v>2700</v>
      </c>
      <c r="BD3" s="21">
        <v>2500</v>
      </c>
      <c r="BE3" s="21" t="s">
        <v>3572</v>
      </c>
      <c r="BF3" s="21"/>
    </row>
    <row r="4" ht="25.05" customHeight="1" s="130" customFormat="1">
      <c r="A4" s="21">
        <v>171076</v>
      </c>
      <c r="B4" s="21"/>
      <c r="C4" s="99" t="s">
        <v>7310</v>
      </c>
      <c r="D4" s="21" t="s">
        <v>7311</v>
      </c>
      <c r="E4" s="21" t="s">
        <v>114</v>
      </c>
      <c r="F4" s="99">
        <v>1115266110</v>
      </c>
      <c r="G4" s="21" t="s">
        <v>7299</v>
      </c>
      <c r="H4" s="21" t="s">
        <v>3486</v>
      </c>
      <c r="I4" s="21" t="s">
        <v>69</v>
      </c>
      <c r="J4" s="99" t="s">
        <v>155</v>
      </c>
      <c r="K4" s="21" t="s">
        <v>71</v>
      </c>
      <c r="L4" s="21" t="s">
        <v>3487</v>
      </c>
      <c r="M4" s="21" t="s">
        <v>6857</v>
      </c>
      <c r="N4" s="21" t="s">
        <v>74</v>
      </c>
      <c r="O4" s="21" t="s">
        <v>3488</v>
      </c>
      <c r="P4" s="21" t="s">
        <v>3564</v>
      </c>
      <c r="Q4" s="134">
        <v>45077</v>
      </c>
      <c r="R4" s="26" t="s">
        <v>7303</v>
      </c>
      <c r="S4" s="26"/>
      <c r="T4" s="26"/>
      <c r="U4" s="21"/>
      <c r="V4" s="21"/>
      <c r="W4" s="21" t="s">
        <v>7312</v>
      </c>
      <c r="X4" s="103">
        <v>1704431714</v>
      </c>
      <c r="Y4" s="99">
        <v>1701069891</v>
      </c>
      <c r="Z4" s="109" t="s">
        <v>522</v>
      </c>
      <c r="AA4" s="21">
        <v>1760409267</v>
      </c>
      <c r="AB4" s="21" t="s">
        <v>252</v>
      </c>
      <c r="AC4" s="21" t="s">
        <v>119</v>
      </c>
      <c r="AD4" s="21">
        <v>36325</v>
      </c>
      <c r="AE4" s="26">
        <f>(TODAY()-AD4)/365</f>
        <v>25.676712328767124</v>
      </c>
      <c r="AF4" s="110" t="s">
        <v>80</v>
      </c>
      <c r="AG4" s="21">
        <v>8703983257</v>
      </c>
      <c r="AH4" s="135" t="s">
        <v>7313</v>
      </c>
      <c r="AI4" s="21" t="s">
        <v>160</v>
      </c>
      <c r="AJ4" s="99" t="s">
        <v>3944</v>
      </c>
      <c r="AK4" s="99">
        <v>45292</v>
      </c>
      <c r="AL4" s="99" t="s">
        <v>1809</v>
      </c>
      <c r="AM4" s="21" t="s">
        <v>7314</v>
      </c>
      <c r="AN4" s="21" t="s">
        <v>7315</v>
      </c>
      <c r="AO4" s="21" t="s">
        <v>7316</v>
      </c>
      <c r="AP4" s="99" t="s">
        <v>7317</v>
      </c>
      <c r="AQ4" s="99" t="s">
        <v>7316</v>
      </c>
      <c r="AR4" s="99" t="s">
        <v>110</v>
      </c>
      <c r="AS4" s="21" t="s">
        <v>81</v>
      </c>
      <c r="AT4" s="21" t="s">
        <v>81</v>
      </c>
      <c r="AU4" s="26" t="s">
        <v>81</v>
      </c>
      <c r="AV4" s="21" t="s">
        <v>81</v>
      </c>
      <c r="AW4" s="21" t="s">
        <v>81</v>
      </c>
      <c r="AX4" s="21" t="s">
        <v>81</v>
      </c>
      <c r="AY4" s="21" t="s">
        <v>81</v>
      </c>
      <c r="AZ4" s="21" t="s">
        <v>81</v>
      </c>
      <c r="BA4" s="21" t="s">
        <v>7300</v>
      </c>
      <c r="BB4" s="21">
        <v>10800</v>
      </c>
      <c r="BC4" s="21">
        <v>2700</v>
      </c>
      <c r="BD4" s="21">
        <v>2500</v>
      </c>
      <c r="BE4" s="21" t="s">
        <v>3572</v>
      </c>
      <c r="BF4" s="21"/>
    </row>
    <row r="5" ht="25.05" customHeight="1" s="130" customFormat="1">
      <c r="A5" s="21">
        <v>171086</v>
      </c>
      <c r="B5" s="21"/>
      <c r="C5" s="99" t="s">
        <v>7318</v>
      </c>
      <c r="D5" s="21" t="s">
        <v>7319</v>
      </c>
      <c r="E5" s="21" t="s">
        <v>114</v>
      </c>
      <c r="F5" s="99">
        <v>800091</v>
      </c>
      <c r="G5" s="21" t="s">
        <v>7299</v>
      </c>
      <c r="H5" s="21" t="s">
        <v>3486</v>
      </c>
      <c r="I5" s="21" t="s">
        <v>69</v>
      </c>
      <c r="J5" s="99" t="s">
        <v>155</v>
      </c>
      <c r="K5" s="21" t="s">
        <v>71</v>
      </c>
      <c r="L5" s="21" t="s">
        <v>3487</v>
      </c>
      <c r="M5" s="21" t="s">
        <v>6857</v>
      </c>
      <c r="N5" s="21" t="s">
        <v>74</v>
      </c>
      <c r="O5" s="21" t="s">
        <v>3488</v>
      </c>
      <c r="P5" s="21" t="s">
        <v>3564</v>
      </c>
      <c r="Q5" s="134">
        <v>45077</v>
      </c>
      <c r="R5" s="26" t="s">
        <v>7303</v>
      </c>
      <c r="S5" s="26"/>
      <c r="T5" s="26"/>
      <c r="U5" s="21"/>
      <c r="V5" s="21"/>
      <c r="W5" s="21" t="s">
        <v>7320</v>
      </c>
      <c r="X5" s="103">
        <v>1742295000</v>
      </c>
      <c r="Y5" s="99">
        <v>1400119399</v>
      </c>
      <c r="Z5" s="109" t="s">
        <v>7321</v>
      </c>
      <c r="AA5" s="21">
        <v>1674150136</v>
      </c>
      <c r="AB5" s="21" t="s">
        <v>7322</v>
      </c>
      <c r="AC5" s="21" t="s">
        <v>79</v>
      </c>
      <c r="AD5" s="21">
        <v>34984</v>
      </c>
      <c r="AE5" s="26">
        <f>(TODAY()-AD5)/365</f>
        <v>29.350684931506848</v>
      </c>
      <c r="AF5" s="110" t="s">
        <v>80</v>
      </c>
      <c r="AG5" s="21">
        <v>8231632160</v>
      </c>
      <c r="AH5" s="135" t="s">
        <v>81</v>
      </c>
      <c r="AI5" s="21" t="s">
        <v>896</v>
      </c>
      <c r="AJ5" s="99" t="s">
        <v>81</v>
      </c>
      <c r="AK5" s="99" t="s">
        <v>81</v>
      </c>
      <c r="AL5" s="99" t="s">
        <v>7323</v>
      </c>
      <c r="AM5" s="21" t="s">
        <v>7324</v>
      </c>
      <c r="AN5" s="21" t="s">
        <v>7325</v>
      </c>
      <c r="AO5" s="21" t="s">
        <v>7326</v>
      </c>
      <c r="AP5" s="99" t="s">
        <v>7327</v>
      </c>
      <c r="AQ5" s="99" t="s">
        <v>7328</v>
      </c>
      <c r="AR5" s="99" t="s">
        <v>110</v>
      </c>
      <c r="AS5" s="21" t="s">
        <v>81</v>
      </c>
      <c r="AT5" s="21" t="s">
        <v>81</v>
      </c>
      <c r="AU5" s="26" t="s">
        <v>81</v>
      </c>
      <c r="AV5" s="21" t="s">
        <v>81</v>
      </c>
      <c r="AW5" s="21" t="s">
        <v>81</v>
      </c>
      <c r="AX5" s="21" t="s">
        <v>81</v>
      </c>
      <c r="AY5" s="21" t="s">
        <v>81</v>
      </c>
      <c r="AZ5" s="21" t="s">
        <v>81</v>
      </c>
      <c r="BA5" s="21" t="s">
        <v>7300</v>
      </c>
      <c r="BB5" s="21">
        <v>10800</v>
      </c>
      <c r="BC5" s="21">
        <v>2700</v>
      </c>
      <c r="BD5" s="21">
        <v>2500</v>
      </c>
      <c r="BE5" s="21" t="s">
        <v>3572</v>
      </c>
      <c r="BF5" s="21"/>
    </row>
    <row r="6" ht="25.05" customHeight="1" s="130" customFormat="1">
      <c r="A6" s="21">
        <v>171118</v>
      </c>
      <c r="B6" s="21"/>
      <c r="C6" s="99" t="s">
        <v>81</v>
      </c>
      <c r="D6" s="21" t="s">
        <v>7329</v>
      </c>
      <c r="E6" s="21" t="s">
        <v>114</v>
      </c>
      <c r="F6" s="99" t="s">
        <v>81</v>
      </c>
      <c r="G6" s="21" t="s">
        <v>67</v>
      </c>
      <c r="H6" s="21" t="s">
        <v>3486</v>
      </c>
      <c r="I6" s="21" t="s">
        <v>2494</v>
      </c>
      <c r="J6" s="99" t="s">
        <v>237</v>
      </c>
      <c r="K6" s="21" t="s">
        <v>71</v>
      </c>
      <c r="L6" s="21" t="s">
        <v>2466</v>
      </c>
      <c r="M6" s="21" t="s">
        <v>2643</v>
      </c>
      <c r="N6" s="21" t="s">
        <v>238</v>
      </c>
      <c r="O6" s="21" t="s">
        <v>7330</v>
      </c>
      <c r="P6" s="21" t="s">
        <v>3651</v>
      </c>
      <c r="Q6" s="134">
        <v>45116</v>
      </c>
      <c r="R6" s="26" t="s">
        <v>81</v>
      </c>
      <c r="S6" s="26"/>
      <c r="T6" s="26"/>
      <c r="U6" s="21"/>
      <c r="V6" s="21"/>
      <c r="W6" s="21" t="s">
        <v>7331</v>
      </c>
      <c r="X6" s="103">
        <v>1718424484</v>
      </c>
      <c r="Y6" s="99">
        <v>1770100050</v>
      </c>
      <c r="Z6" s="109" t="s">
        <v>81</v>
      </c>
      <c r="AA6" s="21" t="s">
        <v>81</v>
      </c>
      <c r="AB6" s="21" t="s">
        <v>81</v>
      </c>
      <c r="AC6" s="21" t="s">
        <v>102</v>
      </c>
      <c r="AD6" s="21">
        <v>35347</v>
      </c>
      <c r="AE6" s="26"/>
      <c r="AF6" s="110" t="s">
        <v>80</v>
      </c>
      <c r="AG6" s="21">
        <v>2414154118</v>
      </c>
      <c r="AH6" s="135" t="s">
        <v>81</v>
      </c>
      <c r="AI6" s="21" t="s">
        <v>187</v>
      </c>
      <c r="AJ6" s="99" t="s">
        <v>81</v>
      </c>
      <c r="AK6" s="99" t="s">
        <v>81</v>
      </c>
      <c r="AL6" s="99" t="s">
        <v>209</v>
      </c>
      <c r="AM6" s="21" t="s">
        <v>7332</v>
      </c>
      <c r="AN6" s="21" t="s">
        <v>7333</v>
      </c>
      <c r="AO6" s="21" t="s">
        <v>7334</v>
      </c>
      <c r="AP6" s="99" t="s">
        <v>7335</v>
      </c>
      <c r="AQ6" s="99" t="s">
        <v>7336</v>
      </c>
      <c r="AR6" s="99" t="s">
        <v>110</v>
      </c>
      <c r="AS6" s="21" t="s">
        <v>81</v>
      </c>
      <c r="AT6" s="21" t="s">
        <v>81</v>
      </c>
      <c r="AU6" s="26" t="s">
        <v>81</v>
      </c>
      <c r="AV6" s="21" t="s">
        <v>81</v>
      </c>
      <c r="AW6" s="21" t="s">
        <v>81</v>
      </c>
      <c r="AX6" s="21" t="s">
        <v>81</v>
      </c>
      <c r="AY6" s="21" t="s">
        <v>81</v>
      </c>
      <c r="AZ6" s="21" t="s">
        <v>81</v>
      </c>
      <c r="BA6" s="21" t="s">
        <v>7300</v>
      </c>
      <c r="BB6" s="21">
        <v>10800</v>
      </c>
      <c r="BC6" s="21">
        <v>2700</v>
      </c>
      <c r="BD6" s="21" t="s">
        <v>81</v>
      </c>
      <c r="BE6" s="21" t="s">
        <v>91</v>
      </c>
      <c r="BF6" s="21"/>
    </row>
    <row r="7" ht="25.05" customHeight="1" s="86" customFormat="1">
      <c r="A7" s="21">
        <v>171099</v>
      </c>
      <c r="B7" s="21"/>
      <c r="C7" s="98" t="s">
        <v>574</v>
      </c>
      <c r="D7" s="21" t="s">
        <v>4022</v>
      </c>
      <c r="E7" s="98" t="s">
        <v>114</v>
      </c>
      <c r="F7" s="98">
        <v>335681</v>
      </c>
      <c r="G7" s="21" t="s">
        <v>67</v>
      </c>
      <c r="H7" s="21" t="s">
        <v>3486</v>
      </c>
      <c r="I7" s="21" t="s">
        <v>69</v>
      </c>
      <c r="J7" s="99" t="s">
        <v>2495</v>
      </c>
      <c r="K7" s="21" t="s">
        <v>71</v>
      </c>
      <c r="L7" s="21" t="s">
        <v>3487</v>
      </c>
      <c r="M7" s="21" t="s">
        <v>2643</v>
      </c>
      <c r="N7" s="98" t="s">
        <v>74</v>
      </c>
      <c r="O7" s="21" t="s">
        <v>3788</v>
      </c>
      <c r="P7" s="21" t="s">
        <v>3597</v>
      </c>
      <c r="Q7" s="26">
        <v>45110</v>
      </c>
      <c r="R7" s="26">
        <v>45113</v>
      </c>
      <c r="S7" s="21"/>
      <c r="T7" s="21"/>
      <c r="U7" s="21"/>
      <c r="V7" s="21"/>
      <c r="W7" s="103" t="s">
        <v>4023</v>
      </c>
      <c r="X7" s="98">
        <v>1713965790</v>
      </c>
      <c r="Y7" s="98">
        <v>1518405497</v>
      </c>
      <c r="Z7" s="98" t="s">
        <v>4024</v>
      </c>
      <c r="AA7" s="98">
        <v>1888713465</v>
      </c>
      <c r="AB7" s="98" t="s">
        <v>382</v>
      </c>
      <c r="AC7" s="98" t="s">
        <v>79</v>
      </c>
      <c r="AD7" s="111">
        <v>34799</v>
      </c>
      <c r="AE7" s="110">
        <f>(TODAY()-AD7)/365</f>
        <v>29.85753424657534</v>
      </c>
      <c r="AF7" s="98" t="s">
        <v>80</v>
      </c>
      <c r="AG7" s="98">
        <v>1502017864</v>
      </c>
      <c r="AH7" s="98" t="s">
        <v>81</v>
      </c>
      <c r="AI7" s="98" t="s">
        <v>290</v>
      </c>
      <c r="AJ7" s="98" t="s">
        <v>1619</v>
      </c>
      <c r="AK7" s="98">
        <v>2023</v>
      </c>
      <c r="AL7" s="116" t="s">
        <v>4025</v>
      </c>
      <c r="AM7" s="98" t="s">
        <v>4026</v>
      </c>
      <c r="AN7" s="98" t="s">
        <v>4027</v>
      </c>
      <c r="AO7" s="98" t="s">
        <v>4028</v>
      </c>
      <c r="AP7" s="98" t="s">
        <v>4029</v>
      </c>
      <c r="AQ7" s="98" t="s">
        <v>499</v>
      </c>
      <c r="AR7" s="98" t="s">
        <v>224</v>
      </c>
      <c r="AS7" s="98"/>
      <c r="AT7" s="119"/>
      <c r="AU7" s="98"/>
      <c r="AV7" s="98"/>
      <c r="AW7" s="98"/>
      <c r="AX7" s="98"/>
      <c r="AY7" s="98"/>
      <c r="AZ7" s="98"/>
      <c r="BA7" s="21" t="s">
        <v>3498</v>
      </c>
      <c r="BB7" s="21">
        <v>10800</v>
      </c>
      <c r="BC7" s="21">
        <v>2700</v>
      </c>
      <c r="BD7" s="21">
        <v>0</v>
      </c>
      <c r="BE7" s="21" t="s">
        <v>91</v>
      </c>
      <c r="BF7" s="118">
        <v>45173</v>
      </c>
    </row>
    <row r="8" ht="25.05" customHeight="1" s="86" customFormat="1">
      <c r="A8" s="4">
        <v>171143</v>
      </c>
      <c r="B8" s="94">
        <v>171143</v>
      </c>
      <c r="C8" s="4" t="s">
        <v>7337</v>
      </c>
      <c r="D8" s="21" t="s">
        <v>6920</v>
      </c>
      <c r="E8" s="98" t="s">
        <v>114</v>
      </c>
      <c r="F8" s="4">
        <v>1217762739</v>
      </c>
      <c r="G8" s="21" t="s">
        <v>67</v>
      </c>
      <c r="H8" s="21" t="s">
        <v>3486</v>
      </c>
      <c r="I8" s="21" t="s">
        <v>69</v>
      </c>
      <c r="J8" s="21" t="s">
        <v>155</v>
      </c>
      <c r="K8" s="21" t="s">
        <v>71</v>
      </c>
      <c r="L8" s="21" t="s">
        <v>3487</v>
      </c>
      <c r="M8" s="94" t="s">
        <v>3512</v>
      </c>
      <c r="N8" s="21" t="s">
        <v>74</v>
      </c>
      <c r="O8" s="21" t="s">
        <v>75</v>
      </c>
      <c r="P8" s="21" t="s">
        <v>3951</v>
      </c>
      <c r="Q8" s="69">
        <v>45187</v>
      </c>
      <c r="R8" s="4" t="s">
        <v>7303</v>
      </c>
      <c r="S8" s="21"/>
      <c r="T8" s="21"/>
      <c r="U8" s="21"/>
      <c r="V8" s="21"/>
      <c r="W8" s="4" t="s">
        <v>7338</v>
      </c>
      <c r="X8" s="4">
        <v>1739121841</v>
      </c>
      <c r="Y8" s="4">
        <v>1701916543</v>
      </c>
      <c r="Z8" s="4" t="s">
        <v>7339</v>
      </c>
      <c r="AA8" s="4">
        <v>1725650706</v>
      </c>
      <c r="AB8" s="4" t="s">
        <v>101</v>
      </c>
      <c r="AC8" s="4" t="s">
        <v>119</v>
      </c>
      <c r="AD8" s="69">
        <v>36118</v>
      </c>
      <c r="AE8" s="110">
        <f>(TODAY()-AD8)/365</f>
        <v>26.243835616438357</v>
      </c>
      <c r="AF8" s="4" t="s">
        <v>80</v>
      </c>
      <c r="AG8" s="4">
        <v>6475245244</v>
      </c>
      <c r="AH8" s="4" t="s">
        <v>81</v>
      </c>
      <c r="AI8" s="4" t="s">
        <v>290</v>
      </c>
      <c r="AJ8" s="4" t="s">
        <v>81</v>
      </c>
      <c r="AK8" s="4">
        <v>2023</v>
      </c>
      <c r="AL8" s="4" t="s">
        <v>7340</v>
      </c>
      <c r="AM8" s="4" t="s">
        <v>7339</v>
      </c>
      <c r="AN8" s="4" t="s">
        <v>7341</v>
      </c>
      <c r="AO8" s="4" t="s">
        <v>7342</v>
      </c>
      <c r="AP8" s="4" t="s">
        <v>7343</v>
      </c>
      <c r="AQ8" s="4" t="s">
        <v>499</v>
      </c>
      <c r="AR8" s="21" t="s">
        <v>260</v>
      </c>
      <c r="AS8" s="21"/>
      <c r="AT8" s="118"/>
      <c r="AU8" s="21"/>
      <c r="AV8" s="26"/>
      <c r="AW8" s="21"/>
      <c r="AX8" s="21"/>
      <c r="AY8" s="21"/>
      <c r="AZ8" s="21"/>
      <c r="BA8" s="151" t="s">
        <v>3498</v>
      </c>
      <c r="BB8" s="120">
        <v>10800</v>
      </c>
      <c r="BC8" s="4">
        <v>2700</v>
      </c>
      <c r="BD8" s="21">
        <v>1000</v>
      </c>
      <c r="BE8" s="125" t="s">
        <v>166</v>
      </c>
      <c r="BF8" s="21" t="s">
        <v>167</v>
      </c>
    </row>
    <row r="9" ht="25.05" customHeight="1" s="131" customFormat="1">
      <c r="A9" s="94">
        <v>171122</v>
      </c>
      <c r="B9" s="125">
        <v>171122</v>
      </c>
      <c r="C9" s="92" t="s">
        <v>4072</v>
      </c>
      <c r="D9" s="4" t="s">
        <v>7344</v>
      </c>
      <c r="E9" s="98" t="s">
        <v>114</v>
      </c>
      <c r="F9" s="21"/>
      <c r="G9" s="21"/>
      <c r="H9" s="21"/>
      <c r="I9" s="21"/>
      <c r="J9" s="21"/>
      <c r="K9" s="21"/>
      <c r="L9" s="21"/>
      <c r="M9" s="21"/>
      <c r="N9" s="132"/>
      <c r="O9" s="133"/>
      <c r="P9" s="21"/>
      <c r="Q9" s="21"/>
      <c r="R9" s="21"/>
      <c r="S9" s="21"/>
      <c r="T9" s="21"/>
      <c r="U9" s="21"/>
      <c r="V9" s="21"/>
      <c r="W9" s="21"/>
      <c r="X9" s="21"/>
      <c r="Y9" s="21"/>
      <c r="Z9" s="4"/>
      <c r="AA9" s="21"/>
      <c r="AB9" s="21"/>
      <c r="AC9" s="132"/>
      <c r="AD9" s="132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132"/>
      <c r="BD9" s="21"/>
      <c r="BE9" s="21"/>
      <c r="BF9" s="132"/>
      <c r="BG9" s="42"/>
      <c r="BH9" s="42"/>
      <c r="BI9" s="42"/>
      <c r="BJ9" s="42"/>
      <c r="BK9" s="42"/>
      <c r="BL9" s="42"/>
    </row>
    <row r="10" ht="25.05" customHeight="1" s="131" customFormat="1">
      <c r="A10" s="94">
        <v>171124</v>
      </c>
      <c r="B10" s="125">
        <v>171124</v>
      </c>
      <c r="C10" s="92" t="s">
        <v>4931</v>
      </c>
      <c r="D10" s="21" t="s">
        <v>7345</v>
      </c>
      <c r="E10" s="21" t="s">
        <v>66</v>
      </c>
      <c r="F10" s="21"/>
      <c r="G10" s="21"/>
      <c r="H10" s="21"/>
      <c r="I10" s="21"/>
      <c r="J10" s="21"/>
      <c r="K10" s="21"/>
      <c r="L10" s="21"/>
      <c r="M10" s="21"/>
      <c r="N10" s="132"/>
      <c r="O10" s="133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32"/>
      <c r="AD10" s="132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4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132"/>
      <c r="BD10" s="21"/>
      <c r="BE10" s="21"/>
      <c r="BF10" s="132"/>
      <c r="BG10" s="42"/>
      <c r="BH10" s="42"/>
      <c r="BI10" s="42"/>
      <c r="BJ10" s="136"/>
      <c r="BK10" s="42"/>
      <c r="BL10" s="42"/>
    </row>
    <row r="11" ht="25.05" customHeight="1" s="131" customFormat="1">
      <c r="A11" s="94">
        <v>171126</v>
      </c>
      <c r="B11" s="125">
        <v>171126</v>
      </c>
      <c r="C11" s="92" t="s">
        <v>5240</v>
      </c>
      <c r="D11" s="21" t="s">
        <v>3230</v>
      </c>
      <c r="E11" s="98" t="s">
        <v>114</v>
      </c>
      <c r="F11" s="21"/>
      <c r="G11" s="21"/>
      <c r="H11" s="21"/>
      <c r="I11" s="21"/>
      <c r="J11" s="21"/>
      <c r="K11" s="21"/>
      <c r="L11" s="21"/>
      <c r="M11" s="21"/>
      <c r="N11" s="132"/>
      <c r="O11" s="125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32"/>
      <c r="AD11" s="132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4"/>
      <c r="AP11" s="21"/>
      <c r="AQ11" s="21"/>
      <c r="AR11" s="4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132"/>
      <c r="BD11" s="21"/>
      <c r="BE11" s="21"/>
      <c r="BF11" s="137"/>
      <c r="BG11" s="42"/>
      <c r="BH11" s="42"/>
      <c r="BI11" s="42"/>
      <c r="BJ11" s="136"/>
      <c r="BK11" s="42"/>
      <c r="BL11" s="42"/>
    </row>
    <row r="12" ht="25.05" customHeight="1" s="86" customFormat="1">
      <c r="A12" s="4">
        <v>171137</v>
      </c>
      <c r="B12" s="125"/>
      <c r="C12" s="21" t="s">
        <v>7346</v>
      </c>
      <c r="D12" s="21" t="s">
        <v>7347</v>
      </c>
      <c r="E12" s="98" t="s">
        <v>114</v>
      </c>
      <c r="F12" s="21">
        <v>1310423166</v>
      </c>
      <c r="G12" s="21" t="s">
        <v>67</v>
      </c>
      <c r="H12" s="21" t="s">
        <v>3486</v>
      </c>
      <c r="I12" s="21" t="s">
        <v>69</v>
      </c>
      <c r="J12" s="21" t="s">
        <v>155</v>
      </c>
      <c r="K12" s="21" t="s">
        <v>71</v>
      </c>
      <c r="L12" s="21" t="s">
        <v>3487</v>
      </c>
      <c r="M12" s="125" t="s">
        <v>3512</v>
      </c>
      <c r="N12" s="21" t="s">
        <v>74</v>
      </c>
      <c r="O12" s="21" t="s">
        <v>75</v>
      </c>
      <c r="P12" s="21" t="s">
        <v>3951</v>
      </c>
      <c r="Q12" s="132">
        <v>45187</v>
      </c>
      <c r="R12" s="21" t="s">
        <v>7303</v>
      </c>
      <c r="S12" s="21"/>
      <c r="T12" s="21"/>
      <c r="U12" s="21"/>
      <c r="V12" s="21"/>
      <c r="W12" s="21" t="s">
        <v>7348</v>
      </c>
      <c r="X12" s="21">
        <v>1749169470</v>
      </c>
      <c r="Y12" s="21" t="s">
        <v>81</v>
      </c>
      <c r="Z12" s="21" t="s">
        <v>7349</v>
      </c>
      <c r="AA12" s="21">
        <v>1778273217</v>
      </c>
      <c r="AB12" s="21" t="s">
        <v>144</v>
      </c>
      <c r="AC12" s="21" t="s">
        <v>133</v>
      </c>
      <c r="AD12" s="132">
        <v>36497</v>
      </c>
      <c r="AE12" s="110">
        <f>(TODAY()-AD12)/365</f>
        <v>25.205479452054796</v>
      </c>
      <c r="AF12" s="21" t="s">
        <v>80</v>
      </c>
      <c r="AG12" s="21">
        <v>5565062212</v>
      </c>
      <c r="AH12" s="21" t="s">
        <v>81</v>
      </c>
      <c r="AI12" s="21" t="s">
        <v>290</v>
      </c>
      <c r="AJ12" s="21" t="s">
        <v>81</v>
      </c>
      <c r="AK12" s="21">
        <v>2023</v>
      </c>
      <c r="AL12" s="21" t="s">
        <v>4429</v>
      </c>
      <c r="AM12" s="21" t="s">
        <v>7350</v>
      </c>
      <c r="AN12" s="21" t="s">
        <v>7351</v>
      </c>
      <c r="AO12" s="4" t="s">
        <v>7352</v>
      </c>
      <c r="AP12" s="21" t="s">
        <v>7353</v>
      </c>
      <c r="AQ12" s="21" t="s">
        <v>1282</v>
      </c>
      <c r="AR12" s="21" t="s">
        <v>260</v>
      </c>
      <c r="AS12" s="21"/>
      <c r="AT12" s="118"/>
      <c r="AU12" s="21"/>
      <c r="AV12" s="26"/>
      <c r="AW12" s="21"/>
      <c r="AX12" s="21"/>
      <c r="AY12" s="21"/>
      <c r="AZ12" s="21"/>
      <c r="BA12" s="151" t="s">
        <v>7299</v>
      </c>
      <c r="BB12" s="120">
        <v>10800</v>
      </c>
      <c r="BC12" s="4">
        <v>2700</v>
      </c>
      <c r="BD12" s="21">
        <v>1000</v>
      </c>
      <c r="BE12" s="125" t="s">
        <v>166</v>
      </c>
      <c r="BF12" s="21" t="s">
        <v>167</v>
      </c>
      <c r="BG12" s="86" t="s">
        <v>167</v>
      </c>
      <c r="BH12" s="86" t="s">
        <v>168</v>
      </c>
    </row>
    <row r="13" ht="25.05" customHeight="1" s="86" customFormat="1">
      <c r="A13" s="4">
        <v>171139</v>
      </c>
      <c r="B13" s="125"/>
      <c r="C13" s="4" t="s">
        <v>7354</v>
      </c>
      <c r="D13" s="21" t="s">
        <v>7355</v>
      </c>
      <c r="E13" s="98" t="s">
        <v>114</v>
      </c>
      <c r="F13" s="21">
        <v>1010785939</v>
      </c>
      <c r="G13" s="21" t="s">
        <v>67</v>
      </c>
      <c r="H13" s="21" t="s">
        <v>3486</v>
      </c>
      <c r="I13" s="21" t="s">
        <v>69</v>
      </c>
      <c r="J13" s="21" t="s">
        <v>155</v>
      </c>
      <c r="K13" s="21" t="s">
        <v>71</v>
      </c>
      <c r="L13" s="21" t="s">
        <v>3487</v>
      </c>
      <c r="M13" s="125" t="s">
        <v>3512</v>
      </c>
      <c r="N13" s="21" t="s">
        <v>74</v>
      </c>
      <c r="O13" s="21" t="s">
        <v>75</v>
      </c>
      <c r="P13" s="21" t="s">
        <v>3951</v>
      </c>
      <c r="Q13" s="132">
        <v>35326</v>
      </c>
      <c r="R13" s="21" t="s">
        <v>7303</v>
      </c>
      <c r="S13" s="21"/>
      <c r="T13" s="21"/>
      <c r="U13" s="21"/>
      <c r="V13" s="21"/>
      <c r="W13" s="21" t="s">
        <v>7356</v>
      </c>
      <c r="X13" s="21">
        <v>1778273217</v>
      </c>
      <c r="Y13" s="21">
        <v>1925358204</v>
      </c>
      <c r="Z13" s="21" t="s">
        <v>7357</v>
      </c>
      <c r="AA13" s="21">
        <v>1999861007</v>
      </c>
      <c r="AB13" s="21" t="s">
        <v>7358</v>
      </c>
      <c r="AC13" s="21" t="s">
        <v>79</v>
      </c>
      <c r="AD13" s="132">
        <v>35816</v>
      </c>
      <c r="AE13" s="110">
        <f>(TODAY()-AD13)/365</f>
        <v>27.07123287671233</v>
      </c>
      <c r="AF13" s="21" t="s">
        <v>80</v>
      </c>
      <c r="AG13" s="21">
        <v>8704790263</v>
      </c>
      <c r="AH13" s="21" t="s">
        <v>81</v>
      </c>
      <c r="AI13" s="21" t="s">
        <v>322</v>
      </c>
      <c r="AJ13" s="21" t="s">
        <v>81</v>
      </c>
      <c r="AK13" s="21">
        <v>2023</v>
      </c>
      <c r="AL13" s="21" t="s">
        <v>534</v>
      </c>
      <c r="AM13" s="21" t="s">
        <v>7359</v>
      </c>
      <c r="AN13" s="21" t="s">
        <v>7360</v>
      </c>
      <c r="AO13" s="21" t="s">
        <v>7361</v>
      </c>
      <c r="AP13" s="4" t="s">
        <v>7362</v>
      </c>
      <c r="AQ13" s="21" t="s">
        <v>151</v>
      </c>
      <c r="AR13" s="21" t="s">
        <v>260</v>
      </c>
      <c r="AS13" s="21"/>
      <c r="AT13" s="118"/>
      <c r="AU13" s="21"/>
      <c r="AV13" s="26"/>
      <c r="AW13" s="21"/>
      <c r="AX13" s="21"/>
      <c r="AY13" s="21"/>
      <c r="AZ13" s="21"/>
      <c r="BA13" s="151" t="s">
        <v>7299</v>
      </c>
      <c r="BB13" s="120">
        <v>10800</v>
      </c>
      <c r="BC13" s="4">
        <v>2700</v>
      </c>
      <c r="BD13" s="21">
        <v>1000</v>
      </c>
      <c r="BE13" s="125" t="s">
        <v>166</v>
      </c>
      <c r="BF13" s="21" t="s">
        <v>167</v>
      </c>
      <c r="BG13" s="86" t="s">
        <v>167</v>
      </c>
      <c r="BH13" s="86" t="s">
        <v>168</v>
      </c>
    </row>
    <row r="14" ht="25.05" customHeight="1" s="86" customFormat="1">
      <c r="A14" s="4">
        <v>171144</v>
      </c>
      <c r="B14" s="125"/>
      <c r="C14" s="4" t="s">
        <v>7363</v>
      </c>
      <c r="D14" s="21" t="s">
        <v>7364</v>
      </c>
      <c r="E14" s="98" t="s">
        <v>114</v>
      </c>
      <c r="F14" s="21">
        <v>776438</v>
      </c>
      <c r="G14" s="21" t="s">
        <v>67</v>
      </c>
      <c r="H14" s="21" t="s">
        <v>3486</v>
      </c>
      <c r="I14" s="21" t="s">
        <v>69</v>
      </c>
      <c r="J14" s="21" t="s">
        <v>155</v>
      </c>
      <c r="K14" s="21" t="s">
        <v>71</v>
      </c>
      <c r="L14" s="21" t="s">
        <v>3487</v>
      </c>
      <c r="M14" s="125" t="s">
        <v>3512</v>
      </c>
      <c r="N14" s="21" t="s">
        <v>74</v>
      </c>
      <c r="O14" s="21" t="s">
        <v>75</v>
      </c>
      <c r="P14" s="21" t="s">
        <v>3951</v>
      </c>
      <c r="Q14" s="132">
        <v>45191</v>
      </c>
      <c r="R14" s="21" t="s">
        <v>7303</v>
      </c>
      <c r="S14" s="21"/>
      <c r="T14" s="21"/>
      <c r="U14" s="21"/>
      <c r="V14" s="21"/>
      <c r="W14" s="21" t="s">
        <v>7365</v>
      </c>
      <c r="X14" s="21">
        <v>1873986555</v>
      </c>
      <c r="Y14" s="21">
        <v>1792798678</v>
      </c>
      <c r="Z14" s="4" t="s">
        <v>7366</v>
      </c>
      <c r="AA14" s="4">
        <v>1756425043</v>
      </c>
      <c r="AB14" s="4" t="s">
        <v>101</v>
      </c>
      <c r="AC14" s="21" t="s">
        <v>133</v>
      </c>
      <c r="AD14" s="132">
        <v>35757</v>
      </c>
      <c r="AE14" s="110">
        <f>(TODAY()-AD14)/365</f>
        <v>27.232876712328768</v>
      </c>
      <c r="AF14" s="21" t="s">
        <v>80</v>
      </c>
      <c r="AG14" s="21">
        <v>9152520301</v>
      </c>
      <c r="AH14" s="21" t="s">
        <v>81</v>
      </c>
      <c r="AI14" s="21" t="s">
        <v>279</v>
      </c>
      <c r="AJ14" s="21" t="s">
        <v>81</v>
      </c>
      <c r="AK14" s="4">
        <v>2022</v>
      </c>
      <c r="AL14" s="21" t="s">
        <v>580</v>
      </c>
      <c r="AM14" s="21" t="s">
        <v>7367</v>
      </c>
      <c r="AN14" s="21" t="s">
        <v>7368</v>
      </c>
      <c r="AO14" s="21" t="s">
        <v>7369</v>
      </c>
      <c r="AP14" s="21" t="s">
        <v>7370</v>
      </c>
      <c r="AQ14" s="21" t="s">
        <v>7371</v>
      </c>
      <c r="AR14" s="21" t="s">
        <v>260</v>
      </c>
      <c r="AS14" s="21"/>
      <c r="AT14" s="118"/>
      <c r="AU14" s="21"/>
      <c r="AV14" s="26"/>
      <c r="AW14" s="21"/>
      <c r="AX14" s="21"/>
      <c r="AY14" s="21"/>
      <c r="AZ14" s="21"/>
      <c r="BA14" s="151" t="s">
        <v>7299</v>
      </c>
      <c r="BB14" s="120">
        <v>10800</v>
      </c>
      <c r="BC14" s="4">
        <v>2700</v>
      </c>
      <c r="BD14" s="21">
        <v>1000</v>
      </c>
      <c r="BE14" s="125" t="s">
        <v>166</v>
      </c>
      <c r="BF14" s="21" t="s">
        <v>167</v>
      </c>
      <c r="BG14" s="86" t="s">
        <v>167</v>
      </c>
      <c r="BH14" s="86" t="s">
        <v>168</v>
      </c>
    </row>
    <row r="15" ht="25.05" customHeight="1" s="86" customFormat="1">
      <c r="A15" s="4">
        <v>171146</v>
      </c>
      <c r="B15" s="125"/>
      <c r="C15" s="21" t="s">
        <v>7372</v>
      </c>
      <c r="D15" s="21" t="s">
        <v>7373</v>
      </c>
      <c r="E15" s="98" t="s">
        <v>114</v>
      </c>
      <c r="F15" s="21">
        <v>1416337208</v>
      </c>
      <c r="G15" s="21" t="s">
        <v>67</v>
      </c>
      <c r="H15" s="21" t="s">
        <v>3486</v>
      </c>
      <c r="I15" s="21" t="s">
        <v>69</v>
      </c>
      <c r="J15" s="21" t="s">
        <v>155</v>
      </c>
      <c r="K15" s="21" t="s">
        <v>71</v>
      </c>
      <c r="L15" s="21" t="s">
        <v>3487</v>
      </c>
      <c r="M15" s="125" t="s">
        <v>3512</v>
      </c>
      <c r="N15" s="21" t="s">
        <v>74</v>
      </c>
      <c r="O15" s="21" t="s">
        <v>75</v>
      </c>
      <c r="P15" s="21" t="s">
        <v>3951</v>
      </c>
      <c r="Q15" s="132">
        <v>45191</v>
      </c>
      <c r="R15" s="21" t="s">
        <v>7303</v>
      </c>
      <c r="S15" s="21"/>
      <c r="T15" s="21"/>
      <c r="U15" s="21"/>
      <c r="V15" s="21"/>
      <c r="W15" s="21" t="s">
        <v>7374</v>
      </c>
      <c r="X15" s="21">
        <v>1722715583</v>
      </c>
      <c r="Y15" s="21">
        <v>1722715583</v>
      </c>
      <c r="Z15" s="21" t="s">
        <v>7375</v>
      </c>
      <c r="AA15" s="21">
        <v>1642927979</v>
      </c>
      <c r="AB15" s="21" t="s">
        <v>252</v>
      </c>
      <c r="AC15" s="21" t="s">
        <v>79</v>
      </c>
      <c r="AD15" s="132">
        <v>45117</v>
      </c>
      <c r="AE15" s="110">
        <f>(TODAY()-AD15)/365</f>
        <v>1.5890410958904109</v>
      </c>
      <c r="AF15" s="21" t="s">
        <v>80</v>
      </c>
      <c r="AG15" s="152" t="s">
        <v>7376</v>
      </c>
      <c r="AH15" s="21" t="s">
        <v>81</v>
      </c>
      <c r="AI15" s="21" t="s">
        <v>7377</v>
      </c>
      <c r="AJ15" s="21" t="s">
        <v>81</v>
      </c>
      <c r="AK15" s="4">
        <v>2023</v>
      </c>
      <c r="AL15" s="21" t="s">
        <v>412</v>
      </c>
      <c r="AM15" s="21" t="s">
        <v>7378</v>
      </c>
      <c r="AN15" s="21" t="s">
        <v>7379</v>
      </c>
      <c r="AO15" s="21" t="s">
        <v>7380</v>
      </c>
      <c r="AP15" s="21" t="s">
        <v>7381</v>
      </c>
      <c r="AQ15" s="21" t="s">
        <v>3961</v>
      </c>
      <c r="AR15" s="21" t="s">
        <v>260</v>
      </c>
      <c r="AS15" s="21"/>
      <c r="AT15" s="118"/>
      <c r="AU15" s="21"/>
      <c r="AV15" s="26"/>
      <c r="AW15" s="21"/>
      <c r="AX15" s="21"/>
      <c r="AY15" s="21"/>
      <c r="AZ15" s="21"/>
      <c r="BA15" s="151" t="s">
        <v>7299</v>
      </c>
      <c r="BB15" s="120">
        <v>10800</v>
      </c>
      <c r="BC15" s="4">
        <v>2700</v>
      </c>
      <c r="BD15" s="21">
        <v>1000</v>
      </c>
      <c r="BE15" s="125" t="s">
        <v>166</v>
      </c>
      <c r="BF15" s="21" t="s">
        <v>167</v>
      </c>
      <c r="BG15" s="86" t="s">
        <v>167</v>
      </c>
      <c r="BH15" s="86" t="s">
        <v>168</v>
      </c>
    </row>
  </sheetData>
  <conditionalFormatting sqref="A1 A16:A1048576">
    <cfRule type="duplicateValues" dxfId="0" priority="2491"/>
    <cfRule type="duplicateValues" dxfId="0" priority="1099"/>
  </conditionalFormatting>
  <conditionalFormatting sqref="A2:A6">
    <cfRule type="duplicateValues" dxfId="0" priority="208"/>
    <cfRule type="duplicateValues" dxfId="0" priority="209"/>
    <cfRule type="duplicateValues" dxfId="0" priority="220"/>
    <cfRule type="duplicateValues" dxfId="0" priority="219"/>
    <cfRule type="duplicateValues" dxfId="0" priority="218"/>
    <cfRule type="duplicateValues" dxfId="0" priority="217"/>
    <cfRule type="duplicateValues" dxfId="0" priority="216"/>
    <cfRule type="duplicateValues" dxfId="0" priority="215"/>
    <cfRule type="duplicateValues" dxfId="0" priority="214"/>
    <cfRule type="duplicateValues" dxfId="0" priority="205"/>
    <cfRule type="duplicateValues" dxfId="0" priority="204"/>
    <cfRule type="duplicateValues" dxfId="0" priority="207"/>
    <cfRule type="duplicateValues" dxfId="0" priority="213"/>
    <cfRule type="duplicateValues" dxfId="0" priority="212"/>
    <cfRule type="duplicateValues" dxfId="0" priority="206"/>
    <cfRule type="duplicateValues" dxfId="0" priority="203"/>
    <cfRule type="duplicateValues" dxfId="0" priority="211"/>
    <cfRule type="duplicateValues" dxfId="0" priority="210"/>
  </conditionalFormatting>
  <conditionalFormatting sqref="A7">
    <cfRule type="duplicateValues" dxfId="0" priority="180"/>
    <cfRule type="duplicateValues" dxfId="0" priority="179"/>
    <cfRule type="duplicateValues" dxfId="0" priority="178"/>
    <cfRule type="duplicateValues" dxfId="0" priority="177"/>
    <cfRule type="duplicateValues" dxfId="0" priority="176"/>
    <cfRule type="duplicateValues" dxfId="0" priority="175"/>
    <cfRule type="duplicateValues" dxfId="0" priority="174"/>
    <cfRule type="duplicateValues" dxfId="0" priority="173"/>
    <cfRule type="duplicateValues" dxfId="0" priority="189"/>
    <cfRule type="duplicateValues" dxfId="0" priority="188"/>
    <cfRule type="duplicateValues" dxfId="0" priority="187"/>
    <cfRule type="duplicateValues" dxfId="0" priority="186"/>
    <cfRule type="duplicateValues" dxfId="0" priority="185"/>
    <cfRule type="duplicateValues" dxfId="0" priority="184"/>
    <cfRule type="duplicateValues" dxfId="0" priority="183"/>
    <cfRule type="duplicateValues" dxfId="0" priority="182"/>
    <cfRule type="duplicateValues" dxfId="0" priority="172"/>
    <cfRule type="duplicateValues" dxfId="0" priority="181"/>
  </conditionalFormatting>
  <conditionalFormatting sqref="A8">
    <cfRule type="duplicateValues" dxfId="0" priority="121"/>
    <cfRule type="duplicateValues" dxfId="0" priority="120"/>
    <cfRule type="duplicateValues" dxfId="0" priority="124"/>
    <cfRule type="duplicateValues" dxfId="0" priority="118"/>
    <cfRule type="duplicateValues" dxfId="0" priority="119"/>
    <cfRule type="duplicateValues" dxfId="0" priority="115"/>
    <cfRule type="duplicateValues" dxfId="0" priority="122"/>
    <cfRule type="duplicateValues" dxfId="0" priority="117"/>
    <cfRule type="duplicateValues" dxfId="0" priority="128"/>
    <cfRule type="duplicateValues" dxfId="0" priority="116"/>
    <cfRule type="duplicateValues" dxfId="0" priority="127"/>
    <cfRule type="duplicateValues" dxfId="0" priority="126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23"/>
    <cfRule type="duplicateValues" dxfId="0" priority="125"/>
  </conditionalFormatting>
  <conditionalFormatting sqref="A12">
    <cfRule type="duplicateValues" dxfId="0" priority="104"/>
    <cfRule type="duplicateValues" dxfId="0" priority="108"/>
    <cfRule type="duplicateValues" dxfId="0" priority="107"/>
    <cfRule type="duplicateValues" dxfId="0" priority="82"/>
    <cfRule type="duplicateValues" dxfId="0" priority="106"/>
    <cfRule type="duplicateValues" dxfId="0" priority="105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9"/>
    <cfRule type="duplicateValues" dxfId="0" priority="95"/>
    <cfRule type="duplicateValues" dxfId="0" priority="96"/>
    <cfRule type="duplicateValues" dxfId="0" priority="97"/>
    <cfRule type="duplicateValues" dxfId="0" priority="98"/>
  </conditionalFormatting>
  <conditionalFormatting sqref="A13">
    <cfRule type="duplicateValues" dxfId="0" priority="79"/>
    <cfRule type="duplicateValues" dxfId="0" priority="81"/>
    <cfRule type="duplicateValues" dxfId="0" priority="80"/>
    <cfRule type="duplicateValues" dxfId="0" priority="55"/>
    <cfRule type="duplicateValues" dxfId="0" priority="64"/>
    <cfRule type="duplicateValues" dxfId="0" priority="7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6"/>
    <cfRule type="duplicateValues" dxfId="0" priority="75"/>
    <cfRule type="duplicateValues" dxfId="0" priority="77"/>
    <cfRule type="duplicateValues" dxfId="0" priority="78"/>
  </conditionalFormatting>
  <conditionalFormatting sqref="A14"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7"/>
    <cfRule type="duplicateValues" dxfId="0" priority="46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48"/>
    <cfRule type="duplicateValues" dxfId="0" priority="28"/>
    <cfRule type="duplicateValues" dxfId="0" priority="54"/>
    <cfRule type="duplicateValues" dxfId="0" priority="45"/>
  </conditionalFormatting>
  <conditionalFormatting sqref="A15">
    <cfRule type="duplicateValues" dxfId="0" priority="1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5"/>
    <cfRule type="duplicateValues" dxfId="0" priority="26"/>
    <cfRule type="duplicateValues" dxfId="0" priority="27"/>
    <cfRule type="duplicateValues" dxfId="0" priority="24"/>
  </conditionalFormatting>
  <conditionalFormatting sqref="A16:A1048576">
    <cfRule type="duplicateValues" dxfId="0" priority="587627"/>
  </conditionalFormatting>
  <conditionalFormatting sqref="D2:D6">
    <cfRule type="duplicateValues" dxfId="0" priority="202"/>
    <cfRule type="duplicateValues" dxfId="0" priority="200"/>
    <cfRule type="duplicateValues" dxfId="0" priority="201"/>
    <cfRule type="duplicateValues" dxfId="0" priority="199"/>
    <cfRule type="duplicateValues" dxfId="0" priority="198"/>
    <cfRule type="duplicateValues" dxfId="0" priority="197"/>
  </conditionalFormatting>
  <conditionalFormatting sqref="D7"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</conditionalFormatting>
  <conditionalFormatting sqref="D8">
    <cfRule type="duplicateValues" dxfId="0" priority="112"/>
    <cfRule type="duplicateValues" dxfId="0" priority="114"/>
    <cfRule type="duplicateValues" dxfId="0" priority="113"/>
    <cfRule type="duplicateValues" dxfId="0" priority="109"/>
    <cfRule type="duplicateValues" dxfId="0" priority="110"/>
    <cfRule type="duplicateValues" dxfId="0" priority="111"/>
  </conditionalFormatting>
  <conditionalFormatting sqref="D12"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</conditionalFormatting>
  <conditionalFormatting sqref="D13">
    <cfRule type="duplicateValues" dxfId="0" priority="63"/>
    <cfRule type="duplicateValues" dxfId="0" priority="62"/>
    <cfRule type="duplicateValues" dxfId="0" priority="60"/>
    <cfRule type="duplicateValues" dxfId="0" priority="59"/>
    <cfRule type="duplicateValues" dxfId="0" priority="58"/>
    <cfRule type="duplicateValues" dxfId="0" priority="61"/>
  </conditionalFormatting>
  <conditionalFormatting sqref="D14">
    <cfRule type="duplicateValues" dxfId="0" priority="36"/>
    <cfRule type="duplicateValues" dxfId="0" priority="35"/>
    <cfRule type="duplicateValues" dxfId="0" priority="34"/>
    <cfRule type="duplicateValues" dxfId="0" priority="32"/>
    <cfRule type="duplicateValues" dxfId="0" priority="31"/>
    <cfRule type="duplicateValues" dxfId="0" priority="33"/>
  </conditionalFormatting>
  <conditionalFormatting sqref="D15">
    <cfRule type="duplicateValues" dxfId="0" priority="9"/>
    <cfRule type="duplicateValues" dxfId="0" priority="8"/>
    <cfRule type="duplicateValues" dxfId="0" priority="7"/>
    <cfRule type="duplicateValues" dxfId="0" priority="5"/>
    <cfRule type="duplicateValues" dxfId="0" priority="4"/>
    <cfRule type="duplicateValues" dxfId="0" priority="6"/>
  </conditionalFormatting>
  <conditionalFormatting sqref="V7">
    <cfRule type="duplicateValues" dxfId="0" priority="163"/>
  </conditionalFormatting>
  <conditionalFormatting sqref="V8">
    <cfRule type="duplicateValues" dxfId="0" priority="134"/>
  </conditionalFormatting>
  <conditionalFormatting sqref="V12">
    <cfRule type="duplicateValues" dxfId="0" priority="83"/>
  </conditionalFormatting>
  <conditionalFormatting sqref="V13">
    <cfRule type="duplicateValues" dxfId="0" priority="56"/>
  </conditionalFormatting>
  <conditionalFormatting sqref="V14">
    <cfRule type="duplicateValues" dxfId="0" priority="29"/>
  </conditionalFormatting>
  <conditionalFormatting sqref="V15">
    <cfRule type="duplicateValues" dxfId="0" priority="2"/>
  </conditionalFormatting>
  <conditionalFormatting sqref="W2:W6">
    <cfRule type="duplicateValues" dxfId="0" priority="190"/>
  </conditionalFormatting>
  <conditionalFormatting sqref="Y2:Y6">
    <cfRule type="duplicateValues" dxfId="0" priority="196"/>
    <cfRule type="duplicateValues" dxfId="0" priority="194"/>
    <cfRule type="duplicateValues" dxfId="0" priority="193"/>
    <cfRule type="duplicateValues" dxfId="0" priority="195"/>
  </conditionalFormatting>
  <conditionalFormatting sqref="AG7">
    <cfRule type="duplicateValues" dxfId="0" priority="165"/>
  </conditionalFormatting>
  <conditionalFormatting sqref="AH2:AH6">
    <cfRule type="duplicateValues" dxfId="0" priority="192"/>
  </conditionalFormatting>
  <conditionalFormatting sqref="BH12:BH15">
    <cfRule type="containsBlanks" dxfId="725" priority="3">
      <formula>LEN(TRIM(BH12))=0</formula>
    </cfRule>
  </conditionalFormatting>
  <hyperlinks>
    <hyperlink ref="W6" r:id="rId1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48"/>
  <sheetViews>
    <sheetView workbookViewId="0">
      <pane xSplit="3" ySplit="1" topLeftCell="D36" activePane="bottomRight" state="frozen"/>
      <selection pane="topRight"/>
      <selection pane="bottomLeft"/>
      <selection pane="bottomRight" activeCell="A47" sqref="A47:A48"/>
    </sheetView>
  </sheetViews>
  <sheetFormatPr defaultColWidth="9" defaultRowHeight="14.4"/>
  <cols>
    <col min="1" max="1" width="4" customWidth="1" style="42"/>
    <col min="2" max="2" width="10.44140625" customWidth="1" style="43"/>
    <col min="3" max="3" width="27.5546875" customWidth="1"/>
    <col min="4" max="4" width="11.5546875" customWidth="1"/>
    <col min="5" max="5" width="11.109375" customWidth="1"/>
    <col min="6" max="6" width="18.109375" customWidth="1"/>
    <col min="7" max="7" width="17" customWidth="1"/>
    <col min="8" max="8" bestFit="1" width="7.21875" customWidth="1"/>
    <col min="9" max="9" width="44.5546875" customWidth="1"/>
    <col min="10" max="10" width="13.5546875" customWidth="1"/>
    <col min="11" max="11" width="8.44140625" customWidth="1"/>
    <col min="12" max="12" width="6.5546875" customWidth="1"/>
    <col min="13" max="13" width="16.21875" customWidth="1"/>
    <col min="14" max="16" width="6.44140625" customWidth="1"/>
    <col min="17" max="17" width="19.21875" customWidth="1"/>
    <col min="18" max="18" width="24.77734375" customWidth="1"/>
    <col min="19" max="19" width="16" customWidth="1"/>
    <col min="20" max="20" width="12.77734375" customWidth="1"/>
    <col min="21" max="21" width="11" customWidth="1"/>
    <col min="22" max="22" width="24.21875" customWidth="1"/>
    <col min="23" max="23" width="11.77734375" customWidth="1"/>
    <col min="24" max="25" width="12.21875" customWidth="1"/>
    <col min="26" max="26" width="45.21875" customWidth="1"/>
    <col min="27" max="27" width="42.33203125" customWidth="1"/>
    <col min="28" max="28" width="18.5546875" customWidth="1"/>
    <col min="29" max="29" width="14.77734375" customWidth="1"/>
    <col min="30" max="30" width="16" customWidth="1"/>
    <col min="31" max="31" width="18.109375" customWidth="1"/>
    <col min="32" max="32" width="24.77734375" customWidth="1"/>
    <col min="33" max="33" width="14.88671875" customWidth="1" style="42"/>
    <col min="34" max="34" width="14.88671875" customWidth="1" style="31"/>
    <col min="35" max="35" width="12.109375" customWidth="1"/>
    <col min="36" max="36" width="16.21875" customWidth="1"/>
    <col min="37" max="37" width="18.21875" customWidth="1"/>
    <col min="38" max="38" width="14.44140625" customWidth="1"/>
    <col min="39" max="39" width="48.5546875" customWidth="1"/>
    <col min="40" max="40" width="21.5546875" customWidth="1"/>
  </cols>
  <sheetData>
    <row r="1">
      <c r="A1" s="44" t="s">
        <v>6784</v>
      </c>
      <c r="B1" s="45" t="s">
        <v>6810</v>
      </c>
      <c r="C1" s="46" t="s">
        <v>3</v>
      </c>
      <c r="D1" s="45" t="s">
        <v>6</v>
      </c>
      <c r="E1" s="47" t="s">
        <v>17</v>
      </c>
      <c r="F1" s="45" t="s">
        <v>7382</v>
      </c>
      <c r="G1" s="45" t="s">
        <v>8</v>
      </c>
      <c r="H1" s="45" t="s">
        <v>10</v>
      </c>
      <c r="I1" s="45" t="s">
        <v>7383</v>
      </c>
      <c r="J1" s="45" t="s">
        <v>7384</v>
      </c>
      <c r="K1" s="45" t="s">
        <v>3478</v>
      </c>
      <c r="L1" s="45" t="s">
        <v>52</v>
      </c>
      <c r="M1" s="45" t="s">
        <v>7385</v>
      </c>
      <c r="N1" s="45" t="s">
        <v>53</v>
      </c>
      <c r="O1" s="45" t="s">
        <v>54</v>
      </c>
      <c r="P1" s="45" t="s">
        <v>55</v>
      </c>
      <c r="Q1" s="45" t="s">
        <v>7386</v>
      </c>
      <c r="R1" s="45" t="s">
        <v>7387</v>
      </c>
      <c r="S1" s="49" t="s">
        <v>7388</v>
      </c>
      <c r="T1" s="45" t="s">
        <v>7389</v>
      </c>
      <c r="U1" s="45" t="s">
        <v>7390</v>
      </c>
      <c r="V1" s="45" t="s">
        <v>7391</v>
      </c>
      <c r="W1" s="45" t="s">
        <v>7392</v>
      </c>
      <c r="X1" s="45" t="s">
        <v>7393</v>
      </c>
      <c r="Y1" s="45" t="s">
        <v>7394</v>
      </c>
      <c r="Z1" s="45" t="s">
        <v>40</v>
      </c>
      <c r="AA1" s="50" t="s">
        <v>41</v>
      </c>
      <c r="AB1" s="50" t="s">
        <v>7395</v>
      </c>
      <c r="AC1" s="45" t="s">
        <v>21</v>
      </c>
      <c r="AD1" s="45" t="s">
        <v>7396</v>
      </c>
      <c r="AE1" s="45" t="s">
        <v>7397</v>
      </c>
      <c r="AF1" s="45" t="s">
        <v>25</v>
      </c>
      <c r="AG1" s="50" t="s">
        <v>4</v>
      </c>
      <c r="AH1" s="219" t="s">
        <v>29</v>
      </c>
      <c r="AI1" s="45" t="s">
        <v>28</v>
      </c>
      <c r="AJ1" s="50" t="s">
        <v>31</v>
      </c>
      <c r="AK1" s="51" t="s">
        <v>7398</v>
      </c>
      <c r="AL1" s="51" t="s">
        <v>7399</v>
      </c>
      <c r="AM1" s="50" t="s">
        <v>7400</v>
      </c>
      <c r="AN1" s="50" t="s">
        <v>7401</v>
      </c>
    </row>
    <row r="2">
      <c r="A2" s="48">
        <v>14</v>
      </c>
      <c r="B2" s="4">
        <v>172031</v>
      </c>
      <c r="C2" s="217" t="str">
        <f>IFERROR(VLOOKUP(B2,MDB!A:D,4,0),VLOOKUP(B2,Inactive!A:D,4,0))</f>
        <v>Md Mohin uddin</v>
      </c>
      <c r="D2" s="20" t="str">
        <f>IFERROR(VLOOKUP(B2,MDB!A:G,7,0),VLOOKUP(B2,Inactive!A:G,7,0))</f>
        <v>CSO</v>
      </c>
      <c r="E2" s="29">
        <f>IFERROR(VLOOKUP(B2,MDB!A:R,18,0),VLOOKUP(B2,Inactive!A:R,18,0))</f>
        <v>45588</v>
      </c>
      <c r="F2" s="22" t="str">
        <f>IFERROR(VLOOKUP(B2,MDB!A:H,8,0),VLOOKUP(B2,Inactive!A:H,8,0))</f>
        <v>Content Modarator</v>
      </c>
      <c r="G2" s="20" t="str">
        <f>IFERROR(VLOOKUP(B2,MDB!A:I,9,0),VLOOKUP(B2,Inactive!A:I,9,0))</f>
        <v>Operations</v>
      </c>
      <c r="H2" s="52" t="str">
        <f>IFERROR(VLOOKUP(B2,MDB!A:K,11,0),VLOOKUP(B2,Inactive!A:K,11,0))</f>
        <v>Temu</v>
      </c>
      <c r="I2" s="20" t="str">
        <f>IFERROR(VLOOKUP(B2,MDB!A:J,10,0),VLOOKUP(B2,Inactive!A:J,10,0))</f>
        <v>BG Platform Governance Requirements</v>
      </c>
      <c r="J2" s="20" t="s">
        <v>7402</v>
      </c>
      <c r="K2" s="20" t="s">
        <v>7403</v>
      </c>
      <c r="L2" s="20" t="s">
        <v>90</v>
      </c>
      <c r="M2" s="218" t="s">
        <v>72</v>
      </c>
      <c r="N2" s="20">
        <f>IFERROR(VLOOKUP(B2,MDB!A:BB,54,0),VLOOKUP(B2,Inactive!A:BB,54,0))</f>
        <v>10800</v>
      </c>
      <c r="O2" s="20">
        <f>IFERROR(VLOOKUP(B2,MDB!A:BC,55,0),VLOOKUP(B2,Inactive!A:BC,55,0))</f>
        <v>2700</v>
      </c>
      <c r="P2" s="20">
        <f>IFERROR(VLOOKUP(B2,MDB!A:BD,56,0),VLOOKUP(B2,Inactive!A:BD,56,0))</f>
        <v>1000</v>
      </c>
      <c r="Q2" s="20" t="s">
        <v>7404</v>
      </c>
      <c r="R2" s="22">
        <v>22</v>
      </c>
      <c r="S2" s="20">
        <v>0</v>
      </c>
      <c r="T2" s="20">
        <v>0</v>
      </c>
      <c r="U2" s="20">
        <v>0</v>
      </c>
      <c r="V2" s="20" t="str">
        <f>IFERROR(VLOOKUP(B2,MDB!A:M,13,0),VLOOKUP(B2,Inactive!A:M,13,0))</f>
        <v>Rakib Ahsan</v>
      </c>
      <c r="W2" s="20" t="str">
        <f>IFERROR(VLOOKUP(B2,MDB!A:N,14,0),VLOOKUP(B2,Inactive!A:N,14,0))</f>
        <v>Asif Iqbal</v>
      </c>
      <c r="X2" s="22">
        <v>0</v>
      </c>
      <c r="Y2" s="22">
        <v>0</v>
      </c>
      <c r="Z2" s="20" t="str">
        <f>IFERROR(VLOOKUP($B2,MDB!A:AO,41,0),VLOOKUP($B2,Inactive!A:AO,41,0))</f>
        <v>Doctor Villa,Kha para, Khilkhet</v>
      </c>
      <c r="AA2" s="20" t="str">
        <f>IFERROR(VLOOKUP(B2,MDB!A:AP,42,0),VLOOKUP(B2,Inactive!A:AP,42,0))</f>
        <v>Katirhat,hathazary,Chittagong</v>
      </c>
      <c r="AB2" s="20" t="str">
        <f>IFERROR(VLOOKUP(B2,MDB!A:APN,43,0),VLOOKUP(B2,Inactive!A:AQ,43,0))</f>
        <v>Khilkhet</v>
      </c>
      <c r="AC2" s="22">
        <v>0</v>
      </c>
      <c r="AD2" s="20">
        <f>IFERROR(VLOOKUP(B2,MDB!A:AX,24,0),VLOOKUP(B2,Inactive!A:AX,24,0))</f>
        <v>1833088879</v>
      </c>
      <c r="AE2" s="20">
        <f>IFERROR(VLOOKUP(B2,MDB!A:AA,27,0),VLOOKUP(B2,Inactive!A:AA,27,0))</f>
        <v>1824389828</v>
      </c>
      <c r="AF2" s="20" t="str">
        <f>IFERROR(VLOOKUP(B2,MDB!A:AA,26,0),VLOOKUP(B2,Inactive!A:AA,26,0))</f>
        <v>Arman Ul Alam</v>
      </c>
      <c r="AG2" s="20" t="str">
        <f>IFERROR(VLOOKUP(B2,MDB!A:Z,5,0),VLOOKUP(B2,Inactive!A:Z,5,0))</f>
        <v>Male</v>
      </c>
      <c r="AH2" s="29" t="str">
        <f>IFERROR(VLOOKUP(B2,MDB!A:AD,30,0),VLOOKUP(B2,Inactive!A:AD,30,0))</f>
        <v>18/03/1997</v>
      </c>
      <c r="AI2" s="20" t="str">
        <f>IFERROR(VLOOKUP(B2,MDB!A:AC,29,0),VLOOKUP(B2,Inactive!A:AC,29,0))</f>
        <v>O+</v>
      </c>
      <c r="AJ2" s="20" t="str">
        <f>IFERROR(VLOOKUP(B2,MDB!A:AF,32,0),VLOOKUP(B2,Inactive!A:AF,32,0))</f>
        <v>Islam</v>
      </c>
      <c r="AK2" s="20">
        <f>IFERROR(VLOOKUP(B2,MDB!A:AG,33,0),VLOOKUP(B2,Inactive!A:AG,33,0))</f>
        <v>1953544242</v>
      </c>
      <c r="AL2" s="216">
        <v>0</v>
      </c>
      <c r="AM2" s="20" t="str">
        <f>IFERROR(VLOOKUP(B2,MDB!A:AI,35,0),VLOOKUP(B2,Inactive!A:AI,35,0))</f>
        <v>Graduate</v>
      </c>
      <c r="AN2" s="20" t="s">
        <v>7405</v>
      </c>
    </row>
    <row r="3">
      <c r="A3" s="48">
        <v>15</v>
      </c>
      <c r="B3" s="4">
        <v>172024</v>
      </c>
      <c r="C3" s="217" t="str">
        <f>IFERROR(VLOOKUP(B3,MDB!A:D,4,0),VLOOKUP(B3,Inactive!A:D,4,0))</f>
        <v>Mokaddim hossain</v>
      </c>
      <c r="D3" s="20" t="str">
        <f>IFERROR(VLOOKUP(B3,MDB!A:G,7,0),VLOOKUP(B3,Inactive!A:G,7,0))</f>
        <v>CSO</v>
      </c>
      <c r="E3" s="29">
        <f>IFERROR(VLOOKUP(B3,MDB!A:R,18,0),VLOOKUP(B3,Inactive!A:R,18,0))</f>
        <v>45588</v>
      </c>
      <c r="F3" s="22" t="str">
        <f>IFERROR(VLOOKUP(B3,MDB!A:H,8,0),VLOOKUP(B3,Inactive!A:H,8,0))</f>
        <v>Content Modarator</v>
      </c>
      <c r="G3" s="20" t="str">
        <f>IFERROR(VLOOKUP(B3,MDB!A:I,9,0),VLOOKUP(B3,Inactive!A:I,9,0))</f>
        <v>Operations</v>
      </c>
      <c r="H3" s="52" t="str">
        <f>IFERROR(VLOOKUP(B3,MDB!A:K,11,0),VLOOKUP(B3,Inactive!A:K,11,0))</f>
        <v>Temu</v>
      </c>
      <c r="I3" s="20" t="str">
        <f>IFERROR(VLOOKUP(B3,MDB!A:J,10,0),VLOOKUP(B3,Inactive!A:J,10,0))</f>
        <v>BG Platform Governance Requirements</v>
      </c>
      <c r="J3" s="20" t="s">
        <v>7402</v>
      </c>
      <c r="K3" s="20" t="s">
        <v>7403</v>
      </c>
      <c r="L3" s="20" t="s">
        <v>90</v>
      </c>
      <c r="M3" s="218" t="s">
        <v>72</v>
      </c>
      <c r="N3" s="20">
        <f>IFERROR(VLOOKUP(B3,MDB!A:BB,54,0),VLOOKUP(B3,Inactive!A:BB,54,0))</f>
        <v>10800</v>
      </c>
      <c r="O3" s="20">
        <f>IFERROR(VLOOKUP(B3,MDB!A:BC,55,0),VLOOKUP(B3,Inactive!A:BC,55,0))</f>
        <v>2700</v>
      </c>
      <c r="P3" s="20">
        <f>IFERROR(VLOOKUP(B3,MDB!A:BD,56,0),VLOOKUP(B3,Inactive!A:BD,56,0))</f>
        <v>1000</v>
      </c>
      <c r="Q3" s="20" t="s">
        <v>7404</v>
      </c>
      <c r="R3" s="22">
        <v>22</v>
      </c>
      <c r="S3" s="20">
        <v>0</v>
      </c>
      <c r="T3" s="20">
        <v>0</v>
      </c>
      <c r="U3" s="20">
        <v>0</v>
      </c>
      <c r="V3" s="20" t="str">
        <f>IFERROR(VLOOKUP(B3,MDB!A:M,13,0),VLOOKUP(B3,Inactive!A:M,13,0))</f>
        <v>Rakib Ahsan</v>
      </c>
      <c r="W3" s="20" t="str">
        <f>IFERROR(VLOOKUP(B3,MDB!A:N,14,0),VLOOKUP(B3,Inactive!A:N,14,0))</f>
        <v>Asif Iqbal</v>
      </c>
      <c r="X3" s="22">
        <v>0</v>
      </c>
      <c r="Y3" s="22">
        <v>0</v>
      </c>
      <c r="Z3" s="20" t="str">
        <f>IFERROR(VLOOKUP($B3,MDB!A:AO,41,0),VLOOKUP($B3,Inactive!A:AO,41,0))</f>
        <v>26 house 13 road nikunja2</v>
      </c>
      <c r="AA3" s="20" t="str">
        <f>IFERROR(VLOOKUP(B3,MDB!A:AP,42,0),VLOOKUP(B3,Inactive!A:AP,42,0))</f>
        <v>badalgachi naougan</v>
      </c>
      <c r="AB3" s="20" t="str">
        <f>IFERROR(VLOOKUP(B3,MDB!A:APN,43,0),VLOOKUP(B3,Inactive!A:AQ,43,0))</f>
        <v>Nikunja-2</v>
      </c>
      <c r="AC3" s="22">
        <v>0</v>
      </c>
      <c r="AD3" s="20">
        <f>IFERROR(VLOOKUP(B3,MDB!A:AX,24,0),VLOOKUP(B3,Inactive!A:AX,24,0))</f>
        <v>1334180121</v>
      </c>
      <c r="AE3" s="20">
        <f>IFERROR(VLOOKUP(B3,MDB!A:AA,27,0),VLOOKUP(B3,Inactive!A:AA,27,0))</f>
        <v>1723560152</v>
      </c>
      <c r="AF3" s="20" t="str">
        <f>IFERROR(VLOOKUP(B3,MDB!A:AA,26,0),VLOOKUP(B3,Inactive!A:AA,26,0))</f>
        <v>sm moktadir</v>
      </c>
      <c r="AG3" s="20" t="str">
        <f>IFERROR(VLOOKUP(B3,MDB!A:Z,5,0),VLOOKUP(B3,Inactive!A:Z,5,0))</f>
        <v>Male</v>
      </c>
      <c r="AH3" s="29" t="str">
        <f>IFERROR(VLOOKUP(B3,MDB!A:AD,30,0),VLOOKUP(B3,Inactive!A:AD,30,0))</f>
        <v>20/06/1997</v>
      </c>
      <c r="AI3" s="20" t="str">
        <f>IFERROR(VLOOKUP(B3,MDB!A:AC,29,0),VLOOKUP(B3,Inactive!A:AC,29,0))</f>
        <v>B+</v>
      </c>
      <c r="AJ3" s="20" t="str">
        <f>IFERROR(VLOOKUP(B3,MDB!A:AF,32,0),VLOOKUP(B3,Inactive!A:AF,32,0))</f>
        <v>Islam</v>
      </c>
      <c r="AK3" s="20">
        <f>IFERROR(VLOOKUP(B3,MDB!A:AG,33,0),VLOOKUP(B3,Inactive!A:AG,33,0))</f>
        <v>6453149756</v>
      </c>
      <c r="AL3" s="216">
        <v>0</v>
      </c>
      <c r="AM3" s="20" t="str">
        <f>IFERROR(VLOOKUP(B3,MDB!A:AI,35,0),VLOOKUP(B3,Inactive!A:AI,35,0))</f>
        <v>Graduate</v>
      </c>
      <c r="AN3" s="20" t="s">
        <v>7405</v>
      </c>
    </row>
    <row r="4">
      <c r="A4" s="48">
        <v>16</v>
      </c>
      <c r="B4" s="4">
        <v>172030</v>
      </c>
      <c r="C4" s="217" t="str">
        <f>IFERROR(VLOOKUP(B4,MDB!A:D,4,0),VLOOKUP(B4,Inactive!A:D,4,0))</f>
        <v>Sayed Ikhtiaz Ahammad</v>
      </c>
      <c r="D4" s="20" t="str">
        <f>IFERROR(VLOOKUP(B4,MDB!A:G,7,0),VLOOKUP(B4,Inactive!A:G,7,0))</f>
        <v>CSO</v>
      </c>
      <c r="E4" s="29">
        <f>IFERROR(VLOOKUP(B4,MDB!A:R,18,0),VLOOKUP(B4,Inactive!A:R,18,0))</f>
        <v>45588</v>
      </c>
      <c r="F4" s="22" t="str">
        <f>IFERROR(VLOOKUP(B4,MDB!A:H,8,0),VLOOKUP(B4,Inactive!A:H,8,0))</f>
        <v>Content Modarator</v>
      </c>
      <c r="G4" s="20" t="str">
        <f>IFERROR(VLOOKUP(B4,MDB!A:I,9,0),VLOOKUP(B4,Inactive!A:I,9,0))</f>
        <v>Operations</v>
      </c>
      <c r="H4" s="52" t="str">
        <f>IFERROR(VLOOKUP(B4,MDB!A:K,11,0),VLOOKUP(B4,Inactive!A:K,11,0))</f>
        <v>Temu</v>
      </c>
      <c r="I4" s="20" t="str">
        <f>IFERROR(VLOOKUP(B4,MDB!A:J,10,0),VLOOKUP(B4,Inactive!A:J,10,0))</f>
        <v>BG Platform Governance Requirements</v>
      </c>
      <c r="J4" s="20" t="s">
        <v>7402</v>
      </c>
      <c r="K4" s="20" t="s">
        <v>7403</v>
      </c>
      <c r="L4" s="20" t="s">
        <v>90</v>
      </c>
      <c r="M4" s="218" t="s">
        <v>72</v>
      </c>
      <c r="N4" s="20">
        <f>IFERROR(VLOOKUP(B4,MDB!A:BB,54,0),VLOOKUP(B4,Inactive!A:BB,54,0))</f>
        <v>10800</v>
      </c>
      <c r="O4" s="20">
        <f>IFERROR(VLOOKUP(B4,MDB!A:BC,55,0),VLOOKUP(B4,Inactive!A:BC,55,0))</f>
        <v>2700</v>
      </c>
      <c r="P4" s="20">
        <f>IFERROR(VLOOKUP(B4,MDB!A:BD,56,0),VLOOKUP(B4,Inactive!A:BD,56,0))</f>
        <v>1000</v>
      </c>
      <c r="Q4" s="20" t="s">
        <v>7404</v>
      </c>
      <c r="R4" s="22">
        <v>22</v>
      </c>
      <c r="S4" s="20">
        <v>0</v>
      </c>
      <c r="T4" s="20">
        <v>0</v>
      </c>
      <c r="U4" s="20">
        <v>0</v>
      </c>
      <c r="V4" s="20" t="str">
        <f>IFERROR(VLOOKUP(B4,MDB!A:M,13,0),VLOOKUP(B4,Inactive!A:M,13,0))</f>
        <v>Md. Tanjir Ahmed</v>
      </c>
      <c r="W4" s="20" t="str">
        <f>IFERROR(VLOOKUP(B4,MDB!A:N,14,0),VLOOKUP(B4,Inactive!A:N,14,0))</f>
        <v>Asif Iqbal</v>
      </c>
      <c r="X4" s="22">
        <v>0</v>
      </c>
      <c r="Y4" s="22">
        <v>0</v>
      </c>
      <c r="Z4" s="20" t="str">
        <f>IFERROR(VLOOKUP($B4,MDB!A:AO,41,0),VLOOKUP($B4,Inactive!A:AO,41,0))</f>
        <v>natun bazar </v>
      </c>
      <c r="AA4" s="20" t="str">
        <f>IFERROR(VLOOKUP(B4,MDB!A:AP,42,0),VLOOKUP(B4,Inactive!A:AP,42,0))</f>
        <v>susang durgapur</v>
      </c>
      <c r="AB4" s="20" t="str">
        <f>IFERROR(VLOOKUP(B4,MDB!A:APN,43,0),VLOOKUP(B4,Inactive!A:AQ,43,0))</f>
        <v>natun bazar</v>
      </c>
      <c r="AC4" s="22">
        <v>0</v>
      </c>
      <c r="AD4" s="20">
        <f>IFERROR(VLOOKUP(B4,MDB!A:AX,24,0),VLOOKUP(B4,Inactive!A:AX,24,0))</f>
        <v>1957999395</v>
      </c>
      <c r="AE4" s="20">
        <f>IFERROR(VLOOKUP(B4,MDB!A:AA,27,0),VLOOKUP(B4,Inactive!A:AA,27,0))</f>
        <v>1714260950</v>
      </c>
      <c r="AF4" s="20" t="str">
        <f>IFERROR(VLOOKUP(B4,MDB!A:AA,26,0),VLOOKUP(B4,Inactive!A:AA,26,0))</f>
        <v>sayed saleh ahammad</v>
      </c>
      <c r="AG4" s="20" t="str">
        <f>IFERROR(VLOOKUP(B4,MDB!A:Z,5,0),VLOOKUP(B4,Inactive!A:Z,5,0))</f>
        <v>Male</v>
      </c>
      <c r="AH4" s="29" t="str">
        <f>IFERROR(VLOOKUP(B4,MDB!A:AD,30,0),VLOOKUP(B4,Inactive!A:AD,30,0))</f>
        <v>28/12/1998</v>
      </c>
      <c r="AI4" s="20" t="str">
        <f>IFERROR(VLOOKUP(B4,MDB!A:AC,29,0),VLOOKUP(B4,Inactive!A:AC,29,0))</f>
        <v>B+</v>
      </c>
      <c r="AJ4" s="20" t="str">
        <f>IFERROR(VLOOKUP(B4,MDB!A:AF,32,0),VLOOKUP(B4,Inactive!A:AF,32,0))</f>
        <v>Islam</v>
      </c>
      <c r="AK4" s="20">
        <f>IFERROR(VLOOKUP(B4,MDB!A:AG,33,0),VLOOKUP(B4,Inactive!A:AG,33,0))</f>
        <v>7803973192</v>
      </c>
      <c r="AL4" s="216">
        <v>0</v>
      </c>
      <c r="AM4" s="20" t="str">
        <f>IFERROR(VLOOKUP(B4,MDB!A:AI,35,0),VLOOKUP(B4,Inactive!A:AI,35,0))</f>
        <v>Graduate</v>
      </c>
      <c r="AN4" s="20" t="s">
        <v>7405</v>
      </c>
    </row>
    <row r="5">
      <c r="A5" s="48">
        <v>17</v>
      </c>
      <c r="B5" s="4">
        <v>172025</v>
      </c>
      <c r="C5" s="217" t="str">
        <f>IFERROR(VLOOKUP(B5,MDB!A:D,4,0),VLOOKUP(B5,Inactive!A:D,4,0))</f>
        <v>Md Tansin Sina</v>
      </c>
      <c r="D5" s="20" t="str">
        <f>IFERROR(VLOOKUP(B5,MDB!A:G,7,0),VLOOKUP(B5,Inactive!A:G,7,0))</f>
        <v>CSO</v>
      </c>
      <c r="E5" s="29">
        <f>IFERROR(VLOOKUP(B5,MDB!A:R,18,0),VLOOKUP(B5,Inactive!A:R,18,0))</f>
        <v>45588</v>
      </c>
      <c r="F5" s="22" t="str">
        <f>IFERROR(VLOOKUP(B5,MDB!A:H,8,0),VLOOKUP(B5,Inactive!A:H,8,0))</f>
        <v>Content Modarator</v>
      </c>
      <c r="G5" s="20" t="str">
        <f>IFERROR(VLOOKUP(B5,MDB!A:I,9,0),VLOOKUP(B5,Inactive!A:I,9,0))</f>
        <v>Operations</v>
      </c>
      <c r="H5" s="52" t="str">
        <f>IFERROR(VLOOKUP(B5,MDB!A:K,11,0),VLOOKUP(B5,Inactive!A:K,11,0))</f>
        <v>Temu</v>
      </c>
      <c r="I5" s="20" t="str">
        <f>IFERROR(VLOOKUP(B5,MDB!A:J,10,0),VLOOKUP(B5,Inactive!A:J,10,0))</f>
        <v>BG Platform Governance Requirements</v>
      </c>
      <c r="J5" s="20" t="s">
        <v>7402</v>
      </c>
      <c r="K5" s="20" t="s">
        <v>7403</v>
      </c>
      <c r="L5" s="20" t="s">
        <v>90</v>
      </c>
      <c r="M5" s="218" t="s">
        <v>72</v>
      </c>
      <c r="N5" s="20">
        <f>IFERROR(VLOOKUP(B5,MDB!A:BB,54,0),VLOOKUP(B5,Inactive!A:BB,54,0))</f>
        <v>10800</v>
      </c>
      <c r="O5" s="20">
        <f>IFERROR(VLOOKUP(B5,MDB!A:BC,55,0),VLOOKUP(B5,Inactive!A:BC,55,0))</f>
        <v>2700</v>
      </c>
      <c r="P5" s="20">
        <f>IFERROR(VLOOKUP(B5,MDB!A:BD,56,0),VLOOKUP(B5,Inactive!A:BD,56,0))</f>
        <v>1000</v>
      </c>
      <c r="Q5" s="20" t="s">
        <v>7404</v>
      </c>
      <c r="R5" s="22">
        <v>22</v>
      </c>
      <c r="S5" s="20">
        <v>0</v>
      </c>
      <c r="T5" s="20">
        <v>0</v>
      </c>
      <c r="U5" s="20">
        <v>0</v>
      </c>
      <c r="V5" s="20" t="str">
        <f>IFERROR(VLOOKUP(B5,MDB!A:M,13,0),VLOOKUP(B5,Inactive!A:M,13,0))</f>
        <v>Md. Mahin Khan</v>
      </c>
      <c r="W5" s="20" t="str">
        <f>IFERROR(VLOOKUP(B5,MDB!A:N,14,0),VLOOKUP(B5,Inactive!A:N,14,0))</f>
        <v>Asif Iqbal</v>
      </c>
      <c r="X5" s="22">
        <v>0</v>
      </c>
      <c r="Y5" s="22">
        <v>0</v>
      </c>
      <c r="Z5" s="20" t="str">
        <f>IFERROR(VLOOKUP($B5,MDB!A:AO,41,0),VLOOKUP($B5,Inactive!A:AO,41,0))</f>
        <v>Nikunja 2,Dhaka-1229</v>
      </c>
      <c r="AA5" s="20" t="str">
        <f>IFERROR(VLOOKUP(B5,MDB!A:AP,42,0),VLOOKUP(B5,Inactive!A:AP,42,0))</f>
        <v>sakhipur, tangail</v>
      </c>
      <c r="AB5" s="20" t="str">
        <f>IFERROR(VLOOKUP(B5,MDB!A:APN,43,0),VLOOKUP(B5,Inactive!A:AQ,43,0))</f>
        <v>nikunja2</v>
      </c>
      <c r="AC5" s="22">
        <v>0</v>
      </c>
      <c r="AD5" s="20">
        <f>IFERROR(VLOOKUP(B5,MDB!A:AX,24,0),VLOOKUP(B5,Inactive!A:AX,24,0))</f>
        <v>1755391595</v>
      </c>
      <c r="AE5" s="20">
        <f>IFERROR(VLOOKUP(B5,MDB!A:AA,27,0),VLOOKUP(B5,Inactive!A:AA,27,0))</f>
        <v>1750528870</v>
      </c>
      <c r="AF5" s="20" t="str">
        <f>IFERROR(VLOOKUP(B5,MDB!A:AA,26,0),VLOOKUP(B5,Inactive!A:AA,26,0))</f>
        <v>ibna lman</v>
      </c>
      <c r="AG5" s="20" t="str">
        <f>IFERROR(VLOOKUP(B5,MDB!A:Z,5,0),VLOOKUP(B5,Inactive!A:Z,5,0))</f>
        <v>Male</v>
      </c>
      <c r="AH5" s="29" t="str">
        <f>IFERROR(VLOOKUP(B5,MDB!A:AD,30,0),VLOOKUP(B5,Inactive!A:AD,30,0))</f>
        <v>27/01/2003</v>
      </c>
      <c r="AI5" s="20" t="str">
        <f>IFERROR(VLOOKUP(B5,MDB!A:AC,29,0),VLOOKUP(B5,Inactive!A:AC,29,0))</f>
        <v>B+</v>
      </c>
      <c r="AJ5" s="20" t="str">
        <f>IFERROR(VLOOKUP(B5,MDB!A:AF,32,0),VLOOKUP(B5,Inactive!A:AF,32,0))</f>
        <v>islam</v>
      </c>
      <c r="AK5" s="20">
        <f>IFERROR(VLOOKUP(B5,MDB!A:AG,33,0),VLOOKUP(B5,Inactive!A:AG,33,0))</f>
        <v>3765392851</v>
      </c>
      <c r="AL5" s="216">
        <v>0</v>
      </c>
      <c r="AM5" s="20" t="str">
        <f>IFERROR(VLOOKUP(B5,MDB!A:AI,35,0),VLOOKUP(B5,Inactive!A:AI,35,0))</f>
        <v>Graduate</v>
      </c>
      <c r="AN5" s="20" t="s">
        <v>7405</v>
      </c>
    </row>
    <row r="6">
      <c r="A6" s="48">
        <v>18</v>
      </c>
      <c r="B6" s="4">
        <v>172029</v>
      </c>
      <c r="C6" s="217" t="str">
        <f>IFERROR(VLOOKUP(B6,MDB!A:D,4,0),VLOOKUP(B6,Inactive!A:D,4,0))</f>
        <v>Muhammed Muazzam Hossain</v>
      </c>
      <c r="D6" s="20" t="str">
        <f>IFERROR(VLOOKUP(B6,MDB!A:G,7,0),VLOOKUP(B6,Inactive!A:G,7,0))</f>
        <v>CSO</v>
      </c>
      <c r="E6" s="29">
        <f>IFERROR(VLOOKUP(B6,MDB!A:R,18,0),VLOOKUP(B6,Inactive!A:R,18,0))</f>
        <v>45590</v>
      </c>
      <c r="F6" s="22" t="str">
        <f>IFERROR(VLOOKUP(B6,MDB!A:H,8,0),VLOOKUP(B6,Inactive!A:H,8,0))</f>
        <v>Content Modarator</v>
      </c>
      <c r="G6" s="20" t="str">
        <f>IFERROR(VLOOKUP(B6,MDB!A:I,9,0),VLOOKUP(B6,Inactive!A:I,9,0))</f>
        <v>Operations</v>
      </c>
      <c r="H6" s="52" t="str">
        <f>IFERROR(VLOOKUP(B6,MDB!A:K,11,0),VLOOKUP(B6,Inactive!A:K,11,0))</f>
        <v>Temu</v>
      </c>
      <c r="I6" s="20" t="str">
        <f>IFERROR(VLOOKUP(B6,MDB!A:J,10,0),VLOOKUP(B6,Inactive!A:J,10,0))</f>
        <v>BG Platform Governance Requirements</v>
      </c>
      <c r="J6" s="20" t="s">
        <v>7402</v>
      </c>
      <c r="K6" s="20" t="s">
        <v>7403</v>
      </c>
      <c r="L6" s="20" t="s">
        <v>90</v>
      </c>
      <c r="M6" s="218" t="s">
        <v>72</v>
      </c>
      <c r="N6" s="20">
        <f>IFERROR(VLOOKUP(B6,MDB!A:BB,54,0),VLOOKUP(B6,Inactive!A:BB,54,0))</f>
        <v>10800</v>
      </c>
      <c r="O6" s="20">
        <f>IFERROR(VLOOKUP(B6,MDB!A:BC,55,0),VLOOKUP(B6,Inactive!A:BC,55,0))</f>
        <v>2700</v>
      </c>
      <c r="P6" s="20">
        <f>IFERROR(VLOOKUP(B6,MDB!A:BD,56,0),VLOOKUP(B6,Inactive!A:BD,56,0))</f>
        <v>1000</v>
      </c>
      <c r="Q6" s="20" t="s">
        <v>7404</v>
      </c>
      <c r="R6" s="22">
        <v>22</v>
      </c>
      <c r="S6" s="20">
        <v>0</v>
      </c>
      <c r="T6" s="20">
        <v>0</v>
      </c>
      <c r="U6" s="20">
        <v>0</v>
      </c>
      <c r="V6" s="20" t="str">
        <f>IFERROR(VLOOKUP(B6,MDB!A:M,13,0),VLOOKUP(B6,Inactive!A:M,13,0))</f>
        <v>Md. Tanjir Ahmed</v>
      </c>
      <c r="W6" s="20" t="str">
        <f>IFERROR(VLOOKUP(B6,MDB!A:N,14,0),VLOOKUP(B6,Inactive!A:N,14,0))</f>
        <v>Asif Iqbal</v>
      </c>
      <c r="X6" s="22">
        <v>0</v>
      </c>
      <c r="Y6" s="22">
        <v>0</v>
      </c>
      <c r="Z6" s="20" t="str">
        <f>IFERROR(VLOOKUP($B6,MDB!A:AO,41,0),VLOOKUP($B6,Inactive!A:AO,41,0))</f>
        <v>BTI Bhaban, Mazar Road, Abdullapur, Dhaka</v>
      </c>
      <c r="AA6" s="20">
        <f>IFERROR(VLOOKUP(B6,MDB!A:AP,42,0),VLOOKUP(B6,Inactive!A:AP,42,0))</f>
        <v>0</v>
      </c>
      <c r="AB6" s="20" t="str">
        <f>IFERROR(VLOOKUP(B6,MDB!A:APN,43,0),VLOOKUP(B6,Inactive!A:AQ,43,0))</f>
        <v>Abdullapur Bus Stand</v>
      </c>
      <c r="AC6" s="22">
        <v>0</v>
      </c>
      <c r="AD6" s="20">
        <f>IFERROR(VLOOKUP(B6,MDB!A:AX,24,0),VLOOKUP(B6,Inactive!A:AX,24,0))</f>
        <v>1623389795</v>
      </c>
      <c r="AE6" s="20">
        <f>IFERROR(VLOOKUP(B6,MDB!A:AA,27,0),VLOOKUP(B6,Inactive!A:AA,27,0))</f>
        <v>1623612120</v>
      </c>
      <c r="AF6" s="20" t="str">
        <f>IFERROR(VLOOKUP(B6,MDB!A:AA,26,0),VLOOKUP(B6,Inactive!A:AA,26,0))</f>
        <v>Imam Hossain</v>
      </c>
      <c r="AG6" s="20" t="str">
        <f>IFERROR(VLOOKUP(B6,MDB!A:Z,5,0),VLOOKUP(B6,Inactive!A:Z,5,0))</f>
        <v>Male</v>
      </c>
      <c r="AH6" s="29">
        <f>IFERROR(VLOOKUP(B6,MDB!A:AD,30,0),VLOOKUP(B6,Inactive!A:AD,30,0))</f>
        <v>36262</v>
      </c>
      <c r="AI6" s="20" t="str">
        <f>IFERROR(VLOOKUP(B6,MDB!A:AC,29,0),VLOOKUP(B6,Inactive!A:AC,29,0))</f>
        <v>B+</v>
      </c>
      <c r="AJ6" s="20" t="str">
        <f>IFERROR(VLOOKUP(B6,MDB!A:AF,32,0),VLOOKUP(B6,Inactive!A:AF,32,0))</f>
        <v>Islam</v>
      </c>
      <c r="AK6" s="20">
        <f>IFERROR(VLOOKUP(B6,MDB!A:AG,33,0),VLOOKUP(B6,Inactive!A:AG,33,0))</f>
        <v>6453637917</v>
      </c>
      <c r="AL6" s="216">
        <v>0</v>
      </c>
      <c r="AM6" s="20" t="str">
        <f>IFERROR(VLOOKUP(B6,MDB!A:AI,35,0),VLOOKUP(B6,Inactive!A:AI,35,0))</f>
        <v>Graduate</v>
      </c>
      <c r="AN6" s="20" t="s">
        <v>7405</v>
      </c>
    </row>
    <row r="7">
      <c r="A7" s="48">
        <v>19</v>
      </c>
      <c r="B7" s="4">
        <v>172028</v>
      </c>
      <c r="C7" s="217" t="str">
        <f>IFERROR(VLOOKUP(B7,MDB!A:D,4,0),VLOOKUP(B7,Inactive!A:D,4,0))</f>
        <v>Nayeem Hoque Fahad</v>
      </c>
      <c r="D7" s="20" t="str">
        <f>IFERROR(VLOOKUP(B7,MDB!A:G,7,0),VLOOKUP(B7,Inactive!A:G,7,0))</f>
        <v>CSO</v>
      </c>
      <c r="E7" s="29">
        <f>IFERROR(VLOOKUP(B7,MDB!A:R,18,0),VLOOKUP(B7,Inactive!A:R,18,0))</f>
        <v>45588</v>
      </c>
      <c r="F7" s="22" t="str">
        <f>IFERROR(VLOOKUP(B7,MDB!A:H,8,0),VLOOKUP(B7,Inactive!A:H,8,0))</f>
        <v>Content Modarator</v>
      </c>
      <c r="G7" s="20" t="str">
        <f>IFERROR(VLOOKUP(B7,MDB!A:I,9,0),VLOOKUP(B7,Inactive!A:I,9,0))</f>
        <v>Operations</v>
      </c>
      <c r="H7" s="52" t="str">
        <f>IFERROR(VLOOKUP(B7,MDB!A:K,11,0),VLOOKUP(B7,Inactive!A:K,11,0))</f>
        <v>Temu</v>
      </c>
      <c r="I7" s="20" t="str">
        <f>IFERROR(VLOOKUP(B7,MDB!A:J,10,0),VLOOKUP(B7,Inactive!A:J,10,0))</f>
        <v>BG Platform Governance Requirements</v>
      </c>
      <c r="J7" s="20" t="s">
        <v>7402</v>
      </c>
      <c r="K7" s="20" t="s">
        <v>7403</v>
      </c>
      <c r="L7" s="20" t="s">
        <v>90</v>
      </c>
      <c r="M7" s="218" t="s">
        <v>72</v>
      </c>
      <c r="N7" s="20">
        <f>IFERROR(VLOOKUP(B7,MDB!A:BB,54,0),VLOOKUP(B7,Inactive!A:BB,54,0))</f>
        <v>10800</v>
      </c>
      <c r="O7" s="20">
        <f>IFERROR(VLOOKUP(B7,MDB!A:BC,55,0),VLOOKUP(B7,Inactive!A:BC,55,0))</f>
        <v>2700</v>
      </c>
      <c r="P7" s="20">
        <f>IFERROR(VLOOKUP(B7,MDB!A:BD,56,0),VLOOKUP(B7,Inactive!A:BD,56,0))</f>
        <v>1000</v>
      </c>
      <c r="Q7" s="20" t="s">
        <v>7404</v>
      </c>
      <c r="R7" s="22">
        <v>22</v>
      </c>
      <c r="S7" s="20">
        <v>0</v>
      </c>
      <c r="T7" s="20">
        <v>0</v>
      </c>
      <c r="U7" s="20">
        <v>0</v>
      </c>
      <c r="V7" s="20" t="str">
        <f>IFERROR(VLOOKUP(B7,MDB!A:M,13,0),VLOOKUP(B7,Inactive!A:M,13,0))</f>
        <v>Mohammad Joshim</v>
      </c>
      <c r="W7" s="20" t="str">
        <f>IFERROR(VLOOKUP(B7,MDB!A:N,14,0),VLOOKUP(B7,Inactive!A:N,14,0))</f>
        <v>Asif Iqbal</v>
      </c>
      <c r="X7" s="22">
        <v>0</v>
      </c>
      <c r="Y7" s="22">
        <v>0</v>
      </c>
      <c r="Z7" s="20" t="str">
        <f>IFERROR(VLOOKUP($B7,MDB!A:AO,41,0),VLOOKUP($B7,Inactive!A:AO,41,0))</f>
        <v>H-32, R-19,Nikunjo 2</v>
      </c>
      <c r="AA7" s="20" t="str">
        <f>IFERROR(VLOOKUP(B7,MDB!A:AP,42,0),VLOOKUP(B7,Inactive!A:AP,42,0))</f>
        <v>Trishal, M ymensingh</v>
      </c>
      <c r="AB7" s="20" t="str">
        <f>IFERROR(VLOOKUP(B7,MDB!A:APN,43,0),VLOOKUP(B7,Inactive!A:AQ,43,0))</f>
        <v>Nikunja-2</v>
      </c>
      <c r="AC7" s="22">
        <v>0</v>
      </c>
      <c r="AD7" s="20">
        <f>IFERROR(VLOOKUP(B7,MDB!A:AX,24,0),VLOOKUP(B7,Inactive!A:AX,24,0))</f>
        <v>1775335616</v>
      </c>
      <c r="AE7" s="20">
        <f>IFERROR(VLOOKUP(B7,MDB!A:AA,27,0),VLOOKUP(B7,Inactive!A:AA,27,0))</f>
        <v>1922757975</v>
      </c>
      <c r="AF7" s="20" t="str">
        <f>IFERROR(VLOOKUP(B7,MDB!A:AA,26,0),VLOOKUP(B7,Inactive!A:AA,26,0))</f>
        <v>Kauser Ahamed</v>
      </c>
      <c r="AG7" s="20" t="str">
        <f>IFERROR(VLOOKUP(B7,MDB!A:Z,5,0),VLOOKUP(B7,Inactive!A:Z,5,0))</f>
        <v>Male</v>
      </c>
      <c r="AH7" s="29">
        <f>IFERROR(VLOOKUP(B7,MDB!A:AD,30,0),VLOOKUP(B7,Inactive!A:AD,30,0))</f>
        <v>36110</v>
      </c>
      <c r="AI7" s="20" t="str">
        <f>IFERROR(VLOOKUP(B7,MDB!A:AC,29,0),VLOOKUP(B7,Inactive!A:AC,29,0))</f>
        <v>o plus</v>
      </c>
      <c r="AJ7" s="20" t="str">
        <f>IFERROR(VLOOKUP(B7,MDB!A:AF,32,0),VLOOKUP(B7,Inactive!A:AF,32,0))</f>
        <v>islam</v>
      </c>
      <c r="AK7" s="20">
        <f>IFERROR(VLOOKUP(B7,MDB!A:AG,33,0),VLOOKUP(B7,Inactive!A:AG,33,0))</f>
        <v>7354638483</v>
      </c>
      <c r="AL7" s="216">
        <v>0</v>
      </c>
      <c r="AM7" s="20" t="str">
        <f>IFERROR(VLOOKUP(B7,MDB!A:AI,35,0),VLOOKUP(B7,Inactive!A:AI,35,0))</f>
        <v>Graduate</v>
      </c>
      <c r="AN7" s="20" t="s">
        <v>7405</v>
      </c>
    </row>
    <row r="8">
      <c r="A8" s="48">
        <v>20</v>
      </c>
      <c r="B8" s="4">
        <v>172021</v>
      </c>
      <c r="C8" s="217" t="str">
        <f>IFERROR(VLOOKUP(B8,MDB!A:D,4,0),VLOOKUP(B8,Inactive!A:D,4,0))</f>
        <v>Md Jahidur Rahman</v>
      </c>
      <c r="D8" s="20" t="str">
        <f>IFERROR(VLOOKUP(B8,MDB!A:G,7,0),VLOOKUP(B8,Inactive!A:G,7,0))</f>
        <v>CSO</v>
      </c>
      <c r="E8" s="29">
        <f>IFERROR(VLOOKUP(B8,MDB!A:R,18,0),VLOOKUP(B8,Inactive!A:R,18,0))</f>
        <v>45582</v>
      </c>
      <c r="F8" s="22" t="str">
        <f>IFERROR(VLOOKUP(B8,MDB!A:H,8,0),VLOOKUP(B8,Inactive!A:H,8,0))</f>
        <v>Content Modarator</v>
      </c>
      <c r="G8" s="20" t="str">
        <f>IFERROR(VLOOKUP(B8,MDB!A:I,9,0),VLOOKUP(B8,Inactive!A:I,9,0))</f>
        <v>Operations</v>
      </c>
      <c r="H8" s="52" t="str">
        <f>IFERROR(VLOOKUP(B8,MDB!A:K,11,0),VLOOKUP(B8,Inactive!A:K,11,0))</f>
        <v>Temu</v>
      </c>
      <c r="I8" s="20" t="str">
        <f>IFERROR(VLOOKUP(B8,MDB!A:J,10,0),VLOOKUP(B8,Inactive!A:J,10,0))</f>
        <v>BG Platform Governance Requirements</v>
      </c>
      <c r="J8" s="20" t="s">
        <v>7402</v>
      </c>
      <c r="K8" s="20" t="s">
        <v>7403</v>
      </c>
      <c r="L8" s="20" t="s">
        <v>90</v>
      </c>
      <c r="M8" s="218" t="s">
        <v>72</v>
      </c>
      <c r="N8" s="20">
        <f>IFERROR(VLOOKUP(B8,MDB!A:BB,54,0),VLOOKUP(B8,Inactive!A:BB,54,0))</f>
        <v>10800</v>
      </c>
      <c r="O8" s="20">
        <f>IFERROR(VLOOKUP(B8,MDB!A:BC,55,0),VLOOKUP(B8,Inactive!A:BC,55,0))</f>
        <v>2700</v>
      </c>
      <c r="P8" s="20">
        <f>IFERROR(VLOOKUP(B8,MDB!A:BD,56,0),VLOOKUP(B8,Inactive!A:BD,56,0))</f>
        <v>1000</v>
      </c>
      <c r="Q8" s="20" t="s">
        <v>7404</v>
      </c>
      <c r="R8" s="22">
        <v>22</v>
      </c>
      <c r="S8" s="20">
        <v>0</v>
      </c>
      <c r="T8" s="20">
        <v>0</v>
      </c>
      <c r="U8" s="20">
        <v>0</v>
      </c>
      <c r="V8" s="20" t="str">
        <f>IFERROR(VLOOKUP(B8,MDB!A:M,13,0),VLOOKUP(B8,Inactive!A:M,13,0))</f>
        <v>Md. Mahin Khan</v>
      </c>
      <c r="W8" s="20" t="str">
        <f>IFERROR(VLOOKUP(B8,MDB!A:N,14,0),VLOOKUP(B8,Inactive!A:N,14,0))</f>
        <v>Asif Iqbal</v>
      </c>
      <c r="X8" s="22">
        <v>0</v>
      </c>
      <c r="Y8" s="22">
        <v>0</v>
      </c>
      <c r="Z8" s="20" t="str">
        <f>IFERROR(VLOOKUP($B8,MDB!A:AO,41,0),VLOOKUP($B8,Inactive!A:AO,41,0))</f>
        <v>Ashkona, Airport, Dhaka</v>
      </c>
      <c r="AA8" s="20" t="str">
        <f>IFERROR(VLOOKUP(B8,MDB!A:AP,42,0),VLOOKUP(B8,Inactive!A:AP,42,0))</f>
        <v>Bhola Sadar, Bhola</v>
      </c>
      <c r="AB8" s="20" t="str">
        <f>IFERROR(VLOOKUP(B8,MDB!A:APN,43,0),VLOOKUP(B8,Inactive!A:AQ,43,0))</f>
        <v>Airport</v>
      </c>
      <c r="AC8" s="22">
        <v>0</v>
      </c>
      <c r="AD8" s="20">
        <f>IFERROR(VLOOKUP(B8,MDB!A:AX,24,0),VLOOKUP(B8,Inactive!A:AX,24,0))</f>
        <v>1643433053</v>
      </c>
      <c r="AE8" s="20">
        <f>IFERROR(VLOOKUP(B8,MDB!A:AA,27,0),VLOOKUP(B8,Inactive!A:AA,27,0))</f>
        <v>1627965503</v>
      </c>
      <c r="AF8" s="20" t="str">
        <f>IFERROR(VLOOKUP(B8,MDB!A:AA,26,0),VLOOKUP(B8,Inactive!A:AA,26,0))</f>
        <v>Tasin Islam</v>
      </c>
      <c r="AG8" s="20" t="str">
        <f>IFERROR(VLOOKUP(B8,MDB!A:Z,5,0),VLOOKUP(B8,Inactive!A:Z,5,0))</f>
        <v>Male</v>
      </c>
      <c r="AH8" s="29">
        <f>IFERROR(VLOOKUP(B8,MDB!A:AD,30,0),VLOOKUP(B8,Inactive!A:AD,30,0))</f>
        <v>37655</v>
      </c>
      <c r="AI8" s="20" t="str">
        <f>IFERROR(VLOOKUP(B8,MDB!A:AC,29,0),VLOOKUP(B8,Inactive!A:AC,29,0))</f>
        <v>O+</v>
      </c>
      <c r="AJ8" s="20" t="str">
        <f>IFERROR(VLOOKUP(B8,MDB!A:AF,32,0),VLOOKUP(B8,Inactive!A:AF,32,0))</f>
        <v>Islam</v>
      </c>
      <c r="AK8" s="20">
        <f>IFERROR(VLOOKUP(B8,MDB!A:AG,33,0),VLOOKUP(B8,Inactive!A:AG,33,0))</f>
        <v>5561021501</v>
      </c>
      <c r="AL8" s="216">
        <v>0</v>
      </c>
      <c r="AM8" s="20" t="str">
        <f>IFERROR(VLOOKUP(B8,MDB!A:AI,35,0),VLOOKUP(B8,Inactive!A:AI,35,0))</f>
        <v>Graduate</v>
      </c>
      <c r="AN8" s="20" t="s">
        <v>7405</v>
      </c>
    </row>
    <row r="9">
      <c r="A9" s="48">
        <v>21</v>
      </c>
      <c r="B9" s="4">
        <v>172022</v>
      </c>
      <c r="C9" s="217" t="str">
        <f>IFERROR(VLOOKUP(B9,MDB!A:D,4,0),VLOOKUP(B9,Inactive!A:D,4,0))</f>
        <v>Md Mazba Uddin Fahim</v>
      </c>
      <c r="D9" s="20" t="str">
        <f>IFERROR(VLOOKUP(B9,MDB!A:G,7,0),VLOOKUP(B9,Inactive!A:G,7,0))</f>
        <v>CSO</v>
      </c>
      <c r="E9" s="29">
        <f>IFERROR(VLOOKUP(B9,MDB!A:R,18,0),VLOOKUP(B9,Inactive!A:R,18,0))</f>
        <v>45582</v>
      </c>
      <c r="F9" s="22" t="str">
        <f>IFERROR(VLOOKUP(B9,MDB!A:H,8,0),VLOOKUP(B9,Inactive!A:H,8,0))</f>
        <v>Content Modarator</v>
      </c>
      <c r="G9" s="20" t="str">
        <f>IFERROR(VLOOKUP(B9,MDB!A:I,9,0),VLOOKUP(B9,Inactive!A:I,9,0))</f>
        <v>Operations</v>
      </c>
      <c r="H9" s="52" t="str">
        <f>IFERROR(VLOOKUP(B9,MDB!A:K,11,0),VLOOKUP(B9,Inactive!A:K,11,0))</f>
        <v>Temu</v>
      </c>
      <c r="I9" s="20" t="str">
        <f>IFERROR(VLOOKUP(B9,MDB!A:J,10,0),VLOOKUP(B9,Inactive!A:J,10,0))</f>
        <v>BG Platform Governance Requirements</v>
      </c>
      <c r="J9" s="20" t="s">
        <v>7402</v>
      </c>
      <c r="K9" s="20" t="s">
        <v>7403</v>
      </c>
      <c r="L9" s="20" t="s">
        <v>90</v>
      </c>
      <c r="M9" s="218" t="s">
        <v>72</v>
      </c>
      <c r="N9" s="20">
        <f>IFERROR(VLOOKUP(B9,MDB!A:BB,54,0),VLOOKUP(B9,Inactive!A:BB,54,0))</f>
        <v>10800</v>
      </c>
      <c r="O9" s="20">
        <f>IFERROR(VLOOKUP(B9,MDB!A:BC,55,0),VLOOKUP(B9,Inactive!A:BC,55,0))</f>
        <v>2700</v>
      </c>
      <c r="P9" s="20">
        <f>IFERROR(VLOOKUP(B9,MDB!A:BD,56,0),VLOOKUP(B9,Inactive!A:BD,56,0))</f>
        <v>1000</v>
      </c>
      <c r="Q9" s="20" t="s">
        <v>7404</v>
      </c>
      <c r="R9" s="22">
        <v>22</v>
      </c>
      <c r="S9" s="20">
        <v>0</v>
      </c>
      <c r="T9" s="20">
        <v>0</v>
      </c>
      <c r="U9" s="20">
        <v>0</v>
      </c>
      <c r="V9" s="20" t="str">
        <f>IFERROR(VLOOKUP(B9,MDB!A:M,13,0),VLOOKUP(B9,Inactive!A:M,13,0))</f>
        <v>Md. Mahin Khan</v>
      </c>
      <c r="W9" s="20" t="str">
        <f>IFERROR(VLOOKUP(B9,MDB!A:N,14,0),VLOOKUP(B9,Inactive!A:N,14,0))</f>
        <v>Asif Iqbal</v>
      </c>
      <c r="X9" s="22">
        <v>0</v>
      </c>
      <c r="Y9" s="22">
        <v>0</v>
      </c>
      <c r="Z9" s="20" t="str">
        <f>IFERROR(VLOOKUP($B9,MDB!A:AO,41,0),VLOOKUP($B9,Inactive!A:AO,41,0))</f>
        <v>Kha-para, Khilkhet, dhaka</v>
      </c>
      <c r="AA9" s="20" t="str">
        <f>IFERROR(VLOOKUP(B9,MDB!A:AP,42,0),VLOOKUP(B9,Inactive!A:AP,42,0))</f>
        <v>Feni Sadar, Feni</v>
      </c>
      <c r="AB9" s="20" t="str">
        <f>IFERROR(VLOOKUP(B9,MDB!A:APN,43,0),VLOOKUP(B9,Inactive!A:AQ,43,0))</f>
        <v>Khilkhet</v>
      </c>
      <c r="AC9" s="22">
        <v>0</v>
      </c>
      <c r="AD9" s="20">
        <f>IFERROR(VLOOKUP(B9,MDB!A:AX,24,0),VLOOKUP(B9,Inactive!A:AX,24,0))</f>
        <v>1849949477</v>
      </c>
      <c r="AE9" s="20">
        <f>IFERROR(VLOOKUP(B9,MDB!A:AA,27,0),VLOOKUP(B9,Inactive!A:AA,27,0))</f>
        <v>1892979712</v>
      </c>
      <c r="AF9" s="20" t="str">
        <f>IFERROR(VLOOKUP(B9,MDB!A:AA,26,0),VLOOKUP(B9,Inactive!A:AA,26,0))</f>
        <v>Mohi uddin </v>
      </c>
      <c r="AG9" s="20" t="str">
        <f>IFERROR(VLOOKUP(B9,MDB!A:Z,5,0),VLOOKUP(B9,Inactive!A:Z,5,0))</f>
        <v>Male</v>
      </c>
      <c r="AH9" s="29">
        <f>IFERROR(VLOOKUP(B9,MDB!A:AD,30,0),VLOOKUP(B9,Inactive!A:AD,30,0))</f>
        <v>36892</v>
      </c>
      <c r="AI9" s="20" t="str">
        <f>IFERROR(VLOOKUP(B9,MDB!A:AC,29,0),VLOOKUP(B9,Inactive!A:AC,29,0))</f>
        <v>B+</v>
      </c>
      <c r="AJ9" s="20" t="str">
        <f>IFERROR(VLOOKUP(B9,MDB!A:AF,32,0),VLOOKUP(B9,Inactive!A:AF,32,0))</f>
        <v>Islam</v>
      </c>
      <c r="AK9" s="20">
        <f>IFERROR(VLOOKUP(B9,MDB!A:AG,33,0),VLOOKUP(B9,Inactive!A:AG,33,0))</f>
        <v>6013027484</v>
      </c>
      <c r="AL9" s="216">
        <v>0</v>
      </c>
      <c r="AM9" s="20" t="str">
        <f>IFERROR(VLOOKUP(B9,MDB!A:AI,35,0),VLOOKUP(B9,Inactive!A:AI,35,0))</f>
        <v>Diploma</v>
      </c>
      <c r="AN9" s="20" t="s">
        <v>7405</v>
      </c>
    </row>
    <row r="10">
      <c r="A10" s="48">
        <v>22</v>
      </c>
      <c r="B10" s="4">
        <v>172016</v>
      </c>
      <c r="C10" s="217" t="str">
        <f>IFERROR(VLOOKUP(B10,MDB!A:D,4,0),VLOOKUP(B10,Inactive!A:D,4,0))</f>
        <v>S. M. Rownak Al Jami</v>
      </c>
      <c r="D10" s="20" t="str">
        <f>IFERROR(VLOOKUP(B10,MDB!A:G,7,0),VLOOKUP(B10,Inactive!A:G,7,0))</f>
        <v>CSO</v>
      </c>
      <c r="E10" s="29">
        <f>IFERROR(VLOOKUP(B10,MDB!A:R,18,0),VLOOKUP(B10,Inactive!A:R,18,0))</f>
        <v>45582</v>
      </c>
      <c r="F10" s="22" t="str">
        <f>IFERROR(VLOOKUP(B10,MDB!A:H,8,0),VLOOKUP(B10,Inactive!A:H,8,0))</f>
        <v>Content Modarator</v>
      </c>
      <c r="G10" s="20" t="str">
        <f>IFERROR(VLOOKUP(B10,MDB!A:I,9,0),VLOOKUP(B10,Inactive!A:I,9,0))</f>
        <v>Operations</v>
      </c>
      <c r="H10" s="52" t="str">
        <f>IFERROR(VLOOKUP(B10,MDB!A:K,11,0),VLOOKUP(B10,Inactive!A:K,11,0))</f>
        <v>Temu</v>
      </c>
      <c r="I10" s="20" t="str">
        <f>IFERROR(VLOOKUP(B10,MDB!A:J,10,0),VLOOKUP(B10,Inactive!A:J,10,0))</f>
        <v>BG Platform Governance Requirements</v>
      </c>
      <c r="J10" s="20" t="s">
        <v>7402</v>
      </c>
      <c r="K10" s="20" t="s">
        <v>7403</v>
      </c>
      <c r="L10" s="20" t="s">
        <v>90</v>
      </c>
      <c r="M10" s="218" t="s">
        <v>72</v>
      </c>
      <c r="N10" s="20">
        <f>IFERROR(VLOOKUP(B10,MDB!A:BB,54,0),VLOOKUP(B10,Inactive!A:BB,54,0))</f>
        <v>10800</v>
      </c>
      <c r="O10" s="20">
        <f>IFERROR(VLOOKUP(B10,MDB!A:BC,55,0),VLOOKUP(B10,Inactive!A:BC,55,0))</f>
        <v>2700</v>
      </c>
      <c r="P10" s="20">
        <f>IFERROR(VLOOKUP(B10,MDB!A:BD,56,0),VLOOKUP(B10,Inactive!A:BD,56,0))</f>
        <v>1000</v>
      </c>
      <c r="Q10" s="20" t="s">
        <v>7404</v>
      </c>
      <c r="R10" s="22">
        <v>22</v>
      </c>
      <c r="S10" s="20">
        <v>0</v>
      </c>
      <c r="T10" s="20">
        <v>0</v>
      </c>
      <c r="U10" s="20">
        <v>0</v>
      </c>
      <c r="V10" s="20" t="str">
        <f>IFERROR(VLOOKUP(B10,MDB!A:M,13,0),VLOOKUP(B10,Inactive!A:M,13,0))</f>
        <v>Md. Tanjir Ahmed</v>
      </c>
      <c r="W10" s="20" t="str">
        <f>IFERROR(VLOOKUP(B10,MDB!A:N,14,0),VLOOKUP(B10,Inactive!A:N,14,0))</f>
        <v>Asif Iqbal</v>
      </c>
      <c r="X10" s="22">
        <v>0</v>
      </c>
      <c r="Y10" s="22">
        <v>0</v>
      </c>
      <c r="Z10" s="20" t="str">
        <f>IFERROR(VLOOKUP($B10,MDB!A:AO,41,0),VLOOKUP($B10,Inactive!A:AO,41,0))</f>
        <v>H-2/R-18, Nikunja-2, Khilkhet, Dhaka</v>
      </c>
      <c r="AA10" s="20" t="str">
        <f>IFERROR(VLOOKUP(B10,MDB!A:AP,42,0),VLOOKUP(B10,Inactive!A:AP,42,0))</f>
        <v>Mymensingh Sadar, Mymensingh</v>
      </c>
      <c r="AB10" s="20" t="str">
        <f>IFERROR(VLOOKUP(B10,MDB!A:APN,43,0),VLOOKUP(B10,Inactive!A:AQ,43,0))</f>
        <v>Nikunja-2</v>
      </c>
      <c r="AC10" s="22">
        <v>0</v>
      </c>
      <c r="AD10" s="20">
        <f>IFERROR(VLOOKUP(B10,MDB!A:AX,24,0),VLOOKUP(B10,Inactive!A:AX,24,0))</f>
        <v>1937863393</v>
      </c>
      <c r="AE10" s="20">
        <f>IFERROR(VLOOKUP(B10,MDB!A:AA,27,0),VLOOKUP(B10,Inactive!A:AA,27,0))</f>
        <v>1762070229</v>
      </c>
      <c r="AF10" s="20" t="str">
        <f>IFERROR(VLOOKUP(B10,MDB!A:AA,26,0),VLOOKUP(B10,Inactive!A:AA,26,0))</f>
        <v>Abdullah-Al-Mamun</v>
      </c>
      <c r="AG10" s="20" t="str">
        <f>IFERROR(VLOOKUP(B10,MDB!A:Z,5,0),VLOOKUP(B10,Inactive!A:Z,5,0))</f>
        <v>Male</v>
      </c>
      <c r="AH10" s="29" t="str">
        <f>IFERROR(VLOOKUP(B10,MDB!A:AD,30,0),VLOOKUP(B10,Inactive!A:AD,30,0))</f>
        <v>14/3/2001</v>
      </c>
      <c r="AI10" s="20" t="str">
        <f>IFERROR(VLOOKUP(B10,MDB!A:AC,29,0),VLOOKUP(B10,Inactive!A:AC,29,0))</f>
        <v>AB+</v>
      </c>
      <c r="AJ10" s="20" t="str">
        <f>IFERROR(VLOOKUP(B10,MDB!A:AF,32,0),VLOOKUP(B10,Inactive!A:AF,32,0))</f>
        <v>Islam</v>
      </c>
      <c r="AK10" s="20">
        <f>IFERROR(VLOOKUP(B10,MDB!A:AG,33,0),VLOOKUP(B10,Inactive!A:AG,33,0))</f>
        <v>3313445417</v>
      </c>
      <c r="AL10" s="216">
        <v>0</v>
      </c>
      <c r="AM10" s="20" t="str">
        <f>IFERROR(VLOOKUP(B10,MDB!A:AI,35,0),VLOOKUP(B10,Inactive!A:AI,35,0))</f>
        <v>Graduate</v>
      </c>
      <c r="AN10" s="20" t="s">
        <v>7405</v>
      </c>
    </row>
    <row r="11" ht="15.6">
      <c r="A11" s="48">
        <v>23</v>
      </c>
      <c r="B11" s="28">
        <v>172009</v>
      </c>
      <c r="C11" s="217" t="str">
        <f>IFERROR(VLOOKUP(B11,MDB!A:D,4,0),VLOOKUP(B11,Inactive!A:D,4,0))</f>
        <v>Somyia Afrin Bonna</v>
      </c>
      <c r="D11" s="20" t="str">
        <f>IFERROR(VLOOKUP(B11,MDB!A:G,7,0),VLOOKUP(B11,Inactive!A:G,7,0))</f>
        <v>CSO</v>
      </c>
      <c r="E11" s="29">
        <f>IFERROR(VLOOKUP(B11,MDB!A:R,18,0),VLOOKUP(B11,Inactive!A:R,18,0))</f>
        <v>45581</v>
      </c>
      <c r="F11" s="22" t="str">
        <f>IFERROR(VLOOKUP(B11,MDB!A:H,8,0),VLOOKUP(B11,Inactive!A:H,8,0))</f>
        <v>Content Modarator</v>
      </c>
      <c r="G11" s="20" t="str">
        <f>IFERROR(VLOOKUP(B11,MDB!A:I,9,0),VLOOKUP(B11,Inactive!A:I,9,0))</f>
        <v>Operation</v>
      </c>
      <c r="H11" s="52" t="str">
        <f>IFERROR(VLOOKUP(B11,MDB!A:K,11,0),VLOOKUP(B11,Inactive!A:K,11,0))</f>
        <v>TEMU</v>
      </c>
      <c r="I11" s="20" t="str">
        <f>IFERROR(VLOOKUP(B11,MDB!A:J,10,0),VLOOKUP(B11,Inactive!A:J,10,0))</f>
        <v>Identification of the same product</v>
      </c>
      <c r="J11" s="20" t="s">
        <v>7402</v>
      </c>
      <c r="K11" s="20" t="s">
        <v>7403</v>
      </c>
      <c r="L11" s="20" t="s">
        <v>90</v>
      </c>
      <c r="M11" s="218" t="s">
        <v>72</v>
      </c>
      <c r="N11" s="20">
        <f>IFERROR(VLOOKUP(B11,MDB!A:BB,54,0),VLOOKUP(B11,Inactive!A:BB,54,0))</f>
        <v>10800</v>
      </c>
      <c r="O11" s="20">
        <f>IFERROR(VLOOKUP(B11,MDB!A:BC,55,0),VLOOKUP(B11,Inactive!A:BC,55,0))</f>
        <v>2700</v>
      </c>
      <c r="P11" s="20">
        <f>IFERROR(VLOOKUP(B11,MDB!A:BD,56,0),VLOOKUP(B11,Inactive!A:BD,56,0))</f>
        <v>1000</v>
      </c>
      <c r="Q11" s="20" t="s">
        <v>7404</v>
      </c>
      <c r="R11" s="22">
        <v>22</v>
      </c>
      <c r="S11" s="20">
        <v>0</v>
      </c>
      <c r="T11" s="20">
        <v>0</v>
      </c>
      <c r="U11" s="20">
        <v>0</v>
      </c>
      <c r="V11" s="20" t="str">
        <f>IFERROR(VLOOKUP(B11,MDB!A:M,13,0),VLOOKUP(B11,Inactive!A:M,13,0))</f>
        <v>Salman Hossain</v>
      </c>
      <c r="W11" s="20" t="str">
        <f>IFERROR(VLOOKUP(B11,MDB!A:N,14,0),VLOOKUP(B11,Inactive!A:N,14,0))</f>
        <v>Asif Iqbal</v>
      </c>
      <c r="X11" s="22">
        <v>0</v>
      </c>
      <c r="Y11" s="22">
        <v>0</v>
      </c>
      <c r="Z11" s="20" t="str">
        <f>IFERROR(VLOOKUP($B11,MDB!A:AO,41,0),VLOOKUP($B11,Inactive!A:AO,41,0))</f>
        <v>House no:191 borobari, West Shewrapara, Mirpur,Dhaka-1216</v>
      </c>
      <c r="AA11" s="20" t="str">
        <f>IFERROR(VLOOKUP(B11,MDB!A:AP,42,0),VLOOKUP(B11,Inactive!A:AP,42,0))</f>
        <v>Village:Parshipara,P/O:Dugasiya,Thana/Upazila: Gafargoan, District: Mymensingh</v>
      </c>
      <c r="AB11" s="20" t="str">
        <f>IFERROR(VLOOKUP(B11,MDB!A:APN,43,0),VLOOKUP(B11,Inactive!A:AQ,43,0))</f>
        <v>Mirpur</v>
      </c>
      <c r="AC11" s="22">
        <v>0</v>
      </c>
      <c r="AD11" s="20">
        <f>IFERROR(VLOOKUP(B11,MDB!A:AX,24,0),VLOOKUP(B11,Inactive!A:AX,24,0))</f>
        <v>1516187191</v>
      </c>
      <c r="AE11" s="20">
        <f>IFERROR(VLOOKUP(B11,MDB!A:AA,27,0),VLOOKUP(B11,Inactive!A:AA,27,0))</f>
        <v>1516187062</v>
      </c>
      <c r="AF11" s="20" t="str">
        <f>IFERROR(VLOOKUP(B11,MDB!A:AA,26,0),VLOOKUP(B11,Inactive!A:AA,26,0))</f>
        <v>Sameya Afrin Julie</v>
      </c>
      <c r="AG11" s="20" t="str">
        <f>IFERROR(VLOOKUP(B11,MDB!A:Z,5,0),VLOOKUP(B11,Inactive!A:Z,5,0))</f>
        <v>Female</v>
      </c>
      <c r="AH11" s="29">
        <f>IFERROR(VLOOKUP(B11,MDB!A:AD,30,0),VLOOKUP(B11,Inactive!A:AD,30,0))</f>
        <v>36885</v>
      </c>
      <c r="AI11" s="20" t="str">
        <f>IFERROR(VLOOKUP(B11,MDB!A:AC,29,0),VLOOKUP(B11,Inactive!A:AC,29,0))</f>
        <v>A+</v>
      </c>
      <c r="AJ11" s="20" t="str">
        <f>IFERROR(VLOOKUP(B11,MDB!A:AF,32,0),VLOOKUP(B11,Inactive!A:AF,32,0))</f>
        <v>Islam</v>
      </c>
      <c r="AK11" s="20" t="str">
        <f>IFERROR(VLOOKUP(B11,MDB!A:AG,33,0),VLOOKUP(B11,Inactive!A:AG,33,0))</f>
        <v>N/A</v>
      </c>
      <c r="AL11" s="216">
        <v>0</v>
      </c>
      <c r="AM11" s="20" t="str">
        <f>IFERROR(VLOOKUP(B11,MDB!A:AI,35,0),VLOOKUP(B11,Inactive!A:AI,35,0))</f>
        <v>Hon's</v>
      </c>
      <c r="AN11" s="20" t="s">
        <v>7405</v>
      </c>
    </row>
    <row r="12" ht="15.6">
      <c r="A12" s="48">
        <v>24</v>
      </c>
      <c r="B12" s="273">
        <v>172003</v>
      </c>
      <c r="C12" s="217" t="str">
        <f>IFERROR(VLOOKUP(B12,MDB!A:D,4,0),VLOOKUP(B12,Inactive!A:D,4,0))</f>
        <v>Tahamina Yesmin</v>
      </c>
      <c r="D12" s="20" t="str">
        <f>IFERROR(VLOOKUP(B12,MDB!A:G,7,0),VLOOKUP(B12,Inactive!A:G,7,0))</f>
        <v>CSO</v>
      </c>
      <c r="E12" s="29">
        <f>IFERROR(VLOOKUP(B12,MDB!A:R,18,0),VLOOKUP(B12,Inactive!A:R,18,0))</f>
        <v>45581</v>
      </c>
      <c r="F12" s="22" t="str">
        <f>IFERROR(VLOOKUP(B12,MDB!A:H,8,0),VLOOKUP(B12,Inactive!A:H,8,0))</f>
        <v>Content Modarator</v>
      </c>
      <c r="G12" s="20" t="str">
        <f>IFERROR(VLOOKUP(B12,MDB!A:I,9,0),VLOOKUP(B12,Inactive!A:I,9,0))</f>
        <v>Operation</v>
      </c>
      <c r="H12" s="52" t="str">
        <f>IFERROR(VLOOKUP(B12,MDB!A:K,11,0),VLOOKUP(B12,Inactive!A:K,11,0))</f>
        <v>TEMU</v>
      </c>
      <c r="I12" s="20" t="str">
        <f>IFERROR(VLOOKUP(B12,MDB!A:J,10,0),VLOOKUP(B12,Inactive!A:J,10,0))</f>
        <v>Identification of the same product</v>
      </c>
      <c r="J12" s="20" t="s">
        <v>7402</v>
      </c>
      <c r="K12" s="20" t="s">
        <v>7403</v>
      </c>
      <c r="L12" s="20" t="s">
        <v>90</v>
      </c>
      <c r="M12" s="218" t="s">
        <v>72</v>
      </c>
      <c r="N12" s="20">
        <f>IFERROR(VLOOKUP(B12,MDB!A:BB,54,0),VLOOKUP(B12,Inactive!A:BB,54,0))</f>
        <v>10800</v>
      </c>
      <c r="O12" s="20">
        <f>IFERROR(VLOOKUP(B12,MDB!A:BC,55,0),VLOOKUP(B12,Inactive!A:BC,55,0))</f>
        <v>2700</v>
      </c>
      <c r="P12" s="20">
        <f>IFERROR(VLOOKUP(B12,MDB!A:BD,56,0),VLOOKUP(B12,Inactive!A:BD,56,0))</f>
        <v>0</v>
      </c>
      <c r="Q12" s="20" t="s">
        <v>7404</v>
      </c>
      <c r="R12" s="22">
        <v>22</v>
      </c>
      <c r="S12" s="20">
        <v>0</v>
      </c>
      <c r="T12" s="20">
        <v>0</v>
      </c>
      <c r="U12" s="20">
        <v>0</v>
      </c>
      <c r="V12" s="20" t="str">
        <f>IFERROR(VLOOKUP(B12,MDB!A:M,13,0),VLOOKUP(B12,Inactive!A:M,13,0))</f>
        <v>Aminul Islam Sovo</v>
      </c>
      <c r="W12" s="20" t="str">
        <f>IFERROR(VLOOKUP(B12,MDB!A:N,14,0),VLOOKUP(B12,Inactive!A:N,14,0))</f>
        <v>Asif Iqbal</v>
      </c>
      <c r="X12" s="22">
        <v>0</v>
      </c>
      <c r="Y12" s="22">
        <v>0</v>
      </c>
      <c r="Z12" s="20" t="str">
        <f>IFERROR(VLOOKUP($B12,MDB!A:AO,41,0),VLOOKUP($B12,Inactive!A:AO,41,0))</f>
        <v>Holding: F2/1, village/ road: civil aviation stuff quarter,Post Office: Khilkhet -1229,thana-airport</v>
      </c>
      <c r="AA12" s="20" t="str">
        <f>IFERROR(VLOOKUP(B12,MDB!A:AP,42,0),VLOOKUP(B12,Inactive!A:AP,42,0))</f>
        <v>Holding No:134/2, village: gudiya uttarpara, Union: 27, Thana:tongi paschim, district: ghazipur.</v>
      </c>
      <c r="AB12" s="20" t="str">
        <f>IFERROR(VLOOKUP(B12,MDB!A:APN,43,0),VLOOKUP(B12,Inactive!A:AQ,43,0))</f>
        <v>Khawla</v>
      </c>
      <c r="AC12" s="22">
        <v>0</v>
      </c>
      <c r="AD12" s="20">
        <f>IFERROR(VLOOKUP(B12,MDB!A:AX,24,0),VLOOKUP(B12,Inactive!A:AX,24,0))</f>
        <v>1615251538</v>
      </c>
      <c r="AE12" s="20">
        <f>IFERROR(VLOOKUP(B12,MDB!A:AA,27,0),VLOOKUP(B12,Inactive!A:AA,27,0))</f>
        <v>1914824135</v>
      </c>
      <c r="AF12" s="20" t="str">
        <f>IFERROR(VLOOKUP(B12,MDB!A:AA,26,0),VLOOKUP(B12,Inactive!A:AA,26,0))</f>
        <v>N/A</v>
      </c>
      <c r="AG12" s="20" t="str">
        <f>IFERROR(VLOOKUP(B12,MDB!A:Z,5,0),VLOOKUP(B12,Inactive!A:Z,5,0))</f>
        <v>Female</v>
      </c>
      <c r="AH12" s="29">
        <f>IFERROR(VLOOKUP(B12,MDB!A:AD,30,0),VLOOKUP(B12,Inactive!A:AD,30,0))</f>
        <v>36953</v>
      </c>
      <c r="AI12" s="20" t="str">
        <f>IFERROR(VLOOKUP(B12,MDB!A:AC,29,0),VLOOKUP(B12,Inactive!A:AC,29,0))</f>
        <v>B+</v>
      </c>
      <c r="AJ12" s="20" t="str">
        <f>IFERROR(VLOOKUP(B12,MDB!A:AF,32,0),VLOOKUP(B12,Inactive!A:AF,32,0))</f>
        <v>Islam</v>
      </c>
      <c r="AK12" s="20">
        <f>IFERROR(VLOOKUP(B12,MDB!A:AG,33,0),VLOOKUP(B12,Inactive!A:AG,33,0))</f>
        <v>6464885174</v>
      </c>
      <c r="AL12" s="216">
        <v>0</v>
      </c>
      <c r="AM12" s="20" t="str">
        <f>IFERROR(VLOOKUP(B12,MDB!A:AI,35,0),VLOOKUP(B12,Inactive!A:AI,35,0))</f>
        <v>Fazil</v>
      </c>
      <c r="AN12" s="20" t="s">
        <v>7405</v>
      </c>
    </row>
    <row r="13" ht="15.6">
      <c r="A13" s="48">
        <v>25</v>
      </c>
      <c r="B13" s="273">
        <v>172008</v>
      </c>
      <c r="C13" s="217" t="str">
        <f>IFERROR(VLOOKUP(B13,MDB!A:D,4,0),VLOOKUP(B13,Inactive!A:D,4,0))</f>
        <v>Mst Rabbitul Zannat Adure</v>
      </c>
      <c r="D13" s="20" t="str">
        <f>IFERROR(VLOOKUP(B13,MDB!A:G,7,0),VLOOKUP(B13,Inactive!A:G,7,0))</f>
        <v>CSO</v>
      </c>
      <c r="E13" s="29">
        <f>IFERROR(VLOOKUP(B13,MDB!A:R,18,0),VLOOKUP(B13,Inactive!A:R,18,0))</f>
        <v>45581</v>
      </c>
      <c r="F13" s="22" t="str">
        <f>IFERROR(VLOOKUP(B13,MDB!A:H,8,0),VLOOKUP(B13,Inactive!A:H,8,0))</f>
        <v>Content Modarator</v>
      </c>
      <c r="G13" s="20" t="str">
        <f>IFERROR(VLOOKUP(B13,MDB!A:I,9,0),VLOOKUP(B13,Inactive!A:I,9,0))</f>
        <v>Operation</v>
      </c>
      <c r="H13" s="52" t="str">
        <f>IFERROR(VLOOKUP(B13,MDB!A:K,11,0),VLOOKUP(B13,Inactive!A:K,11,0))</f>
        <v>TEMU</v>
      </c>
      <c r="I13" s="20" t="str">
        <f>IFERROR(VLOOKUP(B13,MDB!A:J,10,0),VLOOKUP(B13,Inactive!A:J,10,0))</f>
        <v>Identification of the same product</v>
      </c>
      <c r="J13" s="20" t="s">
        <v>7402</v>
      </c>
      <c r="K13" s="20" t="s">
        <v>7403</v>
      </c>
      <c r="L13" s="20" t="s">
        <v>90</v>
      </c>
      <c r="M13" s="218" t="s">
        <v>72</v>
      </c>
      <c r="N13" s="20">
        <f>IFERROR(VLOOKUP(B13,MDB!A:BB,54,0),VLOOKUP(B13,Inactive!A:BB,54,0))</f>
        <v>10800</v>
      </c>
      <c r="O13" s="20">
        <f>IFERROR(VLOOKUP(B13,MDB!A:BC,55,0),VLOOKUP(B13,Inactive!A:BC,55,0))</f>
        <v>2700</v>
      </c>
      <c r="P13" s="20">
        <f>IFERROR(VLOOKUP(B13,MDB!A:BD,56,0),VLOOKUP(B13,Inactive!A:BD,56,0))</f>
        <v>0</v>
      </c>
      <c r="Q13" s="20" t="s">
        <v>7404</v>
      </c>
      <c r="R13" s="22">
        <v>22</v>
      </c>
      <c r="S13" s="20">
        <v>0</v>
      </c>
      <c r="T13" s="20">
        <v>0</v>
      </c>
      <c r="U13" s="20">
        <v>0</v>
      </c>
      <c r="V13" s="20" t="str">
        <f>IFERROR(VLOOKUP(B13,MDB!A:M,13,0),VLOOKUP(B13,Inactive!A:M,13,0))</f>
        <v>Md. Jobiyed Hasan Riyad</v>
      </c>
      <c r="W13" s="20" t="str">
        <f>IFERROR(VLOOKUP(B13,MDB!A:N,14,0),VLOOKUP(B13,Inactive!A:N,14,0))</f>
        <v>Asif Iqbal</v>
      </c>
      <c r="X13" s="22">
        <v>0</v>
      </c>
      <c r="Y13" s="22">
        <v>0</v>
      </c>
      <c r="Z13" s="20" t="str">
        <f>IFERROR(VLOOKUP($B13,MDB!A:AO,41,0),VLOOKUP($B13,Inactive!A:AO,41,0))</f>
        <v>Mirpur -1,Darus salam road , Tolarbagh gate-2 shekh Faizunnesa karmojibi women hostel, Dhaka-1216</v>
      </c>
      <c r="AA13" s="20" t="str">
        <f>IFERROR(VLOOKUP(B13,MDB!A:AP,42,0),VLOOKUP(B13,Inactive!A:AP,42,0))</f>
        <v>Vill:Laxmanpara,Dharmodush,post:Nagarmirgonj,post code:5403,Thana:Tajhat,District :Rangpur</v>
      </c>
      <c r="AB13" s="20" t="str">
        <f>IFERROR(VLOOKUP(B13,MDB!A:APN,43,0),VLOOKUP(B13,Inactive!A:AQ,43,0))</f>
        <v>Mirpur -1</v>
      </c>
      <c r="AC13" s="22">
        <v>0</v>
      </c>
      <c r="AD13" s="20">
        <f>IFERROR(VLOOKUP(B13,MDB!A:AX,24,0),VLOOKUP(B13,Inactive!A:AX,24,0))</f>
        <v>1630378206</v>
      </c>
      <c r="AE13" s="20">
        <f>IFERROR(VLOOKUP(B13,MDB!A:AA,27,0),VLOOKUP(B13,Inactive!A:AA,27,0))</f>
        <v>1710213468</v>
      </c>
      <c r="AF13" s="20" t="str">
        <f>IFERROR(VLOOKUP(B13,MDB!A:AA,26,0),VLOOKUP(B13,Inactive!A:AA,26,0))</f>
        <v>Mst. Abida Sultana</v>
      </c>
      <c r="AG13" s="20" t="str">
        <f>IFERROR(VLOOKUP(B13,MDB!A:Z,5,0),VLOOKUP(B13,Inactive!A:Z,5,0))</f>
        <v>Female</v>
      </c>
      <c r="AH13" s="29">
        <f>IFERROR(VLOOKUP(B13,MDB!A:AD,30,0),VLOOKUP(B13,Inactive!A:AD,30,0))</f>
        <v>35482</v>
      </c>
      <c r="AI13" s="20" t="str">
        <f>IFERROR(VLOOKUP(B13,MDB!A:AC,29,0),VLOOKUP(B13,Inactive!A:AC,29,0))</f>
        <v>B+</v>
      </c>
      <c r="AJ13" s="20" t="str">
        <f>IFERROR(VLOOKUP(B13,MDB!A:AF,32,0),VLOOKUP(B13,Inactive!A:AF,32,0))</f>
        <v>Islam</v>
      </c>
      <c r="AK13" s="20">
        <f>IFERROR(VLOOKUP(B13,MDB!A:AG,33,0),VLOOKUP(B13,Inactive!A:AG,33,0))</f>
        <v>1503069039</v>
      </c>
      <c r="AL13" s="216">
        <v>0</v>
      </c>
      <c r="AM13" s="20" t="str">
        <f>IFERROR(VLOOKUP(B13,MDB!A:AI,35,0),VLOOKUP(B13,Inactive!A:AI,35,0))</f>
        <v>MSC</v>
      </c>
      <c r="AN13" s="20" t="s">
        <v>7405</v>
      </c>
    </row>
    <row r="14" ht="15.6">
      <c r="A14" s="48">
        <v>26</v>
      </c>
      <c r="B14" s="273">
        <v>172002</v>
      </c>
      <c r="C14" s="217" t="str">
        <f>IFERROR(VLOOKUP(B14,MDB!A:D,4,0),VLOOKUP(B14,Inactive!A:D,4,0))</f>
        <v>Khadizatul Hoque Eeka</v>
      </c>
      <c r="D14" s="20" t="str">
        <f>IFERROR(VLOOKUP(B14,MDB!A:G,7,0),VLOOKUP(B14,Inactive!A:G,7,0))</f>
        <v>CSO</v>
      </c>
      <c r="E14" s="29">
        <f>IFERROR(VLOOKUP(B14,MDB!A:R,18,0),VLOOKUP(B14,Inactive!A:R,18,0))</f>
        <v>45581</v>
      </c>
      <c r="F14" s="22" t="str">
        <f>IFERROR(VLOOKUP(B14,MDB!A:H,8,0),VLOOKUP(B14,Inactive!A:H,8,0))</f>
        <v>Content Modarator</v>
      </c>
      <c r="G14" s="20" t="str">
        <f>IFERROR(VLOOKUP(B14,MDB!A:I,9,0),VLOOKUP(B14,Inactive!A:I,9,0))</f>
        <v>Operation</v>
      </c>
      <c r="H14" s="52" t="str">
        <f>IFERROR(VLOOKUP(B14,MDB!A:K,11,0),VLOOKUP(B14,Inactive!A:K,11,0))</f>
        <v>TEMU</v>
      </c>
      <c r="I14" s="20" t="str">
        <f>IFERROR(VLOOKUP(B14,MDB!A:J,10,0),VLOOKUP(B14,Inactive!A:J,10,0))</f>
        <v>Identification of the same product</v>
      </c>
      <c r="J14" s="20" t="s">
        <v>7402</v>
      </c>
      <c r="K14" s="20" t="s">
        <v>7403</v>
      </c>
      <c r="L14" s="20" t="s">
        <v>90</v>
      </c>
      <c r="M14" s="218" t="s">
        <v>72</v>
      </c>
      <c r="N14" s="20">
        <f>IFERROR(VLOOKUP(B14,MDB!A:BB,54,0),VLOOKUP(B14,Inactive!A:BB,54,0))</f>
        <v>10800</v>
      </c>
      <c r="O14" s="20">
        <f>IFERROR(VLOOKUP(B14,MDB!A:BC,55,0),VLOOKUP(B14,Inactive!A:BC,55,0))</f>
        <v>2700</v>
      </c>
      <c r="P14" s="20">
        <f>IFERROR(VLOOKUP(B14,MDB!A:BD,56,0),VLOOKUP(B14,Inactive!A:BD,56,0))</f>
        <v>0</v>
      </c>
      <c r="Q14" s="20" t="s">
        <v>7404</v>
      </c>
      <c r="R14" s="22">
        <v>22</v>
      </c>
      <c r="S14" s="20">
        <v>0</v>
      </c>
      <c r="T14" s="20">
        <v>0</v>
      </c>
      <c r="U14" s="20">
        <v>0</v>
      </c>
      <c r="V14" s="20" t="str">
        <f>IFERROR(VLOOKUP(B14,MDB!A:M,13,0),VLOOKUP(B14,Inactive!A:M,13,0))</f>
        <v>Md. Moniruzzaman</v>
      </c>
      <c r="W14" s="20" t="str">
        <f>IFERROR(VLOOKUP(B14,MDB!A:N,14,0),VLOOKUP(B14,Inactive!A:N,14,0))</f>
        <v>Asif Iqbal</v>
      </c>
      <c r="X14" s="22">
        <v>0</v>
      </c>
      <c r="Y14" s="22">
        <v>0</v>
      </c>
      <c r="Z14" s="20" t="str">
        <f>IFERROR(VLOOKUP($B14,MDB!A:AO,41,0),VLOOKUP($B14,Inactive!A:AO,41,0))</f>
        <v>Safiuddin sarkar Academy road, Auchpara, ovijan -09, Tongi , college gate</v>
      </c>
      <c r="AA14" s="20" t="str">
        <f>IFERROR(VLOOKUP(B14,MDB!A:AP,42,0),VLOOKUP(B14,Inactive!A:AP,42,0))</f>
        <v>Safiuddin sarkar Academy road, Auchpara, ovijan -09, Tongi, college gate</v>
      </c>
      <c r="AB14" s="20" t="str">
        <f>IFERROR(VLOOKUP(B14,MDB!A:APN,43,0),VLOOKUP(B14,Inactive!A:AQ,43,0))</f>
        <v>Tongi, college gate</v>
      </c>
      <c r="AC14" s="22">
        <v>0</v>
      </c>
      <c r="AD14" s="20">
        <f>IFERROR(VLOOKUP(B14,MDB!A:AX,24,0),VLOOKUP(B14,Inactive!A:AX,24,0))</f>
        <v>1859703648</v>
      </c>
      <c r="AE14" s="20">
        <f>IFERROR(VLOOKUP(B14,MDB!A:AA,27,0),VLOOKUP(B14,Inactive!A:AA,27,0))</f>
        <v>1816263295</v>
      </c>
      <c r="AF14" s="20" t="str">
        <f>IFERROR(VLOOKUP(B14,MDB!A:AA,26,0),VLOOKUP(B14,Inactive!A:AA,26,0))</f>
        <v>Mohammad Mominul Hoque</v>
      </c>
      <c r="AG14" s="20" t="str">
        <f>IFERROR(VLOOKUP(B14,MDB!A:Z,5,0),VLOOKUP(B14,Inactive!A:Z,5,0))</f>
        <v>Female</v>
      </c>
      <c r="AH14" s="29">
        <f>IFERROR(VLOOKUP(B14,MDB!A:AD,30,0),VLOOKUP(B14,Inactive!A:AD,30,0))</f>
        <v>36009</v>
      </c>
      <c r="AI14" s="20" t="str">
        <f>IFERROR(VLOOKUP(B14,MDB!A:AC,29,0),VLOOKUP(B14,Inactive!A:AC,29,0))</f>
        <v>B+</v>
      </c>
      <c r="AJ14" s="20" t="str">
        <f>IFERROR(VLOOKUP(B14,MDB!A:AF,32,0),VLOOKUP(B14,Inactive!A:AF,32,0))</f>
        <v>Islam</v>
      </c>
      <c r="AK14" s="20">
        <f>IFERROR(VLOOKUP(B14,MDB!A:AG,33,0),VLOOKUP(B14,Inactive!A:AG,33,0))</f>
        <v>7354473964</v>
      </c>
      <c r="AL14" s="216">
        <v>0</v>
      </c>
      <c r="AM14" s="20" t="str">
        <f>IFERROR(VLOOKUP(B14,MDB!A:AI,35,0),VLOOKUP(B14,Inactive!A:AI,35,0))</f>
        <v>BBA</v>
      </c>
      <c r="AN14" s="20" t="s">
        <v>7405</v>
      </c>
    </row>
    <row r="15" ht="15.6">
      <c r="A15" s="48">
        <v>27</v>
      </c>
      <c r="B15" s="273">
        <v>172005</v>
      </c>
      <c r="C15" s="217" t="str">
        <f>IFERROR(VLOOKUP(B15,MDB!A:D,4,0),VLOOKUP(B15,Inactive!A:D,4,0))</f>
        <v>Mim Ara</v>
      </c>
      <c r="D15" s="20" t="str">
        <f>IFERROR(VLOOKUP(B15,MDB!A:G,7,0),VLOOKUP(B15,Inactive!A:G,7,0))</f>
        <v>CSO</v>
      </c>
      <c r="E15" s="29">
        <f>IFERROR(VLOOKUP(B15,MDB!A:R,18,0),VLOOKUP(B15,Inactive!A:R,18,0))</f>
        <v>45581</v>
      </c>
      <c r="F15" s="22" t="str">
        <f>IFERROR(VLOOKUP(B15,MDB!A:H,8,0),VLOOKUP(B15,Inactive!A:H,8,0))</f>
        <v>Content Modarator</v>
      </c>
      <c r="G15" s="20" t="str">
        <f>IFERROR(VLOOKUP(B15,MDB!A:I,9,0),VLOOKUP(B15,Inactive!A:I,9,0))</f>
        <v>Operation</v>
      </c>
      <c r="H15" s="52" t="str">
        <f>IFERROR(VLOOKUP(B15,MDB!A:K,11,0),VLOOKUP(B15,Inactive!A:K,11,0))</f>
        <v>TEMU</v>
      </c>
      <c r="I15" s="20" t="str">
        <f>IFERROR(VLOOKUP(B15,MDB!A:J,10,0),VLOOKUP(B15,Inactive!A:J,10,0))</f>
        <v>Identification of the same product</v>
      </c>
      <c r="J15" s="20" t="s">
        <v>7402</v>
      </c>
      <c r="K15" s="20" t="s">
        <v>7403</v>
      </c>
      <c r="L15" s="20" t="s">
        <v>90</v>
      </c>
      <c r="M15" s="218" t="s">
        <v>72</v>
      </c>
      <c r="N15" s="20">
        <f>IFERROR(VLOOKUP(B15,MDB!A:BB,54,0),VLOOKUP(B15,Inactive!A:BB,54,0))</f>
        <v>10800</v>
      </c>
      <c r="O15" s="20">
        <f>IFERROR(VLOOKUP(B15,MDB!A:BC,55,0),VLOOKUP(B15,Inactive!A:BC,55,0))</f>
        <v>2700</v>
      </c>
      <c r="P15" s="20">
        <f>IFERROR(VLOOKUP(B15,MDB!A:BD,56,0),VLOOKUP(B15,Inactive!A:BD,56,0))</f>
        <v>0</v>
      </c>
      <c r="Q15" s="20" t="s">
        <v>7404</v>
      </c>
      <c r="R15" s="22">
        <v>22</v>
      </c>
      <c r="S15" s="20">
        <v>0</v>
      </c>
      <c r="T15" s="20">
        <v>0</v>
      </c>
      <c r="U15" s="20">
        <v>0</v>
      </c>
      <c r="V15" s="20" t="str">
        <f>IFERROR(VLOOKUP(B15,MDB!A:M,13,0),VLOOKUP(B15,Inactive!A:M,13,0))</f>
        <v>Abdulla Al Mamun</v>
      </c>
      <c r="W15" s="20" t="str">
        <f>IFERROR(VLOOKUP(B15,MDB!A:N,14,0),VLOOKUP(B15,Inactive!A:N,14,0))</f>
        <v>Asif Iqbal</v>
      </c>
      <c r="X15" s="22">
        <v>0</v>
      </c>
      <c r="Y15" s="22">
        <v>0</v>
      </c>
      <c r="Z15" s="20" t="str">
        <f>IFERROR(VLOOKUP($B15,MDB!A:AO,41,0),VLOOKUP($B15,Inactive!A:AO,41,0))</f>
        <v>H-29.faruq saroni,nikunja-2,khilkhet,Dhaka</v>
      </c>
      <c r="AA15" s="20" t="str">
        <f>IFERROR(VLOOKUP(B15,MDB!A:AP,42,0),VLOOKUP(B15,Inactive!A:AP,42,0))</f>
        <v>Kulfutpur,Dhamoirhat,Naogaon</v>
      </c>
      <c r="AB15" s="20" t="str">
        <f>IFERROR(VLOOKUP(B15,MDB!A:APN,43,0),VLOOKUP(B15,Inactive!A:AQ,43,0))</f>
        <v>Nikunja-2</v>
      </c>
      <c r="AC15" s="22">
        <v>0</v>
      </c>
      <c r="AD15" s="20">
        <f>IFERROR(VLOOKUP(B15,MDB!A:AX,24,0),VLOOKUP(B15,Inactive!A:AX,24,0))</f>
        <v>1777566417</v>
      </c>
      <c r="AE15" s="20">
        <f>IFERROR(VLOOKUP(B15,MDB!A:AA,27,0),VLOOKUP(B15,Inactive!A:AA,27,0))</f>
        <v>1729673967</v>
      </c>
      <c r="AF15" s="20" t="str">
        <f>IFERROR(VLOOKUP(B15,MDB!A:AA,26,0),VLOOKUP(B15,Inactive!A:AA,26,0))</f>
        <v>S.M Mesbaur Rafi</v>
      </c>
      <c r="AG15" s="20" t="str">
        <f>IFERROR(VLOOKUP(B15,MDB!A:Z,5,0),VLOOKUP(B15,Inactive!A:Z,5,0))</f>
        <v>Female</v>
      </c>
      <c r="AH15" s="29" t="str">
        <f>IFERROR(VLOOKUP(B15,MDB!A:AD,30,0),VLOOKUP(B15,Inactive!A:AD,30,0))</f>
        <v>N/A</v>
      </c>
      <c r="AI15" s="20" t="str">
        <f>IFERROR(VLOOKUP(B15,MDB!A:AC,29,0),VLOOKUP(B15,Inactive!A:AC,29,0))</f>
        <v>O+</v>
      </c>
      <c r="AJ15" s="20" t="str">
        <f>IFERROR(VLOOKUP(B15,MDB!A:AF,32,0),VLOOKUP(B15,Inactive!A:AF,32,0))</f>
        <v>Islam</v>
      </c>
      <c r="AK15" s="20">
        <f>IFERROR(VLOOKUP(B15,MDB!A:AG,33,0),VLOOKUP(B15,Inactive!A:AG,33,0))</f>
        <v>9163152746</v>
      </c>
      <c r="AL15" s="216">
        <v>0</v>
      </c>
      <c r="AM15" s="20" t="str">
        <f>IFERROR(VLOOKUP(B15,MDB!A:AI,35,0),VLOOKUP(B15,Inactive!A:AI,35,0))</f>
        <v>HSC</v>
      </c>
      <c r="AN15" s="20" t="s">
        <v>7405</v>
      </c>
    </row>
    <row r="16" ht="15.6">
      <c r="A16" s="48">
        <v>28</v>
      </c>
      <c r="B16" s="273">
        <v>172006</v>
      </c>
      <c r="C16" s="217" t="str">
        <f>IFERROR(VLOOKUP(B16,MDB!A:D,4,0),VLOOKUP(B16,Inactive!A:D,4,0))</f>
        <v>Kamrun Nahar Sima</v>
      </c>
      <c r="D16" s="20" t="str">
        <f>IFERROR(VLOOKUP(B16,MDB!A:G,7,0),VLOOKUP(B16,Inactive!A:G,7,0))</f>
        <v>CSO</v>
      </c>
      <c r="E16" s="29">
        <f>IFERROR(VLOOKUP(B16,MDB!A:R,18,0),VLOOKUP(B16,Inactive!A:R,18,0))</f>
        <v>45581</v>
      </c>
      <c r="F16" s="22" t="str">
        <f>IFERROR(VLOOKUP(B16,MDB!A:H,8,0),VLOOKUP(B16,Inactive!A:H,8,0))</f>
        <v>Content Modarator</v>
      </c>
      <c r="G16" s="20" t="str">
        <f>IFERROR(VLOOKUP(B16,MDB!A:I,9,0),VLOOKUP(B16,Inactive!A:I,9,0))</f>
        <v>Operation</v>
      </c>
      <c r="H16" s="52" t="str">
        <f>IFERROR(VLOOKUP(B16,MDB!A:K,11,0),VLOOKUP(B16,Inactive!A:K,11,0))</f>
        <v>TEMU</v>
      </c>
      <c r="I16" s="20" t="str">
        <f>IFERROR(VLOOKUP(B16,MDB!A:J,10,0),VLOOKUP(B16,Inactive!A:J,10,0))</f>
        <v>Identification of the same product</v>
      </c>
      <c r="J16" s="20" t="s">
        <v>7402</v>
      </c>
      <c r="K16" s="20" t="s">
        <v>7403</v>
      </c>
      <c r="L16" s="20" t="s">
        <v>90</v>
      </c>
      <c r="M16" s="218" t="s">
        <v>72</v>
      </c>
      <c r="N16" s="20">
        <f>IFERROR(VLOOKUP(B16,MDB!A:BB,54,0),VLOOKUP(B16,Inactive!A:BB,54,0))</f>
        <v>10800</v>
      </c>
      <c r="O16" s="20">
        <f>IFERROR(VLOOKUP(B16,MDB!A:BC,55,0),VLOOKUP(B16,Inactive!A:BC,55,0))</f>
        <v>2700</v>
      </c>
      <c r="P16" s="20">
        <f>IFERROR(VLOOKUP(B16,MDB!A:BD,56,0),VLOOKUP(B16,Inactive!A:BD,56,0))</f>
        <v>0</v>
      </c>
      <c r="Q16" s="20" t="s">
        <v>7404</v>
      </c>
      <c r="R16" s="22">
        <v>22</v>
      </c>
      <c r="S16" s="20">
        <v>0</v>
      </c>
      <c r="T16" s="20">
        <v>0</v>
      </c>
      <c r="U16" s="20">
        <v>0</v>
      </c>
      <c r="V16" s="20" t="str">
        <f>IFERROR(VLOOKUP(B16,MDB!A:M,13,0),VLOOKUP(B16,Inactive!A:M,13,0))</f>
        <v>Abdulla Al Mamun</v>
      </c>
      <c r="W16" s="20" t="str">
        <f>IFERROR(VLOOKUP(B16,MDB!A:N,14,0),VLOOKUP(B16,Inactive!A:N,14,0))</f>
        <v>Asif Iqbal</v>
      </c>
      <c r="X16" s="22">
        <v>0</v>
      </c>
      <c r="Y16" s="22">
        <v>0</v>
      </c>
      <c r="Z16" s="20" t="str">
        <f>IFERROR(VLOOKUP($B16,MDB!A:AO,41,0),VLOOKUP($B16,Inactive!A:AO,41,0))</f>
        <v>House: 699, Road: 11, Adabor, Mohammadpur, Dhaka-1207</v>
      </c>
      <c r="AA16" s="20" t="str">
        <f>IFERROR(VLOOKUP(B16,MDB!A:AP,42,0),VLOOKUP(B16,Inactive!A:AP,42,0))</f>
        <v>Vill: Sangura, P.S.: Baliakandi, P.O.: Laxmandia, District: Rajbari, Dhaka</v>
      </c>
      <c r="AB16" s="20" t="str">
        <f>IFERROR(VLOOKUP(B16,MDB!A:APN,43,0),VLOOKUP(B16,Inactive!A:AQ,43,0))</f>
        <v>Mohammadpur</v>
      </c>
      <c r="AC16" s="22">
        <v>0</v>
      </c>
      <c r="AD16" s="20">
        <f>IFERROR(VLOOKUP(B16,MDB!A:AX,24,0),VLOOKUP(B16,Inactive!A:AX,24,0))</f>
        <v>1745505211</v>
      </c>
      <c r="AE16" s="20">
        <f>IFERROR(VLOOKUP(B16,MDB!A:AA,27,0),VLOOKUP(B16,Inactive!A:AA,27,0))</f>
        <v>1780667001</v>
      </c>
      <c r="AF16" s="20" t="str">
        <f>IFERROR(VLOOKUP(B16,MDB!A:AA,26,0),VLOOKUP(B16,Inactive!A:AA,26,0))</f>
        <v>Shamsunnahar Rima</v>
      </c>
      <c r="AG16" s="20" t="str">
        <f>IFERROR(VLOOKUP(B16,MDB!A:Z,5,0),VLOOKUP(B16,Inactive!A:Z,5,0))</f>
        <v>Female</v>
      </c>
      <c r="AH16" s="29">
        <f>IFERROR(VLOOKUP(B16,MDB!A:AD,30,0),VLOOKUP(B16,Inactive!A:AD,30,0))</f>
        <v>36027</v>
      </c>
      <c r="AI16" s="20" t="str">
        <f>IFERROR(VLOOKUP(B16,MDB!A:AC,29,0),VLOOKUP(B16,Inactive!A:AC,29,0))</f>
        <v>A+</v>
      </c>
      <c r="AJ16" s="20" t="str">
        <f>IFERROR(VLOOKUP(B16,MDB!A:AF,32,0),VLOOKUP(B16,Inactive!A:AF,32,0))</f>
        <v>Islam</v>
      </c>
      <c r="AK16" s="20">
        <f>IFERROR(VLOOKUP(B16,MDB!A:AG,33,0),VLOOKUP(B16,Inactive!A:AG,33,0))</f>
        <v>7804341027</v>
      </c>
      <c r="AL16" s="216">
        <v>0</v>
      </c>
      <c r="AM16" s="20" t="str">
        <f>IFERROR(VLOOKUP(B16,MDB!A:AI,35,0),VLOOKUP(B16,Inactive!A:AI,35,0))</f>
        <v>Master's</v>
      </c>
      <c r="AN16" s="20" t="s">
        <v>7405</v>
      </c>
    </row>
    <row r="17" ht="15.6">
      <c r="A17" s="48">
        <v>29</v>
      </c>
      <c r="B17" s="273">
        <v>172001</v>
      </c>
      <c r="C17" s="217" t="str">
        <f>IFERROR(VLOOKUP(B17,MDB!A:D,4,0),VLOOKUP(B17,Inactive!A:D,4,0))</f>
        <v>Fatema Tuj Johra Asha</v>
      </c>
      <c r="D17" s="20" t="str">
        <f>IFERROR(VLOOKUP(B17,MDB!A:G,7,0),VLOOKUP(B17,Inactive!A:G,7,0))</f>
        <v>CSO</v>
      </c>
      <c r="E17" s="29">
        <f>IFERROR(VLOOKUP(B17,MDB!A:R,18,0),VLOOKUP(B17,Inactive!A:R,18,0))</f>
        <v>45581</v>
      </c>
      <c r="F17" s="22" t="str">
        <f>IFERROR(VLOOKUP(B17,MDB!A:H,8,0),VLOOKUP(B17,Inactive!A:H,8,0))</f>
        <v>Content Modarator</v>
      </c>
      <c r="G17" s="20" t="str">
        <f>IFERROR(VLOOKUP(B17,MDB!A:I,9,0),VLOOKUP(B17,Inactive!A:I,9,0))</f>
        <v>Operation</v>
      </c>
      <c r="H17" s="52" t="str">
        <f>IFERROR(VLOOKUP(B17,MDB!A:K,11,0),VLOOKUP(B17,Inactive!A:K,11,0))</f>
        <v>TEMU</v>
      </c>
      <c r="I17" s="20" t="str">
        <f>IFERROR(VLOOKUP(B17,MDB!A:J,10,0),VLOOKUP(B17,Inactive!A:J,10,0))</f>
        <v>Identification of the same product</v>
      </c>
      <c r="J17" s="20" t="s">
        <v>7402</v>
      </c>
      <c r="K17" s="20" t="s">
        <v>7403</v>
      </c>
      <c r="L17" s="20" t="s">
        <v>90</v>
      </c>
      <c r="M17" s="218" t="s">
        <v>72</v>
      </c>
      <c r="N17" s="20">
        <f>IFERROR(VLOOKUP(B17,MDB!A:BB,54,0),VLOOKUP(B17,Inactive!A:BB,54,0))</f>
        <v>10800</v>
      </c>
      <c r="O17" s="20">
        <f>IFERROR(VLOOKUP(B17,MDB!A:BC,55,0),VLOOKUP(B17,Inactive!A:BC,55,0))</f>
        <v>2700</v>
      </c>
      <c r="P17" s="20">
        <f>IFERROR(VLOOKUP(B17,MDB!A:BD,56,0),VLOOKUP(B17,Inactive!A:BD,56,0))</f>
        <v>0</v>
      </c>
      <c r="Q17" s="20" t="s">
        <v>7404</v>
      </c>
      <c r="R17" s="22">
        <v>22</v>
      </c>
      <c r="S17" s="20">
        <v>0</v>
      </c>
      <c r="T17" s="20">
        <v>0</v>
      </c>
      <c r="U17" s="20">
        <v>0</v>
      </c>
      <c r="V17" s="20" t="str">
        <f>IFERROR(VLOOKUP(B17,MDB!A:M,13,0),VLOOKUP(B17,Inactive!A:M,13,0))</f>
        <v>Md Mehedi Hasan</v>
      </c>
      <c r="W17" s="20" t="str">
        <f>IFERROR(VLOOKUP(B17,MDB!A:N,14,0),VLOOKUP(B17,Inactive!A:N,14,0))</f>
        <v>Asif Iqbal</v>
      </c>
      <c r="X17" s="22">
        <v>0</v>
      </c>
      <c r="Y17" s="22">
        <v>0</v>
      </c>
      <c r="Z17" s="20" t="str">
        <f>IFERROR(VLOOKUP($B17,MDB!A:AO,41,0),VLOOKUP($B17,Inactive!A:AO,41,0))</f>
        <v>8no sector uttara, bonbithi complex quarter</v>
      </c>
      <c r="AA17" s="20" t="str">
        <f>IFERROR(VLOOKUP(B17,MDB!A:AP,42,0),VLOOKUP(B17,Inactive!A:AP,42,0))</f>
        <v>sufia lodge 29/1,palash nogor ,section11 mirpur</v>
      </c>
      <c r="AB17" s="20" t="str">
        <f>IFERROR(VLOOKUP(B17,MDB!A:APN,43,0),VLOOKUP(B17,Inactive!A:AQ,43,0))</f>
        <v>uttara</v>
      </c>
      <c r="AC17" s="22">
        <v>0</v>
      </c>
      <c r="AD17" s="20">
        <f>IFERROR(VLOOKUP(B17,MDB!A:AX,24,0),VLOOKUP(B17,Inactive!A:AX,24,0))</f>
        <v>1639309800</v>
      </c>
      <c r="AE17" s="20">
        <f>IFERROR(VLOOKUP(B17,MDB!A:AA,27,0),VLOOKUP(B17,Inactive!A:AA,27,0))</f>
        <v>1724230636</v>
      </c>
      <c r="AF17" s="20" t="str">
        <f>IFERROR(VLOOKUP(B17,MDB!A:AA,26,0),VLOOKUP(B17,Inactive!A:AA,26,0))</f>
        <v>MD NADIM</v>
      </c>
      <c r="AG17" s="20" t="str">
        <f>IFERROR(VLOOKUP(B17,MDB!A:Z,5,0),VLOOKUP(B17,Inactive!A:Z,5,0))</f>
        <v>Female</v>
      </c>
      <c r="AH17" s="29">
        <f>IFERROR(VLOOKUP(B17,MDB!A:AD,30,0),VLOOKUP(B17,Inactive!A:AD,30,0))</f>
        <v>35687</v>
      </c>
      <c r="AI17" s="20" t="str">
        <f>IFERROR(VLOOKUP(B17,MDB!A:AC,29,0),VLOOKUP(B17,Inactive!A:AC,29,0))</f>
        <v>o+</v>
      </c>
      <c r="AJ17" s="20" t="str">
        <f>IFERROR(VLOOKUP(B17,MDB!A:AF,32,0),VLOOKUP(B17,Inactive!A:AF,32,0))</f>
        <v>Islam</v>
      </c>
      <c r="AK17" s="20">
        <f>IFERROR(VLOOKUP(B17,MDB!A:AG,33,0),VLOOKUP(B17,Inactive!A:AG,33,0))</f>
        <v>2852182928</v>
      </c>
      <c r="AL17" s="216">
        <v>0</v>
      </c>
      <c r="AM17" s="20" t="str">
        <f>IFERROR(VLOOKUP(B17,MDB!A:AI,35,0),VLOOKUP(B17,Inactive!A:AI,35,0))</f>
        <v>B.A </v>
      </c>
      <c r="AN17" s="20" t="s">
        <v>7405</v>
      </c>
    </row>
    <row r="18" ht="15.6">
      <c r="A18" s="48">
        <v>30</v>
      </c>
      <c r="B18" s="273">
        <v>172014</v>
      </c>
      <c r="C18" s="217" t="str">
        <f>IFERROR(VLOOKUP(B18,MDB!A:D,4,0),VLOOKUP(B18,Inactive!A:D,4,0))</f>
        <v>Nisma Khatun</v>
      </c>
      <c r="D18" s="20" t="str">
        <f>IFERROR(VLOOKUP(B18,MDB!A:G,7,0),VLOOKUP(B18,Inactive!A:G,7,0))</f>
        <v>CSO</v>
      </c>
      <c r="E18" s="29">
        <f>IFERROR(VLOOKUP(B18,MDB!A:R,18,0),VLOOKUP(B18,Inactive!A:R,18,0))</f>
        <v>45581</v>
      </c>
      <c r="F18" s="22" t="str">
        <f>IFERROR(VLOOKUP(B18,MDB!A:H,8,0),VLOOKUP(B18,Inactive!A:H,8,0))</f>
        <v>Content Modarator</v>
      </c>
      <c r="G18" s="20" t="str">
        <f>IFERROR(VLOOKUP(B18,MDB!A:I,9,0),VLOOKUP(B18,Inactive!A:I,9,0))</f>
        <v>Operation</v>
      </c>
      <c r="H18" s="52" t="str">
        <f>IFERROR(VLOOKUP(B18,MDB!A:K,11,0),VLOOKUP(B18,Inactive!A:K,11,0))</f>
        <v>TEMU</v>
      </c>
      <c r="I18" s="20" t="str">
        <f>IFERROR(VLOOKUP(B18,MDB!A:J,10,0),VLOOKUP(B18,Inactive!A:J,10,0))</f>
        <v>Identification of the same product</v>
      </c>
      <c r="J18" s="20" t="s">
        <v>7402</v>
      </c>
      <c r="K18" s="20" t="s">
        <v>7403</v>
      </c>
      <c r="L18" s="20" t="s">
        <v>90</v>
      </c>
      <c r="M18" s="218" t="s">
        <v>72</v>
      </c>
      <c r="N18" s="20">
        <f>IFERROR(VLOOKUP(B18,MDB!A:BB,54,0),VLOOKUP(B18,Inactive!A:BB,54,0))</f>
        <v>10800</v>
      </c>
      <c r="O18" s="20">
        <f>IFERROR(VLOOKUP(B18,MDB!A:BC,55,0),VLOOKUP(B18,Inactive!A:BC,55,0))</f>
        <v>2700</v>
      </c>
      <c r="P18" s="20">
        <f>IFERROR(VLOOKUP(B18,MDB!A:BD,56,0),VLOOKUP(B18,Inactive!A:BD,56,0))</f>
        <v>0</v>
      </c>
      <c r="Q18" s="20" t="s">
        <v>7404</v>
      </c>
      <c r="R18" s="22">
        <v>22</v>
      </c>
      <c r="S18" s="20">
        <v>0</v>
      </c>
      <c r="T18" s="20">
        <v>0</v>
      </c>
      <c r="U18" s="20">
        <v>0</v>
      </c>
      <c r="V18" s="20" t="str">
        <f>IFERROR(VLOOKUP(B18,MDB!A:M,13,0),VLOOKUP(B18,Inactive!A:M,13,0))</f>
        <v>Md Mehedi Hasan</v>
      </c>
      <c r="W18" s="20" t="str">
        <f>IFERROR(VLOOKUP(B18,MDB!A:N,14,0),VLOOKUP(B18,Inactive!A:N,14,0))</f>
        <v>Asif Iqbal</v>
      </c>
      <c r="X18" s="22">
        <v>0</v>
      </c>
      <c r="Y18" s="22">
        <v>0</v>
      </c>
      <c r="Z18" s="20" t="str">
        <f>IFERROR(VLOOKUP($B18,MDB!A:AO,41,0),VLOOKUP($B18,Inactive!A:AO,41,0))</f>
        <v>Airport</v>
      </c>
      <c r="AA18" s="20" t="str">
        <f>IFERROR(VLOOKUP(B18,MDB!A:AP,42,0),VLOOKUP(B18,Inactive!A:AP,42,0))</f>
        <v>Village: Horinapai,fulkocha, melandha, jamalpur</v>
      </c>
      <c r="AB18" s="20" t="str">
        <f>IFERROR(VLOOKUP(B18,MDB!A:APN,43,0),VLOOKUP(B18,Inactive!A:AQ,43,0))</f>
        <v>Dhokin khan</v>
      </c>
      <c r="AC18" s="22">
        <v>0</v>
      </c>
      <c r="AD18" s="20">
        <f>IFERROR(VLOOKUP(B18,MDB!A:AX,24,0),VLOOKUP(B18,Inactive!A:AX,24,0))</f>
        <v>1966178321</v>
      </c>
      <c r="AE18" s="20">
        <f>IFERROR(VLOOKUP(B18,MDB!A:AA,27,0),VLOOKUP(B18,Inactive!A:AA,27,0))</f>
        <v>1909830723</v>
      </c>
      <c r="AF18" s="20" t="str">
        <f>IFERROR(VLOOKUP(B18,MDB!A:AA,26,0),VLOOKUP(B18,Inactive!A:AA,26,0))</f>
        <v>N/A</v>
      </c>
      <c r="AG18" s="20" t="str">
        <f>IFERROR(VLOOKUP(B18,MDB!A:Z,5,0),VLOOKUP(B18,Inactive!A:Z,5,0))</f>
        <v>Female</v>
      </c>
      <c r="AH18" s="29" t="str">
        <f>IFERROR(VLOOKUP(B18,MDB!A:AD,30,0),VLOOKUP(B18,Inactive!A:AD,30,0))</f>
        <v>17/03/1996</v>
      </c>
      <c r="AI18" s="20" t="str">
        <f>IFERROR(VLOOKUP(B18,MDB!A:AC,29,0),VLOOKUP(B18,Inactive!A:AC,29,0))</f>
        <v>A +</v>
      </c>
      <c r="AJ18" s="20" t="str">
        <f>IFERROR(VLOOKUP(B18,MDB!A:AF,32,0),VLOOKUP(B18,Inactive!A:AF,32,0))</f>
        <v>Islam</v>
      </c>
      <c r="AK18" s="20">
        <f>IFERROR(VLOOKUP(B18,MDB!A:AG,33,0),VLOOKUP(B18,Inactive!A:AG,33,0))</f>
        <v>6445259739</v>
      </c>
      <c r="AL18" s="216">
        <v>0</v>
      </c>
      <c r="AM18" s="20" t="str">
        <f>IFERROR(VLOOKUP(B18,MDB!A:AI,35,0),VLOOKUP(B18,Inactive!A:AI,35,0))</f>
        <v>Degree</v>
      </c>
      <c r="AN18" s="20" t="s">
        <v>7405</v>
      </c>
    </row>
    <row r="19" ht="15.6">
      <c r="A19" s="48">
        <v>31</v>
      </c>
      <c r="B19" s="273">
        <v>172007</v>
      </c>
      <c r="C19" s="217" t="str">
        <f>IFERROR(VLOOKUP(B19,MDB!A:D,4,0),VLOOKUP(B19,Inactive!A:D,4,0))</f>
        <v>Misty Roy</v>
      </c>
      <c r="D19" s="20" t="str">
        <f>IFERROR(VLOOKUP(B19,MDB!A:G,7,0),VLOOKUP(B19,Inactive!A:G,7,0))</f>
        <v>CSO</v>
      </c>
      <c r="E19" s="29">
        <f>IFERROR(VLOOKUP(B19,MDB!A:R,18,0),VLOOKUP(B19,Inactive!A:R,18,0))</f>
        <v>45581</v>
      </c>
      <c r="F19" s="22" t="str">
        <f>IFERROR(VLOOKUP(B19,MDB!A:H,8,0),VLOOKUP(B19,Inactive!A:H,8,0))</f>
        <v>Content Modarator</v>
      </c>
      <c r="G19" s="20" t="str">
        <f>IFERROR(VLOOKUP(B19,MDB!A:I,9,0),VLOOKUP(B19,Inactive!A:I,9,0))</f>
        <v>Operation</v>
      </c>
      <c r="H19" s="52" t="str">
        <f>IFERROR(VLOOKUP(B19,MDB!A:K,11,0),VLOOKUP(B19,Inactive!A:K,11,0))</f>
        <v>TEMU</v>
      </c>
      <c r="I19" s="20" t="str">
        <f>IFERROR(VLOOKUP(B19,MDB!A:J,10,0),VLOOKUP(B19,Inactive!A:J,10,0))</f>
        <v>Identification of the same product</v>
      </c>
      <c r="J19" s="20" t="s">
        <v>7402</v>
      </c>
      <c r="K19" s="20" t="s">
        <v>7403</v>
      </c>
      <c r="L19" s="20" t="s">
        <v>90</v>
      </c>
      <c r="M19" s="218" t="s">
        <v>72</v>
      </c>
      <c r="N19" s="20">
        <f>IFERROR(VLOOKUP(B19,MDB!A:BB,54,0),VLOOKUP(B19,Inactive!A:BB,54,0))</f>
        <v>10800</v>
      </c>
      <c r="O19" s="20">
        <f>IFERROR(VLOOKUP(B19,MDB!A:BC,55,0),VLOOKUP(B19,Inactive!A:BC,55,0))</f>
        <v>2700</v>
      </c>
      <c r="P19" s="20">
        <f>IFERROR(VLOOKUP(B19,MDB!A:BD,56,0),VLOOKUP(B19,Inactive!A:BD,56,0))</f>
        <v>0</v>
      </c>
      <c r="Q19" s="20" t="s">
        <v>7404</v>
      </c>
      <c r="R19" s="22">
        <v>22</v>
      </c>
      <c r="S19" s="20">
        <v>0</v>
      </c>
      <c r="T19" s="20">
        <v>0</v>
      </c>
      <c r="U19" s="20">
        <v>0</v>
      </c>
      <c r="V19" s="20" t="str">
        <f>IFERROR(VLOOKUP(B19,MDB!A:M,13,0),VLOOKUP(B19,Inactive!A:M,13,0))</f>
        <v>Halima akter</v>
      </c>
      <c r="W19" s="20" t="str">
        <f>IFERROR(VLOOKUP(B19,MDB!A:N,14,0),VLOOKUP(B19,Inactive!A:N,14,0))</f>
        <v>Asif Iqbal</v>
      </c>
      <c r="X19" s="22">
        <v>0</v>
      </c>
      <c r="Y19" s="22">
        <v>0</v>
      </c>
      <c r="Z19" s="20" t="str">
        <f>IFERROR(VLOOKUP($B19,MDB!A:AO,41,0),VLOOKUP($B19,Inactive!A:AO,41,0))</f>
        <v>Uttrra Azimpur kachabazar, muktijodha,road panirpamp</v>
      </c>
      <c r="AA19" s="20" t="str">
        <f>IFERROR(VLOOKUP(B19,MDB!A:AP,42,0),VLOOKUP(B19,Inactive!A:AP,42,0))</f>
        <v>Dis:Munshigonj Thana:sirajdikhan post:shakhornogor</v>
      </c>
      <c r="AB19" s="20" t="str">
        <f>IFERROR(VLOOKUP(B19,MDB!A:APN,43,0),VLOOKUP(B19,Inactive!A:AQ,43,0))</f>
        <v>Uttrra Azimpur</v>
      </c>
      <c r="AC19" s="22">
        <v>0</v>
      </c>
      <c r="AD19" s="20">
        <f>IFERROR(VLOOKUP(B19,MDB!A:AX,24,0),VLOOKUP(B19,Inactive!A:AX,24,0))</f>
        <v>1314874973</v>
      </c>
      <c r="AE19" s="20" t="str">
        <f>IFERROR(VLOOKUP(B19,MDB!A:AA,27,0),VLOOKUP(B19,Inactive!A:AA,27,0))</f>
        <v>01829-918942</v>
      </c>
      <c r="AF19" s="20" t="str">
        <f>IFERROR(VLOOKUP(B19,MDB!A:AA,26,0),VLOOKUP(B19,Inactive!A:AA,26,0))</f>
        <v>Sriti Roy</v>
      </c>
      <c r="AG19" s="20" t="str">
        <f>IFERROR(VLOOKUP(B19,MDB!A:Z,5,0),VLOOKUP(B19,Inactive!A:Z,5,0))</f>
        <v>Female</v>
      </c>
      <c r="AH19" s="29">
        <f>IFERROR(VLOOKUP(B19,MDB!A:AD,30,0),VLOOKUP(B19,Inactive!A:AD,30,0))</f>
        <v>35523</v>
      </c>
      <c r="AI19" s="20" t="str">
        <f>IFERROR(VLOOKUP(B19,MDB!A:AC,29,0),VLOOKUP(B19,Inactive!A:AC,29,0))</f>
        <v>A+</v>
      </c>
      <c r="AJ19" s="20" t="str">
        <f>IFERROR(VLOOKUP(B19,MDB!A:AF,32,0),VLOOKUP(B19,Inactive!A:AF,32,0))</f>
        <v>Hindu</v>
      </c>
      <c r="AK19" s="20">
        <f>IFERROR(VLOOKUP(B19,MDB!A:AG,33,0),VLOOKUP(B19,Inactive!A:AG,33,0))</f>
        <v>7803749915</v>
      </c>
      <c r="AL19" s="216">
        <v>0</v>
      </c>
      <c r="AM19" s="20" t="str">
        <f>IFERROR(VLOOKUP(B19,MDB!A:AI,35,0),VLOOKUP(B19,Inactive!A:AI,35,0))</f>
        <v>LL.M</v>
      </c>
      <c r="AN19" s="20" t="s">
        <v>7405</v>
      </c>
    </row>
    <row r="20" ht="15.6">
      <c r="A20" s="48">
        <v>32</v>
      </c>
      <c r="B20" s="273">
        <v>172004</v>
      </c>
      <c r="C20" s="217" t="str">
        <f>IFERROR(VLOOKUP(B20,MDB!A:D,4,0),VLOOKUP(B20,Inactive!A:D,4,0))</f>
        <v>Nusrat Afrin</v>
      </c>
      <c r="D20" s="20" t="str">
        <f>IFERROR(VLOOKUP(B20,MDB!A:G,7,0),VLOOKUP(B20,Inactive!A:G,7,0))</f>
        <v>CSO</v>
      </c>
      <c r="E20" s="29">
        <f>IFERROR(VLOOKUP(B20,MDB!A:R,18,0),VLOOKUP(B20,Inactive!A:R,18,0))</f>
        <v>45587</v>
      </c>
      <c r="F20" s="22" t="str">
        <f>IFERROR(VLOOKUP(B20,MDB!A:H,8,0),VLOOKUP(B20,Inactive!A:H,8,0))</f>
        <v>Content Modarator</v>
      </c>
      <c r="G20" s="20" t="str">
        <f>IFERROR(VLOOKUP(B20,MDB!A:I,9,0),VLOOKUP(B20,Inactive!A:I,9,0))</f>
        <v>Operation</v>
      </c>
      <c r="H20" s="52" t="str">
        <f>IFERROR(VLOOKUP(B20,MDB!A:K,11,0),VLOOKUP(B20,Inactive!A:K,11,0))</f>
        <v>TEMU</v>
      </c>
      <c r="I20" s="20" t="str">
        <f>IFERROR(VLOOKUP(B20,MDB!A:J,10,0),VLOOKUP(B20,Inactive!A:J,10,0))</f>
        <v>Identification of the same product</v>
      </c>
      <c r="J20" s="20" t="s">
        <v>7402</v>
      </c>
      <c r="K20" s="20" t="s">
        <v>7403</v>
      </c>
      <c r="L20" s="20" t="s">
        <v>90</v>
      </c>
      <c r="M20" s="218" t="s">
        <v>72</v>
      </c>
      <c r="N20" s="20">
        <f>IFERROR(VLOOKUP(B20,MDB!A:BB,54,0),VLOOKUP(B20,Inactive!A:BB,54,0))</f>
        <v>10800</v>
      </c>
      <c r="O20" s="20">
        <f>IFERROR(VLOOKUP(B20,MDB!A:BC,55,0),VLOOKUP(B20,Inactive!A:BC,55,0))</f>
        <v>2700</v>
      </c>
      <c r="P20" s="20">
        <f>IFERROR(VLOOKUP(B20,MDB!A:BD,56,0),VLOOKUP(B20,Inactive!A:BD,56,0))</f>
        <v>0</v>
      </c>
      <c r="Q20" s="20" t="s">
        <v>7404</v>
      </c>
      <c r="R20" s="22">
        <v>22</v>
      </c>
      <c r="S20" s="20">
        <v>0</v>
      </c>
      <c r="T20" s="20">
        <v>0</v>
      </c>
      <c r="U20" s="20">
        <v>0</v>
      </c>
      <c r="V20" s="20" t="str">
        <f>IFERROR(VLOOKUP(B20,MDB!A:M,13,0),VLOOKUP(B20,Inactive!A:M,13,0))</f>
        <v>Salman Hossain</v>
      </c>
      <c r="W20" s="20" t="str">
        <f>IFERROR(VLOOKUP(B20,MDB!A:N,14,0),VLOOKUP(B20,Inactive!A:N,14,0))</f>
        <v>Asif Iqbal</v>
      </c>
      <c r="X20" s="22">
        <v>0</v>
      </c>
      <c r="Y20" s="22">
        <v>0</v>
      </c>
      <c r="Z20" s="20" t="str">
        <f>IFERROR(VLOOKUP($B20,MDB!A:AO,41,0),VLOOKUP($B20,Inactive!A:AO,41,0))</f>
        <v>House- 10, Road- 12/B, Sector- 10, Uttara, Dhaka-1230</v>
      </c>
      <c r="AA20" s="20" t="str">
        <f>IFERROR(VLOOKUP(B20,MDB!A:AP,42,0),VLOOKUP(B20,Inactive!A:AP,42,0))</f>
        <v>Collegepara, Post Office: Alamdanga-7210, Alamdanga, Alamdanga Municipality, Chuadanga</v>
      </c>
      <c r="AB20" s="20" t="str">
        <f>IFERROR(VLOOKUP(B20,MDB!A:APN,43,0),VLOOKUP(B20,Inactive!A:AQ,43,0))</f>
        <v>Uttara</v>
      </c>
      <c r="AC20" s="22">
        <v>0</v>
      </c>
      <c r="AD20" s="20">
        <f>IFERROR(VLOOKUP(B20,MDB!A:AX,24,0),VLOOKUP(B20,Inactive!A:AX,24,0))</f>
        <v>1732425771</v>
      </c>
      <c r="AE20" s="20">
        <f>IFERROR(VLOOKUP(B20,MDB!A:AA,27,0),VLOOKUP(B20,Inactive!A:AA,27,0))</f>
        <v>1736299271</v>
      </c>
      <c r="AF20" s="20" t="str">
        <f>IFERROR(VLOOKUP(B20,MDB!A:AA,26,0),VLOOKUP(B20,Inactive!A:AA,26,0))</f>
        <v>Shahnewaz Kabir</v>
      </c>
      <c r="AG20" s="20" t="str">
        <f>IFERROR(VLOOKUP(B20,MDB!A:Z,5,0),VLOOKUP(B20,Inactive!A:Z,5,0))</f>
        <v>Female</v>
      </c>
      <c r="AH20" s="29">
        <f>IFERROR(VLOOKUP(B20,MDB!A:AD,30,0),VLOOKUP(B20,Inactive!A:AD,30,0))</f>
        <v>35795</v>
      </c>
      <c r="AI20" s="20" t="str">
        <f>IFERROR(VLOOKUP(B20,MDB!A:AC,29,0),VLOOKUP(B20,Inactive!A:AC,29,0))</f>
        <v>N/A</v>
      </c>
      <c r="AJ20" s="20" t="str">
        <f>IFERROR(VLOOKUP(B20,MDB!A:AF,32,0),VLOOKUP(B20,Inactive!A:AF,32,0))</f>
        <v>Islam</v>
      </c>
      <c r="AK20" s="20">
        <f>IFERROR(VLOOKUP(B20,MDB!A:AG,33,0),VLOOKUP(B20,Inactive!A:AG,33,0))</f>
        <v>8703358450</v>
      </c>
      <c r="AL20" s="216">
        <v>0</v>
      </c>
      <c r="AM20" s="20" t="str">
        <f>IFERROR(VLOOKUP(B20,MDB!A:AI,35,0),VLOOKUP(B20,Inactive!A:AI,35,0))</f>
        <v>BSC</v>
      </c>
      <c r="AN20" s="20" t="s">
        <v>7405</v>
      </c>
    </row>
    <row r="21">
      <c r="A21" s="48">
        <v>33</v>
      </c>
      <c r="B21" s="20">
        <v>172052</v>
      </c>
      <c r="C21" s="217" t="str">
        <f>IFERROR(VLOOKUP(B21,MDB!A:D,4,0),VLOOKUP(B21,Inactive!A:D,4,0))</f>
        <v>Iqbal Husain</v>
      </c>
      <c r="D21" s="20" t="str">
        <f>IFERROR(VLOOKUP(B21,MDB!A:G,7,0),VLOOKUP(B21,Inactive!A:G,7,0))</f>
        <v>CSO</v>
      </c>
      <c r="E21" s="29">
        <f>IFERROR(VLOOKUP(B21,MDB!A:R,18,0),VLOOKUP(B21,Inactive!A:R,18,0))</f>
        <v>45604</v>
      </c>
      <c r="F21" s="22" t="str">
        <f>IFERROR(VLOOKUP(B21,MDB!A:H,8,0),VLOOKUP(B21,Inactive!A:H,8,0))</f>
        <v>Content Modarator</v>
      </c>
      <c r="G21" s="20" t="str">
        <f>IFERROR(VLOOKUP(B21,MDB!A:I,9,0),VLOOKUP(B21,Inactive!A:I,9,0))</f>
        <v>Operations</v>
      </c>
      <c r="H21" s="52" t="str">
        <f>IFERROR(VLOOKUP(B21,MDB!A:K,11,0),VLOOKUP(B21,Inactive!A:K,11,0))</f>
        <v>Temu</v>
      </c>
      <c r="I21" s="20" t="str">
        <f>IFERROR(VLOOKUP(B21,MDB!A:J,10,0),VLOOKUP(B21,Inactive!A:J,10,0))</f>
        <v>BG Platform Governance Requirements</v>
      </c>
      <c r="J21" s="20" t="s">
        <v>7402</v>
      </c>
      <c r="K21" s="20" t="s">
        <v>7403</v>
      </c>
      <c r="L21" s="20" t="s">
        <v>90</v>
      </c>
      <c r="M21" s="218" t="s">
        <v>72</v>
      </c>
      <c r="N21" s="20">
        <f>IFERROR(VLOOKUP(B21,MDB!A:BB,54,0),VLOOKUP(B21,Inactive!A:BB,54,0))</f>
        <v>10800</v>
      </c>
      <c r="O21" s="20">
        <f>IFERROR(VLOOKUP(B21,MDB!A:BC,55,0),VLOOKUP(B21,Inactive!A:BC,55,0))</f>
        <v>2700</v>
      </c>
      <c r="P21" s="20">
        <f>IFERROR(VLOOKUP(B21,MDB!A:BD,56,0),VLOOKUP(B21,Inactive!A:BD,56,0))</f>
        <v>1000</v>
      </c>
      <c r="Q21" s="20" t="s">
        <v>7404</v>
      </c>
      <c r="R21" s="22">
        <v>22</v>
      </c>
      <c r="S21" s="20">
        <v>0</v>
      </c>
      <c r="T21" s="20">
        <v>0</v>
      </c>
      <c r="U21" s="20">
        <v>0</v>
      </c>
      <c r="V21" s="20" t="str">
        <f>IFERROR(VLOOKUP(B21,MDB!A:M,13,0),VLOOKUP(B21,Inactive!A:M,13,0))</f>
        <v>Md. Tanjir Ahmed</v>
      </c>
      <c r="W21" s="20" t="str">
        <f>IFERROR(VLOOKUP(B21,MDB!A:N,14,0),VLOOKUP(B21,Inactive!A:N,14,0))</f>
        <v>Asif Iqbal</v>
      </c>
      <c r="X21" s="22">
        <v>0</v>
      </c>
      <c r="Y21" s="22">
        <v>0</v>
      </c>
      <c r="Z21" s="20" t="str">
        <f>IFERROR(VLOOKUP($B21,MDB!A:AO,41,0),VLOOKUP($B21,Inactive!A:AO,41,0))</f>
        <v>Nikunjo-2</v>
      </c>
      <c r="AA21" s="20" t="str">
        <f>IFERROR(VLOOKUP(B21,MDB!A:AP,42,0),VLOOKUP(B21,Inactive!A:AP,42,0))</f>
        <v>manda, naogaon</v>
      </c>
      <c r="AB21" s="20" t="str">
        <f>IFERROR(VLOOKUP(B21,MDB!A:APN,43,0),VLOOKUP(B21,Inactive!A:AQ,43,0))</f>
        <v>nikunja-2</v>
      </c>
      <c r="AC21" s="22">
        <v>0</v>
      </c>
      <c r="AD21" s="20">
        <f>IFERROR(VLOOKUP(B21,MDB!A:AX,24,0),VLOOKUP(B21,Inactive!A:AX,24,0))</f>
        <v>1733858627</v>
      </c>
      <c r="AE21" s="20">
        <f>IFERROR(VLOOKUP(B21,MDB!A:AA,27,0),VLOOKUP(B21,Inactive!A:AA,27,0))</f>
        <v>1400804344</v>
      </c>
      <c r="AF21" s="20" t="str">
        <f>IFERROR(VLOOKUP(B21,MDB!A:AA,26,0),VLOOKUP(B21,Inactive!A:AA,26,0))</f>
        <v>sabuj baidya</v>
      </c>
      <c r="AG21" s="20" t="str">
        <f>IFERROR(VLOOKUP(B21,MDB!A:Z,5,0),VLOOKUP(B21,Inactive!A:Z,5,0))</f>
        <v>Male</v>
      </c>
      <c r="AH21" s="29" t="str">
        <f>IFERROR(VLOOKUP(B21,MDB!A:AD,30,0),VLOOKUP(B21,Inactive!A:AD,30,0))</f>
        <v>17/01/1997</v>
      </c>
      <c r="AI21" s="20" t="str">
        <f>IFERROR(VLOOKUP(B21,MDB!A:AC,29,0),VLOOKUP(B21,Inactive!A:AC,29,0))</f>
        <v>B+</v>
      </c>
      <c r="AJ21" s="20" t="str">
        <f>IFERROR(VLOOKUP(B21,MDB!A:AF,32,0),VLOOKUP(B21,Inactive!A:AF,32,0))</f>
        <v>islam</v>
      </c>
      <c r="AK21" s="20">
        <f>IFERROR(VLOOKUP(B21,MDB!A:AG,33,0),VLOOKUP(B21,Inactive!A:AG,33,0))</f>
        <v>5552776774</v>
      </c>
      <c r="AL21" s="216">
        <v>0</v>
      </c>
      <c r="AM21" s="20" t="str">
        <f>IFERROR(VLOOKUP(B21,MDB!A:AI,35,0),VLOOKUP(B21,Inactive!A:AI,35,0))</f>
        <v>graduate</v>
      </c>
      <c r="AN21" s="20" t="s">
        <v>7405</v>
      </c>
    </row>
    <row r="22">
      <c r="A22" s="48">
        <v>34</v>
      </c>
      <c r="B22" s="20">
        <v>172045</v>
      </c>
      <c r="C22" s="217" t="str">
        <f>IFERROR(VLOOKUP(B22,MDB!A:D,4,0),VLOOKUP(B22,Inactive!A:D,4,0))</f>
        <v>Jahidul islam</v>
      </c>
      <c r="D22" s="20" t="str">
        <f>IFERROR(VLOOKUP(B22,MDB!A:G,7,0),VLOOKUP(B22,Inactive!A:G,7,0))</f>
        <v>CSO</v>
      </c>
      <c r="E22" s="29">
        <f>IFERROR(VLOOKUP(B22,MDB!A:R,18,0),VLOOKUP(B22,Inactive!A:R,18,0))</f>
        <v>45604</v>
      </c>
      <c r="F22" s="22" t="str">
        <f>IFERROR(VLOOKUP(B22,MDB!A:H,8,0),VLOOKUP(B22,Inactive!A:H,8,0))</f>
        <v>Content Modarator</v>
      </c>
      <c r="G22" s="20" t="str">
        <f>IFERROR(VLOOKUP(B22,MDB!A:I,9,0),VLOOKUP(B22,Inactive!A:I,9,0))</f>
        <v>Operations</v>
      </c>
      <c r="H22" s="52" t="str">
        <f>IFERROR(VLOOKUP(B22,MDB!A:K,11,0),VLOOKUP(B22,Inactive!A:K,11,0))</f>
        <v>Temu</v>
      </c>
      <c r="I22" s="20" t="str">
        <f>IFERROR(VLOOKUP(B22,MDB!A:J,10,0),VLOOKUP(B22,Inactive!A:J,10,0))</f>
        <v>BG Platform Governance Requirements</v>
      </c>
      <c r="J22" s="20" t="s">
        <v>7402</v>
      </c>
      <c r="K22" s="20" t="s">
        <v>7403</v>
      </c>
      <c r="L22" s="20" t="s">
        <v>90</v>
      </c>
      <c r="M22" s="218" t="s">
        <v>72</v>
      </c>
      <c r="N22" s="20">
        <f>IFERROR(VLOOKUP(B22,MDB!A:BB,54,0),VLOOKUP(B22,Inactive!A:BB,54,0))</f>
        <v>10800</v>
      </c>
      <c r="O22" s="20">
        <f>IFERROR(VLOOKUP(B22,MDB!A:BC,55,0),VLOOKUP(B22,Inactive!A:BC,55,0))</f>
        <v>2700</v>
      </c>
      <c r="P22" s="20">
        <f>IFERROR(VLOOKUP(B22,MDB!A:BD,56,0),VLOOKUP(B22,Inactive!A:BD,56,0))</f>
        <v>1000</v>
      </c>
      <c r="Q22" s="20" t="s">
        <v>7404</v>
      </c>
      <c r="R22" s="22">
        <v>22</v>
      </c>
      <c r="S22" s="20">
        <v>0</v>
      </c>
      <c r="T22" s="20">
        <v>0</v>
      </c>
      <c r="U22" s="20">
        <v>0</v>
      </c>
      <c r="V22" s="20" t="str">
        <f>IFERROR(VLOOKUP(B22,MDB!A:M,13,0),VLOOKUP(B22,Inactive!A:M,13,0))</f>
        <v>Rakib Ahsan</v>
      </c>
      <c r="W22" s="20" t="str">
        <f>IFERROR(VLOOKUP(B22,MDB!A:N,14,0),VLOOKUP(B22,Inactive!A:N,14,0))</f>
        <v>Asif Iqbal</v>
      </c>
      <c r="X22" s="22">
        <v>0</v>
      </c>
      <c r="Y22" s="22">
        <v>0</v>
      </c>
      <c r="Z22" s="20" t="str">
        <f>IFERROR(VLOOKUP($B22,MDB!A:AO,41,0),VLOOKUP($B22,Inactive!A:AO,41,0))</f>
        <v>bonmala,dottapar,tongi,gazipur</v>
      </c>
      <c r="AA22" s="20" t="str">
        <f>IFERROR(VLOOKUP(B22,MDB!A:AP,42,0),VLOOKUP(B22,Inactive!A:AP,42,0))</f>
        <v>bonmala,dottapara,tongi,gazipur</v>
      </c>
      <c r="AB22" s="20" t="str">
        <f>IFERROR(VLOOKUP(B22,MDB!A:APN,43,0),VLOOKUP(B22,Inactive!A:AQ,43,0))</f>
        <v>bonmala,dottapara,tongi gazipur</v>
      </c>
      <c r="AC22" s="22">
        <v>0</v>
      </c>
      <c r="AD22" s="20">
        <f>IFERROR(VLOOKUP(B22,MDB!A:AX,24,0),VLOOKUP(B22,Inactive!A:AX,24,0))</f>
        <v>1973296732</v>
      </c>
      <c r="AE22" s="20">
        <f>IFERROR(VLOOKUP(B22,MDB!A:AA,27,0),VLOOKUP(B22,Inactive!A:AA,27,0))</f>
        <v>1559085095</v>
      </c>
      <c r="AF22" s="20" t="str">
        <f>IFERROR(VLOOKUP(B22,MDB!A:AA,26,0),VLOOKUP(B22,Inactive!A:AA,26,0))</f>
        <v>jahanara brgum</v>
      </c>
      <c r="AG22" s="20" t="str">
        <f>IFERROR(VLOOKUP(B22,MDB!A:Z,5,0),VLOOKUP(B22,Inactive!A:Z,5,0))</f>
        <v>Male</v>
      </c>
      <c r="AH22" s="29">
        <f>IFERROR(VLOOKUP(B22,MDB!A:AD,30,0),VLOOKUP(B22,Inactive!A:AD,30,0))</f>
        <v>36868</v>
      </c>
      <c r="AI22" s="20" t="str">
        <f>IFERROR(VLOOKUP(B22,MDB!A:AC,29,0),VLOOKUP(B22,Inactive!A:AC,29,0))</f>
        <v>A+</v>
      </c>
      <c r="AJ22" s="20" t="str">
        <f>IFERROR(VLOOKUP(B22,MDB!A:AF,32,0),VLOOKUP(B22,Inactive!A:AF,32,0))</f>
        <v>Islam</v>
      </c>
      <c r="AK22" s="20">
        <f>IFERROR(VLOOKUP(B22,MDB!A:AG,33,0),VLOOKUP(B22,Inactive!A:AG,33,0))</f>
        <v>8722654186</v>
      </c>
      <c r="AL22" s="216">
        <v>0</v>
      </c>
      <c r="AM22" s="20" t="str">
        <f>IFERROR(VLOOKUP(B22,MDB!A:AI,35,0),VLOOKUP(B22,Inactive!A:AI,35,0))</f>
        <v>graduate</v>
      </c>
      <c r="AN22" s="20" t="s">
        <v>7405</v>
      </c>
    </row>
    <row r="23">
      <c r="A23" s="48">
        <v>35</v>
      </c>
      <c r="B23" s="20">
        <v>172053</v>
      </c>
      <c r="C23" s="217" t="str">
        <f>IFERROR(VLOOKUP(B23,MDB!A:D,4,0),VLOOKUP(B23,Inactive!A:D,4,0))</f>
        <v>Md Nayem Hassan</v>
      </c>
      <c r="D23" s="20" t="str">
        <f>IFERROR(VLOOKUP(B23,MDB!A:G,7,0),VLOOKUP(B23,Inactive!A:G,7,0))</f>
        <v>CSO</v>
      </c>
      <c r="E23" s="29">
        <f>IFERROR(VLOOKUP(B23,MDB!A:R,18,0),VLOOKUP(B23,Inactive!A:R,18,0))</f>
        <v>45604</v>
      </c>
      <c r="F23" s="22" t="str">
        <f>IFERROR(VLOOKUP(B23,MDB!A:H,8,0),VLOOKUP(B23,Inactive!A:H,8,0))</f>
        <v>Content Modarator</v>
      </c>
      <c r="G23" s="20" t="str">
        <f>IFERROR(VLOOKUP(B23,MDB!A:I,9,0),VLOOKUP(B23,Inactive!A:I,9,0))</f>
        <v>Operations</v>
      </c>
      <c r="H23" s="52" t="str">
        <f>IFERROR(VLOOKUP(B23,MDB!A:K,11,0),VLOOKUP(B23,Inactive!A:K,11,0))</f>
        <v>Temu</v>
      </c>
      <c r="I23" s="20" t="str">
        <f>IFERROR(VLOOKUP(B23,MDB!A:J,10,0),VLOOKUP(B23,Inactive!A:J,10,0))</f>
        <v>BG Platform Governance Requirements</v>
      </c>
      <c r="J23" s="20" t="s">
        <v>7402</v>
      </c>
      <c r="K23" s="20" t="s">
        <v>7403</v>
      </c>
      <c r="L23" s="20" t="s">
        <v>90</v>
      </c>
      <c r="M23" s="218" t="s">
        <v>72</v>
      </c>
      <c r="N23" s="20">
        <f>IFERROR(VLOOKUP(B23,MDB!A:BB,54,0),VLOOKUP(B23,Inactive!A:BB,54,0))</f>
        <v>10800</v>
      </c>
      <c r="O23" s="20">
        <f>IFERROR(VLOOKUP(B23,MDB!A:BC,55,0),VLOOKUP(B23,Inactive!A:BC,55,0))</f>
        <v>2700</v>
      </c>
      <c r="P23" s="20">
        <f>IFERROR(VLOOKUP(B23,MDB!A:BD,56,0),VLOOKUP(B23,Inactive!A:BD,56,0))</f>
        <v>1000</v>
      </c>
      <c r="Q23" s="20" t="s">
        <v>7404</v>
      </c>
      <c r="R23" s="22">
        <v>22</v>
      </c>
      <c r="S23" s="20">
        <v>0</v>
      </c>
      <c r="T23" s="20">
        <v>0</v>
      </c>
      <c r="U23" s="20">
        <v>0</v>
      </c>
      <c r="V23" s="20" t="str">
        <f>IFERROR(VLOOKUP(B23,MDB!A:M,13,0),VLOOKUP(B23,Inactive!A:M,13,0))</f>
        <v>Abu MD. Rifat Imtiaz</v>
      </c>
      <c r="W23" s="20" t="str">
        <f>IFERROR(VLOOKUP(B23,MDB!A:N,14,0),VLOOKUP(B23,Inactive!A:N,14,0))</f>
        <v>Asif Iqbal</v>
      </c>
      <c r="X23" s="22">
        <v>0</v>
      </c>
      <c r="Y23" s="22">
        <v>0</v>
      </c>
      <c r="Z23" s="20" t="str">
        <f>IFERROR(VLOOKUP($B23,MDB!A:AO,41,0),VLOOKUP($B23,Inactive!A:AO,41,0))</f>
        <v>Sector-14, Uttara</v>
      </c>
      <c r="AA23" s="20" t="str">
        <f>IFERROR(VLOOKUP(B23,MDB!A:AP,42,0),VLOOKUP(B23,Inactive!A:AP,42,0))</f>
        <v>Shajahanpur, Bogura</v>
      </c>
      <c r="AB23" s="20" t="str">
        <f>IFERROR(VLOOKUP(B23,MDB!A:APN,43,0),VLOOKUP(B23,Inactive!A:AQ,43,0))</f>
        <v>Uttara</v>
      </c>
      <c r="AC23" s="22">
        <v>0</v>
      </c>
      <c r="AD23" s="20">
        <f>IFERROR(VLOOKUP(B23,MDB!A:AX,24,0),VLOOKUP(B23,Inactive!A:AX,24,0))</f>
        <v>1620632896</v>
      </c>
      <c r="AE23" s="20">
        <f>IFERROR(VLOOKUP(B23,MDB!A:AA,27,0),VLOOKUP(B23,Inactive!A:AA,27,0))</f>
        <v>1750881602</v>
      </c>
      <c r="AF23" s="20" t="str">
        <f>IFERROR(VLOOKUP(B23,MDB!A:AA,26,0),VLOOKUP(B23,Inactive!A:AA,26,0))</f>
        <v>Mahamud</v>
      </c>
      <c r="AG23" s="20" t="str">
        <f>IFERROR(VLOOKUP(B23,MDB!A:Z,5,0),VLOOKUP(B23,Inactive!A:Z,5,0))</f>
        <v>Male</v>
      </c>
      <c r="AH23" s="29" t="str">
        <f>IFERROR(VLOOKUP(B23,MDB!A:AD,30,0),VLOOKUP(B23,Inactive!A:AD,30,0))</f>
        <v>16/5/1996</v>
      </c>
      <c r="AI23" s="20" t="str">
        <f>IFERROR(VLOOKUP(B23,MDB!A:AC,29,0),VLOOKUP(B23,Inactive!A:AC,29,0))</f>
        <v>O+</v>
      </c>
      <c r="AJ23" s="20" t="str">
        <f>IFERROR(VLOOKUP(B23,MDB!A:AF,32,0),VLOOKUP(B23,Inactive!A:AF,32,0))</f>
        <v>Islam</v>
      </c>
      <c r="AK23" s="20">
        <f>IFERROR(VLOOKUP(B23,MDB!A:AG,33,0),VLOOKUP(B23,Inactive!A:AG,33,0))</f>
        <v>8700529004</v>
      </c>
      <c r="AL23" s="216">
        <v>0</v>
      </c>
      <c r="AM23" s="20" t="str">
        <f>IFERROR(VLOOKUP(B23,MDB!A:AI,35,0),VLOOKUP(B23,Inactive!A:AI,35,0))</f>
        <v>Graduate</v>
      </c>
      <c r="AN23" s="20" t="s">
        <v>7405</v>
      </c>
    </row>
    <row r="24">
      <c r="A24" s="48">
        <v>36</v>
      </c>
      <c r="B24" s="20">
        <v>172051</v>
      </c>
      <c r="C24" s="217" t="str">
        <f>IFERROR(VLOOKUP(B24,MDB!A:D,4,0),VLOOKUP(B24,Inactive!A:D,4,0))</f>
        <v>Rakibul Islam </v>
      </c>
      <c r="D24" s="20" t="str">
        <f>IFERROR(VLOOKUP(B24,MDB!A:G,7,0),VLOOKUP(B24,Inactive!A:G,7,0))</f>
        <v>CSO </v>
      </c>
      <c r="E24" s="29">
        <f>IFERROR(VLOOKUP(B24,MDB!A:R,18,0),VLOOKUP(B24,Inactive!A:R,18,0))</f>
        <v>45604</v>
      </c>
      <c r="F24" s="22" t="str">
        <f>IFERROR(VLOOKUP(B24,MDB!A:H,8,0),VLOOKUP(B24,Inactive!A:H,8,0))</f>
        <v>Content Modarator</v>
      </c>
      <c r="G24" s="20" t="str">
        <f>IFERROR(VLOOKUP(B24,MDB!A:I,9,0),VLOOKUP(B24,Inactive!A:I,9,0))</f>
        <v>Operations</v>
      </c>
      <c r="H24" s="52" t="str">
        <f>IFERROR(VLOOKUP(B24,MDB!A:K,11,0),VLOOKUP(B24,Inactive!A:K,11,0))</f>
        <v>Temu</v>
      </c>
      <c r="I24" s="20" t="str">
        <f>IFERROR(VLOOKUP(B24,MDB!A:J,10,0),VLOOKUP(B24,Inactive!A:J,10,0))</f>
        <v>BG Platform Governance Requirements</v>
      </c>
      <c r="J24" s="20" t="s">
        <v>7402</v>
      </c>
      <c r="K24" s="20" t="s">
        <v>7403</v>
      </c>
      <c r="L24" s="20" t="s">
        <v>90</v>
      </c>
      <c r="M24" s="218" t="s">
        <v>72</v>
      </c>
      <c r="N24" s="20">
        <f>IFERROR(VLOOKUP(B24,MDB!A:BB,54,0),VLOOKUP(B24,Inactive!A:BB,54,0))</f>
        <v>10800</v>
      </c>
      <c r="O24" s="20">
        <f>IFERROR(VLOOKUP(B24,MDB!A:BC,55,0),VLOOKUP(B24,Inactive!A:BC,55,0))</f>
        <v>2700</v>
      </c>
      <c r="P24" s="20">
        <f>IFERROR(VLOOKUP(B24,MDB!A:BD,56,0),VLOOKUP(B24,Inactive!A:BD,56,0))</f>
        <v>1000</v>
      </c>
      <c r="Q24" s="20" t="s">
        <v>7404</v>
      </c>
      <c r="R24" s="22">
        <v>22</v>
      </c>
      <c r="S24" s="20">
        <v>0</v>
      </c>
      <c r="T24" s="20">
        <v>0</v>
      </c>
      <c r="U24" s="20">
        <v>0</v>
      </c>
      <c r="V24" s="20" t="str">
        <f>IFERROR(VLOOKUP(B24,MDB!A:M,13,0),VLOOKUP(B24,Inactive!A:M,13,0))</f>
        <v>Mohammad Joshim</v>
      </c>
      <c r="W24" s="20" t="str">
        <f>IFERROR(VLOOKUP(B24,MDB!A:N,14,0),VLOOKUP(B24,Inactive!A:N,14,0))</f>
        <v>Asif Iqbal</v>
      </c>
      <c r="X24" s="22">
        <v>0</v>
      </c>
      <c r="Y24" s="22">
        <v>0</v>
      </c>
      <c r="Z24" s="20" t="str">
        <f>IFERROR(VLOOKUP($B24,MDB!A:AO,41,0),VLOOKUP($B24,Inactive!A:AO,41,0))</f>
        <v>Mirpur -14,Kachukhet,Kafrul,Mirpur,Dhaka.</v>
      </c>
      <c r="AA24" s="20" t="str">
        <f>IFERROR(VLOOKUP(B24,MDB!A:AP,42,0),VLOOKUP(B24,Inactive!A:AP,42,0))</f>
        <v>Mirpur -14,Kachukhet,Kafrul,Mirpur,Dhaka.</v>
      </c>
      <c r="AB24" s="20" t="str">
        <f>IFERROR(VLOOKUP(B24,MDB!A:APN,43,0),VLOOKUP(B24,Inactive!A:AQ,43,0))</f>
        <v>Mirpur-14 </v>
      </c>
      <c r="AC24" s="22">
        <v>0</v>
      </c>
      <c r="AD24" s="20">
        <f>IFERROR(VLOOKUP(B24,MDB!A:AX,24,0),VLOOKUP(B24,Inactive!A:AX,24,0))</f>
        <v>1755058076</v>
      </c>
      <c r="AE24" s="20">
        <f>IFERROR(VLOOKUP(B24,MDB!A:AA,27,0),VLOOKUP(B24,Inactive!A:AA,27,0))</f>
        <v>1739468515</v>
      </c>
      <c r="AF24" s="20" t="str">
        <f>IFERROR(VLOOKUP(B24,MDB!A:AA,26,0),VLOOKUP(B24,Inactive!A:AA,26,0))</f>
        <v>Rabia Begum </v>
      </c>
      <c r="AG24" s="20" t="str">
        <f>IFERROR(VLOOKUP(B24,MDB!A:Z,5,0),VLOOKUP(B24,Inactive!A:Z,5,0))</f>
        <v>Male</v>
      </c>
      <c r="AH24" s="29">
        <f>IFERROR(VLOOKUP(B24,MDB!A:AD,30,0),VLOOKUP(B24,Inactive!A:AD,30,0))</f>
        <v>36557</v>
      </c>
      <c r="AI24" s="20" t="str">
        <f>IFERROR(VLOOKUP(B24,MDB!A:AC,29,0),VLOOKUP(B24,Inactive!A:AC,29,0))</f>
        <v>A+</v>
      </c>
      <c r="AJ24" s="20" t="str">
        <f>IFERROR(VLOOKUP(B24,MDB!A:AF,32,0),VLOOKUP(B24,Inactive!A:AF,32,0))</f>
        <v>Islam</v>
      </c>
      <c r="AK24" s="20">
        <f>IFERROR(VLOOKUP(B24,MDB!A:AG,33,0),VLOOKUP(B24,Inactive!A:AG,33,0))</f>
        <v>5112867089</v>
      </c>
      <c r="AL24" s="216">
        <v>0</v>
      </c>
      <c r="AM24" s="20" t="str">
        <f>IFERROR(VLOOKUP(B24,MDB!A:AI,35,0),VLOOKUP(B24,Inactive!A:AI,35,0))</f>
        <v>graduate</v>
      </c>
      <c r="AN24" s="20" t="s">
        <v>7405</v>
      </c>
    </row>
    <row r="25">
      <c r="A25" s="48">
        <v>37</v>
      </c>
      <c r="B25" s="20">
        <v>172046</v>
      </c>
      <c r="C25" s="217" t="str">
        <f>IFERROR(VLOOKUP(B25,MDB!A:D,4,0),VLOOKUP(B25,Inactive!A:D,4,0))</f>
        <v>Md. Zillur rahman</v>
      </c>
      <c r="D25" s="20" t="str">
        <f>IFERROR(VLOOKUP(B25,MDB!A:G,7,0),VLOOKUP(B25,Inactive!A:G,7,0))</f>
        <v>CSO</v>
      </c>
      <c r="E25" s="29">
        <f>IFERROR(VLOOKUP(B25,MDB!A:R,18,0),VLOOKUP(B25,Inactive!A:R,18,0))</f>
        <v>45604</v>
      </c>
      <c r="F25" s="22" t="str">
        <f>IFERROR(VLOOKUP(B25,MDB!A:H,8,0),VLOOKUP(B25,Inactive!A:H,8,0))</f>
        <v>Content Modarator</v>
      </c>
      <c r="G25" s="20" t="str">
        <f>IFERROR(VLOOKUP(B25,MDB!A:I,9,0),VLOOKUP(B25,Inactive!A:I,9,0))</f>
        <v>Operations</v>
      </c>
      <c r="H25" s="52" t="str">
        <f>IFERROR(VLOOKUP(B25,MDB!A:K,11,0),VLOOKUP(B25,Inactive!A:K,11,0))</f>
        <v>Temu</v>
      </c>
      <c r="I25" s="20" t="str">
        <f>IFERROR(VLOOKUP(B25,MDB!A:J,10,0),VLOOKUP(B25,Inactive!A:J,10,0))</f>
        <v>BG Platform Governance Requirements</v>
      </c>
      <c r="J25" s="20" t="s">
        <v>7402</v>
      </c>
      <c r="K25" s="20" t="s">
        <v>7403</v>
      </c>
      <c r="L25" s="20" t="s">
        <v>90</v>
      </c>
      <c r="M25" s="218" t="s">
        <v>72</v>
      </c>
      <c r="N25" s="20">
        <f>IFERROR(VLOOKUP(B25,MDB!A:BB,54,0),VLOOKUP(B25,Inactive!A:BB,54,0))</f>
        <v>10800</v>
      </c>
      <c r="O25" s="20">
        <f>IFERROR(VLOOKUP(B25,MDB!A:BC,55,0),VLOOKUP(B25,Inactive!A:BC,55,0))</f>
        <v>2700</v>
      </c>
      <c r="P25" s="20">
        <f>IFERROR(VLOOKUP(B25,MDB!A:BD,56,0),VLOOKUP(B25,Inactive!A:BD,56,0))</f>
        <v>1000</v>
      </c>
      <c r="Q25" s="20" t="s">
        <v>7404</v>
      </c>
      <c r="R25" s="22">
        <v>22</v>
      </c>
      <c r="S25" s="20">
        <v>0</v>
      </c>
      <c r="T25" s="20">
        <v>0</v>
      </c>
      <c r="U25" s="20">
        <v>0</v>
      </c>
      <c r="V25" s="20" t="str">
        <f>IFERROR(VLOOKUP(B25,MDB!A:M,13,0),VLOOKUP(B25,Inactive!A:M,13,0))</f>
        <v>Mohammad Joshim</v>
      </c>
      <c r="W25" s="20" t="str">
        <f>IFERROR(VLOOKUP(B25,MDB!A:N,14,0),VLOOKUP(B25,Inactive!A:N,14,0))</f>
        <v>Asif Iqbal</v>
      </c>
      <c r="X25" s="22">
        <v>0</v>
      </c>
      <c r="Y25" s="22">
        <v>0</v>
      </c>
      <c r="Z25" s="20" t="str">
        <f>IFERROR(VLOOKUP($B25,MDB!A:AO,41,0),VLOOKUP($B25,Inactive!A:AO,41,0))</f>
        <v>R-11, Nikunja-02</v>
      </c>
      <c r="AA25" s="20" t="str">
        <f>IFERROR(VLOOKUP(B25,MDB!A:AP,42,0),VLOOKUP(B25,Inactive!A:AP,42,0))</f>
        <v>Moddhapara, Kotiyadi. Kishorganj</v>
      </c>
      <c r="AB25" s="20" t="str">
        <f>IFERROR(VLOOKUP(B25,MDB!A:APN,43,0),VLOOKUP(B25,Inactive!A:AQ,43,0))</f>
        <v>nikunja-2</v>
      </c>
      <c r="AC25" s="22">
        <v>0</v>
      </c>
      <c r="AD25" s="20">
        <f>IFERROR(VLOOKUP(B25,MDB!A:AX,24,0),VLOOKUP(B25,Inactive!A:AX,24,0))</f>
        <v>1743693967</v>
      </c>
      <c r="AE25" s="20">
        <f>IFERROR(VLOOKUP(B25,MDB!A:AA,27,0),VLOOKUP(B25,Inactive!A:AA,27,0))</f>
        <v>1518463153</v>
      </c>
      <c r="AF25" s="20" t="str">
        <f>IFERROR(VLOOKUP(B25,MDB!A:AA,26,0),VLOOKUP(B25,Inactive!A:AA,26,0))</f>
        <v>Tushar </v>
      </c>
      <c r="AG25" s="20" t="str">
        <f>IFERROR(VLOOKUP(B25,MDB!A:Z,5,0),VLOOKUP(B25,Inactive!A:Z,5,0))</f>
        <v>Male</v>
      </c>
      <c r="AH25" s="29">
        <f>IFERROR(VLOOKUP(B25,MDB!A:AD,30,0),VLOOKUP(B25,Inactive!A:AD,30,0))</f>
        <v>36073</v>
      </c>
      <c r="AI25" s="20" t="str">
        <f>IFERROR(VLOOKUP(B25,MDB!A:AC,29,0),VLOOKUP(B25,Inactive!A:AC,29,0))</f>
        <v>O+</v>
      </c>
      <c r="AJ25" s="20" t="str">
        <f>IFERROR(VLOOKUP(B25,MDB!A:AF,32,0),VLOOKUP(B25,Inactive!A:AF,32,0))</f>
        <v>Islam</v>
      </c>
      <c r="AK25" s="20">
        <f>IFERROR(VLOOKUP(B25,MDB!A:AG,33,0),VLOOKUP(B25,Inactive!A:AG,33,0))</f>
        <v>8254683355</v>
      </c>
      <c r="AL25" s="216">
        <v>0</v>
      </c>
      <c r="AM25" s="20" t="str">
        <f>IFERROR(VLOOKUP(B25,MDB!A:AI,35,0),VLOOKUP(B25,Inactive!A:AI,35,0))</f>
        <v>Post Graduate</v>
      </c>
      <c r="AN25" s="20" t="s">
        <v>7405</v>
      </c>
    </row>
    <row r="26">
      <c r="A26" s="48">
        <v>38</v>
      </c>
      <c r="B26" s="20">
        <v>172047</v>
      </c>
      <c r="C26" s="217" t="str">
        <f>IFERROR(VLOOKUP(B26,MDB!A:D,4,0),VLOOKUP(B26,Inactive!A:D,4,0))</f>
        <v>Shuvo Chandra Singh</v>
      </c>
      <c r="D26" s="20" t="str">
        <f>IFERROR(VLOOKUP(B26,MDB!A:G,7,0),VLOOKUP(B26,Inactive!A:G,7,0))</f>
        <v>CSO</v>
      </c>
      <c r="E26" s="29">
        <f>IFERROR(VLOOKUP(B26,MDB!A:R,18,0),VLOOKUP(B26,Inactive!A:R,18,0))</f>
        <v>45604</v>
      </c>
      <c r="F26" s="22" t="str">
        <f>IFERROR(VLOOKUP(B26,MDB!A:H,8,0),VLOOKUP(B26,Inactive!A:H,8,0))</f>
        <v>Content Modarator</v>
      </c>
      <c r="G26" s="20" t="str">
        <f>IFERROR(VLOOKUP(B26,MDB!A:I,9,0),VLOOKUP(B26,Inactive!A:I,9,0))</f>
        <v>Operations</v>
      </c>
      <c r="H26" s="52" t="str">
        <f>IFERROR(VLOOKUP(B26,MDB!A:K,11,0),VLOOKUP(B26,Inactive!A:K,11,0))</f>
        <v>Temu</v>
      </c>
      <c r="I26" s="20" t="str">
        <f>IFERROR(VLOOKUP(B26,MDB!A:J,10,0),VLOOKUP(B26,Inactive!A:J,10,0))</f>
        <v>BG Platform Governance Requirements</v>
      </c>
      <c r="J26" s="20" t="s">
        <v>7402</v>
      </c>
      <c r="K26" s="20" t="s">
        <v>7403</v>
      </c>
      <c r="L26" s="20" t="s">
        <v>90</v>
      </c>
      <c r="M26" s="218" t="s">
        <v>72</v>
      </c>
      <c r="N26" s="20">
        <f>IFERROR(VLOOKUP(B26,MDB!A:BB,54,0),VLOOKUP(B26,Inactive!A:BB,54,0))</f>
        <v>10800</v>
      </c>
      <c r="O26" s="20">
        <f>IFERROR(VLOOKUP(B26,MDB!A:BC,55,0),VLOOKUP(B26,Inactive!A:BC,55,0))</f>
        <v>2700</v>
      </c>
      <c r="P26" s="20">
        <f>IFERROR(VLOOKUP(B26,MDB!A:BD,56,0),VLOOKUP(B26,Inactive!A:BD,56,0))</f>
        <v>1000</v>
      </c>
      <c r="Q26" s="20" t="s">
        <v>7404</v>
      </c>
      <c r="R26" s="22">
        <v>22</v>
      </c>
      <c r="S26" s="20">
        <v>0</v>
      </c>
      <c r="T26" s="20">
        <v>0</v>
      </c>
      <c r="U26" s="20">
        <v>0</v>
      </c>
      <c r="V26" s="20" t="str">
        <f>IFERROR(VLOOKUP(B26,MDB!A:M,13,0),VLOOKUP(B26,Inactive!A:M,13,0))</f>
        <v>Md. Tanjir Ahmed</v>
      </c>
      <c r="W26" s="20" t="str">
        <f>IFERROR(VLOOKUP(B26,MDB!A:N,14,0),VLOOKUP(B26,Inactive!A:N,14,0))</f>
        <v>Asif Iqbal</v>
      </c>
      <c r="X26" s="22">
        <v>0</v>
      </c>
      <c r="Y26" s="22">
        <v>0</v>
      </c>
      <c r="Z26" s="20" t="str">
        <f>IFERROR(VLOOKUP($B26,MDB!A:AO,41,0),VLOOKUP($B26,Inactive!A:AO,41,0))</f>
        <v>NIKUNJO-2, ROAD-19, HOUSE NO-2 </v>
      </c>
      <c r="AA26" s="20" t="str">
        <f>IFERROR(VLOOKUP(B26,MDB!A:AP,42,0),VLOOKUP(B26,Inactive!A:AP,42,0))</f>
        <v>MORJATKOL, SURJANOGOR, RAJBARI SADAR, RAJBARI</v>
      </c>
      <c r="AB26" s="20" t="str">
        <f>IFERROR(VLOOKUP(B26,MDB!A:APN,43,0),VLOOKUP(B26,Inactive!A:AQ,43,0))</f>
        <v>nikunja-2</v>
      </c>
      <c r="AC26" s="22">
        <v>0</v>
      </c>
      <c r="AD26" s="20">
        <f>IFERROR(VLOOKUP(B26,MDB!A:AX,24,0),VLOOKUP(B26,Inactive!A:AX,24,0))</f>
        <v>1581596596</v>
      </c>
      <c r="AE26" s="20">
        <f>IFERROR(VLOOKUP(B26,MDB!A:AA,27,0),VLOOKUP(B26,Inactive!A:AA,27,0))</f>
        <v>1739793674</v>
      </c>
      <c r="AF26" s="20" t="str">
        <f>IFERROR(VLOOKUP(B26,MDB!A:AA,26,0),VLOOKUP(B26,Inactive!A:AA,26,0))</f>
        <v>suvash chandra singh</v>
      </c>
      <c r="AG26" s="20" t="str">
        <f>IFERROR(VLOOKUP(B26,MDB!A:Z,5,0),VLOOKUP(B26,Inactive!A:Z,5,0))</f>
        <v>Male</v>
      </c>
      <c r="AH26" s="29">
        <f>IFERROR(VLOOKUP(B26,MDB!A:AD,30,0),VLOOKUP(B26,Inactive!A:AD,30,0))</f>
        <v>35405</v>
      </c>
      <c r="AI26" s="20" t="str">
        <f>IFERROR(VLOOKUP(B26,MDB!A:AC,29,0),VLOOKUP(B26,Inactive!A:AC,29,0))</f>
        <v>B+</v>
      </c>
      <c r="AJ26" s="20" t="str">
        <f>IFERROR(VLOOKUP(B26,MDB!A:AF,32,0),VLOOKUP(B26,Inactive!A:AF,32,0))</f>
        <v>Hindhu</v>
      </c>
      <c r="AK26" s="20">
        <f>IFERROR(VLOOKUP(B26,MDB!A:AG,33,0),VLOOKUP(B26,Inactive!A:AG,33,0))</f>
        <v>7770004609</v>
      </c>
      <c r="AL26" s="216">
        <v>0</v>
      </c>
      <c r="AM26" s="20" t="str">
        <f>IFERROR(VLOOKUP(B26,MDB!A:AI,35,0),VLOOKUP(B26,Inactive!A:AI,35,0))</f>
        <v>Post Graduate</v>
      </c>
      <c r="AN26" s="20" t="s">
        <v>7405</v>
      </c>
    </row>
    <row r="27">
      <c r="A27" s="48">
        <v>39</v>
      </c>
      <c r="B27" s="20">
        <v>172050</v>
      </c>
      <c r="C27" s="217" t="str">
        <f>IFERROR(VLOOKUP(B27,MDB!A:D,4,0),VLOOKUP(B27,Inactive!A:D,4,0))</f>
        <v>Sourav Mazumder</v>
      </c>
      <c r="D27" s="20" t="str">
        <f>IFERROR(VLOOKUP(B27,MDB!A:G,7,0),VLOOKUP(B27,Inactive!A:G,7,0))</f>
        <v>CSO</v>
      </c>
      <c r="E27" s="29">
        <f>IFERROR(VLOOKUP(B27,MDB!A:R,18,0),VLOOKUP(B27,Inactive!A:R,18,0))</f>
        <v>45604</v>
      </c>
      <c r="F27" s="22" t="str">
        <f>IFERROR(VLOOKUP(B27,MDB!A:H,8,0),VLOOKUP(B27,Inactive!A:H,8,0))</f>
        <v>Content Modarator</v>
      </c>
      <c r="G27" s="20" t="str">
        <f>IFERROR(VLOOKUP(B27,MDB!A:I,9,0),VLOOKUP(B27,Inactive!A:I,9,0))</f>
        <v>Operations</v>
      </c>
      <c r="H27" s="52" t="str">
        <f>IFERROR(VLOOKUP(B27,MDB!A:K,11,0),VLOOKUP(B27,Inactive!A:K,11,0))</f>
        <v>Temu</v>
      </c>
      <c r="I27" s="20" t="str">
        <f>IFERROR(VLOOKUP(B27,MDB!A:J,10,0),VLOOKUP(B27,Inactive!A:J,10,0))</f>
        <v>BG Platform Governance Requirements</v>
      </c>
      <c r="J27" s="20" t="s">
        <v>7402</v>
      </c>
      <c r="K27" s="20" t="s">
        <v>7403</v>
      </c>
      <c r="L27" s="20" t="s">
        <v>90</v>
      </c>
      <c r="M27" s="218" t="s">
        <v>72</v>
      </c>
      <c r="N27" s="20">
        <f>IFERROR(VLOOKUP(B27,MDB!A:BB,54,0),VLOOKUP(B27,Inactive!A:BB,54,0))</f>
        <v>10800</v>
      </c>
      <c r="O27" s="20">
        <f>IFERROR(VLOOKUP(B27,MDB!A:BC,55,0),VLOOKUP(B27,Inactive!A:BC,55,0))</f>
        <v>2700</v>
      </c>
      <c r="P27" s="20">
        <f>IFERROR(VLOOKUP(B27,MDB!A:BD,56,0),VLOOKUP(B27,Inactive!A:BD,56,0))</f>
        <v>1000</v>
      </c>
      <c r="Q27" s="20" t="s">
        <v>7404</v>
      </c>
      <c r="R27" s="22">
        <v>22</v>
      </c>
      <c r="S27" s="20">
        <v>0</v>
      </c>
      <c r="T27" s="20">
        <v>0</v>
      </c>
      <c r="U27" s="20">
        <v>0</v>
      </c>
      <c r="V27" s="20" t="str">
        <f>IFERROR(VLOOKUP(B27,MDB!A:M,13,0),VLOOKUP(B27,Inactive!A:M,13,0))</f>
        <v>Md. Mahin Khan</v>
      </c>
      <c r="W27" s="20" t="str">
        <f>IFERROR(VLOOKUP(B27,MDB!A:N,14,0),VLOOKUP(B27,Inactive!A:N,14,0))</f>
        <v>Asif Iqbal</v>
      </c>
      <c r="X27" s="22">
        <v>0</v>
      </c>
      <c r="Y27" s="22">
        <v>0</v>
      </c>
      <c r="Z27" s="20" t="str">
        <f>IFERROR(VLOOKUP($B27,MDB!A:AO,41,0),VLOOKUP($B27,Inactive!A:AO,41,0))</f>
        <v>Kazipara, Mirpur</v>
      </c>
      <c r="AA27" s="20" t="str">
        <f>IFERROR(VLOOKUP(B27,MDB!A:AP,42,0),VLOOKUP(B27,Inactive!A:AP,42,0))</f>
        <v>Kanutioya, Mohammadpur, Magura</v>
      </c>
      <c r="AB27" s="20" t="str">
        <f>IFERROR(VLOOKUP(B27,MDB!A:APN,43,0),VLOOKUP(B27,Inactive!A:AQ,43,0))</f>
        <v>Mirpur</v>
      </c>
      <c r="AC27" s="22">
        <v>0</v>
      </c>
      <c r="AD27" s="20">
        <f>IFERROR(VLOOKUP(B27,MDB!A:AX,24,0),VLOOKUP(B27,Inactive!A:AX,24,0))</f>
        <v>1712726772</v>
      </c>
      <c r="AE27" s="20">
        <f>IFERROR(VLOOKUP(B27,MDB!A:AA,27,0),VLOOKUP(B27,Inactive!A:AA,27,0))</f>
        <v>1873737372</v>
      </c>
      <c r="AF27" s="20" t="str">
        <f>IFERROR(VLOOKUP(B27,MDB!A:AA,26,0),VLOOKUP(B27,Inactive!A:AA,26,0))</f>
        <v>Rana Molla </v>
      </c>
      <c r="AG27" s="20" t="str">
        <f>IFERROR(VLOOKUP(B27,MDB!A:Z,5,0),VLOOKUP(B27,Inactive!A:Z,5,0))</f>
        <v>Male</v>
      </c>
      <c r="AH27" s="29" t="str">
        <f>IFERROR(VLOOKUP(B27,MDB!A:AD,30,0),VLOOKUP(B27,Inactive!A:AD,30,0))</f>
        <v>31-12-1997</v>
      </c>
      <c r="AI27" s="20" t="str">
        <f>IFERROR(VLOOKUP(B27,MDB!A:AC,29,0),VLOOKUP(B27,Inactive!A:AC,29,0))</f>
        <v>A+</v>
      </c>
      <c r="AJ27" s="20" t="str">
        <f>IFERROR(VLOOKUP(B27,MDB!A:AF,32,0),VLOOKUP(B27,Inactive!A:AF,32,0))</f>
        <v>Hindu</v>
      </c>
      <c r="AK27" s="20">
        <f>IFERROR(VLOOKUP(B27,MDB!A:AG,33,0),VLOOKUP(B27,Inactive!A:AG,33,0))</f>
        <v>2402860460</v>
      </c>
      <c r="AL27" s="216">
        <v>0</v>
      </c>
      <c r="AM27" s="20" t="str">
        <f>IFERROR(VLOOKUP(B27,MDB!A:AI,35,0),VLOOKUP(B27,Inactive!A:AI,35,0))</f>
        <v>graduate</v>
      </c>
      <c r="AN27" s="20" t="s">
        <v>7405</v>
      </c>
    </row>
    <row r="28">
      <c r="A28" s="48">
        <v>40</v>
      </c>
      <c r="B28" s="20">
        <v>172043</v>
      </c>
      <c r="C28" s="217" t="str">
        <f>IFERROR(VLOOKUP(B28,MDB!A:D,4,0),VLOOKUP(B28,Inactive!A:D,4,0))</f>
        <v>Vaskar Chandra Ojhan</v>
      </c>
      <c r="D28" s="20" t="str">
        <f>IFERROR(VLOOKUP(B28,MDB!A:G,7,0),VLOOKUP(B28,Inactive!A:G,7,0))</f>
        <v>CSO</v>
      </c>
      <c r="E28" s="29">
        <f>IFERROR(VLOOKUP(B28,MDB!A:R,18,0),VLOOKUP(B28,Inactive!A:R,18,0))</f>
        <v>45600</v>
      </c>
      <c r="F28" s="22" t="str">
        <f>IFERROR(VLOOKUP(B28,MDB!A:H,8,0),VLOOKUP(B28,Inactive!A:H,8,0))</f>
        <v>Content Modarator</v>
      </c>
      <c r="G28" s="20" t="str">
        <f>IFERROR(VLOOKUP(B28,MDB!A:I,9,0),VLOOKUP(B28,Inactive!A:I,9,0))</f>
        <v>Operations</v>
      </c>
      <c r="H28" s="52" t="str">
        <f>IFERROR(VLOOKUP(B28,MDB!A:K,11,0),VLOOKUP(B28,Inactive!A:K,11,0))</f>
        <v>Temu</v>
      </c>
      <c r="I28" s="20" t="str">
        <f>IFERROR(VLOOKUP(B28,MDB!A:J,10,0),VLOOKUP(B28,Inactive!A:J,10,0))</f>
        <v>BG Platform Governance Requirements</v>
      </c>
      <c r="J28" s="20" t="s">
        <v>7402</v>
      </c>
      <c r="K28" s="20" t="s">
        <v>7403</v>
      </c>
      <c r="L28" s="20" t="s">
        <v>90</v>
      </c>
      <c r="M28" s="218" t="s">
        <v>72</v>
      </c>
      <c r="N28" s="20">
        <f>IFERROR(VLOOKUP(B28,MDB!A:BB,54,0),VLOOKUP(B28,Inactive!A:BB,54,0))</f>
        <v>10800</v>
      </c>
      <c r="O28" s="20">
        <f>IFERROR(VLOOKUP(B28,MDB!A:BC,55,0),VLOOKUP(B28,Inactive!A:BC,55,0))</f>
        <v>2700</v>
      </c>
      <c r="P28" s="20">
        <f>IFERROR(VLOOKUP(B28,MDB!A:BD,56,0),VLOOKUP(B28,Inactive!A:BD,56,0))</f>
        <v>1000</v>
      </c>
      <c r="Q28" s="20" t="s">
        <v>7404</v>
      </c>
      <c r="R28" s="22">
        <v>22</v>
      </c>
      <c r="S28" s="20">
        <v>0</v>
      </c>
      <c r="T28" s="20">
        <v>0</v>
      </c>
      <c r="U28" s="20">
        <v>0</v>
      </c>
      <c r="V28" s="20" t="str">
        <f>IFERROR(VLOOKUP(B28,MDB!A:M,13,0),VLOOKUP(B28,Inactive!A:M,13,0))</f>
        <v>Mohammad Joshim</v>
      </c>
      <c r="W28" s="20" t="str">
        <f>IFERROR(VLOOKUP(B28,MDB!A:N,14,0),VLOOKUP(B28,Inactive!A:N,14,0))</f>
        <v>Asif Iqbal</v>
      </c>
      <c r="X28" s="22">
        <v>0</v>
      </c>
      <c r="Y28" s="22">
        <v>0</v>
      </c>
      <c r="Z28" s="20" t="str">
        <f>IFERROR(VLOOKUP($B28,MDB!A:AO,41,0),VLOOKUP($B28,Inactive!A:AO,41,0))</f>
        <v>Mirpur 2</v>
      </c>
      <c r="AA28" s="20" t="str">
        <f>IFERROR(VLOOKUP(B28,MDB!A:AP,42,0),VLOOKUP(B28,Inactive!A:AP,42,0))</f>
        <v>Baroipara, Noria, Sariatpur</v>
      </c>
      <c r="AB28" s="20" t="str">
        <f>IFERROR(VLOOKUP(B28,MDB!A:APN,43,0),VLOOKUP(B28,Inactive!A:AQ,43,0))</f>
        <v>Mirpur</v>
      </c>
      <c r="AC28" s="22">
        <v>0</v>
      </c>
      <c r="AD28" s="20">
        <f>IFERROR(VLOOKUP(B28,MDB!A:AX,24,0),VLOOKUP(B28,Inactive!A:AX,24,0))</f>
        <v>1302330288</v>
      </c>
      <c r="AE28" s="20">
        <f>IFERROR(VLOOKUP(B28,MDB!A:AA,27,0),VLOOKUP(B28,Inactive!A:AA,27,0))</f>
        <v>1919800053</v>
      </c>
      <c r="AF28" s="20" t="str">
        <f>IFERROR(VLOOKUP(B28,MDB!A:AA,26,0),VLOOKUP(B28,Inactive!A:AA,26,0))</f>
        <v>Sanjoy Chandra Ojhan</v>
      </c>
      <c r="AG28" s="20" t="str">
        <f>IFERROR(VLOOKUP(B28,MDB!A:Z,5,0),VLOOKUP(B28,Inactive!A:Z,5,0))</f>
        <v>Male</v>
      </c>
      <c r="AH28" s="29" t="str">
        <f>IFERROR(VLOOKUP(B28,MDB!A:AD,30,0),VLOOKUP(B28,Inactive!A:AD,30,0))</f>
        <v>15-10-1988</v>
      </c>
      <c r="AI28" s="20" t="str">
        <f>IFERROR(VLOOKUP(B28,MDB!A:AC,29,0),VLOOKUP(B28,Inactive!A:AC,29,0))</f>
        <v>B+</v>
      </c>
      <c r="AJ28" s="20" t="str">
        <f>IFERROR(VLOOKUP(B28,MDB!A:AF,32,0),VLOOKUP(B28,Inactive!A:AF,32,0))</f>
        <v>Hindhu</v>
      </c>
      <c r="AK28" s="20">
        <f>IFERROR(VLOOKUP(B28,MDB!A:AG,33,0),VLOOKUP(B28,Inactive!A:AG,33,0))</f>
        <v>7315019138</v>
      </c>
      <c r="AL28" s="216">
        <v>0</v>
      </c>
      <c r="AM28" s="20" t="str">
        <f>IFERROR(VLOOKUP(B28,MDB!A:AI,35,0),VLOOKUP(B28,Inactive!A:AI,35,0))</f>
        <v>Post Graduate</v>
      </c>
      <c r="AN28" s="20" t="s">
        <v>7405</v>
      </c>
    </row>
    <row r="29">
      <c r="A29" s="48">
        <v>41</v>
      </c>
      <c r="B29" s="20">
        <v>172040</v>
      </c>
      <c r="C29" s="217" t="str">
        <f>IFERROR(VLOOKUP(B29,MDB!A:D,4,0),VLOOKUP(B29,Inactive!A:D,4,0))</f>
        <v>Md fahim Foysal</v>
      </c>
      <c r="D29" s="20" t="str">
        <f>IFERROR(VLOOKUP(B29,MDB!A:G,7,0),VLOOKUP(B29,Inactive!A:G,7,0))</f>
        <v>CSO</v>
      </c>
      <c r="E29" s="29">
        <f>IFERROR(VLOOKUP(B29,MDB!A:R,18,0),VLOOKUP(B29,Inactive!A:R,18,0))</f>
        <v>45600</v>
      </c>
      <c r="F29" s="22" t="str">
        <f>IFERROR(VLOOKUP(B29,MDB!A:H,8,0),VLOOKUP(B29,Inactive!A:H,8,0))</f>
        <v>Content Modarator</v>
      </c>
      <c r="G29" s="20" t="str">
        <f>IFERROR(VLOOKUP(B29,MDB!A:I,9,0),VLOOKUP(B29,Inactive!A:I,9,0))</f>
        <v>Operations</v>
      </c>
      <c r="H29" s="52" t="str">
        <f>IFERROR(VLOOKUP(B29,MDB!A:K,11,0),VLOOKUP(B29,Inactive!A:K,11,0))</f>
        <v>Temu</v>
      </c>
      <c r="I29" s="20" t="str">
        <f>IFERROR(VLOOKUP(B29,MDB!A:J,10,0),VLOOKUP(B29,Inactive!A:J,10,0))</f>
        <v>BG Platform Governance Requirements</v>
      </c>
      <c r="J29" s="20" t="s">
        <v>7402</v>
      </c>
      <c r="K29" s="20" t="s">
        <v>7403</v>
      </c>
      <c r="L29" s="20" t="s">
        <v>90</v>
      </c>
      <c r="M29" s="218" t="s">
        <v>72</v>
      </c>
      <c r="N29" s="20">
        <f>IFERROR(VLOOKUP(B29,MDB!A:BB,54,0),VLOOKUP(B29,Inactive!A:BB,54,0))</f>
        <v>10800</v>
      </c>
      <c r="O29" s="20">
        <f>IFERROR(VLOOKUP(B29,MDB!A:BC,55,0),VLOOKUP(B29,Inactive!A:BC,55,0))</f>
        <v>2700</v>
      </c>
      <c r="P29" s="20">
        <f>IFERROR(VLOOKUP(B29,MDB!A:BD,56,0),VLOOKUP(B29,Inactive!A:BD,56,0))</f>
        <v>1000</v>
      </c>
      <c r="Q29" s="20" t="s">
        <v>7404</v>
      </c>
      <c r="R29" s="22">
        <v>22</v>
      </c>
      <c r="S29" s="20">
        <v>0</v>
      </c>
      <c r="T29" s="20">
        <v>0</v>
      </c>
      <c r="U29" s="20">
        <v>0</v>
      </c>
      <c r="V29" s="20" t="str">
        <f>IFERROR(VLOOKUP(B29,MDB!A:M,13,0),VLOOKUP(B29,Inactive!A:M,13,0))</f>
        <v>Rakib Ahsan</v>
      </c>
      <c r="W29" s="20" t="str">
        <f>IFERROR(VLOOKUP(B29,MDB!A:N,14,0),VLOOKUP(B29,Inactive!A:N,14,0))</f>
        <v>Asif Iqbal</v>
      </c>
      <c r="X29" s="22">
        <v>0</v>
      </c>
      <c r="Y29" s="22">
        <v>0</v>
      </c>
      <c r="Z29" s="20" t="str">
        <f>IFERROR(VLOOKUP($B29,MDB!A:AO,41,0),VLOOKUP($B29,Inactive!A:AO,41,0))</f>
        <v>Dhanmondi</v>
      </c>
      <c r="AA29" s="20" t="str">
        <f>IFERROR(VLOOKUP(B29,MDB!A:AP,42,0),VLOOKUP(B29,Inactive!A:AP,42,0))</f>
        <v>Senbagh,Noakhali</v>
      </c>
      <c r="AB29" s="20" t="str">
        <f>IFERROR(VLOOKUP(B29,MDB!A:APN,43,0),VLOOKUP(B29,Inactive!A:AQ,43,0))</f>
        <v>Green Road</v>
      </c>
      <c r="AC29" s="22">
        <v>0</v>
      </c>
      <c r="AD29" s="20">
        <f>IFERROR(VLOOKUP(B29,MDB!A:AX,24,0),VLOOKUP(B29,Inactive!A:AX,24,0))</f>
        <v>1833712208</v>
      </c>
      <c r="AE29" s="20">
        <f>IFERROR(VLOOKUP(B29,MDB!A:AA,27,0),VLOOKUP(B29,Inactive!A:AA,27,0))</f>
        <v>1310817573</v>
      </c>
      <c r="AF29" s="20" t="str">
        <f>IFERROR(VLOOKUP(B29,MDB!A:AA,26,0),VLOOKUP(B29,Inactive!A:AA,26,0))</f>
        <v>Md Jamaner Rahaman</v>
      </c>
      <c r="AG29" s="20" t="str">
        <f>IFERROR(VLOOKUP(B29,MDB!A:Z,5,0),VLOOKUP(B29,Inactive!A:Z,5,0))</f>
        <v>Male</v>
      </c>
      <c r="AH29" s="29">
        <f>IFERROR(VLOOKUP(B29,MDB!A:AD,30,0),VLOOKUP(B29,Inactive!A:AD,30,0))</f>
        <v>36526</v>
      </c>
      <c r="AI29" s="20" t="str">
        <f>IFERROR(VLOOKUP(B29,MDB!A:AC,29,0),VLOOKUP(B29,Inactive!A:AC,29,0))</f>
        <v>O+</v>
      </c>
      <c r="AJ29" s="20" t="str">
        <f>IFERROR(VLOOKUP(B29,MDB!A:AF,32,0),VLOOKUP(B29,Inactive!A:AF,32,0))</f>
        <v>Islam</v>
      </c>
      <c r="AK29" s="20">
        <f>IFERROR(VLOOKUP(B29,MDB!A:AG,33,0),VLOOKUP(B29,Inactive!A:AG,33,0))</f>
        <v>7357350656</v>
      </c>
      <c r="AL29" s="216">
        <v>0</v>
      </c>
      <c r="AM29" s="20" t="str">
        <f>IFERROR(VLOOKUP(B29,MDB!A:AI,35,0),VLOOKUP(B29,Inactive!A:AI,35,0))</f>
        <v>Graduate</v>
      </c>
      <c r="AN29" s="20" t="s">
        <v>7405</v>
      </c>
    </row>
    <row r="30">
      <c r="A30" s="48">
        <v>42</v>
      </c>
      <c r="B30" s="20">
        <v>172042</v>
      </c>
      <c r="C30" s="217" t="str">
        <f>IFERROR(VLOOKUP(B30,MDB!A:D,4,0),VLOOKUP(B30,Inactive!A:D,4,0))</f>
        <v>Mohammad Nehal Hasan</v>
      </c>
      <c r="D30" s="20" t="str">
        <f>IFERROR(VLOOKUP(B30,MDB!A:G,7,0),VLOOKUP(B30,Inactive!A:G,7,0))</f>
        <v>CSO</v>
      </c>
      <c r="E30" s="29">
        <f>IFERROR(VLOOKUP(B30,MDB!A:R,18,0),VLOOKUP(B30,Inactive!A:R,18,0))</f>
        <v>45600</v>
      </c>
      <c r="F30" s="22" t="str">
        <f>IFERROR(VLOOKUP(B30,MDB!A:H,8,0),VLOOKUP(B30,Inactive!A:H,8,0))</f>
        <v>Content Modarator</v>
      </c>
      <c r="G30" s="20" t="str">
        <f>IFERROR(VLOOKUP(B30,MDB!A:I,9,0),VLOOKUP(B30,Inactive!A:I,9,0))</f>
        <v>Operations</v>
      </c>
      <c r="H30" s="52" t="str">
        <f>IFERROR(VLOOKUP(B30,MDB!A:K,11,0),VLOOKUP(B30,Inactive!A:K,11,0))</f>
        <v>Temu</v>
      </c>
      <c r="I30" s="20" t="str">
        <f>IFERROR(VLOOKUP(B30,MDB!A:J,10,0),VLOOKUP(B30,Inactive!A:J,10,0))</f>
        <v>BG Platform Governance Requirements</v>
      </c>
      <c r="J30" s="20" t="s">
        <v>7402</v>
      </c>
      <c r="K30" s="20" t="s">
        <v>7403</v>
      </c>
      <c r="L30" s="20" t="s">
        <v>90</v>
      </c>
      <c r="M30" s="218" t="s">
        <v>72</v>
      </c>
      <c r="N30" s="20">
        <f>IFERROR(VLOOKUP(B30,MDB!A:BB,54,0),VLOOKUP(B30,Inactive!A:BB,54,0))</f>
        <v>10800</v>
      </c>
      <c r="O30" s="20">
        <f>IFERROR(VLOOKUP(B30,MDB!A:BC,55,0),VLOOKUP(B30,Inactive!A:BC,55,0))</f>
        <v>2700</v>
      </c>
      <c r="P30" s="20">
        <f>IFERROR(VLOOKUP(B30,MDB!A:BD,56,0),VLOOKUP(B30,Inactive!A:BD,56,0))</f>
        <v>1000</v>
      </c>
      <c r="Q30" s="20" t="s">
        <v>7404</v>
      </c>
      <c r="R30" s="22">
        <v>22</v>
      </c>
      <c r="S30" s="20">
        <v>0</v>
      </c>
      <c r="T30" s="20">
        <v>0</v>
      </c>
      <c r="U30" s="20">
        <v>0</v>
      </c>
      <c r="V30" s="20" t="str">
        <f>IFERROR(VLOOKUP(B30,MDB!A:M,13,0),VLOOKUP(B30,Inactive!A:M,13,0))</f>
        <v>Rakib Ahsan</v>
      </c>
      <c r="W30" s="20" t="str">
        <f>IFERROR(VLOOKUP(B30,MDB!A:N,14,0),VLOOKUP(B30,Inactive!A:N,14,0))</f>
        <v>Asif Iqbal</v>
      </c>
      <c r="X30" s="22">
        <v>0</v>
      </c>
      <c r="Y30" s="22">
        <v>0</v>
      </c>
      <c r="Z30" s="20" t="str">
        <f>IFERROR(VLOOKUP($B30,MDB!A:AO,41,0),VLOOKUP($B30,Inactive!A:AO,41,0))</f>
        <v>Nadda, Bashundhara</v>
      </c>
      <c r="AA30" s="20" t="str">
        <f>IFERROR(VLOOKUP(B30,MDB!A:AP,42,0),VLOOKUP(B30,Inactive!A:AP,42,0))</f>
        <v>Hathazari, Chittagong</v>
      </c>
      <c r="AB30" s="20" t="str">
        <f>IFERROR(VLOOKUP(B30,MDB!A:APN,43,0),VLOOKUP(B30,Inactive!A:AQ,43,0))</f>
        <v>Nadda</v>
      </c>
      <c r="AC30" s="22">
        <v>0</v>
      </c>
      <c r="AD30" s="20">
        <f>IFERROR(VLOOKUP(B30,MDB!A:AX,24,0),VLOOKUP(B30,Inactive!A:AX,24,0))</f>
        <v>1877457177</v>
      </c>
      <c r="AE30" s="20">
        <f>IFERROR(VLOOKUP(B30,MDB!A:AA,27,0),VLOOKUP(B30,Inactive!A:AA,27,0))</f>
        <v>1751862632</v>
      </c>
      <c r="AF30" s="20" t="str">
        <f>IFERROR(VLOOKUP(B30,MDB!A:AA,26,0),VLOOKUP(B30,Inactive!A:AA,26,0))</f>
        <v>Nokib Hossain</v>
      </c>
      <c r="AG30" s="20" t="str">
        <f>IFERROR(VLOOKUP(B30,MDB!A:Z,5,0),VLOOKUP(B30,Inactive!A:Z,5,0))</f>
        <v>Male</v>
      </c>
      <c r="AH30" s="29">
        <f>IFERROR(VLOOKUP(B30,MDB!A:AD,30,0),VLOOKUP(B30,Inactive!A:AD,30,0))</f>
        <v>36862</v>
      </c>
      <c r="AI30" s="20" t="str">
        <f>IFERROR(VLOOKUP(B30,MDB!A:AC,29,0),VLOOKUP(B30,Inactive!A:AC,29,0))</f>
        <v>O+</v>
      </c>
      <c r="AJ30" s="20" t="str">
        <f>IFERROR(VLOOKUP(B30,MDB!A:AF,32,0),VLOOKUP(B30,Inactive!A:AF,32,0))</f>
        <v>Islam</v>
      </c>
      <c r="AK30" s="20">
        <f>IFERROR(VLOOKUP(B30,MDB!A:AG,33,0),VLOOKUP(B30,Inactive!A:AG,33,0))</f>
        <v>9582448578</v>
      </c>
      <c r="AL30" s="216">
        <v>0</v>
      </c>
      <c r="AM30" s="20" t="str">
        <f>IFERROR(VLOOKUP(B30,MDB!A:AI,35,0),VLOOKUP(B30,Inactive!A:AI,35,0))</f>
        <v>graduate</v>
      </c>
      <c r="AN30" s="20" t="s">
        <v>7405</v>
      </c>
    </row>
    <row r="31">
      <c r="A31" s="48">
        <v>43</v>
      </c>
      <c r="B31" s="20">
        <v>172033</v>
      </c>
      <c r="C31" s="217" t="str">
        <f>IFERROR(VLOOKUP(B31,MDB!A:D,4,0),VLOOKUP(B31,Inactive!A:D,4,0))</f>
        <v>Imdadul Molla</v>
      </c>
      <c r="D31" s="20" t="str">
        <f>IFERROR(VLOOKUP(B31,MDB!A:G,7,0),VLOOKUP(B31,Inactive!A:G,7,0))</f>
        <v>CSO</v>
      </c>
      <c r="E31" s="29">
        <f>IFERROR(VLOOKUP(B31,MDB!A:R,18,0),VLOOKUP(B31,Inactive!A:R,18,0))</f>
        <v>45596</v>
      </c>
      <c r="F31" s="22" t="str">
        <f>IFERROR(VLOOKUP(B31,MDB!A:H,8,0),VLOOKUP(B31,Inactive!A:H,8,0))</f>
        <v>Content Modarator</v>
      </c>
      <c r="G31" s="20" t="str">
        <f>IFERROR(VLOOKUP(B31,MDB!A:I,9,0),VLOOKUP(B31,Inactive!A:I,9,0))</f>
        <v>Operations</v>
      </c>
      <c r="H31" s="52" t="str">
        <f>IFERROR(VLOOKUP(B31,MDB!A:K,11,0),VLOOKUP(B31,Inactive!A:K,11,0))</f>
        <v>Temu</v>
      </c>
      <c r="I31" s="20" t="str">
        <f>IFERROR(VLOOKUP(B31,MDB!A:J,10,0),VLOOKUP(B31,Inactive!A:J,10,0))</f>
        <v>BG Platform Governance Requirements</v>
      </c>
      <c r="J31" s="20" t="s">
        <v>7402</v>
      </c>
      <c r="K31" s="20" t="s">
        <v>7403</v>
      </c>
      <c r="L31" s="20" t="s">
        <v>90</v>
      </c>
      <c r="M31" s="218" t="s">
        <v>72</v>
      </c>
      <c r="N31" s="20">
        <f>IFERROR(VLOOKUP(B31,MDB!A:BB,54,0),VLOOKUP(B31,Inactive!A:BB,54,0))</f>
        <v>10800</v>
      </c>
      <c r="O31" s="20">
        <f>IFERROR(VLOOKUP(B31,MDB!A:BC,55,0),VLOOKUP(B31,Inactive!A:BC,55,0))</f>
        <v>2700</v>
      </c>
      <c r="P31" s="20">
        <f>IFERROR(VLOOKUP(B31,MDB!A:BD,56,0),VLOOKUP(B31,Inactive!A:BD,56,0))</f>
        <v>1000</v>
      </c>
      <c r="Q31" s="20" t="s">
        <v>7404</v>
      </c>
      <c r="R31" s="22">
        <v>22</v>
      </c>
      <c r="S31" s="20">
        <v>0</v>
      </c>
      <c r="T31" s="20">
        <v>0</v>
      </c>
      <c r="U31" s="20">
        <v>0</v>
      </c>
      <c r="V31" s="20" t="str">
        <f>IFERROR(VLOOKUP(B31,MDB!A:M,13,0),VLOOKUP(B31,Inactive!A:M,13,0))</f>
        <v>Abu MD. Rifat Imtiaz</v>
      </c>
      <c r="W31" s="20" t="str">
        <f>IFERROR(VLOOKUP(B31,MDB!A:N,14,0),VLOOKUP(B31,Inactive!A:N,14,0))</f>
        <v>Asif Iqbal</v>
      </c>
      <c r="X31" s="22">
        <v>0</v>
      </c>
      <c r="Y31" s="22">
        <v>0</v>
      </c>
      <c r="Z31" s="20" t="str">
        <f>IFERROR(VLOOKUP($B31,MDB!A:AO,41,0),VLOOKUP($B31,Inactive!A:AO,41,0))</f>
        <v>Sector-13 Uttara </v>
      </c>
      <c r="AA31" s="20" t="str">
        <f>IFERROR(VLOOKUP(B31,MDB!A:AP,42,0),VLOOKUP(B31,Inactive!A:AP,42,0))</f>
        <v>Durgapur ,Boalmari, Faridpur</v>
      </c>
      <c r="AB31" s="20" t="str">
        <f>IFERROR(VLOOKUP(B31,MDB!A:APN,43,0),VLOOKUP(B31,Inactive!A:AQ,43,0))</f>
        <v>Housebuilding</v>
      </c>
      <c r="AC31" s="22">
        <v>0</v>
      </c>
      <c r="AD31" s="20">
        <f>IFERROR(VLOOKUP(B31,MDB!A:AX,24,0),VLOOKUP(B31,Inactive!A:AX,24,0))</f>
        <v>1742096292</v>
      </c>
      <c r="AE31" s="20">
        <f>IFERROR(VLOOKUP(B31,MDB!A:AA,27,0),VLOOKUP(B31,Inactive!A:AA,27,0))</f>
        <v>1775695002</v>
      </c>
      <c r="AF31" s="20" t="str">
        <f>IFERROR(VLOOKUP(B31,MDB!A:AA,26,0),VLOOKUP(B31,Inactive!A:AA,26,0))</f>
        <v>MD Hamidulla</v>
      </c>
      <c r="AG31" s="20" t="str">
        <f>IFERROR(VLOOKUP(B31,MDB!A:Z,5,0),VLOOKUP(B31,Inactive!A:Z,5,0))</f>
        <v>Male</v>
      </c>
      <c r="AH31" s="29">
        <f>IFERROR(VLOOKUP(B31,MDB!A:AD,30,0),VLOOKUP(B31,Inactive!A:AD,30,0))</f>
        <v>35437</v>
      </c>
      <c r="AI31" s="20" t="str">
        <f>IFERROR(VLOOKUP(B31,MDB!A:AC,29,0),VLOOKUP(B31,Inactive!A:AC,29,0))</f>
        <v>A+</v>
      </c>
      <c r="AJ31" s="20" t="str">
        <f>IFERROR(VLOOKUP(B31,MDB!A:AF,32,0),VLOOKUP(B31,Inactive!A:AF,32,0))</f>
        <v>Islam</v>
      </c>
      <c r="AK31" s="20">
        <f>IFERROR(VLOOKUP(B31,MDB!A:AG,33,0),VLOOKUP(B31,Inactive!A:AG,33,0))</f>
        <v>5111058052</v>
      </c>
      <c r="AL31" s="216">
        <v>0</v>
      </c>
      <c r="AM31" s="20" t="str">
        <f>IFERROR(VLOOKUP(B31,MDB!A:AI,35,0),VLOOKUP(B31,Inactive!A:AI,35,0))</f>
        <v>Graduate</v>
      </c>
      <c r="AN31" s="20" t="s">
        <v>7405</v>
      </c>
    </row>
    <row r="32">
      <c r="A32" s="48">
        <v>44</v>
      </c>
      <c r="B32" s="20">
        <v>172032</v>
      </c>
      <c r="C32" s="217" t="str">
        <f>IFERROR(VLOOKUP(B32,MDB!A:D,4,0),VLOOKUP(B32,Inactive!A:D,4,0))</f>
        <v>Ishtiaque Shams Khondokar</v>
      </c>
      <c r="D32" s="20" t="str">
        <f>IFERROR(VLOOKUP(B32,MDB!A:G,7,0),VLOOKUP(B32,Inactive!A:G,7,0))</f>
        <v>CSO</v>
      </c>
      <c r="E32" s="29">
        <f>IFERROR(VLOOKUP(B32,MDB!A:R,18,0),VLOOKUP(B32,Inactive!A:R,18,0))</f>
        <v>45596</v>
      </c>
      <c r="F32" s="22" t="str">
        <f>IFERROR(VLOOKUP(B32,MDB!A:H,8,0),VLOOKUP(B32,Inactive!A:H,8,0))</f>
        <v>Content Modarator</v>
      </c>
      <c r="G32" s="20" t="str">
        <f>IFERROR(VLOOKUP(B32,MDB!A:I,9,0),VLOOKUP(B32,Inactive!A:I,9,0))</f>
        <v>Operations</v>
      </c>
      <c r="H32" s="52" t="str">
        <f>IFERROR(VLOOKUP(B32,MDB!A:K,11,0),VLOOKUP(B32,Inactive!A:K,11,0))</f>
        <v>Temu</v>
      </c>
      <c r="I32" s="20" t="str">
        <f>IFERROR(VLOOKUP(B32,MDB!A:J,10,0),VLOOKUP(B32,Inactive!A:J,10,0))</f>
        <v>BG Platform Governance Requirements</v>
      </c>
      <c r="J32" s="20" t="s">
        <v>7402</v>
      </c>
      <c r="K32" s="20" t="s">
        <v>7403</v>
      </c>
      <c r="L32" s="20" t="s">
        <v>90</v>
      </c>
      <c r="M32" s="218" t="s">
        <v>72</v>
      </c>
      <c r="N32" s="20">
        <f>IFERROR(VLOOKUP(B32,MDB!A:BB,54,0),VLOOKUP(B32,Inactive!A:BB,54,0))</f>
        <v>10800</v>
      </c>
      <c r="O32" s="20">
        <f>IFERROR(VLOOKUP(B32,MDB!A:BC,55,0),VLOOKUP(B32,Inactive!A:BC,55,0))</f>
        <v>2700</v>
      </c>
      <c r="P32" s="20">
        <f>IFERROR(VLOOKUP(B32,MDB!A:BD,56,0),VLOOKUP(B32,Inactive!A:BD,56,0))</f>
        <v>1000</v>
      </c>
      <c r="Q32" s="20" t="s">
        <v>7404</v>
      </c>
      <c r="R32" s="22">
        <v>22</v>
      </c>
      <c r="S32" s="20">
        <v>0</v>
      </c>
      <c r="T32" s="20">
        <v>0</v>
      </c>
      <c r="U32" s="20">
        <v>0</v>
      </c>
      <c r="V32" s="20" t="str">
        <f>IFERROR(VLOOKUP(B32,MDB!A:M,13,0),VLOOKUP(B32,Inactive!A:M,13,0))</f>
        <v>Rakib Ahsan</v>
      </c>
      <c r="W32" s="20" t="str">
        <f>IFERROR(VLOOKUP(B32,MDB!A:N,14,0),VLOOKUP(B32,Inactive!A:N,14,0))</f>
        <v>Asif Iqbal</v>
      </c>
      <c r="X32" s="22">
        <v>0</v>
      </c>
      <c r="Y32" s="22">
        <v>0</v>
      </c>
      <c r="Z32" s="20" t="str">
        <f>IFERROR(VLOOKUP($B32,MDB!A:AO,41,0),VLOOKUP($B32,Inactive!A:AO,41,0))</f>
        <v>Bashundhara Residencial Area </v>
      </c>
      <c r="AA32" s="20" t="str">
        <f>IFERROR(VLOOKUP(B32,MDB!A:AP,42,0),VLOOKUP(B32,Inactive!A:AP,42,0))</f>
        <v>Bashundhara Residencial Area </v>
      </c>
      <c r="AB32" s="20" t="str">
        <f>IFERROR(VLOOKUP(B32,MDB!A:APN,43,0),VLOOKUP(B32,Inactive!A:AQ,43,0))</f>
        <v>Nodda</v>
      </c>
      <c r="AC32" s="22">
        <v>0</v>
      </c>
      <c r="AD32" s="20">
        <f>IFERROR(VLOOKUP(B32,MDB!A:AX,24,0),VLOOKUP(B32,Inactive!A:AX,24,0))</f>
        <v>1308507702</v>
      </c>
      <c r="AE32" s="20">
        <f>IFERROR(VLOOKUP(B32,MDB!A:AA,27,0),VLOOKUP(B32,Inactive!A:AA,27,0))</f>
        <v>1754863249</v>
      </c>
      <c r="AF32" s="20" t="str">
        <f>IFERROR(VLOOKUP(B32,MDB!A:AA,26,0),VLOOKUP(B32,Inactive!A:AA,26,0))</f>
        <v>Sharif Shams Khondokar</v>
      </c>
      <c r="AG32" s="20" t="str">
        <f>IFERROR(VLOOKUP(B32,MDB!A:Z,5,0),VLOOKUP(B32,Inactive!A:Z,5,0))</f>
        <v>Male</v>
      </c>
      <c r="AH32" s="29" t="str">
        <f>IFERROR(VLOOKUP(B32,MDB!A:AD,30,0),VLOOKUP(B32,Inactive!A:AD,30,0))</f>
        <v>15/12/1998</v>
      </c>
      <c r="AI32" s="20" t="str">
        <f>IFERROR(VLOOKUP(B32,MDB!A:AC,29,0),VLOOKUP(B32,Inactive!A:AC,29,0))</f>
        <v>O+</v>
      </c>
      <c r="AJ32" s="20" t="str">
        <f>IFERROR(VLOOKUP(B32,MDB!A:AF,32,0),VLOOKUP(B32,Inactive!A:AF,32,0))</f>
        <v>Islam</v>
      </c>
      <c r="AK32" s="20">
        <f>IFERROR(VLOOKUP(B32,MDB!A:AG,33,0),VLOOKUP(B32,Inactive!A:AG,33,0))</f>
        <v>9154154778</v>
      </c>
      <c r="AL32" s="216">
        <v>0</v>
      </c>
      <c r="AM32" s="20" t="str">
        <f>IFERROR(VLOOKUP(B32,MDB!A:AI,35,0),VLOOKUP(B32,Inactive!A:AI,35,0))</f>
        <v>Graduate</v>
      </c>
      <c r="AN32" s="20" t="s">
        <v>7405</v>
      </c>
    </row>
    <row r="33">
      <c r="A33" s="48">
        <v>45</v>
      </c>
      <c r="B33" s="20">
        <v>172035</v>
      </c>
      <c r="C33" s="217" t="str">
        <f>IFERROR(VLOOKUP(B33,MDB!A:D,4,0),VLOOKUP(B33,Inactive!A:D,4,0))</f>
        <v>Arfan Ali</v>
      </c>
      <c r="D33" s="20" t="str">
        <f>IFERROR(VLOOKUP(B33,MDB!A:G,7,0),VLOOKUP(B33,Inactive!A:G,7,0))</f>
        <v>CSO</v>
      </c>
      <c r="E33" s="29">
        <f>IFERROR(VLOOKUP(B33,MDB!A:R,18,0),VLOOKUP(B33,Inactive!A:R,18,0))</f>
        <v>45596</v>
      </c>
      <c r="F33" s="22" t="str">
        <f>IFERROR(VLOOKUP(B33,MDB!A:H,8,0),VLOOKUP(B33,Inactive!A:H,8,0))</f>
        <v>Content Modarator</v>
      </c>
      <c r="G33" s="20" t="str">
        <f>IFERROR(VLOOKUP(B33,MDB!A:I,9,0),VLOOKUP(B33,Inactive!A:I,9,0))</f>
        <v>Operations</v>
      </c>
      <c r="H33" s="52" t="str">
        <f>IFERROR(VLOOKUP(B33,MDB!A:K,11,0),VLOOKUP(B33,Inactive!A:K,11,0))</f>
        <v>Temu</v>
      </c>
      <c r="I33" s="20" t="str">
        <f>IFERROR(VLOOKUP(B33,MDB!A:J,10,0),VLOOKUP(B33,Inactive!A:J,10,0))</f>
        <v>BG Platform Governance Requirements</v>
      </c>
      <c r="J33" s="20" t="s">
        <v>7402</v>
      </c>
      <c r="K33" s="20" t="s">
        <v>7403</v>
      </c>
      <c r="L33" s="20" t="s">
        <v>90</v>
      </c>
      <c r="M33" s="218" t="s">
        <v>72</v>
      </c>
      <c r="N33" s="20">
        <f>IFERROR(VLOOKUP(B33,MDB!A:BB,54,0),VLOOKUP(B33,Inactive!A:BB,54,0))</f>
        <v>10800</v>
      </c>
      <c r="O33" s="20">
        <f>IFERROR(VLOOKUP(B33,MDB!A:BC,55,0),VLOOKUP(B33,Inactive!A:BC,55,0))</f>
        <v>2700</v>
      </c>
      <c r="P33" s="20">
        <f>IFERROR(VLOOKUP(B33,MDB!A:BD,56,0),VLOOKUP(B33,Inactive!A:BD,56,0))</f>
        <v>1000</v>
      </c>
      <c r="Q33" s="20" t="s">
        <v>7404</v>
      </c>
      <c r="R33" s="22">
        <v>22</v>
      </c>
      <c r="S33" s="20">
        <v>0</v>
      </c>
      <c r="T33" s="20">
        <v>0</v>
      </c>
      <c r="U33" s="20">
        <v>0</v>
      </c>
      <c r="V33" s="20" t="str">
        <f>IFERROR(VLOOKUP(B33,MDB!A:M,13,0),VLOOKUP(B33,Inactive!A:M,13,0))</f>
        <v>Abu MD. Rifat Imtiaz</v>
      </c>
      <c r="W33" s="20" t="str">
        <f>IFERROR(VLOOKUP(B33,MDB!A:N,14,0),VLOOKUP(B33,Inactive!A:N,14,0))</f>
        <v>Asif Iqbal</v>
      </c>
      <c r="X33" s="22">
        <v>0</v>
      </c>
      <c r="Y33" s="22">
        <v>0</v>
      </c>
      <c r="Z33" s="20" t="str">
        <f>IFERROR(VLOOKUP($B33,MDB!A:AO,41,0),VLOOKUP($B33,Inactive!A:AO,41,0))</f>
        <v>Uttara Sector-3</v>
      </c>
      <c r="AA33" s="20" t="str">
        <f>IFERROR(VLOOKUP(B33,MDB!A:AP,42,0),VLOOKUP(B33,Inactive!A:AP,42,0))</f>
        <v>Vill:Doulotpur,P.O:Banaich hat,P.S:Khetlal,Dis:Joypurhat,Division:Rajshahi,Bangladesh</v>
      </c>
      <c r="AB33" s="20" t="str">
        <f>IFERROR(VLOOKUP(B33,MDB!A:APN,43,0),VLOOKUP(B33,Inactive!A:AQ,43,0))</f>
        <v>Jashimuddin</v>
      </c>
      <c r="AC33" s="22">
        <v>0</v>
      </c>
      <c r="AD33" s="20">
        <f>IFERROR(VLOOKUP(B33,MDB!A:AX,24,0),VLOOKUP(B33,Inactive!A:AX,24,0))</f>
        <v>1791618550</v>
      </c>
      <c r="AE33" s="20">
        <f>IFERROR(VLOOKUP(B33,MDB!A:AA,27,0),VLOOKUP(B33,Inactive!A:AA,27,0))</f>
        <v>1874975724</v>
      </c>
      <c r="AF33" s="20" t="str">
        <f>IFERROR(VLOOKUP(B33,MDB!A:AA,26,0),VLOOKUP(B33,Inactive!A:AA,26,0))</f>
        <v>Sagor Islam</v>
      </c>
      <c r="AG33" s="20" t="str">
        <f>IFERROR(VLOOKUP(B33,MDB!A:Z,5,0),VLOOKUP(B33,Inactive!A:Z,5,0))</f>
        <v>Male</v>
      </c>
      <c r="AH33" s="29">
        <f>IFERROR(VLOOKUP(B33,MDB!A:AD,30,0),VLOOKUP(B33,Inactive!A:AD,30,0))</f>
        <v>35986</v>
      </c>
      <c r="AI33" s="20" t="str">
        <f>IFERROR(VLOOKUP(B33,MDB!A:AC,29,0),VLOOKUP(B33,Inactive!A:AC,29,0))</f>
        <v>B+</v>
      </c>
      <c r="AJ33" s="20" t="str">
        <f>IFERROR(VLOOKUP(B33,MDB!A:AF,32,0),VLOOKUP(B33,Inactive!A:AF,32,0))</f>
        <v>Islam</v>
      </c>
      <c r="AK33" s="20">
        <f>IFERROR(VLOOKUP(B33,MDB!A:AG,33,0),VLOOKUP(B33,Inactive!A:AG,33,0))</f>
        <v>4654129446</v>
      </c>
      <c r="AL33" s="216">
        <v>0</v>
      </c>
      <c r="AM33" s="20" t="str">
        <f>IFERROR(VLOOKUP(B33,MDB!A:AI,35,0),VLOOKUP(B33,Inactive!A:AI,35,0))</f>
        <v>Graduate</v>
      </c>
      <c r="AN33" s="20" t="s">
        <v>7405</v>
      </c>
    </row>
    <row r="34">
      <c r="A34" s="48">
        <v>46</v>
      </c>
      <c r="B34" s="20">
        <v>172036</v>
      </c>
      <c r="C34" s="217" t="str">
        <f>IFERROR(VLOOKUP(B34,MDB!A:D,4,0),VLOOKUP(B34,Inactive!A:D,4,0))</f>
        <v>Sheikh Mohammad Sayfulaah</v>
      </c>
      <c r="D34" s="20" t="str">
        <f>IFERROR(VLOOKUP(B34,MDB!A:G,7,0),VLOOKUP(B34,Inactive!A:G,7,0))</f>
        <v>CSO</v>
      </c>
      <c r="E34" s="29">
        <f>IFERROR(VLOOKUP(B34,MDB!A:R,18,0),VLOOKUP(B34,Inactive!A:R,18,0))</f>
        <v>45596</v>
      </c>
      <c r="F34" s="22" t="str">
        <f>IFERROR(VLOOKUP(B34,MDB!A:H,8,0),VLOOKUP(B34,Inactive!A:H,8,0))</f>
        <v>Content Modarator</v>
      </c>
      <c r="G34" s="20" t="str">
        <f>IFERROR(VLOOKUP(B34,MDB!A:I,9,0),VLOOKUP(B34,Inactive!A:I,9,0))</f>
        <v>Operations</v>
      </c>
      <c r="H34" s="52" t="str">
        <f>IFERROR(VLOOKUP(B34,MDB!A:K,11,0),VLOOKUP(B34,Inactive!A:K,11,0))</f>
        <v>Temu</v>
      </c>
      <c r="I34" s="20" t="str">
        <f>IFERROR(VLOOKUP(B34,MDB!A:J,10,0),VLOOKUP(B34,Inactive!A:J,10,0))</f>
        <v>BG Platform Governance Requirements</v>
      </c>
      <c r="J34" s="20" t="s">
        <v>7402</v>
      </c>
      <c r="K34" s="20" t="s">
        <v>7403</v>
      </c>
      <c r="L34" s="20" t="s">
        <v>90</v>
      </c>
      <c r="M34" s="218" t="s">
        <v>72</v>
      </c>
      <c r="N34" s="20">
        <f>IFERROR(VLOOKUP(B34,MDB!A:BB,54,0),VLOOKUP(B34,Inactive!A:BB,54,0))</f>
        <v>10800</v>
      </c>
      <c r="O34" s="20">
        <f>IFERROR(VLOOKUP(B34,MDB!A:BC,55,0),VLOOKUP(B34,Inactive!A:BC,55,0))</f>
        <v>2700</v>
      </c>
      <c r="P34" s="20">
        <f>IFERROR(VLOOKUP(B34,MDB!A:BD,56,0),VLOOKUP(B34,Inactive!A:BD,56,0))</f>
        <v>1000</v>
      </c>
      <c r="Q34" s="20" t="s">
        <v>7404</v>
      </c>
      <c r="R34" s="22">
        <v>22</v>
      </c>
      <c r="S34" s="20">
        <v>0</v>
      </c>
      <c r="T34" s="20">
        <v>0</v>
      </c>
      <c r="U34" s="20">
        <v>0</v>
      </c>
      <c r="V34" s="20" t="str">
        <f>IFERROR(VLOOKUP(B34,MDB!A:M,13,0),VLOOKUP(B34,Inactive!A:M,13,0))</f>
        <v>Md. Mahin Khan</v>
      </c>
      <c r="W34" s="20" t="str">
        <f>IFERROR(VLOOKUP(B34,MDB!A:N,14,0),VLOOKUP(B34,Inactive!A:N,14,0))</f>
        <v>Asif Iqbal</v>
      </c>
      <c r="X34" s="22">
        <v>0</v>
      </c>
      <c r="Y34" s="22">
        <v>0</v>
      </c>
      <c r="Z34" s="20" t="str">
        <f>IFERROR(VLOOKUP($B34,MDB!A:AO,41,0),VLOOKUP($B34,Inactive!A:AO,41,0))</f>
        <v>Uttra sector-4</v>
      </c>
      <c r="AA34" s="20" t="str">
        <f>IFERROR(VLOOKUP(B34,MDB!A:AP,42,0),VLOOKUP(B34,Inactive!A:AP,42,0))</f>
        <v>word no-08,bauphal paurasava, patuakhali    unmarried</v>
      </c>
      <c r="AB34" s="20" t="str">
        <f>IFERROR(VLOOKUP(B34,MDB!A:APN,43,0),VLOOKUP(B34,Inactive!A:AQ,43,0))</f>
        <v>Uttara</v>
      </c>
      <c r="AC34" s="22">
        <v>0</v>
      </c>
      <c r="AD34" s="20">
        <f>IFERROR(VLOOKUP(B34,MDB!A:AX,24,0),VLOOKUP(B34,Inactive!A:AX,24,0))</f>
        <v>1787244605</v>
      </c>
      <c r="AE34" s="20">
        <f>IFERROR(VLOOKUP(B34,MDB!A:AA,27,0),VLOOKUP(B34,Inactive!A:AA,27,0))</f>
        <v>1712421076</v>
      </c>
      <c r="AF34" s="20" t="str">
        <f>IFERROR(VLOOKUP(B34,MDB!A:AA,26,0),VLOOKUP(B34,Inactive!A:AA,26,0))</f>
        <v>zahirul islam</v>
      </c>
      <c r="AG34" s="20" t="str">
        <f>IFERROR(VLOOKUP(B34,MDB!A:Z,5,0),VLOOKUP(B34,Inactive!A:Z,5,0))</f>
        <v>Male</v>
      </c>
      <c r="AH34" s="29">
        <f>IFERROR(VLOOKUP(B34,MDB!A:AD,30,0),VLOOKUP(B34,Inactive!A:AD,30,0))</f>
        <v>32632</v>
      </c>
      <c r="AI34" s="20" t="str">
        <f>IFERROR(VLOOKUP(B34,MDB!A:AC,29,0),VLOOKUP(B34,Inactive!A:AC,29,0))</f>
        <v>O+</v>
      </c>
      <c r="AJ34" s="20" t="str">
        <f>IFERROR(VLOOKUP(B34,MDB!A:AF,32,0),VLOOKUP(B34,Inactive!A:AF,32,0))</f>
        <v>Islam</v>
      </c>
      <c r="AK34" s="20">
        <f>IFERROR(VLOOKUP(B34,MDB!A:AG,33,0),VLOOKUP(B34,Inactive!A:AG,33,0))</f>
        <v>1021013659</v>
      </c>
      <c r="AL34" s="216">
        <v>0</v>
      </c>
      <c r="AM34" s="20" t="str">
        <f>IFERROR(VLOOKUP(B34,MDB!A:AI,35,0),VLOOKUP(B34,Inactive!A:AI,35,0))</f>
        <v>Post Graduate</v>
      </c>
      <c r="AN34" s="20" t="s">
        <v>7405</v>
      </c>
    </row>
    <row r="35">
      <c r="A35" s="48">
        <v>47</v>
      </c>
      <c r="B35" s="20">
        <v>172034</v>
      </c>
      <c r="C35" s="217" t="str">
        <f>IFERROR(VLOOKUP(B35,MDB!A:D,4,0),VLOOKUP(B35,Inactive!A:D,4,0))</f>
        <v>Rana Molla </v>
      </c>
      <c r="D35" s="20" t="str">
        <f>IFERROR(VLOOKUP(B35,MDB!A:G,7,0),VLOOKUP(B35,Inactive!A:G,7,0))</f>
        <v>CSO</v>
      </c>
      <c r="E35" s="29">
        <f>IFERROR(VLOOKUP(B35,MDB!A:R,18,0),VLOOKUP(B35,Inactive!A:R,18,0))</f>
        <v>45596</v>
      </c>
      <c r="F35" s="22" t="str">
        <f>IFERROR(VLOOKUP(B35,MDB!A:H,8,0),VLOOKUP(B35,Inactive!A:H,8,0))</f>
        <v>Content Modarator</v>
      </c>
      <c r="G35" s="20" t="str">
        <f>IFERROR(VLOOKUP(B35,MDB!A:I,9,0),VLOOKUP(B35,Inactive!A:I,9,0))</f>
        <v>Operations</v>
      </c>
      <c r="H35" s="52" t="str">
        <f>IFERROR(VLOOKUP(B35,MDB!A:K,11,0),VLOOKUP(B35,Inactive!A:K,11,0))</f>
        <v>Temu</v>
      </c>
      <c r="I35" s="20" t="str">
        <f>IFERROR(VLOOKUP(B35,MDB!A:J,10,0),VLOOKUP(B35,Inactive!A:J,10,0))</f>
        <v>BG Platform Governance Requirements</v>
      </c>
      <c r="J35" s="20" t="s">
        <v>7402</v>
      </c>
      <c r="K35" s="20" t="s">
        <v>7403</v>
      </c>
      <c r="L35" s="20" t="s">
        <v>90</v>
      </c>
      <c r="M35" s="218" t="s">
        <v>72</v>
      </c>
      <c r="N35" s="20">
        <f>IFERROR(VLOOKUP(B35,MDB!A:BB,54,0),VLOOKUP(B35,Inactive!A:BB,54,0))</f>
        <v>10800</v>
      </c>
      <c r="O35" s="20">
        <f>IFERROR(VLOOKUP(B35,MDB!A:BC,55,0),VLOOKUP(B35,Inactive!A:BC,55,0))</f>
        <v>2700</v>
      </c>
      <c r="P35" s="20">
        <f>IFERROR(VLOOKUP(B35,MDB!A:BD,56,0),VLOOKUP(B35,Inactive!A:BD,56,0))</f>
        <v>1000</v>
      </c>
      <c r="Q35" s="20" t="s">
        <v>7404</v>
      </c>
      <c r="R35" s="22">
        <v>22</v>
      </c>
      <c r="S35" s="20">
        <v>0</v>
      </c>
      <c r="T35" s="20">
        <v>0</v>
      </c>
      <c r="U35" s="20">
        <v>0</v>
      </c>
      <c r="V35" s="20" t="str">
        <f>IFERROR(VLOOKUP(B35,MDB!A:M,13,0),VLOOKUP(B35,Inactive!A:M,13,0))</f>
        <v>Md. Tanjir Ahmed</v>
      </c>
      <c r="W35" s="20" t="str">
        <f>IFERROR(VLOOKUP(B35,MDB!A:N,14,0),VLOOKUP(B35,Inactive!A:N,14,0))</f>
        <v>Asif Iqbal</v>
      </c>
      <c r="X35" s="22">
        <v>0</v>
      </c>
      <c r="Y35" s="22">
        <v>0</v>
      </c>
      <c r="Z35" s="20" t="str">
        <f>IFERROR(VLOOKUP($B35,MDB!A:AO,41,0),VLOOKUP($B35,Inactive!A:AO,41,0))</f>
        <v>mirpur13</v>
      </c>
      <c r="AA35" s="20" t="str">
        <f>IFERROR(VLOOKUP(B35,MDB!A:AP,42,0),VLOOKUP(B35,Inactive!A:AP,42,0))</f>
        <v>vill:Dumain , p.o: Madhukhali, Dis: Faridpur </v>
      </c>
      <c r="AB35" s="20" t="str">
        <f>IFERROR(VLOOKUP(B35,MDB!A:APN,43,0),VLOOKUP(B35,Inactive!A:AQ,43,0))</f>
        <v>Mirpur_13</v>
      </c>
      <c r="AC35" s="22">
        <v>0</v>
      </c>
      <c r="AD35" s="20">
        <f>IFERROR(VLOOKUP(B35,MDB!A:AX,24,0),VLOOKUP(B35,Inactive!A:AX,24,0))</f>
        <v>1873737372</v>
      </c>
      <c r="AE35" s="20">
        <f>IFERROR(VLOOKUP(B35,MDB!A:AA,27,0),VLOOKUP(B35,Inactive!A:AA,27,0))</f>
        <v>1878394894</v>
      </c>
      <c r="AF35" s="20" t="str">
        <f>IFERROR(VLOOKUP(B35,MDB!A:AA,26,0),VLOOKUP(B35,Inactive!A:AA,26,0))</f>
        <v>jahangir molla </v>
      </c>
      <c r="AG35" s="20" t="str">
        <f>IFERROR(VLOOKUP(B35,MDB!A:Z,5,0),VLOOKUP(B35,Inactive!A:Z,5,0))</f>
        <v>Male</v>
      </c>
      <c r="AH35" s="29" t="str">
        <f>IFERROR(VLOOKUP(B35,MDB!A:AD,30,0),VLOOKUP(B35,Inactive!A:AD,30,0))</f>
        <v>22/01/1998</v>
      </c>
      <c r="AI35" s="20" t="str">
        <f>IFERROR(VLOOKUP(B35,MDB!A:AC,29,0),VLOOKUP(B35,Inactive!A:AC,29,0))</f>
        <v>o+</v>
      </c>
      <c r="AJ35" s="20" t="str">
        <f>IFERROR(VLOOKUP(B35,MDB!A:AF,32,0),VLOOKUP(B35,Inactive!A:AF,32,0))</f>
        <v>Islam</v>
      </c>
      <c r="AK35" s="20">
        <f>IFERROR(VLOOKUP(B35,MDB!A:AG,33,0),VLOOKUP(B35,Inactive!A:AG,33,0))</f>
        <v>1955541196</v>
      </c>
      <c r="AL35" s="216">
        <v>0</v>
      </c>
      <c r="AM35" s="20" t="str">
        <f>IFERROR(VLOOKUP(B35,MDB!A:AI,35,0),VLOOKUP(B35,Inactive!A:AI,35,0))</f>
        <v>Graduate</v>
      </c>
      <c r="AN35" s="20" t="s">
        <v>7405</v>
      </c>
    </row>
    <row r="36">
      <c r="A36" s="48">
        <v>48</v>
      </c>
      <c r="B36" s="20">
        <v>172044</v>
      </c>
      <c r="C36" s="217" t="str">
        <f>IFERROR(VLOOKUP(B36,MDB!A:D,4,0),VLOOKUP(B36,Inactive!A:D,4,0))</f>
        <v>Azom Mohammad</v>
      </c>
      <c r="D36" s="20" t="str">
        <f>IFERROR(VLOOKUP(B36,MDB!A:G,7,0),VLOOKUP(B36,Inactive!A:G,7,0))</f>
        <v>CSO</v>
      </c>
      <c r="E36" s="29">
        <f>IFERROR(VLOOKUP(B36,MDB!A:R,18,0),VLOOKUP(B36,Inactive!A:R,18,0))</f>
        <v>45596</v>
      </c>
      <c r="F36" s="22" t="str">
        <f>IFERROR(VLOOKUP(B36,MDB!A:H,8,0),VLOOKUP(B36,Inactive!A:H,8,0))</f>
        <v>Content Modarator</v>
      </c>
      <c r="G36" s="20" t="str">
        <f>IFERROR(VLOOKUP(B36,MDB!A:I,9,0),VLOOKUP(B36,Inactive!A:I,9,0))</f>
        <v>Operations</v>
      </c>
      <c r="H36" s="52" t="str">
        <f>IFERROR(VLOOKUP(B36,MDB!A:K,11,0),VLOOKUP(B36,Inactive!A:K,11,0))</f>
        <v>Temu</v>
      </c>
      <c r="I36" s="20" t="str">
        <f>IFERROR(VLOOKUP(B36,MDB!A:J,10,0),VLOOKUP(B36,Inactive!A:J,10,0))</f>
        <v>BG Platform Governance Requirements</v>
      </c>
      <c r="J36" s="20" t="s">
        <v>7402</v>
      </c>
      <c r="K36" s="20" t="s">
        <v>7403</v>
      </c>
      <c r="L36" s="20" t="s">
        <v>90</v>
      </c>
      <c r="M36" s="218" t="s">
        <v>72</v>
      </c>
      <c r="N36" s="20">
        <f>IFERROR(VLOOKUP(B36,MDB!A:BB,54,0),VLOOKUP(B36,Inactive!A:BB,54,0))</f>
        <v>10800</v>
      </c>
      <c r="O36" s="20">
        <f>IFERROR(VLOOKUP(B36,MDB!A:BC,55,0),VLOOKUP(B36,Inactive!A:BC,55,0))</f>
        <v>2700</v>
      </c>
      <c r="P36" s="20">
        <f>IFERROR(VLOOKUP(B36,MDB!A:BD,56,0),VLOOKUP(B36,Inactive!A:BD,56,0))</f>
        <v>1000</v>
      </c>
      <c r="Q36" s="20" t="s">
        <v>7404</v>
      </c>
      <c r="R36" s="22">
        <v>22</v>
      </c>
      <c r="S36" s="20">
        <v>0</v>
      </c>
      <c r="T36" s="20">
        <v>0</v>
      </c>
      <c r="U36" s="20">
        <v>0</v>
      </c>
      <c r="V36" s="20" t="str">
        <f>IFERROR(VLOOKUP(B36,MDB!A:M,13,0),VLOOKUP(B36,Inactive!A:M,13,0))</f>
        <v>Md. Mahin Khan</v>
      </c>
      <c r="W36" s="20" t="str">
        <f>IFERROR(VLOOKUP(B36,MDB!A:N,14,0),VLOOKUP(B36,Inactive!A:N,14,0))</f>
        <v>Asif Iqbal</v>
      </c>
      <c r="X36" s="22">
        <v>0</v>
      </c>
      <c r="Y36" s="22">
        <v>0</v>
      </c>
      <c r="Z36" s="20" t="str">
        <f>IFERROR(VLOOKUP($B36,MDB!A:AO,41,0),VLOOKUP($B36,Inactive!A:AO,41,0))</f>
        <v>Mirpur-1</v>
      </c>
      <c r="AA36" s="20" t="str">
        <f>IFERROR(VLOOKUP(B36,MDB!A:AP,42,0),VLOOKUP(B36,Inactive!A:AP,42,0))</f>
        <v>Gobindokati, Baratia,Dumuria,Khulna</v>
      </c>
      <c r="AB36" s="20" t="str">
        <f>IFERROR(VLOOKUP(B36,MDB!A:APN,43,0),VLOOKUP(B36,Inactive!A:AQ,43,0))</f>
        <v>Mirpur</v>
      </c>
      <c r="AC36" s="22">
        <v>0</v>
      </c>
      <c r="AD36" s="20">
        <f>IFERROR(VLOOKUP(B36,MDB!A:AX,24,0),VLOOKUP(B36,Inactive!A:AX,24,0))</f>
        <v>1743433312</v>
      </c>
      <c r="AE36" s="20">
        <f>IFERROR(VLOOKUP(B36,MDB!A:AA,27,0),VLOOKUP(B36,Inactive!A:AA,27,0))</f>
        <v>1730329230</v>
      </c>
      <c r="AF36" s="20" t="str">
        <f>IFERROR(VLOOKUP(B36,MDB!A:AA,26,0),VLOOKUP(B36,Inactive!A:AA,26,0))</f>
        <v>Nur Mohammad</v>
      </c>
      <c r="AG36" s="20" t="str">
        <f>IFERROR(VLOOKUP(B36,MDB!A:Z,5,0),VLOOKUP(B36,Inactive!A:Z,5,0))</f>
        <v>Male</v>
      </c>
      <c r="AH36" s="29" t="str">
        <f>IFERROR(VLOOKUP(B36,MDB!A:AD,30,0),VLOOKUP(B36,Inactive!A:AD,30,0))</f>
        <v>28-12-1993</v>
      </c>
      <c r="AI36" s="20" t="str">
        <f>IFERROR(VLOOKUP(B36,MDB!A:AC,29,0),VLOOKUP(B36,Inactive!A:AC,29,0))</f>
        <v>AB+</v>
      </c>
      <c r="AJ36" s="20" t="str">
        <f>IFERROR(VLOOKUP(B36,MDB!A:AF,32,0),VLOOKUP(B36,Inactive!A:AF,32,0))</f>
        <v>Islam</v>
      </c>
      <c r="AK36" s="20">
        <f>IFERROR(VLOOKUP(B36,MDB!A:AG,33,0),VLOOKUP(B36,Inactive!A:AG,33,0))</f>
        <v>9151793404</v>
      </c>
      <c r="AL36" s="216">
        <v>0</v>
      </c>
      <c r="AM36" s="20" t="str">
        <f>IFERROR(VLOOKUP(B36,MDB!A:AI,35,0),VLOOKUP(B36,Inactive!A:AI,35,0))</f>
        <v>Graduate</v>
      </c>
      <c r="AN36" s="20" t="s">
        <v>7405</v>
      </c>
    </row>
    <row r="37">
      <c r="A37" s="48">
        <v>49</v>
      </c>
      <c r="B37" s="20">
        <v>172038</v>
      </c>
      <c r="C37" s="217" t="str">
        <f>IFERROR(VLOOKUP(B37,MDB!A:D,4,0),VLOOKUP(B37,Inactive!A:D,4,0))</f>
        <v>Syed Siffat Mahmood Himal</v>
      </c>
      <c r="D37" s="20" t="str">
        <f>IFERROR(VLOOKUP(B37,MDB!A:G,7,0),VLOOKUP(B37,Inactive!A:G,7,0))</f>
        <v>CSO</v>
      </c>
      <c r="E37" s="29">
        <f>IFERROR(VLOOKUP(B37,MDB!A:R,18,0),VLOOKUP(B37,Inactive!A:R,18,0))</f>
        <v>45596</v>
      </c>
      <c r="F37" s="22" t="str">
        <f>IFERROR(VLOOKUP(B37,MDB!A:H,8,0),VLOOKUP(B37,Inactive!A:H,8,0))</f>
        <v>Content Modarator</v>
      </c>
      <c r="G37" s="20" t="str">
        <f>IFERROR(VLOOKUP(B37,MDB!A:I,9,0),VLOOKUP(B37,Inactive!A:I,9,0))</f>
        <v>Operations</v>
      </c>
      <c r="H37" s="52" t="str">
        <f>IFERROR(VLOOKUP(B37,MDB!A:K,11,0),VLOOKUP(B37,Inactive!A:K,11,0))</f>
        <v>Temu</v>
      </c>
      <c r="I37" s="20" t="str">
        <f>IFERROR(VLOOKUP(B37,MDB!A:J,10,0),VLOOKUP(B37,Inactive!A:J,10,0))</f>
        <v>BG Platform Governance Requirements</v>
      </c>
      <c r="J37" s="20" t="s">
        <v>7402</v>
      </c>
      <c r="K37" s="20" t="s">
        <v>7403</v>
      </c>
      <c r="L37" s="20" t="s">
        <v>90</v>
      </c>
      <c r="M37" s="218" t="s">
        <v>72</v>
      </c>
      <c r="N37" s="20">
        <f>IFERROR(VLOOKUP(B37,MDB!A:BB,54,0),VLOOKUP(B37,Inactive!A:BB,54,0))</f>
        <v>10800</v>
      </c>
      <c r="O37" s="20">
        <f>IFERROR(VLOOKUP(B37,MDB!A:BC,55,0),VLOOKUP(B37,Inactive!A:BC,55,0))</f>
        <v>2700</v>
      </c>
      <c r="P37" s="20">
        <f>IFERROR(VLOOKUP(B37,MDB!A:BD,56,0),VLOOKUP(B37,Inactive!A:BD,56,0))</f>
        <v>1000</v>
      </c>
      <c r="Q37" s="20" t="s">
        <v>7404</v>
      </c>
      <c r="R37" s="22">
        <v>22</v>
      </c>
      <c r="S37" s="20">
        <v>0</v>
      </c>
      <c r="T37" s="20">
        <v>0</v>
      </c>
      <c r="U37" s="20">
        <v>0</v>
      </c>
      <c r="V37" s="20" t="str">
        <f>IFERROR(VLOOKUP(B37,MDB!A:M,13,0),VLOOKUP(B37,Inactive!A:M,13,0))</f>
        <v>Md. Tanjir Ahmed</v>
      </c>
      <c r="W37" s="20" t="str">
        <f>IFERROR(VLOOKUP(B37,MDB!A:N,14,0),VLOOKUP(B37,Inactive!A:N,14,0))</f>
        <v>Asif Iqbal</v>
      </c>
      <c r="X37" s="22">
        <v>0</v>
      </c>
      <c r="Y37" s="22">
        <v>0</v>
      </c>
      <c r="Z37" s="20" t="str">
        <f>IFERROR(VLOOKUP($B37,MDB!A:AO,41,0),VLOOKUP($B37,Inactive!A:AO,41,0))</f>
        <v>Dumni, Khilkhet,Dhaka</v>
      </c>
      <c r="AA37" s="20" t="str">
        <f>IFERROR(VLOOKUP(B37,MDB!A:AP,42,0),VLOOKUP(B37,Inactive!A:AP,42,0))</f>
        <v>Dumni, Khilkhet,Dhaka</v>
      </c>
      <c r="AB37" s="20" t="str">
        <f>IFERROR(VLOOKUP(B37,MDB!A:APN,43,0),VLOOKUP(B37,Inactive!A:AQ,43,0))</f>
        <v>Khilkhet</v>
      </c>
      <c r="AC37" s="22">
        <v>0</v>
      </c>
      <c r="AD37" s="20">
        <f>IFERROR(VLOOKUP(B37,MDB!A:AX,24,0),VLOOKUP(B37,Inactive!A:AX,24,0))</f>
        <v>1955322998</v>
      </c>
      <c r="AE37" s="20">
        <f>IFERROR(VLOOKUP(B37,MDB!A:AA,27,0),VLOOKUP(B37,Inactive!A:AA,27,0))</f>
        <v>1866120208</v>
      </c>
      <c r="AF37" s="20" t="str">
        <f>IFERROR(VLOOKUP(B37,MDB!A:AA,26,0),VLOOKUP(B37,Inactive!A:AA,26,0))</f>
        <v>Shohag Hasan Rabbi</v>
      </c>
      <c r="AG37" s="20" t="str">
        <f>IFERROR(VLOOKUP(B37,MDB!A:Z,5,0),VLOOKUP(B37,Inactive!A:Z,5,0))</f>
        <v>Male</v>
      </c>
      <c r="AH37" s="29" t="str">
        <f>IFERROR(VLOOKUP(B37,MDB!A:AD,30,0),VLOOKUP(B37,Inactive!A:AD,30,0))</f>
        <v>25-05-1999</v>
      </c>
      <c r="AI37" s="20" t="str">
        <f>IFERROR(VLOOKUP(B37,MDB!A:AC,29,0),VLOOKUP(B37,Inactive!A:AC,29,0))</f>
        <v>A+</v>
      </c>
      <c r="AJ37" s="20" t="str">
        <f>IFERROR(VLOOKUP(B37,MDB!A:AF,32,0),VLOOKUP(B37,Inactive!A:AF,32,0))</f>
        <v>Islam</v>
      </c>
      <c r="AK37" s="20">
        <f>IFERROR(VLOOKUP(B37,MDB!A:AG,33,0),VLOOKUP(B37,Inactive!A:AG,33,0))</f>
        <v>8258033227</v>
      </c>
      <c r="AL37" s="216">
        <v>0</v>
      </c>
      <c r="AM37" s="20" t="str">
        <f>IFERROR(VLOOKUP(B37,MDB!A:AI,35,0),VLOOKUP(B37,Inactive!A:AI,35,0))</f>
        <v>Graduate</v>
      </c>
      <c r="AN37" s="20" t="s">
        <v>7405</v>
      </c>
    </row>
    <row r="38">
      <c r="A38" s="48">
        <v>50</v>
      </c>
      <c r="B38" s="20">
        <v>172060</v>
      </c>
      <c r="C38" s="217" t="str">
        <f>IFERROR(VLOOKUP(B38,MDB!A:D,4,0),VLOOKUP(B38,Inactive!A:D,4,0))</f>
        <v>Samsurnahar Ratna</v>
      </c>
      <c r="D38" s="20" t="str">
        <f>IFERROR(VLOOKUP(B38,MDB!A:G,7,0),VLOOKUP(B38,Inactive!A:G,7,0))</f>
        <v>CSO</v>
      </c>
      <c r="E38" s="29">
        <f>IFERROR(VLOOKUP(B38,MDB!A:R,18,0),VLOOKUP(B38,Inactive!A:R,18,0))</f>
        <v>45604</v>
      </c>
      <c r="F38" s="22" t="str">
        <f>IFERROR(VLOOKUP(B38,MDB!A:H,8,0),VLOOKUP(B38,Inactive!A:H,8,0))</f>
        <v>CM</v>
      </c>
      <c r="G38" s="20" t="str">
        <f>IFERROR(VLOOKUP(B38,MDB!A:I,9,0),VLOOKUP(B38,Inactive!A:I,9,0))</f>
        <v>Operation</v>
      </c>
      <c r="H38" s="52" t="str">
        <f>IFERROR(VLOOKUP(B38,MDB!A:K,11,0),VLOOKUP(B38,Inactive!A:K,11,0))</f>
        <v>TEMU</v>
      </c>
      <c r="I38" s="20" t="str">
        <f>IFERROR(VLOOKUP(B38,MDB!A:J,10,0),VLOOKUP(B38,Inactive!A:J,10,0))</f>
        <v>Identification of the same product</v>
      </c>
      <c r="J38" s="20" t="s">
        <v>7402</v>
      </c>
      <c r="K38" s="20" t="s">
        <v>7403</v>
      </c>
      <c r="L38" s="20" t="s">
        <v>90</v>
      </c>
      <c r="M38" s="218" t="s">
        <v>72</v>
      </c>
      <c r="N38" s="20">
        <f>IFERROR(VLOOKUP(B38,MDB!A:BB,54,0),VLOOKUP(B38,Inactive!A:BB,54,0))</f>
        <v>10800</v>
      </c>
      <c r="O38" s="20">
        <f>IFERROR(VLOOKUP(B38,MDB!A:BC,55,0),VLOOKUP(B38,Inactive!A:BC,55,0))</f>
        <v>2700</v>
      </c>
      <c r="P38" s="20">
        <f>IFERROR(VLOOKUP(B38,MDB!A:BD,56,0),VLOOKUP(B38,Inactive!A:BD,56,0))</f>
        <v>0</v>
      </c>
      <c r="Q38" s="20" t="s">
        <v>7404</v>
      </c>
      <c r="R38" s="22">
        <v>22</v>
      </c>
      <c r="S38" s="20">
        <v>0</v>
      </c>
      <c r="T38" s="20">
        <v>0</v>
      </c>
      <c r="U38" s="20">
        <v>0</v>
      </c>
      <c r="V38" s="20" t="str">
        <f>IFERROR(VLOOKUP(B38,MDB!A:M,13,0),VLOOKUP(B38,Inactive!A:M,13,0))</f>
        <v>Nazimuddoula Leon</v>
      </c>
      <c r="W38" s="20" t="str">
        <f>IFERROR(VLOOKUP(B38,MDB!A:N,14,0),VLOOKUP(B38,Inactive!A:N,14,0))</f>
        <v>Asif Iqbal</v>
      </c>
      <c r="X38" s="22">
        <v>0</v>
      </c>
      <c r="Y38" s="22">
        <v>0</v>
      </c>
      <c r="Z38" s="20" t="str">
        <f>IFERROR(VLOOKUP($B38,MDB!A:AO,41,0),VLOOKUP($B38,Inactive!A:AO,41,0))</f>
        <v>House-31,Road-11,Nikunja-2</v>
      </c>
      <c r="AA38" s="20" t="str">
        <f>IFERROR(VLOOKUP(B38,MDB!A:AP,42,0),VLOOKUP(B38,Inactive!A:AP,42,0))</f>
        <v>Tepakhola,Brindaboner Mor ,Faridpur</v>
      </c>
      <c r="AB38" s="20" t="str">
        <f>IFERROR(VLOOKUP(B38,MDB!A:APN,43,0),VLOOKUP(B38,Inactive!A:AQ,43,0))</f>
        <v>Nikunja-2</v>
      </c>
      <c r="AC38" s="22">
        <v>1</v>
      </c>
      <c r="AD38" s="20">
        <f>IFERROR(VLOOKUP(B38,MDB!A:AX,24,0),VLOOKUP(B38,Inactive!A:AX,24,0))</f>
        <v>1794288289</v>
      </c>
      <c r="AE38" s="20">
        <f>IFERROR(VLOOKUP(B38,MDB!A:AA,27,0),VLOOKUP(B38,Inactive!A:AA,27,0))</f>
        <v>1744709095</v>
      </c>
      <c r="AF38" s="20" t="str">
        <f>IFERROR(VLOOKUP(B38,MDB!A:AA,26,0),VLOOKUP(B38,Inactive!A:AA,26,0))</f>
        <v>MD. Kamruzzaman Bhuiyan</v>
      </c>
      <c r="AG38" s="20" t="str">
        <f>IFERROR(VLOOKUP(B38,MDB!A:Z,5,0),VLOOKUP(B38,Inactive!A:Z,5,0))</f>
        <v>F</v>
      </c>
      <c r="AH38" s="29" t="str">
        <f>IFERROR(VLOOKUP(B38,MDB!A:AD,30,0),VLOOKUP(B38,Inactive!A:AD,30,0))</f>
        <v>24/06/1998</v>
      </c>
      <c r="AI38" s="20" t="str">
        <f>IFERROR(VLOOKUP(B38,MDB!A:AC,29,0),VLOOKUP(B38,Inactive!A:AC,29,0))</f>
        <v>O+</v>
      </c>
      <c r="AJ38" s="20" t="str">
        <f>IFERROR(VLOOKUP(B38,MDB!A:AF,32,0),VLOOKUP(B38,Inactive!A:AF,32,0))</f>
        <v>Islam</v>
      </c>
      <c r="AK38" s="20">
        <f>IFERROR(VLOOKUP(B38,MDB!A:AG,33,0),VLOOKUP(B38,Inactive!A:AG,33,0))</f>
        <v>6454166296</v>
      </c>
      <c r="AL38" s="216">
        <v>1</v>
      </c>
      <c r="AM38" s="20" t="str">
        <f>IFERROR(VLOOKUP(B38,MDB!A:AI,35,0),VLOOKUP(B38,Inactive!A:AI,35,0))</f>
        <v>BSS</v>
      </c>
      <c r="AN38" s="20" t="s">
        <v>7405</v>
      </c>
    </row>
    <row r="39">
      <c r="A39" s="48">
        <v>51</v>
      </c>
      <c r="B39" s="20">
        <v>172075</v>
      </c>
      <c r="C39" s="217" t="str">
        <f>IFERROR(VLOOKUP(B39,MDB!A:D,4,0),VLOOKUP(B39,Inactive!A:D,4,0))</f>
        <v>Cadni Akther</v>
      </c>
      <c r="D39" s="20" t="str">
        <f>IFERROR(VLOOKUP(B39,MDB!A:G,7,0),VLOOKUP(B39,Inactive!A:G,7,0))</f>
        <v>CSO</v>
      </c>
      <c r="E39" s="29">
        <f>IFERROR(VLOOKUP(B39,MDB!A:R,18,0),VLOOKUP(B39,Inactive!A:R,18,0))</f>
        <v>45604</v>
      </c>
      <c r="F39" s="22" t="str">
        <f>IFERROR(VLOOKUP(B39,MDB!A:H,8,0),VLOOKUP(B39,Inactive!A:H,8,0))</f>
        <v>CM</v>
      </c>
      <c r="G39" s="20" t="str">
        <f>IFERROR(VLOOKUP(B39,MDB!A:I,9,0),VLOOKUP(B39,Inactive!A:I,9,0))</f>
        <v>Operation</v>
      </c>
      <c r="H39" s="52" t="str">
        <f>IFERROR(VLOOKUP(B39,MDB!A:K,11,0),VLOOKUP(B39,Inactive!A:K,11,0))</f>
        <v>TEMU</v>
      </c>
      <c r="I39" s="20" t="str">
        <f>IFERROR(VLOOKUP(B39,MDB!A:J,10,0),VLOOKUP(B39,Inactive!A:J,10,0))</f>
        <v>Identification of the same product</v>
      </c>
      <c r="J39" s="20" t="s">
        <v>7402</v>
      </c>
      <c r="K39" s="20" t="s">
        <v>7403</v>
      </c>
      <c r="L39" s="20" t="s">
        <v>90</v>
      </c>
      <c r="M39" s="218" t="s">
        <v>72</v>
      </c>
      <c r="N39" s="20">
        <f>IFERROR(VLOOKUP(B39,MDB!A:BB,54,0),VLOOKUP(B39,Inactive!A:BB,54,0))</f>
        <v>10800</v>
      </c>
      <c r="O39" s="20">
        <f>IFERROR(VLOOKUP(B39,MDB!A:BC,55,0),VLOOKUP(B39,Inactive!A:BC,55,0))</f>
        <v>2700</v>
      </c>
      <c r="P39" s="20">
        <f>IFERROR(VLOOKUP(B39,MDB!A:BD,56,0),VLOOKUP(B39,Inactive!A:BD,56,0))</f>
        <v>0</v>
      </c>
      <c r="Q39" s="20" t="s">
        <v>7404</v>
      </c>
      <c r="R39" s="22">
        <v>22</v>
      </c>
      <c r="S39" s="20">
        <v>0</v>
      </c>
      <c r="T39" s="20">
        <v>0</v>
      </c>
      <c r="U39" s="20">
        <v>0</v>
      </c>
      <c r="V39" s="20" t="str">
        <f>IFERROR(VLOOKUP(B39,MDB!A:M,13,0),VLOOKUP(B39,Inactive!A:M,13,0))</f>
        <v>Nazimuddoula Leon</v>
      </c>
      <c r="W39" s="20" t="str">
        <f>IFERROR(VLOOKUP(B39,MDB!A:N,14,0),VLOOKUP(B39,Inactive!A:N,14,0))</f>
        <v>Asif Iqbal</v>
      </c>
      <c r="X39" s="22">
        <v>0</v>
      </c>
      <c r="Y39" s="22">
        <v>0</v>
      </c>
      <c r="Z39" s="20" t="str">
        <f>IFERROR(VLOOKUP($B39,MDB!A:AO,41,0),VLOOKUP($B39,Inactive!A:AO,41,0))</f>
        <v>nikunjo-2</v>
      </c>
      <c r="AA39" s="20" t="str">
        <f>IFERROR(VLOOKUP(B39,MDB!A:AP,42,0),VLOOKUP(B39,Inactive!A:AP,42,0))</f>
        <v>Faridpur;Bhanga;patril Dighirpar</v>
      </c>
      <c r="AB39" s="20" t="str">
        <f>IFERROR(VLOOKUP(B39,MDB!A:APN,43,0),VLOOKUP(B39,Inactive!A:AQ,43,0))</f>
        <v>nikunjo-2</v>
      </c>
      <c r="AC39" s="22">
        <v>2</v>
      </c>
      <c r="AD39" s="20">
        <f>IFERROR(VLOOKUP(B39,MDB!A:AX,24,0),VLOOKUP(B39,Inactive!A:AX,24,0))</f>
        <v>1715901332</v>
      </c>
      <c r="AE39" s="20">
        <f>IFERROR(VLOOKUP(B39,MDB!A:AA,27,0),VLOOKUP(B39,Inactive!A:AA,27,0))</f>
        <v>1715901332</v>
      </c>
      <c r="AF39" s="20" t="str">
        <f>IFERROR(VLOOKUP(B39,MDB!A:AA,26,0),VLOOKUP(B39,Inactive!A:AA,26,0))</f>
        <v>Kahinur Matubber</v>
      </c>
      <c r="AG39" s="20" t="str">
        <f>IFERROR(VLOOKUP(B39,MDB!A:Z,5,0),VLOOKUP(B39,Inactive!A:Z,5,0))</f>
        <v>F</v>
      </c>
      <c r="AH39" s="29" t="str">
        <f>IFERROR(VLOOKUP(B39,MDB!A:AD,30,0),VLOOKUP(B39,Inactive!A:AD,30,0))</f>
        <v>19.4.2000</v>
      </c>
      <c r="AI39" s="20" t="str">
        <f>IFERROR(VLOOKUP(B39,MDB!A:AC,29,0),VLOOKUP(B39,Inactive!A:AC,29,0))</f>
        <v>A+</v>
      </c>
      <c r="AJ39" s="20" t="str">
        <f>IFERROR(VLOOKUP(B39,MDB!A:AF,32,0),VLOOKUP(B39,Inactive!A:AF,32,0))</f>
        <v>Islam</v>
      </c>
      <c r="AK39" s="20">
        <f>IFERROR(VLOOKUP(B39,MDB!A:AG,33,0),VLOOKUP(B39,Inactive!A:AG,33,0))</f>
        <v>9160708641</v>
      </c>
      <c r="AL39" s="216">
        <v>2</v>
      </c>
      <c r="AM39" s="20" t="str">
        <f>IFERROR(VLOOKUP(B39,MDB!A:AI,35,0),VLOOKUP(B39,Inactive!A:AI,35,0))</f>
        <v>BBA</v>
      </c>
      <c r="AN39" s="20" t="s">
        <v>7405</v>
      </c>
    </row>
    <row r="40">
      <c r="A40" s="48">
        <v>52</v>
      </c>
      <c r="B40" s="20">
        <v>172074</v>
      </c>
      <c r="C40" s="217" t="str">
        <f>IFERROR(VLOOKUP(B40,MDB!A:D,4,0),VLOOKUP(B40,Inactive!A:D,4,0))</f>
        <v>Farzana Akter Soa</v>
      </c>
      <c r="D40" s="20" t="str">
        <f>IFERROR(VLOOKUP(B40,MDB!A:G,7,0),VLOOKUP(B40,Inactive!A:G,7,0))</f>
        <v>CSO</v>
      </c>
      <c r="E40" s="29">
        <f>IFERROR(VLOOKUP(B40,MDB!A:R,18,0),VLOOKUP(B40,Inactive!A:R,18,0))</f>
        <v>45604</v>
      </c>
      <c r="F40" s="22" t="str">
        <f>IFERROR(VLOOKUP(B40,MDB!A:H,8,0),VLOOKUP(B40,Inactive!A:H,8,0))</f>
        <v>CM</v>
      </c>
      <c r="G40" s="20" t="str">
        <f>IFERROR(VLOOKUP(B40,MDB!A:I,9,0),VLOOKUP(B40,Inactive!A:I,9,0))</f>
        <v>Operation</v>
      </c>
      <c r="H40" s="52" t="str">
        <f>IFERROR(VLOOKUP(B40,MDB!A:K,11,0),VLOOKUP(B40,Inactive!A:K,11,0))</f>
        <v>TEMU</v>
      </c>
      <c r="I40" s="20" t="str">
        <f>IFERROR(VLOOKUP(B40,MDB!A:J,10,0),VLOOKUP(B40,Inactive!A:J,10,0))</f>
        <v>Identification of the same product</v>
      </c>
      <c r="J40" s="20" t="s">
        <v>7402</v>
      </c>
      <c r="K40" s="20" t="s">
        <v>7403</v>
      </c>
      <c r="L40" s="20" t="s">
        <v>90</v>
      </c>
      <c r="M40" s="218" t="s">
        <v>72</v>
      </c>
      <c r="N40" s="20">
        <f>IFERROR(VLOOKUP(B40,MDB!A:BB,54,0),VLOOKUP(B40,Inactive!A:BB,54,0))</f>
        <v>10800</v>
      </c>
      <c r="O40" s="20">
        <f>IFERROR(VLOOKUP(B40,MDB!A:BC,55,0),VLOOKUP(B40,Inactive!A:BC,55,0))</f>
        <v>2700</v>
      </c>
      <c r="P40" s="20">
        <f>IFERROR(VLOOKUP(B40,MDB!A:BD,56,0),VLOOKUP(B40,Inactive!A:BD,56,0))</f>
        <v>0</v>
      </c>
      <c r="Q40" s="20" t="s">
        <v>7404</v>
      </c>
      <c r="R40" s="22">
        <v>22</v>
      </c>
      <c r="S40" s="20">
        <v>0</v>
      </c>
      <c r="T40" s="20">
        <v>0</v>
      </c>
      <c r="U40" s="20">
        <v>0</v>
      </c>
      <c r="V40" s="20" t="str">
        <f>IFERROR(VLOOKUP(B40,MDB!A:M,13,0),VLOOKUP(B40,Inactive!A:M,13,0))</f>
        <v>Nazimuddoula Leon</v>
      </c>
      <c r="W40" s="20" t="str">
        <f>IFERROR(VLOOKUP(B40,MDB!A:N,14,0),VLOOKUP(B40,Inactive!A:N,14,0))</f>
        <v>Asif Iqbal</v>
      </c>
      <c r="X40" s="22">
        <v>0</v>
      </c>
      <c r="Y40" s="22">
        <v>0</v>
      </c>
      <c r="Z40" s="20" t="str">
        <f>IFERROR(VLOOKUP($B40,MDB!A:AO,41,0),VLOOKUP($B40,Inactive!A:AO,41,0))</f>
        <v>Patira khilkhet Dhaka</v>
      </c>
      <c r="AA40" s="20" t="str">
        <f>IFERROR(VLOOKUP(B40,MDB!A:AP,42,0),VLOOKUP(B40,Inactive!A:AP,42,0))</f>
        <v>patira Khilkhet Dhaka</v>
      </c>
      <c r="AB40" s="20" t="str">
        <f>IFERROR(VLOOKUP(B40,MDB!A:APN,43,0),VLOOKUP(B40,Inactive!A:AQ,43,0))</f>
        <v>Khilkhet</v>
      </c>
      <c r="AC40" s="22">
        <v>3</v>
      </c>
      <c r="AD40" s="20">
        <f>IFERROR(VLOOKUP(B40,MDB!A:AX,24,0),VLOOKUP(B40,Inactive!A:AX,24,0))</f>
        <v>1920959939</v>
      </c>
      <c r="AE40" s="20">
        <f>IFERROR(VLOOKUP(B40,MDB!A:AA,27,0),VLOOKUP(B40,Inactive!A:AA,27,0))</f>
        <v>1885550051</v>
      </c>
      <c r="AF40" s="20" t="str">
        <f>IFERROR(VLOOKUP(B40,MDB!A:AA,26,0),VLOOKUP(B40,Inactive!A:AA,26,0))</f>
        <v>Rubel</v>
      </c>
      <c r="AG40" s="20" t="str">
        <f>IFERROR(VLOOKUP(B40,MDB!A:Z,5,0),VLOOKUP(B40,Inactive!A:Z,5,0))</f>
        <v>F</v>
      </c>
      <c r="AH40" s="29" t="str">
        <f>IFERROR(VLOOKUP(B40,MDB!A:AD,30,0),VLOOKUP(B40,Inactive!A:AD,30,0))</f>
        <v>04//03/1999</v>
      </c>
      <c r="AI40" s="20" t="str">
        <f>IFERROR(VLOOKUP(B40,MDB!A:AC,29,0),VLOOKUP(B40,Inactive!A:AC,29,0))</f>
        <v>B+</v>
      </c>
      <c r="AJ40" s="20" t="str">
        <f>IFERROR(VLOOKUP(B40,MDB!A:AF,32,0),VLOOKUP(B40,Inactive!A:AF,32,0))</f>
        <v>Islam</v>
      </c>
      <c r="AK40" s="20">
        <f>IFERROR(VLOOKUP(B40,MDB!A:AG,33,0),VLOOKUP(B40,Inactive!A:AG,33,0))</f>
        <v>9577458053</v>
      </c>
      <c r="AL40" s="216">
        <v>3</v>
      </c>
      <c r="AM40" s="20" t="str">
        <f>IFERROR(VLOOKUP(B40,MDB!A:AI,35,0),VLOOKUP(B40,Inactive!A:AI,35,0))</f>
        <v>MBA</v>
      </c>
      <c r="AN40" s="20" t="s">
        <v>7405</v>
      </c>
    </row>
    <row r="41">
      <c r="A41" s="48">
        <v>53</v>
      </c>
      <c r="B41" s="20">
        <v>172057</v>
      </c>
      <c r="C41" s="217" t="str">
        <f>IFERROR(VLOOKUP(B41,MDB!A:D,4,0),VLOOKUP(B41,Inactive!A:D,4,0))</f>
        <v>Mst Shahara Khanom Shohlay</v>
      </c>
      <c r="D41" s="20" t="str">
        <f>IFERROR(VLOOKUP(B41,MDB!A:G,7,0),VLOOKUP(B41,Inactive!A:G,7,0))</f>
        <v>CSO</v>
      </c>
      <c r="E41" s="29">
        <f>IFERROR(VLOOKUP(B41,MDB!A:R,18,0),VLOOKUP(B41,Inactive!A:R,18,0))</f>
        <v>45604</v>
      </c>
      <c r="F41" s="22" t="str">
        <f>IFERROR(VLOOKUP(B41,MDB!A:H,8,0),VLOOKUP(B41,Inactive!A:H,8,0))</f>
        <v>CM</v>
      </c>
      <c r="G41" s="20" t="str">
        <f>IFERROR(VLOOKUP(B41,MDB!A:I,9,0),VLOOKUP(B41,Inactive!A:I,9,0))</f>
        <v>Operation</v>
      </c>
      <c r="H41" s="52" t="str">
        <f>IFERROR(VLOOKUP(B41,MDB!A:K,11,0),VLOOKUP(B41,Inactive!A:K,11,0))</f>
        <v>TEMU</v>
      </c>
      <c r="I41" s="20" t="str">
        <f>IFERROR(VLOOKUP(B41,MDB!A:J,10,0),VLOOKUP(B41,Inactive!A:J,10,0))</f>
        <v>Identification of the same product</v>
      </c>
      <c r="J41" s="20" t="s">
        <v>7402</v>
      </c>
      <c r="K41" s="20" t="s">
        <v>7403</v>
      </c>
      <c r="L41" s="20" t="s">
        <v>90</v>
      </c>
      <c r="M41" s="218" t="s">
        <v>72</v>
      </c>
      <c r="N41" s="20">
        <f>IFERROR(VLOOKUP(B41,MDB!A:BB,54,0),VLOOKUP(B41,Inactive!A:BB,54,0))</f>
        <v>10800</v>
      </c>
      <c r="O41" s="20">
        <f>IFERROR(VLOOKUP(B41,MDB!A:BC,55,0),VLOOKUP(B41,Inactive!A:BC,55,0))</f>
        <v>2700</v>
      </c>
      <c r="P41" s="20">
        <f>IFERROR(VLOOKUP(B41,MDB!A:BD,56,0),VLOOKUP(B41,Inactive!A:BD,56,0))</f>
        <v>0</v>
      </c>
      <c r="Q41" s="20" t="s">
        <v>7404</v>
      </c>
      <c r="R41" s="22">
        <v>22</v>
      </c>
      <c r="S41" s="20">
        <v>0</v>
      </c>
      <c r="T41" s="20">
        <v>0</v>
      </c>
      <c r="U41" s="20">
        <v>0</v>
      </c>
      <c r="V41" s="20" t="str">
        <f>IFERROR(VLOOKUP(B41,MDB!A:M,13,0),VLOOKUP(B41,Inactive!A:M,13,0))</f>
        <v>Nazmus Sakib</v>
      </c>
      <c r="W41" s="20" t="str">
        <f>IFERROR(VLOOKUP(B41,MDB!A:N,14,0),VLOOKUP(B41,Inactive!A:N,14,0))</f>
        <v>Asif Iqbal</v>
      </c>
      <c r="X41" s="22">
        <v>0</v>
      </c>
      <c r="Y41" s="22">
        <v>0</v>
      </c>
      <c r="Z41" s="20" t="str">
        <f>IFERROR(VLOOKUP($B41,MDB!A:AO,41,0),VLOOKUP($B41,Inactive!A:AO,41,0))</f>
        <v>Shahzadpur, Gulshan,Dhaka</v>
      </c>
      <c r="AA41" s="20" t="str">
        <f>IFERROR(VLOOKUP(B41,MDB!A:AP,42,0),VLOOKUP(B41,Inactive!A:AP,42,0))</f>
        <v>V: Bashuria; T:Shahzadpur; D; Sirajgonj;</v>
      </c>
      <c r="AB41" s="20" t="str">
        <f>IFERROR(VLOOKUP(B41,MDB!A:APN,43,0),VLOOKUP(B41,Inactive!A:AQ,43,0))</f>
        <v>Shahzadpur</v>
      </c>
      <c r="AC41" s="22">
        <v>4</v>
      </c>
      <c r="AD41" s="20">
        <f>IFERROR(VLOOKUP(B41,MDB!A:AX,24,0),VLOOKUP(B41,Inactive!A:AX,24,0))</f>
        <v>1736555726</v>
      </c>
      <c r="AE41" s="20">
        <f>IFERROR(VLOOKUP(B41,MDB!A:AA,27,0),VLOOKUP(B41,Inactive!A:AA,27,0))</f>
        <v>1921765652</v>
      </c>
      <c r="AF41" s="20" t="str">
        <f>IFERROR(VLOOKUP(B41,MDB!A:AA,26,0),VLOOKUP(B41,Inactive!A:AA,26,0))</f>
        <v>Sayda Khanom</v>
      </c>
      <c r="AG41" s="20" t="str">
        <f>IFERROR(VLOOKUP(B41,MDB!A:Z,5,0),VLOOKUP(B41,Inactive!A:Z,5,0))</f>
        <v>F</v>
      </c>
      <c r="AH41" s="29">
        <f>IFERROR(VLOOKUP(B41,MDB!A:AD,30,0),VLOOKUP(B41,Inactive!A:AD,30,0))</f>
        <v>35431</v>
      </c>
      <c r="AI41" s="20" t="str">
        <f>IFERROR(VLOOKUP(B41,MDB!A:AC,29,0),VLOOKUP(B41,Inactive!A:AC,29,0))</f>
        <v>AB+</v>
      </c>
      <c r="AJ41" s="20" t="str">
        <f>IFERROR(VLOOKUP(B41,MDB!A:AF,32,0),VLOOKUP(B41,Inactive!A:AF,32,0))</f>
        <v>Islam</v>
      </c>
      <c r="AK41" s="20">
        <f>IFERROR(VLOOKUP(B41,MDB!A:AG,33,0),VLOOKUP(B41,Inactive!A:AG,33,0))</f>
        <v>2823110404</v>
      </c>
      <c r="AL41" s="216">
        <v>4</v>
      </c>
      <c r="AM41" s="20" t="str">
        <f>IFERROR(VLOOKUP(B41,MDB!A:AI,35,0),VLOOKUP(B41,Inactive!A:AI,35,0))</f>
        <v>BSC</v>
      </c>
      <c r="AN41" s="20" t="s">
        <v>7405</v>
      </c>
    </row>
    <row r="42">
      <c r="A42" s="48">
        <v>54</v>
      </c>
      <c r="B42" s="20">
        <v>172066</v>
      </c>
      <c r="C42" s="217" t="str">
        <f>IFERROR(VLOOKUP(B42,MDB!A:D,4,0),VLOOKUP(B42,Inactive!A:D,4,0))</f>
        <v>Nahida Aktar</v>
      </c>
      <c r="D42" s="20" t="str">
        <f>IFERROR(VLOOKUP(B42,MDB!A:G,7,0),VLOOKUP(B42,Inactive!A:G,7,0))</f>
        <v>CSO</v>
      </c>
      <c r="E42" s="29">
        <f>IFERROR(VLOOKUP(B42,MDB!A:R,18,0),VLOOKUP(B42,Inactive!A:R,18,0))</f>
        <v>45606</v>
      </c>
      <c r="F42" s="22" t="str">
        <f>IFERROR(VLOOKUP(B42,MDB!A:H,8,0),VLOOKUP(B42,Inactive!A:H,8,0))</f>
        <v>CM</v>
      </c>
      <c r="G42" s="20" t="str">
        <f>IFERROR(VLOOKUP(B42,MDB!A:I,9,0),VLOOKUP(B42,Inactive!A:I,9,0))</f>
        <v>Operation</v>
      </c>
      <c r="H42" s="52" t="str">
        <f>IFERROR(VLOOKUP(B42,MDB!A:K,11,0),VLOOKUP(B42,Inactive!A:K,11,0))</f>
        <v>TEMU</v>
      </c>
      <c r="I42" s="20" t="str">
        <f>IFERROR(VLOOKUP(B42,MDB!A:J,10,0),VLOOKUP(B42,Inactive!A:J,10,0))</f>
        <v>Identification of the same product</v>
      </c>
      <c r="J42" s="20" t="s">
        <v>7402</v>
      </c>
      <c r="K42" s="20" t="s">
        <v>7403</v>
      </c>
      <c r="L42" s="20" t="s">
        <v>90</v>
      </c>
      <c r="M42" s="218" t="s">
        <v>72</v>
      </c>
      <c r="N42" s="20">
        <f>IFERROR(VLOOKUP(B42,MDB!A:BB,54,0),VLOOKUP(B42,Inactive!A:BB,54,0))</f>
        <v>10800</v>
      </c>
      <c r="O42" s="20">
        <f>IFERROR(VLOOKUP(B42,MDB!A:BC,55,0),VLOOKUP(B42,Inactive!A:BC,55,0))</f>
        <v>2700</v>
      </c>
      <c r="P42" s="20">
        <f>IFERROR(VLOOKUP(B42,MDB!A:BD,56,0),VLOOKUP(B42,Inactive!A:BD,56,0))</f>
        <v>0</v>
      </c>
      <c r="Q42" s="20" t="s">
        <v>7404</v>
      </c>
      <c r="R42" s="22">
        <v>22</v>
      </c>
      <c r="S42" s="20">
        <v>0</v>
      </c>
      <c r="T42" s="20">
        <v>0</v>
      </c>
      <c r="U42" s="20">
        <v>0</v>
      </c>
      <c r="V42" s="20" t="str">
        <f>IFERROR(VLOOKUP(B42,MDB!A:M,13,0),VLOOKUP(B42,Inactive!A:M,13,0))</f>
        <v>Salman Hossain</v>
      </c>
      <c r="W42" s="20" t="str">
        <f>IFERROR(VLOOKUP(B42,MDB!A:N,14,0),VLOOKUP(B42,Inactive!A:N,14,0))</f>
        <v>Asif Iqbal</v>
      </c>
      <c r="X42" s="22">
        <v>0</v>
      </c>
      <c r="Y42" s="22">
        <v>0</v>
      </c>
      <c r="Z42" s="20" t="str">
        <f>IFERROR(VLOOKUP($B42,MDB!A:AO,41,0),VLOOKUP($B42,Inactive!A:AO,41,0))</f>
        <v>mollarteck, Uttarkhan.</v>
      </c>
      <c r="AA42" s="20" t="str">
        <f>IFERROR(VLOOKUP(B42,MDB!A:AP,42,0),VLOOKUP(B42,Inactive!A:AP,42,0))</f>
        <v>Rahamatpur,Sadar,mymensingh</v>
      </c>
      <c r="AB42" s="20" t="str">
        <f>IFERROR(VLOOKUP(B42,MDB!A:APN,43,0),VLOOKUP(B42,Inactive!A:AQ,43,0))</f>
        <v>111 Sunflower School goli, Mollartek, dhaka</v>
      </c>
      <c r="AC42" s="22">
        <v>5</v>
      </c>
      <c r="AD42" s="20">
        <f>IFERROR(VLOOKUP(B42,MDB!A:AX,24,0),VLOOKUP(B42,Inactive!A:AX,24,0))</f>
        <v>1759637000</v>
      </c>
      <c r="AE42" s="20">
        <f>IFERROR(VLOOKUP(B42,MDB!A:AA,27,0),VLOOKUP(B42,Inactive!A:AA,27,0))</f>
        <v>1920366112</v>
      </c>
      <c r="AF42" s="20" t="str">
        <f>IFERROR(VLOOKUP(B42,MDB!A:AA,26,0),VLOOKUP(B42,Inactive!A:AA,26,0))</f>
        <v>Sabrina Israt</v>
      </c>
      <c r="AG42" s="20" t="str">
        <f>IFERROR(VLOOKUP(B42,MDB!A:Z,5,0),VLOOKUP(B42,Inactive!A:Z,5,0))</f>
        <v>F</v>
      </c>
      <c r="AH42" s="29">
        <f>IFERROR(VLOOKUP(B42,MDB!A:AD,30,0),VLOOKUP(B42,Inactive!A:AD,30,0))</f>
        <v>34609</v>
      </c>
      <c r="AI42" s="20" t="str">
        <f>IFERROR(VLOOKUP(B42,MDB!A:AC,29,0),VLOOKUP(B42,Inactive!A:AC,29,0))</f>
        <v>AB+</v>
      </c>
      <c r="AJ42" s="20" t="str">
        <f>IFERROR(VLOOKUP(B42,MDB!A:AF,32,0),VLOOKUP(B42,Inactive!A:AF,32,0))</f>
        <v>Islam</v>
      </c>
      <c r="AK42" s="20">
        <f>IFERROR(VLOOKUP(B42,MDB!A:AG,33,0),VLOOKUP(B42,Inactive!A:AG,33,0))</f>
        <v>4613649849</v>
      </c>
      <c r="AL42" s="216">
        <v>5</v>
      </c>
      <c r="AM42" s="20" t="str">
        <f>IFERROR(VLOOKUP(B42,MDB!A:AI,35,0),VLOOKUP(B42,Inactive!A:AI,35,0))</f>
        <v>BBA</v>
      </c>
      <c r="AN42" s="20" t="s">
        <v>7405</v>
      </c>
    </row>
    <row r="43">
      <c r="A43" s="48">
        <v>55</v>
      </c>
      <c r="B43" s="20">
        <v>172064</v>
      </c>
      <c r="C43" s="217" t="str">
        <f>IFERROR(VLOOKUP(B43,MDB!A:D,4,0),VLOOKUP(B43,Inactive!A:D,4,0))</f>
        <v>Kakoly Dalal</v>
      </c>
      <c r="D43" s="20" t="str">
        <f>IFERROR(VLOOKUP(B43,MDB!A:G,7,0),VLOOKUP(B43,Inactive!A:G,7,0))</f>
        <v>CSO</v>
      </c>
      <c r="E43" s="29">
        <f>IFERROR(VLOOKUP(B43,MDB!A:R,18,0),VLOOKUP(B43,Inactive!A:R,18,0))</f>
        <v>45606</v>
      </c>
      <c r="F43" s="22" t="str">
        <f>IFERROR(VLOOKUP(B43,MDB!A:H,8,0),VLOOKUP(B43,Inactive!A:H,8,0))</f>
        <v>CM</v>
      </c>
      <c r="G43" s="20" t="str">
        <f>IFERROR(VLOOKUP(B43,MDB!A:I,9,0),VLOOKUP(B43,Inactive!A:I,9,0))</f>
        <v>Operation</v>
      </c>
      <c r="H43" s="52" t="str">
        <f>IFERROR(VLOOKUP(B43,MDB!A:K,11,0),VLOOKUP(B43,Inactive!A:K,11,0))</f>
        <v>TEMU</v>
      </c>
      <c r="I43" s="20" t="str">
        <f>IFERROR(VLOOKUP(B43,MDB!A:J,10,0),VLOOKUP(B43,Inactive!A:J,10,0))</f>
        <v>Identification of the same product</v>
      </c>
      <c r="J43" s="20" t="s">
        <v>7402</v>
      </c>
      <c r="K43" s="20" t="s">
        <v>7403</v>
      </c>
      <c r="L43" s="20" t="s">
        <v>90</v>
      </c>
      <c r="M43" s="218" t="s">
        <v>72</v>
      </c>
      <c r="N43" s="20">
        <f>IFERROR(VLOOKUP(B43,MDB!A:BB,54,0),VLOOKUP(B43,Inactive!A:BB,54,0))</f>
        <v>10800</v>
      </c>
      <c r="O43" s="20">
        <f>IFERROR(VLOOKUP(B43,MDB!A:BC,55,0),VLOOKUP(B43,Inactive!A:BC,55,0))</f>
        <v>2700</v>
      </c>
      <c r="P43" s="20">
        <f>IFERROR(VLOOKUP(B43,MDB!A:BD,56,0),VLOOKUP(B43,Inactive!A:BD,56,0))</f>
        <v>0</v>
      </c>
      <c r="Q43" s="20" t="s">
        <v>7404</v>
      </c>
      <c r="R43" s="22">
        <v>22</v>
      </c>
      <c r="S43" s="20">
        <v>0</v>
      </c>
      <c r="T43" s="20">
        <v>0</v>
      </c>
      <c r="U43" s="20">
        <v>0</v>
      </c>
      <c r="V43" s="20" t="str">
        <f>IFERROR(VLOOKUP(B43,MDB!A:M,13,0),VLOOKUP(B43,Inactive!A:M,13,0))</f>
        <v>Md. Moniruzzaman</v>
      </c>
      <c r="W43" s="20" t="str">
        <f>IFERROR(VLOOKUP(B43,MDB!A:N,14,0),VLOOKUP(B43,Inactive!A:N,14,0))</f>
        <v>Asif Iqbal</v>
      </c>
      <c r="X43" s="22">
        <v>0</v>
      </c>
      <c r="Y43" s="22">
        <v>0</v>
      </c>
      <c r="Z43" s="20" t="str">
        <f>IFERROR(VLOOKUP($B43,MDB!A:AO,41,0),VLOOKUP($B43,Inactive!A:AO,41,0))</f>
        <v>Bepari para,Khilkhet</v>
      </c>
      <c r="AA43" s="20" t="str">
        <f>IFERROR(VLOOKUP(B43,MDB!A:AP,42,0),VLOOKUP(B43,Inactive!A:AP,42,0))</f>
        <v>Vill: Nicha Bazar, Thana:natore post:natore</v>
      </c>
      <c r="AB43" s="20" t="str">
        <f>IFERROR(VLOOKUP(B43,MDB!A:APN,43,0),VLOOKUP(B43,Inactive!A:AQ,43,0))</f>
        <v>Khilkhet</v>
      </c>
      <c r="AC43" s="22">
        <v>6</v>
      </c>
      <c r="AD43" s="20">
        <f>IFERROR(VLOOKUP(B43,MDB!A:AX,24,0),VLOOKUP(B43,Inactive!A:AX,24,0))</f>
        <v>1728286982</v>
      </c>
      <c r="AE43" s="20">
        <f>IFERROR(VLOOKUP(B43,MDB!A:AA,27,0),VLOOKUP(B43,Inactive!A:AA,27,0))</f>
        <v>1717344465</v>
      </c>
      <c r="AF43" s="20" t="str">
        <f>IFERROR(VLOOKUP(B43,MDB!A:AA,26,0),VLOOKUP(B43,Inactive!A:AA,26,0))</f>
        <v>Suvashis Dalal</v>
      </c>
      <c r="AG43" s="20" t="str">
        <f>IFERROR(VLOOKUP(B43,MDB!A:Z,5,0),VLOOKUP(B43,Inactive!A:Z,5,0))</f>
        <v>F</v>
      </c>
      <c r="AH43" s="29">
        <f>IFERROR(VLOOKUP(B43,MDB!A:AD,30,0),VLOOKUP(B43,Inactive!A:AD,30,0))</f>
        <v>35951</v>
      </c>
      <c r="AI43" s="20" t="str">
        <f>IFERROR(VLOOKUP(B43,MDB!A:AC,29,0),VLOOKUP(B43,Inactive!A:AC,29,0))</f>
        <v>AB+</v>
      </c>
      <c r="AJ43" s="20" t="str">
        <f>IFERROR(VLOOKUP(B43,MDB!A:AF,32,0),VLOOKUP(B43,Inactive!A:AF,32,0))</f>
        <v>Hindu</v>
      </c>
      <c r="AK43" s="20">
        <f>IFERROR(VLOOKUP(B43,MDB!A:AG,33,0),VLOOKUP(B43,Inactive!A:AG,33,0))</f>
        <v>8701755210</v>
      </c>
      <c r="AL43" s="216">
        <v>6</v>
      </c>
      <c r="AM43" s="20" t="str">
        <f>IFERROR(VLOOKUP(B43,MDB!A:AI,35,0),VLOOKUP(B43,Inactive!A:AI,35,0))</f>
        <v>MBA</v>
      </c>
      <c r="AN43" s="20" t="s">
        <v>7405</v>
      </c>
    </row>
    <row r="44">
      <c r="A44" s="48">
        <v>56</v>
      </c>
      <c r="B44" s="20">
        <v>172056</v>
      </c>
      <c r="C44" s="217" t="str">
        <f>IFERROR(VLOOKUP(B44,MDB!A:D,4,0),VLOOKUP(B44,Inactive!A:D,4,0))</f>
        <v>Sharmin Akter Sumi</v>
      </c>
      <c r="D44" s="20" t="str">
        <f>IFERROR(VLOOKUP(B44,MDB!A:G,7,0),VLOOKUP(B44,Inactive!A:G,7,0))</f>
        <v>CSO</v>
      </c>
      <c r="E44" s="29">
        <f>IFERROR(VLOOKUP(B44,MDB!A:R,18,0),VLOOKUP(B44,Inactive!A:R,18,0))</f>
        <v>45606</v>
      </c>
      <c r="F44" s="22" t="str">
        <f>IFERROR(VLOOKUP(B44,MDB!A:H,8,0),VLOOKUP(B44,Inactive!A:H,8,0))</f>
        <v>CM</v>
      </c>
      <c r="G44" s="20" t="str">
        <f>IFERROR(VLOOKUP(B44,MDB!A:I,9,0),VLOOKUP(B44,Inactive!A:I,9,0))</f>
        <v>Operation</v>
      </c>
      <c r="H44" s="52" t="str">
        <f>IFERROR(VLOOKUP(B44,MDB!A:K,11,0),VLOOKUP(B44,Inactive!A:K,11,0))</f>
        <v>TEMU</v>
      </c>
      <c r="I44" s="20" t="str">
        <f>IFERROR(VLOOKUP(B44,MDB!A:J,10,0),VLOOKUP(B44,Inactive!A:J,10,0))</f>
        <v>Identification of the same product</v>
      </c>
      <c r="J44" s="20" t="s">
        <v>7402</v>
      </c>
      <c r="K44" s="20" t="s">
        <v>7403</v>
      </c>
      <c r="L44" s="20" t="s">
        <v>90</v>
      </c>
      <c r="M44" s="218" t="s">
        <v>72</v>
      </c>
      <c r="N44" s="20">
        <f>IFERROR(VLOOKUP(B44,MDB!A:BB,54,0),VLOOKUP(B44,Inactive!A:BB,54,0))</f>
        <v>10800</v>
      </c>
      <c r="O44" s="20">
        <f>IFERROR(VLOOKUP(B44,MDB!A:BC,55,0),VLOOKUP(B44,Inactive!A:BC,55,0))</f>
        <v>2700</v>
      </c>
      <c r="P44" s="20">
        <f>IFERROR(VLOOKUP(B44,MDB!A:BD,56,0),VLOOKUP(B44,Inactive!A:BD,56,0))</f>
        <v>0</v>
      </c>
      <c r="Q44" s="20" t="s">
        <v>7404</v>
      </c>
      <c r="R44" s="22">
        <v>22</v>
      </c>
      <c r="S44" s="20">
        <v>0</v>
      </c>
      <c r="T44" s="20">
        <v>0</v>
      </c>
      <c r="U44" s="20">
        <v>0</v>
      </c>
      <c r="V44" s="20" t="str">
        <f>IFERROR(VLOOKUP(B44,MDB!A:M,13,0),VLOOKUP(B44,Inactive!A:M,13,0))</f>
        <v>Md. Moniruzzaman</v>
      </c>
      <c r="W44" s="20" t="str">
        <f>IFERROR(VLOOKUP(B44,MDB!A:N,14,0),VLOOKUP(B44,Inactive!A:N,14,0))</f>
        <v>Asif Iqbal</v>
      </c>
      <c r="X44" s="22">
        <v>0</v>
      </c>
      <c r="Y44" s="22">
        <v>0</v>
      </c>
      <c r="Z44" s="20" t="str">
        <f>IFERROR(VLOOKUP($B44,MDB!A:AO,41,0),VLOOKUP($B44,Inactive!A:AO,41,0))</f>
        <v>road 12, house 19, Mirpur 12, Pollobi</v>
      </c>
      <c r="AA44" s="20" t="str">
        <f>IFERROR(VLOOKUP(B44,MDB!A:AP,42,0),VLOOKUP(B44,Inactive!A:AP,42,0))</f>
        <v>gram: thrisghor, thana: bokainagor, dist: Mymensingh</v>
      </c>
      <c r="AB44" s="20" t="str">
        <f>IFERROR(VLOOKUP(B44,MDB!A:APN,43,0),VLOOKUP(B44,Inactive!A:AQ,43,0))</f>
        <v>mirpur 12 pollobi</v>
      </c>
      <c r="AC44" s="22">
        <v>7</v>
      </c>
      <c r="AD44" s="20">
        <f>IFERROR(VLOOKUP(B44,MDB!A:AX,24,0),VLOOKUP(B44,Inactive!A:AX,24,0))</f>
        <v>1915190637</v>
      </c>
      <c r="AE44" s="20">
        <f>IFERROR(VLOOKUP(B44,MDB!A:AA,27,0),VLOOKUP(B44,Inactive!A:AA,27,0))</f>
        <v>1686774791</v>
      </c>
      <c r="AF44" s="20" t="str">
        <f>IFERROR(VLOOKUP(B44,MDB!A:AA,26,0),VLOOKUP(B44,Inactive!A:AA,26,0))</f>
        <v>Jesmin Akter</v>
      </c>
      <c r="AG44" s="20" t="str">
        <f>IFERROR(VLOOKUP(B44,MDB!A:Z,5,0),VLOOKUP(B44,Inactive!A:Z,5,0))</f>
        <v>F</v>
      </c>
      <c r="AH44" s="29">
        <f>IFERROR(VLOOKUP(B44,MDB!A:AD,30,0),VLOOKUP(B44,Inactive!A:AD,30,0))</f>
        <v>36220</v>
      </c>
      <c r="AI44" s="20" t="str">
        <f>IFERROR(VLOOKUP(B44,MDB!A:AC,29,0),VLOOKUP(B44,Inactive!A:AC,29,0))</f>
        <v>O+</v>
      </c>
      <c r="AJ44" s="20" t="str">
        <f>IFERROR(VLOOKUP(B44,MDB!A:AF,32,0),VLOOKUP(B44,Inactive!A:AF,32,0))</f>
        <v>Islam</v>
      </c>
      <c r="AK44" s="20">
        <f>IFERROR(VLOOKUP(B44,MDB!A:AG,33,0),VLOOKUP(B44,Inactive!A:AG,33,0))</f>
        <v>1957897315</v>
      </c>
      <c r="AL44" s="216">
        <v>7</v>
      </c>
      <c r="AM44" s="20" t="str">
        <f>IFERROR(VLOOKUP(B44,MDB!A:AI,35,0),VLOOKUP(B44,Inactive!A:AI,35,0))</f>
        <v>BBA</v>
      </c>
      <c r="AN44" s="20" t="s">
        <v>7405</v>
      </c>
    </row>
    <row r="45">
      <c r="A45" s="48">
        <v>57</v>
      </c>
      <c r="B45" s="20">
        <v>172065</v>
      </c>
      <c r="C45" s="217" t="str">
        <f>IFERROR(VLOOKUP(B45,MDB!A:D,4,0),VLOOKUP(B45,Inactive!A:D,4,0))</f>
        <v>Razia Sultana Nahida</v>
      </c>
      <c r="D45" s="20" t="str">
        <f>IFERROR(VLOOKUP(B45,MDB!A:G,7,0),VLOOKUP(B45,Inactive!A:G,7,0))</f>
        <v>CSO</v>
      </c>
      <c r="E45" s="29">
        <f>IFERROR(VLOOKUP(B45,MDB!A:R,18,0),VLOOKUP(B45,Inactive!A:R,18,0))</f>
        <v>45606</v>
      </c>
      <c r="F45" s="22" t="str">
        <f>IFERROR(VLOOKUP(B45,MDB!A:H,8,0),VLOOKUP(B45,Inactive!A:H,8,0))</f>
        <v>CM</v>
      </c>
      <c r="G45" s="20" t="str">
        <f>IFERROR(VLOOKUP(B45,MDB!A:I,9,0),VLOOKUP(B45,Inactive!A:I,9,0))</f>
        <v>Operation</v>
      </c>
      <c r="H45" s="52" t="str">
        <f>IFERROR(VLOOKUP(B45,MDB!A:K,11,0),VLOOKUP(B45,Inactive!A:K,11,0))</f>
        <v>TEMU</v>
      </c>
      <c r="I45" s="20" t="str">
        <f>IFERROR(VLOOKUP(B45,MDB!A:J,10,0),VLOOKUP(B45,Inactive!A:J,10,0))</f>
        <v>Identification of the same product</v>
      </c>
      <c r="J45" s="20" t="s">
        <v>7402</v>
      </c>
      <c r="K45" s="20" t="s">
        <v>7403</v>
      </c>
      <c r="L45" s="20" t="s">
        <v>90</v>
      </c>
      <c r="M45" s="218" t="s">
        <v>72</v>
      </c>
      <c r="N45" s="20">
        <f>IFERROR(VLOOKUP(B45,MDB!A:BB,54,0),VLOOKUP(B45,Inactive!A:BB,54,0))</f>
        <v>10800</v>
      </c>
      <c r="O45" s="20">
        <f>IFERROR(VLOOKUP(B45,MDB!A:BC,55,0),VLOOKUP(B45,Inactive!A:BC,55,0))</f>
        <v>2700</v>
      </c>
      <c r="P45" s="20">
        <f>IFERROR(VLOOKUP(B45,MDB!A:BD,56,0),VLOOKUP(B45,Inactive!A:BD,56,0))</f>
        <v>0</v>
      </c>
      <c r="Q45" s="20" t="s">
        <v>7404</v>
      </c>
      <c r="R45" s="22">
        <v>22</v>
      </c>
      <c r="S45" s="20">
        <v>0</v>
      </c>
      <c r="T45" s="20">
        <v>0</v>
      </c>
      <c r="U45" s="20">
        <v>0</v>
      </c>
      <c r="V45" s="20" t="str">
        <f>IFERROR(VLOOKUP(B45,MDB!A:M,13,0),VLOOKUP(B45,Inactive!A:M,13,0))</f>
        <v>Aminul Islam Sovo</v>
      </c>
      <c r="W45" s="20" t="str">
        <f>IFERROR(VLOOKUP(B45,MDB!A:N,14,0),VLOOKUP(B45,Inactive!A:N,14,0))</f>
        <v>Asif Iqbal</v>
      </c>
      <c r="X45" s="22">
        <v>0</v>
      </c>
      <c r="Y45" s="22">
        <v>0</v>
      </c>
      <c r="Z45" s="20" t="str">
        <f>IFERROR(VLOOKUP($B45,MDB!A:AO,41,0),VLOOKUP($B45,Inactive!A:AO,41,0))</f>
        <v>Kha/47, Moddhopara, Khilkhet , Dhaka -1229</v>
      </c>
      <c r="AA45" s="20" t="str">
        <f>IFERROR(VLOOKUP(B45,MDB!A:AP,42,0),VLOOKUP(B45,Inactive!A:AP,42,0))</f>
        <v>Vill: Vaor P.O: Panchgaon P.S: Chatkhil Dis:Noakhali</v>
      </c>
      <c r="AB45" s="20" t="str">
        <f>IFERROR(VLOOKUP(B45,MDB!A:APN,43,0),VLOOKUP(B45,Inactive!A:AQ,43,0))</f>
        <v>Khilkhet, Dhaka-1229</v>
      </c>
      <c r="AC45" s="22">
        <v>8</v>
      </c>
      <c r="AD45" s="20">
        <f>IFERROR(VLOOKUP(B45,MDB!A:AX,24,0),VLOOKUP(B45,Inactive!A:AX,24,0))</f>
        <v>1621610709</v>
      </c>
      <c r="AE45" s="20">
        <f>IFERROR(VLOOKUP(B45,MDB!A:AA,27,0),VLOOKUP(B45,Inactive!A:AA,27,0))</f>
        <v>1716382724</v>
      </c>
      <c r="AF45" s="20" t="str">
        <f>IFERROR(VLOOKUP(B45,MDB!A:AA,26,0),VLOOKUP(B45,Inactive!A:AA,26,0))</f>
        <v>Nurunnahar Begum</v>
      </c>
      <c r="AG45" s="20" t="str">
        <f>IFERROR(VLOOKUP(B45,MDB!A:Z,5,0),VLOOKUP(B45,Inactive!A:Z,5,0))</f>
        <v>F</v>
      </c>
      <c r="AH45" s="29">
        <f>IFERROR(VLOOKUP(B45,MDB!A:AD,30,0),VLOOKUP(B45,Inactive!A:AD,30,0))</f>
        <v>37387</v>
      </c>
      <c r="AI45" s="20" t="str">
        <f>IFERROR(VLOOKUP(B45,MDB!A:AC,29,0),VLOOKUP(B45,Inactive!A:AC,29,0))</f>
        <v>AB+</v>
      </c>
      <c r="AJ45" s="20" t="str">
        <f>IFERROR(VLOOKUP(B45,MDB!A:AF,32,0),VLOOKUP(B45,Inactive!A:AF,32,0))</f>
        <v>Islam</v>
      </c>
      <c r="AK45" s="20">
        <f>IFERROR(VLOOKUP(B45,MDB!A:AG,33,0),VLOOKUP(B45,Inactive!A:AG,33,0))</f>
        <v>9580663582</v>
      </c>
      <c r="AL45" s="216">
        <v>8</v>
      </c>
      <c r="AM45" s="20" t="str">
        <f>IFERROR(VLOOKUP(B45,MDB!A:AI,35,0),VLOOKUP(B45,Inactive!A:AI,35,0))</f>
        <v>BSC</v>
      </c>
      <c r="AN45" s="20" t="s">
        <v>7405</v>
      </c>
    </row>
    <row r="46">
      <c r="A46" s="48">
        <v>58</v>
      </c>
      <c r="B46" s="20">
        <v>172059</v>
      </c>
      <c r="C46" s="217" t="str">
        <f>IFERROR(VLOOKUP(B46,MDB!A:D,4,0),VLOOKUP(B46,Inactive!A:D,4,0))</f>
        <v>Sadia Siddika</v>
      </c>
      <c r="D46" s="20" t="str">
        <f>IFERROR(VLOOKUP(B46,MDB!A:G,7,0),VLOOKUP(B46,Inactive!A:G,7,0))</f>
        <v>CSO</v>
      </c>
      <c r="E46" s="29">
        <f>IFERROR(VLOOKUP(B46,MDB!A:R,18,0),VLOOKUP(B46,Inactive!A:R,18,0))</f>
        <v>45605</v>
      </c>
      <c r="F46" s="22" t="str">
        <f>IFERROR(VLOOKUP(B46,MDB!A:H,8,0),VLOOKUP(B46,Inactive!A:H,8,0))</f>
        <v>CM</v>
      </c>
      <c r="G46" s="20" t="str">
        <f>IFERROR(VLOOKUP(B46,MDB!A:I,9,0),VLOOKUP(B46,Inactive!A:I,9,0))</f>
        <v>Operation</v>
      </c>
      <c r="H46" s="52" t="str">
        <f>IFERROR(VLOOKUP(B46,MDB!A:K,11,0),VLOOKUP(B46,Inactive!A:K,11,0))</f>
        <v>TEMU</v>
      </c>
      <c r="I46" s="20" t="str">
        <f>IFERROR(VLOOKUP(B46,MDB!A:J,10,0),VLOOKUP(B46,Inactive!A:J,10,0))</f>
        <v>Identification of the same product</v>
      </c>
      <c r="J46" s="20" t="s">
        <v>7402</v>
      </c>
      <c r="K46" s="20" t="s">
        <v>7403</v>
      </c>
      <c r="L46" s="20" t="s">
        <v>90</v>
      </c>
      <c r="M46" s="218" t="s">
        <v>72</v>
      </c>
      <c r="N46" s="20">
        <f>IFERROR(VLOOKUP(B46,MDB!A:BB,54,0),VLOOKUP(B46,Inactive!A:BB,54,0))</f>
        <v>10800</v>
      </c>
      <c r="O46" s="20">
        <f>IFERROR(VLOOKUP(B46,MDB!A:BC,55,0),VLOOKUP(B46,Inactive!A:BC,55,0))</f>
        <v>2700</v>
      </c>
      <c r="P46" s="20">
        <f>IFERROR(VLOOKUP(B46,MDB!A:BD,56,0),VLOOKUP(B46,Inactive!A:BD,56,0))</f>
        <v>0</v>
      </c>
      <c r="Q46" s="20" t="s">
        <v>7404</v>
      </c>
      <c r="R46" s="22">
        <v>22</v>
      </c>
      <c r="S46" s="20">
        <v>0</v>
      </c>
      <c r="T46" s="20">
        <v>0</v>
      </c>
      <c r="U46" s="20">
        <v>0</v>
      </c>
      <c r="V46" s="20" t="str">
        <f>IFERROR(VLOOKUP(B46,MDB!A:M,13,0),VLOOKUP(B46,Inactive!A:M,13,0))</f>
        <v>Nazimuddoula Leon</v>
      </c>
      <c r="W46" s="20" t="str">
        <f>IFERROR(VLOOKUP(B46,MDB!A:N,14,0),VLOOKUP(B46,Inactive!A:N,14,0))</f>
        <v>Asif Iqbal</v>
      </c>
      <c r="X46" s="22">
        <v>0</v>
      </c>
      <c r="Y46" s="22">
        <v>0</v>
      </c>
      <c r="Z46" s="20">
        <f>IFERROR(VLOOKUP($B46,MDB!A:AO,41,0),VLOOKUP($B46,Inactive!A:AO,41,0))</f>
        <v>0</v>
      </c>
      <c r="AA46" s="20">
        <f>IFERROR(VLOOKUP(B46,MDB!A:AP,42,0),VLOOKUP(B46,Inactive!A:AP,42,0))</f>
        <v>0</v>
      </c>
      <c r="AB46" s="20">
        <f>IFERROR(VLOOKUP(B46,MDB!A:APN,43,0),VLOOKUP(B46,Inactive!A:AQ,43,0))</f>
        <v>0</v>
      </c>
      <c r="AC46" s="22">
        <v>9</v>
      </c>
      <c r="AD46" s="20">
        <f>IFERROR(VLOOKUP(B46,MDB!A:AX,24,0),VLOOKUP(B46,Inactive!A:AX,24,0))</f>
        <v>0</v>
      </c>
      <c r="AE46" s="20">
        <f>IFERROR(VLOOKUP(B46,MDB!A:AA,27,0),VLOOKUP(B46,Inactive!A:AA,27,0))</f>
        <v>0</v>
      </c>
      <c r="AF46" s="20">
        <f>IFERROR(VLOOKUP(B46,MDB!A:AA,26,0),VLOOKUP(B46,Inactive!A:AA,26,0))</f>
        <v>0</v>
      </c>
      <c r="AG46" s="20" t="str">
        <f>IFERROR(VLOOKUP(B46,MDB!A:Z,5,0),VLOOKUP(B46,Inactive!A:Z,5,0))</f>
        <v>F</v>
      </c>
      <c r="AH46" s="29">
        <f>IFERROR(VLOOKUP(B46,MDB!A:AD,30,0),VLOOKUP(B46,Inactive!A:AD,30,0))</f>
        <v>0</v>
      </c>
      <c r="AI46" s="20">
        <f>IFERROR(VLOOKUP(B46,MDB!A:AC,29,0),VLOOKUP(B46,Inactive!A:AC,29,0))</f>
        <v>0</v>
      </c>
      <c r="AJ46" s="20">
        <f>IFERROR(VLOOKUP(B46,MDB!A:AF,32,0),VLOOKUP(B46,Inactive!A:AF,32,0))</f>
        <v>0</v>
      </c>
      <c r="AK46" s="20">
        <f>IFERROR(VLOOKUP(B46,MDB!A:AG,33,0),VLOOKUP(B46,Inactive!A:AG,33,0))</f>
        <v>0</v>
      </c>
      <c r="AL46" s="216">
        <v>9</v>
      </c>
      <c r="AM46" s="20">
        <f>IFERROR(VLOOKUP(B46,MDB!A:AI,35,0),VLOOKUP(B46,Inactive!A:AI,35,0))</f>
        <v>0</v>
      </c>
      <c r="AN46" s="20" t="s">
        <v>7405</v>
      </c>
    </row>
    <row r="47">
      <c r="A47" s="48">
        <v>59</v>
      </c>
      <c r="B47" s="22">
        <v>172026</v>
      </c>
      <c r="C47" s="217" t="str">
        <f>IFERROR(VLOOKUP(B47,MDB!A:D,4,0),VLOOKUP(B47,Inactive!A:D,4,0))</f>
        <v>Md. Swapon Mia</v>
      </c>
      <c r="D47" s="20" t="str">
        <f>IFERROR(VLOOKUP(B47,MDB!A:G,7,0),VLOOKUP(B47,Inactive!A:G,7,0))</f>
        <v>CSO</v>
      </c>
      <c r="E47" s="29">
        <f>IFERROR(VLOOKUP(B47,MDB!A:R,18,0),VLOOKUP(B47,Inactive!A:R,18,0))</f>
        <v>45593</v>
      </c>
      <c r="F47" s="22" t="str">
        <f>IFERROR(VLOOKUP(B47,MDB!A:H,8,0),VLOOKUP(B47,Inactive!A:H,8,0))</f>
        <v>Content Modarator</v>
      </c>
      <c r="G47" s="20" t="str">
        <f>IFERROR(VLOOKUP(B47,MDB!A:I,9,0),VLOOKUP(B47,Inactive!A:I,9,0))</f>
        <v>Operations</v>
      </c>
      <c r="H47" s="52" t="str">
        <f>IFERROR(VLOOKUP(B47,MDB!A:K,11,0),VLOOKUP(B47,Inactive!A:K,11,0))</f>
        <v>Temu</v>
      </c>
      <c r="I47" s="20" t="str">
        <f>IFERROR(VLOOKUP(B47,MDB!A:J,10,0),VLOOKUP(B47,Inactive!A:J,10,0))</f>
        <v>BG Platform Governance Requirements</v>
      </c>
      <c r="J47" s="20" t="s">
        <v>7402</v>
      </c>
      <c r="K47" s="20" t="s">
        <v>7403</v>
      </c>
      <c r="L47" s="20" t="s">
        <v>90</v>
      </c>
      <c r="M47" s="218" t="s">
        <v>72</v>
      </c>
      <c r="N47" s="20">
        <f>IFERROR(VLOOKUP(B47,MDB!A:BB,54,0),VLOOKUP(B47,Inactive!A:BB,54,0))</f>
        <v>10800</v>
      </c>
      <c r="O47" s="20">
        <f>IFERROR(VLOOKUP(B47,MDB!A:BC,55,0),VLOOKUP(B47,Inactive!A:BC,55,0))</f>
        <v>2700</v>
      </c>
      <c r="P47" s="20">
        <f>IFERROR(VLOOKUP(B47,MDB!A:BD,56,0),VLOOKUP(B47,Inactive!A:BD,56,0))</f>
        <v>1000</v>
      </c>
      <c r="Q47" s="20" t="s">
        <v>7404</v>
      </c>
      <c r="R47" s="22">
        <v>22</v>
      </c>
      <c r="S47" s="20">
        <v>0</v>
      </c>
      <c r="T47" s="20">
        <v>0</v>
      </c>
      <c r="U47" s="20">
        <v>0</v>
      </c>
      <c r="V47" s="20" t="str">
        <f>IFERROR(VLOOKUP(B47,MDB!A:M,13,0),VLOOKUP(B47,Inactive!A:M,13,0))</f>
        <v>Mohammad Joshim </v>
      </c>
      <c r="W47" s="20" t="str">
        <f>IFERROR(VLOOKUP(B47,MDB!A:N,14,0),VLOOKUP(B47,Inactive!A:N,14,0))</f>
        <v>Asif Iqbal</v>
      </c>
      <c r="X47" s="22">
        <v>0</v>
      </c>
      <c r="Y47" s="22">
        <v>0</v>
      </c>
      <c r="Z47" s="20" t="str">
        <f>IFERROR(VLOOKUP($B47,MDB!A:AO,41,0),VLOOKUP($B47,Inactive!A:AO,41,0))</f>
        <v>Staff Quarter, Sarkari karmochari Hospital,Dhaka</v>
      </c>
      <c r="AA47" s="20" t="str">
        <f>IFERROR(VLOOKUP(B47,MDB!A:AP,42,0),VLOOKUP(B47,Inactive!A:AP,42,0))</f>
        <v>Vill-Bagmara,PO_ satariaPS-sarishabari,Jamalpur</v>
      </c>
      <c r="AB47" s="20" t="str">
        <f>IFERROR(VLOOKUP(B47,MDB!A:APN,43,0),VLOOKUP(B47,Inactive!A:AQ,43,0))</f>
        <v>Fulbaria,Dhaka</v>
      </c>
      <c r="AC47" s="22">
        <v>10</v>
      </c>
      <c r="AD47" s="20">
        <f>IFERROR(VLOOKUP(B47,MDB!A:AX,24,0),VLOOKUP(B47,Inactive!A:AX,24,0))</f>
        <v>1615830993</v>
      </c>
      <c r="AE47" s="20">
        <f>IFERROR(VLOOKUP(B47,MDB!A:AA,27,0),VLOOKUP(B47,Inactive!A:AA,27,0))</f>
        <v>1998800405</v>
      </c>
      <c r="AF47" s="20" t="str">
        <f>IFERROR(VLOOKUP(B47,MDB!A:AA,26,0),VLOOKUP(B47,Inactive!A:AA,26,0))</f>
        <v>Mst. Jannatul Ferdoushi</v>
      </c>
      <c r="AG47" s="20" t="str">
        <f>IFERROR(VLOOKUP(B47,MDB!A:Z,5,0),VLOOKUP(B47,Inactive!A:Z,5,0))</f>
        <v>Male</v>
      </c>
      <c r="AH47" s="29">
        <f>IFERROR(VLOOKUP(B47,MDB!A:AD,30,0),VLOOKUP(B47,Inactive!A:AD,30,0))</f>
        <v>34889</v>
      </c>
      <c r="AI47" s="20" t="str">
        <f>IFERROR(VLOOKUP(B47,MDB!A:AC,29,0),VLOOKUP(B47,Inactive!A:AC,29,0))</f>
        <v>O+</v>
      </c>
      <c r="AJ47" s="20" t="str">
        <f>IFERROR(VLOOKUP(B47,MDB!A:AF,32,0),VLOOKUP(B47,Inactive!A:AF,32,0))</f>
        <v>Islam</v>
      </c>
      <c r="AK47" s="20">
        <f>IFERROR(VLOOKUP(B47,MDB!A:AG,33,0),VLOOKUP(B47,Inactive!A:AG,33,0))</f>
        <v>2350264673</v>
      </c>
      <c r="AL47" s="216">
        <v>10</v>
      </c>
      <c r="AM47" s="20" t="str">
        <f>IFERROR(VLOOKUP(B47,MDB!A:AI,35,0),VLOOKUP(B47,Inactive!A:AI,35,0))</f>
        <v>Post Graduate</v>
      </c>
      <c r="AN47" s="20" t="s">
        <v>7405</v>
      </c>
    </row>
    <row r="48">
      <c r="A48" s="48">
        <v>60</v>
      </c>
      <c r="B48" s="4">
        <v>171813</v>
      </c>
      <c r="C48" s="217" t="str">
        <f>IFERROR(VLOOKUP(B48,MDB!A:D,4,0),VLOOKUP(B48,Inactive!A:D,4,0))</f>
        <v>Md parves Dewan</v>
      </c>
      <c r="D48" s="20" t="str">
        <f>IFERROR(VLOOKUP(B48,MDB!A:G,7,0),VLOOKUP(B48,Inactive!A:G,7,0))</f>
        <v>CSO</v>
      </c>
      <c r="E48" s="29">
        <f>IFERROR(VLOOKUP(B48,MDB!A:R,18,0),VLOOKUP(B48,Inactive!A:R,18,0))</f>
        <v>45517</v>
      </c>
      <c r="F48" s="22" t="str">
        <f>IFERROR(VLOOKUP(B48,MDB!A:H,8,0),VLOOKUP(B48,Inactive!A:H,8,0))</f>
        <v>Content Moderator</v>
      </c>
      <c r="G48" s="20" t="str">
        <f>IFERROR(VLOOKUP(B48,MDB!A:I,9,0),VLOOKUP(B48,Inactive!A:I,9,0))</f>
        <v>Operations</v>
      </c>
      <c r="H48" s="52" t="str">
        <f>IFERROR(VLOOKUP(B48,MDB!A:K,11,0),VLOOKUP(B48,Inactive!A:K,11,0))</f>
        <v>TEMU</v>
      </c>
      <c r="I48" s="20" t="str">
        <f>IFERROR(VLOOKUP(B48,MDB!A:J,10,0),VLOOKUP(B48,Inactive!A:J,10,0))</f>
        <v>Identification of the same product </v>
      </c>
      <c r="J48" s="20" t="s">
        <v>7402</v>
      </c>
      <c r="K48" s="20" t="s">
        <v>7403</v>
      </c>
      <c r="L48" s="20" t="s">
        <v>90</v>
      </c>
      <c r="M48" s="218" t="s">
        <v>72</v>
      </c>
      <c r="N48" s="20">
        <f>IFERROR(VLOOKUP(B48,MDB!A:BB,54,0),VLOOKUP(B48,Inactive!A:BB,54,0))</f>
        <v>10800</v>
      </c>
      <c r="O48" s="20">
        <f>IFERROR(VLOOKUP(B48,MDB!A:BC,55,0),VLOOKUP(B48,Inactive!A:BC,55,0))</f>
        <v>2700</v>
      </c>
      <c r="P48" s="20">
        <f>IFERROR(VLOOKUP(B48,MDB!A:BD,56,0),VLOOKUP(B48,Inactive!A:BD,56,0))</f>
        <v>0</v>
      </c>
      <c r="Q48" s="20" t="s">
        <v>7404</v>
      </c>
      <c r="R48" s="22">
        <v>22</v>
      </c>
      <c r="S48" s="20">
        <v>0</v>
      </c>
      <c r="T48" s="20">
        <v>0</v>
      </c>
      <c r="U48" s="20">
        <v>0</v>
      </c>
      <c r="V48" s="20" t="str">
        <f>IFERROR(VLOOKUP(B48,MDB!A:M,13,0),VLOOKUP(B48,Inactive!A:M,13,0))</f>
        <v>Halima akter</v>
      </c>
      <c r="W48" s="20" t="str">
        <f>IFERROR(VLOOKUP(B48,MDB!A:N,14,0),VLOOKUP(B48,Inactive!A:N,14,0))</f>
        <v>Asif Iqbal</v>
      </c>
      <c r="X48" s="22">
        <v>0</v>
      </c>
      <c r="Y48" s="22">
        <v>0</v>
      </c>
      <c r="Z48" s="20">
        <f>IFERROR(VLOOKUP($B48,MDB!A:AO,41,0),VLOOKUP($B48,Inactive!A:AO,41,0))</f>
        <v>0</v>
      </c>
      <c r="AA48" s="20">
        <f>IFERROR(VLOOKUP(B48,MDB!A:AP,42,0),VLOOKUP(B48,Inactive!A:AP,42,0))</f>
        <v>0</v>
      </c>
      <c r="AB48" s="20">
        <f>IFERROR(VLOOKUP(B48,MDB!A:APN,43,0),VLOOKUP(B48,Inactive!A:AQ,43,0))</f>
        <v>0</v>
      </c>
      <c r="AC48" s="22">
        <v>10</v>
      </c>
      <c r="AD48" s="20">
        <f>IFERROR(VLOOKUP(B48,MDB!A:AX,24,0),VLOOKUP(B48,Inactive!A:AX,24,0))</f>
        <v>1910379165</v>
      </c>
      <c r="AE48" s="20">
        <f>IFERROR(VLOOKUP(B48,MDB!A:AA,27,0),VLOOKUP(B48,Inactive!A:AA,27,0))</f>
        <v>0</v>
      </c>
      <c r="AF48" s="20">
        <f>IFERROR(VLOOKUP(B48,MDB!A:AA,26,0),VLOOKUP(B48,Inactive!A:AA,26,0))</f>
        <v>0</v>
      </c>
      <c r="AG48" s="20" t="str">
        <f>IFERROR(VLOOKUP(B48,MDB!A:Z,5,0),VLOOKUP(B48,Inactive!A:Z,5,0))</f>
        <v>Male</v>
      </c>
      <c r="AH48" s="29">
        <f>IFERROR(VLOOKUP(B48,MDB!A:AD,30,0),VLOOKUP(B48,Inactive!A:AD,30,0))</f>
        <v>0</v>
      </c>
      <c r="AI48" s="20">
        <f>IFERROR(VLOOKUP(B48,MDB!A:AC,29,0),VLOOKUP(B48,Inactive!A:AC,29,0))</f>
        <v>0</v>
      </c>
      <c r="AJ48" s="20" t="str">
        <f>IFERROR(VLOOKUP(B48,MDB!A:AF,32,0),VLOOKUP(B48,Inactive!A:AF,32,0))</f>
        <v>Islam</v>
      </c>
      <c r="AK48" s="20">
        <f>IFERROR(VLOOKUP(B48,MDB!A:AG,33,0),VLOOKUP(B48,Inactive!A:AG,33,0))</f>
        <v>0</v>
      </c>
      <c r="AL48" s="216">
        <v>10</v>
      </c>
      <c r="AM48" s="20">
        <f>IFERROR(VLOOKUP(B48,MDB!A:AI,35,0),VLOOKUP(B48,Inactive!A:AI,35,0))</f>
        <v>0</v>
      </c>
      <c r="AN48" s="20" t="s">
        <v>7405</v>
      </c>
    </row>
  </sheetData>
  <conditionalFormatting sqref="B1">
    <cfRule type="duplicateValues" dxfId="0" priority="778"/>
    <cfRule type="duplicateValues" dxfId="0" priority="784"/>
    <cfRule type="duplicateValues" dxfId="0" priority="783"/>
    <cfRule type="duplicateValues" dxfId="0" priority="782"/>
    <cfRule type="duplicateValues" dxfId="0" priority="781"/>
    <cfRule type="duplicateValues" dxfId="0" priority="779"/>
    <cfRule type="duplicateValues" dxfId="0" priority="777"/>
    <cfRule type="duplicateValues" dxfId="0" priority="776"/>
    <cfRule type="duplicateValues" dxfId="0" priority="775"/>
  </conditionalFormatting>
  <conditionalFormatting sqref="B2:B10">
    <cfRule type="duplicateValues" dxfId="234" priority="176"/>
    <cfRule type="duplicateValues" dxfId="234" priority="175"/>
    <cfRule type="duplicateValues" dxfId="234" priority="174"/>
    <cfRule type="duplicateValues" dxfId="234" priority="173"/>
    <cfRule type="duplicateValues" dxfId="234" priority="172"/>
    <cfRule type="duplicateValues" dxfId="234" priority="170"/>
    <cfRule type="duplicateValues" dxfId="234" priority="171"/>
    <cfRule type="duplicateValues" dxfId="234" priority="168"/>
    <cfRule type="duplicateValues" dxfId="234" priority="169"/>
    <cfRule type="duplicateValues" dxfId="234" priority="177"/>
  </conditionalFormatting>
  <conditionalFormatting sqref="B2:B46">
    <cfRule type="duplicateValues" dxfId="234" priority="612560"/>
    <cfRule type="duplicateValues" dxfId="234" priority="612559"/>
    <cfRule type="duplicateValues" dxfId="234" priority="612558"/>
  </conditionalFormatting>
  <conditionalFormatting sqref="B21:B46">
    <cfRule type="duplicateValues" dxfId="234" priority="612565"/>
    <cfRule type="duplicateValues" dxfId="234" priority="612564"/>
  </conditionalFormatting>
  <conditionalFormatting sqref="B28:B30 B2:B10">
    <cfRule type="duplicateValues" dxfId="234" priority="167"/>
    <cfRule type="duplicateValues" dxfId="234" priority="166"/>
    <cfRule type="duplicateValues" dxfId="234" priority="165"/>
    <cfRule type="duplicateValues" dxfId="234" priority="164"/>
    <cfRule type="duplicateValues" dxfId="234" priority="163"/>
    <cfRule type="duplicateValues" dxfId="234" priority="162"/>
    <cfRule type="duplicateValues" dxfId="234" priority="160"/>
    <cfRule type="duplicateValues" dxfId="234" priority="159"/>
    <cfRule type="duplicateValues" dxfId="234" priority="158"/>
    <cfRule type="duplicateValues" dxfId="234" priority="157"/>
    <cfRule type="duplicateValues" dxfId="234" priority="156"/>
    <cfRule type="duplicateValues" dxfId="234" priority="161"/>
  </conditionalFormatting>
  <conditionalFormatting sqref="B28:B30 B2:B20">
    <cfRule type="duplicateValues" dxfId="234" priority="181"/>
  </conditionalFormatting>
  <conditionalFormatting sqref="B28:B30">
    <cfRule type="duplicateValues" dxfId="234" priority="145"/>
    <cfRule type="duplicateValues" dxfId="234" priority="144"/>
    <cfRule type="duplicateValues" dxfId="234" priority="146"/>
    <cfRule type="duplicateValues" dxfId="234" priority="153"/>
    <cfRule type="duplicateValues" dxfId="234" priority="152"/>
    <cfRule type="duplicateValues" dxfId="234" priority="151"/>
    <cfRule type="duplicateValues" dxfId="234" priority="150"/>
    <cfRule type="duplicateValues" dxfId="234" priority="149"/>
    <cfRule type="duplicateValues" dxfId="234" priority="148"/>
    <cfRule type="duplicateValues" dxfId="234" priority="147"/>
    <cfRule type="duplicateValues" dxfId="234" priority="141"/>
    <cfRule type="duplicateValues" dxfId="234" priority="142"/>
    <cfRule type="duplicateValues" dxfId="234" priority="143"/>
  </conditionalFormatting>
  <conditionalFormatting sqref="B31:B46">
    <cfRule type="duplicateValues" dxfId="234" priority="612568"/>
  </conditionalFormatting>
  <conditionalFormatting sqref="B48">
    <cfRule type="duplicateValues" dxfId="0" priority="1"/>
    <cfRule type="duplicateValues" dxfId="234" priority="2"/>
    <cfRule type="duplicateValues" dxfId="234" priority="4"/>
    <cfRule type="duplicateValues" dxfId="234" priority="3"/>
    <cfRule type="duplicateValues" dxfId="234" priority="45"/>
    <cfRule type="duplicateValues" dxfId="234" priority="44"/>
    <cfRule type="duplicateValues" dxfId="0" priority="43"/>
    <cfRule type="duplicateValues" dxfId="0" priority="42"/>
    <cfRule type="duplicateValues" dxfId="0" priority="41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40"/>
    <cfRule type="duplicateValues" dxfId="234" priority="34"/>
    <cfRule type="duplicateValues" dxfId="234" priority="33"/>
    <cfRule type="duplicateValues" dxfId="234" priority="32"/>
    <cfRule type="duplicateValues" dxfId="234" priority="31"/>
    <cfRule type="duplicateValues" dxfId="234" priority="30"/>
    <cfRule type="duplicateValues" dxfId="234" priority="29"/>
    <cfRule type="duplicateValues" dxfId="234" priority="28"/>
    <cfRule type="duplicateValues" dxfId="234" priority="27"/>
    <cfRule type="duplicateValues" dxfId="234" priority="26"/>
    <cfRule type="duplicateValues" dxfId="234" priority="25"/>
    <cfRule type="duplicateValues" dxfId="234" priority="24"/>
    <cfRule type="duplicateValues" dxfId="234" priority="23"/>
    <cfRule type="duplicateValues" dxfId="234" priority="22"/>
    <cfRule type="duplicateValues" dxfId="234" priority="21"/>
    <cfRule type="duplicateValues" dxfId="234" priority="20"/>
    <cfRule type="duplicateValues" dxfId="234" priority="19"/>
    <cfRule type="duplicateValues" dxfId="234" priority="18"/>
    <cfRule type="duplicateValues" dxfId="234" priority="17"/>
    <cfRule type="duplicateValues" dxfId="234" priority="16"/>
    <cfRule type="duplicateValues" dxfId="234" priority="15"/>
    <cfRule type="duplicateValues" dxfId="234" priority="13"/>
    <cfRule type="duplicateValues" dxfId="234" priority="12"/>
    <cfRule type="duplicateValues" dxfId="234" priority="14"/>
    <cfRule type="duplicateValues" dxfId="234" priority="11"/>
    <cfRule type="duplicateValues" dxfId="234" priority="10"/>
    <cfRule type="duplicateValues" dxfId="234" priority="9"/>
    <cfRule type="duplicateValues" dxfId="234" priority="8"/>
    <cfRule type="duplicateValues" dxfId="234" priority="7"/>
    <cfRule type="duplicateValues" dxfId="234" priority="6"/>
    <cfRule type="duplicateValues" dxfId="234" priority="5"/>
  </conditionalFormatting>
  <conditionalFormatting sqref="B49:B1048576 B1">
    <cfRule type="duplicateValues" dxfId="234" priority="182"/>
    <cfRule type="duplicateValues" dxfId="0" priority="588371"/>
    <cfRule type="duplicateValues" dxfId="0" priority="588372"/>
    <cfRule type="duplicateValues" dxfId="0" priority="588373"/>
  </conditionalFormatting>
  <conditionalFormatting sqref="B49:B1048576 B1:B46">
    <cfRule type="duplicateValues" dxfId="234" priority="139"/>
    <cfRule type="duplicateValues" dxfId="234" priority="94"/>
  </conditionalFormatting>
  <conditionalFormatting sqref="B49:B1048576">
    <cfRule type="duplicateValues" dxfId="234" priority="217"/>
  </conditionalFormatting>
  <conditionalFormatting sqref="C1">
    <cfRule type="duplicateValues" dxfId="0" priority="780"/>
  </conditionalFormatting>
  <pageMargins left="0.7" right="0.7" top="0.75" bottom="0.75" header="0.3" footer="0.3"/>
  <pageSetup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Q31"/>
  <sheetViews>
    <sheetView workbookViewId="0">
      <pane xSplit="3" ySplit="1" topLeftCell="AM26" activePane="bottomRight" state="frozen"/>
      <selection pane="topRight"/>
      <selection pane="bottomLeft"/>
      <selection pane="bottomRight" activeCell="B31" sqref="B31:AQ31"/>
    </sheetView>
  </sheetViews>
  <sheetFormatPr defaultColWidth="9" defaultRowHeight="14.4"/>
  <cols>
    <col min="1" max="1" width="7" customWidth="1"/>
    <col min="2" max="2" width="7.77734375" customWidth="1"/>
    <col min="3" max="3" width="25.77734375" customWidth="1"/>
    <col min="4" max="4" width="16.21875" customWidth="1"/>
    <col min="5" max="5" width="12.21875" customWidth="1" style="31"/>
    <col min="6" max="6" width="18.77734375" customWidth="1"/>
    <col min="7" max="7" width="12.44140625" customWidth="1"/>
    <col min="8" max="8" width="9" customWidth="1"/>
    <col min="9" max="9" width="46.77734375" customWidth="1"/>
    <col min="10" max="10" width="18.77734375" customWidth="1"/>
    <col min="11" max="11" width="8.21875" customWidth="1"/>
    <col min="12" max="12" width="11.77734375" customWidth="1"/>
    <col min="13" max="13" width="24" customWidth="1"/>
    <col min="14" max="16" width="6.77734375" customWidth="1"/>
    <col min="17" max="17" width="18.77734375" customWidth="1"/>
    <col min="18" max="18" width="23.77734375" customWidth="1"/>
    <col min="19" max="19" width="15.44140625" customWidth="1"/>
    <col min="20" max="20" width="12.5546875" customWidth="1"/>
    <col min="21" max="21" width="10.77734375" customWidth="1"/>
    <col min="22" max="22" width="29.77734375" customWidth="1"/>
    <col min="23" max="23" width="25" customWidth="1"/>
    <col min="24" max="25" width="11.21875" customWidth="1"/>
    <col min="26" max="26" width="126.109375" customWidth="1"/>
    <col min="27" max="27" width="96" customWidth="1"/>
    <col min="28" max="28" width="47.109375" customWidth="1"/>
    <col min="29" max="29" width="14" customWidth="1"/>
    <col min="30" max="30" width="15.21875" customWidth="1"/>
    <col min="31" max="31" width="17.5546875" customWidth="1"/>
    <col min="32" max="32" width="23.77734375" customWidth="1"/>
    <col min="33" max="33" width="11.5546875" customWidth="1"/>
    <col min="34" max="34" width="11" customWidth="1"/>
    <col min="35" max="35" width="11.5546875" customWidth="1"/>
    <col min="36" max="36" width="9.77734375" customWidth="1"/>
    <col min="37" max="37" width="20.77734375" customWidth="1"/>
    <col min="38" max="38" width="12" customWidth="1"/>
    <col min="39" max="39" width="31.109375" customWidth="1"/>
    <col min="40" max="40" width="25.88671875" customWidth="1"/>
    <col min="41" max="41" width="11" customWidth="1"/>
    <col min="42" max="42" width="14.77734375" customWidth="1"/>
    <col min="43" max="43" width="29.77734375" customWidth="1"/>
  </cols>
  <sheetData>
    <row r="1" ht="31.2" s="30" customFormat="1">
      <c r="A1" s="32" t="s">
        <v>6784</v>
      </c>
      <c r="B1" s="32" t="s">
        <v>6810</v>
      </c>
      <c r="C1" s="32" t="s">
        <v>3</v>
      </c>
      <c r="D1" s="32" t="s">
        <v>6</v>
      </c>
      <c r="E1" s="33" t="s">
        <v>17</v>
      </c>
      <c r="F1" s="32" t="s">
        <v>7382</v>
      </c>
      <c r="G1" s="32" t="s">
        <v>8</v>
      </c>
      <c r="H1" s="32" t="s">
        <v>10</v>
      </c>
      <c r="I1" s="32" t="s">
        <v>7383</v>
      </c>
      <c r="J1" s="32" t="s">
        <v>7384</v>
      </c>
      <c r="K1" s="32" t="s">
        <v>3478</v>
      </c>
      <c r="L1" s="32" t="s">
        <v>52</v>
      </c>
      <c r="M1" s="32" t="s">
        <v>7385</v>
      </c>
      <c r="N1" s="32" t="s">
        <v>53</v>
      </c>
      <c r="O1" s="32" t="s">
        <v>54</v>
      </c>
      <c r="P1" s="32" t="s">
        <v>55</v>
      </c>
      <c r="Q1" s="32" t="s">
        <v>7386</v>
      </c>
      <c r="R1" s="32" t="s">
        <v>7387</v>
      </c>
      <c r="S1" s="38" t="s">
        <v>7388</v>
      </c>
      <c r="T1" s="32" t="s">
        <v>7389</v>
      </c>
      <c r="U1" s="32" t="s">
        <v>7390</v>
      </c>
      <c r="V1" s="32" t="s">
        <v>7391</v>
      </c>
      <c r="W1" s="32" t="s">
        <v>7392</v>
      </c>
      <c r="X1" s="32" t="s">
        <v>7393</v>
      </c>
      <c r="Y1" s="32" t="s">
        <v>7394</v>
      </c>
      <c r="Z1" s="32" t="s">
        <v>40</v>
      </c>
      <c r="AA1" s="39" t="s">
        <v>41</v>
      </c>
      <c r="AB1" s="39" t="s">
        <v>7395</v>
      </c>
      <c r="AC1" s="32" t="s">
        <v>21</v>
      </c>
      <c r="AD1" s="32" t="s">
        <v>7396</v>
      </c>
      <c r="AE1" s="32" t="s">
        <v>7397</v>
      </c>
      <c r="AF1" s="32" t="s">
        <v>25</v>
      </c>
      <c r="AG1" s="39" t="s">
        <v>4</v>
      </c>
      <c r="AH1" s="39" t="s">
        <v>29</v>
      </c>
      <c r="AI1" s="32" t="s">
        <v>28</v>
      </c>
      <c r="AJ1" s="39" t="s">
        <v>31</v>
      </c>
      <c r="AK1" s="40" t="s">
        <v>7398</v>
      </c>
      <c r="AL1" s="40" t="s">
        <v>7399</v>
      </c>
      <c r="AM1" s="39" t="s">
        <v>7400</v>
      </c>
      <c r="AN1" s="39" t="s">
        <v>7401</v>
      </c>
      <c r="AO1" s="32" t="s">
        <v>6815</v>
      </c>
      <c r="AP1" s="32" t="s">
        <v>3480</v>
      </c>
      <c r="AQ1" s="39" t="s">
        <v>7406</v>
      </c>
    </row>
    <row r="2" ht="15.6">
      <c r="A2" s="34" t="e">
        <f>#REF!+1</f>
        <v>#REF!</v>
      </c>
      <c r="B2" s="4">
        <v>171420</v>
      </c>
      <c r="C2" s="35" t="str">
        <f>IFERROR(VLOOKUP(B2,MDB!A:D,4,0),VLOOKUP('MDB_Inactive List'!B2,Inactive!A:D,4,0))</f>
        <v>Ashamoni Akter</v>
      </c>
      <c r="D2" s="36" t="str">
        <f>IFERROR(VLOOKUP(B2,MDB!A:G,7,0),VLOOKUP(B2,Inactive!A:G,7,0))</f>
        <v>CSO</v>
      </c>
      <c r="E2" s="37">
        <f>IFERROR(VLOOKUP(B2,MDB!A:R,18,0),VLOOKUP(B2,Inactive!A:R,18,0))</f>
        <v>45405</v>
      </c>
      <c r="F2" s="36" t="str">
        <f>IFERROR(VLOOKUP(B2,MDB!A:H,8,0),VLOOKUP(B2,Inactive!A:H,8,0))</f>
        <v>Content Moderator</v>
      </c>
      <c r="G2" s="36" t="str">
        <f>IFERROR(VLOOKUP(B2,MDB!A:I,9,0),VLOOKUP(B2,Inactive!A:I,9,0))</f>
        <v>Operations</v>
      </c>
      <c r="H2" s="36" t="str">
        <f>IFERROR(VLOOKUP(B2,MDB!A:K,11,0),VLOOKUP(B2,Inactive!A:K,11,0))</f>
        <v>TEMU</v>
      </c>
      <c r="I2" s="36" t="str">
        <f>IFERROR(VLOOKUP(B2,MDB!A:J,10,0),VLOOKUP(B2,Inactive!A:J,10,0))</f>
        <v>Sports &amp; shoes &amp; bags &amp; special women clothing</v>
      </c>
      <c r="J2" s="34" t="s">
        <v>7407</v>
      </c>
      <c r="K2" s="34" t="s">
        <v>7403</v>
      </c>
      <c r="L2" s="34" t="s">
        <v>7408</v>
      </c>
      <c r="M2" s="36" t="str">
        <f>IFERROR(VLOOKUP(B2,MDB!A:R,18,0),VLOOKUP(B2,Inactive!A:L,12,0))</f>
        <v>Fixed</v>
      </c>
      <c r="N2" s="36">
        <f>IFERROR(VLOOKUP(B2,MDB!A:R,18,0),VLOOKUP(B2,Inactive!A:BB,54,0))</f>
        <v>10800</v>
      </c>
      <c r="O2" s="36">
        <f>IFERROR(VLOOKUP(B2,MDB!A:R,18,0),VLOOKUP(B2,Inactive!A:BC,55,0))</f>
        <v>2700</v>
      </c>
      <c r="P2" s="36">
        <f>IFERROR(VLOOKUP(B2,MDB!A:R,18,0),VLOOKUP(B2,Inactive!A:BD,56,0))</f>
        <v>0</v>
      </c>
      <c r="Q2" s="36" t="s">
        <v>7404</v>
      </c>
      <c r="R2" s="36">
        <v>22</v>
      </c>
      <c r="S2" s="36"/>
      <c r="T2" s="36"/>
      <c r="U2" s="36"/>
      <c r="V2" s="36" t="str">
        <f>IFERROR(VLOOKUP(B2,MDB!A:M,13,0),VLOOKUP(B2,Inactive!A:M,13,0))</f>
        <v>Md Mehedi Hasan</v>
      </c>
      <c r="W2" s="36" t="str">
        <f>IFERROR(VLOOKUP(B2,MDB!A:N,14,0),VLOOKUP(B2,Inactive!A:N,14,0))</f>
        <v>Asif Iqbal</v>
      </c>
      <c r="X2" s="36"/>
      <c r="Y2" s="36"/>
      <c r="Z2" s="36" t="str">
        <f>IFERROR(VLOOKUP(B2,MDB!A:AO,41,0),VLOOKUP(B2,Inactive!A:AO,41,0))</f>
        <v>Member Market,Mosjid Road,Board Bazar,Gazipur</v>
      </c>
      <c r="AA2" s="36" t="str">
        <f>IFERROR(VLOOKUP(B2,MDB!A:AP,42,0),VLOOKUP(B2,Inactive!A:AP,42,0))</f>
        <v>Vill:Cherag Ali Bepary Kandi,Post Office:Budhair Hat,Upozilla:Jajira,Zilla:Jajira</v>
      </c>
      <c r="AB2" s="36" t="str">
        <f>IFERROR(VLOOKUP(B2,MDB!A:AQ,43,0),VLOOKUP(B2,Inactive!A:AQ,43,0))</f>
        <v>Board Bazar</v>
      </c>
      <c r="AC2" s="36">
        <f>IFERROR(VLOOKUP(B2,MDB!A:V,22,0),VLOOKUP(B2,Inactive!A:V,22,0))</f>
        <v>0</v>
      </c>
      <c r="AD2" s="36">
        <f>IFERROR(VLOOKUP(B2,MDB!A:W,24,0),VLOOKUP(B2,Inactive!A:X,24,0))</f>
        <v>1991697998</v>
      </c>
      <c r="AE2" s="36">
        <f>IFERROR(VLOOKUP(B2,MDB!A:AA,27,0),VLOOKUP(B2,Inactive!A:AA,27,0))</f>
        <v>1635402723</v>
      </c>
      <c r="AF2" s="36" t="str">
        <f>IFERROR(VLOOKUP(B2,MDB!A:Z,26,0),VLOOKUP(B2,Inactive!A:Z,26,0))</f>
        <v>Rina Akter</v>
      </c>
      <c r="AG2" s="36" t="str">
        <f>IFERROR(VLOOKUP(B2,MDB!A:E,5,0),VLOOKUP(B2,Inactive!A:E,5,0))</f>
        <v>Female</v>
      </c>
      <c r="AH2" s="37">
        <f>IFERROR(VLOOKUP(B2,MDB!A:AD,30,0),VLOOKUP(B2,Inactive!A:AD,30,0))</f>
        <v>35677</v>
      </c>
      <c r="AI2" s="36" t="str">
        <f>VLOOKUP(B2,Inactive!A:AC,29,0)</f>
        <v>A+</v>
      </c>
      <c r="AJ2" s="36" t="str">
        <f>IFERROR(VLOOKUP(B2,MDB!A:AF,32,0),VLOOKUP(B2,Inactive!A:AF,32,0))</f>
        <v>Islam</v>
      </c>
      <c r="AK2" s="36">
        <f>IFERROR(VLOOKUP(B2,MDB!A:AG,33,0),VLOOKUP(B2,Inactive!A:AG,33,0))</f>
        <v>3302849579</v>
      </c>
      <c r="AL2" s="36" t="str">
        <f>IFERROR(VLOOKUP(B2,MDB!A:AH,34,0),VLOOKUP(B2,Inactive!A:AH,34,0))</f>
        <v>N/A</v>
      </c>
      <c r="AM2" s="36" t="str">
        <f>IFERROR(VLOOKUP(B2,MDB!A:AI,35,0),VLOOKUP(B2,Inactive!A:AI,35,0))</f>
        <v>Post Graduation</v>
      </c>
      <c r="AN2" s="156" t="s">
        <v>7409</v>
      </c>
      <c r="AO2" s="41">
        <f>VLOOKUP(B2,Inactive!A:BI,61,0)</f>
        <v>45581</v>
      </c>
      <c r="AP2" s="34" t="str">
        <f>VLOOKUP(B2,Inactive!A:BH,60,0)</f>
        <v>Resignation</v>
      </c>
      <c r="AQ2" s="34" t="str">
        <f>VLOOKUP(B2,Inactive!A:BJ,62,0)</f>
        <v>Resign</v>
      </c>
    </row>
    <row r="3" ht="15.6">
      <c r="A3" s="34" t="e">
        <f>#REF!+1</f>
        <v>#REF!</v>
      </c>
      <c r="B3" s="4">
        <v>171478</v>
      </c>
      <c r="C3" s="35" t="str">
        <f>IFERROR(VLOOKUP(B3,MDB!A:D,4,0),VLOOKUP('MDB_Inactive List'!B3,Inactive!A:D,4,0))</f>
        <v>Md Rakibul Hassan Pallob</v>
      </c>
      <c r="D3" s="36" t="str">
        <f>IFERROR(VLOOKUP(B3,MDB!A:G,7,0),VLOOKUP(B3,Inactive!A:G,7,0))</f>
        <v>CSO</v>
      </c>
      <c r="E3" s="37">
        <f>IFERROR(VLOOKUP(B3,MDB!A:R,18,0),VLOOKUP(B3,Inactive!A:R,18,0))</f>
        <v>45439</v>
      </c>
      <c r="F3" s="36" t="str">
        <f>IFERROR(VLOOKUP(B3,MDB!A:H,8,0),VLOOKUP(B3,Inactive!A:H,8,0))</f>
        <v>Content Moderator</v>
      </c>
      <c r="G3" s="36" t="str">
        <f>IFERROR(VLOOKUP(B3,MDB!A:I,9,0),VLOOKUP(B3,Inactive!A:I,9,0))</f>
        <v>Operations</v>
      </c>
      <c r="H3" s="36" t="str">
        <f>IFERROR(VLOOKUP(B3,MDB!A:K,11,0),VLOOKUP(B3,Inactive!A:K,11,0))</f>
        <v>TEMU</v>
      </c>
      <c r="I3" s="36" t="str">
        <f>IFERROR(VLOOKUP(B3,MDB!A:J,10,0),VLOOKUP(B3,Inactive!A:J,10,0))</f>
        <v>BG Platform Governance Requirements</v>
      </c>
      <c r="J3" s="34" t="s">
        <v>7407</v>
      </c>
      <c r="K3" s="34" t="s">
        <v>7403</v>
      </c>
      <c r="L3" s="34" t="s">
        <v>7408</v>
      </c>
      <c r="M3" s="36" t="str">
        <f>IFERROR(VLOOKUP(B3,MDB!A:R,18,0),VLOOKUP(B3,Inactive!A:L,12,0))</f>
        <v>Fixed</v>
      </c>
      <c r="N3" s="36">
        <f>IFERROR(VLOOKUP(B3,MDB!A:R,18,0),VLOOKUP(B3,Inactive!A:BB,54,0))</f>
        <v>10800</v>
      </c>
      <c r="O3" s="36">
        <f>IFERROR(VLOOKUP(B3,MDB!A:R,18,0),VLOOKUP(B3,Inactive!A:BC,55,0))</f>
        <v>2700</v>
      </c>
      <c r="P3" s="36">
        <f>IFERROR(VLOOKUP(B3,MDB!A:R,18,0),VLOOKUP(B3,Inactive!A:BD,56,0))</f>
        <v>1000</v>
      </c>
      <c r="Q3" s="36" t="s">
        <v>7404</v>
      </c>
      <c r="R3" s="36">
        <v>23</v>
      </c>
      <c r="S3" s="36"/>
      <c r="T3" s="36"/>
      <c r="U3" s="36"/>
      <c r="V3" s="36" t="str">
        <f>IFERROR(VLOOKUP(B3,MDB!A:M,13,0),VLOOKUP(B3,Inactive!A:M,13,0))</f>
        <v>Nasir Uddin</v>
      </c>
      <c r="W3" s="36" t="str">
        <f>IFERROR(VLOOKUP(B3,MDB!A:N,14,0),VLOOKUP(B3,Inactive!A:N,14,0))</f>
        <v>Asif Iqbal</v>
      </c>
      <c r="X3" s="36"/>
      <c r="Y3" s="36"/>
      <c r="Z3" s="36" t="str">
        <f>IFERROR(VLOOKUP(B3,MDB!A:AO,41,0),VLOOKUP(B3,Inactive!A:AO,41,0))</f>
        <v>H# 13/C, R# 13, Kallayanpur, Dhaka-1230</v>
      </c>
      <c r="AA3" s="36" t="str">
        <f>IFERROR(VLOOKUP(B3,MDB!A:AP,42,0),VLOOKUP(B3,Inactive!A:AP,42,0))</f>
        <v>Khubjipur, Gurudaspur, Dhaka.</v>
      </c>
      <c r="AB3" s="36" t="str">
        <f>IFERROR(VLOOKUP(B3,MDB!A:AQ,43,0),VLOOKUP(B3,Inactive!A:AQ,43,0))</f>
        <v>Kollayanpur</v>
      </c>
      <c r="AC3" s="36">
        <f>IFERROR(VLOOKUP(B3,MDB!A:V,22,0),VLOOKUP(B3,Inactive!A:V,22,0))</f>
        <v>0</v>
      </c>
      <c r="AD3" s="36">
        <f>IFERROR(VLOOKUP(B3,MDB!A:W,24,0),VLOOKUP(B3,Inactive!A:X,24,0))</f>
        <v>1774298663</v>
      </c>
      <c r="AE3" s="36">
        <f>IFERROR(VLOOKUP(B3,MDB!A:AA,27,0),VLOOKUP(B3,Inactive!A:AA,27,0))</f>
        <v>1745172061</v>
      </c>
      <c r="AF3" s="36" t="str">
        <f>IFERROR(VLOOKUP(B3,MDB!A:Z,26,0),VLOOKUP(B3,Inactive!A:Z,26,0))</f>
        <v>MD sahakul Islam</v>
      </c>
      <c r="AG3" s="36" t="str">
        <f>IFERROR(VLOOKUP(B3,MDB!A:E,5,0),VLOOKUP(B3,Inactive!A:E,5,0))</f>
        <v>Male</v>
      </c>
      <c r="AH3" s="37">
        <f>IFERROR(VLOOKUP(B3,MDB!A:AD,30,0),VLOOKUP(B3,Inactive!A:AD,30,0))</f>
        <v>36438</v>
      </c>
      <c r="AI3" s="36" t="str">
        <f>VLOOKUP(B3,Inactive!A:AC,29,0)</f>
        <v>O+</v>
      </c>
      <c r="AJ3" s="36" t="str">
        <f>IFERROR(VLOOKUP(B3,MDB!A:AF,32,0),VLOOKUP(B3,Inactive!A:AF,32,0))</f>
        <v>Islam</v>
      </c>
      <c r="AK3" s="36">
        <f>IFERROR(VLOOKUP(B3,MDB!A:AG,33,0),VLOOKUP(B3,Inactive!A:AG,33,0))</f>
        <v>1027014503</v>
      </c>
      <c r="AL3" s="36" t="str">
        <f>IFERROR(VLOOKUP(B3,MDB!A:AH,34,0),VLOOKUP(B3,Inactive!A:AH,34,0))</f>
        <v>N/A</v>
      </c>
      <c r="AM3" s="36" t="str">
        <f>IFERROR(VLOOKUP(B3,MDB!A:AI,35,0),VLOOKUP(B3,Inactive!A:AI,35,0))</f>
        <v>M.A</v>
      </c>
      <c r="AN3" s="156" t="s">
        <v>7409</v>
      </c>
      <c r="AO3" s="41">
        <f>VLOOKUP(B3,Inactive!A:BI,61,0)</f>
        <v>45582</v>
      </c>
      <c r="AP3" s="34" t="str">
        <f>VLOOKUP(B3,Inactive!A:BH,60,0)</f>
        <v>Resignation</v>
      </c>
      <c r="AQ3" s="34" t="str">
        <f>VLOOKUP(B3,Inactive!A:BJ,62,0)</f>
        <v>Family Issue</v>
      </c>
    </row>
    <row r="4" ht="15.6">
      <c r="A4" s="34" t="e">
        <f>#REF!+1</f>
        <v>#REF!</v>
      </c>
      <c r="B4" s="4">
        <v>171525</v>
      </c>
      <c r="C4" s="35" t="str">
        <f>IFERROR(VLOOKUP(B4,MDB!A:D,4,0),VLOOKUP('MDB_Inactive List'!B4,Inactive!A:D,4,0))</f>
        <v>Habibur Rahman</v>
      </c>
      <c r="D4" s="36" t="str">
        <f>IFERROR(VLOOKUP(B4,MDB!A:G,7,0),VLOOKUP(B4,Inactive!A:G,7,0))</f>
        <v>CSO</v>
      </c>
      <c r="E4" s="37">
        <f>IFERROR(VLOOKUP(B4,MDB!A:R,18,0),VLOOKUP(B4,Inactive!A:R,18,0))</f>
        <v>45456</v>
      </c>
      <c r="F4" s="36" t="str">
        <f>IFERROR(VLOOKUP(B4,MDB!A:H,8,0),VLOOKUP(B4,Inactive!A:H,8,0))</f>
        <v>Content Moderator</v>
      </c>
      <c r="G4" s="36" t="str">
        <f>IFERROR(VLOOKUP(B4,MDB!A:I,9,0),VLOOKUP(B4,Inactive!A:I,9,0))</f>
        <v>Operations</v>
      </c>
      <c r="H4" s="36" t="str">
        <f>IFERROR(VLOOKUP(B4,MDB!A:K,11,0),VLOOKUP(B4,Inactive!A:K,11,0))</f>
        <v>TEMU</v>
      </c>
      <c r="I4" s="36" t="str">
        <f>IFERROR(VLOOKUP(B4,MDB!A:J,10,0),VLOOKUP(B4,Inactive!A:J,10,0))</f>
        <v>BG Platform Governance Requirements</v>
      </c>
      <c r="J4" s="34" t="s">
        <v>7407</v>
      </c>
      <c r="K4" s="34" t="s">
        <v>7403</v>
      </c>
      <c r="L4" s="34" t="s">
        <v>7408</v>
      </c>
      <c r="M4" s="36" t="str">
        <f>IFERROR(VLOOKUP(B4,MDB!A:R,18,0),VLOOKUP(B4,Inactive!A:L,12,0))</f>
        <v>Fixed</v>
      </c>
      <c r="N4" s="36">
        <f>IFERROR(VLOOKUP(B4,MDB!A:R,18,0),VLOOKUP(B4,Inactive!A:BB,54,0))</f>
        <v>10800</v>
      </c>
      <c r="O4" s="36">
        <f>IFERROR(VLOOKUP(B4,MDB!A:R,18,0),VLOOKUP(B4,Inactive!A:BC,55,0))</f>
        <v>2700</v>
      </c>
      <c r="P4" s="36">
        <f>IFERROR(VLOOKUP(B4,MDB!A:R,18,0),VLOOKUP(B4,Inactive!A:BD,56,0))</f>
        <v>1000</v>
      </c>
      <c r="Q4" s="36" t="s">
        <v>7404</v>
      </c>
      <c r="R4" s="36">
        <v>24</v>
      </c>
      <c r="S4" s="36"/>
      <c r="T4" s="36"/>
      <c r="U4" s="36"/>
      <c r="V4" s="36" t="str">
        <f>IFERROR(VLOOKUP(B4,MDB!A:M,13,0),VLOOKUP(B4,Inactive!A:M,13,0))</f>
        <v>Mohammad Joshim</v>
      </c>
      <c r="W4" s="36" t="str">
        <f>IFERROR(VLOOKUP(B4,MDB!A:N,14,0),VLOOKUP(B4,Inactive!A:N,14,0))</f>
        <v>Asif Iqbal</v>
      </c>
      <c r="X4" s="36"/>
      <c r="Y4" s="36"/>
      <c r="Z4" s="36" t="str">
        <f>IFERROR(VLOOKUP(B4,MDB!A:AO,41,0),VLOOKUP(B4,Inactive!A:AO,41,0))</f>
        <v>Ershad Nagar, Tongi, Gazipur</v>
      </c>
      <c r="AA4" s="36" t="str">
        <f>IFERROR(VLOOKUP(B4,MDB!A:AP,42,0),VLOOKUP(B4,Inactive!A:AP,42,0))</f>
        <v>Ershad Nagar, Tongi, Gazipur</v>
      </c>
      <c r="AB4" s="36" t="str">
        <f>IFERROR(VLOOKUP(B4,MDB!A:AQ,43,0),VLOOKUP(B4,Inactive!A:AQ,43,0))</f>
        <v>Tongi</v>
      </c>
      <c r="AC4" s="36">
        <f>IFERROR(VLOOKUP(B4,MDB!A:V,22,0),VLOOKUP(B4,Inactive!A:V,22,0))</f>
        <v>0</v>
      </c>
      <c r="AD4" s="36">
        <f>IFERROR(VLOOKUP(B4,MDB!A:W,24,0),VLOOKUP(B4,Inactive!A:X,24,0))</f>
        <v>1997047744</v>
      </c>
      <c r="AE4" s="36">
        <f>IFERROR(VLOOKUP(B4,MDB!A:AA,27,0),VLOOKUP(B4,Inactive!A:AA,27,0))</f>
        <v>1996010408</v>
      </c>
      <c r="AF4" s="36" t="str">
        <f>IFERROR(VLOOKUP(B4,MDB!A:Z,26,0),VLOOKUP(B4,Inactive!A:Z,26,0))</f>
        <v>Fahima Hawladar</v>
      </c>
      <c r="AG4" s="36" t="str">
        <f>IFERROR(VLOOKUP(B4,MDB!A:E,5,0),VLOOKUP(B4,Inactive!A:E,5,0))</f>
        <v>Male</v>
      </c>
      <c r="AH4" s="37">
        <f>IFERROR(VLOOKUP(B4,MDB!A:AD,30,0),VLOOKUP(B4,Inactive!A:AD,30,0))</f>
        <v>33928</v>
      </c>
      <c r="AI4" s="36" t="str">
        <f>VLOOKUP(B4,Inactive!A:AC,29,0)</f>
        <v>A+</v>
      </c>
      <c r="AJ4" s="36" t="str">
        <f>IFERROR(VLOOKUP(B4,MDB!A:AF,32,0),VLOOKUP(B4,Inactive!A:AF,32,0))</f>
        <v>Islam</v>
      </c>
      <c r="AK4" s="36">
        <f>IFERROR(VLOOKUP(B4,MDB!A:AG,33,0),VLOOKUP(B4,Inactive!A:AG,33,0))</f>
        <v>5058103473</v>
      </c>
      <c r="AL4" s="36" t="str">
        <f>IFERROR(VLOOKUP(B4,MDB!A:AH,34,0),VLOOKUP(B4,Inactive!A:AH,34,0))</f>
        <v>N/A</v>
      </c>
      <c r="AM4" s="36" t="str">
        <f>IFERROR(VLOOKUP(B4,MDB!A:AI,35,0),VLOOKUP(B4,Inactive!A:AI,35,0))</f>
        <v>B.S.S (Hon's)</v>
      </c>
      <c r="AN4" s="156" t="s">
        <v>7409</v>
      </c>
      <c r="AO4" s="41">
        <f>VLOOKUP(B4,Inactive!A:BI,61,0)</f>
        <v>45586</v>
      </c>
      <c r="AP4" s="34" t="str">
        <f>VLOOKUP(B4,Inactive!A:BH,60,0)</f>
        <v>Resignation</v>
      </c>
      <c r="AQ4" s="34" t="str">
        <f>VLOOKUP(B4,Inactive!A:BJ,62,0)</f>
        <v>Voluntary/Resign</v>
      </c>
    </row>
    <row r="5" ht="15.6">
      <c r="A5" s="34" t="e">
        <f>#REF!+1</f>
        <v>#REF!</v>
      </c>
      <c r="B5" s="4">
        <v>171383</v>
      </c>
      <c r="C5" s="35" t="str">
        <f>IFERROR(VLOOKUP(B5,MDB!A:D,4,0),VLOOKUP('MDB_Inactive List'!B5,Inactive!A:D,4,0))</f>
        <v>Rafiqul Islam</v>
      </c>
      <c r="D5" s="36" t="str">
        <f>IFERROR(VLOOKUP(B5,MDB!A:G,7,0),VLOOKUP(B5,Inactive!A:G,7,0))</f>
        <v>CSO</v>
      </c>
      <c r="E5" s="37">
        <f>IFERROR(VLOOKUP(B5,MDB!A:R,18,0),VLOOKUP(B5,Inactive!A:R,18,0))</f>
        <v>45371</v>
      </c>
      <c r="F5" s="36" t="str">
        <f>IFERROR(VLOOKUP(B5,MDB!A:H,8,0),VLOOKUP(B5,Inactive!A:H,8,0))</f>
        <v>Content Moderator</v>
      </c>
      <c r="G5" s="36" t="str">
        <f>IFERROR(VLOOKUP(B5,MDB!A:I,9,0),VLOOKUP(B5,Inactive!A:I,9,0))</f>
        <v>Operations</v>
      </c>
      <c r="H5" s="36" t="str">
        <f>IFERROR(VLOOKUP(B5,MDB!A:K,11,0),VLOOKUP(B5,Inactive!A:K,11,0))</f>
        <v>TEMU</v>
      </c>
      <c r="I5" s="36" t="str">
        <f>IFERROR(VLOOKUP(B5,MDB!A:J,10,0),VLOOKUP(B5,Inactive!A:J,10,0))</f>
        <v>BG Platform Governance Requirements</v>
      </c>
      <c r="J5" s="34" t="s">
        <v>7407</v>
      </c>
      <c r="K5" s="34" t="s">
        <v>7403</v>
      </c>
      <c r="L5" s="34" t="s">
        <v>7408</v>
      </c>
      <c r="M5" s="36" t="str">
        <f>IFERROR(VLOOKUP(B5,MDB!A:R,18,0),VLOOKUP(B5,Inactive!A:L,12,0))</f>
        <v>Fixed</v>
      </c>
      <c r="N5" s="36">
        <f>IFERROR(VLOOKUP(B5,MDB!A:R,18,0),VLOOKUP(B5,Inactive!A:BB,54,0))</f>
        <v>10800</v>
      </c>
      <c r="O5" s="36">
        <f>IFERROR(VLOOKUP(B5,MDB!A:R,18,0),VLOOKUP(B5,Inactive!A:BC,55,0))</f>
        <v>2700</v>
      </c>
      <c r="P5" s="36">
        <f>IFERROR(VLOOKUP(B5,MDB!A:R,18,0),VLOOKUP(B5,Inactive!A:BD,56,0))</f>
        <v>1000</v>
      </c>
      <c r="Q5" s="36" t="s">
        <v>7404</v>
      </c>
      <c r="R5" s="36">
        <v>25</v>
      </c>
      <c r="S5" s="36"/>
      <c r="T5" s="36"/>
      <c r="U5" s="36"/>
      <c r="V5" s="36" t="str">
        <f>IFERROR(VLOOKUP(B5,MDB!A:M,13,0),VLOOKUP(B5,Inactive!A:M,13,0))</f>
        <v>Mohammad Joshim</v>
      </c>
      <c r="W5" s="36" t="str">
        <f>IFERROR(VLOOKUP(B5,MDB!A:N,14,0),VLOOKUP(B5,Inactive!A:N,14,0))</f>
        <v>Asif Iqbal</v>
      </c>
      <c r="X5" s="36"/>
      <c r="Y5" s="36"/>
      <c r="Z5" s="36" t="str">
        <f>IFERROR(VLOOKUP(B5,MDB!A:AO,41,0),VLOOKUP(B5,Inactive!A:AO,41,0))</f>
        <v>Khilkhet kurmitola school road ,Dhaka 1229</v>
      </c>
      <c r="AA5" s="36" t="str">
        <f>IFERROR(VLOOKUP(B5,MDB!A:AP,42,0),VLOOKUP(B5,Inactive!A:AP,42,0))</f>
        <v>Vill- Charandhar manik, dist- Rajbari thana- Goalondoghat</v>
      </c>
      <c r="AB5" s="36" t="str">
        <f>IFERROR(VLOOKUP(B5,MDB!A:AQ,43,0),VLOOKUP(B5,Inactive!A:AQ,43,0))</f>
        <v>Khilkhet</v>
      </c>
      <c r="AC5" s="36">
        <f>IFERROR(VLOOKUP(B5,MDB!A:V,22,0),VLOOKUP(B5,Inactive!A:V,22,0))</f>
        <v>0</v>
      </c>
      <c r="AD5" s="36">
        <f>IFERROR(VLOOKUP(B5,MDB!A:W,24,0),VLOOKUP(B5,Inactive!A:X,24,0))</f>
        <v>1533418260</v>
      </c>
      <c r="AE5" s="36">
        <f>IFERROR(VLOOKUP(B5,MDB!A:AA,27,0),VLOOKUP(B5,Inactive!A:AA,27,0))</f>
        <v>1712027585</v>
      </c>
      <c r="AF5" s="36" t="str">
        <f>IFERROR(VLOOKUP(B5,MDB!A:Z,26,0),VLOOKUP(B5,Inactive!A:Z,26,0))</f>
        <v>Abul kalam</v>
      </c>
      <c r="AG5" s="36" t="str">
        <f>IFERROR(VLOOKUP(B5,MDB!A:E,5,0),VLOOKUP(B5,Inactive!A:E,5,0))</f>
        <v>Male</v>
      </c>
      <c r="AH5" s="37">
        <f>IFERROR(VLOOKUP(B5,MDB!A:AD,30,0),VLOOKUP(B5,Inactive!A:AD,30,0))</f>
        <v>36389</v>
      </c>
      <c r="AI5" s="36" t="str">
        <f>VLOOKUP(B5,Inactive!A:AC,29,0)</f>
        <v>O+</v>
      </c>
      <c r="AJ5" s="36" t="str">
        <f>IFERROR(VLOOKUP(B5,MDB!A:AF,32,0),VLOOKUP(B5,Inactive!A:AF,32,0))</f>
        <v>Islam</v>
      </c>
      <c r="AK5" s="36" t="str">
        <f>IFERROR(VLOOKUP(B5,MDB!A:AG,33,0),VLOOKUP(B5,Inactive!A:AG,33,0))</f>
        <v>N/A</v>
      </c>
      <c r="AL5" s="36" t="str">
        <f>IFERROR(VLOOKUP(B5,MDB!A:AH,34,0),VLOOKUP(B5,Inactive!A:AH,34,0))</f>
        <v>A05122988</v>
      </c>
      <c r="AM5" s="36" t="str">
        <f>IFERROR(VLOOKUP(B5,MDB!A:AI,35,0),VLOOKUP(B5,Inactive!A:AI,35,0))</f>
        <v>Hons</v>
      </c>
      <c r="AN5" s="156" t="s">
        <v>7409</v>
      </c>
      <c r="AO5" s="41">
        <f>VLOOKUP(B5,Inactive!A:BI,61,0)</f>
        <v>45589</v>
      </c>
      <c r="AP5" s="34" t="str">
        <f>VLOOKUP(B5,Inactive!A:BH,60,0)</f>
        <v>Resignation</v>
      </c>
      <c r="AQ5" s="34" t="str">
        <f>VLOOKUP(B5,Inactive!A:BJ,62,0)</f>
        <v>Better Opportunity</v>
      </c>
    </row>
    <row r="6" ht="15.6">
      <c r="A6" s="34" t="e">
        <f>#REF!+1</f>
        <v>#REF!</v>
      </c>
      <c r="B6" s="4">
        <v>171730</v>
      </c>
      <c r="C6" s="35" t="str">
        <f>IFERROR(VLOOKUP(B6,MDB!A:D,4,0),VLOOKUP('MDB_Inactive List'!B6,Inactive!A:D,4,0))</f>
        <v>Sadia Nasrin</v>
      </c>
      <c r="D6" s="36" t="str">
        <f>IFERROR(VLOOKUP(B6,MDB!A:G,7,0),VLOOKUP(B6,Inactive!A:G,7,0))</f>
        <v>CSO</v>
      </c>
      <c r="E6" s="37">
        <f>IFERROR(VLOOKUP(B6,MDB!A:R,18,0),VLOOKUP(B6,Inactive!A:R,18,0))</f>
        <v>45485</v>
      </c>
      <c r="F6" s="36" t="str">
        <f>IFERROR(VLOOKUP(B6,MDB!A:H,8,0),VLOOKUP(B6,Inactive!A:H,8,0))</f>
        <v>Content Moderator</v>
      </c>
      <c r="G6" s="36" t="str">
        <f>IFERROR(VLOOKUP(B6,MDB!A:I,9,0),VLOOKUP(B6,Inactive!A:I,9,0))</f>
        <v>Operations</v>
      </c>
      <c r="H6" s="36" t="str">
        <f>IFERROR(VLOOKUP(B6,MDB!A:K,11,0),VLOOKUP(B6,Inactive!A:K,11,0))</f>
        <v>TEMU</v>
      </c>
      <c r="I6" s="36" t="str">
        <f>IFERROR(VLOOKUP(B6,MDB!A:J,10,0),VLOOKUP(B6,Inactive!A:J,10,0))</f>
        <v>Beilei-Beauty</v>
      </c>
      <c r="J6" s="34" t="s">
        <v>7407</v>
      </c>
      <c r="K6" s="34" t="s">
        <v>7403</v>
      </c>
      <c r="L6" s="34" t="s">
        <v>7408</v>
      </c>
      <c r="M6" s="36" t="str">
        <f>IFERROR(VLOOKUP(B6,MDB!A:R,18,0),VLOOKUP(B6,Inactive!A:L,12,0))</f>
        <v>Fixed</v>
      </c>
      <c r="N6" s="36">
        <f>IFERROR(VLOOKUP(B6,MDB!A:R,18,0),VLOOKUP(B6,Inactive!A:BB,54,0))</f>
        <v>10800</v>
      </c>
      <c r="O6" s="36">
        <f>IFERROR(VLOOKUP(B6,MDB!A:R,18,0),VLOOKUP(B6,Inactive!A:BC,55,0))</f>
        <v>2700</v>
      </c>
      <c r="P6" s="36">
        <f>IFERROR(VLOOKUP(B6,MDB!A:R,18,0),VLOOKUP(B6,Inactive!A:BD,56,0))</f>
        <v>0</v>
      </c>
      <c r="Q6" s="36" t="s">
        <v>7404</v>
      </c>
      <c r="R6" s="36">
        <v>26</v>
      </c>
      <c r="S6" s="36"/>
      <c r="T6" s="36"/>
      <c r="U6" s="36"/>
      <c r="V6" s="36" t="str">
        <f>IFERROR(VLOOKUP(B6,MDB!A:M,13,0),VLOOKUP(B6,Inactive!A:M,13,0))</f>
        <v>Md. Moniruzzaman</v>
      </c>
      <c r="W6" s="36" t="str">
        <f>IFERROR(VLOOKUP(B6,MDB!A:N,14,0),VLOOKUP(B6,Inactive!A:N,14,0))</f>
        <v>Asif Iqbal</v>
      </c>
      <c r="X6" s="36"/>
      <c r="Y6" s="36"/>
      <c r="Z6" s="36" t="str">
        <f>IFERROR(VLOOKUP(B6,MDB!A:AO,41,0),VLOOKUP(B6,Inactive!A:AO,41,0))</f>
        <v>House-2664, Block-B, Sayednagar, Vatara, Dhaka-1212</v>
      </c>
      <c r="AA6" s="36" t="str">
        <f>IFERROR(VLOOKUP(B6,MDB!A:AP,42,0),VLOOKUP(B6,Inactive!A:AP,42,0))</f>
        <v>Vill: Majlishpur, P.O:Basantapur, Upazila:Rajbari Sadar, District:Rajbari</v>
      </c>
      <c r="AB6" s="36" t="str">
        <f>IFERROR(VLOOKUP(B6,MDB!A:AQ,43,0),VLOOKUP(B6,Inactive!A:AQ,43,0))</f>
        <v>Vatara</v>
      </c>
      <c r="AC6" s="36" t="str">
        <f>IFERROR(VLOOKUP(B6,MDB!A:V,22,0),VLOOKUP(B6,Inactive!A:V,22,0))</f>
        <v>NA</v>
      </c>
      <c r="AD6" s="36">
        <f>IFERROR(VLOOKUP(B6,MDB!A:W,24,0),VLOOKUP(B6,Inactive!A:X,24,0))</f>
        <v>1985091040</v>
      </c>
      <c r="AE6" s="36">
        <f>IFERROR(VLOOKUP(B6,MDB!A:AA,27,0),VLOOKUP(B6,Inactive!A:AA,27,0))</f>
        <v>1983913037</v>
      </c>
      <c r="AF6" s="36" t="str">
        <f>IFERROR(VLOOKUP(B6,MDB!A:Z,26,0),VLOOKUP(B6,Inactive!A:Z,26,0))</f>
        <v>Mustakim Ahmed</v>
      </c>
      <c r="AG6" s="36" t="str">
        <f>IFERROR(VLOOKUP(B6,MDB!A:E,5,0),VLOOKUP(B6,Inactive!A:E,5,0))</f>
        <v>Female</v>
      </c>
      <c r="AH6" s="37">
        <f>IFERROR(VLOOKUP(B6,MDB!A:AD,30,0),VLOOKUP(B6,Inactive!A:AD,30,0))</f>
        <v>35440</v>
      </c>
      <c r="AI6" s="36" t="str">
        <f>VLOOKUP(B6,Inactive!A:AC,29,0)</f>
        <v>A+</v>
      </c>
      <c r="AJ6" s="36" t="str">
        <f>IFERROR(VLOOKUP(B6,MDB!A:AF,32,0),VLOOKUP(B6,Inactive!A:AF,32,0))</f>
        <v>Islam</v>
      </c>
      <c r="AK6" s="36">
        <f>IFERROR(VLOOKUP(B6,MDB!A:AG,33,0),VLOOKUP(B6,Inactive!A:AG,33,0))</f>
        <v>9580508928</v>
      </c>
      <c r="AL6" s="36" t="str">
        <f>IFERROR(VLOOKUP(B6,MDB!A:AH,34,0),VLOOKUP(B6,Inactive!A:AH,34,0))</f>
        <v>N/A</v>
      </c>
      <c r="AM6" s="36" t="str">
        <f>IFERROR(VLOOKUP(B6,MDB!A:AI,35,0),VLOOKUP(B6,Inactive!A:AI,35,0))</f>
        <v>Master of Science (Msc)</v>
      </c>
      <c r="AN6" s="156" t="s">
        <v>7409</v>
      </c>
      <c r="AO6" s="41">
        <f>VLOOKUP(B6,Inactive!A:BI,61,0)</f>
        <v>45590</v>
      </c>
      <c r="AP6" s="34" t="str">
        <f>VLOOKUP(B6,Inactive!A:BH,60,0)</f>
        <v>Resignation</v>
      </c>
      <c r="AQ6" s="34" t="str">
        <f>VLOOKUP(B6,Inactive!A:BJ,62,0)</f>
        <v>Sickness issue</v>
      </c>
    </row>
    <row r="7" ht="15.6">
      <c r="A7" s="34" t="e">
        <f>#REF!+1</f>
        <v>#REF!</v>
      </c>
      <c r="B7" s="4">
        <v>171949</v>
      </c>
      <c r="C7" s="35" t="str">
        <f>IFERROR(VLOOKUP(B7,MDB!A:D,4,0),VLOOKUP('MDB_Inactive List'!B7,Inactive!A:D,4,0))</f>
        <v>Nadia Akhter Antora</v>
      </c>
      <c r="D7" s="36" t="str">
        <f>IFERROR(VLOOKUP(B7,MDB!A:G,7,0),VLOOKUP(B7,Inactive!A:G,7,0))</f>
        <v>CSO</v>
      </c>
      <c r="E7" s="37">
        <f>IFERROR(VLOOKUP(B7,MDB!A:R,18,0),VLOOKUP(B7,Inactive!A:R,18,0))</f>
        <v>45551</v>
      </c>
      <c r="F7" s="36" t="str">
        <f>IFERROR(VLOOKUP(B7,MDB!A:H,8,0),VLOOKUP(B7,Inactive!A:H,8,0))</f>
        <v>Content Modarator</v>
      </c>
      <c r="G7" s="36" t="str">
        <f>IFERROR(VLOOKUP(B7,MDB!A:I,9,0),VLOOKUP(B7,Inactive!A:I,9,0))</f>
        <v>Operations</v>
      </c>
      <c r="H7" s="36" t="str">
        <f>IFERROR(VLOOKUP(B7,MDB!A:K,11,0),VLOOKUP(B7,Inactive!A:K,11,0))</f>
        <v>Temu</v>
      </c>
      <c r="I7" s="36" t="str">
        <f>IFERROR(VLOOKUP(B7,MDB!A:J,10,0),VLOOKUP(B7,Inactive!A:J,10,0))</f>
        <v>Identification of the same product</v>
      </c>
      <c r="J7" s="34" t="s">
        <v>7407</v>
      </c>
      <c r="K7" s="34" t="s">
        <v>7403</v>
      </c>
      <c r="L7" s="34" t="s">
        <v>7408</v>
      </c>
      <c r="M7" s="36" t="str">
        <f>IFERROR(VLOOKUP(B7,MDB!A:R,18,0),VLOOKUP(B7,Inactive!A:L,12,0))</f>
        <v>Contractual</v>
      </c>
      <c r="N7" s="36">
        <f>IFERROR(VLOOKUP(B7,MDB!A:R,18,0),VLOOKUP(B7,Inactive!A:BB,54,0))</f>
        <v>10800</v>
      </c>
      <c r="O7" s="36">
        <f>IFERROR(VLOOKUP(B7,MDB!A:R,18,0),VLOOKUP(B7,Inactive!A:BC,55,0))</f>
        <v>2700</v>
      </c>
      <c r="P7" s="36">
        <f>IFERROR(VLOOKUP(B7,MDB!A:R,18,0),VLOOKUP(B7,Inactive!A:BD,56,0))</f>
        <v>0</v>
      </c>
      <c r="Q7" s="36" t="s">
        <v>7404</v>
      </c>
      <c r="R7" s="36">
        <v>27</v>
      </c>
      <c r="S7" s="36"/>
      <c r="T7" s="36"/>
      <c r="U7" s="36"/>
      <c r="V7" s="36" t="str">
        <f>IFERROR(VLOOKUP(B7,MDB!A:M,13,0),VLOOKUP(B7,Inactive!A:M,13,0))</f>
        <v>Md. Moniruzzaman</v>
      </c>
      <c r="W7" s="36" t="str">
        <f>IFERROR(VLOOKUP(B7,MDB!A:N,14,0),VLOOKUP(B7,Inactive!A:N,14,0))</f>
        <v>Asif Iqbal</v>
      </c>
      <c r="X7" s="36"/>
      <c r="Y7" s="36"/>
      <c r="Z7" s="36">
        <f>IFERROR(VLOOKUP(B7,MDB!A:AO,41,0),VLOOKUP(B7,Inactive!A:AO,41,0))</f>
        <v>0</v>
      </c>
      <c r="AA7" s="36">
        <f>IFERROR(VLOOKUP(B7,MDB!A:AP,42,0),VLOOKUP(B7,Inactive!A:AP,42,0))</f>
        <v>0</v>
      </c>
      <c r="AB7" s="36">
        <f>IFERROR(VLOOKUP(B7,MDB!A:AQ,43,0),VLOOKUP(B7,Inactive!A:AQ,43,0))</f>
        <v>0</v>
      </c>
      <c r="AC7" s="36">
        <f>IFERROR(VLOOKUP(B7,MDB!A:V,22,0),VLOOKUP(B7,Inactive!A:V,22,0))</f>
        <v>0</v>
      </c>
      <c r="AD7" s="36">
        <f>IFERROR(VLOOKUP(B7,MDB!A:W,24,0),VLOOKUP(B7,Inactive!A:X,24,0))</f>
        <v>0</v>
      </c>
      <c r="AE7" s="36">
        <f>IFERROR(VLOOKUP(B7,MDB!A:AA,27,0),VLOOKUP(B7,Inactive!A:AA,27,0))</f>
        <v>0</v>
      </c>
      <c r="AF7" s="36">
        <f>IFERROR(VLOOKUP(B7,MDB!A:Z,26,0),VLOOKUP(B7,Inactive!A:Z,26,0))</f>
        <v>0</v>
      </c>
      <c r="AG7" s="36" t="str">
        <f>IFERROR(VLOOKUP(B7,MDB!A:E,5,0),VLOOKUP(B7,Inactive!A:E,5,0))</f>
        <v>Female</v>
      </c>
      <c r="AH7" s="37">
        <f>IFERROR(VLOOKUP(B7,MDB!A:AD,30,0),VLOOKUP(B7,Inactive!A:AD,30,0))</f>
        <v>0</v>
      </c>
      <c r="AI7" s="36">
        <f>VLOOKUP(B7,Inactive!A:AC,29,0)</f>
        <v>0</v>
      </c>
      <c r="AJ7" s="36" t="str">
        <f>IFERROR(VLOOKUP(B7,MDB!A:AF,32,0),VLOOKUP(B7,Inactive!A:AF,32,0))</f>
        <v>Islam</v>
      </c>
      <c r="AK7" s="36">
        <f>IFERROR(VLOOKUP(B7,MDB!A:AG,33,0),VLOOKUP(B7,Inactive!A:AG,33,0))</f>
        <v>0</v>
      </c>
      <c r="AL7" s="36">
        <f>IFERROR(VLOOKUP(B7,MDB!A:AH,34,0),VLOOKUP(B7,Inactive!A:AH,34,0))</f>
        <v>0</v>
      </c>
      <c r="AM7" s="36">
        <f>IFERROR(VLOOKUP(B7,MDB!A:AI,35,0),VLOOKUP(B7,Inactive!A:AI,35,0))</f>
        <v>0</v>
      </c>
      <c r="AN7" s="156" t="s">
        <v>7409</v>
      </c>
      <c r="AO7" s="41">
        <f>VLOOKUP(B7,Inactive!A:BI,61,0)</f>
        <v>45589</v>
      </c>
      <c r="AP7" s="34" t="str">
        <f>VLOOKUP(B7,Inactive!A:BH,60,0)</f>
        <v>Resignation</v>
      </c>
      <c r="AQ7" s="34" t="str">
        <f>VLOOKUP(B7,Inactive!A:BJ,62,0)</f>
        <v>sickness </v>
      </c>
    </row>
    <row r="8" ht="15.6">
      <c r="A8" s="34" t="e">
        <f>#REF!+1</f>
        <v>#REF!</v>
      </c>
      <c r="B8" s="4">
        <v>171958</v>
      </c>
      <c r="C8" s="35" t="str">
        <f>IFERROR(VLOOKUP(B8,MDB!A:D,4,0),VLOOKUP('MDB_Inactive List'!B8,Inactive!A:D,4,0))</f>
        <v>Md Mominul Islam</v>
      </c>
      <c r="D8" s="36" t="str">
        <f>IFERROR(VLOOKUP(B8,MDB!A:G,7,0),VLOOKUP(B8,Inactive!A:G,7,0))</f>
        <v>CSO</v>
      </c>
      <c r="E8" s="37">
        <f>IFERROR(VLOOKUP(B8,MDB!A:R,18,0),VLOOKUP(B8,Inactive!A:R,18,0))</f>
        <v>45551</v>
      </c>
      <c r="F8" s="36" t="str">
        <f>IFERROR(VLOOKUP(B8,MDB!A:H,8,0),VLOOKUP(B8,Inactive!A:H,8,0))</f>
        <v>Content Modarator</v>
      </c>
      <c r="G8" s="36" t="str">
        <f>IFERROR(VLOOKUP(B8,MDB!A:I,9,0),VLOOKUP(B8,Inactive!A:I,9,0))</f>
        <v>Operations</v>
      </c>
      <c r="H8" s="36" t="str">
        <f>IFERROR(VLOOKUP(B8,MDB!A:K,11,0),VLOOKUP(B8,Inactive!A:K,11,0))</f>
        <v>Temu</v>
      </c>
      <c r="I8" s="36" t="str">
        <f>IFERROR(VLOOKUP(B8,MDB!A:J,10,0),VLOOKUP(B8,Inactive!A:J,10,0))</f>
        <v>Identification of the same product</v>
      </c>
      <c r="J8" s="34" t="s">
        <v>7407</v>
      </c>
      <c r="K8" s="34" t="s">
        <v>7403</v>
      </c>
      <c r="L8" s="34" t="s">
        <v>7408</v>
      </c>
      <c r="M8" s="36" t="str">
        <f>IFERROR(VLOOKUP(B8,MDB!A:R,18,0),VLOOKUP(B8,Inactive!A:L,12,0))</f>
        <v>Contractual</v>
      </c>
      <c r="N8" s="36">
        <f>IFERROR(VLOOKUP(B8,MDB!A:R,18,0),VLOOKUP(B8,Inactive!A:BB,54,0))</f>
        <v>10800</v>
      </c>
      <c r="O8" s="36">
        <f>IFERROR(VLOOKUP(B8,MDB!A:R,18,0),VLOOKUP(B8,Inactive!A:BC,55,0))</f>
        <v>2700</v>
      </c>
      <c r="P8" s="36">
        <f>IFERROR(VLOOKUP(B8,MDB!A:R,18,0),VLOOKUP(B8,Inactive!A:BD,56,0))</f>
        <v>0</v>
      </c>
      <c r="Q8" s="36" t="s">
        <v>7404</v>
      </c>
      <c r="R8" s="36">
        <v>28</v>
      </c>
      <c r="S8" s="36"/>
      <c r="T8" s="36"/>
      <c r="U8" s="36"/>
      <c r="V8" s="36" t="str">
        <f>IFERROR(VLOOKUP(B8,MDB!A:M,13,0),VLOOKUP(B8,Inactive!A:M,13,0))</f>
        <v>Halima akter</v>
      </c>
      <c r="W8" s="36" t="str">
        <f>IFERROR(VLOOKUP(B8,MDB!A:N,14,0),VLOOKUP(B8,Inactive!A:N,14,0))</f>
        <v>Asif Iqbal</v>
      </c>
      <c r="X8" s="36"/>
      <c r="Y8" s="36"/>
      <c r="Z8" s="36">
        <f>IFERROR(VLOOKUP(B8,MDB!A:AO,41,0),VLOOKUP(B8,Inactive!A:AO,41,0))</f>
        <v>0</v>
      </c>
      <c r="AA8" s="36">
        <f>IFERROR(VLOOKUP(B8,MDB!A:AP,42,0),VLOOKUP(B8,Inactive!A:AP,42,0))</f>
        <v>0</v>
      </c>
      <c r="AB8" s="36">
        <f>IFERROR(VLOOKUP(B8,MDB!A:AQ,43,0),VLOOKUP(B8,Inactive!A:AQ,43,0))</f>
        <v>0</v>
      </c>
      <c r="AC8" s="36">
        <f>IFERROR(VLOOKUP(B8,MDB!A:V,22,0),VLOOKUP(B8,Inactive!A:V,22,0))</f>
        <v>0</v>
      </c>
      <c r="AD8" s="36">
        <f>IFERROR(VLOOKUP(B8,MDB!A:W,24,0),VLOOKUP(B8,Inactive!A:X,24,0))</f>
        <v>0</v>
      </c>
      <c r="AE8" s="36">
        <f>IFERROR(VLOOKUP(B8,MDB!A:AA,27,0),VLOOKUP(B8,Inactive!A:AA,27,0))</f>
        <v>0</v>
      </c>
      <c r="AF8" s="36">
        <f>IFERROR(VLOOKUP(B8,MDB!A:Z,26,0),VLOOKUP(B8,Inactive!A:Z,26,0))</f>
        <v>0</v>
      </c>
      <c r="AG8" s="36" t="str">
        <f>IFERROR(VLOOKUP(B8,MDB!A:E,5,0),VLOOKUP(B8,Inactive!A:E,5,0))</f>
        <v>Male</v>
      </c>
      <c r="AH8" s="37">
        <f>IFERROR(VLOOKUP(B8,MDB!A:AD,30,0),VLOOKUP(B8,Inactive!A:AD,30,0))</f>
        <v>0</v>
      </c>
      <c r="AI8" s="36">
        <f>VLOOKUP(B8,Inactive!A:AC,29,0)</f>
        <v>0</v>
      </c>
      <c r="AJ8" s="36" t="str">
        <f>IFERROR(VLOOKUP(B8,MDB!A:AF,32,0),VLOOKUP(B8,Inactive!A:AF,32,0))</f>
        <v>Islam</v>
      </c>
      <c r="AK8" s="36">
        <f>IFERROR(VLOOKUP(B8,MDB!A:AG,33,0),VLOOKUP(B8,Inactive!A:AG,33,0))</f>
        <v>0</v>
      </c>
      <c r="AL8" s="36">
        <f>IFERROR(VLOOKUP(B8,MDB!A:AH,34,0),VLOOKUP(B8,Inactive!A:AH,34,0))</f>
        <v>0</v>
      </c>
      <c r="AM8" s="36">
        <f>IFERROR(VLOOKUP(B8,MDB!A:AI,35,0),VLOOKUP(B8,Inactive!A:AI,35,0))</f>
        <v>0</v>
      </c>
      <c r="AN8" s="156" t="s">
        <v>7409</v>
      </c>
      <c r="AO8" s="41">
        <f>VLOOKUP(B8,Inactive!A:BI,61,0)</f>
        <v>45586</v>
      </c>
      <c r="AP8" s="34" t="str">
        <f>VLOOKUP(B8,Inactive!A:BH,60,0)</f>
        <v>Resignation</v>
      </c>
      <c r="AQ8" s="34" t="str">
        <f>VLOOKUP(B8,Inactive!A:BJ,62,0)</f>
        <v>Graduate</v>
      </c>
    </row>
    <row r="9" ht="15.6">
      <c r="A9" s="34" t="e">
        <f>#REF!+1</f>
        <v>#REF!</v>
      </c>
      <c r="B9" s="4">
        <v>171961</v>
      </c>
      <c r="C9" s="35" t="str">
        <f>IFERROR(VLOOKUP(B9,MDB!A:D,4,0),VLOOKUP('MDB_Inactive List'!B9,Inactive!A:D,4,0))</f>
        <v>Refat Hosen</v>
      </c>
      <c r="D9" s="36" t="str">
        <f>IFERROR(VLOOKUP(B9,MDB!A:G,7,0),VLOOKUP(B9,Inactive!A:G,7,0))</f>
        <v>CSO</v>
      </c>
      <c r="E9" s="37">
        <f>IFERROR(VLOOKUP(B9,MDB!A:R,18,0),VLOOKUP(B9,Inactive!A:R,18,0))</f>
        <v>45560</v>
      </c>
      <c r="F9" s="36" t="str">
        <f>IFERROR(VLOOKUP(B9,MDB!A:H,8,0),VLOOKUP(B9,Inactive!A:H,8,0))</f>
        <v>Content Modarator</v>
      </c>
      <c r="G9" s="36" t="str">
        <f>IFERROR(VLOOKUP(B9,MDB!A:I,9,0),VLOOKUP(B9,Inactive!A:I,9,0))</f>
        <v>Operations</v>
      </c>
      <c r="H9" s="36" t="str">
        <f>IFERROR(VLOOKUP(B9,MDB!A:K,11,0),VLOOKUP(B9,Inactive!A:K,11,0))</f>
        <v>Temu</v>
      </c>
      <c r="I9" s="36" t="str">
        <f>IFERROR(VLOOKUP(B9,MDB!A:J,10,0),VLOOKUP(B9,Inactive!A:J,10,0))</f>
        <v>BG Platform Governance Requirements</v>
      </c>
      <c r="J9" s="34" t="s">
        <v>7407</v>
      </c>
      <c r="K9" s="34" t="s">
        <v>7403</v>
      </c>
      <c r="L9" s="34" t="s">
        <v>7408</v>
      </c>
      <c r="M9" s="36">
        <f>IFERROR(VLOOKUP(B9,MDB!A:R,18,0),VLOOKUP(B9,Inactive!A:L,12,0))</f>
        <v>45560</v>
      </c>
      <c r="N9" s="36">
        <f>IFERROR(VLOOKUP(B9,MDB!A:R,18,0),VLOOKUP(B9,Inactive!A:BB,54,0))</f>
        <v>45560</v>
      </c>
      <c r="O9" s="36">
        <f>IFERROR(VLOOKUP(B9,MDB!A:R,18,0),VLOOKUP(B9,Inactive!A:BC,55,0))</f>
        <v>45560</v>
      </c>
      <c r="P9" s="36">
        <f>IFERROR(VLOOKUP(B9,MDB!A:R,18,0),VLOOKUP(B9,Inactive!A:BD,56,0))</f>
        <v>45560</v>
      </c>
      <c r="Q9" s="36" t="s">
        <v>7404</v>
      </c>
      <c r="R9" s="36">
        <v>29</v>
      </c>
      <c r="S9" s="36"/>
      <c r="T9" s="36"/>
      <c r="U9" s="36"/>
      <c r="V9" s="36" t="str">
        <f>IFERROR(VLOOKUP(B9,MDB!A:M,13,0),VLOOKUP(B9,Inactive!A:M,13,0))</f>
        <v>Abu MD. Rifat Imtiaz</v>
      </c>
      <c r="W9" s="36" t="str">
        <f>IFERROR(VLOOKUP(B9,MDB!A:N,14,0),VLOOKUP(B9,Inactive!A:N,14,0))</f>
        <v>Asif Iqbal</v>
      </c>
      <c r="X9" s="36"/>
      <c r="Y9" s="36"/>
      <c r="Z9" s="36" t="str">
        <f>IFERROR(VLOOKUP(B9,MDB!A:AO,41,0),VLOOKUP(B9,Inactive!A:AO,41,0))</f>
        <v>Moddha Para, Khilkhet, Dhaka-1229</v>
      </c>
      <c r="AA9" s="36" t="str">
        <f>IFERROR(VLOOKUP(B9,MDB!A:AP,42,0),VLOOKUP(B9,Inactive!A:AP,42,0))</f>
        <v>Shariatpur Sadar, Shariatpur</v>
      </c>
      <c r="AB9" s="36" t="str">
        <f>IFERROR(VLOOKUP(B9,MDB!A:AQ,43,0),VLOOKUP(B9,Inactive!A:AQ,43,0))</f>
        <v>Khilkhet</v>
      </c>
      <c r="AC9" s="36" t="str">
        <f>IFERROR(VLOOKUP(B9,MDB!A:V,22,0),VLOOKUP(B9,Inactive!A:V,22,0))</f>
        <v>NA</v>
      </c>
      <c r="AD9" s="36">
        <f>IFERROR(VLOOKUP(B9,MDB!A:W,24,0),VLOOKUP(B9,Inactive!A:X,24,0))</f>
        <v>1941074197</v>
      </c>
      <c r="AE9" s="36">
        <f>IFERROR(VLOOKUP(B9,MDB!A:AA,27,0),VLOOKUP(B9,Inactive!A:AA,27,0))</f>
        <v>1518792539</v>
      </c>
      <c r="AF9" s="36" t="str">
        <f>IFERROR(VLOOKUP(B9,MDB!A:Z,26,0),VLOOKUP(B9,Inactive!A:Z,26,0))</f>
        <v>Dulal Mia</v>
      </c>
      <c r="AG9" s="36" t="str">
        <f>IFERROR(VLOOKUP(B9,MDB!A:E,5,0),VLOOKUP(B9,Inactive!A:E,5,0))</f>
        <v>Male</v>
      </c>
      <c r="AH9" s="37">
        <f>IFERROR(VLOOKUP(B9,MDB!A:AD,30,0),VLOOKUP(B9,Inactive!A:AD,30,0))</f>
        <v>35796</v>
      </c>
      <c r="AI9" s="36" t="str">
        <f>VLOOKUP(B9,Inactive!A:AC,29,0)</f>
        <v>o+</v>
      </c>
      <c r="AJ9" s="36" t="str">
        <f>IFERROR(VLOOKUP(B9,MDB!A:AF,32,0),VLOOKUP(B9,Inactive!A:AF,32,0))</f>
        <v>Islam</v>
      </c>
      <c r="AK9" s="36">
        <f>IFERROR(VLOOKUP(B9,MDB!A:AG,33,0),VLOOKUP(B9,Inactive!A:AG,33,0))</f>
        <v>1952841409</v>
      </c>
      <c r="AL9" s="36" t="str">
        <f>IFERROR(VLOOKUP(B9,MDB!A:AH,34,0),VLOOKUP(B9,Inactive!A:AH,34,0))</f>
        <v>NA</v>
      </c>
      <c r="AM9" s="36" t="str">
        <f>IFERROR(VLOOKUP(B9,MDB!A:AI,35,0),VLOOKUP(B9,Inactive!A:AI,35,0))</f>
        <v>Graduate</v>
      </c>
      <c r="AN9" s="156" t="s">
        <v>7409</v>
      </c>
      <c r="AO9" s="41">
        <f>VLOOKUP(B9,Inactive!A:BI,61,0)</f>
        <v>45581</v>
      </c>
      <c r="AP9" s="34" t="str">
        <f>VLOOKUP(B9,Inactive!A:BH,60,0)</f>
        <v>Resignation</v>
      </c>
      <c r="AQ9" s="34" t="str">
        <f>VLOOKUP(B9,Inactive!A:BJ,62,0)</f>
        <v>Voluntary/Resign</v>
      </c>
    </row>
    <row r="10" ht="15.6">
      <c r="A10" s="34" t="e">
        <f>#REF!+1</f>
        <v>#REF!</v>
      </c>
      <c r="B10" s="4">
        <v>171221</v>
      </c>
      <c r="C10" s="35" t="str">
        <f>IFERROR(VLOOKUP(B10,MDB!A:D,4,0),VLOOKUP('MDB_Inactive List'!B10,Inactive!A:D,4,0))</f>
        <v>Sayema Akther</v>
      </c>
      <c r="D10" s="36" t="str">
        <f>IFERROR(VLOOKUP(B10,MDB!A:G,7,0),VLOOKUP(B10,Inactive!A:G,7,0))</f>
        <v>CSO</v>
      </c>
      <c r="E10" s="37">
        <f>IFERROR(VLOOKUP(B10,MDB!A:R,18,0),VLOOKUP(B10,Inactive!A:R,18,0))</f>
        <v>45256</v>
      </c>
      <c r="F10" s="36" t="str">
        <f>IFERROR(VLOOKUP(B10,MDB!A:H,8,0),VLOOKUP(B10,Inactive!A:H,8,0))</f>
        <v>Content Moderator</v>
      </c>
      <c r="G10" s="36" t="str">
        <f>IFERROR(VLOOKUP(B10,MDB!A:I,9,0),VLOOKUP(B10,Inactive!A:I,9,0))</f>
        <v>Operations</v>
      </c>
      <c r="H10" s="36" t="str">
        <f>IFERROR(VLOOKUP(B10,MDB!A:K,11,0),VLOOKUP(B10,Inactive!A:K,11,0))</f>
        <v>TEMU</v>
      </c>
      <c r="I10" s="36" t="str">
        <f>IFERROR(VLOOKUP(B10,MDB!A:J,10,0),VLOOKUP(B10,Inactive!A:J,10,0))</f>
        <v>Sports &amp; shoes &amp; bags &amp; special women clothing</v>
      </c>
      <c r="J10" s="34" t="s">
        <v>7407</v>
      </c>
      <c r="K10" s="34" t="s">
        <v>7403</v>
      </c>
      <c r="L10" s="34" t="s">
        <v>7408</v>
      </c>
      <c r="M10" s="36" t="str">
        <f>IFERROR(VLOOKUP(B10,MDB!A:R,18,0),VLOOKUP(B10,Inactive!A:L,12,0))</f>
        <v>Fixed</v>
      </c>
      <c r="N10" s="36">
        <f>IFERROR(VLOOKUP(B10,MDB!A:R,18,0),VLOOKUP(B10,Inactive!A:BB,54,0))</f>
        <v>10800</v>
      </c>
      <c r="O10" s="36">
        <f>IFERROR(VLOOKUP(B10,MDB!A:R,18,0),VLOOKUP(B10,Inactive!A:BC,55,0))</f>
        <v>2700</v>
      </c>
      <c r="P10" s="36">
        <f>IFERROR(VLOOKUP(B10,MDB!A:R,18,0),VLOOKUP(B10,Inactive!A:BD,56,0))</f>
        <v>0</v>
      </c>
      <c r="Q10" s="36" t="s">
        <v>7404</v>
      </c>
      <c r="R10" s="36">
        <v>30</v>
      </c>
      <c r="S10" s="36"/>
      <c r="T10" s="36"/>
      <c r="U10" s="36"/>
      <c r="V10" s="36" t="e">
        <f>IFERROR(VLOOKUP(B10,MDB!A:M,13,0),VLOOKUP(B10,Inactive!A:M,13,0))</f>
        <v>#N/A</v>
      </c>
      <c r="W10" s="36" t="str">
        <f>IFERROR(VLOOKUP(B10,MDB!A:N,14,0),VLOOKUP(B10,Inactive!A:N,14,0))</f>
        <v>Asif Iqbal</v>
      </c>
      <c r="X10" s="36"/>
      <c r="Y10" s="36"/>
      <c r="Z10" s="36" t="str">
        <f>IFERROR(VLOOKUP(B10,MDB!A:AO,41,0),VLOOKUP(B10,Inactive!A:AO,41,0))</f>
        <v>KHA-84/2/A TALERTAK SOUTH NAMAPARA KHILKHAT,DHAKA-1229</v>
      </c>
      <c r="AA10" s="36" t="str">
        <f>IFERROR(VLOOKUP(B10,MDB!A:AP,42,0),VLOOKUP(B10,Inactive!A:AP,42,0))</f>
        <v>South Keroa,Raipur,Lakshmipur</v>
      </c>
      <c r="AB10" s="36" t="str">
        <f>IFERROR(VLOOKUP(B10,MDB!A:AQ,43,0),VLOOKUP(B10,Inactive!A:AQ,43,0))</f>
        <v>Khilkhet</v>
      </c>
      <c r="AC10" s="36">
        <f>IFERROR(VLOOKUP(B10,MDB!A:V,22,0),VLOOKUP(B10,Inactive!A:V,22,0))</f>
        <v>0</v>
      </c>
      <c r="AD10" s="36">
        <f>IFERROR(VLOOKUP(B10,MDB!A:W,24,0),VLOOKUP(B10,Inactive!A:X,24,0))</f>
        <v>1748704576</v>
      </c>
      <c r="AE10" s="36">
        <f>IFERROR(VLOOKUP(B10,MDB!A:AA,27,0),VLOOKUP(B10,Inactive!A:AA,27,0))</f>
        <v>1704744049</v>
      </c>
      <c r="AF10" s="36" t="str">
        <f>IFERROR(VLOOKUP(B10,MDB!A:Z,26,0),VLOOKUP(B10,Inactive!A:Z,26,0))</f>
        <v>Pasoara Begum</v>
      </c>
      <c r="AG10" s="36" t="str">
        <f>IFERROR(VLOOKUP(B10,MDB!A:E,5,0),VLOOKUP(B10,Inactive!A:E,5,0))</f>
        <v>Female</v>
      </c>
      <c r="AH10" s="37">
        <f>IFERROR(VLOOKUP(B10,MDB!A:AD,30,0),VLOOKUP(B10,Inactive!A:AD,30,0))</f>
        <v>35643</v>
      </c>
      <c r="AI10" s="36" t="str">
        <f>VLOOKUP(B10,Inactive!A:AC,29,0)</f>
        <v>O+</v>
      </c>
      <c r="AJ10" s="36" t="str">
        <f>IFERROR(VLOOKUP(B10,MDB!A:AF,32,0),VLOOKUP(B10,Inactive!A:AF,32,0))</f>
        <v>Islam</v>
      </c>
      <c r="AK10" s="36">
        <f>IFERROR(VLOOKUP(B10,MDB!A:AG,33,0),VLOOKUP(B10,Inactive!A:AG,33,0))</f>
        <v>3752634240</v>
      </c>
      <c r="AL10" s="36" t="str">
        <f>IFERROR(VLOOKUP(B10,MDB!A:AH,34,0),VLOOKUP(B10,Inactive!A:AH,34,0))</f>
        <v>N/A</v>
      </c>
      <c r="AM10" s="36" t="str">
        <f>IFERROR(VLOOKUP(B10,MDB!A:AI,35,0),VLOOKUP(B10,Inactive!A:AI,35,0))</f>
        <v>Professional BBA</v>
      </c>
      <c r="AN10" s="156" t="s">
        <v>7409</v>
      </c>
      <c r="AO10" s="41">
        <f>VLOOKUP(B10,Inactive!A:BI,61,0)</f>
        <v>45589</v>
      </c>
      <c r="AP10" s="34" t="str">
        <f>VLOOKUP(B10,Inactive!A:BH,60,0)</f>
        <v>Resignation</v>
      </c>
      <c r="AQ10" s="34" t="str">
        <f>VLOOKUP(B10,Inactive!A:BJ,62,0)</f>
        <v>Family issue</v>
      </c>
    </row>
    <row r="11" ht="15.6">
      <c r="A11" s="34" t="e">
        <f>#REF!+1</f>
        <v>#REF!</v>
      </c>
      <c r="B11" s="207">
        <v>171707</v>
      </c>
      <c r="C11" s="35" t="str">
        <f>IFERROR(VLOOKUP(B11,MDB!A:D,4,0),VLOOKUP('MDB_Inactive List'!B11,Inactive!A:D,4,0))</f>
        <v>Rony Mia</v>
      </c>
      <c r="D11" s="36" t="str">
        <f>IFERROR(VLOOKUP(B11,MDB!A:G,7,0),VLOOKUP(B11,Inactive!A:G,7,0))</f>
        <v>CSO</v>
      </c>
      <c r="E11" s="37">
        <f>IFERROR(VLOOKUP(B11,MDB!A:R,18,0),VLOOKUP(B11,Inactive!A:R,18,0))</f>
        <v>45490</v>
      </c>
      <c r="F11" s="36" t="str">
        <f>IFERROR(VLOOKUP(B11,MDB!A:H,8,0),VLOOKUP(B11,Inactive!A:H,8,0))</f>
        <v>Content Moderator</v>
      </c>
      <c r="G11" s="36" t="str">
        <f>IFERROR(VLOOKUP(B11,MDB!A:I,9,0),VLOOKUP(B11,Inactive!A:I,9,0))</f>
        <v>Operations</v>
      </c>
      <c r="H11" s="36" t="str">
        <f>IFERROR(VLOOKUP(B11,MDB!A:K,11,0),VLOOKUP(B11,Inactive!A:K,11,0))</f>
        <v>TEMU</v>
      </c>
      <c r="I11" s="36" t="str">
        <f>IFERROR(VLOOKUP(B11,MDB!A:J,10,0),VLOOKUP(B11,Inactive!A:J,10,0))</f>
        <v>BG Platform Governance Requirements</v>
      </c>
      <c r="J11" s="34" t="s">
        <v>7407</v>
      </c>
      <c r="K11" s="34" t="s">
        <v>7403</v>
      </c>
      <c r="L11" s="34" t="s">
        <v>7408</v>
      </c>
      <c r="M11" s="36" t="str">
        <f>IFERROR(VLOOKUP(B11,MDB!A:R,18,0),VLOOKUP(B11,Inactive!A:L,12,0))</f>
        <v>Fixed</v>
      </c>
      <c r="N11" s="36">
        <f>IFERROR(VLOOKUP(B11,MDB!A:R,18,0),VLOOKUP(B11,Inactive!A:BB,54,0))</f>
        <v>10800</v>
      </c>
      <c r="O11" s="36">
        <f>IFERROR(VLOOKUP(B11,MDB!A:R,18,0),VLOOKUP(B11,Inactive!A:BC,55,0))</f>
        <v>2700</v>
      </c>
      <c r="P11" s="36">
        <f>IFERROR(VLOOKUP(B11,MDB!A:R,18,0),VLOOKUP(B11,Inactive!A:BD,56,0))</f>
        <v>1000</v>
      </c>
      <c r="Q11" s="36" t="s">
        <v>7404</v>
      </c>
      <c r="R11" s="36">
        <v>31</v>
      </c>
      <c r="S11" s="36"/>
      <c r="T11" s="36"/>
      <c r="U11" s="36"/>
      <c r="V11" s="36" t="e">
        <f>IFERROR(VLOOKUP(B11,MDB!A:M,13,0),VLOOKUP(B11,Inactive!A:M,13,0))</f>
        <v>#N/A</v>
      </c>
      <c r="W11" s="36" t="str">
        <f>IFERROR(VLOOKUP(B11,MDB!A:N,14,0),VLOOKUP(B11,Inactive!A:N,14,0))</f>
        <v>Asif Iqbal</v>
      </c>
      <c r="X11" s="36"/>
      <c r="Y11" s="36"/>
      <c r="Z11" s="36" t="str">
        <f>IFERROR(VLOOKUP(B11,MDB!A:AO,41,0),VLOOKUP(B11,Inactive!A:AO,41,0))</f>
        <v>29 ARAMBAGH, MOTIHJEEL- DHAKA-1000</v>
      </c>
      <c r="AA11" s="36" t="str">
        <f>IFERROR(VLOOKUP(B11,MDB!A:AP,42,0),VLOOKUP(B11,Inactive!A:AP,42,0))</f>
        <v>VILLAGE: GONKA BAGAN PARA THANA: CHAPAI NAWABGANJ POST: CHAPAI NAWABGANJ P0ST CODE: 6300 DISTRICT: CHAPAI NAWABGANJ</v>
      </c>
      <c r="AB11" s="36" t="str">
        <f>IFERROR(VLOOKUP(B11,MDB!A:AQ,43,0),VLOOKUP(B11,Inactive!A:AQ,43,0))</f>
        <v>ARAMBAGH</v>
      </c>
      <c r="AC11" s="36">
        <f>IFERROR(VLOOKUP(B11,MDB!A:V,22,0),VLOOKUP(B11,Inactive!A:V,22,0))</f>
        <v>0</v>
      </c>
      <c r="AD11" s="36">
        <f>IFERROR(VLOOKUP(B11,MDB!A:W,24,0),VLOOKUP(B11,Inactive!A:X,24,0))</f>
        <v>1798430138</v>
      </c>
      <c r="AE11" s="36">
        <f>IFERROR(VLOOKUP(B11,MDB!A:AA,27,0),VLOOKUP(B11,Inactive!A:AA,27,0))</f>
        <v>1746024655</v>
      </c>
      <c r="AF11" s="36" t="str">
        <f>IFERROR(VLOOKUP(B11,MDB!A:Z,26,0),VLOOKUP(B11,Inactive!A:Z,26,0))</f>
        <v>MST. OSEFA BEGUM</v>
      </c>
      <c r="AG11" s="36" t="str">
        <f>IFERROR(VLOOKUP(B11,MDB!A:E,5,0),VLOOKUP(B11,Inactive!A:E,5,0))</f>
        <v>Male</v>
      </c>
      <c r="AH11" s="37">
        <f>IFERROR(VLOOKUP(B11,MDB!A:AD,30,0),VLOOKUP(B11,Inactive!A:AD,30,0))</f>
        <v>36139</v>
      </c>
      <c r="AI11" s="36" t="str">
        <f>VLOOKUP(B11,Inactive!A:AC,29,0)</f>
        <v>O+</v>
      </c>
      <c r="AJ11" s="36" t="str">
        <f>IFERROR(VLOOKUP(B11,MDB!A:AF,32,0),VLOOKUP(B11,Inactive!A:AF,32,0))</f>
        <v>Islam</v>
      </c>
      <c r="AK11" s="36">
        <f>IFERROR(VLOOKUP(B11,MDB!A:AG,33,0),VLOOKUP(B11,Inactive!A:AG,33,0))</f>
        <v>7807090563</v>
      </c>
      <c r="AL11" s="36" t="str">
        <f>IFERROR(VLOOKUP(B11,MDB!A:AH,34,0),VLOOKUP(B11,Inactive!A:AH,34,0))</f>
        <v>N/A</v>
      </c>
      <c r="AM11" s="36" t="str">
        <f>IFERROR(VLOOKUP(B11,MDB!A:AI,35,0),VLOOKUP(B11,Inactive!A:AI,35,0))</f>
        <v>GRADUATION</v>
      </c>
      <c r="AN11" s="156" t="s">
        <v>7409</v>
      </c>
      <c r="AO11" s="41">
        <f>VLOOKUP(B11,Inactive!A:BI,61,0)</f>
        <v>45589</v>
      </c>
      <c r="AP11" s="34" t="str">
        <f>VLOOKUP(B11,Inactive!A:BH,60,0)</f>
        <v>Resignation</v>
      </c>
      <c r="AQ11" s="34" t="str">
        <f>VLOOKUP(B11,Inactive!A:BJ,62,0)</f>
        <v>Better Opportunity</v>
      </c>
    </row>
    <row r="12" ht="15.6">
      <c r="A12" s="34" t="e">
        <f>#REF!+1</f>
        <v>#REF!</v>
      </c>
      <c r="B12" s="207">
        <v>171796</v>
      </c>
      <c r="C12" s="35" t="str">
        <f>IFERROR(VLOOKUP(B12,MDB!A:D,4,0),VLOOKUP('MDB_Inactive List'!B12,Inactive!A:D,4,0))</f>
        <v>Shahriar Ahmed</v>
      </c>
      <c r="D12" s="36" t="str">
        <f>IFERROR(VLOOKUP(B12,MDB!A:G,7,0),VLOOKUP(B12,Inactive!A:G,7,0))</f>
        <v>CSO</v>
      </c>
      <c r="E12" s="37">
        <f>IFERROR(VLOOKUP(B12,MDB!A:R,18,0),VLOOKUP(B12,Inactive!A:R,18,0))</f>
        <v>45504</v>
      </c>
      <c r="F12" s="36" t="str">
        <f>IFERROR(VLOOKUP(B12,MDB!A:H,8,0),VLOOKUP(B12,Inactive!A:H,8,0))</f>
        <v>Content Moderator</v>
      </c>
      <c r="G12" s="36" t="str">
        <f>IFERROR(VLOOKUP(B12,MDB!A:I,9,0),VLOOKUP(B12,Inactive!A:I,9,0))</f>
        <v>Operations</v>
      </c>
      <c r="H12" s="36" t="str">
        <f>IFERROR(VLOOKUP(B12,MDB!A:K,11,0),VLOOKUP(B12,Inactive!A:K,11,0))</f>
        <v>TEMU</v>
      </c>
      <c r="I12" s="36" t="str">
        <f>IFERROR(VLOOKUP(B12,MDB!A:J,10,0),VLOOKUP(B12,Inactive!A:J,10,0))</f>
        <v>Identification of the same product  </v>
      </c>
      <c r="J12" s="34" t="s">
        <v>7407</v>
      </c>
      <c r="K12" s="34" t="s">
        <v>7403</v>
      </c>
      <c r="L12" s="34" t="s">
        <v>7408</v>
      </c>
      <c r="M12" s="36" t="str">
        <f>IFERROR(VLOOKUP(B12,MDB!A:R,18,0),VLOOKUP(B12,Inactive!A:L,12,0))</f>
        <v>Fixed</v>
      </c>
      <c r="N12" s="36">
        <f>IFERROR(VLOOKUP(B12,MDB!A:R,18,0),VLOOKUP(B12,Inactive!A:BB,54,0))</f>
        <v>10800</v>
      </c>
      <c r="O12" s="36">
        <f>IFERROR(VLOOKUP(B12,MDB!A:R,18,0),VLOOKUP(B12,Inactive!A:BC,55,0))</f>
        <v>2700</v>
      </c>
      <c r="P12" s="36">
        <f>IFERROR(VLOOKUP(B12,MDB!A:R,18,0),VLOOKUP(B12,Inactive!A:BD,56,0))</f>
        <v>0</v>
      </c>
      <c r="Q12" s="36" t="s">
        <v>7404</v>
      </c>
      <c r="R12" s="36">
        <v>32</v>
      </c>
      <c r="S12" s="36"/>
      <c r="T12" s="36"/>
      <c r="U12" s="36"/>
      <c r="V12" s="36" t="str">
        <f>IFERROR(VLOOKUP(B12,MDB!A:M,13,0),VLOOKUP(B12,Inactive!A:M,13,0))</f>
        <v>Halima akter</v>
      </c>
      <c r="W12" s="36" t="str">
        <f>IFERROR(VLOOKUP(B12,MDB!A:N,14,0),VLOOKUP(B12,Inactive!A:N,14,0))</f>
        <v>Asif Iqbal</v>
      </c>
      <c r="X12" s="36"/>
      <c r="Y12" s="36"/>
      <c r="Z12" s="36" t="str">
        <f>IFERROR(VLOOKUP(B12,MDB!A:AO,41,0),VLOOKUP(B12,Inactive!A:AO,41,0))</f>
        <v>102,Faidabad main road, Faidabad South, Dakshinkhan, Dhaka-1230.</v>
      </c>
      <c r="AA12" s="36" t="str">
        <f>IFERROR(VLOOKUP(B12,MDB!A:AP,42,0),VLOOKUP(B12,Inactive!A:AP,42,0))</f>
        <v>102,Faidabad main road, Faidabad South, Dakshinkhan, Dhaka-1230</v>
      </c>
      <c r="AB12" s="36" t="str">
        <f>IFERROR(VLOOKUP(B12,MDB!A:AQ,43,0),VLOOKUP(B12,Inactive!A:AQ,43,0))</f>
        <v>Faidabad, Dakshinkhan, Dhaka</v>
      </c>
      <c r="AC12" s="36">
        <f>IFERROR(VLOOKUP(B12,MDB!A:V,22,0),VLOOKUP(B12,Inactive!A:V,22,0))</f>
        <v>0</v>
      </c>
      <c r="AD12" s="36">
        <f>IFERROR(VLOOKUP(B12,MDB!A:W,24,0),VLOOKUP(B12,Inactive!A:X,24,0))</f>
        <v>1760717147</v>
      </c>
      <c r="AE12" s="36">
        <f>IFERROR(VLOOKUP(B12,MDB!A:AA,27,0),VLOOKUP(B12,Inactive!A:AA,27,0))</f>
        <v>1711978046</v>
      </c>
      <c r="AF12" s="36" t="str">
        <f>IFERROR(VLOOKUP(B12,MDB!A:Z,26,0),VLOOKUP(B12,Inactive!A:Z,26,0))</f>
        <v>M A Rahim</v>
      </c>
      <c r="AG12" s="36" t="str">
        <f>IFERROR(VLOOKUP(B12,MDB!A:E,5,0),VLOOKUP(B12,Inactive!A:E,5,0))</f>
        <v>Male</v>
      </c>
      <c r="AH12" s="37" t="str">
        <f>IFERROR(VLOOKUP(B12,MDB!A:AD,30,0),VLOOKUP(B12,Inactive!A:AD,30,0))</f>
        <v>22/12/1999</v>
      </c>
      <c r="AI12" s="36" t="str">
        <f>VLOOKUP(B12,Inactive!A:AC,29,0)</f>
        <v>B+</v>
      </c>
      <c r="AJ12" s="36" t="str">
        <f>IFERROR(VLOOKUP(B12,MDB!A:AF,32,0),VLOOKUP(B12,Inactive!A:AF,32,0))</f>
        <v>Islam</v>
      </c>
      <c r="AK12" s="36">
        <f>IFERROR(VLOOKUP(B12,MDB!A:AG,33,0),VLOOKUP(B12,Inactive!A:AG,33,0))</f>
        <v>1902285855</v>
      </c>
      <c r="AL12" s="36">
        <f>IFERROR(VLOOKUP(B12,MDB!A:AH,34,0),VLOOKUP(B12,Inactive!A:AH,34,0))</f>
        <v>0</v>
      </c>
      <c r="AM12" s="36" t="str">
        <f>IFERROR(VLOOKUP(B12,MDB!A:AI,35,0),VLOOKUP(B12,Inactive!A:AI,35,0))</f>
        <v>BIHRM</v>
      </c>
      <c r="AN12" s="156" t="s">
        <v>7409</v>
      </c>
      <c r="AO12" s="41">
        <f>VLOOKUP(B12,Inactive!A:BI,61,0)</f>
        <v>45589</v>
      </c>
      <c r="AP12" s="34" t="str">
        <f>VLOOKUP(B12,Inactive!A:BH,60,0)</f>
        <v>Resignation</v>
      </c>
      <c r="AQ12" s="34" t="str">
        <f>VLOOKUP(B12,Inactive!A:BJ,62,0)</f>
        <v>Family issue</v>
      </c>
    </row>
    <row r="13" ht="15.6">
      <c r="A13" s="34" t="e">
        <f>#REF!+1</f>
        <v>#REF!</v>
      </c>
      <c r="B13" s="207">
        <v>171966</v>
      </c>
      <c r="C13" s="35" t="str">
        <f>IFERROR(VLOOKUP(B13,MDB!A:D,4,0),VLOOKUP('MDB_Inactive List'!B13,Inactive!A:D,4,0))</f>
        <v>Antu Biswas</v>
      </c>
      <c r="D13" s="36" t="str">
        <f>IFERROR(VLOOKUP(B13,MDB!A:G,7,0),VLOOKUP(B13,Inactive!A:G,7,0))</f>
        <v>CSO</v>
      </c>
      <c r="E13" s="37">
        <f>IFERROR(VLOOKUP(B13,MDB!A:R,18,0),VLOOKUP(B13,Inactive!A:R,18,0))</f>
        <v>45559</v>
      </c>
      <c r="F13" s="36" t="str">
        <f>IFERROR(VLOOKUP(B13,MDB!A:H,8,0),VLOOKUP(B13,Inactive!A:H,8,0))</f>
        <v>Content Modarator</v>
      </c>
      <c r="G13" s="36" t="str">
        <f>IFERROR(VLOOKUP(B13,MDB!A:I,9,0),VLOOKUP(B13,Inactive!A:I,9,0))</f>
        <v>Operations</v>
      </c>
      <c r="H13" s="36" t="str">
        <f>IFERROR(VLOOKUP(B13,MDB!A:K,11,0),VLOOKUP(B13,Inactive!A:K,11,0))</f>
        <v>Temu</v>
      </c>
      <c r="I13" s="36" t="str">
        <f>IFERROR(VLOOKUP(B13,MDB!A:J,10,0),VLOOKUP(B13,Inactive!A:J,10,0))</f>
        <v>BG Platform Governance Requirements</v>
      </c>
      <c r="J13" s="34" t="s">
        <v>7407</v>
      </c>
      <c r="K13" s="34" t="s">
        <v>7403</v>
      </c>
      <c r="L13" s="34" t="s">
        <v>7408</v>
      </c>
      <c r="M13" s="36" t="str">
        <f>IFERROR(VLOOKUP(B13,MDB!A:R,18,0),VLOOKUP(B13,Inactive!A:L,12,0))</f>
        <v>Contractual</v>
      </c>
      <c r="N13" s="36">
        <f>IFERROR(VLOOKUP(B13,MDB!A:R,18,0),VLOOKUP(B13,Inactive!A:BB,54,0))</f>
        <v>10800</v>
      </c>
      <c r="O13" s="36">
        <f>IFERROR(VLOOKUP(B13,MDB!A:R,18,0),VLOOKUP(B13,Inactive!A:BC,55,0))</f>
        <v>2700</v>
      </c>
      <c r="P13" s="36">
        <f>IFERROR(VLOOKUP(B13,MDB!A:R,18,0),VLOOKUP(B13,Inactive!A:BD,56,0))</f>
        <v>1000</v>
      </c>
      <c r="Q13" s="36" t="s">
        <v>7404</v>
      </c>
      <c r="R13" s="36">
        <v>33</v>
      </c>
      <c r="S13" s="36"/>
      <c r="T13" s="36"/>
      <c r="U13" s="36"/>
      <c r="V13" s="36" t="str">
        <f>IFERROR(VLOOKUP(B13,MDB!A:M,13,0),VLOOKUP(B13,Inactive!A:M,13,0))</f>
        <v>Nasir Uddin</v>
      </c>
      <c r="W13" s="36" t="str">
        <f>IFERROR(VLOOKUP(B13,MDB!A:N,14,0),VLOOKUP(B13,Inactive!A:N,14,0))</f>
        <v>Asif Iqbal</v>
      </c>
      <c r="X13" s="36"/>
      <c r="Y13" s="36"/>
      <c r="Z13" s="36" t="str">
        <f>IFERROR(VLOOKUP(B13,MDB!A:AO,41,0),VLOOKUP(B13,Inactive!A:AO,41,0))</f>
        <v>H-1/A,R-20,Nikunja-2,Khilkhet,Dhaka-1229</v>
      </c>
      <c r="AA13" s="36" t="str">
        <f>IFERROR(VLOOKUP(B13,MDB!A:AP,42,0),VLOOKUP(B13,Inactive!A:AP,42,0))</f>
        <v>Arpara,Kaligonj,Jhenaidah</v>
      </c>
      <c r="AB13" s="36" t="str">
        <f>IFERROR(VLOOKUP(B13,MDB!A:AQ,43,0),VLOOKUP(B13,Inactive!A:AQ,43,0))</f>
        <v>Nikunja-2</v>
      </c>
      <c r="AC13" s="36" t="str">
        <f>IFERROR(VLOOKUP(B13,MDB!A:V,22,0),VLOOKUP(B13,Inactive!A:V,22,0))</f>
        <v>NA</v>
      </c>
      <c r="AD13" s="36">
        <f>IFERROR(VLOOKUP(B13,MDB!A:W,24,0),VLOOKUP(B13,Inactive!A:X,24,0))</f>
        <v>1722425087</v>
      </c>
      <c r="AE13" s="36">
        <f>IFERROR(VLOOKUP(B13,MDB!A:AA,27,0),VLOOKUP(B13,Inactive!A:AA,27,0))</f>
        <v>1763987698</v>
      </c>
      <c r="AF13" s="36" t="str">
        <f>IFERROR(VLOOKUP(B13,MDB!A:Z,26,0),VLOOKUP(B13,Inactive!A:Z,26,0))</f>
        <v>Debbroto debadhikary</v>
      </c>
      <c r="AG13" s="36" t="str">
        <f>IFERROR(VLOOKUP(B13,MDB!A:E,5,0),VLOOKUP(B13,Inactive!A:E,5,0))</f>
        <v>Male</v>
      </c>
      <c r="AH13" s="37" t="str">
        <f>IFERROR(VLOOKUP(B13,MDB!A:AD,30,0),VLOOKUP(B13,Inactive!A:AD,30,0))</f>
        <v>13/10/1996</v>
      </c>
      <c r="AI13" s="36" t="str">
        <f>VLOOKUP(B13,Inactive!A:AC,29,0)</f>
        <v>o+</v>
      </c>
      <c r="AJ13" s="36" t="str">
        <f>IFERROR(VLOOKUP(B13,MDB!A:AF,32,0),VLOOKUP(B13,Inactive!A:AF,32,0))</f>
        <v>Hindu</v>
      </c>
      <c r="AK13" s="36">
        <f>IFERROR(VLOOKUP(B13,MDB!A:AG,33,0),VLOOKUP(B13,Inactive!A:AG,33,0))</f>
        <v>3267159923</v>
      </c>
      <c r="AL13" s="36" t="str">
        <f>IFERROR(VLOOKUP(B13,MDB!A:AH,34,0),VLOOKUP(B13,Inactive!A:AH,34,0))</f>
        <v>NA</v>
      </c>
      <c r="AM13" s="36" t="str">
        <f>IFERROR(VLOOKUP(B13,MDB!A:AI,35,0),VLOOKUP(B13,Inactive!A:AI,35,0))</f>
        <v>Post Graduate</v>
      </c>
      <c r="AN13" s="156" t="s">
        <v>7409</v>
      </c>
      <c r="AO13" s="41">
        <f>VLOOKUP(B13,Inactive!A:BI,61,0)</f>
        <v>45589</v>
      </c>
      <c r="AP13" s="34" t="str">
        <f>VLOOKUP(B13,Inactive!A:BH,60,0)</f>
        <v>Resignation</v>
      </c>
      <c r="AQ13" s="34" t="str">
        <f>VLOOKUP(B13,Inactive!A:BJ,62,0)</f>
        <v>Personal Issue</v>
      </c>
    </row>
    <row r="14" ht="15.6">
      <c r="A14" s="34" t="e">
        <f>#REF!+1</f>
        <v>#REF!</v>
      </c>
      <c r="B14" s="207">
        <v>171491</v>
      </c>
      <c r="C14" s="35" t="str">
        <f>IFERROR(VLOOKUP(B14,MDB!A:D,4,0),VLOOKUP('MDB_Inactive List'!B14,Inactive!A:D,4,0))</f>
        <v>Farhat Lamisa Shorgo</v>
      </c>
      <c r="D14" s="36" t="str">
        <f>IFERROR(VLOOKUP(B14,MDB!A:G,7,0),VLOOKUP(B14,Inactive!A:G,7,0))</f>
        <v>CSO</v>
      </c>
      <c r="E14" s="37">
        <f>IFERROR(VLOOKUP(B14,MDB!A:R,18,0),VLOOKUP(B14,Inactive!A:R,18,0))</f>
        <v>45444</v>
      </c>
      <c r="F14" s="36" t="str">
        <f>IFERROR(VLOOKUP(B14,MDB!A:H,8,0),VLOOKUP(B14,Inactive!A:H,8,0))</f>
        <v>Content Moderator</v>
      </c>
      <c r="G14" s="36" t="str">
        <f>IFERROR(VLOOKUP(B14,MDB!A:I,9,0),VLOOKUP(B14,Inactive!A:I,9,0))</f>
        <v>Operations</v>
      </c>
      <c r="H14" s="36" t="str">
        <f>IFERROR(VLOOKUP(B14,MDB!A:K,11,0),VLOOKUP(B14,Inactive!A:K,11,0))</f>
        <v>TEMU</v>
      </c>
      <c r="I14" s="36" t="str">
        <f>IFERROR(VLOOKUP(B14,MDB!A:J,10,0),VLOOKUP(B14,Inactive!A:J,10,0))</f>
        <v>Same-Product Inspection Annotation Project</v>
      </c>
      <c r="J14" s="34" t="s">
        <v>7407</v>
      </c>
      <c r="K14" s="34" t="s">
        <v>7403</v>
      </c>
      <c r="L14" s="34" t="s">
        <v>7408</v>
      </c>
      <c r="M14" s="36" t="str">
        <f>IFERROR(VLOOKUP(B14,MDB!A:R,18,0),VLOOKUP(B14,Inactive!A:L,12,0))</f>
        <v>Fixed</v>
      </c>
      <c r="N14" s="36">
        <f>IFERROR(VLOOKUP(B14,MDB!A:R,18,0),VLOOKUP(B14,Inactive!A:BB,54,0))</f>
        <v>10800</v>
      </c>
      <c r="O14" s="36">
        <f>IFERROR(VLOOKUP(B14,MDB!A:R,18,0),VLOOKUP(B14,Inactive!A:BC,55,0))</f>
        <v>2700</v>
      </c>
      <c r="P14" s="36">
        <f>IFERROR(VLOOKUP(B14,MDB!A:R,18,0),VLOOKUP(B14,Inactive!A:BD,56,0))</f>
        <v>0</v>
      </c>
      <c r="Q14" s="36" t="s">
        <v>7404</v>
      </c>
      <c r="R14" s="36">
        <v>34</v>
      </c>
      <c r="S14" s="36"/>
      <c r="T14" s="36"/>
      <c r="U14" s="36"/>
      <c r="V14" s="36" t="str">
        <f>IFERROR(VLOOKUP(B14,MDB!A:M,13,0),VLOOKUP(B14,Inactive!A:M,13,0))</f>
        <v>Mizanur Rahman</v>
      </c>
      <c r="W14" s="36" t="str">
        <f>IFERROR(VLOOKUP(B14,MDB!A:N,14,0),VLOOKUP(B14,Inactive!A:N,14,0))</f>
        <v>Asif Iqbal</v>
      </c>
      <c r="X14" s="36"/>
      <c r="Y14" s="36"/>
      <c r="Z14" s="36" t="str">
        <f>IFERROR(VLOOKUP(B14,MDB!A:AO,41,0),VLOOKUP(B14,Inactive!A:AO,41,0))</f>
        <v>183 , West Nakhalpara , Tejgaon , Dhaka -1215</v>
      </c>
      <c r="AA14" s="36" t="str">
        <f>IFERROR(VLOOKUP(B14,MDB!A:AP,42,0),VLOOKUP(B14,Inactive!A:AP,42,0))</f>
        <v>165, Tejkunipara , Tejgaon , Dhaka-1215</v>
      </c>
      <c r="AB14" s="36" t="str">
        <f>IFERROR(VLOOKUP(B14,MDB!A:AQ,43,0),VLOOKUP(B14,Inactive!A:AQ,43,0))</f>
        <v>Tejgaon</v>
      </c>
      <c r="AC14" s="36">
        <f>IFERROR(VLOOKUP(B14,MDB!A:V,22,0),VLOOKUP(B14,Inactive!A:V,22,0))</f>
        <v>0</v>
      </c>
      <c r="AD14" s="36">
        <f>IFERROR(VLOOKUP(B14,MDB!A:W,24,0),VLOOKUP(B14,Inactive!A:X,24,0))</f>
        <v>1753127755</v>
      </c>
      <c r="AE14" s="36" t="str">
        <f>IFERROR(VLOOKUP(B14,MDB!A:AA,27,0),VLOOKUP(B14,Inactive!A:AA,27,0))</f>
        <v>1715-020303</v>
      </c>
      <c r="AF14" s="36" t="str">
        <f>IFERROR(VLOOKUP(B14,MDB!A:Z,26,0),VLOOKUP(B14,Inactive!A:Z,26,0))</f>
        <v>Md Rohmot Uz Zaman Babu</v>
      </c>
      <c r="AG14" s="36" t="str">
        <f>IFERROR(VLOOKUP(B14,MDB!A:E,5,0),VLOOKUP(B14,Inactive!A:E,5,0))</f>
        <v>Female</v>
      </c>
      <c r="AH14" s="37">
        <f>IFERROR(VLOOKUP(B14,MDB!A:AD,30,0),VLOOKUP(B14,Inactive!A:AD,30,0))</f>
        <v>35768</v>
      </c>
      <c r="AI14" s="36" t="str">
        <f>VLOOKUP(B14,Inactive!A:AC,29,0)</f>
        <v>A+</v>
      </c>
      <c r="AJ14" s="36" t="str">
        <f>IFERROR(VLOOKUP(B14,MDB!A:AF,32,0),VLOOKUP(B14,Inactive!A:AF,32,0))</f>
        <v>Islam</v>
      </c>
      <c r="AK14" s="36">
        <f>IFERROR(VLOOKUP(B14,MDB!A:AG,33,0),VLOOKUP(B14,Inactive!A:AG,33,0))</f>
        <v>7355512851</v>
      </c>
      <c r="AL14" s="36" t="str">
        <f>IFERROR(VLOOKUP(B14,MDB!A:AH,34,0),VLOOKUP(B14,Inactive!A:AH,34,0))</f>
        <v>BQ0639850</v>
      </c>
      <c r="AM14" s="36" t="str">
        <f>IFERROR(VLOOKUP(B14,MDB!A:AI,35,0),VLOOKUP(B14,Inactive!A:AI,35,0))</f>
        <v>Graduation</v>
      </c>
      <c r="AN14" s="156" t="s">
        <v>7409</v>
      </c>
      <c r="AO14" s="41">
        <f>VLOOKUP(B14,Inactive!A:BI,61,0)</f>
        <v>45589</v>
      </c>
      <c r="AP14" s="34" t="str">
        <f>VLOOKUP(B14,Inactive!A:BH,60,0)</f>
        <v>Resignation</v>
      </c>
      <c r="AQ14" s="34" t="str">
        <f>VLOOKUP(B14,Inactive!A:BJ,62,0)</f>
        <v>Sickness </v>
      </c>
    </row>
    <row r="15" ht="15.6">
      <c r="A15" s="34" t="e">
        <f>#REF!+1</f>
        <v>#REF!</v>
      </c>
      <c r="B15" s="207">
        <v>171670</v>
      </c>
      <c r="C15" s="35" t="str">
        <f>IFERROR(VLOOKUP(B15,MDB!A:D,4,0),VLOOKUP('MDB_Inactive List'!B15,Inactive!A:D,4,0))</f>
        <v>Nadira Akter Dina</v>
      </c>
      <c r="D15" s="36" t="str">
        <f>IFERROR(VLOOKUP(B15,MDB!A:G,7,0),VLOOKUP(B15,Inactive!A:G,7,0))</f>
        <v>CSO</v>
      </c>
      <c r="E15" s="37">
        <f>IFERROR(VLOOKUP(B15,MDB!A:R,18,0),VLOOKUP(B15,Inactive!A:R,18,0))</f>
        <v>45475</v>
      </c>
      <c r="F15" s="36" t="str">
        <f>IFERROR(VLOOKUP(B15,MDB!A:H,8,0),VLOOKUP(B15,Inactive!A:H,8,0))</f>
        <v>Content Moderator</v>
      </c>
      <c r="G15" s="36" t="str">
        <f>IFERROR(VLOOKUP(B15,MDB!A:I,9,0),VLOOKUP(B15,Inactive!A:I,9,0))</f>
        <v>Operations</v>
      </c>
      <c r="H15" s="36" t="str">
        <f>IFERROR(VLOOKUP(B15,MDB!A:K,11,0),VLOOKUP(B15,Inactive!A:K,11,0))</f>
        <v>TEMU</v>
      </c>
      <c r="I15" s="36" t="str">
        <f>IFERROR(VLOOKUP(B15,MDB!A:J,10,0),VLOOKUP(B15,Inactive!A:J,10,0))</f>
        <v>Beilei-Beauty</v>
      </c>
      <c r="J15" s="34" t="s">
        <v>7407</v>
      </c>
      <c r="K15" s="34" t="s">
        <v>7403</v>
      </c>
      <c r="L15" s="34" t="s">
        <v>7408</v>
      </c>
      <c r="M15" s="36" t="str">
        <f>IFERROR(VLOOKUP(B15,MDB!A:R,18,0),VLOOKUP(B15,Inactive!A:L,12,0))</f>
        <v>Fixed</v>
      </c>
      <c r="N15" s="36">
        <f>IFERROR(VLOOKUP(B15,MDB!A:R,18,0),VLOOKUP(B15,Inactive!A:BB,54,0))</f>
        <v>10800</v>
      </c>
      <c r="O15" s="36">
        <f>IFERROR(VLOOKUP(B15,MDB!A:R,18,0),VLOOKUP(B15,Inactive!A:BC,55,0))</f>
        <v>2700</v>
      </c>
      <c r="P15" s="36">
        <f>IFERROR(VLOOKUP(B15,MDB!A:R,18,0),VLOOKUP(B15,Inactive!A:BD,56,0))</f>
        <v>0</v>
      </c>
      <c r="Q15" s="36" t="s">
        <v>7404</v>
      </c>
      <c r="R15" s="36">
        <v>35</v>
      </c>
      <c r="S15" s="36"/>
      <c r="T15" s="36"/>
      <c r="U15" s="36"/>
      <c r="V15" s="36" t="str">
        <f>IFERROR(VLOOKUP(B15,MDB!A:M,13,0),VLOOKUP(B15,Inactive!A:M,13,0))</f>
        <v>Aminul Islam Sovo</v>
      </c>
      <c r="W15" s="36" t="str">
        <f>IFERROR(VLOOKUP(B15,MDB!A:N,14,0),VLOOKUP(B15,Inactive!A:N,14,0))</f>
        <v>Asif Iqbal</v>
      </c>
      <c r="X15" s="36"/>
      <c r="Y15" s="36"/>
      <c r="Z15" s="36" t="str">
        <f>IFERROR(VLOOKUP(B15,MDB!A:AO,41,0),VLOOKUP(B15,Inactive!A:AO,41,0))</f>
        <v>House: 6,road:34,block :TA,section:6,mirpur, dhaka,1216</v>
      </c>
      <c r="AA15" s="36" t="str">
        <f>IFERROR(VLOOKUP(B15,MDB!A:AP,42,0),VLOOKUP(B15,Inactive!A:AP,42,0))</f>
        <v>Village:uttar gram,thana:burichang,post:ghilatola,cumilla,3500</v>
      </c>
      <c r="AB15" s="36" t="str">
        <f>IFERROR(VLOOKUP(B15,MDB!A:AQ,43,0),VLOOKUP(B15,Inactive!A:AQ,43,0))</f>
        <v>Mirpur</v>
      </c>
      <c r="AC15" s="36">
        <f>IFERROR(VLOOKUP(B15,MDB!A:V,22,0),VLOOKUP(B15,Inactive!A:V,22,0))</f>
        <v>0</v>
      </c>
      <c r="AD15" s="36">
        <f>IFERROR(VLOOKUP(B15,MDB!A:W,24,0),VLOOKUP(B15,Inactive!A:X,24,0))</f>
        <v>1716060152</v>
      </c>
      <c r="AE15" s="36">
        <f>IFERROR(VLOOKUP(B15,MDB!A:AA,27,0),VLOOKUP(B15,Inactive!A:AA,27,0))</f>
        <v>1934273424</v>
      </c>
      <c r="AF15" s="36" t="str">
        <f>IFERROR(VLOOKUP(B15,MDB!A:Z,26,0),VLOOKUP(B15,Inactive!A:Z,26,0))</f>
        <v>Md.aslam</v>
      </c>
      <c r="AG15" s="36" t="str">
        <f>IFERROR(VLOOKUP(B15,MDB!A:E,5,0),VLOOKUP(B15,Inactive!A:E,5,0))</f>
        <v>Female</v>
      </c>
      <c r="AH15" s="37">
        <f>IFERROR(VLOOKUP(B15,MDB!A:AD,30,0),VLOOKUP(B15,Inactive!A:AD,30,0))</f>
        <v>34705</v>
      </c>
      <c r="AI15" s="36" t="str">
        <f>VLOOKUP(B15,Inactive!A:AC,29,0)</f>
        <v>A+</v>
      </c>
      <c r="AJ15" s="36" t="str">
        <f>IFERROR(VLOOKUP(B15,MDB!A:AF,32,0),VLOOKUP(B15,Inactive!A:AF,32,0))</f>
        <v>Islam</v>
      </c>
      <c r="AK15" s="36">
        <f>IFERROR(VLOOKUP(B15,MDB!A:AG,33,0),VLOOKUP(B15,Inactive!A:AG,33,0))</f>
        <v>2364312849</v>
      </c>
      <c r="AL15" s="36" t="str">
        <f>IFERROR(VLOOKUP(B15,MDB!A:AH,34,0),VLOOKUP(B15,Inactive!A:AH,34,0))</f>
        <v>N/A</v>
      </c>
      <c r="AM15" s="36" t="str">
        <f>IFERROR(VLOOKUP(B15,MDB!A:AI,35,0),VLOOKUP(B15,Inactive!A:AI,35,0))</f>
        <v>M.Sc</v>
      </c>
      <c r="AN15" s="156" t="s">
        <v>7409</v>
      </c>
      <c r="AO15" s="41">
        <f>VLOOKUP(B15,Inactive!A:BI,61,0)</f>
        <v>45602</v>
      </c>
      <c r="AP15" s="34" t="str">
        <f>VLOOKUP(B15,Inactive!A:BH,60,0)</f>
        <v>Resignation</v>
      </c>
      <c r="AQ15" s="34" t="str">
        <f>VLOOKUP(B15,Inactive!A:BJ,62,0)</f>
        <v>Sickness issue</v>
      </c>
    </row>
    <row r="16" ht="15.6">
      <c r="A16" s="34" t="e">
        <f>#REF!+1</f>
        <v>#REF!</v>
      </c>
      <c r="B16" s="4">
        <v>171997</v>
      </c>
      <c r="C16" s="35" t="str">
        <f>IFERROR(VLOOKUP(B16,MDB!A:D,4,0),VLOOKUP('MDB_Inactive List'!B16,Inactive!A:D,4,0))</f>
        <v>Md. Jahid Hasan Prince</v>
      </c>
      <c r="D16" s="36" t="str">
        <f>IFERROR(VLOOKUP(B16,MDB!A:G,7,0),VLOOKUP(B16,Inactive!A:G,7,0))</f>
        <v>CSO</v>
      </c>
      <c r="E16" s="37">
        <f>IFERROR(VLOOKUP(B16,MDB!A:R,18,0),VLOOKUP(B16,Inactive!A:R,18,0))</f>
        <v>45572</v>
      </c>
      <c r="F16" s="36" t="str">
        <f>IFERROR(VLOOKUP(B16,MDB!A:H,8,0),VLOOKUP(B16,Inactive!A:H,8,0))</f>
        <v>Content Modarator</v>
      </c>
      <c r="G16" s="36" t="str">
        <f>IFERROR(VLOOKUP(B16,MDB!A:I,9,0),VLOOKUP(B16,Inactive!A:I,9,0))</f>
        <v>Operations</v>
      </c>
      <c r="H16" s="36" t="str">
        <f>IFERROR(VLOOKUP(B16,MDB!A:K,11,0),VLOOKUP(B16,Inactive!A:K,11,0))</f>
        <v>Temu</v>
      </c>
      <c r="I16" s="36" t="str">
        <f>IFERROR(VLOOKUP(B16,MDB!A:J,10,0),VLOOKUP(B16,Inactive!A:J,10,0))</f>
        <v>BG Platform Governance Requirements</v>
      </c>
      <c r="J16" s="34" t="s">
        <v>7407</v>
      </c>
      <c r="K16" s="34" t="s">
        <v>7403</v>
      </c>
      <c r="L16" s="34" t="s">
        <v>7408</v>
      </c>
      <c r="M16" s="36" t="str">
        <f>IFERROR(VLOOKUP(B16,MDB!A:R,18,0),VLOOKUP(B16,Inactive!A:L,12,0))</f>
        <v>Contractual</v>
      </c>
      <c r="N16" s="36">
        <f>IFERROR(VLOOKUP(B16,MDB!A:R,18,0),VLOOKUP(B16,Inactive!A:BB,54,0))</f>
        <v>10800</v>
      </c>
      <c r="O16" s="36">
        <f>IFERROR(VLOOKUP(B16,MDB!A:R,18,0),VLOOKUP(B16,Inactive!A:BC,55,0))</f>
        <v>2700</v>
      </c>
      <c r="P16" s="36">
        <f>IFERROR(VLOOKUP(B16,MDB!A:R,18,0),VLOOKUP(B16,Inactive!A:BD,56,0))</f>
        <v>1000</v>
      </c>
      <c r="Q16" s="36" t="s">
        <v>7404</v>
      </c>
      <c r="R16" s="36">
        <v>36</v>
      </c>
      <c r="S16" s="36"/>
      <c r="T16" s="36"/>
      <c r="U16" s="36"/>
      <c r="V16" s="36" t="str">
        <f>IFERROR(VLOOKUP(B16,MDB!A:M,13,0),VLOOKUP(B16,Inactive!A:M,13,0))</f>
        <v>Rakib Ahsan</v>
      </c>
      <c r="W16" s="36" t="str">
        <f>IFERROR(VLOOKUP(B16,MDB!A:N,14,0),VLOOKUP(B16,Inactive!A:N,14,0))</f>
        <v>Asif Iqbal</v>
      </c>
      <c r="X16" s="36"/>
      <c r="Y16" s="36"/>
      <c r="Z16" s="36" t="str">
        <f>IFERROR(VLOOKUP(B16,MDB!A:AO,41,0),VLOOKUP(B16,Inactive!A:AO,41,0))</f>
        <v>Kalwala para , Mirpur-1</v>
      </c>
      <c r="AA16" s="36" t="str">
        <f>IFERROR(VLOOKUP(B16,MDB!A:AP,42,0),VLOOKUP(B16,Inactive!A:AP,42,0))</f>
        <v>Dhanua, Faridganj, Chandpur</v>
      </c>
      <c r="AB16" s="36" t="str">
        <f>IFERROR(VLOOKUP(B16,MDB!A:AQ,43,0),VLOOKUP(B16,Inactive!A:AQ,43,0))</f>
        <v>Mirpur-1</v>
      </c>
      <c r="AC16" s="36" t="str">
        <f>IFERROR(VLOOKUP(B16,MDB!A:V,22,0),VLOOKUP(B16,Inactive!A:V,22,0))</f>
        <v>NA</v>
      </c>
      <c r="AD16" s="36">
        <f>IFERROR(VLOOKUP(B16,MDB!A:W,24,0),VLOOKUP(B16,Inactive!A:X,24,0))</f>
        <v>1624019203</v>
      </c>
      <c r="AE16" s="36">
        <f>IFERROR(VLOOKUP(B16,MDB!A:AA,27,0),VLOOKUP(B16,Inactive!A:AA,27,0))</f>
        <v>1569146573</v>
      </c>
      <c r="AF16" s="36" t="str">
        <f>IFERROR(VLOOKUP(B16,MDB!A:Z,26,0),VLOOKUP(B16,Inactive!A:Z,26,0))</f>
        <v>Mostafizur Rahman</v>
      </c>
      <c r="AG16" s="36" t="str">
        <f>IFERROR(VLOOKUP(B16,MDB!A:E,5,0),VLOOKUP(B16,Inactive!A:E,5,0))</f>
        <v>Male</v>
      </c>
      <c r="AH16" s="37">
        <f>IFERROR(VLOOKUP(B16,MDB!A:AD,30,0),VLOOKUP(B16,Inactive!A:AD,30,0))</f>
        <v>36780</v>
      </c>
      <c r="AI16" s="36" t="str">
        <f>VLOOKUP(B16,Inactive!A:AC,29,0)</f>
        <v>B+</v>
      </c>
      <c r="AJ16" s="36" t="str">
        <f>IFERROR(VLOOKUP(B16,MDB!A:AF,32,0),VLOOKUP(B16,Inactive!A:AF,32,0))</f>
        <v>Islam</v>
      </c>
      <c r="AK16" s="36">
        <f>IFERROR(VLOOKUP(B16,MDB!A:AG,33,0),VLOOKUP(B16,Inactive!A:AG,33,0))</f>
        <v>7812160989</v>
      </c>
      <c r="AL16" s="36" t="str">
        <f>IFERROR(VLOOKUP(B16,MDB!A:AH,34,0),VLOOKUP(B16,Inactive!A:AH,34,0))</f>
        <v>NA</v>
      </c>
      <c r="AM16" s="36" t="str">
        <f>IFERROR(VLOOKUP(B16,MDB!A:AI,35,0),VLOOKUP(B16,Inactive!A:AI,35,0))</f>
        <v>Graduate</v>
      </c>
      <c r="AN16" s="156" t="s">
        <v>7409</v>
      </c>
      <c r="AO16" s="41">
        <f>VLOOKUP(B16,Inactive!A:BI,61,0)</f>
        <v>45586</v>
      </c>
      <c r="AP16" s="34" t="str">
        <f>VLOOKUP(B16,Inactive!A:BH,60,0)</f>
        <v>Resignation</v>
      </c>
      <c r="AQ16" s="34" t="str">
        <f>VLOOKUP(B16,Inactive!A:BJ,62,0)</f>
        <v>Better Opportunity</v>
      </c>
    </row>
    <row r="17" ht="15.6">
      <c r="A17" s="34" t="e">
        <f>#REF!+1</f>
        <v>#REF!</v>
      </c>
      <c r="B17" s="207">
        <v>171950</v>
      </c>
      <c r="C17" s="35" t="str">
        <f>IFERROR(VLOOKUP(B17,MDB!A:D,4,0),VLOOKUP('MDB_Inactive List'!B17,Inactive!A:D,4,0))</f>
        <v>Rada Rani Boishnab</v>
      </c>
      <c r="D17" s="36" t="str">
        <f>IFERROR(VLOOKUP(B17,MDB!A:G,7,0),VLOOKUP(B17,Inactive!A:G,7,0))</f>
        <v>CSO</v>
      </c>
      <c r="E17" s="37">
        <f>IFERROR(VLOOKUP(B17,MDB!A:R,18,0),VLOOKUP(B17,Inactive!A:R,18,0))</f>
        <v>45551</v>
      </c>
      <c r="F17" s="36" t="str">
        <f>IFERROR(VLOOKUP(B17,MDB!A:H,8,0),VLOOKUP(B17,Inactive!A:H,8,0))</f>
        <v>Content Modarator</v>
      </c>
      <c r="G17" s="36" t="str">
        <f>IFERROR(VLOOKUP(B17,MDB!A:I,9,0),VLOOKUP(B17,Inactive!A:I,9,0))</f>
        <v>Operations</v>
      </c>
      <c r="H17" s="36" t="str">
        <f>IFERROR(VLOOKUP(B17,MDB!A:K,11,0),VLOOKUP(B17,Inactive!A:K,11,0))</f>
        <v>Temu</v>
      </c>
      <c r="I17" s="36" t="str">
        <f>IFERROR(VLOOKUP(B17,MDB!A:J,10,0),VLOOKUP(B17,Inactive!A:J,10,0))</f>
        <v>Identification of the same product</v>
      </c>
      <c r="J17" s="34" t="s">
        <v>7407</v>
      </c>
      <c r="K17" s="34" t="s">
        <v>7403</v>
      </c>
      <c r="L17" s="34" t="s">
        <v>7408</v>
      </c>
      <c r="M17" s="36">
        <f>IFERROR(VLOOKUP(B17,MDB!A:R,18,0),VLOOKUP(B17,Inactive!A:L,12,0))</f>
        <v>45551</v>
      </c>
      <c r="N17" s="36">
        <f>IFERROR(VLOOKUP(B17,MDB!A:R,18,0),VLOOKUP(B17,Inactive!A:BB,54,0))</f>
        <v>45551</v>
      </c>
      <c r="O17" s="36">
        <f>IFERROR(VLOOKUP(B17,MDB!A:R,18,0),VLOOKUP(B17,Inactive!A:BC,55,0))</f>
        <v>45551</v>
      </c>
      <c r="P17" s="36">
        <f>IFERROR(VLOOKUP(B17,MDB!A:R,18,0),VLOOKUP(B17,Inactive!A:BD,56,0))</f>
        <v>45551</v>
      </c>
      <c r="Q17" s="36" t="s">
        <v>7404</v>
      </c>
      <c r="R17" s="36">
        <v>37</v>
      </c>
      <c r="S17" s="36"/>
      <c r="T17" s="36"/>
      <c r="U17" s="36"/>
      <c r="V17" s="36" t="str">
        <f>IFERROR(VLOOKUP(B17,MDB!A:M,13,0),VLOOKUP(B17,Inactive!A:M,13,0))</f>
        <v>Md. Moniruzzaman</v>
      </c>
      <c r="W17" s="36" t="str">
        <f>IFERROR(VLOOKUP(B17,MDB!A:N,14,0),VLOOKUP(B17,Inactive!A:N,14,0))</f>
        <v>Asif Iqbal</v>
      </c>
      <c r="X17" s="36"/>
      <c r="Y17" s="36"/>
      <c r="Z17" s="36">
        <f>IFERROR(VLOOKUP(B17,MDB!A:AO,41,0),VLOOKUP(B17,Inactive!A:AO,41,0))</f>
        <v>0</v>
      </c>
      <c r="AA17" s="36">
        <f>IFERROR(VLOOKUP(B17,MDB!A:AP,42,0),VLOOKUP(B17,Inactive!A:AP,42,0))</f>
        <v>0</v>
      </c>
      <c r="AB17" s="36">
        <f>IFERROR(VLOOKUP(B17,MDB!A:AQ,43,0),VLOOKUP(B17,Inactive!A:AQ,43,0))</f>
        <v>0</v>
      </c>
      <c r="AC17" s="36">
        <f>IFERROR(VLOOKUP(B17,MDB!A:V,22,0),VLOOKUP(B17,Inactive!A:V,22,0))</f>
        <v>0</v>
      </c>
      <c r="AD17" s="36">
        <f>IFERROR(VLOOKUP(B17,MDB!A:W,24,0),VLOOKUP(B17,Inactive!A:X,24,0))</f>
        <v>0</v>
      </c>
      <c r="AE17" s="36">
        <f>IFERROR(VLOOKUP(B17,MDB!A:AA,27,0),VLOOKUP(B17,Inactive!A:AA,27,0))</f>
        <v>0</v>
      </c>
      <c r="AF17" s="36">
        <f>IFERROR(VLOOKUP(B17,MDB!A:Z,26,0),VLOOKUP(B17,Inactive!A:Z,26,0))</f>
        <v>0</v>
      </c>
      <c r="AG17" s="36" t="str">
        <f>IFERROR(VLOOKUP(B17,MDB!A:E,5,0),VLOOKUP(B17,Inactive!A:E,5,0))</f>
        <v>Female</v>
      </c>
      <c r="AH17" s="37">
        <f>IFERROR(VLOOKUP(B17,MDB!A:AD,30,0),VLOOKUP(B17,Inactive!A:AD,30,0))</f>
        <v>0</v>
      </c>
      <c r="AI17" s="36">
        <f>VLOOKUP(B17,Inactive!A:AC,29,0)</f>
        <v>0</v>
      </c>
      <c r="AJ17" s="36" t="str">
        <f>IFERROR(VLOOKUP(B17,MDB!A:AF,32,0),VLOOKUP(B17,Inactive!A:AF,32,0))</f>
        <v>Islam</v>
      </c>
      <c r="AK17" s="36">
        <f>IFERROR(VLOOKUP(B17,MDB!A:AG,33,0),VLOOKUP(B17,Inactive!A:AG,33,0))</f>
        <v>0</v>
      </c>
      <c r="AL17" s="36">
        <f>IFERROR(VLOOKUP(B17,MDB!A:AH,34,0),VLOOKUP(B17,Inactive!A:AH,34,0))</f>
        <v>0</v>
      </c>
      <c r="AM17" s="36">
        <f>IFERROR(VLOOKUP(B17,MDB!A:AI,35,0),VLOOKUP(B17,Inactive!A:AI,35,0))</f>
        <v>0</v>
      </c>
      <c r="AN17" s="156" t="s">
        <v>7409</v>
      </c>
      <c r="AO17" s="41">
        <f>VLOOKUP(B17,Inactive!A:BI,61,0)</f>
        <v>45593</v>
      </c>
      <c r="AP17" s="34" t="str">
        <f>VLOOKUP(B17,Inactive!A:BH,60,0)</f>
        <v>Resignation</v>
      </c>
      <c r="AQ17" s="34" t="str">
        <f>VLOOKUP(B17,Inactive!A:BJ,62,0)</f>
        <v>Sickness </v>
      </c>
    </row>
    <row r="18" ht="15.6">
      <c r="A18" s="34" t="e">
        <f>#REF!+1</f>
        <v>#REF!</v>
      </c>
      <c r="B18" s="207">
        <v>171916</v>
      </c>
      <c r="C18" s="35" t="str">
        <f>IFERROR(VLOOKUP(B18,MDB!A:D,4,0),VLOOKUP('MDB_Inactive List'!B18,Inactive!A:D,4,0))</f>
        <v>Sultana Akther</v>
      </c>
      <c r="D18" s="36" t="str">
        <f>IFERROR(VLOOKUP(B18,MDB!A:G,7,0),VLOOKUP(B18,Inactive!A:G,7,0))</f>
        <v>CSO</v>
      </c>
      <c r="E18" s="37">
        <f>IFERROR(VLOOKUP(B18,MDB!A:R,18,0),VLOOKUP(B18,Inactive!A:R,18,0))</f>
        <v>45541</v>
      </c>
      <c r="F18" s="36" t="str">
        <f>IFERROR(VLOOKUP(B18,MDB!A:H,8,0),VLOOKUP(B18,Inactive!A:H,8,0))</f>
        <v>Content Moderator</v>
      </c>
      <c r="G18" s="36" t="str">
        <f>IFERROR(VLOOKUP(B18,MDB!A:I,9,0),VLOOKUP(B18,Inactive!A:I,9,0))</f>
        <v>Operations</v>
      </c>
      <c r="H18" s="36" t="str">
        <f>IFERROR(VLOOKUP(B18,MDB!A:K,11,0),VLOOKUP(B18,Inactive!A:K,11,0))</f>
        <v>TEMU</v>
      </c>
      <c r="I18" s="36" t="str">
        <f>IFERROR(VLOOKUP(B18,MDB!A:J,10,0),VLOOKUP(B18,Inactive!A:J,10,0))</f>
        <v>Identification of the same product</v>
      </c>
      <c r="J18" s="34" t="s">
        <v>7407</v>
      </c>
      <c r="K18" s="34" t="s">
        <v>7403</v>
      </c>
      <c r="L18" s="34" t="s">
        <v>7408</v>
      </c>
      <c r="M18" s="36" t="str">
        <f>IFERROR(VLOOKUP(B18,MDB!A:R,18,0),VLOOKUP(B18,Inactive!A:L,12,0))</f>
        <v>Fixed</v>
      </c>
      <c r="N18" s="36">
        <f>IFERROR(VLOOKUP(B18,MDB!A:R,18,0),VLOOKUP(B18,Inactive!A:BB,54,0))</f>
        <v>10800</v>
      </c>
      <c r="O18" s="36">
        <f>IFERROR(VLOOKUP(B18,MDB!A:R,18,0),VLOOKUP(B18,Inactive!A:BC,55,0))</f>
        <v>2700</v>
      </c>
      <c r="P18" s="36">
        <f>IFERROR(VLOOKUP(B18,MDB!A:R,18,0),VLOOKUP(B18,Inactive!A:BD,56,0))</f>
        <v>0</v>
      </c>
      <c r="Q18" s="36" t="s">
        <v>7404</v>
      </c>
      <c r="R18" s="36">
        <v>38</v>
      </c>
      <c r="S18" s="36"/>
      <c r="T18" s="36"/>
      <c r="U18" s="36"/>
      <c r="V18" s="36" t="str">
        <f>IFERROR(VLOOKUP(B18,MDB!A:M,13,0),VLOOKUP(B18,Inactive!A:M,13,0))</f>
        <v>Nazimuddoula Leon</v>
      </c>
      <c r="W18" s="36" t="str">
        <f>IFERROR(VLOOKUP(B18,MDB!A:N,14,0),VLOOKUP(B18,Inactive!A:N,14,0))</f>
        <v>Asif Iqbal</v>
      </c>
      <c r="X18" s="36"/>
      <c r="Y18" s="36"/>
      <c r="Z18" s="36">
        <f>IFERROR(VLOOKUP(B18,MDB!A:AO,41,0),VLOOKUP(B18,Inactive!A:AO,41,0))</f>
        <v>0</v>
      </c>
      <c r="AA18" s="36">
        <f>IFERROR(VLOOKUP(B18,MDB!A:AP,42,0),VLOOKUP(B18,Inactive!A:AP,42,0))</f>
        <v>0</v>
      </c>
      <c r="AB18" s="36">
        <f>IFERROR(VLOOKUP(B18,MDB!A:AQ,43,0),VLOOKUP(B18,Inactive!A:AQ,43,0))</f>
        <v>0</v>
      </c>
      <c r="AC18" s="36">
        <f>IFERROR(VLOOKUP(B18,MDB!A:V,22,0),VLOOKUP(B18,Inactive!A:V,22,0))</f>
        <v>0</v>
      </c>
      <c r="AD18" s="36">
        <f>IFERROR(VLOOKUP(B18,MDB!A:W,24,0),VLOOKUP(B18,Inactive!A:X,24,0))</f>
        <v>1883641450</v>
      </c>
      <c r="AE18" s="36">
        <f>IFERROR(VLOOKUP(B18,MDB!A:AA,27,0),VLOOKUP(B18,Inactive!A:AA,27,0))</f>
        <v>0</v>
      </c>
      <c r="AF18" s="36">
        <f>IFERROR(VLOOKUP(B18,MDB!A:Z,26,0),VLOOKUP(B18,Inactive!A:Z,26,0))</f>
        <v>0</v>
      </c>
      <c r="AG18" s="36" t="str">
        <f>IFERROR(VLOOKUP(B18,MDB!A:E,5,0),VLOOKUP(B18,Inactive!A:E,5,0))</f>
        <v>Female</v>
      </c>
      <c r="AH18" s="37">
        <f>IFERROR(VLOOKUP(B18,MDB!A:AD,30,0),VLOOKUP(B18,Inactive!A:AD,30,0))</f>
        <v>0</v>
      </c>
      <c r="AI18" s="36">
        <f>VLOOKUP(B18,Inactive!A:AC,29,0)</f>
        <v>0</v>
      </c>
      <c r="AJ18" s="36" t="str">
        <f>IFERROR(VLOOKUP(B18,MDB!A:AF,32,0),VLOOKUP(B18,Inactive!A:AF,32,0))</f>
        <v>Islam</v>
      </c>
      <c r="AK18" s="36">
        <f>IFERROR(VLOOKUP(B18,MDB!A:AG,33,0),VLOOKUP(B18,Inactive!A:AG,33,0))</f>
        <v>0</v>
      </c>
      <c r="AL18" s="36">
        <f>IFERROR(VLOOKUP(B18,MDB!A:AH,34,0),VLOOKUP(B18,Inactive!A:AH,34,0))</f>
        <v>0</v>
      </c>
      <c r="AM18" s="36">
        <f>IFERROR(VLOOKUP(B18,MDB!A:AI,35,0),VLOOKUP(B18,Inactive!A:AI,35,0))</f>
        <v>0</v>
      </c>
      <c r="AN18" s="156" t="s">
        <v>7409</v>
      </c>
      <c r="AO18" s="41">
        <f>VLOOKUP(B18,Inactive!A:BI,61,0)</f>
        <v>45605</v>
      </c>
      <c r="AP18" s="34" t="str">
        <f>VLOOKUP(B18,Inactive!A:BH,60,0)</f>
        <v>Resignation</v>
      </c>
      <c r="AQ18" s="34" t="str">
        <f>VLOOKUP(B18,Inactive!A:BJ,62,0)</f>
        <v>Better opportunity</v>
      </c>
    </row>
    <row r="19" ht="15.6">
      <c r="A19" s="34" t="e">
        <f>#REF!+1</f>
        <v>#REF!</v>
      </c>
      <c r="B19" s="207">
        <v>171655</v>
      </c>
      <c r="C19" s="35" t="str">
        <f>IFERROR(VLOOKUP(B19,MDB!A:D,4,0),VLOOKUP('MDB_Inactive List'!B19,Inactive!A:D,4,0))</f>
        <v>Md.Rashaduzzaman</v>
      </c>
      <c r="D19" s="36" t="str">
        <f>IFERROR(VLOOKUP(B19,MDB!A:G,7,0),VLOOKUP(B19,Inactive!A:G,7,0))</f>
        <v>CSO</v>
      </c>
      <c r="E19" s="37">
        <f>IFERROR(VLOOKUP(B19,MDB!A:R,18,0),VLOOKUP(B19,Inactive!A:R,18,0))</f>
        <v>45476</v>
      </c>
      <c r="F19" s="36" t="str">
        <f>IFERROR(VLOOKUP(B19,MDB!A:H,8,0),VLOOKUP(B19,Inactive!A:H,8,0))</f>
        <v>Content Moderator</v>
      </c>
      <c r="G19" s="36" t="str">
        <f>IFERROR(VLOOKUP(B19,MDB!A:I,9,0),VLOOKUP(B19,Inactive!A:I,9,0))</f>
        <v>Operations</v>
      </c>
      <c r="H19" s="36" t="str">
        <f>IFERROR(VLOOKUP(B19,MDB!A:K,11,0),VLOOKUP(B19,Inactive!A:K,11,0))</f>
        <v>Temu</v>
      </c>
      <c r="I19" s="36" t="str">
        <f>IFERROR(VLOOKUP(B19,MDB!A:J,10,0),VLOOKUP(B19,Inactive!A:J,10,0))</f>
        <v>BG Platform Governance Requirements</v>
      </c>
      <c r="J19" s="34" t="s">
        <v>7407</v>
      </c>
      <c r="K19" s="34" t="s">
        <v>7403</v>
      </c>
      <c r="L19" s="34" t="s">
        <v>7408</v>
      </c>
      <c r="M19" s="36" t="str">
        <f>IFERROR(VLOOKUP(B19,MDB!A:R,18,0),VLOOKUP(B19,Inactive!A:L,12,0))</f>
        <v> Fixed</v>
      </c>
      <c r="N19" s="36">
        <f>IFERROR(VLOOKUP(B19,MDB!A:R,18,0),VLOOKUP(B19,Inactive!A:BB,54,0))</f>
        <v>10800</v>
      </c>
      <c r="O19" s="36">
        <f>IFERROR(VLOOKUP(B19,MDB!A:R,18,0),VLOOKUP(B19,Inactive!A:BC,55,0))</f>
        <v>2700</v>
      </c>
      <c r="P19" s="36">
        <f>IFERROR(VLOOKUP(B19,MDB!A:R,18,0),VLOOKUP(B19,Inactive!A:BD,56,0))</f>
        <v>1000</v>
      </c>
      <c r="Q19" s="36" t="s">
        <v>7404</v>
      </c>
      <c r="R19" s="36">
        <v>39</v>
      </c>
      <c r="S19" s="36"/>
      <c r="T19" s="36"/>
      <c r="U19" s="36"/>
      <c r="V19" s="36" t="str">
        <f>IFERROR(VLOOKUP(B19,MDB!A:M,13,0),VLOOKUP(B19,Inactive!A:M,13,0))</f>
        <v>Rakib Ahsan</v>
      </c>
      <c r="W19" s="36" t="str">
        <f>IFERROR(VLOOKUP(B19,MDB!A:N,14,0),VLOOKUP(B19,Inactive!A:N,14,0))</f>
        <v>Asif Iqbal</v>
      </c>
      <c r="X19" s="36"/>
      <c r="Y19" s="36"/>
      <c r="Z19" s="36" t="str">
        <f>IFERROR(VLOOKUP(B19,MDB!A:AO,41,0),VLOOKUP(B19,Inactive!A:AO,41,0))</f>
        <v>malibag ,dhaka-1217</v>
      </c>
      <c r="AA19" s="36" t="str">
        <f>IFERROR(VLOOKUP(B19,MDB!A:AP,42,0),VLOOKUP(B19,Inactive!A:AP,42,0))</f>
        <v>faridpur sadar. Faridpur</v>
      </c>
      <c r="AB19" s="36" t="str">
        <f>IFERROR(VLOOKUP(B19,MDB!A:AQ,43,0),VLOOKUP(B19,Inactive!A:AQ,43,0))</f>
        <v>malibgh</v>
      </c>
      <c r="AC19" s="36" t="str">
        <f>IFERROR(VLOOKUP(B19,MDB!A:V,22,0),VLOOKUP(B19,Inactive!A:V,22,0))</f>
        <v>NA</v>
      </c>
      <c r="AD19" s="36">
        <f>IFERROR(VLOOKUP(B19,MDB!A:W,24,0),VLOOKUP(B19,Inactive!A:X,24,0))</f>
        <v>1717940538</v>
      </c>
      <c r="AE19" s="36">
        <f>IFERROR(VLOOKUP(B19,MDB!A:AA,27,0),VLOOKUP(B19,Inactive!A:AA,27,0))</f>
        <v>1712645925</v>
      </c>
      <c r="AF19" s="36" t="str">
        <f>IFERROR(VLOOKUP(B19,MDB!A:Z,26,0),VLOOKUP(B19,Inactive!A:Z,26,0))</f>
        <v>Md. Moniruzzaman</v>
      </c>
      <c r="AG19" s="36" t="str">
        <f>IFERROR(VLOOKUP(B19,MDB!A:E,5,0),VLOOKUP(B19,Inactive!A:E,5,0))</f>
        <v>Male </v>
      </c>
      <c r="AH19" s="37">
        <f>IFERROR(VLOOKUP(B19,MDB!A:AD,30,0),VLOOKUP(B19,Inactive!A:AD,30,0))</f>
        <v>35059</v>
      </c>
      <c r="AI19" s="36" t="str">
        <f>VLOOKUP(B19,Inactive!A:AC,29,0)</f>
        <v>A+</v>
      </c>
      <c r="AJ19" s="36" t="str">
        <f>IFERROR(VLOOKUP(B19,MDB!A:AF,32,0),VLOOKUP(B19,Inactive!A:AF,32,0))</f>
        <v>Islam</v>
      </c>
      <c r="AK19" s="36">
        <f>IFERROR(VLOOKUP(B19,MDB!A:AG,33,0),VLOOKUP(B19,Inactive!A:AG,33,0))</f>
        <v>1453473710</v>
      </c>
      <c r="AL19" s="36" t="str">
        <f>IFERROR(VLOOKUP(B19,MDB!A:AH,34,0),VLOOKUP(B19,Inactive!A:AH,34,0))</f>
        <v>N/A</v>
      </c>
      <c r="AM19" s="36" t="str">
        <f>IFERROR(VLOOKUP(B19,MDB!A:AI,35,0),VLOOKUP(B19,Inactive!A:AI,35,0))</f>
        <v>BSC</v>
      </c>
      <c r="AN19" s="156" t="s">
        <v>7409</v>
      </c>
      <c r="AO19" s="41">
        <f>VLOOKUP(B19,Inactive!A:BI,61,0)</f>
        <v>45604</v>
      </c>
      <c r="AP19" s="34" t="str">
        <f>VLOOKUP(B19,Inactive!A:BH,60,0)</f>
        <v>Resignation</v>
      </c>
      <c r="AQ19" s="34" t="str">
        <f>VLOOKUP(B19,Inactive!A:BJ,62,0)</f>
        <v>Better Opportunity</v>
      </c>
    </row>
    <row r="20" ht="15.6">
      <c r="A20" s="34" t="e">
        <f>#REF!+1</f>
        <v>#REF!</v>
      </c>
      <c r="B20" s="4">
        <v>171153</v>
      </c>
      <c r="C20" s="35" t="str">
        <f>IFERROR(VLOOKUP(B20,MDB!A:D,4,0),VLOOKUP('MDB_Inactive List'!B20,Inactive!A:D,4,0))</f>
        <v>Md. Shahriar Kobir</v>
      </c>
      <c r="D20" s="36" t="str">
        <f>IFERROR(VLOOKUP(B20,MDB!A:G,7,0),VLOOKUP(B20,Inactive!A:G,7,0))</f>
        <v>CSO</v>
      </c>
      <c r="E20" s="37">
        <f>IFERROR(VLOOKUP(B20,MDB!A:R,18,0),VLOOKUP(B20,Inactive!A:R,18,0))</f>
        <v>45211</v>
      </c>
      <c r="F20" s="36" t="str">
        <f>IFERROR(VLOOKUP(B20,MDB!A:H,8,0),VLOOKUP(B20,Inactive!A:H,8,0))</f>
        <v>Content Moderator</v>
      </c>
      <c r="G20" s="36" t="str">
        <f>IFERROR(VLOOKUP(B20,MDB!A:I,9,0),VLOOKUP(B20,Inactive!A:I,9,0))</f>
        <v>Operations</v>
      </c>
      <c r="H20" s="36" t="str">
        <f>IFERROR(VLOOKUP(B20,MDB!A:K,11,0),VLOOKUP(B20,Inactive!A:K,11,0))</f>
        <v>TEMU</v>
      </c>
      <c r="I20" s="36" t="str">
        <f>IFERROR(VLOOKUP(B20,MDB!A:J,10,0),VLOOKUP(B20,Inactive!A:J,10,0))</f>
        <v>Beauty &amp; accessory</v>
      </c>
      <c r="J20" s="34" t="s">
        <v>7407</v>
      </c>
      <c r="K20" s="34" t="s">
        <v>7403</v>
      </c>
      <c r="L20" s="34" t="s">
        <v>7408</v>
      </c>
      <c r="M20" s="36" t="str">
        <f>IFERROR(VLOOKUP(B20,MDB!A:R,18,0),VLOOKUP(B20,Inactive!A:L,12,0))</f>
        <v>Fixed</v>
      </c>
      <c r="N20" s="36">
        <f>IFERROR(VLOOKUP(B20,MDB!A:R,18,0),VLOOKUP(B20,Inactive!A:BB,54,0))</f>
        <v>10800</v>
      </c>
      <c r="O20" s="36">
        <f>IFERROR(VLOOKUP(B20,MDB!A:R,18,0),VLOOKUP(B20,Inactive!A:BC,55,0))</f>
        <v>2700</v>
      </c>
      <c r="P20" s="36">
        <f>IFERROR(VLOOKUP(B20,MDB!A:R,18,0),VLOOKUP(B20,Inactive!A:BD,56,0))</f>
        <v>0</v>
      </c>
      <c r="Q20" s="36" t="s">
        <v>7404</v>
      </c>
      <c r="R20" s="36">
        <v>40</v>
      </c>
      <c r="S20" s="36"/>
      <c r="T20" s="36"/>
      <c r="U20" s="36"/>
      <c r="V20" s="36" t="str">
        <f>IFERROR(VLOOKUP(B20,MDB!A:M,13,0),VLOOKUP(B20,Inactive!A:M,13,0))</f>
        <v>Nazmus Sakib</v>
      </c>
      <c r="W20" s="36" t="str">
        <f>IFERROR(VLOOKUP(B20,MDB!A:N,14,0),VLOOKUP(B20,Inactive!A:N,14,0))</f>
        <v>Asif Iqbal</v>
      </c>
      <c r="X20" s="36"/>
      <c r="Y20" s="36"/>
      <c r="Z20" s="36" t="str">
        <f>IFERROR(VLOOKUP(B20,MDB!A:AO,41,0),VLOOKUP(B20,Inactive!A:AO,41,0))</f>
        <v>House: 231,232,Block-Dha,Road-Kalshi, Mirpur 12,Dhaka</v>
      </c>
      <c r="AA20" s="36" t="str">
        <f>IFERROR(VLOOKUP(B20,MDB!A:AP,42,0),VLOOKUP(B20,Inactive!A:AP,42,0))</f>
        <v>Village: Chatra, Post: Chalkkirti-6341,Shibganj,Chapai Nawabganj.</v>
      </c>
      <c r="AB20" s="36" t="str">
        <f>IFERROR(VLOOKUP(B20,MDB!A:AQ,43,0),VLOOKUP(B20,Inactive!A:AQ,43,0))</f>
        <v>Mirpur</v>
      </c>
      <c r="AC20" s="36">
        <f>IFERROR(VLOOKUP(B20,MDB!A:V,22,0),VLOOKUP(B20,Inactive!A:V,22,0))</f>
        <v>0</v>
      </c>
      <c r="AD20" s="36">
        <f>IFERROR(VLOOKUP(B20,MDB!A:W,24,0),VLOOKUP(B20,Inactive!A:X,24,0))</f>
        <v>1300331014</v>
      </c>
      <c r="AE20" s="36">
        <f>IFERROR(VLOOKUP(B20,MDB!A:AA,27,0),VLOOKUP(B20,Inactive!A:AA,27,0))</f>
        <v>1741350037</v>
      </c>
      <c r="AF20" s="36" t="str">
        <f>IFERROR(VLOOKUP(B20,MDB!A:Z,26,0),VLOOKUP(B20,Inactive!A:Z,26,0))</f>
        <v>Md. Sohidul Islam</v>
      </c>
      <c r="AG20" s="36" t="str">
        <f>IFERROR(VLOOKUP(B20,MDB!A:E,5,0),VLOOKUP(B20,Inactive!A:E,5,0))</f>
        <v>Male</v>
      </c>
      <c r="AH20" s="37">
        <f>IFERROR(VLOOKUP(B20,MDB!A:AD,30,0),VLOOKUP(B20,Inactive!A:AD,30,0))</f>
        <v>36950</v>
      </c>
      <c r="AI20" s="36" t="str">
        <f>VLOOKUP(B20,Inactive!A:AC,29,0)</f>
        <v>A+</v>
      </c>
      <c r="AJ20" s="36" t="str">
        <f>IFERROR(VLOOKUP(B20,MDB!A:AF,32,0),VLOOKUP(B20,Inactive!A:AF,32,0))</f>
        <v>Islam</v>
      </c>
      <c r="AK20" s="36">
        <f>IFERROR(VLOOKUP(B20,MDB!A:AG,33,0),VLOOKUP(B20,Inactive!A:AG,33,0))</f>
        <v>3313892584</v>
      </c>
      <c r="AL20" s="36" t="str">
        <f>IFERROR(VLOOKUP(B20,MDB!A:AH,34,0),VLOOKUP(B20,Inactive!A:AH,34,0))</f>
        <v>N/A</v>
      </c>
      <c r="AM20" s="36" t="str">
        <f>IFERROR(VLOOKUP(B20,MDB!A:AI,35,0),VLOOKUP(B20,Inactive!A:AI,35,0))</f>
        <v>B.Pharm</v>
      </c>
      <c r="AN20" s="156" t="s">
        <v>7409</v>
      </c>
      <c r="AO20" s="41">
        <f>VLOOKUP(B20,Inactive!A:BI,61,0)</f>
        <v>45604</v>
      </c>
      <c r="AP20" s="34" t="str">
        <f>VLOOKUP(B20,Inactive!A:BH,60,0)</f>
        <v>Resignation</v>
      </c>
      <c r="AQ20" s="34" t="str">
        <f>VLOOKUP(B20,Inactive!A:BJ,62,0)</f>
        <v>Better opportunity</v>
      </c>
    </row>
    <row r="21" ht="15.6">
      <c r="A21" s="34" t="e">
        <f>#REF!+1</f>
        <v>#REF!</v>
      </c>
      <c r="B21" s="207">
        <v>171919</v>
      </c>
      <c r="C21" s="35" t="str">
        <f>IFERROR(VLOOKUP(B21,MDB!A:D,4,0),VLOOKUP('MDB_Inactive List'!B21,Inactive!A:D,4,0))</f>
        <v>Tahmina Akter</v>
      </c>
      <c r="D21" s="36" t="str">
        <f>IFERROR(VLOOKUP(B21,MDB!A:G,7,0),VLOOKUP(B21,Inactive!A:G,7,0))</f>
        <v>CSO</v>
      </c>
      <c r="E21" s="37">
        <f>IFERROR(VLOOKUP(B21,MDB!A:R,18,0),VLOOKUP(B21,Inactive!A:R,18,0))</f>
        <v>45541</v>
      </c>
      <c r="F21" s="36" t="str">
        <f>IFERROR(VLOOKUP(B21,MDB!A:H,8,0),VLOOKUP(B21,Inactive!A:H,8,0))</f>
        <v>Content Moderator</v>
      </c>
      <c r="G21" s="36" t="str">
        <f>IFERROR(VLOOKUP(B21,MDB!A:I,9,0),VLOOKUP(B21,Inactive!A:I,9,0))</f>
        <v>Operations</v>
      </c>
      <c r="H21" s="36" t="str">
        <f>IFERROR(VLOOKUP(B21,MDB!A:K,11,0),VLOOKUP(B21,Inactive!A:K,11,0))</f>
        <v>TEMU</v>
      </c>
      <c r="I21" s="36" t="str">
        <f>IFERROR(VLOOKUP(B21,MDB!A:J,10,0),VLOOKUP(B21,Inactive!A:J,10,0))</f>
        <v>Identification of the same product</v>
      </c>
      <c r="J21" s="34" t="s">
        <v>7407</v>
      </c>
      <c r="K21" s="34" t="s">
        <v>7403</v>
      </c>
      <c r="L21" s="34" t="s">
        <v>7408</v>
      </c>
      <c r="M21" s="36" t="str">
        <f>IFERROR(VLOOKUP(B21,MDB!A:R,18,0),VLOOKUP(B21,Inactive!A:L,12,0))</f>
        <v>Fixed</v>
      </c>
      <c r="N21" s="36">
        <f>IFERROR(VLOOKUP(B21,MDB!A:R,18,0),VLOOKUP(B21,Inactive!A:BB,54,0))</f>
        <v>10800</v>
      </c>
      <c r="O21" s="36">
        <f>IFERROR(VLOOKUP(B21,MDB!A:R,18,0),VLOOKUP(B21,Inactive!A:BC,55,0))</f>
        <v>2700</v>
      </c>
      <c r="P21" s="36">
        <f>IFERROR(VLOOKUP(B21,MDB!A:R,18,0),VLOOKUP(B21,Inactive!A:BD,56,0))</f>
        <v>0</v>
      </c>
      <c r="Q21" s="36" t="s">
        <v>7404</v>
      </c>
      <c r="R21" s="36">
        <v>41</v>
      </c>
      <c r="S21" s="36"/>
      <c r="T21" s="36"/>
      <c r="U21" s="36"/>
      <c r="V21" s="36" t="str">
        <f>IFERROR(VLOOKUP(B21,MDB!A:M,13,0),VLOOKUP(B21,Inactive!A:M,13,0))</f>
        <v>Nazimuddoula Leon</v>
      </c>
      <c r="W21" s="36" t="str">
        <f>IFERROR(VLOOKUP(B21,MDB!A:N,14,0),VLOOKUP(B21,Inactive!A:N,14,0))</f>
        <v>Asif Iqbal</v>
      </c>
      <c r="X21" s="36"/>
      <c r="Y21" s="36"/>
      <c r="Z21" s="36">
        <f>IFERROR(VLOOKUP(B21,MDB!A:AO,41,0),VLOOKUP(B21,Inactive!A:AO,41,0))</f>
        <v>0</v>
      </c>
      <c r="AA21" s="36">
        <f>IFERROR(VLOOKUP(B21,MDB!A:AP,42,0),VLOOKUP(B21,Inactive!A:AP,42,0))</f>
        <v>0</v>
      </c>
      <c r="AB21" s="36">
        <f>IFERROR(VLOOKUP(B21,MDB!A:AQ,43,0),VLOOKUP(B21,Inactive!A:AQ,43,0))</f>
        <v>0</v>
      </c>
      <c r="AC21" s="36">
        <f>IFERROR(VLOOKUP(B21,MDB!A:V,22,0),VLOOKUP(B21,Inactive!A:V,22,0))</f>
        <v>0</v>
      </c>
      <c r="AD21" s="36">
        <f>IFERROR(VLOOKUP(B21,MDB!A:W,24,0),VLOOKUP(B21,Inactive!A:X,24,0))</f>
        <v>1409250642</v>
      </c>
      <c r="AE21" s="36">
        <f>IFERROR(VLOOKUP(B21,MDB!A:AA,27,0),VLOOKUP(B21,Inactive!A:AA,27,0))</f>
        <v>0</v>
      </c>
      <c r="AF21" s="36">
        <f>IFERROR(VLOOKUP(B21,MDB!A:Z,26,0),VLOOKUP(B21,Inactive!A:Z,26,0))</f>
        <v>0</v>
      </c>
      <c r="AG21" s="36" t="str">
        <f>IFERROR(VLOOKUP(B21,MDB!A:E,5,0),VLOOKUP(B21,Inactive!A:E,5,0))</f>
        <v>Female</v>
      </c>
      <c r="AH21" s="37">
        <f>IFERROR(VLOOKUP(B21,MDB!A:AD,30,0),VLOOKUP(B21,Inactive!A:AD,30,0))</f>
        <v>0</v>
      </c>
      <c r="AI21" s="36">
        <f>VLOOKUP(B21,Inactive!A:AC,29,0)</f>
        <v>0</v>
      </c>
      <c r="AJ21" s="36" t="str">
        <f>IFERROR(VLOOKUP(B21,MDB!A:AF,32,0),VLOOKUP(B21,Inactive!A:AF,32,0))</f>
        <v>Islam</v>
      </c>
      <c r="AK21" s="36">
        <f>IFERROR(VLOOKUP(B21,MDB!A:AG,33,0),VLOOKUP(B21,Inactive!A:AG,33,0))</f>
        <v>0</v>
      </c>
      <c r="AL21" s="36">
        <f>IFERROR(VLOOKUP(B21,MDB!A:AH,34,0),VLOOKUP(B21,Inactive!A:AH,34,0))</f>
        <v>0</v>
      </c>
      <c r="AM21" s="36">
        <f>IFERROR(VLOOKUP(B21,MDB!A:AI,35,0),VLOOKUP(B21,Inactive!A:AI,35,0))</f>
        <v>0</v>
      </c>
      <c r="AN21" s="156" t="s">
        <v>7409</v>
      </c>
      <c r="AO21" s="41">
        <f>VLOOKUP(B21,Inactive!A:BI,61,0)</f>
        <v>45581</v>
      </c>
      <c r="AP21" s="34" t="str">
        <f>VLOOKUP(B21,Inactive!A:BH,60,0)</f>
        <v>Separated</v>
      </c>
      <c r="AQ21" s="34" t="str">
        <f>VLOOKUP(B21,Inactive!A:BJ,62,0)</f>
        <v>Absenteesm</v>
      </c>
    </row>
    <row r="22" ht="15.6">
      <c r="A22" s="34" t="e">
        <f>#REF!+1</f>
        <v>#REF!</v>
      </c>
      <c r="B22" s="4">
        <v>171351</v>
      </c>
      <c r="C22" s="35" t="str">
        <f>IFERROR(VLOOKUP(B22,MDB!A:D,4,0),VLOOKUP('MDB_Inactive List'!B22,Inactive!A:D,4,0))</f>
        <v>Mahmudul Hassan</v>
      </c>
      <c r="D22" s="36" t="str">
        <f>IFERROR(VLOOKUP(B22,MDB!A:G,7,0),VLOOKUP(B22,Inactive!A:G,7,0))</f>
        <v>CSO</v>
      </c>
      <c r="E22" s="37">
        <f>IFERROR(VLOOKUP(B22,MDB!A:R,18,0),VLOOKUP(B22,Inactive!A:R,18,0))</f>
        <v>45356</v>
      </c>
      <c r="F22" s="36" t="str">
        <f>IFERROR(VLOOKUP(B22,MDB!A:H,8,0),VLOOKUP(B22,Inactive!A:H,8,0))</f>
        <v>Content Moderator</v>
      </c>
      <c r="G22" s="36" t="str">
        <f>IFERROR(VLOOKUP(B22,MDB!A:I,9,0),VLOOKUP(B22,Inactive!A:I,9,0))</f>
        <v>Operations</v>
      </c>
      <c r="H22" s="36" t="str">
        <f>IFERROR(VLOOKUP(B22,MDB!A:K,11,0),VLOOKUP(B22,Inactive!A:K,11,0))</f>
        <v>TEMU</v>
      </c>
      <c r="I22" s="36" t="str">
        <f>IFERROR(VLOOKUP(B22,MDB!A:J,10,0),VLOOKUP(B22,Inactive!A:J,10,0))</f>
        <v>Sports &amp; shoes &amp; bags &amp; special women clothing</v>
      </c>
      <c r="J22" s="34" t="s">
        <v>7407</v>
      </c>
      <c r="K22" s="34" t="s">
        <v>7403</v>
      </c>
      <c r="L22" s="34" t="s">
        <v>7408</v>
      </c>
      <c r="M22" s="36" t="str">
        <f>IFERROR(VLOOKUP(B22,MDB!A:R,18,0),VLOOKUP(B22,Inactive!A:L,12,0))</f>
        <v>Fixed</v>
      </c>
      <c r="N22" s="36">
        <f>IFERROR(VLOOKUP(B22,MDB!A:R,18,0),VLOOKUP(B22,Inactive!A:BB,54,0))</f>
        <v>10800</v>
      </c>
      <c r="O22" s="36">
        <f>IFERROR(VLOOKUP(B22,MDB!A:R,18,0),VLOOKUP(B22,Inactive!A:BC,55,0))</f>
        <v>2700</v>
      </c>
      <c r="P22" s="36">
        <f>IFERROR(VLOOKUP(B22,MDB!A:R,18,0),VLOOKUP(B22,Inactive!A:BD,56,0))</f>
        <v>0</v>
      </c>
      <c r="Q22" s="36" t="s">
        <v>7404</v>
      </c>
      <c r="R22" s="36">
        <v>42</v>
      </c>
      <c r="S22" s="36"/>
      <c r="T22" s="36"/>
      <c r="U22" s="36"/>
      <c r="V22" s="36" t="str">
        <f>IFERROR(VLOOKUP(B22,MDB!A:M,13,0),VLOOKUP(B22,Inactive!A:M,13,0))</f>
        <v>Md Mehedi Hasan</v>
      </c>
      <c r="W22" s="36" t="str">
        <f>IFERROR(VLOOKUP(B22,MDB!A:N,14,0),VLOOKUP(B22,Inactive!A:N,14,0))</f>
        <v>Asif Iqbal</v>
      </c>
      <c r="X22" s="36"/>
      <c r="Y22" s="36"/>
      <c r="Z22" s="36" t="str">
        <f>IFERROR(VLOOKUP(B22,MDB!A:AO,41,0),VLOOKUP(B22,Inactive!A:AO,41,0))</f>
        <v>380/2 Manikdi, Ecb Chattar, Dhaka Cantonment</v>
      </c>
      <c r="AA22" s="36" t="str">
        <f>IFERROR(VLOOKUP(B22,MDB!A:AP,42,0),VLOOKUP(B22,Inactive!A:AP,42,0))</f>
        <v>Village: Purbo sarodubi, Thana: Hatibandha, District: Lalmonirhat, Division: Rangpur</v>
      </c>
      <c r="AB22" s="36" t="str">
        <f>IFERROR(VLOOKUP(B22,MDB!A:AQ,43,0),VLOOKUP(B22,Inactive!A:AQ,43,0))</f>
        <v>Dhaka cantonment</v>
      </c>
      <c r="AC22" s="36">
        <f>IFERROR(VLOOKUP(B22,MDB!A:V,22,0),VLOOKUP(B22,Inactive!A:V,22,0))</f>
        <v>0</v>
      </c>
      <c r="AD22" s="36">
        <f>IFERROR(VLOOKUP(B22,MDB!A:W,24,0),VLOOKUP(B22,Inactive!A:X,24,0))</f>
        <v>1750964100</v>
      </c>
      <c r="AE22" s="36">
        <f>IFERROR(VLOOKUP(B22,MDB!A:AA,27,0),VLOOKUP(B22,Inactive!A:AA,27,0))</f>
        <v>1784061322</v>
      </c>
      <c r="AF22" s="36" t="str">
        <f>IFERROR(VLOOKUP(B22,MDB!A:Z,26,0),VLOOKUP(B22,Inactive!A:Z,26,0))</f>
        <v>Mushfika jahan</v>
      </c>
      <c r="AG22" s="36" t="str">
        <f>IFERROR(VLOOKUP(B22,MDB!A:E,5,0),VLOOKUP(B22,Inactive!A:E,5,0))</f>
        <v>Male</v>
      </c>
      <c r="AH22" s="37">
        <f>IFERROR(VLOOKUP(B22,MDB!A:AD,30,0),VLOOKUP(B22,Inactive!A:AD,30,0))</f>
        <v>37491</v>
      </c>
      <c r="AI22" s="36" t="str">
        <f>VLOOKUP(B22,Inactive!A:AC,29,0)</f>
        <v>A+</v>
      </c>
      <c r="AJ22" s="36" t="str">
        <f>IFERROR(VLOOKUP(B22,MDB!A:AF,32,0),VLOOKUP(B22,Inactive!A:AF,32,0))</f>
        <v>Islam</v>
      </c>
      <c r="AK22" s="36">
        <f>IFERROR(VLOOKUP(B22,MDB!A:AG,33,0),VLOOKUP(B22,Inactive!A:AG,33,0))</f>
        <v>8261430139</v>
      </c>
      <c r="AL22" s="36" t="str">
        <f>IFERROR(VLOOKUP(B22,MDB!A:AH,34,0),VLOOKUP(B22,Inactive!A:AH,34,0))</f>
        <v>N/A</v>
      </c>
      <c r="AM22" s="36" t="str">
        <f>IFERROR(VLOOKUP(B22,MDB!A:AI,35,0),VLOOKUP(B22,Inactive!A:AI,35,0))</f>
        <v>BSc </v>
      </c>
      <c r="AN22" s="156" t="s">
        <v>7409</v>
      </c>
      <c r="AO22" s="41">
        <f>VLOOKUP(B22,Inactive!A:BI,61,0)</f>
        <v>45606</v>
      </c>
      <c r="AP22" s="34" t="str">
        <f>VLOOKUP(B22,Inactive!A:BH,60,0)</f>
        <v>Resignation</v>
      </c>
      <c r="AQ22" s="34" t="str">
        <f>VLOOKUP(B22,Inactive!A:BJ,62,0)</f>
        <v>Study Purpose</v>
      </c>
    </row>
    <row r="23" ht="15.6">
      <c r="A23" s="34" t="e">
        <f>#REF!+1</f>
        <v>#REF!</v>
      </c>
      <c r="B23" s="4">
        <v>171311</v>
      </c>
      <c r="C23" s="35" t="str">
        <f>IFERROR(VLOOKUP(B23,MDB!A:D,4,0),VLOOKUP('MDB_Inactive List'!B23,Inactive!A:D,4,0))</f>
        <v>Mst. Taniya Hamid</v>
      </c>
      <c r="D23" s="36" t="str">
        <f>IFERROR(VLOOKUP(B23,MDB!A:G,7,0),VLOOKUP(B23,Inactive!A:G,7,0))</f>
        <v>CSO</v>
      </c>
      <c r="E23" s="37">
        <f>IFERROR(VLOOKUP(B23,MDB!A:R,18,0),VLOOKUP(B23,Inactive!A:R,18,0))</f>
        <v>45292</v>
      </c>
      <c r="F23" s="36" t="str">
        <f>IFERROR(VLOOKUP(B23,MDB!A:H,8,0),VLOOKUP(B23,Inactive!A:H,8,0))</f>
        <v>Content Moderator</v>
      </c>
      <c r="G23" s="36" t="str">
        <f>IFERROR(VLOOKUP(B23,MDB!A:I,9,0),VLOOKUP(B23,Inactive!A:I,9,0))</f>
        <v>Operations</v>
      </c>
      <c r="H23" s="36" t="str">
        <f>IFERROR(VLOOKUP(B23,MDB!A:K,11,0),VLOOKUP(B23,Inactive!A:K,11,0))</f>
        <v>TEMU</v>
      </c>
      <c r="I23" s="36" t="str">
        <f>IFERROR(VLOOKUP(B23,MDB!A:J,10,0),VLOOKUP(B23,Inactive!A:J,10,0))</f>
        <v>Beauty &amp; accessory</v>
      </c>
      <c r="J23" s="34" t="s">
        <v>7407</v>
      </c>
      <c r="K23" s="34" t="s">
        <v>7403</v>
      </c>
      <c r="L23" s="34" t="s">
        <v>7408</v>
      </c>
      <c r="M23" s="36" t="str">
        <f>IFERROR(VLOOKUP(B23,MDB!A:R,18,0),VLOOKUP(B23,Inactive!A:L,12,0))</f>
        <v>Fixed</v>
      </c>
      <c r="N23" s="36">
        <f>IFERROR(VLOOKUP(B23,MDB!A:R,18,0),VLOOKUP(B23,Inactive!A:BB,54,0))</f>
        <v>10800</v>
      </c>
      <c r="O23" s="36">
        <f>IFERROR(VLOOKUP(B23,MDB!A:R,18,0),VLOOKUP(B23,Inactive!A:BC,55,0))</f>
        <v>2700</v>
      </c>
      <c r="P23" s="36">
        <f>IFERROR(VLOOKUP(B23,MDB!A:R,18,0),VLOOKUP(B23,Inactive!A:BD,56,0))</f>
        <v>0</v>
      </c>
      <c r="Q23" s="36" t="s">
        <v>7404</v>
      </c>
      <c r="R23" s="36">
        <v>43</v>
      </c>
      <c r="S23" s="36"/>
      <c r="T23" s="36"/>
      <c r="U23" s="36"/>
      <c r="V23" s="36" t="str">
        <f>IFERROR(VLOOKUP(B23,MDB!A:M,13,0),VLOOKUP(B23,Inactive!A:M,13,0))</f>
        <v>Nazimuddoula Leon</v>
      </c>
      <c r="W23" s="36" t="str">
        <f>IFERROR(VLOOKUP(B23,MDB!A:N,14,0),VLOOKUP(B23,Inactive!A:N,14,0))</f>
        <v>Asif Iqbal</v>
      </c>
      <c r="X23" s="36"/>
      <c r="Y23" s="36"/>
      <c r="Z23" s="36" t="str">
        <f>IFERROR(VLOOKUP(B23,MDB!A:AO,41,0),VLOOKUP(B23,Inactive!A:AO,41,0))</f>
        <v>House 14,Road 01,Nikunja 2,Khilkhet Dhaka</v>
      </c>
      <c r="AA23" s="36" t="str">
        <f>IFERROR(VLOOKUP(B23,MDB!A:AP,42,0),VLOOKUP(B23,Inactive!A:AP,42,0))</f>
        <v>Chopinagur, Shahjahanpur,Bogura</v>
      </c>
      <c r="AB23" s="36" t="str">
        <f>IFERROR(VLOOKUP(B23,MDB!A:AQ,43,0),VLOOKUP(B23,Inactive!A:AQ,43,0))</f>
        <v>Nikunja</v>
      </c>
      <c r="AC23" s="36">
        <f>IFERROR(VLOOKUP(B23,MDB!A:V,22,0),VLOOKUP(B23,Inactive!A:V,22,0))</f>
        <v>0</v>
      </c>
      <c r="AD23" s="36">
        <f>IFERROR(VLOOKUP(B23,MDB!A:W,24,0),VLOOKUP(B23,Inactive!A:X,24,0))</f>
        <v>1784109153</v>
      </c>
      <c r="AE23" s="36">
        <f>IFERROR(VLOOKUP(B23,MDB!A:AA,27,0),VLOOKUP(B23,Inactive!A:AA,27,0))</f>
        <v>1938356831</v>
      </c>
      <c r="AF23" s="36" t="str">
        <f>IFERROR(VLOOKUP(B23,MDB!A:Z,26,0),VLOOKUP(B23,Inactive!A:Z,26,0))</f>
        <v>Soniya Hamid</v>
      </c>
      <c r="AG23" s="36" t="str">
        <f>IFERROR(VLOOKUP(B23,MDB!A:E,5,0),VLOOKUP(B23,Inactive!A:E,5,0))</f>
        <v>Female</v>
      </c>
      <c r="AH23" s="37">
        <f>IFERROR(VLOOKUP(B23,MDB!A:AD,30,0),VLOOKUP(B23,Inactive!A:AD,30,0))</f>
        <v>35390</v>
      </c>
      <c r="AI23" s="36" t="str">
        <f>VLOOKUP(B23,Inactive!A:AC,29,0)</f>
        <v>A+</v>
      </c>
      <c r="AJ23" s="36" t="str">
        <f>IFERROR(VLOOKUP(B23,MDB!A:AF,32,0),VLOOKUP(B23,Inactive!A:AF,32,0))</f>
        <v>Islam</v>
      </c>
      <c r="AK23" s="36">
        <f>IFERROR(VLOOKUP(B23,MDB!A:AG,33,0),VLOOKUP(B23,Inactive!A:AG,33,0))</f>
        <v>2852911144</v>
      </c>
      <c r="AL23" s="36" t="str">
        <f>IFERROR(VLOOKUP(B23,MDB!A:AH,34,0),VLOOKUP(B23,Inactive!A:AH,34,0))</f>
        <v>N/A</v>
      </c>
      <c r="AM23" s="36" t="str">
        <f>IFERROR(VLOOKUP(B23,MDB!A:AI,35,0),VLOOKUP(B23,Inactive!A:AI,35,0))</f>
        <v>BSC</v>
      </c>
      <c r="AN23" s="156" t="s">
        <v>7409</v>
      </c>
      <c r="AO23" s="41">
        <f>VLOOKUP(B23,Inactive!A:BI,61,0)</f>
        <v>45614</v>
      </c>
      <c r="AP23" s="34" t="str">
        <f>VLOOKUP(B23,Inactive!A:BH,60,0)</f>
        <v>Resignation</v>
      </c>
      <c r="AQ23" s="34" t="str">
        <f>VLOOKUP(B23,Inactive!A:BJ,62,0)</f>
        <v>Better Opportunity</v>
      </c>
    </row>
    <row r="24" ht="15.6">
      <c r="A24" s="34" t="e">
        <f>#REF!+1</f>
        <v>#REF!</v>
      </c>
      <c r="B24" s="207">
        <v>171550</v>
      </c>
      <c r="C24" s="35" t="str">
        <f>IFERROR(VLOOKUP(B24,MDB!A:D,4,0),VLOOKUP('MDB_Inactive List'!B24,Inactive!A:D,4,0))</f>
        <v>Tazia Sultana</v>
      </c>
      <c r="D24" s="36" t="str">
        <f>IFERROR(VLOOKUP(B24,MDB!A:G,7,0),VLOOKUP(B24,Inactive!A:G,7,0))</f>
        <v>CSO</v>
      </c>
      <c r="E24" s="37">
        <f>IFERROR(VLOOKUP(B24,MDB!A:R,18,0),VLOOKUP(B24,Inactive!A:R,18,0))</f>
        <v>45453</v>
      </c>
      <c r="F24" s="36" t="str">
        <f>IFERROR(VLOOKUP(B24,MDB!A:H,8,0),VLOOKUP(B24,Inactive!A:H,8,0))</f>
        <v>Content Moderator</v>
      </c>
      <c r="G24" s="36" t="str">
        <f>IFERROR(VLOOKUP(B24,MDB!A:I,9,0),VLOOKUP(B24,Inactive!A:I,9,0))</f>
        <v>Operations</v>
      </c>
      <c r="H24" s="36" t="str">
        <f>IFERROR(VLOOKUP(B24,MDB!A:K,11,0),VLOOKUP(B24,Inactive!A:K,11,0))</f>
        <v>TEMU</v>
      </c>
      <c r="I24" s="36" t="str">
        <f>IFERROR(VLOOKUP(B24,MDB!A:J,10,0),VLOOKUP(B24,Inactive!A:J,10,0))</f>
        <v>Beilei Project</v>
      </c>
      <c r="J24" s="34" t="s">
        <v>7407</v>
      </c>
      <c r="K24" s="34" t="s">
        <v>7403</v>
      </c>
      <c r="L24" s="34" t="s">
        <v>7408</v>
      </c>
      <c r="M24" s="36" t="str">
        <f>IFERROR(VLOOKUP(B24,MDB!A:R,18,0),VLOOKUP(B24,Inactive!A:L,12,0))</f>
        <v>Fixed</v>
      </c>
      <c r="N24" s="36">
        <f>IFERROR(VLOOKUP(B24,MDB!A:R,18,0),VLOOKUP(B24,Inactive!A:BB,54,0))</f>
        <v>10800</v>
      </c>
      <c r="O24" s="36">
        <f>IFERROR(VLOOKUP(B24,MDB!A:R,18,0),VLOOKUP(B24,Inactive!A:BC,55,0))</f>
        <v>2700</v>
      </c>
      <c r="P24" s="36">
        <f>IFERROR(VLOOKUP(B24,MDB!A:R,18,0),VLOOKUP(B24,Inactive!A:BD,56,0))</f>
        <v>0</v>
      </c>
      <c r="Q24" s="36" t="s">
        <v>7404</v>
      </c>
      <c r="R24" s="36">
        <v>44</v>
      </c>
      <c r="S24" s="36"/>
      <c r="T24" s="36"/>
      <c r="U24" s="36"/>
      <c r="V24" s="36" t="str">
        <f>IFERROR(VLOOKUP(B24,MDB!A:M,13,0),VLOOKUP(B24,Inactive!A:M,13,0))</f>
        <v>Md. Moniruzzaman</v>
      </c>
      <c r="W24" s="36" t="str">
        <f>IFERROR(VLOOKUP(B24,MDB!A:N,14,0),VLOOKUP(B24,Inactive!A:N,14,0))</f>
        <v>Asif Iqbal</v>
      </c>
      <c r="X24" s="36"/>
      <c r="Y24" s="36"/>
      <c r="Z24" s="36" t="str">
        <f>IFERROR(VLOOKUP(B24,MDB!A:AO,41,0),VLOOKUP(B24,Inactive!A:AO,41,0))</f>
        <v>Solmai, Sultan Market, kazi bari, near Al - Quran Mosque, Bosumoti, Bosundhara, vatara Dhaka</v>
      </c>
      <c r="AA24" s="36" t="str">
        <f>IFERROR(VLOOKUP(B24,MDB!A:AP,42,0),VLOOKUP(B24,Inactive!A:AP,42,0))</f>
        <v>343/A Shahid Moshiur Rahman road police line Talikhola, puraton Kasba, Jashore-7400, Jasore sodor thana, Jashore</v>
      </c>
      <c r="AB24" s="36" t="str">
        <f>IFERROR(VLOOKUP(B24,MDB!A:AQ,43,0),VLOOKUP(B24,Inactive!A:AQ,43,0))</f>
        <v>Bosundhara</v>
      </c>
      <c r="AC24" s="36">
        <f>IFERROR(VLOOKUP(B24,MDB!A:V,22,0),VLOOKUP(B24,Inactive!A:V,22,0))</f>
        <v>0</v>
      </c>
      <c r="AD24" s="36">
        <f>IFERROR(VLOOKUP(B24,MDB!A:W,24,0),VLOOKUP(B24,Inactive!A:X,24,0))</f>
        <v>1711938133</v>
      </c>
      <c r="AE24" s="36">
        <f>IFERROR(VLOOKUP(B24,MDB!A:AA,27,0),VLOOKUP(B24,Inactive!A:AA,27,0))</f>
        <v>1731803415</v>
      </c>
      <c r="AF24" s="36" t="str">
        <f>IFERROR(VLOOKUP(B24,MDB!A:Z,26,0),VLOOKUP(B24,Inactive!A:Z,26,0))</f>
        <v>Quazi Delwar Hossain</v>
      </c>
      <c r="AG24" s="36" t="str">
        <f>IFERROR(VLOOKUP(B24,MDB!A:E,5,0),VLOOKUP(B24,Inactive!A:E,5,0))</f>
        <v>Female</v>
      </c>
      <c r="AH24" s="37">
        <f>IFERROR(VLOOKUP(B24,MDB!A:AD,30,0),VLOOKUP(B24,Inactive!A:AD,30,0))</f>
        <v>32810</v>
      </c>
      <c r="AI24" s="36" t="str">
        <f>VLOOKUP(B24,Inactive!A:AC,29,0)</f>
        <v>B+</v>
      </c>
      <c r="AJ24" s="36" t="str">
        <f>IFERROR(VLOOKUP(B24,MDB!A:AF,32,0),VLOOKUP(B24,Inactive!A:AF,32,0))</f>
        <v>Islam</v>
      </c>
      <c r="AK24" s="36">
        <f>IFERROR(VLOOKUP(B24,MDB!A:AG,33,0),VLOOKUP(B24,Inactive!A:AG,33,0))</f>
        <v>9112797353</v>
      </c>
      <c r="AL24" s="36" t="str">
        <f>IFERROR(VLOOKUP(B24,MDB!A:AH,34,0),VLOOKUP(B24,Inactive!A:AH,34,0))</f>
        <v>N/A</v>
      </c>
      <c r="AM24" s="36" t="str">
        <f>IFERROR(VLOOKUP(B24,MDB!A:AI,35,0),VLOOKUP(B24,Inactive!A:AI,35,0))</f>
        <v>Masters</v>
      </c>
      <c r="AN24" s="156" t="s">
        <v>7409</v>
      </c>
      <c r="AO24" s="41">
        <f>VLOOKUP(B24,Inactive!A:BI,61,0)</f>
        <v>45613</v>
      </c>
      <c r="AP24" s="34" t="str">
        <f>VLOOKUP(B24,Inactive!A:BH,60,0)</f>
        <v>Resignation</v>
      </c>
      <c r="AQ24" s="34" t="str">
        <f>VLOOKUP(B24,Inactive!A:BJ,62,0)</f>
        <v>Better Opportunity</v>
      </c>
    </row>
    <row r="25" ht="15.6">
      <c r="A25" s="34" t="e">
        <f>#REF!+1</f>
        <v>#REF!</v>
      </c>
      <c r="B25" s="207">
        <v>171612</v>
      </c>
      <c r="C25" s="35" t="str">
        <f>IFERROR(VLOOKUP(B25,MDB!A:D,4,0),VLOOKUP('MDB_Inactive List'!B25,Inactive!A:D,4,0))</f>
        <v>Tanvir Hosan Khan</v>
      </c>
      <c r="D25" s="36" t="str">
        <f>IFERROR(VLOOKUP(B25,MDB!A:G,7,0),VLOOKUP(B25,Inactive!A:G,7,0))</f>
        <v>CSO</v>
      </c>
      <c r="E25" s="37">
        <f>IFERROR(VLOOKUP(B25,MDB!A:R,18,0),VLOOKUP(B25,Inactive!A:R,18,0))</f>
        <v>45458</v>
      </c>
      <c r="F25" s="36" t="str">
        <f>IFERROR(VLOOKUP(B25,MDB!A:H,8,0),VLOOKUP(B25,Inactive!A:H,8,0))</f>
        <v>Content Moderator</v>
      </c>
      <c r="G25" s="36" t="str">
        <f>IFERROR(VLOOKUP(B25,MDB!A:I,9,0),VLOOKUP(B25,Inactive!A:I,9,0))</f>
        <v>Operations</v>
      </c>
      <c r="H25" s="36" t="str">
        <f>IFERROR(VLOOKUP(B25,MDB!A:K,11,0),VLOOKUP(B25,Inactive!A:K,11,0))</f>
        <v>TEMU</v>
      </c>
      <c r="I25" s="36" t="str">
        <f>IFERROR(VLOOKUP(B25,MDB!A:J,10,0),VLOOKUP(B25,Inactive!A:J,10,0))</f>
        <v>Beilei Project</v>
      </c>
      <c r="J25" s="34" t="s">
        <v>7407</v>
      </c>
      <c r="K25" s="34" t="s">
        <v>7403</v>
      </c>
      <c r="L25" s="34" t="s">
        <v>7408</v>
      </c>
      <c r="M25" s="36" t="str">
        <f>IFERROR(VLOOKUP(B25,MDB!A:R,18,0),VLOOKUP(B25,Inactive!A:L,12,0))</f>
        <v>Fixed</v>
      </c>
      <c r="N25" s="36">
        <f>IFERROR(VLOOKUP(B25,MDB!A:R,18,0),VLOOKUP(B25,Inactive!A:BB,54,0))</f>
        <v>10800</v>
      </c>
      <c r="O25" s="36">
        <f>IFERROR(VLOOKUP(B25,MDB!A:R,18,0),VLOOKUP(B25,Inactive!A:BC,55,0))</f>
        <v>2700</v>
      </c>
      <c r="P25" s="36">
        <f>IFERROR(VLOOKUP(B25,MDB!A:R,18,0),VLOOKUP(B25,Inactive!A:BD,56,0))</f>
        <v>0</v>
      </c>
      <c r="Q25" s="36" t="s">
        <v>7404</v>
      </c>
      <c r="R25" s="36">
        <v>45</v>
      </c>
      <c r="S25" s="36"/>
      <c r="T25" s="36"/>
      <c r="U25" s="36"/>
      <c r="V25" s="36" t="str">
        <f>IFERROR(VLOOKUP(B25,MDB!A:M,13,0),VLOOKUP(B25,Inactive!A:M,13,0))</f>
        <v>Aminul Islam Sovo</v>
      </c>
      <c r="W25" s="36" t="str">
        <f>IFERROR(VLOOKUP(B25,MDB!A:N,14,0),VLOOKUP(B25,Inactive!A:N,14,0))</f>
        <v>Asif Iqbal</v>
      </c>
      <c r="X25" s="36"/>
      <c r="Y25" s="36"/>
      <c r="Z25" s="36" t="str">
        <f>IFERROR(VLOOKUP(B25,MDB!A:AO,41,0),VLOOKUP(B25,Inactive!A:AO,41,0))</f>
        <v>House#27, Road#12, Sector#10, Uttara, Dhaka 1230</v>
      </c>
      <c r="AA25" s="36" t="str">
        <f>IFERROR(VLOOKUP(B25,MDB!A:AP,42,0),VLOOKUP(B25,Inactive!A:AP,42,0))</f>
        <v>Vill:- Laskerpur, P.O:- Kamlapur P.S:- Narail Sadar, Dist.:- Narail</v>
      </c>
      <c r="AB25" s="36" t="str">
        <f>IFERROR(VLOOKUP(B25,MDB!A:AQ,43,0),VLOOKUP(B25,Inactive!A:AQ,43,0))</f>
        <v>Uttara sector 10</v>
      </c>
      <c r="AC25" s="36">
        <f>IFERROR(VLOOKUP(B25,MDB!A:V,22,0),VLOOKUP(B25,Inactive!A:V,22,0))</f>
        <v>0</v>
      </c>
      <c r="AD25" s="36">
        <f>IFERROR(VLOOKUP(B25,MDB!A:W,24,0),VLOOKUP(B25,Inactive!A:X,24,0))</f>
        <v>1747606908</v>
      </c>
      <c r="AE25" s="36">
        <f>IFERROR(VLOOKUP(B25,MDB!A:AA,27,0),VLOOKUP(B25,Inactive!A:AA,27,0))</f>
        <v>1924385354</v>
      </c>
      <c r="AF25" s="36" t="str">
        <f>IFERROR(VLOOKUP(B25,MDB!A:Z,26,0),VLOOKUP(B25,Inactive!A:Z,26,0))</f>
        <v>Beauty Khatun</v>
      </c>
      <c r="AG25" s="36" t="str">
        <f>IFERROR(VLOOKUP(B25,MDB!A:E,5,0),VLOOKUP(B25,Inactive!A:E,5,0))</f>
        <v>Male</v>
      </c>
      <c r="AH25" s="37">
        <f>IFERROR(VLOOKUP(B25,MDB!A:AD,30,0),VLOOKUP(B25,Inactive!A:AD,30,0))</f>
        <v>35431</v>
      </c>
      <c r="AI25" s="36" t="str">
        <f>VLOOKUP(B25,Inactive!A:AC,29,0)</f>
        <v>B+</v>
      </c>
      <c r="AJ25" s="36" t="str">
        <f>IFERROR(VLOOKUP(B25,MDB!A:AF,32,0),VLOOKUP(B25,Inactive!A:AF,32,0))</f>
        <v>Islam</v>
      </c>
      <c r="AK25" s="36">
        <f>IFERROR(VLOOKUP(B25,MDB!A:AG,33,0),VLOOKUP(B25,Inactive!A:AG,33,0))</f>
        <v>9107200884</v>
      </c>
      <c r="AL25" s="36" t="str">
        <f>IFERROR(VLOOKUP(B25,MDB!A:AH,34,0),VLOOKUP(B25,Inactive!A:AH,34,0))</f>
        <v>N/A</v>
      </c>
      <c r="AM25" s="36" t="str">
        <f>IFERROR(VLOOKUP(B25,MDB!A:AI,35,0),VLOOKUP(B25,Inactive!A:AI,35,0))</f>
        <v>BSCE</v>
      </c>
      <c r="AN25" s="156" t="s">
        <v>7409</v>
      </c>
      <c r="AO25" s="41">
        <f>VLOOKUP(B25,Inactive!A:BI,61,0)</f>
        <v>45612</v>
      </c>
      <c r="AP25" s="34" t="str">
        <f>VLOOKUP(B25,Inactive!A:BH,60,0)</f>
        <v>Resignation</v>
      </c>
      <c r="AQ25" s="34" t="str">
        <f>VLOOKUP(B25,Inactive!A:BJ,62,0)</f>
        <v>higher study</v>
      </c>
    </row>
    <row r="26" ht="15.6">
      <c r="A26" s="34" t="e">
        <f>#REF!+1</f>
        <v>#REF!</v>
      </c>
      <c r="B26" s="207">
        <v>171615</v>
      </c>
      <c r="C26" s="35" t="str">
        <f>IFERROR(VLOOKUP(B26,MDB!A:D,4,0),VLOOKUP('MDB_Inactive List'!B26,Inactive!A:D,4,0))</f>
        <v>Md Khairul Islam</v>
      </c>
      <c r="D26" s="36" t="str">
        <f>IFERROR(VLOOKUP(B26,MDB!A:G,7,0),VLOOKUP(B26,Inactive!A:G,7,0))</f>
        <v>CSO</v>
      </c>
      <c r="E26" s="37">
        <f>IFERROR(VLOOKUP(B26,MDB!A:R,18,0),VLOOKUP(B26,Inactive!A:R,18,0))</f>
        <v>45474</v>
      </c>
      <c r="F26" s="36" t="str">
        <f>IFERROR(VLOOKUP(B26,MDB!A:H,8,0),VLOOKUP(B26,Inactive!A:H,8,0))</f>
        <v>Content Moderator</v>
      </c>
      <c r="G26" s="36" t="str">
        <f>IFERROR(VLOOKUP(B26,MDB!A:I,9,0),VLOOKUP(B26,Inactive!A:I,9,0))</f>
        <v>Operations</v>
      </c>
      <c r="H26" s="36" t="str">
        <f>IFERROR(VLOOKUP(B26,MDB!A:K,11,0),VLOOKUP(B26,Inactive!A:K,11,0))</f>
        <v>TEMU</v>
      </c>
      <c r="I26" s="36" t="str">
        <f>IFERROR(VLOOKUP(B26,MDB!A:J,10,0),VLOOKUP(B26,Inactive!A:J,10,0))</f>
        <v>BG Platform Governance Requirements</v>
      </c>
      <c r="J26" s="34" t="s">
        <v>7407</v>
      </c>
      <c r="K26" s="34" t="s">
        <v>7403</v>
      </c>
      <c r="L26" s="34" t="s">
        <v>7408</v>
      </c>
      <c r="M26" s="36" t="str">
        <f>IFERROR(VLOOKUP(B26,MDB!A:R,18,0),VLOOKUP(B26,Inactive!A:L,12,0))</f>
        <v>Fixed</v>
      </c>
      <c r="N26" s="36">
        <f>IFERROR(VLOOKUP(B26,MDB!A:R,18,0),VLOOKUP(B26,Inactive!A:BB,54,0))</f>
        <v>10800</v>
      </c>
      <c r="O26" s="36">
        <f>IFERROR(VLOOKUP(B26,MDB!A:R,18,0),VLOOKUP(B26,Inactive!A:BC,55,0))</f>
        <v>2700</v>
      </c>
      <c r="P26" s="36">
        <f>IFERROR(VLOOKUP(B26,MDB!A:R,18,0),VLOOKUP(B26,Inactive!A:BD,56,0))</f>
        <v>1000</v>
      </c>
      <c r="Q26" s="36" t="s">
        <v>7404</v>
      </c>
      <c r="R26" s="36">
        <v>46</v>
      </c>
      <c r="S26" s="36"/>
      <c r="T26" s="36"/>
      <c r="U26" s="36"/>
      <c r="V26" s="36" t="str">
        <f>IFERROR(VLOOKUP(B26,MDB!A:M,13,0),VLOOKUP(B26,Inactive!A:M,13,0))</f>
        <v>Nasir Uddin</v>
      </c>
      <c r="W26" s="36" t="str">
        <f>IFERROR(VLOOKUP(B26,MDB!A:N,14,0),VLOOKUP(B26,Inactive!A:N,14,0))</f>
        <v>Asif Iqbal</v>
      </c>
      <c r="X26" s="36"/>
      <c r="Y26" s="36"/>
      <c r="Z26" s="36" t="str">
        <f>IFERROR(VLOOKUP(B26,MDB!A:AO,41,0),VLOOKUP(B26,Inactive!A:AO,41,0))</f>
        <v>Zirabo Ashulia, Savar Dhaka</v>
      </c>
      <c r="AA26" s="36" t="str">
        <f>IFERROR(VLOOKUP(B26,MDB!A:AP,42,0),VLOOKUP(B26,Inactive!A:AP,42,0))</f>
        <v>Konagati, Porabari, Sirajganj Sadar, Sirajgonj</v>
      </c>
      <c r="AB26" s="36" t="str">
        <f>IFERROR(VLOOKUP(B26,MDB!A:AQ,43,0),VLOOKUP(B26,Inactive!A:AQ,43,0))</f>
        <v>Ashulia</v>
      </c>
      <c r="AC26" s="36">
        <f>IFERROR(VLOOKUP(B26,MDB!A:V,22,0),VLOOKUP(B26,Inactive!A:V,22,0))</f>
        <v>0</v>
      </c>
      <c r="AD26" s="36">
        <f>IFERROR(VLOOKUP(B26,MDB!A:W,24,0),VLOOKUP(B26,Inactive!A:X,24,0))</f>
        <v>1826459168</v>
      </c>
      <c r="AE26" s="36">
        <f>IFERROR(VLOOKUP(B26,MDB!A:AA,27,0),VLOOKUP(B26,Inactive!A:AA,27,0))</f>
        <v>1826459168</v>
      </c>
      <c r="AF26" s="36" t="str">
        <f>IFERROR(VLOOKUP(B26,MDB!A:Z,26,0),VLOOKUP(B26,Inactive!A:Z,26,0))</f>
        <v>Md. Bablu Khan</v>
      </c>
      <c r="AG26" s="36" t="str">
        <f>IFERROR(VLOOKUP(B26,MDB!A:E,5,0),VLOOKUP(B26,Inactive!A:E,5,0))</f>
        <v>Male</v>
      </c>
      <c r="AH26" s="37">
        <f>IFERROR(VLOOKUP(B26,MDB!A:AD,30,0),VLOOKUP(B26,Inactive!A:AD,30,0))</f>
        <v>36307</v>
      </c>
      <c r="AI26" s="36" t="str">
        <f>VLOOKUP(B26,Inactive!A:AC,29,0)</f>
        <v>A+</v>
      </c>
      <c r="AJ26" s="36" t="str">
        <f>IFERROR(VLOOKUP(B26,MDB!A:AF,32,0),VLOOKUP(B26,Inactive!A:AF,32,0))</f>
        <v>Islam</v>
      </c>
      <c r="AK26" s="36">
        <f>IFERROR(VLOOKUP(B26,MDB!A:AG,33,0),VLOOKUP(B26,Inactive!A:AG,33,0))</f>
        <v>6904439905</v>
      </c>
      <c r="AL26" s="36" t="str">
        <f>IFERROR(VLOOKUP(B26,MDB!A:AH,34,0),VLOOKUP(B26,Inactive!A:AH,34,0))</f>
        <v>NA</v>
      </c>
      <c r="AM26" s="36" t="str">
        <f>IFERROR(VLOOKUP(B26,MDB!A:AI,35,0),VLOOKUP(B26,Inactive!A:AI,35,0))</f>
        <v>BA</v>
      </c>
      <c r="AN26" s="156" t="s">
        <v>7409</v>
      </c>
      <c r="AO26" s="41">
        <f>VLOOKUP(B26,Inactive!A:BI,61,0)</f>
        <v>45611</v>
      </c>
      <c r="AP26" s="34" t="str">
        <f>VLOOKUP(B26,Inactive!A:BH,60,0)</f>
        <v>Resignation</v>
      </c>
      <c r="AQ26" s="34" t="str">
        <f>VLOOKUP(B26,Inactive!A:BJ,62,0)</f>
        <v>Exam</v>
      </c>
    </row>
    <row r="27" ht="15.6">
      <c r="A27" s="34" t="e">
        <f>#REF!+1</f>
        <v>#REF!</v>
      </c>
      <c r="B27" s="4">
        <v>171781</v>
      </c>
      <c r="C27" s="35" t="str">
        <f>IFERROR(VLOOKUP(B27,MDB!A:D,4,0),VLOOKUP('MDB_Inactive List'!B27,Inactive!A:D,4,0))</f>
        <v>Tasphia Reza</v>
      </c>
      <c r="D27" s="36" t="str">
        <f>IFERROR(VLOOKUP(B27,MDB!A:G,7,0),VLOOKUP(B27,Inactive!A:G,7,0))</f>
        <v>CSO</v>
      </c>
      <c r="E27" s="37">
        <f>IFERROR(VLOOKUP(B27,MDB!A:R,18,0),VLOOKUP(B27,Inactive!A:R,18,0))</f>
        <v>45504</v>
      </c>
      <c r="F27" s="36" t="str">
        <f>IFERROR(VLOOKUP(B27,MDB!A:H,8,0),VLOOKUP(B27,Inactive!A:H,8,0))</f>
        <v>Content Moderator</v>
      </c>
      <c r="G27" s="36" t="str">
        <f>IFERROR(VLOOKUP(B27,MDB!A:I,9,0),VLOOKUP(B27,Inactive!A:I,9,0))</f>
        <v>Operations</v>
      </c>
      <c r="H27" s="36" t="str">
        <f>IFERROR(VLOOKUP(B27,MDB!A:K,11,0),VLOOKUP(B27,Inactive!A:K,11,0))</f>
        <v>TEMU</v>
      </c>
      <c r="I27" s="36" t="str">
        <f>IFERROR(VLOOKUP(B27,MDB!A:J,10,0),VLOOKUP(B27,Inactive!A:J,10,0))</f>
        <v>Identification of the same product  </v>
      </c>
      <c r="J27" s="34" t="s">
        <v>7407</v>
      </c>
      <c r="K27" s="34" t="s">
        <v>7403</v>
      </c>
      <c r="L27" s="34" t="s">
        <v>7408</v>
      </c>
      <c r="M27" s="36" t="str">
        <f>IFERROR(VLOOKUP(B27,MDB!A:R,18,0),VLOOKUP(B27,Inactive!A:L,12,0))</f>
        <v>Fixed</v>
      </c>
      <c r="N27" s="36">
        <f>IFERROR(VLOOKUP(B27,MDB!A:R,18,0),VLOOKUP(B27,Inactive!A:BB,54,0))</f>
        <v>10800</v>
      </c>
      <c r="O27" s="36">
        <f>IFERROR(VLOOKUP(B27,MDB!A:R,18,0),VLOOKUP(B27,Inactive!A:BC,55,0))</f>
        <v>2700</v>
      </c>
      <c r="P27" s="36">
        <f>IFERROR(VLOOKUP(B27,MDB!A:R,18,0),VLOOKUP(B27,Inactive!A:BD,56,0))</f>
        <v>0</v>
      </c>
      <c r="Q27" s="36" t="s">
        <v>7404</v>
      </c>
      <c r="R27" s="36">
        <v>47</v>
      </c>
      <c r="S27" s="36"/>
      <c r="T27" s="36"/>
      <c r="U27" s="36"/>
      <c r="V27" s="36" t="str">
        <f>IFERROR(VLOOKUP(B27,MDB!A:M,13,0),VLOOKUP(B27,Inactive!A:M,13,0))</f>
        <v>Abdulla Al Mamun</v>
      </c>
      <c r="W27" s="36" t="str">
        <f>IFERROR(VLOOKUP(B27,MDB!A:N,14,0),VLOOKUP(B27,Inactive!A:N,14,0))</f>
        <v>Asif Iqbal</v>
      </c>
      <c r="X27" s="36"/>
      <c r="Y27" s="36"/>
      <c r="Z27" s="36" t="str">
        <f>IFERROR(VLOOKUP(B27,MDB!A:AO,41,0),VLOOKUP(B27,Inactive!A:AO,41,0))</f>
        <v>35, Elias Mansion, West Tejturi Bajar, Farmgate, Dhaka 1215</v>
      </c>
      <c r="AA27" s="36" t="str">
        <f>IFERROR(VLOOKUP(B27,MDB!A:AP,42,0),VLOOKUP(B27,Inactive!A:AP,42,0))</f>
        <v>1720, Hasna Mansion, Gabtoli road, Naruli west para, Bogura 5800</v>
      </c>
      <c r="AB27" s="36" t="str">
        <f>IFERROR(VLOOKUP(B27,MDB!A:AQ,43,0),VLOOKUP(B27,Inactive!A:AQ,43,0))</f>
        <v>Farmgate, Dhaka.</v>
      </c>
      <c r="AC27" s="36">
        <f>IFERROR(VLOOKUP(B27,MDB!A:V,22,0),VLOOKUP(B27,Inactive!A:V,22,0))</f>
        <v>0</v>
      </c>
      <c r="AD27" s="36">
        <f>IFERROR(VLOOKUP(B27,MDB!A:W,24,0),VLOOKUP(B27,Inactive!A:X,24,0))</f>
        <v>1533116252</v>
      </c>
      <c r="AE27" s="36">
        <f>IFERROR(VLOOKUP(B27,MDB!A:AA,27,0),VLOOKUP(B27,Inactive!A:AA,27,0))</f>
        <v>1776401166</v>
      </c>
      <c r="AF27" s="36" t="str">
        <f>IFERROR(VLOOKUP(B27,MDB!A:Z,26,0),VLOOKUP(B27,Inactive!A:Z,26,0))</f>
        <v>Rabeya Sultana</v>
      </c>
      <c r="AG27" s="36" t="str">
        <f>IFERROR(VLOOKUP(B27,MDB!A:E,5,0),VLOOKUP(B27,Inactive!A:E,5,0))</f>
        <v>Female</v>
      </c>
      <c r="AH27" s="37" t="str">
        <f>IFERROR(VLOOKUP(B27,MDB!A:AD,30,0),VLOOKUP(B27,Inactive!A:AD,30,0))</f>
        <v>29/12/1996</v>
      </c>
      <c r="AI27" s="36" t="str">
        <f>VLOOKUP(B27,Inactive!A:AC,29,0)</f>
        <v>A+</v>
      </c>
      <c r="AJ27" s="36" t="str">
        <f>IFERROR(VLOOKUP(B27,MDB!A:AF,32,0),VLOOKUP(B27,Inactive!A:AF,32,0))</f>
        <v>Islam</v>
      </c>
      <c r="AK27" s="36">
        <f>IFERROR(VLOOKUP(B27,MDB!A:AG,33,0),VLOOKUP(B27,Inactive!A:AG,33,0))</f>
        <v>6454531986</v>
      </c>
      <c r="AL27" s="36">
        <f>IFERROR(VLOOKUP(B27,MDB!A:AH,34,0),VLOOKUP(B27,Inactive!A:AH,34,0))</f>
        <v>0</v>
      </c>
      <c r="AM27" s="36" t="str">
        <f>IFERROR(VLOOKUP(B27,MDB!A:AI,35,0),VLOOKUP(B27,Inactive!A:AI,35,0))</f>
        <v>Honours</v>
      </c>
      <c r="AN27" s="156" t="s">
        <v>7409</v>
      </c>
      <c r="AO27" s="41">
        <f>VLOOKUP(B27,Inactive!A:BI,61,0)</f>
        <v>45594</v>
      </c>
      <c r="AP27" s="34" t="str">
        <f>VLOOKUP(B27,Inactive!A:BH,60,0)</f>
        <v>Resignation</v>
      </c>
      <c r="AQ27" s="34" t="str">
        <f>VLOOKUP(B27,Inactive!A:BJ,62,0)</f>
        <v>Family Issue</v>
      </c>
    </row>
    <row r="28" ht="15.6">
      <c r="A28" s="34" t="e">
        <f>#REF!+1</f>
        <v>#REF!</v>
      </c>
      <c r="B28" s="4">
        <v>171386</v>
      </c>
      <c r="C28" s="35" t="str">
        <f>IFERROR(VLOOKUP(B28,MDB!A:D,4,0),VLOOKUP('MDB_Inactive List'!B28,Inactive!A:D,4,0))</f>
        <v>Hasibul Islam</v>
      </c>
      <c r="D28" s="36" t="str">
        <f>IFERROR(VLOOKUP(B28,MDB!A:G,7,0),VLOOKUP(B28,Inactive!A:G,7,0))</f>
        <v>CSO</v>
      </c>
      <c r="E28" s="37">
        <f>IFERROR(VLOOKUP(B28,MDB!A:R,18,0),VLOOKUP(B28,Inactive!A:R,18,0))</f>
        <v>45371</v>
      </c>
      <c r="F28" s="36" t="str">
        <f>IFERROR(VLOOKUP(B28,MDB!A:H,8,0),VLOOKUP(B28,Inactive!A:H,8,0))</f>
        <v>Content Moderator</v>
      </c>
      <c r="G28" s="36" t="str">
        <f>IFERROR(VLOOKUP(B28,MDB!A:I,9,0),VLOOKUP(B28,Inactive!A:I,9,0))</f>
        <v>Operations</v>
      </c>
      <c r="H28" s="36" t="str">
        <f>IFERROR(VLOOKUP(B28,MDB!A:K,11,0),VLOOKUP(B28,Inactive!A:K,11,0))</f>
        <v>TEMU</v>
      </c>
      <c r="I28" s="36" t="str">
        <f>IFERROR(VLOOKUP(B28,MDB!A:J,10,0),VLOOKUP(B28,Inactive!A:J,10,0))</f>
        <v>BG Platform Governance Requirements</v>
      </c>
      <c r="J28" s="34" t="s">
        <v>7407</v>
      </c>
      <c r="K28" s="34" t="s">
        <v>7403</v>
      </c>
      <c r="L28" s="34" t="s">
        <v>7408</v>
      </c>
      <c r="M28" s="36" t="str">
        <f>IFERROR(VLOOKUP(B28,MDB!A:R,18,0),VLOOKUP(B28,Inactive!A:L,12,0))</f>
        <v>Fixed</v>
      </c>
      <c r="N28" s="36">
        <f>IFERROR(VLOOKUP(B28,MDB!A:R,18,0),VLOOKUP(B28,Inactive!A:BB,54,0))</f>
        <v>10800</v>
      </c>
      <c r="O28" s="36">
        <f>IFERROR(VLOOKUP(B28,MDB!A:R,18,0),VLOOKUP(B28,Inactive!A:BC,55,0))</f>
        <v>2700</v>
      </c>
      <c r="P28" s="36">
        <f>IFERROR(VLOOKUP(B28,MDB!A:R,18,0),VLOOKUP(B28,Inactive!A:BD,56,0))</f>
        <v>1000</v>
      </c>
      <c r="Q28" s="36" t="s">
        <v>7404</v>
      </c>
      <c r="R28" s="36">
        <v>48</v>
      </c>
      <c r="S28" s="36"/>
      <c r="T28" s="36"/>
      <c r="U28" s="36"/>
      <c r="V28" s="36" t="str">
        <f>IFERROR(VLOOKUP(B28,MDB!A:M,13,0),VLOOKUP(B28,Inactive!A:M,13,0))</f>
        <v>Md. Tanjir Ahmed</v>
      </c>
      <c r="W28" s="36" t="str">
        <f>IFERROR(VLOOKUP(B28,MDB!A:N,14,0),VLOOKUP(B28,Inactive!A:N,14,0))</f>
        <v>Asif Iqbal</v>
      </c>
      <c r="X28" s="36"/>
      <c r="Y28" s="36"/>
      <c r="Z28" s="36" t="str">
        <f>IFERROR(VLOOKUP(B28,MDB!A:AO,41,0),VLOOKUP(B28,Inactive!A:AO,41,0))</f>
        <v>Askona, hajicamp Dhaka</v>
      </c>
      <c r="AA28" s="36" t="str">
        <f>IFERROR(VLOOKUP(B28,MDB!A:AP,42,0),VLOOKUP(B28,Inactive!A:AP,42,0))</f>
        <v>Bajitpur, Kishorganj</v>
      </c>
      <c r="AB28" s="36" t="str">
        <f>IFERROR(VLOOKUP(B28,MDB!A:AQ,43,0),VLOOKUP(B28,Inactive!A:AQ,43,0))</f>
        <v>Airport</v>
      </c>
      <c r="AC28" s="36">
        <f>IFERROR(VLOOKUP(B28,MDB!A:V,22,0),VLOOKUP(B28,Inactive!A:V,22,0))</f>
        <v>0</v>
      </c>
      <c r="AD28" s="36">
        <f>IFERROR(VLOOKUP(B28,MDB!A:W,24,0),VLOOKUP(B28,Inactive!A:X,24,0))</f>
        <v>1756803516</v>
      </c>
      <c r="AE28" s="36">
        <f>IFERROR(VLOOKUP(B28,MDB!A:AA,27,0),VLOOKUP(B28,Inactive!A:AA,27,0))</f>
        <v>1723646943</v>
      </c>
      <c r="AF28" s="36" t="str">
        <f>IFERROR(VLOOKUP(B28,MDB!A:Z,26,0),VLOOKUP(B28,Inactive!A:Z,26,0))</f>
        <v>Md chondu Mia</v>
      </c>
      <c r="AG28" s="36" t="str">
        <f>IFERROR(VLOOKUP(B28,MDB!A:E,5,0),VLOOKUP(B28,Inactive!A:E,5,0))</f>
        <v>Male</v>
      </c>
      <c r="AH28" s="37">
        <f>IFERROR(VLOOKUP(B28,MDB!A:AD,30,0),VLOOKUP(B28,Inactive!A:AD,30,0))</f>
        <v>36320</v>
      </c>
      <c r="AI28" s="36" t="str">
        <f>VLOOKUP(B28,Inactive!A:AC,29,0)</f>
        <v>O+</v>
      </c>
      <c r="AJ28" s="36" t="str">
        <f>IFERROR(VLOOKUP(B28,MDB!A:AF,32,0),VLOOKUP(B28,Inactive!A:AF,32,0))</f>
        <v>Islam</v>
      </c>
      <c r="AK28" s="36">
        <f>IFERROR(VLOOKUP(B28,MDB!A:AG,33,0),VLOOKUP(B28,Inactive!A:AG,33,0))</f>
        <v>5554720044</v>
      </c>
      <c r="AL28" s="36" t="str">
        <f>IFERROR(VLOOKUP(B28,MDB!A:AH,34,0),VLOOKUP(B28,Inactive!A:AH,34,0))</f>
        <v>N/A</v>
      </c>
      <c r="AM28" s="36" t="str">
        <f>IFERROR(VLOOKUP(B28,MDB!A:AI,35,0),VLOOKUP(B28,Inactive!A:AI,35,0))</f>
        <v>Bsc in CSE</v>
      </c>
      <c r="AN28" s="156" t="s">
        <v>7409</v>
      </c>
      <c r="AO28" s="41">
        <f>VLOOKUP(B28,Inactive!A:BI,61,0)</f>
        <v>45610</v>
      </c>
      <c r="AP28" s="34" t="str">
        <f>VLOOKUP(B28,Inactive!A:BH,60,0)</f>
        <v>Resignation</v>
      </c>
      <c r="AQ28" s="34" t="str">
        <f>VLOOKUP(B28,Inactive!A:BJ,62,0)</f>
        <v>Better Opportunity</v>
      </c>
    </row>
    <row r="31" ht="15.6">
      <c r="B31" s="4">
        <v>171791</v>
      </c>
      <c r="C31" s="35" t="str">
        <f>IFERROR(VLOOKUP(B31,MDB!A:D,4,0),VLOOKUP('MDB_Inactive List'!B31,Inactive!A:D,4,0))</f>
        <v>Md Sorif Hosen</v>
      </c>
      <c r="D31" s="36" t="str">
        <f>IFERROR(VLOOKUP(B31,MDB!A:G,7,0),VLOOKUP(B31,Inactive!A:G,7,0))</f>
        <v>CSO</v>
      </c>
      <c r="E31" s="37">
        <f>IFERROR(VLOOKUP(B31,MDB!A:R,18,0),VLOOKUP(B31,Inactive!A:R,18,0))</f>
        <v>45504</v>
      </c>
      <c r="F31" s="36" t="str">
        <f>IFERROR(VLOOKUP(B31,MDB!A:H,8,0),VLOOKUP(B31,Inactive!A:H,8,0))</f>
        <v>Content Moderator</v>
      </c>
      <c r="G31" s="36" t="str">
        <f>IFERROR(VLOOKUP(B31,MDB!A:I,9,0),VLOOKUP(B31,Inactive!A:I,9,0))</f>
        <v>Operation</v>
      </c>
      <c r="H31" s="36" t="str">
        <f>IFERROR(VLOOKUP(B31,MDB!A:K,11,0),VLOOKUP(B31,Inactive!A:K,11,0))</f>
        <v>TEMU</v>
      </c>
      <c r="I31" s="36" t="str">
        <f>IFERROR(VLOOKUP(B31,MDB!A:J,10,0),VLOOKUP(B31,Inactive!A:J,10,0))</f>
        <v>Identification of the same product  </v>
      </c>
      <c r="J31" s="34" t="s">
        <v>7407</v>
      </c>
      <c r="K31" s="34" t="s">
        <v>7403</v>
      </c>
      <c r="L31" s="34" t="s">
        <v>7408</v>
      </c>
      <c r="M31" s="36" t="str">
        <f>IFERROR(VLOOKUP(B31,MDB!A:R,18,0),VLOOKUP(B31,Inactive!A:L,12,0))</f>
        <v>Fixed</v>
      </c>
      <c r="N31" s="36">
        <f>IFERROR(VLOOKUP(B31,MDB!A:R,18,0),VLOOKUP(B31,Inactive!A:BB,54,0))</f>
        <v>10800</v>
      </c>
      <c r="O31" s="36">
        <f>IFERROR(VLOOKUP(B31,MDB!A:R,18,0),VLOOKUP(B31,Inactive!A:BC,55,0))</f>
        <v>2700</v>
      </c>
      <c r="P31" s="36">
        <f>IFERROR(VLOOKUP(B31,MDB!A:R,18,0),VLOOKUP(B31,Inactive!A:BD,56,0))</f>
        <v>0</v>
      </c>
      <c r="Q31" s="36" t="s">
        <v>7404</v>
      </c>
      <c r="R31" s="36">
        <v>48</v>
      </c>
      <c r="S31" s="36"/>
      <c r="T31" s="36"/>
      <c r="U31" s="36"/>
      <c r="V31" s="36" t="str">
        <f>IFERROR(VLOOKUP(B31,MDB!A:M,13,0),VLOOKUP(B31,Inactive!A:M,13,0))</f>
        <v>Abdulla Al Mamun</v>
      </c>
      <c r="W31" s="36" t="str">
        <f>IFERROR(VLOOKUP(B31,MDB!A:N,14,0),VLOOKUP(B31,Inactive!A:N,14,0))</f>
        <v>Asif Iqbal</v>
      </c>
      <c r="X31" s="36"/>
      <c r="Y31" s="36"/>
      <c r="Z31" s="36" t="str">
        <f>IFERROR(VLOOKUP(B31,MDB!A:AO,41,0),VLOOKUP(B31,Inactive!A:AO,41,0))</f>
        <v>west manikdi, Dhaka cantonment,Dhaka</v>
      </c>
      <c r="AA31" s="36" t="str">
        <f>IFERROR(VLOOKUP(B31,MDB!A:AP,42,0),VLOOKUP(B31,Inactive!A:AP,42,0))</f>
        <v>Chotodap, Chotodap-5040, Atwari, Panchagarh</v>
      </c>
      <c r="AB31" s="36">
        <f>IFERROR(VLOOKUP(B31,MDB!A:AQ,43,0),VLOOKUP(B31,Inactive!A:AQ,43,0))</f>
        <v>0</v>
      </c>
      <c r="AC31" s="36">
        <f>IFERROR(VLOOKUP(B31,MDB!A:V,22,0),VLOOKUP(B31,Inactive!A:V,22,0))</f>
        <v>0</v>
      </c>
      <c r="AD31" s="36">
        <f>IFERROR(VLOOKUP(B31,MDB!A:W,24,0),VLOOKUP(B31,Inactive!A:X,24,0))</f>
        <v>1762350737</v>
      </c>
      <c r="AE31" s="36">
        <f>IFERROR(VLOOKUP(B31,MDB!A:AA,27,0),VLOOKUP(B31,Inactive!A:AA,27,0))</f>
        <v>0</v>
      </c>
      <c r="AF31" s="36">
        <f>IFERROR(VLOOKUP(B31,MDB!A:Z,26,0),VLOOKUP(B31,Inactive!A:Z,26,0))</f>
        <v>0</v>
      </c>
      <c r="AG31" s="36" t="str">
        <f>IFERROR(VLOOKUP(B31,MDB!A:E,5,0),VLOOKUP(B31,Inactive!A:E,5,0))</f>
        <v>Male</v>
      </c>
      <c r="AH31" s="37" t="str">
        <f>IFERROR(VLOOKUP(B31,MDB!A:AD,30,0),VLOOKUP(B31,Inactive!A:AD,30,0))</f>
        <v>25/10/1998</v>
      </c>
      <c r="AI31" s="36" t="str">
        <f>VLOOKUP(B31,Inactive!A:AC,29,0)</f>
        <v>A+</v>
      </c>
      <c r="AJ31" s="36" t="str">
        <f>IFERROR(VLOOKUP(B31,MDB!A:AF,32,0),VLOOKUP(B31,Inactive!A:AF,32,0))</f>
        <v>Islam</v>
      </c>
      <c r="AK31" s="36">
        <f>IFERROR(VLOOKUP(B31,MDB!A:AG,33,0),VLOOKUP(B31,Inactive!A:AG,33,0))</f>
        <v>0</v>
      </c>
      <c r="AL31" s="36">
        <f>IFERROR(VLOOKUP(B31,MDB!A:AH,34,0),VLOOKUP(B31,Inactive!A:AH,34,0))</f>
        <v>0</v>
      </c>
      <c r="AM31" s="36">
        <f>IFERROR(VLOOKUP(B31,MDB!A:AI,35,0),VLOOKUP(B31,Inactive!A:AI,35,0))</f>
        <v>0</v>
      </c>
      <c r="AN31" s="156" t="s">
        <v>7409</v>
      </c>
      <c r="AO31" s="41">
        <f>VLOOKUP(B31,Inactive!A:BI,61,0)</f>
        <v>45586</v>
      </c>
      <c r="AP31" s="34" t="s">
        <v>7137</v>
      </c>
      <c r="AQ31" s="34" t="str">
        <f>VLOOKUP(B31,Inactive!A:BJ,62,0)</f>
        <v>Unauthorized Absent</v>
      </c>
    </row>
  </sheetData>
  <conditionalFormatting sqref="B1">
    <cfRule type="duplicateValues" dxfId="0" priority="6206"/>
    <cfRule type="duplicateValues" dxfId="0" priority="6203"/>
    <cfRule type="duplicateValues" dxfId="0" priority="6202"/>
    <cfRule type="duplicateValues" dxfId="0" priority="6201"/>
    <cfRule type="duplicateValues" dxfId="0" priority="6211"/>
    <cfRule type="duplicateValues" dxfId="0" priority="6210"/>
    <cfRule type="duplicateValues" dxfId="0" priority="6209"/>
    <cfRule type="duplicateValues" dxfId="0" priority="6212"/>
    <cfRule type="duplicateValues" dxfId="0" priority="6208"/>
    <cfRule type="duplicateValues" dxfId="0" priority="6200"/>
    <cfRule type="duplicateValues" dxfId="0" priority="6205"/>
    <cfRule type="duplicateValues" dxfId="0" priority="6204"/>
  </conditionalFormatting>
  <conditionalFormatting sqref="B1:B30 B32:B1048576">
    <cfRule type="duplicateValues" dxfId="234" priority="28"/>
  </conditionalFormatting>
  <conditionalFormatting sqref="B2:B9">
    <cfRule type="duplicateValues" dxfId="234" priority="649"/>
    <cfRule type="duplicateValues" dxfId="234" priority="651"/>
    <cfRule type="duplicateValues" dxfId="234" priority="650"/>
  </conditionalFormatting>
  <conditionalFormatting sqref="B2:B14">
    <cfRule type="duplicateValues" dxfId="234" priority="647"/>
    <cfRule type="duplicateValues" dxfId="234" priority="646"/>
    <cfRule type="duplicateValues" dxfId="234" priority="648"/>
  </conditionalFormatting>
  <conditionalFormatting sqref="B2:B22">
    <cfRule type="duplicateValues" dxfId="234" priority="654"/>
    <cfRule type="duplicateValues" dxfId="234" priority="653"/>
    <cfRule type="duplicateValues" dxfId="234" priority="652"/>
  </conditionalFormatting>
  <conditionalFormatting sqref="B2:B26">
    <cfRule type="duplicateValues" dxfId="234" priority="645"/>
  </conditionalFormatting>
  <conditionalFormatting sqref="B10">
    <cfRule type="duplicateValues" dxfId="234" priority="644"/>
    <cfRule type="duplicateValues" dxfId="234" priority="633"/>
    <cfRule type="duplicateValues" dxfId="234" priority="634"/>
    <cfRule type="duplicateValues" dxfId="234" priority="643"/>
    <cfRule type="duplicateValues" dxfId="234" priority="635"/>
    <cfRule type="duplicateValues" dxfId="234" priority="632"/>
    <cfRule type="duplicateValues" dxfId="234" priority="636"/>
    <cfRule type="duplicateValues" dxfId="234" priority="637"/>
    <cfRule type="duplicateValues" dxfId="234" priority="638"/>
    <cfRule type="duplicateValues" dxfId="234" priority="639"/>
    <cfRule type="duplicateValues" dxfId="234" priority="640"/>
    <cfRule type="duplicateValues" dxfId="234" priority="642"/>
    <cfRule type="duplicateValues" dxfId="234" priority="641"/>
  </conditionalFormatting>
  <conditionalFormatting sqref="B11">
    <cfRule type="duplicateValues" dxfId="234" priority="619"/>
    <cfRule type="duplicateValues" dxfId="234" priority="618"/>
    <cfRule type="duplicateValues" dxfId="234" priority="621"/>
    <cfRule type="duplicateValues" dxfId="234" priority="620"/>
    <cfRule type="duplicateValues" dxfId="234" priority="626"/>
    <cfRule type="duplicateValues" dxfId="234" priority="631"/>
    <cfRule type="duplicateValues" dxfId="234" priority="630"/>
    <cfRule type="duplicateValues" dxfId="234" priority="629"/>
    <cfRule type="duplicateValues" dxfId="234" priority="628"/>
    <cfRule type="duplicateValues" dxfId="234" priority="627"/>
    <cfRule type="duplicateValues" dxfId="234" priority="625"/>
    <cfRule type="duplicateValues" dxfId="234" priority="624"/>
    <cfRule type="duplicateValues" dxfId="234" priority="623"/>
    <cfRule type="duplicateValues" dxfId="234" priority="622"/>
  </conditionalFormatting>
  <conditionalFormatting sqref="B12">
    <cfRule type="duplicateValues" dxfId="234" priority="617"/>
    <cfRule type="duplicateValues" dxfId="234" priority="616"/>
    <cfRule type="duplicateValues" dxfId="234" priority="612"/>
    <cfRule type="duplicateValues" dxfId="234" priority="604"/>
    <cfRule type="duplicateValues" dxfId="234" priority="605"/>
    <cfRule type="duplicateValues" dxfId="234" priority="606"/>
    <cfRule type="duplicateValues" dxfId="234" priority="607"/>
    <cfRule type="duplicateValues" dxfId="234" priority="613"/>
    <cfRule type="duplicateValues" dxfId="234" priority="608"/>
    <cfRule type="duplicateValues" dxfId="234" priority="609"/>
    <cfRule type="duplicateValues" dxfId="234" priority="610"/>
    <cfRule type="duplicateValues" dxfId="234" priority="611"/>
    <cfRule type="duplicateValues" dxfId="234" priority="614"/>
    <cfRule type="duplicateValues" dxfId="234" priority="615"/>
  </conditionalFormatting>
  <conditionalFormatting sqref="B13">
    <cfRule type="duplicateValues" dxfId="234" priority="591"/>
    <cfRule type="duplicateValues" dxfId="234" priority="590"/>
    <cfRule type="duplicateValues" dxfId="234" priority="603"/>
    <cfRule type="duplicateValues" dxfId="234" priority="602"/>
    <cfRule type="duplicateValues" dxfId="234" priority="601"/>
    <cfRule type="duplicateValues" dxfId="234" priority="600"/>
    <cfRule type="duplicateValues" dxfId="234" priority="599"/>
    <cfRule type="duplicateValues" dxfId="234" priority="598"/>
    <cfRule type="duplicateValues" dxfId="234" priority="597"/>
    <cfRule type="duplicateValues" dxfId="234" priority="596"/>
    <cfRule type="duplicateValues" dxfId="234" priority="595"/>
    <cfRule type="duplicateValues" dxfId="234" priority="594"/>
    <cfRule type="duplicateValues" dxfId="234" priority="593"/>
    <cfRule type="duplicateValues" dxfId="234" priority="592"/>
  </conditionalFormatting>
  <conditionalFormatting sqref="B14">
    <cfRule type="duplicateValues" dxfId="234" priority="583"/>
    <cfRule type="duplicateValues" dxfId="234" priority="577"/>
    <cfRule type="duplicateValues" dxfId="234" priority="589"/>
    <cfRule type="duplicateValues" dxfId="234" priority="588"/>
    <cfRule type="duplicateValues" dxfId="234" priority="587"/>
    <cfRule type="duplicateValues" dxfId="234" priority="586"/>
    <cfRule type="duplicateValues" dxfId="234" priority="585"/>
    <cfRule type="duplicateValues" dxfId="234" priority="584"/>
    <cfRule type="duplicateValues" dxfId="234" priority="576"/>
    <cfRule type="duplicateValues" dxfId="234" priority="582"/>
    <cfRule type="duplicateValues" dxfId="234" priority="581"/>
    <cfRule type="duplicateValues" dxfId="234" priority="580"/>
    <cfRule type="duplicateValues" dxfId="234" priority="579"/>
    <cfRule type="duplicateValues" dxfId="234" priority="578"/>
  </conditionalFormatting>
  <conditionalFormatting sqref="B15">
    <cfRule type="duplicateValues" dxfId="234" priority="575"/>
    <cfRule type="duplicateValues" dxfId="234" priority="574"/>
    <cfRule type="duplicateValues" dxfId="234" priority="573"/>
    <cfRule type="duplicateValues" dxfId="234" priority="572"/>
    <cfRule type="duplicateValues" dxfId="234" priority="571"/>
    <cfRule type="duplicateValues" dxfId="234" priority="570"/>
    <cfRule type="duplicateValues" dxfId="234" priority="569"/>
    <cfRule type="duplicateValues" dxfId="234" priority="568"/>
    <cfRule type="duplicateValues" dxfId="234" priority="567"/>
    <cfRule type="duplicateValues" dxfId="234" priority="566"/>
    <cfRule type="duplicateValues" dxfId="234" priority="565"/>
    <cfRule type="duplicateValues" dxfId="234" priority="564"/>
    <cfRule type="duplicateValues" dxfId="234" priority="563"/>
    <cfRule type="duplicateValues" dxfId="234" priority="562"/>
    <cfRule type="duplicateValues" dxfId="234" priority="561"/>
    <cfRule type="duplicateValues" dxfId="234" priority="560"/>
  </conditionalFormatting>
  <conditionalFormatting sqref="B16">
    <cfRule type="duplicateValues" dxfId="234" priority="550"/>
    <cfRule type="duplicateValues" dxfId="234" priority="544"/>
    <cfRule type="duplicateValues" dxfId="234" priority="545"/>
    <cfRule type="duplicateValues" dxfId="234" priority="546"/>
    <cfRule type="duplicateValues" dxfId="234" priority="547"/>
    <cfRule type="duplicateValues" dxfId="234" priority="548"/>
    <cfRule type="duplicateValues" dxfId="234" priority="549"/>
    <cfRule type="duplicateValues" dxfId="234" priority="551"/>
    <cfRule type="duplicateValues" dxfId="234" priority="552"/>
    <cfRule type="duplicateValues" dxfId="234" priority="553"/>
    <cfRule type="duplicateValues" dxfId="234" priority="559"/>
    <cfRule type="duplicateValues" dxfId="234" priority="554"/>
    <cfRule type="duplicateValues" dxfId="234" priority="555"/>
    <cfRule type="duplicateValues" dxfId="234" priority="556"/>
    <cfRule type="duplicateValues" dxfId="234" priority="557"/>
    <cfRule type="duplicateValues" dxfId="234" priority="558"/>
  </conditionalFormatting>
  <conditionalFormatting sqref="B17">
    <cfRule type="duplicateValues" dxfId="234" priority="543"/>
    <cfRule type="duplicateValues" dxfId="234" priority="542"/>
    <cfRule type="duplicateValues" dxfId="234" priority="541"/>
    <cfRule type="duplicateValues" dxfId="234" priority="540"/>
    <cfRule type="duplicateValues" dxfId="234" priority="539"/>
    <cfRule type="duplicateValues" dxfId="234" priority="538"/>
    <cfRule type="duplicateValues" dxfId="234" priority="535"/>
    <cfRule type="duplicateValues" dxfId="234" priority="537"/>
    <cfRule type="duplicateValues" dxfId="234" priority="536"/>
    <cfRule type="duplicateValues" dxfId="234" priority="534"/>
    <cfRule type="duplicateValues" dxfId="234" priority="533"/>
    <cfRule type="duplicateValues" dxfId="234" priority="532"/>
    <cfRule type="duplicateValues" dxfId="234" priority="531"/>
    <cfRule type="duplicateValues" dxfId="234" priority="530"/>
    <cfRule type="duplicateValues" dxfId="234" priority="529"/>
  </conditionalFormatting>
  <conditionalFormatting sqref="B18">
    <cfRule type="duplicateValues" dxfId="234" priority="524"/>
    <cfRule type="duplicateValues" dxfId="234" priority="528"/>
    <cfRule type="duplicateValues" dxfId="234" priority="527"/>
    <cfRule type="duplicateValues" dxfId="234" priority="526"/>
    <cfRule type="duplicateValues" dxfId="234" priority="525"/>
    <cfRule type="duplicateValues" dxfId="234" priority="523"/>
    <cfRule type="duplicateValues" dxfId="234" priority="522"/>
    <cfRule type="duplicateValues" dxfId="234" priority="521"/>
    <cfRule type="duplicateValues" dxfId="234" priority="520"/>
    <cfRule type="duplicateValues" dxfId="234" priority="519"/>
    <cfRule type="duplicateValues" dxfId="234" priority="518"/>
    <cfRule type="duplicateValues" dxfId="234" priority="517"/>
    <cfRule type="duplicateValues" dxfId="234" priority="516"/>
    <cfRule type="duplicateValues" dxfId="234" priority="515"/>
    <cfRule type="duplicateValues" dxfId="234" priority="514"/>
    <cfRule type="duplicateValues" dxfId="234" priority="513"/>
  </conditionalFormatting>
  <conditionalFormatting sqref="B19">
    <cfRule type="duplicateValues" dxfId="234" priority="500"/>
    <cfRule type="duplicateValues" dxfId="234" priority="512"/>
    <cfRule type="duplicateValues" dxfId="234" priority="497"/>
    <cfRule type="duplicateValues" dxfId="234" priority="498"/>
    <cfRule type="duplicateValues" dxfId="234" priority="511"/>
    <cfRule type="duplicateValues" dxfId="234" priority="499"/>
    <cfRule type="duplicateValues" dxfId="234" priority="501"/>
    <cfRule type="duplicateValues" dxfId="234" priority="502"/>
    <cfRule type="duplicateValues" dxfId="234" priority="503"/>
    <cfRule type="duplicateValues" dxfId="234" priority="504"/>
    <cfRule type="duplicateValues" dxfId="234" priority="505"/>
    <cfRule type="duplicateValues" dxfId="234" priority="506"/>
    <cfRule type="duplicateValues" dxfId="234" priority="507"/>
    <cfRule type="duplicateValues" dxfId="234" priority="508"/>
    <cfRule type="duplicateValues" dxfId="234" priority="509"/>
    <cfRule type="duplicateValues" dxfId="234" priority="510"/>
  </conditionalFormatting>
  <conditionalFormatting sqref="B20">
    <cfRule type="duplicateValues" dxfId="234" priority="481"/>
    <cfRule type="duplicateValues" dxfId="234" priority="482"/>
    <cfRule type="duplicateValues" dxfId="234" priority="483"/>
    <cfRule type="duplicateValues" dxfId="234" priority="484"/>
    <cfRule type="duplicateValues" dxfId="234" priority="485"/>
    <cfRule type="duplicateValues" dxfId="234" priority="486"/>
    <cfRule type="duplicateValues" dxfId="234" priority="487"/>
    <cfRule type="duplicateValues" dxfId="234" priority="488"/>
    <cfRule type="duplicateValues" dxfId="234" priority="489"/>
    <cfRule type="duplicateValues" dxfId="234" priority="490"/>
    <cfRule type="duplicateValues" dxfId="234" priority="491"/>
    <cfRule type="duplicateValues" dxfId="234" priority="492"/>
    <cfRule type="duplicateValues" dxfId="234" priority="493"/>
    <cfRule type="duplicateValues" dxfId="234" priority="494"/>
    <cfRule type="duplicateValues" dxfId="234" priority="495"/>
    <cfRule type="duplicateValues" dxfId="234" priority="496"/>
    <cfRule type="duplicateValues" dxfId="234" priority="480"/>
  </conditionalFormatting>
  <conditionalFormatting sqref="B21">
    <cfRule type="duplicateValues" dxfId="234" priority="470"/>
    <cfRule type="duplicateValues" dxfId="234" priority="478"/>
    <cfRule type="duplicateValues" dxfId="234" priority="477"/>
    <cfRule type="duplicateValues" dxfId="234" priority="476"/>
    <cfRule type="duplicateValues" dxfId="234" priority="464"/>
    <cfRule type="duplicateValues" dxfId="234" priority="474"/>
    <cfRule type="duplicateValues" dxfId="234" priority="473"/>
    <cfRule type="duplicateValues" dxfId="234" priority="472"/>
    <cfRule type="duplicateValues" dxfId="234" priority="471"/>
    <cfRule type="duplicateValues" dxfId="234" priority="463"/>
    <cfRule type="duplicateValues" dxfId="234" priority="475"/>
    <cfRule type="duplicateValues" dxfId="234" priority="469"/>
    <cfRule type="duplicateValues" dxfId="234" priority="468"/>
    <cfRule type="duplicateValues" dxfId="234" priority="467"/>
    <cfRule type="duplicateValues" dxfId="234" priority="466"/>
    <cfRule type="duplicateValues" dxfId="234" priority="465"/>
    <cfRule type="duplicateValues" dxfId="234" priority="479"/>
  </conditionalFormatting>
  <conditionalFormatting sqref="B22">
    <cfRule type="duplicateValues" dxfId="234" priority="460"/>
    <cfRule type="duplicateValues" dxfId="234" priority="459"/>
    <cfRule type="duplicateValues" dxfId="234" priority="458"/>
    <cfRule type="duplicateValues" dxfId="234" priority="457"/>
    <cfRule type="duplicateValues" dxfId="234" priority="456"/>
    <cfRule type="duplicateValues" dxfId="234" priority="455"/>
    <cfRule type="duplicateValues" dxfId="234" priority="454"/>
    <cfRule type="duplicateValues" dxfId="234" priority="453"/>
    <cfRule type="duplicateValues" dxfId="234" priority="452"/>
    <cfRule type="duplicateValues" dxfId="234" priority="451"/>
    <cfRule type="duplicateValues" dxfId="234" priority="450"/>
    <cfRule type="duplicateValues" dxfId="234" priority="449"/>
    <cfRule type="duplicateValues" dxfId="234" priority="448"/>
    <cfRule type="duplicateValues" dxfId="234" priority="447"/>
    <cfRule type="duplicateValues" dxfId="234" priority="446"/>
    <cfRule type="duplicateValues" dxfId="234" priority="445"/>
    <cfRule type="duplicateValues" dxfId="234" priority="462"/>
    <cfRule type="duplicateValues" dxfId="234" priority="461"/>
  </conditionalFormatting>
  <conditionalFormatting sqref="B23">
    <cfRule type="duplicateValues" dxfId="234" priority="438"/>
    <cfRule type="duplicateValues" dxfId="234" priority="444"/>
    <cfRule type="duplicateValues" dxfId="234" priority="443"/>
    <cfRule type="duplicateValues" dxfId="234" priority="442"/>
    <cfRule type="duplicateValues" dxfId="234" priority="439"/>
    <cfRule type="duplicateValues" dxfId="234" priority="437"/>
    <cfRule type="duplicateValues" dxfId="234" priority="441"/>
    <cfRule type="duplicateValues" dxfId="234" priority="440"/>
    <cfRule type="duplicateValues" dxfId="234" priority="436"/>
    <cfRule type="duplicateValues" dxfId="234" priority="435"/>
    <cfRule type="duplicateValues" dxfId="234" priority="434"/>
    <cfRule type="duplicateValues" dxfId="234" priority="433"/>
    <cfRule type="duplicateValues" dxfId="234" priority="432"/>
    <cfRule type="duplicateValues" dxfId="234" priority="431"/>
    <cfRule type="duplicateValues" dxfId="234" priority="430"/>
    <cfRule type="duplicateValues" dxfId="234" priority="429"/>
    <cfRule type="duplicateValues" dxfId="234" priority="428"/>
    <cfRule type="duplicateValues" dxfId="234" priority="427"/>
    <cfRule type="duplicateValues" dxfId="234" priority="426"/>
    <cfRule type="duplicateValues" dxfId="234" priority="425"/>
    <cfRule type="duplicateValues" dxfId="234" priority="424"/>
    <cfRule type="duplicateValues" dxfId="234" priority="423"/>
    <cfRule type="duplicateValues" dxfId="234" priority="422"/>
    <cfRule type="duplicateValues" dxfId="234" priority="421"/>
  </conditionalFormatting>
  <conditionalFormatting sqref="B24">
    <cfRule type="duplicateValues" dxfId="234" priority="413"/>
    <cfRule type="duplicateValues" dxfId="234" priority="412"/>
    <cfRule type="duplicateValues" dxfId="234" priority="411"/>
    <cfRule type="duplicateValues" dxfId="234" priority="410"/>
    <cfRule type="duplicateValues" dxfId="234" priority="409"/>
    <cfRule type="duplicateValues" dxfId="234" priority="407"/>
    <cfRule type="duplicateValues" dxfId="234" priority="406"/>
    <cfRule type="duplicateValues" dxfId="234" priority="405"/>
    <cfRule type="duplicateValues" dxfId="234" priority="403"/>
    <cfRule type="duplicateValues" dxfId="234" priority="402"/>
    <cfRule type="duplicateValues" dxfId="234" priority="401"/>
    <cfRule type="duplicateValues" dxfId="234" priority="400"/>
    <cfRule type="duplicateValues" dxfId="234" priority="399"/>
    <cfRule type="duplicateValues" dxfId="234" priority="404"/>
    <cfRule type="duplicateValues" dxfId="234" priority="398"/>
    <cfRule type="duplicateValues" dxfId="234" priority="408"/>
    <cfRule type="duplicateValues" dxfId="234" priority="420"/>
    <cfRule type="duplicateValues" dxfId="234" priority="419"/>
    <cfRule type="duplicateValues" dxfId="234" priority="418"/>
    <cfRule type="duplicateValues" dxfId="234" priority="417"/>
    <cfRule type="duplicateValues" dxfId="234" priority="416"/>
    <cfRule type="duplicateValues" dxfId="234" priority="415"/>
    <cfRule type="duplicateValues" dxfId="234" priority="414"/>
  </conditionalFormatting>
  <conditionalFormatting sqref="B25">
    <cfRule type="duplicateValues" dxfId="234" priority="390"/>
    <cfRule type="duplicateValues" dxfId="234" priority="388"/>
    <cfRule type="duplicateValues" dxfId="234" priority="387"/>
    <cfRule type="duplicateValues" dxfId="234" priority="386"/>
    <cfRule type="duplicateValues" dxfId="234" priority="385"/>
    <cfRule type="duplicateValues" dxfId="234" priority="384"/>
    <cfRule type="duplicateValues" dxfId="234" priority="383"/>
    <cfRule type="duplicateValues" dxfId="234" priority="382"/>
    <cfRule type="duplicateValues" dxfId="234" priority="381"/>
    <cfRule type="duplicateValues" dxfId="234" priority="380"/>
    <cfRule type="duplicateValues" dxfId="234" priority="379"/>
    <cfRule type="duplicateValues" dxfId="234" priority="378"/>
    <cfRule type="duplicateValues" dxfId="234" priority="377"/>
    <cfRule type="duplicateValues" dxfId="234" priority="376"/>
    <cfRule type="duplicateValues" dxfId="234" priority="375"/>
    <cfRule type="duplicateValues" dxfId="234" priority="389"/>
    <cfRule type="duplicateValues" dxfId="234" priority="397"/>
    <cfRule type="duplicateValues" dxfId="234" priority="396"/>
    <cfRule type="duplicateValues" dxfId="234" priority="395"/>
    <cfRule type="duplicateValues" dxfId="234" priority="394"/>
    <cfRule type="duplicateValues" dxfId="234" priority="393"/>
    <cfRule type="duplicateValues" dxfId="234" priority="392"/>
    <cfRule type="duplicateValues" dxfId="234" priority="391"/>
  </conditionalFormatting>
  <conditionalFormatting sqref="B26">
    <cfRule type="duplicateValues" dxfId="234" priority="368"/>
    <cfRule type="duplicateValues" dxfId="234" priority="367"/>
    <cfRule type="duplicateValues" dxfId="234" priority="366"/>
    <cfRule type="duplicateValues" dxfId="234" priority="365"/>
    <cfRule type="duplicateValues" dxfId="234" priority="364"/>
    <cfRule type="duplicateValues" dxfId="234" priority="363"/>
    <cfRule type="duplicateValues" dxfId="234" priority="362"/>
    <cfRule type="duplicateValues" dxfId="234" priority="361"/>
    <cfRule type="duplicateValues" dxfId="234" priority="374"/>
    <cfRule type="duplicateValues" dxfId="234" priority="360"/>
    <cfRule type="duplicateValues" dxfId="234" priority="359"/>
    <cfRule type="duplicateValues" dxfId="234" priority="358"/>
    <cfRule type="duplicateValues" dxfId="234" priority="357"/>
    <cfRule type="duplicateValues" dxfId="234" priority="356"/>
    <cfRule type="duplicateValues" dxfId="234" priority="355"/>
    <cfRule type="duplicateValues" dxfId="234" priority="354"/>
    <cfRule type="duplicateValues" dxfId="234" priority="353"/>
    <cfRule type="duplicateValues" dxfId="234" priority="373"/>
    <cfRule type="duplicateValues" dxfId="234" priority="372"/>
    <cfRule type="duplicateValues" dxfId="234" priority="371"/>
    <cfRule type="duplicateValues" dxfId="234" priority="370"/>
    <cfRule type="duplicateValues" dxfId="234" priority="369"/>
    <cfRule type="duplicateValues" dxfId="234" priority="352"/>
  </conditionalFormatting>
  <conditionalFormatting sqref="B27">
    <cfRule type="duplicateValues" dxfId="234" priority="612585"/>
    <cfRule type="duplicateValues" dxfId="234" priority="612586"/>
    <cfRule type="duplicateValues" dxfId="234" priority="612587"/>
    <cfRule type="duplicateValues" dxfId="234" priority="612588"/>
    <cfRule type="duplicateValues" dxfId="234" priority="612589"/>
    <cfRule type="duplicateValues" dxfId="234" priority="612590"/>
  </conditionalFormatting>
  <conditionalFormatting sqref="B28">
    <cfRule type="duplicateValues" dxfId="234" priority="75"/>
    <cfRule type="duplicateValues" dxfId="234" priority="77"/>
    <cfRule type="duplicateValues" dxfId="234" priority="78"/>
    <cfRule type="duplicateValues" dxfId="234" priority="85"/>
    <cfRule type="duplicateValues" dxfId="234" priority="79"/>
    <cfRule type="duplicateValues" dxfId="234" priority="80"/>
    <cfRule type="duplicateValues" dxfId="234" priority="81"/>
    <cfRule type="duplicateValues" dxfId="234" priority="83"/>
    <cfRule type="duplicateValues" dxfId="234" priority="76"/>
    <cfRule type="duplicateValues" dxfId="234" priority="84"/>
    <cfRule type="duplicateValues" dxfId="234" priority="92"/>
    <cfRule type="duplicateValues" dxfId="234" priority="91"/>
    <cfRule type="duplicateValues" dxfId="234" priority="90"/>
    <cfRule type="duplicateValues" dxfId="234" priority="89"/>
    <cfRule type="duplicateValues" dxfId="234" priority="88"/>
    <cfRule type="duplicateValues" dxfId="234" priority="87"/>
    <cfRule type="duplicateValues" dxfId="234" priority="86"/>
    <cfRule type="duplicateValues" dxfId="234" priority="82"/>
    <cfRule type="duplicateValues" dxfId="234" priority="69"/>
    <cfRule type="duplicateValues" dxfId="234" priority="67"/>
    <cfRule type="duplicateValues" dxfId="234" priority="66"/>
    <cfRule type="duplicateValues" dxfId="234" priority="65"/>
    <cfRule type="duplicateValues" dxfId="234" priority="64"/>
    <cfRule type="duplicateValues" dxfId="234" priority="63"/>
    <cfRule type="duplicateValues" dxfId="234" priority="70"/>
    <cfRule type="duplicateValues" dxfId="234" priority="68"/>
    <cfRule type="duplicateValues" dxfId="234" priority="71"/>
    <cfRule type="duplicateValues" dxfId="234" priority="72"/>
    <cfRule type="duplicateValues" dxfId="234" priority="73"/>
    <cfRule type="duplicateValues" dxfId="234" priority="74"/>
  </conditionalFormatting>
  <conditionalFormatting sqref="B30 B1 B32:B1048576">
    <cfRule type="duplicateValues" dxfId="234" priority="612591"/>
    <cfRule type="duplicateValues" dxfId="234" priority="612592"/>
    <cfRule type="duplicateValues" dxfId="234" priority="612593"/>
    <cfRule type="duplicateValues" dxfId="0" priority="612594"/>
  </conditionalFormatting>
  <conditionalFormatting sqref="B30 B1:B28 B32:B1048576">
    <cfRule type="duplicateValues" dxfId="234" priority="34"/>
  </conditionalFormatting>
  <conditionalFormatting sqref="B30 B32:B1048576">
    <cfRule type="duplicateValues" dxfId="0" priority="612601"/>
    <cfRule type="duplicateValues" dxfId="234" priority="612599"/>
    <cfRule type="duplicateValues" dxfId="234" priority="612600"/>
  </conditionalFormatting>
  <conditionalFormatting sqref="B31">
    <cfRule type="duplicateValues" dxfId="234" priority="14"/>
    <cfRule type="duplicateValues" dxfId="234" priority="12"/>
    <cfRule type="duplicateValues" dxfId="234" priority="11"/>
    <cfRule type="duplicateValues" dxfId="234" priority="27"/>
    <cfRule type="duplicateValues" dxfId="234" priority="26"/>
    <cfRule type="duplicateValues" dxfId="234" priority="10"/>
    <cfRule type="duplicateValues" dxfId="234" priority="24"/>
    <cfRule type="duplicateValues" dxfId="234" priority="23"/>
    <cfRule type="duplicateValues" dxfId="234" priority="22"/>
    <cfRule type="duplicateValues" dxfId="234" priority="21"/>
    <cfRule type="duplicateValues" dxfId="234" priority="20"/>
    <cfRule type="duplicateValues" dxfId="234" priority="19"/>
    <cfRule type="duplicateValues" dxfId="234" priority="18"/>
    <cfRule type="duplicateValues" dxfId="234" priority="17"/>
    <cfRule type="duplicateValues" dxfId="234" priority="9"/>
    <cfRule type="duplicateValues" dxfId="234" priority="2"/>
    <cfRule type="duplicateValues" dxfId="234" priority="8"/>
    <cfRule type="duplicateValues" dxfId="234" priority="7"/>
    <cfRule type="duplicateValues" dxfId="234" priority="6"/>
    <cfRule type="duplicateValues" dxfId="234" priority="5"/>
    <cfRule type="duplicateValues" dxfId="234" priority="4"/>
    <cfRule type="duplicateValues" dxfId="234" priority="3"/>
    <cfRule type="duplicateValues" dxfId="234" priority="13"/>
    <cfRule type="duplicateValues" dxfId="234" priority="1"/>
    <cfRule type="duplicateValues" dxfId="234" priority="16"/>
    <cfRule type="duplicateValues" dxfId="234" priority="15"/>
    <cfRule type="duplicateValues" dxfId="234" priority="25"/>
  </conditionalFormatting>
  <conditionalFormatting sqref="C1">
    <cfRule type="duplicateValues" dxfId="0" priority="6207"/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6"/>
  <sheetViews>
    <sheetView workbookViewId="0">
      <selection activeCell="F13" sqref="F13"/>
    </sheetView>
  </sheetViews>
  <sheetFormatPr defaultColWidth="9" defaultRowHeight="14.4"/>
  <cols>
    <col min="1" max="1" width="6.21875" customWidth="1"/>
    <col min="2" max="2" width="13.88671875" customWidth="1"/>
    <col min="3" max="3" width="21" customWidth="1"/>
    <col min="4" max="4" width="11.5546875" customWidth="1"/>
    <col min="5" max="5" width="10.44140625" customWidth="1"/>
    <col min="6" max="6" width="14" customWidth="1"/>
    <col min="7" max="7" width="8.44140625" customWidth="1"/>
    <col min="8" max="8" width="11.77734375" customWidth="1"/>
    <col min="9" max="9" width="7.77734375" customWidth="1"/>
    <col min="10" max="10" width="38.5546875" customWidth="1"/>
    <col min="11" max="11" width="6.44140625" customWidth="1"/>
    <col min="12" max="12" width="9.44140625" customWidth="1"/>
    <col min="13" max="14" width="10" customWidth="1"/>
    <col min="15" max="15" width="22.21875" customWidth="1"/>
  </cols>
  <sheetData>
    <row r="1" ht="17.25" customHeight="1">
      <c r="A1" s="19" t="s">
        <v>7410</v>
      </c>
      <c r="B1" s="19" t="s">
        <v>6810</v>
      </c>
      <c r="C1" s="19" t="s">
        <v>6786</v>
      </c>
      <c r="D1" s="19" t="s">
        <v>6</v>
      </c>
      <c r="E1" s="19" t="s">
        <v>7382</v>
      </c>
      <c r="F1" s="19" t="s">
        <v>7384</v>
      </c>
      <c r="G1" s="19" t="s">
        <v>3478</v>
      </c>
      <c r="H1" s="19" t="s">
        <v>8</v>
      </c>
      <c r="I1" s="19" t="s">
        <v>10</v>
      </c>
      <c r="J1" s="19" t="s">
        <v>7383</v>
      </c>
      <c r="K1" s="19" t="s">
        <v>52</v>
      </c>
      <c r="L1" s="24" t="s">
        <v>7411</v>
      </c>
      <c r="M1" s="25" t="s">
        <v>7412</v>
      </c>
      <c r="N1" s="25" t="s">
        <v>7413</v>
      </c>
      <c r="O1" s="25" t="s">
        <v>7414</v>
      </c>
    </row>
    <row r="2" ht="16.2" s="18" customFormat="1">
      <c r="A2" s="20">
        <v>1</v>
      </c>
      <c r="B2" s="198">
        <v>171548</v>
      </c>
      <c r="C2" s="21" t="str">
        <f>VLOOKUP(B2,MDB!A:D,4,0)</f>
        <v>Most.Rownak Jahan</v>
      </c>
      <c r="D2" s="21" t="str">
        <f>VLOOKUP(B2,MDB!A:G,7,0)</f>
        <v>CSO</v>
      </c>
      <c r="E2" s="21" t="str">
        <f>VLOOKUP(B2,MDB!A:H,8,0)</f>
        <v>Content Moderator</v>
      </c>
      <c r="F2" s="20" t="s">
        <v>1209</v>
      </c>
      <c r="G2" s="20" t="s">
        <v>1209</v>
      </c>
      <c r="H2" s="21" t="str">
        <f>VLOOKUP(B2,MDB!A:I,9,0)</f>
        <v>Operations</v>
      </c>
      <c r="I2" s="21" t="s">
        <v>71</v>
      </c>
      <c r="J2" s="21" t="str">
        <f>VLOOKUP(B2,MDB!A:J,10,0)</f>
        <v>Beauty &amp; accessory</v>
      </c>
      <c r="K2" s="20" t="str">
        <f>VLOOKUP(B2,MDB!A:BA,53,0)</f>
        <v>Active</v>
      </c>
      <c r="L2" s="26">
        <f>VLOOKUP(B2,MDB!A:R,18,0)</f>
        <v>45453</v>
      </c>
      <c r="M2" s="27"/>
      <c r="N2" s="27"/>
      <c r="O2" s="28"/>
    </row>
    <row r="3" ht="16.2">
      <c r="A3" s="22">
        <v>2</v>
      </c>
      <c r="B3" s="198">
        <v>171599</v>
      </c>
      <c r="C3" s="21" t="str">
        <f>VLOOKUP(B3,MDB!A:D,4,0)</f>
        <v>Md Khairul ISLAM</v>
      </c>
      <c r="D3" s="21" t="str">
        <f>VLOOKUP(B3,MDB!A:G,7,0)</f>
        <v>CSO</v>
      </c>
      <c r="E3" s="21" t="str">
        <f>VLOOKUP(B3,MDB!A:H,8,0)</f>
        <v>Content Moderator</v>
      </c>
      <c r="F3" s="20" t="s">
        <v>1209</v>
      </c>
      <c r="G3" s="20" t="s">
        <v>1209</v>
      </c>
      <c r="H3" s="21" t="str">
        <f>VLOOKUP(B3,MDB!A:I,9,0)</f>
        <v>Operations</v>
      </c>
      <c r="I3" s="21" t="s">
        <v>71</v>
      </c>
      <c r="J3" s="21" t="str">
        <f>VLOOKUP(B3,MDB!A:J,10,0)</f>
        <v>Beilei Project</v>
      </c>
      <c r="K3" s="20" t="str">
        <f>VLOOKUP(B3,MDB!A:BA,53,0)</f>
        <v>Active</v>
      </c>
      <c r="L3" s="26">
        <f>VLOOKUP(B3,MDB!A:R,18,0)</f>
        <v>45458</v>
      </c>
      <c r="M3" s="27"/>
      <c r="N3" s="27"/>
      <c r="O3" s="28"/>
    </row>
    <row r="4" ht="15.6">
      <c r="A4" s="22">
        <v>3</v>
      </c>
      <c r="B4" s="199">
        <v>20307802</v>
      </c>
      <c r="C4" s="21" t="e">
        <f>VLOOKUP(B4,MDB!A:D,4,0)</f>
        <v>#N/A</v>
      </c>
      <c r="D4" s="21" t="e">
        <f>VLOOKUP(B4,MDB!A:G,7,0)</f>
        <v>#N/A</v>
      </c>
      <c r="E4" s="21" t="e">
        <f>VLOOKUP(B4,MDB!A:H,8,0)</f>
        <v>#N/A</v>
      </c>
      <c r="F4" s="20" t="s">
        <v>1209</v>
      </c>
      <c r="G4" s="20" t="s">
        <v>1209</v>
      </c>
      <c r="H4" s="21" t="e">
        <f>VLOOKUP(B4,MDB!A:I,9,0)</f>
        <v>#N/A</v>
      </c>
      <c r="I4" s="21" t="s">
        <v>71</v>
      </c>
      <c r="J4" s="21" t="e">
        <f>VLOOKUP(B4,MDB!A:J,10,0)</f>
        <v>#N/A</v>
      </c>
      <c r="K4" s="20" t="e">
        <f>VLOOKUP(B4,MDB!A:BA,53,0)</f>
        <v>#N/A</v>
      </c>
      <c r="L4" s="26" t="e">
        <f>VLOOKUP(B4,MDB!A:R,18,0)</f>
        <v>#N/A</v>
      </c>
      <c r="M4" s="29"/>
      <c r="N4" s="29"/>
      <c r="O4" s="28"/>
    </row>
    <row r="5" ht="15.6">
      <c r="A5" s="23"/>
      <c r="B5" s="23"/>
      <c r="C5" s="21" t="e">
        <f>VLOOKUP(B5,MDB!A:D,4,0)</f>
        <v>#N/A</v>
      </c>
      <c r="D5" s="21" t="e">
        <f>VLOOKUP(B5,MDB!A:G,7,0)</f>
        <v>#N/A</v>
      </c>
      <c r="E5" s="21" t="e">
        <f>VLOOKUP(B5,MDB!A:H,8,0)</f>
        <v>#N/A</v>
      </c>
      <c r="F5" s="20" t="s">
        <v>1209</v>
      </c>
      <c r="G5" s="20" t="s">
        <v>1209</v>
      </c>
      <c r="H5" s="21" t="e">
        <f>VLOOKUP(B5,MDB!A:I,9,0)</f>
        <v>#N/A</v>
      </c>
      <c r="I5" s="21" t="s">
        <v>71</v>
      </c>
      <c r="J5" s="21" t="e">
        <f>VLOOKUP(B5,MDB!A:J,10,0)</f>
        <v>#N/A</v>
      </c>
      <c r="K5" s="20" t="e">
        <f>VLOOKUP(B5,MDB!A:BA,53,0)</f>
        <v>#N/A</v>
      </c>
      <c r="L5" s="26" t="e">
        <f>VLOOKUP(B5,MDB!A:R,18,0)</f>
        <v>#N/A</v>
      </c>
      <c r="M5" s="29"/>
      <c r="N5" s="29"/>
      <c r="O5" s="28"/>
    </row>
    <row r="6" ht="15.6">
      <c r="A6" s="23"/>
      <c r="B6" s="23"/>
      <c r="C6" s="21" t="e">
        <f>VLOOKUP(B6,MDB!A:D,4,0)</f>
        <v>#N/A</v>
      </c>
      <c r="D6" s="21" t="e">
        <f>VLOOKUP(B6,MDB!A:G,7,0)</f>
        <v>#N/A</v>
      </c>
      <c r="E6" s="21" t="e">
        <f>VLOOKUP(B6,MDB!A:H,8,0)</f>
        <v>#N/A</v>
      </c>
      <c r="F6" s="20" t="s">
        <v>1209</v>
      </c>
      <c r="G6" s="20" t="s">
        <v>1209</v>
      </c>
      <c r="H6" s="21" t="e">
        <f>VLOOKUP(B6,MDB!A:I,9,0)</f>
        <v>#N/A</v>
      </c>
      <c r="I6" s="21" t="s">
        <v>71</v>
      </c>
      <c r="J6" s="21" t="e">
        <f>VLOOKUP(B6,MDB!A:J,10,0)</f>
        <v>#N/A</v>
      </c>
      <c r="K6" s="20" t="e">
        <f>VLOOKUP(B6,MDB!A:BA,53,0)</f>
        <v>#N/A</v>
      </c>
      <c r="L6" s="26" t="e">
        <f>VLOOKUP(B6,MDB!A:R,18,0)</f>
        <v>#N/A</v>
      </c>
      <c r="M6" s="29"/>
      <c r="N6" s="29"/>
      <c r="O6" s="28"/>
    </row>
  </sheetData>
  <conditionalFormatting sqref="B1"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B2">
    <cfRule type="duplicateValues" dxfId="0" priority="10"/>
  </conditionalFormatting>
  <conditionalFormatting sqref="C2:C6"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</conditionalFormatting>
  <pageMargins left="0.7" right="0.7" top="0.75" bottom="0.75" header="0.3" footer="0.3"/>
  <pageSetup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ACFB-776F-43E5-948D-C2C6B07231C0}">
  <dimension ref="A1:B3"/>
  <sheetViews>
    <sheetView tabSelected="1" workbookViewId="0">
      <selection activeCell="E6" sqref="E6"/>
    </sheetView>
  </sheetViews>
  <sheetFormatPr defaultRowHeight="14.4"/>
  <sheetData>
    <row r="1">
      <c r="A1" s="0" t="s">
        <v>7415</v>
      </c>
      <c r="B1" s="0" t="s">
        <v>7416</v>
      </c>
    </row>
    <row r="2">
      <c r="A2" s="0">
        <v>122</v>
      </c>
      <c r="B2" s="0" t="s">
        <v>7417</v>
      </c>
    </row>
    <row r="3">
      <c r="A3" s="0" t="s">
        <v>7418</v>
      </c>
      <c r="B3" s="0" t="s">
        <v>7417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Z2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B2" sqref="B2:B4"/>
    </sheetView>
  </sheetViews>
  <sheetFormatPr defaultColWidth="9" defaultRowHeight="14.4"/>
  <cols>
    <col min="1" max="1" width="3.44140625" customWidth="1"/>
    <col min="2" max="2" width="8.21875" customWidth="1"/>
    <col min="3" max="3" width="24.77734375" customWidth="1"/>
    <col min="4" max="4" width="15.77734375" customWidth="1"/>
    <col min="5" max="5" width="9.77734375" customWidth="1"/>
    <col min="6" max="6" width="12.21875" customWidth="1"/>
    <col min="7" max="7" width="11.77734375" customWidth="1"/>
    <col min="8" max="8" width="7.77734375" customWidth="1"/>
    <col min="9" max="9" width="35" customWidth="1"/>
    <col min="10" max="10" width="13.5546875" customWidth="1"/>
    <col min="11" max="11" width="8.44140625" customWidth="1"/>
    <col min="12" max="12" width="6.5546875" customWidth="1"/>
    <col min="13" max="13" width="17.44140625" customWidth="1"/>
    <col min="14" max="16" width="6.44140625" customWidth="1"/>
    <col min="17" max="17" width="19.21875" customWidth="1"/>
    <col min="18" max="18" width="24.77734375" customWidth="1"/>
    <col min="19" max="19" width="16" customWidth="1"/>
    <col min="20" max="20" width="12.77734375" customWidth="1"/>
    <col min="21" max="21" width="11" customWidth="1"/>
    <col min="22" max="22" width="24.21875" customWidth="1"/>
    <col min="23" max="23" width="23.77734375" customWidth="1"/>
    <col min="24" max="24" width="11.77734375" customWidth="1"/>
    <col min="25" max="25" width="15.109375" customWidth="1"/>
    <col min="26" max="26" width="25.21875" customWidth="1"/>
    <col min="27" max="27" width="19.109375" customWidth="1"/>
    <col min="28" max="28" width="16.6640625" customWidth="1"/>
    <col min="29" max="29" width="10.77734375" customWidth="1"/>
    <col min="30" max="30" width="17.77734375" customWidth="1"/>
    <col min="31" max="31" width="20.21875" customWidth="1"/>
    <col min="32" max="32" width="25" customWidth="1"/>
    <col min="33" max="33" width="7.77734375" customWidth="1"/>
    <col min="34" max="34" width="10.109375" customWidth="1"/>
    <col min="35" max="35" width="12.109375" customWidth="1"/>
    <col min="36" max="36" width="9.44140625" customWidth="1"/>
    <col min="37" max="37" width="18.21875" customWidth="1"/>
    <col min="38" max="38" width="10.5546875" customWidth="1"/>
    <col min="39" max="39" width="35.21875" customWidth="1"/>
    <col min="40" max="40" width="21.5546875" customWidth="1"/>
    <col min="41" max="41" width="30.21875" customWidth="1"/>
    <col min="42" max="42" width="35.5546875" customWidth="1"/>
    <col min="43" max="43" width="16.44140625" customWidth="1"/>
    <col min="44" max="44" width="17.44140625" customWidth="1"/>
    <col min="45" max="47" width="11" customWidth="1"/>
    <col min="48" max="48" width="16.77734375" customWidth="1"/>
    <col min="49" max="49" width="21.44140625" customWidth="1"/>
    <col min="50" max="50" width="29.77734375" customWidth="1"/>
    <col min="51" max="51" width="7.44140625" customWidth="1"/>
    <col min="52" max="52" width="20.5546875" customWidth="1"/>
  </cols>
  <sheetData>
    <row r="1">
      <c r="A1" s="1" t="s">
        <v>7419</v>
      </c>
      <c r="B1" s="1" t="s">
        <v>6810</v>
      </c>
      <c r="C1" s="1" t="s">
        <v>3</v>
      </c>
      <c r="D1" s="1" t="s">
        <v>6</v>
      </c>
      <c r="E1" s="2" t="s">
        <v>7420</v>
      </c>
      <c r="F1" s="1" t="s">
        <v>7382</v>
      </c>
      <c r="G1" s="1" t="s">
        <v>8</v>
      </c>
      <c r="H1" s="1" t="s">
        <v>10</v>
      </c>
      <c r="I1" s="1" t="s">
        <v>7383</v>
      </c>
      <c r="J1" s="1" t="s">
        <v>7384</v>
      </c>
      <c r="K1" s="1" t="s">
        <v>3478</v>
      </c>
      <c r="L1" s="1" t="s">
        <v>52</v>
      </c>
      <c r="M1" s="1" t="s">
        <v>7385</v>
      </c>
      <c r="N1" s="1" t="s">
        <v>53</v>
      </c>
      <c r="O1" s="1" t="s">
        <v>54</v>
      </c>
      <c r="P1" s="1" t="s">
        <v>55</v>
      </c>
      <c r="Q1" s="14" t="s">
        <v>7386</v>
      </c>
      <c r="R1" s="14" t="s">
        <v>7387</v>
      </c>
      <c r="S1" s="14" t="s">
        <v>7388</v>
      </c>
      <c r="T1" s="1" t="s">
        <v>7389</v>
      </c>
      <c r="U1" s="1" t="s">
        <v>7390</v>
      </c>
      <c r="V1" s="1" t="s">
        <v>7391</v>
      </c>
      <c r="W1" s="1" t="s">
        <v>7392</v>
      </c>
      <c r="X1" s="1" t="s">
        <v>7393</v>
      </c>
      <c r="Y1" s="1" t="s">
        <v>14</v>
      </c>
      <c r="Z1" s="1" t="s">
        <v>40</v>
      </c>
      <c r="AA1" s="1" t="s">
        <v>41</v>
      </c>
      <c r="AB1" s="15" t="s">
        <v>7395</v>
      </c>
      <c r="AC1" s="1" t="s">
        <v>21</v>
      </c>
      <c r="AD1" s="1" t="s">
        <v>7396</v>
      </c>
      <c r="AE1" s="1" t="s">
        <v>25</v>
      </c>
      <c r="AF1" s="1" t="s">
        <v>7421</v>
      </c>
      <c r="AG1" s="1" t="s">
        <v>4</v>
      </c>
      <c r="AH1" s="1" t="s">
        <v>29</v>
      </c>
      <c r="AI1" s="1" t="s">
        <v>28</v>
      </c>
      <c r="AJ1" s="1" t="s">
        <v>31</v>
      </c>
      <c r="AK1" s="1" t="s">
        <v>7398</v>
      </c>
      <c r="AL1" s="1" t="s">
        <v>7399</v>
      </c>
      <c r="AM1" s="15" t="s">
        <v>7400</v>
      </c>
      <c r="AN1" s="15" t="s">
        <v>7422</v>
      </c>
      <c r="AO1" s="17" t="s">
        <v>7423</v>
      </c>
      <c r="AP1" s="17" t="s">
        <v>7424</v>
      </c>
      <c r="AQ1" s="17" t="s">
        <v>6794</v>
      </c>
      <c r="AR1" s="17" t="s">
        <v>7425</v>
      </c>
      <c r="AS1" s="17" t="s">
        <v>6803</v>
      </c>
      <c r="AT1" s="17" t="s">
        <v>6804</v>
      </c>
      <c r="AU1" s="17" t="s">
        <v>6805</v>
      </c>
      <c r="AV1" s="17" t="s">
        <v>7426</v>
      </c>
      <c r="AW1" s="17" t="s">
        <v>7427</v>
      </c>
      <c r="AX1" s="17" t="s">
        <v>7428</v>
      </c>
      <c r="AY1" s="17" t="s">
        <v>7429</v>
      </c>
      <c r="AZ1" s="17" t="s">
        <v>7430</v>
      </c>
    </row>
    <row r="2">
      <c r="A2" s="3">
        <v>1</v>
      </c>
      <c r="B2" s="4">
        <v>171135</v>
      </c>
      <c r="C2" s="5" t="str">
        <f>VLOOKUP(B2,Transfer!A:D,4,0)</f>
        <v>Md. Tanjir Ahmed</v>
      </c>
      <c r="D2" s="3" t="str">
        <f>VLOOKUP(B2,Transfer!A:G,7,0)</f>
        <v>Executive</v>
      </c>
      <c r="E2" s="6">
        <f>VLOOKUP(B2,Transfer!A:U,18,0)</f>
        <v>45163</v>
      </c>
      <c r="F2" s="3" t="str">
        <f>VLOOKUP(B2,Transfer!A:H,8,0)</f>
        <v>Moderator</v>
      </c>
      <c r="G2" s="3" t="str">
        <f>VLOOKUP(B2,Transfer!A:I,9,0)</f>
        <v>Operations</v>
      </c>
      <c r="H2" s="7" t="str">
        <f>VLOOKUP(B2,Transfer!A:K,11,0)</f>
        <v>TEMU</v>
      </c>
      <c r="I2" s="3" t="str">
        <f>VLOOKUP(B2,Transfer!A:J,10,0)</f>
        <v>BG Platform Governance Requirements</v>
      </c>
      <c r="J2" s="3" t="s">
        <v>7407</v>
      </c>
      <c r="K2" s="3" t="s">
        <v>7403</v>
      </c>
      <c r="L2" s="3" t="str">
        <f>IFERROR(VLOOKUP(B2,Inactive!A:BH,58,0),"Active")</f>
        <v>Active</v>
      </c>
      <c r="M2" s="3" t="str">
        <f>VLOOKUP(B2,Transfer!A:L,12,0)</f>
        <v>Apprentice Fixed</v>
      </c>
      <c r="N2" s="3">
        <f>VLOOKUP(B2,Transfer!A:BE,54,0)</f>
        <v>10800</v>
      </c>
      <c r="O2" s="3">
        <f>VLOOKUP(B2,Transfer!A:BF,55,0)</f>
        <v>2700</v>
      </c>
      <c r="P2" s="3">
        <f>VLOOKUP(B2,Transfer!A:BG,56,0)</f>
        <v>1000</v>
      </c>
      <c r="Q2" s="3" t="s">
        <v>7404</v>
      </c>
      <c r="R2" s="3">
        <v>22</v>
      </c>
      <c r="S2" s="3"/>
      <c r="T2" s="3"/>
      <c r="U2" s="3"/>
      <c r="V2" s="3" t="str">
        <f>VLOOKUP(B2,MDB!A:M,13,0)</f>
        <v>Asif Iqbal</v>
      </c>
      <c r="W2" s="3">
        <f>VLOOKUP(B2,MDB!A:N,14,0)</f>
        <v>0</v>
      </c>
      <c r="X2" s="3"/>
      <c r="Y2" s="3" t="str">
        <f>VLOOKUP(B2,MDB!A:O,15,0)</f>
        <v>Ashraful Haq</v>
      </c>
      <c r="Z2" s="3" t="str">
        <f>VLOOKUP(B2,MDB!A:AO,41,0)</f>
        <v>, House: 33, Road: 11, Sector: 12, Uttara, Dhaka-1230</v>
      </c>
      <c r="AA2" s="3" t="str">
        <f>VLOOKUP(B2,MDB!A:AP,42,0)</f>
        <v>Vill: Rasulpur, PO: Payali, PS: Matlab South, Dist: Chandpur</v>
      </c>
      <c r="AB2" s="3" t="str">
        <f>VLOOKUP(B2,MDB!A:AQ,43,0)</f>
        <v>Uttara</v>
      </c>
      <c r="AC2" s="3"/>
      <c r="AD2" s="3">
        <f>VLOOKUP(B2,MDB!A:X,24,0)</f>
        <v>1628439640</v>
      </c>
      <c r="AE2" s="3" t="str">
        <f>VLOOKUP(B2,MDB!A:Z,26,0)</f>
        <v>Rokshana Islam</v>
      </c>
      <c r="AF2" s="3">
        <f>VLOOKUP(B2,MDB!A:AA,27,0)</f>
        <v>1818371637</v>
      </c>
      <c r="AG2" s="3" t="str">
        <f>VLOOKUP(B2,MDB!A:E,5,0)</f>
        <v>Male</v>
      </c>
      <c r="AH2" s="6">
        <f>VLOOKUP(B2,MDB!A:AD,30,0)</f>
        <v>36755</v>
      </c>
      <c r="AI2" s="3" t="str">
        <f>VLOOKUP(B2,MDB!A:AC,29,0)</f>
        <v>A+</v>
      </c>
      <c r="AJ2" s="3" t="str">
        <f>VLOOKUP(B2,MDB!A:AF,32,0)</f>
        <v>Islam</v>
      </c>
      <c r="AK2" s="16" t="str">
        <f>VLOOKUP(B2,MDB!A:AG,33,0)</f>
        <v>871495 9916</v>
      </c>
      <c r="AL2" s="3" t="str">
        <f>VLOOKUP(B2,MDB!A:AH,34,0)</f>
        <v>EE 0135811</v>
      </c>
      <c r="AM2" s="3" t="str">
        <f>VLOOKUP(B2,MDB!A:AI,35,0)</f>
        <v>HSC</v>
      </c>
      <c r="AN2" s="3" t="s">
        <v>7405</v>
      </c>
      <c r="AO2" s="3" t="str">
        <f>VLOOKUP(B2,Transfer!A:BM,62,0)</f>
        <v>TEMU </v>
      </c>
      <c r="AP2" s="3" t="str">
        <f>VLOOKUP(B2,Transfer!A:BN,63,0)</f>
        <v>BG Platform Governance Requirement</v>
      </c>
      <c r="AQ2" s="3" t="str">
        <f>VLOOKUP(B2,Transfer!A:BO,64,0)</f>
        <v>Operations </v>
      </c>
      <c r="AR2" s="3" t="str">
        <f>VLOOKUP(B2,Transfer!A:BP,65,0)</f>
        <v>Apprentice Fixed</v>
      </c>
      <c r="AS2" s="3">
        <f>VLOOKUP(B2,Transfer!A:BQ,66,0)</f>
        <v>14500</v>
      </c>
      <c r="AT2" s="3">
        <f>VLOOKUP(B2,Transfer!A:BR,67,0)</f>
        <v>3500</v>
      </c>
      <c r="AU2" s="3">
        <f>VLOOKUP(B2,Transfer!A:BS,68,0)</f>
        <v>2000</v>
      </c>
      <c r="AV2" s="3" t="str">
        <f>VLOOKUP(B2,Transfer!A:BL,61,0)</f>
        <v>Executive</v>
      </c>
      <c r="AW2" s="6">
        <f>VLOOKUP(B2,Transfer!A:BT,69,0)</f>
        <v>45449</v>
      </c>
      <c r="AX2" s="6">
        <f>VLOOKUP(B2,Transfer!A:BU,70,0)</f>
        <v>45459</v>
      </c>
      <c r="AY2" s="3">
        <f>VLOOKUP(B2,Transfer!A:BV,72,0)</f>
        <v>0</v>
      </c>
      <c r="AZ2" s="3">
        <f>VLOOKUP(B2,Transfer!A:BV,74,0)</f>
        <v>0</v>
      </c>
    </row>
    <row r="3">
      <c r="A3" s="3">
        <v>2</v>
      </c>
      <c r="B3" s="8">
        <v>171313</v>
      </c>
      <c r="C3" s="5" t="str">
        <f>VLOOKUP(B3,Transfer!A:D,4,0)</f>
        <v>Abu MD. Rifat Imtiaz</v>
      </c>
      <c r="D3" s="3" t="str">
        <f>VLOOKUP(B3,Transfer!A:G,7,0)</f>
        <v>Executive</v>
      </c>
      <c r="E3" s="6">
        <f>VLOOKUP(B3,Transfer!A:U,18,0)</f>
        <v>45292</v>
      </c>
      <c r="F3" s="3" t="str">
        <f>VLOOKUP(B3,Transfer!A:H,8,0)</f>
        <v>Moderator</v>
      </c>
      <c r="G3" s="3" t="str">
        <f>VLOOKUP(B3,Transfer!A:I,9,0)</f>
        <v>Operations</v>
      </c>
      <c r="H3" s="7" t="str">
        <f>VLOOKUP(B3,Transfer!A:K,11,0)</f>
        <v>TEMU</v>
      </c>
      <c r="I3" s="3" t="str">
        <f>VLOOKUP(B3,Transfer!A:J,10,0)</f>
        <v>BG Platform Governance Requirements</v>
      </c>
      <c r="J3" s="3" t="s">
        <v>7407</v>
      </c>
      <c r="K3" s="3" t="s">
        <v>7403</v>
      </c>
      <c r="L3" s="3" t="str">
        <f>IFERROR(VLOOKUP(B3,Inactive!A:BH,58,0),"Active")</f>
        <v>Active</v>
      </c>
      <c r="M3" s="3" t="str">
        <f>VLOOKUP(B3,Transfer!A:L,12,0)</f>
        <v>Apprentice Fixed</v>
      </c>
      <c r="N3" s="3">
        <f>VLOOKUP(B3,Transfer!A:BE,54,0)</f>
        <v>10800</v>
      </c>
      <c r="O3" s="3">
        <f>VLOOKUP(B3,Transfer!A:BF,55,0)</f>
        <v>2700</v>
      </c>
      <c r="P3" s="3">
        <f>VLOOKUP(B3,Transfer!A:BG,56,0)</f>
        <v>1000</v>
      </c>
      <c r="Q3" s="3" t="s">
        <v>7404</v>
      </c>
      <c r="R3" s="3">
        <v>23</v>
      </c>
      <c r="S3" s="3"/>
      <c r="T3" s="3"/>
      <c r="U3" s="3"/>
      <c r="V3" s="3" t="str">
        <f>VLOOKUP(B3,MDB!A:M,13,0)</f>
        <v>Asif Iqbal</v>
      </c>
      <c r="W3" s="3">
        <f>VLOOKUP(B3,MDB!A:N,14,0)</f>
        <v>0</v>
      </c>
      <c r="X3" s="3"/>
      <c r="Y3" s="3" t="str">
        <f>VLOOKUP(B3,MDB!A:O,15,0)</f>
        <v>Ashraful Haq</v>
      </c>
      <c r="Z3" s="3" t="str">
        <f>VLOOKUP(B3,MDB!A:AO,41,0)</f>
        <v>42/2, North Curcular Road , Dhanmondi, Dhaka</v>
      </c>
      <c r="AA3" s="3" t="str">
        <f>VLOOKUP(B3,MDB!A:AP,42,0)</f>
        <v>House-E-9/A, Jamuna Sar Karkhana, Tarakandi, Sarishabari, Jamalpur, Post Code-2055</v>
      </c>
      <c r="AB3" s="3" t="str">
        <f>VLOOKUP(B3,MDB!A:AQ,43,0)</f>
        <v>Dhanmondi</v>
      </c>
      <c r="AC3" s="3"/>
      <c r="AD3" s="3">
        <f>VLOOKUP(B3,MDB!A:X,24,0)</f>
        <v>1736093813</v>
      </c>
      <c r="AE3" s="3" t="str">
        <f>VLOOKUP(B3,MDB!A:Z,26,0)</f>
        <v>Md Rafiqul Islam</v>
      </c>
      <c r="AF3" s="3">
        <f>VLOOKUP(B3,MDB!A:AA,27,0)</f>
        <v>1936791169</v>
      </c>
      <c r="AG3" s="3" t="str">
        <f>VLOOKUP(B3,MDB!A:E,5,0)</f>
        <v>Male</v>
      </c>
      <c r="AH3" s="6">
        <f>VLOOKUP(B3,MDB!A:AD,30,0)</f>
        <v>35600</v>
      </c>
      <c r="AI3" s="3" t="str">
        <f>VLOOKUP(B3,MDB!A:AC,29,0)</f>
        <v>AB+</v>
      </c>
      <c r="AJ3" s="3" t="str">
        <f>VLOOKUP(B3,MDB!A:AF,32,0)</f>
        <v>Islam</v>
      </c>
      <c r="AK3" s="16">
        <f>VLOOKUP(B3,MDB!A:AG,33,0)</f>
        <v>2851955043</v>
      </c>
      <c r="AL3" s="3" t="str">
        <f>VLOOKUP(B3,MDB!A:AH,34,0)</f>
        <v>A00009512</v>
      </c>
      <c r="AM3" s="3" t="str">
        <f>VLOOKUP(B3,MDB!A:AI,35,0)</f>
        <v>BA</v>
      </c>
      <c r="AN3" s="3" t="s">
        <v>7405</v>
      </c>
      <c r="AO3" s="3" t="str">
        <f>VLOOKUP(B3,Transfer!A:BM,62,0)</f>
        <v>TEMU </v>
      </c>
      <c r="AP3" s="3" t="str">
        <f>VLOOKUP(B3,Transfer!A:BN,63,0)</f>
        <v>BG Platform Governance Requirement</v>
      </c>
      <c r="AQ3" s="3" t="str">
        <f>VLOOKUP(B3,Transfer!A:BO,64,0)</f>
        <v>Operations </v>
      </c>
      <c r="AR3" s="3" t="str">
        <f>VLOOKUP(B3,Transfer!A:BP,65,0)</f>
        <v>Apprentice Fixed</v>
      </c>
      <c r="AS3" s="3">
        <f>VLOOKUP(B3,Transfer!A:BQ,66,0)</f>
        <v>14500</v>
      </c>
      <c r="AT3" s="3">
        <f>VLOOKUP(B3,Transfer!A:BR,67,0)</f>
        <v>3500</v>
      </c>
      <c r="AU3" s="3">
        <f>VLOOKUP(B3,Transfer!A:BS,68,0)</f>
        <v>2000</v>
      </c>
      <c r="AV3" s="3" t="str">
        <f>VLOOKUP(B3,Transfer!A:BL,61,0)</f>
        <v>Executive</v>
      </c>
      <c r="AW3" s="6">
        <f>VLOOKUP(B3,Transfer!A:BT,69,0)</f>
        <v>45449</v>
      </c>
      <c r="AX3" s="6">
        <f>VLOOKUP(B3,Transfer!A:BU,70,0)</f>
        <v>45459</v>
      </c>
      <c r="AY3" s="3">
        <f>VLOOKUP(B3,Transfer!A:BV,72,0)</f>
        <v>0</v>
      </c>
      <c r="AZ3" s="3">
        <f>VLOOKUP(B3,Transfer!A:BV,74,0)</f>
        <v>0</v>
      </c>
    </row>
    <row r="4">
      <c r="A4" s="3">
        <v>3</v>
      </c>
      <c r="B4" s="4">
        <v>171017</v>
      </c>
      <c r="C4" s="5" t="str">
        <f>VLOOKUP(B4,Transfer!A:D,4,0)</f>
        <v>Md. Nasir Uddin</v>
      </c>
      <c r="D4" s="3" t="str">
        <f>VLOOKUP(B4,Transfer!A:G,7,0)</f>
        <v>Executive</v>
      </c>
      <c r="E4" s="6">
        <f>VLOOKUP(B4,Transfer!A:U,18,0)</f>
        <v>45042</v>
      </c>
      <c r="F4" s="3" t="str">
        <f>VLOOKUP(B4,Transfer!A:H,8,0)</f>
        <v>Moderator</v>
      </c>
      <c r="G4" s="3" t="str">
        <f>VLOOKUP(B4,Transfer!A:I,9,0)</f>
        <v>Operations</v>
      </c>
      <c r="H4" s="7" t="str">
        <f>VLOOKUP(B4,Transfer!A:K,11,0)</f>
        <v>TEMU</v>
      </c>
      <c r="I4" s="3" t="str">
        <f>VLOOKUP(B4,Transfer!A:J,10,0)</f>
        <v>BG Platform Governance Requirements</v>
      </c>
      <c r="J4" s="3" t="s">
        <v>7407</v>
      </c>
      <c r="K4" s="3" t="s">
        <v>7403</v>
      </c>
      <c r="L4" s="3" t="str">
        <f>IFERROR(VLOOKUP(B4,Inactive!A:BH,58,0),"Active")</f>
        <v>Active</v>
      </c>
      <c r="M4" s="3" t="str">
        <f>VLOOKUP(B4,Transfer!A:L,12,0)</f>
        <v>Apprentice Fixed</v>
      </c>
      <c r="N4" s="3">
        <f>VLOOKUP(B4,Transfer!A:BE,54,0)</f>
        <v>10800</v>
      </c>
      <c r="O4" s="3">
        <f>VLOOKUP(B4,Transfer!A:BF,55,0)</f>
        <v>2700</v>
      </c>
      <c r="P4" s="3">
        <f>VLOOKUP(B4,Transfer!A:BG,56,0)</f>
        <v>1000</v>
      </c>
      <c r="Q4" s="3" t="s">
        <v>7404</v>
      </c>
      <c r="R4" s="3">
        <v>24</v>
      </c>
      <c r="S4" s="3"/>
      <c r="T4" s="3"/>
      <c r="U4" s="3"/>
      <c r="V4" s="3" t="e">
        <f>VLOOKUP(B4,MDB!A:M,13,0)</f>
        <v>#N/A</v>
      </c>
      <c r="W4" s="3" t="e">
        <f>VLOOKUP(B4,MDB!A:N,14,0)</f>
        <v>#N/A</v>
      </c>
      <c r="X4" s="3"/>
      <c r="Y4" s="3" t="e">
        <f>VLOOKUP(B4,MDB!A:O,15,0)</f>
        <v>#N/A</v>
      </c>
      <c r="Z4" s="3" t="e">
        <f>VLOOKUP(B4,MDB!A:AO,41,0)</f>
        <v>#N/A</v>
      </c>
      <c r="AA4" s="3" t="e">
        <f>VLOOKUP(B4,MDB!A:AP,42,0)</f>
        <v>#N/A</v>
      </c>
      <c r="AB4" s="3" t="e">
        <f>VLOOKUP(B4,MDB!A:AQ,43,0)</f>
        <v>#N/A</v>
      </c>
      <c r="AC4" s="3"/>
      <c r="AD4" s="3" t="e">
        <f>VLOOKUP(B4,MDB!A:X,24,0)</f>
        <v>#N/A</v>
      </c>
      <c r="AE4" s="3" t="e">
        <f>VLOOKUP(B4,MDB!A:Z,26,0)</f>
        <v>#N/A</v>
      </c>
      <c r="AF4" s="3" t="e">
        <f>VLOOKUP(B4,MDB!A:AA,27,0)</f>
        <v>#N/A</v>
      </c>
      <c r="AG4" s="3" t="e">
        <f>VLOOKUP(B4,MDB!A:E,5,0)</f>
        <v>#N/A</v>
      </c>
      <c r="AH4" s="6" t="e">
        <f>VLOOKUP(B4,MDB!A:AD,30,0)</f>
        <v>#N/A</v>
      </c>
      <c r="AI4" s="3" t="e">
        <f>VLOOKUP(B4,MDB!A:AC,29,0)</f>
        <v>#N/A</v>
      </c>
      <c r="AJ4" s="3" t="e">
        <f>VLOOKUP(B4,MDB!A:AF,32,0)</f>
        <v>#N/A</v>
      </c>
      <c r="AK4" s="16" t="e">
        <f>VLOOKUP(B4,MDB!A:AG,33,0)</f>
        <v>#N/A</v>
      </c>
      <c r="AL4" s="3" t="e">
        <f>VLOOKUP(B4,MDB!A:AH,34,0)</f>
        <v>#N/A</v>
      </c>
      <c r="AM4" s="3" t="e">
        <f>VLOOKUP(B4,MDB!A:AI,35,0)</f>
        <v>#N/A</v>
      </c>
      <c r="AN4" s="3" t="s">
        <v>7405</v>
      </c>
      <c r="AO4" s="3" t="str">
        <f>VLOOKUP(B4,Transfer!A:BM,62,0)</f>
        <v>TEMU </v>
      </c>
      <c r="AP4" s="3" t="str">
        <f>VLOOKUP(B4,Transfer!A:BN,63,0)</f>
        <v>BG Platform Governance Requirement</v>
      </c>
      <c r="AQ4" s="3" t="str">
        <f>VLOOKUP(B4,Transfer!A:BO,64,0)</f>
        <v>Operations </v>
      </c>
      <c r="AR4" s="3" t="str">
        <f>VLOOKUP(B4,Transfer!A:BP,65,0)</f>
        <v>Apprentice Fixed</v>
      </c>
      <c r="AS4" s="3">
        <f>VLOOKUP(B4,Transfer!A:BQ,66,0)</f>
        <v>14500</v>
      </c>
      <c r="AT4" s="3">
        <f>VLOOKUP(B4,Transfer!A:BR,67,0)</f>
        <v>3500</v>
      </c>
      <c r="AU4" s="3">
        <f>VLOOKUP(B4,Transfer!A:BS,68,0)</f>
        <v>2000</v>
      </c>
      <c r="AV4" s="3" t="str">
        <f>VLOOKUP(B4,Transfer!A:BL,61,0)</f>
        <v>Executive</v>
      </c>
      <c r="AW4" s="6">
        <f>VLOOKUP(B4,Transfer!A:BT,69,0)</f>
        <v>45449</v>
      </c>
      <c r="AX4" s="6">
        <f>VLOOKUP(B4,Transfer!A:BU,70,0)</f>
        <v>45459</v>
      </c>
      <c r="AY4" s="3">
        <f>VLOOKUP(B4,Transfer!A:BV,72,0)</f>
        <v>0</v>
      </c>
      <c r="AZ4" s="3">
        <f>VLOOKUP(B4,Transfer!A:BV,74,0)</f>
        <v>0</v>
      </c>
    </row>
    <row r="5">
      <c r="A5" s="3">
        <v>4</v>
      </c>
      <c r="B5" s="9"/>
      <c r="C5" s="5" t="e">
        <f>VLOOKUP(B5,Transfer!A:D,4,0)</f>
        <v>#N/A</v>
      </c>
      <c r="D5" s="3" t="e">
        <f>VLOOKUP(B5,Transfer!A:G,7,0)</f>
        <v>#N/A</v>
      </c>
      <c r="E5" s="6" t="e">
        <f>VLOOKUP(B5,Transfer!A:U,18,0)</f>
        <v>#N/A</v>
      </c>
      <c r="F5" s="3" t="e">
        <f>VLOOKUP(B5,Transfer!A:H,8,0)</f>
        <v>#N/A</v>
      </c>
      <c r="G5" s="3" t="e">
        <f>VLOOKUP(B5,Transfer!A:I,9,0)</f>
        <v>#N/A</v>
      </c>
      <c r="H5" s="7" t="e">
        <f>VLOOKUP(B5,Transfer!A:K,11,0)</f>
        <v>#N/A</v>
      </c>
      <c r="I5" s="3" t="e">
        <f>VLOOKUP(B5,Transfer!A:J,10,0)</f>
        <v>#N/A</v>
      </c>
      <c r="J5" s="3" t="s">
        <v>7407</v>
      </c>
      <c r="K5" s="3" t="s">
        <v>7403</v>
      </c>
      <c r="L5" s="3" t="str">
        <f>IFERROR(VLOOKUP(B5,Inactive!A:BH,58,0),"Active")</f>
        <v>Active</v>
      </c>
      <c r="M5" s="3" t="e">
        <f>VLOOKUP(B5,Transfer!A:L,12,0)</f>
        <v>#N/A</v>
      </c>
      <c r="N5" s="3" t="e">
        <f>VLOOKUP(B5,Transfer!A:BE,54,0)</f>
        <v>#N/A</v>
      </c>
      <c r="O5" s="3" t="e">
        <f>VLOOKUP(B5,Transfer!A:BF,55,0)</f>
        <v>#N/A</v>
      </c>
      <c r="P5" s="3" t="e">
        <f>VLOOKUP(B5,Transfer!A:BG,56,0)</f>
        <v>#N/A</v>
      </c>
      <c r="Q5" s="3" t="s">
        <v>7404</v>
      </c>
      <c r="R5" s="3">
        <v>22</v>
      </c>
      <c r="S5" s="3"/>
      <c r="T5" s="3"/>
      <c r="U5" s="3"/>
      <c r="V5" s="3" t="e">
        <f>VLOOKUP(B5,MDB!A:M,13,0)</f>
        <v>#N/A</v>
      </c>
      <c r="W5" s="3" t="e">
        <f>VLOOKUP(B5,MDB!A:N,14,0)</f>
        <v>#N/A</v>
      </c>
      <c r="X5" s="3"/>
      <c r="Y5" s="3" t="e">
        <f>VLOOKUP(B5,MDB!A:O,15,0)</f>
        <v>#N/A</v>
      </c>
      <c r="Z5" s="3" t="e">
        <f>VLOOKUP(B5,MDB!A:AO,41,0)</f>
        <v>#N/A</v>
      </c>
      <c r="AA5" s="3" t="e">
        <f>VLOOKUP(B5,MDB!A:AP,42,0)</f>
        <v>#N/A</v>
      </c>
      <c r="AB5" s="3" t="e">
        <f>VLOOKUP(B5,MDB!A:AQ,43,0)</f>
        <v>#N/A</v>
      </c>
      <c r="AC5" s="3"/>
      <c r="AD5" s="3" t="e">
        <f>VLOOKUP(B5,MDB!A:X,24,0)</f>
        <v>#N/A</v>
      </c>
      <c r="AE5" s="3" t="e">
        <f>VLOOKUP(B5,MDB!A:Z,26,0)</f>
        <v>#N/A</v>
      </c>
      <c r="AF5" s="3" t="e">
        <f>VLOOKUP(B5,MDB!A:AA,27,0)</f>
        <v>#N/A</v>
      </c>
      <c r="AG5" s="3" t="e">
        <f>VLOOKUP(B5,MDB!A:E,5,0)</f>
        <v>#N/A</v>
      </c>
      <c r="AH5" s="6" t="e">
        <f>VLOOKUP(B5,MDB!A:AD,30,0)</f>
        <v>#N/A</v>
      </c>
      <c r="AI5" s="3" t="e">
        <f>VLOOKUP(B5,MDB!A:AC,29,0)</f>
        <v>#N/A</v>
      </c>
      <c r="AJ5" s="3" t="e">
        <f>VLOOKUP(B5,MDB!A:AF,32,0)</f>
        <v>#N/A</v>
      </c>
      <c r="AK5" s="16" t="e">
        <f>VLOOKUP(B5,MDB!A:AG,33,0)</f>
        <v>#N/A</v>
      </c>
      <c r="AL5" s="3" t="e">
        <f>VLOOKUP(B5,MDB!A:AH,34,0)</f>
        <v>#N/A</v>
      </c>
      <c r="AM5" s="3" t="e">
        <f>VLOOKUP(B5,MDB!A:AI,35,0)</f>
        <v>#N/A</v>
      </c>
      <c r="AN5" s="3" t="s">
        <v>7405</v>
      </c>
      <c r="AO5" s="3" t="e">
        <f>VLOOKUP(B5,Transfer!A:BM,62,0)</f>
        <v>#N/A</v>
      </c>
      <c r="AP5" s="3" t="e">
        <f>VLOOKUP(B5,Transfer!A:BN,63,0)</f>
        <v>#N/A</v>
      </c>
      <c r="AQ5" s="3" t="e">
        <f>VLOOKUP(B5,Transfer!A:BO,64,0)</f>
        <v>#N/A</v>
      </c>
      <c r="AR5" s="3" t="e">
        <f>VLOOKUP(B5,Transfer!A:BP,65,0)</f>
        <v>#N/A</v>
      </c>
      <c r="AS5" s="3" t="e">
        <f>VLOOKUP(B5,Transfer!A:BQ,66,0)</f>
        <v>#N/A</v>
      </c>
      <c r="AT5" s="3" t="e">
        <f>VLOOKUP(B5,Transfer!A:BR,67,0)</f>
        <v>#N/A</v>
      </c>
      <c r="AU5" s="3" t="e">
        <f>VLOOKUP(B5,Transfer!A:BS,68,0)</f>
        <v>#N/A</v>
      </c>
      <c r="AV5" s="3" t="e">
        <f>VLOOKUP(B5,Transfer!A:BL,61,0)</f>
        <v>#N/A</v>
      </c>
      <c r="AW5" s="6" t="e">
        <f>VLOOKUP(B5,Transfer!A:BT,69,0)</f>
        <v>#N/A</v>
      </c>
      <c r="AX5" s="6" t="e">
        <f>VLOOKUP(B5,Transfer!A:BU,70,0)</f>
        <v>#N/A</v>
      </c>
      <c r="AY5" s="3" t="e">
        <f>VLOOKUP(B5,Transfer!A:BV,72,0)</f>
        <v>#N/A</v>
      </c>
      <c r="AZ5" s="3" t="e">
        <f>VLOOKUP(B5,Transfer!A:BV,74,0)</f>
        <v>#N/A</v>
      </c>
    </row>
    <row r="6">
      <c r="A6" s="3">
        <v>6</v>
      </c>
      <c r="B6" s="10"/>
      <c r="C6" s="5" t="e">
        <f>VLOOKUP(B6,Transfer!A:D,4,0)</f>
        <v>#N/A</v>
      </c>
      <c r="D6" s="3" t="e">
        <f>VLOOKUP(B6,Transfer!A:G,7,0)</f>
        <v>#N/A</v>
      </c>
      <c r="E6" s="6" t="e">
        <f>VLOOKUP(B6,Transfer!A:U,18,0)</f>
        <v>#N/A</v>
      </c>
      <c r="F6" s="3" t="e">
        <f>VLOOKUP(B6,Transfer!A:H,8,0)</f>
        <v>#N/A</v>
      </c>
      <c r="G6" s="3" t="e">
        <f>VLOOKUP(B6,Transfer!A:I,9,0)</f>
        <v>#N/A</v>
      </c>
      <c r="H6" s="7" t="e">
        <f>VLOOKUP(B6,Transfer!A:K,11,0)</f>
        <v>#N/A</v>
      </c>
      <c r="I6" s="3" t="e">
        <f>VLOOKUP(B6,Transfer!A:J,10,0)</f>
        <v>#N/A</v>
      </c>
      <c r="J6" s="3" t="s">
        <v>7407</v>
      </c>
      <c r="K6" s="3" t="s">
        <v>7403</v>
      </c>
      <c r="L6" s="3" t="str">
        <f>IFERROR(VLOOKUP(B6,Inactive!A:BH,58,0),"Active")</f>
        <v>Active</v>
      </c>
      <c r="M6" s="3" t="e">
        <f>VLOOKUP(B6,Transfer!A:L,12,0)</f>
        <v>#N/A</v>
      </c>
      <c r="N6" s="3" t="e">
        <f>VLOOKUP(B6,Transfer!A:BE,54,0)</f>
        <v>#N/A</v>
      </c>
      <c r="O6" s="3" t="e">
        <f>VLOOKUP(B6,Transfer!A:BF,55,0)</f>
        <v>#N/A</v>
      </c>
      <c r="P6" s="3" t="e">
        <f>VLOOKUP(B6,Transfer!A:BG,56,0)</f>
        <v>#N/A</v>
      </c>
      <c r="Q6" s="3" t="s">
        <v>7404</v>
      </c>
      <c r="R6" s="3">
        <v>22</v>
      </c>
      <c r="S6" s="3"/>
      <c r="T6" s="3"/>
      <c r="U6" s="3"/>
      <c r="V6" s="3" t="e">
        <f>VLOOKUP(B6,MDB!A:M,13,0)</f>
        <v>#N/A</v>
      </c>
      <c r="W6" s="3" t="e">
        <f>VLOOKUP(B6,MDB!A:N,14,0)</f>
        <v>#N/A</v>
      </c>
      <c r="X6" s="3"/>
      <c r="Y6" s="3" t="e">
        <f>VLOOKUP(B6,MDB!A:O,15,0)</f>
        <v>#N/A</v>
      </c>
      <c r="Z6" s="3" t="e">
        <f>VLOOKUP(B6,MDB!A:AO,41,0)</f>
        <v>#N/A</v>
      </c>
      <c r="AA6" s="3" t="e">
        <f>VLOOKUP(B6,MDB!A:AP,42,0)</f>
        <v>#N/A</v>
      </c>
      <c r="AB6" s="3" t="e">
        <f>VLOOKUP(B6,MDB!A:AQ,43,0)</f>
        <v>#N/A</v>
      </c>
      <c r="AC6" s="3"/>
      <c r="AD6" s="3" t="e">
        <f>VLOOKUP(B6,MDB!A:X,24,0)</f>
        <v>#N/A</v>
      </c>
      <c r="AE6" s="3" t="e">
        <f>VLOOKUP(B6,MDB!A:Z,26,0)</f>
        <v>#N/A</v>
      </c>
      <c r="AF6" s="3" t="e">
        <f>VLOOKUP(B6,MDB!A:AA,27,0)</f>
        <v>#N/A</v>
      </c>
      <c r="AG6" s="3" t="e">
        <f>VLOOKUP(B6,MDB!A:E,5,0)</f>
        <v>#N/A</v>
      </c>
      <c r="AH6" s="6" t="e">
        <f>VLOOKUP(B6,MDB!A:AD,30,0)</f>
        <v>#N/A</v>
      </c>
      <c r="AI6" s="3" t="e">
        <f>VLOOKUP(B6,MDB!A:AC,29,0)</f>
        <v>#N/A</v>
      </c>
      <c r="AJ6" s="3" t="e">
        <f>VLOOKUP(B6,MDB!A:AF,32,0)</f>
        <v>#N/A</v>
      </c>
      <c r="AK6" s="16" t="e">
        <f>VLOOKUP(B6,MDB!A:AG,33,0)</f>
        <v>#N/A</v>
      </c>
      <c r="AL6" s="3" t="e">
        <f>VLOOKUP(B6,MDB!A:AH,34,0)</f>
        <v>#N/A</v>
      </c>
      <c r="AM6" s="3" t="e">
        <f>VLOOKUP(B6,MDB!A:AI,35,0)</f>
        <v>#N/A</v>
      </c>
      <c r="AN6" s="3" t="s">
        <v>7405</v>
      </c>
      <c r="AO6" s="3" t="e">
        <f>VLOOKUP(B6,Transfer!A:BM,62,0)</f>
        <v>#N/A</v>
      </c>
      <c r="AP6" s="3" t="e">
        <f>VLOOKUP(B6,Transfer!A:BN,63,0)</f>
        <v>#N/A</v>
      </c>
      <c r="AQ6" s="3" t="e">
        <f>VLOOKUP(B6,Transfer!A:BO,64,0)</f>
        <v>#N/A</v>
      </c>
      <c r="AR6" s="3" t="e">
        <f>VLOOKUP(B6,Transfer!A:BP,65,0)</f>
        <v>#N/A</v>
      </c>
      <c r="AS6" s="3" t="e">
        <f>VLOOKUP(B6,Transfer!A:BQ,66,0)</f>
        <v>#N/A</v>
      </c>
      <c r="AT6" s="3" t="e">
        <f>VLOOKUP(B6,Transfer!A:BR,67,0)</f>
        <v>#N/A</v>
      </c>
      <c r="AU6" s="3" t="e">
        <f>VLOOKUP(B6,Transfer!A:BS,68,0)</f>
        <v>#N/A</v>
      </c>
      <c r="AV6" s="3" t="e">
        <f>VLOOKUP(B6,Transfer!A:BL,61,0)</f>
        <v>#N/A</v>
      </c>
      <c r="AW6" s="6" t="e">
        <f>VLOOKUP(B6,Transfer!A:BT,69,0)</f>
        <v>#N/A</v>
      </c>
      <c r="AX6" s="6" t="e">
        <f>VLOOKUP(B6,Transfer!A:BU,70,0)</f>
        <v>#N/A</v>
      </c>
      <c r="AY6" s="3" t="e">
        <f>VLOOKUP(B6,Transfer!A:BV,72,0)</f>
        <v>#N/A</v>
      </c>
      <c r="AZ6" s="3" t="e">
        <f>VLOOKUP(B6,Transfer!A:BV,74,0)</f>
        <v>#N/A</v>
      </c>
    </row>
    <row r="7">
      <c r="A7" s="3">
        <v>7</v>
      </c>
      <c r="B7" s="10"/>
      <c r="C7" s="5" t="e">
        <f>VLOOKUP(B7,Transfer!A:D,4,0)</f>
        <v>#N/A</v>
      </c>
      <c r="D7" s="3" t="e">
        <f>VLOOKUP(B7,Transfer!A:G,7,0)</f>
        <v>#N/A</v>
      </c>
      <c r="E7" s="6" t="e">
        <f>VLOOKUP(B7,Transfer!A:U,18,0)</f>
        <v>#N/A</v>
      </c>
      <c r="F7" s="3" t="e">
        <f>VLOOKUP(B7,Transfer!A:H,8,0)</f>
        <v>#N/A</v>
      </c>
      <c r="G7" s="3" t="e">
        <f>VLOOKUP(B7,Transfer!A:I,9,0)</f>
        <v>#N/A</v>
      </c>
      <c r="H7" s="7" t="e">
        <f>VLOOKUP(B7,Transfer!A:K,11,0)</f>
        <v>#N/A</v>
      </c>
      <c r="I7" s="3" t="e">
        <f>VLOOKUP(B7,Transfer!A:J,10,0)</f>
        <v>#N/A</v>
      </c>
      <c r="J7" s="3" t="s">
        <v>7407</v>
      </c>
      <c r="K7" s="3" t="s">
        <v>7403</v>
      </c>
      <c r="L7" s="3" t="str">
        <f>IFERROR(VLOOKUP(B7,Inactive!A:BH,58,0),"Active")</f>
        <v>Active</v>
      </c>
      <c r="M7" s="3" t="e">
        <f>VLOOKUP(B7,Transfer!A:L,12,0)</f>
        <v>#N/A</v>
      </c>
      <c r="N7" s="3" t="e">
        <f>VLOOKUP(B7,Transfer!A:BE,54,0)</f>
        <v>#N/A</v>
      </c>
      <c r="O7" s="3" t="e">
        <f>VLOOKUP(B7,Transfer!A:BF,55,0)</f>
        <v>#N/A</v>
      </c>
      <c r="P7" s="3" t="e">
        <f>VLOOKUP(B7,Transfer!A:BG,56,0)</f>
        <v>#N/A</v>
      </c>
      <c r="Q7" s="3" t="s">
        <v>7404</v>
      </c>
      <c r="R7" s="3">
        <v>22</v>
      </c>
      <c r="S7" s="3"/>
      <c r="T7" s="3"/>
      <c r="U7" s="3"/>
      <c r="V7" s="3" t="e">
        <f>VLOOKUP(B7,MDB!A:M,13,0)</f>
        <v>#N/A</v>
      </c>
      <c r="W7" s="3" t="e">
        <f>VLOOKUP(B7,MDB!A:N,14,0)</f>
        <v>#N/A</v>
      </c>
      <c r="X7" s="3"/>
      <c r="Y7" s="3" t="e">
        <f>VLOOKUP(B7,MDB!A:O,15,0)</f>
        <v>#N/A</v>
      </c>
      <c r="Z7" s="3" t="e">
        <f>VLOOKUP(B7,MDB!A:AO,41,0)</f>
        <v>#N/A</v>
      </c>
      <c r="AA7" s="3" t="e">
        <f>VLOOKUP(B7,MDB!A:AP,42,0)</f>
        <v>#N/A</v>
      </c>
      <c r="AB7" s="3" t="e">
        <f>VLOOKUP(B7,MDB!A:AQ,43,0)</f>
        <v>#N/A</v>
      </c>
      <c r="AC7" s="3"/>
      <c r="AD7" s="3" t="e">
        <f>VLOOKUP(B7,MDB!A:X,24,0)</f>
        <v>#N/A</v>
      </c>
      <c r="AE7" s="3" t="e">
        <f>VLOOKUP(B7,MDB!A:Z,26,0)</f>
        <v>#N/A</v>
      </c>
      <c r="AF7" s="3" t="e">
        <f>VLOOKUP(B7,MDB!A:AA,27,0)</f>
        <v>#N/A</v>
      </c>
      <c r="AG7" s="3" t="e">
        <f>VLOOKUP(B7,MDB!A:E,5,0)</f>
        <v>#N/A</v>
      </c>
      <c r="AH7" s="6" t="e">
        <f>VLOOKUP(B7,MDB!A:AD,30,0)</f>
        <v>#N/A</v>
      </c>
      <c r="AI7" s="3" t="e">
        <f>VLOOKUP(B7,MDB!A:AC,29,0)</f>
        <v>#N/A</v>
      </c>
      <c r="AJ7" s="3" t="e">
        <f>VLOOKUP(B7,MDB!A:AF,32,0)</f>
        <v>#N/A</v>
      </c>
      <c r="AK7" s="16" t="e">
        <f>VLOOKUP(B7,MDB!A:AG,33,0)</f>
        <v>#N/A</v>
      </c>
      <c r="AL7" s="3" t="e">
        <f>VLOOKUP(B7,MDB!A:AH,34,0)</f>
        <v>#N/A</v>
      </c>
      <c r="AM7" s="3" t="e">
        <f>VLOOKUP(B7,MDB!A:AI,35,0)</f>
        <v>#N/A</v>
      </c>
      <c r="AN7" s="3" t="s">
        <v>7405</v>
      </c>
      <c r="AO7" s="3" t="e">
        <f>VLOOKUP(B7,Transfer!A:BM,62,0)</f>
        <v>#N/A</v>
      </c>
      <c r="AP7" s="3" t="e">
        <f>VLOOKUP(B7,Transfer!A:BN,63,0)</f>
        <v>#N/A</v>
      </c>
      <c r="AQ7" s="3" t="e">
        <f>VLOOKUP(B7,Transfer!A:BO,64,0)</f>
        <v>#N/A</v>
      </c>
      <c r="AR7" s="3" t="e">
        <f>VLOOKUP(B7,Transfer!A:BP,65,0)</f>
        <v>#N/A</v>
      </c>
      <c r="AS7" s="3" t="e">
        <f>VLOOKUP(B7,Transfer!A:BQ,66,0)</f>
        <v>#N/A</v>
      </c>
      <c r="AT7" s="3" t="e">
        <f>VLOOKUP(B7,Transfer!A:BR,67,0)</f>
        <v>#N/A</v>
      </c>
      <c r="AU7" s="3" t="e">
        <f>VLOOKUP(B7,Transfer!A:BS,68,0)</f>
        <v>#N/A</v>
      </c>
      <c r="AV7" s="3" t="e">
        <f>VLOOKUP(B7,Transfer!A:BL,61,0)</f>
        <v>#N/A</v>
      </c>
      <c r="AW7" s="6" t="e">
        <f>VLOOKUP(B7,Transfer!A:BT,69,0)</f>
        <v>#N/A</v>
      </c>
      <c r="AX7" s="6" t="e">
        <f>VLOOKUP(B7,Transfer!A:BU,70,0)</f>
        <v>#N/A</v>
      </c>
      <c r="AY7" s="3" t="e">
        <f>VLOOKUP(B7,Transfer!A:BV,72,0)</f>
        <v>#N/A</v>
      </c>
      <c r="AZ7" s="3" t="e">
        <f>VLOOKUP(B7,Transfer!A:BV,74,0)</f>
        <v>#N/A</v>
      </c>
    </row>
    <row r="8">
      <c r="A8" s="3">
        <v>8</v>
      </c>
      <c r="B8" s="10"/>
      <c r="C8" s="5" t="e">
        <f>VLOOKUP(B8,Transfer!A:D,4,0)</f>
        <v>#N/A</v>
      </c>
      <c r="D8" s="3" t="e">
        <f>VLOOKUP(B8,Transfer!A:G,7,0)</f>
        <v>#N/A</v>
      </c>
      <c r="E8" s="6" t="e">
        <f>VLOOKUP(B8,Transfer!A:U,18,0)</f>
        <v>#N/A</v>
      </c>
      <c r="F8" s="3" t="e">
        <f>VLOOKUP(B8,Transfer!A:H,8,0)</f>
        <v>#N/A</v>
      </c>
      <c r="G8" s="3" t="e">
        <f>VLOOKUP(B8,Transfer!A:I,9,0)</f>
        <v>#N/A</v>
      </c>
      <c r="H8" s="7" t="e">
        <f>VLOOKUP(B8,Transfer!A:K,11,0)</f>
        <v>#N/A</v>
      </c>
      <c r="I8" s="3" t="e">
        <f>VLOOKUP(B8,Transfer!A:J,10,0)</f>
        <v>#N/A</v>
      </c>
      <c r="J8" s="3" t="s">
        <v>7407</v>
      </c>
      <c r="K8" s="3" t="s">
        <v>7403</v>
      </c>
      <c r="L8" s="3" t="str">
        <f>IFERROR(VLOOKUP(B8,Inactive!A:BH,58,0),"Active")</f>
        <v>Active</v>
      </c>
      <c r="M8" s="3" t="e">
        <f>VLOOKUP(B8,Transfer!A:L,12,0)</f>
        <v>#N/A</v>
      </c>
      <c r="N8" s="3" t="e">
        <f>VLOOKUP(B8,Transfer!A:BE,54,0)</f>
        <v>#N/A</v>
      </c>
      <c r="O8" s="3" t="e">
        <f>VLOOKUP(B8,Transfer!A:BF,55,0)</f>
        <v>#N/A</v>
      </c>
      <c r="P8" s="3" t="e">
        <f>VLOOKUP(B8,Transfer!A:BG,56,0)</f>
        <v>#N/A</v>
      </c>
      <c r="Q8" s="3" t="s">
        <v>7404</v>
      </c>
      <c r="R8" s="3">
        <v>22</v>
      </c>
      <c r="S8" s="3"/>
      <c r="T8" s="3"/>
      <c r="U8" s="3"/>
      <c r="V8" s="3" t="e">
        <f>VLOOKUP(B8,MDB!A:M,13,0)</f>
        <v>#N/A</v>
      </c>
      <c r="W8" s="3" t="e">
        <f>VLOOKUP(B8,MDB!A:N,14,0)</f>
        <v>#N/A</v>
      </c>
      <c r="X8" s="3"/>
      <c r="Y8" s="3" t="e">
        <f>VLOOKUP(B8,MDB!A:O,15,0)</f>
        <v>#N/A</v>
      </c>
      <c r="Z8" s="3" t="e">
        <f>VLOOKUP(B8,MDB!A:AO,41,0)</f>
        <v>#N/A</v>
      </c>
      <c r="AA8" s="3" t="e">
        <f>VLOOKUP(B8,MDB!A:AP,42,0)</f>
        <v>#N/A</v>
      </c>
      <c r="AB8" s="3" t="e">
        <f>VLOOKUP(B8,MDB!A:AQ,43,0)</f>
        <v>#N/A</v>
      </c>
      <c r="AC8" s="3"/>
      <c r="AD8" s="3" t="e">
        <f>VLOOKUP(B8,MDB!A:X,24,0)</f>
        <v>#N/A</v>
      </c>
      <c r="AE8" s="3" t="e">
        <f>VLOOKUP(B8,MDB!A:Z,26,0)</f>
        <v>#N/A</v>
      </c>
      <c r="AF8" s="3" t="e">
        <f>VLOOKUP(B8,MDB!A:AA,27,0)</f>
        <v>#N/A</v>
      </c>
      <c r="AG8" s="3" t="e">
        <f>VLOOKUP(B8,MDB!A:E,5,0)</f>
        <v>#N/A</v>
      </c>
      <c r="AH8" s="6" t="e">
        <f>VLOOKUP(B8,MDB!A:AD,30,0)</f>
        <v>#N/A</v>
      </c>
      <c r="AI8" s="3" t="e">
        <f>VLOOKUP(B8,MDB!A:AC,29,0)</f>
        <v>#N/A</v>
      </c>
      <c r="AJ8" s="3" t="e">
        <f>VLOOKUP(B8,MDB!A:AF,32,0)</f>
        <v>#N/A</v>
      </c>
      <c r="AK8" s="16" t="e">
        <f>VLOOKUP(B8,MDB!A:AG,33,0)</f>
        <v>#N/A</v>
      </c>
      <c r="AL8" s="3" t="e">
        <f>VLOOKUP(B8,MDB!A:AH,34,0)</f>
        <v>#N/A</v>
      </c>
      <c r="AM8" s="3" t="e">
        <f>VLOOKUP(B8,MDB!A:AI,35,0)</f>
        <v>#N/A</v>
      </c>
      <c r="AN8" s="3" t="s">
        <v>7405</v>
      </c>
      <c r="AO8" s="3" t="e">
        <f>VLOOKUP(B8,Transfer!A:BM,62,0)</f>
        <v>#N/A</v>
      </c>
      <c r="AP8" s="3" t="e">
        <f>VLOOKUP(B8,Transfer!A:BN,63,0)</f>
        <v>#N/A</v>
      </c>
      <c r="AQ8" s="3" t="e">
        <f>VLOOKUP(B8,Transfer!A:BO,64,0)</f>
        <v>#N/A</v>
      </c>
      <c r="AR8" s="3" t="e">
        <f>VLOOKUP(B8,Transfer!A:BP,65,0)</f>
        <v>#N/A</v>
      </c>
      <c r="AS8" s="3" t="e">
        <f>VLOOKUP(B8,Transfer!A:BQ,66,0)</f>
        <v>#N/A</v>
      </c>
      <c r="AT8" s="3" t="e">
        <f>VLOOKUP(B8,Transfer!A:BR,67,0)</f>
        <v>#N/A</v>
      </c>
      <c r="AU8" s="3" t="e">
        <f>VLOOKUP(B8,Transfer!A:BS,68,0)</f>
        <v>#N/A</v>
      </c>
      <c r="AV8" s="3" t="e">
        <f>VLOOKUP(B8,Transfer!A:BL,61,0)</f>
        <v>#N/A</v>
      </c>
      <c r="AW8" s="6" t="e">
        <f>VLOOKUP(B8,Transfer!A:BT,69,0)</f>
        <v>#N/A</v>
      </c>
      <c r="AX8" s="6" t="e">
        <f>VLOOKUP(B8,Transfer!A:BU,70,0)</f>
        <v>#N/A</v>
      </c>
      <c r="AY8" s="3" t="e">
        <f>VLOOKUP(B8,Transfer!A:BV,72,0)</f>
        <v>#N/A</v>
      </c>
      <c r="AZ8" s="3" t="e">
        <f>VLOOKUP(B8,Transfer!A:BV,74,0)</f>
        <v>#N/A</v>
      </c>
    </row>
    <row r="9">
      <c r="A9" s="3">
        <v>9</v>
      </c>
      <c r="B9" s="11"/>
      <c r="C9" s="5" t="e">
        <f>VLOOKUP(B9,Transfer!A:D,4,0)</f>
        <v>#N/A</v>
      </c>
      <c r="D9" s="3" t="e">
        <f>VLOOKUP(B9,Transfer!A:G,7,0)</f>
        <v>#N/A</v>
      </c>
      <c r="E9" s="6" t="e">
        <f>VLOOKUP(B9,Transfer!A:U,18,0)</f>
        <v>#N/A</v>
      </c>
      <c r="F9" s="3" t="e">
        <f>VLOOKUP(B9,Transfer!A:H,8,0)</f>
        <v>#N/A</v>
      </c>
      <c r="G9" s="3" t="e">
        <f>VLOOKUP(B9,Transfer!A:I,9,0)</f>
        <v>#N/A</v>
      </c>
      <c r="H9" s="7" t="e">
        <f>VLOOKUP(B9,Transfer!A:K,11,0)</f>
        <v>#N/A</v>
      </c>
      <c r="I9" s="3" t="e">
        <f>VLOOKUP(B9,Transfer!A:J,10,0)</f>
        <v>#N/A</v>
      </c>
      <c r="J9" s="3" t="s">
        <v>7407</v>
      </c>
      <c r="K9" s="3" t="s">
        <v>7403</v>
      </c>
      <c r="L9" s="3" t="str">
        <f>IFERROR(VLOOKUP(B9,Inactive!A:BH,58,0),"Active")</f>
        <v>Active</v>
      </c>
      <c r="M9" s="3" t="e">
        <f>VLOOKUP(B9,Transfer!A:L,12,0)</f>
        <v>#N/A</v>
      </c>
      <c r="N9" s="3" t="e">
        <f>VLOOKUP(B9,Transfer!A:BE,54,0)</f>
        <v>#N/A</v>
      </c>
      <c r="O9" s="3" t="e">
        <f>VLOOKUP(B9,Transfer!A:BF,55,0)</f>
        <v>#N/A</v>
      </c>
      <c r="P9" s="3" t="e">
        <f>VLOOKUP(B9,Transfer!A:BG,56,0)</f>
        <v>#N/A</v>
      </c>
      <c r="Q9" s="3" t="s">
        <v>7404</v>
      </c>
      <c r="R9" s="3">
        <v>22</v>
      </c>
      <c r="S9" s="3"/>
      <c r="T9" s="3"/>
      <c r="U9" s="3"/>
      <c r="V9" s="3" t="e">
        <f>VLOOKUP(B9,MDB!A:M,13,0)</f>
        <v>#N/A</v>
      </c>
      <c r="W9" s="3" t="e">
        <f>VLOOKUP(B9,MDB!A:N,14,0)</f>
        <v>#N/A</v>
      </c>
      <c r="X9" s="3"/>
      <c r="Y9" s="3" t="e">
        <f>VLOOKUP(B9,MDB!A:O,15,0)</f>
        <v>#N/A</v>
      </c>
      <c r="Z9" s="3" t="e">
        <f>VLOOKUP(B9,MDB!A:AO,41,0)</f>
        <v>#N/A</v>
      </c>
      <c r="AA9" s="3" t="e">
        <f>VLOOKUP(B9,MDB!A:AP,42,0)</f>
        <v>#N/A</v>
      </c>
      <c r="AB9" s="3" t="e">
        <f>VLOOKUP(B9,MDB!A:AQ,43,0)</f>
        <v>#N/A</v>
      </c>
      <c r="AC9" s="3"/>
      <c r="AD9" s="3" t="e">
        <f>VLOOKUP(B9,MDB!A:X,24,0)</f>
        <v>#N/A</v>
      </c>
      <c r="AE9" s="3" t="e">
        <f>VLOOKUP(B9,MDB!A:Z,26,0)</f>
        <v>#N/A</v>
      </c>
      <c r="AF9" s="3" t="e">
        <f>VLOOKUP(B9,MDB!A:AA,27,0)</f>
        <v>#N/A</v>
      </c>
      <c r="AG9" s="3" t="e">
        <f>VLOOKUP(B9,MDB!A:E,5,0)</f>
        <v>#N/A</v>
      </c>
      <c r="AH9" s="6" t="e">
        <f>VLOOKUP(B9,MDB!A:AD,30,0)</f>
        <v>#N/A</v>
      </c>
      <c r="AI9" s="3" t="e">
        <f>VLOOKUP(B9,MDB!A:AC,29,0)</f>
        <v>#N/A</v>
      </c>
      <c r="AJ9" s="3" t="e">
        <f>VLOOKUP(B9,MDB!A:AF,32,0)</f>
        <v>#N/A</v>
      </c>
      <c r="AK9" s="16" t="e">
        <f>VLOOKUP(B9,MDB!A:AG,33,0)</f>
        <v>#N/A</v>
      </c>
      <c r="AL9" s="3" t="e">
        <f>VLOOKUP(B9,MDB!A:AH,34,0)</f>
        <v>#N/A</v>
      </c>
      <c r="AM9" s="3" t="e">
        <f>VLOOKUP(B9,MDB!A:AI,35,0)</f>
        <v>#N/A</v>
      </c>
      <c r="AN9" s="3" t="s">
        <v>7405</v>
      </c>
      <c r="AO9" s="3" t="e">
        <f>VLOOKUP(B9,Transfer!A:BM,62,0)</f>
        <v>#N/A</v>
      </c>
      <c r="AP9" s="3" t="e">
        <f>VLOOKUP(B9,Transfer!A:BN,63,0)</f>
        <v>#N/A</v>
      </c>
      <c r="AQ9" s="3" t="e">
        <f>VLOOKUP(B9,Transfer!A:BO,64,0)</f>
        <v>#N/A</v>
      </c>
      <c r="AR9" s="3" t="e">
        <f>VLOOKUP(B9,Transfer!A:BP,65,0)</f>
        <v>#N/A</v>
      </c>
      <c r="AS9" s="3" t="e">
        <f>VLOOKUP(B9,Transfer!A:BQ,66,0)</f>
        <v>#N/A</v>
      </c>
      <c r="AT9" s="3" t="e">
        <f>VLOOKUP(B9,Transfer!A:BR,67,0)</f>
        <v>#N/A</v>
      </c>
      <c r="AU9" s="3" t="e">
        <f>VLOOKUP(B9,Transfer!A:BS,68,0)</f>
        <v>#N/A</v>
      </c>
      <c r="AV9" s="3" t="e">
        <f>VLOOKUP(B9,Transfer!A:BL,61,0)</f>
        <v>#N/A</v>
      </c>
      <c r="AW9" s="6" t="e">
        <f>VLOOKUP(B9,Transfer!A:BT,69,0)</f>
        <v>#N/A</v>
      </c>
      <c r="AX9" s="6" t="e">
        <f>VLOOKUP(B9,Transfer!A:BU,70,0)</f>
        <v>#N/A</v>
      </c>
      <c r="AY9" s="3" t="e">
        <f>VLOOKUP(B9,Transfer!A:BV,72,0)</f>
        <v>#N/A</v>
      </c>
      <c r="AZ9" s="3" t="e">
        <f>VLOOKUP(B9,Transfer!A:BV,74,0)</f>
        <v>#N/A</v>
      </c>
    </row>
    <row r="10">
      <c r="A10" s="3">
        <v>10</v>
      </c>
      <c r="B10" s="10"/>
      <c r="C10" s="5" t="e">
        <f>VLOOKUP(B10,Transfer!A:D,4,0)</f>
        <v>#N/A</v>
      </c>
      <c r="D10" s="3" t="e">
        <f>VLOOKUP(B10,Transfer!A:G,7,0)</f>
        <v>#N/A</v>
      </c>
      <c r="E10" s="6" t="e">
        <f>VLOOKUP(B10,Transfer!A:U,18,0)</f>
        <v>#N/A</v>
      </c>
      <c r="F10" s="3" t="e">
        <f>VLOOKUP(B10,Transfer!A:H,8,0)</f>
        <v>#N/A</v>
      </c>
      <c r="G10" s="3" t="e">
        <f>VLOOKUP(B10,Transfer!A:I,9,0)</f>
        <v>#N/A</v>
      </c>
      <c r="H10" s="7" t="e">
        <f>VLOOKUP(B10,Transfer!A:K,11,0)</f>
        <v>#N/A</v>
      </c>
      <c r="I10" s="3" t="e">
        <f>VLOOKUP(B10,Transfer!A:J,10,0)</f>
        <v>#N/A</v>
      </c>
      <c r="J10" s="3" t="s">
        <v>7407</v>
      </c>
      <c r="K10" s="3" t="s">
        <v>7403</v>
      </c>
      <c r="L10" s="3" t="str">
        <f>IFERROR(VLOOKUP(B10,Inactive!A:BH,58,0),"Active")</f>
        <v>Active</v>
      </c>
      <c r="M10" s="3" t="e">
        <f>VLOOKUP(B10,Transfer!A:L,12,0)</f>
        <v>#N/A</v>
      </c>
      <c r="N10" s="3" t="e">
        <f>VLOOKUP(B10,Transfer!A:BE,54,0)</f>
        <v>#N/A</v>
      </c>
      <c r="O10" s="3" t="e">
        <f>VLOOKUP(B10,Transfer!A:BF,55,0)</f>
        <v>#N/A</v>
      </c>
      <c r="P10" s="3" t="e">
        <f>VLOOKUP(B10,Transfer!A:BG,56,0)</f>
        <v>#N/A</v>
      </c>
      <c r="Q10" s="3" t="s">
        <v>7404</v>
      </c>
      <c r="R10" s="3">
        <v>22</v>
      </c>
      <c r="S10" s="3"/>
      <c r="T10" s="3"/>
      <c r="U10" s="3"/>
      <c r="V10" s="3" t="e">
        <f>VLOOKUP(B10,MDB!A:M,13,0)</f>
        <v>#N/A</v>
      </c>
      <c r="W10" s="3" t="e">
        <f>VLOOKUP(B10,MDB!A:N,14,0)</f>
        <v>#N/A</v>
      </c>
      <c r="X10" s="3"/>
      <c r="Y10" s="3" t="e">
        <f>VLOOKUP(B10,MDB!A:O,15,0)</f>
        <v>#N/A</v>
      </c>
      <c r="Z10" s="3" t="e">
        <f>VLOOKUP(B10,MDB!A:AO,41,0)</f>
        <v>#N/A</v>
      </c>
      <c r="AA10" s="3" t="e">
        <f>VLOOKUP(B10,MDB!A:AP,42,0)</f>
        <v>#N/A</v>
      </c>
      <c r="AB10" s="3" t="e">
        <f>VLOOKUP(B10,MDB!A:AQ,43,0)</f>
        <v>#N/A</v>
      </c>
      <c r="AC10" s="3"/>
      <c r="AD10" s="3" t="e">
        <f>VLOOKUP(B10,MDB!A:X,24,0)</f>
        <v>#N/A</v>
      </c>
      <c r="AE10" s="3" t="e">
        <f>VLOOKUP(B10,MDB!A:Z,26,0)</f>
        <v>#N/A</v>
      </c>
      <c r="AF10" s="3" t="e">
        <f>VLOOKUP(B10,MDB!A:AA,27,0)</f>
        <v>#N/A</v>
      </c>
      <c r="AG10" s="3" t="e">
        <f>VLOOKUP(B10,MDB!A:E,5,0)</f>
        <v>#N/A</v>
      </c>
      <c r="AH10" s="6" t="e">
        <f>VLOOKUP(B10,MDB!A:AD,30,0)</f>
        <v>#N/A</v>
      </c>
      <c r="AI10" s="3" t="e">
        <f>VLOOKUP(B10,MDB!A:AC,29,0)</f>
        <v>#N/A</v>
      </c>
      <c r="AJ10" s="3" t="e">
        <f>VLOOKUP(B10,MDB!A:AF,32,0)</f>
        <v>#N/A</v>
      </c>
      <c r="AK10" s="16" t="e">
        <f>VLOOKUP(B10,MDB!A:AG,33,0)</f>
        <v>#N/A</v>
      </c>
      <c r="AL10" s="3" t="e">
        <f>VLOOKUP(B10,MDB!A:AH,34,0)</f>
        <v>#N/A</v>
      </c>
      <c r="AM10" s="3" t="e">
        <f>VLOOKUP(B10,MDB!A:AI,35,0)</f>
        <v>#N/A</v>
      </c>
      <c r="AN10" s="3" t="s">
        <v>7405</v>
      </c>
      <c r="AO10" s="3" t="e">
        <f>VLOOKUP(B10,Transfer!A:BM,62,0)</f>
        <v>#N/A</v>
      </c>
      <c r="AP10" s="3" t="e">
        <f>VLOOKUP(B10,Transfer!A:BN,63,0)</f>
        <v>#N/A</v>
      </c>
      <c r="AQ10" s="3" t="e">
        <f>VLOOKUP(B10,Transfer!A:BO,64,0)</f>
        <v>#N/A</v>
      </c>
      <c r="AR10" s="3" t="e">
        <f>VLOOKUP(B10,Transfer!A:BP,65,0)</f>
        <v>#N/A</v>
      </c>
      <c r="AS10" s="3" t="e">
        <f>VLOOKUP(B10,Transfer!A:BQ,66,0)</f>
        <v>#N/A</v>
      </c>
      <c r="AT10" s="3" t="e">
        <f>VLOOKUP(B10,Transfer!A:BR,67,0)</f>
        <v>#N/A</v>
      </c>
      <c r="AU10" s="3" t="e">
        <f>VLOOKUP(B10,Transfer!A:BS,68,0)</f>
        <v>#N/A</v>
      </c>
      <c r="AV10" s="3" t="e">
        <f>VLOOKUP(B10,Transfer!A:BL,61,0)</f>
        <v>#N/A</v>
      </c>
      <c r="AW10" s="6" t="e">
        <f>VLOOKUP(B10,Transfer!A:BT,69,0)</f>
        <v>#N/A</v>
      </c>
      <c r="AX10" s="6" t="e">
        <f>VLOOKUP(B10,Transfer!A:BU,70,0)</f>
        <v>#N/A</v>
      </c>
      <c r="AY10" s="3" t="e">
        <f>VLOOKUP(B10,Transfer!A:BV,72,0)</f>
        <v>#N/A</v>
      </c>
      <c r="AZ10" s="3" t="e">
        <f>VLOOKUP(B10,Transfer!A:BV,74,0)</f>
        <v>#N/A</v>
      </c>
    </row>
    <row r="11">
      <c r="A11" s="3">
        <v>11</v>
      </c>
      <c r="B11" s="10"/>
      <c r="C11" s="5" t="e">
        <f>VLOOKUP(B11,Transfer!A:D,4,0)</f>
        <v>#N/A</v>
      </c>
      <c r="D11" s="3" t="e">
        <f>VLOOKUP(B11,Transfer!A:G,7,0)</f>
        <v>#N/A</v>
      </c>
      <c r="E11" s="6" t="e">
        <f>VLOOKUP(B11,Transfer!A:U,18,0)</f>
        <v>#N/A</v>
      </c>
      <c r="F11" s="3" t="e">
        <f>VLOOKUP(B11,Transfer!A:H,8,0)</f>
        <v>#N/A</v>
      </c>
      <c r="G11" s="3" t="e">
        <f>VLOOKUP(B11,Transfer!A:I,9,0)</f>
        <v>#N/A</v>
      </c>
      <c r="H11" s="7" t="e">
        <f>VLOOKUP(B11,Transfer!A:K,11,0)</f>
        <v>#N/A</v>
      </c>
      <c r="I11" s="3" t="e">
        <f>VLOOKUP(B11,Transfer!A:J,10,0)</f>
        <v>#N/A</v>
      </c>
      <c r="J11" s="3" t="s">
        <v>7407</v>
      </c>
      <c r="K11" s="3" t="s">
        <v>7403</v>
      </c>
      <c r="L11" s="3" t="str">
        <f>IFERROR(VLOOKUP(B11,Inactive!A:BH,58,0),"Active")</f>
        <v>Active</v>
      </c>
      <c r="M11" s="3" t="e">
        <f>VLOOKUP(B11,Transfer!A:L,12,0)</f>
        <v>#N/A</v>
      </c>
      <c r="N11" s="3" t="e">
        <f>VLOOKUP(B11,Transfer!A:BE,54,0)</f>
        <v>#N/A</v>
      </c>
      <c r="O11" s="3" t="e">
        <f>VLOOKUP(B11,Transfer!A:BF,55,0)</f>
        <v>#N/A</v>
      </c>
      <c r="P11" s="3" t="e">
        <f>VLOOKUP(B11,Transfer!A:BG,56,0)</f>
        <v>#N/A</v>
      </c>
      <c r="Q11" s="3" t="s">
        <v>7404</v>
      </c>
      <c r="R11" s="3">
        <v>22</v>
      </c>
      <c r="S11" s="3"/>
      <c r="T11" s="3"/>
      <c r="U11" s="3"/>
      <c r="V11" s="3" t="e">
        <f>VLOOKUP(B11,MDB!A:M,13,0)</f>
        <v>#N/A</v>
      </c>
      <c r="W11" s="3" t="e">
        <f>VLOOKUP(B11,MDB!A:N,14,0)</f>
        <v>#N/A</v>
      </c>
      <c r="X11" s="3"/>
      <c r="Y11" s="3" t="e">
        <f>VLOOKUP(B11,MDB!A:O,15,0)</f>
        <v>#N/A</v>
      </c>
      <c r="Z11" s="3" t="e">
        <f>VLOOKUP(B11,MDB!A:AO,41,0)</f>
        <v>#N/A</v>
      </c>
      <c r="AA11" s="3" t="e">
        <f>VLOOKUP(B11,MDB!A:AP,42,0)</f>
        <v>#N/A</v>
      </c>
      <c r="AB11" s="3" t="e">
        <f>VLOOKUP(B11,MDB!A:AQ,43,0)</f>
        <v>#N/A</v>
      </c>
      <c r="AC11" s="3"/>
      <c r="AD11" s="3" t="e">
        <f>VLOOKUP(B11,MDB!A:X,24,0)</f>
        <v>#N/A</v>
      </c>
      <c r="AE11" s="3" t="e">
        <f>VLOOKUP(B11,MDB!A:Z,26,0)</f>
        <v>#N/A</v>
      </c>
      <c r="AF11" s="3" t="e">
        <f>VLOOKUP(B11,MDB!A:AA,27,0)</f>
        <v>#N/A</v>
      </c>
      <c r="AG11" s="3" t="e">
        <f>VLOOKUP(B11,MDB!A:E,5,0)</f>
        <v>#N/A</v>
      </c>
      <c r="AH11" s="6" t="e">
        <f>VLOOKUP(B11,MDB!A:AD,30,0)</f>
        <v>#N/A</v>
      </c>
      <c r="AI11" s="3" t="e">
        <f>VLOOKUP(B11,MDB!A:AC,29,0)</f>
        <v>#N/A</v>
      </c>
      <c r="AJ11" s="3" t="e">
        <f>VLOOKUP(B11,MDB!A:AF,32,0)</f>
        <v>#N/A</v>
      </c>
      <c r="AK11" s="16" t="e">
        <f>VLOOKUP(B11,MDB!A:AG,33,0)</f>
        <v>#N/A</v>
      </c>
      <c r="AL11" s="3" t="e">
        <f>VLOOKUP(B11,MDB!A:AH,34,0)</f>
        <v>#N/A</v>
      </c>
      <c r="AM11" s="3" t="e">
        <f>VLOOKUP(B11,MDB!A:AI,35,0)</f>
        <v>#N/A</v>
      </c>
      <c r="AN11" s="3" t="s">
        <v>7405</v>
      </c>
      <c r="AO11" s="3" t="e">
        <f>VLOOKUP(B11,Transfer!A:BM,62,0)</f>
        <v>#N/A</v>
      </c>
      <c r="AP11" s="3" t="e">
        <f>VLOOKUP(B11,Transfer!A:BN,63,0)</f>
        <v>#N/A</v>
      </c>
      <c r="AQ11" s="3" t="e">
        <f>VLOOKUP(B11,Transfer!A:BO,64,0)</f>
        <v>#N/A</v>
      </c>
      <c r="AR11" s="3" t="e">
        <f>VLOOKUP(B11,Transfer!A:BP,65,0)</f>
        <v>#N/A</v>
      </c>
      <c r="AS11" s="3" t="e">
        <f>VLOOKUP(B11,Transfer!A:BQ,66,0)</f>
        <v>#N/A</v>
      </c>
      <c r="AT11" s="3" t="e">
        <f>VLOOKUP(B11,Transfer!A:BR,67,0)</f>
        <v>#N/A</v>
      </c>
      <c r="AU11" s="3" t="e">
        <f>VLOOKUP(B11,Transfer!A:BS,68,0)</f>
        <v>#N/A</v>
      </c>
      <c r="AV11" s="3" t="e">
        <f>VLOOKUP(B11,Transfer!A:BL,61,0)</f>
        <v>#N/A</v>
      </c>
      <c r="AW11" s="6" t="e">
        <f>VLOOKUP(B11,Transfer!A:BT,69,0)</f>
        <v>#N/A</v>
      </c>
      <c r="AX11" s="6" t="e">
        <f>VLOOKUP(B11,Transfer!A:BU,70,0)</f>
        <v>#N/A</v>
      </c>
      <c r="AY11" s="3" t="e">
        <f>VLOOKUP(B11,Transfer!A:BV,72,0)</f>
        <v>#N/A</v>
      </c>
      <c r="AZ11" s="3" t="e">
        <f>VLOOKUP(B11,Transfer!A:BV,74,0)</f>
        <v>#N/A</v>
      </c>
    </row>
    <row r="12">
      <c r="A12" s="3">
        <v>12</v>
      </c>
      <c r="B12" s="11"/>
      <c r="C12" s="5" t="e">
        <f>VLOOKUP(B12,Transfer!A:D,4,0)</f>
        <v>#N/A</v>
      </c>
      <c r="D12" s="3" t="e">
        <f>VLOOKUP(B12,Transfer!A:G,7,0)</f>
        <v>#N/A</v>
      </c>
      <c r="E12" s="6" t="e">
        <f>VLOOKUP(B12,Transfer!A:U,18,0)</f>
        <v>#N/A</v>
      </c>
      <c r="F12" s="3" t="e">
        <f>VLOOKUP(B12,Transfer!A:H,8,0)</f>
        <v>#N/A</v>
      </c>
      <c r="G12" s="3" t="e">
        <f>VLOOKUP(B12,Transfer!A:I,9,0)</f>
        <v>#N/A</v>
      </c>
      <c r="H12" s="7" t="e">
        <f>VLOOKUP(B12,Transfer!A:K,11,0)</f>
        <v>#N/A</v>
      </c>
      <c r="I12" s="3" t="e">
        <f>VLOOKUP(B12,Transfer!A:J,10,0)</f>
        <v>#N/A</v>
      </c>
      <c r="J12" s="3" t="s">
        <v>7407</v>
      </c>
      <c r="K12" s="3" t="s">
        <v>7403</v>
      </c>
      <c r="L12" s="3" t="str">
        <f>IFERROR(VLOOKUP(B12,Inactive!A:BH,58,0),"Active")</f>
        <v>Active</v>
      </c>
      <c r="M12" s="3" t="e">
        <f>VLOOKUP(B12,Transfer!A:L,12,0)</f>
        <v>#N/A</v>
      </c>
      <c r="N12" s="3" t="e">
        <f>VLOOKUP(B12,Transfer!A:BE,54,0)</f>
        <v>#N/A</v>
      </c>
      <c r="O12" s="3" t="e">
        <f>VLOOKUP(B12,Transfer!A:BF,55,0)</f>
        <v>#N/A</v>
      </c>
      <c r="P12" s="3" t="e">
        <f>VLOOKUP(B12,Transfer!A:BG,56,0)</f>
        <v>#N/A</v>
      </c>
      <c r="Q12" s="3" t="s">
        <v>7404</v>
      </c>
      <c r="R12" s="3">
        <v>22</v>
      </c>
      <c r="S12" s="3"/>
      <c r="T12" s="3"/>
      <c r="U12" s="3"/>
      <c r="V12" s="3" t="e">
        <f>VLOOKUP(B12,MDB!A:M,13,0)</f>
        <v>#N/A</v>
      </c>
      <c r="W12" s="3" t="e">
        <f>VLOOKUP(B12,MDB!A:N,14,0)</f>
        <v>#N/A</v>
      </c>
      <c r="X12" s="3"/>
      <c r="Y12" s="3" t="e">
        <f>VLOOKUP(B12,MDB!A:O,15,0)</f>
        <v>#N/A</v>
      </c>
      <c r="Z12" s="3" t="e">
        <f>VLOOKUP(B12,MDB!A:AO,41,0)</f>
        <v>#N/A</v>
      </c>
      <c r="AA12" s="3" t="e">
        <f>VLOOKUP(B12,MDB!A:AP,42,0)</f>
        <v>#N/A</v>
      </c>
      <c r="AB12" s="3" t="e">
        <f>VLOOKUP(B12,MDB!A:AQ,43,0)</f>
        <v>#N/A</v>
      </c>
      <c r="AC12" s="3"/>
      <c r="AD12" s="3" t="e">
        <f>VLOOKUP(B12,MDB!A:X,24,0)</f>
        <v>#N/A</v>
      </c>
      <c r="AE12" s="3" t="e">
        <f>VLOOKUP(B12,MDB!A:Z,26,0)</f>
        <v>#N/A</v>
      </c>
      <c r="AF12" s="3" t="e">
        <f>VLOOKUP(B12,MDB!A:AA,27,0)</f>
        <v>#N/A</v>
      </c>
      <c r="AG12" s="3" t="e">
        <f>VLOOKUP(B12,MDB!A:E,5,0)</f>
        <v>#N/A</v>
      </c>
      <c r="AH12" s="6" t="e">
        <f>VLOOKUP(B12,MDB!A:AD,30,0)</f>
        <v>#N/A</v>
      </c>
      <c r="AI12" s="3" t="e">
        <f>VLOOKUP(B12,MDB!A:AC,29,0)</f>
        <v>#N/A</v>
      </c>
      <c r="AJ12" s="3" t="e">
        <f>VLOOKUP(B12,MDB!A:AF,32,0)</f>
        <v>#N/A</v>
      </c>
      <c r="AK12" s="16" t="e">
        <f>VLOOKUP(B12,MDB!A:AG,33,0)</f>
        <v>#N/A</v>
      </c>
      <c r="AL12" s="3" t="e">
        <f>VLOOKUP(B12,MDB!A:AH,34,0)</f>
        <v>#N/A</v>
      </c>
      <c r="AM12" s="3" t="e">
        <f>VLOOKUP(B12,MDB!A:AI,35,0)</f>
        <v>#N/A</v>
      </c>
      <c r="AN12" s="3" t="s">
        <v>7405</v>
      </c>
      <c r="AO12" s="3" t="e">
        <f>VLOOKUP(B12,Transfer!A:BM,62,0)</f>
        <v>#N/A</v>
      </c>
      <c r="AP12" s="3" t="e">
        <f>VLOOKUP(B12,Transfer!A:BN,63,0)</f>
        <v>#N/A</v>
      </c>
      <c r="AQ12" s="3" t="e">
        <f>VLOOKUP(B12,Transfer!A:BO,64,0)</f>
        <v>#N/A</v>
      </c>
      <c r="AR12" s="3" t="e">
        <f>VLOOKUP(B12,Transfer!A:BP,65,0)</f>
        <v>#N/A</v>
      </c>
      <c r="AS12" s="3" t="e">
        <f>VLOOKUP(B12,Transfer!A:BQ,66,0)</f>
        <v>#N/A</v>
      </c>
      <c r="AT12" s="3" t="e">
        <f>VLOOKUP(B12,Transfer!A:BR,67,0)</f>
        <v>#N/A</v>
      </c>
      <c r="AU12" s="3" t="e">
        <f>VLOOKUP(B12,Transfer!A:BS,68,0)</f>
        <v>#N/A</v>
      </c>
      <c r="AV12" s="3" t="e">
        <f>VLOOKUP(B12,Transfer!A:BL,61,0)</f>
        <v>#N/A</v>
      </c>
      <c r="AW12" s="6" t="e">
        <f>VLOOKUP(B12,Transfer!A:BT,69,0)</f>
        <v>#N/A</v>
      </c>
      <c r="AX12" s="6" t="e">
        <f>VLOOKUP(B12,Transfer!A:BU,70,0)</f>
        <v>#N/A</v>
      </c>
      <c r="AY12" s="3" t="e">
        <f>VLOOKUP(B12,Transfer!A:BV,72,0)</f>
        <v>#N/A</v>
      </c>
      <c r="AZ12" s="3" t="e">
        <f>VLOOKUP(B12,Transfer!A:BV,74,0)</f>
        <v>#N/A</v>
      </c>
    </row>
    <row r="13">
      <c r="A13" s="3">
        <v>13</v>
      </c>
      <c r="B13" s="11"/>
      <c r="C13" s="5" t="e">
        <f>VLOOKUP(B13,Transfer!A:D,4,0)</f>
        <v>#N/A</v>
      </c>
      <c r="D13" s="3" t="e">
        <f>VLOOKUP(B13,Transfer!A:G,7,0)</f>
        <v>#N/A</v>
      </c>
      <c r="E13" s="6" t="e">
        <f>VLOOKUP(B13,Transfer!A:U,18,0)</f>
        <v>#N/A</v>
      </c>
      <c r="F13" s="3" t="e">
        <f>VLOOKUP(B13,Transfer!A:H,8,0)</f>
        <v>#N/A</v>
      </c>
      <c r="G13" s="3" t="e">
        <f>VLOOKUP(B13,Transfer!A:I,9,0)</f>
        <v>#N/A</v>
      </c>
      <c r="H13" s="7" t="e">
        <f>VLOOKUP(B13,Transfer!A:K,11,0)</f>
        <v>#N/A</v>
      </c>
      <c r="I13" s="3" t="e">
        <f>VLOOKUP(B13,Transfer!A:J,10,0)</f>
        <v>#N/A</v>
      </c>
      <c r="J13" s="3" t="s">
        <v>7407</v>
      </c>
      <c r="K13" s="3" t="s">
        <v>7403</v>
      </c>
      <c r="L13" s="3" t="str">
        <f>IFERROR(VLOOKUP(B13,Inactive!A:BH,58,0),"Active")</f>
        <v>Active</v>
      </c>
      <c r="M13" s="3" t="e">
        <f>VLOOKUP(B13,Transfer!A:L,12,0)</f>
        <v>#N/A</v>
      </c>
      <c r="N13" s="3" t="e">
        <f>VLOOKUP(B13,Transfer!A:BE,54,0)</f>
        <v>#N/A</v>
      </c>
      <c r="O13" s="3" t="e">
        <f>VLOOKUP(B13,Transfer!A:BF,55,0)</f>
        <v>#N/A</v>
      </c>
      <c r="P13" s="3" t="e">
        <f>VLOOKUP(B13,Transfer!A:BG,56,0)</f>
        <v>#N/A</v>
      </c>
      <c r="Q13" s="3" t="s">
        <v>7404</v>
      </c>
      <c r="R13" s="3">
        <v>22</v>
      </c>
      <c r="S13" s="3"/>
      <c r="T13" s="3"/>
      <c r="U13" s="3"/>
      <c r="V13" s="3" t="e">
        <f>VLOOKUP(B13,MDB!A:M,13,0)</f>
        <v>#N/A</v>
      </c>
      <c r="W13" s="3" t="e">
        <f>VLOOKUP(B13,MDB!A:N,14,0)</f>
        <v>#N/A</v>
      </c>
      <c r="X13" s="3"/>
      <c r="Y13" s="3" t="e">
        <f>VLOOKUP(B13,MDB!A:O,15,0)</f>
        <v>#N/A</v>
      </c>
      <c r="Z13" s="3" t="e">
        <f>VLOOKUP(B13,MDB!A:AO,41,0)</f>
        <v>#N/A</v>
      </c>
      <c r="AA13" s="3" t="e">
        <f>VLOOKUP(B13,MDB!A:AP,42,0)</f>
        <v>#N/A</v>
      </c>
      <c r="AB13" s="3" t="e">
        <f>VLOOKUP(B13,MDB!A:AQ,43,0)</f>
        <v>#N/A</v>
      </c>
      <c r="AC13" s="3"/>
      <c r="AD13" s="3" t="e">
        <f>VLOOKUP(B13,MDB!A:X,24,0)</f>
        <v>#N/A</v>
      </c>
      <c r="AE13" s="3" t="e">
        <f>VLOOKUP(B13,MDB!A:Z,26,0)</f>
        <v>#N/A</v>
      </c>
      <c r="AF13" s="3" t="e">
        <f>VLOOKUP(B13,MDB!A:AA,27,0)</f>
        <v>#N/A</v>
      </c>
      <c r="AG13" s="3" t="e">
        <f>VLOOKUP(B13,MDB!A:E,5,0)</f>
        <v>#N/A</v>
      </c>
      <c r="AH13" s="6" t="e">
        <f>VLOOKUP(B13,MDB!A:AD,30,0)</f>
        <v>#N/A</v>
      </c>
      <c r="AI13" s="3" t="e">
        <f>VLOOKUP(B13,MDB!A:AC,29,0)</f>
        <v>#N/A</v>
      </c>
      <c r="AJ13" s="3" t="e">
        <f>VLOOKUP(B13,MDB!A:AF,32,0)</f>
        <v>#N/A</v>
      </c>
      <c r="AK13" s="16" t="e">
        <f>VLOOKUP(B13,MDB!A:AG,33,0)</f>
        <v>#N/A</v>
      </c>
      <c r="AL13" s="3" t="e">
        <f>VLOOKUP(B13,MDB!A:AH,34,0)</f>
        <v>#N/A</v>
      </c>
      <c r="AM13" s="3" t="e">
        <f>VLOOKUP(B13,MDB!A:AI,35,0)</f>
        <v>#N/A</v>
      </c>
      <c r="AN13" s="3" t="s">
        <v>7405</v>
      </c>
      <c r="AO13" s="3" t="e">
        <f>VLOOKUP(B13,Transfer!A:BM,62,0)</f>
        <v>#N/A</v>
      </c>
      <c r="AP13" s="3" t="e">
        <f>VLOOKUP(B13,Transfer!A:BN,63,0)</f>
        <v>#N/A</v>
      </c>
      <c r="AQ13" s="3" t="e">
        <f>VLOOKUP(B13,Transfer!A:BO,64,0)</f>
        <v>#N/A</v>
      </c>
      <c r="AR13" s="3" t="e">
        <f>VLOOKUP(B13,Transfer!A:BP,65,0)</f>
        <v>#N/A</v>
      </c>
      <c r="AS13" s="3" t="e">
        <f>VLOOKUP(B13,Transfer!A:BQ,66,0)</f>
        <v>#N/A</v>
      </c>
      <c r="AT13" s="3" t="e">
        <f>VLOOKUP(B13,Transfer!A:BR,67,0)</f>
        <v>#N/A</v>
      </c>
      <c r="AU13" s="3" t="e">
        <f>VLOOKUP(B13,Transfer!A:BS,68,0)</f>
        <v>#N/A</v>
      </c>
      <c r="AV13" s="3" t="e">
        <f>VLOOKUP(B13,Transfer!A:BL,61,0)</f>
        <v>#N/A</v>
      </c>
      <c r="AW13" s="6" t="e">
        <f>VLOOKUP(B13,Transfer!A:BT,69,0)</f>
        <v>#N/A</v>
      </c>
      <c r="AX13" s="6" t="e">
        <f>VLOOKUP(B13,Transfer!A:BU,70,0)</f>
        <v>#N/A</v>
      </c>
      <c r="AY13" s="3" t="e">
        <f>VLOOKUP(B13,Transfer!A:BV,72,0)</f>
        <v>#N/A</v>
      </c>
      <c r="AZ13" s="3" t="e">
        <f>VLOOKUP(B13,Transfer!A:BV,74,0)</f>
        <v>#N/A</v>
      </c>
    </row>
    <row r="14">
      <c r="A14" s="3">
        <v>14</v>
      </c>
      <c r="B14" s="9"/>
      <c r="C14" s="5" t="e">
        <f>VLOOKUP(B14,Transfer!A:D,4,0)</f>
        <v>#N/A</v>
      </c>
      <c r="D14" s="3" t="e">
        <f>VLOOKUP(B14,Transfer!A:G,7,0)</f>
        <v>#N/A</v>
      </c>
      <c r="E14" s="6" t="e">
        <f>VLOOKUP(B14,Transfer!A:U,18,0)</f>
        <v>#N/A</v>
      </c>
      <c r="F14" s="3" t="e">
        <f>VLOOKUP(B14,Transfer!A:H,8,0)</f>
        <v>#N/A</v>
      </c>
      <c r="G14" s="3" t="e">
        <f>VLOOKUP(B14,Transfer!A:I,9,0)</f>
        <v>#N/A</v>
      </c>
      <c r="H14" s="7" t="e">
        <f>VLOOKUP(B14,Transfer!A:K,11,0)</f>
        <v>#N/A</v>
      </c>
      <c r="I14" s="3" t="e">
        <f>VLOOKUP(B14,Transfer!A:J,10,0)</f>
        <v>#N/A</v>
      </c>
      <c r="J14" s="3" t="s">
        <v>7407</v>
      </c>
      <c r="K14" s="3" t="s">
        <v>7403</v>
      </c>
      <c r="L14" s="3" t="str">
        <f>IFERROR(VLOOKUP(B14,Inactive!A:BH,58,0),"Active")</f>
        <v>Active</v>
      </c>
      <c r="M14" s="3" t="e">
        <f>VLOOKUP(B14,Transfer!A:L,12,0)</f>
        <v>#N/A</v>
      </c>
      <c r="N14" s="3" t="e">
        <f>VLOOKUP(B14,Transfer!A:BE,54,0)</f>
        <v>#N/A</v>
      </c>
      <c r="O14" s="3" t="e">
        <f>VLOOKUP(B14,Transfer!A:BF,55,0)</f>
        <v>#N/A</v>
      </c>
      <c r="P14" s="3" t="e">
        <f>VLOOKUP(B14,Transfer!A:BG,56,0)</f>
        <v>#N/A</v>
      </c>
      <c r="Q14" s="3" t="s">
        <v>7404</v>
      </c>
      <c r="R14" s="3">
        <v>22</v>
      </c>
      <c r="S14" s="3"/>
      <c r="T14" s="3"/>
      <c r="U14" s="3"/>
      <c r="V14" s="3" t="e">
        <f>VLOOKUP(B14,MDB!A:M,13,0)</f>
        <v>#N/A</v>
      </c>
      <c r="W14" s="3" t="e">
        <f>VLOOKUP(B14,MDB!A:N,14,0)</f>
        <v>#N/A</v>
      </c>
      <c r="X14" s="3"/>
      <c r="Y14" s="3" t="e">
        <f>VLOOKUP(B14,MDB!A:O,15,0)</f>
        <v>#N/A</v>
      </c>
      <c r="Z14" s="3" t="e">
        <f>VLOOKUP(B14,MDB!A:AO,41,0)</f>
        <v>#N/A</v>
      </c>
      <c r="AA14" s="3" t="e">
        <f>VLOOKUP(B14,MDB!A:AP,42,0)</f>
        <v>#N/A</v>
      </c>
      <c r="AB14" s="3" t="e">
        <f>VLOOKUP(B14,MDB!A:AQ,43,0)</f>
        <v>#N/A</v>
      </c>
      <c r="AC14" s="3"/>
      <c r="AD14" s="3" t="e">
        <f>VLOOKUP(B14,MDB!A:X,24,0)</f>
        <v>#N/A</v>
      </c>
      <c r="AE14" s="3" t="e">
        <f>VLOOKUP(B14,MDB!A:Z,26,0)</f>
        <v>#N/A</v>
      </c>
      <c r="AF14" s="3" t="e">
        <f>VLOOKUP(B14,MDB!A:AA,27,0)</f>
        <v>#N/A</v>
      </c>
      <c r="AG14" s="3" t="e">
        <f>VLOOKUP(B14,MDB!A:E,5,0)</f>
        <v>#N/A</v>
      </c>
      <c r="AH14" s="6" t="e">
        <f>VLOOKUP(B14,MDB!A:AD,30,0)</f>
        <v>#N/A</v>
      </c>
      <c r="AI14" s="3" t="e">
        <f>VLOOKUP(B14,MDB!A:AC,29,0)</f>
        <v>#N/A</v>
      </c>
      <c r="AJ14" s="3" t="e">
        <f>VLOOKUP(B14,MDB!A:AF,32,0)</f>
        <v>#N/A</v>
      </c>
      <c r="AK14" s="16" t="e">
        <f>VLOOKUP(B14,MDB!A:AG,33,0)</f>
        <v>#N/A</v>
      </c>
      <c r="AL14" s="3" t="e">
        <f>VLOOKUP(B14,MDB!A:AH,34,0)</f>
        <v>#N/A</v>
      </c>
      <c r="AM14" s="3" t="e">
        <f>VLOOKUP(B14,MDB!A:AI,35,0)</f>
        <v>#N/A</v>
      </c>
      <c r="AN14" s="3" t="s">
        <v>7405</v>
      </c>
      <c r="AO14" s="3" t="e">
        <f>VLOOKUP(B14,Transfer!A:BM,62,0)</f>
        <v>#N/A</v>
      </c>
      <c r="AP14" s="3" t="e">
        <f>VLOOKUP(B14,Transfer!A:BN,63,0)</f>
        <v>#N/A</v>
      </c>
      <c r="AQ14" s="3" t="e">
        <f>VLOOKUP(B14,Transfer!A:BO,64,0)</f>
        <v>#N/A</v>
      </c>
      <c r="AR14" s="3" t="e">
        <f>VLOOKUP(B14,Transfer!A:BP,65,0)</f>
        <v>#N/A</v>
      </c>
      <c r="AS14" s="3" t="e">
        <f>VLOOKUP(B14,Transfer!A:BQ,66,0)</f>
        <v>#N/A</v>
      </c>
      <c r="AT14" s="3" t="e">
        <f>VLOOKUP(B14,Transfer!A:BR,67,0)</f>
        <v>#N/A</v>
      </c>
      <c r="AU14" s="3" t="e">
        <f>VLOOKUP(B14,Transfer!A:BS,68,0)</f>
        <v>#N/A</v>
      </c>
      <c r="AV14" s="3" t="e">
        <f>VLOOKUP(B14,Transfer!A:BL,61,0)</f>
        <v>#N/A</v>
      </c>
      <c r="AW14" s="6" t="e">
        <f>VLOOKUP(B14,Transfer!A:BT,69,0)</f>
        <v>#N/A</v>
      </c>
      <c r="AX14" s="6" t="e">
        <f>VLOOKUP(B14,Transfer!A:BU,70,0)</f>
        <v>#N/A</v>
      </c>
      <c r="AY14" s="3" t="e">
        <f>VLOOKUP(B14,Transfer!A:BV,72,0)</f>
        <v>#N/A</v>
      </c>
      <c r="AZ14" s="3" t="e">
        <f>VLOOKUP(B14,Transfer!A:BV,74,0)</f>
        <v>#N/A</v>
      </c>
    </row>
    <row r="15">
      <c r="A15" s="3">
        <v>18</v>
      </c>
      <c r="B15" s="9"/>
      <c r="C15" s="5" t="e">
        <f>VLOOKUP(B15,Transfer!A:D,4,0)</f>
        <v>#N/A</v>
      </c>
      <c r="D15" s="3" t="e">
        <f>VLOOKUP(B15,Transfer!A:G,7,0)</f>
        <v>#N/A</v>
      </c>
      <c r="E15" s="6" t="e">
        <f>VLOOKUP(B15,Transfer!A:U,18,0)</f>
        <v>#N/A</v>
      </c>
      <c r="F15" s="3" t="e">
        <f>VLOOKUP(B15,Transfer!A:H,8,0)</f>
        <v>#N/A</v>
      </c>
      <c r="G15" s="3" t="e">
        <f>VLOOKUP(B15,Transfer!A:I,9,0)</f>
        <v>#N/A</v>
      </c>
      <c r="H15" s="7" t="e">
        <f>VLOOKUP(B15,Transfer!A:K,11,0)</f>
        <v>#N/A</v>
      </c>
      <c r="I15" s="3" t="e">
        <f>VLOOKUP(B15,Transfer!A:J,10,0)</f>
        <v>#N/A</v>
      </c>
      <c r="J15" s="3" t="s">
        <v>7407</v>
      </c>
      <c r="K15" s="3" t="s">
        <v>7403</v>
      </c>
      <c r="L15" s="3" t="str">
        <f>IFERROR(VLOOKUP(B15,Inactive!A:BH,58,0),"Active")</f>
        <v>Active</v>
      </c>
      <c r="M15" s="3" t="e">
        <f>VLOOKUP(B15,Transfer!A:L,12,0)</f>
        <v>#N/A</v>
      </c>
      <c r="N15" s="3" t="e">
        <f>VLOOKUP(B15,Transfer!A:BE,54,0)</f>
        <v>#N/A</v>
      </c>
      <c r="O15" s="3" t="e">
        <f>VLOOKUP(B15,Transfer!A:BF,55,0)</f>
        <v>#N/A</v>
      </c>
      <c r="P15" s="3" t="e">
        <f>VLOOKUP(B15,Transfer!A:BG,56,0)</f>
        <v>#N/A</v>
      </c>
      <c r="Q15" s="3" t="s">
        <v>7404</v>
      </c>
      <c r="R15" s="3">
        <v>22</v>
      </c>
      <c r="S15" s="3"/>
      <c r="T15" s="3"/>
      <c r="U15" s="3"/>
      <c r="V15" s="3" t="e">
        <f>VLOOKUP(B15,MDB!A:M,13,0)</f>
        <v>#N/A</v>
      </c>
      <c r="W15" s="3" t="e">
        <f>VLOOKUP(B15,MDB!A:N,14,0)</f>
        <v>#N/A</v>
      </c>
      <c r="X15" s="3"/>
      <c r="Y15" s="3" t="e">
        <f>VLOOKUP(B15,MDB!A:O,15,0)</f>
        <v>#N/A</v>
      </c>
      <c r="Z15" s="3" t="e">
        <f>VLOOKUP(B15,MDB!A:AO,41,0)</f>
        <v>#N/A</v>
      </c>
      <c r="AA15" s="3" t="e">
        <f>VLOOKUP(B15,MDB!A:AP,42,0)</f>
        <v>#N/A</v>
      </c>
      <c r="AB15" s="3" t="e">
        <f>VLOOKUP(B15,MDB!A:AQ,43,0)</f>
        <v>#N/A</v>
      </c>
      <c r="AC15" s="3"/>
      <c r="AD15" s="3" t="e">
        <f>VLOOKUP(B15,MDB!A:X,24,0)</f>
        <v>#N/A</v>
      </c>
      <c r="AE15" s="3" t="e">
        <f>VLOOKUP(B15,MDB!A:Z,26,0)</f>
        <v>#N/A</v>
      </c>
      <c r="AF15" s="3" t="e">
        <f>VLOOKUP(B15,MDB!A:AA,27,0)</f>
        <v>#N/A</v>
      </c>
      <c r="AG15" s="3" t="e">
        <f>VLOOKUP(B15,MDB!A:E,5,0)</f>
        <v>#N/A</v>
      </c>
      <c r="AH15" s="6" t="e">
        <f>VLOOKUP(B15,MDB!A:AD,30,0)</f>
        <v>#N/A</v>
      </c>
      <c r="AI15" s="3" t="e">
        <f>VLOOKUP(B15,MDB!A:AC,29,0)</f>
        <v>#N/A</v>
      </c>
      <c r="AJ15" s="3" t="e">
        <f>VLOOKUP(B15,MDB!A:AF,32,0)</f>
        <v>#N/A</v>
      </c>
      <c r="AK15" s="16" t="e">
        <f>VLOOKUP(B15,MDB!A:AG,33,0)</f>
        <v>#N/A</v>
      </c>
      <c r="AL15" s="3" t="e">
        <f>VLOOKUP(B15,MDB!A:AH,34,0)</f>
        <v>#N/A</v>
      </c>
      <c r="AM15" s="3" t="e">
        <f>VLOOKUP(B15,MDB!A:AI,35,0)</f>
        <v>#N/A</v>
      </c>
      <c r="AN15" s="3" t="s">
        <v>7405</v>
      </c>
      <c r="AO15" s="3" t="e">
        <f>VLOOKUP(B15,Transfer!A:BM,62,0)</f>
        <v>#N/A</v>
      </c>
      <c r="AP15" s="3" t="e">
        <f>VLOOKUP(B15,Transfer!A:BN,63,0)</f>
        <v>#N/A</v>
      </c>
      <c r="AQ15" s="3" t="e">
        <f>VLOOKUP(B15,Transfer!A:BO,64,0)</f>
        <v>#N/A</v>
      </c>
      <c r="AR15" s="3" t="e">
        <f>VLOOKUP(B15,Transfer!A:BP,65,0)</f>
        <v>#N/A</v>
      </c>
      <c r="AS15" s="3" t="e">
        <f>VLOOKUP(B15,Transfer!A:BQ,66,0)</f>
        <v>#N/A</v>
      </c>
      <c r="AT15" s="3" t="e">
        <f>VLOOKUP(B15,Transfer!A:BR,67,0)</f>
        <v>#N/A</v>
      </c>
      <c r="AU15" s="3" t="e">
        <f>VLOOKUP(B15,Transfer!A:BS,68,0)</f>
        <v>#N/A</v>
      </c>
      <c r="AV15" s="3" t="e">
        <f>VLOOKUP(B15,Transfer!A:BL,61,0)</f>
        <v>#N/A</v>
      </c>
      <c r="AW15" s="6" t="e">
        <f>VLOOKUP(B15,Transfer!A:BT,69,0)</f>
        <v>#N/A</v>
      </c>
      <c r="AX15" s="6" t="e">
        <f>VLOOKUP(B15,Transfer!A:BU,70,0)</f>
        <v>#N/A</v>
      </c>
      <c r="AY15" s="3" t="e">
        <f>VLOOKUP(B15,Transfer!A:BV,72,0)</f>
        <v>#N/A</v>
      </c>
      <c r="AZ15" s="3" t="e">
        <f>VLOOKUP(B15,Transfer!A:BV,74,0)</f>
        <v>#N/A</v>
      </c>
    </row>
    <row r="16">
      <c r="A16" s="3">
        <v>19</v>
      </c>
      <c r="B16" s="9"/>
      <c r="C16" s="5" t="e">
        <f>VLOOKUP(B16,Transfer!A:D,4,0)</f>
        <v>#N/A</v>
      </c>
      <c r="D16" s="3" t="e">
        <f>VLOOKUP(B16,Transfer!A:G,7,0)</f>
        <v>#N/A</v>
      </c>
      <c r="E16" s="6" t="e">
        <f>VLOOKUP(B16,Transfer!A:U,18,0)</f>
        <v>#N/A</v>
      </c>
      <c r="F16" s="3" t="e">
        <f>VLOOKUP(B16,Transfer!A:H,8,0)</f>
        <v>#N/A</v>
      </c>
      <c r="G16" s="3" t="e">
        <f>VLOOKUP(B16,Transfer!A:I,9,0)</f>
        <v>#N/A</v>
      </c>
      <c r="H16" s="7" t="e">
        <f>VLOOKUP(B16,Transfer!A:K,11,0)</f>
        <v>#N/A</v>
      </c>
      <c r="I16" s="3" t="e">
        <f>VLOOKUP(B16,Transfer!A:J,10,0)</f>
        <v>#N/A</v>
      </c>
      <c r="J16" s="3" t="s">
        <v>7407</v>
      </c>
      <c r="K16" s="3" t="s">
        <v>7403</v>
      </c>
      <c r="L16" s="3" t="str">
        <f>IFERROR(VLOOKUP(B16,Inactive!A:BH,58,0),"Active")</f>
        <v>Active</v>
      </c>
      <c r="M16" s="3" t="e">
        <f>VLOOKUP(B16,Transfer!A:L,12,0)</f>
        <v>#N/A</v>
      </c>
      <c r="N16" s="3" t="e">
        <f>VLOOKUP(B16,Transfer!A:BE,54,0)</f>
        <v>#N/A</v>
      </c>
      <c r="O16" s="3" t="e">
        <f>VLOOKUP(B16,Transfer!A:BF,55,0)</f>
        <v>#N/A</v>
      </c>
      <c r="P16" s="3" t="e">
        <f>VLOOKUP(B16,Transfer!A:BG,56,0)</f>
        <v>#N/A</v>
      </c>
      <c r="Q16" s="3" t="s">
        <v>7404</v>
      </c>
      <c r="R16" s="3">
        <v>22</v>
      </c>
      <c r="S16" s="3"/>
      <c r="T16" s="3"/>
      <c r="U16" s="3"/>
      <c r="V16" s="3" t="e">
        <f>VLOOKUP(B16,MDB!A:M,13,0)</f>
        <v>#N/A</v>
      </c>
      <c r="W16" s="3" t="e">
        <f>VLOOKUP(B16,MDB!A:N,14,0)</f>
        <v>#N/A</v>
      </c>
      <c r="X16" s="3"/>
      <c r="Y16" s="3" t="e">
        <f>VLOOKUP(B16,MDB!A:O,15,0)</f>
        <v>#N/A</v>
      </c>
      <c r="Z16" s="3" t="e">
        <f>VLOOKUP(B16,MDB!A:AO,41,0)</f>
        <v>#N/A</v>
      </c>
      <c r="AA16" s="3" t="e">
        <f>VLOOKUP(B16,MDB!A:AP,42,0)</f>
        <v>#N/A</v>
      </c>
      <c r="AB16" s="3" t="e">
        <f>VLOOKUP(B16,MDB!A:AQ,43,0)</f>
        <v>#N/A</v>
      </c>
      <c r="AC16" s="3"/>
      <c r="AD16" s="3" t="e">
        <f>VLOOKUP(B16,MDB!A:X,24,0)</f>
        <v>#N/A</v>
      </c>
      <c r="AE16" s="3" t="e">
        <f>VLOOKUP(B16,MDB!A:Z,26,0)</f>
        <v>#N/A</v>
      </c>
      <c r="AF16" s="3" t="e">
        <f>VLOOKUP(B16,MDB!A:AA,27,0)</f>
        <v>#N/A</v>
      </c>
      <c r="AG16" s="3" t="e">
        <f>VLOOKUP(B16,MDB!A:E,5,0)</f>
        <v>#N/A</v>
      </c>
      <c r="AH16" s="6" t="e">
        <f>VLOOKUP(B16,MDB!A:AD,30,0)</f>
        <v>#N/A</v>
      </c>
      <c r="AI16" s="3" t="e">
        <f>VLOOKUP(B16,MDB!A:AC,29,0)</f>
        <v>#N/A</v>
      </c>
      <c r="AJ16" s="3" t="e">
        <f>VLOOKUP(B16,MDB!A:AF,32,0)</f>
        <v>#N/A</v>
      </c>
      <c r="AK16" s="16" t="e">
        <f>VLOOKUP(B16,MDB!A:AG,33,0)</f>
        <v>#N/A</v>
      </c>
      <c r="AL16" s="3" t="e">
        <f>VLOOKUP(B16,MDB!A:AH,34,0)</f>
        <v>#N/A</v>
      </c>
      <c r="AM16" s="3" t="e">
        <f>VLOOKUP(B16,MDB!A:AI,35,0)</f>
        <v>#N/A</v>
      </c>
      <c r="AN16" s="3" t="s">
        <v>7405</v>
      </c>
      <c r="AO16" s="3" t="e">
        <f>VLOOKUP(B16,Transfer!A:BM,62,0)</f>
        <v>#N/A</v>
      </c>
      <c r="AP16" s="3" t="e">
        <f>VLOOKUP(B16,Transfer!A:BN,63,0)</f>
        <v>#N/A</v>
      </c>
      <c r="AQ16" s="3" t="e">
        <f>VLOOKUP(B16,Transfer!A:BO,64,0)</f>
        <v>#N/A</v>
      </c>
      <c r="AR16" s="3" t="e">
        <f>VLOOKUP(B16,Transfer!A:BP,65,0)</f>
        <v>#N/A</v>
      </c>
      <c r="AS16" s="3" t="e">
        <f>VLOOKUP(B16,Transfer!A:BQ,66,0)</f>
        <v>#N/A</v>
      </c>
      <c r="AT16" s="3" t="e">
        <f>VLOOKUP(B16,Transfer!A:BR,67,0)</f>
        <v>#N/A</v>
      </c>
      <c r="AU16" s="3" t="e">
        <f>VLOOKUP(B16,Transfer!A:BS,68,0)</f>
        <v>#N/A</v>
      </c>
      <c r="AV16" s="3" t="e">
        <f>VLOOKUP(B16,Transfer!A:BL,61,0)</f>
        <v>#N/A</v>
      </c>
      <c r="AW16" s="6" t="e">
        <f>VLOOKUP(B16,Transfer!A:BT,69,0)</f>
        <v>#N/A</v>
      </c>
      <c r="AX16" s="6" t="e">
        <f>VLOOKUP(B16,Transfer!A:BU,70,0)</f>
        <v>#N/A</v>
      </c>
      <c r="AY16" s="3" t="e">
        <f>VLOOKUP(B16,Transfer!A:BV,72,0)</f>
        <v>#N/A</v>
      </c>
      <c r="AZ16" s="3" t="e">
        <f>VLOOKUP(B16,Transfer!A:BV,74,0)</f>
        <v>#N/A</v>
      </c>
    </row>
    <row r="17">
      <c r="A17" s="3">
        <v>20</v>
      </c>
      <c r="B17" s="9"/>
      <c r="C17" s="5" t="e">
        <f>VLOOKUP(B17,Transfer!A:D,4,0)</f>
        <v>#N/A</v>
      </c>
      <c r="D17" s="3" t="e">
        <f>VLOOKUP(B17,Transfer!A:G,7,0)</f>
        <v>#N/A</v>
      </c>
      <c r="E17" s="6" t="e">
        <f>VLOOKUP(B17,Transfer!A:U,18,0)</f>
        <v>#N/A</v>
      </c>
      <c r="F17" s="3" t="e">
        <f>VLOOKUP(B17,Transfer!A:H,8,0)</f>
        <v>#N/A</v>
      </c>
      <c r="G17" s="3" t="e">
        <f>VLOOKUP(B17,Transfer!A:I,9,0)</f>
        <v>#N/A</v>
      </c>
      <c r="H17" s="7" t="e">
        <f>VLOOKUP(B17,Transfer!A:K,11,0)</f>
        <v>#N/A</v>
      </c>
      <c r="I17" s="3" t="e">
        <f>VLOOKUP(B17,Transfer!A:J,10,0)</f>
        <v>#N/A</v>
      </c>
      <c r="J17" s="3" t="s">
        <v>7407</v>
      </c>
      <c r="K17" s="3" t="s">
        <v>7403</v>
      </c>
      <c r="L17" s="3" t="str">
        <f>IFERROR(VLOOKUP(B17,Inactive!A:BH,58,0),"Active")</f>
        <v>Active</v>
      </c>
      <c r="M17" s="3" t="e">
        <f>VLOOKUP(B17,Transfer!A:L,12,0)</f>
        <v>#N/A</v>
      </c>
      <c r="N17" s="3" t="e">
        <f>VLOOKUP(B17,Transfer!A:BE,54,0)</f>
        <v>#N/A</v>
      </c>
      <c r="O17" s="3" t="e">
        <f>VLOOKUP(B17,Transfer!A:BF,55,0)</f>
        <v>#N/A</v>
      </c>
      <c r="P17" s="3" t="e">
        <f>VLOOKUP(B17,Transfer!A:BG,56,0)</f>
        <v>#N/A</v>
      </c>
      <c r="Q17" s="3" t="s">
        <v>7404</v>
      </c>
      <c r="R17" s="3">
        <v>22</v>
      </c>
      <c r="S17" s="3"/>
      <c r="T17" s="3"/>
      <c r="U17" s="3"/>
      <c r="V17" s="3" t="e">
        <f>VLOOKUP(B17,MDB!A:M,13,0)</f>
        <v>#N/A</v>
      </c>
      <c r="W17" s="3" t="e">
        <f>VLOOKUP(B17,MDB!A:N,14,0)</f>
        <v>#N/A</v>
      </c>
      <c r="X17" s="3"/>
      <c r="Y17" s="3" t="e">
        <f>VLOOKUP(B17,MDB!A:O,15,0)</f>
        <v>#N/A</v>
      </c>
      <c r="Z17" s="3" t="e">
        <f>VLOOKUP(B17,MDB!A:AO,41,0)</f>
        <v>#N/A</v>
      </c>
      <c r="AA17" s="3" t="e">
        <f>VLOOKUP(B17,MDB!A:AP,42,0)</f>
        <v>#N/A</v>
      </c>
      <c r="AB17" s="3" t="e">
        <f>VLOOKUP(B17,MDB!A:AQ,43,0)</f>
        <v>#N/A</v>
      </c>
      <c r="AC17" s="3"/>
      <c r="AD17" s="3" t="e">
        <f>VLOOKUP(B17,MDB!A:X,24,0)</f>
        <v>#N/A</v>
      </c>
      <c r="AE17" s="3" t="e">
        <f>VLOOKUP(B17,MDB!A:Z,26,0)</f>
        <v>#N/A</v>
      </c>
      <c r="AF17" s="3" t="e">
        <f>VLOOKUP(B17,MDB!A:AA,27,0)</f>
        <v>#N/A</v>
      </c>
      <c r="AG17" s="3" t="e">
        <f>VLOOKUP(B17,MDB!A:E,5,0)</f>
        <v>#N/A</v>
      </c>
      <c r="AH17" s="6" t="e">
        <f>VLOOKUP(B17,MDB!A:AD,30,0)</f>
        <v>#N/A</v>
      </c>
      <c r="AI17" s="3" t="e">
        <f>VLOOKUP(B17,MDB!A:AC,29,0)</f>
        <v>#N/A</v>
      </c>
      <c r="AJ17" s="3" t="e">
        <f>VLOOKUP(B17,MDB!A:AF,32,0)</f>
        <v>#N/A</v>
      </c>
      <c r="AK17" s="16" t="e">
        <f>VLOOKUP(B17,MDB!A:AG,33,0)</f>
        <v>#N/A</v>
      </c>
      <c r="AL17" s="3" t="e">
        <f>VLOOKUP(B17,MDB!A:AH,34,0)</f>
        <v>#N/A</v>
      </c>
      <c r="AM17" s="3" t="e">
        <f>VLOOKUP(B17,MDB!A:AI,35,0)</f>
        <v>#N/A</v>
      </c>
      <c r="AN17" s="3" t="s">
        <v>7405</v>
      </c>
      <c r="AO17" s="3" t="e">
        <f>VLOOKUP(B17,Transfer!A:BM,62,0)</f>
        <v>#N/A</v>
      </c>
      <c r="AP17" s="3" t="e">
        <f>VLOOKUP(B17,Transfer!A:BN,63,0)</f>
        <v>#N/A</v>
      </c>
      <c r="AQ17" s="3" t="e">
        <f>VLOOKUP(B17,Transfer!A:BO,64,0)</f>
        <v>#N/A</v>
      </c>
      <c r="AR17" s="3" t="e">
        <f>VLOOKUP(B17,Transfer!A:BP,65,0)</f>
        <v>#N/A</v>
      </c>
      <c r="AS17" s="3" t="e">
        <f>VLOOKUP(B17,Transfer!A:BQ,66,0)</f>
        <v>#N/A</v>
      </c>
      <c r="AT17" s="3" t="e">
        <f>VLOOKUP(B17,Transfer!A:BR,67,0)</f>
        <v>#N/A</v>
      </c>
      <c r="AU17" s="3" t="e">
        <f>VLOOKUP(B17,Transfer!A:BS,68,0)</f>
        <v>#N/A</v>
      </c>
      <c r="AV17" s="3" t="e">
        <f>VLOOKUP(B17,Transfer!A:BL,61,0)</f>
        <v>#N/A</v>
      </c>
      <c r="AW17" s="6" t="e">
        <f>VLOOKUP(B17,Transfer!A:BT,69,0)</f>
        <v>#N/A</v>
      </c>
      <c r="AX17" s="6" t="e">
        <f>VLOOKUP(B17,Transfer!A:BU,70,0)</f>
        <v>#N/A</v>
      </c>
      <c r="AY17" s="3" t="e">
        <f>VLOOKUP(B17,Transfer!A:BV,72,0)</f>
        <v>#N/A</v>
      </c>
      <c r="AZ17" s="3" t="e">
        <f>VLOOKUP(B17,Transfer!A:BV,74,0)</f>
        <v>#N/A</v>
      </c>
    </row>
    <row r="18">
      <c r="A18" s="3">
        <v>21</v>
      </c>
      <c r="B18" s="9"/>
      <c r="C18" s="5" t="e">
        <f>VLOOKUP(B18,Transfer!A:D,4,0)</f>
        <v>#N/A</v>
      </c>
      <c r="D18" s="3" t="e">
        <f>VLOOKUP(B18,Transfer!A:G,7,0)</f>
        <v>#N/A</v>
      </c>
      <c r="E18" s="6" t="e">
        <f>VLOOKUP(B18,Transfer!A:U,18,0)</f>
        <v>#N/A</v>
      </c>
      <c r="F18" s="3" t="e">
        <f>VLOOKUP(B18,Transfer!A:H,8,0)</f>
        <v>#N/A</v>
      </c>
      <c r="G18" s="3" t="e">
        <f>VLOOKUP(B18,Transfer!A:I,9,0)</f>
        <v>#N/A</v>
      </c>
      <c r="H18" s="7" t="e">
        <f>VLOOKUP(B18,Transfer!A:K,11,0)</f>
        <v>#N/A</v>
      </c>
      <c r="I18" s="3" t="e">
        <f>VLOOKUP(B18,Transfer!A:J,10,0)</f>
        <v>#N/A</v>
      </c>
      <c r="J18" s="3" t="s">
        <v>7407</v>
      </c>
      <c r="K18" s="3" t="s">
        <v>7403</v>
      </c>
      <c r="L18" s="3" t="str">
        <f>IFERROR(VLOOKUP(B18,Inactive!A:BH,58,0),"Active")</f>
        <v>Active</v>
      </c>
      <c r="M18" s="3" t="e">
        <f>VLOOKUP(B18,Transfer!A:L,12,0)</f>
        <v>#N/A</v>
      </c>
      <c r="N18" s="3" t="e">
        <f>VLOOKUP(B18,Transfer!A:BE,54,0)</f>
        <v>#N/A</v>
      </c>
      <c r="O18" s="3" t="e">
        <f>VLOOKUP(B18,Transfer!A:BF,55,0)</f>
        <v>#N/A</v>
      </c>
      <c r="P18" s="3" t="e">
        <f>VLOOKUP(B18,Transfer!A:BG,56,0)</f>
        <v>#N/A</v>
      </c>
      <c r="Q18" s="3" t="s">
        <v>7404</v>
      </c>
      <c r="R18" s="3">
        <v>22</v>
      </c>
      <c r="S18" s="3"/>
      <c r="T18" s="3"/>
      <c r="U18" s="3"/>
      <c r="V18" s="3" t="e">
        <f>VLOOKUP(B18,MDB!A:M,13,0)</f>
        <v>#N/A</v>
      </c>
      <c r="W18" s="3" t="e">
        <f>VLOOKUP(B18,MDB!A:N,14,0)</f>
        <v>#N/A</v>
      </c>
      <c r="X18" s="3"/>
      <c r="Y18" s="3" t="e">
        <f>VLOOKUP(B18,MDB!A:O,15,0)</f>
        <v>#N/A</v>
      </c>
      <c r="Z18" s="3" t="e">
        <f>VLOOKUP(B18,MDB!A:AO,41,0)</f>
        <v>#N/A</v>
      </c>
      <c r="AA18" s="3" t="e">
        <f>VLOOKUP(B18,MDB!A:AP,42,0)</f>
        <v>#N/A</v>
      </c>
      <c r="AB18" s="3" t="e">
        <f>VLOOKUP(B18,MDB!A:AQ,43,0)</f>
        <v>#N/A</v>
      </c>
      <c r="AC18" s="3"/>
      <c r="AD18" s="3" t="e">
        <f>VLOOKUP(B18,MDB!A:X,24,0)</f>
        <v>#N/A</v>
      </c>
      <c r="AE18" s="3" t="e">
        <f>VLOOKUP(B18,MDB!A:Z,26,0)</f>
        <v>#N/A</v>
      </c>
      <c r="AF18" s="3" t="e">
        <f>VLOOKUP(B18,MDB!A:AA,27,0)</f>
        <v>#N/A</v>
      </c>
      <c r="AG18" s="3" t="e">
        <f>VLOOKUP(B18,MDB!A:E,5,0)</f>
        <v>#N/A</v>
      </c>
      <c r="AH18" s="6" t="e">
        <f>VLOOKUP(B18,MDB!A:AD,30,0)</f>
        <v>#N/A</v>
      </c>
      <c r="AI18" s="3" t="e">
        <f>VLOOKUP(B18,MDB!A:AC,29,0)</f>
        <v>#N/A</v>
      </c>
      <c r="AJ18" s="3" t="e">
        <f>VLOOKUP(B18,MDB!A:AF,32,0)</f>
        <v>#N/A</v>
      </c>
      <c r="AK18" s="16" t="e">
        <f>VLOOKUP(B18,MDB!A:AG,33,0)</f>
        <v>#N/A</v>
      </c>
      <c r="AL18" s="3" t="e">
        <f>VLOOKUP(B18,MDB!A:AH,34,0)</f>
        <v>#N/A</v>
      </c>
      <c r="AM18" s="3" t="e">
        <f>VLOOKUP(B18,MDB!A:AI,35,0)</f>
        <v>#N/A</v>
      </c>
      <c r="AN18" s="3" t="s">
        <v>7405</v>
      </c>
      <c r="AO18" s="3" t="e">
        <f>VLOOKUP(B18,Transfer!A:BM,62,0)</f>
        <v>#N/A</v>
      </c>
      <c r="AP18" s="3" t="e">
        <f>VLOOKUP(B18,Transfer!A:BN,63,0)</f>
        <v>#N/A</v>
      </c>
      <c r="AQ18" s="3" t="e">
        <f>VLOOKUP(B18,Transfer!A:BO,64,0)</f>
        <v>#N/A</v>
      </c>
      <c r="AR18" s="3" t="e">
        <f>VLOOKUP(B18,Transfer!A:BP,65,0)</f>
        <v>#N/A</v>
      </c>
      <c r="AS18" s="3" t="e">
        <f>VLOOKUP(B18,Transfer!A:BQ,66,0)</f>
        <v>#N/A</v>
      </c>
      <c r="AT18" s="3" t="e">
        <f>VLOOKUP(B18,Transfer!A:BR,67,0)</f>
        <v>#N/A</v>
      </c>
      <c r="AU18" s="3" t="e">
        <f>VLOOKUP(B18,Transfer!A:BS,68,0)</f>
        <v>#N/A</v>
      </c>
      <c r="AV18" s="3" t="e">
        <f>VLOOKUP(B18,Transfer!A:BL,61,0)</f>
        <v>#N/A</v>
      </c>
      <c r="AW18" s="6" t="e">
        <f>VLOOKUP(B18,Transfer!A:BT,69,0)</f>
        <v>#N/A</v>
      </c>
      <c r="AX18" s="6" t="e">
        <f>VLOOKUP(B18,Transfer!A:BU,70,0)</f>
        <v>#N/A</v>
      </c>
      <c r="AY18" s="3" t="e">
        <f>VLOOKUP(B18,Transfer!A:BV,72,0)</f>
        <v>#N/A</v>
      </c>
      <c r="AZ18" s="3" t="e">
        <f>VLOOKUP(B18,Transfer!A:BV,74,0)</f>
        <v>#N/A</v>
      </c>
    </row>
    <row r="19">
      <c r="A19" s="3">
        <v>22</v>
      </c>
      <c r="B19" s="9"/>
      <c r="C19" s="5" t="e">
        <f>VLOOKUP(B19,Transfer!A:D,4,0)</f>
        <v>#N/A</v>
      </c>
      <c r="D19" s="3" t="e">
        <f>VLOOKUP(B19,Transfer!A:G,7,0)</f>
        <v>#N/A</v>
      </c>
      <c r="E19" s="6" t="e">
        <f>VLOOKUP(B19,Transfer!A:U,18,0)</f>
        <v>#N/A</v>
      </c>
      <c r="F19" s="3" t="e">
        <f>VLOOKUP(B19,Transfer!A:H,8,0)</f>
        <v>#N/A</v>
      </c>
      <c r="G19" s="3" t="e">
        <f>VLOOKUP(B19,Transfer!A:I,9,0)</f>
        <v>#N/A</v>
      </c>
      <c r="H19" s="7" t="e">
        <f>VLOOKUP(B19,Transfer!A:K,11,0)</f>
        <v>#N/A</v>
      </c>
      <c r="I19" s="3" t="e">
        <f>VLOOKUP(B19,Transfer!A:J,10,0)</f>
        <v>#N/A</v>
      </c>
      <c r="J19" s="3" t="s">
        <v>7407</v>
      </c>
      <c r="K19" s="3" t="s">
        <v>7403</v>
      </c>
      <c r="L19" s="3" t="str">
        <f>IFERROR(VLOOKUP(B19,Inactive!A:BH,58,0),"Active")</f>
        <v>Active</v>
      </c>
      <c r="M19" s="3" t="e">
        <f>VLOOKUP(B19,Transfer!A:L,12,0)</f>
        <v>#N/A</v>
      </c>
      <c r="N19" s="3" t="e">
        <f>VLOOKUP(B19,Transfer!A:BE,54,0)</f>
        <v>#N/A</v>
      </c>
      <c r="O19" s="3" t="e">
        <f>VLOOKUP(B19,Transfer!A:BF,55,0)</f>
        <v>#N/A</v>
      </c>
      <c r="P19" s="3" t="e">
        <f>VLOOKUP(B19,Transfer!A:BG,56,0)</f>
        <v>#N/A</v>
      </c>
      <c r="Q19" s="3" t="s">
        <v>7404</v>
      </c>
      <c r="R19" s="3">
        <v>22</v>
      </c>
      <c r="S19" s="3"/>
      <c r="T19" s="3"/>
      <c r="U19" s="3"/>
      <c r="V19" s="3" t="e">
        <f>VLOOKUP(B19,MDB!A:M,13,0)</f>
        <v>#N/A</v>
      </c>
      <c r="W19" s="3" t="e">
        <f>VLOOKUP(B19,MDB!A:N,14,0)</f>
        <v>#N/A</v>
      </c>
      <c r="X19" s="3"/>
      <c r="Y19" s="3" t="e">
        <f>VLOOKUP(B19,MDB!A:O,15,0)</f>
        <v>#N/A</v>
      </c>
      <c r="Z19" s="3" t="e">
        <f>VLOOKUP(B19,MDB!A:AO,41,0)</f>
        <v>#N/A</v>
      </c>
      <c r="AA19" s="3" t="e">
        <f>VLOOKUP(B19,MDB!A:AP,42,0)</f>
        <v>#N/A</v>
      </c>
      <c r="AB19" s="3" t="e">
        <f>VLOOKUP(B19,MDB!A:AQ,43,0)</f>
        <v>#N/A</v>
      </c>
      <c r="AC19" s="3"/>
      <c r="AD19" s="3" t="e">
        <f>VLOOKUP(B19,MDB!A:X,24,0)</f>
        <v>#N/A</v>
      </c>
      <c r="AE19" s="3" t="e">
        <f>VLOOKUP(B19,MDB!A:Z,26,0)</f>
        <v>#N/A</v>
      </c>
      <c r="AF19" s="3" t="e">
        <f>VLOOKUP(B19,MDB!A:AA,27,0)</f>
        <v>#N/A</v>
      </c>
      <c r="AG19" s="3" t="e">
        <f>VLOOKUP(B19,MDB!A:E,5,0)</f>
        <v>#N/A</v>
      </c>
      <c r="AH19" s="6" t="e">
        <f>VLOOKUP(B19,MDB!A:AD,30,0)</f>
        <v>#N/A</v>
      </c>
      <c r="AI19" s="3" t="e">
        <f>VLOOKUP(B19,MDB!A:AC,29,0)</f>
        <v>#N/A</v>
      </c>
      <c r="AJ19" s="3" t="e">
        <f>VLOOKUP(B19,MDB!A:AF,32,0)</f>
        <v>#N/A</v>
      </c>
      <c r="AK19" s="16" t="e">
        <f>VLOOKUP(B19,MDB!A:AG,33,0)</f>
        <v>#N/A</v>
      </c>
      <c r="AL19" s="3" t="e">
        <f>VLOOKUP(B19,MDB!A:AH,34,0)</f>
        <v>#N/A</v>
      </c>
      <c r="AM19" s="3" t="e">
        <f>VLOOKUP(B19,MDB!A:AI,35,0)</f>
        <v>#N/A</v>
      </c>
      <c r="AN19" s="3" t="s">
        <v>7405</v>
      </c>
      <c r="AO19" s="3" t="e">
        <f>VLOOKUP(B19,Transfer!A:BM,62,0)</f>
        <v>#N/A</v>
      </c>
      <c r="AP19" s="3" t="e">
        <f>VLOOKUP(B19,Transfer!A:BN,63,0)</f>
        <v>#N/A</v>
      </c>
      <c r="AQ19" s="3" t="e">
        <f>VLOOKUP(B19,Transfer!A:BO,64,0)</f>
        <v>#N/A</v>
      </c>
      <c r="AR19" s="3" t="e">
        <f>VLOOKUP(B19,Transfer!A:BP,65,0)</f>
        <v>#N/A</v>
      </c>
      <c r="AS19" s="3" t="e">
        <f>VLOOKUP(B19,Transfer!A:BQ,66,0)</f>
        <v>#N/A</v>
      </c>
      <c r="AT19" s="3" t="e">
        <f>VLOOKUP(B19,Transfer!A:BR,67,0)</f>
        <v>#N/A</v>
      </c>
      <c r="AU19" s="3" t="e">
        <f>VLOOKUP(B19,Transfer!A:BS,68,0)</f>
        <v>#N/A</v>
      </c>
      <c r="AV19" s="3" t="e">
        <f>VLOOKUP(B19,Transfer!A:BL,61,0)</f>
        <v>#N/A</v>
      </c>
      <c r="AW19" s="6" t="e">
        <f>VLOOKUP(B19,Transfer!A:BT,69,0)</f>
        <v>#N/A</v>
      </c>
      <c r="AX19" s="6" t="e">
        <f>VLOOKUP(B19,Transfer!A:BU,70,0)</f>
        <v>#N/A</v>
      </c>
      <c r="AY19" s="3" t="e">
        <f>VLOOKUP(B19,Transfer!A:BV,72,0)</f>
        <v>#N/A</v>
      </c>
      <c r="AZ19" s="3" t="e">
        <f>VLOOKUP(B19,Transfer!A:BV,74,0)</f>
        <v>#N/A</v>
      </c>
    </row>
    <row r="20">
      <c r="A20" s="3">
        <v>23</v>
      </c>
      <c r="B20" s="9"/>
      <c r="C20" s="5" t="e">
        <f>VLOOKUP(B20,Transfer!A:D,4,0)</f>
        <v>#N/A</v>
      </c>
      <c r="D20" s="3" t="e">
        <f>VLOOKUP(B20,Transfer!A:G,7,0)</f>
        <v>#N/A</v>
      </c>
      <c r="E20" s="6" t="e">
        <f>VLOOKUP(B20,Transfer!A:U,18,0)</f>
        <v>#N/A</v>
      </c>
      <c r="F20" s="3" t="e">
        <f>VLOOKUP(B20,Transfer!A:H,8,0)</f>
        <v>#N/A</v>
      </c>
      <c r="G20" s="3" t="e">
        <f>VLOOKUP(B20,Transfer!A:I,9,0)</f>
        <v>#N/A</v>
      </c>
      <c r="H20" s="7" t="e">
        <f>VLOOKUP(B20,Transfer!A:K,11,0)</f>
        <v>#N/A</v>
      </c>
      <c r="I20" s="3" t="e">
        <f>VLOOKUP(B20,Transfer!A:J,10,0)</f>
        <v>#N/A</v>
      </c>
      <c r="J20" s="3" t="s">
        <v>7407</v>
      </c>
      <c r="K20" s="3" t="s">
        <v>7403</v>
      </c>
      <c r="L20" s="3" t="str">
        <f>IFERROR(VLOOKUP(B20,Inactive!A:BH,58,0),"Active")</f>
        <v>Active</v>
      </c>
      <c r="M20" s="3" t="e">
        <f>VLOOKUP(B20,Transfer!A:L,12,0)</f>
        <v>#N/A</v>
      </c>
      <c r="N20" s="3" t="e">
        <f>VLOOKUP(B20,Transfer!A:BE,54,0)</f>
        <v>#N/A</v>
      </c>
      <c r="O20" s="3" t="e">
        <f>VLOOKUP(B20,Transfer!A:BF,55,0)</f>
        <v>#N/A</v>
      </c>
      <c r="P20" s="3" t="e">
        <f>VLOOKUP(B20,Transfer!A:BG,56,0)</f>
        <v>#N/A</v>
      </c>
      <c r="Q20" s="3" t="s">
        <v>7404</v>
      </c>
      <c r="R20" s="3">
        <v>22</v>
      </c>
      <c r="S20" s="3"/>
      <c r="T20" s="3"/>
      <c r="U20" s="3"/>
      <c r="V20" s="3" t="e">
        <f>VLOOKUP(B20,MDB!A:M,13,0)</f>
        <v>#N/A</v>
      </c>
      <c r="W20" s="3" t="e">
        <f>VLOOKUP(B20,MDB!A:N,14,0)</f>
        <v>#N/A</v>
      </c>
      <c r="X20" s="3"/>
      <c r="Y20" s="3" t="e">
        <f>VLOOKUP(B20,MDB!A:O,15,0)</f>
        <v>#N/A</v>
      </c>
      <c r="Z20" s="3" t="e">
        <f>VLOOKUP(B20,MDB!A:AO,41,0)</f>
        <v>#N/A</v>
      </c>
      <c r="AA20" s="3" t="e">
        <f>VLOOKUP(B20,MDB!A:AP,42,0)</f>
        <v>#N/A</v>
      </c>
      <c r="AB20" s="3" t="e">
        <f>VLOOKUP(B20,MDB!A:AQ,43,0)</f>
        <v>#N/A</v>
      </c>
      <c r="AC20" s="3"/>
      <c r="AD20" s="3" t="e">
        <f>VLOOKUP(B20,MDB!A:X,24,0)</f>
        <v>#N/A</v>
      </c>
      <c r="AE20" s="3" t="e">
        <f>VLOOKUP(B20,MDB!A:Z,26,0)</f>
        <v>#N/A</v>
      </c>
      <c r="AF20" s="3" t="e">
        <f>VLOOKUP(B20,MDB!A:AA,27,0)</f>
        <v>#N/A</v>
      </c>
      <c r="AG20" s="3" t="e">
        <f>VLOOKUP(B20,MDB!A:E,5,0)</f>
        <v>#N/A</v>
      </c>
      <c r="AH20" s="6" t="e">
        <f>VLOOKUP(B20,MDB!A:AD,30,0)</f>
        <v>#N/A</v>
      </c>
      <c r="AI20" s="3" t="e">
        <f>VLOOKUP(B20,MDB!A:AC,29,0)</f>
        <v>#N/A</v>
      </c>
      <c r="AJ20" s="3" t="e">
        <f>VLOOKUP(B20,MDB!A:AF,32,0)</f>
        <v>#N/A</v>
      </c>
      <c r="AK20" s="16" t="e">
        <f>VLOOKUP(B20,MDB!A:AG,33,0)</f>
        <v>#N/A</v>
      </c>
      <c r="AL20" s="3" t="e">
        <f>VLOOKUP(B20,MDB!A:AH,34,0)</f>
        <v>#N/A</v>
      </c>
      <c r="AM20" s="3" t="e">
        <f>VLOOKUP(B20,MDB!A:AI,35,0)</f>
        <v>#N/A</v>
      </c>
      <c r="AN20" s="3" t="s">
        <v>7405</v>
      </c>
      <c r="AO20" s="3" t="e">
        <f>VLOOKUP(B20,Transfer!A:BM,62,0)</f>
        <v>#N/A</v>
      </c>
      <c r="AP20" s="3" t="e">
        <f>VLOOKUP(B20,Transfer!A:BN,63,0)</f>
        <v>#N/A</v>
      </c>
      <c r="AQ20" s="3" t="e">
        <f>VLOOKUP(B20,Transfer!A:BO,64,0)</f>
        <v>#N/A</v>
      </c>
      <c r="AR20" s="3" t="e">
        <f>VLOOKUP(B20,Transfer!A:BP,65,0)</f>
        <v>#N/A</v>
      </c>
      <c r="AS20" s="3" t="e">
        <f>VLOOKUP(B20,Transfer!A:BQ,66,0)</f>
        <v>#N/A</v>
      </c>
      <c r="AT20" s="3" t="e">
        <f>VLOOKUP(B20,Transfer!A:BR,67,0)</f>
        <v>#N/A</v>
      </c>
      <c r="AU20" s="3" t="e">
        <f>VLOOKUP(B20,Transfer!A:BS,68,0)</f>
        <v>#N/A</v>
      </c>
      <c r="AV20" s="3" t="e">
        <f>VLOOKUP(B20,Transfer!A:BL,61,0)</f>
        <v>#N/A</v>
      </c>
      <c r="AW20" s="6" t="e">
        <f>VLOOKUP(B20,Transfer!A:BT,69,0)</f>
        <v>#N/A</v>
      </c>
      <c r="AX20" s="6" t="e">
        <f>VLOOKUP(B20,Transfer!A:BU,70,0)</f>
        <v>#N/A</v>
      </c>
      <c r="AY20" s="3" t="e">
        <f>VLOOKUP(B20,Transfer!A:BV,72,0)</f>
        <v>#N/A</v>
      </c>
      <c r="AZ20" s="3" t="e">
        <f>VLOOKUP(B20,Transfer!A:BV,74,0)</f>
        <v>#N/A</v>
      </c>
    </row>
    <row r="21">
      <c r="A21" s="3">
        <v>24</v>
      </c>
      <c r="B21" s="9"/>
      <c r="C21" s="5" t="e">
        <f>VLOOKUP(B21,Transfer!A:D,4,0)</f>
        <v>#N/A</v>
      </c>
      <c r="D21" s="3" t="e">
        <f>VLOOKUP(B21,Transfer!A:G,7,0)</f>
        <v>#N/A</v>
      </c>
      <c r="E21" s="6" t="e">
        <f>VLOOKUP(B21,Transfer!A:U,18,0)</f>
        <v>#N/A</v>
      </c>
      <c r="F21" s="3" t="e">
        <f>VLOOKUP(B21,Transfer!A:H,8,0)</f>
        <v>#N/A</v>
      </c>
      <c r="G21" s="3" t="e">
        <f>VLOOKUP(B21,Transfer!A:I,9,0)</f>
        <v>#N/A</v>
      </c>
      <c r="H21" s="7" t="e">
        <f>VLOOKUP(B21,Transfer!A:K,11,0)</f>
        <v>#N/A</v>
      </c>
      <c r="I21" s="3" t="e">
        <f>VLOOKUP(B21,Transfer!A:J,10,0)</f>
        <v>#N/A</v>
      </c>
      <c r="J21" s="3" t="s">
        <v>7407</v>
      </c>
      <c r="K21" s="3" t="s">
        <v>7403</v>
      </c>
      <c r="L21" s="3" t="str">
        <f>IFERROR(VLOOKUP(B21,Inactive!A:BH,58,0),"Active")</f>
        <v>Active</v>
      </c>
      <c r="M21" s="3" t="e">
        <f>VLOOKUP(B21,Transfer!A:L,12,0)</f>
        <v>#N/A</v>
      </c>
      <c r="N21" s="3" t="e">
        <f>VLOOKUP(B21,Transfer!A:BE,54,0)</f>
        <v>#N/A</v>
      </c>
      <c r="O21" s="3" t="e">
        <f>VLOOKUP(B21,Transfer!A:BF,55,0)</f>
        <v>#N/A</v>
      </c>
      <c r="P21" s="3" t="e">
        <f>VLOOKUP(B21,Transfer!A:BG,56,0)</f>
        <v>#N/A</v>
      </c>
      <c r="Q21" s="3" t="s">
        <v>7404</v>
      </c>
      <c r="R21" s="3">
        <v>22</v>
      </c>
      <c r="S21" s="3"/>
      <c r="T21" s="3"/>
      <c r="U21" s="3"/>
      <c r="V21" s="3" t="e">
        <f>VLOOKUP(B21,MDB!A:M,13,0)</f>
        <v>#N/A</v>
      </c>
      <c r="W21" s="3" t="e">
        <f>VLOOKUP(B21,MDB!A:N,14,0)</f>
        <v>#N/A</v>
      </c>
      <c r="X21" s="3"/>
      <c r="Y21" s="3" t="e">
        <f>VLOOKUP(B21,MDB!A:O,15,0)</f>
        <v>#N/A</v>
      </c>
      <c r="Z21" s="3" t="e">
        <f>VLOOKUP(B21,MDB!A:AO,41,0)</f>
        <v>#N/A</v>
      </c>
      <c r="AA21" s="3" t="e">
        <f>VLOOKUP(B21,MDB!A:AP,42,0)</f>
        <v>#N/A</v>
      </c>
      <c r="AB21" s="3" t="e">
        <f>VLOOKUP(B21,MDB!A:AQ,43,0)</f>
        <v>#N/A</v>
      </c>
      <c r="AC21" s="3"/>
      <c r="AD21" s="3" t="e">
        <f>VLOOKUP(B21,MDB!A:X,24,0)</f>
        <v>#N/A</v>
      </c>
      <c r="AE21" s="3" t="e">
        <f>VLOOKUP(B21,MDB!A:Z,26,0)</f>
        <v>#N/A</v>
      </c>
      <c r="AF21" s="3" t="e">
        <f>VLOOKUP(B21,MDB!A:AA,27,0)</f>
        <v>#N/A</v>
      </c>
      <c r="AG21" s="3" t="e">
        <f>VLOOKUP(B21,MDB!A:E,5,0)</f>
        <v>#N/A</v>
      </c>
      <c r="AH21" s="6" t="e">
        <f>VLOOKUP(B21,MDB!A:AD,30,0)</f>
        <v>#N/A</v>
      </c>
      <c r="AI21" s="3" t="e">
        <f>VLOOKUP(B21,MDB!A:AC,29,0)</f>
        <v>#N/A</v>
      </c>
      <c r="AJ21" s="3" t="e">
        <f>VLOOKUP(B21,MDB!A:AF,32,0)</f>
        <v>#N/A</v>
      </c>
      <c r="AK21" s="16" t="e">
        <f>VLOOKUP(B21,MDB!A:AG,33,0)</f>
        <v>#N/A</v>
      </c>
      <c r="AL21" s="3" t="e">
        <f>VLOOKUP(B21,MDB!A:AH,34,0)</f>
        <v>#N/A</v>
      </c>
      <c r="AM21" s="3" t="e">
        <f>VLOOKUP(B21,MDB!A:AI,35,0)</f>
        <v>#N/A</v>
      </c>
      <c r="AN21" s="3" t="s">
        <v>7405</v>
      </c>
      <c r="AO21" s="3" t="e">
        <f>VLOOKUP(B21,Transfer!A:BM,62,0)</f>
        <v>#N/A</v>
      </c>
      <c r="AP21" s="3" t="e">
        <f>VLOOKUP(B21,Transfer!A:BN,63,0)</f>
        <v>#N/A</v>
      </c>
      <c r="AQ21" s="3" t="e">
        <f>VLOOKUP(B21,Transfer!A:BO,64,0)</f>
        <v>#N/A</v>
      </c>
      <c r="AR21" s="3" t="e">
        <f>VLOOKUP(B21,Transfer!A:BP,65,0)</f>
        <v>#N/A</v>
      </c>
      <c r="AS21" s="3" t="e">
        <f>VLOOKUP(B21,Transfer!A:BQ,66,0)</f>
        <v>#N/A</v>
      </c>
      <c r="AT21" s="3" t="e">
        <f>VLOOKUP(B21,Transfer!A:BR,67,0)</f>
        <v>#N/A</v>
      </c>
      <c r="AU21" s="3" t="e">
        <f>VLOOKUP(B21,Transfer!A:BS,68,0)</f>
        <v>#N/A</v>
      </c>
      <c r="AV21" s="3" t="e">
        <f>VLOOKUP(B21,Transfer!A:BL,61,0)</f>
        <v>#N/A</v>
      </c>
      <c r="AW21" s="6" t="e">
        <f>VLOOKUP(B21,Transfer!A:BT,69,0)</f>
        <v>#N/A</v>
      </c>
      <c r="AX21" s="6" t="e">
        <f>VLOOKUP(B21,Transfer!A:BU,70,0)</f>
        <v>#N/A</v>
      </c>
      <c r="AY21" s="3" t="e">
        <f>VLOOKUP(B21,Transfer!A:BV,72,0)</f>
        <v>#N/A</v>
      </c>
      <c r="AZ21" s="3" t="e">
        <f>VLOOKUP(B21,Transfer!A:BV,74,0)</f>
        <v>#N/A</v>
      </c>
    </row>
    <row r="22">
      <c r="A22" s="3">
        <v>25</v>
      </c>
      <c r="B22" s="9"/>
      <c r="C22" s="5" t="e">
        <f>VLOOKUP(B22,Transfer!A:D,4,0)</f>
        <v>#N/A</v>
      </c>
      <c r="D22" s="3" t="e">
        <f>VLOOKUP(B22,Transfer!A:G,7,0)</f>
        <v>#N/A</v>
      </c>
      <c r="E22" s="6" t="e">
        <f>VLOOKUP(B22,Transfer!A:U,18,0)</f>
        <v>#N/A</v>
      </c>
      <c r="F22" s="3" t="e">
        <f>VLOOKUP(B22,Transfer!A:H,8,0)</f>
        <v>#N/A</v>
      </c>
      <c r="G22" s="3" t="e">
        <f>VLOOKUP(B22,Transfer!A:I,9,0)</f>
        <v>#N/A</v>
      </c>
      <c r="H22" s="7" t="e">
        <f>VLOOKUP(B22,Transfer!A:K,11,0)</f>
        <v>#N/A</v>
      </c>
      <c r="I22" s="3" t="e">
        <f>VLOOKUP(B22,Transfer!A:J,10,0)</f>
        <v>#N/A</v>
      </c>
      <c r="J22" s="3" t="s">
        <v>7407</v>
      </c>
      <c r="K22" s="3" t="s">
        <v>7403</v>
      </c>
      <c r="L22" s="3" t="str">
        <f>IFERROR(VLOOKUP(B22,Inactive!A:BH,58,0),"Active")</f>
        <v>Active</v>
      </c>
      <c r="M22" s="3" t="e">
        <f>VLOOKUP(B22,Transfer!A:L,12,0)</f>
        <v>#N/A</v>
      </c>
      <c r="N22" s="3" t="e">
        <f>VLOOKUP(B22,Transfer!A:BE,54,0)</f>
        <v>#N/A</v>
      </c>
      <c r="O22" s="3" t="e">
        <f>VLOOKUP(B22,Transfer!A:BF,55,0)</f>
        <v>#N/A</v>
      </c>
      <c r="P22" s="3" t="e">
        <f>VLOOKUP(B22,Transfer!A:BG,56,0)</f>
        <v>#N/A</v>
      </c>
      <c r="Q22" s="3" t="s">
        <v>7404</v>
      </c>
      <c r="R22" s="3">
        <v>22</v>
      </c>
      <c r="S22" s="3"/>
      <c r="T22" s="3"/>
      <c r="U22" s="3"/>
      <c r="V22" s="3" t="e">
        <f>VLOOKUP(B22,MDB!A:M,13,0)</f>
        <v>#N/A</v>
      </c>
      <c r="W22" s="3" t="e">
        <f>VLOOKUP(B22,MDB!A:N,14,0)</f>
        <v>#N/A</v>
      </c>
      <c r="X22" s="3"/>
      <c r="Y22" s="3" t="e">
        <f>VLOOKUP(B22,MDB!A:O,15,0)</f>
        <v>#N/A</v>
      </c>
      <c r="Z22" s="3" t="e">
        <f>VLOOKUP(B22,MDB!A:AO,41,0)</f>
        <v>#N/A</v>
      </c>
      <c r="AA22" s="3" t="e">
        <f>VLOOKUP(B22,MDB!A:AP,42,0)</f>
        <v>#N/A</v>
      </c>
      <c r="AB22" s="3" t="e">
        <f>VLOOKUP(B22,MDB!A:AQ,43,0)</f>
        <v>#N/A</v>
      </c>
      <c r="AC22" s="3"/>
      <c r="AD22" s="3" t="e">
        <f>VLOOKUP(B22,MDB!A:X,24,0)</f>
        <v>#N/A</v>
      </c>
      <c r="AE22" s="3" t="e">
        <f>VLOOKUP(B22,MDB!A:Z,26,0)</f>
        <v>#N/A</v>
      </c>
      <c r="AF22" s="3" t="e">
        <f>VLOOKUP(B22,MDB!A:AA,27,0)</f>
        <v>#N/A</v>
      </c>
      <c r="AG22" s="3" t="e">
        <f>VLOOKUP(B22,MDB!A:E,5,0)</f>
        <v>#N/A</v>
      </c>
      <c r="AH22" s="6" t="e">
        <f>VLOOKUP(B22,MDB!A:AD,30,0)</f>
        <v>#N/A</v>
      </c>
      <c r="AI22" s="3" t="e">
        <f>VLOOKUP(B22,MDB!A:AC,29,0)</f>
        <v>#N/A</v>
      </c>
      <c r="AJ22" s="3" t="e">
        <f>VLOOKUP(B22,MDB!A:AF,32,0)</f>
        <v>#N/A</v>
      </c>
      <c r="AK22" s="16" t="e">
        <f>VLOOKUP(B22,MDB!A:AG,33,0)</f>
        <v>#N/A</v>
      </c>
      <c r="AL22" s="3" t="e">
        <f>VLOOKUP(B22,MDB!A:AH,34,0)</f>
        <v>#N/A</v>
      </c>
      <c r="AM22" s="3" t="e">
        <f>VLOOKUP(B22,MDB!A:AI,35,0)</f>
        <v>#N/A</v>
      </c>
      <c r="AN22" s="3" t="s">
        <v>7405</v>
      </c>
      <c r="AO22" s="3" t="e">
        <f>VLOOKUP(B22,Transfer!A:BM,62,0)</f>
        <v>#N/A</v>
      </c>
      <c r="AP22" s="3" t="e">
        <f>VLOOKUP(B22,Transfer!A:BN,63,0)</f>
        <v>#N/A</v>
      </c>
      <c r="AQ22" s="3" t="e">
        <f>VLOOKUP(B22,Transfer!A:BO,64,0)</f>
        <v>#N/A</v>
      </c>
      <c r="AR22" s="3" t="e">
        <f>VLOOKUP(B22,Transfer!A:BP,65,0)</f>
        <v>#N/A</v>
      </c>
      <c r="AS22" s="3" t="e">
        <f>VLOOKUP(B22,Transfer!A:BQ,66,0)</f>
        <v>#N/A</v>
      </c>
      <c r="AT22" s="3" t="e">
        <f>VLOOKUP(B22,Transfer!A:BR,67,0)</f>
        <v>#N/A</v>
      </c>
      <c r="AU22" s="3" t="e">
        <f>VLOOKUP(B22,Transfer!A:BS,68,0)</f>
        <v>#N/A</v>
      </c>
      <c r="AV22" s="3" t="e">
        <f>VLOOKUP(B22,Transfer!A:BL,61,0)</f>
        <v>#N/A</v>
      </c>
      <c r="AW22" s="6" t="e">
        <f>VLOOKUP(B22,Transfer!A:BT,69,0)</f>
        <v>#N/A</v>
      </c>
      <c r="AX22" s="6" t="e">
        <f>VLOOKUP(B22,Transfer!A:BU,70,0)</f>
        <v>#N/A</v>
      </c>
      <c r="AY22" s="3" t="e">
        <f>VLOOKUP(B22,Transfer!A:BV,72,0)</f>
        <v>#N/A</v>
      </c>
      <c r="AZ22" s="3" t="e">
        <f>VLOOKUP(B22,Transfer!A:BV,74,0)</f>
        <v>#N/A</v>
      </c>
    </row>
    <row r="23">
      <c r="A23" s="3">
        <v>26</v>
      </c>
      <c r="B23" s="9"/>
      <c r="C23" s="5" t="e">
        <f>VLOOKUP(B23,Transfer!A:D,4,0)</f>
        <v>#N/A</v>
      </c>
      <c r="D23" s="3" t="e">
        <f>VLOOKUP(B23,Transfer!A:G,7,0)</f>
        <v>#N/A</v>
      </c>
      <c r="E23" s="6" t="e">
        <f>VLOOKUP(B23,Transfer!A:U,18,0)</f>
        <v>#N/A</v>
      </c>
      <c r="F23" s="3" t="e">
        <f>VLOOKUP(B23,Transfer!A:H,8,0)</f>
        <v>#N/A</v>
      </c>
      <c r="G23" s="3" t="e">
        <f>VLOOKUP(B23,Transfer!A:I,9,0)</f>
        <v>#N/A</v>
      </c>
      <c r="H23" s="7" t="e">
        <f>VLOOKUP(B23,Transfer!A:K,11,0)</f>
        <v>#N/A</v>
      </c>
      <c r="I23" s="3" t="e">
        <f>VLOOKUP(B23,Transfer!A:J,10,0)</f>
        <v>#N/A</v>
      </c>
      <c r="J23" s="3" t="s">
        <v>7407</v>
      </c>
      <c r="K23" s="3" t="s">
        <v>7403</v>
      </c>
      <c r="L23" s="3" t="str">
        <f>IFERROR(VLOOKUP(B23,Inactive!A:BH,58,0),"Active")</f>
        <v>Active</v>
      </c>
      <c r="M23" s="3" t="e">
        <f>VLOOKUP(B23,Transfer!A:L,12,0)</f>
        <v>#N/A</v>
      </c>
      <c r="N23" s="3" t="e">
        <f>VLOOKUP(B23,Transfer!A:BE,54,0)</f>
        <v>#N/A</v>
      </c>
      <c r="O23" s="3" t="e">
        <f>VLOOKUP(B23,Transfer!A:BF,55,0)</f>
        <v>#N/A</v>
      </c>
      <c r="P23" s="3" t="e">
        <f>VLOOKUP(B23,Transfer!A:BG,56,0)</f>
        <v>#N/A</v>
      </c>
      <c r="Q23" s="3" t="s">
        <v>7404</v>
      </c>
      <c r="R23" s="3">
        <v>22</v>
      </c>
      <c r="S23" s="3"/>
      <c r="T23" s="3"/>
      <c r="U23" s="3"/>
      <c r="V23" s="3" t="e">
        <f>VLOOKUP(B23,MDB!A:M,13,0)</f>
        <v>#N/A</v>
      </c>
      <c r="W23" s="3" t="e">
        <f>VLOOKUP(B23,MDB!A:N,14,0)</f>
        <v>#N/A</v>
      </c>
      <c r="X23" s="3"/>
      <c r="Y23" s="3" t="e">
        <f>VLOOKUP(B23,MDB!A:O,15,0)</f>
        <v>#N/A</v>
      </c>
      <c r="Z23" s="3" t="e">
        <f>VLOOKUP(B23,MDB!A:AO,41,0)</f>
        <v>#N/A</v>
      </c>
      <c r="AA23" s="3" t="e">
        <f>VLOOKUP(B23,MDB!A:AP,42,0)</f>
        <v>#N/A</v>
      </c>
      <c r="AB23" s="3" t="e">
        <f>VLOOKUP(B23,MDB!A:AQ,43,0)</f>
        <v>#N/A</v>
      </c>
      <c r="AC23" s="3"/>
      <c r="AD23" s="3" t="e">
        <f>VLOOKUP(B23,MDB!A:X,24,0)</f>
        <v>#N/A</v>
      </c>
      <c r="AE23" s="3" t="e">
        <f>VLOOKUP(B23,MDB!A:Z,26,0)</f>
        <v>#N/A</v>
      </c>
      <c r="AF23" s="3" t="e">
        <f>VLOOKUP(B23,MDB!A:AA,27,0)</f>
        <v>#N/A</v>
      </c>
      <c r="AG23" s="3" t="e">
        <f>VLOOKUP(B23,MDB!A:E,5,0)</f>
        <v>#N/A</v>
      </c>
      <c r="AH23" s="6" t="e">
        <f>VLOOKUP(B23,MDB!A:AD,30,0)</f>
        <v>#N/A</v>
      </c>
      <c r="AI23" s="3" t="e">
        <f>VLOOKUP(B23,MDB!A:AC,29,0)</f>
        <v>#N/A</v>
      </c>
      <c r="AJ23" s="3" t="e">
        <f>VLOOKUP(B23,MDB!A:AF,32,0)</f>
        <v>#N/A</v>
      </c>
      <c r="AK23" s="16" t="e">
        <f>VLOOKUP(B23,MDB!A:AG,33,0)</f>
        <v>#N/A</v>
      </c>
      <c r="AL23" s="3" t="e">
        <f>VLOOKUP(B23,MDB!A:AH,34,0)</f>
        <v>#N/A</v>
      </c>
      <c r="AM23" s="3" t="e">
        <f>VLOOKUP(B23,MDB!A:AI,35,0)</f>
        <v>#N/A</v>
      </c>
      <c r="AN23" s="3" t="s">
        <v>7405</v>
      </c>
      <c r="AO23" s="3" t="e">
        <f>VLOOKUP(B23,Transfer!A:BM,62,0)</f>
        <v>#N/A</v>
      </c>
      <c r="AP23" s="3" t="e">
        <f>VLOOKUP(B23,Transfer!A:BN,63,0)</f>
        <v>#N/A</v>
      </c>
      <c r="AQ23" s="3" t="e">
        <f>VLOOKUP(B23,Transfer!A:BO,64,0)</f>
        <v>#N/A</v>
      </c>
      <c r="AR23" s="3" t="e">
        <f>VLOOKUP(B23,Transfer!A:BP,65,0)</f>
        <v>#N/A</v>
      </c>
      <c r="AS23" s="3" t="e">
        <f>VLOOKUP(B23,Transfer!A:BQ,66,0)</f>
        <v>#N/A</v>
      </c>
      <c r="AT23" s="3" t="e">
        <f>VLOOKUP(B23,Transfer!A:BR,67,0)</f>
        <v>#N/A</v>
      </c>
      <c r="AU23" s="3" t="e">
        <f>VLOOKUP(B23,Transfer!A:BS,68,0)</f>
        <v>#N/A</v>
      </c>
      <c r="AV23" s="3" t="e">
        <f>VLOOKUP(B23,Transfer!A:BL,61,0)</f>
        <v>#N/A</v>
      </c>
      <c r="AW23" s="6" t="e">
        <f>VLOOKUP(B23,Transfer!A:BT,69,0)</f>
        <v>#N/A</v>
      </c>
      <c r="AX23" s="6" t="e">
        <f>VLOOKUP(B23,Transfer!A:BU,70,0)</f>
        <v>#N/A</v>
      </c>
      <c r="AY23" s="3" t="e">
        <f>VLOOKUP(B23,Transfer!A:BV,72,0)</f>
        <v>#N/A</v>
      </c>
      <c r="AZ23" s="3" t="e">
        <f>VLOOKUP(B23,Transfer!A:BV,74,0)</f>
        <v>#N/A</v>
      </c>
    </row>
    <row r="24">
      <c r="A24" s="3">
        <v>27</v>
      </c>
      <c r="B24" s="9"/>
      <c r="C24" s="5" t="e">
        <f>VLOOKUP(B24,Transfer!A:D,4,0)</f>
        <v>#N/A</v>
      </c>
      <c r="D24" s="3" t="e">
        <f>VLOOKUP(B24,Transfer!A:G,7,0)</f>
        <v>#N/A</v>
      </c>
      <c r="E24" s="6" t="e">
        <f>VLOOKUP(B24,Transfer!A:U,18,0)</f>
        <v>#N/A</v>
      </c>
      <c r="F24" s="3" t="e">
        <f>VLOOKUP(B24,Transfer!A:H,8,0)</f>
        <v>#N/A</v>
      </c>
      <c r="G24" s="3" t="e">
        <f>VLOOKUP(B24,Transfer!A:I,9,0)</f>
        <v>#N/A</v>
      </c>
      <c r="H24" s="7" t="e">
        <f>VLOOKUP(B24,Transfer!A:K,11,0)</f>
        <v>#N/A</v>
      </c>
      <c r="I24" s="3" t="e">
        <f>VLOOKUP(B24,Transfer!A:J,10,0)</f>
        <v>#N/A</v>
      </c>
      <c r="J24" s="3" t="s">
        <v>7407</v>
      </c>
      <c r="K24" s="3" t="s">
        <v>7403</v>
      </c>
      <c r="L24" s="3" t="str">
        <f>IFERROR(VLOOKUP(B24,Inactive!A:BH,58,0),"Active")</f>
        <v>Active</v>
      </c>
      <c r="M24" s="3" t="e">
        <f>VLOOKUP(B24,Transfer!A:L,12,0)</f>
        <v>#N/A</v>
      </c>
      <c r="N24" s="3" t="e">
        <f>VLOOKUP(B24,Transfer!A:BE,54,0)</f>
        <v>#N/A</v>
      </c>
      <c r="O24" s="3" t="e">
        <f>VLOOKUP(B24,Transfer!A:BF,55,0)</f>
        <v>#N/A</v>
      </c>
      <c r="P24" s="3" t="e">
        <f>VLOOKUP(B24,Transfer!A:BG,56,0)</f>
        <v>#N/A</v>
      </c>
      <c r="Q24" s="3" t="s">
        <v>7404</v>
      </c>
      <c r="R24" s="3">
        <v>22</v>
      </c>
      <c r="S24" s="3"/>
      <c r="T24" s="3"/>
      <c r="U24" s="3"/>
      <c r="V24" s="3" t="e">
        <f>VLOOKUP(B24,MDB!A:M,13,0)</f>
        <v>#N/A</v>
      </c>
      <c r="W24" s="3" t="e">
        <f>VLOOKUP(B24,MDB!A:N,14,0)</f>
        <v>#N/A</v>
      </c>
      <c r="X24" s="3"/>
      <c r="Y24" s="3" t="e">
        <f>VLOOKUP(B24,MDB!A:O,15,0)</f>
        <v>#N/A</v>
      </c>
      <c r="Z24" s="3" t="e">
        <f>VLOOKUP(B24,MDB!A:AO,41,0)</f>
        <v>#N/A</v>
      </c>
      <c r="AA24" s="3" t="e">
        <f>VLOOKUP(B24,MDB!A:AP,42,0)</f>
        <v>#N/A</v>
      </c>
      <c r="AB24" s="3" t="e">
        <f>VLOOKUP(B24,MDB!A:AQ,43,0)</f>
        <v>#N/A</v>
      </c>
      <c r="AC24" s="3"/>
      <c r="AD24" s="3" t="e">
        <f>VLOOKUP(B24,MDB!A:X,24,0)</f>
        <v>#N/A</v>
      </c>
      <c r="AE24" s="3" t="e">
        <f>VLOOKUP(B24,MDB!A:Z,26,0)</f>
        <v>#N/A</v>
      </c>
      <c r="AF24" s="3" t="e">
        <f>VLOOKUP(B24,MDB!A:AA,27,0)</f>
        <v>#N/A</v>
      </c>
      <c r="AG24" s="3" t="e">
        <f>VLOOKUP(B24,MDB!A:E,5,0)</f>
        <v>#N/A</v>
      </c>
      <c r="AH24" s="6" t="e">
        <f>VLOOKUP(B24,MDB!A:AD,30,0)</f>
        <v>#N/A</v>
      </c>
      <c r="AI24" s="3" t="e">
        <f>VLOOKUP(B24,MDB!A:AC,29,0)</f>
        <v>#N/A</v>
      </c>
      <c r="AJ24" s="3" t="e">
        <f>VLOOKUP(B24,MDB!A:AF,32,0)</f>
        <v>#N/A</v>
      </c>
      <c r="AK24" s="16" t="e">
        <f>VLOOKUP(B24,MDB!A:AG,33,0)</f>
        <v>#N/A</v>
      </c>
      <c r="AL24" s="3" t="e">
        <f>VLOOKUP(B24,MDB!A:AH,34,0)</f>
        <v>#N/A</v>
      </c>
      <c r="AM24" s="3" t="e">
        <f>VLOOKUP(B24,MDB!A:AI,35,0)</f>
        <v>#N/A</v>
      </c>
      <c r="AN24" s="3" t="s">
        <v>7405</v>
      </c>
      <c r="AO24" s="3" t="e">
        <f>VLOOKUP(B24,Transfer!A:BM,62,0)</f>
        <v>#N/A</v>
      </c>
      <c r="AP24" s="3" t="e">
        <f>VLOOKUP(B24,Transfer!A:BN,63,0)</f>
        <v>#N/A</v>
      </c>
      <c r="AQ24" s="3" t="e">
        <f>VLOOKUP(B24,Transfer!A:BO,64,0)</f>
        <v>#N/A</v>
      </c>
      <c r="AR24" s="3" t="e">
        <f>VLOOKUP(B24,Transfer!A:BP,65,0)</f>
        <v>#N/A</v>
      </c>
      <c r="AS24" s="3" t="e">
        <f>VLOOKUP(B24,Transfer!A:BQ,66,0)</f>
        <v>#N/A</v>
      </c>
      <c r="AT24" s="3" t="e">
        <f>VLOOKUP(B24,Transfer!A:BR,67,0)</f>
        <v>#N/A</v>
      </c>
      <c r="AU24" s="3" t="e">
        <f>VLOOKUP(B24,Transfer!A:BS,68,0)</f>
        <v>#N/A</v>
      </c>
      <c r="AV24" s="3" t="e">
        <f>VLOOKUP(B24,Transfer!A:BL,61,0)</f>
        <v>#N/A</v>
      </c>
      <c r="AW24" s="6" t="e">
        <f>VLOOKUP(B24,Transfer!A:BT,69,0)</f>
        <v>#N/A</v>
      </c>
      <c r="AX24" s="6" t="e">
        <f>VLOOKUP(B24,Transfer!A:BU,70,0)</f>
        <v>#N/A</v>
      </c>
      <c r="AY24" s="3" t="e">
        <f>VLOOKUP(B24,Transfer!A:BV,72,0)</f>
        <v>#N/A</v>
      </c>
      <c r="AZ24" s="3" t="e">
        <f>VLOOKUP(B24,Transfer!A:BV,74,0)</f>
        <v>#N/A</v>
      </c>
    </row>
    <row r="25">
      <c r="A25" s="3">
        <v>29</v>
      </c>
      <c r="B25" s="12"/>
      <c r="C25" s="5" t="e">
        <f>VLOOKUP(B25,Transfer!A:D,4,0)</f>
        <v>#N/A</v>
      </c>
      <c r="D25" s="3" t="e">
        <f>VLOOKUP(B25,Transfer!A:G,7,0)</f>
        <v>#N/A</v>
      </c>
      <c r="E25" s="6" t="e">
        <f>VLOOKUP(B25,Transfer!A:U,18,0)</f>
        <v>#N/A</v>
      </c>
      <c r="F25" s="3" t="e">
        <f>VLOOKUP(B25,Transfer!A:H,8,0)</f>
        <v>#N/A</v>
      </c>
      <c r="G25" s="3" t="e">
        <f>VLOOKUP(B25,Transfer!A:I,9,0)</f>
        <v>#N/A</v>
      </c>
      <c r="H25" s="7" t="e">
        <f>VLOOKUP(B25,Transfer!A:K,11,0)</f>
        <v>#N/A</v>
      </c>
      <c r="I25" s="3" t="e">
        <f>VLOOKUP(B25,Transfer!A:J,10,0)</f>
        <v>#N/A</v>
      </c>
      <c r="J25" s="3" t="s">
        <v>7407</v>
      </c>
      <c r="K25" s="3" t="s">
        <v>7403</v>
      </c>
      <c r="L25" s="3" t="str">
        <f>IFERROR(VLOOKUP(B25,Inactive!A:BH,58,0),"Active")</f>
        <v>Active</v>
      </c>
      <c r="M25" s="3" t="e">
        <f>VLOOKUP(B25,Transfer!A:L,12,0)</f>
        <v>#N/A</v>
      </c>
      <c r="N25" s="3" t="e">
        <f>VLOOKUP(B25,Transfer!A:BE,54,0)</f>
        <v>#N/A</v>
      </c>
      <c r="O25" s="3" t="e">
        <f>VLOOKUP(B25,Transfer!A:BF,55,0)</f>
        <v>#N/A</v>
      </c>
      <c r="P25" s="3" t="e">
        <f>VLOOKUP(B25,Transfer!A:BG,56,0)</f>
        <v>#N/A</v>
      </c>
      <c r="Q25" s="3" t="s">
        <v>7404</v>
      </c>
      <c r="R25" s="3">
        <v>22</v>
      </c>
      <c r="S25" s="3"/>
      <c r="T25" s="3"/>
      <c r="U25" s="3"/>
      <c r="V25" s="3" t="e">
        <f>VLOOKUP(B25,MDB!A:M,13,0)</f>
        <v>#N/A</v>
      </c>
      <c r="W25" s="3" t="e">
        <f>VLOOKUP(B25,MDB!A:N,14,0)</f>
        <v>#N/A</v>
      </c>
      <c r="X25" s="3"/>
      <c r="Y25" s="3" t="e">
        <f>VLOOKUP(B25,MDB!A:O,15,0)</f>
        <v>#N/A</v>
      </c>
      <c r="Z25" s="3" t="e">
        <f>VLOOKUP(B25,MDB!A:AO,41,0)</f>
        <v>#N/A</v>
      </c>
      <c r="AA25" s="3" t="e">
        <f>VLOOKUP(B25,MDB!A:AP,42,0)</f>
        <v>#N/A</v>
      </c>
      <c r="AB25" s="3" t="e">
        <f>VLOOKUP(B25,MDB!A:AQ,43,0)</f>
        <v>#N/A</v>
      </c>
      <c r="AC25" s="3"/>
      <c r="AD25" s="3" t="e">
        <f>VLOOKUP(B25,MDB!A:X,24,0)</f>
        <v>#N/A</v>
      </c>
      <c r="AE25" s="3" t="e">
        <f>VLOOKUP(B25,MDB!A:Z,26,0)</f>
        <v>#N/A</v>
      </c>
      <c r="AF25" s="3" t="e">
        <f>VLOOKUP(B25,MDB!A:AA,27,0)</f>
        <v>#N/A</v>
      </c>
      <c r="AG25" s="3" t="e">
        <f>VLOOKUP(B25,MDB!A:E,5,0)</f>
        <v>#N/A</v>
      </c>
      <c r="AH25" s="6" t="e">
        <f>VLOOKUP(B25,MDB!A:AD,30,0)</f>
        <v>#N/A</v>
      </c>
      <c r="AI25" s="3" t="e">
        <f>VLOOKUP(B25,MDB!A:AC,29,0)</f>
        <v>#N/A</v>
      </c>
      <c r="AJ25" s="3" t="e">
        <f>VLOOKUP(B25,MDB!A:AF,32,0)</f>
        <v>#N/A</v>
      </c>
      <c r="AK25" s="16" t="e">
        <f>VLOOKUP(B25,MDB!A:AG,33,0)</f>
        <v>#N/A</v>
      </c>
      <c r="AL25" s="3" t="e">
        <f>VLOOKUP(B25,MDB!A:AH,34,0)</f>
        <v>#N/A</v>
      </c>
      <c r="AM25" s="3" t="e">
        <f>VLOOKUP(B25,MDB!A:AI,35,0)</f>
        <v>#N/A</v>
      </c>
      <c r="AN25" s="3" t="s">
        <v>7405</v>
      </c>
      <c r="AO25" s="3" t="e">
        <f>VLOOKUP(B25,Transfer!A:BM,62,0)</f>
        <v>#N/A</v>
      </c>
      <c r="AP25" s="3" t="e">
        <f>VLOOKUP(B25,Transfer!A:BN,63,0)</f>
        <v>#N/A</v>
      </c>
      <c r="AQ25" s="3" t="e">
        <f>VLOOKUP(B25,Transfer!A:BO,64,0)</f>
        <v>#N/A</v>
      </c>
      <c r="AR25" s="3" t="e">
        <f>VLOOKUP(B25,Transfer!A:BP,65,0)</f>
        <v>#N/A</v>
      </c>
      <c r="AS25" s="3" t="e">
        <f>VLOOKUP(B25,Transfer!A:BQ,66,0)</f>
        <v>#N/A</v>
      </c>
      <c r="AT25" s="3" t="e">
        <f>VLOOKUP(B25,Transfer!A:BR,67,0)</f>
        <v>#N/A</v>
      </c>
      <c r="AU25" s="3" t="e">
        <f>VLOOKUP(B25,Transfer!A:BS,68,0)</f>
        <v>#N/A</v>
      </c>
      <c r="AV25" s="3" t="e">
        <f>VLOOKUP(B25,Transfer!A:BL,61,0)</f>
        <v>#N/A</v>
      </c>
      <c r="AW25" s="6" t="e">
        <f>VLOOKUP(B25,Transfer!A:BT,69,0)</f>
        <v>#N/A</v>
      </c>
      <c r="AX25" s="6" t="e">
        <f>VLOOKUP(B25,Transfer!A:BU,70,0)</f>
        <v>#N/A</v>
      </c>
      <c r="AY25" s="3" t="e">
        <f>VLOOKUP(B25,Transfer!A:BV,72,0)</f>
        <v>#N/A</v>
      </c>
      <c r="AZ25" s="3" t="e">
        <f>VLOOKUP(B25,Transfer!A:BV,74,0)</f>
        <v>#N/A</v>
      </c>
    </row>
    <row r="26">
      <c r="A26" s="3">
        <v>30</v>
      </c>
      <c r="B26" s="13"/>
      <c r="C26" s="5" t="e">
        <f>VLOOKUP(B26,Transfer!A:D,4,0)</f>
        <v>#N/A</v>
      </c>
      <c r="D26" s="3" t="e">
        <f>VLOOKUP(B26,Transfer!A:G,7,0)</f>
        <v>#N/A</v>
      </c>
      <c r="E26" s="6" t="e">
        <f>VLOOKUP(B26,Transfer!A:U,18,0)</f>
        <v>#N/A</v>
      </c>
      <c r="F26" s="3" t="e">
        <f>VLOOKUP(B26,Transfer!A:H,8,0)</f>
        <v>#N/A</v>
      </c>
      <c r="G26" s="3" t="e">
        <f>VLOOKUP(B26,Transfer!A:I,9,0)</f>
        <v>#N/A</v>
      </c>
      <c r="H26" s="7" t="e">
        <f>VLOOKUP(B26,Transfer!A:K,11,0)</f>
        <v>#N/A</v>
      </c>
      <c r="I26" s="3" t="e">
        <f>VLOOKUP(B26,Transfer!A:J,10,0)</f>
        <v>#N/A</v>
      </c>
      <c r="J26" s="3" t="s">
        <v>7407</v>
      </c>
      <c r="K26" s="3" t="s">
        <v>7403</v>
      </c>
      <c r="L26" s="3" t="str">
        <f>IFERROR(VLOOKUP(B26,Inactive!A:BH,58,0),"Active")</f>
        <v>Active</v>
      </c>
      <c r="M26" s="3" t="e">
        <f>VLOOKUP(B26,Transfer!A:L,12,0)</f>
        <v>#N/A</v>
      </c>
      <c r="N26" s="3" t="e">
        <f>VLOOKUP(B26,Transfer!A:BE,54,0)</f>
        <v>#N/A</v>
      </c>
      <c r="O26" s="3" t="e">
        <f>VLOOKUP(B26,Transfer!A:BF,55,0)</f>
        <v>#N/A</v>
      </c>
      <c r="P26" s="3" t="e">
        <f>VLOOKUP(B26,Transfer!A:BG,56,0)</f>
        <v>#N/A</v>
      </c>
      <c r="Q26" s="3" t="s">
        <v>7404</v>
      </c>
      <c r="R26" s="3">
        <v>22</v>
      </c>
      <c r="S26" s="3"/>
      <c r="T26" s="3"/>
      <c r="U26" s="3"/>
      <c r="V26" s="3" t="e">
        <f>VLOOKUP(B26,MDB!A:M,13,0)</f>
        <v>#N/A</v>
      </c>
      <c r="W26" s="3" t="e">
        <f>VLOOKUP(B26,MDB!A:N,14,0)</f>
        <v>#N/A</v>
      </c>
      <c r="X26" s="3"/>
      <c r="Y26" s="3" t="e">
        <f>VLOOKUP(B26,MDB!A:O,15,0)</f>
        <v>#N/A</v>
      </c>
      <c r="Z26" s="3" t="e">
        <f>VLOOKUP(B26,MDB!A:AO,41,0)</f>
        <v>#N/A</v>
      </c>
      <c r="AA26" s="3" t="e">
        <f>VLOOKUP(B26,MDB!A:AP,42,0)</f>
        <v>#N/A</v>
      </c>
      <c r="AB26" s="3" t="e">
        <f>VLOOKUP(B26,MDB!A:AQ,43,0)</f>
        <v>#N/A</v>
      </c>
      <c r="AC26" s="3"/>
      <c r="AD26" s="3" t="e">
        <f>VLOOKUP(B26,MDB!A:X,24,0)</f>
        <v>#N/A</v>
      </c>
      <c r="AE26" s="3" t="e">
        <f>VLOOKUP(B26,MDB!A:Z,26,0)</f>
        <v>#N/A</v>
      </c>
      <c r="AF26" s="3" t="e">
        <f>VLOOKUP(B26,MDB!A:AA,27,0)</f>
        <v>#N/A</v>
      </c>
      <c r="AG26" s="3" t="e">
        <f>VLOOKUP(B26,MDB!A:E,5,0)</f>
        <v>#N/A</v>
      </c>
      <c r="AH26" s="6" t="e">
        <f>VLOOKUP(B26,MDB!A:AD,30,0)</f>
        <v>#N/A</v>
      </c>
      <c r="AI26" s="3" t="e">
        <f>VLOOKUP(B26,MDB!A:AC,29,0)</f>
        <v>#N/A</v>
      </c>
      <c r="AJ26" s="3" t="e">
        <f>VLOOKUP(B26,MDB!A:AF,32,0)</f>
        <v>#N/A</v>
      </c>
      <c r="AK26" s="16" t="e">
        <f>VLOOKUP(B26,MDB!A:AG,33,0)</f>
        <v>#N/A</v>
      </c>
      <c r="AL26" s="3" t="e">
        <f>VLOOKUP(B26,MDB!A:AH,34,0)</f>
        <v>#N/A</v>
      </c>
      <c r="AM26" s="3" t="e">
        <f>VLOOKUP(B26,MDB!A:AI,35,0)</f>
        <v>#N/A</v>
      </c>
      <c r="AN26" s="3" t="s">
        <v>7405</v>
      </c>
      <c r="AO26" s="3" t="e">
        <f>VLOOKUP(B26,Transfer!A:BM,62,0)</f>
        <v>#N/A</v>
      </c>
      <c r="AP26" s="3" t="e">
        <f>VLOOKUP(B26,Transfer!A:BN,63,0)</f>
        <v>#N/A</v>
      </c>
      <c r="AQ26" s="3" t="e">
        <f>VLOOKUP(B26,Transfer!A:BO,64,0)</f>
        <v>#N/A</v>
      </c>
      <c r="AR26" s="3" t="e">
        <f>VLOOKUP(B26,Transfer!A:BP,65,0)</f>
        <v>#N/A</v>
      </c>
      <c r="AS26" s="3" t="e">
        <f>VLOOKUP(B26,Transfer!A:BQ,66,0)</f>
        <v>#N/A</v>
      </c>
      <c r="AT26" s="3" t="e">
        <f>VLOOKUP(B26,Transfer!A:BR,67,0)</f>
        <v>#N/A</v>
      </c>
      <c r="AU26" s="3" t="e">
        <f>VLOOKUP(B26,Transfer!A:BS,68,0)</f>
        <v>#N/A</v>
      </c>
      <c r="AV26" s="3" t="e">
        <f>VLOOKUP(B26,Transfer!A:BL,61,0)</f>
        <v>#N/A</v>
      </c>
      <c r="AW26" s="6" t="e">
        <f>VLOOKUP(B26,Transfer!A:BT,69,0)</f>
        <v>#N/A</v>
      </c>
      <c r="AX26" s="6" t="e">
        <f>VLOOKUP(B26,Transfer!A:BU,70,0)</f>
        <v>#N/A</v>
      </c>
      <c r="AY26" s="3" t="e">
        <f>VLOOKUP(B26,Transfer!A:BV,72,0)</f>
        <v>#N/A</v>
      </c>
      <c r="AZ26" s="3" t="e">
        <f>VLOOKUP(B26,Transfer!A:BV,74,0)</f>
        <v>#N/A</v>
      </c>
    </row>
  </sheetData>
  <conditionalFormatting sqref="B2">
    <cfRule type="duplicateValues" dxfId="0" priority="21"/>
    <cfRule type="duplicateValues" dxfId="0" priority="23"/>
    <cfRule type="duplicateValues" dxfId="0" priority="24"/>
    <cfRule type="duplicateValues" dxfId="0" priority="19"/>
    <cfRule type="duplicateValues" dxfId="0" priority="27"/>
    <cfRule type="duplicateValues" dxfId="0" priority="20"/>
    <cfRule type="duplicateValues" dxfId="0" priority="25"/>
    <cfRule type="duplicateValues" dxfId="0" priority="26"/>
    <cfRule type="duplicateValues" dxfId="0" priority="22"/>
  </conditionalFormatting>
  <conditionalFormatting sqref="B3">
    <cfRule type="duplicateValues" dxfId="0" priority="12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3"/>
    <cfRule type="duplicateValues" dxfId="0" priority="10"/>
    <cfRule type="duplicateValues" dxfId="0" priority="11"/>
  </conditionalFormatting>
  <conditionalFormatting sqref="B4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8"/>
    <cfRule type="duplicateValues" dxfId="0" priority="9"/>
    <cfRule type="duplicateValues" dxfId="0" priority="1"/>
    <cfRule type="duplicateValues" dxfId="0" priority="7"/>
  </conditionalFormatting>
  <conditionalFormatting sqref="B5">
    <cfRule type="duplicateValues" dxfId="0" priority="591863"/>
    <cfRule type="duplicateValues" dxfId="0" priority="591864"/>
    <cfRule type="duplicateValues" dxfId="0" priority="591865"/>
    <cfRule type="duplicateValues" dxfId="0" priority="591866"/>
    <cfRule type="duplicateValues" dxfId="0" priority="591869"/>
    <cfRule type="duplicateValues" dxfId="0" priority="591867"/>
    <cfRule type="duplicateValues" dxfId="0" priority="591868"/>
    <cfRule type="duplicateValues" dxfId="0" priority="591870"/>
    <cfRule type="duplicateValues" dxfId="0" priority="591871"/>
    <cfRule type="duplicateValues" dxfId="0" priority="591872"/>
    <cfRule type="duplicateValues" dxfId="0" priority="591873"/>
    <cfRule type="duplicateValues" dxfId="0" priority="591874"/>
    <cfRule type="duplicateValues" dxfId="0" priority="591875"/>
    <cfRule type="duplicateValues" dxfId="0" priority="591862"/>
    <cfRule type="duplicateValues" dxfId="0" priority="591861"/>
    <cfRule type="duplicateValues" dxfId="0" priority="591860"/>
    <cfRule type="duplicateValues" dxfId="0" priority="591859"/>
    <cfRule type="duplicateValues" dxfId="0" priority="591858"/>
  </conditionalFormatting>
  <conditionalFormatting sqref="B5:B26">
    <cfRule type="duplicateValues" dxfId="0" priority="593113"/>
  </conditionalFormatting>
  <conditionalFormatting sqref="B6">
    <cfRule type="duplicateValues" dxfId="0" priority="293"/>
  </conditionalFormatting>
  <conditionalFormatting sqref="B6:B26">
    <cfRule type="duplicateValues" dxfId="0" priority="593102"/>
  </conditionalFormatting>
  <conditionalFormatting sqref="B7">
    <cfRule type="duplicateValues" dxfId="0" priority="284"/>
    <cfRule type="duplicateValues" dxfId="0" priority="292"/>
    <cfRule type="duplicateValues" dxfId="0" priority="291"/>
    <cfRule type="duplicateValues" dxfId="0" priority="290"/>
    <cfRule type="duplicateValues" dxfId="0" priority="289"/>
    <cfRule type="duplicateValues" dxfId="0" priority="288"/>
    <cfRule type="duplicateValues" dxfId="0" priority="287"/>
    <cfRule type="duplicateValues" dxfId="0" priority="286"/>
    <cfRule type="duplicateValues" dxfId="0" priority="285"/>
    <cfRule type="duplicateValues" dxfId="0" priority="283"/>
    <cfRule type="duplicateValues" dxfId="0" priority="282"/>
    <cfRule type="duplicateValues" dxfId="0" priority="281"/>
    <cfRule type="duplicateValues" dxfId="0" priority="280"/>
    <cfRule type="duplicateValues" dxfId="0" priority="279"/>
    <cfRule type="duplicateValues" dxfId="0" priority="278"/>
    <cfRule type="duplicateValues" dxfId="0" priority="277"/>
    <cfRule type="duplicateValues" dxfId="0" priority="276"/>
    <cfRule type="duplicateValues" dxfId="0" priority="275"/>
  </conditionalFormatting>
  <conditionalFormatting sqref="B8">
    <cfRule type="duplicateValues" dxfId="0" priority="265"/>
    <cfRule type="duplicateValues" dxfId="0" priority="266"/>
    <cfRule type="duplicateValues" dxfId="0" priority="259"/>
    <cfRule type="duplicateValues" dxfId="0" priority="267"/>
    <cfRule type="duplicateValues" dxfId="0" priority="268"/>
    <cfRule type="duplicateValues" dxfId="0" priority="270"/>
    <cfRule type="duplicateValues" dxfId="0" priority="271"/>
    <cfRule type="duplicateValues" dxfId="0" priority="269"/>
    <cfRule type="duplicateValues" dxfId="0" priority="272"/>
    <cfRule type="duplicateValues" dxfId="0" priority="273"/>
    <cfRule type="duplicateValues" dxfId="0" priority="258"/>
    <cfRule type="duplicateValues" dxfId="0" priority="257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74"/>
  </conditionalFormatting>
  <conditionalFormatting sqref="B9"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38"/>
    <cfRule type="duplicateValues" dxfId="0" priority="239"/>
  </conditionalFormatting>
  <conditionalFormatting sqref="B10">
    <cfRule type="duplicateValues" dxfId="0" priority="226"/>
    <cfRule type="duplicateValues" dxfId="0" priority="237"/>
    <cfRule type="duplicateValues" dxfId="0" priority="236"/>
    <cfRule type="duplicateValues" dxfId="0" priority="235"/>
    <cfRule type="duplicateValues" dxfId="0" priority="234"/>
    <cfRule type="duplicateValues" dxfId="0" priority="233"/>
    <cfRule type="duplicateValues" dxfId="0" priority="227"/>
    <cfRule type="duplicateValues" dxfId="0" priority="232"/>
    <cfRule type="duplicateValues" dxfId="0" priority="231"/>
    <cfRule type="duplicateValues" dxfId="0" priority="230"/>
    <cfRule type="duplicateValues" dxfId="0" priority="229"/>
    <cfRule type="duplicateValues" dxfId="0" priority="228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0"/>
  </conditionalFormatting>
  <conditionalFormatting sqref="B11">
    <cfRule type="duplicateValues" dxfId="0" priority="211"/>
    <cfRule type="duplicateValues" dxfId="0" priority="210"/>
    <cfRule type="duplicateValues" dxfId="0" priority="209"/>
    <cfRule type="duplicateValues" dxfId="0" priority="208"/>
    <cfRule type="duplicateValues" dxfId="0" priority="206"/>
    <cfRule type="duplicateValues" dxfId="0" priority="205"/>
    <cfRule type="duplicateValues" dxfId="0" priority="204"/>
    <cfRule type="duplicateValues" dxfId="0" priority="203"/>
    <cfRule type="duplicateValues" dxfId="0" priority="202"/>
    <cfRule type="duplicateValues" dxfId="0" priority="207"/>
    <cfRule type="duplicateValues" dxfId="0" priority="212"/>
    <cfRule type="duplicateValues" dxfId="0" priority="219"/>
    <cfRule type="duplicateValues" dxfId="0" priority="218"/>
    <cfRule type="duplicateValues" dxfId="0" priority="217"/>
    <cfRule type="duplicateValues" dxfId="0" priority="216"/>
    <cfRule type="duplicateValues" dxfId="0" priority="215"/>
    <cfRule type="duplicateValues" dxfId="0" priority="214"/>
    <cfRule type="duplicateValues" dxfId="0" priority="213"/>
  </conditionalFormatting>
  <conditionalFormatting sqref="B12">
    <cfRule type="duplicateValues" dxfId="0" priority="198"/>
    <cfRule type="duplicateValues" dxfId="0" priority="189"/>
    <cfRule type="duplicateValues" dxfId="0" priority="197"/>
    <cfRule type="duplicateValues" dxfId="0" priority="201"/>
    <cfRule type="duplicateValues" dxfId="0" priority="200"/>
    <cfRule type="duplicateValues" dxfId="0" priority="199"/>
    <cfRule type="duplicateValues" dxfId="0" priority="196"/>
    <cfRule type="duplicateValues" dxfId="0" priority="195"/>
    <cfRule type="duplicateValues" dxfId="0" priority="194"/>
    <cfRule type="duplicateValues" dxfId="0" priority="193"/>
    <cfRule type="duplicateValues" dxfId="0" priority="192"/>
    <cfRule type="duplicateValues" dxfId="0" priority="190"/>
    <cfRule type="duplicateValues" dxfId="0" priority="188"/>
    <cfRule type="duplicateValues" dxfId="0" priority="187"/>
    <cfRule type="duplicateValues" dxfId="0" priority="186"/>
    <cfRule type="duplicateValues" dxfId="0" priority="185"/>
    <cfRule type="duplicateValues" dxfId="0" priority="184"/>
    <cfRule type="duplicateValues" dxfId="0" priority="183"/>
    <cfRule type="duplicateValues" dxfId="0" priority="191"/>
  </conditionalFormatting>
  <conditionalFormatting sqref="B13">
    <cfRule type="duplicateValues" dxfId="0" priority="180"/>
    <cfRule type="duplicateValues" dxfId="0" priority="181"/>
    <cfRule type="duplicateValues" dxfId="0" priority="179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45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82"/>
  </conditionalFormatting>
  <conditionalFormatting sqref="B14">
    <cfRule type="duplicateValues" dxfId="0" priority="593021"/>
    <cfRule type="duplicateValues" dxfId="0" priority="593033"/>
    <cfRule type="duplicateValues" dxfId="0" priority="593034"/>
    <cfRule type="duplicateValues" dxfId="0" priority="593035"/>
    <cfRule type="duplicateValues" dxfId="0" priority="593036"/>
    <cfRule type="duplicateValues" dxfId="0" priority="593026"/>
    <cfRule type="duplicateValues" dxfId="0" priority="593022"/>
    <cfRule type="duplicateValues" dxfId="0" priority="593023"/>
    <cfRule type="duplicateValues" dxfId="0" priority="593024"/>
    <cfRule type="duplicateValues" dxfId="0" priority="593025"/>
    <cfRule type="duplicateValues" dxfId="0" priority="593037"/>
    <cfRule type="duplicateValues" dxfId="0" priority="593027"/>
    <cfRule type="duplicateValues" dxfId="0" priority="593028"/>
    <cfRule type="duplicateValues" dxfId="0" priority="593029"/>
    <cfRule type="duplicateValues" dxfId="0" priority="593030"/>
    <cfRule type="duplicateValues" dxfId="0" priority="593031"/>
    <cfRule type="duplicateValues" dxfId="0" priority="593032"/>
  </conditionalFormatting>
  <conditionalFormatting sqref="B14:B26">
    <cfRule type="duplicateValues" dxfId="0" priority="593098"/>
  </conditionalFormatting>
  <conditionalFormatting sqref="B15:B26">
    <cfRule type="duplicateValues" dxfId="0" priority="593054"/>
    <cfRule type="duplicateValues" dxfId="0" priority="593055"/>
    <cfRule type="duplicateValues" dxfId="0" priority="593056"/>
    <cfRule type="duplicateValues" dxfId="0" priority="593057"/>
    <cfRule type="duplicateValues" dxfId="0" priority="593058"/>
    <cfRule type="duplicateValues" dxfId="0" priority="593053"/>
    <cfRule type="duplicateValues" dxfId="0" priority="593060"/>
    <cfRule type="duplicateValues" dxfId="0" priority="593061"/>
    <cfRule type="duplicateValues" dxfId="0" priority="593062"/>
    <cfRule type="duplicateValues" dxfId="0" priority="593063"/>
    <cfRule type="duplicateValues" dxfId="0" priority="593064"/>
    <cfRule type="duplicateValues" dxfId="0" priority="593065"/>
    <cfRule type="duplicateValues" dxfId="0" priority="593066"/>
    <cfRule type="duplicateValues" dxfId="0" priority="593067"/>
    <cfRule type="duplicateValues" dxfId="0" priority="593068"/>
    <cfRule type="duplicateValues" dxfId="0" priority="593069"/>
    <cfRule type="duplicateValues" dxfId="0" priority="593059"/>
  </conditionalFormatting>
  <conditionalFormatting sqref="B25:B26">
    <cfRule type="duplicateValues" dxfId="0" priority="593087"/>
  </conditionalFormatting>
  <conditionalFormatting sqref="B27:B1048576 B1">
    <cfRule type="duplicateValues" dxfId="0" priority="297"/>
    <cfRule type="duplicateValues" dxfId="0" priority="591749"/>
    <cfRule type="duplicateValues" dxfId="0" priority="591746"/>
    <cfRule type="duplicateValues" dxfId="0" priority="591750"/>
  </conditionalFormatting>
  <conditionalFormatting sqref="AO1:AW1 A1 AY1:AZ1 AC1:AL1 T1:AA1 D1:P1">
    <cfRule type="duplicateValues" dxfId="0" priority="830"/>
    <cfRule type="duplicateValues" dxfId="0" priority="831"/>
  </conditionalFormatting>
  <conditionalFormatting sqref="AX1">
    <cfRule type="duplicateValues" dxfId="0" priority="829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MDB</vt:lpstr>
      <vt:lpstr>Inactive</vt:lpstr>
      <vt:lpstr>Transfer email </vt:lpstr>
      <vt:lpstr>Resign_Notification</vt:lpstr>
      <vt:lpstr>ID Block</vt:lpstr>
      <vt:lpstr>Unauthorized Absent</vt:lpstr>
      <vt:lpstr>Transfer</vt:lpstr>
      <vt:lpstr>Disqualified from TR</vt:lpstr>
      <vt:lpstr>MDB_New Joiner List </vt:lpstr>
      <vt:lpstr>MDB_Inactive List</vt:lpstr>
      <vt:lpstr>MDB_NTR List</vt:lpstr>
      <vt:lpstr>Sheet1</vt:lpstr>
      <vt:lpstr>MDB_Transfer employee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Raihana/Sr.Exe/HR</dc:creator>
  <cp:lastModifiedBy>Adnan Mik</cp:lastModifiedBy>
  <cp:lastPrinted>2023-07-05T05:59:00Z</cp:lastPrinted>
  <dcterms:created xsi:type="dcterms:W3CDTF">2022-02-15T05:26:00Z</dcterms:created>
  <dcterms:modified xsi:type="dcterms:W3CDTF">2025-02-09T16:02:08Z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6623320BD1FC4CCF8AD9F0692CAF136D_12</vt:lpwstr>
  </property>
  <property fmtid="{D5CDD505-2E9C-101B-9397-08002B2CF9AE}" pid="3" name="KSOProductBuildVer">
    <vt:lpwstr>1033-12.2.0.18283</vt:lpwstr>
  </property>
</Properties>
</file>